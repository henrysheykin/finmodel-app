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<sst xmlns="http://schemas.openxmlformats.org/spreadsheetml/2006/main" count="1336" uniqueCount="511">
  <si>
    <t xml:space="preserve">Guest house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</si>
  <si>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</si>
  <si>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</si>
  <si>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</si>
  <si>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</si>
  <si>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</si>
  <si>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</si>
  <si>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</si>
  <si>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</si>
  <si>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</si>
  <si>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</si>
  <si>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</si>
  <si>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</si>
  <si>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</si>
  <si>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</si>
  <si>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</si>
  <si>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</si>
  <si>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</si>
  <si>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</si>
  <si>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</si>
  <si>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</si>
  <si>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</si>
  <si>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</si>
  <si>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</si>
  <si>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</si>
  <si>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</si>
  <si>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</si>
  <si>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</si>
  <si>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</si>
  <si>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</si>
  <si>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</si>
  <si>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</si>
  <si>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</si>
  <si>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</si>
  <si>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</si>
  <si>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</si>
  <si>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</si>
  <si>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</si>
  <si>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</si>
  <si>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</si>
  <si>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</si>
  <si>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</si>
  <si>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</si>
  <si>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</si>
  <si>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</si>
  <si>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</si>
  <si>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</si>
  <si>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</si>
  <si>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</si>
  <si>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</si>
  <si>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</si>
  <si>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</si>
  <si>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</si>
  <si>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</si>
  <si>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</si>
  <si>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</si>
  <si>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</si>
  <si>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Guest house metrics</t>
  </si>
  <si>
    <t xml:space="preserve">Occupancy</t>
  </si>
  <si>
    <t xml:space="preserve">Average daily rate</t>
  </si>
  <si>
    <t xml:space="preserve">RevPAR (room revenue per available room-night)</t>
  </si>
  <si>
    <t xml:space="preserve">Guest stays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</si>
  <si>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</si>
  <si>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</si>
  <si>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</si>
  <si>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</si>
  <si>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</si>
  <si>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</si>
  <si>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</si>
  <si>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</si>
  <si>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</si>
  <si>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</si>
  <si>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</si>
  <si>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</si>
  <si>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</si>
  <si>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</si>
  <si>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</si>
  <si>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</si>
  <si>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</si>
  <si>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</si>
  <si>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</si>
  <si>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</si>
  <si>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</si>
  <si>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</si>
  <si>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</si>
  <si>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</si>
  <si>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</si>
  <si>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</si>
  <si>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</si>
  <si>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</si>
  <si>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</si>
  <si>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</si>
  <si>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</si>
  <si>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</si>
  <si>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</si>
  <si>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</si>
  <si>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</si>
  <si>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</si>
  <si>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</si>
  <si>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</si>
  <si>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</si>
  <si>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</si>
  <si>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</si>
  <si>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</si>
  <si>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</si>
  <si>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</si>
  <si>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</si>
  <si>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</si>
  <si>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</si>
  <si>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Lettable rooms (rooms)</t>
  </si>
  <si>
    <t xml:space="preserve">Average daily rate per occupied room (year 1) ($)</t>
  </si>
  <si>
    <t xml:space="preserve">Average occupancy at maturity, % of room-nights (year 1) (%)</t>
  </si>
  <si>
    <t xml:space="preserve">Property purchase (month 1; 0 = leased building) ($)</t>
  </si>
  <si>
    <t xml:space="preserve">Loan drawn at start ($)</t>
  </si>
  <si>
    <t xml:space="preserve">Loan interest rate per year (%)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</si>
  <si>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</si>
  <si>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</si>
  <si>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</si>
  <si>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</si>
  <si>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</si>
  <si>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</si>
  <si>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</si>
  <si>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</si>
  <si>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</si>
  <si>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</si>
  <si>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</si>
  <si>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</si>
  <si>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</si>
  <si>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</si>
  <si>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</si>
  <si>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</si>
  <si>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</si>
  <si>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</si>
  <si>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</si>
  <si>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</si>
  <si>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</si>
  <si>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</si>
  <si>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</si>
  <si>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</si>
  <si>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</si>
  <si>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</si>
  <si>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</si>
  <si>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</si>
  <si>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</si>
  <si>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</si>
  <si>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</si>
  <si>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</si>
  <si>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</si>
  <si>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</si>
  <si>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</si>
  <si>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</si>
  <si>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</si>
  <si>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</si>
  <si>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</si>
  <si>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</si>
  <si>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</si>
  <si>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</si>
  <si>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</si>
  <si>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</si>
  <si>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</si>
  <si>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</si>
  <si>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</si>
  <si>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</si>
  <si>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</si>
  <si>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</si>
  <si>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</si>
  <si>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</si>
  <si>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</si>
  <si>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</si>
  <si>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</si>
  <si>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</si>
  <si>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</si>
  <si>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</si>
  <si>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</si>
  <si>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</si>
  <si>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</si>
  <si>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</si>
  <si>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</si>
  <si>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</si>
  <si>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</si>
  <si>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</si>
  <si>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</si>
  <si>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</si>
  <si>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</si>
  <si>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</si>
  <si>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</si>
  <si>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</si>
  <si>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</si>
  <si>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</si>
  <si>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</si>
  <si>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</si>
  <si>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</si>
  <si>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</si>
  <si>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</si>
  <si>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</si>
  <si>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</si>
  <si>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</si>
  <si>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</si>
  <si>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</si>
  <si>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</si>
  <si>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</si>
  <si>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</si>
  <si>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</si>
  <si>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</si>
  <si>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</si>
  <si>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</si>
  <si>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</si>
  <si>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</si>
  <si>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</si>
  <si>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</si>
  <si>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</si>
  <si>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</si>
  <si>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</si>
  <si>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</si>
  <si>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</si>
  <si>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</si>
  <si>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Guest house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</si>
  <si>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</si>
  <si>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</si>
  <si>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</si>
  <si>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</si>
  <si>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</si>
  <si>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</si>
  <si>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</si>
  <si>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</si>
  <si>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</si>
  <si>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</si>
  <si>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</si>
  <si>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</si>
  <si>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</si>
  <si>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</si>
  <si>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</si>
  <si>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Guest house metrics ($'000; per-unit rows in $)</t>
  </si>
  <si>
    <t xml:space="preserve">Available room-nights</t>
  </si>
  <si>
    <t xml:space="preserve">Occupied room-nights</t>
  </si>
  <si>
    <t xml:space="preserve">Room revenue</t>
  </si>
  <si>
    <t xml:space="preserve">Breakfast &amp; extras revenue</t>
  </si>
  <si>
    <t xml:space="preserve">Extras share of revenue</t>
  </si>
  <si>
    <t xml:space="preserve">Average daily rate (room revenue ÷ occupied room-nights) ($)</t>
  </si>
  <si>
    <t xml:space="preserve">RevPAR (room revenue ÷ available room-nights) ($)</t>
  </si>
  <si>
    <t xml:space="preserve">Total revenue per available room-night ($)</t>
  </si>
  <si>
    <t xml:space="preserve">Revenue per stay ($)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</si>
  <si>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</si>
  <si>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</si>
  <si>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</si>
  <si>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</si>
  <si>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Rooms &amp; occupancy</t>
  </si>
  <si>
    <t xml:space="preserve">Lettable rooms</t>
  </si>
  <si>
    <t xml:space="preserve">rooms</t>
  </si>
  <si>
    <t xml:space="preserve">Average occupancy at maturity, % of room-nights (year 1)</t>
  </si>
  <si>
    <t xml:space="preserve">%</t>
  </si>
  <si>
    <t xml:space="preserve">Low ≤ Base ≤ High</t>
  </si>
  <si>
    <t xml:space="preserve">Occupancy growth per year (capped at 100%)</t>
  </si>
  <si>
    <t xml:space="preserve">Months to reach mature occupancy (0 = already mature)</t>
  </si>
  <si>
    <t xml:space="preserve">months</t>
  </si>
  <si>
    <t xml:space="preserve">Low ≥ Base ≥ High (lower is better)</t>
  </si>
  <si>
    <t xml:space="preserve">Occupancy in month 1, % of mature</t>
  </si>
  <si>
    <t xml:space="preserve">Peak-season uplift, June-August (monthly models)</t>
  </si>
  <si>
    <t xml:space="preserve">Calendar nights per month</t>
  </si>
  <si>
    <t xml:space="preserve">nights</t>
  </si>
  <si>
    <t xml:space="preserve">Average length of stay</t>
  </si>
  <si>
    <t xml:space="preserve">Rates &amp; extras</t>
  </si>
  <si>
    <t xml:space="preserve">Average daily rate per occupied room (year 1)</t>
  </si>
  <si>
    <t xml:space="preserve">$</t>
  </si>
  <si>
    <t xml:space="preserve">Rate increase per year (rooms and extras)</t>
  </si>
  <si>
    <t xml:space="preserve">Breakfast &amp; extras revenue per occupied room-night (year 1)</t>
  </si>
  <si>
    <t xml:space="preserve">Breakfast &amp; extras cost, % of that revenue</t>
  </si>
  <si>
    <t xml:space="preserve">Cleaning &amp; linen per stay (year 1)</t>
  </si>
  <si>
    <t xml:space="preserve">Guest supplies per occupied room-night (year 1)</t>
  </si>
  <si>
    <t xml:space="preserve">Share of room revenue booked through OTAs</t>
  </si>
  <si>
    <t xml:space="preserve">OTA / booking commission, % of OTA room revenue</t>
  </si>
  <si>
    <t xml:space="preserve">Property costs</t>
  </si>
  <si>
    <t xml:space="preserve">Building rent per month (0 = owned property)</t>
  </si>
  <si>
    <t xml:space="preserve">Rent increase per year</t>
  </si>
  <si>
    <t xml:space="preserve">Property tax per year (0 if leased or included in rent)</t>
  </si>
  <si>
    <t xml:space="preserve">Insurance (property, liability) per month</t>
  </si>
  <si>
    <t xml:space="preserve">Utilities per month</t>
  </si>
  <si>
    <t xml:space="preserve">Repairs &amp; maintenance, % of revenue</t>
  </si>
  <si>
    <t xml:space="preserve">Software, accounting &amp; other G&amp;A per month</t>
  </si>
  <si>
    <t xml:space="preserve">Marketing budget per month (year 1)</t>
  </si>
  <si>
    <t xml:space="preserve">Marketing budget growth per year</t>
  </si>
  <si>
    <t xml:space="preserve">Card processing fees, % of revenue</t>
  </si>
  <si>
    <t xml:space="preserve">Cost increase per year (insurance, utilities, supplies, cleaning, tax)</t>
  </si>
  <si>
    <t xml:space="preserve">Property purchase (month 1; 0 = leased building)</t>
  </si>
  <si>
    <t xml:space="preserve">Land share of the property purchase (never depreciated)</t>
  </si>
  <si>
    <t xml:space="preserve">Furnishing &amp; bathroom fit-out per room (month 1)</t>
  </si>
  <si>
    <t xml:space="preserve">Building works, kitchen, signage &amp; systems (month 1)</t>
  </si>
  <si>
    <t xml:space="preserve">FF&amp;E replacement per room per year</t>
  </si>
  <si>
    <t xml:space="preserve">Headcount</t>
  </si>
  <si>
    <t xml:space="preserve">Housekeeping staff: headcount (FTE)</t>
  </si>
  <si>
    <t xml:space="preserve">FTE</t>
  </si>
  <si>
    <t xml:space="preserve">Housekeeping staff: salary per FTE per year</t>
  </si>
  <si>
    <t xml:space="preserve">Housekeeping staff: headcount growth per year</t>
  </si>
  <si>
    <t xml:space="preserve">Housekeeping staff: first month on payroll</t>
  </si>
  <si>
    <t xml:space="preserve">month #</t>
  </si>
  <si>
    <t xml:space="preserve">Host, manager &amp; front desk: headcount (FTE)</t>
  </si>
  <si>
    <t xml:space="preserve">Host, manager &amp; front desk: salary per FTE per year</t>
  </si>
  <si>
    <t xml:space="preserve">Host, manager &amp; front desk: headcount growth per year</t>
  </si>
  <si>
    <t xml:space="preserve">Host, manager &amp; front desk: first month on payroll</t>
  </si>
  <si>
    <t xml:space="preserve">Breakfast kitchen &amp; maintenance: headcount (FTE)</t>
  </si>
  <si>
    <t xml:space="preserve">Breakfast kitchen &amp; maintenance: salary per FTE per year</t>
  </si>
  <si>
    <t xml:space="preserve">Breakfast kitchen &amp; maintenance: headcount growth per year</t>
  </si>
  <si>
    <t xml:space="preserve">Breakfast kitchen &amp; maintenance: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</si>
  <si>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</si>
  <si>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</si>
  <si>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</si>
  <si>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</si>
  <si>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</si>
  <si>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</si>
  <si>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</si>
  <si>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</si>
  <si>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</si>
  <si>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</si>
  <si>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</si>
  <si>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</si>
  <si>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</si>
  <si>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</si>
  <si>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</si>
  <si>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</si>
  <si>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</si>
  <si>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</si>
  <si>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</si>
  <si>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</si>
  <si>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</si>
  <si>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</si>
  <si>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</si>
  <si>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</si>
  <si>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</si>
  <si>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Host, front desk, kitchen &amp; maintenance payroll</t>
  </si>
  <si>
    <t xml:space="preserve">Building rent</t>
  </si>
  <si>
    <t xml:space="preserve">Property tax</t>
  </si>
  <si>
    <t xml:space="preserve">Insurance</t>
  </si>
  <si>
    <t xml:space="preserve">Utilities</t>
  </si>
  <si>
    <t xml:space="preserve">Repairs &amp; maintenance</t>
  </si>
  <si>
    <t xml:space="preserve">Marketing</t>
  </si>
  <si>
    <t xml:space="preserve">Software, accounting &amp; other G&amp;A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</si>
  <si>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</si>
  <si>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</si>
  <si>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</si>
  <si>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</si>
  <si>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</si>
  <si>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</si>
  <si>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</si>
  <si>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</si>
  <si>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</si>
  <si>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</si>
  <si>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</si>
  <si>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</si>
  <si>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</si>
  <si>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</si>
  <si>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</si>
  <si>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</si>
  <si>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</si>
  <si>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</si>
  <si>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</si>
  <si>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</si>
  <si>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</si>
  <si>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</si>
  <si>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</si>
  <si>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</si>
  <si>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</si>
  <si>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</si>
  <si>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</si>
  <si>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</si>
  <si>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</si>
  <si>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</si>
  <si>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</si>
  <si>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</si>
  <si>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</si>
  <si>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</si>
  <si>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</si>
  <si>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</si>
  <si>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</si>
  <si>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</si>
  <si>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</si>
  <si>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</si>
  <si>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</si>
  <si>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</si>
  <si>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</si>
  <si>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</si>
  <si>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</si>
  <si>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</si>
  <si>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</si>
  <si>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</si>
  <si>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</si>
  <si>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</si>
  <si>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</si>
  <si>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</si>
  <si>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</si>
  <si>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</si>
  <si>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</si>
  <si>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</si>
  <si>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</si>
  <si>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</si>
  <si>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</si>
  <si>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</si>
  <si>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</si>
  <si>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</si>
  <si>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</si>
  <si>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</si>
  <si>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</si>
  <si>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</si>
  <si>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</si>
  <si>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</si>
  <si>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</si>
  <si>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</si>
  <si>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</si>
  <si>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Helper: months of the period still on the opening ramp</t>
  </si>
  <si>
    <t xml:space="preserve">Opening ramp factor (share of mature occupancy)</t>
  </si>
  <si>
    <t xml:space="preserve">Season factor (June-August)</t>
  </si>
  <si>
    <t xml:space="preserve">Available room-nights (rooms × calendar nights)</t>
  </si>
  <si>
    <t xml:space="preserve">Occupancy (maturity × growth × ramp × season, capped at 100%)</t>
  </si>
  <si>
    <t xml:space="preserve">Guest stays (room-nights ÷ average length of stay)</t>
  </si>
  <si>
    <t xml:space="preserve">Housekeeping payroll</t>
  </si>
  <si>
    <t xml:space="preserve">OTA / booking commission</t>
  </si>
  <si>
    <t xml:space="preserve">Breakfast &amp; extras cost</t>
  </si>
  <si>
    <t xml:space="preserve">Cleaning &amp; linen (per stay)</t>
  </si>
  <si>
    <t xml:space="preserve">Guest supplies</t>
  </si>
  <si>
    <t xml:space="preserve">Profit after depreciation, interest, tax</t>
  </si>
  <si>
    <t xml:space="preserve">Interest on loan (balance after drawdown, start of period)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</si>
  <si>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</si>
  <si>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</si>
  <si>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</si>
  <si>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Property purchase</t>
  </si>
  <si>
    <t xml:space="preserve">of which land (not depreciated)</t>
  </si>
  <si>
    <t xml:space="preserve">Room furnishing &amp; fit-out</t>
  </si>
  <si>
    <t xml:space="preserve">Building works, kitchen &amp; signage</t>
  </si>
  <si>
    <t xml:space="preserve">FF&amp;E replacement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</si>
  <si>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</si>
  <si>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</si>
  <si>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</si>
  <si>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</si>
  <si>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</si>
  <si>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Scheduled loan payment (principal + interest, level)</t>
  </si>
  <si>
    <t xml:space="preserve">Loan repayment (principal)</t>
  </si>
  <si>
    <t xml:space="preserve">Debt service (interest + principal)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</si>
  <si>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</si>
  <si>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</si>
  <si>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</si>
  <si>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</si>
  <si>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</si>
  <si>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</si>
  <si>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</si>
  <si>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</si>
  <si>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</si>
  <si>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</si>
  <si>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</si>
  <si>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</si>
  <si>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</si>
  <si>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</si>
  <si>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</si>
  <si>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</si>
  <si>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Housekeeping staff — FTE</t>
  </si>
  <si>
    <t xml:space="preserve">Host, manager &amp; front desk — FTE</t>
  </si>
  <si>
    <t xml:space="preserve">Breakfast kitchen &amp; maintenance — FTE</t>
  </si>
  <si>
    <t xml:space="preserve">Total FTE</t>
  </si>
  <si>
    <t xml:space="preserve">Payroll cost (salary + taxes &amp; benefits)</t>
  </si>
  <si>
    <t xml:space="preserve">Housekeeping staff — payroll cost</t>
  </si>
  <si>
    <t xml:space="preserve">Host, manager &amp; front desk — payroll cost</t>
  </si>
  <si>
    <t xml:space="preserve">Breakfast kitchen &amp; maintenance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</si>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</sst>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\$#,##0.00;&quot;($&quot;#,##0.00\);\-"/>
    <numFmt numFmtId="176" formatCode="#,##0;\(#,##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;\(#,##0\);\-"/>
    <numFmt numFmtId="184" formatCode="\$#,##0.00;&quot;($&quot;#,##0.00\);\-"/>
    <numFmt numFmtId="185" formatCode="0.0%;\(0.0%\);\-"/>
    <numFmt numFmtId="186" formatCode="\$#,##0;&quot;($&quot;#,##0\);\-"/>
    <numFmt numFmtId="187" formatCode="0"/>
    <numFmt numFmtId="188" formatCode="0.0\x"/>
    <numFmt numFmtId="189" formatCode="0.000"/>
    <numFmt numFmtId="190" formatCode="0.0\x;\(0.0&quot;x)&quot;;\-"/>
    <numFmt numFmtId="191" formatCode="\$#,##0.00"/>
    <numFmt numFmtId="192" formatCode="#,##0.0;\(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274944.2576</c:v>
                </c:pt>
                <c:pt idx="1">
                  <c:v>396826.244352</c:v>
                </c:pt>
                <c:pt idx="2">
                  <c:v>416905.652316211</c:v>
                </c:pt>
                <c:pt idx="3">
                  <c:v>438001.078323412</c:v>
                </c:pt>
                <c:pt idx="4">
                  <c:v>460163.932886576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10242.5441608</c:v>
                </c:pt>
                <c:pt idx="1">
                  <c:v>98400.062706816</c:v>
                </c:pt>
                <c:pt idx="2">
                  <c:v>110686.043279781</c:v>
                </c:pt>
                <c:pt idx="3">
                  <c:v>122982.915391738</c:v>
                </c:pt>
                <c:pt idx="4">
                  <c:v>135438.90422222</c:v>
                </c:pt>
              </c:numCache>
            </c:numRef>
          </c:val>
        </c:ser>
        <c:gapWidth val="60"/>
        <c:overlap val="0"/>
        <c:axId val="17086245"/>
        <c:axId val="4452594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0.037253166333451</c:v>
                </c:pt>
                <c:pt idx="1">
                  <c:v>0.247967628420089</c:v>
                </c:pt>
                <c:pt idx="2">
                  <c:v>0.265494225527623</c:v>
                </c:pt>
                <c:pt idx="3">
                  <c:v>0.280782220588347</c:v>
                </c:pt>
                <c:pt idx="4">
                  <c:v>0.294327509269623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23398"/>
        <c:axId val="45152390"/>
      </c:lineChart>
      <c:catAx>
        <c:axId val="1708624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52594"/>
        <c:crosses val="autoZero"/>
        <c:auto val="1"/>
        <c:lblAlgn val="ctr"/>
        <c:lblOffset val="100"/>
        <c:noMultiLvlLbl val="0"/>
      </c:catAx>
      <c:valAx>
        <c:axId val="445259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086245"/>
        <c:crosses val="autoZero"/>
        <c:crossBetween val="between"/>
      </c:valAx>
      <c:catAx>
        <c:axId val="702339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152390"/>
        <c:crosses val="autoZero"/>
        <c:auto val="1"/>
        <c:lblAlgn val="ctr"/>
        <c:lblOffset val="100"/>
        <c:noMultiLvlLbl val="0"/>
      </c:catAx>
      <c:valAx>
        <c:axId val="4515239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2339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-19872.9311990587</c:v>
                </c:pt>
                <c:pt idx="1">
                  <c:v>64360.7346625593</c:v>
                </c:pt>
                <c:pt idx="2">
                  <c:v>77245.9246073052</c:v>
                </c:pt>
                <c:pt idx="3">
                  <c:v>86182.0133937512</c:v>
                </c:pt>
                <c:pt idx="4">
                  <c:v>91863.2484429036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-874000</c:v>
                </c:pt>
                <c:pt idx="1">
                  <c:v>-9270</c:v>
                </c:pt>
                <c:pt idx="2">
                  <c:v>-9548.1</c:v>
                </c:pt>
                <c:pt idx="3">
                  <c:v>-9834.543</c:v>
                </c:pt>
                <c:pt idx="4">
                  <c:v>-10129.57929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922350.933012242</c:v>
                </c:pt>
                <c:pt idx="1">
                  <c:v>-8202.01865877771</c:v>
                </c:pt>
                <c:pt idx="2">
                  <c:v>-8794.94325080511</c:v>
                </c:pt>
                <c:pt idx="3">
                  <c:v>-9430.73040953182</c:v>
                </c:pt>
                <c:pt idx="4">
                  <c:v>-10112.4786733702</c:v>
                </c:pt>
              </c:numCache>
            </c:numRef>
          </c:val>
        </c:ser>
        <c:gapWidth val="60"/>
        <c:overlap val="0"/>
        <c:axId val="94704218"/>
        <c:axId val="68596115"/>
      </c:barChart>
      <c:catAx>
        <c:axId val="9470421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596115"/>
        <c:crosses val="autoZero"/>
        <c:auto val="1"/>
        <c:lblAlgn val="ctr"/>
        <c:lblOffset val="100"/>
        <c:noMultiLvlLbl val="0"/>
      </c:catAx>
      <c:valAx>
        <c:axId val="6859611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7042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28478.0018131834</c:v>
                </c:pt>
                <c:pt idx="1">
                  <c:v>75366.717816965</c:v>
                </c:pt>
                <c:pt idx="2">
                  <c:v>134269.599173465</c:v>
                </c:pt>
                <c:pt idx="3">
                  <c:v>201186.339157684</c:v>
                </c:pt>
                <c:pt idx="4">
                  <c:v>272807.529637218</c:v>
                </c:pt>
              </c:numCache>
            </c:numRef>
          </c:val>
        </c:ser>
        <c:gapWidth val="60"/>
        <c:overlap val="0"/>
        <c:axId val="23183407"/>
        <c:axId val="12946856"/>
      </c:barChart>
      <c:catAx>
        <c:axId val="2318340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946856"/>
        <c:crosses val="autoZero"/>
        <c:auto val="1"/>
        <c:lblAlgn val="ctr"/>
        <c:lblOffset val="100"/>
        <c:noMultiLvlLbl val="0"/>
      </c:catAx>
      <c:valAx>
        <c:axId val="1294685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1834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Room-nights sold &amp;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Dashboard!$A$31</c:f>
              <c:strCache>
                <c:ptCount val="1"/>
                <c:pt idx="0">
                  <c:v>Guest stays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Dashboard!$B$31:$F$31</c:f>
              <c:numCache>
                <c:formatCode>#,##0;\(#,##0\);\-</c:formatCode>
                <c:ptCount val="5"/>
                <c:pt idx="0">
                  <c:v>748.351272727273</c:v>
                </c:pt>
                <c:pt idx="1">
                  <c:v>1048.63418181818</c:v>
                </c:pt>
                <c:pt idx="2">
                  <c:v>1069.60686545455</c:v>
                </c:pt>
                <c:pt idx="3">
                  <c:v>1090.99900276364</c:v>
                </c:pt>
                <c:pt idx="4">
                  <c:v>1112.81898281891</c:v>
                </c:pt>
              </c:numCache>
            </c:numRef>
          </c:val>
        </c:ser>
        <c:gapWidth val="60"/>
        <c:overlap val="0"/>
        <c:axId val="25069008"/>
        <c:axId val="36041085"/>
      </c:barChart>
      <c:lineChart>
        <c:grouping val="standard"/>
        <c:varyColors val="0"/>
        <c:ser>
          <c:idx val="1"/>
          <c:order val="1"/>
          <c:tx>
            <c:strRef>
              <c:f>Dashboard!$A$28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0.0%;\(0.0%\);\-</c:formatCode>
                <c:ptCount val="5"/>
                <c:pt idx="0">
                  <c:v>0.451308333333333</c:v>
                </c:pt>
                <c:pt idx="1">
                  <c:v>0.6324</c:v>
                </c:pt>
                <c:pt idx="2">
                  <c:v>0.645048</c:v>
                </c:pt>
                <c:pt idx="3">
                  <c:v>0.65794896</c:v>
                </c:pt>
                <c:pt idx="4">
                  <c:v>0.6711079392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601842"/>
        <c:axId val="28265676"/>
      </c:lineChart>
      <c:catAx>
        <c:axId val="2506900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041085"/>
        <c:crosses val="autoZero"/>
        <c:auto val="1"/>
        <c:lblAlgn val="ctr"/>
        <c:lblOffset val="100"/>
        <c:noMultiLvlLbl val="0"/>
      </c:catAx>
      <c:valAx>
        <c:axId val="360410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069008"/>
        <c:crosses val="autoZero"/>
        <c:crossBetween val="between"/>
      </c:valAx>
      <c:catAx>
        <c:axId val="960184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265676"/>
        <c:crosses val="autoZero"/>
        <c:auto val="1"/>
        <c:lblAlgn val="ctr"/>
        <c:lblOffset val="100"/>
        <c:noMultiLvlLbl val="0"/>
      </c:catAx>
      <c:valAx>
        <c:axId val="2826567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0184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11541.2586666667</c:v>
                </c:pt>
                <c:pt idx="1">
                  <c:v>13272.4474666667</c:v>
                </c:pt>
                <c:pt idx="2">
                  <c:v>15003.6362666667</c:v>
                </c:pt>
                <c:pt idx="3">
                  <c:v>16734.8250666667</c:v>
                </c:pt>
                <c:pt idx="4">
                  <c:v>18466.0138666667</c:v>
                </c:pt>
                <c:pt idx="5">
                  <c:v>27541.64</c:v>
                </c:pt>
                <c:pt idx="6">
                  <c:v>29902.352</c:v>
                </c:pt>
                <c:pt idx="7">
                  <c:v>32263.064</c:v>
                </c:pt>
                <c:pt idx="8">
                  <c:v>25390.7690666667</c:v>
                </c:pt>
                <c:pt idx="9">
                  <c:v>27121.9578666667</c:v>
                </c:pt>
                <c:pt idx="10">
                  <c:v>28853.1466666667</c:v>
                </c:pt>
                <c:pt idx="11">
                  <c:v>28853.1466666667</c:v>
                </c:pt>
              </c:numCache>
            </c:numRef>
          </c:val>
        </c:ser>
        <c:gapWidth val="60"/>
        <c:overlap val="0"/>
        <c:axId val="4614313"/>
        <c:axId val="26730870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-7522.92793066667</c:v>
                </c:pt>
                <c:pt idx="1">
                  <c:v>-6247.61712026667</c:v>
                </c:pt>
                <c:pt idx="2">
                  <c:v>-4972.30630986667</c:v>
                </c:pt>
                <c:pt idx="3">
                  <c:v>-3696.99549946667</c:v>
                </c:pt>
                <c:pt idx="4">
                  <c:v>-2421.68468906666</c:v>
                </c:pt>
                <c:pt idx="5">
                  <c:v>4264.03562</c:v>
                </c:pt>
                <c:pt idx="6">
                  <c:v>6003.095816</c:v>
                </c:pt>
                <c:pt idx="7">
                  <c:v>7742.156012</c:v>
                </c:pt>
                <c:pt idx="8">
                  <c:v>2679.55855253333</c:v>
                </c:pt>
                <c:pt idx="9">
                  <c:v>3954.86936293334</c:v>
                </c:pt>
                <c:pt idx="10">
                  <c:v>5230.18017333333</c:v>
                </c:pt>
                <c:pt idx="11">
                  <c:v>5230.18017333333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-14249.3168195556</c:v>
                </c:pt>
                <c:pt idx="1">
                  <c:v>-12974.5721714573</c:v>
                </c:pt>
                <c:pt idx="2">
                  <c:v>-11699.8065204168</c:v>
                </c:pt>
                <c:pt idx="3">
                  <c:v>-10425.0197439171</c:v>
                </c:pt>
                <c:pt idx="4">
                  <c:v>-9150.21171872624</c:v>
                </c:pt>
                <c:pt idx="5">
                  <c:v>-2464.97282222688</c:v>
                </c:pt>
                <c:pt idx="6">
                  <c:v>-726.372541478611</c:v>
                </c:pt>
                <c:pt idx="7">
                  <c:v>1012.24936198626</c:v>
                </c:pt>
                <c:pt idx="8">
                  <c:v>-4050.76464116646</c:v>
                </c:pt>
                <c:pt idx="9">
                  <c:v>-2775.8484987351</c:v>
                </c:pt>
                <c:pt idx="10">
                  <c:v>-1500.91035297801</c:v>
                </c:pt>
                <c:pt idx="11">
                  <c:v>-1501.26088594246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14313"/>
        <c:axId val="26730870"/>
      </c:lineChart>
      <c:catAx>
        <c:axId val="461431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730870"/>
        <c:crosses val="autoZero"/>
        <c:auto val="1"/>
        <c:lblAlgn val="ctr"/>
        <c:lblOffset val="100"/>
        <c:noMultiLvlLbl val="0"/>
      </c:catAx>
      <c:valAx>
        <c:axId val="2673087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143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-6558.71080177778</c:v>
                </c:pt>
                <c:pt idx="1">
                  <c:v>-9084.55071323503</c:v>
                </c:pt>
                <c:pt idx="2">
                  <c:v>-7805.61839552794</c:v>
                </c:pt>
                <c:pt idx="3">
                  <c:v>-6526.66495236155</c:v>
                </c:pt>
                <c:pt idx="4">
                  <c:v>-5247.69026050402</c:v>
                </c:pt>
                <c:pt idx="5">
                  <c:v>1764.70196043978</c:v>
                </c:pt>
                <c:pt idx="6">
                  <c:v>3212.16682074361</c:v>
                </c:pt>
                <c:pt idx="7">
                  <c:v>4954.95539087515</c:v>
                </c:pt>
                <c:pt idx="8">
                  <c:v>-509.93231538868</c:v>
                </c:pt>
                <c:pt idx="9">
                  <c:v>1147.50629282046</c:v>
                </c:pt>
                <c:pt idx="10">
                  <c:v>2426.61110524421</c:v>
                </c:pt>
                <c:pt idx="11">
                  <c:v>2354.2946696131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-865750</c:v>
                </c:pt>
                <c:pt idx="1">
                  <c:v>-750</c:v>
                </c:pt>
                <c:pt idx="2">
                  <c:v>-750</c:v>
                </c:pt>
                <c:pt idx="3">
                  <c:v>-750</c:v>
                </c:pt>
                <c:pt idx="4">
                  <c:v>-750</c:v>
                </c:pt>
                <c:pt idx="5">
                  <c:v>-750</c:v>
                </c:pt>
                <c:pt idx="6">
                  <c:v>-750</c:v>
                </c:pt>
                <c:pt idx="7">
                  <c:v>-750</c:v>
                </c:pt>
                <c:pt idx="8">
                  <c:v>-750</c:v>
                </c:pt>
                <c:pt idx="9">
                  <c:v>-750</c:v>
                </c:pt>
                <c:pt idx="10">
                  <c:v>-750</c:v>
                </c:pt>
                <c:pt idx="11">
                  <c:v>-750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929382.770680291</c:v>
                </c:pt>
                <c:pt idx="1">
                  <c:v>-620.82982407376</c:v>
                </c:pt>
                <c:pt idx="2">
                  <c:v>-624.451331380857</c:v>
                </c:pt>
                <c:pt idx="3">
                  <c:v>-628.093964147245</c:v>
                </c:pt>
                <c:pt idx="4">
                  <c:v>-631.757845604771</c:v>
                </c:pt>
                <c:pt idx="5">
                  <c:v>-635.443099704132</c:v>
                </c:pt>
                <c:pt idx="6">
                  <c:v>-639.149851119073</c:v>
                </c:pt>
                <c:pt idx="7">
                  <c:v>-642.878225250601</c:v>
                </c:pt>
                <c:pt idx="8">
                  <c:v>-646.62834823123</c:v>
                </c:pt>
                <c:pt idx="9">
                  <c:v>-650.400346929245</c:v>
                </c:pt>
                <c:pt idx="10">
                  <c:v>-654.194348952999</c:v>
                </c:pt>
                <c:pt idx="11">
                  <c:v>-658.010482655225</c:v>
                </c:pt>
              </c:numCache>
            </c:numRef>
          </c:val>
        </c:ser>
        <c:gapWidth val="60"/>
        <c:overlap val="0"/>
        <c:axId val="91609687"/>
        <c:axId val="36246975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57074.0598785135</c:v>
                </c:pt>
                <c:pt idx="1">
                  <c:v>46618.6793412047</c:v>
                </c:pt>
                <c:pt idx="2">
                  <c:v>37438.6096142959</c:v>
                </c:pt>
                <c:pt idx="3">
                  <c:v>29533.8506977871</c:v>
                </c:pt>
                <c:pt idx="4">
                  <c:v>22904.4025916783</c:v>
                </c:pt>
                <c:pt idx="5">
                  <c:v>23283.6614524139</c:v>
                </c:pt>
                <c:pt idx="6">
                  <c:v>25106.6784220385</c:v>
                </c:pt>
                <c:pt idx="7">
                  <c:v>28668.755587663</c:v>
                </c:pt>
                <c:pt idx="8">
                  <c:v>26762.1949240431</c:v>
                </c:pt>
                <c:pt idx="9">
                  <c:v>26509.3008699343</c:v>
                </c:pt>
                <c:pt idx="10">
                  <c:v>27531.7176262255</c:v>
                </c:pt>
                <c:pt idx="11">
                  <c:v>28478.0018131834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563940"/>
        <c:axId val="92921547"/>
      </c:lineChart>
      <c:catAx>
        <c:axId val="9160968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246975"/>
        <c:crosses val="autoZero"/>
        <c:auto val="1"/>
        <c:lblAlgn val="ctr"/>
        <c:lblOffset val="100"/>
        <c:noMultiLvlLbl val="0"/>
      </c:catAx>
      <c:valAx>
        <c:axId val="3624697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609687"/>
        <c:crosses val="autoZero"/>
        <c:crossBetween val="between"/>
      </c:valAx>
      <c:catAx>
        <c:axId val="17563940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921547"/>
        <c:crosses val="autoZero"/>
        <c:auto val="1"/>
        <c:lblAlgn val="ctr"/>
        <c:lblOffset val="100"/>
        <c:noMultiLvlLbl val="0"/>
      </c:catAx>
      <c:valAx>
        <c:axId val="92921547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5639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57074.0598785135</c:v>
                </c:pt>
                <c:pt idx="1">
                  <c:v>46618.6793412047</c:v>
                </c:pt>
                <c:pt idx="2">
                  <c:v>37438.6096142959</c:v>
                </c:pt>
                <c:pt idx="3">
                  <c:v>29533.8506977871</c:v>
                </c:pt>
                <c:pt idx="4">
                  <c:v>22904.4025916783</c:v>
                </c:pt>
                <c:pt idx="5">
                  <c:v>23283.6614524139</c:v>
                </c:pt>
                <c:pt idx="6">
                  <c:v>25106.6784220385</c:v>
                </c:pt>
                <c:pt idx="7">
                  <c:v>28668.755587663</c:v>
                </c:pt>
                <c:pt idx="8">
                  <c:v>26762.1949240431</c:v>
                </c:pt>
                <c:pt idx="9">
                  <c:v>26509.3008699343</c:v>
                </c:pt>
                <c:pt idx="10">
                  <c:v>27531.7176262255</c:v>
                </c:pt>
                <c:pt idx="11">
                  <c:v>28478.0018131834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1154.12586666667</c:v>
                </c:pt>
                <c:pt idx="1">
                  <c:v>1327.24474666667</c:v>
                </c:pt>
                <c:pt idx="2">
                  <c:v>1500.36362666667</c:v>
                </c:pt>
                <c:pt idx="3">
                  <c:v>1673.48250666667</c:v>
                </c:pt>
                <c:pt idx="4">
                  <c:v>1846.60138666667</c:v>
                </c:pt>
                <c:pt idx="5">
                  <c:v>2754.164</c:v>
                </c:pt>
                <c:pt idx="6">
                  <c:v>2990.2352</c:v>
                </c:pt>
                <c:pt idx="7">
                  <c:v>3226.3064</c:v>
                </c:pt>
                <c:pt idx="8">
                  <c:v>2539.07690666667</c:v>
                </c:pt>
                <c:pt idx="9">
                  <c:v>2712.19578666667</c:v>
                </c:pt>
                <c:pt idx="10">
                  <c:v>2885.31466666667</c:v>
                </c:pt>
                <c:pt idx="11">
                  <c:v>2885.31466666667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861940.277777778</c:v>
                </c:pt>
                <c:pt idx="1">
                  <c:v>858876.388888889</c:v>
                </c:pt>
                <c:pt idx="2">
                  <c:v>855808.333333333</c:v>
                </c:pt>
                <c:pt idx="3">
                  <c:v>852736.111111111</c:v>
                </c:pt>
                <c:pt idx="4">
                  <c:v>849659.722222222</c:v>
                </c:pt>
                <c:pt idx="5">
                  <c:v>846579.166666667</c:v>
                </c:pt>
                <c:pt idx="6">
                  <c:v>843494.444444445</c:v>
                </c:pt>
                <c:pt idx="7">
                  <c:v>840405.555555556</c:v>
                </c:pt>
                <c:pt idx="8">
                  <c:v>837312.5</c:v>
                </c:pt>
                <c:pt idx="9">
                  <c:v>834215.277777778</c:v>
                </c:pt>
                <c:pt idx="10">
                  <c:v>831113.888888889</c:v>
                </c:pt>
                <c:pt idx="11">
                  <c:v>828008.333333333</c:v>
                </c:pt>
              </c:numCache>
            </c:numRef>
          </c:val>
        </c:ser>
        <c:gapWidth val="60"/>
        <c:overlap val="100"/>
        <c:axId val="84219084"/>
        <c:axId val="84748465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415750.683180444</c:v>
                </c:pt>
                <c:pt idx="1">
                  <c:v>402776.111008987</c:v>
                </c:pt>
                <c:pt idx="2">
                  <c:v>391076.30448857</c:v>
                </c:pt>
                <c:pt idx="3">
                  <c:v>380651.284744653</c:v>
                </c:pt>
                <c:pt idx="4">
                  <c:v>371501.073025927</c:v>
                </c:pt>
                <c:pt idx="5">
                  <c:v>369036.1002037</c:v>
                </c:pt>
                <c:pt idx="6">
                  <c:v>368309.727662222</c:v>
                </c:pt>
                <c:pt idx="7">
                  <c:v>369321.977024208</c:v>
                </c:pt>
                <c:pt idx="8">
                  <c:v>365271.212383041</c:v>
                </c:pt>
                <c:pt idx="9">
                  <c:v>362495.363884306</c:v>
                </c:pt>
                <c:pt idx="10">
                  <c:v>360994.453531328</c:v>
                </c:pt>
                <c:pt idx="11">
                  <c:v>359493.192645386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219084"/>
        <c:axId val="84748465"/>
      </c:lineChart>
      <c:catAx>
        <c:axId val="8421908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748465"/>
        <c:crosses val="autoZero"/>
        <c:auto val="1"/>
        <c:lblAlgn val="ctr"/>
        <c:lblOffset val="100"/>
        <c:noMultiLvlLbl val="0"/>
      </c:catAx>
      <c:valAx>
        <c:axId val="8474846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2190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151574.4</c:v>
                </c:pt>
                <c:pt idx="1">
                  <c:v>262242.864</c:v>
                </c:pt>
                <c:pt idx="2">
                  <c:v>267935.3856</c:v>
                </c:pt>
                <c:pt idx="3">
                  <c:v>270614.739456</c:v>
                </c:pt>
                <c:pt idx="4">
                  <c:v>273320.88685056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274944.2576</c:v>
                </c:pt>
                <c:pt idx="1">
                  <c:v>396826.244352</c:v>
                </c:pt>
                <c:pt idx="2">
                  <c:v>416905.652316211</c:v>
                </c:pt>
                <c:pt idx="3">
                  <c:v>438001.078323412</c:v>
                </c:pt>
                <c:pt idx="4">
                  <c:v>460163.932886576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386298.5</c:v>
                </c:pt>
                <c:pt idx="1">
                  <c:v>506052.0192</c:v>
                </c:pt>
                <c:pt idx="2">
                  <c:v>542082.92296704</c:v>
                </c:pt>
                <c:pt idx="3">
                  <c:v>580679.227082293</c:v>
                </c:pt>
                <c:pt idx="4">
                  <c:v>622023.588050553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485950"/>
        <c:axId val="51511966"/>
      </c:lineChart>
      <c:catAx>
        <c:axId val="1948595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511966"/>
        <c:crosses val="autoZero"/>
        <c:auto val="1"/>
        <c:lblAlgn val="ctr"/>
        <c:lblOffset val="100"/>
        <c:noMultiLvlLbl val="0"/>
      </c:catAx>
      <c:valAx>
        <c:axId val="515119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4859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-94231.3047222222</c:v>
                </c:pt>
                <c:pt idx="1">
                  <c:v>-25252.5741513889</c:v>
                </c:pt>
                <c:pt idx="2">
                  <c:v>-26169.7821466667</c:v>
                </c:pt>
                <c:pt idx="3">
                  <c:v>-30503.7887681333</c:v>
                </c:pt>
                <c:pt idx="4">
                  <c:v>-35973.6558078147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10242.5441608</c:v>
                </c:pt>
                <c:pt idx="1">
                  <c:v>98400.062706816</c:v>
                </c:pt>
                <c:pt idx="2">
                  <c:v>110686.043279781</c:v>
                </c:pt>
                <c:pt idx="3">
                  <c:v>122982.915391738</c:v>
                </c:pt>
                <c:pt idx="4">
                  <c:v>135438.90422222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111794.821692308</c:v>
                </c:pt>
                <c:pt idx="1">
                  <c:v>203324.388362338</c:v>
                </c:pt>
                <c:pt idx="2">
                  <c:v>228679.044038146</c:v>
                </c:pt>
                <c:pt idx="3">
                  <c:v>255803.927612032</c:v>
                </c:pt>
                <c:pt idx="4">
                  <c:v>284860.419392992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199926"/>
        <c:axId val="41538752"/>
      </c:lineChart>
      <c:catAx>
        <c:axId val="6619992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538752"/>
        <c:crosses val="autoZero"/>
        <c:auto val="1"/>
        <c:lblAlgn val="ctr"/>
        <c:lblOffset val="100"/>
        <c:noMultiLvlLbl val="0"/>
      </c:catAx>
      <c:valAx>
        <c:axId val="4153875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1999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-174980.656237637</c:v>
                </c:pt>
                <c:pt idx="1">
                  <c:v>-106061.973995783</c:v>
                </c:pt>
                <c:pt idx="2">
                  <c:v>-107023.777399034</c:v>
                </c:pt>
                <c:pt idx="3">
                  <c:v>-111385.017661774</c:v>
                </c:pt>
                <c:pt idx="4">
                  <c:v>-116862.678069617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-70506.8073546142</c:v>
                </c:pt>
                <c:pt idx="1">
                  <c:v>17593.9128624215</c:v>
                </c:pt>
                <c:pt idx="2">
                  <c:v>29844.7755274138</c:v>
                </c:pt>
                <c:pt idx="3">
                  <c:v>38127.4402908506</c:v>
                </c:pt>
                <c:pt idx="4">
                  <c:v>43135.5782850426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24525.9214397458</c:v>
                </c:pt>
                <c:pt idx="1">
                  <c:v>96790.6921791758</c:v>
                </c:pt>
                <c:pt idx="2">
                  <c:v>116796.851372016</c:v>
                </c:pt>
                <c:pt idx="3">
                  <c:v>138223.041301561</c:v>
                </c:pt>
                <c:pt idx="4">
                  <c:v>161198.892489002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60283"/>
        <c:axId val="38112618"/>
      </c:lineChart>
      <c:catAx>
        <c:axId val="576028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112618"/>
        <c:crosses val="autoZero"/>
        <c:auto val="1"/>
        <c:lblAlgn val="ctr"/>
        <c:lblOffset val="100"/>
        <c:noMultiLvlLbl val="0"/>
      </c:catAx>
      <c:valAx>
        <c:axId val="3811261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602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-75555.8771704562</c:v>
                </c:pt>
                <c:pt idx="1">
                  <c:v>-152059.00098156</c:v>
                </c:pt>
                <c:pt idx="2">
                  <c:v>-230146.71529723</c:v>
                </c:pt>
                <c:pt idx="3">
                  <c:v>-312948.890603618</c:v>
                </c:pt>
                <c:pt idx="4">
                  <c:v>-401616.605565267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28478.0018131834</c:v>
                </c:pt>
                <c:pt idx="1">
                  <c:v>75366.717816965</c:v>
                </c:pt>
                <c:pt idx="2">
                  <c:v>134269.599173465</c:v>
                </c:pt>
                <c:pt idx="3">
                  <c:v>201186.339157684</c:v>
                </c:pt>
                <c:pt idx="4">
                  <c:v>272807.529637218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122676.783094723</c:v>
                </c:pt>
                <c:pt idx="1">
                  <c:v>248748.52906274</c:v>
                </c:pt>
                <c:pt idx="2">
                  <c:v>394628.421255957</c:v>
                </c:pt>
                <c:pt idx="3">
                  <c:v>561703.403344851</c:v>
                </c:pt>
                <c:pt idx="4">
                  <c:v>751487.185534844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605662"/>
        <c:axId val="62971684"/>
      </c:lineChart>
      <c:catAx>
        <c:axId val="8460566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971684"/>
        <c:crosses val="autoZero"/>
        <c:auto val="1"/>
        <c:lblAlgn val="ctr"/>
        <c:lblOffset val="100"/>
        <c:noMultiLvlLbl val="0"/>
      </c:catAx>
      <c:valAx>
        <c:axId val="6297168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6056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430000</c:v>
                </c:pt>
                <c:pt idx="1">
                  <c:v>500000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19872.9311990587</c:v>
                </c:pt>
                <c:pt idx="1">
                  <c:v>874000</c:v>
                </c:pt>
                <c:pt idx="2">
                  <c:v>7649.06698775793</c:v>
                </c:pt>
                <c:pt idx="3">
                  <c:v>28478.0018131834</c:v>
                </c:pt>
              </c:numCache>
            </c:numRef>
          </c:val>
        </c:ser>
        <c:gapWidth val="60"/>
        <c:overlap val="0"/>
        <c:axId val="9226790"/>
        <c:axId val="38426682"/>
      </c:barChart>
      <c:catAx>
        <c:axId val="922679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426682"/>
        <c:crosses val="autoZero"/>
        <c:auto val="1"/>
        <c:lblAlgn val="ctr"/>
        <c:lblOffset val="100"/>
        <c:noMultiLvlLbl val="0"/>
      </c:catAx>
      <c:valAx>
        <c:axId val="3842668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2679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0.602899696349214</c:v>
                </c:pt>
                <c:pt idx="1">
                  <c:v>0.660390850676556</c:v>
                </c:pt>
                <c:pt idx="2">
                  <c:v>0.663200199970558</c:v>
                </c:pt>
                <c:pt idx="3">
                  <c:v>0.665954463984285</c:v>
                </c:pt>
                <c:pt idx="4">
                  <c:v>0.668654722821273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0.037253166333451</c:v>
                </c:pt>
                <c:pt idx="1">
                  <c:v>0.247967628420089</c:v>
                </c:pt>
                <c:pt idx="2">
                  <c:v>0.265494225527623</c:v>
                </c:pt>
                <c:pt idx="3">
                  <c:v>0.280782220588347</c:v>
                </c:pt>
                <c:pt idx="4">
                  <c:v>0.294327509269623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-0.256440370750315</c:v>
                </c:pt>
                <c:pt idx="1">
                  <c:v>0.0443365657207265</c:v>
                </c:pt>
                <c:pt idx="2">
                  <c:v>0.071586401771251</c:v>
                </c:pt>
                <c:pt idx="3">
                  <c:v>0.0870487361282203</c:v>
                </c:pt>
                <c:pt idx="4">
                  <c:v>0.0937395897467586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582103"/>
        <c:axId val="23898316"/>
      </c:lineChart>
      <c:catAx>
        <c:axId val="1558210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898316"/>
        <c:crosses val="autoZero"/>
        <c:auto val="1"/>
        <c:lblAlgn val="ctr"/>
        <c:lblOffset val="100"/>
        <c:noMultiLvlLbl val="0"/>
      </c:catAx>
      <c:valAx>
        <c:axId val="2389831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5821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-0.0819467231100174</c:v>
                </c:pt>
                <c:pt idx="1">
                  <c:v>0.0202195442080092</c:v>
                </c:pt>
                <c:pt idx="2">
                  <c:v>0.0334746634045221</c:v>
                </c:pt>
                <c:pt idx="3">
                  <c:v>0.0414138131579758</c:v>
                </c:pt>
                <c:pt idx="4">
                  <c:v>0.0452121144424111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-0.196128351793755</c:v>
                </c:pt>
                <c:pt idx="1">
                  <c:v>0.0466574237237005</c:v>
                </c:pt>
                <c:pt idx="2">
                  <c:v>0.0733409617636487</c:v>
                </c:pt>
                <c:pt idx="3">
                  <c:v>0.0856682209851226</c:v>
                </c:pt>
                <c:pt idx="4">
                  <c:v>0.0883572899254037</c:v>
                </c:pt>
              </c:numCache>
            </c:numRef>
          </c:val>
        </c:ser>
        <c:gapWidth val="60"/>
        <c:overlap val="0"/>
        <c:axId val="89852562"/>
        <c:axId val="46542554"/>
      </c:barChart>
      <c:catAx>
        <c:axId val="8985256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542554"/>
        <c:crosses val="autoZero"/>
        <c:auto val="1"/>
        <c:lblAlgn val="ctr"/>
        <c:lblOffset val="100"/>
        <c:noMultiLvlLbl val="0"/>
      </c:catAx>
      <c:valAx>
        <c:axId val="4654255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8525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Occupied room-nights and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Occupied room-nights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KPIs!$B$30:$F$30</c:f>
              <c:numCache>
                <c:formatCode>#,##0;\(#,##0\);\-</c:formatCode>
                <c:ptCount val="5"/>
                <c:pt idx="0">
                  <c:v>1646.3728</c:v>
                </c:pt>
                <c:pt idx="1">
                  <c:v>2306.9952</c:v>
                </c:pt>
                <c:pt idx="2">
                  <c:v>2353.135104</c:v>
                </c:pt>
                <c:pt idx="3">
                  <c:v>2400.19780608</c:v>
                </c:pt>
                <c:pt idx="4">
                  <c:v>2448.2017622016</c:v>
                </c:pt>
              </c:numCache>
            </c:numRef>
          </c:val>
        </c:ser>
        <c:gapWidth val="60"/>
        <c:overlap val="0"/>
        <c:axId val="90433646"/>
        <c:axId val="4650631"/>
      </c:barChart>
      <c:lineChart>
        <c:grouping val="standard"/>
        <c:varyColors val="0"/>
        <c:ser>
          <c:idx val="1"/>
          <c:order val="1"/>
          <c:tx>
            <c:strRef>
              <c:f>KPIs!$A$31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KPIs!$B$31:$F$31</c:f>
              <c:numCache>
                <c:formatCode>0.0%;\(0.0%\);\-</c:formatCode>
                <c:ptCount val="5"/>
                <c:pt idx="0">
                  <c:v>0.451308333333333</c:v>
                </c:pt>
                <c:pt idx="1">
                  <c:v>0.6324</c:v>
                </c:pt>
                <c:pt idx="2">
                  <c:v>0.645048</c:v>
                </c:pt>
                <c:pt idx="3">
                  <c:v>0.65794896</c:v>
                </c:pt>
                <c:pt idx="4">
                  <c:v>0.6711079392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30401"/>
        <c:axId val="4360329"/>
      </c:lineChart>
      <c:catAx>
        <c:axId val="9043364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50631"/>
        <c:crosses val="autoZero"/>
        <c:auto val="1"/>
        <c:lblAlgn val="ctr"/>
        <c:lblOffset val="100"/>
        <c:noMultiLvlLbl val="0"/>
      </c:catAx>
      <c:valAx>
        <c:axId val="465063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433646"/>
        <c:crosses val="autoZero"/>
        <c:crossBetween val="between"/>
      </c:valAx>
      <c:catAx>
        <c:axId val="683040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60329"/>
        <c:crosses val="autoZero"/>
        <c:auto val="1"/>
        <c:lblAlgn val="ctr"/>
        <c:lblOffset val="100"/>
        <c:noMultiLvlLbl val="0"/>
      </c:catAx>
      <c:valAx>
        <c:axId val="436032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3040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ADR and RevPAR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Average daily rate (room revenue ÷ occupied room-nights)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KPIs!$B$37:$F$37</c:f>
              <c:numCache>
                <c:formatCode>\$#,##0.00;"($"#,##0.00\);\-</c:formatCode>
                <c:ptCount val="5"/>
                <c:pt idx="0">
                  <c:v>155</c:v>
                </c:pt>
                <c:pt idx="1">
                  <c:v>159.65</c:v>
                </c:pt>
                <c:pt idx="2">
                  <c:v>164.4395</c:v>
                </c:pt>
                <c:pt idx="3">
                  <c:v>169.372685</c:v>
                </c:pt>
                <c:pt idx="4">
                  <c:v>174.45386555</c:v>
                </c:pt>
              </c:numCache>
            </c:numRef>
          </c:val>
        </c:ser>
        <c:ser>
          <c:idx val="1"/>
          <c:order val="1"/>
          <c:tx>
            <c:strRef>
              <c:f>KPIs!$A$38</c:f>
              <c:strCache>
                <c:ptCount val="1"/>
                <c:pt idx="0">
                  <c:v>RevPAR (room revenue ÷ available room-nights) ($)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KPIs!$B$38:$F$38</c:f>
              <c:numCache>
                <c:formatCode>\$#,##0.00;"($"#,##0.00\);\-</c:formatCode>
                <c:ptCount val="5"/>
                <c:pt idx="0">
                  <c:v>69.9527916666667</c:v>
                </c:pt>
                <c:pt idx="1">
                  <c:v>100.96266</c:v>
                </c:pt>
                <c:pt idx="2">
                  <c:v>106.071370596</c:v>
                </c:pt>
                <c:pt idx="3">
                  <c:v>111.438581948158</c:v>
                </c:pt>
                <c:pt idx="4">
                  <c:v>117.077374194734</c:v>
                </c:pt>
              </c:numCache>
            </c:numRef>
          </c:val>
        </c:ser>
        <c:gapWidth val="60"/>
        <c:overlap val="0"/>
        <c:axId val="66098846"/>
        <c:axId val="56864495"/>
      </c:barChart>
      <c:lineChart>
        <c:grouping val="standard"/>
        <c:varyColors val="0"/>
        <c:ser>
          <c:idx val="2"/>
          <c:order val="2"/>
          <c:tx>
            <c:strRef>
              <c:f>KPIs!$A$44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KPIs!$B$44:$F$44</c:f>
              <c:numCache>
                <c:formatCode>0.0%;\(0.0%\);\-</c:formatCode>
                <c:ptCount val="5"/>
                <c:pt idx="0">
                  <c:v>0.037253166333451</c:v>
                </c:pt>
                <c:pt idx="1">
                  <c:v>0.247967628420089</c:v>
                </c:pt>
                <c:pt idx="2">
                  <c:v>0.265494225527623</c:v>
                </c:pt>
                <c:pt idx="3">
                  <c:v>0.280782220588347</c:v>
                </c:pt>
                <c:pt idx="4">
                  <c:v>0.294327509269623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997565"/>
        <c:axId val="18867484"/>
      </c:lineChart>
      <c:catAx>
        <c:axId val="6609884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864495"/>
        <c:crosses val="autoZero"/>
        <c:auto val="1"/>
        <c:lblAlgn val="ctr"/>
        <c:lblOffset val="100"/>
        <c:noMultiLvlLbl val="0"/>
      </c:catAx>
      <c:valAx>
        <c:axId val="5686449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098846"/>
        <c:crosses val="autoZero"/>
        <c:crossBetween val="between"/>
      </c:valAx>
      <c:catAx>
        <c:axId val="7199756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867484"/>
        <c:crosses val="autoZero"/>
        <c:auto val="1"/>
        <c:lblAlgn val="ctr"/>
        <c:lblOffset val="100"/>
        <c:noMultiLvlLbl val="0"/>
      </c:catAx>
      <c:valAx>
        <c:axId val="188674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99756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460163.932886576</v>
      </c>
      <c r="B7" s="25"/>
      <c r="C7" s="26" t="n">
        <f aca="false">F17</f>
        <v>0.294327509269623</v>
      </c>
      <c r="D7" s="26"/>
      <c r="E7" s="26"/>
      <c r="F7" s="26"/>
      <c r="H7" s="25" t="n">
        <f aca="false">F18</f>
        <v>43135.5782850426</v>
      </c>
      <c r="I7" s="25"/>
      <c r="J7" s="25"/>
      <c r="K7" s="25"/>
      <c r="L7" s="25" t="n">
        <f aca="false">F39</f>
        <v>22904.4025916783</v>
      </c>
      <c r="M7" s="25"/>
      <c r="N7" s="25"/>
      <c r="O7" s="25"/>
      <c r="P7" s="25" t="n">
        <f aca="false">F37</f>
        <v>946095.597408322</v>
      </c>
      <c r="Q7" s="25"/>
      <c r="R7" s="25"/>
      <c r="S7" s="25"/>
      <c r="T7" s="25" t="n">
        <f aca="false">F44</f>
        <v>-348552.331104018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0.137409838777369</v>
      </c>
      <c r="B8" s="27"/>
      <c r="C8" s="28" t="n">
        <f aca="false">F16</f>
        <v>135438.90422222</v>
      </c>
      <c r="D8" s="28"/>
      <c r="E8" s="28"/>
      <c r="F8" s="28"/>
      <c r="H8" s="29" t="n">
        <f aca="false">F19</f>
        <v>0.0937395897467586</v>
      </c>
      <c r="I8" s="29"/>
      <c r="J8" s="29"/>
      <c r="K8" s="29"/>
      <c r="L8" s="30" t="n">
        <f aca="false">'Break-even'!B6</f>
        <v>5</v>
      </c>
      <c r="M8" s="30"/>
      <c r="N8" s="30"/>
      <c r="O8" s="30"/>
      <c r="P8" s="31" t="n">
        <f aca="false">IF(F38&gt;=0,"Covered by funding raised",-F38)</f>
        <v>16095.5974083217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SUMIF(Monthly!$C$5:$BJ$5,B$11,Monthly!$C$20:$BJ$20)</f>
        <v>274944.2576</v>
      </c>
      <c r="C12" s="35" t="n">
        <f aca="false">SUMIF(Monthly!$C$5:$BJ$5,C$11,Monthly!$C$20:$BJ$20)</f>
        <v>396826.244352</v>
      </c>
      <c r="D12" s="35" t="n">
        <f aca="false">SUMIF(Monthly!$C$5:$BJ$5,D$11,Monthly!$C$20:$BJ$20)</f>
        <v>416905.652316211</v>
      </c>
      <c r="E12" s="35" t="n">
        <f aca="false">SUMIF(Monthly!$C$5:$BJ$5,E$11,Monthly!$C$20:$BJ$20)</f>
        <v>438001.078323412</v>
      </c>
      <c r="F12" s="35" t="n">
        <f aca="false">SUMIF(Monthly!$C$5:$BJ$5,F$11,Monthly!$C$20:$BJ$20)</f>
        <v>460163.932886576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SUMIF(Monthly!$C$5:$BJ$5,B$11,Monthly!$C$29:$BJ$29)</f>
        <v>165763.80942</v>
      </c>
      <c r="C13" s="37" t="n">
        <f aca="false">SUMIF(Monthly!$C$5:$BJ$5,C$11,Monthly!$C$29:$BJ$29)</f>
        <v>262060.4210784</v>
      </c>
      <c r="D13" s="37" t="n">
        <f aca="false">SUMIF(Monthly!$C$5:$BJ$5,D$11,Monthly!$C$29:$BJ$29)</f>
        <v>276491.911984967</v>
      </c>
      <c r="E13" s="37" t="n">
        <f aca="false">SUMIF(Monthly!$C$5:$BJ$5,E$11,Monthly!$C$29:$BJ$29)</f>
        <v>291688.773339406</v>
      </c>
      <c r="F13" s="37" t="n">
        <f aca="false">SUMIF(Monthly!$C$5:$BJ$5,F$11,Monthly!$C$29:$BJ$29)</f>
        <v>307690.78699662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0.602899696349214</v>
      </c>
      <c r="C14" s="39" t="n">
        <f aca="false">IF(C12=0,0,C13/C12)</f>
        <v>0.660390850676556</v>
      </c>
      <c r="D14" s="39" t="n">
        <f aca="false">IF(D12=0,0,D13/D12)</f>
        <v>0.663200199970558</v>
      </c>
      <c r="E14" s="39" t="n">
        <f aca="false">IF(E12=0,0,E13/E12)</f>
        <v>0.665954463984285</v>
      </c>
      <c r="F14" s="39" t="n">
        <f aca="false">IF(F12=0,0,F13/F12)</f>
        <v>0.668654722821273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SUMIF(Monthly!$C$5:$BJ$5,B$11,Monthly!$C$41:$BJ$41)</f>
        <v>-155521.2652592</v>
      </c>
      <c r="C15" s="35" t="n">
        <f aca="false">SUMIF(Monthly!$C$5:$BJ$5,C$11,Monthly!$C$41:$BJ$41)</f>
        <v>-163660.358371584</v>
      </c>
      <c r="D15" s="35" t="n">
        <f aca="false">SUMIF(Monthly!$C$5:$BJ$5,D$11,Monthly!$C$41:$BJ$41)</f>
        <v>-165805.868705186</v>
      </c>
      <c r="E15" s="35" t="n">
        <f aca="false">SUMIF(Monthly!$C$5:$BJ$5,E$11,Monthly!$C$41:$BJ$41)</f>
        <v>-168705.857947669</v>
      </c>
      <c r="F15" s="35" t="n">
        <f aca="false">SUMIF(Monthly!$C$5:$BJ$5,F$11,Monthly!$C$41:$BJ$41)</f>
        <v>-172251.882774401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SUMIF(Monthly!$C$5:$BJ$5,B$11,Monthly!$C$42:$BJ$42)</f>
        <v>10242.5441608</v>
      </c>
      <c r="C16" s="37" t="n">
        <f aca="false">SUMIF(Monthly!$C$5:$BJ$5,C$11,Monthly!$C$42:$BJ$42)</f>
        <v>98400.062706816</v>
      </c>
      <c r="D16" s="37" t="n">
        <f aca="false">SUMIF(Monthly!$C$5:$BJ$5,D$11,Monthly!$C$42:$BJ$42)</f>
        <v>110686.043279781</v>
      </c>
      <c r="E16" s="37" t="n">
        <f aca="false">SUMIF(Monthly!$C$5:$BJ$5,E$11,Monthly!$C$42:$BJ$42)</f>
        <v>122982.915391738</v>
      </c>
      <c r="F16" s="37" t="n">
        <f aca="false">SUMIF(Monthly!$C$5:$BJ$5,F$11,Monthly!$C$42:$BJ$42)</f>
        <v>135438.90422222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0.037253166333451</v>
      </c>
      <c r="C17" s="39" t="n">
        <f aca="false">IF(C12=0,0,C16/C12)</f>
        <v>0.247967628420089</v>
      </c>
      <c r="D17" s="39" t="n">
        <f aca="false">IF(D12=0,0,D16/D12)</f>
        <v>0.265494225527623</v>
      </c>
      <c r="E17" s="39" t="n">
        <f aca="false">IF(E12=0,0,E16/E12)</f>
        <v>0.280782220588347</v>
      </c>
      <c r="F17" s="39" t="n">
        <f aca="false">IF(F12=0,0,F16/F12)</f>
        <v>0.294327509269623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SUMIF(Monthly!$C$5:$BJ$5,B$11,Monthly!$C$51:$BJ$51)</f>
        <v>-70506.8073546142</v>
      </c>
      <c r="C18" s="41" t="n">
        <f aca="false">SUMIF(Monthly!$C$5:$BJ$5,C$11,Monthly!$C$51:$BJ$51)</f>
        <v>17593.9128624215</v>
      </c>
      <c r="D18" s="41" t="n">
        <f aca="false">SUMIF(Monthly!$C$5:$BJ$5,D$11,Monthly!$C$51:$BJ$51)</f>
        <v>29844.7755274138</v>
      </c>
      <c r="E18" s="41" t="n">
        <f aca="false">SUMIF(Monthly!$C$5:$BJ$5,E$11,Monthly!$C$51:$BJ$51)</f>
        <v>38127.4402908506</v>
      </c>
      <c r="F18" s="41" t="n">
        <f aca="false">SUMIF(Monthly!$C$5:$BJ$5,F$11,Monthly!$C$51:$BJ$51)</f>
        <v>43135.5782850426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-0.256440370750315</v>
      </c>
      <c r="C19" s="39" t="n">
        <f aca="false">IF(C12=0,0,C18/C12)</f>
        <v>0.0443365657207265</v>
      </c>
      <c r="D19" s="39" t="n">
        <f aca="false">IF(D12=0,0,D18/D12)</f>
        <v>0.071586401771251</v>
      </c>
      <c r="E19" s="39" t="n">
        <f aca="false">IF(E12=0,0,E18/E12)</f>
        <v>0.0870487361282203</v>
      </c>
      <c r="F19" s="39" t="n">
        <f aca="false">IF(F12=0,0,F18/F12)</f>
        <v>0.0937395897467586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SUMIF(Monthly!$C$5:$BJ$5,B$11,Monthly!$C$83:$BJ$83)</f>
        <v>-19872.9311990587</v>
      </c>
      <c r="C20" s="35" t="n">
        <f aca="false">SUMIF(Monthly!$C$5:$BJ$5,C$11,Monthly!$C$83:$BJ$83)</f>
        <v>64360.7346625593</v>
      </c>
      <c r="D20" s="35" t="n">
        <f aca="false">SUMIF(Monthly!$C$5:$BJ$5,D$11,Monthly!$C$83:$BJ$83)</f>
        <v>77245.9246073052</v>
      </c>
      <c r="E20" s="35" t="n">
        <f aca="false">SUMIF(Monthly!$C$5:$BJ$5,E$11,Monthly!$C$83:$BJ$83)</f>
        <v>86182.0133937512</v>
      </c>
      <c r="F20" s="35" t="n">
        <f aca="false">SUMIF(Monthly!$C$5:$BJ$5,F$11,Monthly!$C$83:$BJ$83)</f>
        <v>91863.2484429036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SUMIF(Monthly!$C$5:$BJ$5,B$11,Monthly!$C$84:$BJ$84)</f>
        <v>-874000</v>
      </c>
      <c r="C21" s="35" t="n">
        <f aca="false">SUMIF(Monthly!$C$5:$BJ$5,C$11,Monthly!$C$84:$BJ$84)</f>
        <v>-9270</v>
      </c>
      <c r="D21" s="35" t="n">
        <f aca="false">SUMIF(Monthly!$C$5:$BJ$5,D$11,Monthly!$C$84:$BJ$84)</f>
        <v>-9548.1</v>
      </c>
      <c r="E21" s="35" t="n">
        <f aca="false">SUMIF(Monthly!$C$5:$BJ$5,E$11,Monthly!$C$84:$BJ$84)</f>
        <v>-9834.543</v>
      </c>
      <c r="F21" s="35" t="n">
        <f aca="false">SUMIF(Monthly!$C$5:$BJ$5,F$11,Monthly!$C$84:$BJ$84)</f>
        <v>-10129.57929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SUMIF(Monthly!$C$5:$BJ$5,B$11,Monthly!$C$86:$BJ$86)</f>
        <v>922350.933012242</v>
      </c>
      <c r="C22" s="35" t="n">
        <f aca="false">SUMIF(Monthly!$C$5:$BJ$5,C$11,Monthly!$C$86:$BJ$86)</f>
        <v>-8202.01865877771</v>
      </c>
      <c r="D22" s="35" t="n">
        <f aca="false">SUMIF(Monthly!$C$5:$BJ$5,D$11,Monthly!$C$86:$BJ$86)</f>
        <v>-8794.94325080511</v>
      </c>
      <c r="E22" s="35" t="n">
        <f aca="false">SUMIF(Monthly!$C$5:$BJ$5,E$11,Monthly!$C$86:$BJ$86)</f>
        <v>-9430.73040953182</v>
      </c>
      <c r="F22" s="35" t="n">
        <f aca="false">SUMIF(Monthly!$C$5:$BJ$5,F$11,Monthly!$C$86:$BJ$86)</f>
        <v>-10112.4786733702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SUMIF(Monthly!$C$5:$BJ$5,B$11,Monthly!$C$87:$BJ$87)</f>
        <v>28478.0018131834</v>
      </c>
      <c r="C23" s="37" t="n">
        <f aca="false">SUMIF(Monthly!$C$5:$BJ$5,C$11,Monthly!$C$87:$BJ$87)</f>
        <v>46888.7160037816</v>
      </c>
      <c r="D23" s="37" t="n">
        <f aca="false">SUMIF(Monthly!$C$5:$BJ$5,D$11,Monthly!$C$87:$BJ$87)</f>
        <v>58902.8813565001</v>
      </c>
      <c r="E23" s="37" t="n">
        <f aca="false">SUMIF(Monthly!$C$5:$BJ$5,E$11,Monthly!$C$87:$BJ$87)</f>
        <v>66916.7399842194</v>
      </c>
      <c r="F23" s="37" t="n">
        <f aca="false">SUMIF(Monthly!$C$5:$BJ$5,F$11,Monthly!$C$87:$BJ$87)</f>
        <v>71621.1904795334</v>
      </c>
    </row>
    <row r="24" customFormat="false" ht="15" hidden="false" customHeight="false" outlineLevel="0" collapsed="false">
      <c r="A24" s="40" t="s">
        <v>56</v>
      </c>
      <c r="B24" s="41" t="n">
        <f aca="false">INDEX(Monthly!$C$89:$BJ$89,B$11*12)</f>
        <v>28478.0018131834</v>
      </c>
      <c r="C24" s="41" t="n">
        <f aca="false">INDEX(Monthly!$C$89:$BJ$89,C$11*12)</f>
        <v>75366.717816965</v>
      </c>
      <c r="D24" s="41" t="n">
        <f aca="false">INDEX(Monthly!$C$89:$BJ$89,D$11*12)</f>
        <v>134269.599173465</v>
      </c>
      <c r="E24" s="41" t="n">
        <f aca="false">INDEX(Monthly!$C$89:$BJ$89,E$11*12)</f>
        <v>201186.339157684</v>
      </c>
      <c r="F24" s="41" t="n">
        <f aca="false">INDEX(Monthly!$C$89:$BJ$89,F$11*12)</f>
        <v>272807.529637218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KPIs!B31</f>
        <v>0.451308333333333</v>
      </c>
      <c r="C28" s="42" t="n">
        <f aca="false">KPIs!C31</f>
        <v>0.6324</v>
      </c>
      <c r="D28" s="42" t="n">
        <f aca="false">KPIs!D31</f>
        <v>0.645048</v>
      </c>
      <c r="E28" s="42" t="n">
        <f aca="false">KPIs!E31</f>
        <v>0.65794896</v>
      </c>
      <c r="F28" s="42" t="n">
        <f aca="false">KPIs!F31</f>
        <v>0.6711079392</v>
      </c>
    </row>
    <row r="29" customFormat="false" ht="15" hidden="false" customHeight="false" outlineLevel="0" collapsed="false">
      <c r="A29" s="6" t="s">
        <v>59</v>
      </c>
      <c r="B29" s="43" t="n">
        <f aca="false">KPIs!B37</f>
        <v>155</v>
      </c>
      <c r="C29" s="43" t="n">
        <f aca="false">KPIs!C37</f>
        <v>159.65</v>
      </c>
      <c r="D29" s="43" t="n">
        <f aca="false">KPIs!D37</f>
        <v>164.4395</v>
      </c>
      <c r="E29" s="43" t="n">
        <f aca="false">KPIs!E37</f>
        <v>169.372685</v>
      </c>
      <c r="F29" s="43" t="n">
        <f aca="false">KPIs!F37</f>
        <v>174.45386555</v>
      </c>
    </row>
    <row r="30" customFormat="false" ht="15" hidden="false" customHeight="false" outlineLevel="0" collapsed="false">
      <c r="A30" s="6" t="s">
        <v>60</v>
      </c>
      <c r="B30" s="43" t="n">
        <f aca="false">KPIs!B38</f>
        <v>69.9527916666667</v>
      </c>
      <c r="C30" s="43" t="n">
        <f aca="false">KPIs!C38</f>
        <v>100.96266</v>
      </c>
      <c r="D30" s="43" t="n">
        <f aca="false">KPIs!D38</f>
        <v>106.071370596</v>
      </c>
      <c r="E30" s="43" t="n">
        <f aca="false">KPIs!E38</f>
        <v>111.438581948158</v>
      </c>
      <c r="F30" s="43" t="n">
        <f aca="false">KPIs!F38</f>
        <v>117.077374194734</v>
      </c>
    </row>
    <row r="31" customFormat="false" ht="15" hidden="false" customHeight="false" outlineLevel="0" collapsed="false">
      <c r="A31" s="6" t="s">
        <v>61</v>
      </c>
      <c r="B31" s="44" t="n">
        <f aca="false">KPIs!B32</f>
        <v>748.351272727273</v>
      </c>
      <c r="C31" s="44" t="n">
        <f aca="false">KPIs!C32</f>
        <v>1048.63418181818</v>
      </c>
      <c r="D31" s="44" t="n">
        <f aca="false">KPIs!D32</f>
        <v>1069.60686545455</v>
      </c>
      <c r="E31" s="44" t="n">
        <f aca="false">KPIs!E32</f>
        <v>1090.99900276364</v>
      </c>
      <c r="F31" s="44" t="n">
        <f aca="false">KPIs!F32</f>
        <v>1112.81898281891</v>
      </c>
    </row>
    <row r="32" customFormat="false" ht="15" hidden="false" customHeight="false" outlineLevel="0" collapsed="false">
      <c r="A32" s="6" t="s">
        <v>62</v>
      </c>
      <c r="B32" s="45" t="n">
        <f aca="false">INDEX(Headcount!$C$11:$BJ$11,B$27*12)</f>
        <v>3.1</v>
      </c>
      <c r="C32" s="45" t="n">
        <f aca="false">INDEX(Headcount!$C$11:$BJ$11,C$27*12)</f>
        <v>3.1</v>
      </c>
      <c r="D32" s="45" t="n">
        <f aca="false">INDEX(Headcount!$C$11:$BJ$11,D$27*12)</f>
        <v>3.1</v>
      </c>
      <c r="E32" s="45" t="n">
        <f aca="false">INDEX(Headcount!$C$11:$BJ$11,E$27*12)</f>
        <v>3.1</v>
      </c>
      <c r="F32" s="45" t="n">
        <f aca="false">INDEX(Headcount!$C$11:$BJ$11,F$27*12)</f>
        <v>3.1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Inputs!$E$65</f>
        <v>430000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Inputs!$E$66</f>
        <v>500000</v>
      </c>
    </row>
    <row r="37" customFormat="false" ht="15" hidden="false" customHeight="false" outlineLevel="0" collapsed="false">
      <c r="A37" s="6" t="s">
        <v>66</v>
      </c>
      <c r="B37" s="46"/>
      <c r="C37" s="46"/>
      <c r="D37" s="46"/>
      <c r="E37" s="46"/>
      <c r="F37" s="47" t="n">
        <f aca="false">'Break-even'!B12</f>
        <v>946095.597408322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-16095.5974083217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5)</v>
      </c>
      <c r="B39" s="46"/>
      <c r="C39" s="46"/>
      <c r="D39" s="46"/>
      <c r="E39" s="46"/>
      <c r="F39" s="47" t="n">
        <f aca="false">'Break-even'!B18</f>
        <v>22904.4025916783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'Break-even'!B21</f>
        <v>6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8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Valuation!B27</f>
        <v>-359389.081998232</v>
      </c>
    </row>
    <row r="43" customFormat="false" ht="15" hidden="false" customHeight="false" outlineLevel="0" collapsed="false">
      <c r="A43" s="6" t="s">
        <v>71</v>
      </c>
      <c r="B43" s="46"/>
      <c r="C43" s="46"/>
      <c r="D43" s="46"/>
      <c r="E43" s="46"/>
      <c r="F43" s="47" t="n">
        <f aca="false">Valuation!C27</f>
        <v>-337715.580209803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-348552.331104018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9" t="n">
        <v>1</v>
      </c>
      <c r="S2" s="49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274944.2576</v>
      </c>
      <c r="C7" s="35" t="n">
        <f aca="false">'P&amp;L'!C5</f>
        <v>396826.244352</v>
      </c>
      <c r="D7" s="35" t="n">
        <f aca="false">'P&amp;L'!D5</f>
        <v>416905.652316211</v>
      </c>
      <c r="E7" s="35" t="n">
        <f aca="false">'P&amp;L'!E5</f>
        <v>438001.078323412</v>
      </c>
      <c r="F7" s="35" t="n">
        <f aca="false">'P&amp;L'!F5</f>
        <v>460163.932886576</v>
      </c>
      <c r="H7" s="35" t="n">
        <f aca="false">INDEX(Monthly!$C$20:$BJ$20,($R$2-1)*12+1)</f>
        <v>11541.2586666667</v>
      </c>
      <c r="I7" s="35" t="n">
        <f aca="false">INDEX(Monthly!$C$20:$BJ$20,($R$2-1)*12+2)</f>
        <v>13272.4474666667</v>
      </c>
      <c r="J7" s="35" t="n">
        <f aca="false">INDEX(Monthly!$C$20:$BJ$20,($R$2-1)*12+3)</f>
        <v>15003.6362666667</v>
      </c>
      <c r="K7" s="35" t="n">
        <f aca="false">INDEX(Monthly!$C$20:$BJ$20,($R$2-1)*12+4)</f>
        <v>16734.8250666667</v>
      </c>
      <c r="L7" s="35" t="n">
        <f aca="false">INDEX(Monthly!$C$20:$BJ$20,($R$2-1)*12+5)</f>
        <v>18466.0138666667</v>
      </c>
      <c r="M7" s="35" t="n">
        <f aca="false">INDEX(Monthly!$C$20:$BJ$20,($R$2-1)*12+6)</f>
        <v>27541.64</v>
      </c>
      <c r="N7" s="35" t="n">
        <f aca="false">INDEX(Monthly!$C$20:$BJ$20,($R$2-1)*12+7)</f>
        <v>29902.352</v>
      </c>
      <c r="O7" s="35" t="n">
        <f aca="false">INDEX(Monthly!$C$20:$BJ$20,($R$2-1)*12+8)</f>
        <v>32263.064</v>
      </c>
      <c r="P7" s="35" t="n">
        <f aca="false">INDEX(Monthly!$C$20:$BJ$20,($R$2-1)*12+9)</f>
        <v>25390.7690666667</v>
      </c>
      <c r="Q7" s="35" t="n">
        <f aca="false">INDEX(Monthly!$C$20:$BJ$20,($R$2-1)*12+10)</f>
        <v>27121.9578666667</v>
      </c>
      <c r="R7" s="35" t="n">
        <f aca="false">INDEX(Monthly!$C$20:$BJ$20,($R$2-1)*12+11)</f>
        <v>28853.1466666667</v>
      </c>
      <c r="S7" s="35" t="n">
        <f aca="false">INDEX(Monthly!$C$20:$BJ$20,($R$2-1)*12+12)</f>
        <v>28853.1466666667</v>
      </c>
    </row>
    <row r="8" customFormat="false" ht="15" hidden="false" customHeight="false" outlineLevel="0" collapsed="false">
      <c r="A8" s="51" t="s">
        <v>76</v>
      </c>
      <c r="B8" s="35" t="n">
        <f aca="false">'P&amp;L'!B6</f>
        <v>-109180.44818</v>
      </c>
      <c r="C8" s="35" t="n">
        <f aca="false">'P&amp;L'!C6</f>
        <v>-134765.8232736</v>
      </c>
      <c r="D8" s="35" t="n">
        <f aca="false">'P&amp;L'!D6</f>
        <v>-140413.740331244</v>
      </c>
      <c r="E8" s="35" t="n">
        <f aca="false">'P&amp;L'!E6</f>
        <v>-146312.304984005</v>
      </c>
      <c r="F8" s="35" t="n">
        <f aca="false">'P&amp;L'!F6</f>
        <v>-152473.145889956</v>
      </c>
      <c r="H8" s="35" t="n">
        <f aca="false">INDEX(Monthly!$C$28:$BJ$28,($R$2-1)*12+1)</f>
        <v>-6865.92226666667</v>
      </c>
      <c r="I8" s="35" t="n">
        <f aca="false">INDEX(Monthly!$C$28:$BJ$28,($R$2-1)*12+2)</f>
        <v>-7205.81060666667</v>
      </c>
      <c r="J8" s="35" t="n">
        <f aca="false">INDEX(Monthly!$C$28:$BJ$28,($R$2-1)*12+3)</f>
        <v>-7545.69894666667</v>
      </c>
      <c r="K8" s="35" t="n">
        <f aca="false">INDEX(Monthly!$C$28:$BJ$28,($R$2-1)*12+4)</f>
        <v>-7885.58728666667</v>
      </c>
      <c r="L8" s="35" t="n">
        <f aca="false">INDEX(Monthly!$C$28:$BJ$28,($R$2-1)*12+5)</f>
        <v>-8225.47562666667</v>
      </c>
      <c r="M8" s="35" t="n">
        <f aca="false">INDEX(Monthly!$C$28:$BJ$28,($R$2-1)*12+6)</f>
        <v>-10007.3145</v>
      </c>
      <c r="N8" s="35" t="n">
        <f aca="false">INDEX(Monthly!$C$28:$BJ$28,($R$2-1)*12+7)</f>
        <v>-10470.7986</v>
      </c>
      <c r="O8" s="35" t="n">
        <f aca="false">INDEX(Monthly!$C$28:$BJ$28,($R$2-1)*12+8)</f>
        <v>-10934.2827</v>
      </c>
      <c r="P8" s="35" t="n">
        <f aca="false">INDEX(Monthly!$C$28:$BJ$28,($R$2-1)*12+9)</f>
        <v>-9585.02898666667</v>
      </c>
      <c r="Q8" s="35" t="n">
        <f aca="false">INDEX(Monthly!$C$28:$BJ$28,($R$2-1)*12+10)</f>
        <v>-9924.91732666667</v>
      </c>
      <c r="R8" s="35" t="n">
        <f aca="false">INDEX(Monthly!$C$28:$BJ$28,($R$2-1)*12+11)</f>
        <v>-10264.8056666667</v>
      </c>
      <c r="S8" s="35" t="n">
        <f aca="false">INDEX(Monthly!$C$28:$BJ$28,($R$2-1)*12+12)</f>
        <v>-10264.8056666667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165763.80942</v>
      </c>
      <c r="C9" s="37" t="n">
        <f aca="false">'P&amp;L'!C7</f>
        <v>262060.4210784</v>
      </c>
      <c r="D9" s="37" t="n">
        <f aca="false">'P&amp;L'!D7</f>
        <v>276491.911984967</v>
      </c>
      <c r="E9" s="37" t="n">
        <f aca="false">'P&amp;L'!E7</f>
        <v>291688.773339406</v>
      </c>
      <c r="F9" s="37" t="n">
        <f aca="false">'P&amp;L'!F7</f>
        <v>307690.78699662</v>
      </c>
      <c r="H9" s="37" t="n">
        <f aca="false">INDEX(Monthly!$C$29:$BJ$29,($R$2-1)*12+1)</f>
        <v>4675.3364</v>
      </c>
      <c r="I9" s="37" t="n">
        <f aca="false">INDEX(Monthly!$C$29:$BJ$29,($R$2-1)*12+2)</f>
        <v>6066.63686</v>
      </c>
      <c r="J9" s="37" t="n">
        <f aca="false">INDEX(Monthly!$C$29:$BJ$29,($R$2-1)*12+3)</f>
        <v>7457.93732</v>
      </c>
      <c r="K9" s="37" t="n">
        <f aca="false">INDEX(Monthly!$C$29:$BJ$29,($R$2-1)*12+4)</f>
        <v>8849.23778</v>
      </c>
      <c r="L9" s="37" t="n">
        <f aca="false">INDEX(Monthly!$C$29:$BJ$29,($R$2-1)*12+5)</f>
        <v>10240.53824</v>
      </c>
      <c r="M9" s="37" t="n">
        <f aca="false">INDEX(Monthly!$C$29:$BJ$29,($R$2-1)*12+6)</f>
        <v>17534.3255</v>
      </c>
      <c r="N9" s="37" t="n">
        <f aca="false">INDEX(Monthly!$C$29:$BJ$29,($R$2-1)*12+7)</f>
        <v>19431.5534</v>
      </c>
      <c r="O9" s="37" t="n">
        <f aca="false">INDEX(Monthly!$C$29:$BJ$29,($R$2-1)*12+8)</f>
        <v>21328.7813</v>
      </c>
      <c r="P9" s="37" t="n">
        <f aca="false">INDEX(Monthly!$C$29:$BJ$29,($R$2-1)*12+9)</f>
        <v>15805.74008</v>
      </c>
      <c r="Q9" s="37" t="n">
        <f aca="false">INDEX(Monthly!$C$29:$BJ$29,($R$2-1)*12+10)</f>
        <v>17197.04054</v>
      </c>
      <c r="R9" s="37" t="n">
        <f aca="false">INDEX(Monthly!$C$29:$BJ$29,($R$2-1)*12+11)</f>
        <v>18588.341</v>
      </c>
      <c r="S9" s="37" t="n">
        <f aca="false">INDEX(Monthly!$C$29:$BJ$29,($R$2-1)*12+12)</f>
        <v>18588.341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0.602899696349214</v>
      </c>
      <c r="C10" s="39" t="n">
        <f aca="false">'P&amp;L'!C8</f>
        <v>0.660390850676556</v>
      </c>
      <c r="D10" s="39" t="n">
        <f aca="false">'P&amp;L'!D8</f>
        <v>0.663200199970558</v>
      </c>
      <c r="E10" s="39" t="n">
        <f aca="false">'P&amp;L'!E8</f>
        <v>0.665954463984285</v>
      </c>
      <c r="F10" s="39" t="n">
        <f aca="false">'P&amp;L'!F8</f>
        <v>0.668654722821273</v>
      </c>
      <c r="H10" s="39" t="n">
        <f aca="false">IF(H7=0,0,H9/H7)</f>
        <v>0.405097618468881</v>
      </c>
      <c r="I10" s="39" t="n">
        <f aca="false">IF(I7=0,0,I9/I7)</f>
        <v>0.457085015799548</v>
      </c>
      <c r="J10" s="39" t="n">
        <f aca="false">IF(J7=0,0,J9/J7)</f>
        <v>0.497075321438522</v>
      </c>
      <c r="K10" s="39" t="n">
        <f aca="false">IF(K7=0,0,K9/K7)</f>
        <v>0.528791770738398</v>
      </c>
      <c r="L10" s="39" t="n">
        <f aca="false">IF(L7=0,0,L9/L7)</f>
        <v>0.554561385794548</v>
      </c>
      <c r="M10" s="39" t="n">
        <f aca="false">IF(M7=0,0,M9/M7)</f>
        <v>0.636647835786104</v>
      </c>
      <c r="N10" s="39" t="n">
        <f aca="false">IF(N7=0,0,N9/N7)</f>
        <v>0.649833611750674</v>
      </c>
      <c r="O10" s="39" t="n">
        <f aca="false">IF(O7=0,0,O9/O7)</f>
        <v>0.661089761964332</v>
      </c>
      <c r="P10" s="39" t="n">
        <f aca="false">IF(P7=0,0,P9/P7)</f>
        <v>0.622499461851669</v>
      </c>
      <c r="Q10" s="39" t="n">
        <f aca="false">IF(Q7=0,0,Q9/Q7)</f>
        <v>0.634063389691179</v>
      </c>
      <c r="R10" s="39" t="n">
        <f aca="false">IF(R7=0,0,R9/R7)</f>
        <v>0.644239646189948</v>
      </c>
      <c r="S10" s="39" t="n">
        <f aca="false">IF(S7=0,0,S9/S7)</f>
        <v>0.644239646189948</v>
      </c>
    </row>
    <row r="11" customFormat="false" ht="15" hidden="false" customHeight="false" outlineLevel="0" collapsed="false">
      <c r="A11" s="51" t="s">
        <v>77</v>
      </c>
      <c r="B11" s="35" t="n">
        <f aca="false">'P&amp;L'!B18</f>
        <v>-155521.2652592</v>
      </c>
      <c r="C11" s="35" t="n">
        <f aca="false">'P&amp;L'!C18</f>
        <v>-163660.358371584</v>
      </c>
      <c r="D11" s="35" t="n">
        <f aca="false">'P&amp;L'!D18</f>
        <v>-165805.868705186</v>
      </c>
      <c r="E11" s="35" t="n">
        <f aca="false">'P&amp;L'!E18</f>
        <v>-168705.857947669</v>
      </c>
      <c r="F11" s="35" t="n">
        <f aca="false">'P&amp;L'!F18</f>
        <v>-172251.882774401</v>
      </c>
      <c r="H11" s="35" t="n">
        <f aca="false">INDEX(Monthly!$C$41:$BJ$41,($R$2-1)*12+1)</f>
        <v>-12198.2643306667</v>
      </c>
      <c r="I11" s="35" t="n">
        <f aca="false">INDEX(Monthly!$C$41:$BJ$41,($R$2-1)*12+2)</f>
        <v>-12314.2539802667</v>
      </c>
      <c r="J11" s="35" t="n">
        <f aca="false">INDEX(Monthly!$C$41:$BJ$41,($R$2-1)*12+3)</f>
        <v>-12430.2436298667</v>
      </c>
      <c r="K11" s="35" t="n">
        <f aca="false">INDEX(Monthly!$C$41:$BJ$41,($R$2-1)*12+4)</f>
        <v>-12546.2332794667</v>
      </c>
      <c r="L11" s="35" t="n">
        <f aca="false">INDEX(Monthly!$C$41:$BJ$41,($R$2-1)*12+5)</f>
        <v>-12662.2229290667</v>
      </c>
      <c r="M11" s="35" t="n">
        <f aca="false">INDEX(Monthly!$C$41:$BJ$41,($R$2-1)*12+6)</f>
        <v>-13270.28988</v>
      </c>
      <c r="N11" s="35" t="n">
        <f aca="false">INDEX(Monthly!$C$41:$BJ$41,($R$2-1)*12+7)</f>
        <v>-13428.457584</v>
      </c>
      <c r="O11" s="35" t="n">
        <f aca="false">INDEX(Monthly!$C$41:$BJ$41,($R$2-1)*12+8)</f>
        <v>-13586.625288</v>
      </c>
      <c r="P11" s="35" t="n">
        <f aca="false">INDEX(Monthly!$C$41:$BJ$41,($R$2-1)*12+9)</f>
        <v>-13126.1815274667</v>
      </c>
      <c r="Q11" s="35" t="n">
        <f aca="false">INDEX(Monthly!$C$41:$BJ$41,($R$2-1)*12+10)</f>
        <v>-13242.1711770667</v>
      </c>
      <c r="R11" s="35" t="n">
        <f aca="false">INDEX(Monthly!$C$41:$BJ$41,($R$2-1)*12+11)</f>
        <v>-13358.1608266667</v>
      </c>
      <c r="S11" s="35" t="n">
        <f aca="false">INDEX(Monthly!$C$41:$BJ$41,($R$2-1)*12+12)</f>
        <v>-13358.1608266667</v>
      </c>
    </row>
    <row r="12" customFormat="false" ht="15" hidden="false" customHeight="false" outlineLevel="0" collapsed="false">
      <c r="A12" s="36" t="s">
        <v>48</v>
      </c>
      <c r="B12" s="37" t="n">
        <f aca="false">'P&amp;L'!B19</f>
        <v>10242.5441608</v>
      </c>
      <c r="C12" s="37" t="n">
        <f aca="false">'P&amp;L'!C19</f>
        <v>98400.062706816</v>
      </c>
      <c r="D12" s="37" t="n">
        <f aca="false">'P&amp;L'!D19</f>
        <v>110686.043279781</v>
      </c>
      <c r="E12" s="37" t="n">
        <f aca="false">'P&amp;L'!E19</f>
        <v>122982.915391738</v>
      </c>
      <c r="F12" s="37" t="n">
        <f aca="false">'P&amp;L'!F19</f>
        <v>135438.90422222</v>
      </c>
      <c r="H12" s="37" t="n">
        <f aca="false">INDEX(Monthly!$C$42:$BJ$42,($R$2-1)*12+1)</f>
        <v>-7522.92793066667</v>
      </c>
      <c r="I12" s="37" t="n">
        <f aca="false">INDEX(Monthly!$C$42:$BJ$42,($R$2-1)*12+2)</f>
        <v>-6247.61712026667</v>
      </c>
      <c r="J12" s="37" t="n">
        <f aca="false">INDEX(Monthly!$C$42:$BJ$42,($R$2-1)*12+3)</f>
        <v>-4972.30630986667</v>
      </c>
      <c r="K12" s="37" t="n">
        <f aca="false">INDEX(Monthly!$C$42:$BJ$42,($R$2-1)*12+4)</f>
        <v>-3696.99549946667</v>
      </c>
      <c r="L12" s="37" t="n">
        <f aca="false">INDEX(Monthly!$C$42:$BJ$42,($R$2-1)*12+5)</f>
        <v>-2421.68468906666</v>
      </c>
      <c r="M12" s="37" t="n">
        <f aca="false">INDEX(Monthly!$C$42:$BJ$42,($R$2-1)*12+6)</f>
        <v>4264.03562</v>
      </c>
      <c r="N12" s="37" t="n">
        <f aca="false">INDEX(Monthly!$C$42:$BJ$42,($R$2-1)*12+7)</f>
        <v>6003.095816</v>
      </c>
      <c r="O12" s="37" t="n">
        <f aca="false">INDEX(Monthly!$C$42:$BJ$42,($R$2-1)*12+8)</f>
        <v>7742.156012</v>
      </c>
      <c r="P12" s="37" t="n">
        <f aca="false">INDEX(Monthly!$C$42:$BJ$42,($R$2-1)*12+9)</f>
        <v>2679.55855253333</v>
      </c>
      <c r="Q12" s="37" t="n">
        <f aca="false">INDEX(Monthly!$C$42:$BJ$42,($R$2-1)*12+10)</f>
        <v>3954.86936293334</v>
      </c>
      <c r="R12" s="37" t="n">
        <f aca="false">INDEX(Monthly!$C$42:$BJ$42,($R$2-1)*12+11)</f>
        <v>5230.18017333333</v>
      </c>
      <c r="S12" s="37" t="n">
        <f aca="false">INDEX(Monthly!$C$42:$BJ$42,($R$2-1)*12+12)</f>
        <v>5230.18017333333</v>
      </c>
    </row>
    <row r="13" customFormat="false" ht="15" hidden="false" customHeight="false" outlineLevel="0" collapsed="false">
      <c r="A13" s="38" t="s">
        <v>49</v>
      </c>
      <c r="B13" s="39" t="n">
        <f aca="false">'P&amp;L'!B20</f>
        <v>0.037253166333451</v>
      </c>
      <c r="C13" s="39" t="n">
        <f aca="false">'P&amp;L'!C20</f>
        <v>0.247967628420089</v>
      </c>
      <c r="D13" s="39" t="n">
        <f aca="false">'P&amp;L'!D20</f>
        <v>0.265494225527623</v>
      </c>
      <c r="E13" s="39" t="n">
        <f aca="false">'P&amp;L'!E20</f>
        <v>0.280782220588347</v>
      </c>
      <c r="F13" s="39" t="n">
        <f aca="false">'P&amp;L'!F20</f>
        <v>0.294327509269623</v>
      </c>
      <c r="H13" s="39" t="n">
        <f aca="false">IF(H7=0,0,H12/H7)</f>
        <v>-0.65182907236923</v>
      </c>
      <c r="I13" s="39" t="n">
        <f aca="false">IF(I7=0,0,I12/I7)</f>
        <v>-0.470720802320549</v>
      </c>
      <c r="J13" s="39" t="n">
        <f aca="false">IF(J7=0,0,J12/J7)</f>
        <v>-0.331406748436948</v>
      </c>
      <c r="K13" s="39" t="n">
        <f aca="false">IF(K7=0,0,K12/K7)</f>
        <v>-0.220916291908575</v>
      </c>
      <c r="L13" s="39" t="n">
        <f aca="false">IF(L7=0,0,L12/L7)</f>
        <v>-0.131142795979271</v>
      </c>
      <c r="M13" s="39" t="n">
        <f aca="false">IF(M7=0,0,M12/M7)</f>
        <v>0.154821412958705</v>
      </c>
      <c r="N13" s="39" t="n">
        <f aca="false">IF(N7=0,0,N12/N7)</f>
        <v>0.200756643357017</v>
      </c>
      <c r="O13" s="39" t="n">
        <f aca="false">IF(O7=0,0,O12/O7)</f>
        <v>0.239969644916552</v>
      </c>
      <c r="P13" s="39" t="n">
        <f aca="false">IF(P7=0,0,P12/P7)</f>
        <v>0.105532784197982</v>
      </c>
      <c r="Q13" s="39" t="n">
        <f aca="false">IF(Q7=0,0,Q12/Q7)</f>
        <v>0.145817989334536</v>
      </c>
      <c r="R13" s="39" t="n">
        <f aca="false">IF(R7=0,0,R12/R7)</f>
        <v>0.181268969854703</v>
      </c>
      <c r="S13" s="39" t="n">
        <f aca="false">IF(S7=0,0,S12/S7)</f>
        <v>0.181268969854703</v>
      </c>
    </row>
    <row r="14" customFormat="false" ht="15" hidden="false" customHeight="false" outlineLevel="0" collapsed="false">
      <c r="A14" s="51" t="s">
        <v>78</v>
      </c>
      <c r="B14" s="35" t="n">
        <f aca="false">'P&amp;L'!B21</f>
        <v>-45991.6666666667</v>
      </c>
      <c r="C14" s="35" t="n">
        <f aca="false">'P&amp;L'!C21</f>
        <v>-46601.4166666667</v>
      </c>
      <c r="D14" s="35" t="n">
        <f aca="false">'P&amp;L'!D21</f>
        <v>-47229.4591666667</v>
      </c>
      <c r="E14" s="35" t="n">
        <f aca="false">'P&amp;L'!E21</f>
        <v>-47876.3429416667</v>
      </c>
      <c r="F14" s="35" t="n">
        <f aca="false">'P&amp;L'!F21</f>
        <v>-48542.6332299167</v>
      </c>
      <c r="H14" s="35" t="n">
        <f aca="false">INDEX(Monthly!$C$62:$BJ$62,($R$2-1)*12+1)</f>
        <v>-3809.72222222222</v>
      </c>
      <c r="I14" s="35" t="n">
        <f aca="false">INDEX(Monthly!$C$62:$BJ$62,($R$2-1)*12+2)</f>
        <v>-3813.88888888889</v>
      </c>
      <c r="J14" s="35" t="n">
        <f aca="false">INDEX(Monthly!$C$62:$BJ$62,($R$2-1)*12+3)</f>
        <v>-3818.05555555556</v>
      </c>
      <c r="K14" s="35" t="n">
        <f aca="false">INDEX(Monthly!$C$62:$BJ$62,($R$2-1)*12+4)</f>
        <v>-3822.22222222222</v>
      </c>
      <c r="L14" s="35" t="n">
        <f aca="false">INDEX(Monthly!$C$62:$BJ$62,($R$2-1)*12+5)</f>
        <v>-3826.38888888889</v>
      </c>
      <c r="M14" s="35" t="n">
        <f aca="false">INDEX(Monthly!$C$62:$BJ$62,($R$2-1)*12+6)</f>
        <v>-3830.55555555556</v>
      </c>
      <c r="N14" s="35" t="n">
        <f aca="false">INDEX(Monthly!$C$62:$BJ$62,($R$2-1)*12+7)</f>
        <v>-3834.72222222222</v>
      </c>
      <c r="O14" s="35" t="n">
        <f aca="false">INDEX(Monthly!$C$62:$BJ$62,($R$2-1)*12+8)</f>
        <v>-3838.88888888889</v>
      </c>
      <c r="P14" s="35" t="n">
        <f aca="false">INDEX(Monthly!$C$62:$BJ$62,($R$2-1)*12+9)</f>
        <v>-3843.05555555556</v>
      </c>
      <c r="Q14" s="35" t="n">
        <f aca="false">INDEX(Monthly!$C$62:$BJ$62,($R$2-1)*12+10)</f>
        <v>-3847.22222222222</v>
      </c>
      <c r="R14" s="35" t="n">
        <f aca="false">INDEX(Monthly!$C$62:$BJ$62,($R$2-1)*12+11)</f>
        <v>-3851.38888888889</v>
      </c>
      <c r="S14" s="35" t="n">
        <f aca="false">INDEX(Monthly!$C$62:$BJ$62,($R$2-1)*12+12)</f>
        <v>-3855.55555555556</v>
      </c>
    </row>
    <row r="15" customFormat="false" ht="15" hidden="false" customHeight="false" outlineLevel="0" collapsed="false">
      <c r="A15" s="36" t="s">
        <v>79</v>
      </c>
      <c r="B15" s="37" t="n">
        <f aca="false">'P&amp;L'!B22</f>
        <v>-35749.1225058667</v>
      </c>
      <c r="C15" s="37" t="n">
        <f aca="false">'P&amp;L'!C22</f>
        <v>51798.6460401493</v>
      </c>
      <c r="D15" s="37" t="n">
        <f aca="false">'P&amp;L'!D22</f>
        <v>63456.5841131142</v>
      </c>
      <c r="E15" s="37" t="n">
        <f aca="false">'P&amp;L'!E22</f>
        <v>75106.5724500712</v>
      </c>
      <c r="F15" s="37" t="n">
        <f aca="false">'P&amp;L'!F22</f>
        <v>86896.2709923031</v>
      </c>
      <c r="H15" s="37" t="n">
        <f aca="false">INDEX(Monthly!$C$45:$BJ$45,($R$2-1)*12+1)</f>
        <v>-11332.6501528889</v>
      </c>
      <c r="I15" s="37" t="n">
        <f aca="false">INDEX(Monthly!$C$45:$BJ$45,($R$2-1)*12+2)</f>
        <v>-10061.5060091556</v>
      </c>
      <c r="J15" s="37" t="n">
        <f aca="false">INDEX(Monthly!$C$45:$BJ$45,($R$2-1)*12+3)</f>
        <v>-8790.36186542223</v>
      </c>
      <c r="K15" s="37" t="n">
        <f aca="false">INDEX(Monthly!$C$45:$BJ$45,($R$2-1)*12+4)</f>
        <v>-7519.21772168889</v>
      </c>
      <c r="L15" s="37" t="n">
        <f aca="false">INDEX(Monthly!$C$45:$BJ$45,($R$2-1)*12+5)</f>
        <v>-6248.07357795555</v>
      </c>
      <c r="M15" s="37" t="n">
        <f aca="false">INDEX(Monthly!$C$45:$BJ$45,($R$2-1)*12+6)</f>
        <v>433.480064444443</v>
      </c>
      <c r="N15" s="37" t="n">
        <f aca="false">INDEX(Monthly!$C$45:$BJ$45,($R$2-1)*12+7)</f>
        <v>2168.37359377778</v>
      </c>
      <c r="O15" s="37" t="n">
        <f aca="false">INDEX(Monthly!$C$45:$BJ$45,($R$2-1)*12+8)</f>
        <v>3903.26712311111</v>
      </c>
      <c r="P15" s="37" t="n">
        <f aca="false">INDEX(Monthly!$C$45:$BJ$45,($R$2-1)*12+9)</f>
        <v>-1163.49700302223</v>
      </c>
      <c r="Q15" s="37" t="n">
        <f aca="false">INDEX(Monthly!$C$45:$BJ$45,($R$2-1)*12+10)</f>
        <v>107.647140711113</v>
      </c>
      <c r="R15" s="37" t="n">
        <f aca="false">INDEX(Monthly!$C$45:$BJ$45,($R$2-1)*12+11)</f>
        <v>1378.79128444445</v>
      </c>
      <c r="S15" s="37" t="n">
        <f aca="false">INDEX(Monthly!$C$45:$BJ$45,($R$2-1)*12+12)</f>
        <v>1374.62461777778</v>
      </c>
    </row>
    <row r="16" customFormat="false" ht="15" hidden="false" customHeight="false" outlineLevel="0" collapsed="false">
      <c r="A16" s="51" t="s">
        <v>80</v>
      </c>
      <c r="B16" s="35" t="n">
        <f aca="false">'P&amp;L'!B23</f>
        <v>-34757.6848487476</v>
      </c>
      <c r="C16" s="35" t="n">
        <f aca="false">'P&amp;L'!C23</f>
        <v>-34204.7331777278</v>
      </c>
      <c r="D16" s="35" t="n">
        <f aca="false">'P&amp;L'!D23</f>
        <v>-33611.8085857004</v>
      </c>
      <c r="E16" s="35" t="n">
        <f aca="false">'P&amp;L'!E23</f>
        <v>-32976.0214269737</v>
      </c>
      <c r="F16" s="35" t="n">
        <f aca="false">'P&amp;L'!F23</f>
        <v>-32294.2731631353</v>
      </c>
      <c r="H16" s="35" t="n">
        <f aca="false">INDEX(Monthly!$C$46:$BJ$46,($R$2-1)*12+1)</f>
        <v>-2916.66666666667</v>
      </c>
      <c r="I16" s="35" t="n">
        <f aca="false">INDEX(Monthly!$C$46:$BJ$46,($R$2-1)*12+2)</f>
        <v>-2913.0661623017</v>
      </c>
      <c r="J16" s="35" t="n">
        <f aca="false">INDEX(Monthly!$C$46:$BJ$46,($R$2-1)*12+3)</f>
        <v>-2909.4446549946</v>
      </c>
      <c r="K16" s="35" t="n">
        <f aca="false">INDEX(Monthly!$C$46:$BJ$46,($R$2-1)*12+4)</f>
        <v>-2905.80202222821</v>
      </c>
      <c r="L16" s="35" t="n">
        <f aca="false">INDEX(Monthly!$C$46:$BJ$46,($R$2-1)*12+5)</f>
        <v>-2902.13814077069</v>
      </c>
      <c r="M16" s="35" t="n">
        <f aca="false">INDEX(Monthly!$C$46:$BJ$46,($R$2-1)*12+6)</f>
        <v>-2898.45288667133</v>
      </c>
      <c r="N16" s="35" t="n">
        <f aca="false">INDEX(Monthly!$C$46:$BJ$46,($R$2-1)*12+7)</f>
        <v>-2894.74613525639</v>
      </c>
      <c r="O16" s="35" t="n">
        <f aca="false">INDEX(Monthly!$C$46:$BJ$46,($R$2-1)*12+8)</f>
        <v>-2891.01776112486</v>
      </c>
      <c r="P16" s="35" t="n">
        <f aca="false">INDEX(Monthly!$C$46:$BJ$46,($R$2-1)*12+9)</f>
        <v>-2887.26763814423</v>
      </c>
      <c r="Q16" s="35" t="n">
        <f aca="false">INDEX(Monthly!$C$46:$BJ$46,($R$2-1)*12+10)</f>
        <v>-2883.49563944621</v>
      </c>
      <c r="R16" s="35" t="n">
        <f aca="false">INDEX(Monthly!$C$46:$BJ$46,($R$2-1)*12+11)</f>
        <v>-2879.70163742246</v>
      </c>
      <c r="S16" s="35" t="n">
        <f aca="false">INDEX(Monthly!$C$46:$BJ$46,($R$2-1)*12+12)</f>
        <v>-2875.88550372023</v>
      </c>
    </row>
    <row r="17" customFormat="false" ht="15" hidden="false" customHeight="false" outlineLevel="0" collapsed="false">
      <c r="A17" s="51" t="s">
        <v>81</v>
      </c>
      <c r="B17" s="35" t="n">
        <f aca="false">'P&amp;L'!B24</f>
        <v>-70506.8073546142</v>
      </c>
      <c r="C17" s="35" t="n">
        <f aca="false">'P&amp;L'!C24</f>
        <v>17593.9128624215</v>
      </c>
      <c r="D17" s="35" t="n">
        <f aca="false">'P&amp;L'!D24</f>
        <v>29844.7755274138</v>
      </c>
      <c r="E17" s="35" t="n">
        <f aca="false">'P&amp;L'!E24</f>
        <v>42130.5510230975</v>
      </c>
      <c r="F17" s="35" t="n">
        <f aca="false">'P&amp;L'!F24</f>
        <v>54601.9978291678</v>
      </c>
      <c r="H17" s="35" t="n">
        <f aca="false">INDEX(Monthly!$C$47:$BJ$47,($R$2-1)*12+1)</f>
        <v>-14249.3168195556</v>
      </c>
      <c r="I17" s="35" t="n">
        <f aca="false">INDEX(Monthly!$C$47:$BJ$47,($R$2-1)*12+2)</f>
        <v>-12974.5721714573</v>
      </c>
      <c r="J17" s="35" t="n">
        <f aca="false">INDEX(Monthly!$C$47:$BJ$47,($R$2-1)*12+3)</f>
        <v>-11699.8065204168</v>
      </c>
      <c r="K17" s="35" t="n">
        <f aca="false">INDEX(Monthly!$C$47:$BJ$47,($R$2-1)*12+4)</f>
        <v>-10425.0197439171</v>
      </c>
      <c r="L17" s="35" t="n">
        <f aca="false">INDEX(Monthly!$C$47:$BJ$47,($R$2-1)*12+5)</f>
        <v>-9150.21171872624</v>
      </c>
      <c r="M17" s="35" t="n">
        <f aca="false">INDEX(Monthly!$C$47:$BJ$47,($R$2-1)*12+6)</f>
        <v>-2464.97282222688</v>
      </c>
      <c r="N17" s="35" t="n">
        <f aca="false">INDEX(Monthly!$C$47:$BJ$47,($R$2-1)*12+7)</f>
        <v>-726.372541478611</v>
      </c>
      <c r="O17" s="35" t="n">
        <f aca="false">INDEX(Monthly!$C$47:$BJ$47,($R$2-1)*12+8)</f>
        <v>1012.24936198626</v>
      </c>
      <c r="P17" s="35" t="n">
        <f aca="false">INDEX(Monthly!$C$47:$BJ$47,($R$2-1)*12+9)</f>
        <v>-4050.76464116646</v>
      </c>
      <c r="Q17" s="35" t="n">
        <f aca="false">INDEX(Monthly!$C$47:$BJ$47,($R$2-1)*12+10)</f>
        <v>-2775.8484987351</v>
      </c>
      <c r="R17" s="35" t="n">
        <f aca="false">INDEX(Monthly!$C$47:$BJ$47,($R$2-1)*12+11)</f>
        <v>-1500.91035297801</v>
      </c>
      <c r="S17" s="35" t="n">
        <f aca="false">INDEX(Monthly!$C$47:$BJ$47,($R$2-1)*12+12)</f>
        <v>-1501.26088594246</v>
      </c>
    </row>
    <row r="18" customFormat="false" ht="15" hidden="false" customHeight="false" outlineLevel="0" collapsed="false">
      <c r="A18" s="51" t="s">
        <v>82</v>
      </c>
      <c r="B18" s="35" t="n">
        <f aca="false">'P&amp;L'!B25</f>
        <v>0</v>
      </c>
      <c r="C18" s="35" t="n">
        <f aca="false">'P&amp;L'!C25</f>
        <v>0</v>
      </c>
      <c r="D18" s="35" t="n">
        <f aca="false">'P&amp;L'!D25</f>
        <v>0</v>
      </c>
      <c r="E18" s="35" t="n">
        <f aca="false">'P&amp;L'!E25</f>
        <v>-4003.1107322469</v>
      </c>
      <c r="F18" s="35" t="n">
        <f aca="false">'P&amp;L'!F25</f>
        <v>-11466.4195441252</v>
      </c>
      <c r="H18" s="35" t="n">
        <f aca="false">INDEX(Monthly!$C$50:$BJ$50,($R$2-1)*12+1)</f>
        <v>-0</v>
      </c>
      <c r="I18" s="35" t="n">
        <f aca="false">INDEX(Monthly!$C$50:$BJ$50,($R$2-1)*12+2)</f>
        <v>-0</v>
      </c>
      <c r="J18" s="35" t="n">
        <f aca="false">INDEX(Monthly!$C$50:$BJ$50,($R$2-1)*12+3)</f>
        <v>-0</v>
      </c>
      <c r="K18" s="35" t="n">
        <f aca="false">INDEX(Monthly!$C$50:$BJ$50,($R$2-1)*12+4)</f>
        <v>-0</v>
      </c>
      <c r="L18" s="35" t="n">
        <f aca="false">INDEX(Monthly!$C$50:$BJ$50,($R$2-1)*12+5)</f>
        <v>-0</v>
      </c>
      <c r="M18" s="35" t="n">
        <f aca="false">INDEX(Monthly!$C$50:$BJ$50,($R$2-1)*12+6)</f>
        <v>-0</v>
      </c>
      <c r="N18" s="35" t="n">
        <f aca="false">INDEX(Monthly!$C$50:$BJ$50,($R$2-1)*12+7)</f>
        <v>-0</v>
      </c>
      <c r="O18" s="35" t="n">
        <f aca="false">INDEX(Monthly!$C$50:$BJ$50,($R$2-1)*12+8)</f>
        <v>-0</v>
      </c>
      <c r="P18" s="35" t="n">
        <f aca="false">INDEX(Monthly!$C$50:$BJ$50,($R$2-1)*12+9)</f>
        <v>-0</v>
      </c>
      <c r="Q18" s="35" t="n">
        <f aca="false">INDEX(Monthly!$C$50:$BJ$50,($R$2-1)*12+10)</f>
        <v>-0</v>
      </c>
      <c r="R18" s="35" t="n">
        <f aca="false">INDEX(Monthly!$C$50:$BJ$50,($R$2-1)*12+11)</f>
        <v>-0</v>
      </c>
      <c r="S18" s="35" t="n">
        <f aca="false">INDEX(Monthly!$C$50:$BJ$50,($R$2-1)*12+12)</f>
        <v>-0</v>
      </c>
    </row>
    <row r="19" customFormat="false" ht="15" hidden="false" customHeight="false" outlineLevel="0" collapsed="false">
      <c r="A19" s="40" t="s">
        <v>50</v>
      </c>
      <c r="B19" s="41" t="n">
        <f aca="false">'P&amp;L'!B26</f>
        <v>-70506.8073546142</v>
      </c>
      <c r="C19" s="41" t="n">
        <f aca="false">'P&amp;L'!C26</f>
        <v>17593.9128624215</v>
      </c>
      <c r="D19" s="41" t="n">
        <f aca="false">'P&amp;L'!D26</f>
        <v>29844.7755274138</v>
      </c>
      <c r="E19" s="41" t="n">
        <f aca="false">'P&amp;L'!E26</f>
        <v>38127.4402908506</v>
      </c>
      <c r="F19" s="41" t="n">
        <f aca="false">'P&amp;L'!F26</f>
        <v>43135.5782850426</v>
      </c>
      <c r="H19" s="41" t="n">
        <f aca="false">INDEX(Monthly!$C$51:$BJ$51,($R$2-1)*12+1)</f>
        <v>-14249.3168195556</v>
      </c>
      <c r="I19" s="41" t="n">
        <f aca="false">INDEX(Monthly!$C$51:$BJ$51,($R$2-1)*12+2)</f>
        <v>-12974.5721714573</v>
      </c>
      <c r="J19" s="41" t="n">
        <f aca="false">INDEX(Monthly!$C$51:$BJ$51,($R$2-1)*12+3)</f>
        <v>-11699.8065204168</v>
      </c>
      <c r="K19" s="41" t="n">
        <f aca="false">INDEX(Monthly!$C$51:$BJ$51,($R$2-1)*12+4)</f>
        <v>-10425.0197439171</v>
      </c>
      <c r="L19" s="41" t="n">
        <f aca="false">INDEX(Monthly!$C$51:$BJ$51,($R$2-1)*12+5)</f>
        <v>-9150.21171872624</v>
      </c>
      <c r="M19" s="41" t="n">
        <f aca="false">INDEX(Monthly!$C$51:$BJ$51,($R$2-1)*12+6)</f>
        <v>-2464.97282222688</v>
      </c>
      <c r="N19" s="41" t="n">
        <f aca="false">INDEX(Monthly!$C$51:$BJ$51,($R$2-1)*12+7)</f>
        <v>-726.372541478611</v>
      </c>
      <c r="O19" s="41" t="n">
        <f aca="false">INDEX(Monthly!$C$51:$BJ$51,($R$2-1)*12+8)</f>
        <v>1012.24936198626</v>
      </c>
      <c r="P19" s="41" t="n">
        <f aca="false">INDEX(Monthly!$C$51:$BJ$51,($R$2-1)*12+9)</f>
        <v>-4050.76464116646</v>
      </c>
      <c r="Q19" s="41" t="n">
        <f aca="false">INDEX(Monthly!$C$51:$BJ$51,($R$2-1)*12+10)</f>
        <v>-2775.8484987351</v>
      </c>
      <c r="R19" s="41" t="n">
        <f aca="false">INDEX(Monthly!$C$51:$BJ$51,($R$2-1)*12+11)</f>
        <v>-1500.91035297801</v>
      </c>
      <c r="S19" s="41" t="n">
        <f aca="false">INDEX(Monthly!$C$51:$BJ$51,($R$2-1)*12+12)</f>
        <v>-1501.26088594246</v>
      </c>
    </row>
    <row r="20" customFormat="false" ht="15" hidden="false" customHeight="false" outlineLevel="0" collapsed="false">
      <c r="A20" s="38" t="s">
        <v>51</v>
      </c>
      <c r="B20" s="39" t="n">
        <f aca="false">'P&amp;L'!B27</f>
        <v>-0.256440370750315</v>
      </c>
      <c r="C20" s="39" t="n">
        <f aca="false">'P&amp;L'!C27</f>
        <v>0.0443365657207265</v>
      </c>
      <c r="D20" s="39" t="n">
        <f aca="false">'P&amp;L'!D27</f>
        <v>0.071586401771251</v>
      </c>
      <c r="E20" s="39" t="n">
        <f aca="false">'P&amp;L'!E27</f>
        <v>0.0870487361282203</v>
      </c>
      <c r="F20" s="39" t="n">
        <f aca="false">'P&amp;L'!F27</f>
        <v>0.0937395897467586</v>
      </c>
      <c r="H20" s="39" t="n">
        <f aca="false">IF(H7=0,0,H19/H7)</f>
        <v>-1.23464149198131</v>
      </c>
      <c r="I20" s="39" t="n">
        <f aca="false">IF(I7=0,0,I19/I7)</f>
        <v>-0.977556867641969</v>
      </c>
      <c r="J20" s="39" t="n">
        <f aca="false">IF(J7=0,0,J19/J7)</f>
        <v>-0.779798064447223</v>
      </c>
      <c r="K20" s="39" t="n">
        <f aca="false">IF(K7=0,0,K19/K7)</f>
        <v>-0.622953613341452</v>
      </c>
      <c r="L20" s="39" t="n">
        <f aca="false">IF(L7=0,0,L19/L7)</f>
        <v>-0.495516346126191</v>
      </c>
      <c r="M20" s="39" t="n">
        <f aca="false">IF(M7=0,0,M19/M7)</f>
        <v>-0.0894998562985677</v>
      </c>
      <c r="N20" s="39" t="n">
        <f aca="false">IF(N7=0,0,N19/N7)</f>
        <v>-0.024291485214227</v>
      </c>
      <c r="O20" s="39" t="n">
        <f aca="false">IF(O7=0,0,O19/O7)</f>
        <v>0.0313748676190909</v>
      </c>
      <c r="P20" s="39" t="n">
        <f aca="false">IF(P7=0,0,P19/P7)</f>
        <v>-0.159536902191921</v>
      </c>
      <c r="Q20" s="39" t="n">
        <f aca="false">IF(Q7=0,0,Q19/Q7)</f>
        <v>-0.102346906974097</v>
      </c>
      <c r="R20" s="39" t="n">
        <f aca="false">IF(R7=0,0,R19/R7)</f>
        <v>-0.0520189485853195</v>
      </c>
      <c r="S20" s="39" t="n">
        <f aca="false">IF(S7=0,0,S19/S7)</f>
        <v>-0.0520310974496527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-19872.9311990587</v>
      </c>
      <c r="C24" s="37" t="n">
        <f aca="false">'Cash Flow'!C10</f>
        <v>64360.7346625593</v>
      </c>
      <c r="D24" s="37" t="n">
        <f aca="false">'Cash Flow'!D10</f>
        <v>77245.9246073052</v>
      </c>
      <c r="E24" s="37" t="n">
        <f aca="false">'Cash Flow'!E10</f>
        <v>86182.0133937512</v>
      </c>
      <c r="F24" s="37" t="n">
        <f aca="false">'Cash Flow'!F10</f>
        <v>91863.2484429036</v>
      </c>
      <c r="H24" s="37" t="n">
        <f aca="false">INDEX(Monthly!$C$83:$BJ$83,($R$2-1)*12+1)</f>
        <v>-6558.71080177778</v>
      </c>
      <c r="I24" s="37" t="n">
        <f aca="false">INDEX(Monthly!$C$83:$BJ$83,($R$2-1)*12+2)</f>
        <v>-9084.55071323503</v>
      </c>
      <c r="J24" s="37" t="n">
        <f aca="false">INDEX(Monthly!$C$83:$BJ$83,($R$2-1)*12+3)</f>
        <v>-7805.61839552794</v>
      </c>
      <c r="K24" s="37" t="n">
        <f aca="false">INDEX(Monthly!$C$83:$BJ$83,($R$2-1)*12+4)</f>
        <v>-6526.66495236155</v>
      </c>
      <c r="L24" s="37" t="n">
        <f aca="false">INDEX(Monthly!$C$83:$BJ$83,($R$2-1)*12+5)</f>
        <v>-5247.69026050402</v>
      </c>
      <c r="M24" s="37" t="n">
        <f aca="false">INDEX(Monthly!$C$83:$BJ$83,($R$2-1)*12+6)</f>
        <v>1764.70196043978</v>
      </c>
      <c r="N24" s="37" t="n">
        <f aca="false">INDEX(Monthly!$C$83:$BJ$83,($R$2-1)*12+7)</f>
        <v>3212.16682074361</v>
      </c>
      <c r="O24" s="37" t="n">
        <f aca="false">INDEX(Monthly!$C$83:$BJ$83,($R$2-1)*12+8)</f>
        <v>4954.95539087515</v>
      </c>
      <c r="P24" s="37" t="n">
        <f aca="false">INDEX(Monthly!$C$83:$BJ$83,($R$2-1)*12+9)</f>
        <v>-509.93231538868</v>
      </c>
      <c r="Q24" s="37" t="n">
        <f aca="false">INDEX(Monthly!$C$83:$BJ$83,($R$2-1)*12+10)</f>
        <v>1147.50629282046</v>
      </c>
      <c r="R24" s="37" t="n">
        <f aca="false">INDEX(Monthly!$C$83:$BJ$83,($R$2-1)*12+11)</f>
        <v>2426.61110524421</v>
      </c>
      <c r="S24" s="37" t="n">
        <f aca="false">INDEX(Monthly!$C$83:$BJ$83,($R$2-1)*12+12)</f>
        <v>2354.2946696131</v>
      </c>
    </row>
    <row r="25" customFormat="false" ht="15" hidden="false" customHeight="false" outlineLevel="0" collapsed="false">
      <c r="A25" s="51" t="s">
        <v>84</v>
      </c>
      <c r="B25" s="35" t="n">
        <f aca="false">'Cash Flow'!B11</f>
        <v>-874000</v>
      </c>
      <c r="C25" s="35" t="n">
        <f aca="false">'Cash Flow'!C11</f>
        <v>-9270</v>
      </c>
      <c r="D25" s="35" t="n">
        <f aca="false">'Cash Flow'!D11</f>
        <v>-9548.1</v>
      </c>
      <c r="E25" s="35" t="n">
        <f aca="false">'Cash Flow'!E11</f>
        <v>-9834.543</v>
      </c>
      <c r="F25" s="35" t="n">
        <f aca="false">'Cash Flow'!F11</f>
        <v>-10129.57929</v>
      </c>
      <c r="H25" s="35" t="n">
        <f aca="false">INDEX(Monthly!$C$84:$BJ$84,($R$2-1)*12+1)</f>
        <v>-865750</v>
      </c>
      <c r="I25" s="35" t="n">
        <f aca="false">INDEX(Monthly!$C$84:$BJ$84,($R$2-1)*12+2)</f>
        <v>-750</v>
      </c>
      <c r="J25" s="35" t="n">
        <f aca="false">INDEX(Monthly!$C$84:$BJ$84,($R$2-1)*12+3)</f>
        <v>-750</v>
      </c>
      <c r="K25" s="35" t="n">
        <f aca="false">INDEX(Monthly!$C$84:$BJ$84,($R$2-1)*12+4)</f>
        <v>-750</v>
      </c>
      <c r="L25" s="35" t="n">
        <f aca="false">INDEX(Monthly!$C$84:$BJ$84,($R$2-1)*12+5)</f>
        <v>-750</v>
      </c>
      <c r="M25" s="35" t="n">
        <f aca="false">INDEX(Monthly!$C$84:$BJ$84,($R$2-1)*12+6)</f>
        <v>-750</v>
      </c>
      <c r="N25" s="35" t="n">
        <f aca="false">INDEX(Monthly!$C$84:$BJ$84,($R$2-1)*12+7)</f>
        <v>-750</v>
      </c>
      <c r="O25" s="35" t="n">
        <f aca="false">INDEX(Monthly!$C$84:$BJ$84,($R$2-1)*12+8)</f>
        <v>-750</v>
      </c>
      <c r="P25" s="35" t="n">
        <f aca="false">INDEX(Monthly!$C$84:$BJ$84,($R$2-1)*12+9)</f>
        <v>-750</v>
      </c>
      <c r="Q25" s="35" t="n">
        <f aca="false">INDEX(Monthly!$C$84:$BJ$84,($R$2-1)*12+10)</f>
        <v>-750</v>
      </c>
      <c r="R25" s="35" t="n">
        <f aca="false">INDEX(Monthly!$C$84:$BJ$84,($R$2-1)*12+11)</f>
        <v>-750</v>
      </c>
      <c r="S25" s="35" t="n">
        <f aca="false">INDEX(Monthly!$C$84:$BJ$84,($R$2-1)*12+12)</f>
        <v>-750</v>
      </c>
    </row>
    <row r="26" customFormat="false" ht="15" hidden="false" customHeight="false" outlineLevel="0" collapsed="false">
      <c r="A26" s="51" t="s">
        <v>64</v>
      </c>
      <c r="B26" s="35" t="n">
        <f aca="false">'Cash Flow'!B12</f>
        <v>430000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INDEX(Monthly!$C$85:$BJ$85,($R$2-1)*12+1)</f>
        <v>430000</v>
      </c>
      <c r="I26" s="35" t="n">
        <f aca="false">INDEX(Monthly!$C$85:$BJ$85,($R$2-1)*12+2)</f>
        <v>0</v>
      </c>
      <c r="J26" s="35" t="n">
        <f aca="false">INDEX(Monthly!$C$85:$BJ$85,($R$2-1)*12+3)</f>
        <v>0</v>
      </c>
      <c r="K26" s="35" t="n">
        <f aca="false">INDEX(Monthly!$C$85:$BJ$85,($R$2-1)*12+4)</f>
        <v>0</v>
      </c>
      <c r="L26" s="35" t="n">
        <f aca="false">INDEX(Monthly!$C$85:$BJ$85,($R$2-1)*12+5)</f>
        <v>0</v>
      </c>
      <c r="M26" s="35" t="n">
        <f aca="false">INDEX(Monthly!$C$85:$BJ$85,($R$2-1)*12+6)</f>
        <v>0</v>
      </c>
      <c r="N26" s="35" t="n">
        <f aca="false">INDEX(Monthly!$C$85:$BJ$85,($R$2-1)*12+7)</f>
        <v>0</v>
      </c>
      <c r="O26" s="35" t="n">
        <f aca="false">INDEX(Monthly!$C$85:$BJ$85,($R$2-1)*12+8)</f>
        <v>0</v>
      </c>
      <c r="P26" s="35" t="n">
        <f aca="false">INDEX(Monthly!$C$85:$BJ$85,($R$2-1)*12+9)</f>
        <v>0</v>
      </c>
      <c r="Q26" s="35" t="n">
        <f aca="false">INDEX(Monthly!$C$85:$BJ$85,($R$2-1)*12+10)</f>
        <v>0</v>
      </c>
      <c r="R26" s="35" t="n">
        <f aca="false">INDEX(Monthly!$C$85:$BJ$85,($R$2-1)*12+11)</f>
        <v>0</v>
      </c>
      <c r="S26" s="35" t="n">
        <f aca="false">INDEX(Monthly!$C$85:$BJ$85,($R$2-1)*12+12)</f>
        <v>0</v>
      </c>
    </row>
    <row r="27" customFormat="false" ht="15" hidden="false" customHeight="false" outlineLevel="0" collapsed="false">
      <c r="A27" s="51" t="s">
        <v>85</v>
      </c>
      <c r="B27" s="35" t="n">
        <f aca="false">'Cash Flow'!B13</f>
        <v>500000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INDEX(Monthly!$C$68:$BJ$68,($R$2-1)*12+1)</f>
        <v>500000</v>
      </c>
      <c r="I27" s="35" t="n">
        <f aca="false">INDEX(Monthly!$C$68:$BJ$68,($R$2-1)*12+2)</f>
        <v>0</v>
      </c>
      <c r="J27" s="35" t="n">
        <f aca="false">INDEX(Monthly!$C$68:$BJ$68,($R$2-1)*12+3)</f>
        <v>0</v>
      </c>
      <c r="K27" s="35" t="n">
        <f aca="false">INDEX(Monthly!$C$68:$BJ$68,($R$2-1)*12+4)</f>
        <v>0</v>
      </c>
      <c r="L27" s="35" t="n">
        <f aca="false">INDEX(Monthly!$C$68:$BJ$68,($R$2-1)*12+5)</f>
        <v>0</v>
      </c>
      <c r="M27" s="35" t="n">
        <f aca="false">INDEX(Monthly!$C$68:$BJ$68,($R$2-1)*12+6)</f>
        <v>0</v>
      </c>
      <c r="N27" s="35" t="n">
        <f aca="false">INDEX(Monthly!$C$68:$BJ$68,($R$2-1)*12+7)</f>
        <v>0</v>
      </c>
      <c r="O27" s="35" t="n">
        <f aca="false">INDEX(Monthly!$C$68:$BJ$68,($R$2-1)*12+8)</f>
        <v>0</v>
      </c>
      <c r="P27" s="35" t="n">
        <f aca="false">INDEX(Monthly!$C$68:$BJ$68,($R$2-1)*12+9)</f>
        <v>0</v>
      </c>
      <c r="Q27" s="35" t="n">
        <f aca="false">INDEX(Monthly!$C$68:$BJ$68,($R$2-1)*12+10)</f>
        <v>0</v>
      </c>
      <c r="R27" s="35" t="n">
        <f aca="false">INDEX(Monthly!$C$68:$BJ$68,($R$2-1)*12+11)</f>
        <v>0</v>
      </c>
      <c r="S27" s="35" t="n">
        <f aca="false">INDEX(Monthly!$C$68:$BJ$68,($R$2-1)*12+12)</f>
        <v>0</v>
      </c>
    </row>
    <row r="28" customFormat="false" ht="15" hidden="false" customHeight="false" outlineLevel="0" collapsed="false">
      <c r="A28" s="51" t="s">
        <v>86</v>
      </c>
      <c r="B28" s="35" t="n">
        <f aca="false">'Cash Flow'!B14</f>
        <v>-7649.06698775793</v>
      </c>
      <c r="C28" s="35" t="n">
        <f aca="false">'Cash Flow'!C14</f>
        <v>-8202.01865877771</v>
      </c>
      <c r="D28" s="35" t="n">
        <f aca="false">'Cash Flow'!D14</f>
        <v>-8794.94325080511</v>
      </c>
      <c r="E28" s="35" t="n">
        <f aca="false">'Cash Flow'!E14</f>
        <v>-9430.73040953182</v>
      </c>
      <c r="F28" s="35" t="n">
        <f aca="false">'Cash Flow'!F14</f>
        <v>-10112.4786733702</v>
      </c>
      <c r="H28" s="35" t="n">
        <f aca="false">INDEX(Monthly!$C$70:$BJ$70,($R$2-1)*12+1)</f>
        <v>-617.229319708792</v>
      </c>
      <c r="I28" s="35" t="n">
        <f aca="false">INDEX(Monthly!$C$70:$BJ$70,($R$2-1)*12+2)</f>
        <v>-620.82982407376</v>
      </c>
      <c r="J28" s="35" t="n">
        <f aca="false">INDEX(Monthly!$C$70:$BJ$70,($R$2-1)*12+3)</f>
        <v>-624.451331380857</v>
      </c>
      <c r="K28" s="35" t="n">
        <f aca="false">INDEX(Monthly!$C$70:$BJ$70,($R$2-1)*12+4)</f>
        <v>-628.093964147245</v>
      </c>
      <c r="L28" s="35" t="n">
        <f aca="false">INDEX(Monthly!$C$70:$BJ$70,($R$2-1)*12+5)</f>
        <v>-631.757845604771</v>
      </c>
      <c r="M28" s="35" t="n">
        <f aca="false">INDEX(Monthly!$C$70:$BJ$70,($R$2-1)*12+6)</f>
        <v>-635.443099704132</v>
      </c>
      <c r="N28" s="35" t="n">
        <f aca="false">INDEX(Monthly!$C$70:$BJ$70,($R$2-1)*12+7)</f>
        <v>-639.149851119073</v>
      </c>
      <c r="O28" s="35" t="n">
        <f aca="false">INDEX(Monthly!$C$70:$BJ$70,($R$2-1)*12+8)</f>
        <v>-642.878225250601</v>
      </c>
      <c r="P28" s="35" t="n">
        <f aca="false">INDEX(Monthly!$C$70:$BJ$70,($R$2-1)*12+9)</f>
        <v>-646.62834823123</v>
      </c>
      <c r="Q28" s="35" t="n">
        <f aca="false">INDEX(Monthly!$C$70:$BJ$70,($R$2-1)*12+10)</f>
        <v>-650.400346929245</v>
      </c>
      <c r="R28" s="35" t="n">
        <f aca="false">INDEX(Monthly!$C$70:$BJ$70,($R$2-1)*12+11)</f>
        <v>-654.194348952999</v>
      </c>
      <c r="S28" s="35" t="n">
        <f aca="false">INDEX(Monthly!$C$70:$BJ$70,($R$2-1)*12+12)</f>
        <v>-658.010482655225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922350.933012242</v>
      </c>
      <c r="C29" s="37" t="n">
        <f aca="false">'Cash Flow'!C15</f>
        <v>-8202.01865877771</v>
      </c>
      <c r="D29" s="37" t="n">
        <f aca="false">'Cash Flow'!D15</f>
        <v>-8794.94325080511</v>
      </c>
      <c r="E29" s="37" t="n">
        <f aca="false">'Cash Flow'!E15</f>
        <v>-9430.73040953182</v>
      </c>
      <c r="F29" s="37" t="n">
        <f aca="false">'Cash Flow'!F15</f>
        <v>-10112.4786733702</v>
      </c>
      <c r="H29" s="37" t="n">
        <f aca="false">INDEX(Monthly!$C$86:$BJ$86,($R$2-1)*12+1)</f>
        <v>929382.770680291</v>
      </c>
      <c r="I29" s="37" t="n">
        <f aca="false">INDEX(Monthly!$C$86:$BJ$86,($R$2-1)*12+2)</f>
        <v>-620.82982407376</v>
      </c>
      <c r="J29" s="37" t="n">
        <f aca="false">INDEX(Monthly!$C$86:$BJ$86,($R$2-1)*12+3)</f>
        <v>-624.451331380857</v>
      </c>
      <c r="K29" s="37" t="n">
        <f aca="false">INDEX(Monthly!$C$86:$BJ$86,($R$2-1)*12+4)</f>
        <v>-628.093964147245</v>
      </c>
      <c r="L29" s="37" t="n">
        <f aca="false">INDEX(Monthly!$C$86:$BJ$86,($R$2-1)*12+5)</f>
        <v>-631.757845604771</v>
      </c>
      <c r="M29" s="37" t="n">
        <f aca="false">INDEX(Monthly!$C$86:$BJ$86,($R$2-1)*12+6)</f>
        <v>-635.443099704132</v>
      </c>
      <c r="N29" s="37" t="n">
        <f aca="false">INDEX(Monthly!$C$86:$BJ$86,($R$2-1)*12+7)</f>
        <v>-639.149851119073</v>
      </c>
      <c r="O29" s="37" t="n">
        <f aca="false">INDEX(Monthly!$C$86:$BJ$86,($R$2-1)*12+8)</f>
        <v>-642.878225250601</v>
      </c>
      <c r="P29" s="37" t="n">
        <f aca="false">INDEX(Monthly!$C$86:$BJ$86,($R$2-1)*12+9)</f>
        <v>-646.62834823123</v>
      </c>
      <c r="Q29" s="37" t="n">
        <f aca="false">INDEX(Monthly!$C$86:$BJ$86,($R$2-1)*12+10)</f>
        <v>-650.400346929245</v>
      </c>
      <c r="R29" s="37" t="n">
        <f aca="false">INDEX(Monthly!$C$86:$BJ$86,($R$2-1)*12+11)</f>
        <v>-654.194348952999</v>
      </c>
      <c r="S29" s="37" t="n">
        <f aca="false">INDEX(Monthly!$C$86:$BJ$86,($R$2-1)*12+12)</f>
        <v>-658.010482655225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28478.0018131834</v>
      </c>
      <c r="C30" s="37" t="n">
        <f aca="false">'Cash Flow'!C16</f>
        <v>46888.7160037816</v>
      </c>
      <c r="D30" s="37" t="n">
        <f aca="false">'Cash Flow'!D16</f>
        <v>58902.8813565001</v>
      </c>
      <c r="E30" s="37" t="n">
        <f aca="false">'Cash Flow'!E16</f>
        <v>66916.7399842194</v>
      </c>
      <c r="F30" s="37" t="n">
        <f aca="false">'Cash Flow'!F16</f>
        <v>71621.1904795334</v>
      </c>
      <c r="H30" s="37" t="n">
        <f aca="false">INDEX(Monthly!$C$87:$BJ$87,($R$2-1)*12+1)</f>
        <v>57074.0598785135</v>
      </c>
      <c r="I30" s="37" t="n">
        <f aca="false">INDEX(Monthly!$C$87:$BJ$87,($R$2-1)*12+2)</f>
        <v>-10455.3805373088</v>
      </c>
      <c r="J30" s="37" t="n">
        <f aca="false">INDEX(Monthly!$C$87:$BJ$87,($R$2-1)*12+3)</f>
        <v>-9180.06972690879</v>
      </c>
      <c r="K30" s="37" t="n">
        <f aca="false">INDEX(Monthly!$C$87:$BJ$87,($R$2-1)*12+4)</f>
        <v>-7904.75891650879</v>
      </c>
      <c r="L30" s="37" t="n">
        <f aca="false">INDEX(Monthly!$C$87:$BJ$87,($R$2-1)*12+5)</f>
        <v>-6629.44810610879</v>
      </c>
      <c r="M30" s="37" t="n">
        <f aca="false">INDEX(Monthly!$C$87:$BJ$87,($R$2-1)*12+6)</f>
        <v>379.258860735652</v>
      </c>
      <c r="N30" s="37" t="n">
        <f aca="false">INDEX(Monthly!$C$87:$BJ$87,($R$2-1)*12+7)</f>
        <v>1823.01696962454</v>
      </c>
      <c r="O30" s="37" t="n">
        <f aca="false">INDEX(Monthly!$C$87:$BJ$87,($R$2-1)*12+8)</f>
        <v>3562.07716562455</v>
      </c>
      <c r="P30" s="37" t="n">
        <f aca="false">INDEX(Monthly!$C$87:$BJ$87,($R$2-1)*12+9)</f>
        <v>-1906.56066361991</v>
      </c>
      <c r="Q30" s="37" t="n">
        <f aca="false">INDEX(Monthly!$C$87:$BJ$87,($R$2-1)*12+10)</f>
        <v>-252.894054108789</v>
      </c>
      <c r="R30" s="37" t="n">
        <f aca="false">INDEX(Monthly!$C$87:$BJ$87,($R$2-1)*12+11)</f>
        <v>1022.41675629121</v>
      </c>
      <c r="S30" s="37" t="n">
        <f aca="false">INDEX(Monthly!$C$87:$BJ$87,($R$2-1)*12+12)</f>
        <v>946.284186957875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28478.0018131834</v>
      </c>
      <c r="C31" s="41" t="n">
        <f aca="false">'Cash Flow'!C18</f>
        <v>75366.717816965</v>
      </c>
      <c r="D31" s="41" t="n">
        <f aca="false">'Cash Flow'!D18</f>
        <v>134269.599173465</v>
      </c>
      <c r="E31" s="41" t="n">
        <f aca="false">'Cash Flow'!E18</f>
        <v>201186.339157684</v>
      </c>
      <c r="F31" s="41" t="n">
        <f aca="false">'Cash Flow'!F18</f>
        <v>272807.529637218</v>
      </c>
      <c r="H31" s="41" t="n">
        <f aca="false">INDEX(Monthly!$C$89:$BJ$89,($R$2-1)*12+1)</f>
        <v>57074.0598785135</v>
      </c>
      <c r="I31" s="41" t="n">
        <f aca="false">INDEX(Monthly!$C$89:$BJ$89,($R$2-1)*12+2)</f>
        <v>46618.6793412047</v>
      </c>
      <c r="J31" s="41" t="n">
        <f aca="false">INDEX(Monthly!$C$89:$BJ$89,($R$2-1)*12+3)</f>
        <v>37438.6096142959</v>
      </c>
      <c r="K31" s="41" t="n">
        <f aca="false">INDEX(Monthly!$C$89:$BJ$89,($R$2-1)*12+4)</f>
        <v>29533.8506977871</v>
      </c>
      <c r="L31" s="41" t="n">
        <f aca="false">INDEX(Monthly!$C$89:$BJ$89,($R$2-1)*12+5)</f>
        <v>22904.4025916783</v>
      </c>
      <c r="M31" s="41" t="n">
        <f aca="false">INDEX(Monthly!$C$89:$BJ$89,($R$2-1)*12+6)</f>
        <v>23283.6614524139</v>
      </c>
      <c r="N31" s="41" t="n">
        <f aca="false">INDEX(Monthly!$C$89:$BJ$89,($R$2-1)*12+7)</f>
        <v>25106.6784220385</v>
      </c>
      <c r="O31" s="41" t="n">
        <f aca="false">INDEX(Monthly!$C$89:$BJ$89,($R$2-1)*12+8)</f>
        <v>28668.755587663</v>
      </c>
      <c r="P31" s="41" t="n">
        <f aca="false">INDEX(Monthly!$C$89:$BJ$89,($R$2-1)*12+9)</f>
        <v>26762.1949240431</v>
      </c>
      <c r="Q31" s="41" t="n">
        <f aca="false">INDEX(Monthly!$C$89:$BJ$89,($R$2-1)*12+10)</f>
        <v>26509.3008699343</v>
      </c>
      <c r="R31" s="41" t="n">
        <f aca="false">INDEX(Monthly!$C$89:$BJ$89,($R$2-1)*12+11)</f>
        <v>27531.7176262255</v>
      </c>
      <c r="S31" s="41" t="n">
        <f aca="false">INDEX(Monthly!$C$89:$BJ$89,($R$2-1)*12+12)</f>
        <v>28478.0018131834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89</v>
      </c>
      <c r="B41" s="35" t="n">
        <f aca="false">'Balance Sheet'!B5</f>
        <v>28478.0018131834</v>
      </c>
      <c r="C41" s="35" t="n">
        <f aca="false">'Balance Sheet'!C5</f>
        <v>75366.717816965</v>
      </c>
      <c r="D41" s="35" t="n">
        <f aca="false">'Balance Sheet'!D5</f>
        <v>134269.599173465</v>
      </c>
      <c r="E41" s="35" t="n">
        <f aca="false">'Balance Sheet'!E5</f>
        <v>201186.339157684</v>
      </c>
      <c r="F41" s="35" t="n">
        <f aca="false">'Balance Sheet'!F5</f>
        <v>272807.529637218</v>
      </c>
      <c r="H41" s="35" t="n">
        <f aca="false">INDEX(Monthly!$C$89:$BJ$89,($R$2-1)*12+1)</f>
        <v>57074.0598785135</v>
      </c>
      <c r="I41" s="35" t="n">
        <f aca="false">INDEX(Monthly!$C$89:$BJ$89,($R$2-1)*12+2)</f>
        <v>46618.6793412047</v>
      </c>
      <c r="J41" s="35" t="n">
        <f aca="false">INDEX(Monthly!$C$89:$BJ$89,($R$2-1)*12+3)</f>
        <v>37438.6096142959</v>
      </c>
      <c r="K41" s="35" t="n">
        <f aca="false">INDEX(Monthly!$C$89:$BJ$89,($R$2-1)*12+4)</f>
        <v>29533.8506977871</v>
      </c>
      <c r="L41" s="35" t="n">
        <f aca="false">INDEX(Monthly!$C$89:$BJ$89,($R$2-1)*12+5)</f>
        <v>22904.4025916783</v>
      </c>
      <c r="M41" s="35" t="n">
        <f aca="false">INDEX(Monthly!$C$89:$BJ$89,($R$2-1)*12+6)</f>
        <v>23283.6614524139</v>
      </c>
      <c r="N41" s="35" t="n">
        <f aca="false">INDEX(Monthly!$C$89:$BJ$89,($R$2-1)*12+7)</f>
        <v>25106.6784220385</v>
      </c>
      <c r="O41" s="35" t="n">
        <f aca="false">INDEX(Monthly!$C$89:$BJ$89,($R$2-1)*12+8)</f>
        <v>28668.755587663</v>
      </c>
      <c r="P41" s="35" t="n">
        <f aca="false">INDEX(Monthly!$C$89:$BJ$89,($R$2-1)*12+9)</f>
        <v>26762.1949240431</v>
      </c>
      <c r="Q41" s="35" t="n">
        <f aca="false">INDEX(Monthly!$C$89:$BJ$89,($R$2-1)*12+10)</f>
        <v>26509.3008699343</v>
      </c>
      <c r="R41" s="35" t="n">
        <f aca="false">INDEX(Monthly!$C$89:$BJ$89,($R$2-1)*12+11)</f>
        <v>27531.7176262255</v>
      </c>
      <c r="S41" s="35" t="n">
        <f aca="false">INDEX(Monthly!$C$89:$BJ$89,($R$2-1)*12+12)</f>
        <v>28478.0018131834</v>
      </c>
    </row>
    <row r="42" customFormat="false" ht="15" hidden="false" customHeight="false" outlineLevel="0" collapsed="false">
      <c r="A42" s="51" t="s">
        <v>90</v>
      </c>
      <c r="B42" s="35" t="n">
        <f aca="false">'Balance Sheet'!B6</f>
        <v>2885.31466666667</v>
      </c>
      <c r="C42" s="35" t="n">
        <f aca="false">'Balance Sheet'!C6</f>
        <v>3031.3115888</v>
      </c>
      <c r="D42" s="35" t="n">
        <f aca="false">'Balance Sheet'!D6</f>
        <v>3184.69595519328</v>
      </c>
      <c r="E42" s="35" t="n">
        <f aca="false">'Balance Sheet'!E6</f>
        <v>3345.84157052606</v>
      </c>
      <c r="F42" s="35" t="n">
        <f aca="false">'Balance Sheet'!F6</f>
        <v>3515.14115399468</v>
      </c>
      <c r="H42" s="35" t="n">
        <f aca="false">INDEX(Monthly!$C$75:$BJ$75,($R$2-1)*12+1)</f>
        <v>1154.12586666667</v>
      </c>
      <c r="I42" s="35" t="n">
        <f aca="false">INDEX(Monthly!$C$75:$BJ$75,($R$2-1)*12+2)</f>
        <v>1327.24474666667</v>
      </c>
      <c r="J42" s="35" t="n">
        <f aca="false">INDEX(Monthly!$C$75:$BJ$75,($R$2-1)*12+3)</f>
        <v>1500.36362666667</v>
      </c>
      <c r="K42" s="35" t="n">
        <f aca="false">INDEX(Monthly!$C$75:$BJ$75,($R$2-1)*12+4)</f>
        <v>1673.48250666667</v>
      </c>
      <c r="L42" s="35" t="n">
        <f aca="false">INDEX(Monthly!$C$75:$BJ$75,($R$2-1)*12+5)</f>
        <v>1846.60138666667</v>
      </c>
      <c r="M42" s="35" t="n">
        <f aca="false">INDEX(Monthly!$C$75:$BJ$75,($R$2-1)*12+6)</f>
        <v>2754.164</v>
      </c>
      <c r="N42" s="35" t="n">
        <f aca="false">INDEX(Monthly!$C$75:$BJ$75,($R$2-1)*12+7)</f>
        <v>2990.2352</v>
      </c>
      <c r="O42" s="35" t="n">
        <f aca="false">INDEX(Monthly!$C$75:$BJ$75,($R$2-1)*12+8)</f>
        <v>3226.3064</v>
      </c>
      <c r="P42" s="35" t="n">
        <f aca="false">INDEX(Monthly!$C$75:$BJ$75,($R$2-1)*12+9)</f>
        <v>2539.07690666667</v>
      </c>
      <c r="Q42" s="35" t="n">
        <f aca="false">INDEX(Monthly!$C$75:$BJ$75,($R$2-1)*12+10)</f>
        <v>2712.19578666667</v>
      </c>
      <c r="R42" s="35" t="n">
        <f aca="false">INDEX(Monthly!$C$75:$BJ$75,($R$2-1)*12+11)</f>
        <v>2885.31466666667</v>
      </c>
      <c r="S42" s="35" t="n">
        <f aca="false">INDEX(Monthly!$C$75:$BJ$75,($R$2-1)*12+12)</f>
        <v>2885.31466666667</v>
      </c>
    </row>
    <row r="43" customFormat="false" ht="15" hidden="false" customHeight="false" outlineLevel="0" collapsed="false">
      <c r="A43" s="51" t="s">
        <v>91</v>
      </c>
      <c r="B43" s="35" t="n">
        <f aca="false">'Balance Sheet'!B7</f>
        <v>1026.48056666667</v>
      </c>
      <c r="C43" s="35" t="n">
        <f aca="false">'Balance Sheet'!C7</f>
        <v>1068.94448334</v>
      </c>
      <c r="D43" s="35" t="n">
        <f aca="false">'Balance Sheet'!D7</f>
        <v>1113.272794197</v>
      </c>
      <c r="E43" s="35" t="n">
        <f aca="false">'Balance Sheet'!E7</f>
        <v>1159.55130918337</v>
      </c>
      <c r="F43" s="35" t="n">
        <f aca="false">'Balance Sheet'!F7</f>
        <v>1207.86992437605</v>
      </c>
      <c r="H43" s="35" t="n">
        <f aca="false">INDEX(Monthly!$C$76:$BJ$76,($R$2-1)*12+1)</f>
        <v>686.592226666667</v>
      </c>
      <c r="I43" s="35" t="n">
        <f aca="false">INDEX(Monthly!$C$76:$BJ$76,($R$2-1)*12+2)</f>
        <v>720.581060666667</v>
      </c>
      <c r="J43" s="35" t="n">
        <f aca="false">INDEX(Monthly!$C$76:$BJ$76,($R$2-1)*12+3)</f>
        <v>754.569894666667</v>
      </c>
      <c r="K43" s="35" t="n">
        <f aca="false">INDEX(Monthly!$C$76:$BJ$76,($R$2-1)*12+4)</f>
        <v>788.558728666667</v>
      </c>
      <c r="L43" s="35" t="n">
        <f aca="false">INDEX(Monthly!$C$76:$BJ$76,($R$2-1)*12+5)</f>
        <v>822.547562666667</v>
      </c>
      <c r="M43" s="35" t="n">
        <f aca="false">INDEX(Monthly!$C$76:$BJ$76,($R$2-1)*12+6)</f>
        <v>1000.73145</v>
      </c>
      <c r="N43" s="35" t="n">
        <f aca="false">INDEX(Monthly!$C$76:$BJ$76,($R$2-1)*12+7)</f>
        <v>1047.07986</v>
      </c>
      <c r="O43" s="35" t="n">
        <f aca="false">INDEX(Monthly!$C$76:$BJ$76,($R$2-1)*12+8)</f>
        <v>1093.42827</v>
      </c>
      <c r="P43" s="35" t="n">
        <f aca="false">INDEX(Monthly!$C$76:$BJ$76,($R$2-1)*12+9)</f>
        <v>958.502898666667</v>
      </c>
      <c r="Q43" s="35" t="n">
        <f aca="false">INDEX(Monthly!$C$76:$BJ$76,($R$2-1)*12+10)</f>
        <v>992.491732666667</v>
      </c>
      <c r="R43" s="35" t="n">
        <f aca="false">INDEX(Monthly!$C$76:$BJ$76,($R$2-1)*12+11)</f>
        <v>1026.48056666667</v>
      </c>
      <c r="S43" s="35" t="n">
        <f aca="false">INDEX(Monthly!$C$76:$BJ$76,($R$2-1)*12+12)</f>
        <v>1026.48056666667</v>
      </c>
    </row>
    <row r="44" customFormat="false" ht="15" hidden="false" customHeight="false" outlineLevel="0" collapsed="false">
      <c r="A44" s="51" t="s">
        <v>92</v>
      </c>
      <c r="B44" s="35" t="n">
        <f aca="false">'Balance Sheet'!B8</f>
        <v>828008.333333333</v>
      </c>
      <c r="C44" s="35" t="n">
        <f aca="false">'Balance Sheet'!C8</f>
        <v>790676.916666667</v>
      </c>
      <c r="D44" s="35" t="n">
        <f aca="false">'Balance Sheet'!D8</f>
        <v>752995.557500001</v>
      </c>
      <c r="E44" s="35" t="n">
        <f aca="false">'Balance Sheet'!E8</f>
        <v>714953.757558334</v>
      </c>
      <c r="F44" s="35" t="n">
        <f aca="false">'Balance Sheet'!F8</f>
        <v>676540.703618417</v>
      </c>
      <c r="H44" s="35" t="n">
        <f aca="false">INDEX(Monthly!$C$64:$BJ$64,($R$2-1)*12+1)</f>
        <v>861940.277777778</v>
      </c>
      <c r="I44" s="35" t="n">
        <f aca="false">INDEX(Monthly!$C$64:$BJ$64,($R$2-1)*12+2)</f>
        <v>858876.388888889</v>
      </c>
      <c r="J44" s="35" t="n">
        <f aca="false">INDEX(Monthly!$C$64:$BJ$64,($R$2-1)*12+3)</f>
        <v>855808.333333333</v>
      </c>
      <c r="K44" s="35" t="n">
        <f aca="false">INDEX(Monthly!$C$64:$BJ$64,($R$2-1)*12+4)</f>
        <v>852736.111111111</v>
      </c>
      <c r="L44" s="35" t="n">
        <f aca="false">INDEX(Monthly!$C$64:$BJ$64,($R$2-1)*12+5)</f>
        <v>849659.722222222</v>
      </c>
      <c r="M44" s="35" t="n">
        <f aca="false">INDEX(Monthly!$C$64:$BJ$64,($R$2-1)*12+6)</f>
        <v>846579.166666667</v>
      </c>
      <c r="N44" s="35" t="n">
        <f aca="false">INDEX(Monthly!$C$64:$BJ$64,($R$2-1)*12+7)</f>
        <v>843494.444444445</v>
      </c>
      <c r="O44" s="35" t="n">
        <f aca="false">INDEX(Monthly!$C$64:$BJ$64,($R$2-1)*12+8)</f>
        <v>840405.555555556</v>
      </c>
      <c r="P44" s="35" t="n">
        <f aca="false">INDEX(Monthly!$C$64:$BJ$64,($R$2-1)*12+9)</f>
        <v>837312.5</v>
      </c>
      <c r="Q44" s="35" t="n">
        <f aca="false">INDEX(Monthly!$C$64:$BJ$64,($R$2-1)*12+10)</f>
        <v>834215.277777778</v>
      </c>
      <c r="R44" s="35" t="n">
        <f aca="false">INDEX(Monthly!$C$64:$BJ$64,($R$2-1)*12+11)</f>
        <v>831113.888888889</v>
      </c>
      <c r="S44" s="35" t="n">
        <f aca="false">INDEX(Monthly!$C$64:$BJ$64,($R$2-1)*12+12)</f>
        <v>828008.333333333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860398.13037985</v>
      </c>
      <c r="C45" s="37" t="n">
        <f aca="false">'Balance Sheet'!C9</f>
        <v>870143.890555772</v>
      </c>
      <c r="D45" s="37" t="n">
        <f aca="false">'Balance Sheet'!D9</f>
        <v>891563.125422856</v>
      </c>
      <c r="E45" s="37" t="n">
        <f aca="false">'Balance Sheet'!E9</f>
        <v>920645.489595727</v>
      </c>
      <c r="F45" s="37" t="n">
        <f aca="false">'Balance Sheet'!F9</f>
        <v>954071.244334005</v>
      </c>
      <c r="H45" s="37" t="n">
        <f aca="false">INDEX(Monthly!$C$103:$BJ$103,($R$2-1)*12+1)</f>
        <v>920855.055749625</v>
      </c>
      <c r="I45" s="37" t="n">
        <f aca="false">INDEX(Monthly!$C$103:$BJ$103,($R$2-1)*12+2)</f>
        <v>907542.894037427</v>
      </c>
      <c r="J45" s="37" t="n">
        <f aca="false">INDEX(Monthly!$C$103:$BJ$103,($R$2-1)*12+3)</f>
        <v>895501.876468963</v>
      </c>
      <c r="K45" s="37" t="n">
        <f aca="false">INDEX(Monthly!$C$103:$BJ$103,($R$2-1)*12+4)</f>
        <v>884732.003044232</v>
      </c>
      <c r="L45" s="37" t="n">
        <f aca="false">INDEX(Monthly!$C$103:$BJ$103,($R$2-1)*12+5)</f>
        <v>875233.273763234</v>
      </c>
      <c r="M45" s="37" t="n">
        <f aca="false">INDEX(Monthly!$C$103:$BJ$103,($R$2-1)*12+6)</f>
        <v>873617.723569081</v>
      </c>
      <c r="N45" s="37" t="n">
        <f aca="false">INDEX(Monthly!$C$103:$BJ$103,($R$2-1)*12+7)</f>
        <v>872638.437926483</v>
      </c>
      <c r="O45" s="37" t="n">
        <f aca="false">INDEX(Monthly!$C$103:$BJ$103,($R$2-1)*12+8)</f>
        <v>873394.045813219</v>
      </c>
      <c r="P45" s="37" t="n">
        <f aca="false">INDEX(Monthly!$C$103:$BJ$103,($R$2-1)*12+9)</f>
        <v>867572.274729376</v>
      </c>
      <c r="Q45" s="37" t="n">
        <f aca="false">INDEX(Monthly!$C$103:$BJ$103,($R$2-1)*12+10)</f>
        <v>864429.266167045</v>
      </c>
      <c r="R45" s="37" t="n">
        <f aca="false">INDEX(Monthly!$C$103:$BJ$103,($R$2-1)*12+11)</f>
        <v>862557.401748448</v>
      </c>
      <c r="S45" s="37" t="n">
        <f aca="false">INDEX(Monthly!$C$103:$BJ$103,($R$2-1)*12+12)</f>
        <v>860398.13037985</v>
      </c>
    </row>
    <row r="46" customFormat="false" ht="15" hidden="false" customHeight="false" outlineLevel="0" collapsed="false">
      <c r="A46" s="51" t="s">
        <v>94</v>
      </c>
      <c r="B46" s="35" t="n">
        <f aca="false">'Balance Sheet'!B10</f>
        <v>8554.00472222222</v>
      </c>
      <c r="C46" s="35" t="n">
        <f aca="false">'Balance Sheet'!C10</f>
        <v>8907.8706945</v>
      </c>
      <c r="D46" s="35" t="n">
        <f aca="false">'Balance Sheet'!D10</f>
        <v>9277.27328497503</v>
      </c>
      <c r="E46" s="35" t="n">
        <f aca="false">'Balance Sheet'!E10</f>
        <v>9662.92757652811</v>
      </c>
      <c r="F46" s="35" t="n">
        <f aca="false">'Balance Sheet'!F10</f>
        <v>10065.5827031338</v>
      </c>
      <c r="H46" s="35" t="n">
        <f aca="false">INDEX(Monthly!$C$77:$BJ$77,($R$2-1)*12+1)</f>
        <v>5721.60188888889</v>
      </c>
      <c r="I46" s="35" t="n">
        <f aca="false">INDEX(Monthly!$C$77:$BJ$77,($R$2-1)*12+2)</f>
        <v>6004.84217222222</v>
      </c>
      <c r="J46" s="35" t="n">
        <f aca="false">INDEX(Monthly!$C$77:$BJ$77,($R$2-1)*12+3)</f>
        <v>6288.08245555556</v>
      </c>
      <c r="K46" s="35" t="n">
        <f aca="false">INDEX(Monthly!$C$77:$BJ$77,($R$2-1)*12+4)</f>
        <v>6571.32273888889</v>
      </c>
      <c r="L46" s="35" t="n">
        <f aca="false">INDEX(Monthly!$C$77:$BJ$77,($R$2-1)*12+5)</f>
        <v>6854.56302222222</v>
      </c>
      <c r="M46" s="35" t="n">
        <f aca="false">INDEX(Monthly!$C$77:$BJ$77,($R$2-1)*12+6)</f>
        <v>8339.42875</v>
      </c>
      <c r="N46" s="35" t="n">
        <f aca="false">INDEX(Monthly!$C$77:$BJ$77,($R$2-1)*12+7)</f>
        <v>8725.6655</v>
      </c>
      <c r="O46" s="35" t="n">
        <f aca="false">INDEX(Monthly!$C$77:$BJ$77,($R$2-1)*12+8)</f>
        <v>9111.90225</v>
      </c>
      <c r="P46" s="35" t="n">
        <f aca="false">INDEX(Monthly!$C$77:$BJ$77,($R$2-1)*12+9)</f>
        <v>7987.52415555556</v>
      </c>
      <c r="Q46" s="35" t="n">
        <f aca="false">INDEX(Monthly!$C$77:$BJ$77,($R$2-1)*12+10)</f>
        <v>8270.76443888889</v>
      </c>
      <c r="R46" s="35" t="n">
        <f aca="false">INDEX(Monthly!$C$77:$BJ$77,($R$2-1)*12+11)</f>
        <v>8554.00472222222</v>
      </c>
      <c r="S46" s="35" t="n">
        <f aca="false">INDEX(Monthly!$C$77:$BJ$77,($R$2-1)*12+12)</f>
        <v>8554.00472222222</v>
      </c>
    </row>
    <row r="47" customFormat="false" ht="15" hidden="false" customHeight="false" outlineLevel="0" collapsed="false">
      <c r="A47" s="51" t="s">
        <v>95</v>
      </c>
      <c r="B47" s="35" t="n">
        <f aca="false">'Balance Sheet'!B11</f>
        <v>492350.933012242</v>
      </c>
      <c r="C47" s="35" t="n">
        <f aca="false">'Balance Sheet'!C11</f>
        <v>484148.914353464</v>
      </c>
      <c r="D47" s="35" t="n">
        <f aca="false">'Balance Sheet'!D11</f>
        <v>475353.971102659</v>
      </c>
      <c r="E47" s="35" t="n">
        <f aca="false">'Balance Sheet'!E11</f>
        <v>465923.240693127</v>
      </c>
      <c r="F47" s="35" t="n">
        <f aca="false">'Balance Sheet'!F11</f>
        <v>455810.762019757</v>
      </c>
      <c r="H47" s="35" t="n">
        <f aca="false">INDEX(Monthly!$C$72:$BJ$72,($R$2-1)*12+1)</f>
        <v>499382.770680291</v>
      </c>
      <c r="I47" s="35" t="n">
        <f aca="false">INDEX(Monthly!$C$72:$BJ$72,($R$2-1)*12+2)</f>
        <v>498761.940856217</v>
      </c>
      <c r="J47" s="35" t="n">
        <f aca="false">INDEX(Monthly!$C$72:$BJ$72,($R$2-1)*12+3)</f>
        <v>498137.489524837</v>
      </c>
      <c r="K47" s="35" t="n">
        <f aca="false">INDEX(Monthly!$C$72:$BJ$72,($R$2-1)*12+4)</f>
        <v>497509.395560689</v>
      </c>
      <c r="L47" s="35" t="n">
        <f aca="false">INDEX(Monthly!$C$72:$BJ$72,($R$2-1)*12+5)</f>
        <v>496877.637715085</v>
      </c>
      <c r="M47" s="35" t="n">
        <f aca="false">INDEX(Monthly!$C$72:$BJ$72,($R$2-1)*12+6)</f>
        <v>496242.19461538</v>
      </c>
      <c r="N47" s="35" t="n">
        <f aca="false">INDEX(Monthly!$C$72:$BJ$72,($R$2-1)*12+7)</f>
        <v>495603.044764261</v>
      </c>
      <c r="O47" s="35" t="n">
        <f aca="false">INDEX(Monthly!$C$72:$BJ$72,($R$2-1)*12+8)</f>
        <v>494960.166539011</v>
      </c>
      <c r="P47" s="35" t="n">
        <f aca="false">INDEX(Monthly!$C$72:$BJ$72,($R$2-1)*12+9)</f>
        <v>494313.53819078</v>
      </c>
      <c r="Q47" s="35" t="n">
        <f aca="false">INDEX(Monthly!$C$72:$BJ$72,($R$2-1)*12+10)</f>
        <v>493663.13784385</v>
      </c>
      <c r="R47" s="35" t="n">
        <f aca="false">INDEX(Monthly!$C$72:$BJ$72,($R$2-1)*12+11)</f>
        <v>493008.943494897</v>
      </c>
      <c r="S47" s="35" t="n">
        <f aca="false">INDEX(Monthly!$C$72:$BJ$72,($R$2-1)*12+12)</f>
        <v>492350.933012242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500904.937734464</v>
      </c>
      <c r="C48" s="37" t="n">
        <f aca="false">'Balance Sheet'!C12</f>
        <v>493056.785047964</v>
      </c>
      <c r="D48" s="37" t="n">
        <f aca="false">'Balance Sheet'!D12</f>
        <v>484631.244387634</v>
      </c>
      <c r="E48" s="37" t="n">
        <f aca="false">'Balance Sheet'!E12</f>
        <v>475586.168269655</v>
      </c>
      <c r="F48" s="37" t="n">
        <f aca="false">'Balance Sheet'!F12</f>
        <v>465876.344722891</v>
      </c>
      <c r="H48" s="37" t="n">
        <f aca="false">INDEX(Monthly!$C$104:$BJ$104,($R$2-1)*12+1)</f>
        <v>505104.37256918</v>
      </c>
      <c r="I48" s="37" t="n">
        <f aca="false">INDEX(Monthly!$C$104:$BJ$104,($R$2-1)*12+2)</f>
        <v>504766.78302844</v>
      </c>
      <c r="J48" s="37" t="n">
        <f aca="false">INDEX(Monthly!$C$104:$BJ$104,($R$2-1)*12+3)</f>
        <v>504425.571980392</v>
      </c>
      <c r="K48" s="37" t="n">
        <f aca="false">INDEX(Monthly!$C$104:$BJ$104,($R$2-1)*12+4)</f>
        <v>504080.718299578</v>
      </c>
      <c r="L48" s="37" t="n">
        <f aca="false">INDEX(Monthly!$C$104:$BJ$104,($R$2-1)*12+5)</f>
        <v>503732.200737307</v>
      </c>
      <c r="M48" s="37" t="n">
        <f aca="false">INDEX(Monthly!$C$104:$BJ$104,($R$2-1)*12+6)</f>
        <v>504581.62336538</v>
      </c>
      <c r="N48" s="37" t="n">
        <f aca="false">INDEX(Monthly!$C$104:$BJ$104,($R$2-1)*12+7)</f>
        <v>504328.710264261</v>
      </c>
      <c r="O48" s="37" t="n">
        <f aca="false">INDEX(Monthly!$C$104:$BJ$104,($R$2-1)*12+8)</f>
        <v>504072.068789011</v>
      </c>
      <c r="P48" s="37" t="n">
        <f aca="false">INDEX(Monthly!$C$104:$BJ$104,($R$2-1)*12+9)</f>
        <v>502301.062346335</v>
      </c>
      <c r="Q48" s="37" t="n">
        <f aca="false">INDEX(Monthly!$C$104:$BJ$104,($R$2-1)*12+10)</f>
        <v>501933.902282739</v>
      </c>
      <c r="R48" s="37" t="n">
        <f aca="false">INDEX(Monthly!$C$104:$BJ$104,($R$2-1)*12+11)</f>
        <v>501562.948217119</v>
      </c>
      <c r="S48" s="37" t="n">
        <f aca="false">INDEX(Monthly!$C$104:$BJ$104,($R$2-1)*12+12)</f>
        <v>500904.937734464</v>
      </c>
    </row>
    <row r="49" customFormat="false" ht="15" hidden="false" customHeight="false" outlineLevel="0" collapsed="false">
      <c r="A49" s="51" t="s">
        <v>97</v>
      </c>
      <c r="B49" s="35" t="n">
        <f aca="false">'Balance Sheet'!B13</f>
        <v>430000</v>
      </c>
      <c r="C49" s="35" t="n">
        <f aca="false">'Balance Sheet'!C13</f>
        <v>430000</v>
      </c>
      <c r="D49" s="35" t="n">
        <f aca="false">'Balance Sheet'!D13</f>
        <v>430000</v>
      </c>
      <c r="E49" s="35" t="n">
        <f aca="false">'Balance Sheet'!E13</f>
        <v>430000</v>
      </c>
      <c r="F49" s="35" t="n">
        <f aca="false">'Balance Sheet'!F13</f>
        <v>430000</v>
      </c>
      <c r="H49" s="35" t="n">
        <f aca="false">INDEX(Monthly!$C$101:$BJ$101,($R$2-1)*12+1)</f>
        <v>430000</v>
      </c>
      <c r="I49" s="35" t="n">
        <f aca="false">INDEX(Monthly!$C$101:$BJ$101,($R$2-1)*12+2)</f>
        <v>430000</v>
      </c>
      <c r="J49" s="35" t="n">
        <f aca="false">INDEX(Monthly!$C$101:$BJ$101,($R$2-1)*12+3)</f>
        <v>430000</v>
      </c>
      <c r="K49" s="35" t="n">
        <f aca="false">INDEX(Monthly!$C$101:$BJ$101,($R$2-1)*12+4)</f>
        <v>430000</v>
      </c>
      <c r="L49" s="35" t="n">
        <f aca="false">INDEX(Monthly!$C$101:$BJ$101,($R$2-1)*12+5)</f>
        <v>430000</v>
      </c>
      <c r="M49" s="35" t="n">
        <f aca="false">INDEX(Monthly!$C$101:$BJ$101,($R$2-1)*12+6)</f>
        <v>430000</v>
      </c>
      <c r="N49" s="35" t="n">
        <f aca="false">INDEX(Monthly!$C$101:$BJ$101,($R$2-1)*12+7)</f>
        <v>430000</v>
      </c>
      <c r="O49" s="35" t="n">
        <f aca="false">INDEX(Monthly!$C$101:$BJ$101,($R$2-1)*12+8)</f>
        <v>430000</v>
      </c>
      <c r="P49" s="35" t="n">
        <f aca="false">INDEX(Monthly!$C$101:$BJ$101,($R$2-1)*12+9)</f>
        <v>430000</v>
      </c>
      <c r="Q49" s="35" t="n">
        <f aca="false">INDEX(Monthly!$C$101:$BJ$101,($R$2-1)*12+10)</f>
        <v>430000</v>
      </c>
      <c r="R49" s="35" t="n">
        <f aca="false">INDEX(Monthly!$C$101:$BJ$101,($R$2-1)*12+11)</f>
        <v>430000</v>
      </c>
      <c r="S49" s="35" t="n">
        <f aca="false">INDEX(Monthly!$C$101:$BJ$101,($R$2-1)*12+12)</f>
        <v>430000</v>
      </c>
    </row>
    <row r="50" customFormat="false" ht="15" hidden="false" customHeight="false" outlineLevel="0" collapsed="false">
      <c r="A50" s="51" t="s">
        <v>98</v>
      </c>
      <c r="B50" s="35" t="n">
        <f aca="false">'Balance Sheet'!B14</f>
        <v>-70506.8073546142</v>
      </c>
      <c r="C50" s="35" t="n">
        <f aca="false">'Balance Sheet'!C14</f>
        <v>-52912.8944921927</v>
      </c>
      <c r="D50" s="35" t="n">
        <f aca="false">'Balance Sheet'!D14</f>
        <v>-23068.1189647789</v>
      </c>
      <c r="E50" s="35" t="n">
        <f aca="false">'Balance Sheet'!E14</f>
        <v>15059.3213260717</v>
      </c>
      <c r="F50" s="35" t="n">
        <f aca="false">'Balance Sheet'!F14</f>
        <v>58194.8996111143</v>
      </c>
      <c r="H50" s="35" t="n">
        <f aca="false">INDEX(Monthly!$C$102:$BJ$102,($R$2-1)*12+1)</f>
        <v>-14249.3168195556</v>
      </c>
      <c r="I50" s="35" t="n">
        <f aca="false">INDEX(Monthly!$C$102:$BJ$102,($R$2-1)*12+2)</f>
        <v>-27223.8889910128</v>
      </c>
      <c r="J50" s="35" t="n">
        <f aca="false">INDEX(Monthly!$C$102:$BJ$102,($R$2-1)*12+3)</f>
        <v>-38923.6955114296</v>
      </c>
      <c r="K50" s="35" t="n">
        <f aca="false">INDEX(Monthly!$C$102:$BJ$102,($R$2-1)*12+4)</f>
        <v>-49348.7152553467</v>
      </c>
      <c r="L50" s="35" t="n">
        <f aca="false">INDEX(Monthly!$C$102:$BJ$102,($R$2-1)*12+5)</f>
        <v>-58498.926974073</v>
      </c>
      <c r="M50" s="35" t="n">
        <f aca="false">INDEX(Monthly!$C$102:$BJ$102,($R$2-1)*12+6)</f>
        <v>-60963.8997962999</v>
      </c>
      <c r="N50" s="35" t="n">
        <f aca="false">INDEX(Monthly!$C$102:$BJ$102,($R$2-1)*12+7)</f>
        <v>-61690.2723377785</v>
      </c>
      <c r="O50" s="35" t="n">
        <f aca="false">INDEX(Monthly!$C$102:$BJ$102,($R$2-1)*12+8)</f>
        <v>-60678.0229757922</v>
      </c>
      <c r="P50" s="35" t="n">
        <f aca="false">INDEX(Monthly!$C$102:$BJ$102,($R$2-1)*12+9)</f>
        <v>-64728.7876169587</v>
      </c>
      <c r="Q50" s="35" t="n">
        <f aca="false">INDEX(Monthly!$C$102:$BJ$102,($R$2-1)*12+10)</f>
        <v>-67504.6361156938</v>
      </c>
      <c r="R50" s="35" t="n">
        <f aca="false">INDEX(Monthly!$C$102:$BJ$102,($R$2-1)*12+11)</f>
        <v>-69005.5464686718</v>
      </c>
      <c r="S50" s="35" t="n">
        <f aca="false">INDEX(Monthly!$C$102:$BJ$102,($R$2-1)*12+12)</f>
        <v>-70506.8073546142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359493.192645386</v>
      </c>
      <c r="C51" s="37" t="n">
        <f aca="false">'Balance Sheet'!C15</f>
        <v>377087.105507807</v>
      </c>
      <c r="D51" s="37" t="n">
        <f aca="false">'Balance Sheet'!D15</f>
        <v>406931.881035221</v>
      </c>
      <c r="E51" s="37" t="n">
        <f aca="false">'Balance Sheet'!E15</f>
        <v>445059.321326072</v>
      </c>
      <c r="F51" s="37" t="n">
        <f aca="false">'Balance Sheet'!F15</f>
        <v>488194.899611114</v>
      </c>
      <c r="H51" s="37" t="n">
        <f aca="false">INDEX(Monthly!$C$105:$BJ$105,($R$2-1)*12+1)</f>
        <v>415750.683180444</v>
      </c>
      <c r="I51" s="37" t="n">
        <f aca="false">INDEX(Monthly!$C$105:$BJ$105,($R$2-1)*12+2)</f>
        <v>402776.111008987</v>
      </c>
      <c r="J51" s="37" t="n">
        <f aca="false">INDEX(Monthly!$C$105:$BJ$105,($R$2-1)*12+3)</f>
        <v>391076.30448857</v>
      </c>
      <c r="K51" s="37" t="n">
        <f aca="false">INDEX(Monthly!$C$105:$BJ$105,($R$2-1)*12+4)</f>
        <v>380651.284744653</v>
      </c>
      <c r="L51" s="37" t="n">
        <f aca="false">INDEX(Monthly!$C$105:$BJ$105,($R$2-1)*12+5)</f>
        <v>371501.073025927</v>
      </c>
      <c r="M51" s="37" t="n">
        <f aca="false">INDEX(Monthly!$C$105:$BJ$105,($R$2-1)*12+6)</f>
        <v>369036.1002037</v>
      </c>
      <c r="N51" s="37" t="n">
        <f aca="false">INDEX(Monthly!$C$105:$BJ$105,($R$2-1)*12+7)</f>
        <v>368309.727662222</v>
      </c>
      <c r="O51" s="37" t="n">
        <f aca="false">INDEX(Monthly!$C$105:$BJ$105,($R$2-1)*12+8)</f>
        <v>369321.977024208</v>
      </c>
      <c r="P51" s="37" t="n">
        <f aca="false">INDEX(Monthly!$C$105:$BJ$105,($R$2-1)*12+9)</f>
        <v>365271.212383041</v>
      </c>
      <c r="Q51" s="37" t="n">
        <f aca="false">INDEX(Monthly!$C$105:$BJ$105,($R$2-1)*12+10)</f>
        <v>362495.363884306</v>
      </c>
      <c r="R51" s="37" t="n">
        <f aca="false">INDEX(Monthly!$C$105:$BJ$105,($R$2-1)*12+11)</f>
        <v>360994.453531328</v>
      </c>
      <c r="S51" s="37" t="n">
        <f aca="false">INDEX(Monthly!$C$105:$BJ$105,($R$2-1)*12+12)</f>
        <v>359493.192645386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860398.13037985</v>
      </c>
      <c r="C52" s="41" t="n">
        <f aca="false">'Balance Sheet'!C16</f>
        <v>870143.890555772</v>
      </c>
      <c r="D52" s="41" t="n">
        <f aca="false">'Balance Sheet'!D16</f>
        <v>891563.125422855</v>
      </c>
      <c r="E52" s="41" t="n">
        <f aca="false">'Balance Sheet'!E16</f>
        <v>920645.489595727</v>
      </c>
      <c r="F52" s="41" t="n">
        <f aca="false">'Balance Sheet'!F16</f>
        <v>954071.244334005</v>
      </c>
      <c r="H52" s="41" t="n">
        <f aca="false">INDEX(Monthly!$C$106:$BJ$106,($R$2-1)*12+1)</f>
        <v>920855.055749625</v>
      </c>
      <c r="I52" s="41" t="n">
        <f aca="false">INDEX(Monthly!$C$106:$BJ$106,($R$2-1)*12+2)</f>
        <v>907542.894037427</v>
      </c>
      <c r="J52" s="41" t="n">
        <f aca="false">INDEX(Monthly!$C$106:$BJ$106,($R$2-1)*12+3)</f>
        <v>895501.876468963</v>
      </c>
      <c r="K52" s="41" t="n">
        <f aca="false">INDEX(Monthly!$C$106:$BJ$106,($R$2-1)*12+4)</f>
        <v>884732.003044232</v>
      </c>
      <c r="L52" s="41" t="n">
        <f aca="false">INDEX(Monthly!$C$106:$BJ$106,($R$2-1)*12+5)</f>
        <v>875233.273763234</v>
      </c>
      <c r="M52" s="41" t="n">
        <f aca="false">INDEX(Monthly!$C$106:$BJ$106,($R$2-1)*12+6)</f>
        <v>873617.723569081</v>
      </c>
      <c r="N52" s="41" t="n">
        <f aca="false">INDEX(Monthly!$C$106:$BJ$106,($R$2-1)*12+7)</f>
        <v>872638.437926483</v>
      </c>
      <c r="O52" s="41" t="n">
        <f aca="false">INDEX(Monthly!$C$106:$BJ$106,($R$2-1)*12+8)</f>
        <v>873394.045813219</v>
      </c>
      <c r="P52" s="41" t="n">
        <f aca="false">INDEX(Monthly!$C$106:$BJ$106,($R$2-1)*12+9)</f>
        <v>867572.274729376</v>
      </c>
      <c r="Q52" s="41" t="n">
        <f aca="false">INDEX(Monthly!$C$106:$BJ$106,($R$2-1)*12+10)</f>
        <v>864429.266167045</v>
      </c>
      <c r="R52" s="41" t="n">
        <f aca="false">INDEX(Monthly!$C$106:$BJ$106,($R$2-1)*12+11)</f>
        <v>862557.401748448</v>
      </c>
      <c r="S52" s="41" t="n">
        <f aca="false">INDEX(Monthly!$C$106:$BJ$106,($R$2-1)*12+12)</f>
        <v>860398.13037985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2" t="s">
        <v>105</v>
      </c>
      <c r="C6" s="52" t="s">
        <v>106</v>
      </c>
      <c r="D6" s="52" t="s">
        <v>107</v>
      </c>
      <c r="E6" s="52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10</v>
      </c>
      <c r="C7" s="53" t="n">
        <f aca="false">Inputs!$C$7</f>
        <v>10</v>
      </c>
      <c r="D7" s="53" t="n">
        <f aca="false">Inputs!$D$7</f>
        <v>10</v>
      </c>
      <c r="E7" s="54" t="n">
        <f aca="false">Inputs!$E$7</f>
        <v>10</v>
      </c>
    </row>
    <row r="8" customFormat="false" ht="15" hidden="false" customHeight="false" outlineLevel="0" collapsed="false">
      <c r="A8" s="6" t="s">
        <v>110</v>
      </c>
      <c r="B8" s="55" t="n">
        <f aca="false">Inputs!$B$17</f>
        <v>135</v>
      </c>
      <c r="C8" s="55" t="n">
        <f aca="false">Inputs!$C$17</f>
        <v>155</v>
      </c>
      <c r="D8" s="55" t="n">
        <f aca="false">Inputs!$D$17</f>
        <v>170</v>
      </c>
      <c r="E8" s="56" t="n">
        <f aca="false">Inputs!$E$17</f>
        <v>155</v>
      </c>
    </row>
    <row r="9" customFormat="false" ht="15" hidden="false" customHeight="false" outlineLevel="0" collapsed="false">
      <c r="A9" s="6" t="s">
        <v>111</v>
      </c>
      <c r="B9" s="57" t="n">
        <f aca="false">Inputs!$B$8</f>
        <v>0.5</v>
      </c>
      <c r="C9" s="57" t="n">
        <f aca="false">Inputs!$C$8</f>
        <v>0.62</v>
      </c>
      <c r="D9" s="57" t="n">
        <f aca="false">Inputs!$D$8</f>
        <v>0.7</v>
      </c>
      <c r="E9" s="58" t="n">
        <f aca="false">Inputs!$E$8</f>
        <v>0.62</v>
      </c>
    </row>
    <row r="10" customFormat="false" ht="15" hidden="false" customHeight="false" outlineLevel="0" collapsed="false">
      <c r="A10" s="6" t="s">
        <v>112</v>
      </c>
      <c r="B10" s="59" t="n">
        <f aca="false">Inputs!$B$42</f>
        <v>720000</v>
      </c>
      <c r="C10" s="59" t="n">
        <f aca="false">Inputs!$C$42</f>
        <v>720000</v>
      </c>
      <c r="D10" s="59" t="n">
        <f aca="false">Inputs!$D$42</f>
        <v>720000</v>
      </c>
      <c r="E10" s="60" t="n">
        <f aca="false">Inputs!$E$42</f>
        <v>720000</v>
      </c>
    </row>
    <row r="11" customFormat="false" ht="15" hidden="false" customHeight="false" outlineLevel="0" collapsed="false">
      <c r="A11" s="6" t="s">
        <v>113</v>
      </c>
      <c r="B11" s="59" t="n">
        <f aca="false">Inputs!$B$66</f>
        <v>500000</v>
      </c>
      <c r="C11" s="59" t="n">
        <f aca="false">Inputs!$C$66</f>
        <v>500000</v>
      </c>
      <c r="D11" s="59" t="n">
        <f aca="false">Inputs!$D$66</f>
        <v>500000</v>
      </c>
      <c r="E11" s="60" t="n">
        <f aca="false">Inputs!$E$66</f>
        <v>500000</v>
      </c>
    </row>
    <row r="12" customFormat="false" ht="15" hidden="false" customHeight="false" outlineLevel="0" collapsed="false">
      <c r="A12" s="6" t="s">
        <v>114</v>
      </c>
      <c r="B12" s="57" t="n">
        <f aca="false">Inputs!$B$67</f>
        <v>0.07</v>
      </c>
      <c r="C12" s="57" t="n">
        <f aca="false">Inputs!$C$67</f>
        <v>0.07</v>
      </c>
      <c r="D12" s="57" t="n">
        <f aca="false">Inputs!$D$67</f>
        <v>0.07</v>
      </c>
      <c r="E12" s="58" t="n">
        <f aca="false">Inputs!$E$67</f>
        <v>0.07</v>
      </c>
    </row>
    <row r="13" customFormat="false" ht="15" hidden="false" customHeight="false" outlineLevel="0" collapsed="false">
      <c r="A13" s="6" t="s">
        <v>115</v>
      </c>
      <c r="B13" s="59" t="n">
        <f aca="false">Inputs!$B$65</f>
        <v>430000</v>
      </c>
      <c r="C13" s="59" t="n">
        <f aca="false">Inputs!$C$65</f>
        <v>430000</v>
      </c>
      <c r="D13" s="59" t="n">
        <f aca="false">Inputs!$D$65</f>
        <v>430000</v>
      </c>
      <c r="E13" s="60" t="n">
        <f aca="false">Inputs!$E$65</f>
        <v>430000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117</v>
      </c>
      <c r="B16" s="52" t="s">
        <v>105</v>
      </c>
      <c r="C16" s="52" t="s">
        <v>106</v>
      </c>
      <c r="D16" s="52" t="s">
        <v>107</v>
      </c>
      <c r="E16" s="52" t="s">
        <v>108</v>
      </c>
    </row>
    <row r="17" customFormat="false" ht="15" hidden="false" customHeight="false" outlineLevel="0" collapsed="false">
      <c r="A17" s="6" t="s">
        <v>118</v>
      </c>
      <c r="B17" s="61" t="n">
        <f aca="false">F30</f>
        <v>273320.88685056</v>
      </c>
      <c r="C17" s="61" t="n">
        <f aca="false">F31</f>
        <v>460163.932886576</v>
      </c>
      <c r="D17" s="61" t="n">
        <f aca="false">F32</f>
        <v>622023.588050553</v>
      </c>
      <c r="E17" s="62" t="n">
        <f aca="false">'P&amp;L'!F5</f>
        <v>460163.932886576</v>
      </c>
    </row>
    <row r="18" customFormat="false" ht="15" hidden="false" customHeight="false" outlineLevel="0" collapsed="false">
      <c r="A18" s="6" t="s">
        <v>119</v>
      </c>
      <c r="B18" s="61" t="n">
        <f aca="false">SUM(B30:F30)</f>
        <v>1225688.27590656</v>
      </c>
      <c r="C18" s="61" t="n">
        <f aca="false">SUM(B31:F31)</f>
        <v>1986841.1654782</v>
      </c>
      <c r="D18" s="61" t="n">
        <f aca="false">SUM(B32:F32)</f>
        <v>2637136.25729989</v>
      </c>
      <c r="E18" s="62" t="n">
        <f aca="false">SUM('P&amp;L'!$B$5:$F$5)</f>
        <v>1986841.1654782</v>
      </c>
    </row>
    <row r="19" customFormat="false" ht="15" hidden="false" customHeight="false" outlineLevel="0" collapsed="false">
      <c r="A19" s="6" t="s">
        <v>120</v>
      </c>
      <c r="B19" s="61" t="n">
        <f aca="false">F36</f>
        <v>-35973.6558078147</v>
      </c>
      <c r="C19" s="61" t="n">
        <f aca="false">F37</f>
        <v>135438.90422222</v>
      </c>
      <c r="D19" s="61" t="n">
        <f aca="false">F38</f>
        <v>284860.419392992</v>
      </c>
      <c r="E19" s="62" t="n">
        <f aca="false">'P&amp;L'!F19</f>
        <v>135438.90422222</v>
      </c>
    </row>
    <row r="20" customFormat="false" ht="15" hidden="false" customHeight="false" outlineLevel="0" collapsed="false">
      <c r="A20" s="6" t="s">
        <v>121</v>
      </c>
      <c r="B20" s="63" t="n">
        <f aca="false">IF(B17=0,0,B19/B17)</f>
        <v>-0.131616929179231</v>
      </c>
      <c r="C20" s="63" t="n">
        <f aca="false">IF(C17=0,0,C19/C17)</f>
        <v>0.294327509269623</v>
      </c>
      <c r="D20" s="63" t="n">
        <f aca="false">IF(D17=0,0,D19/D17)</f>
        <v>0.457957583707968</v>
      </c>
      <c r="E20" s="64" t="n">
        <f aca="false">IF(E17=0,0,E19/E17)</f>
        <v>0.294327509269623</v>
      </c>
    </row>
    <row r="21" customFormat="false" ht="15" hidden="false" customHeight="false" outlineLevel="0" collapsed="false">
      <c r="A21" s="6" t="s">
        <v>122</v>
      </c>
      <c r="B21" s="61" t="n">
        <f aca="false">F42</f>
        <v>-116862.678069617</v>
      </c>
      <c r="C21" s="61" t="n">
        <f aca="false">F43</f>
        <v>43135.5782850426</v>
      </c>
      <c r="D21" s="61" t="n">
        <f aca="false">F44</f>
        <v>161198.892489002</v>
      </c>
      <c r="E21" s="62" t="n">
        <f aca="false">'P&amp;L'!F26</f>
        <v>43135.5782850426</v>
      </c>
    </row>
    <row r="22" customFormat="false" ht="15" hidden="false" customHeight="false" outlineLevel="0" collapsed="false">
      <c r="A22" s="6" t="s">
        <v>123</v>
      </c>
      <c r="B22" s="61" t="n">
        <f aca="false">SUM(B42:F42)</f>
        <v>-616314.103363844</v>
      </c>
      <c r="C22" s="61" t="n">
        <f aca="false">SUM(B43:F43)</f>
        <v>58194.8996111143</v>
      </c>
      <c r="D22" s="61" t="n">
        <f aca="false">SUM(B44:F44)</f>
        <v>537535.3987815</v>
      </c>
      <c r="E22" s="62" t="n">
        <f aca="false">SUM('P&amp;L'!$B$26:$F$26)</f>
        <v>58194.8996111143</v>
      </c>
    </row>
    <row r="23" customFormat="false" ht="15" hidden="false" customHeight="false" outlineLevel="0" collapsed="false">
      <c r="A23" s="6" t="s">
        <v>124</v>
      </c>
      <c r="B23" s="61" t="n">
        <f aca="false">F48</f>
        <v>-401616.605565267</v>
      </c>
      <c r="C23" s="61" t="n">
        <f aca="false">F49</f>
        <v>272807.529637218</v>
      </c>
      <c r="D23" s="61" t="n">
        <f aca="false">F50</f>
        <v>751487.185534844</v>
      </c>
      <c r="E23" s="62" t="n">
        <f aca="false">'Balance Sheet'!F5</f>
        <v>272807.529637218</v>
      </c>
    </row>
    <row r="24" customFormat="false" ht="15" hidden="false" customHeight="false" outlineLevel="0" collapsed="false">
      <c r="A24" s="6" t="s">
        <v>125</v>
      </c>
      <c r="B24" s="61" t="n">
        <f aca="false">MIN('Scenario calc'!$C$91:$BJ$91)</f>
        <v>-401616.605565267</v>
      </c>
      <c r="C24" s="61" t="n">
        <f aca="false">MIN('Scenario calc'!$C$211:$BJ$211)</f>
        <v>22904.4025916783</v>
      </c>
      <c r="D24" s="61" t="n">
        <f aca="false">MIN('Scenario calc'!$C$331:$BJ$331)</f>
        <v>54905.7837784298</v>
      </c>
      <c r="E24" s="62" t="n">
        <f aca="false">'Break-even'!B18</f>
        <v>22904.4025916783</v>
      </c>
    </row>
    <row r="25" customFormat="false" ht="15" hidden="false" customHeight="false" outlineLevel="0" collapsed="false">
      <c r="A25" s="6" t="s">
        <v>126</v>
      </c>
      <c r="B25" s="65" t="n">
        <f aca="false">MATCH(MIN('Scenario calc'!$C$91:$BJ$91),'Scenario calc'!$C$91:$BJ$91,0)</f>
        <v>60</v>
      </c>
      <c r="C25" s="65" t="n">
        <f aca="false">MATCH(MIN('Scenario calc'!$C$211:$BJ$211),'Scenario calc'!$C$211:$BJ$211,0)</f>
        <v>5</v>
      </c>
      <c r="D25" s="65" t="n">
        <f aca="false">MATCH(MIN('Scenario calc'!$C$331:$BJ$331),'Scenario calc'!$C$331:$BJ$331,0)</f>
        <v>4</v>
      </c>
      <c r="E25" s="66" t="n">
        <f aca="false">'Break-even'!B6</f>
        <v>5</v>
      </c>
    </row>
    <row r="26" customFormat="false" ht="15" hidden="false" customHeight="false" outlineLevel="0" collapsed="false">
      <c r="A26" s="4" t="s">
        <v>66</v>
      </c>
      <c r="B26" s="61" t="n">
        <f aca="false">SUMPRODUCT(--('Scenario calc'!$C$6:$BJ$6&lt;=B25),'Scenario calc'!$C$61:$BJ$61)-SUMPRODUCT(--('Scenario calc'!$C$6:$BJ$6&lt;=B25),'Scenario calc'!$C$85:$BJ$85)-SUMPRODUCT(--('Scenario calc'!$C$6:$BJ$6&lt;=B25),'Scenario calc'!$C$72:$BJ$72)+Inputs!$B$80</f>
        <v>1370616.60556527</v>
      </c>
      <c r="C26" s="61" t="n">
        <f aca="false">SUMPRODUCT(--('Scenario calc'!$C$126:$BJ$126&lt;=C25),'Scenario calc'!$C$181:$BJ$181)-SUMPRODUCT(--('Scenario calc'!$C$126:$BJ$126&lt;=C25),'Scenario calc'!$C$205:$BJ$205)-SUMPRODUCT(--('Scenario calc'!$C$126:$BJ$126&lt;=C25),'Scenario calc'!$C$192:$BJ$192)+Inputs!$C$80</f>
        <v>946095.597408322</v>
      </c>
      <c r="D26" s="61" t="n">
        <f aca="false">SUMPRODUCT(--('Scenario calc'!$C$246:$BJ$246&lt;=D25),'Scenario calc'!$C$301:$BJ$301)-SUMPRODUCT(--('Scenario calc'!$C$246:$BJ$246&lt;=D25),'Scenario calc'!$C$325:$BJ$325)-SUMPRODUCT(--('Scenario calc'!$C$246:$BJ$246&lt;=D25),'Scenario calc'!$C$312:$BJ$312)+Inputs!$D$80</f>
        <v>914094.21622157</v>
      </c>
      <c r="E26" s="62" t="n">
        <f aca="false">'Break-even'!B12</f>
        <v>946095.597408322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105</v>
      </c>
      <c r="B30" s="61" t="n">
        <f aca="false">SUMIF('Scenario calc'!$C$7:$BJ$7,B$29,'Scenario calc'!$C$22:$BJ$22)</f>
        <v>151574.4</v>
      </c>
      <c r="C30" s="61" t="n">
        <f aca="false">SUMIF('Scenario calc'!$C$7:$BJ$7,C$29,'Scenario calc'!$C$22:$BJ$22)</f>
        <v>262242.864</v>
      </c>
      <c r="D30" s="61" t="n">
        <f aca="false">SUMIF('Scenario calc'!$C$7:$BJ$7,D$29,'Scenario calc'!$C$22:$BJ$22)</f>
        <v>267935.3856</v>
      </c>
      <c r="E30" s="61" t="n">
        <f aca="false">SUMIF('Scenario calc'!$C$7:$BJ$7,E$29,'Scenario calc'!$C$22:$BJ$22)</f>
        <v>270614.739456</v>
      </c>
      <c r="F30" s="61" t="n">
        <f aca="false">SUMIF('Scenario calc'!$C$7:$BJ$7,F$29,'Scenario calc'!$C$22:$BJ$22)</f>
        <v>273320.88685056</v>
      </c>
    </row>
    <row r="31" customFormat="false" ht="15" hidden="false" customHeight="false" outlineLevel="0" collapsed="false">
      <c r="A31" s="6" t="s">
        <v>106</v>
      </c>
      <c r="B31" s="61" t="n">
        <f aca="false">SUMIF('Scenario calc'!$C$127:$BJ$127,B$29,'Scenario calc'!$C$142:$BJ$142)</f>
        <v>274944.2576</v>
      </c>
      <c r="C31" s="61" t="n">
        <f aca="false">SUMIF('Scenario calc'!$C$127:$BJ$127,C$29,'Scenario calc'!$C$142:$BJ$142)</f>
        <v>396826.244352</v>
      </c>
      <c r="D31" s="61" t="n">
        <f aca="false">SUMIF('Scenario calc'!$C$127:$BJ$127,D$29,'Scenario calc'!$C$142:$BJ$142)</f>
        <v>416905.652316211</v>
      </c>
      <c r="E31" s="61" t="n">
        <f aca="false">SUMIF('Scenario calc'!$C$127:$BJ$127,E$29,'Scenario calc'!$C$142:$BJ$142)</f>
        <v>438001.078323412</v>
      </c>
      <c r="F31" s="61" t="n">
        <f aca="false">SUMIF('Scenario calc'!$C$127:$BJ$127,F$29,'Scenario calc'!$C$142:$BJ$142)</f>
        <v>460163.932886576</v>
      </c>
    </row>
    <row r="32" customFormat="false" ht="15" hidden="false" customHeight="false" outlineLevel="0" collapsed="false">
      <c r="A32" s="6" t="s">
        <v>107</v>
      </c>
      <c r="B32" s="61" t="n">
        <f aca="false">SUMIF('Scenario calc'!$C$247:$BJ$247,B$29,'Scenario calc'!$C$262:$BJ$262)</f>
        <v>386298.5</v>
      </c>
      <c r="C32" s="61" t="n">
        <f aca="false">SUMIF('Scenario calc'!$C$247:$BJ$247,C$29,'Scenario calc'!$C$262:$BJ$262)</f>
        <v>506052.0192</v>
      </c>
      <c r="D32" s="61" t="n">
        <f aca="false">SUMIF('Scenario calc'!$C$247:$BJ$247,D$29,'Scenario calc'!$C$262:$BJ$262)</f>
        <v>542082.92296704</v>
      </c>
      <c r="E32" s="61" t="n">
        <f aca="false">SUMIF('Scenario calc'!$C$247:$BJ$247,E$29,'Scenario calc'!$C$262:$BJ$262)</f>
        <v>580679.227082293</v>
      </c>
      <c r="F32" s="61" t="n">
        <f aca="false">SUMIF('Scenario calc'!$C$247:$BJ$247,F$29,'Scenario calc'!$C$262:$BJ$262)</f>
        <v>622023.588050553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105</v>
      </c>
      <c r="B36" s="61" t="n">
        <f aca="false">SUMIF('Scenario calc'!$C$7:$BJ$7,B$35,'Scenario calc'!$C$44:$BJ$44)</f>
        <v>-94231.3047222222</v>
      </c>
      <c r="C36" s="61" t="n">
        <f aca="false">SUMIF('Scenario calc'!$C$7:$BJ$7,C$35,'Scenario calc'!$C$44:$BJ$44)</f>
        <v>-25252.5741513889</v>
      </c>
      <c r="D36" s="61" t="n">
        <f aca="false">SUMIF('Scenario calc'!$C$7:$BJ$7,D$35,'Scenario calc'!$C$44:$BJ$44)</f>
        <v>-26169.7821466667</v>
      </c>
      <c r="E36" s="61" t="n">
        <f aca="false">SUMIF('Scenario calc'!$C$7:$BJ$7,E$35,'Scenario calc'!$C$44:$BJ$44)</f>
        <v>-30503.7887681333</v>
      </c>
      <c r="F36" s="61" t="n">
        <f aca="false">SUMIF('Scenario calc'!$C$7:$BJ$7,F$35,'Scenario calc'!$C$44:$BJ$44)</f>
        <v>-35973.6558078147</v>
      </c>
    </row>
    <row r="37" customFormat="false" ht="15" hidden="false" customHeight="false" outlineLevel="0" collapsed="false">
      <c r="A37" s="6" t="s">
        <v>106</v>
      </c>
      <c r="B37" s="61" t="n">
        <f aca="false">SUMIF('Scenario calc'!$C$127:$BJ$127,B$35,'Scenario calc'!$C$164:$BJ$164)</f>
        <v>10242.5441608</v>
      </c>
      <c r="C37" s="61" t="n">
        <f aca="false">SUMIF('Scenario calc'!$C$127:$BJ$127,C$35,'Scenario calc'!$C$164:$BJ$164)</f>
        <v>98400.062706816</v>
      </c>
      <c r="D37" s="61" t="n">
        <f aca="false">SUMIF('Scenario calc'!$C$127:$BJ$127,D$35,'Scenario calc'!$C$164:$BJ$164)</f>
        <v>110686.043279781</v>
      </c>
      <c r="E37" s="61" t="n">
        <f aca="false">SUMIF('Scenario calc'!$C$127:$BJ$127,E$35,'Scenario calc'!$C$164:$BJ$164)</f>
        <v>122982.915391738</v>
      </c>
      <c r="F37" s="61" t="n">
        <f aca="false">SUMIF('Scenario calc'!$C$127:$BJ$127,F$35,'Scenario calc'!$C$164:$BJ$164)</f>
        <v>135438.90422222</v>
      </c>
    </row>
    <row r="38" customFormat="false" ht="15" hidden="false" customHeight="false" outlineLevel="0" collapsed="false">
      <c r="A38" s="6" t="s">
        <v>107</v>
      </c>
      <c r="B38" s="61" t="n">
        <f aca="false">SUMIF('Scenario calc'!$C$247:$BJ$247,B$35,'Scenario calc'!$C$284:$BJ$284)</f>
        <v>111794.821692308</v>
      </c>
      <c r="C38" s="61" t="n">
        <f aca="false">SUMIF('Scenario calc'!$C$247:$BJ$247,C$35,'Scenario calc'!$C$284:$BJ$284)</f>
        <v>203324.388362338</v>
      </c>
      <c r="D38" s="61" t="n">
        <f aca="false">SUMIF('Scenario calc'!$C$247:$BJ$247,D$35,'Scenario calc'!$C$284:$BJ$284)</f>
        <v>228679.044038146</v>
      </c>
      <c r="E38" s="61" t="n">
        <f aca="false">SUMIF('Scenario calc'!$C$247:$BJ$247,E$35,'Scenario calc'!$C$284:$BJ$284)</f>
        <v>255803.927612032</v>
      </c>
      <c r="F38" s="61" t="n">
        <f aca="false">SUMIF('Scenario calc'!$C$247:$BJ$247,F$35,'Scenario calc'!$C$284:$BJ$284)</f>
        <v>284860.419392992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105</v>
      </c>
      <c r="B42" s="61" t="n">
        <f aca="false">SUMIF('Scenario calc'!$C$7:$BJ$7,B$41,'Scenario calc'!$C$53:$BJ$53)</f>
        <v>-174980.656237637</v>
      </c>
      <c r="C42" s="61" t="n">
        <f aca="false">SUMIF('Scenario calc'!$C$7:$BJ$7,C$41,'Scenario calc'!$C$53:$BJ$53)</f>
        <v>-106061.973995783</v>
      </c>
      <c r="D42" s="61" t="n">
        <f aca="false">SUMIF('Scenario calc'!$C$7:$BJ$7,D$41,'Scenario calc'!$C$53:$BJ$53)</f>
        <v>-107023.777399034</v>
      </c>
      <c r="E42" s="61" t="n">
        <f aca="false">SUMIF('Scenario calc'!$C$7:$BJ$7,E$41,'Scenario calc'!$C$53:$BJ$53)</f>
        <v>-111385.017661774</v>
      </c>
      <c r="F42" s="61" t="n">
        <f aca="false">SUMIF('Scenario calc'!$C$7:$BJ$7,F$41,'Scenario calc'!$C$53:$BJ$53)</f>
        <v>-116862.678069617</v>
      </c>
    </row>
    <row r="43" customFormat="false" ht="15" hidden="false" customHeight="false" outlineLevel="0" collapsed="false">
      <c r="A43" s="6" t="s">
        <v>106</v>
      </c>
      <c r="B43" s="61" t="n">
        <f aca="false">SUMIF('Scenario calc'!$C$127:$BJ$127,B$41,'Scenario calc'!$C$173:$BJ$173)</f>
        <v>-70506.8073546142</v>
      </c>
      <c r="C43" s="61" t="n">
        <f aca="false">SUMIF('Scenario calc'!$C$127:$BJ$127,C$41,'Scenario calc'!$C$173:$BJ$173)</f>
        <v>17593.9128624215</v>
      </c>
      <c r="D43" s="61" t="n">
        <f aca="false">SUMIF('Scenario calc'!$C$127:$BJ$127,D$41,'Scenario calc'!$C$173:$BJ$173)</f>
        <v>29844.7755274138</v>
      </c>
      <c r="E43" s="61" t="n">
        <f aca="false">SUMIF('Scenario calc'!$C$127:$BJ$127,E$41,'Scenario calc'!$C$173:$BJ$173)</f>
        <v>38127.4402908506</v>
      </c>
      <c r="F43" s="61" t="n">
        <f aca="false">SUMIF('Scenario calc'!$C$127:$BJ$127,F$41,'Scenario calc'!$C$173:$BJ$173)</f>
        <v>43135.5782850426</v>
      </c>
    </row>
    <row r="44" customFormat="false" ht="15" hidden="false" customHeight="false" outlineLevel="0" collapsed="false">
      <c r="A44" s="6" t="s">
        <v>107</v>
      </c>
      <c r="B44" s="61" t="n">
        <f aca="false">SUMIF('Scenario calc'!$C$247:$BJ$247,B$41,'Scenario calc'!$C$293:$BJ$293)</f>
        <v>24525.9214397458</v>
      </c>
      <c r="C44" s="61" t="n">
        <f aca="false">SUMIF('Scenario calc'!$C$247:$BJ$247,C$41,'Scenario calc'!$C$293:$BJ$293)</f>
        <v>96790.6921791758</v>
      </c>
      <c r="D44" s="61" t="n">
        <f aca="false">SUMIF('Scenario calc'!$C$247:$BJ$247,D$41,'Scenario calc'!$C$293:$BJ$293)</f>
        <v>116796.851372016</v>
      </c>
      <c r="E44" s="61" t="n">
        <f aca="false">SUMIF('Scenario calc'!$C$247:$BJ$247,E$41,'Scenario calc'!$C$293:$BJ$293)</f>
        <v>138223.041301561</v>
      </c>
      <c r="F44" s="61" t="n">
        <f aca="false">SUMIF('Scenario calc'!$C$247:$BJ$247,F$41,'Scenario calc'!$C$293:$BJ$293)</f>
        <v>161198.892489002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105</v>
      </c>
      <c r="B48" s="61" t="n">
        <f aca="false">INDEX('Scenario calc'!$C$91:$BJ$91,B$47*12)</f>
        <v>-75555.8771704562</v>
      </c>
      <c r="C48" s="61" t="n">
        <f aca="false">INDEX('Scenario calc'!$C$91:$BJ$91,C$47*12)</f>
        <v>-152059.00098156</v>
      </c>
      <c r="D48" s="61" t="n">
        <f aca="false">INDEX('Scenario calc'!$C$91:$BJ$91,D$47*12)</f>
        <v>-230146.71529723</v>
      </c>
      <c r="E48" s="61" t="n">
        <f aca="false">INDEX('Scenario calc'!$C$91:$BJ$91,E$47*12)</f>
        <v>-312948.890603618</v>
      </c>
      <c r="F48" s="61" t="n">
        <f aca="false">INDEX('Scenario calc'!$C$91:$BJ$91,F$47*12)</f>
        <v>-401616.605565267</v>
      </c>
    </row>
    <row r="49" customFormat="false" ht="15" hidden="false" customHeight="false" outlineLevel="0" collapsed="false">
      <c r="A49" s="6" t="s">
        <v>106</v>
      </c>
      <c r="B49" s="61" t="n">
        <f aca="false">INDEX('Scenario calc'!$C$211:$BJ$211,B$47*12)</f>
        <v>28478.0018131834</v>
      </c>
      <c r="C49" s="61" t="n">
        <f aca="false">INDEX('Scenario calc'!$C$211:$BJ$211,C$47*12)</f>
        <v>75366.717816965</v>
      </c>
      <c r="D49" s="61" t="n">
        <f aca="false">INDEX('Scenario calc'!$C$211:$BJ$211,D$47*12)</f>
        <v>134269.599173465</v>
      </c>
      <c r="E49" s="61" t="n">
        <f aca="false">INDEX('Scenario calc'!$C$211:$BJ$211,E$47*12)</f>
        <v>201186.339157684</v>
      </c>
      <c r="F49" s="61" t="n">
        <f aca="false">INDEX('Scenario calc'!$C$211:$BJ$211,F$47*12)</f>
        <v>272807.529637218</v>
      </c>
    </row>
    <row r="50" customFormat="false" ht="15" hidden="false" customHeight="false" outlineLevel="0" collapsed="false">
      <c r="A50" s="6" t="s">
        <v>107</v>
      </c>
      <c r="B50" s="61" t="n">
        <f aca="false">INDEX('Scenario calc'!$C$331:$BJ$331,B$47*12)</f>
        <v>122676.783094723</v>
      </c>
      <c r="C50" s="61" t="n">
        <f aca="false">INDEX('Scenario calc'!$C$331:$BJ$331,C$47*12)</f>
        <v>248748.52906274</v>
      </c>
      <c r="D50" s="61" t="n">
        <f aca="false">INDEX('Scenario calc'!$C$331:$BJ$331,D$47*12)</f>
        <v>394628.421255957</v>
      </c>
      <c r="E50" s="61" t="n">
        <f aca="false">INDEX('Scenario calc'!$C$331:$BJ$331,E$47*12)</f>
        <v>561703.403344851</v>
      </c>
      <c r="F50" s="61" t="n">
        <f aca="false">INDEX('Scenario calc'!$C$331:$BJ$331,F$47*12)</f>
        <v>751487.185534844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126</v>
      </c>
      <c r="B6" s="65" t="n">
        <f aca="false">MATCH(MIN(Monthly!$C$89:$BJ$89),Monthly!$C$89:$BJ$89,0)</f>
        <v>5</v>
      </c>
    </row>
    <row r="7" customFormat="false" ht="15" hidden="false" customHeight="false" outlineLevel="0" collapsed="false">
      <c r="A7" s="6" t="s">
        <v>136</v>
      </c>
      <c r="B7" s="67" t="n">
        <f aca="false">SUMPRODUCT(--(Monthly!$C$4:$BJ$4&lt;=$B$6),Monthly!$C$59:$BJ$59)</f>
        <v>868750</v>
      </c>
    </row>
    <row r="8" customFormat="false" ht="15" hidden="false" customHeight="false" outlineLevel="0" collapsed="false">
      <c r="A8" s="6" t="s">
        <v>137</v>
      </c>
      <c r="B8" s="67" t="n">
        <f aca="false">-SUMPRODUCT(--(Monthly!$C$4:$BJ$4&lt;=$B$6),Monthly!$C$83:$BJ$83)</f>
        <v>35223.2351234063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7" t="n">
        <f aca="false">-SUMPRODUCT(--(Monthly!$C$4:$BJ$4&lt;=$B$6),Monthly!$C$70:$BJ$70)</f>
        <v>3122.36228491543</v>
      </c>
    </row>
    <row r="10" customFormat="false" ht="15" hidden="false" customHeight="false" outlineLevel="0" collapsed="false">
      <c r="A10" s="4" t="s">
        <v>140</v>
      </c>
      <c r="B10" s="68" t="n">
        <f aca="false">B7+B8+B9</f>
        <v>907095.597408322</v>
      </c>
    </row>
    <row r="11" customFormat="false" ht="15" hidden="false" customHeight="false" outlineLevel="0" collapsed="false">
      <c r="A11" s="6" t="s">
        <v>141</v>
      </c>
      <c r="B11" s="69" t="n">
        <f aca="false">Inputs!$E$80</f>
        <v>39000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68" t="n">
        <f aca="false">B10+B11</f>
        <v>946095.597408322</v>
      </c>
    </row>
    <row r="14" customFormat="false" ht="15" hidden="false" customHeight="false" outlineLevel="0" collapsed="false">
      <c r="A14" s="6" t="s">
        <v>64</v>
      </c>
      <c r="B14" s="69" t="n">
        <f aca="false">Inputs!$E$65</f>
        <v>430000</v>
      </c>
    </row>
    <row r="15" customFormat="false" ht="15" hidden="false" customHeight="false" outlineLevel="0" collapsed="false">
      <c r="A15" s="6" t="s">
        <v>65</v>
      </c>
      <c r="B15" s="69" t="n">
        <f aca="false">Inputs!$E$66</f>
        <v>500000</v>
      </c>
    </row>
    <row r="16" customFormat="false" ht="15" hidden="false" customHeight="false" outlineLevel="0" collapsed="false">
      <c r="A16" s="4" t="s">
        <v>144</v>
      </c>
      <c r="B16" s="68" t="n">
        <f aca="false">B14+B15</f>
        <v>930000</v>
      </c>
    </row>
    <row r="17" customFormat="false" ht="15" hidden="false" customHeight="false" outlineLevel="0" collapsed="false">
      <c r="A17" s="70" t="s">
        <v>67</v>
      </c>
      <c r="B17" s="71" t="n">
        <f aca="false">B16-B12</f>
        <v>-16095.5974083217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7" t="n">
        <f aca="false">MIN(Monthly!$C$89:$BJ$89)</f>
        <v>22904.4025916783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149</v>
      </c>
      <c r="B21" s="65" t="n">
        <f aca="false">IFERROR(MATCH(1,Monthly!$C$90:$BJ$90,0),"Not within horizon")</f>
        <v>6</v>
      </c>
    </row>
    <row r="22" customFormat="false" ht="15" hidden="false" customHeight="false" outlineLevel="0" collapsed="false">
      <c r="A22" s="6" t="s">
        <v>150</v>
      </c>
      <c r="B22" s="65" t="n">
        <f aca="false">IFERROR(MATCH(1,Monthly!$C$93:$BJ$93,0),"Not within horizon")</f>
        <v>8</v>
      </c>
    </row>
    <row r="23" customFormat="false" ht="15" hidden="false" customHeight="false" outlineLevel="0" collapsed="false">
      <c r="A23" s="6" t="s">
        <v>151</v>
      </c>
      <c r="B23" s="65" t="str">
        <f aca="false">IF(MIN(Monthly!$C$95:$BJ$95)&gt;=0,"No investment to pay back",IFERROR(MATCH(1,Monthly!$C$97:$BJ$97,0),"Not within horizon"))</f>
        <v>Not within horizon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2" t="s">
        <v>154</v>
      </c>
      <c r="B26" s="72" t="n">
        <v>1</v>
      </c>
      <c r="C26" s="72" t="n">
        <v>2</v>
      </c>
      <c r="D26" s="72" t="n">
        <v>3</v>
      </c>
      <c r="E26" s="72" t="n">
        <v>4</v>
      </c>
      <c r="F26" s="72" t="n">
        <v>5</v>
      </c>
    </row>
    <row r="27" customFormat="false" ht="15" hidden="false" customHeight="false" outlineLevel="0" collapsed="false">
      <c r="A27" s="33"/>
      <c r="B27" s="52" t="s">
        <v>155</v>
      </c>
      <c r="C27" s="52" t="s">
        <v>156</v>
      </c>
      <c r="D27" s="52" t="s">
        <v>157</v>
      </c>
      <c r="E27" s="52" t="s">
        <v>158</v>
      </c>
      <c r="F27" s="52" t="s">
        <v>159</v>
      </c>
    </row>
    <row r="28" customFormat="false" ht="15" hidden="false" customHeight="false" outlineLevel="0" collapsed="false">
      <c r="A28" s="4" t="s">
        <v>44</v>
      </c>
      <c r="B28" s="73" t="n">
        <f aca="false">SUMIF(Monthly!$C$5:$BJ$5,B$26,Monthly!$C$20:$BJ$20)</f>
        <v>274944.2576</v>
      </c>
      <c r="C28" s="73" t="n">
        <f aca="false">SUMIF(Monthly!$C$5:$BJ$5,C$26,Monthly!$C$20:$BJ$20)</f>
        <v>396826.244352</v>
      </c>
      <c r="D28" s="73" t="n">
        <f aca="false">SUMIF(Monthly!$C$5:$BJ$5,D$26,Monthly!$C$20:$BJ$20)</f>
        <v>416905.652316211</v>
      </c>
      <c r="E28" s="73" t="n">
        <f aca="false">SUMIF(Monthly!$C$5:$BJ$5,E$26,Monthly!$C$20:$BJ$20)</f>
        <v>438001.078323412</v>
      </c>
      <c r="F28" s="73" t="n">
        <f aca="false">SUMIF(Monthly!$C$5:$BJ$5,F$26,Monthly!$C$20:$BJ$20)</f>
        <v>460163.932886576</v>
      </c>
    </row>
    <row r="29" customFormat="false" ht="15" hidden="false" customHeight="false" outlineLevel="0" collapsed="false">
      <c r="A29" s="6" t="s">
        <v>45</v>
      </c>
      <c r="B29" s="67" t="n">
        <f aca="false">SUMIF(Monthly!$C$5:$BJ$5,B$26,Monthly!$C$29:$BJ$29)</f>
        <v>165763.80942</v>
      </c>
      <c r="C29" s="67" t="n">
        <f aca="false">SUMIF(Monthly!$C$5:$BJ$5,C$26,Monthly!$C$29:$BJ$29)</f>
        <v>262060.4210784</v>
      </c>
      <c r="D29" s="67" t="n">
        <f aca="false">SUMIF(Monthly!$C$5:$BJ$5,D$26,Monthly!$C$29:$BJ$29)</f>
        <v>276491.911984967</v>
      </c>
      <c r="E29" s="67" t="n">
        <f aca="false">SUMIF(Monthly!$C$5:$BJ$5,E$26,Monthly!$C$29:$BJ$29)</f>
        <v>291688.773339406</v>
      </c>
      <c r="F29" s="67" t="n">
        <f aca="false">SUMIF(Monthly!$C$5:$BJ$5,F$26,Monthly!$C$29:$BJ$29)</f>
        <v>307690.78699662</v>
      </c>
    </row>
    <row r="30" customFormat="false" ht="15" hidden="false" customHeight="false" outlineLevel="0" collapsed="false">
      <c r="A30" s="38" t="s">
        <v>160</v>
      </c>
      <c r="B30" s="74" t="n">
        <f aca="false">IF(B28=0,0,B29/B28)</f>
        <v>0.602899696349214</v>
      </c>
      <c r="C30" s="74" t="n">
        <f aca="false">IF(C28=0,0,C29/C28)</f>
        <v>0.660390850676556</v>
      </c>
      <c r="D30" s="74" t="n">
        <f aca="false">IF(D28=0,0,D29/D28)</f>
        <v>0.663200199970558</v>
      </c>
      <c r="E30" s="74" t="n">
        <f aca="false">IF(E28=0,0,E29/E28)</f>
        <v>0.665954463984285</v>
      </c>
      <c r="F30" s="74" t="n">
        <f aca="false">IF(F28=0,0,F29/F28)</f>
        <v>0.668654722821273</v>
      </c>
    </row>
    <row r="31" customFormat="false" ht="15" hidden="false" customHeight="false" outlineLevel="0" collapsed="false">
      <c r="A31" s="6" t="s">
        <v>161</v>
      </c>
      <c r="B31" s="67" t="n">
        <f aca="false">-SUMIF(Monthly!$C$5:$BJ$5,B$26,Monthly!$C$41:$BJ$41)</f>
        <v>155521.2652592</v>
      </c>
      <c r="C31" s="67" t="n">
        <f aca="false">-SUMIF(Monthly!$C$5:$BJ$5,C$26,Monthly!$C$41:$BJ$41)</f>
        <v>163660.358371584</v>
      </c>
      <c r="D31" s="67" t="n">
        <f aca="false">-SUMIF(Monthly!$C$5:$BJ$5,D$26,Monthly!$C$41:$BJ$41)</f>
        <v>165805.868705186</v>
      </c>
      <c r="E31" s="67" t="n">
        <f aca="false">-SUMIF(Monthly!$C$5:$BJ$5,E$26,Monthly!$C$41:$BJ$41)</f>
        <v>168705.857947669</v>
      </c>
      <c r="F31" s="67" t="n">
        <f aca="false">-SUMIF(Monthly!$C$5:$BJ$5,F$26,Monthly!$C$41:$BJ$41)</f>
        <v>172251.882774401</v>
      </c>
    </row>
    <row r="32" customFormat="false" ht="15" hidden="false" customHeight="false" outlineLevel="0" collapsed="false">
      <c r="A32" s="4" t="s">
        <v>162</v>
      </c>
      <c r="B32" s="73" t="n">
        <f aca="false">IF(B30&gt;0,B31/B30,"n/a")</f>
        <v>257955.45461532</v>
      </c>
      <c r="C32" s="73" t="n">
        <f aca="false">IF(C30&gt;0,C31/C30,"n/a")</f>
        <v>247823.479389391</v>
      </c>
      <c r="D32" s="73" t="n">
        <f aca="false">IF(D30&gt;0,D31/D30,"n/a")</f>
        <v>250008.773689373</v>
      </c>
      <c r="E32" s="73" t="n">
        <f aca="false">IF(E30&gt;0,E31/E30,"n/a")</f>
        <v>253329.419759922</v>
      </c>
      <c r="F32" s="73" t="n">
        <f aca="false">IF(F30&gt;0,F31/F30,"n/a")</f>
        <v>257609.610603831</v>
      </c>
    </row>
    <row r="33" customFormat="false" ht="15" hidden="false" customHeight="false" outlineLevel="0" collapsed="false">
      <c r="A33" s="38" t="s">
        <v>163</v>
      </c>
      <c r="B33" s="74" t="n">
        <f aca="false">IF(AND(ISNUMBER(B32),B28&gt;0),(B28-B32)/B28,"n/a")</f>
        <v>0.0617899902073811</v>
      </c>
      <c r="C33" s="74" t="n">
        <f aca="false">IF(AND(ISNUMBER(C32),C28&gt;0),(C28-C32)/C28,"n/a")</f>
        <v>0.375486165754797</v>
      </c>
      <c r="D33" s="74" t="n">
        <f aca="false">IF(AND(ISNUMBER(D32),D28&gt;0),(D28-D32)/D28,"n/a")</f>
        <v>0.400322897278091</v>
      </c>
      <c r="E33" s="74" t="n">
        <f aca="false">IF(AND(ISNUMBER(E32),E28&gt;0),(E28-E32)/E28,"n/a")</f>
        <v>0.421623753234534</v>
      </c>
      <c r="F33" s="74" t="n">
        <f aca="false">IF(AND(ISNUMBER(F32),F28&gt;0),(F28-F32)/F28,"n/a")</f>
        <v>0.440178614199805</v>
      </c>
    </row>
    <row r="35" customFormat="false" ht="15" hidden="false" customHeight="false" outlineLevel="0" collapsed="false">
      <c r="A35" s="3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165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166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168</v>
      </c>
      <c r="B6" s="75" t="n">
        <f aca="false">Inputs!$E$83</f>
        <v>0.25</v>
      </c>
    </row>
    <row r="7" customFormat="false" ht="15" hidden="false" customHeight="false" outlineLevel="0" collapsed="false">
      <c r="A7" s="38" t="s">
        <v>169</v>
      </c>
      <c r="B7" s="75" t="n">
        <f aca="false">Inputs!$E$84</f>
        <v>0.02</v>
      </c>
    </row>
    <row r="8" customFormat="false" ht="15" hidden="false" customHeight="false" outlineLevel="0" collapsed="false">
      <c r="A8" s="6" t="s">
        <v>170</v>
      </c>
      <c r="B8" s="76" t="n">
        <f aca="false">Inputs!$E$85</f>
        <v>4</v>
      </c>
    </row>
    <row r="9" customFormat="false" ht="15" hidden="false" customHeight="false" outlineLevel="0" collapsed="false">
      <c r="A9" s="38" t="s">
        <v>171</v>
      </c>
      <c r="B9" s="75" t="n">
        <f aca="false">Inputs!$E$77</f>
        <v>0.21</v>
      </c>
    </row>
    <row r="10" customFormat="false" ht="15" hidden="false" customHeight="false" outlineLevel="0" collapsed="false">
      <c r="A10" s="38" t="s">
        <v>172</v>
      </c>
      <c r="B10" s="75" t="n">
        <f aca="false">Inputs!$E$86</f>
        <v>0.01</v>
      </c>
    </row>
    <row r="11" customFormat="false" ht="15" hidden="false" customHeight="false" outlineLevel="0" collapsed="false">
      <c r="A11" s="38" t="s">
        <v>173</v>
      </c>
      <c r="B11" s="75" t="n">
        <f aca="false">Inputs!$E$87</f>
        <v>0.005</v>
      </c>
    </row>
    <row r="13" customFormat="false" ht="15.75" hidden="false" customHeight="true" outlineLevel="0" collapsed="false">
      <c r="A13" s="7" t="s">
        <v>174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2" t="s">
        <v>154</v>
      </c>
      <c r="B14" s="72" t="n">
        <v>1</v>
      </c>
      <c r="C14" s="72" t="n">
        <v>2</v>
      </c>
      <c r="D14" s="72" t="n">
        <v>3</v>
      </c>
      <c r="E14" s="72" t="n">
        <v>4</v>
      </c>
      <c r="F14" s="72" t="n">
        <v>5</v>
      </c>
    </row>
    <row r="15" customFormat="false" ht="15" hidden="false" customHeight="false" outlineLevel="0" collapsed="false">
      <c r="A15" s="33"/>
      <c r="B15" s="52" t="s">
        <v>155</v>
      </c>
      <c r="C15" s="52" t="s">
        <v>156</v>
      </c>
      <c r="D15" s="52" t="s">
        <v>157</v>
      </c>
      <c r="E15" s="52" t="s">
        <v>158</v>
      </c>
      <c r="F15" s="52" t="s">
        <v>159</v>
      </c>
    </row>
    <row r="16" customFormat="false" ht="15" hidden="false" customHeight="false" outlineLevel="0" collapsed="false">
      <c r="A16" s="6" t="s">
        <v>48</v>
      </c>
      <c r="B16" s="67" t="n">
        <f aca="false">SUMIF(Monthly!$C$5:$BJ$5,B$14,Monthly!$C$42:$BJ$42)</f>
        <v>10242.5441608</v>
      </c>
      <c r="C16" s="67" t="n">
        <f aca="false">SUMIF(Monthly!$C$5:$BJ$5,C$14,Monthly!$C$42:$BJ$42)</f>
        <v>98400.062706816</v>
      </c>
      <c r="D16" s="67" t="n">
        <f aca="false">SUMIF(Monthly!$C$5:$BJ$5,D$14,Monthly!$C$42:$BJ$42)</f>
        <v>110686.043279781</v>
      </c>
      <c r="E16" s="67" t="n">
        <f aca="false">SUMIF(Monthly!$C$5:$BJ$5,E$14,Monthly!$C$42:$BJ$42)</f>
        <v>122982.915391738</v>
      </c>
      <c r="F16" s="67" t="n">
        <f aca="false">SUMIF(Monthly!$C$5:$BJ$5,F$14,Monthly!$C$42:$BJ$42)</f>
        <v>135438.90422222</v>
      </c>
    </row>
    <row r="17" customFormat="false" ht="15" hidden="false" customHeight="false" outlineLevel="0" collapsed="false">
      <c r="A17" s="4" t="s">
        <v>175</v>
      </c>
      <c r="B17" s="73" t="n">
        <f aca="false">SUMIF(Monthly!$C$5:$BJ$5,B$14,Monthly!$C$98:$BJ$98)</f>
        <v>-866414.360168548</v>
      </c>
      <c r="C17" s="73" t="n">
        <f aca="false">SUMIF(Monthly!$C$5:$BJ$5,C$14,Monthly!$C$98:$BJ$98)</f>
        <v>82112.4738729643</v>
      </c>
      <c r="D17" s="73" t="n">
        <f aca="false">SUMIF(Monthly!$C$5:$BJ$5,D$14,Monthly!$C$98:$BJ$98)</f>
        <v>94251.1533900085</v>
      </c>
      <c r="E17" s="73" t="n">
        <f aca="false">SUMIF(Monthly!$C$5:$BJ$5,E$14,Monthly!$C$98:$BJ$98)</f>
        <v>102398.52732106</v>
      </c>
      <c r="F17" s="73" t="n">
        <f aca="false">SUMIF(Monthly!$C$5:$BJ$5,F$14,Monthly!$C$98:$BJ$98)</f>
        <v>107246.144951781</v>
      </c>
    </row>
    <row r="18" customFormat="false" ht="15" hidden="false" customHeight="false" outlineLevel="0" collapsed="false">
      <c r="A18" s="6" t="s">
        <v>176</v>
      </c>
      <c r="B18" s="77" t="n">
        <f aca="false">1/(1+Inputs!$E$83)^B$14</f>
        <v>0.8</v>
      </c>
      <c r="C18" s="77" t="n">
        <f aca="false">1/(1+Inputs!$E$83)^C$14</f>
        <v>0.64</v>
      </c>
      <c r="D18" s="77" t="n">
        <f aca="false">1/(1+Inputs!$E$83)^D$14</f>
        <v>0.512</v>
      </c>
      <c r="E18" s="77" t="n">
        <f aca="false">1/(1+Inputs!$E$83)^E$14</f>
        <v>0.4096</v>
      </c>
      <c r="F18" s="77" t="n">
        <f aca="false">1/(1+Inputs!$E$83)^F$14</f>
        <v>0.32768</v>
      </c>
    </row>
    <row r="19" customFormat="false" ht="15" hidden="false" customHeight="false" outlineLevel="0" collapsed="false">
      <c r="A19" s="6" t="s">
        <v>177</v>
      </c>
      <c r="B19" s="67" t="n">
        <f aca="false">B17*B18</f>
        <v>-693131.488134839</v>
      </c>
      <c r="C19" s="67" t="n">
        <f aca="false">C17*C18</f>
        <v>52551.9832786971</v>
      </c>
      <c r="D19" s="67" t="n">
        <f aca="false">D17*D18</f>
        <v>48256.5905356844</v>
      </c>
      <c r="E19" s="67" t="n">
        <f aca="false">E17*E18</f>
        <v>41942.4367907064</v>
      </c>
      <c r="F19" s="67" t="n">
        <f aca="false">F17*F18</f>
        <v>35142.4167777994</v>
      </c>
    </row>
    <row r="21" customFormat="false" ht="15.75" hidden="false" customHeight="true" outlineLevel="0" collapsed="false">
      <c r="A21" s="7" t="s">
        <v>178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179</v>
      </c>
      <c r="C22" s="52" t="s">
        <v>180</v>
      </c>
    </row>
    <row r="23" customFormat="false" ht="15" hidden="false" customHeight="false" outlineLevel="0" collapsed="false">
      <c r="A23" s="6" t="s">
        <v>181</v>
      </c>
      <c r="B23" s="67" t="n">
        <f aca="false">SUM($B$19:$F$19)</f>
        <v>-515238.060751951</v>
      </c>
      <c r="C23" s="67" t="n">
        <f aca="false">B23</f>
        <v>-515238.060751951</v>
      </c>
    </row>
    <row r="24" customFormat="false" ht="15" hidden="false" customHeight="false" outlineLevel="0" collapsed="false">
      <c r="A24" s="6" t="s">
        <v>182</v>
      </c>
      <c r="B24" s="67" t="n">
        <f aca="false">$F$17</f>
        <v>107246.144951781</v>
      </c>
      <c r="C24" s="67" t="n">
        <f aca="false">$F$16</f>
        <v>135438.90422222</v>
      </c>
    </row>
    <row r="25" customFormat="false" ht="15" hidden="false" customHeight="false" outlineLevel="0" collapsed="false">
      <c r="A25" s="6" t="s">
        <v>183</v>
      </c>
      <c r="B25" s="67" t="n">
        <f aca="false">IF($B$6&gt;$B$7,B24*(1+$B$7)/($B$6-$B$7),0)</f>
        <v>475613.338481809</v>
      </c>
      <c r="C25" s="67" t="n">
        <f aca="false">C24*$B$8</f>
        <v>541755.616888879</v>
      </c>
    </row>
    <row r="26" customFormat="false" ht="15" hidden="false" customHeight="false" outlineLevel="0" collapsed="false">
      <c r="A26" s="6" t="s">
        <v>184</v>
      </c>
      <c r="B26" s="67" t="n">
        <f aca="false">B25/(1+$B$6)^$F$14</f>
        <v>155848.978753719</v>
      </c>
      <c r="C26" s="67" t="n">
        <f aca="false">C25/(1+$B$6)^$F$14</f>
        <v>177522.480542148</v>
      </c>
    </row>
    <row r="27" customFormat="false" ht="15" hidden="false" customHeight="false" outlineLevel="0" collapsed="false">
      <c r="A27" s="4" t="s">
        <v>178</v>
      </c>
      <c r="B27" s="68" t="n">
        <f aca="false">B23+B26</f>
        <v>-359389.081998232</v>
      </c>
      <c r="C27" s="68" t="n">
        <f aca="false">C23+C26</f>
        <v>-337715.580209803</v>
      </c>
    </row>
    <row r="28" customFormat="false" ht="15" hidden="false" customHeight="false" outlineLevel="0" collapsed="false">
      <c r="A28" s="38" t="s">
        <v>185</v>
      </c>
      <c r="B28" s="74" t="n">
        <f aca="false">IF(B27&lt;&gt;0,B26/B27,0)</f>
        <v>-0.433649731058012</v>
      </c>
      <c r="C28" s="74" t="n">
        <f aca="false">IF(C27&lt;&gt;0,C26/C27,0)</f>
        <v>-0.525656768431777</v>
      </c>
    </row>
    <row r="29" customFormat="false" ht="15" hidden="false" customHeight="false" outlineLevel="0" collapsed="false">
      <c r="A29" s="6" t="s">
        <v>186</v>
      </c>
      <c r="B29" s="78" t="n">
        <f aca="false">IF(C24&gt;0,B25/C24,"n/a")</f>
        <v>3.51164490892109</v>
      </c>
      <c r="C29" s="74" t="n">
        <f aca="false">IF(C25+B24&lt;&gt;0,(C25*$B$6-B24)/(C25+B24),"n/a")</f>
        <v>0.0434401891151739</v>
      </c>
    </row>
    <row r="30" customFormat="false" ht="15" hidden="false" customHeight="false" outlineLevel="0" collapsed="false">
      <c r="A30" s="70" t="s">
        <v>187</v>
      </c>
      <c r="B30" s="71" t="n">
        <f aca="false">AVERAGE(B27,C27)</f>
        <v>-348552.331104018</v>
      </c>
    </row>
    <row r="32" customFormat="false" ht="15.75" hidden="false" customHeight="true" outlineLevel="0" collapsed="false">
      <c r="A32" s="7" t="s">
        <v>188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189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0.23</v>
      </c>
      <c r="B34" s="67" t="n">
        <f aca="false">IF($A34&gt;B$33,SUMPRODUCT($B$17:$F$17/(1+$A34)^$B$14:$F$14)+$F$17*(1+B$33)/($A34-B$33)/(1+$A34)^$F$14,"n/a")</f>
        <v>-341760.446559675</v>
      </c>
      <c r="C34" s="67" t="n">
        <f aca="false">IF($A34&gt;C$33,SUMPRODUCT($B$17:$F$17/(1+$A34)^$B$14:$F$14)+$F$17*(1+C$33)/($A34-C$33)/(1+$A34)^$F$14,"n/a")</f>
        <v>-336807.426260013</v>
      </c>
      <c r="D34" s="67" t="n">
        <f aca="false">IF($A34&gt;D$33,SUMPRODUCT($B$17:$F$17/(1+$A34)^$B$14:$F$14)+$F$17*(1+D$33)/($A34-D$33)/(1+$A34)^$F$14,"n/a")</f>
        <v>-331618.547850844</v>
      </c>
      <c r="E34" s="67" t="n">
        <f aca="false">IF($A34&gt;E$33,SUMPRODUCT($B$17:$F$17/(1+$A34)^$B$14:$F$14)+$F$17*(1+E$33)/($A34-E$33)/(1+$A34)^$F$14,"n/a")</f>
        <v>-326176.553421716</v>
      </c>
      <c r="F34" s="67" t="n">
        <f aca="false">IF($A34&gt;F$33,SUMPRODUCT($B$17:$F$17/(1+$A34)^$B$14:$F$14)+$F$17*(1+F$33)/($A34-F$33)/(1+$A34)^$F$14,"n/a")</f>
        <v>-320462.459271131</v>
      </c>
    </row>
    <row r="35" customFormat="false" ht="15" hidden="false" customHeight="false" outlineLevel="0" collapsed="false">
      <c r="A35" s="74" t="n">
        <f aca="false">$B$6+(-1)*$B$10</f>
        <v>0.24</v>
      </c>
      <c r="B35" s="67" t="n">
        <f aca="false">IF($A35&gt;B$33,SUMPRODUCT($B$17:$F$17/(1+$A35)^$B$14:$F$14)+$F$17*(1+B$33)/($A35-B$33)/(1+$A35)^$F$14,"n/a")</f>
        <v>-355345.503506157</v>
      </c>
      <c r="C35" s="67" t="n">
        <f aca="false">IF($A35&gt;C$33,SUMPRODUCT($B$17:$F$17/(1+$A35)^$B$14:$F$14)+$F$17*(1+C$33)/($A35-C$33)/(1+$A35)^$F$14,"n/a")</f>
        <v>-350962.673769073</v>
      </c>
      <c r="D35" s="67" t="n">
        <f aca="false">IF($A35&gt;D$33,SUMPRODUCT($B$17:$F$17/(1+$A35)^$B$14:$F$14)+$F$17*(1+D$33)/($A35-D$33)/(1+$A35)^$F$14,"n/a")</f>
        <v>-346380.624498484</v>
      </c>
      <c r="E35" s="67" t="n">
        <f aca="false">IF($A35&gt;E$33,SUMPRODUCT($B$17:$F$17/(1+$A35)^$B$14:$F$14)+$F$17*(1+E$33)/($A35-E$33)/(1+$A35)^$F$14,"n/a")</f>
        <v>-341585.456657171</v>
      </c>
      <c r="F35" s="67" t="n">
        <f aca="false">IF($A35&gt;F$33,SUMPRODUCT($B$17:$F$17/(1+$A35)^$B$14:$F$14)+$F$17*(1+F$33)/($A35-F$33)/(1+$A35)^$F$14,"n/a")</f>
        <v>-336561.94749008</v>
      </c>
    </row>
    <row r="36" customFormat="false" ht="15" hidden="false" customHeight="false" outlineLevel="0" collapsed="false">
      <c r="A36" s="74" t="n">
        <f aca="false">$B$6+(0)*$B$10</f>
        <v>0.25</v>
      </c>
      <c r="B36" s="67" t="n">
        <f aca="false">IF($A36&gt;B$33,SUMPRODUCT($B$17:$F$17/(1+$A36)^$B$14:$F$14)+$F$17*(1+B$33)/($A36-B$33)/(1+$A36)^$F$14,"n/a")</f>
        <v>-367347.056812045</v>
      </c>
      <c r="C36" s="67" t="n">
        <f aca="false">IF($A36&gt;C$33,SUMPRODUCT($B$17:$F$17/(1+$A36)^$B$14:$F$14)+$F$17*(1+C$33)/($A36-C$33)/(1+$A36)^$F$14,"n/a")</f>
        <v>-363452.728711669</v>
      </c>
      <c r="D36" s="67" t="n">
        <f aca="false">IF($A36&gt;D$33,SUMPRODUCT($B$17:$F$17/(1+$A36)^$B$14:$F$14)+$F$17*(1+D$33)/($A36-D$33)/(1+$A36)^$F$14,"n/a")</f>
        <v>-359389.081998232</v>
      </c>
      <c r="E36" s="67" t="n">
        <f aca="false">IF($A36&gt;E$33,SUMPRODUCT($B$17:$F$17/(1+$A36)^$B$14:$F$14)+$F$17*(1+E$33)/($A36-E$33)/(1+$A36)^$F$14,"n/a")</f>
        <v>-355144.828764198</v>
      </c>
      <c r="F36" s="67" t="n">
        <f aca="false">IF($A36&gt;F$33,SUMPRODUCT($B$17:$F$17/(1+$A36)^$B$14:$F$14)+$F$17*(1+F$33)/($A36-F$33)/(1+$A36)^$F$14,"n/a")</f>
        <v>-350707.654928618</v>
      </c>
    </row>
    <row r="37" customFormat="false" ht="15" hidden="false" customHeight="false" outlineLevel="0" collapsed="false">
      <c r="A37" s="74" t="n">
        <f aca="false">$B$6+(1)*$B$10</f>
        <v>0.26</v>
      </c>
      <c r="B37" s="67" t="n">
        <f aca="false">IF($A37&gt;B$33,SUMPRODUCT($B$17:$F$17/(1+$A37)^$B$14:$F$14)+$F$17*(1+B$33)/($A37-B$33)/(1+$A37)^$F$14,"n/a")</f>
        <v>-377965.913922551</v>
      </c>
      <c r="C37" s="67" t="n">
        <f aca="false">IF($A37&gt;C$33,SUMPRODUCT($B$17:$F$17/(1+$A37)^$B$14:$F$14)+$F$17*(1+C$33)/($A37-C$33)/(1+$A37)^$F$14,"n/a")</f>
        <v>-374492.444973205</v>
      </c>
      <c r="D37" s="67" t="n">
        <f aca="false">IF($A37&gt;D$33,SUMPRODUCT($B$17:$F$17/(1+$A37)^$B$14:$F$14)+$F$17*(1+D$33)/($A37-D$33)/(1+$A37)^$F$14,"n/a")</f>
        <v>-370874.248150969</v>
      </c>
      <c r="E37" s="67" t="n">
        <f aca="false">IF($A37&gt;E$33,SUMPRODUCT($B$17:$F$17/(1+$A37)^$B$14:$F$14)+$F$17*(1+E$33)/($A37-E$33)/(1+$A37)^$F$14,"n/a")</f>
        <v>-367102.08550651</v>
      </c>
      <c r="F37" s="67" t="n">
        <f aca="false">IF($A37&gt;F$33,SUMPRODUCT($B$17:$F$17/(1+$A37)^$B$14:$F$14)+$F$17*(1+F$33)/($A37-F$33)/(1+$A37)^$F$14,"n/a")</f>
        <v>-363165.915790553</v>
      </c>
    </row>
    <row r="38" customFormat="false" ht="15" hidden="false" customHeight="false" outlineLevel="0" collapsed="false">
      <c r="A38" s="74" t="n">
        <f aca="false">$B$6+(2)*$B$10</f>
        <v>0.27</v>
      </c>
      <c r="B38" s="67" t="n">
        <f aca="false">IF($A38&gt;B$33,SUMPRODUCT($B$17:$F$17/(1+$A38)^$B$14:$F$14)+$F$17*(1+B$33)/($A38-B$33)/(1+$A38)^$F$14,"n/a")</f>
        <v>-387371.64383778</v>
      </c>
      <c r="C38" s="67" t="n">
        <f aca="false">IF($A38&gt;C$33,SUMPRODUCT($B$17:$F$17/(1+$A38)^$B$14:$F$14)+$F$17*(1+C$33)/($A38-C$33)/(1+$A38)^$F$14,"n/a")</f>
        <v>-384262.625510357</v>
      </c>
      <c r="D38" s="67" t="n">
        <f aca="false">IF($A38&gt;D$33,SUMPRODUCT($B$17:$F$17/(1+$A38)^$B$14:$F$14)+$F$17*(1+D$33)/($A38-D$33)/(1+$A38)^$F$14,"n/a")</f>
        <v>-381029.246449837</v>
      </c>
      <c r="E38" s="67" t="n">
        <f aca="false">IF($A38&gt;E$33,SUMPRODUCT($B$17:$F$17/(1+$A38)^$B$14:$F$14)+$F$17*(1+E$33)/($A38-E$33)/(1+$A38)^$F$14,"n/a")</f>
        <v>-377663.892733786</v>
      </c>
      <c r="F38" s="67" t="n">
        <f aca="false">IF($A38&gt;F$33,SUMPRODUCT($B$17:$F$17/(1+$A38)^$B$14:$F$14)+$F$17*(1+F$33)/($A38-F$33)/(1+$A38)^$F$14,"n/a")</f>
        <v>-374158.315946232</v>
      </c>
    </row>
    <row r="40" customFormat="false" ht="15" hidden="false" customHeight="false" outlineLevel="0" collapsed="false">
      <c r="A40" s="3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191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192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193</v>
      </c>
      <c r="B5" s="7"/>
      <c r="C5" s="7"/>
    </row>
    <row r="6" customFormat="false" ht="15" hidden="false" customHeight="false" outlineLevel="0" collapsed="false">
      <c r="B6" s="52" t="s">
        <v>194</v>
      </c>
      <c r="C6" s="52" t="s">
        <v>195</v>
      </c>
    </row>
    <row r="7" customFormat="false" ht="15" hidden="false" customHeight="false" outlineLevel="0" collapsed="false">
      <c r="A7" s="6" t="s">
        <v>196</v>
      </c>
      <c r="B7" s="80" t="n">
        <f aca="false">Inputs!$E$65</f>
        <v>430000</v>
      </c>
      <c r="C7" s="74" t="n">
        <f aca="false">IF($B$9=0,0,B7/$B$9)</f>
        <v>0.462365591397849</v>
      </c>
    </row>
    <row r="8" customFormat="false" ht="15" hidden="false" customHeight="false" outlineLevel="0" collapsed="false">
      <c r="A8" s="6" t="s">
        <v>197</v>
      </c>
      <c r="B8" s="80" t="n">
        <f aca="false">Inputs!$E$66</f>
        <v>500000</v>
      </c>
      <c r="C8" s="74" t="n">
        <f aca="false">IF($B$9=0,0,B8/$B$9)</f>
        <v>0.537634408602151</v>
      </c>
    </row>
    <row r="9" customFormat="false" ht="15" hidden="false" customHeight="false" outlineLevel="0" collapsed="false">
      <c r="A9" s="4" t="s">
        <v>198</v>
      </c>
      <c r="B9" s="81" t="n">
        <f aca="false">B7+B8</f>
        <v>930000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199</v>
      </c>
      <c r="B10" s="78" t="n">
        <f aca="false">IF(B7&lt;=0,IF(B8&gt;0,"n/a",0),B8/B7)</f>
        <v>1.16279069767442</v>
      </c>
      <c r="D10" s="18" t="s">
        <v>200</v>
      </c>
    </row>
    <row r="11" customFormat="false" ht="15" hidden="false" customHeight="false" outlineLevel="0" collapsed="false">
      <c r="A11" s="6" t="s">
        <v>201</v>
      </c>
      <c r="B11" s="80" t="n">
        <f aca="false">'Break-even'!B12</f>
        <v>946095.597408322</v>
      </c>
    </row>
    <row r="12" customFormat="false" ht="15" hidden="false" customHeight="false" outlineLevel="0" collapsed="false">
      <c r="A12" s="70" t="s">
        <v>67</v>
      </c>
      <c r="B12" s="83" t="n">
        <f aca="false">'Break-even'!B17</f>
        <v>-16095.5974083217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202</v>
      </c>
      <c r="B15" s="84" t="n">
        <v>12</v>
      </c>
      <c r="D15" s="18" t="s">
        <v>203</v>
      </c>
    </row>
    <row r="16" customFormat="false" ht="15" hidden="false" customHeight="false" outlineLevel="0" collapsed="false">
      <c r="A16" s="6" t="s">
        <v>204</v>
      </c>
      <c r="B16" s="65" t="n">
        <f aca="false">MIN(60,MAX(1,ROUND(B15,0)))</f>
        <v>12</v>
      </c>
    </row>
    <row r="17" customFormat="false" ht="15" hidden="false" customHeight="false" outlineLevel="0" collapsed="false">
      <c r="A17" s="33" t="s">
        <v>205</v>
      </c>
      <c r="B17" s="52" t="s">
        <v>194</v>
      </c>
      <c r="C17" s="52" t="s">
        <v>195</v>
      </c>
    </row>
    <row r="18" customFormat="false" ht="15" hidden="false" customHeight="false" outlineLevel="0" collapsed="false">
      <c r="A18" s="6" t="s">
        <v>64</v>
      </c>
      <c r="B18" s="61" t="n">
        <f aca="false">SUMPRODUCT(--(Monthly!$C$4:$BJ$4&lt;=$B$16),Monthly!$C$85:$BJ$85)</f>
        <v>430000</v>
      </c>
      <c r="C18" s="74" t="n">
        <f aca="false">IF($B$21=0,0,B18/$B$21)</f>
        <v>0.462365591397849</v>
      </c>
    </row>
    <row r="19" customFormat="false" ht="15" hidden="false" customHeight="false" outlineLevel="0" collapsed="false">
      <c r="A19" s="6" t="s">
        <v>206</v>
      </c>
      <c r="B19" s="61" t="n">
        <f aca="false">SUMPRODUCT(--(Monthly!$C$4:$BJ$4&lt;=$B$16),Monthly!$C$68:$BJ$68)</f>
        <v>500000</v>
      </c>
      <c r="C19" s="74" t="n">
        <f aca="false">IF($B$21=0,0,B19/$B$21)</f>
        <v>0.537634408602151</v>
      </c>
    </row>
    <row r="20" customFormat="false" ht="15" hidden="false" customHeight="false" outlineLevel="0" collapsed="false">
      <c r="A20" s="6" t="s">
        <v>207</v>
      </c>
      <c r="B20" s="61" t="n">
        <f aca="false">MAX(0,SUMPRODUCT(--(Monthly!$C$4:$BJ$4&lt;=$B$16),Monthly!$C$83:$BJ$83))</f>
        <v>0</v>
      </c>
      <c r="C20" s="74" t="n">
        <f aca="false">IF($B$21=0,0,B20/$B$21)</f>
        <v>0</v>
      </c>
    </row>
    <row r="21" customFormat="false" ht="15" hidden="false" customHeight="false" outlineLevel="0" collapsed="false">
      <c r="A21" s="4" t="s">
        <v>208</v>
      </c>
      <c r="B21" s="81" t="n">
        <f aca="false">SUM(B18:B20)</f>
        <v>930000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209</v>
      </c>
      <c r="B23" s="52" t="s">
        <v>194</v>
      </c>
      <c r="C23" s="52" t="s">
        <v>195</v>
      </c>
    </row>
    <row r="24" customFormat="false" ht="15" hidden="false" customHeight="false" outlineLevel="0" collapsed="false">
      <c r="A24" s="6" t="s">
        <v>210</v>
      </c>
      <c r="B24" s="61" t="n">
        <f aca="false">MAX(0,-SUMPRODUCT(--(Monthly!$C$4:$BJ$4&lt;=$B$16),Monthly!$C$83:$BJ$83))</f>
        <v>19872.9311990587</v>
      </c>
      <c r="C24" s="74" t="n">
        <f aca="false">IF($B$28=0,0,B24/$B$28)</f>
        <v>0.0213687432247943</v>
      </c>
    </row>
    <row r="25" customFormat="false" ht="15" hidden="false" customHeight="false" outlineLevel="0" collapsed="false">
      <c r="A25" s="6" t="s">
        <v>84</v>
      </c>
      <c r="B25" s="61" t="n">
        <f aca="false">-SUMPRODUCT(--(Monthly!$C$4:$BJ$4&lt;=$B$16),Monthly!$C$84:$BJ$84)</f>
        <v>874000</v>
      </c>
      <c r="C25" s="74" t="n">
        <f aca="false">IF($B$28=0,0,B25/$B$28)</f>
        <v>0.939784946236559</v>
      </c>
    </row>
    <row r="26" customFormat="false" ht="15" hidden="false" customHeight="false" outlineLevel="0" collapsed="false">
      <c r="A26" s="6" t="s">
        <v>211</v>
      </c>
      <c r="B26" s="61" t="n">
        <f aca="false">-SUMPRODUCT(--(Monthly!$C$4:$BJ$4&lt;=$B$16),Monthly!$C$70:$BJ$70)</f>
        <v>7649.06698775793</v>
      </c>
      <c r="C26" s="74" t="n">
        <f aca="false">IF($B$28=0,0,B26/$B$28)</f>
        <v>0.00822480321264294</v>
      </c>
    </row>
    <row r="27" customFormat="false" ht="15" hidden="false" customHeight="false" outlineLevel="0" collapsed="false">
      <c r="A27" s="6" t="s">
        <v>212</v>
      </c>
      <c r="B27" s="61" t="n">
        <f aca="false">INDEX(Monthly!$C$89:$BJ$89,$B$16)</f>
        <v>28478.0018131834</v>
      </c>
      <c r="C27" s="74" t="n">
        <f aca="false">IF($B$28=0,0,B27/$B$28)</f>
        <v>0.0306215073260036</v>
      </c>
    </row>
    <row r="28" customFormat="false" ht="15" hidden="false" customHeight="false" outlineLevel="0" collapsed="false">
      <c r="A28" s="4" t="s">
        <v>213</v>
      </c>
      <c r="B28" s="81" t="n">
        <f aca="false">SUM(B24:B27)</f>
        <v>930000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214</v>
      </c>
      <c r="B29" s="61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216</v>
      </c>
    </row>
    <row r="4" customFormat="false" ht="15.75" hidden="false" customHeight="true" outlineLevel="0" collapsed="false">
      <c r="A4" s="7" t="s">
        <v>217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218</v>
      </c>
    </row>
    <row r="6" customFormat="false" ht="15" hidden="false" customHeight="false" outlineLevel="0" collapsed="false">
      <c r="A6" s="38" t="s">
        <v>219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0.443297080709788</v>
      </c>
      <c r="D6" s="39" t="n">
        <f aca="false">IF(N('P&amp;L'!C5)&lt;=0,"n/a",'P&amp;L'!D5/'P&amp;L'!C5-1)</f>
        <v>0.0505999999999998</v>
      </c>
      <c r="E6" s="39" t="n">
        <f aca="false">IF(N('P&amp;L'!D5)&lt;=0,"n/a",'P&amp;L'!E5/'P&amp;L'!D5-1)</f>
        <v>0.0506000000000002</v>
      </c>
      <c r="F6" s="39" t="n">
        <f aca="false">IF(N('P&amp;L'!E5)&lt;=0,"n/a",'P&amp;L'!F5/'P&amp;L'!E5-1)</f>
        <v>0.0506</v>
      </c>
      <c r="G6" s="85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0.602899696349214</v>
      </c>
      <c r="C7" s="39" t="n">
        <f aca="false">IF('P&amp;L'!C5&lt;=0,"n/a",'P&amp;L'!C7/'P&amp;L'!C5)</f>
        <v>0.660390850676556</v>
      </c>
      <c r="D7" s="39" t="n">
        <f aca="false">IF('P&amp;L'!D5&lt;=0,"n/a",'P&amp;L'!D7/'P&amp;L'!D5)</f>
        <v>0.663200199970558</v>
      </c>
      <c r="E7" s="39" t="n">
        <f aca="false">IF('P&amp;L'!E5&lt;=0,"n/a",'P&amp;L'!E7/'P&amp;L'!E5)</f>
        <v>0.665954463984285</v>
      </c>
      <c r="F7" s="39" t="n">
        <f aca="false">IF('P&amp;L'!F5&lt;=0,"n/a",'P&amp;L'!F7/'P&amp;L'!F5)</f>
        <v>0.668654722821273</v>
      </c>
      <c r="G7" s="85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IF('P&amp;L'!B5&lt;=0,"n/a",'P&amp;L'!B19/'P&amp;L'!B5)</f>
        <v>0.037253166333451</v>
      </c>
      <c r="C8" s="39" t="n">
        <f aca="false">IF('P&amp;L'!C5&lt;=0,"n/a",'P&amp;L'!C19/'P&amp;L'!C5)</f>
        <v>0.247967628420089</v>
      </c>
      <c r="D8" s="39" t="n">
        <f aca="false">IF('P&amp;L'!D5&lt;=0,"n/a",'P&amp;L'!D19/'P&amp;L'!D5)</f>
        <v>0.265494225527623</v>
      </c>
      <c r="E8" s="39" t="n">
        <f aca="false">IF('P&amp;L'!E5&lt;=0,"n/a",'P&amp;L'!E19/'P&amp;L'!E5)</f>
        <v>0.280782220588347</v>
      </c>
      <c r="F8" s="39" t="n">
        <f aca="false">IF('P&amp;L'!F5&lt;=0,"n/a",'P&amp;L'!F19/'P&amp;L'!F5)</f>
        <v>0.294327509269623</v>
      </c>
      <c r="G8" s="85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IF('P&amp;L'!B5&lt;=0,"n/a",'P&amp;L'!B26/'P&amp;L'!B5)</f>
        <v>-0.256440370750315</v>
      </c>
      <c r="C9" s="39" t="n">
        <f aca="false">IF('P&amp;L'!C5&lt;=0,"n/a",'P&amp;L'!C26/'P&amp;L'!C5)</f>
        <v>0.0443365657207265</v>
      </c>
      <c r="D9" s="39" t="n">
        <f aca="false">IF('P&amp;L'!D5&lt;=0,"n/a",'P&amp;L'!D26/'P&amp;L'!D5)</f>
        <v>0.071586401771251</v>
      </c>
      <c r="E9" s="39" t="n">
        <f aca="false">IF('P&amp;L'!E5&lt;=0,"n/a",'P&amp;L'!E26/'P&amp;L'!E5)</f>
        <v>0.0870487361282203</v>
      </c>
      <c r="F9" s="39" t="n">
        <f aca="false">IF('P&amp;L'!F5&lt;=0,"n/a",'P&amp;L'!F26/'P&amp;L'!F5)</f>
        <v>0.0937395897467586</v>
      </c>
      <c r="G9" s="85"/>
    </row>
    <row r="10" customFormat="false" ht="15" hidden="false" customHeight="false" outlineLevel="0" collapsed="false">
      <c r="A10" s="38" t="s">
        <v>220</v>
      </c>
      <c r="B10" s="39" t="n">
        <f aca="false">IF('P&amp;L'!B5&lt;=0,"n/a",-SUMIF(Headcount!$C$5:$BJ$5,B$5,Headcount!$C$17:$BJ$17)/'P&amp;L'!B5)</f>
        <v>0.443362596709858</v>
      </c>
      <c r="C10" s="39" t="n">
        <f aca="false">IF('P&amp;L'!C5&lt;=0,"n/a",-SUMIF(Headcount!$C$5:$BJ$5,C$5,Headcount!$C$17:$BJ$17)/'P&amp;L'!C5)</f>
        <v>0.316402964236978</v>
      </c>
      <c r="D10" s="39" t="n">
        <f aca="false">IF('P&amp;L'!D5&lt;=0,"n/a",-SUMIF(Headcount!$C$5:$BJ$5,D$5,Headcount!$C$17:$BJ$17)/'P&amp;L'!D5)</f>
        <v>0.310198984546057</v>
      </c>
      <c r="E10" s="39" t="n">
        <f aca="false">IF('P&amp;L'!E5&lt;=0,"n/a",-SUMIF(Headcount!$C$5:$BJ$5,E$5,Headcount!$C$17:$BJ$17)/'P&amp;L'!E5)</f>
        <v>0.304116651515742</v>
      </c>
      <c r="F10" s="39" t="n">
        <f aca="false">IF('P&amp;L'!F5&lt;=0,"n/a",-SUMIF(Headcount!$C$5:$BJ$5,F$5,Headcount!$C$17:$BJ$17)/'P&amp;L'!F5)</f>
        <v>0.298153579917394</v>
      </c>
      <c r="G10" s="85"/>
    </row>
    <row r="11" customFormat="false" ht="15" hidden="false" customHeight="false" outlineLevel="0" collapsed="false">
      <c r="A11" s="38" t="s">
        <v>221</v>
      </c>
      <c r="B11" s="39" t="n">
        <f aca="false">IF('P&amp;L'!B5&lt;=0,"n/a",-'P&amp;L'!B15/'P&amp;L'!B5)</f>
        <v>0.0654678157569929</v>
      </c>
      <c r="C11" s="39" t="n">
        <f aca="false">IF('P&amp;L'!C5&lt;=0,"n/a",-'P&amp;L'!C15/'P&amp;L'!C5)</f>
        <v>0.0362879224974512</v>
      </c>
      <c r="D11" s="39" t="n">
        <f aca="false">IF('P&amp;L'!D5&lt;=0,"n/a",-'P&amp;L'!D15/'P&amp;L'!D5)</f>
        <v>0.027632151149782</v>
      </c>
      <c r="E11" s="39" t="n">
        <f aca="false">IF('P&amp;L'!E5&lt;=0,"n/a",-'P&amp;L'!E15/'P&amp;L'!E5)</f>
        <v>0.0210410440889259</v>
      </c>
      <c r="F11" s="39" t="n">
        <f aca="false">IF('P&amp;L'!F5&lt;=0,"n/a",-'P&amp;L'!F15/'P&amp;L'!F5)</f>
        <v>0.0160221161918339</v>
      </c>
      <c r="G11" s="85"/>
    </row>
    <row r="12" customFormat="false" ht="15" hidden="false" customHeight="false" outlineLevel="0" collapsed="false">
      <c r="A12" s="38" t="s">
        <v>222</v>
      </c>
      <c r="B12" s="39" t="n">
        <f aca="false">IF('P&amp;L'!B5&lt;=0,"n/a",-'P&amp;L'!B18/'P&amp;L'!B5)</f>
        <v>0.565646530015763</v>
      </c>
      <c r="C12" s="39" t="n">
        <f aca="false">IF('P&amp;L'!C5&lt;=0,"n/a",-'P&amp;L'!C18/'P&amp;L'!C5)</f>
        <v>0.412423222256467</v>
      </c>
      <c r="D12" s="39" t="n">
        <f aca="false">IF('P&amp;L'!D5&lt;=0,"n/a",-'P&amp;L'!D18/'P&amp;L'!D5)</f>
        <v>0.397705974442935</v>
      </c>
      <c r="E12" s="39" t="n">
        <f aca="false">IF('P&amp;L'!E5&lt;=0,"n/a",-'P&amp;L'!E18/'P&amp;L'!E5)</f>
        <v>0.385172243395938</v>
      </c>
      <c r="F12" s="39" t="n">
        <f aca="false">IF('P&amp;L'!F5&lt;=0,"n/a",-'P&amp;L'!F18/'P&amp;L'!F5)</f>
        <v>0.37432721355165</v>
      </c>
      <c r="G12" s="85"/>
    </row>
    <row r="13" customFormat="false" ht="15" hidden="false" customHeight="false" outlineLevel="0" collapsed="false">
      <c r="A13" s="6" t="s">
        <v>223</v>
      </c>
      <c r="B13" s="86" t="n">
        <f aca="false">IF(('Balance Sheet'!B12-'Balance Sheet'!B11)&lt;=0,"n/a",('Balance Sheet'!B5+'Balance Sheet'!B6+'Balance Sheet'!B7)/('Balance Sheet'!B12-'Balance Sheet'!B11))</f>
        <v>3.78650679983519</v>
      </c>
      <c r="C13" s="86" t="n">
        <f aca="false">IF(('Balance Sheet'!C12-'Balance Sheet'!C11)&lt;=0,"n/a",('Balance Sheet'!C5+'Balance Sheet'!C6+'Balance Sheet'!C7)/('Balance Sheet'!C12-'Balance Sheet'!C11))</f>
        <v>8.92098421884037</v>
      </c>
      <c r="D13" s="86" t="n">
        <f aca="false">IF(('Balance Sheet'!D12-'Balance Sheet'!D11)&lt;=0,"n/a",('Balance Sheet'!D5+'Balance Sheet'!D6+'Balance Sheet'!D7)/('Balance Sheet'!D12-'Balance Sheet'!D11))</f>
        <v>14.9362386626329</v>
      </c>
      <c r="E13" s="86" t="n">
        <f aca="false">IF(('Balance Sheet'!E12-'Balance Sheet'!E11)&lt;=0,"n/a",('Balance Sheet'!E5+'Balance Sheet'!E6+'Balance Sheet'!E7)/('Balance Sheet'!E12-'Balance Sheet'!E11))</f>
        <v>21.2866887812585</v>
      </c>
      <c r="F13" s="86" t="n">
        <f aca="false">IF(('Balance Sheet'!F12-'Balance Sheet'!F11)&lt;=0,"n/a",('Balance Sheet'!F5+'Balance Sheet'!F6+'Balance Sheet'!F7)/('Balance Sheet'!F12-'Balance Sheet'!F11))</f>
        <v>27.5722279475369</v>
      </c>
      <c r="G13" s="87"/>
    </row>
    <row r="14" customFormat="false" ht="15" hidden="false" customHeight="false" outlineLevel="0" collapsed="false">
      <c r="A14" s="6" t="s">
        <v>224</v>
      </c>
      <c r="B14" s="86" t="n">
        <f aca="false">IF('Balance Sheet'!B15&lt;=0,"n/a",'Balance Sheet'!B11/'Balance Sheet'!B15)</f>
        <v>1.36956955815826</v>
      </c>
      <c r="C14" s="86" t="n">
        <f aca="false">IF('Balance Sheet'!C15&lt;=0,"n/a",'Balance Sheet'!C11/'Balance Sheet'!C15)</f>
        <v>1.28391797884863</v>
      </c>
      <c r="D14" s="86" t="n">
        <f aca="false">IF('Balance Sheet'!D15&lt;=0,"n/a",'Balance Sheet'!D11/'Balance Sheet'!D15)</f>
        <v>1.16814138497425</v>
      </c>
      <c r="E14" s="86" t="n">
        <f aca="false">IF('Balance Sheet'!E15&lt;=0,"n/a",'Balance Sheet'!E11/'Balance Sheet'!E15)</f>
        <v>1.04687896279734</v>
      </c>
      <c r="F14" s="86" t="n">
        <f aca="false">IF('Balance Sheet'!F15&lt;=0,"n/a",'Balance Sheet'!F11/'Balance Sheet'!F15)</f>
        <v>0.933665555258456</v>
      </c>
      <c r="G14" s="87"/>
    </row>
    <row r="15" customFormat="false" ht="15" hidden="false" customHeight="false" outlineLevel="0" collapsed="false">
      <c r="A15" s="38" t="s">
        <v>225</v>
      </c>
      <c r="B15" s="39" t="n">
        <f aca="false">IF('Balance Sheet'!B9&lt;=0,"n/a",'P&amp;L'!B26/'Balance Sheet'!B9)</f>
        <v>-0.0819467231100174</v>
      </c>
      <c r="C15" s="39" t="n">
        <f aca="false">IF('Balance Sheet'!C9&lt;=0,"n/a",'P&amp;L'!C26/'Balance Sheet'!C9)</f>
        <v>0.0202195442080092</v>
      </c>
      <c r="D15" s="39" t="n">
        <f aca="false">IF('Balance Sheet'!D9&lt;=0,"n/a",'P&amp;L'!D26/'Balance Sheet'!D9)</f>
        <v>0.0334746634045221</v>
      </c>
      <c r="E15" s="39" t="n">
        <f aca="false">IF('Balance Sheet'!E9&lt;=0,"n/a",'P&amp;L'!E26/'Balance Sheet'!E9)</f>
        <v>0.0414138131579758</v>
      </c>
      <c r="F15" s="39" t="n">
        <f aca="false">IF('Balance Sheet'!F9&lt;=0,"n/a",'P&amp;L'!F26/'Balance Sheet'!F9)</f>
        <v>0.0452121144424111</v>
      </c>
      <c r="G15" s="85"/>
    </row>
    <row r="16" customFormat="false" ht="15" hidden="false" customHeight="false" outlineLevel="0" collapsed="false">
      <c r="A16" s="38" t="s">
        <v>226</v>
      </c>
      <c r="B16" s="39" t="n">
        <f aca="false">IF('Balance Sheet'!B15&lt;=0,"n/a",'P&amp;L'!B26/'Balance Sheet'!B15)</f>
        <v>-0.196128351793755</v>
      </c>
      <c r="C16" s="39" t="n">
        <f aca="false">IF('Balance Sheet'!C15&lt;=0,"n/a",'P&amp;L'!C26/'Balance Sheet'!C15)</f>
        <v>0.0466574237237005</v>
      </c>
      <c r="D16" s="39" t="n">
        <f aca="false">IF('Balance Sheet'!D15&lt;=0,"n/a",'P&amp;L'!D26/'Balance Sheet'!D15)</f>
        <v>0.0733409617636487</v>
      </c>
      <c r="E16" s="39" t="n">
        <f aca="false">IF('Balance Sheet'!E15&lt;=0,"n/a",'P&amp;L'!E26/'Balance Sheet'!E15)</f>
        <v>0.0856682209851226</v>
      </c>
      <c r="F16" s="39" t="n">
        <f aca="false">IF('Balance Sheet'!F15&lt;=0,"n/a",'P&amp;L'!F26/'Balance Sheet'!F15)</f>
        <v>0.0883572899254037</v>
      </c>
      <c r="G16" s="85"/>
    </row>
    <row r="18" customFormat="false" ht="15.75" hidden="false" customHeight="true" outlineLevel="0" collapsed="false">
      <c r="A18" s="7" t="s">
        <v>227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IF('P&amp;L'!B5&lt;=0,"n/a",'P&amp;L'!B26/'P&amp;L'!B5)</f>
        <v>-0.256440370750315</v>
      </c>
      <c r="C20" s="39" t="n">
        <f aca="false">IF('P&amp;L'!C5&lt;=0,"n/a",'P&amp;L'!C26/'P&amp;L'!C5)</f>
        <v>0.0443365657207265</v>
      </c>
      <c r="D20" s="39" t="n">
        <f aca="false">IF('P&amp;L'!D5&lt;=0,"n/a",'P&amp;L'!D26/'P&amp;L'!D5)</f>
        <v>0.071586401771251</v>
      </c>
      <c r="E20" s="39" t="n">
        <f aca="false">IF('P&amp;L'!E5&lt;=0,"n/a",'P&amp;L'!E26/'P&amp;L'!E5)</f>
        <v>0.0870487361282203</v>
      </c>
      <c r="F20" s="39" t="n">
        <f aca="false">IF('P&amp;L'!F5&lt;=0,"n/a",'P&amp;L'!F26/'P&amp;L'!F5)</f>
        <v>0.0937395897467586</v>
      </c>
    </row>
    <row r="21" customFormat="false" ht="15" hidden="false" customHeight="false" outlineLevel="0" collapsed="false">
      <c r="A21" s="51" t="s">
        <v>228</v>
      </c>
      <c r="B21" s="86" t="n">
        <f aca="false">IF('Balance Sheet'!B9&lt;=0,"n/a",'P&amp;L'!B5/'Balance Sheet'!B9)</f>
        <v>0.319554689732551</v>
      </c>
      <c r="C21" s="86" t="n">
        <f aca="false">IF('Balance Sheet'!C9&lt;=0,"n/a",'P&amp;L'!C5/'Balance Sheet'!C9)</f>
        <v>0.456046693723888</v>
      </c>
      <c r="D21" s="86" t="n">
        <f aca="false">IF('Balance Sheet'!D9&lt;=0,"n/a",'P&amp;L'!D5/'Balance Sheet'!D9)</f>
        <v>0.467612040502997</v>
      </c>
      <c r="E21" s="86" t="n">
        <f aca="false">IF('Balance Sheet'!E9&lt;=0,"n/a",'P&amp;L'!E5/'Balance Sheet'!E9)</f>
        <v>0.475754330275105</v>
      </c>
      <c r="F21" s="86" t="n">
        <f aca="false">IF('Balance Sheet'!F9&lt;=0,"n/a",'P&amp;L'!F5/'Balance Sheet'!F9)</f>
        <v>0.482316111736285</v>
      </c>
    </row>
    <row r="22" customFormat="false" ht="15" hidden="false" customHeight="false" outlineLevel="0" collapsed="false">
      <c r="A22" s="51" t="s">
        <v>229</v>
      </c>
      <c r="B22" s="86" t="n">
        <f aca="false">IF('Balance Sheet'!B15&lt;=0,"n/a",'Balance Sheet'!B9/'Balance Sheet'!B15)</f>
        <v>2.39336418041321</v>
      </c>
      <c r="C22" s="86" t="n">
        <f aca="false">IF('Balance Sheet'!C15&lt;=0,"n/a",'Balance Sheet'!C9/'Balance Sheet'!C15)</f>
        <v>2.3075408250409</v>
      </c>
      <c r="D22" s="86" t="n">
        <f aca="false">IF('Balance Sheet'!D15&lt;=0,"n/a",'Balance Sheet'!D9/'Balance Sheet'!D15)</f>
        <v>2.19093948391251</v>
      </c>
      <c r="E22" s="86" t="n">
        <f aca="false">IF('Balance Sheet'!E15&lt;=0,"n/a",'Balance Sheet'!E9/'Balance Sheet'!E15)</f>
        <v>2.06859051250208</v>
      </c>
      <c r="F22" s="86" t="n">
        <f aca="false">IF('Balance Sheet'!F15&lt;=0,"n/a",'Balance Sheet'!F9/'Balance Sheet'!F15)</f>
        <v>1.95428351482983</v>
      </c>
    </row>
    <row r="23" customFormat="false" ht="15" hidden="false" customHeight="false" outlineLevel="0" collapsed="false">
      <c r="A23" s="40" t="s">
        <v>230</v>
      </c>
      <c r="B23" s="88" t="n">
        <f aca="false">IF(AND(ISNUMBER(B20),ISNUMBER(B21),ISNUMBER(B22)),B20*B21*B22,"n/a")</f>
        <v>-0.196128351793755</v>
      </c>
      <c r="C23" s="88" t="n">
        <f aca="false">IF(AND(ISNUMBER(C20),ISNUMBER(C21),ISNUMBER(C22)),C20*C21*C22,"n/a")</f>
        <v>0.0466574237237005</v>
      </c>
      <c r="D23" s="88" t="n">
        <f aca="false">IF(AND(ISNUMBER(D20),ISNUMBER(D21),ISNUMBER(D22)),D20*D21*D22,"n/a")</f>
        <v>0.0733409617636487</v>
      </c>
      <c r="E23" s="88" t="n">
        <f aca="false">IF(AND(ISNUMBER(E20),ISNUMBER(E21),ISNUMBER(E22)),E20*E21*E22,"n/a")</f>
        <v>0.0856682209851226</v>
      </c>
      <c r="F23" s="88" t="n">
        <f aca="false">IF(AND(ISNUMBER(F20),ISNUMBER(F21),ISNUMBER(F22)),F20*F21*F22,"n/a")</f>
        <v>0.0883572899254037</v>
      </c>
    </row>
    <row r="24" customFormat="false" ht="15" hidden="false" customHeight="false" outlineLevel="0" collapsed="false">
      <c r="A24" s="21" t="s">
        <v>231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232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2" t="s">
        <v>154</v>
      </c>
      <c r="B27" s="72" t="n">
        <v>1</v>
      </c>
      <c r="C27" s="72" t="n">
        <v>2</v>
      </c>
      <c r="D27" s="72" t="n">
        <v>3</v>
      </c>
      <c r="E27" s="72" t="n">
        <v>4</v>
      </c>
      <c r="F27" s="72" t="n">
        <v>5</v>
      </c>
    </row>
    <row r="28" customFormat="false" ht="15" hidden="false" customHeight="false" outlineLevel="0" collapsed="false">
      <c r="A28" s="33"/>
      <c r="B28" s="52" t="s">
        <v>155</v>
      </c>
      <c r="C28" s="52" t="s">
        <v>156</v>
      </c>
      <c r="D28" s="52" t="s">
        <v>157</v>
      </c>
      <c r="E28" s="52" t="s">
        <v>158</v>
      </c>
      <c r="F28" s="52" t="s">
        <v>159</v>
      </c>
      <c r="G28" s="52" t="s">
        <v>218</v>
      </c>
    </row>
    <row r="29" customFormat="false" ht="15" hidden="false" customHeight="false" outlineLevel="0" collapsed="false">
      <c r="A29" s="6" t="s">
        <v>233</v>
      </c>
      <c r="B29" s="89" t="n">
        <f aca="false">SUMIF(Monthly!$C$5:$BJ$5,B$27,Monthly!$C$11:$BJ$11)</f>
        <v>3648</v>
      </c>
      <c r="C29" s="89" t="n">
        <f aca="false">SUMIF(Monthly!$C$5:$BJ$5,C$27,Monthly!$C$11:$BJ$11)</f>
        <v>3648</v>
      </c>
      <c r="D29" s="89" t="n">
        <f aca="false">SUMIF(Monthly!$C$5:$BJ$5,D$27,Monthly!$C$11:$BJ$11)</f>
        <v>3648</v>
      </c>
      <c r="E29" s="89" t="n">
        <f aca="false">SUMIF(Monthly!$C$5:$BJ$5,E$27,Monthly!$C$11:$BJ$11)</f>
        <v>3648</v>
      </c>
      <c r="F29" s="89" t="n">
        <f aca="false">SUMIF(Monthly!$C$5:$BJ$5,F$27,Monthly!$C$11:$BJ$11)</f>
        <v>3648</v>
      </c>
      <c r="G29" s="90"/>
    </row>
    <row r="30" customFormat="false" ht="15" hidden="false" customHeight="false" outlineLevel="0" collapsed="false">
      <c r="A30" s="4" t="s">
        <v>234</v>
      </c>
      <c r="B30" s="91" t="n">
        <f aca="false">SUMIF(Monthly!$C$5:$BJ$5,B$27,Monthly!$C$13:$BJ$13)</f>
        <v>1646.3728</v>
      </c>
      <c r="C30" s="91" t="n">
        <f aca="false">SUMIF(Monthly!$C$5:$BJ$5,C$27,Monthly!$C$13:$BJ$13)</f>
        <v>2306.9952</v>
      </c>
      <c r="D30" s="91" t="n">
        <f aca="false">SUMIF(Monthly!$C$5:$BJ$5,D$27,Monthly!$C$13:$BJ$13)</f>
        <v>2353.135104</v>
      </c>
      <c r="E30" s="91" t="n">
        <f aca="false">SUMIF(Monthly!$C$5:$BJ$5,E$27,Monthly!$C$13:$BJ$13)</f>
        <v>2400.19780608</v>
      </c>
      <c r="F30" s="91" t="n">
        <f aca="false">SUMIF(Monthly!$C$5:$BJ$5,F$27,Monthly!$C$13:$BJ$13)</f>
        <v>2448.2017622016</v>
      </c>
      <c r="G30" s="90"/>
    </row>
    <row r="31" customFormat="false" ht="15" hidden="false" customHeight="false" outlineLevel="0" collapsed="false">
      <c r="A31" s="38" t="s">
        <v>58</v>
      </c>
      <c r="B31" s="92" t="n">
        <f aca="false">IF(B29=0,0,B30/B29)</f>
        <v>0.451308333333333</v>
      </c>
      <c r="C31" s="92" t="n">
        <f aca="false">IF(C29=0,0,C30/C29)</f>
        <v>0.6324</v>
      </c>
      <c r="D31" s="92" t="n">
        <f aca="false">IF(D29=0,0,D30/D29)</f>
        <v>0.645048</v>
      </c>
      <c r="E31" s="92" t="n">
        <f aca="false">IF(E29=0,0,E30/E29)</f>
        <v>0.65794896</v>
      </c>
      <c r="F31" s="92" t="n">
        <f aca="false">IF(F29=0,0,F30/F29)</f>
        <v>0.6711079392</v>
      </c>
      <c r="G31" s="93"/>
    </row>
    <row r="32" customFormat="false" ht="15" hidden="false" customHeight="false" outlineLevel="0" collapsed="false">
      <c r="A32" s="6" t="s">
        <v>61</v>
      </c>
      <c r="B32" s="89" t="n">
        <f aca="false">SUMIF(Monthly!$C$5:$BJ$5,B$27,Monthly!$C$14:$BJ$14)</f>
        <v>748.351272727273</v>
      </c>
      <c r="C32" s="89" t="n">
        <f aca="false">SUMIF(Monthly!$C$5:$BJ$5,C$27,Monthly!$C$14:$BJ$14)</f>
        <v>1048.63418181818</v>
      </c>
      <c r="D32" s="89" t="n">
        <f aca="false">SUMIF(Monthly!$C$5:$BJ$5,D$27,Monthly!$C$14:$BJ$14)</f>
        <v>1069.60686545455</v>
      </c>
      <c r="E32" s="89" t="n">
        <f aca="false">SUMIF(Monthly!$C$5:$BJ$5,E$27,Monthly!$C$14:$BJ$14)</f>
        <v>1090.99900276364</v>
      </c>
      <c r="F32" s="89" t="n">
        <f aca="false">SUMIF(Monthly!$C$5:$BJ$5,F$27,Monthly!$C$14:$BJ$14)</f>
        <v>1112.81898281891</v>
      </c>
      <c r="G32" s="90"/>
    </row>
    <row r="33" customFormat="false" ht="15" hidden="false" customHeight="false" outlineLevel="0" collapsed="false">
      <c r="A33" s="4" t="s">
        <v>44</v>
      </c>
      <c r="B33" s="94" t="n">
        <f aca="false">SUMIF(Monthly!$C$5:$BJ$5,B$27,Monthly!$C$20:$BJ$20)</f>
        <v>274944.2576</v>
      </c>
      <c r="C33" s="94" t="n">
        <f aca="false">SUMIF(Monthly!$C$5:$BJ$5,C$27,Monthly!$C$20:$BJ$20)</f>
        <v>396826.244352</v>
      </c>
      <c r="D33" s="94" t="n">
        <f aca="false">SUMIF(Monthly!$C$5:$BJ$5,D$27,Monthly!$C$20:$BJ$20)</f>
        <v>416905.652316211</v>
      </c>
      <c r="E33" s="94" t="n">
        <f aca="false">SUMIF(Monthly!$C$5:$BJ$5,E$27,Monthly!$C$20:$BJ$20)</f>
        <v>438001.078323412</v>
      </c>
      <c r="F33" s="94" t="n">
        <f aca="false">SUMIF(Monthly!$C$5:$BJ$5,F$27,Monthly!$C$20:$BJ$20)</f>
        <v>460163.932886576</v>
      </c>
      <c r="G33" s="95"/>
    </row>
    <row r="34" customFormat="false" ht="15" hidden="false" customHeight="false" outlineLevel="0" collapsed="false">
      <c r="A34" s="6" t="s">
        <v>235</v>
      </c>
      <c r="B34" s="35" t="n">
        <f aca="false">SUMIF(Monthly!$C$5:$BJ$5,B$27,Monthly!$C$18:$BJ$18)</f>
        <v>255187.784</v>
      </c>
      <c r="C34" s="35" t="n">
        <f aca="false">SUMIF(Monthly!$C$5:$BJ$5,C$27,Monthly!$C$18:$BJ$18)</f>
        <v>368311.78368</v>
      </c>
      <c r="D34" s="35" t="n">
        <f aca="false">SUMIF(Monthly!$C$5:$BJ$5,D$27,Monthly!$C$18:$BJ$18)</f>
        <v>386948.359934208</v>
      </c>
      <c r="E34" s="35" t="n">
        <f aca="false">SUMIF(Monthly!$C$5:$BJ$5,E$27,Monthly!$C$18:$BJ$18)</f>
        <v>406527.946946879</v>
      </c>
      <c r="F34" s="35" t="n">
        <f aca="false">SUMIF(Monthly!$C$5:$BJ$5,F$27,Monthly!$C$18:$BJ$18)</f>
        <v>427098.261062391</v>
      </c>
      <c r="G34" s="95"/>
    </row>
    <row r="35" customFormat="false" ht="15" hidden="false" customHeight="false" outlineLevel="0" collapsed="false">
      <c r="A35" s="6" t="s">
        <v>236</v>
      </c>
      <c r="B35" s="35" t="n">
        <f aca="false">SUMIF(Monthly!$C$5:$BJ$5,B$27,Monthly!$C$19:$BJ$19)</f>
        <v>19756.4736</v>
      </c>
      <c r="C35" s="35" t="n">
        <f aca="false">SUMIF(Monthly!$C$5:$BJ$5,C$27,Monthly!$C$19:$BJ$19)</f>
        <v>28514.460672</v>
      </c>
      <c r="D35" s="35" t="n">
        <f aca="false">SUMIF(Monthly!$C$5:$BJ$5,D$27,Monthly!$C$19:$BJ$19)</f>
        <v>29957.2923820032</v>
      </c>
      <c r="E35" s="35" t="n">
        <f aca="false">SUMIF(Monthly!$C$5:$BJ$5,E$27,Monthly!$C$19:$BJ$19)</f>
        <v>31473.1313765326</v>
      </c>
      <c r="F35" s="35" t="n">
        <f aca="false">SUMIF(Monthly!$C$5:$BJ$5,F$27,Monthly!$C$19:$BJ$19)</f>
        <v>33065.6718241851</v>
      </c>
      <c r="G35" s="95"/>
    </row>
    <row r="36" customFormat="false" ht="15" hidden="false" customHeight="false" outlineLevel="0" collapsed="false">
      <c r="A36" s="38" t="s">
        <v>237</v>
      </c>
      <c r="B36" s="92" t="n">
        <f aca="false">IF(B33=0,0,B35/B33)</f>
        <v>0.0718562874251497</v>
      </c>
      <c r="C36" s="92" t="n">
        <f aca="false">IF(C33=0,0,C35/C33)</f>
        <v>0.0718562874251497</v>
      </c>
      <c r="D36" s="92" t="n">
        <f aca="false">IF(D33=0,0,D35/D33)</f>
        <v>0.0718562874251497</v>
      </c>
      <c r="E36" s="92" t="n">
        <f aca="false">IF(E33=0,0,E35/E33)</f>
        <v>0.0718562874251497</v>
      </c>
      <c r="F36" s="92" t="n">
        <f aca="false">IF(F33=0,0,F35/F33)</f>
        <v>0.0718562874251497</v>
      </c>
      <c r="G36" s="93"/>
    </row>
    <row r="37" customFormat="false" ht="15" hidden="false" customHeight="false" outlineLevel="0" collapsed="false">
      <c r="A37" s="6" t="s">
        <v>238</v>
      </c>
      <c r="B37" s="96" t="n">
        <f aca="false">IF(B30=0,0,B34/B30)</f>
        <v>155</v>
      </c>
      <c r="C37" s="96" t="n">
        <f aca="false">IF(C30=0,0,C34/C30)</f>
        <v>159.65</v>
      </c>
      <c r="D37" s="96" t="n">
        <f aca="false">IF(D30=0,0,D34/D30)</f>
        <v>164.4395</v>
      </c>
      <c r="E37" s="96" t="n">
        <f aca="false">IF(E30=0,0,E34/E30)</f>
        <v>169.372685</v>
      </c>
      <c r="F37" s="96" t="n">
        <f aca="false">IF(F30=0,0,F34/F30)</f>
        <v>174.45386555</v>
      </c>
      <c r="G37" s="97"/>
    </row>
    <row r="38" customFormat="false" ht="15" hidden="false" customHeight="false" outlineLevel="0" collapsed="false">
      <c r="A38" s="6" t="s">
        <v>239</v>
      </c>
      <c r="B38" s="96" t="n">
        <f aca="false">IF(B29=0,0,B34/B29)</f>
        <v>69.9527916666667</v>
      </c>
      <c r="C38" s="96" t="n">
        <f aca="false">IF(C29=0,0,C34/C29)</f>
        <v>100.96266</v>
      </c>
      <c r="D38" s="96" t="n">
        <f aca="false">IF(D29=0,0,D34/D29)</f>
        <v>106.071370596</v>
      </c>
      <c r="E38" s="96" t="n">
        <f aca="false">IF(E29=0,0,E34/E29)</f>
        <v>111.438581948158</v>
      </c>
      <c r="F38" s="96" t="n">
        <f aca="false">IF(F29=0,0,F34/F29)</f>
        <v>117.077374194734</v>
      </c>
      <c r="G38" s="97"/>
    </row>
    <row r="39" customFormat="false" ht="15" hidden="false" customHeight="false" outlineLevel="0" collapsed="false">
      <c r="A39" s="6" t="s">
        <v>240</v>
      </c>
      <c r="B39" s="96" t="n">
        <f aca="false">IF(B29=0,0,B33/B29)</f>
        <v>75.3684916666667</v>
      </c>
      <c r="C39" s="96" t="n">
        <f aca="false">IF(C29=0,0,C33/C29)</f>
        <v>108.779124</v>
      </c>
      <c r="D39" s="96" t="n">
        <f aca="false">IF(D29=0,0,D33/D29)</f>
        <v>114.2833476744</v>
      </c>
      <c r="E39" s="96" t="n">
        <f aca="false">IF(E29=0,0,E33/E29)</f>
        <v>120.066085066725</v>
      </c>
      <c r="F39" s="96" t="n">
        <f aca="false">IF(F29=0,0,F33/F29)</f>
        <v>126.141428971101</v>
      </c>
      <c r="G39" s="97"/>
    </row>
    <row r="40" customFormat="false" ht="15" hidden="false" customHeight="false" outlineLevel="0" collapsed="false">
      <c r="A40" s="6" t="s">
        <v>241</v>
      </c>
      <c r="B40" s="96" t="n">
        <f aca="false">IF(B32=0,0,B33/B32)</f>
        <v>367.4</v>
      </c>
      <c r="C40" s="96" t="n">
        <f aca="false">IF(C32=0,0,C33/C32)</f>
        <v>378.422</v>
      </c>
      <c r="D40" s="96" t="n">
        <f aca="false">IF(D32=0,0,D33/D32)</f>
        <v>389.77466</v>
      </c>
      <c r="E40" s="96" t="n">
        <f aca="false">IF(E32=0,0,E33/E32)</f>
        <v>401.4678998</v>
      </c>
      <c r="F40" s="96" t="n">
        <f aca="false">IF(F32=0,0,F33/F32)</f>
        <v>413.511936794</v>
      </c>
      <c r="G40" s="97"/>
    </row>
    <row r="41" customFormat="false" ht="15" hidden="false" customHeight="false" outlineLevel="0" collapsed="false">
      <c r="A41" s="6" t="s">
        <v>45</v>
      </c>
      <c r="B41" s="35" t="n">
        <f aca="false">SUMIF(Monthly!$C$5:$BJ$5,B$27,Monthly!$C$29:$BJ$29)</f>
        <v>165763.80942</v>
      </c>
      <c r="C41" s="35" t="n">
        <f aca="false">SUMIF(Monthly!$C$5:$BJ$5,C$27,Monthly!$C$29:$BJ$29)</f>
        <v>262060.4210784</v>
      </c>
      <c r="D41" s="35" t="n">
        <f aca="false">SUMIF(Monthly!$C$5:$BJ$5,D$27,Monthly!$C$29:$BJ$29)</f>
        <v>276491.911984967</v>
      </c>
      <c r="E41" s="35" t="n">
        <f aca="false">SUMIF(Monthly!$C$5:$BJ$5,E$27,Monthly!$C$29:$BJ$29)</f>
        <v>291688.773339406</v>
      </c>
      <c r="F41" s="35" t="n">
        <f aca="false">SUMIF(Monthly!$C$5:$BJ$5,F$27,Monthly!$C$29:$BJ$29)</f>
        <v>307690.78699662</v>
      </c>
      <c r="G41" s="95"/>
    </row>
    <row r="42" customFormat="false" ht="15" hidden="false" customHeight="false" outlineLevel="0" collapsed="false">
      <c r="A42" s="38" t="s">
        <v>46</v>
      </c>
      <c r="B42" s="92" t="n">
        <f aca="false">IF(B33=0,0,B41/B33)</f>
        <v>0.602899696349214</v>
      </c>
      <c r="C42" s="92" t="n">
        <f aca="false">IF(C33=0,0,C41/C33)</f>
        <v>0.660390850676556</v>
      </c>
      <c r="D42" s="92" t="n">
        <f aca="false">IF(D33=0,0,D41/D33)</f>
        <v>0.663200199970558</v>
      </c>
      <c r="E42" s="92" t="n">
        <f aca="false">IF(E33=0,0,E41/E33)</f>
        <v>0.665954463984285</v>
      </c>
      <c r="F42" s="92" t="n">
        <f aca="false">IF(F33=0,0,F41/F33)</f>
        <v>0.668654722821273</v>
      </c>
      <c r="G42" s="93"/>
    </row>
    <row r="43" customFormat="false" ht="15" hidden="false" customHeight="false" outlineLevel="0" collapsed="false">
      <c r="A43" s="6" t="s">
        <v>48</v>
      </c>
      <c r="B43" s="35" t="n">
        <f aca="false">SUMIF(Monthly!$C$5:$BJ$5,B$27,Monthly!$C$42:$BJ$42)</f>
        <v>10242.5441608</v>
      </c>
      <c r="C43" s="35" t="n">
        <f aca="false">SUMIF(Monthly!$C$5:$BJ$5,C$27,Monthly!$C$42:$BJ$42)</f>
        <v>98400.062706816</v>
      </c>
      <c r="D43" s="35" t="n">
        <f aca="false">SUMIF(Monthly!$C$5:$BJ$5,D$27,Monthly!$C$42:$BJ$42)</f>
        <v>110686.043279781</v>
      </c>
      <c r="E43" s="35" t="n">
        <f aca="false">SUMIF(Monthly!$C$5:$BJ$5,E$27,Monthly!$C$42:$BJ$42)</f>
        <v>122982.915391738</v>
      </c>
      <c r="F43" s="35" t="n">
        <f aca="false">SUMIF(Monthly!$C$5:$BJ$5,F$27,Monthly!$C$42:$BJ$42)</f>
        <v>135438.90422222</v>
      </c>
      <c r="G43" s="95"/>
    </row>
    <row r="44" customFormat="false" ht="15" hidden="false" customHeight="false" outlineLevel="0" collapsed="false">
      <c r="A44" s="38" t="s">
        <v>49</v>
      </c>
      <c r="B44" s="92" t="n">
        <f aca="false">IF(B33=0,0,B43/B33)</f>
        <v>0.037253166333451</v>
      </c>
      <c r="C44" s="92" t="n">
        <f aca="false">IF(C33=0,0,C43/C33)</f>
        <v>0.247967628420089</v>
      </c>
      <c r="D44" s="92" t="n">
        <f aca="false">IF(D33=0,0,D43/D33)</f>
        <v>0.265494225527623</v>
      </c>
      <c r="E44" s="92" t="n">
        <f aca="false">IF(E33=0,0,E43/E33)</f>
        <v>0.280782220588347</v>
      </c>
      <c r="F44" s="92" t="n">
        <f aca="false">IF(F33=0,0,F43/F33)</f>
        <v>0.294327509269623</v>
      </c>
      <c r="G44" s="93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242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243</v>
      </c>
    </row>
    <row r="5" customFormat="false" ht="15" hidden="false" customHeight="false" outlineLevel="0" collapsed="false">
      <c r="A5" s="33" t="s">
        <v>104</v>
      </c>
      <c r="B5" s="52" t="s">
        <v>105</v>
      </c>
      <c r="C5" s="52" t="s">
        <v>106</v>
      </c>
      <c r="D5" s="52" t="s">
        <v>107</v>
      </c>
      <c r="E5" s="52" t="s">
        <v>108</v>
      </c>
      <c r="F5" s="33" t="s">
        <v>244</v>
      </c>
      <c r="G5" s="33" t="s">
        <v>245</v>
      </c>
    </row>
    <row r="6" customFormat="false" ht="15.75" hidden="false" customHeight="true" outlineLevel="0" collapsed="false">
      <c r="A6" s="7" t="s">
        <v>246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247</v>
      </c>
      <c r="B7" s="98" t="n">
        <v>10</v>
      </c>
      <c r="C7" s="98" t="n">
        <v>10</v>
      </c>
      <c r="D7" s="98" t="n">
        <v>10</v>
      </c>
      <c r="E7" s="99" t="n">
        <f aca="false">CHOOSE(Dashboard!$B$4,B7,C7,D7)</f>
        <v>10</v>
      </c>
      <c r="F7" s="38" t="s">
        <v>248</v>
      </c>
      <c r="G7" s="100"/>
    </row>
    <row r="8" customFormat="false" ht="15" hidden="false" customHeight="false" outlineLevel="0" collapsed="false">
      <c r="A8" s="6" t="s">
        <v>249</v>
      </c>
      <c r="B8" s="101" t="n">
        <v>0.5</v>
      </c>
      <c r="C8" s="101" t="n">
        <v>0.62</v>
      </c>
      <c r="D8" s="101" t="n">
        <v>0.7</v>
      </c>
      <c r="E8" s="102" t="n">
        <f aca="false">CHOOSE(Dashboard!$B$4,B8,C8,D8)</f>
        <v>0.62</v>
      </c>
      <c r="F8" s="38" t="s">
        <v>250</v>
      </c>
      <c r="G8" s="100" t="s">
        <v>251</v>
      </c>
    </row>
    <row r="9" customFormat="false" ht="15" hidden="false" customHeight="false" outlineLevel="0" collapsed="false">
      <c r="A9" s="6" t="s">
        <v>252</v>
      </c>
      <c r="B9" s="101" t="n">
        <v>0</v>
      </c>
      <c r="C9" s="101" t="n">
        <v>0.02</v>
      </c>
      <c r="D9" s="101" t="n">
        <v>0.03</v>
      </c>
      <c r="E9" s="102" t="n">
        <f aca="false">CHOOSE(Dashboard!$B$4,B9,C9,D9)</f>
        <v>0.02</v>
      </c>
      <c r="F9" s="38" t="s">
        <v>250</v>
      </c>
      <c r="G9" s="100" t="s">
        <v>251</v>
      </c>
    </row>
    <row r="10" customFormat="false" ht="15" hidden="false" customHeight="false" outlineLevel="0" collapsed="false">
      <c r="A10" s="6" t="s">
        <v>253</v>
      </c>
      <c r="B10" s="98" t="n">
        <v>14</v>
      </c>
      <c r="C10" s="98" t="n">
        <v>10</v>
      </c>
      <c r="D10" s="98" t="n">
        <v>8</v>
      </c>
      <c r="E10" s="99" t="n">
        <f aca="false">CHOOSE(Dashboard!$B$4,B10,C10,D10)</f>
        <v>10</v>
      </c>
      <c r="F10" s="38" t="s">
        <v>254</v>
      </c>
      <c r="G10" s="100" t="s">
        <v>255</v>
      </c>
    </row>
    <row r="11" customFormat="false" ht="15" hidden="false" customHeight="false" outlineLevel="0" collapsed="false">
      <c r="A11" s="6" t="s">
        <v>256</v>
      </c>
      <c r="B11" s="101" t="n">
        <v>0.3</v>
      </c>
      <c r="C11" s="101" t="n">
        <v>0.4</v>
      </c>
      <c r="D11" s="101" t="n">
        <v>0.5</v>
      </c>
      <c r="E11" s="102" t="n">
        <f aca="false">CHOOSE(Dashboard!$B$4,B11,C11,D11)</f>
        <v>0.4</v>
      </c>
      <c r="F11" s="38" t="s">
        <v>250</v>
      </c>
      <c r="G11" s="100" t="s">
        <v>251</v>
      </c>
    </row>
    <row r="12" customFormat="false" ht="15" hidden="false" customHeight="false" outlineLevel="0" collapsed="false">
      <c r="A12" s="6" t="s">
        <v>257</v>
      </c>
      <c r="B12" s="101" t="n">
        <v>0.25</v>
      </c>
      <c r="C12" s="101" t="n">
        <v>0.25</v>
      </c>
      <c r="D12" s="101" t="n">
        <v>0.25</v>
      </c>
      <c r="E12" s="102" t="n">
        <f aca="false">CHOOSE(Dashboard!$B$4,B12,C12,D12)</f>
        <v>0.25</v>
      </c>
      <c r="F12" s="38" t="s">
        <v>250</v>
      </c>
      <c r="G12" s="100"/>
    </row>
    <row r="13" customFormat="false" ht="15" hidden="false" customHeight="false" outlineLevel="0" collapsed="false">
      <c r="A13" s="6" t="s">
        <v>258</v>
      </c>
      <c r="B13" s="103" t="n">
        <v>30.4</v>
      </c>
      <c r="C13" s="103" t="n">
        <v>30.4</v>
      </c>
      <c r="D13" s="103" t="n">
        <v>30.4</v>
      </c>
      <c r="E13" s="104" t="n">
        <f aca="false">CHOOSE(Dashboard!$B$4,B13,C13,D13)</f>
        <v>30.4</v>
      </c>
      <c r="F13" s="38" t="s">
        <v>259</v>
      </c>
      <c r="G13" s="100"/>
    </row>
    <row r="14" customFormat="false" ht="15" hidden="false" customHeight="false" outlineLevel="0" collapsed="false">
      <c r="A14" s="6" t="s">
        <v>260</v>
      </c>
      <c r="B14" s="103" t="n">
        <v>1.8</v>
      </c>
      <c r="C14" s="103" t="n">
        <v>2.2</v>
      </c>
      <c r="D14" s="103" t="n">
        <v>2.6</v>
      </c>
      <c r="E14" s="104" t="n">
        <f aca="false">CHOOSE(Dashboard!$B$4,B14,C14,D14)</f>
        <v>2.2</v>
      </c>
      <c r="F14" s="38" t="s">
        <v>259</v>
      </c>
      <c r="G14" s="100" t="s">
        <v>251</v>
      </c>
    </row>
    <row r="16" customFormat="false" ht="15.75" hidden="false" customHeight="true" outlineLevel="0" collapsed="false">
      <c r="A16" s="7" t="s">
        <v>261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262</v>
      </c>
      <c r="B17" s="105" t="n">
        <v>135</v>
      </c>
      <c r="C17" s="105" t="n">
        <v>155</v>
      </c>
      <c r="D17" s="105" t="n">
        <v>170</v>
      </c>
      <c r="E17" s="106" t="n">
        <f aca="false">CHOOSE(Dashboard!$B$4,B17,C17,D17)</f>
        <v>155</v>
      </c>
      <c r="F17" s="38" t="s">
        <v>263</v>
      </c>
      <c r="G17" s="100" t="s">
        <v>251</v>
      </c>
    </row>
    <row r="18" customFormat="false" ht="15" hidden="false" customHeight="false" outlineLevel="0" collapsed="false">
      <c r="A18" s="6" t="s">
        <v>264</v>
      </c>
      <c r="B18" s="101" t="n">
        <v>0.01</v>
      </c>
      <c r="C18" s="101" t="n">
        <v>0.03</v>
      </c>
      <c r="D18" s="101" t="n">
        <v>0.04</v>
      </c>
      <c r="E18" s="102" t="n">
        <f aca="false">CHOOSE(Dashboard!$B$4,B18,C18,D18)</f>
        <v>0.03</v>
      </c>
      <c r="F18" s="38" t="s">
        <v>250</v>
      </c>
      <c r="G18" s="100" t="s">
        <v>251</v>
      </c>
    </row>
    <row r="19" customFormat="false" ht="15" hidden="false" customHeight="false" outlineLevel="0" collapsed="false">
      <c r="A19" s="6" t="s">
        <v>265</v>
      </c>
      <c r="B19" s="105" t="n">
        <v>9</v>
      </c>
      <c r="C19" s="105" t="n">
        <v>12</v>
      </c>
      <c r="D19" s="105" t="n">
        <v>15</v>
      </c>
      <c r="E19" s="106" t="n">
        <f aca="false">CHOOSE(Dashboard!$B$4,B19,C19,D19)</f>
        <v>12</v>
      </c>
      <c r="F19" s="38" t="s">
        <v>263</v>
      </c>
      <c r="G19" s="100" t="s">
        <v>251</v>
      </c>
    </row>
    <row r="21" customFormat="false" ht="15.75" hidden="false" customHeight="true" outlineLevel="0" collapsed="false">
      <c r="A21" s="7" t="s">
        <v>76</v>
      </c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6" t="s">
        <v>266</v>
      </c>
      <c r="B22" s="101" t="n">
        <v>0.55</v>
      </c>
      <c r="C22" s="101" t="n">
        <v>0.5</v>
      </c>
      <c r="D22" s="101" t="n">
        <v>0.45</v>
      </c>
      <c r="E22" s="102" t="n">
        <f aca="false">CHOOSE(Dashboard!$B$4,B22,C22,D22)</f>
        <v>0.5</v>
      </c>
      <c r="F22" s="38" t="s">
        <v>250</v>
      </c>
      <c r="G22" s="100" t="s">
        <v>255</v>
      </c>
    </row>
    <row r="23" customFormat="false" ht="15" hidden="false" customHeight="false" outlineLevel="0" collapsed="false">
      <c r="A23" s="6" t="s">
        <v>267</v>
      </c>
      <c r="B23" s="105" t="n">
        <v>26</v>
      </c>
      <c r="C23" s="105" t="n">
        <v>22</v>
      </c>
      <c r="D23" s="105" t="n">
        <v>19</v>
      </c>
      <c r="E23" s="106" t="n">
        <f aca="false">CHOOSE(Dashboard!$B$4,B23,C23,D23)</f>
        <v>22</v>
      </c>
      <c r="F23" s="38" t="s">
        <v>263</v>
      </c>
      <c r="G23" s="100" t="s">
        <v>255</v>
      </c>
    </row>
    <row r="24" customFormat="false" ht="15" hidden="false" customHeight="false" outlineLevel="0" collapsed="false">
      <c r="A24" s="6" t="s">
        <v>268</v>
      </c>
      <c r="B24" s="105" t="n">
        <v>5</v>
      </c>
      <c r="C24" s="105" t="n">
        <v>4</v>
      </c>
      <c r="D24" s="105" t="n">
        <v>3.5</v>
      </c>
      <c r="E24" s="106" t="n">
        <f aca="false">CHOOSE(Dashboard!$B$4,B24,C24,D24)</f>
        <v>4</v>
      </c>
      <c r="F24" s="38" t="s">
        <v>263</v>
      </c>
      <c r="G24" s="100" t="s">
        <v>255</v>
      </c>
    </row>
    <row r="25" customFormat="false" ht="15" hidden="false" customHeight="false" outlineLevel="0" collapsed="false">
      <c r="A25" s="6" t="s">
        <v>269</v>
      </c>
      <c r="B25" s="101" t="n">
        <v>0.65</v>
      </c>
      <c r="C25" s="101" t="n">
        <v>0.55</v>
      </c>
      <c r="D25" s="101" t="n">
        <v>0.45</v>
      </c>
      <c r="E25" s="102" t="n">
        <f aca="false">CHOOSE(Dashboard!$B$4,B25,C25,D25)</f>
        <v>0.55</v>
      </c>
      <c r="F25" s="38" t="s">
        <v>250</v>
      </c>
      <c r="G25" s="100" t="s">
        <v>255</v>
      </c>
    </row>
    <row r="26" customFormat="false" ht="15" hidden="false" customHeight="false" outlineLevel="0" collapsed="false">
      <c r="A26" s="6" t="s">
        <v>270</v>
      </c>
      <c r="B26" s="101" t="n">
        <v>0.17</v>
      </c>
      <c r="C26" s="101" t="n">
        <v>0.15</v>
      </c>
      <c r="D26" s="101" t="n">
        <v>0.14</v>
      </c>
      <c r="E26" s="102" t="n">
        <f aca="false">CHOOSE(Dashboard!$B$4,B26,C26,D26)</f>
        <v>0.15</v>
      </c>
      <c r="F26" s="38" t="s">
        <v>250</v>
      </c>
      <c r="G26" s="100" t="s">
        <v>255</v>
      </c>
    </row>
    <row r="28" customFormat="false" ht="15.75" hidden="false" customHeight="true" outlineLevel="0" collapsed="false">
      <c r="A28" s="7" t="s">
        <v>271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272</v>
      </c>
      <c r="B29" s="107" t="n">
        <v>0</v>
      </c>
      <c r="C29" s="107" t="n">
        <v>0</v>
      </c>
      <c r="D29" s="107" t="n">
        <v>0</v>
      </c>
      <c r="E29" s="108" t="n">
        <f aca="false">CHOOSE(Dashboard!$B$4,B29,C29,D29)</f>
        <v>0</v>
      </c>
      <c r="F29" s="38" t="s">
        <v>263</v>
      </c>
      <c r="G29" s="100"/>
    </row>
    <row r="30" customFormat="false" ht="15" hidden="false" customHeight="false" outlineLevel="0" collapsed="false">
      <c r="A30" s="6" t="s">
        <v>273</v>
      </c>
      <c r="B30" s="101" t="n">
        <v>0.03</v>
      </c>
      <c r="C30" s="101" t="n">
        <v>0.03</v>
      </c>
      <c r="D30" s="101" t="n">
        <v>0.03</v>
      </c>
      <c r="E30" s="102" t="n">
        <f aca="false">CHOOSE(Dashboard!$B$4,B30,C30,D30)</f>
        <v>0.03</v>
      </c>
      <c r="F30" s="38" t="s">
        <v>250</v>
      </c>
      <c r="G30" s="100"/>
    </row>
    <row r="31" customFormat="false" ht="15" hidden="false" customHeight="false" outlineLevel="0" collapsed="false">
      <c r="A31" s="6" t="s">
        <v>274</v>
      </c>
      <c r="B31" s="107" t="n">
        <v>8000</v>
      </c>
      <c r="C31" s="107" t="n">
        <v>8000</v>
      </c>
      <c r="D31" s="107" t="n">
        <v>8000</v>
      </c>
      <c r="E31" s="108" t="n">
        <f aca="false">CHOOSE(Dashboard!$B$4,B31,C31,D31)</f>
        <v>8000</v>
      </c>
      <c r="F31" s="38" t="s">
        <v>263</v>
      </c>
      <c r="G31" s="100"/>
    </row>
    <row r="32" customFormat="false" ht="15" hidden="false" customHeight="false" outlineLevel="0" collapsed="false">
      <c r="A32" s="6" t="s">
        <v>275</v>
      </c>
      <c r="B32" s="107" t="n">
        <v>700</v>
      </c>
      <c r="C32" s="107" t="n">
        <v>700</v>
      </c>
      <c r="D32" s="107" t="n">
        <v>700</v>
      </c>
      <c r="E32" s="108" t="n">
        <f aca="false">CHOOSE(Dashboard!$B$4,B32,C32,D32)</f>
        <v>700</v>
      </c>
      <c r="F32" s="38" t="s">
        <v>263</v>
      </c>
      <c r="G32" s="100"/>
    </row>
    <row r="33" customFormat="false" ht="15" hidden="false" customHeight="false" outlineLevel="0" collapsed="false">
      <c r="A33" s="6" t="s">
        <v>276</v>
      </c>
      <c r="B33" s="107" t="n">
        <v>1800</v>
      </c>
      <c r="C33" s="107" t="n">
        <v>1800</v>
      </c>
      <c r="D33" s="107" t="n">
        <v>1800</v>
      </c>
      <c r="E33" s="108" t="n">
        <f aca="false">CHOOSE(Dashboard!$B$4,B33,C33,D33)</f>
        <v>1800</v>
      </c>
      <c r="F33" s="38" t="s">
        <v>263</v>
      </c>
      <c r="G33" s="100"/>
    </row>
    <row r="34" customFormat="false" ht="15" hidden="false" customHeight="false" outlineLevel="0" collapsed="false">
      <c r="A34" s="6" t="s">
        <v>277</v>
      </c>
      <c r="B34" s="101" t="n">
        <v>0.05</v>
      </c>
      <c r="C34" s="101" t="n">
        <v>0.04</v>
      </c>
      <c r="D34" s="101" t="n">
        <v>0.035</v>
      </c>
      <c r="E34" s="102" t="n">
        <f aca="false">CHOOSE(Dashboard!$B$4,B34,C34,D34)</f>
        <v>0.04</v>
      </c>
      <c r="F34" s="38" t="s">
        <v>250</v>
      </c>
      <c r="G34" s="100" t="s">
        <v>255</v>
      </c>
    </row>
    <row r="35" customFormat="false" ht="15" hidden="false" customHeight="false" outlineLevel="0" collapsed="false">
      <c r="A35" s="6" t="s">
        <v>278</v>
      </c>
      <c r="B35" s="107" t="n">
        <v>1200</v>
      </c>
      <c r="C35" s="107" t="n">
        <v>1200</v>
      </c>
      <c r="D35" s="107" t="n">
        <v>1200</v>
      </c>
      <c r="E35" s="108" t="n">
        <f aca="false">CHOOSE(Dashboard!$B$4,B35,C35,D35)</f>
        <v>1200</v>
      </c>
      <c r="F35" s="38" t="s">
        <v>263</v>
      </c>
      <c r="G35" s="100"/>
    </row>
    <row r="36" customFormat="false" ht="15" hidden="false" customHeight="false" outlineLevel="0" collapsed="false">
      <c r="A36" s="6" t="s">
        <v>279</v>
      </c>
      <c r="B36" s="107" t="n">
        <v>1500</v>
      </c>
      <c r="C36" s="107" t="n">
        <v>1500</v>
      </c>
      <c r="D36" s="107" t="n">
        <v>1500</v>
      </c>
      <c r="E36" s="108" t="n">
        <f aca="false">CHOOSE(Dashboard!$B$4,B36,C36,D36)</f>
        <v>1500</v>
      </c>
      <c r="F36" s="38" t="s">
        <v>263</v>
      </c>
      <c r="G36" s="100"/>
    </row>
    <row r="37" customFormat="false" ht="15" hidden="false" customHeight="false" outlineLevel="0" collapsed="false">
      <c r="A37" s="6" t="s">
        <v>280</v>
      </c>
      <c r="B37" s="101" t="n">
        <v>-0.3</v>
      </c>
      <c r="C37" s="101" t="n">
        <v>-0.2</v>
      </c>
      <c r="D37" s="101" t="n">
        <v>-0.1</v>
      </c>
      <c r="E37" s="102" t="n">
        <f aca="false">CHOOSE(Dashboard!$B$4,B37,C37,D37)</f>
        <v>-0.2</v>
      </c>
      <c r="F37" s="38" t="s">
        <v>250</v>
      </c>
      <c r="G37" s="100" t="s">
        <v>251</v>
      </c>
    </row>
    <row r="38" customFormat="false" ht="15" hidden="false" customHeight="false" outlineLevel="0" collapsed="false">
      <c r="A38" s="6" t="s">
        <v>281</v>
      </c>
      <c r="B38" s="101" t="n">
        <v>0.03</v>
      </c>
      <c r="C38" s="101" t="n">
        <v>0.027</v>
      </c>
      <c r="D38" s="101" t="n">
        <v>0.025</v>
      </c>
      <c r="E38" s="102" t="n">
        <f aca="false">CHOOSE(Dashboard!$B$4,B38,C38,D38)</f>
        <v>0.027</v>
      </c>
      <c r="F38" s="38" t="s">
        <v>250</v>
      </c>
      <c r="G38" s="100" t="s">
        <v>255</v>
      </c>
    </row>
    <row r="39" customFormat="false" ht="15" hidden="false" customHeight="false" outlineLevel="0" collapsed="false">
      <c r="A39" s="6" t="s">
        <v>282</v>
      </c>
      <c r="B39" s="101" t="n">
        <v>0.04</v>
      </c>
      <c r="C39" s="101" t="n">
        <v>0.03</v>
      </c>
      <c r="D39" s="101" t="n">
        <v>0.025</v>
      </c>
      <c r="E39" s="102" t="n">
        <f aca="false">CHOOSE(Dashboard!$B$4,B39,C39,D39)</f>
        <v>0.03</v>
      </c>
      <c r="F39" s="38" t="s">
        <v>250</v>
      </c>
      <c r="G39" s="100" t="s">
        <v>255</v>
      </c>
    </row>
    <row r="41" customFormat="false" ht="15.75" hidden="false" customHeight="true" outlineLevel="0" collapsed="false">
      <c r="A41" s="7" t="s">
        <v>84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283</v>
      </c>
      <c r="B42" s="107" t="n">
        <v>720000</v>
      </c>
      <c r="C42" s="107" t="n">
        <v>720000</v>
      </c>
      <c r="D42" s="107" t="n">
        <v>720000</v>
      </c>
      <c r="E42" s="108" t="n">
        <f aca="false">CHOOSE(Dashboard!$B$4,B42,C42,D42)</f>
        <v>720000</v>
      </c>
      <c r="F42" s="38" t="s">
        <v>263</v>
      </c>
      <c r="G42" s="100"/>
    </row>
    <row r="43" customFormat="false" ht="15" hidden="false" customHeight="false" outlineLevel="0" collapsed="false">
      <c r="A43" s="6" t="s">
        <v>284</v>
      </c>
      <c r="B43" s="101" t="n">
        <v>0.25</v>
      </c>
      <c r="C43" s="101" t="n">
        <v>0.25</v>
      </c>
      <c r="D43" s="101" t="n">
        <v>0.25</v>
      </c>
      <c r="E43" s="102" t="n">
        <f aca="false">CHOOSE(Dashboard!$B$4,B43,C43,D43)</f>
        <v>0.25</v>
      </c>
      <c r="F43" s="38" t="s">
        <v>250</v>
      </c>
      <c r="G43" s="100"/>
    </row>
    <row r="44" customFormat="false" ht="15" hidden="false" customHeight="false" outlineLevel="0" collapsed="false">
      <c r="A44" s="6" t="s">
        <v>285</v>
      </c>
      <c r="B44" s="107" t="n">
        <v>7500</v>
      </c>
      <c r="C44" s="107" t="n">
        <v>7500</v>
      </c>
      <c r="D44" s="107" t="n">
        <v>7500</v>
      </c>
      <c r="E44" s="108" t="n">
        <f aca="false">CHOOSE(Dashboard!$B$4,B44,C44,D44)</f>
        <v>7500</v>
      </c>
      <c r="F44" s="38" t="s">
        <v>263</v>
      </c>
      <c r="G44" s="100"/>
    </row>
    <row r="45" customFormat="false" ht="15" hidden="false" customHeight="false" outlineLevel="0" collapsed="false">
      <c r="A45" s="6" t="s">
        <v>286</v>
      </c>
      <c r="B45" s="107" t="n">
        <v>70000</v>
      </c>
      <c r="C45" s="107" t="n">
        <v>70000</v>
      </c>
      <c r="D45" s="107" t="n">
        <v>70000</v>
      </c>
      <c r="E45" s="108" t="n">
        <f aca="false">CHOOSE(Dashboard!$B$4,B45,C45,D45)</f>
        <v>70000</v>
      </c>
      <c r="F45" s="38" t="s">
        <v>263</v>
      </c>
      <c r="G45" s="100"/>
    </row>
    <row r="46" customFormat="false" ht="15" hidden="false" customHeight="false" outlineLevel="0" collapsed="false">
      <c r="A46" s="6" t="s">
        <v>287</v>
      </c>
      <c r="B46" s="107" t="n">
        <v>900</v>
      </c>
      <c r="C46" s="107" t="n">
        <v>900</v>
      </c>
      <c r="D46" s="107" t="n">
        <v>900</v>
      </c>
      <c r="E46" s="108" t="n">
        <f aca="false">CHOOSE(Dashboard!$B$4,B46,C46,D46)</f>
        <v>900</v>
      </c>
      <c r="F46" s="38" t="s">
        <v>263</v>
      </c>
      <c r="G46" s="100"/>
    </row>
    <row r="48" customFormat="false" ht="15.75" hidden="false" customHeight="true" outlineLevel="0" collapsed="false">
      <c r="A48" s="7" t="s">
        <v>288</v>
      </c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6" t="s">
        <v>289</v>
      </c>
      <c r="B49" s="103" t="n">
        <v>1.5</v>
      </c>
      <c r="C49" s="103" t="n">
        <v>1.5</v>
      </c>
      <c r="D49" s="103" t="n">
        <v>1.5</v>
      </c>
      <c r="E49" s="104" t="n">
        <f aca="false">CHOOSE(Dashboard!$B$4,B49,C49,D49)</f>
        <v>1.5</v>
      </c>
      <c r="F49" s="38" t="s">
        <v>290</v>
      </c>
      <c r="G49" s="100" t="s">
        <v>251</v>
      </c>
    </row>
    <row r="50" customFormat="false" ht="15" hidden="false" customHeight="false" outlineLevel="0" collapsed="false">
      <c r="A50" s="6" t="s">
        <v>291</v>
      </c>
      <c r="B50" s="107" t="n">
        <v>32000</v>
      </c>
      <c r="C50" s="107" t="n">
        <v>32000</v>
      </c>
      <c r="D50" s="107" t="n">
        <v>32000</v>
      </c>
      <c r="E50" s="108" t="n">
        <f aca="false">CHOOSE(Dashboard!$B$4,B50,C50,D50)</f>
        <v>32000</v>
      </c>
      <c r="F50" s="38" t="s">
        <v>263</v>
      </c>
      <c r="G50" s="100"/>
    </row>
    <row r="51" customFormat="false" ht="15" hidden="false" customHeight="false" outlineLevel="0" collapsed="false">
      <c r="A51" s="6" t="s">
        <v>292</v>
      </c>
      <c r="B51" s="101" t="n">
        <v>0</v>
      </c>
      <c r="C51" s="101" t="n">
        <v>0</v>
      </c>
      <c r="D51" s="101" t="n">
        <v>0</v>
      </c>
      <c r="E51" s="102" t="n">
        <f aca="false">CHOOSE(Dashboard!$B$4,B51,C51,D51)</f>
        <v>0</v>
      </c>
      <c r="F51" s="38" t="s">
        <v>250</v>
      </c>
      <c r="G51" s="100" t="s">
        <v>251</v>
      </c>
    </row>
    <row r="52" customFormat="false" ht="15" hidden="false" customHeight="false" outlineLevel="0" collapsed="false">
      <c r="A52" s="6" t="s">
        <v>293</v>
      </c>
      <c r="B52" s="98" t="n">
        <v>1</v>
      </c>
      <c r="C52" s="98" t="n">
        <v>1</v>
      </c>
      <c r="D52" s="98" t="n">
        <v>1</v>
      </c>
      <c r="E52" s="99" t="n">
        <f aca="false">CHOOSE(Dashboard!$B$4,B52,C52,D52)</f>
        <v>1</v>
      </c>
      <c r="F52" s="38" t="s">
        <v>294</v>
      </c>
      <c r="G52" s="100"/>
    </row>
    <row r="53" customFormat="false" ht="15" hidden="false" customHeight="false" outlineLevel="0" collapsed="false">
      <c r="A53" s="6" t="s">
        <v>295</v>
      </c>
      <c r="B53" s="103" t="n">
        <v>1</v>
      </c>
      <c r="C53" s="103" t="n">
        <v>1</v>
      </c>
      <c r="D53" s="103" t="n">
        <v>1</v>
      </c>
      <c r="E53" s="104" t="n">
        <f aca="false">CHOOSE(Dashboard!$B$4,B53,C53,D53)</f>
        <v>1</v>
      </c>
      <c r="F53" s="38" t="s">
        <v>290</v>
      </c>
      <c r="G53" s="100" t="s">
        <v>251</v>
      </c>
    </row>
    <row r="54" customFormat="false" ht="15" hidden="false" customHeight="false" outlineLevel="0" collapsed="false">
      <c r="A54" s="6" t="s">
        <v>296</v>
      </c>
      <c r="B54" s="107" t="n">
        <v>40000</v>
      </c>
      <c r="C54" s="107" t="n">
        <v>40000</v>
      </c>
      <c r="D54" s="107" t="n">
        <v>40000</v>
      </c>
      <c r="E54" s="108" t="n">
        <f aca="false">CHOOSE(Dashboard!$B$4,B54,C54,D54)</f>
        <v>40000</v>
      </c>
      <c r="F54" s="38" t="s">
        <v>263</v>
      </c>
      <c r="G54" s="100"/>
    </row>
    <row r="55" customFormat="false" ht="15" hidden="false" customHeight="false" outlineLevel="0" collapsed="false">
      <c r="A55" s="6" t="s">
        <v>297</v>
      </c>
      <c r="B55" s="101" t="n">
        <v>0</v>
      </c>
      <c r="C55" s="101" t="n">
        <v>0</v>
      </c>
      <c r="D55" s="101" t="n">
        <v>0</v>
      </c>
      <c r="E55" s="102" t="n">
        <f aca="false">CHOOSE(Dashboard!$B$4,B55,C55,D55)</f>
        <v>0</v>
      </c>
      <c r="F55" s="38" t="s">
        <v>250</v>
      </c>
      <c r="G55" s="100" t="s">
        <v>251</v>
      </c>
    </row>
    <row r="56" customFormat="false" ht="15" hidden="false" customHeight="false" outlineLevel="0" collapsed="false">
      <c r="A56" s="6" t="s">
        <v>298</v>
      </c>
      <c r="B56" s="98" t="n">
        <v>1</v>
      </c>
      <c r="C56" s="98" t="n">
        <v>1</v>
      </c>
      <c r="D56" s="98" t="n">
        <v>1</v>
      </c>
      <c r="E56" s="99" t="n">
        <f aca="false">CHOOSE(Dashboard!$B$4,B56,C56,D56)</f>
        <v>1</v>
      </c>
      <c r="F56" s="38" t="s">
        <v>294</v>
      </c>
      <c r="G56" s="100"/>
    </row>
    <row r="57" customFormat="false" ht="15" hidden="false" customHeight="false" outlineLevel="0" collapsed="false">
      <c r="A57" s="6" t="s">
        <v>299</v>
      </c>
      <c r="B57" s="103" t="n">
        <v>0.6</v>
      </c>
      <c r="C57" s="103" t="n">
        <v>0.6</v>
      </c>
      <c r="D57" s="103" t="n">
        <v>0.6</v>
      </c>
      <c r="E57" s="104" t="n">
        <f aca="false">CHOOSE(Dashboard!$B$4,B57,C57,D57)</f>
        <v>0.6</v>
      </c>
      <c r="F57" s="38" t="s">
        <v>290</v>
      </c>
      <c r="G57" s="100" t="s">
        <v>251</v>
      </c>
    </row>
    <row r="58" customFormat="false" ht="15" hidden="false" customHeight="false" outlineLevel="0" collapsed="false">
      <c r="A58" s="6" t="s">
        <v>300</v>
      </c>
      <c r="B58" s="107" t="n">
        <v>30000</v>
      </c>
      <c r="C58" s="107" t="n">
        <v>30000</v>
      </c>
      <c r="D58" s="107" t="n">
        <v>30000</v>
      </c>
      <c r="E58" s="108" t="n">
        <f aca="false">CHOOSE(Dashboard!$B$4,B58,C58,D58)</f>
        <v>30000</v>
      </c>
      <c r="F58" s="38" t="s">
        <v>263</v>
      </c>
      <c r="G58" s="100"/>
    </row>
    <row r="59" customFormat="false" ht="15" hidden="false" customHeight="false" outlineLevel="0" collapsed="false">
      <c r="A59" s="6" t="s">
        <v>301</v>
      </c>
      <c r="B59" s="101" t="n">
        <v>0</v>
      </c>
      <c r="C59" s="101" t="n">
        <v>0</v>
      </c>
      <c r="D59" s="101" t="n">
        <v>0</v>
      </c>
      <c r="E59" s="102" t="n">
        <f aca="false">CHOOSE(Dashboard!$B$4,B59,C59,D59)</f>
        <v>0</v>
      </c>
      <c r="F59" s="38" t="s">
        <v>250</v>
      </c>
      <c r="G59" s="100" t="s">
        <v>251</v>
      </c>
    </row>
    <row r="60" customFormat="false" ht="15" hidden="false" customHeight="false" outlineLevel="0" collapsed="false">
      <c r="A60" s="6" t="s">
        <v>302</v>
      </c>
      <c r="B60" s="98" t="n">
        <v>1</v>
      </c>
      <c r="C60" s="98" t="n">
        <v>1</v>
      </c>
      <c r="D60" s="98" t="n">
        <v>1</v>
      </c>
      <c r="E60" s="99" t="n">
        <f aca="false">CHOOSE(Dashboard!$B$4,B60,C60,D60)</f>
        <v>1</v>
      </c>
      <c r="F60" s="38" t="s">
        <v>294</v>
      </c>
      <c r="G60" s="100"/>
    </row>
    <row r="61" customFormat="false" ht="15" hidden="false" customHeight="false" outlineLevel="0" collapsed="false">
      <c r="A61" s="6" t="s">
        <v>303</v>
      </c>
      <c r="B61" s="101" t="n">
        <v>0.15</v>
      </c>
      <c r="C61" s="101" t="n">
        <v>0.15</v>
      </c>
      <c r="D61" s="101" t="n">
        <v>0.15</v>
      </c>
      <c r="E61" s="102" t="n">
        <f aca="false">CHOOSE(Dashboard!$B$4,B61,C61,D61)</f>
        <v>0.15</v>
      </c>
      <c r="F61" s="38" t="s">
        <v>250</v>
      </c>
      <c r="G61" s="100"/>
    </row>
    <row r="62" customFormat="false" ht="15" hidden="false" customHeight="false" outlineLevel="0" collapsed="false">
      <c r="A62" s="6" t="s">
        <v>304</v>
      </c>
      <c r="B62" s="101" t="n">
        <v>0.04</v>
      </c>
      <c r="C62" s="101" t="n">
        <v>0.03</v>
      </c>
      <c r="D62" s="101" t="n">
        <v>0.03</v>
      </c>
      <c r="E62" s="102" t="n">
        <f aca="false">CHOOSE(Dashboard!$B$4,B62,C62,D62)</f>
        <v>0.03</v>
      </c>
      <c r="F62" s="38" t="s">
        <v>250</v>
      </c>
      <c r="G62" s="100"/>
    </row>
    <row r="64" customFormat="false" ht="15.75" hidden="false" customHeight="true" outlineLevel="0" collapsed="false">
      <c r="A64" s="7" t="s">
        <v>305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6" t="s">
        <v>306</v>
      </c>
      <c r="B65" s="107" t="n">
        <v>430000</v>
      </c>
      <c r="C65" s="107" t="n">
        <v>430000</v>
      </c>
      <c r="D65" s="107" t="n">
        <v>430000</v>
      </c>
      <c r="E65" s="108" t="n">
        <f aca="false">CHOOSE(Dashboard!$B$4,B65,C65,D65)</f>
        <v>430000</v>
      </c>
      <c r="F65" s="38" t="s">
        <v>263</v>
      </c>
      <c r="G65" s="100"/>
    </row>
    <row r="66" customFormat="false" ht="15" hidden="false" customHeight="false" outlineLevel="0" collapsed="false">
      <c r="A66" s="6" t="s">
        <v>307</v>
      </c>
      <c r="B66" s="107" t="n">
        <v>500000</v>
      </c>
      <c r="C66" s="107" t="n">
        <v>500000</v>
      </c>
      <c r="D66" s="107" t="n">
        <v>500000</v>
      </c>
      <c r="E66" s="108" t="n">
        <f aca="false">CHOOSE(Dashboard!$B$4,B66,C66,D66)</f>
        <v>500000</v>
      </c>
      <c r="F66" s="38" t="s">
        <v>263</v>
      </c>
      <c r="G66" s="100"/>
    </row>
    <row r="67" customFormat="false" ht="15" hidden="false" customHeight="false" outlineLevel="0" collapsed="false">
      <c r="A67" s="6" t="s">
        <v>308</v>
      </c>
      <c r="B67" s="101" t="n">
        <v>0.07</v>
      </c>
      <c r="C67" s="101" t="n">
        <v>0.07</v>
      </c>
      <c r="D67" s="101" t="n">
        <v>0.07</v>
      </c>
      <c r="E67" s="102" t="n">
        <f aca="false">CHOOSE(Dashboard!$B$4,B67,C67,D67)</f>
        <v>0.07</v>
      </c>
      <c r="F67" s="38" t="s">
        <v>250</v>
      </c>
      <c r="G67" s="100"/>
    </row>
    <row r="68" customFormat="false" ht="15" hidden="false" customHeight="false" outlineLevel="0" collapsed="false">
      <c r="A68" s="6" t="s">
        <v>309</v>
      </c>
      <c r="B68" s="98" t="n">
        <v>25</v>
      </c>
      <c r="C68" s="98" t="n">
        <v>25</v>
      </c>
      <c r="D68" s="98" t="n">
        <v>25</v>
      </c>
      <c r="E68" s="99" t="n">
        <f aca="false">CHOOSE(Dashboard!$B$4,B68,C68,D68)</f>
        <v>25</v>
      </c>
      <c r="F68" s="38" t="s">
        <v>310</v>
      </c>
      <c r="G68" s="100"/>
    </row>
    <row r="70" customFormat="false" ht="15.75" hidden="false" customHeight="true" outlineLevel="0" collapsed="false">
      <c r="A70" s="7" t="s">
        <v>311</v>
      </c>
      <c r="B70" s="7"/>
      <c r="C70" s="7"/>
      <c r="D70" s="7"/>
      <c r="E70" s="7"/>
      <c r="F70" s="7"/>
      <c r="G70" s="7"/>
    </row>
    <row r="71" customFormat="false" ht="15" hidden="false" customHeight="false" outlineLevel="0" collapsed="false">
      <c r="A71" s="6" t="s">
        <v>312</v>
      </c>
      <c r="B71" s="98" t="n">
        <v>3</v>
      </c>
      <c r="C71" s="98" t="n">
        <v>3</v>
      </c>
      <c r="D71" s="98" t="n">
        <v>3</v>
      </c>
      <c r="E71" s="99" t="n">
        <f aca="false">CHOOSE(Dashboard!$B$4,B71,C71,D71)</f>
        <v>3</v>
      </c>
      <c r="F71" s="38" t="s">
        <v>313</v>
      </c>
      <c r="G71" s="100"/>
    </row>
    <row r="72" customFormat="false" ht="15" hidden="false" customHeight="false" outlineLevel="0" collapsed="false">
      <c r="A72" s="6" t="s">
        <v>314</v>
      </c>
      <c r="B72" s="98" t="n">
        <v>3</v>
      </c>
      <c r="C72" s="98" t="n">
        <v>3</v>
      </c>
      <c r="D72" s="98" t="n">
        <v>3</v>
      </c>
      <c r="E72" s="99" t="n">
        <f aca="false">CHOOSE(Dashboard!$B$4,B72,C72,D72)</f>
        <v>3</v>
      </c>
      <c r="F72" s="38" t="s">
        <v>313</v>
      </c>
      <c r="G72" s="100"/>
    </row>
    <row r="73" customFormat="false" ht="15" hidden="false" customHeight="false" outlineLevel="0" collapsed="false">
      <c r="A73" s="6" t="s">
        <v>315</v>
      </c>
      <c r="B73" s="98" t="n">
        <v>25</v>
      </c>
      <c r="C73" s="98" t="n">
        <v>25</v>
      </c>
      <c r="D73" s="98" t="n">
        <v>25</v>
      </c>
      <c r="E73" s="99" t="n">
        <f aca="false">CHOOSE(Dashboard!$B$4,B73,C73,D73)</f>
        <v>25</v>
      </c>
      <c r="F73" s="38" t="s">
        <v>313</v>
      </c>
      <c r="G73" s="100"/>
    </row>
    <row r="75" customFormat="false" ht="15.75" hidden="false" customHeight="true" outlineLevel="0" collapsed="false">
      <c r="A75" s="7" t="s">
        <v>316</v>
      </c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6" t="s">
        <v>317</v>
      </c>
      <c r="B76" s="98" t="n">
        <v>15</v>
      </c>
      <c r="C76" s="98" t="n">
        <v>15</v>
      </c>
      <c r="D76" s="98" t="n">
        <v>15</v>
      </c>
      <c r="E76" s="99" t="n">
        <f aca="false">CHOOSE(Dashboard!$B$4,B76,C76,D76)</f>
        <v>15</v>
      </c>
      <c r="F76" s="38" t="s">
        <v>310</v>
      </c>
      <c r="G76" s="100"/>
    </row>
    <row r="77" customFormat="false" ht="15" hidden="false" customHeight="false" outlineLevel="0" collapsed="false">
      <c r="A77" s="6" t="s">
        <v>318</v>
      </c>
      <c r="B77" s="101" t="n">
        <v>0.21</v>
      </c>
      <c r="C77" s="101" t="n">
        <v>0.21</v>
      </c>
      <c r="D77" s="101" t="n">
        <v>0.21</v>
      </c>
      <c r="E77" s="102" t="n">
        <f aca="false">CHOOSE(Dashboard!$B$4,B77,C77,D77)</f>
        <v>0.21</v>
      </c>
      <c r="F77" s="38" t="s">
        <v>250</v>
      </c>
      <c r="G77" s="100"/>
    </row>
    <row r="79" customFormat="false" ht="15.75" hidden="false" customHeight="true" outlineLevel="0" collapsed="false">
      <c r="A79" s="7" t="s">
        <v>319</v>
      </c>
      <c r="B79" s="7"/>
      <c r="C79" s="7"/>
      <c r="D79" s="7"/>
      <c r="E79" s="7"/>
      <c r="F79" s="7"/>
      <c r="G79" s="7"/>
    </row>
    <row r="80" customFormat="false" ht="15" hidden="false" customHeight="false" outlineLevel="0" collapsed="false">
      <c r="A80" s="6" t="s">
        <v>141</v>
      </c>
      <c r="B80" s="107" t="n">
        <v>39000</v>
      </c>
      <c r="C80" s="107" t="n">
        <v>39000</v>
      </c>
      <c r="D80" s="107" t="n">
        <v>39000</v>
      </c>
      <c r="E80" s="108" t="n">
        <f aca="false">CHOOSE(Dashboard!$B$4,B80,C80,D80)</f>
        <v>39000</v>
      </c>
      <c r="F80" s="38" t="s">
        <v>263</v>
      </c>
      <c r="G80" s="100" t="s">
        <v>320</v>
      </c>
    </row>
    <row r="82" customFormat="false" ht="15.75" hidden="false" customHeight="true" outlineLevel="0" collapsed="false">
      <c r="A82" s="7" t="s">
        <v>321</v>
      </c>
      <c r="B82" s="7"/>
      <c r="C82" s="7"/>
      <c r="D82" s="7"/>
      <c r="E82" s="7"/>
      <c r="F82" s="7"/>
      <c r="G82" s="7"/>
    </row>
    <row r="83" customFormat="false" ht="15" hidden="false" customHeight="false" outlineLevel="0" collapsed="false">
      <c r="A83" s="6" t="s">
        <v>168</v>
      </c>
      <c r="B83" s="101" t="n">
        <v>0.3</v>
      </c>
      <c r="C83" s="101" t="n">
        <v>0.25</v>
      </c>
      <c r="D83" s="101" t="n">
        <v>0.2</v>
      </c>
      <c r="E83" s="102" t="n">
        <f aca="false">CHOOSE(Dashboard!$B$4,B83,C83,D83)</f>
        <v>0.25</v>
      </c>
      <c r="F83" s="38" t="s">
        <v>250</v>
      </c>
      <c r="G83" s="100" t="s">
        <v>255</v>
      </c>
    </row>
    <row r="84" customFormat="false" ht="15" hidden="false" customHeight="false" outlineLevel="0" collapsed="false">
      <c r="A84" s="6" t="s">
        <v>322</v>
      </c>
      <c r="B84" s="101" t="n">
        <v>0.01</v>
      </c>
      <c r="C84" s="101" t="n">
        <v>0.02</v>
      </c>
      <c r="D84" s="101" t="n">
        <v>0.03</v>
      </c>
      <c r="E84" s="102" t="n">
        <f aca="false">CHOOSE(Dashboard!$B$4,B84,C84,D84)</f>
        <v>0.02</v>
      </c>
      <c r="F84" s="38" t="s">
        <v>250</v>
      </c>
      <c r="G84" s="100" t="s">
        <v>251</v>
      </c>
    </row>
    <row r="85" customFormat="false" ht="15" hidden="false" customHeight="false" outlineLevel="0" collapsed="false">
      <c r="A85" s="6" t="s">
        <v>170</v>
      </c>
      <c r="B85" s="109" t="n">
        <v>3</v>
      </c>
      <c r="C85" s="109" t="n">
        <v>4</v>
      </c>
      <c r="D85" s="109" t="n">
        <v>5</v>
      </c>
      <c r="E85" s="110" t="n">
        <f aca="false">CHOOSE(Dashboard!$B$4,B85,C85,D85)</f>
        <v>4</v>
      </c>
      <c r="F85" s="38" t="s">
        <v>323</v>
      </c>
      <c r="G85" s="100" t="s">
        <v>251</v>
      </c>
    </row>
    <row r="86" customFormat="false" ht="15" hidden="false" customHeight="false" outlineLevel="0" collapsed="false">
      <c r="A86" s="6" t="s">
        <v>324</v>
      </c>
      <c r="B86" s="101" t="n">
        <v>0.01</v>
      </c>
      <c r="C86" s="101" t="n">
        <v>0.01</v>
      </c>
      <c r="D86" s="101" t="n">
        <v>0.01</v>
      </c>
      <c r="E86" s="102" t="n">
        <f aca="false">CHOOSE(Dashboard!$B$4,B86,C86,D86)</f>
        <v>0.01</v>
      </c>
      <c r="F86" s="38" t="s">
        <v>250</v>
      </c>
      <c r="G86" s="100"/>
    </row>
    <row r="87" customFormat="false" ht="15" hidden="false" customHeight="false" outlineLevel="0" collapsed="false">
      <c r="A87" s="6" t="s">
        <v>325</v>
      </c>
      <c r="B87" s="101" t="n">
        <v>0.005</v>
      </c>
      <c r="C87" s="101" t="n">
        <v>0.005</v>
      </c>
      <c r="D87" s="101" t="n">
        <v>0.005</v>
      </c>
      <c r="E87" s="102" t="n">
        <f aca="false">CHOOSE(Dashboard!$B$4,B87,C87,D87)</f>
        <v>0.005</v>
      </c>
      <c r="F87" s="38" t="s">
        <v>250</v>
      </c>
      <c r="G87" s="100"/>
    </row>
    <row r="89" customFormat="false" ht="15" hidden="false" customHeight="false" outlineLevel="0" collapsed="false">
      <c r="A89" s="21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327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4" t="s">
        <v>44</v>
      </c>
      <c r="B5" s="73" t="n">
        <f aca="false">SUMIF(Monthly!$C$5:$BJ$5,B$3,Monthly!$C$20:$BJ$20)</f>
        <v>274944.2576</v>
      </c>
      <c r="C5" s="73" t="n">
        <f aca="false">SUMIF(Monthly!$C$5:$BJ$5,C$3,Monthly!$C$20:$BJ$20)</f>
        <v>396826.244352</v>
      </c>
      <c r="D5" s="73" t="n">
        <f aca="false">SUMIF(Monthly!$C$5:$BJ$5,D$3,Monthly!$C$20:$BJ$20)</f>
        <v>416905.652316211</v>
      </c>
      <c r="E5" s="73" t="n">
        <f aca="false">SUMIF(Monthly!$C$5:$BJ$5,E$3,Monthly!$C$20:$BJ$20)</f>
        <v>438001.078323412</v>
      </c>
      <c r="F5" s="73" t="n">
        <f aca="false">SUMIF(Monthly!$C$5:$BJ$5,F$3,Monthly!$C$20:$BJ$20)</f>
        <v>460163.932886576</v>
      </c>
    </row>
    <row r="6" customFormat="false" ht="15" hidden="false" customHeight="false" outlineLevel="0" collapsed="false">
      <c r="A6" s="6" t="s">
        <v>76</v>
      </c>
      <c r="B6" s="67" t="n">
        <f aca="false">SUMIF(Monthly!$C$5:$BJ$5,B$3,Monthly!$C$28:$BJ$28)</f>
        <v>-109180.44818</v>
      </c>
      <c r="C6" s="67" t="n">
        <f aca="false">SUMIF(Monthly!$C$5:$BJ$5,C$3,Monthly!$C$28:$BJ$28)</f>
        <v>-134765.8232736</v>
      </c>
      <c r="D6" s="67" t="n">
        <f aca="false">SUMIF(Monthly!$C$5:$BJ$5,D$3,Monthly!$C$28:$BJ$28)</f>
        <v>-140413.740331244</v>
      </c>
      <c r="E6" s="67" t="n">
        <f aca="false">SUMIF(Monthly!$C$5:$BJ$5,E$3,Monthly!$C$28:$BJ$28)</f>
        <v>-146312.304984005</v>
      </c>
      <c r="F6" s="67" t="n">
        <f aca="false">SUMIF(Monthly!$C$5:$BJ$5,F$3,Monthly!$C$28:$BJ$28)</f>
        <v>-152473.145889956</v>
      </c>
    </row>
    <row r="7" customFormat="false" ht="15" hidden="false" customHeight="false" outlineLevel="0" collapsed="false">
      <c r="A7" s="111" t="s">
        <v>45</v>
      </c>
      <c r="B7" s="68" t="n">
        <f aca="false">SUMIF(Monthly!$C$5:$BJ$5,B$3,Monthly!$C$29:$BJ$29)</f>
        <v>165763.80942</v>
      </c>
      <c r="C7" s="68" t="n">
        <f aca="false">SUMIF(Monthly!$C$5:$BJ$5,C$3,Monthly!$C$29:$BJ$29)</f>
        <v>262060.4210784</v>
      </c>
      <c r="D7" s="68" t="n">
        <f aca="false">SUMIF(Monthly!$C$5:$BJ$5,D$3,Monthly!$C$29:$BJ$29)</f>
        <v>276491.911984967</v>
      </c>
      <c r="E7" s="68" t="n">
        <f aca="false">SUMIF(Monthly!$C$5:$BJ$5,E$3,Monthly!$C$29:$BJ$29)</f>
        <v>291688.773339406</v>
      </c>
      <c r="F7" s="68" t="n">
        <f aca="false">SUMIF(Monthly!$C$5:$BJ$5,F$3,Monthly!$C$29:$BJ$29)</f>
        <v>307690.78699662</v>
      </c>
    </row>
    <row r="8" customFormat="false" ht="15" hidden="false" customHeight="false" outlineLevel="0" collapsed="false">
      <c r="A8" s="38" t="s">
        <v>46</v>
      </c>
      <c r="B8" s="74" t="n">
        <f aca="false">IF(B5=0,0,B7/B5)</f>
        <v>0.602899696349214</v>
      </c>
      <c r="C8" s="74" t="n">
        <f aca="false">IF(C5=0,0,C7/C5)</f>
        <v>0.660390850676556</v>
      </c>
      <c r="D8" s="74" t="n">
        <f aca="false">IF(D5=0,0,D7/D5)</f>
        <v>0.663200199970558</v>
      </c>
      <c r="E8" s="74" t="n">
        <f aca="false">IF(E5=0,0,E7/E5)</f>
        <v>0.665954463984285</v>
      </c>
      <c r="F8" s="74" t="n">
        <f aca="false">IF(F5=0,0,F7/F5)</f>
        <v>0.668654722821273</v>
      </c>
    </row>
    <row r="9" customFormat="false" ht="15" hidden="false" customHeight="false" outlineLevel="0" collapsed="false">
      <c r="A9" s="6" t="s">
        <v>328</v>
      </c>
      <c r="B9" s="67" t="n">
        <f aca="false">SUMIF(Monthly!$C$5:$BJ$5,B$3,Monthly!$C$32:$BJ$32)</f>
        <v>-66700</v>
      </c>
      <c r="C9" s="67" t="n">
        <f aca="false">SUMIF(Monthly!$C$5:$BJ$5,C$3,Monthly!$C$32:$BJ$32)</f>
        <v>-68701</v>
      </c>
      <c r="D9" s="67" t="n">
        <f aca="false">SUMIF(Monthly!$C$5:$BJ$5,D$3,Monthly!$C$32:$BJ$32)</f>
        <v>-70762.03</v>
      </c>
      <c r="E9" s="67" t="n">
        <f aca="false">SUMIF(Monthly!$C$5:$BJ$5,E$3,Monthly!$C$32:$BJ$32)</f>
        <v>-72884.8909</v>
      </c>
      <c r="F9" s="67" t="n">
        <f aca="false">SUMIF(Monthly!$C$5:$BJ$5,F$3,Monthly!$C$32:$BJ$32)</f>
        <v>-75071.437627</v>
      </c>
    </row>
    <row r="10" customFormat="false" ht="15" hidden="false" customHeight="false" outlineLevel="0" collapsed="false">
      <c r="A10" s="6" t="s">
        <v>329</v>
      </c>
      <c r="B10" s="67" t="n">
        <f aca="false">SUMIF(Monthly!$C$5:$BJ$5,B$3,Monthly!$C$33:$BJ$33)</f>
        <v>0</v>
      </c>
      <c r="C10" s="67" t="n">
        <f aca="false">SUMIF(Monthly!$C$5:$BJ$5,C$3,Monthly!$C$33:$BJ$33)</f>
        <v>0</v>
      </c>
      <c r="D10" s="67" t="n">
        <f aca="false">SUMIF(Monthly!$C$5:$BJ$5,D$3,Monthly!$C$33:$BJ$33)</f>
        <v>0</v>
      </c>
      <c r="E10" s="67" t="n">
        <f aca="false">SUMIF(Monthly!$C$5:$BJ$5,E$3,Monthly!$C$33:$BJ$33)</f>
        <v>0</v>
      </c>
      <c r="F10" s="67" t="n">
        <f aca="false">SUMIF(Monthly!$C$5:$BJ$5,F$3,Monthly!$C$33:$BJ$33)</f>
        <v>0</v>
      </c>
    </row>
    <row r="11" customFormat="false" ht="15" hidden="false" customHeight="false" outlineLevel="0" collapsed="false">
      <c r="A11" s="6" t="s">
        <v>330</v>
      </c>
      <c r="B11" s="67" t="n">
        <f aca="false">SUMIF(Monthly!$C$5:$BJ$5,B$3,Monthly!$C$34:$BJ$34)</f>
        <v>-8000</v>
      </c>
      <c r="C11" s="67" t="n">
        <f aca="false">SUMIF(Monthly!$C$5:$BJ$5,C$3,Monthly!$C$34:$BJ$34)</f>
        <v>-8240</v>
      </c>
      <c r="D11" s="67" t="n">
        <f aca="false">SUMIF(Monthly!$C$5:$BJ$5,D$3,Monthly!$C$34:$BJ$34)</f>
        <v>-8487.2</v>
      </c>
      <c r="E11" s="67" t="n">
        <f aca="false">SUMIF(Monthly!$C$5:$BJ$5,E$3,Monthly!$C$34:$BJ$34)</f>
        <v>-8741.816</v>
      </c>
      <c r="F11" s="67" t="n">
        <f aca="false">SUMIF(Monthly!$C$5:$BJ$5,F$3,Monthly!$C$34:$BJ$34)</f>
        <v>-9004.07048</v>
      </c>
    </row>
    <row r="12" customFormat="false" ht="15" hidden="false" customHeight="false" outlineLevel="0" collapsed="false">
      <c r="A12" s="6" t="s">
        <v>331</v>
      </c>
      <c r="B12" s="67" t="n">
        <f aca="false">SUMIF(Monthly!$C$5:$BJ$5,B$3,Monthly!$C$35:$BJ$35)</f>
        <v>-8400</v>
      </c>
      <c r="C12" s="67" t="n">
        <f aca="false">SUMIF(Monthly!$C$5:$BJ$5,C$3,Monthly!$C$35:$BJ$35)</f>
        <v>-8652</v>
      </c>
      <c r="D12" s="67" t="n">
        <f aca="false">SUMIF(Monthly!$C$5:$BJ$5,D$3,Monthly!$C$35:$BJ$35)</f>
        <v>-8911.56</v>
      </c>
      <c r="E12" s="67" t="n">
        <f aca="false">SUMIF(Monthly!$C$5:$BJ$5,E$3,Monthly!$C$35:$BJ$35)</f>
        <v>-9178.9068</v>
      </c>
      <c r="F12" s="67" t="n">
        <f aca="false">SUMIF(Monthly!$C$5:$BJ$5,F$3,Monthly!$C$35:$BJ$35)</f>
        <v>-9454.274004</v>
      </c>
    </row>
    <row r="13" customFormat="false" ht="15" hidden="false" customHeight="false" outlineLevel="0" collapsed="false">
      <c r="A13" s="6" t="s">
        <v>332</v>
      </c>
      <c r="B13" s="67" t="n">
        <f aca="false">SUMIF(Monthly!$C$5:$BJ$5,B$3,Monthly!$C$36:$BJ$36)</f>
        <v>-21600</v>
      </c>
      <c r="C13" s="67" t="n">
        <f aca="false">SUMIF(Monthly!$C$5:$BJ$5,C$3,Monthly!$C$36:$BJ$36)</f>
        <v>-22248</v>
      </c>
      <c r="D13" s="67" t="n">
        <f aca="false">SUMIF(Monthly!$C$5:$BJ$5,D$3,Monthly!$C$36:$BJ$36)</f>
        <v>-22915.44</v>
      </c>
      <c r="E13" s="67" t="n">
        <f aca="false">SUMIF(Monthly!$C$5:$BJ$5,E$3,Monthly!$C$36:$BJ$36)</f>
        <v>-23602.9032</v>
      </c>
      <c r="F13" s="67" t="n">
        <f aca="false">SUMIF(Monthly!$C$5:$BJ$5,F$3,Monthly!$C$36:$BJ$36)</f>
        <v>-24310.990296</v>
      </c>
    </row>
    <row r="14" customFormat="false" ht="15" hidden="false" customHeight="false" outlineLevel="0" collapsed="false">
      <c r="A14" s="6" t="s">
        <v>333</v>
      </c>
      <c r="B14" s="67" t="n">
        <f aca="false">SUMIF(Monthly!$C$5:$BJ$5,B$3,Monthly!$C$37:$BJ$37)</f>
        <v>-10997.770304</v>
      </c>
      <c r="C14" s="67" t="n">
        <f aca="false">SUMIF(Monthly!$C$5:$BJ$5,C$3,Monthly!$C$37:$BJ$37)</f>
        <v>-15873.04977408</v>
      </c>
      <c r="D14" s="67" t="n">
        <f aca="false">SUMIF(Monthly!$C$5:$BJ$5,D$3,Monthly!$C$37:$BJ$37)</f>
        <v>-16676.2260926484</v>
      </c>
      <c r="E14" s="67" t="n">
        <f aca="false">SUMIF(Monthly!$C$5:$BJ$5,E$3,Monthly!$C$37:$BJ$37)</f>
        <v>-17520.0431329365</v>
      </c>
      <c r="F14" s="67" t="n">
        <f aca="false">SUMIF(Monthly!$C$5:$BJ$5,F$3,Monthly!$C$37:$BJ$37)</f>
        <v>-18406.557315463</v>
      </c>
    </row>
    <row r="15" customFormat="false" ht="15" hidden="false" customHeight="false" outlineLevel="0" collapsed="false">
      <c r="A15" s="6" t="s">
        <v>334</v>
      </c>
      <c r="B15" s="67" t="n">
        <f aca="false">SUMIF(Monthly!$C$5:$BJ$5,B$3,Monthly!$C$38:$BJ$38)</f>
        <v>-18000</v>
      </c>
      <c r="C15" s="67" t="n">
        <f aca="false">SUMIF(Monthly!$C$5:$BJ$5,C$3,Monthly!$C$38:$BJ$38)</f>
        <v>-14400</v>
      </c>
      <c r="D15" s="67" t="n">
        <f aca="false">SUMIF(Monthly!$C$5:$BJ$5,D$3,Monthly!$C$38:$BJ$38)</f>
        <v>-11520</v>
      </c>
      <c r="E15" s="67" t="n">
        <f aca="false">SUMIF(Monthly!$C$5:$BJ$5,E$3,Monthly!$C$38:$BJ$38)</f>
        <v>-9216</v>
      </c>
      <c r="F15" s="67" t="n">
        <f aca="false">SUMIF(Monthly!$C$5:$BJ$5,F$3,Monthly!$C$38:$BJ$38)</f>
        <v>-7372.8</v>
      </c>
    </row>
    <row r="16" customFormat="false" ht="15" hidden="false" customHeight="false" outlineLevel="0" collapsed="false">
      <c r="A16" s="6" t="s">
        <v>335</v>
      </c>
      <c r="B16" s="67" t="n">
        <f aca="false">SUMIF(Monthly!$C$5:$BJ$5,B$3,Monthly!$C$39:$BJ$39)</f>
        <v>-14400</v>
      </c>
      <c r="C16" s="67" t="n">
        <f aca="false">SUMIF(Monthly!$C$5:$BJ$5,C$3,Monthly!$C$39:$BJ$39)</f>
        <v>-14832</v>
      </c>
      <c r="D16" s="67" t="n">
        <f aca="false">SUMIF(Monthly!$C$5:$BJ$5,D$3,Monthly!$C$39:$BJ$39)</f>
        <v>-15276.96</v>
      </c>
      <c r="E16" s="67" t="n">
        <f aca="false">SUMIF(Monthly!$C$5:$BJ$5,E$3,Monthly!$C$39:$BJ$39)</f>
        <v>-15735.2688</v>
      </c>
      <c r="F16" s="67" t="n">
        <f aca="false">SUMIF(Monthly!$C$5:$BJ$5,F$3,Monthly!$C$39:$BJ$39)</f>
        <v>-16207.326864</v>
      </c>
    </row>
    <row r="17" customFormat="false" ht="15" hidden="false" customHeight="false" outlineLevel="0" collapsed="false">
      <c r="A17" s="6" t="s">
        <v>336</v>
      </c>
      <c r="B17" s="67" t="n">
        <f aca="false">SUMIF(Monthly!$C$5:$BJ$5,B$3,Monthly!$C$40:$BJ$40)</f>
        <v>-7423.4949552</v>
      </c>
      <c r="C17" s="67" t="n">
        <f aca="false">SUMIF(Monthly!$C$5:$BJ$5,C$3,Monthly!$C$40:$BJ$40)</f>
        <v>-10714.308597504</v>
      </c>
      <c r="D17" s="67" t="n">
        <f aca="false">SUMIF(Monthly!$C$5:$BJ$5,D$3,Monthly!$C$40:$BJ$40)</f>
        <v>-11256.4526125377</v>
      </c>
      <c r="E17" s="67" t="n">
        <f aca="false">SUMIF(Monthly!$C$5:$BJ$5,E$3,Monthly!$C$40:$BJ$40)</f>
        <v>-11826.0291147321</v>
      </c>
      <c r="F17" s="67" t="n">
        <f aca="false">SUMIF(Monthly!$C$5:$BJ$5,F$3,Monthly!$C$40:$BJ$40)</f>
        <v>-12424.4261879376</v>
      </c>
    </row>
    <row r="18" customFormat="false" ht="15" hidden="false" customHeight="false" outlineLevel="0" collapsed="false">
      <c r="A18" s="111" t="s">
        <v>77</v>
      </c>
      <c r="B18" s="68" t="n">
        <f aca="false">SUMIF(Monthly!$C$5:$BJ$5,B$3,Monthly!$C$41:$BJ$41)</f>
        <v>-155521.2652592</v>
      </c>
      <c r="C18" s="68" t="n">
        <f aca="false">SUMIF(Monthly!$C$5:$BJ$5,C$3,Monthly!$C$41:$BJ$41)</f>
        <v>-163660.358371584</v>
      </c>
      <c r="D18" s="68" t="n">
        <f aca="false">SUMIF(Monthly!$C$5:$BJ$5,D$3,Monthly!$C$41:$BJ$41)</f>
        <v>-165805.868705186</v>
      </c>
      <c r="E18" s="68" t="n">
        <f aca="false">SUMIF(Monthly!$C$5:$BJ$5,E$3,Monthly!$C$41:$BJ$41)</f>
        <v>-168705.857947669</v>
      </c>
      <c r="F18" s="68" t="n">
        <f aca="false">SUMIF(Monthly!$C$5:$BJ$5,F$3,Monthly!$C$41:$BJ$41)</f>
        <v>-172251.882774401</v>
      </c>
    </row>
    <row r="19" customFormat="false" ht="15" hidden="false" customHeight="false" outlineLevel="0" collapsed="false">
      <c r="A19" s="111" t="s">
        <v>48</v>
      </c>
      <c r="B19" s="68" t="n">
        <f aca="false">SUMIF(Monthly!$C$5:$BJ$5,B$3,Monthly!$C$42:$BJ$42)</f>
        <v>10242.5441608</v>
      </c>
      <c r="C19" s="68" t="n">
        <f aca="false">SUMIF(Monthly!$C$5:$BJ$5,C$3,Monthly!$C$42:$BJ$42)</f>
        <v>98400.062706816</v>
      </c>
      <c r="D19" s="68" t="n">
        <f aca="false">SUMIF(Monthly!$C$5:$BJ$5,D$3,Monthly!$C$42:$BJ$42)</f>
        <v>110686.043279781</v>
      </c>
      <c r="E19" s="68" t="n">
        <f aca="false">SUMIF(Monthly!$C$5:$BJ$5,E$3,Monthly!$C$42:$BJ$42)</f>
        <v>122982.915391738</v>
      </c>
      <c r="F19" s="68" t="n">
        <f aca="false">SUMIF(Monthly!$C$5:$BJ$5,F$3,Monthly!$C$42:$BJ$42)</f>
        <v>135438.90422222</v>
      </c>
    </row>
    <row r="20" customFormat="false" ht="15" hidden="false" customHeight="false" outlineLevel="0" collapsed="false">
      <c r="A20" s="38" t="s">
        <v>49</v>
      </c>
      <c r="B20" s="74" t="n">
        <f aca="false">IF(B5=0,0,B19/B5)</f>
        <v>0.037253166333451</v>
      </c>
      <c r="C20" s="74" t="n">
        <f aca="false">IF(C5=0,0,C19/C5)</f>
        <v>0.247967628420089</v>
      </c>
      <c r="D20" s="74" t="n">
        <f aca="false">IF(D5=0,0,D19/D5)</f>
        <v>0.265494225527623</v>
      </c>
      <c r="E20" s="74" t="n">
        <f aca="false">IF(E5=0,0,E19/E5)</f>
        <v>0.280782220588347</v>
      </c>
      <c r="F20" s="74" t="n">
        <f aca="false">IF(F5=0,0,F19/F5)</f>
        <v>0.294327509269623</v>
      </c>
    </row>
    <row r="21" customFormat="false" ht="15" hidden="false" customHeight="false" outlineLevel="0" collapsed="false">
      <c r="A21" s="6" t="s">
        <v>78</v>
      </c>
      <c r="B21" s="67" t="n">
        <f aca="false">SUMIF(Monthly!$C$5:$BJ$5,B$3,Monthly!$C$62:$BJ$62)</f>
        <v>-45991.6666666667</v>
      </c>
      <c r="C21" s="67" t="n">
        <f aca="false">SUMIF(Monthly!$C$5:$BJ$5,C$3,Monthly!$C$62:$BJ$62)</f>
        <v>-46601.4166666667</v>
      </c>
      <c r="D21" s="67" t="n">
        <f aca="false">SUMIF(Monthly!$C$5:$BJ$5,D$3,Monthly!$C$62:$BJ$62)</f>
        <v>-47229.4591666667</v>
      </c>
      <c r="E21" s="67" t="n">
        <f aca="false">SUMIF(Monthly!$C$5:$BJ$5,E$3,Monthly!$C$62:$BJ$62)</f>
        <v>-47876.3429416667</v>
      </c>
      <c r="F21" s="67" t="n">
        <f aca="false">SUMIF(Monthly!$C$5:$BJ$5,F$3,Monthly!$C$62:$BJ$62)</f>
        <v>-48542.6332299167</v>
      </c>
    </row>
    <row r="22" customFormat="false" ht="15" hidden="false" customHeight="false" outlineLevel="0" collapsed="false">
      <c r="A22" s="4" t="s">
        <v>79</v>
      </c>
      <c r="B22" s="73" t="n">
        <f aca="false">SUMIF(Monthly!$C$5:$BJ$5,B$3,Monthly!$C$45:$BJ$45)</f>
        <v>-35749.1225058667</v>
      </c>
      <c r="C22" s="73" t="n">
        <f aca="false">SUMIF(Monthly!$C$5:$BJ$5,C$3,Monthly!$C$45:$BJ$45)</f>
        <v>51798.6460401493</v>
      </c>
      <c r="D22" s="73" t="n">
        <f aca="false">SUMIF(Monthly!$C$5:$BJ$5,D$3,Monthly!$C$45:$BJ$45)</f>
        <v>63456.5841131142</v>
      </c>
      <c r="E22" s="73" t="n">
        <f aca="false">SUMIF(Monthly!$C$5:$BJ$5,E$3,Monthly!$C$45:$BJ$45)</f>
        <v>75106.5724500712</v>
      </c>
      <c r="F22" s="73" t="n">
        <f aca="false">SUMIF(Monthly!$C$5:$BJ$5,F$3,Monthly!$C$45:$BJ$45)</f>
        <v>86896.2709923031</v>
      </c>
    </row>
    <row r="23" customFormat="false" ht="15" hidden="false" customHeight="false" outlineLevel="0" collapsed="false">
      <c r="A23" s="6" t="s">
        <v>80</v>
      </c>
      <c r="B23" s="67" t="n">
        <f aca="false">SUMIF(Monthly!$C$5:$BJ$5,B$3,Monthly!$C$46:$BJ$46)</f>
        <v>-34757.6848487476</v>
      </c>
      <c r="C23" s="67" t="n">
        <f aca="false">SUMIF(Monthly!$C$5:$BJ$5,C$3,Monthly!$C$46:$BJ$46)</f>
        <v>-34204.7331777278</v>
      </c>
      <c r="D23" s="67" t="n">
        <f aca="false">SUMIF(Monthly!$C$5:$BJ$5,D$3,Monthly!$C$46:$BJ$46)</f>
        <v>-33611.8085857004</v>
      </c>
      <c r="E23" s="67" t="n">
        <f aca="false">SUMIF(Monthly!$C$5:$BJ$5,E$3,Monthly!$C$46:$BJ$46)</f>
        <v>-32976.0214269737</v>
      </c>
      <c r="F23" s="67" t="n">
        <f aca="false">SUMIF(Monthly!$C$5:$BJ$5,F$3,Monthly!$C$46:$BJ$46)</f>
        <v>-32294.2731631353</v>
      </c>
    </row>
    <row r="24" customFormat="false" ht="15" hidden="false" customHeight="false" outlineLevel="0" collapsed="false">
      <c r="A24" s="112" t="s">
        <v>81</v>
      </c>
      <c r="B24" s="113" t="n">
        <f aca="false">SUMIF(Monthly!$C$5:$BJ$5,B$3,Monthly!$C$47:$BJ$47)</f>
        <v>-70506.8073546142</v>
      </c>
      <c r="C24" s="113" t="n">
        <f aca="false">SUMIF(Monthly!$C$5:$BJ$5,C$3,Monthly!$C$47:$BJ$47)</f>
        <v>17593.9128624215</v>
      </c>
      <c r="D24" s="113" t="n">
        <f aca="false">SUMIF(Monthly!$C$5:$BJ$5,D$3,Monthly!$C$47:$BJ$47)</f>
        <v>29844.7755274138</v>
      </c>
      <c r="E24" s="113" t="n">
        <f aca="false">SUMIF(Monthly!$C$5:$BJ$5,E$3,Monthly!$C$47:$BJ$47)</f>
        <v>42130.5510230975</v>
      </c>
      <c r="F24" s="113" t="n">
        <f aca="false">SUMIF(Monthly!$C$5:$BJ$5,F$3,Monthly!$C$47:$BJ$47)</f>
        <v>54601.9978291678</v>
      </c>
    </row>
    <row r="25" customFormat="false" ht="15" hidden="false" customHeight="false" outlineLevel="0" collapsed="false">
      <c r="A25" s="6" t="s">
        <v>82</v>
      </c>
      <c r="B25" s="67" t="n">
        <f aca="false">SUMIF(Monthly!$C$5:$BJ$5,B$3,Monthly!$C$50:$BJ$50)</f>
        <v>0</v>
      </c>
      <c r="C25" s="67" t="n">
        <f aca="false">SUMIF(Monthly!$C$5:$BJ$5,C$3,Monthly!$C$50:$BJ$50)</f>
        <v>0</v>
      </c>
      <c r="D25" s="67" t="n">
        <f aca="false">SUMIF(Monthly!$C$5:$BJ$5,D$3,Monthly!$C$50:$BJ$50)</f>
        <v>0</v>
      </c>
      <c r="E25" s="67" t="n">
        <f aca="false">SUMIF(Monthly!$C$5:$BJ$5,E$3,Monthly!$C$50:$BJ$50)</f>
        <v>-4003.1107322469</v>
      </c>
      <c r="F25" s="67" t="n">
        <f aca="false">SUMIF(Monthly!$C$5:$BJ$5,F$3,Monthly!$C$50:$BJ$50)</f>
        <v>-11466.4195441252</v>
      </c>
    </row>
    <row r="26" customFormat="false" ht="15" hidden="false" customHeight="false" outlineLevel="0" collapsed="false">
      <c r="A26" s="70" t="s">
        <v>50</v>
      </c>
      <c r="B26" s="71" t="n">
        <f aca="false">SUMIF(Monthly!$C$5:$BJ$5,B$3,Monthly!$C$51:$BJ$51)</f>
        <v>-70506.8073546142</v>
      </c>
      <c r="C26" s="71" t="n">
        <f aca="false">SUMIF(Monthly!$C$5:$BJ$5,C$3,Monthly!$C$51:$BJ$51)</f>
        <v>17593.9128624215</v>
      </c>
      <c r="D26" s="71" t="n">
        <f aca="false">SUMIF(Monthly!$C$5:$BJ$5,D$3,Monthly!$C$51:$BJ$51)</f>
        <v>29844.7755274138</v>
      </c>
      <c r="E26" s="71" t="n">
        <f aca="false">SUMIF(Monthly!$C$5:$BJ$5,E$3,Monthly!$C$51:$BJ$51)</f>
        <v>38127.4402908506</v>
      </c>
      <c r="F26" s="71" t="n">
        <f aca="false">SUMIF(Monthly!$C$5:$BJ$5,F$3,Monthly!$C$51:$BJ$51)</f>
        <v>43135.5782850426</v>
      </c>
    </row>
    <row r="27" customFormat="false" ht="15" hidden="false" customHeight="false" outlineLevel="0" collapsed="false">
      <c r="A27" s="38" t="s">
        <v>51</v>
      </c>
      <c r="B27" s="74" t="n">
        <f aca="false">IF(B5=0,0,B26/B5)</f>
        <v>-0.256440370750315</v>
      </c>
      <c r="C27" s="74" t="n">
        <f aca="false">IF(C5=0,0,C26/C5)</f>
        <v>0.0443365657207265</v>
      </c>
      <c r="D27" s="74" t="n">
        <f aca="false">IF(D5=0,0,D26/D5)</f>
        <v>0.071586401771251</v>
      </c>
      <c r="E27" s="74" t="n">
        <f aca="false">IF(E5=0,0,E26/E5)</f>
        <v>0.0870487361282203</v>
      </c>
      <c r="F27" s="74" t="n">
        <f aca="false">IF(F5=0,0,F26/F5)</f>
        <v>0.0937395897467586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327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50</v>
      </c>
      <c r="B5" s="67" t="n">
        <f aca="false">SUMIF(Monthly!$C$5:$BJ$5,B$3,Monthly!$C$51:$BJ$51)</f>
        <v>-70506.8073546142</v>
      </c>
      <c r="C5" s="67" t="n">
        <f aca="false">SUMIF(Monthly!$C$5:$BJ$5,C$3,Monthly!$C$51:$BJ$51)</f>
        <v>17593.9128624215</v>
      </c>
      <c r="D5" s="67" t="n">
        <f aca="false">SUMIF(Monthly!$C$5:$BJ$5,D$3,Monthly!$C$51:$BJ$51)</f>
        <v>29844.7755274138</v>
      </c>
      <c r="E5" s="67" t="n">
        <f aca="false">SUMIF(Monthly!$C$5:$BJ$5,E$3,Monthly!$C$51:$BJ$51)</f>
        <v>38127.4402908506</v>
      </c>
      <c r="F5" s="67" t="n">
        <f aca="false">SUMIF(Monthly!$C$5:$BJ$5,F$3,Monthly!$C$51:$BJ$51)</f>
        <v>43135.5782850426</v>
      </c>
    </row>
    <row r="6" customFormat="false" ht="15" hidden="false" customHeight="false" outlineLevel="0" collapsed="false">
      <c r="A6" s="6" t="s">
        <v>337</v>
      </c>
      <c r="B6" s="67" t="n">
        <f aca="false">-SUMIF(Monthly!$C$5:$BJ$5,B$3,Monthly!$C$62:$BJ$62)</f>
        <v>45991.6666666667</v>
      </c>
      <c r="C6" s="67" t="n">
        <f aca="false">-SUMIF(Monthly!$C$5:$BJ$5,C$3,Monthly!$C$62:$BJ$62)</f>
        <v>46601.4166666667</v>
      </c>
      <c r="D6" s="67" t="n">
        <f aca="false">-SUMIF(Monthly!$C$5:$BJ$5,D$3,Monthly!$C$62:$BJ$62)</f>
        <v>47229.4591666667</v>
      </c>
      <c r="E6" s="67" t="n">
        <f aca="false">-SUMIF(Monthly!$C$5:$BJ$5,E$3,Monthly!$C$62:$BJ$62)</f>
        <v>47876.3429416667</v>
      </c>
      <c r="F6" s="67" t="n">
        <f aca="false">-SUMIF(Monthly!$C$5:$BJ$5,F$3,Monthly!$C$62:$BJ$62)</f>
        <v>48542.6332299167</v>
      </c>
    </row>
    <row r="7" customFormat="false" ht="15" hidden="false" customHeight="false" outlineLevel="0" collapsed="false">
      <c r="A7" s="6" t="s">
        <v>338</v>
      </c>
      <c r="B7" s="67" t="n">
        <f aca="false">SUMIF(Monthly!$C$5:$BJ$5,B$3,Monthly!$C$78:$BJ$78)</f>
        <v>-2885.31466666667</v>
      </c>
      <c r="C7" s="67" t="n">
        <f aca="false">SUMIF(Monthly!$C$5:$BJ$5,C$3,Monthly!$C$78:$BJ$78)</f>
        <v>-145.996922133334</v>
      </c>
      <c r="D7" s="67" t="n">
        <f aca="false">SUMIF(Monthly!$C$5:$BJ$5,D$3,Monthly!$C$78:$BJ$78)</f>
        <v>-153.384366393279</v>
      </c>
      <c r="E7" s="67" t="n">
        <f aca="false">SUMIF(Monthly!$C$5:$BJ$5,E$3,Monthly!$C$78:$BJ$78)</f>
        <v>-161.145615332781</v>
      </c>
      <c r="F7" s="67" t="n">
        <f aca="false">SUMIF(Monthly!$C$5:$BJ$5,F$3,Monthly!$C$78:$BJ$78)</f>
        <v>-169.299583468619</v>
      </c>
    </row>
    <row r="8" customFormat="false" ht="15" hidden="false" customHeight="false" outlineLevel="0" collapsed="false">
      <c r="A8" s="6" t="s">
        <v>339</v>
      </c>
      <c r="B8" s="67" t="n">
        <f aca="false">SUMIF(Monthly!$C$5:$BJ$5,B$3,Monthly!$C$79:$BJ$79)</f>
        <v>-1026.48056666667</v>
      </c>
      <c r="C8" s="67" t="n">
        <f aca="false">SUMIF(Monthly!$C$5:$BJ$5,C$3,Monthly!$C$79:$BJ$79)</f>
        <v>-42.4639166733334</v>
      </c>
      <c r="D8" s="67" t="n">
        <f aca="false">SUMIF(Monthly!$C$5:$BJ$5,D$3,Monthly!$C$79:$BJ$79)</f>
        <v>-44.328310857004</v>
      </c>
      <c r="E8" s="67" t="n">
        <f aca="false">SUMIF(Monthly!$C$5:$BJ$5,E$3,Monthly!$C$79:$BJ$79)</f>
        <v>-46.2785149863685</v>
      </c>
      <c r="F8" s="67" t="n">
        <f aca="false">SUMIF(Monthly!$C$5:$BJ$5,F$3,Monthly!$C$79:$BJ$79)</f>
        <v>-48.3186151926789</v>
      </c>
    </row>
    <row r="9" customFormat="false" ht="15" hidden="false" customHeight="false" outlineLevel="0" collapsed="false">
      <c r="A9" s="6" t="s">
        <v>340</v>
      </c>
      <c r="B9" s="67" t="n">
        <f aca="false">SUMIF(Monthly!$C$5:$BJ$5,B$3,Monthly!$C$80:$BJ$80)</f>
        <v>8554.00472222222</v>
      </c>
      <c r="C9" s="67" t="n">
        <f aca="false">SUMIF(Monthly!$C$5:$BJ$5,C$3,Monthly!$C$80:$BJ$80)</f>
        <v>353.865972277778</v>
      </c>
      <c r="D9" s="67" t="n">
        <f aca="false">SUMIF(Monthly!$C$5:$BJ$5,D$3,Monthly!$C$80:$BJ$80)</f>
        <v>369.402590475032</v>
      </c>
      <c r="E9" s="67" t="n">
        <f aca="false">SUMIF(Monthly!$C$5:$BJ$5,E$3,Monthly!$C$80:$BJ$80)</f>
        <v>385.654291553074</v>
      </c>
      <c r="F9" s="67" t="n">
        <f aca="false">SUMIF(Monthly!$C$5:$BJ$5,F$3,Monthly!$C$80:$BJ$80)</f>
        <v>402.655126605656</v>
      </c>
    </row>
    <row r="10" customFormat="false" ht="15" hidden="false" customHeight="false" outlineLevel="0" collapsed="false">
      <c r="A10" s="111" t="s">
        <v>52</v>
      </c>
      <c r="B10" s="68" t="n">
        <f aca="false">SUMIF(Monthly!$C$5:$BJ$5,B$3,Monthly!$C$83:$BJ$83)</f>
        <v>-19872.9311990587</v>
      </c>
      <c r="C10" s="68" t="n">
        <f aca="false">SUMIF(Monthly!$C$5:$BJ$5,C$3,Monthly!$C$83:$BJ$83)</f>
        <v>64360.7346625593</v>
      </c>
      <c r="D10" s="68" t="n">
        <f aca="false">SUMIF(Monthly!$C$5:$BJ$5,D$3,Monthly!$C$83:$BJ$83)</f>
        <v>77245.9246073052</v>
      </c>
      <c r="E10" s="68" t="n">
        <f aca="false">SUMIF(Monthly!$C$5:$BJ$5,E$3,Monthly!$C$83:$BJ$83)</f>
        <v>86182.0133937512</v>
      </c>
      <c r="F10" s="68" t="n">
        <f aca="false">SUMIF(Monthly!$C$5:$BJ$5,F$3,Monthly!$C$83:$BJ$83)</f>
        <v>91863.2484429036</v>
      </c>
    </row>
    <row r="11" customFormat="false" ht="15" hidden="false" customHeight="false" outlineLevel="0" collapsed="false">
      <c r="A11" s="6" t="s">
        <v>84</v>
      </c>
      <c r="B11" s="67" t="n">
        <f aca="false">SUMIF(Monthly!$C$5:$BJ$5,B$3,Monthly!$C$84:$BJ$84)</f>
        <v>-874000</v>
      </c>
      <c r="C11" s="67" t="n">
        <f aca="false">SUMIF(Monthly!$C$5:$BJ$5,C$3,Monthly!$C$84:$BJ$84)</f>
        <v>-9270</v>
      </c>
      <c r="D11" s="67" t="n">
        <f aca="false">SUMIF(Monthly!$C$5:$BJ$5,D$3,Monthly!$C$84:$BJ$84)</f>
        <v>-9548.1</v>
      </c>
      <c r="E11" s="67" t="n">
        <f aca="false">SUMIF(Monthly!$C$5:$BJ$5,E$3,Monthly!$C$84:$BJ$84)</f>
        <v>-9834.543</v>
      </c>
      <c r="F11" s="67" t="n">
        <f aca="false">SUMIF(Monthly!$C$5:$BJ$5,F$3,Monthly!$C$84:$BJ$84)</f>
        <v>-10129.57929</v>
      </c>
    </row>
    <row r="12" customFormat="false" ht="15" hidden="false" customHeight="false" outlineLevel="0" collapsed="false">
      <c r="A12" s="6" t="s">
        <v>64</v>
      </c>
      <c r="B12" s="67" t="n">
        <f aca="false">SUMIF(Monthly!$C$5:$BJ$5,B$3,Monthly!$C$85:$BJ$85)</f>
        <v>430000</v>
      </c>
      <c r="C12" s="67" t="n">
        <f aca="false">SUMIF(Monthly!$C$5:$BJ$5,C$3,Monthly!$C$85:$BJ$85)</f>
        <v>0</v>
      </c>
      <c r="D12" s="67" t="n">
        <f aca="false">SUMIF(Monthly!$C$5:$BJ$5,D$3,Monthly!$C$85:$BJ$85)</f>
        <v>0</v>
      </c>
      <c r="E12" s="67" t="n">
        <f aca="false">SUMIF(Monthly!$C$5:$BJ$5,E$3,Monthly!$C$85:$BJ$85)</f>
        <v>0</v>
      </c>
      <c r="F12" s="67" t="n">
        <f aca="false">SUMIF(Monthly!$C$5:$BJ$5,F$3,Monthly!$C$85:$BJ$85)</f>
        <v>0</v>
      </c>
    </row>
    <row r="13" customFormat="false" ht="15" hidden="false" customHeight="false" outlineLevel="0" collapsed="false">
      <c r="A13" s="6" t="s">
        <v>85</v>
      </c>
      <c r="B13" s="67" t="n">
        <f aca="false">SUMIF(Monthly!$C$5:$BJ$5,B$3,Monthly!$C$68:$BJ$68)</f>
        <v>500000</v>
      </c>
      <c r="C13" s="67" t="n">
        <f aca="false">SUMIF(Monthly!$C$5:$BJ$5,C$3,Monthly!$C$68:$BJ$68)</f>
        <v>0</v>
      </c>
      <c r="D13" s="67" t="n">
        <f aca="false">SUMIF(Monthly!$C$5:$BJ$5,D$3,Monthly!$C$68:$BJ$68)</f>
        <v>0</v>
      </c>
      <c r="E13" s="67" t="n">
        <f aca="false">SUMIF(Monthly!$C$5:$BJ$5,E$3,Monthly!$C$68:$BJ$68)</f>
        <v>0</v>
      </c>
      <c r="F13" s="67" t="n">
        <f aca="false">SUMIF(Monthly!$C$5:$BJ$5,F$3,Monthly!$C$68:$BJ$68)</f>
        <v>0</v>
      </c>
    </row>
    <row r="14" customFormat="false" ht="15" hidden="false" customHeight="false" outlineLevel="0" collapsed="false">
      <c r="A14" s="6" t="s">
        <v>86</v>
      </c>
      <c r="B14" s="67" t="n">
        <f aca="false">SUMIF(Monthly!$C$5:$BJ$5,B$3,Monthly!$C$70:$BJ$70)</f>
        <v>-7649.06698775793</v>
      </c>
      <c r="C14" s="67" t="n">
        <f aca="false">SUMIF(Monthly!$C$5:$BJ$5,C$3,Monthly!$C$70:$BJ$70)</f>
        <v>-8202.01865877771</v>
      </c>
      <c r="D14" s="67" t="n">
        <f aca="false">SUMIF(Monthly!$C$5:$BJ$5,D$3,Monthly!$C$70:$BJ$70)</f>
        <v>-8794.94325080511</v>
      </c>
      <c r="E14" s="67" t="n">
        <f aca="false">SUMIF(Monthly!$C$5:$BJ$5,E$3,Monthly!$C$70:$BJ$70)</f>
        <v>-9430.73040953182</v>
      </c>
      <c r="F14" s="67" t="n">
        <f aca="false">SUMIF(Monthly!$C$5:$BJ$5,F$3,Monthly!$C$70:$BJ$70)</f>
        <v>-10112.4786733702</v>
      </c>
    </row>
    <row r="15" customFormat="false" ht="15" hidden="false" customHeight="false" outlineLevel="0" collapsed="false">
      <c r="A15" s="111" t="s">
        <v>54</v>
      </c>
      <c r="B15" s="68" t="n">
        <f aca="false">SUMIF(Monthly!$C$5:$BJ$5,B$3,Monthly!$C$86:$BJ$86)</f>
        <v>922350.933012242</v>
      </c>
      <c r="C15" s="68" t="n">
        <f aca="false">SUMIF(Monthly!$C$5:$BJ$5,C$3,Monthly!$C$86:$BJ$86)</f>
        <v>-8202.01865877771</v>
      </c>
      <c r="D15" s="68" t="n">
        <f aca="false">SUMIF(Monthly!$C$5:$BJ$5,D$3,Monthly!$C$86:$BJ$86)</f>
        <v>-8794.94325080511</v>
      </c>
      <c r="E15" s="68" t="n">
        <f aca="false">SUMIF(Monthly!$C$5:$BJ$5,E$3,Monthly!$C$86:$BJ$86)</f>
        <v>-9430.73040953182</v>
      </c>
      <c r="F15" s="68" t="n">
        <f aca="false">SUMIF(Monthly!$C$5:$BJ$5,F$3,Monthly!$C$86:$BJ$86)</f>
        <v>-10112.4786733702</v>
      </c>
    </row>
    <row r="16" customFormat="false" ht="15" hidden="false" customHeight="false" outlineLevel="0" collapsed="false">
      <c r="A16" s="4" t="s">
        <v>55</v>
      </c>
      <c r="B16" s="73" t="n">
        <f aca="false">SUMIF(Monthly!$C$5:$BJ$5,B$3,Monthly!$C$87:$BJ$87)</f>
        <v>28478.0018131834</v>
      </c>
      <c r="C16" s="73" t="n">
        <f aca="false">SUMIF(Monthly!$C$5:$BJ$5,C$3,Monthly!$C$87:$BJ$87)</f>
        <v>46888.7160037816</v>
      </c>
      <c r="D16" s="73" t="n">
        <f aca="false">SUMIF(Monthly!$C$5:$BJ$5,D$3,Monthly!$C$87:$BJ$87)</f>
        <v>58902.8813565001</v>
      </c>
      <c r="E16" s="73" t="n">
        <f aca="false">SUMIF(Monthly!$C$5:$BJ$5,E$3,Monthly!$C$87:$BJ$87)</f>
        <v>66916.7399842194</v>
      </c>
      <c r="F16" s="73" t="n">
        <f aca="false">SUMIF(Monthly!$C$5:$BJ$5,F$3,Monthly!$C$87:$BJ$87)</f>
        <v>71621.1904795334</v>
      </c>
    </row>
    <row r="17" customFormat="false" ht="15" hidden="false" customHeight="false" outlineLevel="0" collapsed="false">
      <c r="A17" s="6" t="s">
        <v>341</v>
      </c>
      <c r="B17" s="67" t="n">
        <f aca="false">INDEX(Monthly!$C$88:$BJ$88,(B$3-1)*12+1)</f>
        <v>0</v>
      </c>
      <c r="C17" s="67" t="n">
        <f aca="false">INDEX(Monthly!$C$88:$BJ$88,(C$3-1)*12+1)</f>
        <v>28478.0018131834</v>
      </c>
      <c r="D17" s="67" t="n">
        <f aca="false">INDEX(Monthly!$C$88:$BJ$88,(D$3-1)*12+1)</f>
        <v>75366.717816965</v>
      </c>
      <c r="E17" s="67" t="n">
        <f aca="false">INDEX(Monthly!$C$88:$BJ$88,(E$3-1)*12+1)</f>
        <v>134269.599173465</v>
      </c>
      <c r="F17" s="67" t="n">
        <f aca="false">INDEX(Monthly!$C$88:$BJ$88,(F$3-1)*12+1)</f>
        <v>201186.339157684</v>
      </c>
    </row>
    <row r="18" customFormat="false" ht="15" hidden="false" customHeight="false" outlineLevel="0" collapsed="false">
      <c r="A18" s="70" t="s">
        <v>87</v>
      </c>
      <c r="B18" s="71" t="n">
        <f aca="false">INDEX(Monthly!$C$89:$BJ$89,B$3*12)</f>
        <v>28478.0018131834</v>
      </c>
      <c r="C18" s="71" t="n">
        <f aca="false">INDEX(Monthly!$C$89:$BJ$89,C$3*12)</f>
        <v>75366.717816965</v>
      </c>
      <c r="D18" s="71" t="n">
        <f aca="false">INDEX(Monthly!$C$89:$BJ$89,D$3*12)</f>
        <v>134269.599173465</v>
      </c>
      <c r="E18" s="71" t="n">
        <f aca="false">INDEX(Monthly!$C$89:$BJ$89,E$3*12)</f>
        <v>201186.339157684</v>
      </c>
      <c r="F18" s="71" t="n">
        <f aca="false">INDEX(Monthly!$C$89:$BJ$89,F$3*12)</f>
        <v>272807.529637218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327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89</v>
      </c>
      <c r="B5" s="67" t="n">
        <f aca="false">INDEX(Monthly!$C$89:$BJ$89,B$3*12)</f>
        <v>28478.0018131834</v>
      </c>
      <c r="C5" s="67" t="n">
        <f aca="false">INDEX(Monthly!$C$89:$BJ$89,C$3*12)</f>
        <v>75366.717816965</v>
      </c>
      <c r="D5" s="67" t="n">
        <f aca="false">INDEX(Monthly!$C$89:$BJ$89,D$3*12)</f>
        <v>134269.599173465</v>
      </c>
      <c r="E5" s="67" t="n">
        <f aca="false">INDEX(Monthly!$C$89:$BJ$89,E$3*12)</f>
        <v>201186.339157684</v>
      </c>
      <c r="F5" s="67" t="n">
        <f aca="false">INDEX(Monthly!$C$89:$BJ$89,F$3*12)</f>
        <v>272807.529637218</v>
      </c>
    </row>
    <row r="6" customFormat="false" ht="15" hidden="false" customHeight="false" outlineLevel="0" collapsed="false">
      <c r="A6" s="6" t="s">
        <v>90</v>
      </c>
      <c r="B6" s="67" t="n">
        <f aca="false">INDEX(Monthly!$C$75:$BJ$75,B$3*12)</f>
        <v>2885.31466666667</v>
      </c>
      <c r="C6" s="67" t="n">
        <f aca="false">INDEX(Monthly!$C$75:$BJ$75,C$3*12)</f>
        <v>3031.3115888</v>
      </c>
      <c r="D6" s="67" t="n">
        <f aca="false">INDEX(Monthly!$C$75:$BJ$75,D$3*12)</f>
        <v>3184.69595519328</v>
      </c>
      <c r="E6" s="67" t="n">
        <f aca="false">INDEX(Monthly!$C$75:$BJ$75,E$3*12)</f>
        <v>3345.84157052606</v>
      </c>
      <c r="F6" s="67" t="n">
        <f aca="false">INDEX(Monthly!$C$75:$BJ$75,F$3*12)</f>
        <v>3515.14115399468</v>
      </c>
    </row>
    <row r="7" customFormat="false" ht="15" hidden="false" customHeight="false" outlineLevel="0" collapsed="false">
      <c r="A7" s="6" t="s">
        <v>91</v>
      </c>
      <c r="B7" s="67" t="n">
        <f aca="false">INDEX(Monthly!$C$76:$BJ$76,B$3*12)</f>
        <v>1026.48056666667</v>
      </c>
      <c r="C7" s="67" t="n">
        <f aca="false">INDEX(Monthly!$C$76:$BJ$76,C$3*12)</f>
        <v>1068.94448334</v>
      </c>
      <c r="D7" s="67" t="n">
        <f aca="false">INDEX(Monthly!$C$76:$BJ$76,D$3*12)</f>
        <v>1113.272794197</v>
      </c>
      <c r="E7" s="67" t="n">
        <f aca="false">INDEX(Monthly!$C$76:$BJ$76,E$3*12)</f>
        <v>1159.55130918337</v>
      </c>
      <c r="F7" s="67" t="n">
        <f aca="false">INDEX(Monthly!$C$76:$BJ$76,F$3*12)</f>
        <v>1207.86992437605</v>
      </c>
    </row>
    <row r="8" customFormat="false" ht="15" hidden="false" customHeight="false" outlineLevel="0" collapsed="false">
      <c r="A8" s="6" t="s">
        <v>92</v>
      </c>
      <c r="B8" s="67" t="n">
        <f aca="false">INDEX(Monthly!$C$64:$BJ$64,B$3*12)</f>
        <v>828008.333333333</v>
      </c>
      <c r="C8" s="67" t="n">
        <f aca="false">INDEX(Monthly!$C$64:$BJ$64,C$3*12)</f>
        <v>790676.916666667</v>
      </c>
      <c r="D8" s="67" t="n">
        <f aca="false">INDEX(Monthly!$C$64:$BJ$64,D$3*12)</f>
        <v>752995.557500001</v>
      </c>
      <c r="E8" s="67" t="n">
        <f aca="false">INDEX(Monthly!$C$64:$BJ$64,E$3*12)</f>
        <v>714953.757558334</v>
      </c>
      <c r="F8" s="67" t="n">
        <f aca="false">INDEX(Monthly!$C$64:$BJ$64,F$3*12)</f>
        <v>676540.703618417</v>
      </c>
    </row>
    <row r="9" customFormat="false" ht="15" hidden="false" customHeight="false" outlineLevel="0" collapsed="false">
      <c r="A9" s="111" t="s">
        <v>93</v>
      </c>
      <c r="B9" s="68" t="n">
        <f aca="false">INDEX(Monthly!$C$103:$BJ$103,B$3*12)</f>
        <v>860398.13037985</v>
      </c>
      <c r="C9" s="68" t="n">
        <f aca="false">INDEX(Monthly!$C$103:$BJ$103,C$3*12)</f>
        <v>870143.890555772</v>
      </c>
      <c r="D9" s="68" t="n">
        <f aca="false">INDEX(Monthly!$C$103:$BJ$103,D$3*12)</f>
        <v>891563.125422856</v>
      </c>
      <c r="E9" s="68" t="n">
        <f aca="false">INDEX(Monthly!$C$103:$BJ$103,E$3*12)</f>
        <v>920645.489595727</v>
      </c>
      <c r="F9" s="68" t="n">
        <f aca="false">INDEX(Monthly!$C$103:$BJ$103,F$3*12)</f>
        <v>954071.244334005</v>
      </c>
    </row>
    <row r="10" customFormat="false" ht="15" hidden="false" customHeight="false" outlineLevel="0" collapsed="false">
      <c r="A10" s="6" t="s">
        <v>94</v>
      </c>
      <c r="B10" s="67" t="n">
        <f aca="false">INDEX(Monthly!$C$77:$BJ$77,B$3*12)</f>
        <v>8554.00472222222</v>
      </c>
      <c r="C10" s="67" t="n">
        <f aca="false">INDEX(Monthly!$C$77:$BJ$77,C$3*12)</f>
        <v>8907.8706945</v>
      </c>
      <c r="D10" s="67" t="n">
        <f aca="false">INDEX(Monthly!$C$77:$BJ$77,D$3*12)</f>
        <v>9277.27328497503</v>
      </c>
      <c r="E10" s="67" t="n">
        <f aca="false">INDEX(Monthly!$C$77:$BJ$77,E$3*12)</f>
        <v>9662.92757652811</v>
      </c>
      <c r="F10" s="67" t="n">
        <f aca="false">INDEX(Monthly!$C$77:$BJ$77,F$3*12)</f>
        <v>10065.5827031338</v>
      </c>
    </row>
    <row r="11" customFormat="false" ht="15" hidden="false" customHeight="false" outlineLevel="0" collapsed="false">
      <c r="A11" s="6" t="s">
        <v>95</v>
      </c>
      <c r="B11" s="67" t="n">
        <f aca="false">INDEX(Monthly!$C$72:$BJ$72,B$3*12)</f>
        <v>492350.933012242</v>
      </c>
      <c r="C11" s="67" t="n">
        <f aca="false">INDEX(Monthly!$C$72:$BJ$72,C$3*12)</f>
        <v>484148.914353464</v>
      </c>
      <c r="D11" s="67" t="n">
        <f aca="false">INDEX(Monthly!$C$72:$BJ$72,D$3*12)</f>
        <v>475353.971102659</v>
      </c>
      <c r="E11" s="67" t="n">
        <f aca="false">INDEX(Monthly!$C$72:$BJ$72,E$3*12)</f>
        <v>465923.240693127</v>
      </c>
      <c r="F11" s="67" t="n">
        <f aca="false">INDEX(Monthly!$C$72:$BJ$72,F$3*12)</f>
        <v>455810.762019757</v>
      </c>
    </row>
    <row r="12" customFormat="false" ht="15" hidden="false" customHeight="false" outlineLevel="0" collapsed="false">
      <c r="A12" s="112" t="s">
        <v>96</v>
      </c>
      <c r="B12" s="113" t="n">
        <f aca="false">INDEX(Monthly!$C$104:$BJ$104,B$3*12)</f>
        <v>500904.937734464</v>
      </c>
      <c r="C12" s="113" t="n">
        <f aca="false">INDEX(Monthly!$C$104:$BJ$104,C$3*12)</f>
        <v>493056.785047964</v>
      </c>
      <c r="D12" s="113" t="n">
        <f aca="false">INDEX(Monthly!$C$104:$BJ$104,D$3*12)</f>
        <v>484631.244387634</v>
      </c>
      <c r="E12" s="113" t="n">
        <f aca="false">INDEX(Monthly!$C$104:$BJ$104,E$3*12)</f>
        <v>475586.168269655</v>
      </c>
      <c r="F12" s="113" t="n">
        <f aca="false">INDEX(Monthly!$C$104:$BJ$104,F$3*12)</f>
        <v>465876.344722891</v>
      </c>
    </row>
    <row r="13" customFormat="false" ht="15" hidden="false" customHeight="false" outlineLevel="0" collapsed="false">
      <c r="A13" s="6" t="s">
        <v>97</v>
      </c>
      <c r="B13" s="67" t="n">
        <f aca="false">INDEX(Monthly!$C$101:$BJ$101,B$3*12)</f>
        <v>430000</v>
      </c>
      <c r="C13" s="67" t="n">
        <f aca="false">INDEX(Monthly!$C$101:$BJ$101,C$3*12)</f>
        <v>430000</v>
      </c>
      <c r="D13" s="67" t="n">
        <f aca="false">INDEX(Monthly!$C$101:$BJ$101,D$3*12)</f>
        <v>430000</v>
      </c>
      <c r="E13" s="67" t="n">
        <f aca="false">INDEX(Monthly!$C$101:$BJ$101,E$3*12)</f>
        <v>430000</v>
      </c>
      <c r="F13" s="67" t="n">
        <f aca="false">INDEX(Monthly!$C$101:$BJ$101,F$3*12)</f>
        <v>430000</v>
      </c>
    </row>
    <row r="14" customFormat="false" ht="15" hidden="false" customHeight="false" outlineLevel="0" collapsed="false">
      <c r="A14" s="6" t="s">
        <v>98</v>
      </c>
      <c r="B14" s="67" t="n">
        <f aca="false">INDEX(Monthly!$C$102:$BJ$102,B$3*12)</f>
        <v>-70506.8073546142</v>
      </c>
      <c r="C14" s="67" t="n">
        <f aca="false">INDEX(Monthly!$C$102:$BJ$102,C$3*12)</f>
        <v>-52912.8944921927</v>
      </c>
      <c r="D14" s="67" t="n">
        <f aca="false">INDEX(Monthly!$C$102:$BJ$102,D$3*12)</f>
        <v>-23068.1189647789</v>
      </c>
      <c r="E14" s="67" t="n">
        <f aca="false">INDEX(Monthly!$C$102:$BJ$102,E$3*12)</f>
        <v>15059.3213260717</v>
      </c>
      <c r="F14" s="67" t="n">
        <f aca="false">INDEX(Monthly!$C$102:$BJ$102,F$3*12)</f>
        <v>58194.8996111143</v>
      </c>
    </row>
    <row r="15" customFormat="false" ht="15" hidden="false" customHeight="false" outlineLevel="0" collapsed="false">
      <c r="A15" s="112" t="s">
        <v>99</v>
      </c>
      <c r="B15" s="113" t="n">
        <f aca="false">INDEX(Monthly!$C$105:$BJ$105,B$3*12)</f>
        <v>359493.192645386</v>
      </c>
      <c r="C15" s="113" t="n">
        <f aca="false">INDEX(Monthly!$C$105:$BJ$105,C$3*12)</f>
        <v>377087.105507807</v>
      </c>
      <c r="D15" s="113" t="n">
        <f aca="false">INDEX(Monthly!$C$105:$BJ$105,D$3*12)</f>
        <v>406931.881035221</v>
      </c>
      <c r="E15" s="113" t="n">
        <f aca="false">INDEX(Monthly!$C$105:$BJ$105,E$3*12)</f>
        <v>445059.321326072</v>
      </c>
      <c r="F15" s="113" t="n">
        <f aca="false">INDEX(Monthly!$C$105:$BJ$105,F$3*12)</f>
        <v>488194.899611114</v>
      </c>
    </row>
    <row r="16" customFormat="false" ht="15" hidden="false" customHeight="false" outlineLevel="0" collapsed="false">
      <c r="A16" s="70" t="s">
        <v>100</v>
      </c>
      <c r="B16" s="71" t="n">
        <f aca="false">INDEX(Monthly!$C$106:$BJ$106,B$3*12)</f>
        <v>860398.13037985</v>
      </c>
      <c r="C16" s="71" t="n">
        <f aca="false">INDEX(Monthly!$C$106:$BJ$106,C$3*12)</f>
        <v>870143.890555772</v>
      </c>
      <c r="D16" s="71" t="n">
        <f aca="false">INDEX(Monthly!$C$106:$BJ$106,D$3*12)</f>
        <v>891563.125422855</v>
      </c>
      <c r="E16" s="71" t="n">
        <f aca="false">INDEX(Monthly!$C$106:$BJ$106,E$3*12)</f>
        <v>920645.489595727</v>
      </c>
      <c r="F16" s="71" t="n">
        <f aca="false">INDEX(Monthly!$C$106:$BJ$106,F$3*12)</f>
        <v>954071.244334005</v>
      </c>
    </row>
    <row r="17" customFormat="false" ht="15" hidden="false" customHeight="false" outlineLevel="0" collapsed="false">
      <c r="A17" s="6" t="s">
        <v>342</v>
      </c>
      <c r="B17" s="67" t="n">
        <f aca="false">INDEX(Monthly!$C$107:$BJ$107,B$3*12)</f>
        <v>0</v>
      </c>
      <c r="C17" s="67" t="n">
        <f aca="false">INDEX(Monthly!$C$107:$BJ$107,C$3*12)</f>
        <v>0</v>
      </c>
      <c r="D17" s="67" t="n">
        <f aca="false">INDEX(Monthly!$C$107:$BJ$107,D$3*12)</f>
        <v>0</v>
      </c>
      <c r="E17" s="67" t="n">
        <f aca="false">INDEX(Monthly!$C$107:$BJ$107,E$3*12)</f>
        <v>0</v>
      </c>
      <c r="F17" s="67" t="n">
        <f aca="false">INDEX(Monthly!$C$107:$BJ$107,F$3*12)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0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343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344</v>
      </c>
    </row>
    <row r="3" customFormat="false" ht="15" hidden="false" customHeight="false" outlineLevel="0" collapsed="false">
      <c r="A3" s="33" t="s">
        <v>345</v>
      </c>
      <c r="C3" s="52" t="s">
        <v>346</v>
      </c>
      <c r="D3" s="52" t="s">
        <v>347</v>
      </c>
      <c r="E3" s="52" t="s">
        <v>348</v>
      </c>
      <c r="F3" s="52" t="s">
        <v>349</v>
      </c>
      <c r="G3" s="52" t="s">
        <v>350</v>
      </c>
      <c r="H3" s="52" t="s">
        <v>351</v>
      </c>
      <c r="I3" s="52" t="s">
        <v>352</v>
      </c>
      <c r="J3" s="52" t="s">
        <v>353</v>
      </c>
      <c r="K3" s="52" t="s">
        <v>354</v>
      </c>
      <c r="L3" s="52" t="s">
        <v>355</v>
      </c>
      <c r="M3" s="52" t="s">
        <v>356</v>
      </c>
      <c r="N3" s="52" t="s">
        <v>357</v>
      </c>
      <c r="O3" s="52" t="s">
        <v>358</v>
      </c>
      <c r="P3" s="52" t="s">
        <v>359</v>
      </c>
      <c r="Q3" s="52" t="s">
        <v>360</v>
      </c>
      <c r="R3" s="52" t="s">
        <v>361</v>
      </c>
      <c r="S3" s="52" t="s">
        <v>362</v>
      </c>
      <c r="T3" s="52" t="s">
        <v>363</v>
      </c>
      <c r="U3" s="52" t="s">
        <v>364</v>
      </c>
      <c r="V3" s="52" t="s">
        <v>365</v>
      </c>
      <c r="W3" s="52" t="s">
        <v>366</v>
      </c>
      <c r="X3" s="52" t="s">
        <v>367</v>
      </c>
      <c r="Y3" s="52" t="s">
        <v>368</v>
      </c>
      <c r="Z3" s="52" t="s">
        <v>369</v>
      </c>
      <c r="AA3" s="52" t="s">
        <v>370</v>
      </c>
      <c r="AB3" s="52" t="s">
        <v>371</v>
      </c>
      <c r="AC3" s="52" t="s">
        <v>372</v>
      </c>
      <c r="AD3" s="52" t="s">
        <v>373</v>
      </c>
      <c r="AE3" s="52" t="s">
        <v>374</v>
      </c>
      <c r="AF3" s="52" t="s">
        <v>375</v>
      </c>
      <c r="AG3" s="52" t="s">
        <v>376</v>
      </c>
      <c r="AH3" s="52" t="s">
        <v>377</v>
      </c>
      <c r="AI3" s="52" t="s">
        <v>378</v>
      </c>
      <c r="AJ3" s="52" t="s">
        <v>379</v>
      </c>
      <c r="AK3" s="52" t="s">
        <v>380</v>
      </c>
      <c r="AL3" s="52" t="s">
        <v>381</v>
      </c>
      <c r="AM3" s="52" t="s">
        <v>382</v>
      </c>
      <c r="AN3" s="52" t="s">
        <v>383</v>
      </c>
      <c r="AO3" s="52" t="s">
        <v>384</v>
      </c>
      <c r="AP3" s="52" t="s">
        <v>385</v>
      </c>
      <c r="AQ3" s="52" t="s">
        <v>386</v>
      </c>
      <c r="AR3" s="52" t="s">
        <v>387</v>
      </c>
      <c r="AS3" s="52" t="s">
        <v>388</v>
      </c>
      <c r="AT3" s="52" t="s">
        <v>389</v>
      </c>
      <c r="AU3" s="52" t="s">
        <v>390</v>
      </c>
      <c r="AV3" s="52" t="s">
        <v>391</v>
      </c>
      <c r="AW3" s="52" t="s">
        <v>392</v>
      </c>
      <c r="AX3" s="52" t="s">
        <v>393</v>
      </c>
      <c r="AY3" s="52" t="s">
        <v>394</v>
      </c>
      <c r="AZ3" s="52" t="s">
        <v>395</v>
      </c>
      <c r="BA3" s="52" t="s">
        <v>396</v>
      </c>
      <c r="BB3" s="52" t="s">
        <v>397</v>
      </c>
      <c r="BC3" s="52" t="s">
        <v>398</v>
      </c>
      <c r="BD3" s="52" t="s">
        <v>399</v>
      </c>
      <c r="BE3" s="52" t="s">
        <v>400</v>
      </c>
      <c r="BF3" s="52" t="s">
        <v>401</v>
      </c>
      <c r="BG3" s="52" t="s">
        <v>402</v>
      </c>
      <c r="BH3" s="52" t="s">
        <v>403</v>
      </c>
      <c r="BI3" s="52" t="s">
        <v>404</v>
      </c>
      <c r="BJ3" s="52" t="s">
        <v>405</v>
      </c>
    </row>
    <row r="4" customFormat="false" ht="15" hidden="false" customHeight="false" outlineLevel="0" collapsed="false">
      <c r="A4" s="72" t="s">
        <v>406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246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4" t="s">
        <v>407</v>
      </c>
      <c r="C8" s="115" t="n">
        <f aca="false">MAX(0,MIN(1,Inputs!$E$10-(C$4-1)*1))</f>
        <v>1</v>
      </c>
      <c r="D8" s="115" t="n">
        <f aca="false">MAX(0,MIN(1,Inputs!$E$10-(D$4-1)*1))</f>
        <v>1</v>
      </c>
      <c r="E8" s="115" t="n">
        <f aca="false">MAX(0,MIN(1,Inputs!$E$10-(E$4-1)*1))</f>
        <v>1</v>
      </c>
      <c r="F8" s="115" t="n">
        <f aca="false">MAX(0,MIN(1,Inputs!$E$10-(F$4-1)*1))</f>
        <v>1</v>
      </c>
      <c r="G8" s="115" t="n">
        <f aca="false">MAX(0,MIN(1,Inputs!$E$10-(G$4-1)*1))</f>
        <v>1</v>
      </c>
      <c r="H8" s="115" t="n">
        <f aca="false">MAX(0,MIN(1,Inputs!$E$10-(H$4-1)*1))</f>
        <v>1</v>
      </c>
      <c r="I8" s="115" t="n">
        <f aca="false">MAX(0,MIN(1,Inputs!$E$10-(I$4-1)*1))</f>
        <v>1</v>
      </c>
      <c r="J8" s="115" t="n">
        <f aca="false">MAX(0,MIN(1,Inputs!$E$10-(J$4-1)*1))</f>
        <v>1</v>
      </c>
      <c r="K8" s="115" t="n">
        <f aca="false">MAX(0,MIN(1,Inputs!$E$10-(K$4-1)*1))</f>
        <v>1</v>
      </c>
      <c r="L8" s="115" t="n">
        <f aca="false">MAX(0,MIN(1,Inputs!$E$10-(L$4-1)*1))</f>
        <v>1</v>
      </c>
      <c r="M8" s="115" t="n">
        <f aca="false">MAX(0,MIN(1,Inputs!$E$10-(M$4-1)*1))</f>
        <v>0</v>
      </c>
      <c r="N8" s="115" t="n">
        <f aca="false">MAX(0,MIN(1,Inputs!$E$10-(N$4-1)*1))</f>
        <v>0</v>
      </c>
      <c r="O8" s="115" t="n">
        <f aca="false">MAX(0,MIN(1,Inputs!$E$10-(O$4-1)*1))</f>
        <v>0</v>
      </c>
      <c r="P8" s="115" t="n">
        <f aca="false">MAX(0,MIN(1,Inputs!$E$10-(P$4-1)*1))</f>
        <v>0</v>
      </c>
      <c r="Q8" s="115" t="n">
        <f aca="false">MAX(0,MIN(1,Inputs!$E$10-(Q$4-1)*1))</f>
        <v>0</v>
      </c>
      <c r="R8" s="115" t="n">
        <f aca="false">MAX(0,MIN(1,Inputs!$E$10-(R$4-1)*1))</f>
        <v>0</v>
      </c>
      <c r="S8" s="115" t="n">
        <f aca="false">MAX(0,MIN(1,Inputs!$E$10-(S$4-1)*1))</f>
        <v>0</v>
      </c>
      <c r="T8" s="115" t="n">
        <f aca="false">MAX(0,MIN(1,Inputs!$E$10-(T$4-1)*1))</f>
        <v>0</v>
      </c>
      <c r="U8" s="115" t="n">
        <f aca="false">MAX(0,MIN(1,Inputs!$E$10-(U$4-1)*1))</f>
        <v>0</v>
      </c>
      <c r="V8" s="115" t="n">
        <f aca="false">MAX(0,MIN(1,Inputs!$E$10-(V$4-1)*1))</f>
        <v>0</v>
      </c>
      <c r="W8" s="115" t="n">
        <f aca="false">MAX(0,MIN(1,Inputs!$E$10-(W$4-1)*1))</f>
        <v>0</v>
      </c>
      <c r="X8" s="115" t="n">
        <f aca="false">MAX(0,MIN(1,Inputs!$E$10-(X$4-1)*1))</f>
        <v>0</v>
      </c>
      <c r="Y8" s="115" t="n">
        <f aca="false">MAX(0,MIN(1,Inputs!$E$10-(Y$4-1)*1))</f>
        <v>0</v>
      </c>
      <c r="Z8" s="115" t="n">
        <f aca="false">MAX(0,MIN(1,Inputs!$E$10-(Z$4-1)*1))</f>
        <v>0</v>
      </c>
      <c r="AA8" s="115" t="n">
        <f aca="false">MAX(0,MIN(1,Inputs!$E$10-(AA$4-1)*1))</f>
        <v>0</v>
      </c>
      <c r="AB8" s="115" t="n">
        <f aca="false">MAX(0,MIN(1,Inputs!$E$10-(AB$4-1)*1))</f>
        <v>0</v>
      </c>
      <c r="AC8" s="115" t="n">
        <f aca="false">MAX(0,MIN(1,Inputs!$E$10-(AC$4-1)*1))</f>
        <v>0</v>
      </c>
      <c r="AD8" s="115" t="n">
        <f aca="false">MAX(0,MIN(1,Inputs!$E$10-(AD$4-1)*1))</f>
        <v>0</v>
      </c>
      <c r="AE8" s="115" t="n">
        <f aca="false">MAX(0,MIN(1,Inputs!$E$10-(AE$4-1)*1))</f>
        <v>0</v>
      </c>
      <c r="AF8" s="115" t="n">
        <f aca="false">MAX(0,MIN(1,Inputs!$E$10-(AF$4-1)*1))</f>
        <v>0</v>
      </c>
      <c r="AG8" s="115" t="n">
        <f aca="false">MAX(0,MIN(1,Inputs!$E$10-(AG$4-1)*1))</f>
        <v>0</v>
      </c>
      <c r="AH8" s="115" t="n">
        <f aca="false">MAX(0,MIN(1,Inputs!$E$10-(AH$4-1)*1))</f>
        <v>0</v>
      </c>
      <c r="AI8" s="115" t="n">
        <f aca="false">MAX(0,MIN(1,Inputs!$E$10-(AI$4-1)*1))</f>
        <v>0</v>
      </c>
      <c r="AJ8" s="115" t="n">
        <f aca="false">MAX(0,MIN(1,Inputs!$E$10-(AJ$4-1)*1))</f>
        <v>0</v>
      </c>
      <c r="AK8" s="115" t="n">
        <f aca="false">MAX(0,MIN(1,Inputs!$E$10-(AK$4-1)*1))</f>
        <v>0</v>
      </c>
      <c r="AL8" s="115" t="n">
        <f aca="false">MAX(0,MIN(1,Inputs!$E$10-(AL$4-1)*1))</f>
        <v>0</v>
      </c>
      <c r="AM8" s="115" t="n">
        <f aca="false">MAX(0,MIN(1,Inputs!$E$10-(AM$4-1)*1))</f>
        <v>0</v>
      </c>
      <c r="AN8" s="115" t="n">
        <f aca="false">MAX(0,MIN(1,Inputs!$E$10-(AN$4-1)*1))</f>
        <v>0</v>
      </c>
      <c r="AO8" s="115" t="n">
        <f aca="false">MAX(0,MIN(1,Inputs!$E$10-(AO$4-1)*1))</f>
        <v>0</v>
      </c>
      <c r="AP8" s="115" t="n">
        <f aca="false">MAX(0,MIN(1,Inputs!$E$10-(AP$4-1)*1))</f>
        <v>0</v>
      </c>
      <c r="AQ8" s="115" t="n">
        <f aca="false">MAX(0,MIN(1,Inputs!$E$10-(AQ$4-1)*1))</f>
        <v>0</v>
      </c>
      <c r="AR8" s="115" t="n">
        <f aca="false">MAX(0,MIN(1,Inputs!$E$10-(AR$4-1)*1))</f>
        <v>0</v>
      </c>
      <c r="AS8" s="115" t="n">
        <f aca="false">MAX(0,MIN(1,Inputs!$E$10-(AS$4-1)*1))</f>
        <v>0</v>
      </c>
      <c r="AT8" s="115" t="n">
        <f aca="false">MAX(0,MIN(1,Inputs!$E$10-(AT$4-1)*1))</f>
        <v>0</v>
      </c>
      <c r="AU8" s="115" t="n">
        <f aca="false">MAX(0,MIN(1,Inputs!$E$10-(AU$4-1)*1))</f>
        <v>0</v>
      </c>
      <c r="AV8" s="115" t="n">
        <f aca="false">MAX(0,MIN(1,Inputs!$E$10-(AV$4-1)*1))</f>
        <v>0</v>
      </c>
      <c r="AW8" s="115" t="n">
        <f aca="false">MAX(0,MIN(1,Inputs!$E$10-(AW$4-1)*1))</f>
        <v>0</v>
      </c>
      <c r="AX8" s="115" t="n">
        <f aca="false">MAX(0,MIN(1,Inputs!$E$10-(AX$4-1)*1))</f>
        <v>0</v>
      </c>
      <c r="AY8" s="115" t="n">
        <f aca="false">MAX(0,MIN(1,Inputs!$E$10-(AY$4-1)*1))</f>
        <v>0</v>
      </c>
      <c r="AZ8" s="115" t="n">
        <f aca="false">MAX(0,MIN(1,Inputs!$E$10-(AZ$4-1)*1))</f>
        <v>0</v>
      </c>
      <c r="BA8" s="115" t="n">
        <f aca="false">MAX(0,MIN(1,Inputs!$E$10-(BA$4-1)*1))</f>
        <v>0</v>
      </c>
      <c r="BB8" s="115" t="n">
        <f aca="false">MAX(0,MIN(1,Inputs!$E$10-(BB$4-1)*1))</f>
        <v>0</v>
      </c>
      <c r="BC8" s="115" t="n">
        <f aca="false">MAX(0,MIN(1,Inputs!$E$10-(BC$4-1)*1))</f>
        <v>0</v>
      </c>
      <c r="BD8" s="115" t="n">
        <f aca="false">MAX(0,MIN(1,Inputs!$E$10-(BD$4-1)*1))</f>
        <v>0</v>
      </c>
      <c r="BE8" s="115" t="n">
        <f aca="false">MAX(0,MIN(1,Inputs!$E$10-(BE$4-1)*1))</f>
        <v>0</v>
      </c>
      <c r="BF8" s="115" t="n">
        <f aca="false">MAX(0,MIN(1,Inputs!$E$10-(BF$4-1)*1))</f>
        <v>0</v>
      </c>
      <c r="BG8" s="115" t="n">
        <f aca="false">MAX(0,MIN(1,Inputs!$E$10-(BG$4-1)*1))</f>
        <v>0</v>
      </c>
      <c r="BH8" s="115" t="n">
        <f aca="false">MAX(0,MIN(1,Inputs!$E$10-(BH$4-1)*1))</f>
        <v>0</v>
      </c>
      <c r="BI8" s="115" t="n">
        <f aca="false">MAX(0,MIN(1,Inputs!$E$10-(BI$4-1)*1))</f>
        <v>0</v>
      </c>
      <c r="BJ8" s="115" t="n">
        <f aca="false">MAX(0,MIN(1,Inputs!$E$10-(BJ$4-1)*1))</f>
        <v>0</v>
      </c>
    </row>
    <row r="9" customFormat="false" ht="15" hidden="false" customHeight="false" outlineLevel="0" collapsed="false">
      <c r="A9" s="38" t="s">
        <v>408</v>
      </c>
      <c r="C9" s="74" t="n">
        <f aca="false">IF(Inputs!$E$10&lt;=0,1,(C8*Inputs!$E$11+(1-Inputs!$E$11)/MAX(1,Inputs!$E$10)*(C8*(C$4-1)*1+C8*(C8-1)/2)+1-C8)/1)</f>
        <v>0.4</v>
      </c>
      <c r="D9" s="74" t="n">
        <f aca="false">IF(Inputs!$E$10&lt;=0,1,(D8*Inputs!$E$11+(1-Inputs!$E$11)/MAX(1,Inputs!$E$10)*(D8*(D$4-1)*1+D8*(D8-1)/2)+1-D8)/1)</f>
        <v>0.46</v>
      </c>
      <c r="E9" s="74" t="n">
        <f aca="false">IF(Inputs!$E$10&lt;=0,1,(E8*Inputs!$E$11+(1-Inputs!$E$11)/MAX(1,Inputs!$E$10)*(E8*(E$4-1)*1+E8*(E8-1)/2)+1-E8)/1)</f>
        <v>0.52</v>
      </c>
      <c r="F9" s="74" t="n">
        <f aca="false">IF(Inputs!$E$10&lt;=0,1,(F8*Inputs!$E$11+(1-Inputs!$E$11)/MAX(1,Inputs!$E$10)*(F8*(F$4-1)*1+F8*(F8-1)/2)+1-F8)/1)</f>
        <v>0.58</v>
      </c>
      <c r="G9" s="74" t="n">
        <f aca="false">IF(Inputs!$E$10&lt;=0,1,(G8*Inputs!$E$11+(1-Inputs!$E$11)/MAX(1,Inputs!$E$10)*(G8*(G$4-1)*1+G8*(G8-1)/2)+1-G8)/1)</f>
        <v>0.64</v>
      </c>
      <c r="H9" s="74" t="n">
        <f aca="false">IF(Inputs!$E$10&lt;=0,1,(H8*Inputs!$E$11+(1-Inputs!$E$11)/MAX(1,Inputs!$E$10)*(H8*(H$4-1)*1+H8*(H8-1)/2)+1-H8)/1)</f>
        <v>0.7</v>
      </c>
      <c r="I9" s="74" t="n">
        <f aca="false">IF(Inputs!$E$10&lt;=0,1,(I8*Inputs!$E$11+(1-Inputs!$E$11)/MAX(1,Inputs!$E$10)*(I8*(I$4-1)*1+I8*(I8-1)/2)+1-I8)/1)</f>
        <v>0.76</v>
      </c>
      <c r="J9" s="74" t="n">
        <f aca="false">IF(Inputs!$E$10&lt;=0,1,(J8*Inputs!$E$11+(1-Inputs!$E$11)/MAX(1,Inputs!$E$10)*(J8*(J$4-1)*1+J8*(J8-1)/2)+1-J8)/1)</f>
        <v>0.82</v>
      </c>
      <c r="K9" s="74" t="n">
        <f aca="false">IF(Inputs!$E$10&lt;=0,1,(K8*Inputs!$E$11+(1-Inputs!$E$11)/MAX(1,Inputs!$E$10)*(K8*(K$4-1)*1+K8*(K8-1)/2)+1-K8)/1)</f>
        <v>0.88</v>
      </c>
      <c r="L9" s="74" t="n">
        <f aca="false">IF(Inputs!$E$10&lt;=0,1,(L8*Inputs!$E$11+(1-Inputs!$E$11)/MAX(1,Inputs!$E$10)*(L8*(L$4-1)*1+L8*(L8-1)/2)+1-L8)/1)</f>
        <v>0.94</v>
      </c>
      <c r="M9" s="74" t="n">
        <f aca="false">IF(Inputs!$E$10&lt;=0,1,(M8*Inputs!$E$11+(1-Inputs!$E$11)/MAX(1,Inputs!$E$10)*(M8*(M$4-1)*1+M8*(M8-1)/2)+1-M8)/1)</f>
        <v>1</v>
      </c>
      <c r="N9" s="74" t="n">
        <f aca="false">IF(Inputs!$E$10&lt;=0,1,(N8*Inputs!$E$11+(1-Inputs!$E$11)/MAX(1,Inputs!$E$10)*(N8*(N$4-1)*1+N8*(N8-1)/2)+1-N8)/1)</f>
        <v>1</v>
      </c>
      <c r="O9" s="74" t="n">
        <f aca="false">IF(Inputs!$E$10&lt;=0,1,(O8*Inputs!$E$11+(1-Inputs!$E$11)/MAX(1,Inputs!$E$10)*(O8*(O$4-1)*1+O8*(O8-1)/2)+1-O8)/1)</f>
        <v>1</v>
      </c>
      <c r="P9" s="74" t="n">
        <f aca="false">IF(Inputs!$E$10&lt;=0,1,(P8*Inputs!$E$11+(1-Inputs!$E$11)/MAX(1,Inputs!$E$10)*(P8*(P$4-1)*1+P8*(P8-1)/2)+1-P8)/1)</f>
        <v>1</v>
      </c>
      <c r="Q9" s="74" t="n">
        <f aca="false">IF(Inputs!$E$10&lt;=0,1,(Q8*Inputs!$E$11+(1-Inputs!$E$11)/MAX(1,Inputs!$E$10)*(Q8*(Q$4-1)*1+Q8*(Q8-1)/2)+1-Q8)/1)</f>
        <v>1</v>
      </c>
      <c r="R9" s="74" t="n">
        <f aca="false">IF(Inputs!$E$10&lt;=0,1,(R8*Inputs!$E$11+(1-Inputs!$E$11)/MAX(1,Inputs!$E$10)*(R8*(R$4-1)*1+R8*(R8-1)/2)+1-R8)/1)</f>
        <v>1</v>
      </c>
      <c r="S9" s="74" t="n">
        <f aca="false">IF(Inputs!$E$10&lt;=0,1,(S8*Inputs!$E$11+(1-Inputs!$E$11)/MAX(1,Inputs!$E$10)*(S8*(S$4-1)*1+S8*(S8-1)/2)+1-S8)/1)</f>
        <v>1</v>
      </c>
      <c r="T9" s="74" t="n">
        <f aca="false">IF(Inputs!$E$10&lt;=0,1,(T8*Inputs!$E$11+(1-Inputs!$E$11)/MAX(1,Inputs!$E$10)*(T8*(T$4-1)*1+T8*(T8-1)/2)+1-T8)/1)</f>
        <v>1</v>
      </c>
      <c r="U9" s="74" t="n">
        <f aca="false">IF(Inputs!$E$10&lt;=0,1,(U8*Inputs!$E$11+(1-Inputs!$E$11)/MAX(1,Inputs!$E$10)*(U8*(U$4-1)*1+U8*(U8-1)/2)+1-U8)/1)</f>
        <v>1</v>
      </c>
      <c r="V9" s="74" t="n">
        <f aca="false">IF(Inputs!$E$10&lt;=0,1,(V8*Inputs!$E$11+(1-Inputs!$E$11)/MAX(1,Inputs!$E$10)*(V8*(V$4-1)*1+V8*(V8-1)/2)+1-V8)/1)</f>
        <v>1</v>
      </c>
      <c r="W9" s="74" t="n">
        <f aca="false">IF(Inputs!$E$10&lt;=0,1,(W8*Inputs!$E$11+(1-Inputs!$E$11)/MAX(1,Inputs!$E$10)*(W8*(W$4-1)*1+W8*(W8-1)/2)+1-W8)/1)</f>
        <v>1</v>
      </c>
      <c r="X9" s="74" t="n">
        <f aca="false">IF(Inputs!$E$10&lt;=0,1,(X8*Inputs!$E$11+(1-Inputs!$E$11)/MAX(1,Inputs!$E$10)*(X8*(X$4-1)*1+X8*(X8-1)/2)+1-X8)/1)</f>
        <v>1</v>
      </c>
      <c r="Y9" s="74" t="n">
        <f aca="false">IF(Inputs!$E$10&lt;=0,1,(Y8*Inputs!$E$11+(1-Inputs!$E$11)/MAX(1,Inputs!$E$10)*(Y8*(Y$4-1)*1+Y8*(Y8-1)/2)+1-Y8)/1)</f>
        <v>1</v>
      </c>
      <c r="Z9" s="74" t="n">
        <f aca="false">IF(Inputs!$E$10&lt;=0,1,(Z8*Inputs!$E$11+(1-Inputs!$E$11)/MAX(1,Inputs!$E$10)*(Z8*(Z$4-1)*1+Z8*(Z8-1)/2)+1-Z8)/1)</f>
        <v>1</v>
      </c>
      <c r="AA9" s="74" t="n">
        <f aca="false">IF(Inputs!$E$10&lt;=0,1,(AA8*Inputs!$E$11+(1-Inputs!$E$11)/MAX(1,Inputs!$E$10)*(AA8*(AA$4-1)*1+AA8*(AA8-1)/2)+1-AA8)/1)</f>
        <v>1</v>
      </c>
      <c r="AB9" s="74" t="n">
        <f aca="false">IF(Inputs!$E$10&lt;=0,1,(AB8*Inputs!$E$11+(1-Inputs!$E$11)/MAX(1,Inputs!$E$10)*(AB8*(AB$4-1)*1+AB8*(AB8-1)/2)+1-AB8)/1)</f>
        <v>1</v>
      </c>
      <c r="AC9" s="74" t="n">
        <f aca="false">IF(Inputs!$E$10&lt;=0,1,(AC8*Inputs!$E$11+(1-Inputs!$E$11)/MAX(1,Inputs!$E$10)*(AC8*(AC$4-1)*1+AC8*(AC8-1)/2)+1-AC8)/1)</f>
        <v>1</v>
      </c>
      <c r="AD9" s="74" t="n">
        <f aca="false">IF(Inputs!$E$10&lt;=0,1,(AD8*Inputs!$E$11+(1-Inputs!$E$11)/MAX(1,Inputs!$E$10)*(AD8*(AD$4-1)*1+AD8*(AD8-1)/2)+1-AD8)/1)</f>
        <v>1</v>
      </c>
      <c r="AE9" s="74" t="n">
        <f aca="false">IF(Inputs!$E$10&lt;=0,1,(AE8*Inputs!$E$11+(1-Inputs!$E$11)/MAX(1,Inputs!$E$10)*(AE8*(AE$4-1)*1+AE8*(AE8-1)/2)+1-AE8)/1)</f>
        <v>1</v>
      </c>
      <c r="AF9" s="74" t="n">
        <f aca="false">IF(Inputs!$E$10&lt;=0,1,(AF8*Inputs!$E$11+(1-Inputs!$E$11)/MAX(1,Inputs!$E$10)*(AF8*(AF$4-1)*1+AF8*(AF8-1)/2)+1-AF8)/1)</f>
        <v>1</v>
      </c>
      <c r="AG9" s="74" t="n">
        <f aca="false">IF(Inputs!$E$10&lt;=0,1,(AG8*Inputs!$E$11+(1-Inputs!$E$11)/MAX(1,Inputs!$E$10)*(AG8*(AG$4-1)*1+AG8*(AG8-1)/2)+1-AG8)/1)</f>
        <v>1</v>
      </c>
      <c r="AH9" s="74" t="n">
        <f aca="false">IF(Inputs!$E$10&lt;=0,1,(AH8*Inputs!$E$11+(1-Inputs!$E$11)/MAX(1,Inputs!$E$10)*(AH8*(AH$4-1)*1+AH8*(AH8-1)/2)+1-AH8)/1)</f>
        <v>1</v>
      </c>
      <c r="AI9" s="74" t="n">
        <f aca="false">IF(Inputs!$E$10&lt;=0,1,(AI8*Inputs!$E$11+(1-Inputs!$E$11)/MAX(1,Inputs!$E$10)*(AI8*(AI$4-1)*1+AI8*(AI8-1)/2)+1-AI8)/1)</f>
        <v>1</v>
      </c>
      <c r="AJ9" s="74" t="n">
        <f aca="false">IF(Inputs!$E$10&lt;=0,1,(AJ8*Inputs!$E$11+(1-Inputs!$E$11)/MAX(1,Inputs!$E$10)*(AJ8*(AJ$4-1)*1+AJ8*(AJ8-1)/2)+1-AJ8)/1)</f>
        <v>1</v>
      </c>
      <c r="AK9" s="74" t="n">
        <f aca="false">IF(Inputs!$E$10&lt;=0,1,(AK8*Inputs!$E$11+(1-Inputs!$E$11)/MAX(1,Inputs!$E$10)*(AK8*(AK$4-1)*1+AK8*(AK8-1)/2)+1-AK8)/1)</f>
        <v>1</v>
      </c>
      <c r="AL9" s="74" t="n">
        <f aca="false">IF(Inputs!$E$10&lt;=0,1,(AL8*Inputs!$E$11+(1-Inputs!$E$11)/MAX(1,Inputs!$E$10)*(AL8*(AL$4-1)*1+AL8*(AL8-1)/2)+1-AL8)/1)</f>
        <v>1</v>
      </c>
      <c r="AM9" s="74" t="n">
        <f aca="false">IF(Inputs!$E$10&lt;=0,1,(AM8*Inputs!$E$11+(1-Inputs!$E$11)/MAX(1,Inputs!$E$10)*(AM8*(AM$4-1)*1+AM8*(AM8-1)/2)+1-AM8)/1)</f>
        <v>1</v>
      </c>
      <c r="AN9" s="74" t="n">
        <f aca="false">IF(Inputs!$E$10&lt;=0,1,(AN8*Inputs!$E$11+(1-Inputs!$E$11)/MAX(1,Inputs!$E$10)*(AN8*(AN$4-1)*1+AN8*(AN8-1)/2)+1-AN8)/1)</f>
        <v>1</v>
      </c>
      <c r="AO9" s="74" t="n">
        <f aca="false">IF(Inputs!$E$10&lt;=0,1,(AO8*Inputs!$E$11+(1-Inputs!$E$11)/MAX(1,Inputs!$E$10)*(AO8*(AO$4-1)*1+AO8*(AO8-1)/2)+1-AO8)/1)</f>
        <v>1</v>
      </c>
      <c r="AP9" s="74" t="n">
        <f aca="false">IF(Inputs!$E$10&lt;=0,1,(AP8*Inputs!$E$11+(1-Inputs!$E$11)/MAX(1,Inputs!$E$10)*(AP8*(AP$4-1)*1+AP8*(AP8-1)/2)+1-AP8)/1)</f>
        <v>1</v>
      </c>
      <c r="AQ9" s="74" t="n">
        <f aca="false">IF(Inputs!$E$10&lt;=0,1,(AQ8*Inputs!$E$11+(1-Inputs!$E$11)/MAX(1,Inputs!$E$10)*(AQ8*(AQ$4-1)*1+AQ8*(AQ8-1)/2)+1-AQ8)/1)</f>
        <v>1</v>
      </c>
      <c r="AR9" s="74" t="n">
        <f aca="false">IF(Inputs!$E$10&lt;=0,1,(AR8*Inputs!$E$11+(1-Inputs!$E$11)/MAX(1,Inputs!$E$10)*(AR8*(AR$4-1)*1+AR8*(AR8-1)/2)+1-AR8)/1)</f>
        <v>1</v>
      </c>
      <c r="AS9" s="74" t="n">
        <f aca="false">IF(Inputs!$E$10&lt;=0,1,(AS8*Inputs!$E$11+(1-Inputs!$E$11)/MAX(1,Inputs!$E$10)*(AS8*(AS$4-1)*1+AS8*(AS8-1)/2)+1-AS8)/1)</f>
        <v>1</v>
      </c>
      <c r="AT9" s="74" t="n">
        <f aca="false">IF(Inputs!$E$10&lt;=0,1,(AT8*Inputs!$E$11+(1-Inputs!$E$11)/MAX(1,Inputs!$E$10)*(AT8*(AT$4-1)*1+AT8*(AT8-1)/2)+1-AT8)/1)</f>
        <v>1</v>
      </c>
      <c r="AU9" s="74" t="n">
        <f aca="false">IF(Inputs!$E$10&lt;=0,1,(AU8*Inputs!$E$11+(1-Inputs!$E$11)/MAX(1,Inputs!$E$10)*(AU8*(AU$4-1)*1+AU8*(AU8-1)/2)+1-AU8)/1)</f>
        <v>1</v>
      </c>
      <c r="AV9" s="74" t="n">
        <f aca="false">IF(Inputs!$E$10&lt;=0,1,(AV8*Inputs!$E$11+(1-Inputs!$E$11)/MAX(1,Inputs!$E$10)*(AV8*(AV$4-1)*1+AV8*(AV8-1)/2)+1-AV8)/1)</f>
        <v>1</v>
      </c>
      <c r="AW9" s="74" t="n">
        <f aca="false">IF(Inputs!$E$10&lt;=0,1,(AW8*Inputs!$E$11+(1-Inputs!$E$11)/MAX(1,Inputs!$E$10)*(AW8*(AW$4-1)*1+AW8*(AW8-1)/2)+1-AW8)/1)</f>
        <v>1</v>
      </c>
      <c r="AX9" s="74" t="n">
        <f aca="false">IF(Inputs!$E$10&lt;=0,1,(AX8*Inputs!$E$11+(1-Inputs!$E$11)/MAX(1,Inputs!$E$10)*(AX8*(AX$4-1)*1+AX8*(AX8-1)/2)+1-AX8)/1)</f>
        <v>1</v>
      </c>
      <c r="AY9" s="74" t="n">
        <f aca="false">IF(Inputs!$E$10&lt;=0,1,(AY8*Inputs!$E$11+(1-Inputs!$E$11)/MAX(1,Inputs!$E$10)*(AY8*(AY$4-1)*1+AY8*(AY8-1)/2)+1-AY8)/1)</f>
        <v>1</v>
      </c>
      <c r="AZ9" s="74" t="n">
        <f aca="false">IF(Inputs!$E$10&lt;=0,1,(AZ8*Inputs!$E$11+(1-Inputs!$E$11)/MAX(1,Inputs!$E$10)*(AZ8*(AZ$4-1)*1+AZ8*(AZ8-1)/2)+1-AZ8)/1)</f>
        <v>1</v>
      </c>
      <c r="BA9" s="74" t="n">
        <f aca="false">IF(Inputs!$E$10&lt;=0,1,(BA8*Inputs!$E$11+(1-Inputs!$E$11)/MAX(1,Inputs!$E$10)*(BA8*(BA$4-1)*1+BA8*(BA8-1)/2)+1-BA8)/1)</f>
        <v>1</v>
      </c>
      <c r="BB9" s="74" t="n">
        <f aca="false">IF(Inputs!$E$10&lt;=0,1,(BB8*Inputs!$E$11+(1-Inputs!$E$11)/MAX(1,Inputs!$E$10)*(BB8*(BB$4-1)*1+BB8*(BB8-1)/2)+1-BB8)/1)</f>
        <v>1</v>
      </c>
      <c r="BC9" s="74" t="n">
        <f aca="false">IF(Inputs!$E$10&lt;=0,1,(BC8*Inputs!$E$11+(1-Inputs!$E$11)/MAX(1,Inputs!$E$10)*(BC8*(BC$4-1)*1+BC8*(BC8-1)/2)+1-BC8)/1)</f>
        <v>1</v>
      </c>
      <c r="BD9" s="74" t="n">
        <f aca="false">IF(Inputs!$E$10&lt;=0,1,(BD8*Inputs!$E$11+(1-Inputs!$E$11)/MAX(1,Inputs!$E$10)*(BD8*(BD$4-1)*1+BD8*(BD8-1)/2)+1-BD8)/1)</f>
        <v>1</v>
      </c>
      <c r="BE9" s="74" t="n">
        <f aca="false">IF(Inputs!$E$10&lt;=0,1,(BE8*Inputs!$E$11+(1-Inputs!$E$11)/MAX(1,Inputs!$E$10)*(BE8*(BE$4-1)*1+BE8*(BE8-1)/2)+1-BE8)/1)</f>
        <v>1</v>
      </c>
      <c r="BF9" s="74" t="n">
        <f aca="false">IF(Inputs!$E$10&lt;=0,1,(BF8*Inputs!$E$11+(1-Inputs!$E$11)/MAX(1,Inputs!$E$10)*(BF8*(BF$4-1)*1+BF8*(BF8-1)/2)+1-BF8)/1)</f>
        <v>1</v>
      </c>
      <c r="BG9" s="74" t="n">
        <f aca="false">IF(Inputs!$E$10&lt;=0,1,(BG8*Inputs!$E$11+(1-Inputs!$E$11)/MAX(1,Inputs!$E$10)*(BG8*(BG$4-1)*1+BG8*(BG8-1)/2)+1-BG8)/1)</f>
        <v>1</v>
      </c>
      <c r="BH9" s="74" t="n">
        <f aca="false">IF(Inputs!$E$10&lt;=0,1,(BH8*Inputs!$E$11+(1-Inputs!$E$11)/MAX(1,Inputs!$E$10)*(BH8*(BH$4-1)*1+BH8*(BH8-1)/2)+1-BH8)/1)</f>
        <v>1</v>
      </c>
      <c r="BI9" s="74" t="n">
        <f aca="false">IF(Inputs!$E$10&lt;=0,1,(BI8*Inputs!$E$11+(1-Inputs!$E$11)/MAX(1,Inputs!$E$10)*(BI8*(BI$4-1)*1+BI8*(BI8-1)/2)+1-BI8)/1)</f>
        <v>1</v>
      </c>
      <c r="BJ9" s="74" t="n">
        <f aca="false">IF(Inputs!$E$10&lt;=0,1,(BJ8*Inputs!$E$11+(1-Inputs!$E$11)/MAX(1,Inputs!$E$10)*(BJ8*(BJ$4-1)*1+BJ8*(BJ8-1)/2)+1-BJ8)/1)</f>
        <v>1</v>
      </c>
    </row>
    <row r="10" customFormat="false" ht="15" hidden="false" customHeight="false" outlineLevel="0" collapsed="false">
      <c r="A10" s="6" t="s">
        <v>409</v>
      </c>
      <c r="C10" s="77" t="n">
        <f aca="false">IF(AND(MOD(C$4-1,12)&gt;=5,MOD(C$4-1,12)&lt;=7),1+Inputs!$E$12,1-Inputs!$E$12/3)</f>
        <v>0.916666666666667</v>
      </c>
      <c r="D10" s="77" t="n">
        <f aca="false">IF(AND(MOD(D$4-1,12)&gt;=5,MOD(D$4-1,12)&lt;=7),1+Inputs!$E$12,1-Inputs!$E$12/3)</f>
        <v>0.916666666666667</v>
      </c>
      <c r="E10" s="77" t="n">
        <f aca="false">IF(AND(MOD(E$4-1,12)&gt;=5,MOD(E$4-1,12)&lt;=7),1+Inputs!$E$12,1-Inputs!$E$12/3)</f>
        <v>0.916666666666667</v>
      </c>
      <c r="F10" s="77" t="n">
        <f aca="false">IF(AND(MOD(F$4-1,12)&gt;=5,MOD(F$4-1,12)&lt;=7),1+Inputs!$E$12,1-Inputs!$E$12/3)</f>
        <v>0.916666666666667</v>
      </c>
      <c r="G10" s="77" t="n">
        <f aca="false">IF(AND(MOD(G$4-1,12)&gt;=5,MOD(G$4-1,12)&lt;=7),1+Inputs!$E$12,1-Inputs!$E$12/3)</f>
        <v>0.916666666666667</v>
      </c>
      <c r="H10" s="77" t="n">
        <f aca="false">IF(AND(MOD(H$4-1,12)&gt;=5,MOD(H$4-1,12)&lt;=7),1+Inputs!$E$12,1-Inputs!$E$12/3)</f>
        <v>1.25</v>
      </c>
      <c r="I10" s="77" t="n">
        <f aca="false">IF(AND(MOD(I$4-1,12)&gt;=5,MOD(I$4-1,12)&lt;=7),1+Inputs!$E$12,1-Inputs!$E$12/3)</f>
        <v>1.25</v>
      </c>
      <c r="J10" s="77" t="n">
        <f aca="false">IF(AND(MOD(J$4-1,12)&gt;=5,MOD(J$4-1,12)&lt;=7),1+Inputs!$E$12,1-Inputs!$E$12/3)</f>
        <v>1.25</v>
      </c>
      <c r="K10" s="77" t="n">
        <f aca="false">IF(AND(MOD(K$4-1,12)&gt;=5,MOD(K$4-1,12)&lt;=7),1+Inputs!$E$12,1-Inputs!$E$12/3)</f>
        <v>0.916666666666667</v>
      </c>
      <c r="L10" s="77" t="n">
        <f aca="false">IF(AND(MOD(L$4-1,12)&gt;=5,MOD(L$4-1,12)&lt;=7),1+Inputs!$E$12,1-Inputs!$E$12/3)</f>
        <v>0.916666666666667</v>
      </c>
      <c r="M10" s="77" t="n">
        <f aca="false">IF(AND(MOD(M$4-1,12)&gt;=5,MOD(M$4-1,12)&lt;=7),1+Inputs!$E$12,1-Inputs!$E$12/3)</f>
        <v>0.916666666666667</v>
      </c>
      <c r="N10" s="77" t="n">
        <f aca="false">IF(AND(MOD(N$4-1,12)&gt;=5,MOD(N$4-1,12)&lt;=7),1+Inputs!$E$12,1-Inputs!$E$12/3)</f>
        <v>0.916666666666667</v>
      </c>
      <c r="O10" s="77" t="n">
        <f aca="false">IF(AND(MOD(O$4-1,12)&gt;=5,MOD(O$4-1,12)&lt;=7),1+Inputs!$E$12,1-Inputs!$E$12/3)</f>
        <v>0.916666666666667</v>
      </c>
      <c r="P10" s="77" t="n">
        <f aca="false">IF(AND(MOD(P$4-1,12)&gt;=5,MOD(P$4-1,12)&lt;=7),1+Inputs!$E$12,1-Inputs!$E$12/3)</f>
        <v>0.916666666666667</v>
      </c>
      <c r="Q10" s="77" t="n">
        <f aca="false">IF(AND(MOD(Q$4-1,12)&gt;=5,MOD(Q$4-1,12)&lt;=7),1+Inputs!$E$12,1-Inputs!$E$12/3)</f>
        <v>0.916666666666667</v>
      </c>
      <c r="R10" s="77" t="n">
        <f aca="false">IF(AND(MOD(R$4-1,12)&gt;=5,MOD(R$4-1,12)&lt;=7),1+Inputs!$E$12,1-Inputs!$E$12/3)</f>
        <v>0.916666666666667</v>
      </c>
      <c r="S10" s="77" t="n">
        <f aca="false">IF(AND(MOD(S$4-1,12)&gt;=5,MOD(S$4-1,12)&lt;=7),1+Inputs!$E$12,1-Inputs!$E$12/3)</f>
        <v>0.916666666666667</v>
      </c>
      <c r="T10" s="77" t="n">
        <f aca="false">IF(AND(MOD(T$4-1,12)&gt;=5,MOD(T$4-1,12)&lt;=7),1+Inputs!$E$12,1-Inputs!$E$12/3)</f>
        <v>1.25</v>
      </c>
      <c r="U10" s="77" t="n">
        <f aca="false">IF(AND(MOD(U$4-1,12)&gt;=5,MOD(U$4-1,12)&lt;=7),1+Inputs!$E$12,1-Inputs!$E$12/3)</f>
        <v>1.25</v>
      </c>
      <c r="V10" s="77" t="n">
        <f aca="false">IF(AND(MOD(V$4-1,12)&gt;=5,MOD(V$4-1,12)&lt;=7),1+Inputs!$E$12,1-Inputs!$E$12/3)</f>
        <v>1.25</v>
      </c>
      <c r="W10" s="77" t="n">
        <f aca="false">IF(AND(MOD(W$4-1,12)&gt;=5,MOD(W$4-1,12)&lt;=7),1+Inputs!$E$12,1-Inputs!$E$12/3)</f>
        <v>0.916666666666667</v>
      </c>
      <c r="X10" s="77" t="n">
        <f aca="false">IF(AND(MOD(X$4-1,12)&gt;=5,MOD(X$4-1,12)&lt;=7),1+Inputs!$E$12,1-Inputs!$E$12/3)</f>
        <v>0.916666666666667</v>
      </c>
      <c r="Y10" s="77" t="n">
        <f aca="false">IF(AND(MOD(Y$4-1,12)&gt;=5,MOD(Y$4-1,12)&lt;=7),1+Inputs!$E$12,1-Inputs!$E$12/3)</f>
        <v>0.916666666666667</v>
      </c>
      <c r="Z10" s="77" t="n">
        <f aca="false">IF(AND(MOD(Z$4-1,12)&gt;=5,MOD(Z$4-1,12)&lt;=7),1+Inputs!$E$12,1-Inputs!$E$12/3)</f>
        <v>0.916666666666667</v>
      </c>
      <c r="AA10" s="77" t="n">
        <f aca="false">IF(AND(MOD(AA$4-1,12)&gt;=5,MOD(AA$4-1,12)&lt;=7),1+Inputs!$E$12,1-Inputs!$E$12/3)</f>
        <v>0.916666666666667</v>
      </c>
      <c r="AB10" s="77" t="n">
        <f aca="false">IF(AND(MOD(AB$4-1,12)&gt;=5,MOD(AB$4-1,12)&lt;=7),1+Inputs!$E$12,1-Inputs!$E$12/3)</f>
        <v>0.916666666666667</v>
      </c>
      <c r="AC10" s="77" t="n">
        <f aca="false">IF(AND(MOD(AC$4-1,12)&gt;=5,MOD(AC$4-1,12)&lt;=7),1+Inputs!$E$12,1-Inputs!$E$12/3)</f>
        <v>0.916666666666667</v>
      </c>
      <c r="AD10" s="77" t="n">
        <f aca="false">IF(AND(MOD(AD$4-1,12)&gt;=5,MOD(AD$4-1,12)&lt;=7),1+Inputs!$E$12,1-Inputs!$E$12/3)</f>
        <v>0.916666666666667</v>
      </c>
      <c r="AE10" s="77" t="n">
        <f aca="false">IF(AND(MOD(AE$4-1,12)&gt;=5,MOD(AE$4-1,12)&lt;=7),1+Inputs!$E$12,1-Inputs!$E$12/3)</f>
        <v>0.916666666666667</v>
      </c>
      <c r="AF10" s="77" t="n">
        <f aca="false">IF(AND(MOD(AF$4-1,12)&gt;=5,MOD(AF$4-1,12)&lt;=7),1+Inputs!$E$12,1-Inputs!$E$12/3)</f>
        <v>1.25</v>
      </c>
      <c r="AG10" s="77" t="n">
        <f aca="false">IF(AND(MOD(AG$4-1,12)&gt;=5,MOD(AG$4-1,12)&lt;=7),1+Inputs!$E$12,1-Inputs!$E$12/3)</f>
        <v>1.25</v>
      </c>
      <c r="AH10" s="77" t="n">
        <f aca="false">IF(AND(MOD(AH$4-1,12)&gt;=5,MOD(AH$4-1,12)&lt;=7),1+Inputs!$E$12,1-Inputs!$E$12/3)</f>
        <v>1.25</v>
      </c>
      <c r="AI10" s="77" t="n">
        <f aca="false">IF(AND(MOD(AI$4-1,12)&gt;=5,MOD(AI$4-1,12)&lt;=7),1+Inputs!$E$12,1-Inputs!$E$12/3)</f>
        <v>0.916666666666667</v>
      </c>
      <c r="AJ10" s="77" t="n">
        <f aca="false">IF(AND(MOD(AJ$4-1,12)&gt;=5,MOD(AJ$4-1,12)&lt;=7),1+Inputs!$E$12,1-Inputs!$E$12/3)</f>
        <v>0.916666666666667</v>
      </c>
      <c r="AK10" s="77" t="n">
        <f aca="false">IF(AND(MOD(AK$4-1,12)&gt;=5,MOD(AK$4-1,12)&lt;=7),1+Inputs!$E$12,1-Inputs!$E$12/3)</f>
        <v>0.916666666666667</v>
      </c>
      <c r="AL10" s="77" t="n">
        <f aca="false">IF(AND(MOD(AL$4-1,12)&gt;=5,MOD(AL$4-1,12)&lt;=7),1+Inputs!$E$12,1-Inputs!$E$12/3)</f>
        <v>0.916666666666667</v>
      </c>
      <c r="AM10" s="77" t="n">
        <f aca="false">IF(AND(MOD(AM$4-1,12)&gt;=5,MOD(AM$4-1,12)&lt;=7),1+Inputs!$E$12,1-Inputs!$E$12/3)</f>
        <v>0.916666666666667</v>
      </c>
      <c r="AN10" s="77" t="n">
        <f aca="false">IF(AND(MOD(AN$4-1,12)&gt;=5,MOD(AN$4-1,12)&lt;=7),1+Inputs!$E$12,1-Inputs!$E$12/3)</f>
        <v>0.916666666666667</v>
      </c>
      <c r="AO10" s="77" t="n">
        <f aca="false">IF(AND(MOD(AO$4-1,12)&gt;=5,MOD(AO$4-1,12)&lt;=7),1+Inputs!$E$12,1-Inputs!$E$12/3)</f>
        <v>0.916666666666667</v>
      </c>
      <c r="AP10" s="77" t="n">
        <f aca="false">IF(AND(MOD(AP$4-1,12)&gt;=5,MOD(AP$4-1,12)&lt;=7),1+Inputs!$E$12,1-Inputs!$E$12/3)</f>
        <v>0.916666666666667</v>
      </c>
      <c r="AQ10" s="77" t="n">
        <f aca="false">IF(AND(MOD(AQ$4-1,12)&gt;=5,MOD(AQ$4-1,12)&lt;=7),1+Inputs!$E$12,1-Inputs!$E$12/3)</f>
        <v>0.916666666666667</v>
      </c>
      <c r="AR10" s="77" t="n">
        <f aca="false">IF(AND(MOD(AR$4-1,12)&gt;=5,MOD(AR$4-1,12)&lt;=7),1+Inputs!$E$12,1-Inputs!$E$12/3)</f>
        <v>1.25</v>
      </c>
      <c r="AS10" s="77" t="n">
        <f aca="false">IF(AND(MOD(AS$4-1,12)&gt;=5,MOD(AS$4-1,12)&lt;=7),1+Inputs!$E$12,1-Inputs!$E$12/3)</f>
        <v>1.25</v>
      </c>
      <c r="AT10" s="77" t="n">
        <f aca="false">IF(AND(MOD(AT$4-1,12)&gt;=5,MOD(AT$4-1,12)&lt;=7),1+Inputs!$E$12,1-Inputs!$E$12/3)</f>
        <v>1.25</v>
      </c>
      <c r="AU10" s="77" t="n">
        <f aca="false">IF(AND(MOD(AU$4-1,12)&gt;=5,MOD(AU$4-1,12)&lt;=7),1+Inputs!$E$12,1-Inputs!$E$12/3)</f>
        <v>0.916666666666667</v>
      </c>
      <c r="AV10" s="77" t="n">
        <f aca="false">IF(AND(MOD(AV$4-1,12)&gt;=5,MOD(AV$4-1,12)&lt;=7),1+Inputs!$E$12,1-Inputs!$E$12/3)</f>
        <v>0.916666666666667</v>
      </c>
      <c r="AW10" s="77" t="n">
        <f aca="false">IF(AND(MOD(AW$4-1,12)&gt;=5,MOD(AW$4-1,12)&lt;=7),1+Inputs!$E$12,1-Inputs!$E$12/3)</f>
        <v>0.916666666666667</v>
      </c>
      <c r="AX10" s="77" t="n">
        <f aca="false">IF(AND(MOD(AX$4-1,12)&gt;=5,MOD(AX$4-1,12)&lt;=7),1+Inputs!$E$12,1-Inputs!$E$12/3)</f>
        <v>0.916666666666667</v>
      </c>
      <c r="AY10" s="77" t="n">
        <f aca="false">IF(AND(MOD(AY$4-1,12)&gt;=5,MOD(AY$4-1,12)&lt;=7),1+Inputs!$E$12,1-Inputs!$E$12/3)</f>
        <v>0.916666666666667</v>
      </c>
      <c r="AZ10" s="77" t="n">
        <f aca="false">IF(AND(MOD(AZ$4-1,12)&gt;=5,MOD(AZ$4-1,12)&lt;=7),1+Inputs!$E$12,1-Inputs!$E$12/3)</f>
        <v>0.916666666666667</v>
      </c>
      <c r="BA10" s="77" t="n">
        <f aca="false">IF(AND(MOD(BA$4-1,12)&gt;=5,MOD(BA$4-1,12)&lt;=7),1+Inputs!$E$12,1-Inputs!$E$12/3)</f>
        <v>0.916666666666667</v>
      </c>
      <c r="BB10" s="77" t="n">
        <f aca="false">IF(AND(MOD(BB$4-1,12)&gt;=5,MOD(BB$4-1,12)&lt;=7),1+Inputs!$E$12,1-Inputs!$E$12/3)</f>
        <v>0.916666666666667</v>
      </c>
      <c r="BC10" s="77" t="n">
        <f aca="false">IF(AND(MOD(BC$4-1,12)&gt;=5,MOD(BC$4-1,12)&lt;=7),1+Inputs!$E$12,1-Inputs!$E$12/3)</f>
        <v>0.916666666666667</v>
      </c>
      <c r="BD10" s="77" t="n">
        <f aca="false">IF(AND(MOD(BD$4-1,12)&gt;=5,MOD(BD$4-1,12)&lt;=7),1+Inputs!$E$12,1-Inputs!$E$12/3)</f>
        <v>1.25</v>
      </c>
      <c r="BE10" s="77" t="n">
        <f aca="false">IF(AND(MOD(BE$4-1,12)&gt;=5,MOD(BE$4-1,12)&lt;=7),1+Inputs!$E$12,1-Inputs!$E$12/3)</f>
        <v>1.25</v>
      </c>
      <c r="BF10" s="77" t="n">
        <f aca="false">IF(AND(MOD(BF$4-1,12)&gt;=5,MOD(BF$4-1,12)&lt;=7),1+Inputs!$E$12,1-Inputs!$E$12/3)</f>
        <v>1.25</v>
      </c>
      <c r="BG10" s="77" t="n">
        <f aca="false">IF(AND(MOD(BG$4-1,12)&gt;=5,MOD(BG$4-1,12)&lt;=7),1+Inputs!$E$12,1-Inputs!$E$12/3)</f>
        <v>0.916666666666667</v>
      </c>
      <c r="BH10" s="77" t="n">
        <f aca="false">IF(AND(MOD(BH$4-1,12)&gt;=5,MOD(BH$4-1,12)&lt;=7),1+Inputs!$E$12,1-Inputs!$E$12/3)</f>
        <v>0.916666666666667</v>
      </c>
      <c r="BI10" s="77" t="n">
        <f aca="false">IF(AND(MOD(BI$4-1,12)&gt;=5,MOD(BI$4-1,12)&lt;=7),1+Inputs!$E$12,1-Inputs!$E$12/3)</f>
        <v>0.916666666666667</v>
      </c>
      <c r="BJ10" s="77" t="n">
        <f aca="false">IF(AND(MOD(BJ$4-1,12)&gt;=5,MOD(BJ$4-1,12)&lt;=7),1+Inputs!$E$12,1-Inputs!$E$12/3)</f>
        <v>0.916666666666667</v>
      </c>
    </row>
    <row r="11" customFormat="false" ht="15" hidden="false" customHeight="false" outlineLevel="0" collapsed="false">
      <c r="A11" s="6" t="s">
        <v>410</v>
      </c>
      <c r="C11" s="116" t="n">
        <f aca="false">Inputs!$E$7*Inputs!$E$13*1</f>
        <v>304</v>
      </c>
      <c r="D11" s="116" t="n">
        <f aca="false">Inputs!$E$7*Inputs!$E$13*1</f>
        <v>304</v>
      </c>
      <c r="E11" s="116" t="n">
        <f aca="false">Inputs!$E$7*Inputs!$E$13*1</f>
        <v>304</v>
      </c>
      <c r="F11" s="116" t="n">
        <f aca="false">Inputs!$E$7*Inputs!$E$13*1</f>
        <v>304</v>
      </c>
      <c r="G11" s="116" t="n">
        <f aca="false">Inputs!$E$7*Inputs!$E$13*1</f>
        <v>304</v>
      </c>
      <c r="H11" s="116" t="n">
        <f aca="false">Inputs!$E$7*Inputs!$E$13*1</f>
        <v>304</v>
      </c>
      <c r="I11" s="116" t="n">
        <f aca="false">Inputs!$E$7*Inputs!$E$13*1</f>
        <v>304</v>
      </c>
      <c r="J11" s="116" t="n">
        <f aca="false">Inputs!$E$7*Inputs!$E$13*1</f>
        <v>304</v>
      </c>
      <c r="K11" s="116" t="n">
        <f aca="false">Inputs!$E$7*Inputs!$E$13*1</f>
        <v>304</v>
      </c>
      <c r="L11" s="116" t="n">
        <f aca="false">Inputs!$E$7*Inputs!$E$13*1</f>
        <v>304</v>
      </c>
      <c r="M11" s="116" t="n">
        <f aca="false">Inputs!$E$7*Inputs!$E$13*1</f>
        <v>304</v>
      </c>
      <c r="N11" s="116" t="n">
        <f aca="false">Inputs!$E$7*Inputs!$E$13*1</f>
        <v>304</v>
      </c>
      <c r="O11" s="116" t="n">
        <f aca="false">Inputs!$E$7*Inputs!$E$13*1</f>
        <v>304</v>
      </c>
      <c r="P11" s="116" t="n">
        <f aca="false">Inputs!$E$7*Inputs!$E$13*1</f>
        <v>304</v>
      </c>
      <c r="Q11" s="116" t="n">
        <f aca="false">Inputs!$E$7*Inputs!$E$13*1</f>
        <v>304</v>
      </c>
      <c r="R11" s="116" t="n">
        <f aca="false">Inputs!$E$7*Inputs!$E$13*1</f>
        <v>304</v>
      </c>
      <c r="S11" s="116" t="n">
        <f aca="false">Inputs!$E$7*Inputs!$E$13*1</f>
        <v>304</v>
      </c>
      <c r="T11" s="116" t="n">
        <f aca="false">Inputs!$E$7*Inputs!$E$13*1</f>
        <v>304</v>
      </c>
      <c r="U11" s="116" t="n">
        <f aca="false">Inputs!$E$7*Inputs!$E$13*1</f>
        <v>304</v>
      </c>
      <c r="V11" s="116" t="n">
        <f aca="false">Inputs!$E$7*Inputs!$E$13*1</f>
        <v>304</v>
      </c>
      <c r="W11" s="116" t="n">
        <f aca="false">Inputs!$E$7*Inputs!$E$13*1</f>
        <v>304</v>
      </c>
      <c r="X11" s="116" t="n">
        <f aca="false">Inputs!$E$7*Inputs!$E$13*1</f>
        <v>304</v>
      </c>
      <c r="Y11" s="116" t="n">
        <f aca="false">Inputs!$E$7*Inputs!$E$13*1</f>
        <v>304</v>
      </c>
      <c r="Z11" s="116" t="n">
        <f aca="false">Inputs!$E$7*Inputs!$E$13*1</f>
        <v>304</v>
      </c>
      <c r="AA11" s="116" t="n">
        <f aca="false">Inputs!$E$7*Inputs!$E$13*1</f>
        <v>304</v>
      </c>
      <c r="AB11" s="116" t="n">
        <f aca="false">Inputs!$E$7*Inputs!$E$13*1</f>
        <v>304</v>
      </c>
      <c r="AC11" s="116" t="n">
        <f aca="false">Inputs!$E$7*Inputs!$E$13*1</f>
        <v>304</v>
      </c>
      <c r="AD11" s="116" t="n">
        <f aca="false">Inputs!$E$7*Inputs!$E$13*1</f>
        <v>304</v>
      </c>
      <c r="AE11" s="116" t="n">
        <f aca="false">Inputs!$E$7*Inputs!$E$13*1</f>
        <v>304</v>
      </c>
      <c r="AF11" s="116" t="n">
        <f aca="false">Inputs!$E$7*Inputs!$E$13*1</f>
        <v>304</v>
      </c>
      <c r="AG11" s="116" t="n">
        <f aca="false">Inputs!$E$7*Inputs!$E$13*1</f>
        <v>304</v>
      </c>
      <c r="AH11" s="116" t="n">
        <f aca="false">Inputs!$E$7*Inputs!$E$13*1</f>
        <v>304</v>
      </c>
      <c r="AI11" s="116" t="n">
        <f aca="false">Inputs!$E$7*Inputs!$E$13*1</f>
        <v>304</v>
      </c>
      <c r="AJ11" s="116" t="n">
        <f aca="false">Inputs!$E$7*Inputs!$E$13*1</f>
        <v>304</v>
      </c>
      <c r="AK11" s="116" t="n">
        <f aca="false">Inputs!$E$7*Inputs!$E$13*1</f>
        <v>304</v>
      </c>
      <c r="AL11" s="116" t="n">
        <f aca="false">Inputs!$E$7*Inputs!$E$13*1</f>
        <v>304</v>
      </c>
      <c r="AM11" s="116" t="n">
        <f aca="false">Inputs!$E$7*Inputs!$E$13*1</f>
        <v>304</v>
      </c>
      <c r="AN11" s="116" t="n">
        <f aca="false">Inputs!$E$7*Inputs!$E$13*1</f>
        <v>304</v>
      </c>
      <c r="AO11" s="116" t="n">
        <f aca="false">Inputs!$E$7*Inputs!$E$13*1</f>
        <v>304</v>
      </c>
      <c r="AP11" s="116" t="n">
        <f aca="false">Inputs!$E$7*Inputs!$E$13*1</f>
        <v>304</v>
      </c>
      <c r="AQ11" s="116" t="n">
        <f aca="false">Inputs!$E$7*Inputs!$E$13*1</f>
        <v>304</v>
      </c>
      <c r="AR11" s="116" t="n">
        <f aca="false">Inputs!$E$7*Inputs!$E$13*1</f>
        <v>304</v>
      </c>
      <c r="AS11" s="116" t="n">
        <f aca="false">Inputs!$E$7*Inputs!$E$13*1</f>
        <v>304</v>
      </c>
      <c r="AT11" s="116" t="n">
        <f aca="false">Inputs!$E$7*Inputs!$E$13*1</f>
        <v>304</v>
      </c>
      <c r="AU11" s="116" t="n">
        <f aca="false">Inputs!$E$7*Inputs!$E$13*1</f>
        <v>304</v>
      </c>
      <c r="AV11" s="116" t="n">
        <f aca="false">Inputs!$E$7*Inputs!$E$13*1</f>
        <v>304</v>
      </c>
      <c r="AW11" s="116" t="n">
        <f aca="false">Inputs!$E$7*Inputs!$E$13*1</f>
        <v>304</v>
      </c>
      <c r="AX11" s="116" t="n">
        <f aca="false">Inputs!$E$7*Inputs!$E$13*1</f>
        <v>304</v>
      </c>
      <c r="AY11" s="116" t="n">
        <f aca="false">Inputs!$E$7*Inputs!$E$13*1</f>
        <v>304</v>
      </c>
      <c r="AZ11" s="116" t="n">
        <f aca="false">Inputs!$E$7*Inputs!$E$13*1</f>
        <v>304</v>
      </c>
      <c r="BA11" s="116" t="n">
        <f aca="false">Inputs!$E$7*Inputs!$E$13*1</f>
        <v>304</v>
      </c>
      <c r="BB11" s="116" t="n">
        <f aca="false">Inputs!$E$7*Inputs!$E$13*1</f>
        <v>304</v>
      </c>
      <c r="BC11" s="116" t="n">
        <f aca="false">Inputs!$E$7*Inputs!$E$13*1</f>
        <v>304</v>
      </c>
      <c r="BD11" s="116" t="n">
        <f aca="false">Inputs!$E$7*Inputs!$E$13*1</f>
        <v>304</v>
      </c>
      <c r="BE11" s="116" t="n">
        <f aca="false">Inputs!$E$7*Inputs!$E$13*1</f>
        <v>304</v>
      </c>
      <c r="BF11" s="116" t="n">
        <f aca="false">Inputs!$E$7*Inputs!$E$13*1</f>
        <v>304</v>
      </c>
      <c r="BG11" s="116" t="n">
        <f aca="false">Inputs!$E$7*Inputs!$E$13*1</f>
        <v>304</v>
      </c>
      <c r="BH11" s="116" t="n">
        <f aca="false">Inputs!$E$7*Inputs!$E$13*1</f>
        <v>304</v>
      </c>
      <c r="BI11" s="116" t="n">
        <f aca="false">Inputs!$E$7*Inputs!$E$13*1</f>
        <v>304</v>
      </c>
      <c r="BJ11" s="116" t="n">
        <f aca="false">Inputs!$E$7*Inputs!$E$13*1</f>
        <v>304</v>
      </c>
    </row>
    <row r="12" customFormat="false" ht="15" hidden="false" customHeight="false" outlineLevel="0" collapsed="false">
      <c r="A12" s="38" t="s">
        <v>411</v>
      </c>
      <c r="C12" s="74" t="n">
        <f aca="false">MIN(1,Inputs!$E$8*(1+Inputs!$E$9)^(C$5-1)*C9*C10)</f>
        <v>0.227333333333333</v>
      </c>
      <c r="D12" s="74" t="n">
        <f aca="false">MIN(1,Inputs!$E$8*(1+Inputs!$E$9)^(D$5-1)*D9*D10)</f>
        <v>0.261433333333333</v>
      </c>
      <c r="E12" s="74" t="n">
        <f aca="false">MIN(1,Inputs!$E$8*(1+Inputs!$E$9)^(E$5-1)*E9*E10)</f>
        <v>0.295533333333333</v>
      </c>
      <c r="F12" s="74" t="n">
        <f aca="false">MIN(1,Inputs!$E$8*(1+Inputs!$E$9)^(F$5-1)*F9*F10)</f>
        <v>0.329633333333333</v>
      </c>
      <c r="G12" s="74" t="n">
        <f aca="false">MIN(1,Inputs!$E$8*(1+Inputs!$E$9)^(G$5-1)*G9*G10)</f>
        <v>0.363733333333333</v>
      </c>
      <c r="H12" s="74" t="n">
        <f aca="false">MIN(1,Inputs!$E$8*(1+Inputs!$E$9)^(H$5-1)*H9*H10)</f>
        <v>0.5425</v>
      </c>
      <c r="I12" s="74" t="n">
        <f aca="false">MIN(1,Inputs!$E$8*(1+Inputs!$E$9)^(I$5-1)*I9*I10)</f>
        <v>0.589</v>
      </c>
      <c r="J12" s="74" t="n">
        <f aca="false">MIN(1,Inputs!$E$8*(1+Inputs!$E$9)^(J$5-1)*J9*J10)</f>
        <v>0.6355</v>
      </c>
      <c r="K12" s="74" t="n">
        <f aca="false">MIN(1,Inputs!$E$8*(1+Inputs!$E$9)^(K$5-1)*K9*K10)</f>
        <v>0.500133333333333</v>
      </c>
      <c r="L12" s="74" t="n">
        <f aca="false">MIN(1,Inputs!$E$8*(1+Inputs!$E$9)^(L$5-1)*L9*L10)</f>
        <v>0.534233333333333</v>
      </c>
      <c r="M12" s="74" t="n">
        <f aca="false">MIN(1,Inputs!$E$8*(1+Inputs!$E$9)^(M$5-1)*M9*M10)</f>
        <v>0.568333333333333</v>
      </c>
      <c r="N12" s="74" t="n">
        <f aca="false">MIN(1,Inputs!$E$8*(1+Inputs!$E$9)^(N$5-1)*N9*N10)</f>
        <v>0.568333333333333</v>
      </c>
      <c r="O12" s="74" t="n">
        <f aca="false">MIN(1,Inputs!$E$8*(1+Inputs!$E$9)^(O$5-1)*O9*O10)</f>
        <v>0.5797</v>
      </c>
      <c r="P12" s="74" t="n">
        <f aca="false">MIN(1,Inputs!$E$8*(1+Inputs!$E$9)^(P$5-1)*P9*P10)</f>
        <v>0.5797</v>
      </c>
      <c r="Q12" s="74" t="n">
        <f aca="false">MIN(1,Inputs!$E$8*(1+Inputs!$E$9)^(Q$5-1)*Q9*Q10)</f>
        <v>0.5797</v>
      </c>
      <c r="R12" s="74" t="n">
        <f aca="false">MIN(1,Inputs!$E$8*(1+Inputs!$E$9)^(R$5-1)*R9*R10)</f>
        <v>0.5797</v>
      </c>
      <c r="S12" s="74" t="n">
        <f aca="false">MIN(1,Inputs!$E$8*(1+Inputs!$E$9)^(S$5-1)*S9*S10)</f>
        <v>0.5797</v>
      </c>
      <c r="T12" s="74" t="n">
        <f aca="false">MIN(1,Inputs!$E$8*(1+Inputs!$E$9)^(T$5-1)*T9*T10)</f>
        <v>0.7905</v>
      </c>
      <c r="U12" s="74" t="n">
        <f aca="false">MIN(1,Inputs!$E$8*(1+Inputs!$E$9)^(U$5-1)*U9*U10)</f>
        <v>0.7905</v>
      </c>
      <c r="V12" s="74" t="n">
        <f aca="false">MIN(1,Inputs!$E$8*(1+Inputs!$E$9)^(V$5-1)*V9*V10)</f>
        <v>0.7905</v>
      </c>
      <c r="W12" s="74" t="n">
        <f aca="false">MIN(1,Inputs!$E$8*(1+Inputs!$E$9)^(W$5-1)*W9*W10)</f>
        <v>0.5797</v>
      </c>
      <c r="X12" s="74" t="n">
        <f aca="false">MIN(1,Inputs!$E$8*(1+Inputs!$E$9)^(X$5-1)*X9*X10)</f>
        <v>0.5797</v>
      </c>
      <c r="Y12" s="74" t="n">
        <f aca="false">MIN(1,Inputs!$E$8*(1+Inputs!$E$9)^(Y$5-1)*Y9*Y10)</f>
        <v>0.5797</v>
      </c>
      <c r="Z12" s="74" t="n">
        <f aca="false">MIN(1,Inputs!$E$8*(1+Inputs!$E$9)^(Z$5-1)*Z9*Z10)</f>
        <v>0.5797</v>
      </c>
      <c r="AA12" s="74" t="n">
        <f aca="false">MIN(1,Inputs!$E$8*(1+Inputs!$E$9)^(AA$5-1)*AA9*AA10)</f>
        <v>0.591294</v>
      </c>
      <c r="AB12" s="74" t="n">
        <f aca="false">MIN(1,Inputs!$E$8*(1+Inputs!$E$9)^(AB$5-1)*AB9*AB10)</f>
        <v>0.591294</v>
      </c>
      <c r="AC12" s="74" t="n">
        <f aca="false">MIN(1,Inputs!$E$8*(1+Inputs!$E$9)^(AC$5-1)*AC9*AC10)</f>
        <v>0.591294</v>
      </c>
      <c r="AD12" s="74" t="n">
        <f aca="false">MIN(1,Inputs!$E$8*(1+Inputs!$E$9)^(AD$5-1)*AD9*AD10)</f>
        <v>0.591294</v>
      </c>
      <c r="AE12" s="74" t="n">
        <f aca="false">MIN(1,Inputs!$E$8*(1+Inputs!$E$9)^(AE$5-1)*AE9*AE10)</f>
        <v>0.591294</v>
      </c>
      <c r="AF12" s="74" t="n">
        <f aca="false">MIN(1,Inputs!$E$8*(1+Inputs!$E$9)^(AF$5-1)*AF9*AF10)</f>
        <v>0.80631</v>
      </c>
      <c r="AG12" s="74" t="n">
        <f aca="false">MIN(1,Inputs!$E$8*(1+Inputs!$E$9)^(AG$5-1)*AG9*AG10)</f>
        <v>0.80631</v>
      </c>
      <c r="AH12" s="74" t="n">
        <f aca="false">MIN(1,Inputs!$E$8*(1+Inputs!$E$9)^(AH$5-1)*AH9*AH10)</f>
        <v>0.80631</v>
      </c>
      <c r="AI12" s="74" t="n">
        <f aca="false">MIN(1,Inputs!$E$8*(1+Inputs!$E$9)^(AI$5-1)*AI9*AI10)</f>
        <v>0.591294</v>
      </c>
      <c r="AJ12" s="74" t="n">
        <f aca="false">MIN(1,Inputs!$E$8*(1+Inputs!$E$9)^(AJ$5-1)*AJ9*AJ10)</f>
        <v>0.591294</v>
      </c>
      <c r="AK12" s="74" t="n">
        <f aca="false">MIN(1,Inputs!$E$8*(1+Inputs!$E$9)^(AK$5-1)*AK9*AK10)</f>
        <v>0.591294</v>
      </c>
      <c r="AL12" s="74" t="n">
        <f aca="false">MIN(1,Inputs!$E$8*(1+Inputs!$E$9)^(AL$5-1)*AL9*AL10)</f>
        <v>0.591294</v>
      </c>
      <c r="AM12" s="74" t="n">
        <f aca="false">MIN(1,Inputs!$E$8*(1+Inputs!$E$9)^(AM$5-1)*AM9*AM10)</f>
        <v>0.60311988</v>
      </c>
      <c r="AN12" s="74" t="n">
        <f aca="false">MIN(1,Inputs!$E$8*(1+Inputs!$E$9)^(AN$5-1)*AN9*AN10)</f>
        <v>0.60311988</v>
      </c>
      <c r="AO12" s="74" t="n">
        <f aca="false">MIN(1,Inputs!$E$8*(1+Inputs!$E$9)^(AO$5-1)*AO9*AO10)</f>
        <v>0.60311988</v>
      </c>
      <c r="AP12" s="74" t="n">
        <f aca="false">MIN(1,Inputs!$E$8*(1+Inputs!$E$9)^(AP$5-1)*AP9*AP10)</f>
        <v>0.60311988</v>
      </c>
      <c r="AQ12" s="74" t="n">
        <f aca="false">MIN(1,Inputs!$E$8*(1+Inputs!$E$9)^(AQ$5-1)*AQ9*AQ10)</f>
        <v>0.60311988</v>
      </c>
      <c r="AR12" s="74" t="n">
        <f aca="false">MIN(1,Inputs!$E$8*(1+Inputs!$E$9)^(AR$5-1)*AR9*AR10)</f>
        <v>0.8224362</v>
      </c>
      <c r="AS12" s="74" t="n">
        <f aca="false">MIN(1,Inputs!$E$8*(1+Inputs!$E$9)^(AS$5-1)*AS9*AS10)</f>
        <v>0.8224362</v>
      </c>
      <c r="AT12" s="74" t="n">
        <f aca="false">MIN(1,Inputs!$E$8*(1+Inputs!$E$9)^(AT$5-1)*AT9*AT10)</f>
        <v>0.8224362</v>
      </c>
      <c r="AU12" s="74" t="n">
        <f aca="false">MIN(1,Inputs!$E$8*(1+Inputs!$E$9)^(AU$5-1)*AU9*AU10)</f>
        <v>0.60311988</v>
      </c>
      <c r="AV12" s="74" t="n">
        <f aca="false">MIN(1,Inputs!$E$8*(1+Inputs!$E$9)^(AV$5-1)*AV9*AV10)</f>
        <v>0.60311988</v>
      </c>
      <c r="AW12" s="74" t="n">
        <f aca="false">MIN(1,Inputs!$E$8*(1+Inputs!$E$9)^(AW$5-1)*AW9*AW10)</f>
        <v>0.60311988</v>
      </c>
      <c r="AX12" s="74" t="n">
        <f aca="false">MIN(1,Inputs!$E$8*(1+Inputs!$E$9)^(AX$5-1)*AX9*AX10)</f>
        <v>0.60311988</v>
      </c>
      <c r="AY12" s="74" t="n">
        <f aca="false">MIN(1,Inputs!$E$8*(1+Inputs!$E$9)^(AY$5-1)*AY9*AY10)</f>
        <v>0.6151822776</v>
      </c>
      <c r="AZ12" s="74" t="n">
        <f aca="false">MIN(1,Inputs!$E$8*(1+Inputs!$E$9)^(AZ$5-1)*AZ9*AZ10)</f>
        <v>0.6151822776</v>
      </c>
      <c r="BA12" s="74" t="n">
        <f aca="false">MIN(1,Inputs!$E$8*(1+Inputs!$E$9)^(BA$5-1)*BA9*BA10)</f>
        <v>0.6151822776</v>
      </c>
      <c r="BB12" s="74" t="n">
        <f aca="false">MIN(1,Inputs!$E$8*(1+Inputs!$E$9)^(BB$5-1)*BB9*BB10)</f>
        <v>0.6151822776</v>
      </c>
      <c r="BC12" s="74" t="n">
        <f aca="false">MIN(1,Inputs!$E$8*(1+Inputs!$E$9)^(BC$5-1)*BC9*BC10)</f>
        <v>0.6151822776</v>
      </c>
      <c r="BD12" s="74" t="n">
        <f aca="false">MIN(1,Inputs!$E$8*(1+Inputs!$E$9)^(BD$5-1)*BD9*BD10)</f>
        <v>0.838884924</v>
      </c>
      <c r="BE12" s="74" t="n">
        <f aca="false">MIN(1,Inputs!$E$8*(1+Inputs!$E$9)^(BE$5-1)*BE9*BE10)</f>
        <v>0.838884924</v>
      </c>
      <c r="BF12" s="74" t="n">
        <f aca="false">MIN(1,Inputs!$E$8*(1+Inputs!$E$9)^(BF$5-1)*BF9*BF10)</f>
        <v>0.838884924</v>
      </c>
      <c r="BG12" s="74" t="n">
        <f aca="false">MIN(1,Inputs!$E$8*(1+Inputs!$E$9)^(BG$5-1)*BG9*BG10)</f>
        <v>0.6151822776</v>
      </c>
      <c r="BH12" s="74" t="n">
        <f aca="false">MIN(1,Inputs!$E$8*(1+Inputs!$E$9)^(BH$5-1)*BH9*BH10)</f>
        <v>0.6151822776</v>
      </c>
      <c r="BI12" s="74" t="n">
        <f aca="false">MIN(1,Inputs!$E$8*(1+Inputs!$E$9)^(BI$5-1)*BI9*BI10)</f>
        <v>0.6151822776</v>
      </c>
      <c r="BJ12" s="74" t="n">
        <f aca="false">MIN(1,Inputs!$E$8*(1+Inputs!$E$9)^(BJ$5-1)*BJ9*BJ10)</f>
        <v>0.6151822776</v>
      </c>
    </row>
    <row r="13" customFormat="false" ht="15" hidden="false" customHeight="false" outlineLevel="0" collapsed="false">
      <c r="A13" s="4" t="s">
        <v>234</v>
      </c>
      <c r="C13" s="117" t="n">
        <f aca="false">C11*C12</f>
        <v>69.1093333333333</v>
      </c>
      <c r="D13" s="117" t="n">
        <f aca="false">D11*D12</f>
        <v>79.4757333333333</v>
      </c>
      <c r="E13" s="117" t="n">
        <f aca="false">E11*E12</f>
        <v>89.8421333333333</v>
      </c>
      <c r="F13" s="117" t="n">
        <f aca="false">F11*F12</f>
        <v>100.208533333333</v>
      </c>
      <c r="G13" s="117" t="n">
        <f aca="false">G11*G12</f>
        <v>110.574933333333</v>
      </c>
      <c r="H13" s="117" t="n">
        <f aca="false">H11*H12</f>
        <v>164.92</v>
      </c>
      <c r="I13" s="117" t="n">
        <f aca="false">I11*I12</f>
        <v>179.056</v>
      </c>
      <c r="J13" s="117" t="n">
        <f aca="false">J11*J12</f>
        <v>193.192</v>
      </c>
      <c r="K13" s="117" t="n">
        <f aca="false">K11*K12</f>
        <v>152.040533333333</v>
      </c>
      <c r="L13" s="117" t="n">
        <f aca="false">L11*L12</f>
        <v>162.406933333333</v>
      </c>
      <c r="M13" s="117" t="n">
        <f aca="false">M11*M12</f>
        <v>172.773333333333</v>
      </c>
      <c r="N13" s="117" t="n">
        <f aca="false">N11*N12</f>
        <v>172.773333333333</v>
      </c>
      <c r="O13" s="117" t="n">
        <f aca="false">O11*O12</f>
        <v>176.2288</v>
      </c>
      <c r="P13" s="117" t="n">
        <f aca="false">P11*P12</f>
        <v>176.2288</v>
      </c>
      <c r="Q13" s="117" t="n">
        <f aca="false">Q11*Q12</f>
        <v>176.2288</v>
      </c>
      <c r="R13" s="117" t="n">
        <f aca="false">R11*R12</f>
        <v>176.2288</v>
      </c>
      <c r="S13" s="117" t="n">
        <f aca="false">S11*S12</f>
        <v>176.2288</v>
      </c>
      <c r="T13" s="117" t="n">
        <f aca="false">T11*T12</f>
        <v>240.312</v>
      </c>
      <c r="U13" s="117" t="n">
        <f aca="false">U11*U12</f>
        <v>240.312</v>
      </c>
      <c r="V13" s="117" t="n">
        <f aca="false">V11*V12</f>
        <v>240.312</v>
      </c>
      <c r="W13" s="117" t="n">
        <f aca="false">W11*W12</f>
        <v>176.2288</v>
      </c>
      <c r="X13" s="117" t="n">
        <f aca="false">X11*X12</f>
        <v>176.2288</v>
      </c>
      <c r="Y13" s="117" t="n">
        <f aca="false">Y11*Y12</f>
        <v>176.2288</v>
      </c>
      <c r="Z13" s="117" t="n">
        <f aca="false">Z11*Z12</f>
        <v>176.2288</v>
      </c>
      <c r="AA13" s="117" t="n">
        <f aca="false">AA11*AA12</f>
        <v>179.753376</v>
      </c>
      <c r="AB13" s="117" t="n">
        <f aca="false">AB11*AB12</f>
        <v>179.753376</v>
      </c>
      <c r="AC13" s="117" t="n">
        <f aca="false">AC11*AC12</f>
        <v>179.753376</v>
      </c>
      <c r="AD13" s="117" t="n">
        <f aca="false">AD11*AD12</f>
        <v>179.753376</v>
      </c>
      <c r="AE13" s="117" t="n">
        <f aca="false">AE11*AE12</f>
        <v>179.753376</v>
      </c>
      <c r="AF13" s="117" t="n">
        <f aca="false">AF11*AF12</f>
        <v>245.11824</v>
      </c>
      <c r="AG13" s="117" t="n">
        <f aca="false">AG11*AG12</f>
        <v>245.11824</v>
      </c>
      <c r="AH13" s="117" t="n">
        <f aca="false">AH11*AH12</f>
        <v>245.11824</v>
      </c>
      <c r="AI13" s="117" t="n">
        <f aca="false">AI11*AI12</f>
        <v>179.753376</v>
      </c>
      <c r="AJ13" s="117" t="n">
        <f aca="false">AJ11*AJ12</f>
        <v>179.753376</v>
      </c>
      <c r="AK13" s="117" t="n">
        <f aca="false">AK11*AK12</f>
        <v>179.753376</v>
      </c>
      <c r="AL13" s="117" t="n">
        <f aca="false">AL11*AL12</f>
        <v>179.753376</v>
      </c>
      <c r="AM13" s="117" t="n">
        <f aca="false">AM11*AM12</f>
        <v>183.34844352</v>
      </c>
      <c r="AN13" s="117" t="n">
        <f aca="false">AN11*AN12</f>
        <v>183.34844352</v>
      </c>
      <c r="AO13" s="117" t="n">
        <f aca="false">AO11*AO12</f>
        <v>183.34844352</v>
      </c>
      <c r="AP13" s="117" t="n">
        <f aca="false">AP11*AP12</f>
        <v>183.34844352</v>
      </c>
      <c r="AQ13" s="117" t="n">
        <f aca="false">AQ11*AQ12</f>
        <v>183.34844352</v>
      </c>
      <c r="AR13" s="117" t="n">
        <f aca="false">AR11*AR12</f>
        <v>250.0206048</v>
      </c>
      <c r="AS13" s="117" t="n">
        <f aca="false">AS11*AS12</f>
        <v>250.0206048</v>
      </c>
      <c r="AT13" s="117" t="n">
        <f aca="false">AT11*AT12</f>
        <v>250.0206048</v>
      </c>
      <c r="AU13" s="117" t="n">
        <f aca="false">AU11*AU12</f>
        <v>183.34844352</v>
      </c>
      <c r="AV13" s="117" t="n">
        <f aca="false">AV11*AV12</f>
        <v>183.34844352</v>
      </c>
      <c r="AW13" s="117" t="n">
        <f aca="false">AW11*AW12</f>
        <v>183.34844352</v>
      </c>
      <c r="AX13" s="117" t="n">
        <f aca="false">AX11*AX12</f>
        <v>183.34844352</v>
      </c>
      <c r="AY13" s="117" t="n">
        <f aca="false">AY11*AY12</f>
        <v>187.0154123904</v>
      </c>
      <c r="AZ13" s="117" t="n">
        <f aca="false">AZ11*AZ12</f>
        <v>187.0154123904</v>
      </c>
      <c r="BA13" s="117" t="n">
        <f aca="false">BA11*BA12</f>
        <v>187.0154123904</v>
      </c>
      <c r="BB13" s="117" t="n">
        <f aca="false">BB11*BB12</f>
        <v>187.0154123904</v>
      </c>
      <c r="BC13" s="117" t="n">
        <f aca="false">BC11*BC12</f>
        <v>187.0154123904</v>
      </c>
      <c r="BD13" s="117" t="n">
        <f aca="false">BD11*BD12</f>
        <v>255.021016896</v>
      </c>
      <c r="BE13" s="117" t="n">
        <f aca="false">BE11*BE12</f>
        <v>255.021016896</v>
      </c>
      <c r="BF13" s="117" t="n">
        <f aca="false">BF11*BF12</f>
        <v>255.021016896</v>
      </c>
      <c r="BG13" s="117" t="n">
        <f aca="false">BG11*BG12</f>
        <v>187.0154123904</v>
      </c>
      <c r="BH13" s="117" t="n">
        <f aca="false">BH11*BH12</f>
        <v>187.0154123904</v>
      </c>
      <c r="BI13" s="117" t="n">
        <f aca="false">BI11*BI12</f>
        <v>187.0154123904</v>
      </c>
      <c r="BJ13" s="117" t="n">
        <f aca="false">BJ11*BJ12</f>
        <v>187.0154123904</v>
      </c>
    </row>
    <row r="14" customFormat="false" ht="15" hidden="false" customHeight="false" outlineLevel="0" collapsed="false">
      <c r="A14" s="6" t="s">
        <v>412</v>
      </c>
      <c r="C14" s="116" t="n">
        <f aca="false">IF(Inputs!$E$14&lt;=0,0,C13/Inputs!$E$14)</f>
        <v>31.4133333333333</v>
      </c>
      <c r="D14" s="116" t="n">
        <f aca="false">IF(Inputs!$E$14&lt;=0,0,D13/Inputs!$E$14)</f>
        <v>36.1253333333333</v>
      </c>
      <c r="E14" s="116" t="n">
        <f aca="false">IF(Inputs!$E$14&lt;=0,0,E13/Inputs!$E$14)</f>
        <v>40.8373333333333</v>
      </c>
      <c r="F14" s="116" t="n">
        <f aca="false">IF(Inputs!$E$14&lt;=0,0,F13/Inputs!$E$14)</f>
        <v>45.5493333333333</v>
      </c>
      <c r="G14" s="116" t="n">
        <f aca="false">IF(Inputs!$E$14&lt;=0,0,G13/Inputs!$E$14)</f>
        <v>50.2613333333333</v>
      </c>
      <c r="H14" s="116" t="n">
        <f aca="false">IF(Inputs!$E$14&lt;=0,0,H13/Inputs!$E$14)</f>
        <v>74.9636363636364</v>
      </c>
      <c r="I14" s="116" t="n">
        <f aca="false">IF(Inputs!$E$14&lt;=0,0,I13/Inputs!$E$14)</f>
        <v>81.3890909090909</v>
      </c>
      <c r="J14" s="116" t="n">
        <f aca="false">IF(Inputs!$E$14&lt;=0,0,J13/Inputs!$E$14)</f>
        <v>87.8145454545455</v>
      </c>
      <c r="K14" s="116" t="n">
        <f aca="false">IF(Inputs!$E$14&lt;=0,0,K13/Inputs!$E$14)</f>
        <v>69.1093333333333</v>
      </c>
      <c r="L14" s="116" t="n">
        <f aca="false">IF(Inputs!$E$14&lt;=0,0,L13/Inputs!$E$14)</f>
        <v>73.8213333333333</v>
      </c>
      <c r="M14" s="116" t="n">
        <f aca="false">IF(Inputs!$E$14&lt;=0,0,M13/Inputs!$E$14)</f>
        <v>78.5333333333333</v>
      </c>
      <c r="N14" s="116" t="n">
        <f aca="false">IF(Inputs!$E$14&lt;=0,0,N13/Inputs!$E$14)</f>
        <v>78.5333333333333</v>
      </c>
      <c r="O14" s="116" t="n">
        <f aca="false">IF(Inputs!$E$14&lt;=0,0,O13/Inputs!$E$14)</f>
        <v>80.104</v>
      </c>
      <c r="P14" s="116" t="n">
        <f aca="false">IF(Inputs!$E$14&lt;=0,0,P13/Inputs!$E$14)</f>
        <v>80.104</v>
      </c>
      <c r="Q14" s="116" t="n">
        <f aca="false">IF(Inputs!$E$14&lt;=0,0,Q13/Inputs!$E$14)</f>
        <v>80.104</v>
      </c>
      <c r="R14" s="116" t="n">
        <f aca="false">IF(Inputs!$E$14&lt;=0,0,R13/Inputs!$E$14)</f>
        <v>80.104</v>
      </c>
      <c r="S14" s="116" t="n">
        <f aca="false">IF(Inputs!$E$14&lt;=0,0,S13/Inputs!$E$14)</f>
        <v>80.104</v>
      </c>
      <c r="T14" s="116" t="n">
        <f aca="false">IF(Inputs!$E$14&lt;=0,0,T13/Inputs!$E$14)</f>
        <v>109.232727272727</v>
      </c>
      <c r="U14" s="116" t="n">
        <f aca="false">IF(Inputs!$E$14&lt;=0,0,U13/Inputs!$E$14)</f>
        <v>109.232727272727</v>
      </c>
      <c r="V14" s="116" t="n">
        <f aca="false">IF(Inputs!$E$14&lt;=0,0,V13/Inputs!$E$14)</f>
        <v>109.232727272727</v>
      </c>
      <c r="W14" s="116" t="n">
        <f aca="false">IF(Inputs!$E$14&lt;=0,0,W13/Inputs!$E$14)</f>
        <v>80.104</v>
      </c>
      <c r="X14" s="116" t="n">
        <f aca="false">IF(Inputs!$E$14&lt;=0,0,X13/Inputs!$E$14)</f>
        <v>80.104</v>
      </c>
      <c r="Y14" s="116" t="n">
        <f aca="false">IF(Inputs!$E$14&lt;=0,0,Y13/Inputs!$E$14)</f>
        <v>80.104</v>
      </c>
      <c r="Z14" s="116" t="n">
        <f aca="false">IF(Inputs!$E$14&lt;=0,0,Z13/Inputs!$E$14)</f>
        <v>80.104</v>
      </c>
      <c r="AA14" s="116" t="n">
        <f aca="false">IF(Inputs!$E$14&lt;=0,0,AA13/Inputs!$E$14)</f>
        <v>81.70608</v>
      </c>
      <c r="AB14" s="116" t="n">
        <f aca="false">IF(Inputs!$E$14&lt;=0,0,AB13/Inputs!$E$14)</f>
        <v>81.70608</v>
      </c>
      <c r="AC14" s="116" t="n">
        <f aca="false">IF(Inputs!$E$14&lt;=0,0,AC13/Inputs!$E$14)</f>
        <v>81.70608</v>
      </c>
      <c r="AD14" s="116" t="n">
        <f aca="false">IF(Inputs!$E$14&lt;=0,0,AD13/Inputs!$E$14)</f>
        <v>81.70608</v>
      </c>
      <c r="AE14" s="116" t="n">
        <f aca="false">IF(Inputs!$E$14&lt;=0,0,AE13/Inputs!$E$14)</f>
        <v>81.70608</v>
      </c>
      <c r="AF14" s="116" t="n">
        <f aca="false">IF(Inputs!$E$14&lt;=0,0,AF13/Inputs!$E$14)</f>
        <v>111.417381818182</v>
      </c>
      <c r="AG14" s="116" t="n">
        <f aca="false">IF(Inputs!$E$14&lt;=0,0,AG13/Inputs!$E$14)</f>
        <v>111.417381818182</v>
      </c>
      <c r="AH14" s="116" t="n">
        <f aca="false">IF(Inputs!$E$14&lt;=0,0,AH13/Inputs!$E$14)</f>
        <v>111.417381818182</v>
      </c>
      <c r="AI14" s="116" t="n">
        <f aca="false">IF(Inputs!$E$14&lt;=0,0,AI13/Inputs!$E$14)</f>
        <v>81.70608</v>
      </c>
      <c r="AJ14" s="116" t="n">
        <f aca="false">IF(Inputs!$E$14&lt;=0,0,AJ13/Inputs!$E$14)</f>
        <v>81.70608</v>
      </c>
      <c r="AK14" s="116" t="n">
        <f aca="false">IF(Inputs!$E$14&lt;=0,0,AK13/Inputs!$E$14)</f>
        <v>81.70608</v>
      </c>
      <c r="AL14" s="116" t="n">
        <f aca="false">IF(Inputs!$E$14&lt;=0,0,AL13/Inputs!$E$14)</f>
        <v>81.70608</v>
      </c>
      <c r="AM14" s="116" t="n">
        <f aca="false">IF(Inputs!$E$14&lt;=0,0,AM13/Inputs!$E$14)</f>
        <v>83.3402016</v>
      </c>
      <c r="AN14" s="116" t="n">
        <f aca="false">IF(Inputs!$E$14&lt;=0,0,AN13/Inputs!$E$14)</f>
        <v>83.3402016</v>
      </c>
      <c r="AO14" s="116" t="n">
        <f aca="false">IF(Inputs!$E$14&lt;=0,0,AO13/Inputs!$E$14)</f>
        <v>83.3402016</v>
      </c>
      <c r="AP14" s="116" t="n">
        <f aca="false">IF(Inputs!$E$14&lt;=0,0,AP13/Inputs!$E$14)</f>
        <v>83.3402016</v>
      </c>
      <c r="AQ14" s="116" t="n">
        <f aca="false">IF(Inputs!$E$14&lt;=0,0,AQ13/Inputs!$E$14)</f>
        <v>83.3402016</v>
      </c>
      <c r="AR14" s="116" t="n">
        <f aca="false">IF(Inputs!$E$14&lt;=0,0,AR13/Inputs!$E$14)</f>
        <v>113.645729454545</v>
      </c>
      <c r="AS14" s="116" t="n">
        <f aca="false">IF(Inputs!$E$14&lt;=0,0,AS13/Inputs!$E$14)</f>
        <v>113.645729454545</v>
      </c>
      <c r="AT14" s="116" t="n">
        <f aca="false">IF(Inputs!$E$14&lt;=0,0,AT13/Inputs!$E$14)</f>
        <v>113.645729454545</v>
      </c>
      <c r="AU14" s="116" t="n">
        <f aca="false">IF(Inputs!$E$14&lt;=0,0,AU13/Inputs!$E$14)</f>
        <v>83.3402016</v>
      </c>
      <c r="AV14" s="116" t="n">
        <f aca="false">IF(Inputs!$E$14&lt;=0,0,AV13/Inputs!$E$14)</f>
        <v>83.3402016</v>
      </c>
      <c r="AW14" s="116" t="n">
        <f aca="false">IF(Inputs!$E$14&lt;=0,0,AW13/Inputs!$E$14)</f>
        <v>83.3402016</v>
      </c>
      <c r="AX14" s="116" t="n">
        <f aca="false">IF(Inputs!$E$14&lt;=0,0,AX13/Inputs!$E$14)</f>
        <v>83.3402016</v>
      </c>
      <c r="AY14" s="116" t="n">
        <f aca="false">IF(Inputs!$E$14&lt;=0,0,AY13/Inputs!$E$14)</f>
        <v>85.007005632</v>
      </c>
      <c r="AZ14" s="116" t="n">
        <f aca="false">IF(Inputs!$E$14&lt;=0,0,AZ13/Inputs!$E$14)</f>
        <v>85.007005632</v>
      </c>
      <c r="BA14" s="116" t="n">
        <f aca="false">IF(Inputs!$E$14&lt;=0,0,BA13/Inputs!$E$14)</f>
        <v>85.007005632</v>
      </c>
      <c r="BB14" s="116" t="n">
        <f aca="false">IF(Inputs!$E$14&lt;=0,0,BB13/Inputs!$E$14)</f>
        <v>85.007005632</v>
      </c>
      <c r="BC14" s="116" t="n">
        <f aca="false">IF(Inputs!$E$14&lt;=0,0,BC13/Inputs!$E$14)</f>
        <v>85.007005632</v>
      </c>
      <c r="BD14" s="116" t="n">
        <f aca="false">IF(Inputs!$E$14&lt;=0,0,BD13/Inputs!$E$14)</f>
        <v>115.918644043636</v>
      </c>
      <c r="BE14" s="116" t="n">
        <f aca="false">IF(Inputs!$E$14&lt;=0,0,BE13/Inputs!$E$14)</f>
        <v>115.918644043636</v>
      </c>
      <c r="BF14" s="116" t="n">
        <f aca="false">IF(Inputs!$E$14&lt;=0,0,BF13/Inputs!$E$14)</f>
        <v>115.918644043636</v>
      </c>
      <c r="BG14" s="116" t="n">
        <f aca="false">IF(Inputs!$E$14&lt;=0,0,BG13/Inputs!$E$14)</f>
        <v>85.007005632</v>
      </c>
      <c r="BH14" s="116" t="n">
        <f aca="false">IF(Inputs!$E$14&lt;=0,0,BH13/Inputs!$E$14)</f>
        <v>85.007005632</v>
      </c>
      <c r="BI14" s="116" t="n">
        <f aca="false">IF(Inputs!$E$14&lt;=0,0,BI13/Inputs!$E$14)</f>
        <v>85.007005632</v>
      </c>
      <c r="BJ14" s="116" t="n">
        <f aca="false">IF(Inputs!$E$14&lt;=0,0,BJ13/Inputs!$E$14)</f>
        <v>85.007005632</v>
      </c>
    </row>
    <row r="16" customFormat="false" ht="15.75" hidden="false" customHeight="true" outlineLevel="0" collapsed="false">
      <c r="A16" s="7" t="s">
        <v>44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59</v>
      </c>
      <c r="C17" s="118" t="n">
        <f aca="false">Inputs!$E$17*(1+Inputs!$E$18)^(C$5-1)</f>
        <v>155</v>
      </c>
      <c r="D17" s="118" t="n">
        <f aca="false">Inputs!$E$17*(1+Inputs!$E$18)^(D$5-1)</f>
        <v>155</v>
      </c>
      <c r="E17" s="118" t="n">
        <f aca="false">Inputs!$E$17*(1+Inputs!$E$18)^(E$5-1)</f>
        <v>155</v>
      </c>
      <c r="F17" s="118" t="n">
        <f aca="false">Inputs!$E$17*(1+Inputs!$E$18)^(F$5-1)</f>
        <v>155</v>
      </c>
      <c r="G17" s="118" t="n">
        <f aca="false">Inputs!$E$17*(1+Inputs!$E$18)^(G$5-1)</f>
        <v>155</v>
      </c>
      <c r="H17" s="118" t="n">
        <f aca="false">Inputs!$E$17*(1+Inputs!$E$18)^(H$5-1)</f>
        <v>155</v>
      </c>
      <c r="I17" s="118" t="n">
        <f aca="false">Inputs!$E$17*(1+Inputs!$E$18)^(I$5-1)</f>
        <v>155</v>
      </c>
      <c r="J17" s="118" t="n">
        <f aca="false">Inputs!$E$17*(1+Inputs!$E$18)^(J$5-1)</f>
        <v>155</v>
      </c>
      <c r="K17" s="118" t="n">
        <f aca="false">Inputs!$E$17*(1+Inputs!$E$18)^(K$5-1)</f>
        <v>155</v>
      </c>
      <c r="L17" s="118" t="n">
        <f aca="false">Inputs!$E$17*(1+Inputs!$E$18)^(L$5-1)</f>
        <v>155</v>
      </c>
      <c r="M17" s="118" t="n">
        <f aca="false">Inputs!$E$17*(1+Inputs!$E$18)^(M$5-1)</f>
        <v>155</v>
      </c>
      <c r="N17" s="118" t="n">
        <f aca="false">Inputs!$E$17*(1+Inputs!$E$18)^(N$5-1)</f>
        <v>155</v>
      </c>
      <c r="O17" s="118" t="n">
        <f aca="false">Inputs!$E$17*(1+Inputs!$E$18)^(O$5-1)</f>
        <v>159.65</v>
      </c>
      <c r="P17" s="118" t="n">
        <f aca="false">Inputs!$E$17*(1+Inputs!$E$18)^(P$5-1)</f>
        <v>159.65</v>
      </c>
      <c r="Q17" s="118" t="n">
        <f aca="false">Inputs!$E$17*(1+Inputs!$E$18)^(Q$5-1)</f>
        <v>159.65</v>
      </c>
      <c r="R17" s="118" t="n">
        <f aca="false">Inputs!$E$17*(1+Inputs!$E$18)^(R$5-1)</f>
        <v>159.65</v>
      </c>
      <c r="S17" s="118" t="n">
        <f aca="false">Inputs!$E$17*(1+Inputs!$E$18)^(S$5-1)</f>
        <v>159.65</v>
      </c>
      <c r="T17" s="118" t="n">
        <f aca="false">Inputs!$E$17*(1+Inputs!$E$18)^(T$5-1)</f>
        <v>159.65</v>
      </c>
      <c r="U17" s="118" t="n">
        <f aca="false">Inputs!$E$17*(1+Inputs!$E$18)^(U$5-1)</f>
        <v>159.65</v>
      </c>
      <c r="V17" s="118" t="n">
        <f aca="false">Inputs!$E$17*(1+Inputs!$E$18)^(V$5-1)</f>
        <v>159.65</v>
      </c>
      <c r="W17" s="118" t="n">
        <f aca="false">Inputs!$E$17*(1+Inputs!$E$18)^(W$5-1)</f>
        <v>159.65</v>
      </c>
      <c r="X17" s="118" t="n">
        <f aca="false">Inputs!$E$17*(1+Inputs!$E$18)^(X$5-1)</f>
        <v>159.65</v>
      </c>
      <c r="Y17" s="118" t="n">
        <f aca="false">Inputs!$E$17*(1+Inputs!$E$18)^(Y$5-1)</f>
        <v>159.65</v>
      </c>
      <c r="Z17" s="118" t="n">
        <f aca="false">Inputs!$E$17*(1+Inputs!$E$18)^(Z$5-1)</f>
        <v>159.65</v>
      </c>
      <c r="AA17" s="118" t="n">
        <f aca="false">Inputs!$E$17*(1+Inputs!$E$18)^(AA$5-1)</f>
        <v>164.4395</v>
      </c>
      <c r="AB17" s="118" t="n">
        <f aca="false">Inputs!$E$17*(1+Inputs!$E$18)^(AB$5-1)</f>
        <v>164.4395</v>
      </c>
      <c r="AC17" s="118" t="n">
        <f aca="false">Inputs!$E$17*(1+Inputs!$E$18)^(AC$5-1)</f>
        <v>164.4395</v>
      </c>
      <c r="AD17" s="118" t="n">
        <f aca="false">Inputs!$E$17*(1+Inputs!$E$18)^(AD$5-1)</f>
        <v>164.4395</v>
      </c>
      <c r="AE17" s="118" t="n">
        <f aca="false">Inputs!$E$17*(1+Inputs!$E$18)^(AE$5-1)</f>
        <v>164.4395</v>
      </c>
      <c r="AF17" s="118" t="n">
        <f aca="false">Inputs!$E$17*(1+Inputs!$E$18)^(AF$5-1)</f>
        <v>164.4395</v>
      </c>
      <c r="AG17" s="118" t="n">
        <f aca="false">Inputs!$E$17*(1+Inputs!$E$18)^(AG$5-1)</f>
        <v>164.4395</v>
      </c>
      <c r="AH17" s="118" t="n">
        <f aca="false">Inputs!$E$17*(1+Inputs!$E$18)^(AH$5-1)</f>
        <v>164.4395</v>
      </c>
      <c r="AI17" s="118" t="n">
        <f aca="false">Inputs!$E$17*(1+Inputs!$E$18)^(AI$5-1)</f>
        <v>164.4395</v>
      </c>
      <c r="AJ17" s="118" t="n">
        <f aca="false">Inputs!$E$17*(1+Inputs!$E$18)^(AJ$5-1)</f>
        <v>164.4395</v>
      </c>
      <c r="AK17" s="118" t="n">
        <f aca="false">Inputs!$E$17*(1+Inputs!$E$18)^(AK$5-1)</f>
        <v>164.4395</v>
      </c>
      <c r="AL17" s="118" t="n">
        <f aca="false">Inputs!$E$17*(1+Inputs!$E$18)^(AL$5-1)</f>
        <v>164.4395</v>
      </c>
      <c r="AM17" s="118" t="n">
        <f aca="false">Inputs!$E$17*(1+Inputs!$E$18)^(AM$5-1)</f>
        <v>169.372685</v>
      </c>
      <c r="AN17" s="118" t="n">
        <f aca="false">Inputs!$E$17*(1+Inputs!$E$18)^(AN$5-1)</f>
        <v>169.372685</v>
      </c>
      <c r="AO17" s="118" t="n">
        <f aca="false">Inputs!$E$17*(1+Inputs!$E$18)^(AO$5-1)</f>
        <v>169.372685</v>
      </c>
      <c r="AP17" s="118" t="n">
        <f aca="false">Inputs!$E$17*(1+Inputs!$E$18)^(AP$5-1)</f>
        <v>169.372685</v>
      </c>
      <c r="AQ17" s="118" t="n">
        <f aca="false">Inputs!$E$17*(1+Inputs!$E$18)^(AQ$5-1)</f>
        <v>169.372685</v>
      </c>
      <c r="AR17" s="118" t="n">
        <f aca="false">Inputs!$E$17*(1+Inputs!$E$18)^(AR$5-1)</f>
        <v>169.372685</v>
      </c>
      <c r="AS17" s="118" t="n">
        <f aca="false">Inputs!$E$17*(1+Inputs!$E$18)^(AS$5-1)</f>
        <v>169.372685</v>
      </c>
      <c r="AT17" s="118" t="n">
        <f aca="false">Inputs!$E$17*(1+Inputs!$E$18)^(AT$5-1)</f>
        <v>169.372685</v>
      </c>
      <c r="AU17" s="118" t="n">
        <f aca="false">Inputs!$E$17*(1+Inputs!$E$18)^(AU$5-1)</f>
        <v>169.372685</v>
      </c>
      <c r="AV17" s="118" t="n">
        <f aca="false">Inputs!$E$17*(1+Inputs!$E$18)^(AV$5-1)</f>
        <v>169.372685</v>
      </c>
      <c r="AW17" s="118" t="n">
        <f aca="false">Inputs!$E$17*(1+Inputs!$E$18)^(AW$5-1)</f>
        <v>169.372685</v>
      </c>
      <c r="AX17" s="118" t="n">
        <f aca="false">Inputs!$E$17*(1+Inputs!$E$18)^(AX$5-1)</f>
        <v>169.372685</v>
      </c>
      <c r="AY17" s="118" t="n">
        <f aca="false">Inputs!$E$17*(1+Inputs!$E$18)^(AY$5-1)</f>
        <v>174.45386555</v>
      </c>
      <c r="AZ17" s="118" t="n">
        <f aca="false">Inputs!$E$17*(1+Inputs!$E$18)^(AZ$5-1)</f>
        <v>174.45386555</v>
      </c>
      <c r="BA17" s="118" t="n">
        <f aca="false">Inputs!$E$17*(1+Inputs!$E$18)^(BA$5-1)</f>
        <v>174.45386555</v>
      </c>
      <c r="BB17" s="118" t="n">
        <f aca="false">Inputs!$E$17*(1+Inputs!$E$18)^(BB$5-1)</f>
        <v>174.45386555</v>
      </c>
      <c r="BC17" s="118" t="n">
        <f aca="false">Inputs!$E$17*(1+Inputs!$E$18)^(BC$5-1)</f>
        <v>174.45386555</v>
      </c>
      <c r="BD17" s="118" t="n">
        <f aca="false">Inputs!$E$17*(1+Inputs!$E$18)^(BD$5-1)</f>
        <v>174.45386555</v>
      </c>
      <c r="BE17" s="118" t="n">
        <f aca="false">Inputs!$E$17*(1+Inputs!$E$18)^(BE$5-1)</f>
        <v>174.45386555</v>
      </c>
      <c r="BF17" s="118" t="n">
        <f aca="false">Inputs!$E$17*(1+Inputs!$E$18)^(BF$5-1)</f>
        <v>174.45386555</v>
      </c>
      <c r="BG17" s="118" t="n">
        <f aca="false">Inputs!$E$17*(1+Inputs!$E$18)^(BG$5-1)</f>
        <v>174.45386555</v>
      </c>
      <c r="BH17" s="118" t="n">
        <f aca="false">Inputs!$E$17*(1+Inputs!$E$18)^(BH$5-1)</f>
        <v>174.45386555</v>
      </c>
      <c r="BI17" s="118" t="n">
        <f aca="false">Inputs!$E$17*(1+Inputs!$E$18)^(BI$5-1)</f>
        <v>174.45386555</v>
      </c>
      <c r="BJ17" s="118" t="n">
        <f aca="false">Inputs!$E$17*(1+Inputs!$E$18)^(BJ$5-1)</f>
        <v>174.45386555</v>
      </c>
    </row>
    <row r="18" customFormat="false" ht="15" hidden="false" customHeight="false" outlineLevel="0" collapsed="false">
      <c r="A18" s="6" t="s">
        <v>235</v>
      </c>
      <c r="C18" s="67" t="n">
        <f aca="false">C13*C17</f>
        <v>10711.9466666667</v>
      </c>
      <c r="D18" s="67" t="n">
        <f aca="false">D13*D17</f>
        <v>12318.7386666667</v>
      </c>
      <c r="E18" s="67" t="n">
        <f aca="false">E13*E17</f>
        <v>13925.5306666667</v>
      </c>
      <c r="F18" s="67" t="n">
        <f aca="false">F13*F17</f>
        <v>15532.3226666667</v>
      </c>
      <c r="G18" s="67" t="n">
        <f aca="false">G13*G17</f>
        <v>17139.1146666667</v>
      </c>
      <c r="H18" s="67" t="n">
        <f aca="false">H13*H17</f>
        <v>25562.6</v>
      </c>
      <c r="I18" s="67" t="n">
        <f aca="false">I13*I17</f>
        <v>27753.68</v>
      </c>
      <c r="J18" s="67" t="n">
        <f aca="false">J13*J17</f>
        <v>29944.76</v>
      </c>
      <c r="K18" s="67" t="n">
        <f aca="false">K13*K17</f>
        <v>23566.2826666667</v>
      </c>
      <c r="L18" s="67" t="n">
        <f aca="false">L13*L17</f>
        <v>25173.0746666667</v>
      </c>
      <c r="M18" s="67" t="n">
        <f aca="false">M13*M17</f>
        <v>26779.8666666667</v>
      </c>
      <c r="N18" s="67" t="n">
        <f aca="false">N13*N17</f>
        <v>26779.8666666667</v>
      </c>
      <c r="O18" s="67" t="n">
        <f aca="false">O13*O17</f>
        <v>28134.92792</v>
      </c>
      <c r="P18" s="67" t="n">
        <f aca="false">P13*P17</f>
        <v>28134.92792</v>
      </c>
      <c r="Q18" s="67" t="n">
        <f aca="false">Q13*Q17</f>
        <v>28134.92792</v>
      </c>
      <c r="R18" s="67" t="n">
        <f aca="false">R13*R17</f>
        <v>28134.92792</v>
      </c>
      <c r="S18" s="67" t="n">
        <f aca="false">S13*S17</f>
        <v>28134.92792</v>
      </c>
      <c r="T18" s="67" t="n">
        <f aca="false">T13*T17</f>
        <v>38365.8108</v>
      </c>
      <c r="U18" s="67" t="n">
        <f aca="false">U13*U17</f>
        <v>38365.8108</v>
      </c>
      <c r="V18" s="67" t="n">
        <f aca="false">V13*V17</f>
        <v>38365.8108</v>
      </c>
      <c r="W18" s="67" t="n">
        <f aca="false">W13*W17</f>
        <v>28134.92792</v>
      </c>
      <c r="X18" s="67" t="n">
        <f aca="false">X13*X17</f>
        <v>28134.92792</v>
      </c>
      <c r="Y18" s="67" t="n">
        <f aca="false">Y13*Y17</f>
        <v>28134.92792</v>
      </c>
      <c r="Z18" s="67" t="n">
        <f aca="false">Z13*Z17</f>
        <v>28134.92792</v>
      </c>
      <c r="AA18" s="67" t="n">
        <f aca="false">AA13*AA17</f>
        <v>29558.555272752</v>
      </c>
      <c r="AB18" s="67" t="n">
        <f aca="false">AB13*AB17</f>
        <v>29558.555272752</v>
      </c>
      <c r="AC18" s="67" t="n">
        <f aca="false">AC13*AC17</f>
        <v>29558.555272752</v>
      </c>
      <c r="AD18" s="67" t="n">
        <f aca="false">AD13*AD17</f>
        <v>29558.555272752</v>
      </c>
      <c r="AE18" s="67" t="n">
        <f aca="false">AE13*AE17</f>
        <v>29558.555272752</v>
      </c>
      <c r="AF18" s="67" t="n">
        <f aca="false">AF13*AF17</f>
        <v>40307.12082648</v>
      </c>
      <c r="AG18" s="67" t="n">
        <f aca="false">AG13*AG17</f>
        <v>40307.12082648</v>
      </c>
      <c r="AH18" s="67" t="n">
        <f aca="false">AH13*AH17</f>
        <v>40307.12082648</v>
      </c>
      <c r="AI18" s="67" t="n">
        <f aca="false">AI13*AI17</f>
        <v>29558.555272752</v>
      </c>
      <c r="AJ18" s="67" t="n">
        <f aca="false">AJ13*AJ17</f>
        <v>29558.555272752</v>
      </c>
      <c r="AK18" s="67" t="n">
        <f aca="false">AK13*AK17</f>
        <v>29558.555272752</v>
      </c>
      <c r="AL18" s="67" t="n">
        <f aca="false">AL13*AL17</f>
        <v>29558.555272752</v>
      </c>
      <c r="AM18" s="67" t="n">
        <f aca="false">AM13*AM17</f>
        <v>31054.2181695533</v>
      </c>
      <c r="AN18" s="67" t="n">
        <f aca="false">AN13*AN17</f>
        <v>31054.2181695533</v>
      </c>
      <c r="AO18" s="67" t="n">
        <f aca="false">AO13*AO17</f>
        <v>31054.2181695533</v>
      </c>
      <c r="AP18" s="67" t="n">
        <f aca="false">AP13*AP17</f>
        <v>31054.2181695533</v>
      </c>
      <c r="AQ18" s="67" t="n">
        <f aca="false">AQ13*AQ17</f>
        <v>31054.2181695533</v>
      </c>
      <c r="AR18" s="67" t="n">
        <f aca="false">AR13*AR17</f>
        <v>42346.6611402999</v>
      </c>
      <c r="AS18" s="67" t="n">
        <f aca="false">AS13*AS17</f>
        <v>42346.6611402999</v>
      </c>
      <c r="AT18" s="67" t="n">
        <f aca="false">AT13*AT17</f>
        <v>42346.6611402999</v>
      </c>
      <c r="AU18" s="67" t="n">
        <f aca="false">AU13*AU17</f>
        <v>31054.2181695533</v>
      </c>
      <c r="AV18" s="67" t="n">
        <f aca="false">AV13*AV17</f>
        <v>31054.2181695533</v>
      </c>
      <c r="AW18" s="67" t="n">
        <f aca="false">AW13*AW17</f>
        <v>31054.2181695533</v>
      </c>
      <c r="AX18" s="67" t="n">
        <f aca="false">AX13*AX17</f>
        <v>31054.2181695533</v>
      </c>
      <c r="AY18" s="67" t="n">
        <f aca="false">AY13*AY17</f>
        <v>32625.5616089327</v>
      </c>
      <c r="AZ18" s="67" t="n">
        <f aca="false">AZ13*AZ17</f>
        <v>32625.5616089327</v>
      </c>
      <c r="BA18" s="67" t="n">
        <f aca="false">BA13*BA17</f>
        <v>32625.5616089327</v>
      </c>
      <c r="BB18" s="67" t="n">
        <f aca="false">BB13*BB17</f>
        <v>32625.5616089327</v>
      </c>
      <c r="BC18" s="67" t="n">
        <f aca="false">BC13*BC17</f>
        <v>32625.5616089327</v>
      </c>
      <c r="BD18" s="67" t="n">
        <f aca="false">BD13*BD17</f>
        <v>44489.4021939991</v>
      </c>
      <c r="BE18" s="67" t="n">
        <f aca="false">BE13*BE17</f>
        <v>44489.4021939991</v>
      </c>
      <c r="BF18" s="67" t="n">
        <f aca="false">BF13*BF17</f>
        <v>44489.4021939991</v>
      </c>
      <c r="BG18" s="67" t="n">
        <f aca="false">BG13*BG17</f>
        <v>32625.5616089327</v>
      </c>
      <c r="BH18" s="67" t="n">
        <f aca="false">BH13*BH17</f>
        <v>32625.5616089327</v>
      </c>
      <c r="BI18" s="67" t="n">
        <f aca="false">BI13*BI17</f>
        <v>32625.5616089327</v>
      </c>
      <c r="BJ18" s="67" t="n">
        <f aca="false">BJ13*BJ17</f>
        <v>32625.5616089327</v>
      </c>
    </row>
    <row r="19" customFormat="false" ht="15" hidden="false" customHeight="false" outlineLevel="0" collapsed="false">
      <c r="A19" s="6" t="s">
        <v>236</v>
      </c>
      <c r="C19" s="67" t="n">
        <f aca="false">C13*Inputs!$E$19*(1+Inputs!$E$18)^(C$5-1)</f>
        <v>829.312</v>
      </c>
      <c r="D19" s="67" t="n">
        <f aca="false">D13*Inputs!$E$19*(1+Inputs!$E$18)^(D$5-1)</f>
        <v>953.7088</v>
      </c>
      <c r="E19" s="67" t="n">
        <f aca="false">E13*Inputs!$E$19*(1+Inputs!$E$18)^(E$5-1)</f>
        <v>1078.1056</v>
      </c>
      <c r="F19" s="67" t="n">
        <f aca="false">F13*Inputs!$E$19*(1+Inputs!$E$18)^(F$5-1)</f>
        <v>1202.5024</v>
      </c>
      <c r="G19" s="67" t="n">
        <f aca="false">G13*Inputs!$E$19*(1+Inputs!$E$18)^(G$5-1)</f>
        <v>1326.8992</v>
      </c>
      <c r="H19" s="67" t="n">
        <f aca="false">H13*Inputs!$E$19*(1+Inputs!$E$18)^(H$5-1)</f>
        <v>1979.04</v>
      </c>
      <c r="I19" s="67" t="n">
        <f aca="false">I13*Inputs!$E$19*(1+Inputs!$E$18)^(I$5-1)</f>
        <v>2148.672</v>
      </c>
      <c r="J19" s="67" t="n">
        <f aca="false">J13*Inputs!$E$19*(1+Inputs!$E$18)^(J$5-1)</f>
        <v>2318.304</v>
      </c>
      <c r="K19" s="67" t="n">
        <f aca="false">K13*Inputs!$E$19*(1+Inputs!$E$18)^(K$5-1)</f>
        <v>1824.4864</v>
      </c>
      <c r="L19" s="67" t="n">
        <f aca="false">L13*Inputs!$E$19*(1+Inputs!$E$18)^(L$5-1)</f>
        <v>1948.8832</v>
      </c>
      <c r="M19" s="67" t="n">
        <f aca="false">M13*Inputs!$E$19*(1+Inputs!$E$18)^(M$5-1)</f>
        <v>2073.28</v>
      </c>
      <c r="N19" s="67" t="n">
        <f aca="false">N13*Inputs!$E$19*(1+Inputs!$E$18)^(N$5-1)</f>
        <v>2073.28</v>
      </c>
      <c r="O19" s="67" t="n">
        <f aca="false">O13*Inputs!$E$19*(1+Inputs!$E$18)^(O$5-1)</f>
        <v>2178.187968</v>
      </c>
      <c r="P19" s="67" t="n">
        <f aca="false">P13*Inputs!$E$19*(1+Inputs!$E$18)^(P$5-1)</f>
        <v>2178.187968</v>
      </c>
      <c r="Q19" s="67" t="n">
        <f aca="false">Q13*Inputs!$E$19*(1+Inputs!$E$18)^(Q$5-1)</f>
        <v>2178.187968</v>
      </c>
      <c r="R19" s="67" t="n">
        <f aca="false">R13*Inputs!$E$19*(1+Inputs!$E$18)^(R$5-1)</f>
        <v>2178.187968</v>
      </c>
      <c r="S19" s="67" t="n">
        <f aca="false">S13*Inputs!$E$19*(1+Inputs!$E$18)^(S$5-1)</f>
        <v>2178.187968</v>
      </c>
      <c r="T19" s="67" t="n">
        <f aca="false">T13*Inputs!$E$19*(1+Inputs!$E$18)^(T$5-1)</f>
        <v>2970.25632</v>
      </c>
      <c r="U19" s="67" t="n">
        <f aca="false">U13*Inputs!$E$19*(1+Inputs!$E$18)^(U$5-1)</f>
        <v>2970.25632</v>
      </c>
      <c r="V19" s="67" t="n">
        <f aca="false">V13*Inputs!$E$19*(1+Inputs!$E$18)^(V$5-1)</f>
        <v>2970.25632</v>
      </c>
      <c r="W19" s="67" t="n">
        <f aca="false">W13*Inputs!$E$19*(1+Inputs!$E$18)^(W$5-1)</f>
        <v>2178.187968</v>
      </c>
      <c r="X19" s="67" t="n">
        <f aca="false">X13*Inputs!$E$19*(1+Inputs!$E$18)^(X$5-1)</f>
        <v>2178.187968</v>
      </c>
      <c r="Y19" s="67" t="n">
        <f aca="false">Y13*Inputs!$E$19*(1+Inputs!$E$18)^(Y$5-1)</f>
        <v>2178.187968</v>
      </c>
      <c r="Z19" s="67" t="n">
        <f aca="false">Z13*Inputs!$E$19*(1+Inputs!$E$18)^(Z$5-1)</f>
        <v>2178.187968</v>
      </c>
      <c r="AA19" s="67" t="n">
        <f aca="false">AA13*Inputs!$E$19*(1+Inputs!$E$18)^(AA$5-1)</f>
        <v>2288.4042791808</v>
      </c>
      <c r="AB19" s="67" t="n">
        <f aca="false">AB13*Inputs!$E$19*(1+Inputs!$E$18)^(AB$5-1)</f>
        <v>2288.4042791808</v>
      </c>
      <c r="AC19" s="67" t="n">
        <f aca="false">AC13*Inputs!$E$19*(1+Inputs!$E$18)^(AC$5-1)</f>
        <v>2288.4042791808</v>
      </c>
      <c r="AD19" s="67" t="n">
        <f aca="false">AD13*Inputs!$E$19*(1+Inputs!$E$18)^(AD$5-1)</f>
        <v>2288.4042791808</v>
      </c>
      <c r="AE19" s="67" t="n">
        <f aca="false">AE13*Inputs!$E$19*(1+Inputs!$E$18)^(AE$5-1)</f>
        <v>2288.4042791808</v>
      </c>
      <c r="AF19" s="67" t="n">
        <f aca="false">AF13*Inputs!$E$19*(1+Inputs!$E$18)^(AF$5-1)</f>
        <v>3120.551289792</v>
      </c>
      <c r="AG19" s="67" t="n">
        <f aca="false">AG13*Inputs!$E$19*(1+Inputs!$E$18)^(AG$5-1)</f>
        <v>3120.551289792</v>
      </c>
      <c r="AH19" s="67" t="n">
        <f aca="false">AH13*Inputs!$E$19*(1+Inputs!$E$18)^(AH$5-1)</f>
        <v>3120.551289792</v>
      </c>
      <c r="AI19" s="67" t="n">
        <f aca="false">AI13*Inputs!$E$19*(1+Inputs!$E$18)^(AI$5-1)</f>
        <v>2288.4042791808</v>
      </c>
      <c r="AJ19" s="67" t="n">
        <f aca="false">AJ13*Inputs!$E$19*(1+Inputs!$E$18)^(AJ$5-1)</f>
        <v>2288.4042791808</v>
      </c>
      <c r="AK19" s="67" t="n">
        <f aca="false">AK13*Inputs!$E$19*(1+Inputs!$E$18)^(AK$5-1)</f>
        <v>2288.4042791808</v>
      </c>
      <c r="AL19" s="67" t="n">
        <f aca="false">AL13*Inputs!$E$19*(1+Inputs!$E$18)^(AL$5-1)</f>
        <v>2288.4042791808</v>
      </c>
      <c r="AM19" s="67" t="n">
        <f aca="false">AM13*Inputs!$E$19*(1+Inputs!$E$18)^(AM$5-1)</f>
        <v>2404.19753570735</v>
      </c>
      <c r="AN19" s="67" t="n">
        <f aca="false">AN13*Inputs!$E$19*(1+Inputs!$E$18)^(AN$5-1)</f>
        <v>2404.19753570735</v>
      </c>
      <c r="AO19" s="67" t="n">
        <f aca="false">AO13*Inputs!$E$19*(1+Inputs!$E$18)^(AO$5-1)</f>
        <v>2404.19753570735</v>
      </c>
      <c r="AP19" s="67" t="n">
        <f aca="false">AP13*Inputs!$E$19*(1+Inputs!$E$18)^(AP$5-1)</f>
        <v>2404.19753570735</v>
      </c>
      <c r="AQ19" s="67" t="n">
        <f aca="false">AQ13*Inputs!$E$19*(1+Inputs!$E$18)^(AQ$5-1)</f>
        <v>2404.19753570735</v>
      </c>
      <c r="AR19" s="67" t="n">
        <f aca="false">AR13*Inputs!$E$19*(1+Inputs!$E$18)^(AR$5-1)</f>
        <v>3278.45118505548</v>
      </c>
      <c r="AS19" s="67" t="n">
        <f aca="false">AS13*Inputs!$E$19*(1+Inputs!$E$18)^(AS$5-1)</f>
        <v>3278.45118505548</v>
      </c>
      <c r="AT19" s="67" t="n">
        <f aca="false">AT13*Inputs!$E$19*(1+Inputs!$E$18)^(AT$5-1)</f>
        <v>3278.45118505548</v>
      </c>
      <c r="AU19" s="67" t="n">
        <f aca="false">AU13*Inputs!$E$19*(1+Inputs!$E$18)^(AU$5-1)</f>
        <v>2404.19753570735</v>
      </c>
      <c r="AV19" s="67" t="n">
        <f aca="false">AV13*Inputs!$E$19*(1+Inputs!$E$18)^(AV$5-1)</f>
        <v>2404.19753570735</v>
      </c>
      <c r="AW19" s="67" t="n">
        <f aca="false">AW13*Inputs!$E$19*(1+Inputs!$E$18)^(AW$5-1)</f>
        <v>2404.19753570735</v>
      </c>
      <c r="AX19" s="67" t="n">
        <f aca="false">AX13*Inputs!$E$19*(1+Inputs!$E$18)^(AX$5-1)</f>
        <v>2404.19753570735</v>
      </c>
      <c r="AY19" s="67" t="n">
        <f aca="false">AY13*Inputs!$E$19*(1+Inputs!$E$18)^(AY$5-1)</f>
        <v>2525.84993101414</v>
      </c>
      <c r="AZ19" s="67" t="n">
        <f aca="false">AZ13*Inputs!$E$19*(1+Inputs!$E$18)^(AZ$5-1)</f>
        <v>2525.84993101414</v>
      </c>
      <c r="BA19" s="67" t="n">
        <f aca="false">BA13*Inputs!$E$19*(1+Inputs!$E$18)^(BA$5-1)</f>
        <v>2525.84993101414</v>
      </c>
      <c r="BB19" s="67" t="n">
        <f aca="false">BB13*Inputs!$E$19*(1+Inputs!$E$18)^(BB$5-1)</f>
        <v>2525.84993101414</v>
      </c>
      <c r="BC19" s="67" t="n">
        <f aca="false">BC13*Inputs!$E$19*(1+Inputs!$E$18)^(BC$5-1)</f>
        <v>2525.84993101414</v>
      </c>
      <c r="BD19" s="67" t="n">
        <f aca="false">BD13*Inputs!$E$19*(1+Inputs!$E$18)^(BD$5-1)</f>
        <v>3444.34081501928</v>
      </c>
      <c r="BE19" s="67" t="n">
        <f aca="false">BE13*Inputs!$E$19*(1+Inputs!$E$18)^(BE$5-1)</f>
        <v>3444.34081501928</v>
      </c>
      <c r="BF19" s="67" t="n">
        <f aca="false">BF13*Inputs!$E$19*(1+Inputs!$E$18)^(BF$5-1)</f>
        <v>3444.34081501928</v>
      </c>
      <c r="BG19" s="67" t="n">
        <f aca="false">BG13*Inputs!$E$19*(1+Inputs!$E$18)^(BG$5-1)</f>
        <v>2525.84993101414</v>
      </c>
      <c r="BH19" s="67" t="n">
        <f aca="false">BH13*Inputs!$E$19*(1+Inputs!$E$18)^(BH$5-1)</f>
        <v>2525.84993101414</v>
      </c>
      <c r="BI19" s="67" t="n">
        <f aca="false">BI13*Inputs!$E$19*(1+Inputs!$E$18)^(BI$5-1)</f>
        <v>2525.84993101414</v>
      </c>
      <c r="BJ19" s="67" t="n">
        <f aca="false">BJ13*Inputs!$E$19*(1+Inputs!$E$18)^(BJ$5-1)</f>
        <v>2525.84993101414</v>
      </c>
    </row>
    <row r="20" customFormat="false" ht="15" hidden="false" customHeight="false" outlineLevel="0" collapsed="false">
      <c r="A20" s="111" t="s">
        <v>44</v>
      </c>
      <c r="C20" s="68" t="n">
        <f aca="false">C18+C19</f>
        <v>11541.2586666667</v>
      </c>
      <c r="D20" s="68" t="n">
        <f aca="false">D18+D19</f>
        <v>13272.4474666667</v>
      </c>
      <c r="E20" s="68" t="n">
        <f aca="false">E18+E19</f>
        <v>15003.6362666667</v>
      </c>
      <c r="F20" s="68" t="n">
        <f aca="false">F18+F19</f>
        <v>16734.8250666667</v>
      </c>
      <c r="G20" s="68" t="n">
        <f aca="false">G18+G19</f>
        <v>18466.0138666667</v>
      </c>
      <c r="H20" s="68" t="n">
        <f aca="false">H18+H19</f>
        <v>27541.64</v>
      </c>
      <c r="I20" s="68" t="n">
        <f aca="false">I18+I19</f>
        <v>29902.352</v>
      </c>
      <c r="J20" s="68" t="n">
        <f aca="false">J18+J19</f>
        <v>32263.064</v>
      </c>
      <c r="K20" s="68" t="n">
        <f aca="false">K18+K19</f>
        <v>25390.7690666667</v>
      </c>
      <c r="L20" s="68" t="n">
        <f aca="false">L18+L19</f>
        <v>27121.9578666667</v>
      </c>
      <c r="M20" s="68" t="n">
        <f aca="false">M18+M19</f>
        <v>28853.1466666667</v>
      </c>
      <c r="N20" s="68" t="n">
        <f aca="false">N18+N19</f>
        <v>28853.1466666667</v>
      </c>
      <c r="O20" s="68" t="n">
        <f aca="false">O18+O19</f>
        <v>30313.115888</v>
      </c>
      <c r="P20" s="68" t="n">
        <f aca="false">P18+P19</f>
        <v>30313.115888</v>
      </c>
      <c r="Q20" s="68" t="n">
        <f aca="false">Q18+Q19</f>
        <v>30313.115888</v>
      </c>
      <c r="R20" s="68" t="n">
        <f aca="false">R18+R19</f>
        <v>30313.115888</v>
      </c>
      <c r="S20" s="68" t="n">
        <f aca="false">S18+S19</f>
        <v>30313.115888</v>
      </c>
      <c r="T20" s="68" t="n">
        <f aca="false">T18+T19</f>
        <v>41336.06712</v>
      </c>
      <c r="U20" s="68" t="n">
        <f aca="false">U18+U19</f>
        <v>41336.06712</v>
      </c>
      <c r="V20" s="68" t="n">
        <f aca="false">V18+V19</f>
        <v>41336.06712</v>
      </c>
      <c r="W20" s="68" t="n">
        <f aca="false">W18+W19</f>
        <v>30313.115888</v>
      </c>
      <c r="X20" s="68" t="n">
        <f aca="false">X18+X19</f>
        <v>30313.115888</v>
      </c>
      <c r="Y20" s="68" t="n">
        <f aca="false">Y18+Y19</f>
        <v>30313.115888</v>
      </c>
      <c r="Z20" s="68" t="n">
        <f aca="false">Z18+Z19</f>
        <v>30313.115888</v>
      </c>
      <c r="AA20" s="68" t="n">
        <f aca="false">AA18+AA19</f>
        <v>31846.9595519328</v>
      </c>
      <c r="AB20" s="68" t="n">
        <f aca="false">AB18+AB19</f>
        <v>31846.9595519328</v>
      </c>
      <c r="AC20" s="68" t="n">
        <f aca="false">AC18+AC19</f>
        <v>31846.9595519328</v>
      </c>
      <c r="AD20" s="68" t="n">
        <f aca="false">AD18+AD19</f>
        <v>31846.9595519328</v>
      </c>
      <c r="AE20" s="68" t="n">
        <f aca="false">AE18+AE19</f>
        <v>31846.9595519328</v>
      </c>
      <c r="AF20" s="68" t="n">
        <f aca="false">AF18+AF19</f>
        <v>43427.672116272</v>
      </c>
      <c r="AG20" s="68" t="n">
        <f aca="false">AG18+AG19</f>
        <v>43427.672116272</v>
      </c>
      <c r="AH20" s="68" t="n">
        <f aca="false">AH18+AH19</f>
        <v>43427.672116272</v>
      </c>
      <c r="AI20" s="68" t="n">
        <f aca="false">AI18+AI19</f>
        <v>31846.9595519328</v>
      </c>
      <c r="AJ20" s="68" t="n">
        <f aca="false">AJ18+AJ19</f>
        <v>31846.9595519328</v>
      </c>
      <c r="AK20" s="68" t="n">
        <f aca="false">AK18+AK19</f>
        <v>31846.9595519328</v>
      </c>
      <c r="AL20" s="68" t="n">
        <f aca="false">AL18+AL19</f>
        <v>31846.9595519328</v>
      </c>
      <c r="AM20" s="68" t="n">
        <f aca="false">AM18+AM19</f>
        <v>33458.4157052606</v>
      </c>
      <c r="AN20" s="68" t="n">
        <f aca="false">AN18+AN19</f>
        <v>33458.4157052606</v>
      </c>
      <c r="AO20" s="68" t="n">
        <f aca="false">AO18+AO19</f>
        <v>33458.4157052606</v>
      </c>
      <c r="AP20" s="68" t="n">
        <f aca="false">AP18+AP19</f>
        <v>33458.4157052606</v>
      </c>
      <c r="AQ20" s="68" t="n">
        <f aca="false">AQ18+AQ19</f>
        <v>33458.4157052606</v>
      </c>
      <c r="AR20" s="68" t="n">
        <f aca="false">AR18+AR19</f>
        <v>45625.1123253554</v>
      </c>
      <c r="AS20" s="68" t="n">
        <f aca="false">AS18+AS19</f>
        <v>45625.1123253554</v>
      </c>
      <c r="AT20" s="68" t="n">
        <f aca="false">AT18+AT19</f>
        <v>45625.1123253554</v>
      </c>
      <c r="AU20" s="68" t="n">
        <f aca="false">AU18+AU19</f>
        <v>33458.4157052606</v>
      </c>
      <c r="AV20" s="68" t="n">
        <f aca="false">AV18+AV19</f>
        <v>33458.4157052606</v>
      </c>
      <c r="AW20" s="68" t="n">
        <f aca="false">AW18+AW19</f>
        <v>33458.4157052606</v>
      </c>
      <c r="AX20" s="68" t="n">
        <f aca="false">AX18+AX19</f>
        <v>33458.4157052606</v>
      </c>
      <c r="AY20" s="68" t="n">
        <f aca="false">AY18+AY19</f>
        <v>35151.4115399468</v>
      </c>
      <c r="AZ20" s="68" t="n">
        <f aca="false">AZ18+AZ19</f>
        <v>35151.4115399468</v>
      </c>
      <c r="BA20" s="68" t="n">
        <f aca="false">BA18+BA19</f>
        <v>35151.4115399468</v>
      </c>
      <c r="BB20" s="68" t="n">
        <f aca="false">BB18+BB19</f>
        <v>35151.4115399468</v>
      </c>
      <c r="BC20" s="68" t="n">
        <f aca="false">BC18+BC19</f>
        <v>35151.4115399468</v>
      </c>
      <c r="BD20" s="68" t="n">
        <f aca="false">BD18+BD19</f>
        <v>47933.7430090184</v>
      </c>
      <c r="BE20" s="68" t="n">
        <f aca="false">BE18+BE19</f>
        <v>47933.7430090184</v>
      </c>
      <c r="BF20" s="68" t="n">
        <f aca="false">BF18+BF19</f>
        <v>47933.7430090184</v>
      </c>
      <c r="BG20" s="68" t="n">
        <f aca="false">BG18+BG19</f>
        <v>35151.4115399468</v>
      </c>
      <c r="BH20" s="68" t="n">
        <f aca="false">BH18+BH19</f>
        <v>35151.4115399468</v>
      </c>
      <c r="BI20" s="68" t="n">
        <f aca="false">BI18+BI19</f>
        <v>35151.4115399468</v>
      </c>
      <c r="BJ20" s="68" t="n">
        <f aca="false">BJ18+BJ19</f>
        <v>35151.4115399468</v>
      </c>
    </row>
    <row r="22" customFormat="false" ht="15.75" hidden="false" customHeight="true" outlineLevel="0" collapsed="false">
      <c r="A22" s="7" t="s">
        <v>76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6" t="s">
        <v>413</v>
      </c>
      <c r="C23" s="69" t="n">
        <f aca="false">Headcount!C14</f>
        <v>-4600</v>
      </c>
      <c r="D23" s="69" t="n">
        <f aca="false">Headcount!D14</f>
        <v>-4600</v>
      </c>
      <c r="E23" s="69" t="n">
        <f aca="false">Headcount!E14</f>
        <v>-4600</v>
      </c>
      <c r="F23" s="69" t="n">
        <f aca="false">Headcount!F14</f>
        <v>-4600</v>
      </c>
      <c r="G23" s="69" t="n">
        <f aca="false">Headcount!G14</f>
        <v>-4600</v>
      </c>
      <c r="H23" s="69" t="n">
        <f aca="false">Headcount!H14</f>
        <v>-4600</v>
      </c>
      <c r="I23" s="69" t="n">
        <f aca="false">Headcount!I14</f>
        <v>-4600</v>
      </c>
      <c r="J23" s="69" t="n">
        <f aca="false">Headcount!J14</f>
        <v>-4600</v>
      </c>
      <c r="K23" s="69" t="n">
        <f aca="false">Headcount!K14</f>
        <v>-4600</v>
      </c>
      <c r="L23" s="69" t="n">
        <f aca="false">Headcount!L14</f>
        <v>-4600</v>
      </c>
      <c r="M23" s="69" t="n">
        <f aca="false">Headcount!M14</f>
        <v>-4600</v>
      </c>
      <c r="N23" s="69" t="n">
        <f aca="false">Headcount!N14</f>
        <v>-4600</v>
      </c>
      <c r="O23" s="69" t="n">
        <f aca="false">Headcount!O14</f>
        <v>-4738</v>
      </c>
      <c r="P23" s="69" t="n">
        <f aca="false">Headcount!P14</f>
        <v>-4738</v>
      </c>
      <c r="Q23" s="69" t="n">
        <f aca="false">Headcount!Q14</f>
        <v>-4738</v>
      </c>
      <c r="R23" s="69" t="n">
        <f aca="false">Headcount!R14</f>
        <v>-4738</v>
      </c>
      <c r="S23" s="69" t="n">
        <f aca="false">Headcount!S14</f>
        <v>-4738</v>
      </c>
      <c r="T23" s="69" t="n">
        <f aca="false">Headcount!T14</f>
        <v>-4738</v>
      </c>
      <c r="U23" s="69" t="n">
        <f aca="false">Headcount!U14</f>
        <v>-4738</v>
      </c>
      <c r="V23" s="69" t="n">
        <f aca="false">Headcount!V14</f>
        <v>-4738</v>
      </c>
      <c r="W23" s="69" t="n">
        <f aca="false">Headcount!W14</f>
        <v>-4738</v>
      </c>
      <c r="X23" s="69" t="n">
        <f aca="false">Headcount!X14</f>
        <v>-4738</v>
      </c>
      <c r="Y23" s="69" t="n">
        <f aca="false">Headcount!Y14</f>
        <v>-4738</v>
      </c>
      <c r="Z23" s="69" t="n">
        <f aca="false">Headcount!Z14</f>
        <v>-4738</v>
      </c>
      <c r="AA23" s="69" t="n">
        <f aca="false">Headcount!AA14</f>
        <v>-4880.14</v>
      </c>
      <c r="AB23" s="69" t="n">
        <f aca="false">Headcount!AB14</f>
        <v>-4880.14</v>
      </c>
      <c r="AC23" s="69" t="n">
        <f aca="false">Headcount!AC14</f>
        <v>-4880.14</v>
      </c>
      <c r="AD23" s="69" t="n">
        <f aca="false">Headcount!AD14</f>
        <v>-4880.14</v>
      </c>
      <c r="AE23" s="69" t="n">
        <f aca="false">Headcount!AE14</f>
        <v>-4880.14</v>
      </c>
      <c r="AF23" s="69" t="n">
        <f aca="false">Headcount!AF14</f>
        <v>-4880.14</v>
      </c>
      <c r="AG23" s="69" t="n">
        <f aca="false">Headcount!AG14</f>
        <v>-4880.14</v>
      </c>
      <c r="AH23" s="69" t="n">
        <f aca="false">Headcount!AH14</f>
        <v>-4880.14</v>
      </c>
      <c r="AI23" s="69" t="n">
        <f aca="false">Headcount!AI14</f>
        <v>-4880.14</v>
      </c>
      <c r="AJ23" s="69" t="n">
        <f aca="false">Headcount!AJ14</f>
        <v>-4880.14</v>
      </c>
      <c r="AK23" s="69" t="n">
        <f aca="false">Headcount!AK14</f>
        <v>-4880.14</v>
      </c>
      <c r="AL23" s="69" t="n">
        <f aca="false">Headcount!AL14</f>
        <v>-4880.14</v>
      </c>
      <c r="AM23" s="69" t="n">
        <f aca="false">Headcount!AM14</f>
        <v>-5026.5442</v>
      </c>
      <c r="AN23" s="69" t="n">
        <f aca="false">Headcount!AN14</f>
        <v>-5026.5442</v>
      </c>
      <c r="AO23" s="69" t="n">
        <f aca="false">Headcount!AO14</f>
        <v>-5026.5442</v>
      </c>
      <c r="AP23" s="69" t="n">
        <f aca="false">Headcount!AP14</f>
        <v>-5026.5442</v>
      </c>
      <c r="AQ23" s="69" t="n">
        <f aca="false">Headcount!AQ14</f>
        <v>-5026.5442</v>
      </c>
      <c r="AR23" s="69" t="n">
        <f aca="false">Headcount!AR14</f>
        <v>-5026.5442</v>
      </c>
      <c r="AS23" s="69" t="n">
        <f aca="false">Headcount!AS14</f>
        <v>-5026.5442</v>
      </c>
      <c r="AT23" s="69" t="n">
        <f aca="false">Headcount!AT14</f>
        <v>-5026.5442</v>
      </c>
      <c r="AU23" s="69" t="n">
        <f aca="false">Headcount!AU14</f>
        <v>-5026.5442</v>
      </c>
      <c r="AV23" s="69" t="n">
        <f aca="false">Headcount!AV14</f>
        <v>-5026.5442</v>
      </c>
      <c r="AW23" s="69" t="n">
        <f aca="false">Headcount!AW14</f>
        <v>-5026.5442</v>
      </c>
      <c r="AX23" s="69" t="n">
        <f aca="false">Headcount!AX14</f>
        <v>-5026.5442</v>
      </c>
      <c r="AY23" s="69" t="n">
        <f aca="false">Headcount!AY14</f>
        <v>-5177.340526</v>
      </c>
      <c r="AZ23" s="69" t="n">
        <f aca="false">Headcount!AZ14</f>
        <v>-5177.340526</v>
      </c>
      <c r="BA23" s="69" t="n">
        <f aca="false">Headcount!BA14</f>
        <v>-5177.340526</v>
      </c>
      <c r="BB23" s="69" t="n">
        <f aca="false">Headcount!BB14</f>
        <v>-5177.340526</v>
      </c>
      <c r="BC23" s="69" t="n">
        <f aca="false">Headcount!BC14</f>
        <v>-5177.340526</v>
      </c>
      <c r="BD23" s="69" t="n">
        <f aca="false">Headcount!BD14</f>
        <v>-5177.340526</v>
      </c>
      <c r="BE23" s="69" t="n">
        <f aca="false">Headcount!BE14</f>
        <v>-5177.340526</v>
      </c>
      <c r="BF23" s="69" t="n">
        <f aca="false">Headcount!BF14</f>
        <v>-5177.340526</v>
      </c>
      <c r="BG23" s="69" t="n">
        <f aca="false">Headcount!BG14</f>
        <v>-5177.340526</v>
      </c>
      <c r="BH23" s="69" t="n">
        <f aca="false">Headcount!BH14</f>
        <v>-5177.340526</v>
      </c>
      <c r="BI23" s="69" t="n">
        <f aca="false">Headcount!BI14</f>
        <v>-5177.340526</v>
      </c>
      <c r="BJ23" s="69" t="n">
        <f aca="false">Headcount!BJ14</f>
        <v>-5177.340526</v>
      </c>
    </row>
    <row r="24" customFormat="false" ht="15" hidden="false" customHeight="false" outlineLevel="0" collapsed="false">
      <c r="A24" s="6" t="s">
        <v>414</v>
      </c>
      <c r="C24" s="67" t="n">
        <f aca="false">-C18*Inputs!$E$25*Inputs!$E$26</f>
        <v>-883.7356</v>
      </c>
      <c r="D24" s="67" t="n">
        <f aca="false">-D18*Inputs!$E$25*Inputs!$E$26</f>
        <v>-1016.29594</v>
      </c>
      <c r="E24" s="67" t="n">
        <f aca="false">-E18*Inputs!$E$25*Inputs!$E$26</f>
        <v>-1148.85628</v>
      </c>
      <c r="F24" s="67" t="n">
        <f aca="false">-F18*Inputs!$E$25*Inputs!$E$26</f>
        <v>-1281.41662</v>
      </c>
      <c r="G24" s="67" t="n">
        <f aca="false">-G18*Inputs!$E$25*Inputs!$E$26</f>
        <v>-1413.97696</v>
      </c>
      <c r="H24" s="67" t="n">
        <f aca="false">-H18*Inputs!$E$25*Inputs!$E$26</f>
        <v>-2108.9145</v>
      </c>
      <c r="I24" s="67" t="n">
        <f aca="false">-I18*Inputs!$E$25*Inputs!$E$26</f>
        <v>-2289.6786</v>
      </c>
      <c r="J24" s="67" t="n">
        <f aca="false">-J18*Inputs!$E$25*Inputs!$E$26</f>
        <v>-2470.4427</v>
      </c>
      <c r="K24" s="67" t="n">
        <f aca="false">-K18*Inputs!$E$25*Inputs!$E$26</f>
        <v>-1944.21832</v>
      </c>
      <c r="L24" s="67" t="n">
        <f aca="false">-L18*Inputs!$E$25*Inputs!$E$26</f>
        <v>-2076.77866</v>
      </c>
      <c r="M24" s="67" t="n">
        <f aca="false">-M18*Inputs!$E$25*Inputs!$E$26</f>
        <v>-2209.339</v>
      </c>
      <c r="N24" s="67" t="n">
        <f aca="false">-N18*Inputs!$E$25*Inputs!$E$26</f>
        <v>-2209.339</v>
      </c>
      <c r="O24" s="67" t="n">
        <f aca="false">-O18*Inputs!$E$25*Inputs!$E$26</f>
        <v>-2321.1315534</v>
      </c>
      <c r="P24" s="67" t="n">
        <f aca="false">-P18*Inputs!$E$25*Inputs!$E$26</f>
        <v>-2321.1315534</v>
      </c>
      <c r="Q24" s="67" t="n">
        <f aca="false">-Q18*Inputs!$E$25*Inputs!$E$26</f>
        <v>-2321.1315534</v>
      </c>
      <c r="R24" s="67" t="n">
        <f aca="false">-R18*Inputs!$E$25*Inputs!$E$26</f>
        <v>-2321.1315534</v>
      </c>
      <c r="S24" s="67" t="n">
        <f aca="false">-S18*Inputs!$E$25*Inputs!$E$26</f>
        <v>-2321.1315534</v>
      </c>
      <c r="T24" s="67" t="n">
        <f aca="false">-T18*Inputs!$E$25*Inputs!$E$26</f>
        <v>-3165.179391</v>
      </c>
      <c r="U24" s="67" t="n">
        <f aca="false">-U18*Inputs!$E$25*Inputs!$E$26</f>
        <v>-3165.179391</v>
      </c>
      <c r="V24" s="67" t="n">
        <f aca="false">-V18*Inputs!$E$25*Inputs!$E$26</f>
        <v>-3165.179391</v>
      </c>
      <c r="W24" s="67" t="n">
        <f aca="false">-W18*Inputs!$E$25*Inputs!$E$26</f>
        <v>-2321.1315534</v>
      </c>
      <c r="X24" s="67" t="n">
        <f aca="false">-X18*Inputs!$E$25*Inputs!$E$26</f>
        <v>-2321.1315534</v>
      </c>
      <c r="Y24" s="67" t="n">
        <f aca="false">-Y18*Inputs!$E$25*Inputs!$E$26</f>
        <v>-2321.1315534</v>
      </c>
      <c r="Z24" s="67" t="n">
        <f aca="false">-Z18*Inputs!$E$25*Inputs!$E$26</f>
        <v>-2321.1315534</v>
      </c>
      <c r="AA24" s="67" t="n">
        <f aca="false">-AA18*Inputs!$E$25*Inputs!$E$26</f>
        <v>-2438.58081000204</v>
      </c>
      <c r="AB24" s="67" t="n">
        <f aca="false">-AB18*Inputs!$E$25*Inputs!$E$26</f>
        <v>-2438.58081000204</v>
      </c>
      <c r="AC24" s="67" t="n">
        <f aca="false">-AC18*Inputs!$E$25*Inputs!$E$26</f>
        <v>-2438.58081000204</v>
      </c>
      <c r="AD24" s="67" t="n">
        <f aca="false">-AD18*Inputs!$E$25*Inputs!$E$26</f>
        <v>-2438.58081000204</v>
      </c>
      <c r="AE24" s="67" t="n">
        <f aca="false">-AE18*Inputs!$E$25*Inputs!$E$26</f>
        <v>-2438.58081000204</v>
      </c>
      <c r="AF24" s="67" t="n">
        <f aca="false">-AF18*Inputs!$E$25*Inputs!$E$26</f>
        <v>-3325.3374681846</v>
      </c>
      <c r="AG24" s="67" t="n">
        <f aca="false">-AG18*Inputs!$E$25*Inputs!$E$26</f>
        <v>-3325.3374681846</v>
      </c>
      <c r="AH24" s="67" t="n">
        <f aca="false">-AH18*Inputs!$E$25*Inputs!$E$26</f>
        <v>-3325.3374681846</v>
      </c>
      <c r="AI24" s="67" t="n">
        <f aca="false">-AI18*Inputs!$E$25*Inputs!$E$26</f>
        <v>-2438.58081000204</v>
      </c>
      <c r="AJ24" s="67" t="n">
        <f aca="false">-AJ18*Inputs!$E$25*Inputs!$E$26</f>
        <v>-2438.58081000204</v>
      </c>
      <c r="AK24" s="67" t="n">
        <f aca="false">-AK18*Inputs!$E$25*Inputs!$E$26</f>
        <v>-2438.58081000204</v>
      </c>
      <c r="AL24" s="67" t="n">
        <f aca="false">-AL18*Inputs!$E$25*Inputs!$E$26</f>
        <v>-2438.58081000204</v>
      </c>
      <c r="AM24" s="67" t="n">
        <f aca="false">-AM18*Inputs!$E$25*Inputs!$E$26</f>
        <v>-2561.97299898814</v>
      </c>
      <c r="AN24" s="67" t="n">
        <f aca="false">-AN18*Inputs!$E$25*Inputs!$E$26</f>
        <v>-2561.97299898814</v>
      </c>
      <c r="AO24" s="67" t="n">
        <f aca="false">-AO18*Inputs!$E$25*Inputs!$E$26</f>
        <v>-2561.97299898814</v>
      </c>
      <c r="AP24" s="67" t="n">
        <f aca="false">-AP18*Inputs!$E$25*Inputs!$E$26</f>
        <v>-2561.97299898814</v>
      </c>
      <c r="AQ24" s="67" t="n">
        <f aca="false">-AQ18*Inputs!$E$25*Inputs!$E$26</f>
        <v>-2561.97299898814</v>
      </c>
      <c r="AR24" s="67" t="n">
        <f aca="false">-AR18*Inputs!$E$25*Inputs!$E$26</f>
        <v>-3493.59954407474</v>
      </c>
      <c r="AS24" s="67" t="n">
        <f aca="false">-AS18*Inputs!$E$25*Inputs!$E$26</f>
        <v>-3493.59954407474</v>
      </c>
      <c r="AT24" s="67" t="n">
        <f aca="false">-AT18*Inputs!$E$25*Inputs!$E$26</f>
        <v>-3493.59954407474</v>
      </c>
      <c r="AU24" s="67" t="n">
        <f aca="false">-AU18*Inputs!$E$25*Inputs!$E$26</f>
        <v>-2561.97299898814</v>
      </c>
      <c r="AV24" s="67" t="n">
        <f aca="false">-AV18*Inputs!$E$25*Inputs!$E$26</f>
        <v>-2561.97299898814</v>
      </c>
      <c r="AW24" s="67" t="n">
        <f aca="false">-AW18*Inputs!$E$25*Inputs!$E$26</f>
        <v>-2561.97299898814</v>
      </c>
      <c r="AX24" s="67" t="n">
        <f aca="false">-AX18*Inputs!$E$25*Inputs!$E$26</f>
        <v>-2561.97299898814</v>
      </c>
      <c r="AY24" s="67" t="n">
        <f aca="false">-AY18*Inputs!$E$25*Inputs!$E$26</f>
        <v>-2691.60883273694</v>
      </c>
      <c r="AZ24" s="67" t="n">
        <f aca="false">-AZ18*Inputs!$E$25*Inputs!$E$26</f>
        <v>-2691.60883273694</v>
      </c>
      <c r="BA24" s="67" t="n">
        <f aca="false">-BA18*Inputs!$E$25*Inputs!$E$26</f>
        <v>-2691.60883273694</v>
      </c>
      <c r="BB24" s="67" t="n">
        <f aca="false">-BB18*Inputs!$E$25*Inputs!$E$26</f>
        <v>-2691.60883273694</v>
      </c>
      <c r="BC24" s="67" t="n">
        <f aca="false">-BC18*Inputs!$E$25*Inputs!$E$26</f>
        <v>-2691.60883273694</v>
      </c>
      <c r="BD24" s="67" t="n">
        <f aca="false">-BD18*Inputs!$E$25*Inputs!$E$26</f>
        <v>-3670.37568100492</v>
      </c>
      <c r="BE24" s="67" t="n">
        <f aca="false">-BE18*Inputs!$E$25*Inputs!$E$26</f>
        <v>-3670.37568100492</v>
      </c>
      <c r="BF24" s="67" t="n">
        <f aca="false">-BF18*Inputs!$E$25*Inputs!$E$26</f>
        <v>-3670.37568100492</v>
      </c>
      <c r="BG24" s="67" t="n">
        <f aca="false">-BG18*Inputs!$E$25*Inputs!$E$26</f>
        <v>-2691.60883273694</v>
      </c>
      <c r="BH24" s="67" t="n">
        <f aca="false">-BH18*Inputs!$E$25*Inputs!$E$26</f>
        <v>-2691.60883273694</v>
      </c>
      <c r="BI24" s="67" t="n">
        <f aca="false">-BI18*Inputs!$E$25*Inputs!$E$26</f>
        <v>-2691.60883273694</v>
      </c>
      <c r="BJ24" s="67" t="n">
        <f aca="false">-BJ18*Inputs!$E$25*Inputs!$E$26</f>
        <v>-2691.60883273694</v>
      </c>
    </row>
    <row r="25" customFormat="false" ht="15" hidden="false" customHeight="false" outlineLevel="0" collapsed="false">
      <c r="A25" s="6" t="s">
        <v>415</v>
      </c>
      <c r="C25" s="67" t="n">
        <f aca="false">-C19*Inputs!$E$22</f>
        <v>-414.656</v>
      </c>
      <c r="D25" s="67" t="n">
        <f aca="false">-D19*Inputs!$E$22</f>
        <v>-476.8544</v>
      </c>
      <c r="E25" s="67" t="n">
        <f aca="false">-E19*Inputs!$E$22</f>
        <v>-539.0528</v>
      </c>
      <c r="F25" s="67" t="n">
        <f aca="false">-F19*Inputs!$E$22</f>
        <v>-601.2512</v>
      </c>
      <c r="G25" s="67" t="n">
        <f aca="false">-G19*Inputs!$E$22</f>
        <v>-663.4496</v>
      </c>
      <c r="H25" s="67" t="n">
        <f aca="false">-H19*Inputs!$E$22</f>
        <v>-989.52</v>
      </c>
      <c r="I25" s="67" t="n">
        <f aca="false">-I19*Inputs!$E$22</f>
        <v>-1074.336</v>
      </c>
      <c r="J25" s="67" t="n">
        <f aca="false">-J19*Inputs!$E$22</f>
        <v>-1159.152</v>
      </c>
      <c r="K25" s="67" t="n">
        <f aca="false">-K19*Inputs!$E$22</f>
        <v>-912.2432</v>
      </c>
      <c r="L25" s="67" t="n">
        <f aca="false">-L19*Inputs!$E$22</f>
        <v>-974.4416</v>
      </c>
      <c r="M25" s="67" t="n">
        <f aca="false">-M19*Inputs!$E$22</f>
        <v>-1036.64</v>
      </c>
      <c r="N25" s="67" t="n">
        <f aca="false">-N19*Inputs!$E$22</f>
        <v>-1036.64</v>
      </c>
      <c r="O25" s="67" t="n">
        <f aca="false">-O19*Inputs!$E$22</f>
        <v>-1089.093984</v>
      </c>
      <c r="P25" s="67" t="n">
        <f aca="false">-P19*Inputs!$E$22</f>
        <v>-1089.093984</v>
      </c>
      <c r="Q25" s="67" t="n">
        <f aca="false">-Q19*Inputs!$E$22</f>
        <v>-1089.093984</v>
      </c>
      <c r="R25" s="67" t="n">
        <f aca="false">-R19*Inputs!$E$22</f>
        <v>-1089.093984</v>
      </c>
      <c r="S25" s="67" t="n">
        <f aca="false">-S19*Inputs!$E$22</f>
        <v>-1089.093984</v>
      </c>
      <c r="T25" s="67" t="n">
        <f aca="false">-T19*Inputs!$E$22</f>
        <v>-1485.12816</v>
      </c>
      <c r="U25" s="67" t="n">
        <f aca="false">-U19*Inputs!$E$22</f>
        <v>-1485.12816</v>
      </c>
      <c r="V25" s="67" t="n">
        <f aca="false">-V19*Inputs!$E$22</f>
        <v>-1485.12816</v>
      </c>
      <c r="W25" s="67" t="n">
        <f aca="false">-W19*Inputs!$E$22</f>
        <v>-1089.093984</v>
      </c>
      <c r="X25" s="67" t="n">
        <f aca="false">-X19*Inputs!$E$22</f>
        <v>-1089.093984</v>
      </c>
      <c r="Y25" s="67" t="n">
        <f aca="false">-Y19*Inputs!$E$22</f>
        <v>-1089.093984</v>
      </c>
      <c r="Z25" s="67" t="n">
        <f aca="false">-Z19*Inputs!$E$22</f>
        <v>-1089.093984</v>
      </c>
      <c r="AA25" s="67" t="n">
        <f aca="false">-AA19*Inputs!$E$22</f>
        <v>-1144.2021395904</v>
      </c>
      <c r="AB25" s="67" t="n">
        <f aca="false">-AB19*Inputs!$E$22</f>
        <v>-1144.2021395904</v>
      </c>
      <c r="AC25" s="67" t="n">
        <f aca="false">-AC19*Inputs!$E$22</f>
        <v>-1144.2021395904</v>
      </c>
      <c r="AD25" s="67" t="n">
        <f aca="false">-AD19*Inputs!$E$22</f>
        <v>-1144.2021395904</v>
      </c>
      <c r="AE25" s="67" t="n">
        <f aca="false">-AE19*Inputs!$E$22</f>
        <v>-1144.2021395904</v>
      </c>
      <c r="AF25" s="67" t="n">
        <f aca="false">-AF19*Inputs!$E$22</f>
        <v>-1560.275644896</v>
      </c>
      <c r="AG25" s="67" t="n">
        <f aca="false">-AG19*Inputs!$E$22</f>
        <v>-1560.275644896</v>
      </c>
      <c r="AH25" s="67" t="n">
        <f aca="false">-AH19*Inputs!$E$22</f>
        <v>-1560.275644896</v>
      </c>
      <c r="AI25" s="67" t="n">
        <f aca="false">-AI19*Inputs!$E$22</f>
        <v>-1144.2021395904</v>
      </c>
      <c r="AJ25" s="67" t="n">
        <f aca="false">-AJ19*Inputs!$E$22</f>
        <v>-1144.2021395904</v>
      </c>
      <c r="AK25" s="67" t="n">
        <f aca="false">-AK19*Inputs!$E$22</f>
        <v>-1144.2021395904</v>
      </c>
      <c r="AL25" s="67" t="n">
        <f aca="false">-AL19*Inputs!$E$22</f>
        <v>-1144.2021395904</v>
      </c>
      <c r="AM25" s="67" t="n">
        <f aca="false">-AM19*Inputs!$E$22</f>
        <v>-1202.09876785367</v>
      </c>
      <c r="AN25" s="67" t="n">
        <f aca="false">-AN19*Inputs!$E$22</f>
        <v>-1202.09876785367</v>
      </c>
      <c r="AO25" s="67" t="n">
        <f aca="false">-AO19*Inputs!$E$22</f>
        <v>-1202.09876785367</v>
      </c>
      <c r="AP25" s="67" t="n">
        <f aca="false">-AP19*Inputs!$E$22</f>
        <v>-1202.09876785367</v>
      </c>
      <c r="AQ25" s="67" t="n">
        <f aca="false">-AQ19*Inputs!$E$22</f>
        <v>-1202.09876785367</v>
      </c>
      <c r="AR25" s="67" t="n">
        <f aca="false">-AR19*Inputs!$E$22</f>
        <v>-1639.22559252774</v>
      </c>
      <c r="AS25" s="67" t="n">
        <f aca="false">-AS19*Inputs!$E$22</f>
        <v>-1639.22559252774</v>
      </c>
      <c r="AT25" s="67" t="n">
        <f aca="false">-AT19*Inputs!$E$22</f>
        <v>-1639.22559252774</v>
      </c>
      <c r="AU25" s="67" t="n">
        <f aca="false">-AU19*Inputs!$E$22</f>
        <v>-1202.09876785367</v>
      </c>
      <c r="AV25" s="67" t="n">
        <f aca="false">-AV19*Inputs!$E$22</f>
        <v>-1202.09876785367</v>
      </c>
      <c r="AW25" s="67" t="n">
        <f aca="false">-AW19*Inputs!$E$22</f>
        <v>-1202.09876785367</v>
      </c>
      <c r="AX25" s="67" t="n">
        <f aca="false">-AX19*Inputs!$E$22</f>
        <v>-1202.09876785367</v>
      </c>
      <c r="AY25" s="67" t="n">
        <f aca="false">-AY19*Inputs!$E$22</f>
        <v>-1262.92496550707</v>
      </c>
      <c r="AZ25" s="67" t="n">
        <f aca="false">-AZ19*Inputs!$E$22</f>
        <v>-1262.92496550707</v>
      </c>
      <c r="BA25" s="67" t="n">
        <f aca="false">-BA19*Inputs!$E$22</f>
        <v>-1262.92496550707</v>
      </c>
      <c r="BB25" s="67" t="n">
        <f aca="false">-BB19*Inputs!$E$22</f>
        <v>-1262.92496550707</v>
      </c>
      <c r="BC25" s="67" t="n">
        <f aca="false">-BC19*Inputs!$E$22</f>
        <v>-1262.92496550707</v>
      </c>
      <c r="BD25" s="67" t="n">
        <f aca="false">-BD19*Inputs!$E$22</f>
        <v>-1722.17040750964</v>
      </c>
      <c r="BE25" s="67" t="n">
        <f aca="false">-BE19*Inputs!$E$22</f>
        <v>-1722.17040750964</v>
      </c>
      <c r="BF25" s="67" t="n">
        <f aca="false">-BF19*Inputs!$E$22</f>
        <v>-1722.17040750964</v>
      </c>
      <c r="BG25" s="67" t="n">
        <f aca="false">-BG19*Inputs!$E$22</f>
        <v>-1262.92496550707</v>
      </c>
      <c r="BH25" s="67" t="n">
        <f aca="false">-BH19*Inputs!$E$22</f>
        <v>-1262.92496550707</v>
      </c>
      <c r="BI25" s="67" t="n">
        <f aca="false">-BI19*Inputs!$E$22</f>
        <v>-1262.92496550707</v>
      </c>
      <c r="BJ25" s="67" t="n">
        <f aca="false">-BJ19*Inputs!$E$22</f>
        <v>-1262.92496550707</v>
      </c>
    </row>
    <row r="26" customFormat="false" ht="15" hidden="false" customHeight="false" outlineLevel="0" collapsed="false">
      <c r="A26" s="6" t="s">
        <v>416</v>
      </c>
      <c r="C26" s="67" t="n">
        <f aca="false">-C14*Inputs!$E$23*(1+Inputs!$E$39)^(C$5-1)</f>
        <v>-691.093333333333</v>
      </c>
      <c r="D26" s="67" t="n">
        <f aca="false">-D14*Inputs!$E$23*(1+Inputs!$E$39)^(D$5-1)</f>
        <v>-794.757333333333</v>
      </c>
      <c r="E26" s="67" t="n">
        <f aca="false">-E14*Inputs!$E$23*(1+Inputs!$E$39)^(E$5-1)</f>
        <v>-898.421333333333</v>
      </c>
      <c r="F26" s="67" t="n">
        <f aca="false">-F14*Inputs!$E$23*(1+Inputs!$E$39)^(F$5-1)</f>
        <v>-1002.08533333333</v>
      </c>
      <c r="G26" s="67" t="n">
        <f aca="false">-G14*Inputs!$E$23*(1+Inputs!$E$39)^(G$5-1)</f>
        <v>-1105.74933333333</v>
      </c>
      <c r="H26" s="67" t="n">
        <f aca="false">-H14*Inputs!$E$23*(1+Inputs!$E$39)^(H$5-1)</f>
        <v>-1649.2</v>
      </c>
      <c r="I26" s="67" t="n">
        <f aca="false">-I14*Inputs!$E$23*(1+Inputs!$E$39)^(I$5-1)</f>
        <v>-1790.56</v>
      </c>
      <c r="J26" s="67" t="n">
        <f aca="false">-J14*Inputs!$E$23*(1+Inputs!$E$39)^(J$5-1)</f>
        <v>-1931.92</v>
      </c>
      <c r="K26" s="67" t="n">
        <f aca="false">-K14*Inputs!$E$23*(1+Inputs!$E$39)^(K$5-1)</f>
        <v>-1520.40533333333</v>
      </c>
      <c r="L26" s="67" t="n">
        <f aca="false">-L14*Inputs!$E$23*(1+Inputs!$E$39)^(L$5-1)</f>
        <v>-1624.06933333333</v>
      </c>
      <c r="M26" s="67" t="n">
        <f aca="false">-M14*Inputs!$E$23*(1+Inputs!$E$39)^(M$5-1)</f>
        <v>-1727.73333333333</v>
      </c>
      <c r="N26" s="67" t="n">
        <f aca="false">-N14*Inputs!$E$23*(1+Inputs!$E$39)^(N$5-1)</f>
        <v>-1727.73333333333</v>
      </c>
      <c r="O26" s="67" t="n">
        <f aca="false">-O14*Inputs!$E$23*(1+Inputs!$E$39)^(O$5-1)</f>
        <v>-1815.15664</v>
      </c>
      <c r="P26" s="67" t="n">
        <f aca="false">-P14*Inputs!$E$23*(1+Inputs!$E$39)^(P$5-1)</f>
        <v>-1815.15664</v>
      </c>
      <c r="Q26" s="67" t="n">
        <f aca="false">-Q14*Inputs!$E$23*(1+Inputs!$E$39)^(Q$5-1)</f>
        <v>-1815.15664</v>
      </c>
      <c r="R26" s="67" t="n">
        <f aca="false">-R14*Inputs!$E$23*(1+Inputs!$E$39)^(R$5-1)</f>
        <v>-1815.15664</v>
      </c>
      <c r="S26" s="67" t="n">
        <f aca="false">-S14*Inputs!$E$23*(1+Inputs!$E$39)^(S$5-1)</f>
        <v>-1815.15664</v>
      </c>
      <c r="T26" s="67" t="n">
        <f aca="false">-T14*Inputs!$E$23*(1+Inputs!$E$39)^(T$5-1)</f>
        <v>-2475.2136</v>
      </c>
      <c r="U26" s="67" t="n">
        <f aca="false">-U14*Inputs!$E$23*(1+Inputs!$E$39)^(U$5-1)</f>
        <v>-2475.2136</v>
      </c>
      <c r="V26" s="67" t="n">
        <f aca="false">-V14*Inputs!$E$23*(1+Inputs!$E$39)^(V$5-1)</f>
        <v>-2475.2136</v>
      </c>
      <c r="W26" s="67" t="n">
        <f aca="false">-W14*Inputs!$E$23*(1+Inputs!$E$39)^(W$5-1)</f>
        <v>-1815.15664</v>
      </c>
      <c r="X26" s="67" t="n">
        <f aca="false">-X14*Inputs!$E$23*(1+Inputs!$E$39)^(X$5-1)</f>
        <v>-1815.15664</v>
      </c>
      <c r="Y26" s="67" t="n">
        <f aca="false">-Y14*Inputs!$E$23*(1+Inputs!$E$39)^(Y$5-1)</f>
        <v>-1815.15664</v>
      </c>
      <c r="Z26" s="67" t="n">
        <f aca="false">-Z14*Inputs!$E$23*(1+Inputs!$E$39)^(Z$5-1)</f>
        <v>-1815.15664</v>
      </c>
      <c r="AA26" s="67" t="n">
        <f aca="false">-AA14*Inputs!$E$23*(1+Inputs!$E$39)^(AA$5-1)</f>
        <v>-1907.003565984</v>
      </c>
      <c r="AB26" s="67" t="n">
        <f aca="false">-AB14*Inputs!$E$23*(1+Inputs!$E$39)^(AB$5-1)</f>
        <v>-1907.003565984</v>
      </c>
      <c r="AC26" s="67" t="n">
        <f aca="false">-AC14*Inputs!$E$23*(1+Inputs!$E$39)^(AC$5-1)</f>
        <v>-1907.003565984</v>
      </c>
      <c r="AD26" s="67" t="n">
        <f aca="false">-AD14*Inputs!$E$23*(1+Inputs!$E$39)^(AD$5-1)</f>
        <v>-1907.003565984</v>
      </c>
      <c r="AE26" s="67" t="n">
        <f aca="false">-AE14*Inputs!$E$23*(1+Inputs!$E$39)^(AE$5-1)</f>
        <v>-1907.003565984</v>
      </c>
      <c r="AF26" s="67" t="n">
        <f aca="false">-AF14*Inputs!$E$23*(1+Inputs!$E$39)^(AF$5-1)</f>
        <v>-2600.45940816</v>
      </c>
      <c r="AG26" s="67" t="n">
        <f aca="false">-AG14*Inputs!$E$23*(1+Inputs!$E$39)^(AG$5-1)</f>
        <v>-2600.45940816</v>
      </c>
      <c r="AH26" s="67" t="n">
        <f aca="false">-AH14*Inputs!$E$23*(1+Inputs!$E$39)^(AH$5-1)</f>
        <v>-2600.45940816</v>
      </c>
      <c r="AI26" s="67" t="n">
        <f aca="false">-AI14*Inputs!$E$23*(1+Inputs!$E$39)^(AI$5-1)</f>
        <v>-1907.003565984</v>
      </c>
      <c r="AJ26" s="67" t="n">
        <f aca="false">-AJ14*Inputs!$E$23*(1+Inputs!$E$39)^(AJ$5-1)</f>
        <v>-1907.003565984</v>
      </c>
      <c r="AK26" s="67" t="n">
        <f aca="false">-AK14*Inputs!$E$23*(1+Inputs!$E$39)^(AK$5-1)</f>
        <v>-1907.003565984</v>
      </c>
      <c r="AL26" s="67" t="n">
        <f aca="false">-AL14*Inputs!$E$23*(1+Inputs!$E$39)^(AL$5-1)</f>
        <v>-1907.003565984</v>
      </c>
      <c r="AM26" s="67" t="n">
        <f aca="false">-AM14*Inputs!$E$23*(1+Inputs!$E$39)^(AM$5-1)</f>
        <v>-2003.49794642279</v>
      </c>
      <c r="AN26" s="67" t="n">
        <f aca="false">-AN14*Inputs!$E$23*(1+Inputs!$E$39)^(AN$5-1)</f>
        <v>-2003.49794642279</v>
      </c>
      <c r="AO26" s="67" t="n">
        <f aca="false">-AO14*Inputs!$E$23*(1+Inputs!$E$39)^(AO$5-1)</f>
        <v>-2003.49794642279</v>
      </c>
      <c r="AP26" s="67" t="n">
        <f aca="false">-AP14*Inputs!$E$23*(1+Inputs!$E$39)^(AP$5-1)</f>
        <v>-2003.49794642279</v>
      </c>
      <c r="AQ26" s="67" t="n">
        <f aca="false">-AQ14*Inputs!$E$23*(1+Inputs!$E$39)^(AQ$5-1)</f>
        <v>-2003.49794642279</v>
      </c>
      <c r="AR26" s="67" t="n">
        <f aca="false">-AR14*Inputs!$E$23*(1+Inputs!$E$39)^(AR$5-1)</f>
        <v>-2732.0426542129</v>
      </c>
      <c r="AS26" s="67" t="n">
        <f aca="false">-AS14*Inputs!$E$23*(1+Inputs!$E$39)^(AS$5-1)</f>
        <v>-2732.0426542129</v>
      </c>
      <c r="AT26" s="67" t="n">
        <f aca="false">-AT14*Inputs!$E$23*(1+Inputs!$E$39)^(AT$5-1)</f>
        <v>-2732.0426542129</v>
      </c>
      <c r="AU26" s="67" t="n">
        <f aca="false">-AU14*Inputs!$E$23*(1+Inputs!$E$39)^(AU$5-1)</f>
        <v>-2003.49794642279</v>
      </c>
      <c r="AV26" s="67" t="n">
        <f aca="false">-AV14*Inputs!$E$23*(1+Inputs!$E$39)^(AV$5-1)</f>
        <v>-2003.49794642279</v>
      </c>
      <c r="AW26" s="67" t="n">
        <f aca="false">-AW14*Inputs!$E$23*(1+Inputs!$E$39)^(AW$5-1)</f>
        <v>-2003.49794642279</v>
      </c>
      <c r="AX26" s="67" t="n">
        <f aca="false">-AX14*Inputs!$E$23*(1+Inputs!$E$39)^(AX$5-1)</f>
        <v>-2003.49794642279</v>
      </c>
      <c r="AY26" s="67" t="n">
        <f aca="false">-AY14*Inputs!$E$23*(1+Inputs!$E$39)^(AY$5-1)</f>
        <v>-2104.87494251178</v>
      </c>
      <c r="AZ26" s="67" t="n">
        <f aca="false">-AZ14*Inputs!$E$23*(1+Inputs!$E$39)^(AZ$5-1)</f>
        <v>-2104.87494251178</v>
      </c>
      <c r="BA26" s="67" t="n">
        <f aca="false">-BA14*Inputs!$E$23*(1+Inputs!$E$39)^(BA$5-1)</f>
        <v>-2104.87494251178</v>
      </c>
      <c r="BB26" s="67" t="n">
        <f aca="false">-BB14*Inputs!$E$23*(1+Inputs!$E$39)^(BB$5-1)</f>
        <v>-2104.87494251178</v>
      </c>
      <c r="BC26" s="67" t="n">
        <f aca="false">-BC14*Inputs!$E$23*(1+Inputs!$E$39)^(BC$5-1)</f>
        <v>-2104.87494251178</v>
      </c>
      <c r="BD26" s="67" t="n">
        <f aca="false">-BD14*Inputs!$E$23*(1+Inputs!$E$39)^(BD$5-1)</f>
        <v>-2870.28401251607</v>
      </c>
      <c r="BE26" s="67" t="n">
        <f aca="false">-BE14*Inputs!$E$23*(1+Inputs!$E$39)^(BE$5-1)</f>
        <v>-2870.28401251607</v>
      </c>
      <c r="BF26" s="67" t="n">
        <f aca="false">-BF14*Inputs!$E$23*(1+Inputs!$E$39)^(BF$5-1)</f>
        <v>-2870.28401251607</v>
      </c>
      <c r="BG26" s="67" t="n">
        <f aca="false">-BG14*Inputs!$E$23*(1+Inputs!$E$39)^(BG$5-1)</f>
        <v>-2104.87494251178</v>
      </c>
      <c r="BH26" s="67" t="n">
        <f aca="false">-BH14*Inputs!$E$23*(1+Inputs!$E$39)^(BH$5-1)</f>
        <v>-2104.87494251178</v>
      </c>
      <c r="BI26" s="67" t="n">
        <f aca="false">-BI14*Inputs!$E$23*(1+Inputs!$E$39)^(BI$5-1)</f>
        <v>-2104.87494251178</v>
      </c>
      <c r="BJ26" s="67" t="n">
        <f aca="false">-BJ14*Inputs!$E$23*(1+Inputs!$E$39)^(BJ$5-1)</f>
        <v>-2104.87494251178</v>
      </c>
    </row>
    <row r="27" customFormat="false" ht="15" hidden="false" customHeight="false" outlineLevel="0" collapsed="false">
      <c r="A27" s="6" t="s">
        <v>417</v>
      </c>
      <c r="C27" s="67" t="n">
        <f aca="false">-C13*Inputs!$E$24*(1+Inputs!$E$39)^(C$5-1)</f>
        <v>-276.437333333333</v>
      </c>
      <c r="D27" s="67" t="n">
        <f aca="false">-D13*Inputs!$E$24*(1+Inputs!$E$39)^(D$5-1)</f>
        <v>-317.902933333333</v>
      </c>
      <c r="E27" s="67" t="n">
        <f aca="false">-E13*Inputs!$E$24*(1+Inputs!$E$39)^(E$5-1)</f>
        <v>-359.368533333333</v>
      </c>
      <c r="F27" s="67" t="n">
        <f aca="false">-F13*Inputs!$E$24*(1+Inputs!$E$39)^(F$5-1)</f>
        <v>-400.834133333333</v>
      </c>
      <c r="G27" s="67" t="n">
        <f aca="false">-G13*Inputs!$E$24*(1+Inputs!$E$39)^(G$5-1)</f>
        <v>-442.299733333333</v>
      </c>
      <c r="H27" s="67" t="n">
        <f aca="false">-H13*Inputs!$E$24*(1+Inputs!$E$39)^(H$5-1)</f>
        <v>-659.68</v>
      </c>
      <c r="I27" s="67" t="n">
        <f aca="false">-I13*Inputs!$E$24*(1+Inputs!$E$39)^(I$5-1)</f>
        <v>-716.224</v>
      </c>
      <c r="J27" s="67" t="n">
        <f aca="false">-J13*Inputs!$E$24*(1+Inputs!$E$39)^(J$5-1)</f>
        <v>-772.768</v>
      </c>
      <c r="K27" s="67" t="n">
        <f aca="false">-K13*Inputs!$E$24*(1+Inputs!$E$39)^(K$5-1)</f>
        <v>-608.162133333333</v>
      </c>
      <c r="L27" s="67" t="n">
        <f aca="false">-L13*Inputs!$E$24*(1+Inputs!$E$39)^(L$5-1)</f>
        <v>-649.627733333333</v>
      </c>
      <c r="M27" s="67" t="n">
        <f aca="false">-M13*Inputs!$E$24*(1+Inputs!$E$39)^(M$5-1)</f>
        <v>-691.093333333333</v>
      </c>
      <c r="N27" s="67" t="n">
        <f aca="false">-N13*Inputs!$E$24*(1+Inputs!$E$39)^(N$5-1)</f>
        <v>-691.093333333333</v>
      </c>
      <c r="O27" s="67" t="n">
        <f aca="false">-O13*Inputs!$E$24*(1+Inputs!$E$39)^(O$5-1)</f>
        <v>-726.062656</v>
      </c>
      <c r="P27" s="67" t="n">
        <f aca="false">-P13*Inputs!$E$24*(1+Inputs!$E$39)^(P$5-1)</f>
        <v>-726.062656</v>
      </c>
      <c r="Q27" s="67" t="n">
        <f aca="false">-Q13*Inputs!$E$24*(1+Inputs!$E$39)^(Q$5-1)</f>
        <v>-726.062656</v>
      </c>
      <c r="R27" s="67" t="n">
        <f aca="false">-R13*Inputs!$E$24*(1+Inputs!$E$39)^(R$5-1)</f>
        <v>-726.062656</v>
      </c>
      <c r="S27" s="67" t="n">
        <f aca="false">-S13*Inputs!$E$24*(1+Inputs!$E$39)^(S$5-1)</f>
        <v>-726.062656</v>
      </c>
      <c r="T27" s="67" t="n">
        <f aca="false">-T13*Inputs!$E$24*(1+Inputs!$E$39)^(T$5-1)</f>
        <v>-990.08544</v>
      </c>
      <c r="U27" s="67" t="n">
        <f aca="false">-U13*Inputs!$E$24*(1+Inputs!$E$39)^(U$5-1)</f>
        <v>-990.08544</v>
      </c>
      <c r="V27" s="67" t="n">
        <f aca="false">-V13*Inputs!$E$24*(1+Inputs!$E$39)^(V$5-1)</f>
        <v>-990.08544</v>
      </c>
      <c r="W27" s="67" t="n">
        <f aca="false">-W13*Inputs!$E$24*(1+Inputs!$E$39)^(W$5-1)</f>
        <v>-726.062656</v>
      </c>
      <c r="X27" s="67" t="n">
        <f aca="false">-X13*Inputs!$E$24*(1+Inputs!$E$39)^(X$5-1)</f>
        <v>-726.062656</v>
      </c>
      <c r="Y27" s="67" t="n">
        <f aca="false">-Y13*Inputs!$E$24*(1+Inputs!$E$39)^(Y$5-1)</f>
        <v>-726.062656</v>
      </c>
      <c r="Z27" s="67" t="n">
        <f aca="false">-Z13*Inputs!$E$24*(1+Inputs!$E$39)^(Z$5-1)</f>
        <v>-726.062656</v>
      </c>
      <c r="AA27" s="67" t="n">
        <f aca="false">-AA13*Inputs!$E$24*(1+Inputs!$E$39)^(AA$5-1)</f>
        <v>-762.8014263936</v>
      </c>
      <c r="AB27" s="67" t="n">
        <f aca="false">-AB13*Inputs!$E$24*(1+Inputs!$E$39)^(AB$5-1)</f>
        <v>-762.8014263936</v>
      </c>
      <c r="AC27" s="67" t="n">
        <f aca="false">-AC13*Inputs!$E$24*(1+Inputs!$E$39)^(AC$5-1)</f>
        <v>-762.8014263936</v>
      </c>
      <c r="AD27" s="67" t="n">
        <f aca="false">-AD13*Inputs!$E$24*(1+Inputs!$E$39)^(AD$5-1)</f>
        <v>-762.8014263936</v>
      </c>
      <c r="AE27" s="67" t="n">
        <f aca="false">-AE13*Inputs!$E$24*(1+Inputs!$E$39)^(AE$5-1)</f>
        <v>-762.8014263936</v>
      </c>
      <c r="AF27" s="67" t="n">
        <f aca="false">-AF13*Inputs!$E$24*(1+Inputs!$E$39)^(AF$5-1)</f>
        <v>-1040.183763264</v>
      </c>
      <c r="AG27" s="67" t="n">
        <f aca="false">-AG13*Inputs!$E$24*(1+Inputs!$E$39)^(AG$5-1)</f>
        <v>-1040.183763264</v>
      </c>
      <c r="AH27" s="67" t="n">
        <f aca="false">-AH13*Inputs!$E$24*(1+Inputs!$E$39)^(AH$5-1)</f>
        <v>-1040.183763264</v>
      </c>
      <c r="AI27" s="67" t="n">
        <f aca="false">-AI13*Inputs!$E$24*(1+Inputs!$E$39)^(AI$5-1)</f>
        <v>-762.8014263936</v>
      </c>
      <c r="AJ27" s="67" t="n">
        <f aca="false">-AJ13*Inputs!$E$24*(1+Inputs!$E$39)^(AJ$5-1)</f>
        <v>-762.8014263936</v>
      </c>
      <c r="AK27" s="67" t="n">
        <f aca="false">-AK13*Inputs!$E$24*(1+Inputs!$E$39)^(AK$5-1)</f>
        <v>-762.8014263936</v>
      </c>
      <c r="AL27" s="67" t="n">
        <f aca="false">-AL13*Inputs!$E$24*(1+Inputs!$E$39)^(AL$5-1)</f>
        <v>-762.8014263936</v>
      </c>
      <c r="AM27" s="67" t="n">
        <f aca="false">-AM13*Inputs!$E$24*(1+Inputs!$E$39)^(AM$5-1)</f>
        <v>-801.399178569116</v>
      </c>
      <c r="AN27" s="67" t="n">
        <f aca="false">-AN13*Inputs!$E$24*(1+Inputs!$E$39)^(AN$5-1)</f>
        <v>-801.399178569116</v>
      </c>
      <c r="AO27" s="67" t="n">
        <f aca="false">-AO13*Inputs!$E$24*(1+Inputs!$E$39)^(AO$5-1)</f>
        <v>-801.399178569116</v>
      </c>
      <c r="AP27" s="67" t="n">
        <f aca="false">-AP13*Inputs!$E$24*(1+Inputs!$E$39)^(AP$5-1)</f>
        <v>-801.399178569116</v>
      </c>
      <c r="AQ27" s="67" t="n">
        <f aca="false">-AQ13*Inputs!$E$24*(1+Inputs!$E$39)^(AQ$5-1)</f>
        <v>-801.399178569116</v>
      </c>
      <c r="AR27" s="67" t="n">
        <f aca="false">-AR13*Inputs!$E$24*(1+Inputs!$E$39)^(AR$5-1)</f>
        <v>-1092.81706168516</v>
      </c>
      <c r="AS27" s="67" t="n">
        <f aca="false">-AS13*Inputs!$E$24*(1+Inputs!$E$39)^(AS$5-1)</f>
        <v>-1092.81706168516</v>
      </c>
      <c r="AT27" s="67" t="n">
        <f aca="false">-AT13*Inputs!$E$24*(1+Inputs!$E$39)^(AT$5-1)</f>
        <v>-1092.81706168516</v>
      </c>
      <c r="AU27" s="67" t="n">
        <f aca="false">-AU13*Inputs!$E$24*(1+Inputs!$E$39)^(AU$5-1)</f>
        <v>-801.399178569116</v>
      </c>
      <c r="AV27" s="67" t="n">
        <f aca="false">-AV13*Inputs!$E$24*(1+Inputs!$E$39)^(AV$5-1)</f>
        <v>-801.399178569116</v>
      </c>
      <c r="AW27" s="67" t="n">
        <f aca="false">-AW13*Inputs!$E$24*(1+Inputs!$E$39)^(AW$5-1)</f>
        <v>-801.399178569116</v>
      </c>
      <c r="AX27" s="67" t="n">
        <f aca="false">-AX13*Inputs!$E$24*(1+Inputs!$E$39)^(AX$5-1)</f>
        <v>-801.399178569116</v>
      </c>
      <c r="AY27" s="67" t="n">
        <f aca="false">-AY13*Inputs!$E$24*(1+Inputs!$E$39)^(AY$5-1)</f>
        <v>-841.949977004714</v>
      </c>
      <c r="AZ27" s="67" t="n">
        <f aca="false">-AZ13*Inputs!$E$24*(1+Inputs!$E$39)^(AZ$5-1)</f>
        <v>-841.949977004714</v>
      </c>
      <c r="BA27" s="67" t="n">
        <f aca="false">-BA13*Inputs!$E$24*(1+Inputs!$E$39)^(BA$5-1)</f>
        <v>-841.949977004714</v>
      </c>
      <c r="BB27" s="67" t="n">
        <f aca="false">-BB13*Inputs!$E$24*(1+Inputs!$E$39)^(BB$5-1)</f>
        <v>-841.949977004714</v>
      </c>
      <c r="BC27" s="67" t="n">
        <f aca="false">-BC13*Inputs!$E$24*(1+Inputs!$E$39)^(BC$5-1)</f>
        <v>-841.949977004714</v>
      </c>
      <c r="BD27" s="67" t="n">
        <f aca="false">-BD13*Inputs!$E$24*(1+Inputs!$E$39)^(BD$5-1)</f>
        <v>-1148.11360500643</v>
      </c>
      <c r="BE27" s="67" t="n">
        <f aca="false">-BE13*Inputs!$E$24*(1+Inputs!$E$39)^(BE$5-1)</f>
        <v>-1148.11360500643</v>
      </c>
      <c r="BF27" s="67" t="n">
        <f aca="false">-BF13*Inputs!$E$24*(1+Inputs!$E$39)^(BF$5-1)</f>
        <v>-1148.11360500643</v>
      </c>
      <c r="BG27" s="67" t="n">
        <f aca="false">-BG13*Inputs!$E$24*(1+Inputs!$E$39)^(BG$5-1)</f>
        <v>-841.949977004714</v>
      </c>
      <c r="BH27" s="67" t="n">
        <f aca="false">-BH13*Inputs!$E$24*(1+Inputs!$E$39)^(BH$5-1)</f>
        <v>-841.949977004714</v>
      </c>
      <c r="BI27" s="67" t="n">
        <f aca="false">-BI13*Inputs!$E$24*(1+Inputs!$E$39)^(BI$5-1)</f>
        <v>-841.949977004714</v>
      </c>
      <c r="BJ27" s="67" t="n">
        <f aca="false">-BJ13*Inputs!$E$24*(1+Inputs!$E$39)^(BJ$5-1)</f>
        <v>-841.949977004714</v>
      </c>
    </row>
    <row r="28" customFormat="false" ht="15" hidden="false" customHeight="false" outlineLevel="0" collapsed="false">
      <c r="A28" s="4" t="s">
        <v>76</v>
      </c>
      <c r="C28" s="73" t="n">
        <f aca="false">C23+C24+C25+C26+C27</f>
        <v>-6865.92226666667</v>
      </c>
      <c r="D28" s="73" t="n">
        <f aca="false">D23+D24+D25+D26+D27</f>
        <v>-7205.81060666667</v>
      </c>
      <c r="E28" s="73" t="n">
        <f aca="false">E23+E24+E25+E26+E27</f>
        <v>-7545.69894666667</v>
      </c>
      <c r="F28" s="73" t="n">
        <f aca="false">F23+F24+F25+F26+F27</f>
        <v>-7885.58728666667</v>
      </c>
      <c r="G28" s="73" t="n">
        <f aca="false">G23+G24+G25+G26+G27</f>
        <v>-8225.47562666667</v>
      </c>
      <c r="H28" s="73" t="n">
        <f aca="false">H23+H24+H25+H26+H27</f>
        <v>-10007.3145</v>
      </c>
      <c r="I28" s="73" t="n">
        <f aca="false">I23+I24+I25+I26+I27</f>
        <v>-10470.7986</v>
      </c>
      <c r="J28" s="73" t="n">
        <f aca="false">J23+J24+J25+J26+J27</f>
        <v>-10934.2827</v>
      </c>
      <c r="K28" s="73" t="n">
        <f aca="false">K23+K24+K25+K26+K27</f>
        <v>-9585.02898666667</v>
      </c>
      <c r="L28" s="73" t="n">
        <f aca="false">L23+L24+L25+L26+L27</f>
        <v>-9924.91732666667</v>
      </c>
      <c r="M28" s="73" t="n">
        <f aca="false">M23+M24+M25+M26+M27</f>
        <v>-10264.8056666667</v>
      </c>
      <c r="N28" s="73" t="n">
        <f aca="false">N23+N24+N25+N26+N27</f>
        <v>-10264.8056666667</v>
      </c>
      <c r="O28" s="73" t="n">
        <f aca="false">O23+O24+O25+O26+O27</f>
        <v>-10689.4448334</v>
      </c>
      <c r="P28" s="73" t="n">
        <f aca="false">P23+P24+P25+P26+P27</f>
        <v>-10689.4448334</v>
      </c>
      <c r="Q28" s="73" t="n">
        <f aca="false">Q23+Q24+Q25+Q26+Q27</f>
        <v>-10689.4448334</v>
      </c>
      <c r="R28" s="73" t="n">
        <f aca="false">R23+R24+R25+R26+R27</f>
        <v>-10689.4448334</v>
      </c>
      <c r="S28" s="73" t="n">
        <f aca="false">S23+S24+S25+S26+S27</f>
        <v>-10689.4448334</v>
      </c>
      <c r="T28" s="73" t="n">
        <f aca="false">T23+T24+T25+T26+T27</f>
        <v>-12853.606591</v>
      </c>
      <c r="U28" s="73" t="n">
        <f aca="false">U23+U24+U25+U26+U27</f>
        <v>-12853.606591</v>
      </c>
      <c r="V28" s="73" t="n">
        <f aca="false">V23+V24+V25+V26+V27</f>
        <v>-12853.606591</v>
      </c>
      <c r="W28" s="73" t="n">
        <f aca="false">W23+W24+W25+W26+W27</f>
        <v>-10689.4448334</v>
      </c>
      <c r="X28" s="73" t="n">
        <f aca="false">X23+X24+X25+X26+X27</f>
        <v>-10689.4448334</v>
      </c>
      <c r="Y28" s="73" t="n">
        <f aca="false">Y23+Y24+Y25+Y26+Y27</f>
        <v>-10689.4448334</v>
      </c>
      <c r="Z28" s="73" t="n">
        <f aca="false">Z23+Z24+Z25+Z26+Z27</f>
        <v>-10689.4448334</v>
      </c>
      <c r="AA28" s="73" t="n">
        <f aca="false">AA23+AA24+AA25+AA26+AA27</f>
        <v>-11132.72794197</v>
      </c>
      <c r="AB28" s="73" t="n">
        <f aca="false">AB23+AB24+AB25+AB26+AB27</f>
        <v>-11132.72794197</v>
      </c>
      <c r="AC28" s="73" t="n">
        <f aca="false">AC23+AC24+AC25+AC26+AC27</f>
        <v>-11132.72794197</v>
      </c>
      <c r="AD28" s="73" t="n">
        <f aca="false">AD23+AD24+AD25+AD26+AD27</f>
        <v>-11132.72794197</v>
      </c>
      <c r="AE28" s="73" t="n">
        <f aca="false">AE23+AE24+AE25+AE26+AE27</f>
        <v>-11132.72794197</v>
      </c>
      <c r="AF28" s="73" t="n">
        <f aca="false">AF23+AF24+AF25+AF26+AF27</f>
        <v>-13406.3962845046</v>
      </c>
      <c r="AG28" s="73" t="n">
        <f aca="false">AG23+AG24+AG25+AG26+AG27</f>
        <v>-13406.3962845046</v>
      </c>
      <c r="AH28" s="73" t="n">
        <f aca="false">AH23+AH24+AH25+AH26+AH27</f>
        <v>-13406.3962845046</v>
      </c>
      <c r="AI28" s="73" t="n">
        <f aca="false">AI23+AI24+AI25+AI26+AI27</f>
        <v>-11132.72794197</v>
      </c>
      <c r="AJ28" s="73" t="n">
        <f aca="false">AJ23+AJ24+AJ25+AJ26+AJ27</f>
        <v>-11132.72794197</v>
      </c>
      <c r="AK28" s="73" t="n">
        <f aca="false">AK23+AK24+AK25+AK26+AK27</f>
        <v>-11132.72794197</v>
      </c>
      <c r="AL28" s="73" t="n">
        <f aca="false">AL23+AL24+AL25+AL26+AL27</f>
        <v>-11132.72794197</v>
      </c>
      <c r="AM28" s="73" t="n">
        <f aca="false">AM23+AM24+AM25+AM26+AM27</f>
        <v>-11595.5130918337</v>
      </c>
      <c r="AN28" s="73" t="n">
        <f aca="false">AN23+AN24+AN25+AN26+AN27</f>
        <v>-11595.5130918337</v>
      </c>
      <c r="AO28" s="73" t="n">
        <f aca="false">AO23+AO24+AO25+AO26+AO27</f>
        <v>-11595.5130918337</v>
      </c>
      <c r="AP28" s="73" t="n">
        <f aca="false">AP23+AP24+AP25+AP26+AP27</f>
        <v>-11595.5130918337</v>
      </c>
      <c r="AQ28" s="73" t="n">
        <f aca="false">AQ23+AQ24+AQ25+AQ26+AQ27</f>
        <v>-11595.5130918337</v>
      </c>
      <c r="AR28" s="73" t="n">
        <f aca="false">AR23+AR24+AR25+AR26+AR27</f>
        <v>-13984.2290525005</v>
      </c>
      <c r="AS28" s="73" t="n">
        <f aca="false">AS23+AS24+AS25+AS26+AS27</f>
        <v>-13984.2290525005</v>
      </c>
      <c r="AT28" s="73" t="n">
        <f aca="false">AT23+AT24+AT25+AT26+AT27</f>
        <v>-13984.2290525005</v>
      </c>
      <c r="AU28" s="73" t="n">
        <f aca="false">AU23+AU24+AU25+AU26+AU27</f>
        <v>-11595.5130918337</v>
      </c>
      <c r="AV28" s="73" t="n">
        <f aca="false">AV23+AV24+AV25+AV26+AV27</f>
        <v>-11595.5130918337</v>
      </c>
      <c r="AW28" s="73" t="n">
        <f aca="false">AW23+AW24+AW25+AW26+AW27</f>
        <v>-11595.5130918337</v>
      </c>
      <c r="AX28" s="73" t="n">
        <f aca="false">AX23+AX24+AX25+AX26+AX27</f>
        <v>-11595.5130918337</v>
      </c>
      <c r="AY28" s="73" t="n">
        <f aca="false">AY23+AY24+AY25+AY26+AY27</f>
        <v>-12078.6992437605</v>
      </c>
      <c r="AZ28" s="73" t="n">
        <f aca="false">AZ23+AZ24+AZ25+AZ26+AZ27</f>
        <v>-12078.6992437605</v>
      </c>
      <c r="BA28" s="73" t="n">
        <f aca="false">BA23+BA24+BA25+BA26+BA27</f>
        <v>-12078.6992437605</v>
      </c>
      <c r="BB28" s="73" t="n">
        <f aca="false">BB23+BB24+BB25+BB26+BB27</f>
        <v>-12078.6992437605</v>
      </c>
      <c r="BC28" s="73" t="n">
        <f aca="false">BC23+BC24+BC25+BC26+BC27</f>
        <v>-12078.6992437605</v>
      </c>
      <c r="BD28" s="73" t="n">
        <f aca="false">BD23+BD24+BD25+BD26+BD27</f>
        <v>-14588.2842320371</v>
      </c>
      <c r="BE28" s="73" t="n">
        <f aca="false">BE23+BE24+BE25+BE26+BE27</f>
        <v>-14588.2842320371</v>
      </c>
      <c r="BF28" s="73" t="n">
        <f aca="false">BF23+BF24+BF25+BF26+BF27</f>
        <v>-14588.2842320371</v>
      </c>
      <c r="BG28" s="73" t="n">
        <f aca="false">BG23+BG24+BG25+BG26+BG27</f>
        <v>-12078.6992437605</v>
      </c>
      <c r="BH28" s="73" t="n">
        <f aca="false">BH23+BH24+BH25+BH26+BH27</f>
        <v>-12078.6992437605</v>
      </c>
      <c r="BI28" s="73" t="n">
        <f aca="false">BI23+BI24+BI25+BI26+BI27</f>
        <v>-12078.6992437605</v>
      </c>
      <c r="BJ28" s="73" t="n">
        <f aca="false">BJ23+BJ24+BJ25+BJ26+BJ27</f>
        <v>-12078.6992437605</v>
      </c>
    </row>
    <row r="29" customFormat="false" ht="15" hidden="false" customHeight="false" outlineLevel="0" collapsed="false">
      <c r="A29" s="111" t="s">
        <v>45</v>
      </c>
      <c r="C29" s="68" t="n">
        <f aca="false">C20+C28</f>
        <v>4675.3364</v>
      </c>
      <c r="D29" s="68" t="n">
        <f aca="false">D20+D28</f>
        <v>6066.63686</v>
      </c>
      <c r="E29" s="68" t="n">
        <f aca="false">E20+E28</f>
        <v>7457.93732</v>
      </c>
      <c r="F29" s="68" t="n">
        <f aca="false">F20+F28</f>
        <v>8849.23778</v>
      </c>
      <c r="G29" s="68" t="n">
        <f aca="false">G20+G28</f>
        <v>10240.53824</v>
      </c>
      <c r="H29" s="68" t="n">
        <f aca="false">H20+H28</f>
        <v>17534.3255</v>
      </c>
      <c r="I29" s="68" t="n">
        <f aca="false">I20+I28</f>
        <v>19431.5534</v>
      </c>
      <c r="J29" s="68" t="n">
        <f aca="false">J20+J28</f>
        <v>21328.7813</v>
      </c>
      <c r="K29" s="68" t="n">
        <f aca="false">K20+K28</f>
        <v>15805.74008</v>
      </c>
      <c r="L29" s="68" t="n">
        <f aca="false">L20+L28</f>
        <v>17197.04054</v>
      </c>
      <c r="M29" s="68" t="n">
        <f aca="false">M20+M28</f>
        <v>18588.341</v>
      </c>
      <c r="N29" s="68" t="n">
        <f aca="false">N20+N28</f>
        <v>18588.341</v>
      </c>
      <c r="O29" s="68" t="n">
        <f aca="false">O20+O28</f>
        <v>19623.6710546</v>
      </c>
      <c r="P29" s="68" t="n">
        <f aca="false">P20+P28</f>
        <v>19623.6710546</v>
      </c>
      <c r="Q29" s="68" t="n">
        <f aca="false">Q20+Q28</f>
        <v>19623.6710546</v>
      </c>
      <c r="R29" s="68" t="n">
        <f aca="false">R20+R28</f>
        <v>19623.6710546</v>
      </c>
      <c r="S29" s="68" t="n">
        <f aca="false">S20+S28</f>
        <v>19623.6710546</v>
      </c>
      <c r="T29" s="68" t="n">
        <f aca="false">T20+T28</f>
        <v>28482.460529</v>
      </c>
      <c r="U29" s="68" t="n">
        <f aca="false">U20+U28</f>
        <v>28482.460529</v>
      </c>
      <c r="V29" s="68" t="n">
        <f aca="false">V20+V28</f>
        <v>28482.460529</v>
      </c>
      <c r="W29" s="68" t="n">
        <f aca="false">W20+W28</f>
        <v>19623.6710546</v>
      </c>
      <c r="X29" s="68" t="n">
        <f aca="false">X20+X28</f>
        <v>19623.6710546</v>
      </c>
      <c r="Y29" s="68" t="n">
        <f aca="false">Y20+Y28</f>
        <v>19623.6710546</v>
      </c>
      <c r="Z29" s="68" t="n">
        <f aca="false">Z20+Z28</f>
        <v>19623.6710546</v>
      </c>
      <c r="AA29" s="68" t="n">
        <f aca="false">AA20+AA28</f>
        <v>20714.2316099628</v>
      </c>
      <c r="AB29" s="68" t="n">
        <f aca="false">AB20+AB28</f>
        <v>20714.2316099628</v>
      </c>
      <c r="AC29" s="68" t="n">
        <f aca="false">AC20+AC28</f>
        <v>20714.2316099628</v>
      </c>
      <c r="AD29" s="68" t="n">
        <f aca="false">AD20+AD28</f>
        <v>20714.2316099628</v>
      </c>
      <c r="AE29" s="68" t="n">
        <f aca="false">AE20+AE28</f>
        <v>20714.2316099628</v>
      </c>
      <c r="AF29" s="68" t="n">
        <f aca="false">AF20+AF28</f>
        <v>30021.2758317674</v>
      </c>
      <c r="AG29" s="68" t="n">
        <f aca="false">AG20+AG28</f>
        <v>30021.2758317674</v>
      </c>
      <c r="AH29" s="68" t="n">
        <f aca="false">AH20+AH28</f>
        <v>30021.2758317674</v>
      </c>
      <c r="AI29" s="68" t="n">
        <f aca="false">AI20+AI28</f>
        <v>20714.2316099628</v>
      </c>
      <c r="AJ29" s="68" t="n">
        <f aca="false">AJ20+AJ28</f>
        <v>20714.2316099628</v>
      </c>
      <c r="AK29" s="68" t="n">
        <f aca="false">AK20+AK28</f>
        <v>20714.2316099628</v>
      </c>
      <c r="AL29" s="68" t="n">
        <f aca="false">AL20+AL28</f>
        <v>20714.2316099628</v>
      </c>
      <c r="AM29" s="68" t="n">
        <f aca="false">AM20+AM28</f>
        <v>21862.9026134269</v>
      </c>
      <c r="AN29" s="68" t="n">
        <f aca="false">AN20+AN28</f>
        <v>21862.9026134269</v>
      </c>
      <c r="AO29" s="68" t="n">
        <f aca="false">AO20+AO28</f>
        <v>21862.9026134269</v>
      </c>
      <c r="AP29" s="68" t="n">
        <f aca="false">AP20+AP28</f>
        <v>21862.9026134269</v>
      </c>
      <c r="AQ29" s="68" t="n">
        <f aca="false">AQ20+AQ28</f>
        <v>21862.9026134269</v>
      </c>
      <c r="AR29" s="68" t="n">
        <f aca="false">AR20+AR28</f>
        <v>31640.8832728548</v>
      </c>
      <c r="AS29" s="68" t="n">
        <f aca="false">AS20+AS28</f>
        <v>31640.8832728548</v>
      </c>
      <c r="AT29" s="68" t="n">
        <f aca="false">AT20+AT28</f>
        <v>31640.8832728548</v>
      </c>
      <c r="AU29" s="68" t="n">
        <f aca="false">AU20+AU28</f>
        <v>21862.9026134269</v>
      </c>
      <c r="AV29" s="68" t="n">
        <f aca="false">AV20+AV28</f>
        <v>21862.9026134269</v>
      </c>
      <c r="AW29" s="68" t="n">
        <f aca="false">AW20+AW28</f>
        <v>21862.9026134269</v>
      </c>
      <c r="AX29" s="68" t="n">
        <f aca="false">AX20+AX28</f>
        <v>21862.9026134269</v>
      </c>
      <c r="AY29" s="68" t="n">
        <f aca="false">AY20+AY28</f>
        <v>23072.7122961863</v>
      </c>
      <c r="AZ29" s="68" t="n">
        <f aca="false">AZ20+AZ28</f>
        <v>23072.7122961863</v>
      </c>
      <c r="BA29" s="68" t="n">
        <f aca="false">BA20+BA28</f>
        <v>23072.7122961863</v>
      </c>
      <c r="BB29" s="68" t="n">
        <f aca="false">BB20+BB28</f>
        <v>23072.7122961863</v>
      </c>
      <c r="BC29" s="68" t="n">
        <f aca="false">BC20+BC28</f>
        <v>23072.7122961863</v>
      </c>
      <c r="BD29" s="68" t="n">
        <f aca="false">BD20+BD28</f>
        <v>33345.4587769813</v>
      </c>
      <c r="BE29" s="68" t="n">
        <f aca="false">BE20+BE28</f>
        <v>33345.4587769813</v>
      </c>
      <c r="BF29" s="68" t="n">
        <f aca="false">BF20+BF28</f>
        <v>33345.4587769813</v>
      </c>
      <c r="BG29" s="68" t="n">
        <f aca="false">BG20+BG28</f>
        <v>23072.7122961863</v>
      </c>
      <c r="BH29" s="68" t="n">
        <f aca="false">BH20+BH28</f>
        <v>23072.7122961863</v>
      </c>
      <c r="BI29" s="68" t="n">
        <f aca="false">BI20+BI28</f>
        <v>23072.7122961863</v>
      </c>
      <c r="BJ29" s="68" t="n">
        <f aca="false">BJ20+BJ28</f>
        <v>23072.7122961863</v>
      </c>
    </row>
    <row r="31" customFormat="false" ht="15.7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328</v>
      </c>
      <c r="C32" s="67" t="n">
        <f aca="false">Headcount!C17-Headcount!C14</f>
        <v>-5558.33333333333</v>
      </c>
      <c r="D32" s="67" t="n">
        <f aca="false">Headcount!D17-Headcount!D14</f>
        <v>-5558.33333333333</v>
      </c>
      <c r="E32" s="67" t="n">
        <f aca="false">Headcount!E17-Headcount!E14</f>
        <v>-5558.33333333333</v>
      </c>
      <c r="F32" s="67" t="n">
        <f aca="false">Headcount!F17-Headcount!F14</f>
        <v>-5558.33333333333</v>
      </c>
      <c r="G32" s="67" t="n">
        <f aca="false">Headcount!G17-Headcount!G14</f>
        <v>-5558.33333333333</v>
      </c>
      <c r="H32" s="67" t="n">
        <f aca="false">Headcount!H17-Headcount!H14</f>
        <v>-5558.33333333333</v>
      </c>
      <c r="I32" s="67" t="n">
        <f aca="false">Headcount!I17-Headcount!I14</f>
        <v>-5558.33333333333</v>
      </c>
      <c r="J32" s="67" t="n">
        <f aca="false">Headcount!J17-Headcount!J14</f>
        <v>-5558.33333333333</v>
      </c>
      <c r="K32" s="67" t="n">
        <f aca="false">Headcount!K17-Headcount!K14</f>
        <v>-5558.33333333333</v>
      </c>
      <c r="L32" s="67" t="n">
        <f aca="false">Headcount!L17-Headcount!L14</f>
        <v>-5558.33333333333</v>
      </c>
      <c r="M32" s="67" t="n">
        <f aca="false">Headcount!M17-Headcount!M14</f>
        <v>-5558.33333333333</v>
      </c>
      <c r="N32" s="67" t="n">
        <f aca="false">Headcount!N17-Headcount!N14</f>
        <v>-5558.33333333333</v>
      </c>
      <c r="O32" s="67" t="n">
        <f aca="false">Headcount!O17-Headcount!O14</f>
        <v>-5725.08333333333</v>
      </c>
      <c r="P32" s="67" t="n">
        <f aca="false">Headcount!P17-Headcount!P14</f>
        <v>-5725.08333333333</v>
      </c>
      <c r="Q32" s="67" t="n">
        <f aca="false">Headcount!Q17-Headcount!Q14</f>
        <v>-5725.08333333333</v>
      </c>
      <c r="R32" s="67" t="n">
        <f aca="false">Headcount!R17-Headcount!R14</f>
        <v>-5725.08333333333</v>
      </c>
      <c r="S32" s="67" t="n">
        <f aca="false">Headcount!S17-Headcount!S14</f>
        <v>-5725.08333333333</v>
      </c>
      <c r="T32" s="67" t="n">
        <f aca="false">Headcount!T17-Headcount!T14</f>
        <v>-5725.08333333333</v>
      </c>
      <c r="U32" s="67" t="n">
        <f aca="false">Headcount!U17-Headcount!U14</f>
        <v>-5725.08333333333</v>
      </c>
      <c r="V32" s="67" t="n">
        <f aca="false">Headcount!V17-Headcount!V14</f>
        <v>-5725.08333333333</v>
      </c>
      <c r="W32" s="67" t="n">
        <f aca="false">Headcount!W17-Headcount!W14</f>
        <v>-5725.08333333333</v>
      </c>
      <c r="X32" s="67" t="n">
        <f aca="false">Headcount!X17-Headcount!X14</f>
        <v>-5725.08333333333</v>
      </c>
      <c r="Y32" s="67" t="n">
        <f aca="false">Headcount!Y17-Headcount!Y14</f>
        <v>-5725.08333333333</v>
      </c>
      <c r="Z32" s="67" t="n">
        <f aca="false">Headcount!Z17-Headcount!Z14</f>
        <v>-5725.08333333333</v>
      </c>
      <c r="AA32" s="67" t="n">
        <f aca="false">Headcount!AA17-Headcount!AA14</f>
        <v>-5896.83583333333</v>
      </c>
      <c r="AB32" s="67" t="n">
        <f aca="false">Headcount!AB17-Headcount!AB14</f>
        <v>-5896.83583333333</v>
      </c>
      <c r="AC32" s="67" t="n">
        <f aca="false">Headcount!AC17-Headcount!AC14</f>
        <v>-5896.83583333333</v>
      </c>
      <c r="AD32" s="67" t="n">
        <f aca="false">Headcount!AD17-Headcount!AD14</f>
        <v>-5896.83583333333</v>
      </c>
      <c r="AE32" s="67" t="n">
        <f aca="false">Headcount!AE17-Headcount!AE14</f>
        <v>-5896.83583333333</v>
      </c>
      <c r="AF32" s="67" t="n">
        <f aca="false">Headcount!AF17-Headcount!AF14</f>
        <v>-5896.83583333333</v>
      </c>
      <c r="AG32" s="67" t="n">
        <f aca="false">Headcount!AG17-Headcount!AG14</f>
        <v>-5896.83583333333</v>
      </c>
      <c r="AH32" s="67" t="n">
        <f aca="false">Headcount!AH17-Headcount!AH14</f>
        <v>-5896.83583333333</v>
      </c>
      <c r="AI32" s="67" t="n">
        <f aca="false">Headcount!AI17-Headcount!AI14</f>
        <v>-5896.83583333333</v>
      </c>
      <c r="AJ32" s="67" t="n">
        <f aca="false">Headcount!AJ17-Headcount!AJ14</f>
        <v>-5896.83583333333</v>
      </c>
      <c r="AK32" s="67" t="n">
        <f aca="false">Headcount!AK17-Headcount!AK14</f>
        <v>-5896.83583333333</v>
      </c>
      <c r="AL32" s="67" t="n">
        <f aca="false">Headcount!AL17-Headcount!AL14</f>
        <v>-5896.83583333333</v>
      </c>
      <c r="AM32" s="67" t="n">
        <f aca="false">Headcount!AM17-Headcount!AM14</f>
        <v>-6073.74090833333</v>
      </c>
      <c r="AN32" s="67" t="n">
        <f aca="false">Headcount!AN17-Headcount!AN14</f>
        <v>-6073.74090833333</v>
      </c>
      <c r="AO32" s="67" t="n">
        <f aca="false">Headcount!AO17-Headcount!AO14</f>
        <v>-6073.74090833333</v>
      </c>
      <c r="AP32" s="67" t="n">
        <f aca="false">Headcount!AP17-Headcount!AP14</f>
        <v>-6073.74090833333</v>
      </c>
      <c r="AQ32" s="67" t="n">
        <f aca="false">Headcount!AQ17-Headcount!AQ14</f>
        <v>-6073.74090833333</v>
      </c>
      <c r="AR32" s="67" t="n">
        <f aca="false">Headcount!AR17-Headcount!AR14</f>
        <v>-6073.74090833333</v>
      </c>
      <c r="AS32" s="67" t="n">
        <f aca="false">Headcount!AS17-Headcount!AS14</f>
        <v>-6073.74090833333</v>
      </c>
      <c r="AT32" s="67" t="n">
        <f aca="false">Headcount!AT17-Headcount!AT14</f>
        <v>-6073.74090833333</v>
      </c>
      <c r="AU32" s="67" t="n">
        <f aca="false">Headcount!AU17-Headcount!AU14</f>
        <v>-6073.74090833333</v>
      </c>
      <c r="AV32" s="67" t="n">
        <f aca="false">Headcount!AV17-Headcount!AV14</f>
        <v>-6073.74090833333</v>
      </c>
      <c r="AW32" s="67" t="n">
        <f aca="false">Headcount!AW17-Headcount!AW14</f>
        <v>-6073.74090833333</v>
      </c>
      <c r="AX32" s="67" t="n">
        <f aca="false">Headcount!AX17-Headcount!AX14</f>
        <v>-6073.74090833333</v>
      </c>
      <c r="AY32" s="67" t="n">
        <f aca="false">Headcount!AY17-Headcount!AY14</f>
        <v>-6255.95313558333</v>
      </c>
      <c r="AZ32" s="67" t="n">
        <f aca="false">Headcount!AZ17-Headcount!AZ14</f>
        <v>-6255.95313558333</v>
      </c>
      <c r="BA32" s="67" t="n">
        <f aca="false">Headcount!BA17-Headcount!BA14</f>
        <v>-6255.95313558333</v>
      </c>
      <c r="BB32" s="67" t="n">
        <f aca="false">Headcount!BB17-Headcount!BB14</f>
        <v>-6255.95313558333</v>
      </c>
      <c r="BC32" s="67" t="n">
        <f aca="false">Headcount!BC17-Headcount!BC14</f>
        <v>-6255.95313558333</v>
      </c>
      <c r="BD32" s="67" t="n">
        <f aca="false">Headcount!BD17-Headcount!BD14</f>
        <v>-6255.95313558333</v>
      </c>
      <c r="BE32" s="67" t="n">
        <f aca="false">Headcount!BE17-Headcount!BE14</f>
        <v>-6255.95313558333</v>
      </c>
      <c r="BF32" s="67" t="n">
        <f aca="false">Headcount!BF17-Headcount!BF14</f>
        <v>-6255.95313558333</v>
      </c>
      <c r="BG32" s="67" t="n">
        <f aca="false">Headcount!BG17-Headcount!BG14</f>
        <v>-6255.95313558333</v>
      </c>
      <c r="BH32" s="67" t="n">
        <f aca="false">Headcount!BH17-Headcount!BH14</f>
        <v>-6255.95313558333</v>
      </c>
      <c r="BI32" s="67" t="n">
        <f aca="false">Headcount!BI17-Headcount!BI14</f>
        <v>-6255.95313558333</v>
      </c>
      <c r="BJ32" s="67" t="n">
        <f aca="false">Headcount!BJ17-Headcount!BJ14</f>
        <v>-6255.95313558333</v>
      </c>
    </row>
    <row r="33" customFormat="false" ht="15" hidden="false" customHeight="false" outlineLevel="0" collapsed="false">
      <c r="A33" s="6" t="s">
        <v>329</v>
      </c>
      <c r="C33" s="67" t="n">
        <f aca="false">-Inputs!$E$29*(1+Inputs!$E$30)^(C$5-1)*1</f>
        <v>-0</v>
      </c>
      <c r="D33" s="67" t="n">
        <f aca="false">-Inputs!$E$29*(1+Inputs!$E$30)^(D$5-1)*1</f>
        <v>-0</v>
      </c>
      <c r="E33" s="67" t="n">
        <f aca="false">-Inputs!$E$29*(1+Inputs!$E$30)^(E$5-1)*1</f>
        <v>-0</v>
      </c>
      <c r="F33" s="67" t="n">
        <f aca="false">-Inputs!$E$29*(1+Inputs!$E$30)^(F$5-1)*1</f>
        <v>-0</v>
      </c>
      <c r="G33" s="67" t="n">
        <f aca="false">-Inputs!$E$29*(1+Inputs!$E$30)^(G$5-1)*1</f>
        <v>-0</v>
      </c>
      <c r="H33" s="67" t="n">
        <f aca="false">-Inputs!$E$29*(1+Inputs!$E$30)^(H$5-1)*1</f>
        <v>-0</v>
      </c>
      <c r="I33" s="67" t="n">
        <f aca="false">-Inputs!$E$29*(1+Inputs!$E$30)^(I$5-1)*1</f>
        <v>-0</v>
      </c>
      <c r="J33" s="67" t="n">
        <f aca="false">-Inputs!$E$29*(1+Inputs!$E$30)^(J$5-1)*1</f>
        <v>-0</v>
      </c>
      <c r="K33" s="67" t="n">
        <f aca="false">-Inputs!$E$29*(1+Inputs!$E$30)^(K$5-1)*1</f>
        <v>-0</v>
      </c>
      <c r="L33" s="67" t="n">
        <f aca="false">-Inputs!$E$29*(1+Inputs!$E$30)^(L$5-1)*1</f>
        <v>-0</v>
      </c>
      <c r="M33" s="67" t="n">
        <f aca="false">-Inputs!$E$29*(1+Inputs!$E$30)^(M$5-1)*1</f>
        <v>-0</v>
      </c>
      <c r="N33" s="67" t="n">
        <f aca="false">-Inputs!$E$29*(1+Inputs!$E$30)^(N$5-1)*1</f>
        <v>-0</v>
      </c>
      <c r="O33" s="67" t="n">
        <f aca="false">-Inputs!$E$29*(1+Inputs!$E$30)^(O$5-1)*1</f>
        <v>-0</v>
      </c>
      <c r="P33" s="67" t="n">
        <f aca="false">-Inputs!$E$29*(1+Inputs!$E$30)^(P$5-1)*1</f>
        <v>-0</v>
      </c>
      <c r="Q33" s="67" t="n">
        <f aca="false">-Inputs!$E$29*(1+Inputs!$E$30)^(Q$5-1)*1</f>
        <v>-0</v>
      </c>
      <c r="R33" s="67" t="n">
        <f aca="false">-Inputs!$E$29*(1+Inputs!$E$30)^(R$5-1)*1</f>
        <v>-0</v>
      </c>
      <c r="S33" s="67" t="n">
        <f aca="false">-Inputs!$E$29*(1+Inputs!$E$30)^(S$5-1)*1</f>
        <v>-0</v>
      </c>
      <c r="T33" s="67" t="n">
        <f aca="false">-Inputs!$E$29*(1+Inputs!$E$30)^(T$5-1)*1</f>
        <v>-0</v>
      </c>
      <c r="U33" s="67" t="n">
        <f aca="false">-Inputs!$E$29*(1+Inputs!$E$30)^(U$5-1)*1</f>
        <v>-0</v>
      </c>
      <c r="V33" s="67" t="n">
        <f aca="false">-Inputs!$E$29*(1+Inputs!$E$30)^(V$5-1)*1</f>
        <v>-0</v>
      </c>
      <c r="W33" s="67" t="n">
        <f aca="false">-Inputs!$E$29*(1+Inputs!$E$30)^(W$5-1)*1</f>
        <v>-0</v>
      </c>
      <c r="X33" s="67" t="n">
        <f aca="false">-Inputs!$E$29*(1+Inputs!$E$30)^(X$5-1)*1</f>
        <v>-0</v>
      </c>
      <c r="Y33" s="67" t="n">
        <f aca="false">-Inputs!$E$29*(1+Inputs!$E$30)^(Y$5-1)*1</f>
        <v>-0</v>
      </c>
      <c r="Z33" s="67" t="n">
        <f aca="false">-Inputs!$E$29*(1+Inputs!$E$30)^(Z$5-1)*1</f>
        <v>-0</v>
      </c>
      <c r="AA33" s="67" t="n">
        <f aca="false">-Inputs!$E$29*(1+Inputs!$E$30)^(AA$5-1)*1</f>
        <v>-0</v>
      </c>
      <c r="AB33" s="67" t="n">
        <f aca="false">-Inputs!$E$29*(1+Inputs!$E$30)^(AB$5-1)*1</f>
        <v>-0</v>
      </c>
      <c r="AC33" s="67" t="n">
        <f aca="false">-Inputs!$E$29*(1+Inputs!$E$30)^(AC$5-1)*1</f>
        <v>-0</v>
      </c>
      <c r="AD33" s="67" t="n">
        <f aca="false">-Inputs!$E$29*(1+Inputs!$E$30)^(AD$5-1)*1</f>
        <v>-0</v>
      </c>
      <c r="AE33" s="67" t="n">
        <f aca="false">-Inputs!$E$29*(1+Inputs!$E$30)^(AE$5-1)*1</f>
        <v>-0</v>
      </c>
      <c r="AF33" s="67" t="n">
        <f aca="false">-Inputs!$E$29*(1+Inputs!$E$30)^(AF$5-1)*1</f>
        <v>-0</v>
      </c>
      <c r="AG33" s="67" t="n">
        <f aca="false">-Inputs!$E$29*(1+Inputs!$E$30)^(AG$5-1)*1</f>
        <v>-0</v>
      </c>
      <c r="AH33" s="67" t="n">
        <f aca="false">-Inputs!$E$29*(1+Inputs!$E$30)^(AH$5-1)*1</f>
        <v>-0</v>
      </c>
      <c r="AI33" s="67" t="n">
        <f aca="false">-Inputs!$E$29*(1+Inputs!$E$30)^(AI$5-1)*1</f>
        <v>-0</v>
      </c>
      <c r="AJ33" s="67" t="n">
        <f aca="false">-Inputs!$E$29*(1+Inputs!$E$30)^(AJ$5-1)*1</f>
        <v>-0</v>
      </c>
      <c r="AK33" s="67" t="n">
        <f aca="false">-Inputs!$E$29*(1+Inputs!$E$30)^(AK$5-1)*1</f>
        <v>-0</v>
      </c>
      <c r="AL33" s="67" t="n">
        <f aca="false">-Inputs!$E$29*(1+Inputs!$E$30)^(AL$5-1)*1</f>
        <v>-0</v>
      </c>
      <c r="AM33" s="67" t="n">
        <f aca="false">-Inputs!$E$29*(1+Inputs!$E$30)^(AM$5-1)*1</f>
        <v>-0</v>
      </c>
      <c r="AN33" s="67" t="n">
        <f aca="false">-Inputs!$E$29*(1+Inputs!$E$30)^(AN$5-1)*1</f>
        <v>-0</v>
      </c>
      <c r="AO33" s="67" t="n">
        <f aca="false">-Inputs!$E$29*(1+Inputs!$E$30)^(AO$5-1)*1</f>
        <v>-0</v>
      </c>
      <c r="AP33" s="67" t="n">
        <f aca="false">-Inputs!$E$29*(1+Inputs!$E$30)^(AP$5-1)*1</f>
        <v>-0</v>
      </c>
      <c r="AQ33" s="67" t="n">
        <f aca="false">-Inputs!$E$29*(1+Inputs!$E$30)^(AQ$5-1)*1</f>
        <v>-0</v>
      </c>
      <c r="AR33" s="67" t="n">
        <f aca="false">-Inputs!$E$29*(1+Inputs!$E$30)^(AR$5-1)*1</f>
        <v>-0</v>
      </c>
      <c r="AS33" s="67" t="n">
        <f aca="false">-Inputs!$E$29*(1+Inputs!$E$30)^(AS$5-1)*1</f>
        <v>-0</v>
      </c>
      <c r="AT33" s="67" t="n">
        <f aca="false">-Inputs!$E$29*(1+Inputs!$E$30)^(AT$5-1)*1</f>
        <v>-0</v>
      </c>
      <c r="AU33" s="67" t="n">
        <f aca="false">-Inputs!$E$29*(1+Inputs!$E$30)^(AU$5-1)*1</f>
        <v>-0</v>
      </c>
      <c r="AV33" s="67" t="n">
        <f aca="false">-Inputs!$E$29*(1+Inputs!$E$30)^(AV$5-1)*1</f>
        <v>-0</v>
      </c>
      <c r="AW33" s="67" t="n">
        <f aca="false">-Inputs!$E$29*(1+Inputs!$E$30)^(AW$5-1)*1</f>
        <v>-0</v>
      </c>
      <c r="AX33" s="67" t="n">
        <f aca="false">-Inputs!$E$29*(1+Inputs!$E$30)^(AX$5-1)*1</f>
        <v>-0</v>
      </c>
      <c r="AY33" s="67" t="n">
        <f aca="false">-Inputs!$E$29*(1+Inputs!$E$30)^(AY$5-1)*1</f>
        <v>-0</v>
      </c>
      <c r="AZ33" s="67" t="n">
        <f aca="false">-Inputs!$E$29*(1+Inputs!$E$30)^(AZ$5-1)*1</f>
        <v>-0</v>
      </c>
      <c r="BA33" s="67" t="n">
        <f aca="false">-Inputs!$E$29*(1+Inputs!$E$30)^(BA$5-1)*1</f>
        <v>-0</v>
      </c>
      <c r="BB33" s="67" t="n">
        <f aca="false">-Inputs!$E$29*(1+Inputs!$E$30)^(BB$5-1)*1</f>
        <v>-0</v>
      </c>
      <c r="BC33" s="67" t="n">
        <f aca="false">-Inputs!$E$29*(1+Inputs!$E$30)^(BC$5-1)*1</f>
        <v>-0</v>
      </c>
      <c r="BD33" s="67" t="n">
        <f aca="false">-Inputs!$E$29*(1+Inputs!$E$30)^(BD$5-1)*1</f>
        <v>-0</v>
      </c>
      <c r="BE33" s="67" t="n">
        <f aca="false">-Inputs!$E$29*(1+Inputs!$E$30)^(BE$5-1)*1</f>
        <v>-0</v>
      </c>
      <c r="BF33" s="67" t="n">
        <f aca="false">-Inputs!$E$29*(1+Inputs!$E$30)^(BF$5-1)*1</f>
        <v>-0</v>
      </c>
      <c r="BG33" s="67" t="n">
        <f aca="false">-Inputs!$E$29*(1+Inputs!$E$30)^(BG$5-1)*1</f>
        <v>-0</v>
      </c>
      <c r="BH33" s="67" t="n">
        <f aca="false">-Inputs!$E$29*(1+Inputs!$E$30)^(BH$5-1)*1</f>
        <v>-0</v>
      </c>
      <c r="BI33" s="67" t="n">
        <f aca="false">-Inputs!$E$29*(1+Inputs!$E$30)^(BI$5-1)*1</f>
        <v>-0</v>
      </c>
      <c r="BJ33" s="67" t="n">
        <f aca="false">-Inputs!$E$29*(1+Inputs!$E$30)^(BJ$5-1)*1</f>
        <v>-0</v>
      </c>
    </row>
    <row r="34" customFormat="false" ht="15" hidden="false" customHeight="false" outlineLevel="0" collapsed="false">
      <c r="A34" s="6" t="s">
        <v>330</v>
      </c>
      <c r="C34" s="67" t="n">
        <f aca="false">-Inputs!$E$31/12*(1+Inputs!$E$39)^(C$5-1)*1</f>
        <v>-666.666666666667</v>
      </c>
      <c r="D34" s="67" t="n">
        <f aca="false">-Inputs!$E$31/12*(1+Inputs!$E$39)^(D$5-1)*1</f>
        <v>-666.666666666667</v>
      </c>
      <c r="E34" s="67" t="n">
        <f aca="false">-Inputs!$E$31/12*(1+Inputs!$E$39)^(E$5-1)*1</f>
        <v>-666.666666666667</v>
      </c>
      <c r="F34" s="67" t="n">
        <f aca="false">-Inputs!$E$31/12*(1+Inputs!$E$39)^(F$5-1)*1</f>
        <v>-666.666666666667</v>
      </c>
      <c r="G34" s="67" t="n">
        <f aca="false">-Inputs!$E$31/12*(1+Inputs!$E$39)^(G$5-1)*1</f>
        <v>-666.666666666667</v>
      </c>
      <c r="H34" s="67" t="n">
        <f aca="false">-Inputs!$E$31/12*(1+Inputs!$E$39)^(H$5-1)*1</f>
        <v>-666.666666666667</v>
      </c>
      <c r="I34" s="67" t="n">
        <f aca="false">-Inputs!$E$31/12*(1+Inputs!$E$39)^(I$5-1)*1</f>
        <v>-666.666666666667</v>
      </c>
      <c r="J34" s="67" t="n">
        <f aca="false">-Inputs!$E$31/12*(1+Inputs!$E$39)^(J$5-1)*1</f>
        <v>-666.666666666667</v>
      </c>
      <c r="K34" s="67" t="n">
        <f aca="false">-Inputs!$E$31/12*(1+Inputs!$E$39)^(K$5-1)*1</f>
        <v>-666.666666666667</v>
      </c>
      <c r="L34" s="67" t="n">
        <f aca="false">-Inputs!$E$31/12*(1+Inputs!$E$39)^(L$5-1)*1</f>
        <v>-666.666666666667</v>
      </c>
      <c r="M34" s="67" t="n">
        <f aca="false">-Inputs!$E$31/12*(1+Inputs!$E$39)^(M$5-1)*1</f>
        <v>-666.666666666667</v>
      </c>
      <c r="N34" s="67" t="n">
        <f aca="false">-Inputs!$E$31/12*(1+Inputs!$E$39)^(N$5-1)*1</f>
        <v>-666.666666666667</v>
      </c>
      <c r="O34" s="67" t="n">
        <f aca="false">-Inputs!$E$31/12*(1+Inputs!$E$39)^(O$5-1)*1</f>
        <v>-686.666666666667</v>
      </c>
      <c r="P34" s="67" t="n">
        <f aca="false">-Inputs!$E$31/12*(1+Inputs!$E$39)^(P$5-1)*1</f>
        <v>-686.666666666667</v>
      </c>
      <c r="Q34" s="67" t="n">
        <f aca="false">-Inputs!$E$31/12*(1+Inputs!$E$39)^(Q$5-1)*1</f>
        <v>-686.666666666667</v>
      </c>
      <c r="R34" s="67" t="n">
        <f aca="false">-Inputs!$E$31/12*(1+Inputs!$E$39)^(R$5-1)*1</f>
        <v>-686.666666666667</v>
      </c>
      <c r="S34" s="67" t="n">
        <f aca="false">-Inputs!$E$31/12*(1+Inputs!$E$39)^(S$5-1)*1</f>
        <v>-686.666666666667</v>
      </c>
      <c r="T34" s="67" t="n">
        <f aca="false">-Inputs!$E$31/12*(1+Inputs!$E$39)^(T$5-1)*1</f>
        <v>-686.666666666667</v>
      </c>
      <c r="U34" s="67" t="n">
        <f aca="false">-Inputs!$E$31/12*(1+Inputs!$E$39)^(U$5-1)*1</f>
        <v>-686.666666666667</v>
      </c>
      <c r="V34" s="67" t="n">
        <f aca="false">-Inputs!$E$31/12*(1+Inputs!$E$39)^(V$5-1)*1</f>
        <v>-686.666666666667</v>
      </c>
      <c r="W34" s="67" t="n">
        <f aca="false">-Inputs!$E$31/12*(1+Inputs!$E$39)^(W$5-1)*1</f>
        <v>-686.666666666667</v>
      </c>
      <c r="X34" s="67" t="n">
        <f aca="false">-Inputs!$E$31/12*(1+Inputs!$E$39)^(X$5-1)*1</f>
        <v>-686.666666666667</v>
      </c>
      <c r="Y34" s="67" t="n">
        <f aca="false">-Inputs!$E$31/12*(1+Inputs!$E$39)^(Y$5-1)*1</f>
        <v>-686.666666666667</v>
      </c>
      <c r="Z34" s="67" t="n">
        <f aca="false">-Inputs!$E$31/12*(1+Inputs!$E$39)^(Z$5-1)*1</f>
        <v>-686.666666666667</v>
      </c>
      <c r="AA34" s="67" t="n">
        <f aca="false">-Inputs!$E$31/12*(1+Inputs!$E$39)^(AA$5-1)*1</f>
        <v>-707.266666666667</v>
      </c>
      <c r="AB34" s="67" t="n">
        <f aca="false">-Inputs!$E$31/12*(1+Inputs!$E$39)^(AB$5-1)*1</f>
        <v>-707.266666666667</v>
      </c>
      <c r="AC34" s="67" t="n">
        <f aca="false">-Inputs!$E$31/12*(1+Inputs!$E$39)^(AC$5-1)*1</f>
        <v>-707.266666666667</v>
      </c>
      <c r="AD34" s="67" t="n">
        <f aca="false">-Inputs!$E$31/12*(1+Inputs!$E$39)^(AD$5-1)*1</f>
        <v>-707.266666666667</v>
      </c>
      <c r="AE34" s="67" t="n">
        <f aca="false">-Inputs!$E$31/12*(1+Inputs!$E$39)^(AE$5-1)*1</f>
        <v>-707.266666666667</v>
      </c>
      <c r="AF34" s="67" t="n">
        <f aca="false">-Inputs!$E$31/12*(1+Inputs!$E$39)^(AF$5-1)*1</f>
        <v>-707.266666666667</v>
      </c>
      <c r="AG34" s="67" t="n">
        <f aca="false">-Inputs!$E$31/12*(1+Inputs!$E$39)^(AG$5-1)*1</f>
        <v>-707.266666666667</v>
      </c>
      <c r="AH34" s="67" t="n">
        <f aca="false">-Inputs!$E$31/12*(1+Inputs!$E$39)^(AH$5-1)*1</f>
        <v>-707.266666666667</v>
      </c>
      <c r="AI34" s="67" t="n">
        <f aca="false">-Inputs!$E$31/12*(1+Inputs!$E$39)^(AI$5-1)*1</f>
        <v>-707.266666666667</v>
      </c>
      <c r="AJ34" s="67" t="n">
        <f aca="false">-Inputs!$E$31/12*(1+Inputs!$E$39)^(AJ$5-1)*1</f>
        <v>-707.266666666667</v>
      </c>
      <c r="AK34" s="67" t="n">
        <f aca="false">-Inputs!$E$31/12*(1+Inputs!$E$39)^(AK$5-1)*1</f>
        <v>-707.266666666667</v>
      </c>
      <c r="AL34" s="67" t="n">
        <f aca="false">-Inputs!$E$31/12*(1+Inputs!$E$39)^(AL$5-1)*1</f>
        <v>-707.266666666667</v>
      </c>
      <c r="AM34" s="67" t="n">
        <f aca="false">-Inputs!$E$31/12*(1+Inputs!$E$39)^(AM$5-1)*1</f>
        <v>-728.484666666667</v>
      </c>
      <c r="AN34" s="67" t="n">
        <f aca="false">-Inputs!$E$31/12*(1+Inputs!$E$39)^(AN$5-1)*1</f>
        <v>-728.484666666667</v>
      </c>
      <c r="AO34" s="67" t="n">
        <f aca="false">-Inputs!$E$31/12*(1+Inputs!$E$39)^(AO$5-1)*1</f>
        <v>-728.484666666667</v>
      </c>
      <c r="AP34" s="67" t="n">
        <f aca="false">-Inputs!$E$31/12*(1+Inputs!$E$39)^(AP$5-1)*1</f>
        <v>-728.484666666667</v>
      </c>
      <c r="AQ34" s="67" t="n">
        <f aca="false">-Inputs!$E$31/12*(1+Inputs!$E$39)^(AQ$5-1)*1</f>
        <v>-728.484666666667</v>
      </c>
      <c r="AR34" s="67" t="n">
        <f aca="false">-Inputs!$E$31/12*(1+Inputs!$E$39)^(AR$5-1)*1</f>
        <v>-728.484666666667</v>
      </c>
      <c r="AS34" s="67" t="n">
        <f aca="false">-Inputs!$E$31/12*(1+Inputs!$E$39)^(AS$5-1)*1</f>
        <v>-728.484666666667</v>
      </c>
      <c r="AT34" s="67" t="n">
        <f aca="false">-Inputs!$E$31/12*(1+Inputs!$E$39)^(AT$5-1)*1</f>
        <v>-728.484666666667</v>
      </c>
      <c r="AU34" s="67" t="n">
        <f aca="false">-Inputs!$E$31/12*(1+Inputs!$E$39)^(AU$5-1)*1</f>
        <v>-728.484666666667</v>
      </c>
      <c r="AV34" s="67" t="n">
        <f aca="false">-Inputs!$E$31/12*(1+Inputs!$E$39)^(AV$5-1)*1</f>
        <v>-728.484666666667</v>
      </c>
      <c r="AW34" s="67" t="n">
        <f aca="false">-Inputs!$E$31/12*(1+Inputs!$E$39)^(AW$5-1)*1</f>
        <v>-728.484666666667</v>
      </c>
      <c r="AX34" s="67" t="n">
        <f aca="false">-Inputs!$E$31/12*(1+Inputs!$E$39)^(AX$5-1)*1</f>
        <v>-728.484666666667</v>
      </c>
      <c r="AY34" s="67" t="n">
        <f aca="false">-Inputs!$E$31/12*(1+Inputs!$E$39)^(AY$5-1)*1</f>
        <v>-750.339206666667</v>
      </c>
      <c r="AZ34" s="67" t="n">
        <f aca="false">-Inputs!$E$31/12*(1+Inputs!$E$39)^(AZ$5-1)*1</f>
        <v>-750.339206666667</v>
      </c>
      <c r="BA34" s="67" t="n">
        <f aca="false">-Inputs!$E$31/12*(1+Inputs!$E$39)^(BA$5-1)*1</f>
        <v>-750.339206666667</v>
      </c>
      <c r="BB34" s="67" t="n">
        <f aca="false">-Inputs!$E$31/12*(1+Inputs!$E$39)^(BB$5-1)*1</f>
        <v>-750.339206666667</v>
      </c>
      <c r="BC34" s="67" t="n">
        <f aca="false">-Inputs!$E$31/12*(1+Inputs!$E$39)^(BC$5-1)*1</f>
        <v>-750.339206666667</v>
      </c>
      <c r="BD34" s="67" t="n">
        <f aca="false">-Inputs!$E$31/12*(1+Inputs!$E$39)^(BD$5-1)*1</f>
        <v>-750.339206666667</v>
      </c>
      <c r="BE34" s="67" t="n">
        <f aca="false">-Inputs!$E$31/12*(1+Inputs!$E$39)^(BE$5-1)*1</f>
        <v>-750.339206666667</v>
      </c>
      <c r="BF34" s="67" t="n">
        <f aca="false">-Inputs!$E$31/12*(1+Inputs!$E$39)^(BF$5-1)*1</f>
        <v>-750.339206666667</v>
      </c>
      <c r="BG34" s="67" t="n">
        <f aca="false">-Inputs!$E$31/12*(1+Inputs!$E$39)^(BG$5-1)*1</f>
        <v>-750.339206666667</v>
      </c>
      <c r="BH34" s="67" t="n">
        <f aca="false">-Inputs!$E$31/12*(1+Inputs!$E$39)^(BH$5-1)*1</f>
        <v>-750.339206666667</v>
      </c>
      <c r="BI34" s="67" t="n">
        <f aca="false">-Inputs!$E$31/12*(1+Inputs!$E$39)^(BI$5-1)*1</f>
        <v>-750.339206666667</v>
      </c>
      <c r="BJ34" s="67" t="n">
        <f aca="false">-Inputs!$E$31/12*(1+Inputs!$E$39)^(BJ$5-1)*1</f>
        <v>-750.339206666667</v>
      </c>
    </row>
    <row r="35" customFormat="false" ht="15" hidden="false" customHeight="false" outlineLevel="0" collapsed="false">
      <c r="A35" s="6" t="s">
        <v>331</v>
      </c>
      <c r="C35" s="67" t="n">
        <f aca="false">-Inputs!$E$32*(1+Inputs!$E$39)^(C$5-1)*1</f>
        <v>-700</v>
      </c>
      <c r="D35" s="67" t="n">
        <f aca="false">-Inputs!$E$32*(1+Inputs!$E$39)^(D$5-1)*1</f>
        <v>-700</v>
      </c>
      <c r="E35" s="67" t="n">
        <f aca="false">-Inputs!$E$32*(1+Inputs!$E$39)^(E$5-1)*1</f>
        <v>-700</v>
      </c>
      <c r="F35" s="67" t="n">
        <f aca="false">-Inputs!$E$32*(1+Inputs!$E$39)^(F$5-1)*1</f>
        <v>-700</v>
      </c>
      <c r="G35" s="67" t="n">
        <f aca="false">-Inputs!$E$32*(1+Inputs!$E$39)^(G$5-1)*1</f>
        <v>-700</v>
      </c>
      <c r="H35" s="67" t="n">
        <f aca="false">-Inputs!$E$32*(1+Inputs!$E$39)^(H$5-1)*1</f>
        <v>-700</v>
      </c>
      <c r="I35" s="67" t="n">
        <f aca="false">-Inputs!$E$32*(1+Inputs!$E$39)^(I$5-1)*1</f>
        <v>-700</v>
      </c>
      <c r="J35" s="67" t="n">
        <f aca="false">-Inputs!$E$32*(1+Inputs!$E$39)^(J$5-1)*1</f>
        <v>-700</v>
      </c>
      <c r="K35" s="67" t="n">
        <f aca="false">-Inputs!$E$32*(1+Inputs!$E$39)^(K$5-1)*1</f>
        <v>-700</v>
      </c>
      <c r="L35" s="67" t="n">
        <f aca="false">-Inputs!$E$32*(1+Inputs!$E$39)^(L$5-1)*1</f>
        <v>-700</v>
      </c>
      <c r="M35" s="67" t="n">
        <f aca="false">-Inputs!$E$32*(1+Inputs!$E$39)^(M$5-1)*1</f>
        <v>-700</v>
      </c>
      <c r="N35" s="67" t="n">
        <f aca="false">-Inputs!$E$32*(1+Inputs!$E$39)^(N$5-1)*1</f>
        <v>-700</v>
      </c>
      <c r="O35" s="67" t="n">
        <f aca="false">-Inputs!$E$32*(1+Inputs!$E$39)^(O$5-1)*1</f>
        <v>-721</v>
      </c>
      <c r="P35" s="67" t="n">
        <f aca="false">-Inputs!$E$32*(1+Inputs!$E$39)^(P$5-1)*1</f>
        <v>-721</v>
      </c>
      <c r="Q35" s="67" t="n">
        <f aca="false">-Inputs!$E$32*(1+Inputs!$E$39)^(Q$5-1)*1</f>
        <v>-721</v>
      </c>
      <c r="R35" s="67" t="n">
        <f aca="false">-Inputs!$E$32*(1+Inputs!$E$39)^(R$5-1)*1</f>
        <v>-721</v>
      </c>
      <c r="S35" s="67" t="n">
        <f aca="false">-Inputs!$E$32*(1+Inputs!$E$39)^(S$5-1)*1</f>
        <v>-721</v>
      </c>
      <c r="T35" s="67" t="n">
        <f aca="false">-Inputs!$E$32*(1+Inputs!$E$39)^(T$5-1)*1</f>
        <v>-721</v>
      </c>
      <c r="U35" s="67" t="n">
        <f aca="false">-Inputs!$E$32*(1+Inputs!$E$39)^(U$5-1)*1</f>
        <v>-721</v>
      </c>
      <c r="V35" s="67" t="n">
        <f aca="false">-Inputs!$E$32*(1+Inputs!$E$39)^(V$5-1)*1</f>
        <v>-721</v>
      </c>
      <c r="W35" s="67" t="n">
        <f aca="false">-Inputs!$E$32*(1+Inputs!$E$39)^(W$5-1)*1</f>
        <v>-721</v>
      </c>
      <c r="X35" s="67" t="n">
        <f aca="false">-Inputs!$E$32*(1+Inputs!$E$39)^(X$5-1)*1</f>
        <v>-721</v>
      </c>
      <c r="Y35" s="67" t="n">
        <f aca="false">-Inputs!$E$32*(1+Inputs!$E$39)^(Y$5-1)*1</f>
        <v>-721</v>
      </c>
      <c r="Z35" s="67" t="n">
        <f aca="false">-Inputs!$E$32*(1+Inputs!$E$39)^(Z$5-1)*1</f>
        <v>-721</v>
      </c>
      <c r="AA35" s="67" t="n">
        <f aca="false">-Inputs!$E$32*(1+Inputs!$E$39)^(AA$5-1)*1</f>
        <v>-742.63</v>
      </c>
      <c r="AB35" s="67" t="n">
        <f aca="false">-Inputs!$E$32*(1+Inputs!$E$39)^(AB$5-1)*1</f>
        <v>-742.63</v>
      </c>
      <c r="AC35" s="67" t="n">
        <f aca="false">-Inputs!$E$32*(1+Inputs!$E$39)^(AC$5-1)*1</f>
        <v>-742.63</v>
      </c>
      <c r="AD35" s="67" t="n">
        <f aca="false">-Inputs!$E$32*(1+Inputs!$E$39)^(AD$5-1)*1</f>
        <v>-742.63</v>
      </c>
      <c r="AE35" s="67" t="n">
        <f aca="false">-Inputs!$E$32*(1+Inputs!$E$39)^(AE$5-1)*1</f>
        <v>-742.63</v>
      </c>
      <c r="AF35" s="67" t="n">
        <f aca="false">-Inputs!$E$32*(1+Inputs!$E$39)^(AF$5-1)*1</f>
        <v>-742.63</v>
      </c>
      <c r="AG35" s="67" t="n">
        <f aca="false">-Inputs!$E$32*(1+Inputs!$E$39)^(AG$5-1)*1</f>
        <v>-742.63</v>
      </c>
      <c r="AH35" s="67" t="n">
        <f aca="false">-Inputs!$E$32*(1+Inputs!$E$39)^(AH$5-1)*1</f>
        <v>-742.63</v>
      </c>
      <c r="AI35" s="67" t="n">
        <f aca="false">-Inputs!$E$32*(1+Inputs!$E$39)^(AI$5-1)*1</f>
        <v>-742.63</v>
      </c>
      <c r="AJ35" s="67" t="n">
        <f aca="false">-Inputs!$E$32*(1+Inputs!$E$39)^(AJ$5-1)*1</f>
        <v>-742.63</v>
      </c>
      <c r="AK35" s="67" t="n">
        <f aca="false">-Inputs!$E$32*(1+Inputs!$E$39)^(AK$5-1)*1</f>
        <v>-742.63</v>
      </c>
      <c r="AL35" s="67" t="n">
        <f aca="false">-Inputs!$E$32*(1+Inputs!$E$39)^(AL$5-1)*1</f>
        <v>-742.63</v>
      </c>
      <c r="AM35" s="67" t="n">
        <f aca="false">-Inputs!$E$32*(1+Inputs!$E$39)^(AM$5-1)*1</f>
        <v>-764.9089</v>
      </c>
      <c r="AN35" s="67" t="n">
        <f aca="false">-Inputs!$E$32*(1+Inputs!$E$39)^(AN$5-1)*1</f>
        <v>-764.9089</v>
      </c>
      <c r="AO35" s="67" t="n">
        <f aca="false">-Inputs!$E$32*(1+Inputs!$E$39)^(AO$5-1)*1</f>
        <v>-764.9089</v>
      </c>
      <c r="AP35" s="67" t="n">
        <f aca="false">-Inputs!$E$32*(1+Inputs!$E$39)^(AP$5-1)*1</f>
        <v>-764.9089</v>
      </c>
      <c r="AQ35" s="67" t="n">
        <f aca="false">-Inputs!$E$32*(1+Inputs!$E$39)^(AQ$5-1)*1</f>
        <v>-764.9089</v>
      </c>
      <c r="AR35" s="67" t="n">
        <f aca="false">-Inputs!$E$32*(1+Inputs!$E$39)^(AR$5-1)*1</f>
        <v>-764.9089</v>
      </c>
      <c r="AS35" s="67" t="n">
        <f aca="false">-Inputs!$E$32*(1+Inputs!$E$39)^(AS$5-1)*1</f>
        <v>-764.9089</v>
      </c>
      <c r="AT35" s="67" t="n">
        <f aca="false">-Inputs!$E$32*(1+Inputs!$E$39)^(AT$5-1)*1</f>
        <v>-764.9089</v>
      </c>
      <c r="AU35" s="67" t="n">
        <f aca="false">-Inputs!$E$32*(1+Inputs!$E$39)^(AU$5-1)*1</f>
        <v>-764.9089</v>
      </c>
      <c r="AV35" s="67" t="n">
        <f aca="false">-Inputs!$E$32*(1+Inputs!$E$39)^(AV$5-1)*1</f>
        <v>-764.9089</v>
      </c>
      <c r="AW35" s="67" t="n">
        <f aca="false">-Inputs!$E$32*(1+Inputs!$E$39)^(AW$5-1)*1</f>
        <v>-764.9089</v>
      </c>
      <c r="AX35" s="67" t="n">
        <f aca="false">-Inputs!$E$32*(1+Inputs!$E$39)^(AX$5-1)*1</f>
        <v>-764.9089</v>
      </c>
      <c r="AY35" s="67" t="n">
        <f aca="false">-Inputs!$E$32*(1+Inputs!$E$39)^(AY$5-1)*1</f>
        <v>-787.856167</v>
      </c>
      <c r="AZ35" s="67" t="n">
        <f aca="false">-Inputs!$E$32*(1+Inputs!$E$39)^(AZ$5-1)*1</f>
        <v>-787.856167</v>
      </c>
      <c r="BA35" s="67" t="n">
        <f aca="false">-Inputs!$E$32*(1+Inputs!$E$39)^(BA$5-1)*1</f>
        <v>-787.856167</v>
      </c>
      <c r="BB35" s="67" t="n">
        <f aca="false">-Inputs!$E$32*(1+Inputs!$E$39)^(BB$5-1)*1</f>
        <v>-787.856167</v>
      </c>
      <c r="BC35" s="67" t="n">
        <f aca="false">-Inputs!$E$32*(1+Inputs!$E$39)^(BC$5-1)*1</f>
        <v>-787.856167</v>
      </c>
      <c r="BD35" s="67" t="n">
        <f aca="false">-Inputs!$E$32*(1+Inputs!$E$39)^(BD$5-1)*1</f>
        <v>-787.856167</v>
      </c>
      <c r="BE35" s="67" t="n">
        <f aca="false">-Inputs!$E$32*(1+Inputs!$E$39)^(BE$5-1)*1</f>
        <v>-787.856167</v>
      </c>
      <c r="BF35" s="67" t="n">
        <f aca="false">-Inputs!$E$32*(1+Inputs!$E$39)^(BF$5-1)*1</f>
        <v>-787.856167</v>
      </c>
      <c r="BG35" s="67" t="n">
        <f aca="false">-Inputs!$E$32*(1+Inputs!$E$39)^(BG$5-1)*1</f>
        <v>-787.856167</v>
      </c>
      <c r="BH35" s="67" t="n">
        <f aca="false">-Inputs!$E$32*(1+Inputs!$E$39)^(BH$5-1)*1</f>
        <v>-787.856167</v>
      </c>
      <c r="BI35" s="67" t="n">
        <f aca="false">-Inputs!$E$32*(1+Inputs!$E$39)^(BI$5-1)*1</f>
        <v>-787.856167</v>
      </c>
      <c r="BJ35" s="67" t="n">
        <f aca="false">-Inputs!$E$32*(1+Inputs!$E$39)^(BJ$5-1)*1</f>
        <v>-787.856167</v>
      </c>
    </row>
    <row r="36" customFormat="false" ht="15" hidden="false" customHeight="false" outlineLevel="0" collapsed="false">
      <c r="A36" s="6" t="s">
        <v>332</v>
      </c>
      <c r="C36" s="67" t="n">
        <f aca="false">-Inputs!$E$33*(1+Inputs!$E$39)^(C$5-1)*1</f>
        <v>-1800</v>
      </c>
      <c r="D36" s="67" t="n">
        <f aca="false">-Inputs!$E$33*(1+Inputs!$E$39)^(D$5-1)*1</f>
        <v>-1800</v>
      </c>
      <c r="E36" s="67" t="n">
        <f aca="false">-Inputs!$E$33*(1+Inputs!$E$39)^(E$5-1)*1</f>
        <v>-1800</v>
      </c>
      <c r="F36" s="67" t="n">
        <f aca="false">-Inputs!$E$33*(1+Inputs!$E$39)^(F$5-1)*1</f>
        <v>-1800</v>
      </c>
      <c r="G36" s="67" t="n">
        <f aca="false">-Inputs!$E$33*(1+Inputs!$E$39)^(G$5-1)*1</f>
        <v>-1800</v>
      </c>
      <c r="H36" s="67" t="n">
        <f aca="false">-Inputs!$E$33*(1+Inputs!$E$39)^(H$5-1)*1</f>
        <v>-1800</v>
      </c>
      <c r="I36" s="67" t="n">
        <f aca="false">-Inputs!$E$33*(1+Inputs!$E$39)^(I$5-1)*1</f>
        <v>-1800</v>
      </c>
      <c r="J36" s="67" t="n">
        <f aca="false">-Inputs!$E$33*(1+Inputs!$E$39)^(J$5-1)*1</f>
        <v>-1800</v>
      </c>
      <c r="K36" s="67" t="n">
        <f aca="false">-Inputs!$E$33*(1+Inputs!$E$39)^(K$5-1)*1</f>
        <v>-1800</v>
      </c>
      <c r="L36" s="67" t="n">
        <f aca="false">-Inputs!$E$33*(1+Inputs!$E$39)^(L$5-1)*1</f>
        <v>-1800</v>
      </c>
      <c r="M36" s="67" t="n">
        <f aca="false">-Inputs!$E$33*(1+Inputs!$E$39)^(M$5-1)*1</f>
        <v>-1800</v>
      </c>
      <c r="N36" s="67" t="n">
        <f aca="false">-Inputs!$E$33*(1+Inputs!$E$39)^(N$5-1)*1</f>
        <v>-1800</v>
      </c>
      <c r="O36" s="67" t="n">
        <f aca="false">-Inputs!$E$33*(1+Inputs!$E$39)^(O$5-1)*1</f>
        <v>-1854</v>
      </c>
      <c r="P36" s="67" t="n">
        <f aca="false">-Inputs!$E$33*(1+Inputs!$E$39)^(P$5-1)*1</f>
        <v>-1854</v>
      </c>
      <c r="Q36" s="67" t="n">
        <f aca="false">-Inputs!$E$33*(1+Inputs!$E$39)^(Q$5-1)*1</f>
        <v>-1854</v>
      </c>
      <c r="R36" s="67" t="n">
        <f aca="false">-Inputs!$E$33*(1+Inputs!$E$39)^(R$5-1)*1</f>
        <v>-1854</v>
      </c>
      <c r="S36" s="67" t="n">
        <f aca="false">-Inputs!$E$33*(1+Inputs!$E$39)^(S$5-1)*1</f>
        <v>-1854</v>
      </c>
      <c r="T36" s="67" t="n">
        <f aca="false">-Inputs!$E$33*(1+Inputs!$E$39)^(T$5-1)*1</f>
        <v>-1854</v>
      </c>
      <c r="U36" s="67" t="n">
        <f aca="false">-Inputs!$E$33*(1+Inputs!$E$39)^(U$5-1)*1</f>
        <v>-1854</v>
      </c>
      <c r="V36" s="67" t="n">
        <f aca="false">-Inputs!$E$33*(1+Inputs!$E$39)^(V$5-1)*1</f>
        <v>-1854</v>
      </c>
      <c r="W36" s="67" t="n">
        <f aca="false">-Inputs!$E$33*(1+Inputs!$E$39)^(W$5-1)*1</f>
        <v>-1854</v>
      </c>
      <c r="X36" s="67" t="n">
        <f aca="false">-Inputs!$E$33*(1+Inputs!$E$39)^(X$5-1)*1</f>
        <v>-1854</v>
      </c>
      <c r="Y36" s="67" t="n">
        <f aca="false">-Inputs!$E$33*(1+Inputs!$E$39)^(Y$5-1)*1</f>
        <v>-1854</v>
      </c>
      <c r="Z36" s="67" t="n">
        <f aca="false">-Inputs!$E$33*(1+Inputs!$E$39)^(Z$5-1)*1</f>
        <v>-1854</v>
      </c>
      <c r="AA36" s="67" t="n">
        <f aca="false">-Inputs!$E$33*(1+Inputs!$E$39)^(AA$5-1)*1</f>
        <v>-1909.62</v>
      </c>
      <c r="AB36" s="67" t="n">
        <f aca="false">-Inputs!$E$33*(1+Inputs!$E$39)^(AB$5-1)*1</f>
        <v>-1909.62</v>
      </c>
      <c r="AC36" s="67" t="n">
        <f aca="false">-Inputs!$E$33*(1+Inputs!$E$39)^(AC$5-1)*1</f>
        <v>-1909.62</v>
      </c>
      <c r="AD36" s="67" t="n">
        <f aca="false">-Inputs!$E$33*(1+Inputs!$E$39)^(AD$5-1)*1</f>
        <v>-1909.62</v>
      </c>
      <c r="AE36" s="67" t="n">
        <f aca="false">-Inputs!$E$33*(1+Inputs!$E$39)^(AE$5-1)*1</f>
        <v>-1909.62</v>
      </c>
      <c r="AF36" s="67" t="n">
        <f aca="false">-Inputs!$E$33*(1+Inputs!$E$39)^(AF$5-1)*1</f>
        <v>-1909.62</v>
      </c>
      <c r="AG36" s="67" t="n">
        <f aca="false">-Inputs!$E$33*(1+Inputs!$E$39)^(AG$5-1)*1</f>
        <v>-1909.62</v>
      </c>
      <c r="AH36" s="67" t="n">
        <f aca="false">-Inputs!$E$33*(1+Inputs!$E$39)^(AH$5-1)*1</f>
        <v>-1909.62</v>
      </c>
      <c r="AI36" s="67" t="n">
        <f aca="false">-Inputs!$E$33*(1+Inputs!$E$39)^(AI$5-1)*1</f>
        <v>-1909.62</v>
      </c>
      <c r="AJ36" s="67" t="n">
        <f aca="false">-Inputs!$E$33*(1+Inputs!$E$39)^(AJ$5-1)*1</f>
        <v>-1909.62</v>
      </c>
      <c r="AK36" s="67" t="n">
        <f aca="false">-Inputs!$E$33*(1+Inputs!$E$39)^(AK$5-1)*1</f>
        <v>-1909.62</v>
      </c>
      <c r="AL36" s="67" t="n">
        <f aca="false">-Inputs!$E$33*(1+Inputs!$E$39)^(AL$5-1)*1</f>
        <v>-1909.62</v>
      </c>
      <c r="AM36" s="67" t="n">
        <f aca="false">-Inputs!$E$33*(1+Inputs!$E$39)^(AM$5-1)*1</f>
        <v>-1966.9086</v>
      </c>
      <c r="AN36" s="67" t="n">
        <f aca="false">-Inputs!$E$33*(1+Inputs!$E$39)^(AN$5-1)*1</f>
        <v>-1966.9086</v>
      </c>
      <c r="AO36" s="67" t="n">
        <f aca="false">-Inputs!$E$33*(1+Inputs!$E$39)^(AO$5-1)*1</f>
        <v>-1966.9086</v>
      </c>
      <c r="AP36" s="67" t="n">
        <f aca="false">-Inputs!$E$33*(1+Inputs!$E$39)^(AP$5-1)*1</f>
        <v>-1966.9086</v>
      </c>
      <c r="AQ36" s="67" t="n">
        <f aca="false">-Inputs!$E$33*(1+Inputs!$E$39)^(AQ$5-1)*1</f>
        <v>-1966.9086</v>
      </c>
      <c r="AR36" s="67" t="n">
        <f aca="false">-Inputs!$E$33*(1+Inputs!$E$39)^(AR$5-1)*1</f>
        <v>-1966.9086</v>
      </c>
      <c r="AS36" s="67" t="n">
        <f aca="false">-Inputs!$E$33*(1+Inputs!$E$39)^(AS$5-1)*1</f>
        <v>-1966.9086</v>
      </c>
      <c r="AT36" s="67" t="n">
        <f aca="false">-Inputs!$E$33*(1+Inputs!$E$39)^(AT$5-1)*1</f>
        <v>-1966.9086</v>
      </c>
      <c r="AU36" s="67" t="n">
        <f aca="false">-Inputs!$E$33*(1+Inputs!$E$39)^(AU$5-1)*1</f>
        <v>-1966.9086</v>
      </c>
      <c r="AV36" s="67" t="n">
        <f aca="false">-Inputs!$E$33*(1+Inputs!$E$39)^(AV$5-1)*1</f>
        <v>-1966.9086</v>
      </c>
      <c r="AW36" s="67" t="n">
        <f aca="false">-Inputs!$E$33*(1+Inputs!$E$39)^(AW$5-1)*1</f>
        <v>-1966.9086</v>
      </c>
      <c r="AX36" s="67" t="n">
        <f aca="false">-Inputs!$E$33*(1+Inputs!$E$39)^(AX$5-1)*1</f>
        <v>-1966.9086</v>
      </c>
      <c r="AY36" s="67" t="n">
        <f aca="false">-Inputs!$E$33*(1+Inputs!$E$39)^(AY$5-1)*1</f>
        <v>-2025.915858</v>
      </c>
      <c r="AZ36" s="67" t="n">
        <f aca="false">-Inputs!$E$33*(1+Inputs!$E$39)^(AZ$5-1)*1</f>
        <v>-2025.915858</v>
      </c>
      <c r="BA36" s="67" t="n">
        <f aca="false">-Inputs!$E$33*(1+Inputs!$E$39)^(BA$5-1)*1</f>
        <v>-2025.915858</v>
      </c>
      <c r="BB36" s="67" t="n">
        <f aca="false">-Inputs!$E$33*(1+Inputs!$E$39)^(BB$5-1)*1</f>
        <v>-2025.915858</v>
      </c>
      <c r="BC36" s="67" t="n">
        <f aca="false">-Inputs!$E$33*(1+Inputs!$E$39)^(BC$5-1)*1</f>
        <v>-2025.915858</v>
      </c>
      <c r="BD36" s="67" t="n">
        <f aca="false">-Inputs!$E$33*(1+Inputs!$E$39)^(BD$5-1)*1</f>
        <v>-2025.915858</v>
      </c>
      <c r="BE36" s="67" t="n">
        <f aca="false">-Inputs!$E$33*(1+Inputs!$E$39)^(BE$5-1)*1</f>
        <v>-2025.915858</v>
      </c>
      <c r="BF36" s="67" t="n">
        <f aca="false">-Inputs!$E$33*(1+Inputs!$E$39)^(BF$5-1)*1</f>
        <v>-2025.915858</v>
      </c>
      <c r="BG36" s="67" t="n">
        <f aca="false">-Inputs!$E$33*(1+Inputs!$E$39)^(BG$5-1)*1</f>
        <v>-2025.915858</v>
      </c>
      <c r="BH36" s="67" t="n">
        <f aca="false">-Inputs!$E$33*(1+Inputs!$E$39)^(BH$5-1)*1</f>
        <v>-2025.915858</v>
      </c>
      <c r="BI36" s="67" t="n">
        <f aca="false">-Inputs!$E$33*(1+Inputs!$E$39)^(BI$5-1)*1</f>
        <v>-2025.915858</v>
      </c>
      <c r="BJ36" s="67" t="n">
        <f aca="false">-Inputs!$E$33*(1+Inputs!$E$39)^(BJ$5-1)*1</f>
        <v>-2025.915858</v>
      </c>
    </row>
    <row r="37" customFormat="false" ht="15" hidden="false" customHeight="false" outlineLevel="0" collapsed="false">
      <c r="A37" s="6" t="s">
        <v>333</v>
      </c>
      <c r="C37" s="67" t="n">
        <f aca="false">-C20*Inputs!$E$34</f>
        <v>-461.650346666667</v>
      </c>
      <c r="D37" s="67" t="n">
        <f aca="false">-D20*Inputs!$E$34</f>
        <v>-530.897898666667</v>
      </c>
      <c r="E37" s="67" t="n">
        <f aca="false">-E20*Inputs!$E$34</f>
        <v>-600.145450666667</v>
      </c>
      <c r="F37" s="67" t="n">
        <f aca="false">-F20*Inputs!$E$34</f>
        <v>-669.393002666667</v>
      </c>
      <c r="G37" s="67" t="n">
        <f aca="false">-G20*Inputs!$E$34</f>
        <v>-738.640554666667</v>
      </c>
      <c r="H37" s="67" t="n">
        <f aca="false">-H20*Inputs!$E$34</f>
        <v>-1101.6656</v>
      </c>
      <c r="I37" s="67" t="n">
        <f aca="false">-I20*Inputs!$E$34</f>
        <v>-1196.09408</v>
      </c>
      <c r="J37" s="67" t="n">
        <f aca="false">-J20*Inputs!$E$34</f>
        <v>-1290.52256</v>
      </c>
      <c r="K37" s="67" t="n">
        <f aca="false">-K20*Inputs!$E$34</f>
        <v>-1015.63076266667</v>
      </c>
      <c r="L37" s="67" t="n">
        <f aca="false">-L20*Inputs!$E$34</f>
        <v>-1084.87831466667</v>
      </c>
      <c r="M37" s="67" t="n">
        <f aca="false">-M20*Inputs!$E$34</f>
        <v>-1154.12586666667</v>
      </c>
      <c r="N37" s="67" t="n">
        <f aca="false">-N20*Inputs!$E$34</f>
        <v>-1154.12586666667</v>
      </c>
      <c r="O37" s="67" t="n">
        <f aca="false">-O20*Inputs!$E$34</f>
        <v>-1212.52463552</v>
      </c>
      <c r="P37" s="67" t="n">
        <f aca="false">-P20*Inputs!$E$34</f>
        <v>-1212.52463552</v>
      </c>
      <c r="Q37" s="67" t="n">
        <f aca="false">-Q20*Inputs!$E$34</f>
        <v>-1212.52463552</v>
      </c>
      <c r="R37" s="67" t="n">
        <f aca="false">-R20*Inputs!$E$34</f>
        <v>-1212.52463552</v>
      </c>
      <c r="S37" s="67" t="n">
        <f aca="false">-S20*Inputs!$E$34</f>
        <v>-1212.52463552</v>
      </c>
      <c r="T37" s="67" t="n">
        <f aca="false">-T20*Inputs!$E$34</f>
        <v>-1653.4426848</v>
      </c>
      <c r="U37" s="67" t="n">
        <f aca="false">-U20*Inputs!$E$34</f>
        <v>-1653.4426848</v>
      </c>
      <c r="V37" s="67" t="n">
        <f aca="false">-V20*Inputs!$E$34</f>
        <v>-1653.4426848</v>
      </c>
      <c r="W37" s="67" t="n">
        <f aca="false">-W20*Inputs!$E$34</f>
        <v>-1212.52463552</v>
      </c>
      <c r="X37" s="67" t="n">
        <f aca="false">-X20*Inputs!$E$34</f>
        <v>-1212.52463552</v>
      </c>
      <c r="Y37" s="67" t="n">
        <f aca="false">-Y20*Inputs!$E$34</f>
        <v>-1212.52463552</v>
      </c>
      <c r="Z37" s="67" t="n">
        <f aca="false">-Z20*Inputs!$E$34</f>
        <v>-1212.52463552</v>
      </c>
      <c r="AA37" s="67" t="n">
        <f aca="false">-AA20*Inputs!$E$34</f>
        <v>-1273.87838207731</v>
      </c>
      <c r="AB37" s="67" t="n">
        <f aca="false">-AB20*Inputs!$E$34</f>
        <v>-1273.87838207731</v>
      </c>
      <c r="AC37" s="67" t="n">
        <f aca="false">-AC20*Inputs!$E$34</f>
        <v>-1273.87838207731</v>
      </c>
      <c r="AD37" s="67" t="n">
        <f aca="false">-AD20*Inputs!$E$34</f>
        <v>-1273.87838207731</v>
      </c>
      <c r="AE37" s="67" t="n">
        <f aca="false">-AE20*Inputs!$E$34</f>
        <v>-1273.87838207731</v>
      </c>
      <c r="AF37" s="67" t="n">
        <f aca="false">-AF20*Inputs!$E$34</f>
        <v>-1737.10688465088</v>
      </c>
      <c r="AG37" s="67" t="n">
        <f aca="false">-AG20*Inputs!$E$34</f>
        <v>-1737.10688465088</v>
      </c>
      <c r="AH37" s="67" t="n">
        <f aca="false">-AH20*Inputs!$E$34</f>
        <v>-1737.10688465088</v>
      </c>
      <c r="AI37" s="67" t="n">
        <f aca="false">-AI20*Inputs!$E$34</f>
        <v>-1273.87838207731</v>
      </c>
      <c r="AJ37" s="67" t="n">
        <f aca="false">-AJ20*Inputs!$E$34</f>
        <v>-1273.87838207731</v>
      </c>
      <c r="AK37" s="67" t="n">
        <f aca="false">-AK20*Inputs!$E$34</f>
        <v>-1273.87838207731</v>
      </c>
      <c r="AL37" s="67" t="n">
        <f aca="false">-AL20*Inputs!$E$34</f>
        <v>-1273.87838207731</v>
      </c>
      <c r="AM37" s="67" t="n">
        <f aca="false">-AM20*Inputs!$E$34</f>
        <v>-1338.33662821042</v>
      </c>
      <c r="AN37" s="67" t="n">
        <f aca="false">-AN20*Inputs!$E$34</f>
        <v>-1338.33662821042</v>
      </c>
      <c r="AO37" s="67" t="n">
        <f aca="false">-AO20*Inputs!$E$34</f>
        <v>-1338.33662821042</v>
      </c>
      <c r="AP37" s="67" t="n">
        <f aca="false">-AP20*Inputs!$E$34</f>
        <v>-1338.33662821042</v>
      </c>
      <c r="AQ37" s="67" t="n">
        <f aca="false">-AQ20*Inputs!$E$34</f>
        <v>-1338.33662821042</v>
      </c>
      <c r="AR37" s="67" t="n">
        <f aca="false">-AR20*Inputs!$E$34</f>
        <v>-1825.00449301422</v>
      </c>
      <c r="AS37" s="67" t="n">
        <f aca="false">-AS20*Inputs!$E$34</f>
        <v>-1825.00449301422</v>
      </c>
      <c r="AT37" s="67" t="n">
        <f aca="false">-AT20*Inputs!$E$34</f>
        <v>-1825.00449301422</v>
      </c>
      <c r="AU37" s="67" t="n">
        <f aca="false">-AU20*Inputs!$E$34</f>
        <v>-1338.33662821042</v>
      </c>
      <c r="AV37" s="67" t="n">
        <f aca="false">-AV20*Inputs!$E$34</f>
        <v>-1338.33662821042</v>
      </c>
      <c r="AW37" s="67" t="n">
        <f aca="false">-AW20*Inputs!$E$34</f>
        <v>-1338.33662821042</v>
      </c>
      <c r="AX37" s="67" t="n">
        <f aca="false">-AX20*Inputs!$E$34</f>
        <v>-1338.33662821042</v>
      </c>
      <c r="AY37" s="67" t="n">
        <f aca="false">-AY20*Inputs!$E$34</f>
        <v>-1406.05646159787</v>
      </c>
      <c r="AZ37" s="67" t="n">
        <f aca="false">-AZ20*Inputs!$E$34</f>
        <v>-1406.05646159787</v>
      </c>
      <c r="BA37" s="67" t="n">
        <f aca="false">-BA20*Inputs!$E$34</f>
        <v>-1406.05646159787</v>
      </c>
      <c r="BB37" s="67" t="n">
        <f aca="false">-BB20*Inputs!$E$34</f>
        <v>-1406.05646159787</v>
      </c>
      <c r="BC37" s="67" t="n">
        <f aca="false">-BC20*Inputs!$E$34</f>
        <v>-1406.05646159787</v>
      </c>
      <c r="BD37" s="67" t="n">
        <f aca="false">-BD20*Inputs!$E$34</f>
        <v>-1917.34972036073</v>
      </c>
      <c r="BE37" s="67" t="n">
        <f aca="false">-BE20*Inputs!$E$34</f>
        <v>-1917.34972036073</v>
      </c>
      <c r="BF37" s="67" t="n">
        <f aca="false">-BF20*Inputs!$E$34</f>
        <v>-1917.34972036073</v>
      </c>
      <c r="BG37" s="67" t="n">
        <f aca="false">-BG20*Inputs!$E$34</f>
        <v>-1406.05646159787</v>
      </c>
      <c r="BH37" s="67" t="n">
        <f aca="false">-BH20*Inputs!$E$34</f>
        <v>-1406.05646159787</v>
      </c>
      <c r="BI37" s="67" t="n">
        <f aca="false">-BI20*Inputs!$E$34</f>
        <v>-1406.05646159787</v>
      </c>
      <c r="BJ37" s="67" t="n">
        <f aca="false">-BJ20*Inputs!$E$34</f>
        <v>-1406.05646159787</v>
      </c>
    </row>
    <row r="38" customFormat="false" ht="15" hidden="false" customHeight="false" outlineLevel="0" collapsed="false">
      <c r="A38" s="6" t="s">
        <v>334</v>
      </c>
      <c r="C38" s="67" t="n">
        <f aca="false">-Inputs!$E$36*(1+Inputs!$E$37)^(C$5-1)*1</f>
        <v>-1500</v>
      </c>
      <c r="D38" s="67" t="n">
        <f aca="false">-Inputs!$E$36*(1+Inputs!$E$37)^(D$5-1)*1</f>
        <v>-1500</v>
      </c>
      <c r="E38" s="67" t="n">
        <f aca="false">-Inputs!$E$36*(1+Inputs!$E$37)^(E$5-1)*1</f>
        <v>-1500</v>
      </c>
      <c r="F38" s="67" t="n">
        <f aca="false">-Inputs!$E$36*(1+Inputs!$E$37)^(F$5-1)*1</f>
        <v>-1500</v>
      </c>
      <c r="G38" s="67" t="n">
        <f aca="false">-Inputs!$E$36*(1+Inputs!$E$37)^(G$5-1)*1</f>
        <v>-1500</v>
      </c>
      <c r="H38" s="67" t="n">
        <f aca="false">-Inputs!$E$36*(1+Inputs!$E$37)^(H$5-1)*1</f>
        <v>-1500</v>
      </c>
      <c r="I38" s="67" t="n">
        <f aca="false">-Inputs!$E$36*(1+Inputs!$E$37)^(I$5-1)*1</f>
        <v>-1500</v>
      </c>
      <c r="J38" s="67" t="n">
        <f aca="false">-Inputs!$E$36*(1+Inputs!$E$37)^(J$5-1)*1</f>
        <v>-1500</v>
      </c>
      <c r="K38" s="67" t="n">
        <f aca="false">-Inputs!$E$36*(1+Inputs!$E$37)^(K$5-1)*1</f>
        <v>-1500</v>
      </c>
      <c r="L38" s="67" t="n">
        <f aca="false">-Inputs!$E$36*(1+Inputs!$E$37)^(L$5-1)*1</f>
        <v>-1500</v>
      </c>
      <c r="M38" s="67" t="n">
        <f aca="false">-Inputs!$E$36*(1+Inputs!$E$37)^(M$5-1)*1</f>
        <v>-1500</v>
      </c>
      <c r="N38" s="67" t="n">
        <f aca="false">-Inputs!$E$36*(1+Inputs!$E$37)^(N$5-1)*1</f>
        <v>-1500</v>
      </c>
      <c r="O38" s="67" t="n">
        <f aca="false">-Inputs!$E$36*(1+Inputs!$E$37)^(O$5-1)*1</f>
        <v>-1200</v>
      </c>
      <c r="P38" s="67" t="n">
        <f aca="false">-Inputs!$E$36*(1+Inputs!$E$37)^(P$5-1)*1</f>
        <v>-1200</v>
      </c>
      <c r="Q38" s="67" t="n">
        <f aca="false">-Inputs!$E$36*(1+Inputs!$E$37)^(Q$5-1)*1</f>
        <v>-1200</v>
      </c>
      <c r="R38" s="67" t="n">
        <f aca="false">-Inputs!$E$36*(1+Inputs!$E$37)^(R$5-1)*1</f>
        <v>-1200</v>
      </c>
      <c r="S38" s="67" t="n">
        <f aca="false">-Inputs!$E$36*(1+Inputs!$E$37)^(S$5-1)*1</f>
        <v>-1200</v>
      </c>
      <c r="T38" s="67" t="n">
        <f aca="false">-Inputs!$E$36*(1+Inputs!$E$37)^(T$5-1)*1</f>
        <v>-1200</v>
      </c>
      <c r="U38" s="67" t="n">
        <f aca="false">-Inputs!$E$36*(1+Inputs!$E$37)^(U$5-1)*1</f>
        <v>-1200</v>
      </c>
      <c r="V38" s="67" t="n">
        <f aca="false">-Inputs!$E$36*(1+Inputs!$E$37)^(V$5-1)*1</f>
        <v>-1200</v>
      </c>
      <c r="W38" s="67" t="n">
        <f aca="false">-Inputs!$E$36*(1+Inputs!$E$37)^(W$5-1)*1</f>
        <v>-1200</v>
      </c>
      <c r="X38" s="67" t="n">
        <f aca="false">-Inputs!$E$36*(1+Inputs!$E$37)^(X$5-1)*1</f>
        <v>-1200</v>
      </c>
      <c r="Y38" s="67" t="n">
        <f aca="false">-Inputs!$E$36*(1+Inputs!$E$37)^(Y$5-1)*1</f>
        <v>-1200</v>
      </c>
      <c r="Z38" s="67" t="n">
        <f aca="false">-Inputs!$E$36*(1+Inputs!$E$37)^(Z$5-1)*1</f>
        <v>-1200</v>
      </c>
      <c r="AA38" s="67" t="n">
        <f aca="false">-Inputs!$E$36*(1+Inputs!$E$37)^(AA$5-1)*1</f>
        <v>-960</v>
      </c>
      <c r="AB38" s="67" t="n">
        <f aca="false">-Inputs!$E$36*(1+Inputs!$E$37)^(AB$5-1)*1</f>
        <v>-960</v>
      </c>
      <c r="AC38" s="67" t="n">
        <f aca="false">-Inputs!$E$36*(1+Inputs!$E$37)^(AC$5-1)*1</f>
        <v>-960</v>
      </c>
      <c r="AD38" s="67" t="n">
        <f aca="false">-Inputs!$E$36*(1+Inputs!$E$37)^(AD$5-1)*1</f>
        <v>-960</v>
      </c>
      <c r="AE38" s="67" t="n">
        <f aca="false">-Inputs!$E$36*(1+Inputs!$E$37)^(AE$5-1)*1</f>
        <v>-960</v>
      </c>
      <c r="AF38" s="67" t="n">
        <f aca="false">-Inputs!$E$36*(1+Inputs!$E$37)^(AF$5-1)*1</f>
        <v>-960</v>
      </c>
      <c r="AG38" s="67" t="n">
        <f aca="false">-Inputs!$E$36*(1+Inputs!$E$37)^(AG$5-1)*1</f>
        <v>-960</v>
      </c>
      <c r="AH38" s="67" t="n">
        <f aca="false">-Inputs!$E$36*(1+Inputs!$E$37)^(AH$5-1)*1</f>
        <v>-960</v>
      </c>
      <c r="AI38" s="67" t="n">
        <f aca="false">-Inputs!$E$36*(1+Inputs!$E$37)^(AI$5-1)*1</f>
        <v>-960</v>
      </c>
      <c r="AJ38" s="67" t="n">
        <f aca="false">-Inputs!$E$36*(1+Inputs!$E$37)^(AJ$5-1)*1</f>
        <v>-960</v>
      </c>
      <c r="AK38" s="67" t="n">
        <f aca="false">-Inputs!$E$36*(1+Inputs!$E$37)^(AK$5-1)*1</f>
        <v>-960</v>
      </c>
      <c r="AL38" s="67" t="n">
        <f aca="false">-Inputs!$E$36*(1+Inputs!$E$37)^(AL$5-1)*1</f>
        <v>-960</v>
      </c>
      <c r="AM38" s="67" t="n">
        <f aca="false">-Inputs!$E$36*(1+Inputs!$E$37)^(AM$5-1)*1</f>
        <v>-768</v>
      </c>
      <c r="AN38" s="67" t="n">
        <f aca="false">-Inputs!$E$36*(1+Inputs!$E$37)^(AN$5-1)*1</f>
        <v>-768</v>
      </c>
      <c r="AO38" s="67" t="n">
        <f aca="false">-Inputs!$E$36*(1+Inputs!$E$37)^(AO$5-1)*1</f>
        <v>-768</v>
      </c>
      <c r="AP38" s="67" t="n">
        <f aca="false">-Inputs!$E$36*(1+Inputs!$E$37)^(AP$5-1)*1</f>
        <v>-768</v>
      </c>
      <c r="AQ38" s="67" t="n">
        <f aca="false">-Inputs!$E$36*(1+Inputs!$E$37)^(AQ$5-1)*1</f>
        <v>-768</v>
      </c>
      <c r="AR38" s="67" t="n">
        <f aca="false">-Inputs!$E$36*(1+Inputs!$E$37)^(AR$5-1)*1</f>
        <v>-768</v>
      </c>
      <c r="AS38" s="67" t="n">
        <f aca="false">-Inputs!$E$36*(1+Inputs!$E$37)^(AS$5-1)*1</f>
        <v>-768</v>
      </c>
      <c r="AT38" s="67" t="n">
        <f aca="false">-Inputs!$E$36*(1+Inputs!$E$37)^(AT$5-1)*1</f>
        <v>-768</v>
      </c>
      <c r="AU38" s="67" t="n">
        <f aca="false">-Inputs!$E$36*(1+Inputs!$E$37)^(AU$5-1)*1</f>
        <v>-768</v>
      </c>
      <c r="AV38" s="67" t="n">
        <f aca="false">-Inputs!$E$36*(1+Inputs!$E$37)^(AV$5-1)*1</f>
        <v>-768</v>
      </c>
      <c r="AW38" s="67" t="n">
        <f aca="false">-Inputs!$E$36*(1+Inputs!$E$37)^(AW$5-1)*1</f>
        <v>-768</v>
      </c>
      <c r="AX38" s="67" t="n">
        <f aca="false">-Inputs!$E$36*(1+Inputs!$E$37)^(AX$5-1)*1</f>
        <v>-768</v>
      </c>
      <c r="AY38" s="67" t="n">
        <f aca="false">-Inputs!$E$36*(1+Inputs!$E$37)^(AY$5-1)*1</f>
        <v>-614.4</v>
      </c>
      <c r="AZ38" s="67" t="n">
        <f aca="false">-Inputs!$E$36*(1+Inputs!$E$37)^(AZ$5-1)*1</f>
        <v>-614.4</v>
      </c>
      <c r="BA38" s="67" t="n">
        <f aca="false">-Inputs!$E$36*(1+Inputs!$E$37)^(BA$5-1)*1</f>
        <v>-614.4</v>
      </c>
      <c r="BB38" s="67" t="n">
        <f aca="false">-Inputs!$E$36*(1+Inputs!$E$37)^(BB$5-1)*1</f>
        <v>-614.4</v>
      </c>
      <c r="BC38" s="67" t="n">
        <f aca="false">-Inputs!$E$36*(1+Inputs!$E$37)^(BC$5-1)*1</f>
        <v>-614.4</v>
      </c>
      <c r="BD38" s="67" t="n">
        <f aca="false">-Inputs!$E$36*(1+Inputs!$E$37)^(BD$5-1)*1</f>
        <v>-614.4</v>
      </c>
      <c r="BE38" s="67" t="n">
        <f aca="false">-Inputs!$E$36*(1+Inputs!$E$37)^(BE$5-1)*1</f>
        <v>-614.4</v>
      </c>
      <c r="BF38" s="67" t="n">
        <f aca="false">-Inputs!$E$36*(1+Inputs!$E$37)^(BF$5-1)*1</f>
        <v>-614.4</v>
      </c>
      <c r="BG38" s="67" t="n">
        <f aca="false">-Inputs!$E$36*(1+Inputs!$E$37)^(BG$5-1)*1</f>
        <v>-614.4</v>
      </c>
      <c r="BH38" s="67" t="n">
        <f aca="false">-Inputs!$E$36*(1+Inputs!$E$37)^(BH$5-1)*1</f>
        <v>-614.4</v>
      </c>
      <c r="BI38" s="67" t="n">
        <f aca="false">-Inputs!$E$36*(1+Inputs!$E$37)^(BI$5-1)*1</f>
        <v>-614.4</v>
      </c>
      <c r="BJ38" s="67" t="n">
        <f aca="false">-Inputs!$E$36*(1+Inputs!$E$37)^(BJ$5-1)*1</f>
        <v>-614.4</v>
      </c>
    </row>
    <row r="39" customFormat="false" ht="15" hidden="false" customHeight="false" outlineLevel="0" collapsed="false">
      <c r="A39" s="6" t="s">
        <v>335</v>
      </c>
      <c r="C39" s="67" t="n">
        <f aca="false">-Inputs!$E$35*(1+Inputs!$E$39)^(C$5-1)*1</f>
        <v>-1200</v>
      </c>
      <c r="D39" s="67" t="n">
        <f aca="false">-Inputs!$E$35*(1+Inputs!$E$39)^(D$5-1)*1</f>
        <v>-1200</v>
      </c>
      <c r="E39" s="67" t="n">
        <f aca="false">-Inputs!$E$35*(1+Inputs!$E$39)^(E$5-1)*1</f>
        <v>-1200</v>
      </c>
      <c r="F39" s="67" t="n">
        <f aca="false">-Inputs!$E$35*(1+Inputs!$E$39)^(F$5-1)*1</f>
        <v>-1200</v>
      </c>
      <c r="G39" s="67" t="n">
        <f aca="false">-Inputs!$E$35*(1+Inputs!$E$39)^(G$5-1)*1</f>
        <v>-1200</v>
      </c>
      <c r="H39" s="67" t="n">
        <f aca="false">-Inputs!$E$35*(1+Inputs!$E$39)^(H$5-1)*1</f>
        <v>-1200</v>
      </c>
      <c r="I39" s="67" t="n">
        <f aca="false">-Inputs!$E$35*(1+Inputs!$E$39)^(I$5-1)*1</f>
        <v>-1200</v>
      </c>
      <c r="J39" s="67" t="n">
        <f aca="false">-Inputs!$E$35*(1+Inputs!$E$39)^(J$5-1)*1</f>
        <v>-1200</v>
      </c>
      <c r="K39" s="67" t="n">
        <f aca="false">-Inputs!$E$35*(1+Inputs!$E$39)^(K$5-1)*1</f>
        <v>-1200</v>
      </c>
      <c r="L39" s="67" t="n">
        <f aca="false">-Inputs!$E$35*(1+Inputs!$E$39)^(L$5-1)*1</f>
        <v>-1200</v>
      </c>
      <c r="M39" s="67" t="n">
        <f aca="false">-Inputs!$E$35*(1+Inputs!$E$39)^(M$5-1)*1</f>
        <v>-1200</v>
      </c>
      <c r="N39" s="67" t="n">
        <f aca="false">-Inputs!$E$35*(1+Inputs!$E$39)^(N$5-1)*1</f>
        <v>-1200</v>
      </c>
      <c r="O39" s="67" t="n">
        <f aca="false">-Inputs!$E$35*(1+Inputs!$E$39)^(O$5-1)*1</f>
        <v>-1236</v>
      </c>
      <c r="P39" s="67" t="n">
        <f aca="false">-Inputs!$E$35*(1+Inputs!$E$39)^(P$5-1)*1</f>
        <v>-1236</v>
      </c>
      <c r="Q39" s="67" t="n">
        <f aca="false">-Inputs!$E$35*(1+Inputs!$E$39)^(Q$5-1)*1</f>
        <v>-1236</v>
      </c>
      <c r="R39" s="67" t="n">
        <f aca="false">-Inputs!$E$35*(1+Inputs!$E$39)^(R$5-1)*1</f>
        <v>-1236</v>
      </c>
      <c r="S39" s="67" t="n">
        <f aca="false">-Inputs!$E$35*(1+Inputs!$E$39)^(S$5-1)*1</f>
        <v>-1236</v>
      </c>
      <c r="T39" s="67" t="n">
        <f aca="false">-Inputs!$E$35*(1+Inputs!$E$39)^(T$5-1)*1</f>
        <v>-1236</v>
      </c>
      <c r="U39" s="67" t="n">
        <f aca="false">-Inputs!$E$35*(1+Inputs!$E$39)^(U$5-1)*1</f>
        <v>-1236</v>
      </c>
      <c r="V39" s="67" t="n">
        <f aca="false">-Inputs!$E$35*(1+Inputs!$E$39)^(V$5-1)*1</f>
        <v>-1236</v>
      </c>
      <c r="W39" s="67" t="n">
        <f aca="false">-Inputs!$E$35*(1+Inputs!$E$39)^(W$5-1)*1</f>
        <v>-1236</v>
      </c>
      <c r="X39" s="67" t="n">
        <f aca="false">-Inputs!$E$35*(1+Inputs!$E$39)^(X$5-1)*1</f>
        <v>-1236</v>
      </c>
      <c r="Y39" s="67" t="n">
        <f aca="false">-Inputs!$E$35*(1+Inputs!$E$39)^(Y$5-1)*1</f>
        <v>-1236</v>
      </c>
      <c r="Z39" s="67" t="n">
        <f aca="false">-Inputs!$E$35*(1+Inputs!$E$39)^(Z$5-1)*1</f>
        <v>-1236</v>
      </c>
      <c r="AA39" s="67" t="n">
        <f aca="false">-Inputs!$E$35*(1+Inputs!$E$39)^(AA$5-1)*1</f>
        <v>-1273.08</v>
      </c>
      <c r="AB39" s="67" t="n">
        <f aca="false">-Inputs!$E$35*(1+Inputs!$E$39)^(AB$5-1)*1</f>
        <v>-1273.08</v>
      </c>
      <c r="AC39" s="67" t="n">
        <f aca="false">-Inputs!$E$35*(1+Inputs!$E$39)^(AC$5-1)*1</f>
        <v>-1273.08</v>
      </c>
      <c r="AD39" s="67" t="n">
        <f aca="false">-Inputs!$E$35*(1+Inputs!$E$39)^(AD$5-1)*1</f>
        <v>-1273.08</v>
      </c>
      <c r="AE39" s="67" t="n">
        <f aca="false">-Inputs!$E$35*(1+Inputs!$E$39)^(AE$5-1)*1</f>
        <v>-1273.08</v>
      </c>
      <c r="AF39" s="67" t="n">
        <f aca="false">-Inputs!$E$35*(1+Inputs!$E$39)^(AF$5-1)*1</f>
        <v>-1273.08</v>
      </c>
      <c r="AG39" s="67" t="n">
        <f aca="false">-Inputs!$E$35*(1+Inputs!$E$39)^(AG$5-1)*1</f>
        <v>-1273.08</v>
      </c>
      <c r="AH39" s="67" t="n">
        <f aca="false">-Inputs!$E$35*(1+Inputs!$E$39)^(AH$5-1)*1</f>
        <v>-1273.08</v>
      </c>
      <c r="AI39" s="67" t="n">
        <f aca="false">-Inputs!$E$35*(1+Inputs!$E$39)^(AI$5-1)*1</f>
        <v>-1273.08</v>
      </c>
      <c r="AJ39" s="67" t="n">
        <f aca="false">-Inputs!$E$35*(1+Inputs!$E$39)^(AJ$5-1)*1</f>
        <v>-1273.08</v>
      </c>
      <c r="AK39" s="67" t="n">
        <f aca="false">-Inputs!$E$35*(1+Inputs!$E$39)^(AK$5-1)*1</f>
        <v>-1273.08</v>
      </c>
      <c r="AL39" s="67" t="n">
        <f aca="false">-Inputs!$E$35*(1+Inputs!$E$39)^(AL$5-1)*1</f>
        <v>-1273.08</v>
      </c>
      <c r="AM39" s="67" t="n">
        <f aca="false">-Inputs!$E$35*(1+Inputs!$E$39)^(AM$5-1)*1</f>
        <v>-1311.2724</v>
      </c>
      <c r="AN39" s="67" t="n">
        <f aca="false">-Inputs!$E$35*(1+Inputs!$E$39)^(AN$5-1)*1</f>
        <v>-1311.2724</v>
      </c>
      <c r="AO39" s="67" t="n">
        <f aca="false">-Inputs!$E$35*(1+Inputs!$E$39)^(AO$5-1)*1</f>
        <v>-1311.2724</v>
      </c>
      <c r="AP39" s="67" t="n">
        <f aca="false">-Inputs!$E$35*(1+Inputs!$E$39)^(AP$5-1)*1</f>
        <v>-1311.2724</v>
      </c>
      <c r="AQ39" s="67" t="n">
        <f aca="false">-Inputs!$E$35*(1+Inputs!$E$39)^(AQ$5-1)*1</f>
        <v>-1311.2724</v>
      </c>
      <c r="AR39" s="67" t="n">
        <f aca="false">-Inputs!$E$35*(1+Inputs!$E$39)^(AR$5-1)*1</f>
        <v>-1311.2724</v>
      </c>
      <c r="AS39" s="67" t="n">
        <f aca="false">-Inputs!$E$35*(1+Inputs!$E$39)^(AS$5-1)*1</f>
        <v>-1311.2724</v>
      </c>
      <c r="AT39" s="67" t="n">
        <f aca="false">-Inputs!$E$35*(1+Inputs!$E$39)^(AT$5-1)*1</f>
        <v>-1311.2724</v>
      </c>
      <c r="AU39" s="67" t="n">
        <f aca="false">-Inputs!$E$35*(1+Inputs!$E$39)^(AU$5-1)*1</f>
        <v>-1311.2724</v>
      </c>
      <c r="AV39" s="67" t="n">
        <f aca="false">-Inputs!$E$35*(1+Inputs!$E$39)^(AV$5-1)*1</f>
        <v>-1311.2724</v>
      </c>
      <c r="AW39" s="67" t="n">
        <f aca="false">-Inputs!$E$35*(1+Inputs!$E$39)^(AW$5-1)*1</f>
        <v>-1311.2724</v>
      </c>
      <c r="AX39" s="67" t="n">
        <f aca="false">-Inputs!$E$35*(1+Inputs!$E$39)^(AX$5-1)*1</f>
        <v>-1311.2724</v>
      </c>
      <c r="AY39" s="67" t="n">
        <f aca="false">-Inputs!$E$35*(1+Inputs!$E$39)^(AY$5-1)*1</f>
        <v>-1350.610572</v>
      </c>
      <c r="AZ39" s="67" t="n">
        <f aca="false">-Inputs!$E$35*(1+Inputs!$E$39)^(AZ$5-1)*1</f>
        <v>-1350.610572</v>
      </c>
      <c r="BA39" s="67" t="n">
        <f aca="false">-Inputs!$E$35*(1+Inputs!$E$39)^(BA$5-1)*1</f>
        <v>-1350.610572</v>
      </c>
      <c r="BB39" s="67" t="n">
        <f aca="false">-Inputs!$E$35*(1+Inputs!$E$39)^(BB$5-1)*1</f>
        <v>-1350.610572</v>
      </c>
      <c r="BC39" s="67" t="n">
        <f aca="false">-Inputs!$E$35*(1+Inputs!$E$39)^(BC$5-1)*1</f>
        <v>-1350.610572</v>
      </c>
      <c r="BD39" s="67" t="n">
        <f aca="false">-Inputs!$E$35*(1+Inputs!$E$39)^(BD$5-1)*1</f>
        <v>-1350.610572</v>
      </c>
      <c r="BE39" s="67" t="n">
        <f aca="false">-Inputs!$E$35*(1+Inputs!$E$39)^(BE$5-1)*1</f>
        <v>-1350.610572</v>
      </c>
      <c r="BF39" s="67" t="n">
        <f aca="false">-Inputs!$E$35*(1+Inputs!$E$39)^(BF$5-1)*1</f>
        <v>-1350.610572</v>
      </c>
      <c r="BG39" s="67" t="n">
        <f aca="false">-Inputs!$E$35*(1+Inputs!$E$39)^(BG$5-1)*1</f>
        <v>-1350.610572</v>
      </c>
      <c r="BH39" s="67" t="n">
        <f aca="false">-Inputs!$E$35*(1+Inputs!$E$39)^(BH$5-1)*1</f>
        <v>-1350.610572</v>
      </c>
      <c r="BI39" s="67" t="n">
        <f aca="false">-Inputs!$E$35*(1+Inputs!$E$39)^(BI$5-1)*1</f>
        <v>-1350.610572</v>
      </c>
      <c r="BJ39" s="67" t="n">
        <f aca="false">-Inputs!$E$35*(1+Inputs!$E$39)^(BJ$5-1)*1</f>
        <v>-1350.610572</v>
      </c>
    </row>
    <row r="40" customFormat="false" ht="15" hidden="false" customHeight="false" outlineLevel="0" collapsed="false">
      <c r="A40" s="6" t="s">
        <v>336</v>
      </c>
      <c r="C40" s="67" t="n">
        <f aca="false">-C20*Inputs!$E$38</f>
        <v>-311.613984</v>
      </c>
      <c r="D40" s="67" t="n">
        <f aca="false">-D20*Inputs!$E$38</f>
        <v>-358.3560816</v>
      </c>
      <c r="E40" s="67" t="n">
        <f aca="false">-E20*Inputs!$E$38</f>
        <v>-405.0981792</v>
      </c>
      <c r="F40" s="67" t="n">
        <f aca="false">-F20*Inputs!$E$38</f>
        <v>-451.8402768</v>
      </c>
      <c r="G40" s="67" t="n">
        <f aca="false">-G20*Inputs!$E$38</f>
        <v>-498.5823744</v>
      </c>
      <c r="H40" s="67" t="n">
        <f aca="false">-H20*Inputs!$E$38</f>
        <v>-743.62428</v>
      </c>
      <c r="I40" s="67" t="n">
        <f aca="false">-I20*Inputs!$E$38</f>
        <v>-807.363504</v>
      </c>
      <c r="J40" s="67" t="n">
        <f aca="false">-J20*Inputs!$E$38</f>
        <v>-871.102728</v>
      </c>
      <c r="K40" s="67" t="n">
        <f aca="false">-K20*Inputs!$E$38</f>
        <v>-685.5507648</v>
      </c>
      <c r="L40" s="67" t="n">
        <f aca="false">-L20*Inputs!$E$38</f>
        <v>-732.2928624</v>
      </c>
      <c r="M40" s="67" t="n">
        <f aca="false">-M20*Inputs!$E$38</f>
        <v>-779.03496</v>
      </c>
      <c r="N40" s="67" t="n">
        <f aca="false">-N20*Inputs!$E$38</f>
        <v>-779.03496</v>
      </c>
      <c r="O40" s="67" t="n">
        <f aca="false">-O20*Inputs!$E$38</f>
        <v>-818.454128976</v>
      </c>
      <c r="P40" s="67" t="n">
        <f aca="false">-P20*Inputs!$E$38</f>
        <v>-818.454128976</v>
      </c>
      <c r="Q40" s="67" t="n">
        <f aca="false">-Q20*Inputs!$E$38</f>
        <v>-818.454128976</v>
      </c>
      <c r="R40" s="67" t="n">
        <f aca="false">-R20*Inputs!$E$38</f>
        <v>-818.454128976</v>
      </c>
      <c r="S40" s="67" t="n">
        <f aca="false">-S20*Inputs!$E$38</f>
        <v>-818.454128976</v>
      </c>
      <c r="T40" s="67" t="n">
        <f aca="false">-T20*Inputs!$E$38</f>
        <v>-1116.07381224</v>
      </c>
      <c r="U40" s="67" t="n">
        <f aca="false">-U20*Inputs!$E$38</f>
        <v>-1116.07381224</v>
      </c>
      <c r="V40" s="67" t="n">
        <f aca="false">-V20*Inputs!$E$38</f>
        <v>-1116.07381224</v>
      </c>
      <c r="W40" s="67" t="n">
        <f aca="false">-W20*Inputs!$E$38</f>
        <v>-818.454128976</v>
      </c>
      <c r="X40" s="67" t="n">
        <f aca="false">-X20*Inputs!$E$38</f>
        <v>-818.454128976</v>
      </c>
      <c r="Y40" s="67" t="n">
        <f aca="false">-Y20*Inputs!$E$38</f>
        <v>-818.454128976</v>
      </c>
      <c r="Z40" s="67" t="n">
        <f aca="false">-Z20*Inputs!$E$38</f>
        <v>-818.454128976</v>
      </c>
      <c r="AA40" s="67" t="n">
        <f aca="false">-AA20*Inputs!$E$38</f>
        <v>-859.867907902186</v>
      </c>
      <c r="AB40" s="67" t="n">
        <f aca="false">-AB20*Inputs!$E$38</f>
        <v>-859.867907902186</v>
      </c>
      <c r="AC40" s="67" t="n">
        <f aca="false">-AC20*Inputs!$E$38</f>
        <v>-859.867907902186</v>
      </c>
      <c r="AD40" s="67" t="n">
        <f aca="false">-AD20*Inputs!$E$38</f>
        <v>-859.867907902186</v>
      </c>
      <c r="AE40" s="67" t="n">
        <f aca="false">-AE20*Inputs!$E$38</f>
        <v>-859.867907902186</v>
      </c>
      <c r="AF40" s="67" t="n">
        <f aca="false">-AF20*Inputs!$E$38</f>
        <v>-1172.54714713934</v>
      </c>
      <c r="AG40" s="67" t="n">
        <f aca="false">-AG20*Inputs!$E$38</f>
        <v>-1172.54714713934</v>
      </c>
      <c r="AH40" s="67" t="n">
        <f aca="false">-AH20*Inputs!$E$38</f>
        <v>-1172.54714713934</v>
      </c>
      <c r="AI40" s="67" t="n">
        <f aca="false">-AI20*Inputs!$E$38</f>
        <v>-859.867907902186</v>
      </c>
      <c r="AJ40" s="67" t="n">
        <f aca="false">-AJ20*Inputs!$E$38</f>
        <v>-859.867907902186</v>
      </c>
      <c r="AK40" s="67" t="n">
        <f aca="false">-AK20*Inputs!$E$38</f>
        <v>-859.867907902186</v>
      </c>
      <c r="AL40" s="67" t="n">
        <f aca="false">-AL20*Inputs!$E$38</f>
        <v>-859.867907902186</v>
      </c>
      <c r="AM40" s="67" t="n">
        <f aca="false">-AM20*Inputs!$E$38</f>
        <v>-903.377224042036</v>
      </c>
      <c r="AN40" s="67" t="n">
        <f aca="false">-AN20*Inputs!$E$38</f>
        <v>-903.377224042036</v>
      </c>
      <c r="AO40" s="67" t="n">
        <f aca="false">-AO20*Inputs!$E$38</f>
        <v>-903.377224042036</v>
      </c>
      <c r="AP40" s="67" t="n">
        <f aca="false">-AP20*Inputs!$E$38</f>
        <v>-903.377224042036</v>
      </c>
      <c r="AQ40" s="67" t="n">
        <f aca="false">-AQ20*Inputs!$E$38</f>
        <v>-903.377224042036</v>
      </c>
      <c r="AR40" s="67" t="n">
        <f aca="false">-AR20*Inputs!$E$38</f>
        <v>-1231.8780327846</v>
      </c>
      <c r="AS40" s="67" t="n">
        <f aca="false">-AS20*Inputs!$E$38</f>
        <v>-1231.8780327846</v>
      </c>
      <c r="AT40" s="67" t="n">
        <f aca="false">-AT20*Inputs!$E$38</f>
        <v>-1231.8780327846</v>
      </c>
      <c r="AU40" s="67" t="n">
        <f aca="false">-AU20*Inputs!$E$38</f>
        <v>-903.377224042036</v>
      </c>
      <c r="AV40" s="67" t="n">
        <f aca="false">-AV20*Inputs!$E$38</f>
        <v>-903.377224042036</v>
      </c>
      <c r="AW40" s="67" t="n">
        <f aca="false">-AW20*Inputs!$E$38</f>
        <v>-903.377224042036</v>
      </c>
      <c r="AX40" s="67" t="n">
        <f aca="false">-AX20*Inputs!$E$38</f>
        <v>-903.377224042036</v>
      </c>
      <c r="AY40" s="67" t="n">
        <f aca="false">-AY20*Inputs!$E$38</f>
        <v>-949.088111578563</v>
      </c>
      <c r="AZ40" s="67" t="n">
        <f aca="false">-AZ20*Inputs!$E$38</f>
        <v>-949.088111578563</v>
      </c>
      <c r="BA40" s="67" t="n">
        <f aca="false">-BA20*Inputs!$E$38</f>
        <v>-949.088111578563</v>
      </c>
      <c r="BB40" s="67" t="n">
        <f aca="false">-BB20*Inputs!$E$38</f>
        <v>-949.088111578563</v>
      </c>
      <c r="BC40" s="67" t="n">
        <f aca="false">-BC20*Inputs!$E$38</f>
        <v>-949.088111578563</v>
      </c>
      <c r="BD40" s="67" t="n">
        <f aca="false">-BD20*Inputs!$E$38</f>
        <v>-1294.2110612435</v>
      </c>
      <c r="BE40" s="67" t="n">
        <f aca="false">-BE20*Inputs!$E$38</f>
        <v>-1294.2110612435</v>
      </c>
      <c r="BF40" s="67" t="n">
        <f aca="false">-BF20*Inputs!$E$38</f>
        <v>-1294.2110612435</v>
      </c>
      <c r="BG40" s="67" t="n">
        <f aca="false">-BG20*Inputs!$E$38</f>
        <v>-949.088111578563</v>
      </c>
      <c r="BH40" s="67" t="n">
        <f aca="false">-BH20*Inputs!$E$38</f>
        <v>-949.088111578563</v>
      </c>
      <c r="BI40" s="67" t="n">
        <f aca="false">-BI20*Inputs!$E$38</f>
        <v>-949.088111578563</v>
      </c>
      <c r="BJ40" s="67" t="n">
        <f aca="false">-BJ20*Inputs!$E$38</f>
        <v>-949.088111578563</v>
      </c>
    </row>
    <row r="41" customFormat="false" ht="15" hidden="false" customHeight="false" outlineLevel="0" collapsed="false">
      <c r="A41" s="111" t="s">
        <v>77</v>
      </c>
      <c r="C41" s="68" t="n">
        <f aca="false">C32+C33+C34+C35+C36+C37+C38+C39+C40</f>
        <v>-12198.2643306667</v>
      </c>
      <c r="D41" s="68" t="n">
        <f aca="false">D32+D33+D34+D35+D36+D37+D38+D39+D40</f>
        <v>-12314.2539802667</v>
      </c>
      <c r="E41" s="68" t="n">
        <f aca="false">E32+E33+E34+E35+E36+E37+E38+E39+E40</f>
        <v>-12430.2436298667</v>
      </c>
      <c r="F41" s="68" t="n">
        <f aca="false">F32+F33+F34+F35+F36+F37+F38+F39+F40</f>
        <v>-12546.2332794667</v>
      </c>
      <c r="G41" s="68" t="n">
        <f aca="false">G32+G33+G34+G35+G36+G37+G38+G39+G40</f>
        <v>-12662.2229290667</v>
      </c>
      <c r="H41" s="68" t="n">
        <f aca="false">H32+H33+H34+H35+H36+H37+H38+H39+H40</f>
        <v>-13270.28988</v>
      </c>
      <c r="I41" s="68" t="n">
        <f aca="false">I32+I33+I34+I35+I36+I37+I38+I39+I40</f>
        <v>-13428.457584</v>
      </c>
      <c r="J41" s="68" t="n">
        <f aca="false">J32+J33+J34+J35+J36+J37+J38+J39+J40</f>
        <v>-13586.625288</v>
      </c>
      <c r="K41" s="68" t="n">
        <f aca="false">K32+K33+K34+K35+K36+K37+K38+K39+K40</f>
        <v>-13126.1815274667</v>
      </c>
      <c r="L41" s="68" t="n">
        <f aca="false">L32+L33+L34+L35+L36+L37+L38+L39+L40</f>
        <v>-13242.1711770667</v>
      </c>
      <c r="M41" s="68" t="n">
        <f aca="false">M32+M33+M34+M35+M36+M37+M38+M39+M40</f>
        <v>-13358.1608266667</v>
      </c>
      <c r="N41" s="68" t="n">
        <f aca="false">N32+N33+N34+N35+N36+N37+N38+N39+N40</f>
        <v>-13358.1608266667</v>
      </c>
      <c r="O41" s="68" t="n">
        <f aca="false">O32+O33+O34+O35+O36+O37+O38+O39+O40</f>
        <v>-13453.728764496</v>
      </c>
      <c r="P41" s="68" t="n">
        <f aca="false">P32+P33+P34+P35+P36+P37+P38+P39+P40</f>
        <v>-13453.728764496</v>
      </c>
      <c r="Q41" s="68" t="n">
        <f aca="false">Q32+Q33+Q34+Q35+Q36+Q37+Q38+Q39+Q40</f>
        <v>-13453.728764496</v>
      </c>
      <c r="R41" s="68" t="n">
        <f aca="false">R32+R33+R34+R35+R36+R37+R38+R39+R40</f>
        <v>-13453.728764496</v>
      </c>
      <c r="S41" s="68" t="n">
        <f aca="false">S32+S33+S34+S35+S36+S37+S38+S39+S40</f>
        <v>-13453.728764496</v>
      </c>
      <c r="T41" s="68" t="n">
        <f aca="false">T32+T33+T34+T35+T36+T37+T38+T39+T40</f>
        <v>-14192.26649704</v>
      </c>
      <c r="U41" s="68" t="n">
        <f aca="false">U32+U33+U34+U35+U36+U37+U38+U39+U40</f>
        <v>-14192.26649704</v>
      </c>
      <c r="V41" s="68" t="n">
        <f aca="false">V32+V33+V34+V35+V36+V37+V38+V39+V40</f>
        <v>-14192.26649704</v>
      </c>
      <c r="W41" s="68" t="n">
        <f aca="false">W32+W33+W34+W35+W36+W37+W38+W39+W40</f>
        <v>-13453.728764496</v>
      </c>
      <c r="X41" s="68" t="n">
        <f aca="false">X32+X33+X34+X35+X36+X37+X38+X39+X40</f>
        <v>-13453.728764496</v>
      </c>
      <c r="Y41" s="68" t="n">
        <f aca="false">Y32+Y33+Y34+Y35+Y36+Y37+Y38+Y39+Y40</f>
        <v>-13453.728764496</v>
      </c>
      <c r="Z41" s="68" t="n">
        <f aca="false">Z32+Z33+Z34+Z35+Z36+Z37+Z38+Z39+Z40</f>
        <v>-13453.728764496</v>
      </c>
      <c r="AA41" s="68" t="n">
        <f aca="false">AA32+AA33+AA34+AA35+AA36+AA37+AA38+AA39+AA40</f>
        <v>-13623.1787899795</v>
      </c>
      <c r="AB41" s="68" t="n">
        <f aca="false">AB32+AB33+AB34+AB35+AB36+AB37+AB38+AB39+AB40</f>
        <v>-13623.1787899795</v>
      </c>
      <c r="AC41" s="68" t="n">
        <f aca="false">AC32+AC33+AC34+AC35+AC36+AC37+AC38+AC39+AC40</f>
        <v>-13623.1787899795</v>
      </c>
      <c r="AD41" s="68" t="n">
        <f aca="false">AD32+AD33+AD34+AD35+AD36+AD37+AD38+AD39+AD40</f>
        <v>-13623.1787899795</v>
      </c>
      <c r="AE41" s="68" t="n">
        <f aca="false">AE32+AE33+AE34+AE35+AE36+AE37+AE38+AE39+AE40</f>
        <v>-13623.1787899795</v>
      </c>
      <c r="AF41" s="68" t="n">
        <f aca="false">AF32+AF33+AF34+AF35+AF36+AF37+AF38+AF39+AF40</f>
        <v>-14399.0865317902</v>
      </c>
      <c r="AG41" s="68" t="n">
        <f aca="false">AG32+AG33+AG34+AG35+AG36+AG37+AG38+AG39+AG40</f>
        <v>-14399.0865317902</v>
      </c>
      <c r="AH41" s="68" t="n">
        <f aca="false">AH32+AH33+AH34+AH35+AH36+AH37+AH38+AH39+AH40</f>
        <v>-14399.0865317902</v>
      </c>
      <c r="AI41" s="68" t="n">
        <f aca="false">AI32+AI33+AI34+AI35+AI36+AI37+AI38+AI39+AI40</f>
        <v>-13623.1787899795</v>
      </c>
      <c r="AJ41" s="68" t="n">
        <f aca="false">AJ32+AJ33+AJ34+AJ35+AJ36+AJ37+AJ38+AJ39+AJ40</f>
        <v>-13623.1787899795</v>
      </c>
      <c r="AK41" s="68" t="n">
        <f aca="false">AK32+AK33+AK34+AK35+AK36+AK37+AK38+AK39+AK40</f>
        <v>-13623.1787899795</v>
      </c>
      <c r="AL41" s="68" t="n">
        <f aca="false">AL32+AL33+AL34+AL35+AL36+AL37+AL38+AL39+AL40</f>
        <v>-13623.1787899795</v>
      </c>
      <c r="AM41" s="68" t="n">
        <f aca="false">AM32+AM33+AM34+AM35+AM36+AM37+AM38+AM39+AM40</f>
        <v>-13855.0293272525</v>
      </c>
      <c r="AN41" s="68" t="n">
        <f aca="false">AN32+AN33+AN34+AN35+AN36+AN37+AN38+AN39+AN40</f>
        <v>-13855.0293272525</v>
      </c>
      <c r="AO41" s="68" t="n">
        <f aca="false">AO32+AO33+AO34+AO35+AO36+AO37+AO38+AO39+AO40</f>
        <v>-13855.0293272525</v>
      </c>
      <c r="AP41" s="68" t="n">
        <f aca="false">AP32+AP33+AP34+AP35+AP36+AP37+AP38+AP39+AP40</f>
        <v>-13855.0293272525</v>
      </c>
      <c r="AQ41" s="68" t="n">
        <f aca="false">AQ32+AQ33+AQ34+AQ35+AQ36+AQ37+AQ38+AQ39+AQ40</f>
        <v>-13855.0293272525</v>
      </c>
      <c r="AR41" s="68" t="n">
        <f aca="false">AR32+AR33+AR34+AR35+AR36+AR37+AR38+AR39+AR40</f>
        <v>-14670.1980007988</v>
      </c>
      <c r="AS41" s="68" t="n">
        <f aca="false">AS32+AS33+AS34+AS35+AS36+AS37+AS38+AS39+AS40</f>
        <v>-14670.1980007988</v>
      </c>
      <c r="AT41" s="68" t="n">
        <f aca="false">AT32+AT33+AT34+AT35+AT36+AT37+AT38+AT39+AT40</f>
        <v>-14670.1980007988</v>
      </c>
      <c r="AU41" s="68" t="n">
        <f aca="false">AU32+AU33+AU34+AU35+AU36+AU37+AU38+AU39+AU40</f>
        <v>-13855.0293272525</v>
      </c>
      <c r="AV41" s="68" t="n">
        <f aca="false">AV32+AV33+AV34+AV35+AV36+AV37+AV38+AV39+AV40</f>
        <v>-13855.0293272525</v>
      </c>
      <c r="AW41" s="68" t="n">
        <f aca="false">AW32+AW33+AW34+AW35+AW36+AW37+AW38+AW39+AW40</f>
        <v>-13855.0293272525</v>
      </c>
      <c r="AX41" s="68" t="n">
        <f aca="false">AX32+AX33+AX34+AX35+AX36+AX37+AX38+AX39+AX40</f>
        <v>-13855.0293272525</v>
      </c>
      <c r="AY41" s="68" t="n">
        <f aca="false">AY32+AY33+AY34+AY35+AY36+AY37+AY38+AY39+AY40</f>
        <v>-14140.2195124264</v>
      </c>
      <c r="AZ41" s="68" t="n">
        <f aca="false">AZ32+AZ33+AZ34+AZ35+AZ36+AZ37+AZ38+AZ39+AZ40</f>
        <v>-14140.2195124264</v>
      </c>
      <c r="BA41" s="68" t="n">
        <f aca="false">BA32+BA33+BA34+BA35+BA36+BA37+BA38+BA39+BA40</f>
        <v>-14140.2195124264</v>
      </c>
      <c r="BB41" s="68" t="n">
        <f aca="false">BB32+BB33+BB34+BB35+BB36+BB37+BB38+BB39+BB40</f>
        <v>-14140.2195124264</v>
      </c>
      <c r="BC41" s="68" t="n">
        <f aca="false">BC32+BC33+BC34+BC35+BC36+BC37+BC38+BC39+BC40</f>
        <v>-14140.2195124264</v>
      </c>
      <c r="BD41" s="68" t="n">
        <f aca="false">BD32+BD33+BD34+BD35+BD36+BD37+BD38+BD39+BD40</f>
        <v>-14996.6357208542</v>
      </c>
      <c r="BE41" s="68" t="n">
        <f aca="false">BE32+BE33+BE34+BE35+BE36+BE37+BE38+BE39+BE40</f>
        <v>-14996.6357208542</v>
      </c>
      <c r="BF41" s="68" t="n">
        <f aca="false">BF32+BF33+BF34+BF35+BF36+BF37+BF38+BF39+BF40</f>
        <v>-14996.6357208542</v>
      </c>
      <c r="BG41" s="68" t="n">
        <f aca="false">BG32+BG33+BG34+BG35+BG36+BG37+BG38+BG39+BG40</f>
        <v>-14140.2195124264</v>
      </c>
      <c r="BH41" s="68" t="n">
        <f aca="false">BH32+BH33+BH34+BH35+BH36+BH37+BH38+BH39+BH40</f>
        <v>-14140.2195124264</v>
      </c>
      <c r="BI41" s="68" t="n">
        <f aca="false">BI32+BI33+BI34+BI35+BI36+BI37+BI38+BI39+BI40</f>
        <v>-14140.2195124264</v>
      </c>
      <c r="BJ41" s="68" t="n">
        <f aca="false">BJ32+BJ33+BJ34+BJ35+BJ36+BJ37+BJ38+BJ39+BJ40</f>
        <v>-14140.2195124264</v>
      </c>
    </row>
    <row r="42" customFormat="false" ht="15" hidden="false" customHeight="false" outlineLevel="0" collapsed="false">
      <c r="A42" s="111" t="s">
        <v>48</v>
      </c>
      <c r="C42" s="68" t="n">
        <f aca="false">C29+C41</f>
        <v>-7522.92793066667</v>
      </c>
      <c r="D42" s="68" t="n">
        <f aca="false">D29+D41</f>
        <v>-6247.61712026667</v>
      </c>
      <c r="E42" s="68" t="n">
        <f aca="false">E29+E41</f>
        <v>-4972.30630986667</v>
      </c>
      <c r="F42" s="68" t="n">
        <f aca="false">F29+F41</f>
        <v>-3696.99549946667</v>
      </c>
      <c r="G42" s="68" t="n">
        <f aca="false">G29+G41</f>
        <v>-2421.68468906666</v>
      </c>
      <c r="H42" s="68" t="n">
        <f aca="false">H29+H41</f>
        <v>4264.03562</v>
      </c>
      <c r="I42" s="68" t="n">
        <f aca="false">I29+I41</f>
        <v>6003.095816</v>
      </c>
      <c r="J42" s="68" t="n">
        <f aca="false">J29+J41</f>
        <v>7742.156012</v>
      </c>
      <c r="K42" s="68" t="n">
        <f aca="false">K29+K41</f>
        <v>2679.55855253333</v>
      </c>
      <c r="L42" s="68" t="n">
        <f aca="false">L29+L41</f>
        <v>3954.86936293334</v>
      </c>
      <c r="M42" s="68" t="n">
        <f aca="false">M29+M41</f>
        <v>5230.18017333333</v>
      </c>
      <c r="N42" s="68" t="n">
        <f aca="false">N29+N41</f>
        <v>5230.18017333333</v>
      </c>
      <c r="O42" s="68" t="n">
        <f aca="false">O29+O41</f>
        <v>6169.942290104</v>
      </c>
      <c r="P42" s="68" t="n">
        <f aca="false">P29+P41</f>
        <v>6169.942290104</v>
      </c>
      <c r="Q42" s="68" t="n">
        <f aca="false">Q29+Q41</f>
        <v>6169.942290104</v>
      </c>
      <c r="R42" s="68" t="n">
        <f aca="false">R29+R41</f>
        <v>6169.942290104</v>
      </c>
      <c r="S42" s="68" t="n">
        <f aca="false">S29+S41</f>
        <v>6169.942290104</v>
      </c>
      <c r="T42" s="68" t="n">
        <f aca="false">T29+T41</f>
        <v>14290.19403196</v>
      </c>
      <c r="U42" s="68" t="n">
        <f aca="false">U29+U41</f>
        <v>14290.19403196</v>
      </c>
      <c r="V42" s="68" t="n">
        <f aca="false">V29+V41</f>
        <v>14290.19403196</v>
      </c>
      <c r="W42" s="68" t="n">
        <f aca="false">W29+W41</f>
        <v>6169.942290104</v>
      </c>
      <c r="X42" s="68" t="n">
        <f aca="false">X29+X41</f>
        <v>6169.942290104</v>
      </c>
      <c r="Y42" s="68" t="n">
        <f aca="false">Y29+Y41</f>
        <v>6169.942290104</v>
      </c>
      <c r="Z42" s="68" t="n">
        <f aca="false">Z29+Z41</f>
        <v>6169.942290104</v>
      </c>
      <c r="AA42" s="68" t="n">
        <f aca="false">AA29+AA41</f>
        <v>7091.05281998326</v>
      </c>
      <c r="AB42" s="68" t="n">
        <f aca="false">AB29+AB41</f>
        <v>7091.05281998326</v>
      </c>
      <c r="AC42" s="68" t="n">
        <f aca="false">AC29+AC41</f>
        <v>7091.05281998326</v>
      </c>
      <c r="AD42" s="68" t="n">
        <f aca="false">AD29+AD41</f>
        <v>7091.05281998326</v>
      </c>
      <c r="AE42" s="68" t="n">
        <f aca="false">AE29+AE41</f>
        <v>7091.05281998326</v>
      </c>
      <c r="AF42" s="68" t="n">
        <f aca="false">AF29+AF41</f>
        <v>15622.1892999772</v>
      </c>
      <c r="AG42" s="68" t="n">
        <f aca="false">AG29+AG41</f>
        <v>15622.1892999772</v>
      </c>
      <c r="AH42" s="68" t="n">
        <f aca="false">AH29+AH41</f>
        <v>15622.1892999772</v>
      </c>
      <c r="AI42" s="68" t="n">
        <f aca="false">AI29+AI41</f>
        <v>7091.05281998326</v>
      </c>
      <c r="AJ42" s="68" t="n">
        <f aca="false">AJ29+AJ41</f>
        <v>7091.05281998326</v>
      </c>
      <c r="AK42" s="68" t="n">
        <f aca="false">AK29+AK41</f>
        <v>7091.05281998326</v>
      </c>
      <c r="AL42" s="68" t="n">
        <f aca="false">AL29+AL41</f>
        <v>7091.05281998326</v>
      </c>
      <c r="AM42" s="68" t="n">
        <f aca="false">AM29+AM41</f>
        <v>8007.87328617442</v>
      </c>
      <c r="AN42" s="68" t="n">
        <f aca="false">AN29+AN41</f>
        <v>8007.87328617442</v>
      </c>
      <c r="AO42" s="68" t="n">
        <f aca="false">AO29+AO41</f>
        <v>8007.87328617442</v>
      </c>
      <c r="AP42" s="68" t="n">
        <f aca="false">AP29+AP41</f>
        <v>8007.87328617442</v>
      </c>
      <c r="AQ42" s="68" t="n">
        <f aca="false">AQ29+AQ41</f>
        <v>8007.87328617442</v>
      </c>
      <c r="AR42" s="68" t="n">
        <f aca="false">AR29+AR41</f>
        <v>16970.685272056</v>
      </c>
      <c r="AS42" s="68" t="n">
        <f aca="false">AS29+AS41</f>
        <v>16970.685272056</v>
      </c>
      <c r="AT42" s="68" t="n">
        <f aca="false">AT29+AT41</f>
        <v>16970.685272056</v>
      </c>
      <c r="AU42" s="68" t="n">
        <f aca="false">AU29+AU41</f>
        <v>8007.87328617442</v>
      </c>
      <c r="AV42" s="68" t="n">
        <f aca="false">AV29+AV41</f>
        <v>8007.87328617442</v>
      </c>
      <c r="AW42" s="68" t="n">
        <f aca="false">AW29+AW41</f>
        <v>8007.87328617442</v>
      </c>
      <c r="AX42" s="68" t="n">
        <f aca="false">AX29+AX41</f>
        <v>8007.87328617442</v>
      </c>
      <c r="AY42" s="68" t="n">
        <f aca="false">AY29+AY41</f>
        <v>8932.49278375984</v>
      </c>
      <c r="AZ42" s="68" t="n">
        <f aca="false">AZ29+AZ41</f>
        <v>8932.49278375984</v>
      </c>
      <c r="BA42" s="68" t="n">
        <f aca="false">BA29+BA41</f>
        <v>8932.49278375984</v>
      </c>
      <c r="BB42" s="68" t="n">
        <f aca="false">BB29+BB41</f>
        <v>8932.49278375984</v>
      </c>
      <c r="BC42" s="68" t="n">
        <f aca="false">BC29+BC41</f>
        <v>8932.49278375984</v>
      </c>
      <c r="BD42" s="68" t="n">
        <f aca="false">BD29+BD41</f>
        <v>18348.8230561271</v>
      </c>
      <c r="BE42" s="68" t="n">
        <f aca="false">BE29+BE41</f>
        <v>18348.8230561271</v>
      </c>
      <c r="BF42" s="68" t="n">
        <f aca="false">BF29+BF41</f>
        <v>18348.8230561271</v>
      </c>
      <c r="BG42" s="68" t="n">
        <f aca="false">BG29+BG41</f>
        <v>8932.49278375984</v>
      </c>
      <c r="BH42" s="68" t="n">
        <f aca="false">BH29+BH41</f>
        <v>8932.49278375984</v>
      </c>
      <c r="BI42" s="68" t="n">
        <f aca="false">BI29+BI41</f>
        <v>8932.49278375984</v>
      </c>
      <c r="BJ42" s="68" t="n">
        <f aca="false">BJ29+BJ41</f>
        <v>8932.49278375984</v>
      </c>
    </row>
    <row r="44" customFormat="false" ht="15.75" hidden="false" customHeight="true" outlineLevel="0" collapsed="false">
      <c r="A44" s="7" t="s">
        <v>418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4" t="s">
        <v>79</v>
      </c>
      <c r="C45" s="73" t="n">
        <f aca="false">C42+C62</f>
        <v>-11332.6501528889</v>
      </c>
      <c r="D45" s="73" t="n">
        <f aca="false">D42+D62</f>
        <v>-10061.5060091556</v>
      </c>
      <c r="E45" s="73" t="n">
        <f aca="false">E42+E62</f>
        <v>-8790.36186542223</v>
      </c>
      <c r="F45" s="73" t="n">
        <f aca="false">F42+F62</f>
        <v>-7519.21772168889</v>
      </c>
      <c r="G45" s="73" t="n">
        <f aca="false">G42+G62</f>
        <v>-6248.07357795555</v>
      </c>
      <c r="H45" s="73" t="n">
        <f aca="false">H42+H62</f>
        <v>433.480064444443</v>
      </c>
      <c r="I45" s="73" t="n">
        <f aca="false">I42+I62</f>
        <v>2168.37359377778</v>
      </c>
      <c r="J45" s="73" t="n">
        <f aca="false">J42+J62</f>
        <v>3903.26712311111</v>
      </c>
      <c r="K45" s="73" t="n">
        <f aca="false">K42+K62</f>
        <v>-1163.49700302223</v>
      </c>
      <c r="L45" s="73" t="n">
        <f aca="false">L42+L62</f>
        <v>107.647140711113</v>
      </c>
      <c r="M45" s="73" t="n">
        <f aca="false">M42+M62</f>
        <v>1378.79128444445</v>
      </c>
      <c r="N45" s="73" t="n">
        <f aca="false">N42+N62</f>
        <v>1374.62461777778</v>
      </c>
      <c r="O45" s="73" t="n">
        <f aca="false">O42+O62</f>
        <v>2310.09506788178</v>
      </c>
      <c r="P45" s="73" t="n">
        <f aca="false">P42+P62</f>
        <v>2305.80340121511</v>
      </c>
      <c r="Q45" s="73" t="n">
        <f aca="false">Q42+Q62</f>
        <v>2301.51173454844</v>
      </c>
      <c r="R45" s="73" t="n">
        <f aca="false">R42+R62</f>
        <v>2297.22006788178</v>
      </c>
      <c r="S45" s="73" t="n">
        <f aca="false">S42+S62</f>
        <v>2292.92840121511</v>
      </c>
      <c r="T45" s="73" t="n">
        <f aca="false">T42+T62</f>
        <v>10408.8884764044</v>
      </c>
      <c r="U45" s="73" t="n">
        <f aca="false">U42+U62</f>
        <v>10404.5968097378</v>
      </c>
      <c r="V45" s="73" t="n">
        <f aca="false">V42+V62</f>
        <v>10400.3051430711</v>
      </c>
      <c r="W45" s="73" t="n">
        <f aca="false">W42+W62</f>
        <v>2275.76173454844</v>
      </c>
      <c r="X45" s="73" t="n">
        <f aca="false">X42+X62</f>
        <v>2271.47006788178</v>
      </c>
      <c r="Y45" s="73" t="n">
        <f aca="false">Y42+Y62</f>
        <v>2267.17840121511</v>
      </c>
      <c r="Z45" s="73" t="n">
        <f aca="false">Z42+Z62</f>
        <v>2262.88673454844</v>
      </c>
      <c r="AA45" s="73" t="n">
        <f aca="false">AA42+AA62</f>
        <v>3179.57684776104</v>
      </c>
      <c r="AB45" s="73" t="n">
        <f aca="false">AB42+AB62</f>
        <v>3175.15643109437</v>
      </c>
      <c r="AC45" s="73" t="n">
        <f aca="false">AC42+AC62</f>
        <v>3170.7360144277</v>
      </c>
      <c r="AD45" s="73" t="n">
        <f aca="false">AD42+AD62</f>
        <v>3166.31559776104</v>
      </c>
      <c r="AE45" s="73" t="n">
        <f aca="false">AE42+AE62</f>
        <v>3161.89518109437</v>
      </c>
      <c r="AF45" s="73" t="n">
        <f aca="false">AF42+AF62</f>
        <v>11688.6112444216</v>
      </c>
      <c r="AG45" s="73" t="n">
        <f aca="false">AG42+AG62</f>
        <v>11684.1908277549</v>
      </c>
      <c r="AH45" s="73" t="n">
        <f aca="false">AH42+AH62</f>
        <v>11679.7704110883</v>
      </c>
      <c r="AI45" s="73" t="n">
        <f aca="false">AI42+AI62</f>
        <v>3144.2135144277</v>
      </c>
      <c r="AJ45" s="73" t="n">
        <f aca="false">AJ42+AJ62</f>
        <v>3139.79309776104</v>
      </c>
      <c r="AK45" s="73" t="n">
        <f aca="false">AK42+AK62</f>
        <v>3135.37268109437</v>
      </c>
      <c r="AL45" s="73" t="n">
        <f aca="false">AL42+AL62</f>
        <v>3130.9522644277</v>
      </c>
      <c r="AM45" s="73" t="n">
        <f aca="false">AM42+AM62</f>
        <v>4043.2197014522</v>
      </c>
      <c r="AN45" s="73" t="n">
        <f aca="false">AN42+AN62</f>
        <v>4038.66667228553</v>
      </c>
      <c r="AO45" s="73" t="n">
        <f aca="false">AO42+AO62</f>
        <v>4034.11364311886</v>
      </c>
      <c r="AP45" s="73" t="n">
        <f aca="false">AP42+AP62</f>
        <v>4029.5606139522</v>
      </c>
      <c r="AQ45" s="73" t="n">
        <f aca="false">AQ42+AQ62</f>
        <v>4025.00758478553</v>
      </c>
      <c r="AR45" s="73" t="n">
        <f aca="false">AR42+AR62</f>
        <v>12983.2665415005</v>
      </c>
      <c r="AS45" s="73" t="n">
        <f aca="false">AS42+AS62</f>
        <v>12978.7135123338</v>
      </c>
      <c r="AT45" s="73" t="n">
        <f aca="false">AT42+AT62</f>
        <v>12974.1604831671</v>
      </c>
      <c r="AU45" s="73" t="n">
        <f aca="false">AU42+AU62</f>
        <v>4006.79546811886</v>
      </c>
      <c r="AV45" s="73" t="n">
        <f aca="false">AV42+AV62</f>
        <v>4002.2424389522</v>
      </c>
      <c r="AW45" s="73" t="n">
        <f aca="false">AW42+AW62</f>
        <v>3997.68940978553</v>
      </c>
      <c r="AX45" s="73" t="n">
        <f aca="false">AX42+AX62</f>
        <v>3993.13638061886</v>
      </c>
      <c r="AY45" s="73" t="n">
        <f aca="false">AY42+AY62</f>
        <v>4913.06625816262</v>
      </c>
      <c r="AZ45" s="73" t="n">
        <f aca="false">AZ42+AZ62</f>
        <v>4908.37663812095</v>
      </c>
      <c r="BA45" s="73" t="n">
        <f aca="false">BA42+BA62</f>
        <v>4903.68701807929</v>
      </c>
      <c r="BB45" s="73" t="n">
        <f aca="false">BB42+BB62</f>
        <v>4898.99739803762</v>
      </c>
      <c r="BC45" s="73" t="n">
        <f aca="false">BC42+BC62</f>
        <v>4894.30777799595</v>
      </c>
      <c r="BD45" s="73" t="n">
        <f aca="false">BD42+BD62</f>
        <v>14305.9484303215</v>
      </c>
      <c r="BE45" s="73" t="n">
        <f aca="false">BE42+BE62</f>
        <v>14301.2588102798</v>
      </c>
      <c r="BF45" s="73" t="n">
        <f aca="false">BF42+BF62</f>
        <v>14296.5691902382</v>
      </c>
      <c r="BG45" s="73" t="n">
        <f aca="false">BG42+BG62</f>
        <v>4875.54929782929</v>
      </c>
      <c r="BH45" s="73" t="n">
        <f aca="false">BH42+BH62</f>
        <v>4870.85967778762</v>
      </c>
      <c r="BI45" s="73" t="n">
        <f aca="false">BI42+BI62</f>
        <v>4866.17005774595</v>
      </c>
      <c r="BJ45" s="73" t="n">
        <f aca="false">BJ42+BJ62</f>
        <v>4861.48043770429</v>
      </c>
    </row>
    <row r="46" customFormat="false" ht="15" hidden="false" customHeight="false" outlineLevel="0" collapsed="false">
      <c r="A46" s="6" t="s">
        <v>419</v>
      </c>
      <c r="C46" s="67" t="n">
        <f aca="false">-(C67+C68)*Inputs!$E$67/12</f>
        <v>-2916.66666666667</v>
      </c>
      <c r="D46" s="67" t="n">
        <f aca="false">-(D67+D68)*Inputs!$E$67/12</f>
        <v>-2913.0661623017</v>
      </c>
      <c r="E46" s="67" t="n">
        <f aca="false">-(E67+E68)*Inputs!$E$67/12</f>
        <v>-2909.4446549946</v>
      </c>
      <c r="F46" s="67" t="n">
        <f aca="false">-(F67+F68)*Inputs!$E$67/12</f>
        <v>-2905.80202222821</v>
      </c>
      <c r="G46" s="67" t="n">
        <f aca="false">-(G67+G68)*Inputs!$E$67/12</f>
        <v>-2902.13814077069</v>
      </c>
      <c r="H46" s="67" t="n">
        <f aca="false">-(H67+H68)*Inputs!$E$67/12</f>
        <v>-2898.45288667133</v>
      </c>
      <c r="I46" s="67" t="n">
        <f aca="false">-(I67+I68)*Inputs!$E$67/12</f>
        <v>-2894.74613525639</v>
      </c>
      <c r="J46" s="67" t="n">
        <f aca="false">-(J67+J68)*Inputs!$E$67/12</f>
        <v>-2891.01776112486</v>
      </c>
      <c r="K46" s="67" t="n">
        <f aca="false">-(K67+K68)*Inputs!$E$67/12</f>
        <v>-2887.26763814423</v>
      </c>
      <c r="L46" s="67" t="n">
        <f aca="false">-(L67+L68)*Inputs!$E$67/12</f>
        <v>-2883.49563944621</v>
      </c>
      <c r="M46" s="67" t="n">
        <f aca="false">-(M67+M68)*Inputs!$E$67/12</f>
        <v>-2879.70163742246</v>
      </c>
      <c r="N46" s="67" t="n">
        <f aca="false">-(N67+N68)*Inputs!$E$67/12</f>
        <v>-2875.88550372023</v>
      </c>
      <c r="O46" s="67" t="n">
        <f aca="false">-(O67+O68)*Inputs!$E$67/12</f>
        <v>-2872.04710923808</v>
      </c>
      <c r="P46" s="67" t="n">
        <f aca="false">-(P67+P68)*Inputs!$E$67/12</f>
        <v>-2868.18632412144</v>
      </c>
      <c r="Q46" s="67" t="n">
        <f aca="false">-(Q67+Q68)*Inputs!$E$67/12</f>
        <v>-2864.3030177583</v>
      </c>
      <c r="R46" s="67" t="n">
        <f aca="false">-(R67+R68)*Inputs!$E$67/12</f>
        <v>-2860.3970587747</v>
      </c>
      <c r="S46" s="67" t="n">
        <f aca="false">-(S67+S68)*Inputs!$E$67/12</f>
        <v>-2856.46831503036</v>
      </c>
      <c r="T46" s="67" t="n">
        <f aca="false">-(T67+T68)*Inputs!$E$67/12</f>
        <v>-2852.51665361418</v>
      </c>
      <c r="U46" s="67" t="n">
        <f aca="false">-(U67+U68)*Inputs!$E$67/12</f>
        <v>-2848.54194083974</v>
      </c>
      <c r="V46" s="67" t="n">
        <f aca="false">-(V67+V68)*Inputs!$E$67/12</f>
        <v>-2844.54404224078</v>
      </c>
      <c r="W46" s="67" t="n">
        <f aca="false">-(W67+W68)*Inputs!$E$67/12</f>
        <v>-2840.52282256666</v>
      </c>
      <c r="X46" s="67" t="n">
        <f aca="false">-(X67+X68)*Inputs!$E$67/12</f>
        <v>-2836.47814577778</v>
      </c>
      <c r="Y46" s="67" t="n">
        <f aca="false">-(Y67+Y68)*Inputs!$E$67/12</f>
        <v>-2832.40987504096</v>
      </c>
      <c r="Z46" s="67" t="n">
        <f aca="false">-(Z67+Z68)*Inputs!$E$67/12</f>
        <v>-2828.31787272484</v>
      </c>
      <c r="AA46" s="67" t="n">
        <f aca="false">-(AA67+AA68)*Inputs!$E$67/12</f>
        <v>-2824.20200039521</v>
      </c>
      <c r="AB46" s="67" t="n">
        <f aca="false">-(AB67+AB68)*Inputs!$E$67/12</f>
        <v>-2820.06211881032</v>
      </c>
      <c r="AC46" s="67" t="n">
        <f aca="false">-(AC67+AC68)*Inputs!$E$67/12</f>
        <v>-2815.89808791619</v>
      </c>
      <c r="AD46" s="67" t="n">
        <f aca="false">-(AD67+AD68)*Inputs!$E$67/12</f>
        <v>-2811.70976684185</v>
      </c>
      <c r="AE46" s="67" t="n">
        <f aca="false">-(AE67+AE68)*Inputs!$E$67/12</f>
        <v>-2807.49701389457</v>
      </c>
      <c r="AF46" s="67" t="n">
        <f aca="false">-(AF67+AF68)*Inputs!$E$67/12</f>
        <v>-2803.2596865551</v>
      </c>
      <c r="AG46" s="67" t="n">
        <f aca="false">-(AG67+AG68)*Inputs!$E$67/12</f>
        <v>-2798.99764147281</v>
      </c>
      <c r="AH46" s="67" t="n">
        <f aca="false">-(AH67+AH68)*Inputs!$E$67/12</f>
        <v>-2794.71073446088</v>
      </c>
      <c r="AI46" s="67" t="n">
        <f aca="false">-(AI67+AI68)*Inputs!$E$67/12</f>
        <v>-2790.39882049138</v>
      </c>
      <c r="AJ46" s="67" t="n">
        <f aca="false">-(AJ67+AJ68)*Inputs!$E$67/12</f>
        <v>-2786.06175369039</v>
      </c>
      <c r="AK46" s="67" t="n">
        <f aca="false">-(AK67+AK68)*Inputs!$E$67/12</f>
        <v>-2781.69938733306</v>
      </c>
      <c r="AL46" s="67" t="n">
        <f aca="false">-(AL67+AL68)*Inputs!$E$67/12</f>
        <v>-2777.31157383864</v>
      </c>
      <c r="AM46" s="67" t="n">
        <f aca="false">-(AM67+AM68)*Inputs!$E$67/12</f>
        <v>-2772.89816476551</v>
      </c>
      <c r="AN46" s="67" t="n">
        <f aca="false">-(AN67+AN68)*Inputs!$E$67/12</f>
        <v>-2768.45901080612</v>
      </c>
      <c r="AO46" s="67" t="n">
        <f aca="false">-(AO67+AO68)*Inputs!$E$67/12</f>
        <v>-2763.99396178197</v>
      </c>
      <c r="AP46" s="67" t="n">
        <f aca="false">-(AP67+AP68)*Inputs!$E$67/12</f>
        <v>-2759.5028666385</v>
      </c>
      <c r="AQ46" s="67" t="n">
        <f aca="false">-(AQ67+AQ68)*Inputs!$E$67/12</f>
        <v>-2754.98557344004</v>
      </c>
      <c r="AR46" s="67" t="n">
        <f aca="false">-(AR67+AR68)*Inputs!$E$67/12</f>
        <v>-2750.44192936458</v>
      </c>
      <c r="AS46" s="67" t="n">
        <f aca="false">-(AS67+AS68)*Inputs!$E$67/12</f>
        <v>-2745.87178069868</v>
      </c>
      <c r="AT46" s="67" t="n">
        <f aca="false">-(AT67+AT68)*Inputs!$E$67/12</f>
        <v>-2741.27497283224</v>
      </c>
      <c r="AU46" s="67" t="n">
        <f aca="false">-(AU67+AU68)*Inputs!$E$67/12</f>
        <v>-2736.65135025324</v>
      </c>
      <c r="AV46" s="67" t="n">
        <f aca="false">-(AV67+AV68)*Inputs!$E$67/12</f>
        <v>-2732.00075654252</v>
      </c>
      <c r="AW46" s="67" t="n">
        <f aca="false">-(AW67+AW68)*Inputs!$E$67/12</f>
        <v>-2727.3230343685</v>
      </c>
      <c r="AX46" s="67" t="n">
        <f aca="false">-(AX67+AX68)*Inputs!$E$67/12</f>
        <v>-2722.61802548179</v>
      </c>
      <c r="AY46" s="67" t="n">
        <f aca="false">-(AY67+AY68)*Inputs!$E$67/12</f>
        <v>-2717.88557070991</v>
      </c>
      <c r="AZ46" s="67" t="n">
        <f aca="false">-(AZ67+AZ68)*Inputs!$E$67/12</f>
        <v>-2713.12550995186</v>
      </c>
      <c r="BA46" s="67" t="n">
        <f aca="false">-(BA67+BA68)*Inputs!$E$67/12</f>
        <v>-2708.33768217272</v>
      </c>
      <c r="BB46" s="67" t="n">
        <f aca="false">-(BB67+BB68)*Inputs!$E$67/12</f>
        <v>-2703.52192539821</v>
      </c>
      <c r="BC46" s="67" t="n">
        <f aca="false">-(BC67+BC68)*Inputs!$E$67/12</f>
        <v>-2698.67807670917</v>
      </c>
      <c r="BD46" s="67" t="n">
        <f aca="false">-(BD67+BD68)*Inputs!$E$67/12</f>
        <v>-2693.80597223612</v>
      </c>
      <c r="BE46" s="67" t="n">
        <f aca="false">-(BE67+BE68)*Inputs!$E$67/12</f>
        <v>-2688.90544715364</v>
      </c>
      <c r="BF46" s="67" t="n">
        <f aca="false">-(BF67+BF68)*Inputs!$E$67/12</f>
        <v>-2683.97633567485</v>
      </c>
      <c r="BG46" s="67" t="n">
        <f aca="false">-(BG67+BG68)*Inputs!$E$67/12</f>
        <v>-2679.01847104576</v>
      </c>
      <c r="BH46" s="67" t="n">
        <f aca="false">-(BH67+BH68)*Inputs!$E$67/12</f>
        <v>-2674.03168553967</v>
      </c>
      <c r="BI46" s="67" t="n">
        <f aca="false">-(BI67+BI68)*Inputs!$E$67/12</f>
        <v>-2669.01581045146</v>
      </c>
      <c r="BJ46" s="67" t="n">
        <f aca="false">-(BJ67+BJ68)*Inputs!$E$67/12</f>
        <v>-2663.9706760919</v>
      </c>
    </row>
    <row r="47" customFormat="false" ht="15" hidden="false" customHeight="false" outlineLevel="0" collapsed="false">
      <c r="A47" s="111" t="s">
        <v>81</v>
      </c>
      <c r="C47" s="68" t="n">
        <f aca="false">C45+C46</f>
        <v>-14249.3168195556</v>
      </c>
      <c r="D47" s="68" t="n">
        <f aca="false">D45+D46</f>
        <v>-12974.5721714573</v>
      </c>
      <c r="E47" s="68" t="n">
        <f aca="false">E45+E46</f>
        <v>-11699.8065204168</v>
      </c>
      <c r="F47" s="68" t="n">
        <f aca="false">F45+F46</f>
        <v>-10425.0197439171</v>
      </c>
      <c r="G47" s="68" t="n">
        <f aca="false">G45+G46</f>
        <v>-9150.21171872624</v>
      </c>
      <c r="H47" s="68" t="n">
        <f aca="false">H45+H46</f>
        <v>-2464.97282222688</v>
      </c>
      <c r="I47" s="68" t="n">
        <f aca="false">I45+I46</f>
        <v>-726.372541478611</v>
      </c>
      <c r="J47" s="68" t="n">
        <f aca="false">J45+J46</f>
        <v>1012.24936198626</v>
      </c>
      <c r="K47" s="68" t="n">
        <f aca="false">K45+K46</f>
        <v>-4050.76464116646</v>
      </c>
      <c r="L47" s="68" t="n">
        <f aca="false">L45+L46</f>
        <v>-2775.8484987351</v>
      </c>
      <c r="M47" s="68" t="n">
        <f aca="false">M45+M46</f>
        <v>-1500.91035297801</v>
      </c>
      <c r="N47" s="68" t="n">
        <f aca="false">N45+N46</f>
        <v>-1501.26088594246</v>
      </c>
      <c r="O47" s="68" t="n">
        <f aca="false">O45+O46</f>
        <v>-561.952041356301</v>
      </c>
      <c r="P47" s="68" t="n">
        <f aca="false">P45+P46</f>
        <v>-562.382922906334</v>
      </c>
      <c r="Q47" s="68" t="n">
        <f aca="false">Q45+Q46</f>
        <v>-562.791283209851</v>
      </c>
      <c r="R47" s="68" t="n">
        <f aca="false">R45+R46</f>
        <v>-563.176990892918</v>
      </c>
      <c r="S47" s="68" t="n">
        <f aca="false">S45+S46</f>
        <v>-563.539913815247</v>
      </c>
      <c r="T47" s="68" t="n">
        <f aca="false">T45+T46</f>
        <v>7556.37182279026</v>
      </c>
      <c r="U47" s="68" t="n">
        <f aca="false">U45+U46</f>
        <v>7556.05486889804</v>
      </c>
      <c r="V47" s="68" t="n">
        <f aca="false">V45+V46</f>
        <v>7555.76110083033</v>
      </c>
      <c r="W47" s="68" t="n">
        <f aca="false">W45+W46</f>
        <v>-564.761088018216</v>
      </c>
      <c r="X47" s="68" t="n">
        <f aca="false">X45+X46</f>
        <v>-565.008077895998</v>
      </c>
      <c r="Y47" s="68" t="n">
        <f aca="false">Y45+Y46</f>
        <v>-565.231473825845</v>
      </c>
      <c r="Z47" s="68" t="n">
        <f aca="false">Z45+Z46</f>
        <v>-565.431138176393</v>
      </c>
      <c r="AA47" s="68" t="n">
        <f aca="false">AA45+AA46</f>
        <v>355.374847365829</v>
      </c>
      <c r="AB47" s="68" t="n">
        <f aca="false">AB45+AB46</f>
        <v>355.094312284048</v>
      </c>
      <c r="AC47" s="68" t="n">
        <f aca="false">AC45+AC46</f>
        <v>354.83792651151</v>
      </c>
      <c r="AD47" s="68" t="n">
        <f aca="false">AD45+AD46</f>
        <v>354.605830919189</v>
      </c>
      <c r="AE47" s="68" t="n">
        <f aca="false">AE45+AE46</f>
        <v>354.398167199802</v>
      </c>
      <c r="AF47" s="68" t="n">
        <f aca="false">AF45+AF46</f>
        <v>8885.35155786652</v>
      </c>
      <c r="AG47" s="68" t="n">
        <f aca="false">AG45+AG46</f>
        <v>8885.19318628214</v>
      </c>
      <c r="AH47" s="68" t="n">
        <f aca="false">AH45+AH46</f>
        <v>8885.0596766274</v>
      </c>
      <c r="AI47" s="68" t="n">
        <f aca="false">AI45+AI46</f>
        <v>353.814693936326</v>
      </c>
      <c r="AJ47" s="68" t="n">
        <f aca="false">AJ45+AJ46</f>
        <v>353.731344070649</v>
      </c>
      <c r="AK47" s="68" t="n">
        <f aca="false">AK45+AK46</f>
        <v>353.673293761312</v>
      </c>
      <c r="AL47" s="68" t="n">
        <f aca="false">AL45+AL46</f>
        <v>353.640690589059</v>
      </c>
      <c r="AM47" s="68" t="n">
        <f aca="false">AM45+AM46</f>
        <v>1270.32153668668</v>
      </c>
      <c r="AN47" s="68" t="n">
        <f aca="false">AN45+AN46</f>
        <v>1270.20766147941</v>
      </c>
      <c r="AO47" s="68" t="n">
        <f aca="false">AO45+AO46</f>
        <v>1270.1196813369</v>
      </c>
      <c r="AP47" s="68" t="n">
        <f aca="false">AP45+AP46</f>
        <v>1270.05774731369</v>
      </c>
      <c r="AQ47" s="68" t="n">
        <f aca="false">AQ45+AQ46</f>
        <v>1270.02201134549</v>
      </c>
      <c r="AR47" s="68" t="n">
        <f aca="false">AR45+AR46</f>
        <v>10232.8246121359</v>
      </c>
      <c r="AS47" s="68" t="n">
        <f aca="false">AS45+AS46</f>
        <v>10232.8417316351</v>
      </c>
      <c r="AT47" s="68" t="n">
        <f aca="false">AT45+AT46</f>
        <v>10232.8855103349</v>
      </c>
      <c r="AU47" s="68" t="n">
        <f aca="false">AU45+AU46</f>
        <v>1270.14411786563</v>
      </c>
      <c r="AV47" s="68" t="n">
        <f aca="false">AV45+AV46</f>
        <v>1270.24168240968</v>
      </c>
      <c r="AW47" s="68" t="n">
        <f aca="false">AW45+AW46</f>
        <v>1270.36637541703</v>
      </c>
      <c r="AX47" s="68" t="n">
        <f aca="false">AX45+AX46</f>
        <v>1270.51835513708</v>
      </c>
      <c r="AY47" s="68" t="n">
        <f aca="false">AY45+AY46</f>
        <v>2195.18068745271</v>
      </c>
      <c r="AZ47" s="68" t="n">
        <f aca="false">AZ45+AZ46</f>
        <v>2195.25112816909</v>
      </c>
      <c r="BA47" s="68" t="n">
        <f aca="false">BA45+BA46</f>
        <v>2195.34933590656</v>
      </c>
      <c r="BB47" s="68" t="n">
        <f aca="false">BB45+BB46</f>
        <v>2195.47547263941</v>
      </c>
      <c r="BC47" s="68" t="n">
        <f aca="false">BC45+BC46</f>
        <v>2195.62970128678</v>
      </c>
      <c r="BD47" s="68" t="n">
        <f aca="false">BD45+BD46</f>
        <v>11612.1424580854</v>
      </c>
      <c r="BE47" s="68" t="n">
        <f aca="false">BE45+BE46</f>
        <v>11612.3533631262</v>
      </c>
      <c r="BF47" s="68" t="n">
        <f aca="false">BF45+BF46</f>
        <v>11612.5928545633</v>
      </c>
      <c r="BG47" s="68" t="n">
        <f aca="false">BG45+BG46</f>
        <v>2196.53082678353</v>
      </c>
      <c r="BH47" s="68" t="n">
        <f aca="false">BH45+BH46</f>
        <v>2196.82799224795</v>
      </c>
      <c r="BI47" s="68" t="n">
        <f aca="false">BI45+BI46</f>
        <v>2197.15424729449</v>
      </c>
      <c r="BJ47" s="68" t="n">
        <f aca="false">BJ45+BJ46</f>
        <v>2197.50976161238</v>
      </c>
    </row>
    <row r="48" customFormat="false" ht="15" hidden="false" customHeight="false" outlineLevel="0" collapsed="false">
      <c r="A48" s="114" t="s">
        <v>420</v>
      </c>
      <c r="C48" s="67" t="n">
        <f aca="false">C47</f>
        <v>-14249.3168195556</v>
      </c>
      <c r="D48" s="67" t="n">
        <f aca="false">C48+D47</f>
        <v>-27223.8889910128</v>
      </c>
      <c r="E48" s="67" t="n">
        <f aca="false">D48+E47</f>
        <v>-38923.6955114296</v>
      </c>
      <c r="F48" s="67" t="n">
        <f aca="false">E48+F47</f>
        <v>-49348.7152553467</v>
      </c>
      <c r="G48" s="67" t="n">
        <f aca="false">F48+G47</f>
        <v>-58498.926974073</v>
      </c>
      <c r="H48" s="67" t="n">
        <f aca="false">G48+H47</f>
        <v>-60963.8997962999</v>
      </c>
      <c r="I48" s="67" t="n">
        <f aca="false">H48+I47</f>
        <v>-61690.2723377785</v>
      </c>
      <c r="J48" s="67" t="n">
        <f aca="false">I48+J47</f>
        <v>-60678.0229757922</v>
      </c>
      <c r="K48" s="67" t="n">
        <f aca="false">J48+K47</f>
        <v>-64728.7876169587</v>
      </c>
      <c r="L48" s="67" t="n">
        <f aca="false">K48+L47</f>
        <v>-67504.6361156938</v>
      </c>
      <c r="M48" s="67" t="n">
        <f aca="false">L48+M47</f>
        <v>-69005.5464686718</v>
      </c>
      <c r="N48" s="67" t="n">
        <f aca="false">M48+N47</f>
        <v>-70506.8073546142</v>
      </c>
      <c r="O48" s="67" t="n">
        <f aca="false">N48+O47</f>
        <v>-71068.7593959705</v>
      </c>
      <c r="P48" s="67" t="n">
        <f aca="false">O48+P47</f>
        <v>-71631.1423188769</v>
      </c>
      <c r="Q48" s="67" t="n">
        <f aca="false">P48+Q47</f>
        <v>-72193.9336020867</v>
      </c>
      <c r="R48" s="67" t="n">
        <f aca="false">Q48+R47</f>
        <v>-72757.1105929796</v>
      </c>
      <c r="S48" s="67" t="n">
        <f aca="false">R48+S47</f>
        <v>-73320.6505067949</v>
      </c>
      <c r="T48" s="67" t="n">
        <f aca="false">S48+T47</f>
        <v>-65764.2786840046</v>
      </c>
      <c r="U48" s="67" t="n">
        <f aca="false">T48+U47</f>
        <v>-58208.2238151066</v>
      </c>
      <c r="V48" s="67" t="n">
        <f aca="false">U48+V47</f>
        <v>-50652.4627142763</v>
      </c>
      <c r="W48" s="67" t="n">
        <f aca="false">V48+W47</f>
        <v>-51217.2238022945</v>
      </c>
      <c r="X48" s="67" t="n">
        <f aca="false">W48+X47</f>
        <v>-51782.2318801905</v>
      </c>
      <c r="Y48" s="67" t="n">
        <f aca="false">X48+Y47</f>
        <v>-52347.4633540163</v>
      </c>
      <c r="Z48" s="67" t="n">
        <f aca="false">Y48+Z47</f>
        <v>-52912.8944921927</v>
      </c>
      <c r="AA48" s="67" t="n">
        <f aca="false">Z48+AA47</f>
        <v>-52557.5196448269</v>
      </c>
      <c r="AB48" s="67" t="n">
        <f aca="false">AA48+AB47</f>
        <v>-52202.4253325428</v>
      </c>
      <c r="AC48" s="67" t="n">
        <f aca="false">AB48+AC47</f>
        <v>-51847.5874060313</v>
      </c>
      <c r="AD48" s="67" t="n">
        <f aca="false">AC48+AD47</f>
        <v>-51492.9815751121</v>
      </c>
      <c r="AE48" s="67" t="n">
        <f aca="false">AD48+AE47</f>
        <v>-51138.5834079123</v>
      </c>
      <c r="AF48" s="67" t="n">
        <f aca="false">AE48+AF47</f>
        <v>-42253.2318500458</v>
      </c>
      <c r="AG48" s="67" t="n">
        <f aca="false">AF48+AG47</f>
        <v>-33368.0386637637</v>
      </c>
      <c r="AH48" s="67" t="n">
        <f aca="false">AG48+AH47</f>
        <v>-24482.9789871363</v>
      </c>
      <c r="AI48" s="67" t="n">
        <f aca="false">AH48+AI47</f>
        <v>-24129.1642932</v>
      </c>
      <c r="AJ48" s="67" t="n">
        <f aca="false">AI48+AJ47</f>
        <v>-23775.4329491293</v>
      </c>
      <c r="AK48" s="67" t="n">
        <f aca="false">AJ48+AK47</f>
        <v>-23421.759655368</v>
      </c>
      <c r="AL48" s="67" t="n">
        <f aca="false">AK48+AL47</f>
        <v>-23068.1189647789</v>
      </c>
      <c r="AM48" s="67" t="n">
        <f aca="false">AL48+AM47</f>
        <v>-21797.7974280922</v>
      </c>
      <c r="AN48" s="67" t="n">
        <f aca="false">AM48+AN47</f>
        <v>-20527.5897666128</v>
      </c>
      <c r="AO48" s="67" t="n">
        <f aca="false">AN48+AO47</f>
        <v>-19257.4700852759</v>
      </c>
      <c r="AP48" s="67" t="n">
        <f aca="false">AO48+AP47</f>
        <v>-17987.4123379622</v>
      </c>
      <c r="AQ48" s="67" t="n">
        <f aca="false">AP48+AQ47</f>
        <v>-16717.3903266167</v>
      </c>
      <c r="AR48" s="67" t="n">
        <f aca="false">AQ48+AR47</f>
        <v>-6484.56571448086</v>
      </c>
      <c r="AS48" s="67" t="n">
        <f aca="false">AR48+AS47</f>
        <v>3748.27601715426</v>
      </c>
      <c r="AT48" s="67" t="n">
        <f aca="false">AS48+AT47</f>
        <v>13981.1615274892</v>
      </c>
      <c r="AU48" s="67" t="n">
        <f aca="false">AT48+AU47</f>
        <v>15251.3056453548</v>
      </c>
      <c r="AV48" s="67" t="n">
        <f aca="false">AU48+AV47</f>
        <v>16521.5473277645</v>
      </c>
      <c r="AW48" s="67" t="n">
        <f aca="false">AV48+AW47</f>
        <v>17791.9137031815</v>
      </c>
      <c r="AX48" s="67" t="n">
        <f aca="false">AW48+AX47</f>
        <v>19062.4320583186</v>
      </c>
      <c r="AY48" s="67" t="n">
        <f aca="false">AX48+AY47</f>
        <v>21257.6127457713</v>
      </c>
      <c r="AZ48" s="67" t="n">
        <f aca="false">AY48+AZ47</f>
        <v>23452.8638739404</v>
      </c>
      <c r="BA48" s="67" t="n">
        <f aca="false">AZ48+BA47</f>
        <v>25648.2132098469</v>
      </c>
      <c r="BB48" s="67" t="n">
        <f aca="false">BA48+BB47</f>
        <v>27843.6886824864</v>
      </c>
      <c r="BC48" s="67" t="n">
        <f aca="false">BB48+BC47</f>
        <v>30039.3183837731</v>
      </c>
      <c r="BD48" s="67" t="n">
        <f aca="false">BC48+BD47</f>
        <v>41651.4608418585</v>
      </c>
      <c r="BE48" s="67" t="n">
        <f aca="false">BD48+BE47</f>
        <v>53263.8142049847</v>
      </c>
      <c r="BF48" s="67" t="n">
        <f aca="false">BE48+BF47</f>
        <v>64876.4070595481</v>
      </c>
      <c r="BG48" s="67" t="n">
        <f aca="false">BF48+BG47</f>
        <v>67072.9378863316</v>
      </c>
      <c r="BH48" s="67" t="n">
        <f aca="false">BG48+BH47</f>
        <v>69269.7658785795</v>
      </c>
      <c r="BI48" s="67" t="n">
        <f aca="false">BH48+BI47</f>
        <v>71466.920125874</v>
      </c>
      <c r="BJ48" s="67" t="n">
        <f aca="false">BI48+BJ47</f>
        <v>73664.4298874864</v>
      </c>
    </row>
    <row r="49" customFormat="false" ht="15" hidden="false" customHeight="false" outlineLevel="0" collapsed="false">
      <c r="A49" s="114" t="s">
        <v>421</v>
      </c>
      <c r="C49" s="67" t="n">
        <f aca="false">MAX(0,C48)</f>
        <v>0</v>
      </c>
      <c r="D49" s="67" t="n">
        <f aca="false">MAX(C49,D48)</f>
        <v>0</v>
      </c>
      <c r="E49" s="67" t="n">
        <f aca="false">MAX(D49,E48)</f>
        <v>0</v>
      </c>
      <c r="F49" s="67" t="n">
        <f aca="false">MAX(E49,F48)</f>
        <v>0</v>
      </c>
      <c r="G49" s="67" t="n">
        <f aca="false">MAX(F49,G48)</f>
        <v>0</v>
      </c>
      <c r="H49" s="67" t="n">
        <f aca="false">MAX(G49,H48)</f>
        <v>0</v>
      </c>
      <c r="I49" s="67" t="n">
        <f aca="false">MAX(H49,I48)</f>
        <v>0</v>
      </c>
      <c r="J49" s="67" t="n">
        <f aca="false">MAX(I49,J48)</f>
        <v>0</v>
      </c>
      <c r="K49" s="67" t="n">
        <f aca="false">MAX(J49,K48)</f>
        <v>0</v>
      </c>
      <c r="L49" s="67" t="n">
        <f aca="false">MAX(K49,L48)</f>
        <v>0</v>
      </c>
      <c r="M49" s="67" t="n">
        <f aca="false">MAX(L49,M48)</f>
        <v>0</v>
      </c>
      <c r="N49" s="67" t="n">
        <f aca="false">MAX(M49,N48)</f>
        <v>0</v>
      </c>
      <c r="O49" s="67" t="n">
        <f aca="false">MAX(N49,O48)</f>
        <v>0</v>
      </c>
      <c r="P49" s="67" t="n">
        <f aca="false">MAX(O49,P48)</f>
        <v>0</v>
      </c>
      <c r="Q49" s="67" t="n">
        <f aca="false">MAX(P49,Q48)</f>
        <v>0</v>
      </c>
      <c r="R49" s="67" t="n">
        <f aca="false">MAX(Q49,R48)</f>
        <v>0</v>
      </c>
      <c r="S49" s="67" t="n">
        <f aca="false">MAX(R49,S48)</f>
        <v>0</v>
      </c>
      <c r="T49" s="67" t="n">
        <f aca="false">MAX(S49,T48)</f>
        <v>0</v>
      </c>
      <c r="U49" s="67" t="n">
        <f aca="false">MAX(T49,U48)</f>
        <v>0</v>
      </c>
      <c r="V49" s="67" t="n">
        <f aca="false">MAX(U49,V48)</f>
        <v>0</v>
      </c>
      <c r="W49" s="67" t="n">
        <f aca="false">MAX(V49,W48)</f>
        <v>0</v>
      </c>
      <c r="X49" s="67" t="n">
        <f aca="false">MAX(W49,X48)</f>
        <v>0</v>
      </c>
      <c r="Y49" s="67" t="n">
        <f aca="false">MAX(X49,Y48)</f>
        <v>0</v>
      </c>
      <c r="Z49" s="67" t="n">
        <f aca="false">MAX(Y49,Z48)</f>
        <v>0</v>
      </c>
      <c r="AA49" s="67" t="n">
        <f aca="false">MAX(Z49,AA48)</f>
        <v>0</v>
      </c>
      <c r="AB49" s="67" t="n">
        <f aca="false">MAX(AA49,AB48)</f>
        <v>0</v>
      </c>
      <c r="AC49" s="67" t="n">
        <f aca="false">MAX(AB49,AC48)</f>
        <v>0</v>
      </c>
      <c r="AD49" s="67" t="n">
        <f aca="false">MAX(AC49,AD48)</f>
        <v>0</v>
      </c>
      <c r="AE49" s="67" t="n">
        <f aca="false">MAX(AD49,AE48)</f>
        <v>0</v>
      </c>
      <c r="AF49" s="67" t="n">
        <f aca="false">MAX(AE49,AF48)</f>
        <v>0</v>
      </c>
      <c r="AG49" s="67" t="n">
        <f aca="false">MAX(AF49,AG48)</f>
        <v>0</v>
      </c>
      <c r="AH49" s="67" t="n">
        <f aca="false">MAX(AG49,AH48)</f>
        <v>0</v>
      </c>
      <c r="AI49" s="67" t="n">
        <f aca="false">MAX(AH49,AI48)</f>
        <v>0</v>
      </c>
      <c r="AJ49" s="67" t="n">
        <f aca="false">MAX(AI49,AJ48)</f>
        <v>0</v>
      </c>
      <c r="AK49" s="67" t="n">
        <f aca="false">MAX(AJ49,AK48)</f>
        <v>0</v>
      </c>
      <c r="AL49" s="67" t="n">
        <f aca="false">MAX(AK49,AL48)</f>
        <v>0</v>
      </c>
      <c r="AM49" s="67" t="n">
        <f aca="false">MAX(AL49,AM48)</f>
        <v>0</v>
      </c>
      <c r="AN49" s="67" t="n">
        <f aca="false">MAX(AM49,AN48)</f>
        <v>0</v>
      </c>
      <c r="AO49" s="67" t="n">
        <f aca="false">MAX(AN49,AO48)</f>
        <v>0</v>
      </c>
      <c r="AP49" s="67" t="n">
        <f aca="false">MAX(AO49,AP48)</f>
        <v>0</v>
      </c>
      <c r="AQ49" s="67" t="n">
        <f aca="false">MAX(AP49,AQ48)</f>
        <v>0</v>
      </c>
      <c r="AR49" s="67" t="n">
        <f aca="false">MAX(AQ49,AR48)</f>
        <v>0</v>
      </c>
      <c r="AS49" s="67" t="n">
        <f aca="false">MAX(AR49,AS48)</f>
        <v>3748.27601715426</v>
      </c>
      <c r="AT49" s="67" t="n">
        <f aca="false">MAX(AS49,AT48)</f>
        <v>13981.1615274892</v>
      </c>
      <c r="AU49" s="67" t="n">
        <f aca="false">MAX(AT49,AU48)</f>
        <v>15251.3056453548</v>
      </c>
      <c r="AV49" s="67" t="n">
        <f aca="false">MAX(AU49,AV48)</f>
        <v>16521.5473277645</v>
      </c>
      <c r="AW49" s="67" t="n">
        <f aca="false">MAX(AV49,AW48)</f>
        <v>17791.9137031815</v>
      </c>
      <c r="AX49" s="67" t="n">
        <f aca="false">MAX(AW49,AX48)</f>
        <v>19062.4320583186</v>
      </c>
      <c r="AY49" s="67" t="n">
        <f aca="false">MAX(AX49,AY48)</f>
        <v>21257.6127457713</v>
      </c>
      <c r="AZ49" s="67" t="n">
        <f aca="false">MAX(AY49,AZ48)</f>
        <v>23452.8638739404</v>
      </c>
      <c r="BA49" s="67" t="n">
        <f aca="false">MAX(AZ49,BA48)</f>
        <v>25648.2132098469</v>
      </c>
      <c r="BB49" s="67" t="n">
        <f aca="false">MAX(BA49,BB48)</f>
        <v>27843.6886824864</v>
      </c>
      <c r="BC49" s="67" t="n">
        <f aca="false">MAX(BB49,BC48)</f>
        <v>30039.3183837731</v>
      </c>
      <c r="BD49" s="67" t="n">
        <f aca="false">MAX(BC49,BD48)</f>
        <v>41651.4608418585</v>
      </c>
      <c r="BE49" s="67" t="n">
        <f aca="false">MAX(BD49,BE48)</f>
        <v>53263.8142049847</v>
      </c>
      <c r="BF49" s="67" t="n">
        <f aca="false">MAX(BE49,BF48)</f>
        <v>64876.4070595481</v>
      </c>
      <c r="BG49" s="67" t="n">
        <f aca="false">MAX(BF49,BG48)</f>
        <v>67072.9378863316</v>
      </c>
      <c r="BH49" s="67" t="n">
        <f aca="false">MAX(BG49,BH48)</f>
        <v>69269.7658785795</v>
      </c>
      <c r="BI49" s="67" t="n">
        <f aca="false">MAX(BH49,BI48)</f>
        <v>71466.920125874</v>
      </c>
      <c r="BJ49" s="67" t="n">
        <f aca="false">MAX(BI49,BJ48)</f>
        <v>73664.4298874864</v>
      </c>
    </row>
    <row r="50" customFormat="false" ht="15" hidden="false" customHeight="false" outlineLevel="0" collapsed="false">
      <c r="A50" s="6" t="s">
        <v>82</v>
      </c>
      <c r="C50" s="67" t="n">
        <f aca="false">-C49*Inputs!$E$77</f>
        <v>-0</v>
      </c>
      <c r="D50" s="67" t="n">
        <f aca="false">-(D49-C49)*Inputs!$E$77</f>
        <v>-0</v>
      </c>
      <c r="E50" s="67" t="n">
        <f aca="false">-(E49-D49)*Inputs!$E$77</f>
        <v>-0</v>
      </c>
      <c r="F50" s="67" t="n">
        <f aca="false">-(F49-E49)*Inputs!$E$77</f>
        <v>-0</v>
      </c>
      <c r="G50" s="67" t="n">
        <f aca="false">-(G49-F49)*Inputs!$E$77</f>
        <v>-0</v>
      </c>
      <c r="H50" s="67" t="n">
        <f aca="false">-(H49-G49)*Inputs!$E$77</f>
        <v>-0</v>
      </c>
      <c r="I50" s="67" t="n">
        <f aca="false">-(I49-H49)*Inputs!$E$77</f>
        <v>-0</v>
      </c>
      <c r="J50" s="67" t="n">
        <f aca="false">-(J49-I49)*Inputs!$E$77</f>
        <v>-0</v>
      </c>
      <c r="K50" s="67" t="n">
        <f aca="false">-(K49-J49)*Inputs!$E$77</f>
        <v>-0</v>
      </c>
      <c r="L50" s="67" t="n">
        <f aca="false">-(L49-K49)*Inputs!$E$77</f>
        <v>-0</v>
      </c>
      <c r="M50" s="67" t="n">
        <f aca="false">-(M49-L49)*Inputs!$E$77</f>
        <v>-0</v>
      </c>
      <c r="N50" s="67" t="n">
        <f aca="false">-(N49-M49)*Inputs!$E$77</f>
        <v>-0</v>
      </c>
      <c r="O50" s="67" t="n">
        <f aca="false">-(O49-N49)*Inputs!$E$77</f>
        <v>-0</v>
      </c>
      <c r="P50" s="67" t="n">
        <f aca="false">-(P49-O49)*Inputs!$E$77</f>
        <v>-0</v>
      </c>
      <c r="Q50" s="67" t="n">
        <f aca="false">-(Q49-P49)*Inputs!$E$77</f>
        <v>-0</v>
      </c>
      <c r="R50" s="67" t="n">
        <f aca="false">-(R49-Q49)*Inputs!$E$77</f>
        <v>-0</v>
      </c>
      <c r="S50" s="67" t="n">
        <f aca="false">-(S49-R49)*Inputs!$E$77</f>
        <v>-0</v>
      </c>
      <c r="T50" s="67" t="n">
        <f aca="false">-(T49-S49)*Inputs!$E$77</f>
        <v>-0</v>
      </c>
      <c r="U50" s="67" t="n">
        <f aca="false">-(U49-T49)*Inputs!$E$77</f>
        <v>-0</v>
      </c>
      <c r="V50" s="67" t="n">
        <f aca="false">-(V49-U49)*Inputs!$E$77</f>
        <v>-0</v>
      </c>
      <c r="W50" s="67" t="n">
        <f aca="false">-(W49-V49)*Inputs!$E$77</f>
        <v>-0</v>
      </c>
      <c r="X50" s="67" t="n">
        <f aca="false">-(X49-W49)*Inputs!$E$77</f>
        <v>-0</v>
      </c>
      <c r="Y50" s="67" t="n">
        <f aca="false">-(Y49-X49)*Inputs!$E$77</f>
        <v>-0</v>
      </c>
      <c r="Z50" s="67" t="n">
        <f aca="false">-(Z49-Y49)*Inputs!$E$77</f>
        <v>-0</v>
      </c>
      <c r="AA50" s="67" t="n">
        <f aca="false">-(AA49-Z49)*Inputs!$E$77</f>
        <v>-0</v>
      </c>
      <c r="AB50" s="67" t="n">
        <f aca="false">-(AB49-AA49)*Inputs!$E$77</f>
        <v>-0</v>
      </c>
      <c r="AC50" s="67" t="n">
        <f aca="false">-(AC49-AB49)*Inputs!$E$77</f>
        <v>-0</v>
      </c>
      <c r="AD50" s="67" t="n">
        <f aca="false">-(AD49-AC49)*Inputs!$E$77</f>
        <v>-0</v>
      </c>
      <c r="AE50" s="67" t="n">
        <f aca="false">-(AE49-AD49)*Inputs!$E$77</f>
        <v>-0</v>
      </c>
      <c r="AF50" s="67" t="n">
        <f aca="false">-(AF49-AE49)*Inputs!$E$77</f>
        <v>-0</v>
      </c>
      <c r="AG50" s="67" t="n">
        <f aca="false">-(AG49-AF49)*Inputs!$E$77</f>
        <v>-0</v>
      </c>
      <c r="AH50" s="67" t="n">
        <f aca="false">-(AH49-AG49)*Inputs!$E$77</f>
        <v>-0</v>
      </c>
      <c r="AI50" s="67" t="n">
        <f aca="false">-(AI49-AH49)*Inputs!$E$77</f>
        <v>-0</v>
      </c>
      <c r="AJ50" s="67" t="n">
        <f aca="false">-(AJ49-AI49)*Inputs!$E$77</f>
        <v>-0</v>
      </c>
      <c r="AK50" s="67" t="n">
        <f aca="false">-(AK49-AJ49)*Inputs!$E$77</f>
        <v>-0</v>
      </c>
      <c r="AL50" s="67" t="n">
        <f aca="false">-(AL49-AK49)*Inputs!$E$77</f>
        <v>-0</v>
      </c>
      <c r="AM50" s="67" t="n">
        <f aca="false">-(AM49-AL49)*Inputs!$E$77</f>
        <v>-0</v>
      </c>
      <c r="AN50" s="67" t="n">
        <f aca="false">-(AN49-AM49)*Inputs!$E$77</f>
        <v>-0</v>
      </c>
      <c r="AO50" s="67" t="n">
        <f aca="false">-(AO49-AN49)*Inputs!$E$77</f>
        <v>-0</v>
      </c>
      <c r="AP50" s="67" t="n">
        <f aca="false">-(AP49-AO49)*Inputs!$E$77</f>
        <v>-0</v>
      </c>
      <c r="AQ50" s="67" t="n">
        <f aca="false">-(AQ49-AP49)*Inputs!$E$77</f>
        <v>-0</v>
      </c>
      <c r="AR50" s="67" t="n">
        <f aca="false">-(AR49-AQ49)*Inputs!$E$77</f>
        <v>-0</v>
      </c>
      <c r="AS50" s="67" t="n">
        <f aca="false">-(AS49-AR49)*Inputs!$E$77</f>
        <v>-787.137963602395</v>
      </c>
      <c r="AT50" s="67" t="n">
        <f aca="false">-(AT49-AS49)*Inputs!$E$77</f>
        <v>-2148.90595717033</v>
      </c>
      <c r="AU50" s="67" t="n">
        <f aca="false">-(AU49-AT49)*Inputs!$E$77</f>
        <v>-266.730264751782</v>
      </c>
      <c r="AV50" s="67" t="n">
        <f aca="false">-(AV49-AU49)*Inputs!$E$77</f>
        <v>-266.750753306032</v>
      </c>
      <c r="AW50" s="67" t="n">
        <f aca="false">-(AW49-AV49)*Inputs!$E$77</f>
        <v>-266.776938837577</v>
      </c>
      <c r="AX50" s="67" t="n">
        <f aca="false">-(AX49-AW49)*Inputs!$E$77</f>
        <v>-266.808854578786</v>
      </c>
      <c r="AY50" s="67" t="n">
        <f aca="false">-(AY49-AX49)*Inputs!$E$77</f>
        <v>-460.987944365069</v>
      </c>
      <c r="AZ50" s="67" t="n">
        <f aca="false">-(AZ49-AY49)*Inputs!$E$77</f>
        <v>-461.00273691551</v>
      </c>
      <c r="BA50" s="67" t="n">
        <f aca="false">-(BA49-AZ49)*Inputs!$E$77</f>
        <v>-461.023360540379</v>
      </c>
      <c r="BB50" s="67" t="n">
        <f aca="false">-(BB49-BA49)*Inputs!$E$77</f>
        <v>-461.049849254277</v>
      </c>
      <c r="BC50" s="67" t="n">
        <f aca="false">-(BC49-BB49)*Inputs!$E$77</f>
        <v>-461.082237270224</v>
      </c>
      <c r="BD50" s="67" t="n">
        <f aca="false">-(BD49-BC49)*Inputs!$E$77</f>
        <v>-2438.54991619793</v>
      </c>
      <c r="BE50" s="67" t="n">
        <f aca="false">-(BE49-BD49)*Inputs!$E$77</f>
        <v>-2438.5942062565</v>
      </c>
      <c r="BF50" s="67" t="n">
        <f aca="false">-(BF49-BE49)*Inputs!$E$77</f>
        <v>-2438.6444994583</v>
      </c>
      <c r="BG50" s="67" t="n">
        <f aca="false">-(BG49-BF49)*Inputs!$E$77</f>
        <v>-461.271473624541</v>
      </c>
      <c r="BH50" s="67" t="n">
        <f aca="false">-(BH49-BG49)*Inputs!$E$77</f>
        <v>-461.333878372071</v>
      </c>
      <c r="BI50" s="67" t="n">
        <f aca="false">-(BI49-BH49)*Inputs!$E$77</f>
        <v>-461.402391931842</v>
      </c>
      <c r="BJ50" s="67" t="n">
        <f aca="false">-(BJ49-BI49)*Inputs!$E$77</f>
        <v>-461.4770499386</v>
      </c>
    </row>
    <row r="51" customFormat="false" ht="15" hidden="false" customHeight="false" outlineLevel="0" collapsed="false">
      <c r="A51" s="111" t="s">
        <v>50</v>
      </c>
      <c r="C51" s="68" t="n">
        <f aca="false">C47+C50</f>
        <v>-14249.3168195556</v>
      </c>
      <c r="D51" s="68" t="n">
        <f aca="false">D47+D50</f>
        <v>-12974.5721714573</v>
      </c>
      <c r="E51" s="68" t="n">
        <f aca="false">E47+E50</f>
        <v>-11699.8065204168</v>
      </c>
      <c r="F51" s="68" t="n">
        <f aca="false">F47+F50</f>
        <v>-10425.0197439171</v>
      </c>
      <c r="G51" s="68" t="n">
        <f aca="false">G47+G50</f>
        <v>-9150.21171872624</v>
      </c>
      <c r="H51" s="68" t="n">
        <f aca="false">H47+H50</f>
        <v>-2464.97282222688</v>
      </c>
      <c r="I51" s="68" t="n">
        <f aca="false">I47+I50</f>
        <v>-726.372541478611</v>
      </c>
      <c r="J51" s="68" t="n">
        <f aca="false">J47+J50</f>
        <v>1012.24936198626</v>
      </c>
      <c r="K51" s="68" t="n">
        <f aca="false">K47+K50</f>
        <v>-4050.76464116646</v>
      </c>
      <c r="L51" s="68" t="n">
        <f aca="false">L47+L50</f>
        <v>-2775.8484987351</v>
      </c>
      <c r="M51" s="68" t="n">
        <f aca="false">M47+M50</f>
        <v>-1500.91035297801</v>
      </c>
      <c r="N51" s="68" t="n">
        <f aca="false">N47+N50</f>
        <v>-1501.26088594246</v>
      </c>
      <c r="O51" s="68" t="n">
        <f aca="false">O47+O50</f>
        <v>-561.952041356301</v>
      </c>
      <c r="P51" s="68" t="n">
        <f aca="false">P47+P50</f>
        <v>-562.382922906334</v>
      </c>
      <c r="Q51" s="68" t="n">
        <f aca="false">Q47+Q50</f>
        <v>-562.791283209851</v>
      </c>
      <c r="R51" s="68" t="n">
        <f aca="false">R47+R50</f>
        <v>-563.176990892918</v>
      </c>
      <c r="S51" s="68" t="n">
        <f aca="false">S47+S50</f>
        <v>-563.539913815247</v>
      </c>
      <c r="T51" s="68" t="n">
        <f aca="false">T47+T50</f>
        <v>7556.37182279026</v>
      </c>
      <c r="U51" s="68" t="n">
        <f aca="false">U47+U50</f>
        <v>7556.05486889804</v>
      </c>
      <c r="V51" s="68" t="n">
        <f aca="false">V47+V50</f>
        <v>7555.76110083033</v>
      </c>
      <c r="W51" s="68" t="n">
        <f aca="false">W47+W50</f>
        <v>-564.761088018216</v>
      </c>
      <c r="X51" s="68" t="n">
        <f aca="false">X47+X50</f>
        <v>-565.008077895998</v>
      </c>
      <c r="Y51" s="68" t="n">
        <f aca="false">Y47+Y50</f>
        <v>-565.231473825845</v>
      </c>
      <c r="Z51" s="68" t="n">
        <f aca="false">Z47+Z50</f>
        <v>-565.431138176393</v>
      </c>
      <c r="AA51" s="68" t="n">
        <f aca="false">AA47+AA50</f>
        <v>355.374847365829</v>
      </c>
      <c r="AB51" s="68" t="n">
        <f aca="false">AB47+AB50</f>
        <v>355.094312284048</v>
      </c>
      <c r="AC51" s="68" t="n">
        <f aca="false">AC47+AC50</f>
        <v>354.83792651151</v>
      </c>
      <c r="AD51" s="68" t="n">
        <f aca="false">AD47+AD50</f>
        <v>354.605830919189</v>
      </c>
      <c r="AE51" s="68" t="n">
        <f aca="false">AE47+AE50</f>
        <v>354.398167199802</v>
      </c>
      <c r="AF51" s="68" t="n">
        <f aca="false">AF47+AF50</f>
        <v>8885.35155786652</v>
      </c>
      <c r="AG51" s="68" t="n">
        <f aca="false">AG47+AG50</f>
        <v>8885.19318628214</v>
      </c>
      <c r="AH51" s="68" t="n">
        <f aca="false">AH47+AH50</f>
        <v>8885.0596766274</v>
      </c>
      <c r="AI51" s="68" t="n">
        <f aca="false">AI47+AI50</f>
        <v>353.814693936326</v>
      </c>
      <c r="AJ51" s="68" t="n">
        <f aca="false">AJ47+AJ50</f>
        <v>353.731344070649</v>
      </c>
      <c r="AK51" s="68" t="n">
        <f aca="false">AK47+AK50</f>
        <v>353.673293761312</v>
      </c>
      <c r="AL51" s="68" t="n">
        <f aca="false">AL47+AL50</f>
        <v>353.640690589059</v>
      </c>
      <c r="AM51" s="68" t="n">
        <f aca="false">AM47+AM50</f>
        <v>1270.32153668668</v>
      </c>
      <c r="AN51" s="68" t="n">
        <f aca="false">AN47+AN50</f>
        <v>1270.20766147941</v>
      </c>
      <c r="AO51" s="68" t="n">
        <f aca="false">AO47+AO50</f>
        <v>1270.1196813369</v>
      </c>
      <c r="AP51" s="68" t="n">
        <f aca="false">AP47+AP50</f>
        <v>1270.05774731369</v>
      </c>
      <c r="AQ51" s="68" t="n">
        <f aca="false">AQ47+AQ50</f>
        <v>1270.02201134549</v>
      </c>
      <c r="AR51" s="68" t="n">
        <f aca="false">AR47+AR50</f>
        <v>10232.8246121359</v>
      </c>
      <c r="AS51" s="68" t="n">
        <f aca="false">AS47+AS50</f>
        <v>9445.70376803272</v>
      </c>
      <c r="AT51" s="68" t="n">
        <f aca="false">AT47+AT50</f>
        <v>8083.97955316457</v>
      </c>
      <c r="AU51" s="68" t="n">
        <f aca="false">AU47+AU50</f>
        <v>1003.41385311385</v>
      </c>
      <c r="AV51" s="68" t="n">
        <f aca="false">AV47+AV50</f>
        <v>1003.49092910364</v>
      </c>
      <c r="AW51" s="68" t="n">
        <f aca="false">AW47+AW50</f>
        <v>1003.58943657946</v>
      </c>
      <c r="AX51" s="68" t="n">
        <f aca="false">AX47+AX50</f>
        <v>1003.70950055829</v>
      </c>
      <c r="AY51" s="68" t="n">
        <f aca="false">AY47+AY50</f>
        <v>1734.19274308764</v>
      </c>
      <c r="AZ51" s="68" t="n">
        <f aca="false">AZ47+AZ50</f>
        <v>1734.24839125358</v>
      </c>
      <c r="BA51" s="68" t="n">
        <f aca="false">BA47+BA50</f>
        <v>1734.32597536619</v>
      </c>
      <c r="BB51" s="68" t="n">
        <f aca="false">BB47+BB50</f>
        <v>1734.42562338514</v>
      </c>
      <c r="BC51" s="68" t="n">
        <f aca="false">BC47+BC50</f>
        <v>1734.54746401656</v>
      </c>
      <c r="BD51" s="68" t="n">
        <f aca="false">BD47+BD50</f>
        <v>9173.59254188746</v>
      </c>
      <c r="BE51" s="68" t="n">
        <f aca="false">BE47+BE50</f>
        <v>9173.7591568697</v>
      </c>
      <c r="BF51" s="68" t="n">
        <f aca="false">BF47+BF50</f>
        <v>9173.94835510503</v>
      </c>
      <c r="BG51" s="68" t="n">
        <f aca="false">BG47+BG50</f>
        <v>1735.25935315899</v>
      </c>
      <c r="BH51" s="68" t="n">
        <f aca="false">BH47+BH50</f>
        <v>1735.49411387588</v>
      </c>
      <c r="BI51" s="68" t="n">
        <f aca="false">BI47+BI50</f>
        <v>1735.75185536265</v>
      </c>
      <c r="BJ51" s="68" t="n">
        <f aca="false">BJ47+BJ50</f>
        <v>1736.03271167378</v>
      </c>
    </row>
    <row r="53" customFormat="false" ht="15.75" hidden="false" customHeight="true" outlineLevel="0" collapsed="false">
      <c r="A53" s="7" t="s">
        <v>422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6" t="s">
        <v>423</v>
      </c>
      <c r="C54" s="67" t="n">
        <f aca="false">IF(C$4=1,Inputs!$E$42,0)</f>
        <v>720000</v>
      </c>
      <c r="D54" s="67" t="n">
        <f aca="false">IF(D$4=1,Inputs!$E$42,0)</f>
        <v>0</v>
      </c>
      <c r="E54" s="67" t="n">
        <f aca="false">IF(E$4=1,Inputs!$E$42,0)</f>
        <v>0</v>
      </c>
      <c r="F54" s="67" t="n">
        <f aca="false">IF(F$4=1,Inputs!$E$42,0)</f>
        <v>0</v>
      </c>
      <c r="G54" s="67" t="n">
        <f aca="false">IF(G$4=1,Inputs!$E$42,0)</f>
        <v>0</v>
      </c>
      <c r="H54" s="67" t="n">
        <f aca="false">IF(H$4=1,Inputs!$E$42,0)</f>
        <v>0</v>
      </c>
      <c r="I54" s="67" t="n">
        <f aca="false">IF(I$4=1,Inputs!$E$42,0)</f>
        <v>0</v>
      </c>
      <c r="J54" s="67" t="n">
        <f aca="false">IF(J$4=1,Inputs!$E$42,0)</f>
        <v>0</v>
      </c>
      <c r="K54" s="67" t="n">
        <f aca="false">IF(K$4=1,Inputs!$E$42,0)</f>
        <v>0</v>
      </c>
      <c r="L54" s="67" t="n">
        <f aca="false">IF(L$4=1,Inputs!$E$42,0)</f>
        <v>0</v>
      </c>
      <c r="M54" s="67" t="n">
        <f aca="false">IF(M$4=1,Inputs!$E$42,0)</f>
        <v>0</v>
      </c>
      <c r="N54" s="67" t="n">
        <f aca="false">IF(N$4=1,Inputs!$E$42,0)</f>
        <v>0</v>
      </c>
      <c r="O54" s="67" t="n">
        <f aca="false">IF(O$4=1,Inputs!$E$42,0)</f>
        <v>0</v>
      </c>
      <c r="P54" s="67" t="n">
        <f aca="false">IF(P$4=1,Inputs!$E$42,0)</f>
        <v>0</v>
      </c>
      <c r="Q54" s="67" t="n">
        <f aca="false">IF(Q$4=1,Inputs!$E$42,0)</f>
        <v>0</v>
      </c>
      <c r="R54" s="67" t="n">
        <f aca="false">IF(R$4=1,Inputs!$E$42,0)</f>
        <v>0</v>
      </c>
      <c r="S54" s="67" t="n">
        <f aca="false">IF(S$4=1,Inputs!$E$42,0)</f>
        <v>0</v>
      </c>
      <c r="T54" s="67" t="n">
        <f aca="false">IF(T$4=1,Inputs!$E$42,0)</f>
        <v>0</v>
      </c>
      <c r="U54" s="67" t="n">
        <f aca="false">IF(U$4=1,Inputs!$E$42,0)</f>
        <v>0</v>
      </c>
      <c r="V54" s="67" t="n">
        <f aca="false">IF(V$4=1,Inputs!$E$42,0)</f>
        <v>0</v>
      </c>
      <c r="W54" s="67" t="n">
        <f aca="false">IF(W$4=1,Inputs!$E$42,0)</f>
        <v>0</v>
      </c>
      <c r="X54" s="67" t="n">
        <f aca="false">IF(X$4=1,Inputs!$E$42,0)</f>
        <v>0</v>
      </c>
      <c r="Y54" s="67" t="n">
        <f aca="false">IF(Y$4=1,Inputs!$E$42,0)</f>
        <v>0</v>
      </c>
      <c r="Z54" s="67" t="n">
        <f aca="false">IF(Z$4=1,Inputs!$E$42,0)</f>
        <v>0</v>
      </c>
      <c r="AA54" s="67" t="n">
        <f aca="false">IF(AA$4=1,Inputs!$E$42,0)</f>
        <v>0</v>
      </c>
      <c r="AB54" s="67" t="n">
        <f aca="false">IF(AB$4=1,Inputs!$E$42,0)</f>
        <v>0</v>
      </c>
      <c r="AC54" s="67" t="n">
        <f aca="false">IF(AC$4=1,Inputs!$E$42,0)</f>
        <v>0</v>
      </c>
      <c r="AD54" s="67" t="n">
        <f aca="false">IF(AD$4=1,Inputs!$E$42,0)</f>
        <v>0</v>
      </c>
      <c r="AE54" s="67" t="n">
        <f aca="false">IF(AE$4=1,Inputs!$E$42,0)</f>
        <v>0</v>
      </c>
      <c r="AF54" s="67" t="n">
        <f aca="false">IF(AF$4=1,Inputs!$E$42,0)</f>
        <v>0</v>
      </c>
      <c r="AG54" s="67" t="n">
        <f aca="false">IF(AG$4=1,Inputs!$E$42,0)</f>
        <v>0</v>
      </c>
      <c r="AH54" s="67" t="n">
        <f aca="false">IF(AH$4=1,Inputs!$E$42,0)</f>
        <v>0</v>
      </c>
      <c r="AI54" s="67" t="n">
        <f aca="false">IF(AI$4=1,Inputs!$E$42,0)</f>
        <v>0</v>
      </c>
      <c r="AJ54" s="67" t="n">
        <f aca="false">IF(AJ$4=1,Inputs!$E$42,0)</f>
        <v>0</v>
      </c>
      <c r="AK54" s="67" t="n">
        <f aca="false">IF(AK$4=1,Inputs!$E$42,0)</f>
        <v>0</v>
      </c>
      <c r="AL54" s="67" t="n">
        <f aca="false">IF(AL$4=1,Inputs!$E$42,0)</f>
        <v>0</v>
      </c>
      <c r="AM54" s="67" t="n">
        <f aca="false">IF(AM$4=1,Inputs!$E$42,0)</f>
        <v>0</v>
      </c>
      <c r="AN54" s="67" t="n">
        <f aca="false">IF(AN$4=1,Inputs!$E$42,0)</f>
        <v>0</v>
      </c>
      <c r="AO54" s="67" t="n">
        <f aca="false">IF(AO$4=1,Inputs!$E$42,0)</f>
        <v>0</v>
      </c>
      <c r="AP54" s="67" t="n">
        <f aca="false">IF(AP$4=1,Inputs!$E$42,0)</f>
        <v>0</v>
      </c>
      <c r="AQ54" s="67" t="n">
        <f aca="false">IF(AQ$4=1,Inputs!$E$42,0)</f>
        <v>0</v>
      </c>
      <c r="AR54" s="67" t="n">
        <f aca="false">IF(AR$4=1,Inputs!$E$42,0)</f>
        <v>0</v>
      </c>
      <c r="AS54" s="67" t="n">
        <f aca="false">IF(AS$4=1,Inputs!$E$42,0)</f>
        <v>0</v>
      </c>
      <c r="AT54" s="67" t="n">
        <f aca="false">IF(AT$4=1,Inputs!$E$42,0)</f>
        <v>0</v>
      </c>
      <c r="AU54" s="67" t="n">
        <f aca="false">IF(AU$4=1,Inputs!$E$42,0)</f>
        <v>0</v>
      </c>
      <c r="AV54" s="67" t="n">
        <f aca="false">IF(AV$4=1,Inputs!$E$42,0)</f>
        <v>0</v>
      </c>
      <c r="AW54" s="67" t="n">
        <f aca="false">IF(AW$4=1,Inputs!$E$42,0)</f>
        <v>0</v>
      </c>
      <c r="AX54" s="67" t="n">
        <f aca="false">IF(AX$4=1,Inputs!$E$42,0)</f>
        <v>0</v>
      </c>
      <c r="AY54" s="67" t="n">
        <f aca="false">IF(AY$4=1,Inputs!$E$42,0)</f>
        <v>0</v>
      </c>
      <c r="AZ54" s="67" t="n">
        <f aca="false">IF(AZ$4=1,Inputs!$E$42,0)</f>
        <v>0</v>
      </c>
      <c r="BA54" s="67" t="n">
        <f aca="false">IF(BA$4=1,Inputs!$E$42,0)</f>
        <v>0</v>
      </c>
      <c r="BB54" s="67" t="n">
        <f aca="false">IF(BB$4=1,Inputs!$E$42,0)</f>
        <v>0</v>
      </c>
      <c r="BC54" s="67" t="n">
        <f aca="false">IF(BC$4=1,Inputs!$E$42,0)</f>
        <v>0</v>
      </c>
      <c r="BD54" s="67" t="n">
        <f aca="false">IF(BD$4=1,Inputs!$E$42,0)</f>
        <v>0</v>
      </c>
      <c r="BE54" s="67" t="n">
        <f aca="false">IF(BE$4=1,Inputs!$E$42,0)</f>
        <v>0</v>
      </c>
      <c r="BF54" s="67" t="n">
        <f aca="false">IF(BF$4=1,Inputs!$E$42,0)</f>
        <v>0</v>
      </c>
      <c r="BG54" s="67" t="n">
        <f aca="false">IF(BG$4=1,Inputs!$E$42,0)</f>
        <v>0</v>
      </c>
      <c r="BH54" s="67" t="n">
        <f aca="false">IF(BH$4=1,Inputs!$E$42,0)</f>
        <v>0</v>
      </c>
      <c r="BI54" s="67" t="n">
        <f aca="false">IF(BI$4=1,Inputs!$E$42,0)</f>
        <v>0</v>
      </c>
      <c r="BJ54" s="67" t="n">
        <f aca="false">IF(BJ$4=1,Inputs!$E$42,0)</f>
        <v>0</v>
      </c>
    </row>
    <row r="55" customFormat="false" ht="15" hidden="false" customHeight="false" outlineLevel="0" collapsed="false">
      <c r="A55" s="6" t="s">
        <v>424</v>
      </c>
      <c r="C55" s="67" t="n">
        <f aca="false">IF(C$4=1,Inputs!$E$42*Inputs!$E$43,0)</f>
        <v>180000</v>
      </c>
      <c r="D55" s="67" t="n">
        <f aca="false">IF(D$4=1,Inputs!$E$42*Inputs!$E$43,0)</f>
        <v>0</v>
      </c>
      <c r="E55" s="67" t="n">
        <f aca="false">IF(E$4=1,Inputs!$E$42*Inputs!$E$43,0)</f>
        <v>0</v>
      </c>
      <c r="F55" s="67" t="n">
        <f aca="false">IF(F$4=1,Inputs!$E$42*Inputs!$E$43,0)</f>
        <v>0</v>
      </c>
      <c r="G55" s="67" t="n">
        <f aca="false">IF(G$4=1,Inputs!$E$42*Inputs!$E$43,0)</f>
        <v>0</v>
      </c>
      <c r="H55" s="67" t="n">
        <f aca="false">IF(H$4=1,Inputs!$E$42*Inputs!$E$43,0)</f>
        <v>0</v>
      </c>
      <c r="I55" s="67" t="n">
        <f aca="false">IF(I$4=1,Inputs!$E$42*Inputs!$E$43,0)</f>
        <v>0</v>
      </c>
      <c r="J55" s="67" t="n">
        <f aca="false">IF(J$4=1,Inputs!$E$42*Inputs!$E$43,0)</f>
        <v>0</v>
      </c>
      <c r="K55" s="67" t="n">
        <f aca="false">IF(K$4=1,Inputs!$E$42*Inputs!$E$43,0)</f>
        <v>0</v>
      </c>
      <c r="L55" s="67" t="n">
        <f aca="false">IF(L$4=1,Inputs!$E$42*Inputs!$E$43,0)</f>
        <v>0</v>
      </c>
      <c r="M55" s="67" t="n">
        <f aca="false">IF(M$4=1,Inputs!$E$42*Inputs!$E$43,0)</f>
        <v>0</v>
      </c>
      <c r="N55" s="67" t="n">
        <f aca="false">IF(N$4=1,Inputs!$E$42*Inputs!$E$43,0)</f>
        <v>0</v>
      </c>
      <c r="O55" s="67" t="n">
        <f aca="false">IF(O$4=1,Inputs!$E$42*Inputs!$E$43,0)</f>
        <v>0</v>
      </c>
      <c r="P55" s="67" t="n">
        <f aca="false">IF(P$4=1,Inputs!$E$42*Inputs!$E$43,0)</f>
        <v>0</v>
      </c>
      <c r="Q55" s="67" t="n">
        <f aca="false">IF(Q$4=1,Inputs!$E$42*Inputs!$E$43,0)</f>
        <v>0</v>
      </c>
      <c r="R55" s="67" t="n">
        <f aca="false">IF(R$4=1,Inputs!$E$42*Inputs!$E$43,0)</f>
        <v>0</v>
      </c>
      <c r="S55" s="67" t="n">
        <f aca="false">IF(S$4=1,Inputs!$E$42*Inputs!$E$43,0)</f>
        <v>0</v>
      </c>
      <c r="T55" s="67" t="n">
        <f aca="false">IF(T$4=1,Inputs!$E$42*Inputs!$E$43,0)</f>
        <v>0</v>
      </c>
      <c r="U55" s="67" t="n">
        <f aca="false">IF(U$4=1,Inputs!$E$42*Inputs!$E$43,0)</f>
        <v>0</v>
      </c>
      <c r="V55" s="67" t="n">
        <f aca="false">IF(V$4=1,Inputs!$E$42*Inputs!$E$43,0)</f>
        <v>0</v>
      </c>
      <c r="W55" s="67" t="n">
        <f aca="false">IF(W$4=1,Inputs!$E$42*Inputs!$E$43,0)</f>
        <v>0</v>
      </c>
      <c r="X55" s="67" t="n">
        <f aca="false">IF(X$4=1,Inputs!$E$42*Inputs!$E$43,0)</f>
        <v>0</v>
      </c>
      <c r="Y55" s="67" t="n">
        <f aca="false">IF(Y$4=1,Inputs!$E$42*Inputs!$E$43,0)</f>
        <v>0</v>
      </c>
      <c r="Z55" s="67" t="n">
        <f aca="false">IF(Z$4=1,Inputs!$E$42*Inputs!$E$43,0)</f>
        <v>0</v>
      </c>
      <c r="AA55" s="67" t="n">
        <f aca="false">IF(AA$4=1,Inputs!$E$42*Inputs!$E$43,0)</f>
        <v>0</v>
      </c>
      <c r="AB55" s="67" t="n">
        <f aca="false">IF(AB$4=1,Inputs!$E$42*Inputs!$E$43,0)</f>
        <v>0</v>
      </c>
      <c r="AC55" s="67" t="n">
        <f aca="false">IF(AC$4=1,Inputs!$E$42*Inputs!$E$43,0)</f>
        <v>0</v>
      </c>
      <c r="AD55" s="67" t="n">
        <f aca="false">IF(AD$4=1,Inputs!$E$42*Inputs!$E$43,0)</f>
        <v>0</v>
      </c>
      <c r="AE55" s="67" t="n">
        <f aca="false">IF(AE$4=1,Inputs!$E$42*Inputs!$E$43,0)</f>
        <v>0</v>
      </c>
      <c r="AF55" s="67" t="n">
        <f aca="false">IF(AF$4=1,Inputs!$E$42*Inputs!$E$43,0)</f>
        <v>0</v>
      </c>
      <c r="AG55" s="67" t="n">
        <f aca="false">IF(AG$4=1,Inputs!$E$42*Inputs!$E$43,0)</f>
        <v>0</v>
      </c>
      <c r="AH55" s="67" t="n">
        <f aca="false">IF(AH$4=1,Inputs!$E$42*Inputs!$E$43,0)</f>
        <v>0</v>
      </c>
      <c r="AI55" s="67" t="n">
        <f aca="false">IF(AI$4=1,Inputs!$E$42*Inputs!$E$43,0)</f>
        <v>0</v>
      </c>
      <c r="AJ55" s="67" t="n">
        <f aca="false">IF(AJ$4=1,Inputs!$E$42*Inputs!$E$43,0)</f>
        <v>0</v>
      </c>
      <c r="AK55" s="67" t="n">
        <f aca="false">IF(AK$4=1,Inputs!$E$42*Inputs!$E$43,0)</f>
        <v>0</v>
      </c>
      <c r="AL55" s="67" t="n">
        <f aca="false">IF(AL$4=1,Inputs!$E$42*Inputs!$E$43,0)</f>
        <v>0</v>
      </c>
      <c r="AM55" s="67" t="n">
        <f aca="false">IF(AM$4=1,Inputs!$E$42*Inputs!$E$43,0)</f>
        <v>0</v>
      </c>
      <c r="AN55" s="67" t="n">
        <f aca="false">IF(AN$4=1,Inputs!$E$42*Inputs!$E$43,0)</f>
        <v>0</v>
      </c>
      <c r="AO55" s="67" t="n">
        <f aca="false">IF(AO$4=1,Inputs!$E$42*Inputs!$E$43,0)</f>
        <v>0</v>
      </c>
      <c r="AP55" s="67" t="n">
        <f aca="false">IF(AP$4=1,Inputs!$E$42*Inputs!$E$43,0)</f>
        <v>0</v>
      </c>
      <c r="AQ55" s="67" t="n">
        <f aca="false">IF(AQ$4=1,Inputs!$E$42*Inputs!$E$43,0)</f>
        <v>0</v>
      </c>
      <c r="AR55" s="67" t="n">
        <f aca="false">IF(AR$4=1,Inputs!$E$42*Inputs!$E$43,0)</f>
        <v>0</v>
      </c>
      <c r="AS55" s="67" t="n">
        <f aca="false">IF(AS$4=1,Inputs!$E$42*Inputs!$E$43,0)</f>
        <v>0</v>
      </c>
      <c r="AT55" s="67" t="n">
        <f aca="false">IF(AT$4=1,Inputs!$E$42*Inputs!$E$43,0)</f>
        <v>0</v>
      </c>
      <c r="AU55" s="67" t="n">
        <f aca="false">IF(AU$4=1,Inputs!$E$42*Inputs!$E$43,0)</f>
        <v>0</v>
      </c>
      <c r="AV55" s="67" t="n">
        <f aca="false">IF(AV$4=1,Inputs!$E$42*Inputs!$E$43,0)</f>
        <v>0</v>
      </c>
      <c r="AW55" s="67" t="n">
        <f aca="false">IF(AW$4=1,Inputs!$E$42*Inputs!$E$43,0)</f>
        <v>0</v>
      </c>
      <c r="AX55" s="67" t="n">
        <f aca="false">IF(AX$4=1,Inputs!$E$42*Inputs!$E$43,0)</f>
        <v>0</v>
      </c>
      <c r="AY55" s="67" t="n">
        <f aca="false">IF(AY$4=1,Inputs!$E$42*Inputs!$E$43,0)</f>
        <v>0</v>
      </c>
      <c r="AZ55" s="67" t="n">
        <f aca="false">IF(AZ$4=1,Inputs!$E$42*Inputs!$E$43,0)</f>
        <v>0</v>
      </c>
      <c r="BA55" s="67" t="n">
        <f aca="false">IF(BA$4=1,Inputs!$E$42*Inputs!$E$43,0)</f>
        <v>0</v>
      </c>
      <c r="BB55" s="67" t="n">
        <f aca="false">IF(BB$4=1,Inputs!$E$42*Inputs!$E$43,0)</f>
        <v>0</v>
      </c>
      <c r="BC55" s="67" t="n">
        <f aca="false">IF(BC$4=1,Inputs!$E$42*Inputs!$E$43,0)</f>
        <v>0</v>
      </c>
      <c r="BD55" s="67" t="n">
        <f aca="false">IF(BD$4=1,Inputs!$E$42*Inputs!$E$43,0)</f>
        <v>0</v>
      </c>
      <c r="BE55" s="67" t="n">
        <f aca="false">IF(BE$4=1,Inputs!$E$42*Inputs!$E$43,0)</f>
        <v>0</v>
      </c>
      <c r="BF55" s="67" t="n">
        <f aca="false">IF(BF$4=1,Inputs!$E$42*Inputs!$E$43,0)</f>
        <v>0</v>
      </c>
      <c r="BG55" s="67" t="n">
        <f aca="false">IF(BG$4=1,Inputs!$E$42*Inputs!$E$43,0)</f>
        <v>0</v>
      </c>
      <c r="BH55" s="67" t="n">
        <f aca="false">IF(BH$4=1,Inputs!$E$42*Inputs!$E$43,0)</f>
        <v>0</v>
      </c>
      <c r="BI55" s="67" t="n">
        <f aca="false">IF(BI$4=1,Inputs!$E$42*Inputs!$E$43,0)</f>
        <v>0</v>
      </c>
      <c r="BJ55" s="67" t="n">
        <f aca="false">IF(BJ$4=1,Inputs!$E$42*Inputs!$E$43,0)</f>
        <v>0</v>
      </c>
    </row>
    <row r="56" customFormat="false" ht="15" hidden="false" customHeight="false" outlineLevel="0" collapsed="false">
      <c r="A56" s="6" t="s">
        <v>425</v>
      </c>
      <c r="C56" s="67" t="n">
        <f aca="false">IF(C$4=1,Inputs!$E$7*Inputs!$E$44,0)</f>
        <v>75000</v>
      </c>
      <c r="D56" s="67" t="n">
        <f aca="false">IF(D$4=1,Inputs!$E$7*Inputs!$E$44,0)</f>
        <v>0</v>
      </c>
      <c r="E56" s="67" t="n">
        <f aca="false">IF(E$4=1,Inputs!$E$7*Inputs!$E$44,0)</f>
        <v>0</v>
      </c>
      <c r="F56" s="67" t="n">
        <f aca="false">IF(F$4=1,Inputs!$E$7*Inputs!$E$44,0)</f>
        <v>0</v>
      </c>
      <c r="G56" s="67" t="n">
        <f aca="false">IF(G$4=1,Inputs!$E$7*Inputs!$E$44,0)</f>
        <v>0</v>
      </c>
      <c r="H56" s="67" t="n">
        <f aca="false">IF(H$4=1,Inputs!$E$7*Inputs!$E$44,0)</f>
        <v>0</v>
      </c>
      <c r="I56" s="67" t="n">
        <f aca="false">IF(I$4=1,Inputs!$E$7*Inputs!$E$44,0)</f>
        <v>0</v>
      </c>
      <c r="J56" s="67" t="n">
        <f aca="false">IF(J$4=1,Inputs!$E$7*Inputs!$E$44,0)</f>
        <v>0</v>
      </c>
      <c r="K56" s="67" t="n">
        <f aca="false">IF(K$4=1,Inputs!$E$7*Inputs!$E$44,0)</f>
        <v>0</v>
      </c>
      <c r="L56" s="67" t="n">
        <f aca="false">IF(L$4=1,Inputs!$E$7*Inputs!$E$44,0)</f>
        <v>0</v>
      </c>
      <c r="M56" s="67" t="n">
        <f aca="false">IF(M$4=1,Inputs!$E$7*Inputs!$E$44,0)</f>
        <v>0</v>
      </c>
      <c r="N56" s="67" t="n">
        <f aca="false">IF(N$4=1,Inputs!$E$7*Inputs!$E$44,0)</f>
        <v>0</v>
      </c>
      <c r="O56" s="67" t="n">
        <f aca="false">IF(O$4=1,Inputs!$E$7*Inputs!$E$44,0)</f>
        <v>0</v>
      </c>
      <c r="P56" s="67" t="n">
        <f aca="false">IF(P$4=1,Inputs!$E$7*Inputs!$E$44,0)</f>
        <v>0</v>
      </c>
      <c r="Q56" s="67" t="n">
        <f aca="false">IF(Q$4=1,Inputs!$E$7*Inputs!$E$44,0)</f>
        <v>0</v>
      </c>
      <c r="R56" s="67" t="n">
        <f aca="false">IF(R$4=1,Inputs!$E$7*Inputs!$E$44,0)</f>
        <v>0</v>
      </c>
      <c r="S56" s="67" t="n">
        <f aca="false">IF(S$4=1,Inputs!$E$7*Inputs!$E$44,0)</f>
        <v>0</v>
      </c>
      <c r="T56" s="67" t="n">
        <f aca="false">IF(T$4=1,Inputs!$E$7*Inputs!$E$44,0)</f>
        <v>0</v>
      </c>
      <c r="U56" s="67" t="n">
        <f aca="false">IF(U$4=1,Inputs!$E$7*Inputs!$E$44,0)</f>
        <v>0</v>
      </c>
      <c r="V56" s="67" t="n">
        <f aca="false">IF(V$4=1,Inputs!$E$7*Inputs!$E$44,0)</f>
        <v>0</v>
      </c>
      <c r="W56" s="67" t="n">
        <f aca="false">IF(W$4=1,Inputs!$E$7*Inputs!$E$44,0)</f>
        <v>0</v>
      </c>
      <c r="X56" s="67" t="n">
        <f aca="false">IF(X$4=1,Inputs!$E$7*Inputs!$E$44,0)</f>
        <v>0</v>
      </c>
      <c r="Y56" s="67" t="n">
        <f aca="false">IF(Y$4=1,Inputs!$E$7*Inputs!$E$44,0)</f>
        <v>0</v>
      </c>
      <c r="Z56" s="67" t="n">
        <f aca="false">IF(Z$4=1,Inputs!$E$7*Inputs!$E$44,0)</f>
        <v>0</v>
      </c>
      <c r="AA56" s="67" t="n">
        <f aca="false">IF(AA$4=1,Inputs!$E$7*Inputs!$E$44,0)</f>
        <v>0</v>
      </c>
      <c r="AB56" s="67" t="n">
        <f aca="false">IF(AB$4=1,Inputs!$E$7*Inputs!$E$44,0)</f>
        <v>0</v>
      </c>
      <c r="AC56" s="67" t="n">
        <f aca="false">IF(AC$4=1,Inputs!$E$7*Inputs!$E$44,0)</f>
        <v>0</v>
      </c>
      <c r="AD56" s="67" t="n">
        <f aca="false">IF(AD$4=1,Inputs!$E$7*Inputs!$E$44,0)</f>
        <v>0</v>
      </c>
      <c r="AE56" s="67" t="n">
        <f aca="false">IF(AE$4=1,Inputs!$E$7*Inputs!$E$44,0)</f>
        <v>0</v>
      </c>
      <c r="AF56" s="67" t="n">
        <f aca="false">IF(AF$4=1,Inputs!$E$7*Inputs!$E$44,0)</f>
        <v>0</v>
      </c>
      <c r="AG56" s="67" t="n">
        <f aca="false">IF(AG$4=1,Inputs!$E$7*Inputs!$E$44,0)</f>
        <v>0</v>
      </c>
      <c r="AH56" s="67" t="n">
        <f aca="false">IF(AH$4=1,Inputs!$E$7*Inputs!$E$44,0)</f>
        <v>0</v>
      </c>
      <c r="AI56" s="67" t="n">
        <f aca="false">IF(AI$4=1,Inputs!$E$7*Inputs!$E$44,0)</f>
        <v>0</v>
      </c>
      <c r="AJ56" s="67" t="n">
        <f aca="false">IF(AJ$4=1,Inputs!$E$7*Inputs!$E$44,0)</f>
        <v>0</v>
      </c>
      <c r="AK56" s="67" t="n">
        <f aca="false">IF(AK$4=1,Inputs!$E$7*Inputs!$E$44,0)</f>
        <v>0</v>
      </c>
      <c r="AL56" s="67" t="n">
        <f aca="false">IF(AL$4=1,Inputs!$E$7*Inputs!$E$44,0)</f>
        <v>0</v>
      </c>
      <c r="AM56" s="67" t="n">
        <f aca="false">IF(AM$4=1,Inputs!$E$7*Inputs!$E$44,0)</f>
        <v>0</v>
      </c>
      <c r="AN56" s="67" t="n">
        <f aca="false">IF(AN$4=1,Inputs!$E$7*Inputs!$E$44,0)</f>
        <v>0</v>
      </c>
      <c r="AO56" s="67" t="n">
        <f aca="false">IF(AO$4=1,Inputs!$E$7*Inputs!$E$44,0)</f>
        <v>0</v>
      </c>
      <c r="AP56" s="67" t="n">
        <f aca="false">IF(AP$4=1,Inputs!$E$7*Inputs!$E$44,0)</f>
        <v>0</v>
      </c>
      <c r="AQ56" s="67" t="n">
        <f aca="false">IF(AQ$4=1,Inputs!$E$7*Inputs!$E$44,0)</f>
        <v>0</v>
      </c>
      <c r="AR56" s="67" t="n">
        <f aca="false">IF(AR$4=1,Inputs!$E$7*Inputs!$E$44,0)</f>
        <v>0</v>
      </c>
      <c r="AS56" s="67" t="n">
        <f aca="false">IF(AS$4=1,Inputs!$E$7*Inputs!$E$44,0)</f>
        <v>0</v>
      </c>
      <c r="AT56" s="67" t="n">
        <f aca="false">IF(AT$4=1,Inputs!$E$7*Inputs!$E$44,0)</f>
        <v>0</v>
      </c>
      <c r="AU56" s="67" t="n">
        <f aca="false">IF(AU$4=1,Inputs!$E$7*Inputs!$E$44,0)</f>
        <v>0</v>
      </c>
      <c r="AV56" s="67" t="n">
        <f aca="false">IF(AV$4=1,Inputs!$E$7*Inputs!$E$44,0)</f>
        <v>0</v>
      </c>
      <c r="AW56" s="67" t="n">
        <f aca="false">IF(AW$4=1,Inputs!$E$7*Inputs!$E$44,0)</f>
        <v>0</v>
      </c>
      <c r="AX56" s="67" t="n">
        <f aca="false">IF(AX$4=1,Inputs!$E$7*Inputs!$E$44,0)</f>
        <v>0</v>
      </c>
      <c r="AY56" s="67" t="n">
        <f aca="false">IF(AY$4=1,Inputs!$E$7*Inputs!$E$44,0)</f>
        <v>0</v>
      </c>
      <c r="AZ56" s="67" t="n">
        <f aca="false">IF(AZ$4=1,Inputs!$E$7*Inputs!$E$44,0)</f>
        <v>0</v>
      </c>
      <c r="BA56" s="67" t="n">
        <f aca="false">IF(BA$4=1,Inputs!$E$7*Inputs!$E$44,0)</f>
        <v>0</v>
      </c>
      <c r="BB56" s="67" t="n">
        <f aca="false">IF(BB$4=1,Inputs!$E$7*Inputs!$E$44,0)</f>
        <v>0</v>
      </c>
      <c r="BC56" s="67" t="n">
        <f aca="false">IF(BC$4=1,Inputs!$E$7*Inputs!$E$44,0)</f>
        <v>0</v>
      </c>
      <c r="BD56" s="67" t="n">
        <f aca="false">IF(BD$4=1,Inputs!$E$7*Inputs!$E$44,0)</f>
        <v>0</v>
      </c>
      <c r="BE56" s="67" t="n">
        <f aca="false">IF(BE$4=1,Inputs!$E$7*Inputs!$E$44,0)</f>
        <v>0</v>
      </c>
      <c r="BF56" s="67" t="n">
        <f aca="false">IF(BF$4=1,Inputs!$E$7*Inputs!$E$44,0)</f>
        <v>0</v>
      </c>
      <c r="BG56" s="67" t="n">
        <f aca="false">IF(BG$4=1,Inputs!$E$7*Inputs!$E$44,0)</f>
        <v>0</v>
      </c>
      <c r="BH56" s="67" t="n">
        <f aca="false">IF(BH$4=1,Inputs!$E$7*Inputs!$E$44,0)</f>
        <v>0</v>
      </c>
      <c r="BI56" s="67" t="n">
        <f aca="false">IF(BI$4=1,Inputs!$E$7*Inputs!$E$44,0)</f>
        <v>0</v>
      </c>
      <c r="BJ56" s="67" t="n">
        <f aca="false">IF(BJ$4=1,Inputs!$E$7*Inputs!$E$44,0)</f>
        <v>0</v>
      </c>
    </row>
    <row r="57" customFormat="false" ht="15" hidden="false" customHeight="false" outlineLevel="0" collapsed="false">
      <c r="A57" s="6" t="s">
        <v>426</v>
      </c>
      <c r="C57" s="67" t="n">
        <f aca="false">IF(C$4=1,Inputs!$E$45,0)</f>
        <v>70000</v>
      </c>
      <c r="D57" s="67" t="n">
        <f aca="false">IF(D$4=1,Inputs!$E$45,0)</f>
        <v>0</v>
      </c>
      <c r="E57" s="67" t="n">
        <f aca="false">IF(E$4=1,Inputs!$E$45,0)</f>
        <v>0</v>
      </c>
      <c r="F57" s="67" t="n">
        <f aca="false">IF(F$4=1,Inputs!$E$45,0)</f>
        <v>0</v>
      </c>
      <c r="G57" s="67" t="n">
        <f aca="false">IF(G$4=1,Inputs!$E$45,0)</f>
        <v>0</v>
      </c>
      <c r="H57" s="67" t="n">
        <f aca="false">IF(H$4=1,Inputs!$E$45,0)</f>
        <v>0</v>
      </c>
      <c r="I57" s="67" t="n">
        <f aca="false">IF(I$4=1,Inputs!$E$45,0)</f>
        <v>0</v>
      </c>
      <c r="J57" s="67" t="n">
        <f aca="false">IF(J$4=1,Inputs!$E$45,0)</f>
        <v>0</v>
      </c>
      <c r="K57" s="67" t="n">
        <f aca="false">IF(K$4=1,Inputs!$E$45,0)</f>
        <v>0</v>
      </c>
      <c r="L57" s="67" t="n">
        <f aca="false">IF(L$4=1,Inputs!$E$45,0)</f>
        <v>0</v>
      </c>
      <c r="M57" s="67" t="n">
        <f aca="false">IF(M$4=1,Inputs!$E$45,0)</f>
        <v>0</v>
      </c>
      <c r="N57" s="67" t="n">
        <f aca="false">IF(N$4=1,Inputs!$E$45,0)</f>
        <v>0</v>
      </c>
      <c r="O57" s="67" t="n">
        <f aca="false">IF(O$4=1,Inputs!$E$45,0)</f>
        <v>0</v>
      </c>
      <c r="P57" s="67" t="n">
        <f aca="false">IF(P$4=1,Inputs!$E$45,0)</f>
        <v>0</v>
      </c>
      <c r="Q57" s="67" t="n">
        <f aca="false">IF(Q$4=1,Inputs!$E$45,0)</f>
        <v>0</v>
      </c>
      <c r="R57" s="67" t="n">
        <f aca="false">IF(R$4=1,Inputs!$E$45,0)</f>
        <v>0</v>
      </c>
      <c r="S57" s="67" t="n">
        <f aca="false">IF(S$4=1,Inputs!$E$45,0)</f>
        <v>0</v>
      </c>
      <c r="T57" s="67" t="n">
        <f aca="false">IF(T$4=1,Inputs!$E$45,0)</f>
        <v>0</v>
      </c>
      <c r="U57" s="67" t="n">
        <f aca="false">IF(U$4=1,Inputs!$E$45,0)</f>
        <v>0</v>
      </c>
      <c r="V57" s="67" t="n">
        <f aca="false">IF(V$4=1,Inputs!$E$45,0)</f>
        <v>0</v>
      </c>
      <c r="W57" s="67" t="n">
        <f aca="false">IF(W$4=1,Inputs!$E$45,0)</f>
        <v>0</v>
      </c>
      <c r="X57" s="67" t="n">
        <f aca="false">IF(X$4=1,Inputs!$E$45,0)</f>
        <v>0</v>
      </c>
      <c r="Y57" s="67" t="n">
        <f aca="false">IF(Y$4=1,Inputs!$E$45,0)</f>
        <v>0</v>
      </c>
      <c r="Z57" s="67" t="n">
        <f aca="false">IF(Z$4=1,Inputs!$E$45,0)</f>
        <v>0</v>
      </c>
      <c r="AA57" s="67" t="n">
        <f aca="false">IF(AA$4=1,Inputs!$E$45,0)</f>
        <v>0</v>
      </c>
      <c r="AB57" s="67" t="n">
        <f aca="false">IF(AB$4=1,Inputs!$E$45,0)</f>
        <v>0</v>
      </c>
      <c r="AC57" s="67" t="n">
        <f aca="false">IF(AC$4=1,Inputs!$E$45,0)</f>
        <v>0</v>
      </c>
      <c r="AD57" s="67" t="n">
        <f aca="false">IF(AD$4=1,Inputs!$E$45,0)</f>
        <v>0</v>
      </c>
      <c r="AE57" s="67" t="n">
        <f aca="false">IF(AE$4=1,Inputs!$E$45,0)</f>
        <v>0</v>
      </c>
      <c r="AF57" s="67" t="n">
        <f aca="false">IF(AF$4=1,Inputs!$E$45,0)</f>
        <v>0</v>
      </c>
      <c r="AG57" s="67" t="n">
        <f aca="false">IF(AG$4=1,Inputs!$E$45,0)</f>
        <v>0</v>
      </c>
      <c r="AH57" s="67" t="n">
        <f aca="false">IF(AH$4=1,Inputs!$E$45,0)</f>
        <v>0</v>
      </c>
      <c r="AI57" s="67" t="n">
        <f aca="false">IF(AI$4=1,Inputs!$E$45,0)</f>
        <v>0</v>
      </c>
      <c r="AJ57" s="67" t="n">
        <f aca="false">IF(AJ$4=1,Inputs!$E$45,0)</f>
        <v>0</v>
      </c>
      <c r="AK57" s="67" t="n">
        <f aca="false">IF(AK$4=1,Inputs!$E$45,0)</f>
        <v>0</v>
      </c>
      <c r="AL57" s="67" t="n">
        <f aca="false">IF(AL$4=1,Inputs!$E$45,0)</f>
        <v>0</v>
      </c>
      <c r="AM57" s="67" t="n">
        <f aca="false">IF(AM$4=1,Inputs!$E$45,0)</f>
        <v>0</v>
      </c>
      <c r="AN57" s="67" t="n">
        <f aca="false">IF(AN$4=1,Inputs!$E$45,0)</f>
        <v>0</v>
      </c>
      <c r="AO57" s="67" t="n">
        <f aca="false">IF(AO$4=1,Inputs!$E$45,0)</f>
        <v>0</v>
      </c>
      <c r="AP57" s="67" t="n">
        <f aca="false">IF(AP$4=1,Inputs!$E$45,0)</f>
        <v>0</v>
      </c>
      <c r="AQ57" s="67" t="n">
        <f aca="false">IF(AQ$4=1,Inputs!$E$45,0)</f>
        <v>0</v>
      </c>
      <c r="AR57" s="67" t="n">
        <f aca="false">IF(AR$4=1,Inputs!$E$45,0)</f>
        <v>0</v>
      </c>
      <c r="AS57" s="67" t="n">
        <f aca="false">IF(AS$4=1,Inputs!$E$45,0)</f>
        <v>0</v>
      </c>
      <c r="AT57" s="67" t="n">
        <f aca="false">IF(AT$4=1,Inputs!$E$45,0)</f>
        <v>0</v>
      </c>
      <c r="AU57" s="67" t="n">
        <f aca="false">IF(AU$4=1,Inputs!$E$45,0)</f>
        <v>0</v>
      </c>
      <c r="AV57" s="67" t="n">
        <f aca="false">IF(AV$4=1,Inputs!$E$45,0)</f>
        <v>0</v>
      </c>
      <c r="AW57" s="67" t="n">
        <f aca="false">IF(AW$4=1,Inputs!$E$45,0)</f>
        <v>0</v>
      </c>
      <c r="AX57" s="67" t="n">
        <f aca="false">IF(AX$4=1,Inputs!$E$45,0)</f>
        <v>0</v>
      </c>
      <c r="AY57" s="67" t="n">
        <f aca="false">IF(AY$4=1,Inputs!$E$45,0)</f>
        <v>0</v>
      </c>
      <c r="AZ57" s="67" t="n">
        <f aca="false">IF(AZ$4=1,Inputs!$E$45,0)</f>
        <v>0</v>
      </c>
      <c r="BA57" s="67" t="n">
        <f aca="false">IF(BA$4=1,Inputs!$E$45,0)</f>
        <v>0</v>
      </c>
      <c r="BB57" s="67" t="n">
        <f aca="false">IF(BB$4=1,Inputs!$E$45,0)</f>
        <v>0</v>
      </c>
      <c r="BC57" s="67" t="n">
        <f aca="false">IF(BC$4=1,Inputs!$E$45,0)</f>
        <v>0</v>
      </c>
      <c r="BD57" s="67" t="n">
        <f aca="false">IF(BD$4=1,Inputs!$E$45,0)</f>
        <v>0</v>
      </c>
      <c r="BE57" s="67" t="n">
        <f aca="false">IF(BE$4=1,Inputs!$E$45,0)</f>
        <v>0</v>
      </c>
      <c r="BF57" s="67" t="n">
        <f aca="false">IF(BF$4=1,Inputs!$E$45,0)</f>
        <v>0</v>
      </c>
      <c r="BG57" s="67" t="n">
        <f aca="false">IF(BG$4=1,Inputs!$E$45,0)</f>
        <v>0</v>
      </c>
      <c r="BH57" s="67" t="n">
        <f aca="false">IF(BH$4=1,Inputs!$E$45,0)</f>
        <v>0</v>
      </c>
      <c r="BI57" s="67" t="n">
        <f aca="false">IF(BI$4=1,Inputs!$E$45,0)</f>
        <v>0</v>
      </c>
      <c r="BJ57" s="67" t="n">
        <f aca="false">IF(BJ$4=1,Inputs!$E$45,0)</f>
        <v>0</v>
      </c>
    </row>
    <row r="58" customFormat="false" ht="15" hidden="false" customHeight="false" outlineLevel="0" collapsed="false">
      <c r="A58" s="6" t="s">
        <v>427</v>
      </c>
      <c r="C58" s="67" t="n">
        <f aca="false">Inputs!$E$7*Inputs!$E$46/12*(1+Inputs!$E$39)^(C$5-1)*1</f>
        <v>750</v>
      </c>
      <c r="D58" s="67" t="n">
        <f aca="false">Inputs!$E$7*Inputs!$E$46/12*(1+Inputs!$E$39)^(D$5-1)*1</f>
        <v>750</v>
      </c>
      <c r="E58" s="67" t="n">
        <f aca="false">Inputs!$E$7*Inputs!$E$46/12*(1+Inputs!$E$39)^(E$5-1)*1</f>
        <v>750</v>
      </c>
      <c r="F58" s="67" t="n">
        <f aca="false">Inputs!$E$7*Inputs!$E$46/12*(1+Inputs!$E$39)^(F$5-1)*1</f>
        <v>750</v>
      </c>
      <c r="G58" s="67" t="n">
        <f aca="false">Inputs!$E$7*Inputs!$E$46/12*(1+Inputs!$E$39)^(G$5-1)*1</f>
        <v>750</v>
      </c>
      <c r="H58" s="67" t="n">
        <f aca="false">Inputs!$E$7*Inputs!$E$46/12*(1+Inputs!$E$39)^(H$5-1)*1</f>
        <v>750</v>
      </c>
      <c r="I58" s="67" t="n">
        <f aca="false">Inputs!$E$7*Inputs!$E$46/12*(1+Inputs!$E$39)^(I$5-1)*1</f>
        <v>750</v>
      </c>
      <c r="J58" s="67" t="n">
        <f aca="false">Inputs!$E$7*Inputs!$E$46/12*(1+Inputs!$E$39)^(J$5-1)*1</f>
        <v>750</v>
      </c>
      <c r="K58" s="67" t="n">
        <f aca="false">Inputs!$E$7*Inputs!$E$46/12*(1+Inputs!$E$39)^(K$5-1)*1</f>
        <v>750</v>
      </c>
      <c r="L58" s="67" t="n">
        <f aca="false">Inputs!$E$7*Inputs!$E$46/12*(1+Inputs!$E$39)^(L$5-1)*1</f>
        <v>750</v>
      </c>
      <c r="M58" s="67" t="n">
        <f aca="false">Inputs!$E$7*Inputs!$E$46/12*(1+Inputs!$E$39)^(M$5-1)*1</f>
        <v>750</v>
      </c>
      <c r="N58" s="67" t="n">
        <f aca="false">Inputs!$E$7*Inputs!$E$46/12*(1+Inputs!$E$39)^(N$5-1)*1</f>
        <v>750</v>
      </c>
      <c r="O58" s="67" t="n">
        <f aca="false">Inputs!$E$7*Inputs!$E$46/12*(1+Inputs!$E$39)^(O$5-1)*1</f>
        <v>772.5</v>
      </c>
      <c r="P58" s="67" t="n">
        <f aca="false">Inputs!$E$7*Inputs!$E$46/12*(1+Inputs!$E$39)^(P$5-1)*1</f>
        <v>772.5</v>
      </c>
      <c r="Q58" s="67" t="n">
        <f aca="false">Inputs!$E$7*Inputs!$E$46/12*(1+Inputs!$E$39)^(Q$5-1)*1</f>
        <v>772.5</v>
      </c>
      <c r="R58" s="67" t="n">
        <f aca="false">Inputs!$E$7*Inputs!$E$46/12*(1+Inputs!$E$39)^(R$5-1)*1</f>
        <v>772.5</v>
      </c>
      <c r="S58" s="67" t="n">
        <f aca="false">Inputs!$E$7*Inputs!$E$46/12*(1+Inputs!$E$39)^(S$5-1)*1</f>
        <v>772.5</v>
      </c>
      <c r="T58" s="67" t="n">
        <f aca="false">Inputs!$E$7*Inputs!$E$46/12*(1+Inputs!$E$39)^(T$5-1)*1</f>
        <v>772.5</v>
      </c>
      <c r="U58" s="67" t="n">
        <f aca="false">Inputs!$E$7*Inputs!$E$46/12*(1+Inputs!$E$39)^(U$5-1)*1</f>
        <v>772.5</v>
      </c>
      <c r="V58" s="67" t="n">
        <f aca="false">Inputs!$E$7*Inputs!$E$46/12*(1+Inputs!$E$39)^(V$5-1)*1</f>
        <v>772.5</v>
      </c>
      <c r="W58" s="67" t="n">
        <f aca="false">Inputs!$E$7*Inputs!$E$46/12*(1+Inputs!$E$39)^(W$5-1)*1</f>
        <v>772.5</v>
      </c>
      <c r="X58" s="67" t="n">
        <f aca="false">Inputs!$E$7*Inputs!$E$46/12*(1+Inputs!$E$39)^(X$5-1)*1</f>
        <v>772.5</v>
      </c>
      <c r="Y58" s="67" t="n">
        <f aca="false">Inputs!$E$7*Inputs!$E$46/12*(1+Inputs!$E$39)^(Y$5-1)*1</f>
        <v>772.5</v>
      </c>
      <c r="Z58" s="67" t="n">
        <f aca="false">Inputs!$E$7*Inputs!$E$46/12*(1+Inputs!$E$39)^(Z$5-1)*1</f>
        <v>772.5</v>
      </c>
      <c r="AA58" s="67" t="n">
        <f aca="false">Inputs!$E$7*Inputs!$E$46/12*(1+Inputs!$E$39)^(AA$5-1)*1</f>
        <v>795.675</v>
      </c>
      <c r="AB58" s="67" t="n">
        <f aca="false">Inputs!$E$7*Inputs!$E$46/12*(1+Inputs!$E$39)^(AB$5-1)*1</f>
        <v>795.675</v>
      </c>
      <c r="AC58" s="67" t="n">
        <f aca="false">Inputs!$E$7*Inputs!$E$46/12*(1+Inputs!$E$39)^(AC$5-1)*1</f>
        <v>795.675</v>
      </c>
      <c r="AD58" s="67" t="n">
        <f aca="false">Inputs!$E$7*Inputs!$E$46/12*(1+Inputs!$E$39)^(AD$5-1)*1</f>
        <v>795.675</v>
      </c>
      <c r="AE58" s="67" t="n">
        <f aca="false">Inputs!$E$7*Inputs!$E$46/12*(1+Inputs!$E$39)^(AE$5-1)*1</f>
        <v>795.675</v>
      </c>
      <c r="AF58" s="67" t="n">
        <f aca="false">Inputs!$E$7*Inputs!$E$46/12*(1+Inputs!$E$39)^(AF$5-1)*1</f>
        <v>795.675</v>
      </c>
      <c r="AG58" s="67" t="n">
        <f aca="false">Inputs!$E$7*Inputs!$E$46/12*(1+Inputs!$E$39)^(AG$5-1)*1</f>
        <v>795.675</v>
      </c>
      <c r="AH58" s="67" t="n">
        <f aca="false">Inputs!$E$7*Inputs!$E$46/12*(1+Inputs!$E$39)^(AH$5-1)*1</f>
        <v>795.675</v>
      </c>
      <c r="AI58" s="67" t="n">
        <f aca="false">Inputs!$E$7*Inputs!$E$46/12*(1+Inputs!$E$39)^(AI$5-1)*1</f>
        <v>795.675</v>
      </c>
      <c r="AJ58" s="67" t="n">
        <f aca="false">Inputs!$E$7*Inputs!$E$46/12*(1+Inputs!$E$39)^(AJ$5-1)*1</f>
        <v>795.675</v>
      </c>
      <c r="AK58" s="67" t="n">
        <f aca="false">Inputs!$E$7*Inputs!$E$46/12*(1+Inputs!$E$39)^(AK$5-1)*1</f>
        <v>795.675</v>
      </c>
      <c r="AL58" s="67" t="n">
        <f aca="false">Inputs!$E$7*Inputs!$E$46/12*(1+Inputs!$E$39)^(AL$5-1)*1</f>
        <v>795.675</v>
      </c>
      <c r="AM58" s="67" t="n">
        <f aca="false">Inputs!$E$7*Inputs!$E$46/12*(1+Inputs!$E$39)^(AM$5-1)*1</f>
        <v>819.54525</v>
      </c>
      <c r="AN58" s="67" t="n">
        <f aca="false">Inputs!$E$7*Inputs!$E$46/12*(1+Inputs!$E$39)^(AN$5-1)*1</f>
        <v>819.54525</v>
      </c>
      <c r="AO58" s="67" t="n">
        <f aca="false">Inputs!$E$7*Inputs!$E$46/12*(1+Inputs!$E$39)^(AO$5-1)*1</f>
        <v>819.54525</v>
      </c>
      <c r="AP58" s="67" t="n">
        <f aca="false">Inputs!$E$7*Inputs!$E$46/12*(1+Inputs!$E$39)^(AP$5-1)*1</f>
        <v>819.54525</v>
      </c>
      <c r="AQ58" s="67" t="n">
        <f aca="false">Inputs!$E$7*Inputs!$E$46/12*(1+Inputs!$E$39)^(AQ$5-1)*1</f>
        <v>819.54525</v>
      </c>
      <c r="AR58" s="67" t="n">
        <f aca="false">Inputs!$E$7*Inputs!$E$46/12*(1+Inputs!$E$39)^(AR$5-1)*1</f>
        <v>819.54525</v>
      </c>
      <c r="AS58" s="67" t="n">
        <f aca="false">Inputs!$E$7*Inputs!$E$46/12*(1+Inputs!$E$39)^(AS$5-1)*1</f>
        <v>819.54525</v>
      </c>
      <c r="AT58" s="67" t="n">
        <f aca="false">Inputs!$E$7*Inputs!$E$46/12*(1+Inputs!$E$39)^(AT$5-1)*1</f>
        <v>819.54525</v>
      </c>
      <c r="AU58" s="67" t="n">
        <f aca="false">Inputs!$E$7*Inputs!$E$46/12*(1+Inputs!$E$39)^(AU$5-1)*1</f>
        <v>819.54525</v>
      </c>
      <c r="AV58" s="67" t="n">
        <f aca="false">Inputs!$E$7*Inputs!$E$46/12*(1+Inputs!$E$39)^(AV$5-1)*1</f>
        <v>819.54525</v>
      </c>
      <c r="AW58" s="67" t="n">
        <f aca="false">Inputs!$E$7*Inputs!$E$46/12*(1+Inputs!$E$39)^(AW$5-1)*1</f>
        <v>819.54525</v>
      </c>
      <c r="AX58" s="67" t="n">
        <f aca="false">Inputs!$E$7*Inputs!$E$46/12*(1+Inputs!$E$39)^(AX$5-1)*1</f>
        <v>819.54525</v>
      </c>
      <c r="AY58" s="67" t="n">
        <f aca="false">Inputs!$E$7*Inputs!$E$46/12*(1+Inputs!$E$39)^(AY$5-1)*1</f>
        <v>844.1316075</v>
      </c>
      <c r="AZ58" s="67" t="n">
        <f aca="false">Inputs!$E$7*Inputs!$E$46/12*(1+Inputs!$E$39)^(AZ$5-1)*1</f>
        <v>844.1316075</v>
      </c>
      <c r="BA58" s="67" t="n">
        <f aca="false">Inputs!$E$7*Inputs!$E$46/12*(1+Inputs!$E$39)^(BA$5-1)*1</f>
        <v>844.1316075</v>
      </c>
      <c r="BB58" s="67" t="n">
        <f aca="false">Inputs!$E$7*Inputs!$E$46/12*(1+Inputs!$E$39)^(BB$5-1)*1</f>
        <v>844.1316075</v>
      </c>
      <c r="BC58" s="67" t="n">
        <f aca="false">Inputs!$E$7*Inputs!$E$46/12*(1+Inputs!$E$39)^(BC$5-1)*1</f>
        <v>844.1316075</v>
      </c>
      <c r="BD58" s="67" t="n">
        <f aca="false">Inputs!$E$7*Inputs!$E$46/12*(1+Inputs!$E$39)^(BD$5-1)*1</f>
        <v>844.1316075</v>
      </c>
      <c r="BE58" s="67" t="n">
        <f aca="false">Inputs!$E$7*Inputs!$E$46/12*(1+Inputs!$E$39)^(BE$5-1)*1</f>
        <v>844.1316075</v>
      </c>
      <c r="BF58" s="67" t="n">
        <f aca="false">Inputs!$E$7*Inputs!$E$46/12*(1+Inputs!$E$39)^(BF$5-1)*1</f>
        <v>844.1316075</v>
      </c>
      <c r="BG58" s="67" t="n">
        <f aca="false">Inputs!$E$7*Inputs!$E$46/12*(1+Inputs!$E$39)^(BG$5-1)*1</f>
        <v>844.1316075</v>
      </c>
      <c r="BH58" s="67" t="n">
        <f aca="false">Inputs!$E$7*Inputs!$E$46/12*(1+Inputs!$E$39)^(BH$5-1)*1</f>
        <v>844.1316075</v>
      </c>
      <c r="BI58" s="67" t="n">
        <f aca="false">Inputs!$E$7*Inputs!$E$46/12*(1+Inputs!$E$39)^(BI$5-1)*1</f>
        <v>844.1316075</v>
      </c>
      <c r="BJ58" s="67" t="n">
        <f aca="false">Inputs!$E$7*Inputs!$E$46/12*(1+Inputs!$E$39)^(BJ$5-1)*1</f>
        <v>844.1316075</v>
      </c>
    </row>
    <row r="59" customFormat="false" ht="15" hidden="false" customHeight="false" outlineLevel="0" collapsed="false">
      <c r="A59" s="4" t="s">
        <v>84</v>
      </c>
      <c r="C59" s="73" t="n">
        <f aca="false">C54+C56+C57+C58</f>
        <v>865750</v>
      </c>
      <c r="D59" s="73" t="n">
        <f aca="false">D54+D56+D57+D58</f>
        <v>750</v>
      </c>
      <c r="E59" s="73" t="n">
        <f aca="false">E54+E56+E57+E58</f>
        <v>750</v>
      </c>
      <c r="F59" s="73" t="n">
        <f aca="false">F54+F56+F57+F58</f>
        <v>750</v>
      </c>
      <c r="G59" s="73" t="n">
        <f aca="false">G54+G56+G57+G58</f>
        <v>750</v>
      </c>
      <c r="H59" s="73" t="n">
        <f aca="false">H54+H56+H57+H58</f>
        <v>750</v>
      </c>
      <c r="I59" s="73" t="n">
        <f aca="false">I54+I56+I57+I58</f>
        <v>750</v>
      </c>
      <c r="J59" s="73" t="n">
        <f aca="false">J54+J56+J57+J58</f>
        <v>750</v>
      </c>
      <c r="K59" s="73" t="n">
        <f aca="false">K54+K56+K57+K58</f>
        <v>750</v>
      </c>
      <c r="L59" s="73" t="n">
        <f aca="false">L54+L56+L57+L58</f>
        <v>750</v>
      </c>
      <c r="M59" s="73" t="n">
        <f aca="false">M54+M56+M57+M58</f>
        <v>750</v>
      </c>
      <c r="N59" s="73" t="n">
        <f aca="false">N54+N56+N57+N58</f>
        <v>750</v>
      </c>
      <c r="O59" s="73" t="n">
        <f aca="false">O54+O56+O57+O58</f>
        <v>772.5</v>
      </c>
      <c r="P59" s="73" t="n">
        <f aca="false">P54+P56+P57+P58</f>
        <v>772.5</v>
      </c>
      <c r="Q59" s="73" t="n">
        <f aca="false">Q54+Q56+Q57+Q58</f>
        <v>772.5</v>
      </c>
      <c r="R59" s="73" t="n">
        <f aca="false">R54+R56+R57+R58</f>
        <v>772.5</v>
      </c>
      <c r="S59" s="73" t="n">
        <f aca="false">S54+S56+S57+S58</f>
        <v>772.5</v>
      </c>
      <c r="T59" s="73" t="n">
        <f aca="false">T54+T56+T57+T58</f>
        <v>772.5</v>
      </c>
      <c r="U59" s="73" t="n">
        <f aca="false">U54+U56+U57+U58</f>
        <v>772.5</v>
      </c>
      <c r="V59" s="73" t="n">
        <f aca="false">V54+V56+V57+V58</f>
        <v>772.5</v>
      </c>
      <c r="W59" s="73" t="n">
        <f aca="false">W54+W56+W57+W58</f>
        <v>772.5</v>
      </c>
      <c r="X59" s="73" t="n">
        <f aca="false">X54+X56+X57+X58</f>
        <v>772.5</v>
      </c>
      <c r="Y59" s="73" t="n">
        <f aca="false">Y54+Y56+Y57+Y58</f>
        <v>772.5</v>
      </c>
      <c r="Z59" s="73" t="n">
        <f aca="false">Z54+Z56+Z57+Z58</f>
        <v>772.5</v>
      </c>
      <c r="AA59" s="73" t="n">
        <f aca="false">AA54+AA56+AA57+AA58</f>
        <v>795.675</v>
      </c>
      <c r="AB59" s="73" t="n">
        <f aca="false">AB54+AB56+AB57+AB58</f>
        <v>795.675</v>
      </c>
      <c r="AC59" s="73" t="n">
        <f aca="false">AC54+AC56+AC57+AC58</f>
        <v>795.675</v>
      </c>
      <c r="AD59" s="73" t="n">
        <f aca="false">AD54+AD56+AD57+AD58</f>
        <v>795.675</v>
      </c>
      <c r="AE59" s="73" t="n">
        <f aca="false">AE54+AE56+AE57+AE58</f>
        <v>795.675</v>
      </c>
      <c r="AF59" s="73" t="n">
        <f aca="false">AF54+AF56+AF57+AF58</f>
        <v>795.675</v>
      </c>
      <c r="AG59" s="73" t="n">
        <f aca="false">AG54+AG56+AG57+AG58</f>
        <v>795.675</v>
      </c>
      <c r="AH59" s="73" t="n">
        <f aca="false">AH54+AH56+AH57+AH58</f>
        <v>795.675</v>
      </c>
      <c r="AI59" s="73" t="n">
        <f aca="false">AI54+AI56+AI57+AI58</f>
        <v>795.675</v>
      </c>
      <c r="AJ59" s="73" t="n">
        <f aca="false">AJ54+AJ56+AJ57+AJ58</f>
        <v>795.675</v>
      </c>
      <c r="AK59" s="73" t="n">
        <f aca="false">AK54+AK56+AK57+AK58</f>
        <v>795.675</v>
      </c>
      <c r="AL59" s="73" t="n">
        <f aca="false">AL54+AL56+AL57+AL58</f>
        <v>795.675</v>
      </c>
      <c r="AM59" s="73" t="n">
        <f aca="false">AM54+AM56+AM57+AM58</f>
        <v>819.54525</v>
      </c>
      <c r="AN59" s="73" t="n">
        <f aca="false">AN54+AN56+AN57+AN58</f>
        <v>819.54525</v>
      </c>
      <c r="AO59" s="73" t="n">
        <f aca="false">AO54+AO56+AO57+AO58</f>
        <v>819.54525</v>
      </c>
      <c r="AP59" s="73" t="n">
        <f aca="false">AP54+AP56+AP57+AP58</f>
        <v>819.54525</v>
      </c>
      <c r="AQ59" s="73" t="n">
        <f aca="false">AQ54+AQ56+AQ57+AQ58</f>
        <v>819.54525</v>
      </c>
      <c r="AR59" s="73" t="n">
        <f aca="false">AR54+AR56+AR57+AR58</f>
        <v>819.54525</v>
      </c>
      <c r="AS59" s="73" t="n">
        <f aca="false">AS54+AS56+AS57+AS58</f>
        <v>819.54525</v>
      </c>
      <c r="AT59" s="73" t="n">
        <f aca="false">AT54+AT56+AT57+AT58</f>
        <v>819.54525</v>
      </c>
      <c r="AU59" s="73" t="n">
        <f aca="false">AU54+AU56+AU57+AU58</f>
        <v>819.54525</v>
      </c>
      <c r="AV59" s="73" t="n">
        <f aca="false">AV54+AV56+AV57+AV58</f>
        <v>819.54525</v>
      </c>
      <c r="AW59" s="73" t="n">
        <f aca="false">AW54+AW56+AW57+AW58</f>
        <v>819.54525</v>
      </c>
      <c r="AX59" s="73" t="n">
        <f aca="false">AX54+AX56+AX57+AX58</f>
        <v>819.54525</v>
      </c>
      <c r="AY59" s="73" t="n">
        <f aca="false">AY54+AY56+AY57+AY58</f>
        <v>844.1316075</v>
      </c>
      <c r="AZ59" s="73" t="n">
        <f aca="false">AZ54+AZ56+AZ57+AZ58</f>
        <v>844.1316075</v>
      </c>
      <c r="BA59" s="73" t="n">
        <f aca="false">BA54+BA56+BA57+BA58</f>
        <v>844.1316075</v>
      </c>
      <c r="BB59" s="73" t="n">
        <f aca="false">BB54+BB56+BB57+BB58</f>
        <v>844.1316075</v>
      </c>
      <c r="BC59" s="73" t="n">
        <f aca="false">BC54+BC56+BC57+BC58</f>
        <v>844.1316075</v>
      </c>
      <c r="BD59" s="73" t="n">
        <f aca="false">BD54+BD56+BD57+BD58</f>
        <v>844.1316075</v>
      </c>
      <c r="BE59" s="73" t="n">
        <f aca="false">BE54+BE56+BE57+BE58</f>
        <v>844.1316075</v>
      </c>
      <c r="BF59" s="73" t="n">
        <f aca="false">BF54+BF56+BF57+BF58</f>
        <v>844.1316075</v>
      </c>
      <c r="BG59" s="73" t="n">
        <f aca="false">BG54+BG56+BG57+BG58</f>
        <v>844.1316075</v>
      </c>
      <c r="BH59" s="73" t="n">
        <f aca="false">BH54+BH56+BH57+BH58</f>
        <v>844.1316075</v>
      </c>
      <c r="BI59" s="73" t="n">
        <f aca="false">BI54+BI56+BI57+BI58</f>
        <v>844.1316075</v>
      </c>
      <c r="BJ59" s="73" t="n">
        <f aca="false">BJ54+BJ56+BJ57+BJ58</f>
        <v>844.1316075</v>
      </c>
    </row>
    <row r="60" customFormat="false" ht="15" hidden="false" customHeight="false" outlineLevel="0" collapsed="false">
      <c r="A60" s="6" t="s">
        <v>428</v>
      </c>
      <c r="C60" s="67" t="n">
        <f aca="false">C59</f>
        <v>865750</v>
      </c>
      <c r="D60" s="67" t="n">
        <f aca="false">C60+D59</f>
        <v>866500</v>
      </c>
      <c r="E60" s="67" t="n">
        <f aca="false">D60+E59</f>
        <v>867250</v>
      </c>
      <c r="F60" s="67" t="n">
        <f aca="false">E60+F59</f>
        <v>868000</v>
      </c>
      <c r="G60" s="67" t="n">
        <f aca="false">F60+G59</f>
        <v>868750</v>
      </c>
      <c r="H60" s="67" t="n">
        <f aca="false">G60+H59</f>
        <v>869500</v>
      </c>
      <c r="I60" s="67" t="n">
        <f aca="false">H60+I59</f>
        <v>870250</v>
      </c>
      <c r="J60" s="67" t="n">
        <f aca="false">I60+J59</f>
        <v>871000</v>
      </c>
      <c r="K60" s="67" t="n">
        <f aca="false">J60+K59</f>
        <v>871750</v>
      </c>
      <c r="L60" s="67" t="n">
        <f aca="false">K60+L59</f>
        <v>872500</v>
      </c>
      <c r="M60" s="67" t="n">
        <f aca="false">L60+M59</f>
        <v>873250</v>
      </c>
      <c r="N60" s="67" t="n">
        <f aca="false">M60+N59</f>
        <v>874000</v>
      </c>
      <c r="O60" s="67" t="n">
        <f aca="false">N60+O59</f>
        <v>874772.5</v>
      </c>
      <c r="P60" s="67" t="n">
        <f aca="false">O60+P59</f>
        <v>875545</v>
      </c>
      <c r="Q60" s="67" t="n">
        <f aca="false">P60+Q59</f>
        <v>876317.5</v>
      </c>
      <c r="R60" s="67" t="n">
        <f aca="false">Q60+R59</f>
        <v>877090</v>
      </c>
      <c r="S60" s="67" t="n">
        <f aca="false">R60+S59</f>
        <v>877862.5</v>
      </c>
      <c r="T60" s="67" t="n">
        <f aca="false">S60+T59</f>
        <v>878635</v>
      </c>
      <c r="U60" s="67" t="n">
        <f aca="false">T60+U59</f>
        <v>879407.5</v>
      </c>
      <c r="V60" s="67" t="n">
        <f aca="false">U60+V59</f>
        <v>880180</v>
      </c>
      <c r="W60" s="67" t="n">
        <f aca="false">V60+W59</f>
        <v>880952.5</v>
      </c>
      <c r="X60" s="67" t="n">
        <f aca="false">W60+X59</f>
        <v>881725</v>
      </c>
      <c r="Y60" s="67" t="n">
        <f aca="false">X60+Y59</f>
        <v>882497.5</v>
      </c>
      <c r="Z60" s="67" t="n">
        <f aca="false">Y60+Z59</f>
        <v>883270</v>
      </c>
      <c r="AA60" s="67" t="n">
        <f aca="false">Z60+AA59</f>
        <v>884065.675</v>
      </c>
      <c r="AB60" s="67" t="n">
        <f aca="false">AA60+AB59</f>
        <v>884861.35</v>
      </c>
      <c r="AC60" s="67" t="n">
        <f aca="false">AB60+AC59</f>
        <v>885657.025</v>
      </c>
      <c r="AD60" s="67" t="n">
        <f aca="false">AC60+AD59</f>
        <v>886452.7</v>
      </c>
      <c r="AE60" s="67" t="n">
        <f aca="false">AD60+AE59</f>
        <v>887248.375</v>
      </c>
      <c r="AF60" s="67" t="n">
        <f aca="false">AE60+AF59</f>
        <v>888044.05</v>
      </c>
      <c r="AG60" s="67" t="n">
        <f aca="false">AF60+AG59</f>
        <v>888839.725</v>
      </c>
      <c r="AH60" s="67" t="n">
        <f aca="false">AG60+AH59</f>
        <v>889635.4</v>
      </c>
      <c r="AI60" s="67" t="n">
        <f aca="false">AH60+AI59</f>
        <v>890431.075</v>
      </c>
      <c r="AJ60" s="67" t="n">
        <f aca="false">AI60+AJ59</f>
        <v>891226.750000001</v>
      </c>
      <c r="AK60" s="67" t="n">
        <f aca="false">AJ60+AK59</f>
        <v>892022.425000001</v>
      </c>
      <c r="AL60" s="67" t="n">
        <f aca="false">AK60+AL59</f>
        <v>892818.100000001</v>
      </c>
      <c r="AM60" s="67" t="n">
        <f aca="false">AL60+AM59</f>
        <v>893637.645250001</v>
      </c>
      <c r="AN60" s="67" t="n">
        <f aca="false">AM60+AN59</f>
        <v>894457.190500001</v>
      </c>
      <c r="AO60" s="67" t="n">
        <f aca="false">AN60+AO59</f>
        <v>895276.735750001</v>
      </c>
      <c r="AP60" s="67" t="n">
        <f aca="false">AO60+AP59</f>
        <v>896096.281</v>
      </c>
      <c r="AQ60" s="67" t="n">
        <f aca="false">AP60+AQ59</f>
        <v>896915.82625</v>
      </c>
      <c r="AR60" s="67" t="n">
        <f aca="false">AQ60+AR59</f>
        <v>897735.3715</v>
      </c>
      <c r="AS60" s="67" t="n">
        <f aca="false">AR60+AS59</f>
        <v>898554.91675</v>
      </c>
      <c r="AT60" s="67" t="n">
        <f aca="false">AS60+AT59</f>
        <v>899374.462</v>
      </c>
      <c r="AU60" s="67" t="n">
        <f aca="false">AT60+AU59</f>
        <v>900194.00725</v>
      </c>
      <c r="AV60" s="67" t="n">
        <f aca="false">AU60+AV59</f>
        <v>901013.5525</v>
      </c>
      <c r="AW60" s="67" t="n">
        <f aca="false">AV60+AW59</f>
        <v>901833.09775</v>
      </c>
      <c r="AX60" s="67" t="n">
        <f aca="false">AW60+AX59</f>
        <v>902652.643</v>
      </c>
      <c r="AY60" s="67" t="n">
        <f aca="false">AX60+AY59</f>
        <v>903496.7746075</v>
      </c>
      <c r="AZ60" s="67" t="n">
        <f aca="false">AY60+AZ59</f>
        <v>904340.906215</v>
      </c>
      <c r="BA60" s="67" t="n">
        <f aca="false">AZ60+BA59</f>
        <v>905185.0378225</v>
      </c>
      <c r="BB60" s="67" t="n">
        <f aca="false">BA60+BB59</f>
        <v>906029.16943</v>
      </c>
      <c r="BC60" s="67" t="n">
        <f aca="false">BB60+BC59</f>
        <v>906873.3010375</v>
      </c>
      <c r="BD60" s="67" t="n">
        <f aca="false">BC60+BD59</f>
        <v>907717.432645</v>
      </c>
      <c r="BE60" s="67" t="n">
        <f aca="false">BD60+BE59</f>
        <v>908561.5642525</v>
      </c>
      <c r="BF60" s="67" t="n">
        <f aca="false">BE60+BF59</f>
        <v>909405.69586</v>
      </c>
      <c r="BG60" s="67" t="n">
        <f aca="false">BF60+BG59</f>
        <v>910249.8274675</v>
      </c>
      <c r="BH60" s="67" t="n">
        <f aca="false">BG60+BH59</f>
        <v>911093.959075</v>
      </c>
      <c r="BI60" s="67" t="n">
        <f aca="false">BH60+BI59</f>
        <v>911938.0906825</v>
      </c>
      <c r="BJ60" s="67" t="n">
        <f aca="false">BI60+BJ59</f>
        <v>912782.22229</v>
      </c>
    </row>
    <row r="61" customFormat="false" ht="15" hidden="false" customHeight="false" outlineLevel="0" collapsed="false">
      <c r="A61" s="6" t="s">
        <v>429</v>
      </c>
      <c r="C61" s="67" t="n">
        <f aca="false">C55</f>
        <v>180000</v>
      </c>
      <c r="D61" s="67" t="n">
        <f aca="false">C61+D55</f>
        <v>180000</v>
      </c>
      <c r="E61" s="67" t="n">
        <f aca="false">D61+E55</f>
        <v>180000</v>
      </c>
      <c r="F61" s="67" t="n">
        <f aca="false">E61+F55</f>
        <v>180000</v>
      </c>
      <c r="G61" s="67" t="n">
        <f aca="false">F61+G55</f>
        <v>180000</v>
      </c>
      <c r="H61" s="67" t="n">
        <f aca="false">G61+H55</f>
        <v>180000</v>
      </c>
      <c r="I61" s="67" t="n">
        <f aca="false">H61+I55</f>
        <v>180000</v>
      </c>
      <c r="J61" s="67" t="n">
        <f aca="false">I61+J55</f>
        <v>180000</v>
      </c>
      <c r="K61" s="67" t="n">
        <f aca="false">J61+K55</f>
        <v>180000</v>
      </c>
      <c r="L61" s="67" t="n">
        <f aca="false">K61+L55</f>
        <v>180000</v>
      </c>
      <c r="M61" s="67" t="n">
        <f aca="false">L61+M55</f>
        <v>180000</v>
      </c>
      <c r="N61" s="67" t="n">
        <f aca="false">M61+N55</f>
        <v>180000</v>
      </c>
      <c r="O61" s="67" t="n">
        <f aca="false">N61+O55</f>
        <v>180000</v>
      </c>
      <c r="P61" s="67" t="n">
        <f aca="false">O61+P55</f>
        <v>180000</v>
      </c>
      <c r="Q61" s="67" t="n">
        <f aca="false">P61+Q55</f>
        <v>180000</v>
      </c>
      <c r="R61" s="67" t="n">
        <f aca="false">Q61+R55</f>
        <v>180000</v>
      </c>
      <c r="S61" s="67" t="n">
        <f aca="false">R61+S55</f>
        <v>180000</v>
      </c>
      <c r="T61" s="67" t="n">
        <f aca="false">S61+T55</f>
        <v>180000</v>
      </c>
      <c r="U61" s="67" t="n">
        <f aca="false">T61+U55</f>
        <v>180000</v>
      </c>
      <c r="V61" s="67" t="n">
        <f aca="false">U61+V55</f>
        <v>180000</v>
      </c>
      <c r="W61" s="67" t="n">
        <f aca="false">V61+W55</f>
        <v>180000</v>
      </c>
      <c r="X61" s="67" t="n">
        <f aca="false">W61+X55</f>
        <v>180000</v>
      </c>
      <c r="Y61" s="67" t="n">
        <f aca="false">X61+Y55</f>
        <v>180000</v>
      </c>
      <c r="Z61" s="67" t="n">
        <f aca="false">Y61+Z55</f>
        <v>180000</v>
      </c>
      <c r="AA61" s="67" t="n">
        <f aca="false">Z61+AA55</f>
        <v>180000</v>
      </c>
      <c r="AB61" s="67" t="n">
        <f aca="false">AA61+AB55</f>
        <v>180000</v>
      </c>
      <c r="AC61" s="67" t="n">
        <f aca="false">AB61+AC55</f>
        <v>180000</v>
      </c>
      <c r="AD61" s="67" t="n">
        <f aca="false">AC61+AD55</f>
        <v>180000</v>
      </c>
      <c r="AE61" s="67" t="n">
        <f aca="false">AD61+AE55</f>
        <v>180000</v>
      </c>
      <c r="AF61" s="67" t="n">
        <f aca="false">AE61+AF55</f>
        <v>180000</v>
      </c>
      <c r="AG61" s="67" t="n">
        <f aca="false">AF61+AG55</f>
        <v>180000</v>
      </c>
      <c r="AH61" s="67" t="n">
        <f aca="false">AG61+AH55</f>
        <v>180000</v>
      </c>
      <c r="AI61" s="67" t="n">
        <f aca="false">AH61+AI55</f>
        <v>180000</v>
      </c>
      <c r="AJ61" s="67" t="n">
        <f aca="false">AI61+AJ55</f>
        <v>180000</v>
      </c>
      <c r="AK61" s="67" t="n">
        <f aca="false">AJ61+AK55</f>
        <v>180000</v>
      </c>
      <c r="AL61" s="67" t="n">
        <f aca="false">AK61+AL55</f>
        <v>180000</v>
      </c>
      <c r="AM61" s="67" t="n">
        <f aca="false">AL61+AM55</f>
        <v>180000</v>
      </c>
      <c r="AN61" s="67" t="n">
        <f aca="false">AM61+AN55</f>
        <v>180000</v>
      </c>
      <c r="AO61" s="67" t="n">
        <f aca="false">AN61+AO55</f>
        <v>180000</v>
      </c>
      <c r="AP61" s="67" t="n">
        <f aca="false">AO61+AP55</f>
        <v>180000</v>
      </c>
      <c r="AQ61" s="67" t="n">
        <f aca="false">AP61+AQ55</f>
        <v>180000</v>
      </c>
      <c r="AR61" s="67" t="n">
        <f aca="false">AQ61+AR55</f>
        <v>180000</v>
      </c>
      <c r="AS61" s="67" t="n">
        <f aca="false">AR61+AS55</f>
        <v>180000</v>
      </c>
      <c r="AT61" s="67" t="n">
        <f aca="false">AS61+AT55</f>
        <v>180000</v>
      </c>
      <c r="AU61" s="67" t="n">
        <f aca="false">AT61+AU55</f>
        <v>180000</v>
      </c>
      <c r="AV61" s="67" t="n">
        <f aca="false">AU61+AV55</f>
        <v>180000</v>
      </c>
      <c r="AW61" s="67" t="n">
        <f aca="false">AV61+AW55</f>
        <v>180000</v>
      </c>
      <c r="AX61" s="67" t="n">
        <f aca="false">AW61+AX55</f>
        <v>180000</v>
      </c>
      <c r="AY61" s="67" t="n">
        <f aca="false">AX61+AY55</f>
        <v>180000</v>
      </c>
      <c r="AZ61" s="67" t="n">
        <f aca="false">AY61+AZ55</f>
        <v>180000</v>
      </c>
      <c r="BA61" s="67" t="n">
        <f aca="false">AZ61+BA55</f>
        <v>180000</v>
      </c>
      <c r="BB61" s="67" t="n">
        <f aca="false">BA61+BB55</f>
        <v>180000</v>
      </c>
      <c r="BC61" s="67" t="n">
        <f aca="false">BB61+BC55</f>
        <v>180000</v>
      </c>
      <c r="BD61" s="67" t="n">
        <f aca="false">BC61+BD55</f>
        <v>180000</v>
      </c>
      <c r="BE61" s="67" t="n">
        <f aca="false">BD61+BE55</f>
        <v>180000</v>
      </c>
      <c r="BF61" s="67" t="n">
        <f aca="false">BE61+BF55</f>
        <v>180000</v>
      </c>
      <c r="BG61" s="67" t="n">
        <f aca="false">BF61+BG55</f>
        <v>180000</v>
      </c>
      <c r="BH61" s="67" t="n">
        <f aca="false">BG61+BH55</f>
        <v>180000</v>
      </c>
      <c r="BI61" s="67" t="n">
        <f aca="false">BH61+BI55</f>
        <v>180000</v>
      </c>
      <c r="BJ61" s="67" t="n">
        <f aca="false">BI61+BJ55</f>
        <v>180000</v>
      </c>
    </row>
    <row r="62" customFormat="false" ht="15" hidden="false" customHeight="false" outlineLevel="0" collapsed="false">
      <c r="A62" s="6" t="s">
        <v>78</v>
      </c>
      <c r="C62" s="67" t="n">
        <f aca="false">-MIN((C60-C61)/MAX(1,Inputs!$E$76*12),C59-C61)</f>
        <v>-3809.72222222222</v>
      </c>
      <c r="D62" s="67" t="n">
        <f aca="false">-MIN((D60-D61)/MAX(1,Inputs!$E$76*12),C64+D59-D61)</f>
        <v>-3813.88888888889</v>
      </c>
      <c r="E62" s="67" t="n">
        <f aca="false">-MIN((E60-E61)/MAX(1,Inputs!$E$76*12),D64+E59-E61)</f>
        <v>-3818.05555555556</v>
      </c>
      <c r="F62" s="67" t="n">
        <f aca="false">-MIN((F60-F61)/MAX(1,Inputs!$E$76*12),E64+F59-F61)</f>
        <v>-3822.22222222222</v>
      </c>
      <c r="G62" s="67" t="n">
        <f aca="false">-MIN((G60-G61)/MAX(1,Inputs!$E$76*12),F64+G59-G61)</f>
        <v>-3826.38888888889</v>
      </c>
      <c r="H62" s="67" t="n">
        <f aca="false">-MIN((H60-H61)/MAX(1,Inputs!$E$76*12),G64+H59-H61)</f>
        <v>-3830.55555555556</v>
      </c>
      <c r="I62" s="67" t="n">
        <f aca="false">-MIN((I60-I61)/MAX(1,Inputs!$E$76*12),H64+I59-I61)</f>
        <v>-3834.72222222222</v>
      </c>
      <c r="J62" s="67" t="n">
        <f aca="false">-MIN((J60-J61)/MAX(1,Inputs!$E$76*12),I64+J59-J61)</f>
        <v>-3838.88888888889</v>
      </c>
      <c r="K62" s="67" t="n">
        <f aca="false">-MIN((K60-K61)/MAX(1,Inputs!$E$76*12),J64+K59-K61)</f>
        <v>-3843.05555555556</v>
      </c>
      <c r="L62" s="67" t="n">
        <f aca="false">-MIN((L60-L61)/MAX(1,Inputs!$E$76*12),K64+L59-L61)</f>
        <v>-3847.22222222222</v>
      </c>
      <c r="M62" s="67" t="n">
        <f aca="false">-MIN((M60-M61)/MAX(1,Inputs!$E$76*12),L64+M59-M61)</f>
        <v>-3851.38888888889</v>
      </c>
      <c r="N62" s="67" t="n">
        <f aca="false">-MIN((N60-N61)/MAX(1,Inputs!$E$76*12),M64+N59-N61)</f>
        <v>-3855.55555555556</v>
      </c>
      <c r="O62" s="67" t="n">
        <f aca="false">-MIN((O60-O61)/MAX(1,Inputs!$E$76*12),N64+O59-O61)</f>
        <v>-3859.84722222222</v>
      </c>
      <c r="P62" s="67" t="n">
        <f aca="false">-MIN((P60-P61)/MAX(1,Inputs!$E$76*12),O64+P59-P61)</f>
        <v>-3864.13888888889</v>
      </c>
      <c r="Q62" s="67" t="n">
        <f aca="false">-MIN((Q60-Q61)/MAX(1,Inputs!$E$76*12),P64+Q59-Q61)</f>
        <v>-3868.43055555556</v>
      </c>
      <c r="R62" s="67" t="n">
        <f aca="false">-MIN((R60-R61)/MAX(1,Inputs!$E$76*12),Q64+R59-R61)</f>
        <v>-3872.72222222222</v>
      </c>
      <c r="S62" s="67" t="n">
        <f aca="false">-MIN((S60-S61)/MAX(1,Inputs!$E$76*12),R64+S59-S61)</f>
        <v>-3877.01388888889</v>
      </c>
      <c r="T62" s="67" t="n">
        <f aca="false">-MIN((T60-T61)/MAX(1,Inputs!$E$76*12),S64+T59-T61)</f>
        <v>-3881.30555555556</v>
      </c>
      <c r="U62" s="67" t="n">
        <f aca="false">-MIN((U60-U61)/MAX(1,Inputs!$E$76*12),T64+U59-U61)</f>
        <v>-3885.59722222222</v>
      </c>
      <c r="V62" s="67" t="n">
        <f aca="false">-MIN((V60-V61)/MAX(1,Inputs!$E$76*12),U64+V59-V61)</f>
        <v>-3889.88888888889</v>
      </c>
      <c r="W62" s="67" t="n">
        <f aca="false">-MIN((W60-W61)/MAX(1,Inputs!$E$76*12),V64+W59-W61)</f>
        <v>-3894.18055555556</v>
      </c>
      <c r="X62" s="67" t="n">
        <f aca="false">-MIN((X60-X61)/MAX(1,Inputs!$E$76*12),W64+X59-X61)</f>
        <v>-3898.47222222222</v>
      </c>
      <c r="Y62" s="67" t="n">
        <f aca="false">-MIN((Y60-Y61)/MAX(1,Inputs!$E$76*12),X64+Y59-Y61)</f>
        <v>-3902.76388888889</v>
      </c>
      <c r="Z62" s="67" t="n">
        <f aca="false">-MIN((Z60-Z61)/MAX(1,Inputs!$E$76*12),Y64+Z59-Z61)</f>
        <v>-3907.05555555556</v>
      </c>
      <c r="AA62" s="67" t="n">
        <f aca="false">-MIN((AA60-AA61)/MAX(1,Inputs!$E$76*12),Z64+AA59-AA61)</f>
        <v>-3911.47597222222</v>
      </c>
      <c r="AB62" s="67" t="n">
        <f aca="false">-MIN((AB60-AB61)/MAX(1,Inputs!$E$76*12),AA64+AB59-AB61)</f>
        <v>-3915.89638888889</v>
      </c>
      <c r="AC62" s="67" t="n">
        <f aca="false">-MIN((AC60-AC61)/MAX(1,Inputs!$E$76*12),AB64+AC59-AC61)</f>
        <v>-3920.31680555556</v>
      </c>
      <c r="AD62" s="67" t="n">
        <f aca="false">-MIN((AD60-AD61)/MAX(1,Inputs!$E$76*12),AC64+AD59-AD61)</f>
        <v>-3924.73722222222</v>
      </c>
      <c r="AE62" s="67" t="n">
        <f aca="false">-MIN((AE60-AE61)/MAX(1,Inputs!$E$76*12),AD64+AE59-AE61)</f>
        <v>-3929.15763888889</v>
      </c>
      <c r="AF62" s="67" t="n">
        <f aca="false">-MIN((AF60-AF61)/MAX(1,Inputs!$E$76*12),AE64+AF59-AF61)</f>
        <v>-3933.57805555556</v>
      </c>
      <c r="AG62" s="67" t="n">
        <f aca="false">-MIN((AG60-AG61)/MAX(1,Inputs!$E$76*12),AF64+AG59-AG61)</f>
        <v>-3937.99847222222</v>
      </c>
      <c r="AH62" s="67" t="n">
        <f aca="false">-MIN((AH60-AH61)/MAX(1,Inputs!$E$76*12),AG64+AH59-AH61)</f>
        <v>-3942.41888888889</v>
      </c>
      <c r="AI62" s="67" t="n">
        <f aca="false">-MIN((AI60-AI61)/MAX(1,Inputs!$E$76*12),AH64+AI59-AI61)</f>
        <v>-3946.83930555556</v>
      </c>
      <c r="AJ62" s="67" t="n">
        <f aca="false">-MIN((AJ60-AJ61)/MAX(1,Inputs!$E$76*12),AI64+AJ59-AJ61)</f>
        <v>-3951.25972222223</v>
      </c>
      <c r="AK62" s="67" t="n">
        <f aca="false">-MIN((AK60-AK61)/MAX(1,Inputs!$E$76*12),AJ64+AK59-AK61)</f>
        <v>-3955.68013888889</v>
      </c>
      <c r="AL62" s="67" t="n">
        <f aca="false">-MIN((AL60-AL61)/MAX(1,Inputs!$E$76*12),AK64+AL59-AL61)</f>
        <v>-3960.10055555556</v>
      </c>
      <c r="AM62" s="67" t="n">
        <f aca="false">-MIN((AM60-AM61)/MAX(1,Inputs!$E$76*12),AL64+AM59-AM61)</f>
        <v>-3964.65358472223</v>
      </c>
      <c r="AN62" s="67" t="n">
        <f aca="false">-MIN((AN60-AN61)/MAX(1,Inputs!$E$76*12),AM64+AN59-AN61)</f>
        <v>-3969.20661388889</v>
      </c>
      <c r="AO62" s="67" t="n">
        <f aca="false">-MIN((AO60-AO61)/MAX(1,Inputs!$E$76*12),AN64+AO59-AO61)</f>
        <v>-3973.75964305556</v>
      </c>
      <c r="AP62" s="67" t="n">
        <f aca="false">-MIN((AP60-AP61)/MAX(1,Inputs!$E$76*12),AO64+AP59-AP61)</f>
        <v>-3978.31267222222</v>
      </c>
      <c r="AQ62" s="67" t="n">
        <f aca="false">-MIN((AQ60-AQ61)/MAX(1,Inputs!$E$76*12),AP64+AQ59-AQ61)</f>
        <v>-3982.86570138889</v>
      </c>
      <c r="AR62" s="67" t="n">
        <f aca="false">-MIN((AR60-AR61)/MAX(1,Inputs!$E$76*12),AQ64+AR59-AR61)</f>
        <v>-3987.41873055556</v>
      </c>
      <c r="AS62" s="67" t="n">
        <f aca="false">-MIN((AS60-AS61)/MAX(1,Inputs!$E$76*12),AR64+AS59-AS61)</f>
        <v>-3991.97175972222</v>
      </c>
      <c r="AT62" s="67" t="n">
        <f aca="false">-MIN((AT60-AT61)/MAX(1,Inputs!$E$76*12),AS64+AT59-AT61)</f>
        <v>-3996.52478888889</v>
      </c>
      <c r="AU62" s="67" t="n">
        <f aca="false">-MIN((AU60-AU61)/MAX(1,Inputs!$E$76*12),AT64+AU59-AU61)</f>
        <v>-4001.07781805556</v>
      </c>
      <c r="AV62" s="67" t="n">
        <f aca="false">-MIN((AV60-AV61)/MAX(1,Inputs!$E$76*12),AU64+AV59-AV61)</f>
        <v>-4005.63084722222</v>
      </c>
      <c r="AW62" s="67" t="n">
        <f aca="false">-MIN((AW60-AW61)/MAX(1,Inputs!$E$76*12),AV64+AW59-AW61)</f>
        <v>-4010.18387638889</v>
      </c>
      <c r="AX62" s="67" t="n">
        <f aca="false">-MIN((AX60-AX61)/MAX(1,Inputs!$E$76*12),AW64+AX59-AX61)</f>
        <v>-4014.73690555556</v>
      </c>
      <c r="AY62" s="67" t="n">
        <f aca="false">-MIN((AY60-AY61)/MAX(1,Inputs!$E$76*12),AX64+AY59-AY61)</f>
        <v>-4019.42652559722</v>
      </c>
      <c r="AZ62" s="67" t="n">
        <f aca="false">-MIN((AZ60-AZ61)/MAX(1,Inputs!$E$76*12),AY64+AZ59-AZ61)</f>
        <v>-4024.11614563889</v>
      </c>
      <c r="BA62" s="67" t="n">
        <f aca="false">-MIN((BA60-BA61)/MAX(1,Inputs!$E$76*12),AZ64+BA59-BA61)</f>
        <v>-4028.80576568056</v>
      </c>
      <c r="BB62" s="67" t="n">
        <f aca="false">-MIN((BB60-BB61)/MAX(1,Inputs!$E$76*12),BA64+BB59-BB61)</f>
        <v>-4033.49538572222</v>
      </c>
      <c r="BC62" s="67" t="n">
        <f aca="false">-MIN((BC60-BC61)/MAX(1,Inputs!$E$76*12),BB64+BC59-BC61)</f>
        <v>-4038.18500576389</v>
      </c>
      <c r="BD62" s="67" t="n">
        <f aca="false">-MIN((BD60-BD61)/MAX(1,Inputs!$E$76*12),BC64+BD59-BD61)</f>
        <v>-4042.87462580556</v>
      </c>
      <c r="BE62" s="67" t="n">
        <f aca="false">-MIN((BE60-BE61)/MAX(1,Inputs!$E$76*12),BD64+BE59-BE61)</f>
        <v>-4047.56424584722</v>
      </c>
      <c r="BF62" s="67" t="n">
        <f aca="false">-MIN((BF60-BF61)/MAX(1,Inputs!$E$76*12),BE64+BF59-BF61)</f>
        <v>-4052.25386588889</v>
      </c>
      <c r="BG62" s="67" t="n">
        <f aca="false">-MIN((BG60-BG61)/MAX(1,Inputs!$E$76*12),BF64+BG59-BG61)</f>
        <v>-4056.94348593056</v>
      </c>
      <c r="BH62" s="67" t="n">
        <f aca="false">-MIN((BH60-BH61)/MAX(1,Inputs!$E$76*12),BG64+BH59-BH61)</f>
        <v>-4061.63310597222</v>
      </c>
      <c r="BI62" s="67" t="n">
        <f aca="false">-MIN((BI60-BI61)/MAX(1,Inputs!$E$76*12),BH64+BI59-BI61)</f>
        <v>-4066.32272601389</v>
      </c>
      <c r="BJ62" s="67" t="n">
        <f aca="false">-MIN((BJ60-BJ61)/MAX(1,Inputs!$E$76*12),BI64+BJ59-BJ61)</f>
        <v>-4071.01234605556</v>
      </c>
    </row>
    <row r="63" customFormat="false" ht="15" hidden="false" customHeight="false" outlineLevel="0" collapsed="false">
      <c r="A63" s="6" t="s">
        <v>430</v>
      </c>
      <c r="C63" s="67" t="n">
        <f aca="false">C62</f>
        <v>-3809.72222222222</v>
      </c>
      <c r="D63" s="67" t="n">
        <f aca="false">C63+D62</f>
        <v>-7623.61111111111</v>
      </c>
      <c r="E63" s="67" t="n">
        <f aca="false">D63+E62</f>
        <v>-11441.6666666667</v>
      </c>
      <c r="F63" s="67" t="n">
        <f aca="false">E63+F62</f>
        <v>-15263.8888888889</v>
      </c>
      <c r="G63" s="67" t="n">
        <f aca="false">F63+G62</f>
        <v>-19090.2777777778</v>
      </c>
      <c r="H63" s="67" t="n">
        <f aca="false">G63+H62</f>
        <v>-22920.8333333333</v>
      </c>
      <c r="I63" s="67" t="n">
        <f aca="false">H63+I62</f>
        <v>-26755.5555555556</v>
      </c>
      <c r="J63" s="67" t="n">
        <f aca="false">I63+J62</f>
        <v>-30594.4444444444</v>
      </c>
      <c r="K63" s="67" t="n">
        <f aca="false">J63+K62</f>
        <v>-34437.5</v>
      </c>
      <c r="L63" s="67" t="n">
        <f aca="false">K63+L62</f>
        <v>-38284.7222222222</v>
      </c>
      <c r="M63" s="67" t="n">
        <f aca="false">L63+M62</f>
        <v>-42136.1111111111</v>
      </c>
      <c r="N63" s="67" t="n">
        <f aca="false">M63+N62</f>
        <v>-45991.6666666667</v>
      </c>
      <c r="O63" s="67" t="n">
        <f aca="false">N63+O62</f>
        <v>-49851.5138888889</v>
      </c>
      <c r="P63" s="67" t="n">
        <f aca="false">O63+P62</f>
        <v>-53715.6527777778</v>
      </c>
      <c r="Q63" s="67" t="n">
        <f aca="false">P63+Q62</f>
        <v>-57584.0833333333</v>
      </c>
      <c r="R63" s="67" t="n">
        <f aca="false">Q63+R62</f>
        <v>-61456.8055555556</v>
      </c>
      <c r="S63" s="67" t="n">
        <f aca="false">R63+S62</f>
        <v>-65333.8194444444</v>
      </c>
      <c r="T63" s="67" t="n">
        <f aca="false">S63+T62</f>
        <v>-69215.125</v>
      </c>
      <c r="U63" s="67" t="n">
        <f aca="false">T63+U62</f>
        <v>-73100.7222222222</v>
      </c>
      <c r="V63" s="67" t="n">
        <f aca="false">U63+V62</f>
        <v>-76990.6111111111</v>
      </c>
      <c r="W63" s="67" t="n">
        <f aca="false">V63+W62</f>
        <v>-80884.7916666667</v>
      </c>
      <c r="X63" s="67" t="n">
        <f aca="false">W63+X62</f>
        <v>-84783.2638888889</v>
      </c>
      <c r="Y63" s="67" t="n">
        <f aca="false">X63+Y62</f>
        <v>-88686.0277777778</v>
      </c>
      <c r="Z63" s="67" t="n">
        <f aca="false">Y63+Z62</f>
        <v>-92593.0833333333</v>
      </c>
      <c r="AA63" s="67" t="n">
        <f aca="false">Z63+AA62</f>
        <v>-96504.5593055556</v>
      </c>
      <c r="AB63" s="67" t="n">
        <f aca="false">AA63+AB62</f>
        <v>-100420.455694444</v>
      </c>
      <c r="AC63" s="67" t="n">
        <f aca="false">AB63+AC62</f>
        <v>-104340.7725</v>
      </c>
      <c r="AD63" s="67" t="n">
        <f aca="false">AC63+AD62</f>
        <v>-108265.509722222</v>
      </c>
      <c r="AE63" s="67" t="n">
        <f aca="false">AD63+AE62</f>
        <v>-112194.667361111</v>
      </c>
      <c r="AF63" s="67" t="n">
        <f aca="false">AE63+AF62</f>
        <v>-116128.245416667</v>
      </c>
      <c r="AG63" s="67" t="n">
        <f aca="false">AF63+AG62</f>
        <v>-120066.243888889</v>
      </c>
      <c r="AH63" s="67" t="n">
        <f aca="false">AG63+AH62</f>
        <v>-124008.662777778</v>
      </c>
      <c r="AI63" s="67" t="n">
        <f aca="false">AH63+AI62</f>
        <v>-127955.502083333</v>
      </c>
      <c r="AJ63" s="67" t="n">
        <f aca="false">AI63+AJ62</f>
        <v>-131906.761805556</v>
      </c>
      <c r="AK63" s="67" t="n">
        <f aca="false">AJ63+AK62</f>
        <v>-135862.441944444</v>
      </c>
      <c r="AL63" s="67" t="n">
        <f aca="false">AK63+AL62</f>
        <v>-139822.5425</v>
      </c>
      <c r="AM63" s="67" t="n">
        <f aca="false">AL63+AM62</f>
        <v>-143787.196084722</v>
      </c>
      <c r="AN63" s="67" t="n">
        <f aca="false">AM63+AN62</f>
        <v>-147756.402698611</v>
      </c>
      <c r="AO63" s="67" t="n">
        <f aca="false">AN63+AO62</f>
        <v>-151730.162341667</v>
      </c>
      <c r="AP63" s="67" t="n">
        <f aca="false">AO63+AP62</f>
        <v>-155708.475013889</v>
      </c>
      <c r="AQ63" s="67" t="n">
        <f aca="false">AP63+AQ62</f>
        <v>-159691.340715278</v>
      </c>
      <c r="AR63" s="67" t="n">
        <f aca="false">AQ63+AR62</f>
        <v>-163678.759445833</v>
      </c>
      <c r="AS63" s="67" t="n">
        <f aca="false">AR63+AS62</f>
        <v>-167670.731205556</v>
      </c>
      <c r="AT63" s="67" t="n">
        <f aca="false">AS63+AT62</f>
        <v>-171667.255994445</v>
      </c>
      <c r="AU63" s="67" t="n">
        <f aca="false">AT63+AU62</f>
        <v>-175668.3338125</v>
      </c>
      <c r="AV63" s="67" t="n">
        <f aca="false">AU63+AV62</f>
        <v>-179673.964659722</v>
      </c>
      <c r="AW63" s="67" t="n">
        <f aca="false">AV63+AW62</f>
        <v>-183684.148536111</v>
      </c>
      <c r="AX63" s="67" t="n">
        <f aca="false">AW63+AX62</f>
        <v>-187698.885441667</v>
      </c>
      <c r="AY63" s="67" t="n">
        <f aca="false">AX63+AY62</f>
        <v>-191718.311967264</v>
      </c>
      <c r="AZ63" s="67" t="n">
        <f aca="false">AY63+AZ62</f>
        <v>-195742.428112903</v>
      </c>
      <c r="BA63" s="67" t="n">
        <f aca="false">AZ63+BA62</f>
        <v>-199771.233878583</v>
      </c>
      <c r="BB63" s="67" t="n">
        <f aca="false">BA63+BB62</f>
        <v>-203804.729264306</v>
      </c>
      <c r="BC63" s="67" t="n">
        <f aca="false">BB63+BC62</f>
        <v>-207842.91427007</v>
      </c>
      <c r="BD63" s="67" t="n">
        <f aca="false">BC63+BD62</f>
        <v>-211885.788895875</v>
      </c>
      <c r="BE63" s="67" t="n">
        <f aca="false">BD63+BE62</f>
        <v>-215933.353141722</v>
      </c>
      <c r="BF63" s="67" t="n">
        <f aca="false">BE63+BF62</f>
        <v>-219985.607007611</v>
      </c>
      <c r="BG63" s="67" t="n">
        <f aca="false">BF63+BG62</f>
        <v>-224042.550493542</v>
      </c>
      <c r="BH63" s="67" t="n">
        <f aca="false">BG63+BH62</f>
        <v>-228104.183599514</v>
      </c>
      <c r="BI63" s="67" t="n">
        <f aca="false">BH63+BI62</f>
        <v>-232170.506325528</v>
      </c>
      <c r="BJ63" s="67" t="n">
        <f aca="false">BI63+BJ62</f>
        <v>-236241.518671583</v>
      </c>
    </row>
    <row r="64" customFormat="false" ht="15" hidden="false" customHeight="false" outlineLevel="0" collapsed="false">
      <c r="A64" s="4" t="s">
        <v>92</v>
      </c>
      <c r="C64" s="73" t="n">
        <f aca="false">C60+C63</f>
        <v>861940.277777778</v>
      </c>
      <c r="D64" s="73" t="n">
        <f aca="false">D60+D63</f>
        <v>858876.388888889</v>
      </c>
      <c r="E64" s="73" t="n">
        <f aca="false">E60+E63</f>
        <v>855808.333333333</v>
      </c>
      <c r="F64" s="73" t="n">
        <f aca="false">F60+F63</f>
        <v>852736.111111111</v>
      </c>
      <c r="G64" s="73" t="n">
        <f aca="false">G60+G63</f>
        <v>849659.722222222</v>
      </c>
      <c r="H64" s="73" t="n">
        <f aca="false">H60+H63</f>
        <v>846579.166666667</v>
      </c>
      <c r="I64" s="73" t="n">
        <f aca="false">I60+I63</f>
        <v>843494.444444445</v>
      </c>
      <c r="J64" s="73" t="n">
        <f aca="false">J60+J63</f>
        <v>840405.555555556</v>
      </c>
      <c r="K64" s="73" t="n">
        <f aca="false">K60+K63</f>
        <v>837312.5</v>
      </c>
      <c r="L64" s="73" t="n">
        <f aca="false">L60+L63</f>
        <v>834215.277777778</v>
      </c>
      <c r="M64" s="73" t="n">
        <f aca="false">M60+M63</f>
        <v>831113.888888889</v>
      </c>
      <c r="N64" s="73" t="n">
        <f aca="false">N60+N63</f>
        <v>828008.333333333</v>
      </c>
      <c r="O64" s="73" t="n">
        <f aca="false">O60+O63</f>
        <v>824920.986111111</v>
      </c>
      <c r="P64" s="73" t="n">
        <f aca="false">P60+P63</f>
        <v>821829.347222222</v>
      </c>
      <c r="Q64" s="73" t="n">
        <f aca="false">Q60+Q63</f>
        <v>818733.416666667</v>
      </c>
      <c r="R64" s="73" t="n">
        <f aca="false">R60+R63</f>
        <v>815633.194444445</v>
      </c>
      <c r="S64" s="73" t="n">
        <f aca="false">S60+S63</f>
        <v>812528.680555556</v>
      </c>
      <c r="T64" s="73" t="n">
        <f aca="false">T60+T63</f>
        <v>809419.875</v>
      </c>
      <c r="U64" s="73" t="n">
        <f aca="false">U60+U63</f>
        <v>806306.777777778</v>
      </c>
      <c r="V64" s="73" t="n">
        <f aca="false">V60+V63</f>
        <v>803189.388888889</v>
      </c>
      <c r="W64" s="73" t="n">
        <f aca="false">W60+W63</f>
        <v>800067.708333333</v>
      </c>
      <c r="X64" s="73" t="n">
        <f aca="false">X60+X63</f>
        <v>796941.736111111</v>
      </c>
      <c r="Y64" s="73" t="n">
        <f aca="false">Y60+Y63</f>
        <v>793811.472222222</v>
      </c>
      <c r="Z64" s="73" t="n">
        <f aca="false">Z60+Z63</f>
        <v>790676.916666667</v>
      </c>
      <c r="AA64" s="73" t="n">
        <f aca="false">AA60+AA63</f>
        <v>787561.115694445</v>
      </c>
      <c r="AB64" s="73" t="n">
        <f aca="false">AB60+AB63</f>
        <v>784440.894305556</v>
      </c>
      <c r="AC64" s="73" t="n">
        <f aca="false">AC60+AC63</f>
        <v>781316.2525</v>
      </c>
      <c r="AD64" s="73" t="n">
        <f aca="false">AD60+AD63</f>
        <v>778187.190277778</v>
      </c>
      <c r="AE64" s="73" t="n">
        <f aca="false">AE60+AE63</f>
        <v>775053.707638889</v>
      </c>
      <c r="AF64" s="73" t="n">
        <f aca="false">AF60+AF63</f>
        <v>771915.804583334</v>
      </c>
      <c r="AG64" s="73" t="n">
        <f aca="false">AG60+AG63</f>
        <v>768773.481111112</v>
      </c>
      <c r="AH64" s="73" t="n">
        <f aca="false">AH60+AH63</f>
        <v>765626.737222223</v>
      </c>
      <c r="AI64" s="73" t="n">
        <f aca="false">AI60+AI63</f>
        <v>762475.572916667</v>
      </c>
      <c r="AJ64" s="73" t="n">
        <f aca="false">AJ60+AJ63</f>
        <v>759319.988194445</v>
      </c>
      <c r="AK64" s="73" t="n">
        <f aca="false">AK60+AK63</f>
        <v>756159.983055556</v>
      </c>
      <c r="AL64" s="73" t="n">
        <f aca="false">AL60+AL63</f>
        <v>752995.557500001</v>
      </c>
      <c r="AM64" s="73" t="n">
        <f aca="false">AM60+AM63</f>
        <v>749850.449165278</v>
      </c>
      <c r="AN64" s="73" t="n">
        <f aca="false">AN60+AN63</f>
        <v>746700.787801389</v>
      </c>
      <c r="AO64" s="73" t="n">
        <f aca="false">AO60+AO63</f>
        <v>743546.573408334</v>
      </c>
      <c r="AP64" s="73" t="n">
        <f aca="false">AP60+AP63</f>
        <v>740387.805986112</v>
      </c>
      <c r="AQ64" s="73" t="n">
        <f aca="false">AQ60+AQ63</f>
        <v>737224.485534723</v>
      </c>
      <c r="AR64" s="73" t="n">
        <f aca="false">AR60+AR63</f>
        <v>734056.612054167</v>
      </c>
      <c r="AS64" s="73" t="n">
        <f aca="false">AS60+AS63</f>
        <v>730884.185544445</v>
      </c>
      <c r="AT64" s="73" t="n">
        <f aca="false">AT60+AT63</f>
        <v>727707.206005556</v>
      </c>
      <c r="AU64" s="73" t="n">
        <f aca="false">AU60+AU63</f>
        <v>724525.6734375</v>
      </c>
      <c r="AV64" s="73" t="n">
        <f aca="false">AV60+AV63</f>
        <v>721339.587840278</v>
      </c>
      <c r="AW64" s="73" t="n">
        <f aca="false">AW60+AW63</f>
        <v>718148.949213889</v>
      </c>
      <c r="AX64" s="73" t="n">
        <f aca="false">AX60+AX63</f>
        <v>714953.757558334</v>
      </c>
      <c r="AY64" s="73" t="n">
        <f aca="false">AY60+AY63</f>
        <v>711778.462640236</v>
      </c>
      <c r="AZ64" s="73" t="n">
        <f aca="false">AZ60+AZ63</f>
        <v>708598.478102097</v>
      </c>
      <c r="BA64" s="73" t="n">
        <f aca="false">BA60+BA63</f>
        <v>705413.803943917</v>
      </c>
      <c r="BB64" s="73" t="n">
        <f aca="false">BB60+BB63</f>
        <v>702224.440165695</v>
      </c>
      <c r="BC64" s="73" t="n">
        <f aca="false">BC60+BC63</f>
        <v>699030.386767431</v>
      </c>
      <c r="BD64" s="73" t="n">
        <f aca="false">BD60+BD63</f>
        <v>695831.643749125</v>
      </c>
      <c r="BE64" s="73" t="n">
        <f aca="false">BE60+BE63</f>
        <v>692628.211110778</v>
      </c>
      <c r="BF64" s="73" t="n">
        <f aca="false">BF60+BF63</f>
        <v>689420.088852389</v>
      </c>
      <c r="BG64" s="73" t="n">
        <f aca="false">BG60+BG63</f>
        <v>686207.276973959</v>
      </c>
      <c r="BH64" s="73" t="n">
        <f aca="false">BH60+BH63</f>
        <v>682989.775475486</v>
      </c>
      <c r="BI64" s="73" t="n">
        <f aca="false">BI60+BI63</f>
        <v>679767.584356973</v>
      </c>
      <c r="BJ64" s="73" t="n">
        <f aca="false">BJ60+BJ63</f>
        <v>676540.703618417</v>
      </c>
    </row>
    <row r="66" customFormat="false" ht="15.75" hidden="false" customHeight="true" outlineLevel="0" collapsed="false">
      <c r="A66" s="7" t="s">
        <v>431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customFormat="false" ht="15" hidden="false" customHeight="false" outlineLevel="0" collapsed="false">
      <c r="A67" s="6" t="s">
        <v>432</v>
      </c>
      <c r="C67" s="67" t="n">
        <f aca="false">0</f>
        <v>0</v>
      </c>
      <c r="D67" s="67" t="n">
        <f aca="false">C72</f>
        <v>499382.770680291</v>
      </c>
      <c r="E67" s="67" t="n">
        <f aca="false">D72</f>
        <v>498761.940856217</v>
      </c>
      <c r="F67" s="67" t="n">
        <f aca="false">E72</f>
        <v>498137.489524837</v>
      </c>
      <c r="G67" s="67" t="n">
        <f aca="false">F72</f>
        <v>497509.395560689</v>
      </c>
      <c r="H67" s="67" t="n">
        <f aca="false">G72</f>
        <v>496877.637715085</v>
      </c>
      <c r="I67" s="67" t="n">
        <f aca="false">H72</f>
        <v>496242.19461538</v>
      </c>
      <c r="J67" s="67" t="n">
        <f aca="false">I72</f>
        <v>495603.044764261</v>
      </c>
      <c r="K67" s="67" t="n">
        <f aca="false">J72</f>
        <v>494960.166539011</v>
      </c>
      <c r="L67" s="67" t="n">
        <f aca="false">K72</f>
        <v>494313.53819078</v>
      </c>
      <c r="M67" s="67" t="n">
        <f aca="false">L72</f>
        <v>493663.13784385</v>
      </c>
      <c r="N67" s="67" t="n">
        <f aca="false">M72</f>
        <v>493008.943494897</v>
      </c>
      <c r="O67" s="67" t="n">
        <f aca="false">N72</f>
        <v>492350.933012242</v>
      </c>
      <c r="P67" s="67" t="n">
        <f aca="false">O72</f>
        <v>491689.084135105</v>
      </c>
      <c r="Q67" s="67" t="n">
        <f aca="false">P72</f>
        <v>491023.374472851</v>
      </c>
      <c r="R67" s="67" t="n">
        <f aca="false">Q72</f>
        <v>490353.781504234</v>
      </c>
      <c r="S67" s="67" t="n">
        <f aca="false">R72</f>
        <v>489680.282576633</v>
      </c>
      <c r="T67" s="67" t="n">
        <f aca="false">S72</f>
        <v>489002.854905288</v>
      </c>
      <c r="U67" s="67" t="n">
        <f aca="false">T72</f>
        <v>488321.475572526</v>
      </c>
      <c r="V67" s="67" t="n">
        <f aca="false">U72</f>
        <v>487636.121526991</v>
      </c>
      <c r="W67" s="67" t="n">
        <f aca="false">V72</f>
        <v>486946.769582856</v>
      </c>
      <c r="X67" s="67" t="n">
        <f aca="false">W72</f>
        <v>486253.396419047</v>
      </c>
      <c r="Y67" s="67" t="n">
        <f aca="false">X72</f>
        <v>485555.978578449</v>
      </c>
      <c r="Z67" s="67" t="n">
        <f aca="false">Y72</f>
        <v>484854.492467115</v>
      </c>
      <c r="AA67" s="67" t="n">
        <f aca="false">Z72</f>
        <v>484148.914353464</v>
      </c>
      <c r="AB67" s="67" t="n">
        <f aca="false">AA72</f>
        <v>483439.220367484</v>
      </c>
      <c r="AC67" s="67" t="n">
        <f aca="false">AB72</f>
        <v>482725.386499919</v>
      </c>
      <c r="AD67" s="67" t="n">
        <f aca="false">AC72</f>
        <v>482007.38860146</v>
      </c>
      <c r="AE67" s="67" t="n">
        <f aca="false">AD72</f>
        <v>481285.202381926</v>
      </c>
      <c r="AF67" s="67" t="n">
        <f aca="false">AE72</f>
        <v>480558.803409445</v>
      </c>
      <c r="AG67" s="67" t="n">
        <f aca="false">AF72</f>
        <v>479828.167109625</v>
      </c>
      <c r="AH67" s="67" t="n">
        <f aca="false">AG72</f>
        <v>479093.268764722</v>
      </c>
      <c r="AI67" s="67" t="n">
        <f aca="false">AH72</f>
        <v>478354.083512808</v>
      </c>
      <c r="AJ67" s="67" t="n">
        <f aca="false">AI72</f>
        <v>477610.586346923</v>
      </c>
      <c r="AK67" s="67" t="n">
        <f aca="false">AJ72</f>
        <v>476862.752114238</v>
      </c>
      <c r="AL67" s="67" t="n">
        <f aca="false">AK72</f>
        <v>476110.555515196</v>
      </c>
      <c r="AM67" s="67" t="n">
        <f aca="false">AL72</f>
        <v>475353.971102659</v>
      </c>
      <c r="AN67" s="67" t="n">
        <f aca="false">AM72</f>
        <v>474592.973281049</v>
      </c>
      <c r="AO67" s="67" t="n">
        <f aca="false">AN72</f>
        <v>473827.53630548</v>
      </c>
      <c r="AP67" s="67" t="n">
        <f aca="false">AO72</f>
        <v>473057.634280886</v>
      </c>
      <c r="AQ67" s="67" t="n">
        <f aca="false">AP72</f>
        <v>472283.241161149</v>
      </c>
      <c r="AR67" s="67" t="n">
        <f aca="false">AQ72</f>
        <v>471504.330748214</v>
      </c>
      <c r="AS67" s="67" t="n">
        <f aca="false">AR72</f>
        <v>470720.876691203</v>
      </c>
      <c r="AT67" s="67" t="n">
        <f aca="false">AS72</f>
        <v>469932.852485526</v>
      </c>
      <c r="AU67" s="67" t="n">
        <f aca="false">AT72</f>
        <v>469140.231471983</v>
      </c>
      <c r="AV67" s="67" t="n">
        <f aca="false">AU72</f>
        <v>468342.986835861</v>
      </c>
      <c r="AW67" s="67" t="n">
        <f aca="false">AV72</f>
        <v>467541.091606028</v>
      </c>
      <c r="AX67" s="67" t="n">
        <f aca="false">AW72</f>
        <v>466734.518654021</v>
      </c>
      <c r="AY67" s="67" t="n">
        <f aca="false">AX72</f>
        <v>465923.240693127</v>
      </c>
      <c r="AZ67" s="67" t="n">
        <f aca="false">AY72</f>
        <v>465107.230277462</v>
      </c>
      <c r="BA67" s="67" t="n">
        <f aca="false">AZ72</f>
        <v>464286.459801038</v>
      </c>
      <c r="BB67" s="67" t="n">
        <f aca="false">BA72</f>
        <v>463460.901496835</v>
      </c>
      <c r="BC67" s="67" t="n">
        <f aca="false">BB72</f>
        <v>462630.527435858</v>
      </c>
      <c r="BD67" s="67" t="n">
        <f aca="false">BC72</f>
        <v>461795.309526192</v>
      </c>
      <c r="BE67" s="67" t="n">
        <f aca="false">BD72</f>
        <v>460955.219512053</v>
      </c>
      <c r="BF67" s="67" t="n">
        <f aca="false">BE72</f>
        <v>460110.228972831</v>
      </c>
      <c r="BG67" s="67" t="n">
        <f aca="false">BF72</f>
        <v>459260.30932213</v>
      </c>
      <c r="BH67" s="67" t="n">
        <f aca="false">BG72</f>
        <v>458405.4318068</v>
      </c>
      <c r="BI67" s="67" t="n">
        <f aca="false">BH72</f>
        <v>457545.567505965</v>
      </c>
      <c r="BJ67" s="67" t="n">
        <f aca="false">BI72</f>
        <v>456680.687330041</v>
      </c>
    </row>
    <row r="68" customFormat="false" ht="15" hidden="false" customHeight="false" outlineLevel="0" collapsed="false">
      <c r="A68" s="6" t="s">
        <v>85</v>
      </c>
      <c r="C68" s="67" t="n">
        <f aca="false">IF(C$4=1,Inputs!$E$66,0)</f>
        <v>500000</v>
      </c>
      <c r="D68" s="67" t="n">
        <f aca="false">IF(D$4=1,Inputs!$E$66,0)</f>
        <v>0</v>
      </c>
      <c r="E68" s="67" t="n">
        <f aca="false">IF(E$4=1,Inputs!$E$66,0)</f>
        <v>0</v>
      </c>
      <c r="F68" s="67" t="n">
        <f aca="false">IF(F$4=1,Inputs!$E$66,0)</f>
        <v>0</v>
      </c>
      <c r="G68" s="67" t="n">
        <f aca="false">IF(G$4=1,Inputs!$E$66,0)</f>
        <v>0</v>
      </c>
      <c r="H68" s="67" t="n">
        <f aca="false">IF(H$4=1,Inputs!$E$66,0)</f>
        <v>0</v>
      </c>
      <c r="I68" s="67" t="n">
        <f aca="false">IF(I$4=1,Inputs!$E$66,0)</f>
        <v>0</v>
      </c>
      <c r="J68" s="67" t="n">
        <f aca="false">IF(J$4=1,Inputs!$E$66,0)</f>
        <v>0</v>
      </c>
      <c r="K68" s="67" t="n">
        <f aca="false">IF(K$4=1,Inputs!$E$66,0)</f>
        <v>0</v>
      </c>
      <c r="L68" s="67" t="n">
        <f aca="false">IF(L$4=1,Inputs!$E$66,0)</f>
        <v>0</v>
      </c>
      <c r="M68" s="67" t="n">
        <f aca="false">IF(M$4=1,Inputs!$E$66,0)</f>
        <v>0</v>
      </c>
      <c r="N68" s="67" t="n">
        <f aca="false">IF(N$4=1,Inputs!$E$66,0)</f>
        <v>0</v>
      </c>
      <c r="O68" s="67" t="n">
        <f aca="false">IF(O$4=1,Inputs!$E$66,0)</f>
        <v>0</v>
      </c>
      <c r="P68" s="67" t="n">
        <f aca="false">IF(P$4=1,Inputs!$E$66,0)</f>
        <v>0</v>
      </c>
      <c r="Q68" s="67" t="n">
        <f aca="false">IF(Q$4=1,Inputs!$E$66,0)</f>
        <v>0</v>
      </c>
      <c r="R68" s="67" t="n">
        <f aca="false">IF(R$4=1,Inputs!$E$66,0)</f>
        <v>0</v>
      </c>
      <c r="S68" s="67" t="n">
        <f aca="false">IF(S$4=1,Inputs!$E$66,0)</f>
        <v>0</v>
      </c>
      <c r="T68" s="67" t="n">
        <f aca="false">IF(T$4=1,Inputs!$E$66,0)</f>
        <v>0</v>
      </c>
      <c r="U68" s="67" t="n">
        <f aca="false">IF(U$4=1,Inputs!$E$66,0)</f>
        <v>0</v>
      </c>
      <c r="V68" s="67" t="n">
        <f aca="false">IF(V$4=1,Inputs!$E$66,0)</f>
        <v>0</v>
      </c>
      <c r="W68" s="67" t="n">
        <f aca="false">IF(W$4=1,Inputs!$E$66,0)</f>
        <v>0</v>
      </c>
      <c r="X68" s="67" t="n">
        <f aca="false">IF(X$4=1,Inputs!$E$66,0)</f>
        <v>0</v>
      </c>
      <c r="Y68" s="67" t="n">
        <f aca="false">IF(Y$4=1,Inputs!$E$66,0)</f>
        <v>0</v>
      </c>
      <c r="Z68" s="67" t="n">
        <f aca="false">IF(Z$4=1,Inputs!$E$66,0)</f>
        <v>0</v>
      </c>
      <c r="AA68" s="67" t="n">
        <f aca="false">IF(AA$4=1,Inputs!$E$66,0)</f>
        <v>0</v>
      </c>
      <c r="AB68" s="67" t="n">
        <f aca="false">IF(AB$4=1,Inputs!$E$66,0)</f>
        <v>0</v>
      </c>
      <c r="AC68" s="67" t="n">
        <f aca="false">IF(AC$4=1,Inputs!$E$66,0)</f>
        <v>0</v>
      </c>
      <c r="AD68" s="67" t="n">
        <f aca="false">IF(AD$4=1,Inputs!$E$66,0)</f>
        <v>0</v>
      </c>
      <c r="AE68" s="67" t="n">
        <f aca="false">IF(AE$4=1,Inputs!$E$66,0)</f>
        <v>0</v>
      </c>
      <c r="AF68" s="67" t="n">
        <f aca="false">IF(AF$4=1,Inputs!$E$66,0)</f>
        <v>0</v>
      </c>
      <c r="AG68" s="67" t="n">
        <f aca="false">IF(AG$4=1,Inputs!$E$66,0)</f>
        <v>0</v>
      </c>
      <c r="AH68" s="67" t="n">
        <f aca="false">IF(AH$4=1,Inputs!$E$66,0)</f>
        <v>0</v>
      </c>
      <c r="AI68" s="67" t="n">
        <f aca="false">IF(AI$4=1,Inputs!$E$66,0)</f>
        <v>0</v>
      </c>
      <c r="AJ68" s="67" t="n">
        <f aca="false">IF(AJ$4=1,Inputs!$E$66,0)</f>
        <v>0</v>
      </c>
      <c r="AK68" s="67" t="n">
        <f aca="false">IF(AK$4=1,Inputs!$E$66,0)</f>
        <v>0</v>
      </c>
      <c r="AL68" s="67" t="n">
        <f aca="false">IF(AL$4=1,Inputs!$E$66,0)</f>
        <v>0</v>
      </c>
      <c r="AM68" s="67" t="n">
        <f aca="false">IF(AM$4=1,Inputs!$E$66,0)</f>
        <v>0</v>
      </c>
      <c r="AN68" s="67" t="n">
        <f aca="false">IF(AN$4=1,Inputs!$E$66,0)</f>
        <v>0</v>
      </c>
      <c r="AO68" s="67" t="n">
        <f aca="false">IF(AO$4=1,Inputs!$E$66,0)</f>
        <v>0</v>
      </c>
      <c r="AP68" s="67" t="n">
        <f aca="false">IF(AP$4=1,Inputs!$E$66,0)</f>
        <v>0</v>
      </c>
      <c r="AQ68" s="67" t="n">
        <f aca="false">IF(AQ$4=1,Inputs!$E$66,0)</f>
        <v>0</v>
      </c>
      <c r="AR68" s="67" t="n">
        <f aca="false">IF(AR$4=1,Inputs!$E$66,0)</f>
        <v>0</v>
      </c>
      <c r="AS68" s="67" t="n">
        <f aca="false">IF(AS$4=1,Inputs!$E$66,0)</f>
        <v>0</v>
      </c>
      <c r="AT68" s="67" t="n">
        <f aca="false">IF(AT$4=1,Inputs!$E$66,0)</f>
        <v>0</v>
      </c>
      <c r="AU68" s="67" t="n">
        <f aca="false">IF(AU$4=1,Inputs!$E$66,0)</f>
        <v>0</v>
      </c>
      <c r="AV68" s="67" t="n">
        <f aca="false">IF(AV$4=1,Inputs!$E$66,0)</f>
        <v>0</v>
      </c>
      <c r="AW68" s="67" t="n">
        <f aca="false">IF(AW$4=1,Inputs!$E$66,0)</f>
        <v>0</v>
      </c>
      <c r="AX68" s="67" t="n">
        <f aca="false">IF(AX$4=1,Inputs!$E$66,0)</f>
        <v>0</v>
      </c>
      <c r="AY68" s="67" t="n">
        <f aca="false">IF(AY$4=1,Inputs!$E$66,0)</f>
        <v>0</v>
      </c>
      <c r="AZ68" s="67" t="n">
        <f aca="false">IF(AZ$4=1,Inputs!$E$66,0)</f>
        <v>0</v>
      </c>
      <c r="BA68" s="67" t="n">
        <f aca="false">IF(BA$4=1,Inputs!$E$66,0)</f>
        <v>0</v>
      </c>
      <c r="BB68" s="67" t="n">
        <f aca="false">IF(BB$4=1,Inputs!$E$66,0)</f>
        <v>0</v>
      </c>
      <c r="BC68" s="67" t="n">
        <f aca="false">IF(BC$4=1,Inputs!$E$66,0)</f>
        <v>0</v>
      </c>
      <c r="BD68" s="67" t="n">
        <f aca="false">IF(BD$4=1,Inputs!$E$66,0)</f>
        <v>0</v>
      </c>
      <c r="BE68" s="67" t="n">
        <f aca="false">IF(BE$4=1,Inputs!$E$66,0)</f>
        <v>0</v>
      </c>
      <c r="BF68" s="67" t="n">
        <f aca="false">IF(BF$4=1,Inputs!$E$66,0)</f>
        <v>0</v>
      </c>
      <c r="BG68" s="67" t="n">
        <f aca="false">IF(BG$4=1,Inputs!$E$66,0)</f>
        <v>0</v>
      </c>
      <c r="BH68" s="67" t="n">
        <f aca="false">IF(BH$4=1,Inputs!$E$66,0)</f>
        <v>0</v>
      </c>
      <c r="BI68" s="67" t="n">
        <f aca="false">IF(BI$4=1,Inputs!$E$66,0)</f>
        <v>0</v>
      </c>
      <c r="BJ68" s="67" t="n">
        <f aca="false">IF(BJ$4=1,Inputs!$E$66,0)</f>
        <v>0</v>
      </c>
    </row>
    <row r="69" customFormat="false" ht="15" hidden="false" customHeight="false" outlineLevel="0" collapsed="false">
      <c r="A69" s="6" t="s">
        <v>433</v>
      </c>
      <c r="C69" s="67" t="n">
        <f aca="false">-PMT(Inputs!$E$67/12,MAX(1,Inputs!$E$68*12),Inputs!$E$66)</f>
        <v>3533.89598637546</v>
      </c>
      <c r="D69" s="67" t="n">
        <f aca="false">-PMT(Inputs!$E$67/12,MAX(1,Inputs!$E$68*12),Inputs!$E$66)</f>
        <v>3533.89598637546</v>
      </c>
      <c r="E69" s="67" t="n">
        <f aca="false">-PMT(Inputs!$E$67/12,MAX(1,Inputs!$E$68*12),Inputs!$E$66)</f>
        <v>3533.89598637546</v>
      </c>
      <c r="F69" s="67" t="n">
        <f aca="false">-PMT(Inputs!$E$67/12,MAX(1,Inputs!$E$68*12),Inputs!$E$66)</f>
        <v>3533.89598637546</v>
      </c>
      <c r="G69" s="67" t="n">
        <f aca="false">-PMT(Inputs!$E$67/12,MAX(1,Inputs!$E$68*12),Inputs!$E$66)</f>
        <v>3533.89598637546</v>
      </c>
      <c r="H69" s="67" t="n">
        <f aca="false">-PMT(Inputs!$E$67/12,MAX(1,Inputs!$E$68*12),Inputs!$E$66)</f>
        <v>3533.89598637546</v>
      </c>
      <c r="I69" s="67" t="n">
        <f aca="false">-PMT(Inputs!$E$67/12,MAX(1,Inputs!$E$68*12),Inputs!$E$66)</f>
        <v>3533.89598637546</v>
      </c>
      <c r="J69" s="67" t="n">
        <f aca="false">-PMT(Inputs!$E$67/12,MAX(1,Inputs!$E$68*12),Inputs!$E$66)</f>
        <v>3533.89598637546</v>
      </c>
      <c r="K69" s="67" t="n">
        <f aca="false">-PMT(Inputs!$E$67/12,MAX(1,Inputs!$E$68*12),Inputs!$E$66)</f>
        <v>3533.89598637546</v>
      </c>
      <c r="L69" s="67" t="n">
        <f aca="false">-PMT(Inputs!$E$67/12,MAX(1,Inputs!$E$68*12),Inputs!$E$66)</f>
        <v>3533.89598637546</v>
      </c>
      <c r="M69" s="67" t="n">
        <f aca="false">-PMT(Inputs!$E$67/12,MAX(1,Inputs!$E$68*12),Inputs!$E$66)</f>
        <v>3533.89598637546</v>
      </c>
      <c r="N69" s="67" t="n">
        <f aca="false">-PMT(Inputs!$E$67/12,MAX(1,Inputs!$E$68*12),Inputs!$E$66)</f>
        <v>3533.89598637546</v>
      </c>
      <c r="O69" s="67" t="n">
        <f aca="false">-PMT(Inputs!$E$67/12,MAX(1,Inputs!$E$68*12),Inputs!$E$66)</f>
        <v>3533.89598637546</v>
      </c>
      <c r="P69" s="67" t="n">
        <f aca="false">-PMT(Inputs!$E$67/12,MAX(1,Inputs!$E$68*12),Inputs!$E$66)</f>
        <v>3533.89598637546</v>
      </c>
      <c r="Q69" s="67" t="n">
        <f aca="false">-PMT(Inputs!$E$67/12,MAX(1,Inputs!$E$68*12),Inputs!$E$66)</f>
        <v>3533.89598637546</v>
      </c>
      <c r="R69" s="67" t="n">
        <f aca="false">-PMT(Inputs!$E$67/12,MAX(1,Inputs!$E$68*12),Inputs!$E$66)</f>
        <v>3533.89598637546</v>
      </c>
      <c r="S69" s="67" t="n">
        <f aca="false">-PMT(Inputs!$E$67/12,MAX(1,Inputs!$E$68*12),Inputs!$E$66)</f>
        <v>3533.89598637546</v>
      </c>
      <c r="T69" s="67" t="n">
        <f aca="false">-PMT(Inputs!$E$67/12,MAX(1,Inputs!$E$68*12),Inputs!$E$66)</f>
        <v>3533.89598637546</v>
      </c>
      <c r="U69" s="67" t="n">
        <f aca="false">-PMT(Inputs!$E$67/12,MAX(1,Inputs!$E$68*12),Inputs!$E$66)</f>
        <v>3533.89598637546</v>
      </c>
      <c r="V69" s="67" t="n">
        <f aca="false">-PMT(Inputs!$E$67/12,MAX(1,Inputs!$E$68*12),Inputs!$E$66)</f>
        <v>3533.89598637546</v>
      </c>
      <c r="W69" s="67" t="n">
        <f aca="false">-PMT(Inputs!$E$67/12,MAX(1,Inputs!$E$68*12),Inputs!$E$66)</f>
        <v>3533.89598637546</v>
      </c>
      <c r="X69" s="67" t="n">
        <f aca="false">-PMT(Inputs!$E$67/12,MAX(1,Inputs!$E$68*12),Inputs!$E$66)</f>
        <v>3533.89598637546</v>
      </c>
      <c r="Y69" s="67" t="n">
        <f aca="false">-PMT(Inputs!$E$67/12,MAX(1,Inputs!$E$68*12),Inputs!$E$66)</f>
        <v>3533.89598637546</v>
      </c>
      <c r="Z69" s="67" t="n">
        <f aca="false">-PMT(Inputs!$E$67/12,MAX(1,Inputs!$E$68*12),Inputs!$E$66)</f>
        <v>3533.89598637546</v>
      </c>
      <c r="AA69" s="67" t="n">
        <f aca="false">-PMT(Inputs!$E$67/12,MAX(1,Inputs!$E$68*12),Inputs!$E$66)</f>
        <v>3533.89598637546</v>
      </c>
      <c r="AB69" s="67" t="n">
        <f aca="false">-PMT(Inputs!$E$67/12,MAX(1,Inputs!$E$68*12),Inputs!$E$66)</f>
        <v>3533.89598637546</v>
      </c>
      <c r="AC69" s="67" t="n">
        <f aca="false">-PMT(Inputs!$E$67/12,MAX(1,Inputs!$E$68*12),Inputs!$E$66)</f>
        <v>3533.89598637546</v>
      </c>
      <c r="AD69" s="67" t="n">
        <f aca="false">-PMT(Inputs!$E$67/12,MAX(1,Inputs!$E$68*12),Inputs!$E$66)</f>
        <v>3533.89598637546</v>
      </c>
      <c r="AE69" s="67" t="n">
        <f aca="false">-PMT(Inputs!$E$67/12,MAX(1,Inputs!$E$68*12),Inputs!$E$66)</f>
        <v>3533.89598637546</v>
      </c>
      <c r="AF69" s="67" t="n">
        <f aca="false">-PMT(Inputs!$E$67/12,MAX(1,Inputs!$E$68*12),Inputs!$E$66)</f>
        <v>3533.89598637546</v>
      </c>
      <c r="AG69" s="67" t="n">
        <f aca="false">-PMT(Inputs!$E$67/12,MAX(1,Inputs!$E$68*12),Inputs!$E$66)</f>
        <v>3533.89598637546</v>
      </c>
      <c r="AH69" s="67" t="n">
        <f aca="false">-PMT(Inputs!$E$67/12,MAX(1,Inputs!$E$68*12),Inputs!$E$66)</f>
        <v>3533.89598637546</v>
      </c>
      <c r="AI69" s="67" t="n">
        <f aca="false">-PMT(Inputs!$E$67/12,MAX(1,Inputs!$E$68*12),Inputs!$E$66)</f>
        <v>3533.89598637546</v>
      </c>
      <c r="AJ69" s="67" t="n">
        <f aca="false">-PMT(Inputs!$E$67/12,MAX(1,Inputs!$E$68*12),Inputs!$E$66)</f>
        <v>3533.89598637546</v>
      </c>
      <c r="AK69" s="67" t="n">
        <f aca="false">-PMT(Inputs!$E$67/12,MAX(1,Inputs!$E$68*12),Inputs!$E$66)</f>
        <v>3533.89598637546</v>
      </c>
      <c r="AL69" s="67" t="n">
        <f aca="false">-PMT(Inputs!$E$67/12,MAX(1,Inputs!$E$68*12),Inputs!$E$66)</f>
        <v>3533.89598637546</v>
      </c>
      <c r="AM69" s="67" t="n">
        <f aca="false">-PMT(Inputs!$E$67/12,MAX(1,Inputs!$E$68*12),Inputs!$E$66)</f>
        <v>3533.89598637546</v>
      </c>
      <c r="AN69" s="67" t="n">
        <f aca="false">-PMT(Inputs!$E$67/12,MAX(1,Inputs!$E$68*12),Inputs!$E$66)</f>
        <v>3533.89598637546</v>
      </c>
      <c r="AO69" s="67" t="n">
        <f aca="false">-PMT(Inputs!$E$67/12,MAX(1,Inputs!$E$68*12),Inputs!$E$66)</f>
        <v>3533.89598637546</v>
      </c>
      <c r="AP69" s="67" t="n">
        <f aca="false">-PMT(Inputs!$E$67/12,MAX(1,Inputs!$E$68*12),Inputs!$E$66)</f>
        <v>3533.89598637546</v>
      </c>
      <c r="AQ69" s="67" t="n">
        <f aca="false">-PMT(Inputs!$E$67/12,MAX(1,Inputs!$E$68*12),Inputs!$E$66)</f>
        <v>3533.89598637546</v>
      </c>
      <c r="AR69" s="67" t="n">
        <f aca="false">-PMT(Inputs!$E$67/12,MAX(1,Inputs!$E$68*12),Inputs!$E$66)</f>
        <v>3533.89598637546</v>
      </c>
      <c r="AS69" s="67" t="n">
        <f aca="false">-PMT(Inputs!$E$67/12,MAX(1,Inputs!$E$68*12),Inputs!$E$66)</f>
        <v>3533.89598637546</v>
      </c>
      <c r="AT69" s="67" t="n">
        <f aca="false">-PMT(Inputs!$E$67/12,MAX(1,Inputs!$E$68*12),Inputs!$E$66)</f>
        <v>3533.89598637546</v>
      </c>
      <c r="AU69" s="67" t="n">
        <f aca="false">-PMT(Inputs!$E$67/12,MAX(1,Inputs!$E$68*12),Inputs!$E$66)</f>
        <v>3533.89598637546</v>
      </c>
      <c r="AV69" s="67" t="n">
        <f aca="false">-PMT(Inputs!$E$67/12,MAX(1,Inputs!$E$68*12),Inputs!$E$66)</f>
        <v>3533.89598637546</v>
      </c>
      <c r="AW69" s="67" t="n">
        <f aca="false">-PMT(Inputs!$E$67/12,MAX(1,Inputs!$E$68*12),Inputs!$E$66)</f>
        <v>3533.89598637546</v>
      </c>
      <c r="AX69" s="67" t="n">
        <f aca="false">-PMT(Inputs!$E$67/12,MAX(1,Inputs!$E$68*12),Inputs!$E$66)</f>
        <v>3533.89598637546</v>
      </c>
      <c r="AY69" s="67" t="n">
        <f aca="false">-PMT(Inputs!$E$67/12,MAX(1,Inputs!$E$68*12),Inputs!$E$66)</f>
        <v>3533.89598637546</v>
      </c>
      <c r="AZ69" s="67" t="n">
        <f aca="false">-PMT(Inputs!$E$67/12,MAX(1,Inputs!$E$68*12),Inputs!$E$66)</f>
        <v>3533.89598637546</v>
      </c>
      <c r="BA69" s="67" t="n">
        <f aca="false">-PMT(Inputs!$E$67/12,MAX(1,Inputs!$E$68*12),Inputs!$E$66)</f>
        <v>3533.89598637546</v>
      </c>
      <c r="BB69" s="67" t="n">
        <f aca="false">-PMT(Inputs!$E$67/12,MAX(1,Inputs!$E$68*12),Inputs!$E$66)</f>
        <v>3533.89598637546</v>
      </c>
      <c r="BC69" s="67" t="n">
        <f aca="false">-PMT(Inputs!$E$67/12,MAX(1,Inputs!$E$68*12),Inputs!$E$66)</f>
        <v>3533.89598637546</v>
      </c>
      <c r="BD69" s="67" t="n">
        <f aca="false">-PMT(Inputs!$E$67/12,MAX(1,Inputs!$E$68*12),Inputs!$E$66)</f>
        <v>3533.89598637546</v>
      </c>
      <c r="BE69" s="67" t="n">
        <f aca="false">-PMT(Inputs!$E$67/12,MAX(1,Inputs!$E$68*12),Inputs!$E$66)</f>
        <v>3533.89598637546</v>
      </c>
      <c r="BF69" s="67" t="n">
        <f aca="false">-PMT(Inputs!$E$67/12,MAX(1,Inputs!$E$68*12),Inputs!$E$66)</f>
        <v>3533.89598637546</v>
      </c>
      <c r="BG69" s="67" t="n">
        <f aca="false">-PMT(Inputs!$E$67/12,MAX(1,Inputs!$E$68*12),Inputs!$E$66)</f>
        <v>3533.89598637546</v>
      </c>
      <c r="BH69" s="67" t="n">
        <f aca="false">-PMT(Inputs!$E$67/12,MAX(1,Inputs!$E$68*12),Inputs!$E$66)</f>
        <v>3533.89598637546</v>
      </c>
      <c r="BI69" s="67" t="n">
        <f aca="false">-PMT(Inputs!$E$67/12,MAX(1,Inputs!$E$68*12),Inputs!$E$66)</f>
        <v>3533.89598637546</v>
      </c>
      <c r="BJ69" s="67" t="n">
        <f aca="false">-PMT(Inputs!$E$67/12,MAX(1,Inputs!$E$68*12),Inputs!$E$66)</f>
        <v>3533.89598637546</v>
      </c>
    </row>
    <row r="70" customFormat="false" ht="15" hidden="false" customHeight="false" outlineLevel="0" collapsed="false">
      <c r="A70" s="6" t="s">
        <v>434</v>
      </c>
      <c r="C70" s="67" t="n">
        <f aca="false">-MIN(C67+C68,C69+C46)</f>
        <v>-617.229319708792</v>
      </c>
      <c r="D70" s="67" t="n">
        <f aca="false">-MIN(D67+D68,D69+D46)</f>
        <v>-620.82982407376</v>
      </c>
      <c r="E70" s="67" t="n">
        <f aca="false">-MIN(E67+E68,E69+E46)</f>
        <v>-624.451331380857</v>
      </c>
      <c r="F70" s="67" t="n">
        <f aca="false">-MIN(F67+F68,F69+F46)</f>
        <v>-628.093964147245</v>
      </c>
      <c r="G70" s="67" t="n">
        <f aca="false">-MIN(G67+G68,G69+G46)</f>
        <v>-631.757845604771</v>
      </c>
      <c r="H70" s="67" t="n">
        <f aca="false">-MIN(H67+H68,H69+H46)</f>
        <v>-635.443099704132</v>
      </c>
      <c r="I70" s="67" t="n">
        <f aca="false">-MIN(I67+I68,I69+I46)</f>
        <v>-639.149851119073</v>
      </c>
      <c r="J70" s="67" t="n">
        <f aca="false">-MIN(J67+J68,J69+J46)</f>
        <v>-642.878225250601</v>
      </c>
      <c r="K70" s="67" t="n">
        <f aca="false">-MIN(K67+K68,K69+K46)</f>
        <v>-646.62834823123</v>
      </c>
      <c r="L70" s="67" t="n">
        <f aca="false">-MIN(L67+L68,L69+L46)</f>
        <v>-650.400346929245</v>
      </c>
      <c r="M70" s="67" t="n">
        <f aca="false">-MIN(M67+M68,M69+M46)</f>
        <v>-654.194348952999</v>
      </c>
      <c r="N70" s="67" t="n">
        <f aca="false">-MIN(N67+N68,N69+N46)</f>
        <v>-658.010482655225</v>
      </c>
      <c r="O70" s="67" t="n">
        <f aca="false">-MIN(O67+O68,O69+O46)</f>
        <v>-661.84887713738</v>
      </c>
      <c r="P70" s="67" t="n">
        <f aca="false">-MIN(P67+P68,P69+P46)</f>
        <v>-665.709662254014</v>
      </c>
      <c r="Q70" s="67" t="n">
        <f aca="false">-MIN(Q67+Q68,Q69+Q46)</f>
        <v>-669.592968617164</v>
      </c>
      <c r="R70" s="67" t="n">
        <f aca="false">-MIN(R67+R68,R69+R46)</f>
        <v>-673.498927600764</v>
      </c>
      <c r="S70" s="67" t="n">
        <f aca="false">-MIN(S67+S68,S69+S46)</f>
        <v>-677.427671345101</v>
      </c>
      <c r="T70" s="67" t="n">
        <f aca="false">-MIN(T67+T68,T69+T46)</f>
        <v>-681.379332761281</v>
      </c>
      <c r="U70" s="67" t="n">
        <f aca="false">-MIN(U67+U68,U69+U46)</f>
        <v>-685.354045535722</v>
      </c>
      <c r="V70" s="67" t="n">
        <f aca="false">-MIN(V67+V68,V69+V46)</f>
        <v>-689.35194413468</v>
      </c>
      <c r="W70" s="67" t="n">
        <f aca="false">-MIN(W67+W68,W69+W46)</f>
        <v>-693.373163808799</v>
      </c>
      <c r="X70" s="67" t="n">
        <f aca="false">-MIN(X67+X68,X69+X46)</f>
        <v>-697.417840597684</v>
      </c>
      <c r="Y70" s="67" t="n">
        <f aca="false">-MIN(Y67+Y68,Y69+Y46)</f>
        <v>-701.486111334503</v>
      </c>
      <c r="Z70" s="67" t="n">
        <f aca="false">-MIN(Z67+Z68,Z69+Z46)</f>
        <v>-705.578113650622</v>
      </c>
      <c r="AA70" s="67" t="n">
        <f aca="false">-MIN(AA67+AA68,AA69+AA46)</f>
        <v>-709.69398598025</v>
      </c>
      <c r="AB70" s="67" t="n">
        <f aca="false">-MIN(AB67+AB68,AB69+AB46)</f>
        <v>-713.833867565135</v>
      </c>
      <c r="AC70" s="67" t="n">
        <f aca="false">-MIN(AC67+AC68,AC69+AC46)</f>
        <v>-717.997898459265</v>
      </c>
      <c r="AD70" s="67" t="n">
        <f aca="false">-MIN(AD67+AD68,AD69+AD46)</f>
        <v>-722.186219533611</v>
      </c>
      <c r="AE70" s="67" t="n">
        <f aca="false">-MIN(AE67+AE68,AE69+AE46)</f>
        <v>-726.39897248089</v>
      </c>
      <c r="AF70" s="67" t="n">
        <f aca="false">-MIN(AF67+AF68,AF69+AF46)</f>
        <v>-730.636299820362</v>
      </c>
      <c r="AG70" s="67" t="n">
        <f aca="false">-MIN(AG67+AG68,AG69+AG46)</f>
        <v>-734.898344902647</v>
      </c>
      <c r="AH70" s="67" t="n">
        <f aca="false">-MIN(AH67+AH68,AH69+AH46)</f>
        <v>-739.18525191458</v>
      </c>
      <c r="AI70" s="67" t="n">
        <f aca="false">-MIN(AI67+AI68,AI69+AI46)</f>
        <v>-743.497165884082</v>
      </c>
      <c r="AJ70" s="67" t="n">
        <f aca="false">-MIN(AJ67+AJ68,AJ69+AJ46)</f>
        <v>-747.834232685072</v>
      </c>
      <c r="AK70" s="67" t="n">
        <f aca="false">-MIN(AK67+AK68,AK69+AK46)</f>
        <v>-752.196599042402</v>
      </c>
      <c r="AL70" s="67" t="n">
        <f aca="false">-MIN(AL67+AL68,AL69+AL46)</f>
        <v>-756.584412536815</v>
      </c>
      <c r="AM70" s="67" t="n">
        <f aca="false">-MIN(AM67+AM68,AM69+AM46)</f>
        <v>-760.997821609948</v>
      </c>
      <c r="AN70" s="67" t="n">
        <f aca="false">-MIN(AN67+AN68,AN69+AN46)</f>
        <v>-765.436975569339</v>
      </c>
      <c r="AO70" s="67" t="n">
        <f aca="false">-MIN(AO67+AO68,AO69+AO46)</f>
        <v>-769.902024593493</v>
      </c>
      <c r="AP70" s="67" t="n">
        <f aca="false">-MIN(AP67+AP68,AP69+AP46)</f>
        <v>-774.393119736955</v>
      </c>
      <c r="AQ70" s="67" t="n">
        <f aca="false">-MIN(AQ67+AQ68,AQ69+AQ46)</f>
        <v>-778.910412935421</v>
      </c>
      <c r="AR70" s="67" t="n">
        <f aca="false">-MIN(AR67+AR68,AR69+AR46)</f>
        <v>-783.454057010878</v>
      </c>
      <c r="AS70" s="67" t="n">
        <f aca="false">-MIN(AS67+AS68,AS69+AS46)</f>
        <v>-788.024205676774</v>
      </c>
      <c r="AT70" s="67" t="n">
        <f aca="false">-MIN(AT67+AT68,AT69+AT46)</f>
        <v>-792.621013543222</v>
      </c>
      <c r="AU70" s="67" t="n">
        <f aca="false">-MIN(AU67+AU68,AU69+AU46)</f>
        <v>-797.244636122224</v>
      </c>
      <c r="AV70" s="67" t="n">
        <f aca="false">-MIN(AV67+AV68,AV69+AV46)</f>
        <v>-801.895229832937</v>
      </c>
      <c r="AW70" s="67" t="n">
        <f aca="false">-MIN(AW67+AW68,AW69+AW46)</f>
        <v>-806.572952006962</v>
      </c>
      <c r="AX70" s="67" t="n">
        <f aca="false">-MIN(AX67+AX68,AX69+AX46)</f>
        <v>-811.277960893669</v>
      </c>
      <c r="AY70" s="67" t="n">
        <f aca="false">-MIN(AY67+AY68,AY69+AY46)</f>
        <v>-816.010415665549</v>
      </c>
      <c r="AZ70" s="67" t="n">
        <f aca="false">-MIN(AZ67+AZ68,AZ69+AZ46)</f>
        <v>-820.770476423598</v>
      </c>
      <c r="BA70" s="67" t="n">
        <f aca="false">-MIN(BA67+BA68,BA69+BA46)</f>
        <v>-825.558304202736</v>
      </c>
      <c r="BB70" s="67" t="n">
        <f aca="false">-MIN(BB67+BB68,BB69+BB46)</f>
        <v>-830.374060977252</v>
      </c>
      <c r="BC70" s="67" t="n">
        <f aca="false">-MIN(BC67+BC68,BC69+BC46)</f>
        <v>-835.217909666286</v>
      </c>
      <c r="BD70" s="67" t="n">
        <f aca="false">-MIN(BD67+BD68,BD69+BD46)</f>
        <v>-840.09001413934</v>
      </c>
      <c r="BE70" s="67" t="n">
        <f aca="false">-MIN(BE67+BE68,BE69+BE46)</f>
        <v>-844.990539221819</v>
      </c>
      <c r="BF70" s="67" t="n">
        <f aca="false">-MIN(BF67+BF68,BF69+BF46)</f>
        <v>-849.919650700613</v>
      </c>
      <c r="BG70" s="67" t="n">
        <f aca="false">-MIN(BG67+BG68,BG69+BG46)</f>
        <v>-854.8775153297</v>
      </c>
      <c r="BH70" s="67" t="n">
        <f aca="false">-MIN(BH67+BH68,BH69+BH46)</f>
        <v>-859.86430083579</v>
      </c>
      <c r="BI70" s="67" t="n">
        <f aca="false">-MIN(BI67+BI68,BI69+BI46)</f>
        <v>-864.880175923999</v>
      </c>
      <c r="BJ70" s="67" t="n">
        <f aca="false">-MIN(BJ67+BJ68,BJ69+BJ46)</f>
        <v>-869.925310283555</v>
      </c>
    </row>
    <row r="71" customFormat="false" ht="15" hidden="false" customHeight="false" outlineLevel="0" collapsed="false">
      <c r="A71" s="6" t="s">
        <v>435</v>
      </c>
      <c r="C71" s="67" t="n">
        <f aca="false">C46+C70</f>
        <v>-3533.89598637546</v>
      </c>
      <c r="D71" s="67" t="n">
        <f aca="false">D46+D70</f>
        <v>-3533.89598637546</v>
      </c>
      <c r="E71" s="67" t="n">
        <f aca="false">E46+E70</f>
        <v>-3533.89598637546</v>
      </c>
      <c r="F71" s="67" t="n">
        <f aca="false">F46+F70</f>
        <v>-3533.89598637546</v>
      </c>
      <c r="G71" s="67" t="n">
        <f aca="false">G46+G70</f>
        <v>-3533.89598637546</v>
      </c>
      <c r="H71" s="67" t="n">
        <f aca="false">H46+H70</f>
        <v>-3533.89598637546</v>
      </c>
      <c r="I71" s="67" t="n">
        <f aca="false">I46+I70</f>
        <v>-3533.89598637546</v>
      </c>
      <c r="J71" s="67" t="n">
        <f aca="false">J46+J70</f>
        <v>-3533.89598637546</v>
      </c>
      <c r="K71" s="67" t="n">
        <f aca="false">K46+K70</f>
        <v>-3533.89598637546</v>
      </c>
      <c r="L71" s="67" t="n">
        <f aca="false">L46+L70</f>
        <v>-3533.89598637546</v>
      </c>
      <c r="M71" s="67" t="n">
        <f aca="false">M46+M70</f>
        <v>-3533.89598637546</v>
      </c>
      <c r="N71" s="67" t="n">
        <f aca="false">N46+N70</f>
        <v>-3533.89598637546</v>
      </c>
      <c r="O71" s="67" t="n">
        <f aca="false">O46+O70</f>
        <v>-3533.89598637546</v>
      </c>
      <c r="P71" s="67" t="n">
        <f aca="false">P46+P70</f>
        <v>-3533.89598637546</v>
      </c>
      <c r="Q71" s="67" t="n">
        <f aca="false">Q46+Q70</f>
        <v>-3533.89598637546</v>
      </c>
      <c r="R71" s="67" t="n">
        <f aca="false">R46+R70</f>
        <v>-3533.89598637546</v>
      </c>
      <c r="S71" s="67" t="n">
        <f aca="false">S46+S70</f>
        <v>-3533.89598637546</v>
      </c>
      <c r="T71" s="67" t="n">
        <f aca="false">T46+T70</f>
        <v>-3533.89598637546</v>
      </c>
      <c r="U71" s="67" t="n">
        <f aca="false">U46+U70</f>
        <v>-3533.89598637546</v>
      </c>
      <c r="V71" s="67" t="n">
        <f aca="false">V46+V70</f>
        <v>-3533.89598637546</v>
      </c>
      <c r="W71" s="67" t="n">
        <f aca="false">W46+W70</f>
        <v>-3533.89598637546</v>
      </c>
      <c r="X71" s="67" t="n">
        <f aca="false">X46+X70</f>
        <v>-3533.89598637546</v>
      </c>
      <c r="Y71" s="67" t="n">
        <f aca="false">Y46+Y70</f>
        <v>-3533.89598637546</v>
      </c>
      <c r="Z71" s="67" t="n">
        <f aca="false">Z46+Z70</f>
        <v>-3533.89598637546</v>
      </c>
      <c r="AA71" s="67" t="n">
        <f aca="false">AA46+AA70</f>
        <v>-3533.89598637546</v>
      </c>
      <c r="AB71" s="67" t="n">
        <f aca="false">AB46+AB70</f>
        <v>-3533.89598637546</v>
      </c>
      <c r="AC71" s="67" t="n">
        <f aca="false">AC46+AC70</f>
        <v>-3533.89598637546</v>
      </c>
      <c r="AD71" s="67" t="n">
        <f aca="false">AD46+AD70</f>
        <v>-3533.89598637546</v>
      </c>
      <c r="AE71" s="67" t="n">
        <f aca="false">AE46+AE70</f>
        <v>-3533.89598637546</v>
      </c>
      <c r="AF71" s="67" t="n">
        <f aca="false">AF46+AF70</f>
        <v>-3533.89598637546</v>
      </c>
      <c r="AG71" s="67" t="n">
        <f aca="false">AG46+AG70</f>
        <v>-3533.89598637546</v>
      </c>
      <c r="AH71" s="67" t="n">
        <f aca="false">AH46+AH70</f>
        <v>-3533.89598637546</v>
      </c>
      <c r="AI71" s="67" t="n">
        <f aca="false">AI46+AI70</f>
        <v>-3533.89598637546</v>
      </c>
      <c r="AJ71" s="67" t="n">
        <f aca="false">AJ46+AJ70</f>
        <v>-3533.89598637546</v>
      </c>
      <c r="AK71" s="67" t="n">
        <f aca="false">AK46+AK70</f>
        <v>-3533.89598637546</v>
      </c>
      <c r="AL71" s="67" t="n">
        <f aca="false">AL46+AL70</f>
        <v>-3533.89598637546</v>
      </c>
      <c r="AM71" s="67" t="n">
        <f aca="false">AM46+AM70</f>
        <v>-3533.89598637546</v>
      </c>
      <c r="AN71" s="67" t="n">
        <f aca="false">AN46+AN70</f>
        <v>-3533.89598637546</v>
      </c>
      <c r="AO71" s="67" t="n">
        <f aca="false">AO46+AO70</f>
        <v>-3533.89598637546</v>
      </c>
      <c r="AP71" s="67" t="n">
        <f aca="false">AP46+AP70</f>
        <v>-3533.89598637546</v>
      </c>
      <c r="AQ71" s="67" t="n">
        <f aca="false">AQ46+AQ70</f>
        <v>-3533.89598637546</v>
      </c>
      <c r="AR71" s="67" t="n">
        <f aca="false">AR46+AR70</f>
        <v>-3533.89598637546</v>
      </c>
      <c r="AS71" s="67" t="n">
        <f aca="false">AS46+AS70</f>
        <v>-3533.89598637546</v>
      </c>
      <c r="AT71" s="67" t="n">
        <f aca="false">AT46+AT70</f>
        <v>-3533.89598637546</v>
      </c>
      <c r="AU71" s="67" t="n">
        <f aca="false">AU46+AU70</f>
        <v>-3533.89598637546</v>
      </c>
      <c r="AV71" s="67" t="n">
        <f aca="false">AV46+AV70</f>
        <v>-3533.89598637546</v>
      </c>
      <c r="AW71" s="67" t="n">
        <f aca="false">AW46+AW70</f>
        <v>-3533.89598637546</v>
      </c>
      <c r="AX71" s="67" t="n">
        <f aca="false">AX46+AX70</f>
        <v>-3533.89598637546</v>
      </c>
      <c r="AY71" s="67" t="n">
        <f aca="false">AY46+AY70</f>
        <v>-3533.89598637546</v>
      </c>
      <c r="AZ71" s="67" t="n">
        <f aca="false">AZ46+AZ70</f>
        <v>-3533.89598637546</v>
      </c>
      <c r="BA71" s="67" t="n">
        <f aca="false">BA46+BA70</f>
        <v>-3533.89598637546</v>
      </c>
      <c r="BB71" s="67" t="n">
        <f aca="false">BB46+BB70</f>
        <v>-3533.89598637546</v>
      </c>
      <c r="BC71" s="67" t="n">
        <f aca="false">BC46+BC70</f>
        <v>-3533.89598637546</v>
      </c>
      <c r="BD71" s="67" t="n">
        <f aca="false">BD46+BD70</f>
        <v>-3533.89598637546</v>
      </c>
      <c r="BE71" s="67" t="n">
        <f aca="false">BE46+BE70</f>
        <v>-3533.89598637546</v>
      </c>
      <c r="BF71" s="67" t="n">
        <f aca="false">BF46+BF70</f>
        <v>-3533.89598637546</v>
      </c>
      <c r="BG71" s="67" t="n">
        <f aca="false">BG46+BG70</f>
        <v>-3533.89598637546</v>
      </c>
      <c r="BH71" s="67" t="n">
        <f aca="false">BH46+BH70</f>
        <v>-3533.89598637546</v>
      </c>
      <c r="BI71" s="67" t="n">
        <f aca="false">BI46+BI70</f>
        <v>-3533.89598637546</v>
      </c>
      <c r="BJ71" s="67" t="n">
        <f aca="false">BJ46+BJ70</f>
        <v>-3533.89598637546</v>
      </c>
    </row>
    <row r="72" customFormat="false" ht="15" hidden="false" customHeight="false" outlineLevel="0" collapsed="false">
      <c r="A72" s="4" t="s">
        <v>436</v>
      </c>
      <c r="C72" s="73" t="n">
        <f aca="false">C67+C68+C70</f>
        <v>499382.770680291</v>
      </c>
      <c r="D72" s="73" t="n">
        <f aca="false">D67+D68+D70</f>
        <v>498761.940856217</v>
      </c>
      <c r="E72" s="73" t="n">
        <f aca="false">E67+E68+E70</f>
        <v>498137.489524837</v>
      </c>
      <c r="F72" s="73" t="n">
        <f aca="false">F67+F68+F70</f>
        <v>497509.395560689</v>
      </c>
      <c r="G72" s="73" t="n">
        <f aca="false">G67+G68+G70</f>
        <v>496877.637715085</v>
      </c>
      <c r="H72" s="73" t="n">
        <f aca="false">H67+H68+H70</f>
        <v>496242.19461538</v>
      </c>
      <c r="I72" s="73" t="n">
        <f aca="false">I67+I68+I70</f>
        <v>495603.044764261</v>
      </c>
      <c r="J72" s="73" t="n">
        <f aca="false">J67+J68+J70</f>
        <v>494960.166539011</v>
      </c>
      <c r="K72" s="73" t="n">
        <f aca="false">K67+K68+K70</f>
        <v>494313.53819078</v>
      </c>
      <c r="L72" s="73" t="n">
        <f aca="false">L67+L68+L70</f>
        <v>493663.13784385</v>
      </c>
      <c r="M72" s="73" t="n">
        <f aca="false">M67+M68+M70</f>
        <v>493008.943494897</v>
      </c>
      <c r="N72" s="73" t="n">
        <f aca="false">N67+N68+N70</f>
        <v>492350.933012242</v>
      </c>
      <c r="O72" s="73" t="n">
        <f aca="false">O67+O68+O70</f>
        <v>491689.084135105</v>
      </c>
      <c r="P72" s="73" t="n">
        <f aca="false">P67+P68+P70</f>
        <v>491023.374472851</v>
      </c>
      <c r="Q72" s="73" t="n">
        <f aca="false">Q67+Q68+Q70</f>
        <v>490353.781504234</v>
      </c>
      <c r="R72" s="73" t="n">
        <f aca="false">R67+R68+R70</f>
        <v>489680.282576633</v>
      </c>
      <c r="S72" s="73" t="n">
        <f aca="false">S67+S68+S70</f>
        <v>489002.854905288</v>
      </c>
      <c r="T72" s="73" t="n">
        <f aca="false">T67+T68+T70</f>
        <v>488321.475572526</v>
      </c>
      <c r="U72" s="73" t="n">
        <f aca="false">U67+U68+U70</f>
        <v>487636.121526991</v>
      </c>
      <c r="V72" s="73" t="n">
        <f aca="false">V67+V68+V70</f>
        <v>486946.769582856</v>
      </c>
      <c r="W72" s="73" t="n">
        <f aca="false">W67+W68+W70</f>
        <v>486253.396419047</v>
      </c>
      <c r="X72" s="73" t="n">
        <f aca="false">X67+X68+X70</f>
        <v>485555.978578449</v>
      </c>
      <c r="Y72" s="73" t="n">
        <f aca="false">Y67+Y68+Y70</f>
        <v>484854.492467115</v>
      </c>
      <c r="Z72" s="73" t="n">
        <f aca="false">Z67+Z68+Z70</f>
        <v>484148.914353464</v>
      </c>
      <c r="AA72" s="73" t="n">
        <f aca="false">AA67+AA68+AA70</f>
        <v>483439.220367484</v>
      </c>
      <c r="AB72" s="73" t="n">
        <f aca="false">AB67+AB68+AB70</f>
        <v>482725.386499919</v>
      </c>
      <c r="AC72" s="73" t="n">
        <f aca="false">AC67+AC68+AC70</f>
        <v>482007.38860146</v>
      </c>
      <c r="AD72" s="73" t="n">
        <f aca="false">AD67+AD68+AD70</f>
        <v>481285.202381926</v>
      </c>
      <c r="AE72" s="73" t="n">
        <f aca="false">AE67+AE68+AE70</f>
        <v>480558.803409445</v>
      </c>
      <c r="AF72" s="73" t="n">
        <f aca="false">AF67+AF68+AF70</f>
        <v>479828.167109625</v>
      </c>
      <c r="AG72" s="73" t="n">
        <f aca="false">AG67+AG68+AG70</f>
        <v>479093.268764722</v>
      </c>
      <c r="AH72" s="73" t="n">
        <f aca="false">AH67+AH68+AH70</f>
        <v>478354.083512808</v>
      </c>
      <c r="AI72" s="73" t="n">
        <f aca="false">AI67+AI68+AI70</f>
        <v>477610.586346923</v>
      </c>
      <c r="AJ72" s="73" t="n">
        <f aca="false">AJ67+AJ68+AJ70</f>
        <v>476862.752114238</v>
      </c>
      <c r="AK72" s="73" t="n">
        <f aca="false">AK67+AK68+AK70</f>
        <v>476110.555515196</v>
      </c>
      <c r="AL72" s="73" t="n">
        <f aca="false">AL67+AL68+AL70</f>
        <v>475353.971102659</v>
      </c>
      <c r="AM72" s="73" t="n">
        <f aca="false">AM67+AM68+AM70</f>
        <v>474592.973281049</v>
      </c>
      <c r="AN72" s="73" t="n">
        <f aca="false">AN67+AN68+AN70</f>
        <v>473827.53630548</v>
      </c>
      <c r="AO72" s="73" t="n">
        <f aca="false">AO67+AO68+AO70</f>
        <v>473057.634280886</v>
      </c>
      <c r="AP72" s="73" t="n">
        <f aca="false">AP67+AP68+AP70</f>
        <v>472283.241161149</v>
      </c>
      <c r="AQ72" s="73" t="n">
        <f aca="false">AQ67+AQ68+AQ70</f>
        <v>471504.330748214</v>
      </c>
      <c r="AR72" s="73" t="n">
        <f aca="false">AR67+AR68+AR70</f>
        <v>470720.876691203</v>
      </c>
      <c r="AS72" s="73" t="n">
        <f aca="false">AS67+AS68+AS70</f>
        <v>469932.852485526</v>
      </c>
      <c r="AT72" s="73" t="n">
        <f aca="false">AT67+AT68+AT70</f>
        <v>469140.231471983</v>
      </c>
      <c r="AU72" s="73" t="n">
        <f aca="false">AU67+AU68+AU70</f>
        <v>468342.986835861</v>
      </c>
      <c r="AV72" s="73" t="n">
        <f aca="false">AV67+AV68+AV70</f>
        <v>467541.091606028</v>
      </c>
      <c r="AW72" s="73" t="n">
        <f aca="false">AW67+AW68+AW70</f>
        <v>466734.518654021</v>
      </c>
      <c r="AX72" s="73" t="n">
        <f aca="false">AX67+AX68+AX70</f>
        <v>465923.240693127</v>
      </c>
      <c r="AY72" s="73" t="n">
        <f aca="false">AY67+AY68+AY70</f>
        <v>465107.230277462</v>
      </c>
      <c r="AZ72" s="73" t="n">
        <f aca="false">AZ67+AZ68+AZ70</f>
        <v>464286.459801038</v>
      </c>
      <c r="BA72" s="73" t="n">
        <f aca="false">BA67+BA68+BA70</f>
        <v>463460.901496835</v>
      </c>
      <c r="BB72" s="73" t="n">
        <f aca="false">BB67+BB68+BB70</f>
        <v>462630.527435858</v>
      </c>
      <c r="BC72" s="73" t="n">
        <f aca="false">BC67+BC68+BC70</f>
        <v>461795.309526192</v>
      </c>
      <c r="BD72" s="73" t="n">
        <f aca="false">BD67+BD68+BD70</f>
        <v>460955.219512053</v>
      </c>
      <c r="BE72" s="73" t="n">
        <f aca="false">BE67+BE68+BE70</f>
        <v>460110.228972831</v>
      </c>
      <c r="BF72" s="73" t="n">
        <f aca="false">BF67+BF68+BF70</f>
        <v>459260.30932213</v>
      </c>
      <c r="BG72" s="73" t="n">
        <f aca="false">BG67+BG68+BG70</f>
        <v>458405.4318068</v>
      </c>
      <c r="BH72" s="73" t="n">
        <f aca="false">BH67+BH68+BH70</f>
        <v>457545.567505965</v>
      </c>
      <c r="BI72" s="73" t="n">
        <f aca="false">BI67+BI68+BI70</f>
        <v>456680.687330041</v>
      </c>
      <c r="BJ72" s="73" t="n">
        <f aca="false">BJ67+BJ68+BJ70</f>
        <v>455810.762019757</v>
      </c>
    </row>
    <row r="74" customFormat="false" ht="15.75" hidden="false" customHeight="true" outlineLevel="0" collapsed="false">
      <c r="A74" s="7" t="s">
        <v>311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90</v>
      </c>
      <c r="C75" s="67" t="n">
        <f aca="false">C20*Inputs!$E$71/30</f>
        <v>1154.12586666667</v>
      </c>
      <c r="D75" s="67" t="n">
        <f aca="false">D20*Inputs!$E$71/30</f>
        <v>1327.24474666667</v>
      </c>
      <c r="E75" s="67" t="n">
        <f aca="false">E20*Inputs!$E$71/30</f>
        <v>1500.36362666667</v>
      </c>
      <c r="F75" s="67" t="n">
        <f aca="false">F20*Inputs!$E$71/30</f>
        <v>1673.48250666667</v>
      </c>
      <c r="G75" s="67" t="n">
        <f aca="false">G20*Inputs!$E$71/30</f>
        <v>1846.60138666667</v>
      </c>
      <c r="H75" s="67" t="n">
        <f aca="false">H20*Inputs!$E$71/30</f>
        <v>2754.164</v>
      </c>
      <c r="I75" s="67" t="n">
        <f aca="false">I20*Inputs!$E$71/30</f>
        <v>2990.2352</v>
      </c>
      <c r="J75" s="67" t="n">
        <f aca="false">J20*Inputs!$E$71/30</f>
        <v>3226.3064</v>
      </c>
      <c r="K75" s="67" t="n">
        <f aca="false">K20*Inputs!$E$71/30</f>
        <v>2539.07690666667</v>
      </c>
      <c r="L75" s="67" t="n">
        <f aca="false">L20*Inputs!$E$71/30</f>
        <v>2712.19578666667</v>
      </c>
      <c r="M75" s="67" t="n">
        <f aca="false">M20*Inputs!$E$71/30</f>
        <v>2885.31466666667</v>
      </c>
      <c r="N75" s="67" t="n">
        <f aca="false">N20*Inputs!$E$71/30</f>
        <v>2885.31466666667</v>
      </c>
      <c r="O75" s="67" t="n">
        <f aca="false">O20*Inputs!$E$71/30</f>
        <v>3031.3115888</v>
      </c>
      <c r="P75" s="67" t="n">
        <f aca="false">P20*Inputs!$E$71/30</f>
        <v>3031.3115888</v>
      </c>
      <c r="Q75" s="67" t="n">
        <f aca="false">Q20*Inputs!$E$71/30</f>
        <v>3031.3115888</v>
      </c>
      <c r="R75" s="67" t="n">
        <f aca="false">R20*Inputs!$E$71/30</f>
        <v>3031.3115888</v>
      </c>
      <c r="S75" s="67" t="n">
        <f aca="false">S20*Inputs!$E$71/30</f>
        <v>3031.3115888</v>
      </c>
      <c r="T75" s="67" t="n">
        <f aca="false">T20*Inputs!$E$71/30</f>
        <v>4133.606712</v>
      </c>
      <c r="U75" s="67" t="n">
        <f aca="false">U20*Inputs!$E$71/30</f>
        <v>4133.606712</v>
      </c>
      <c r="V75" s="67" t="n">
        <f aca="false">V20*Inputs!$E$71/30</f>
        <v>4133.606712</v>
      </c>
      <c r="W75" s="67" t="n">
        <f aca="false">W20*Inputs!$E$71/30</f>
        <v>3031.3115888</v>
      </c>
      <c r="X75" s="67" t="n">
        <f aca="false">X20*Inputs!$E$71/30</f>
        <v>3031.3115888</v>
      </c>
      <c r="Y75" s="67" t="n">
        <f aca="false">Y20*Inputs!$E$71/30</f>
        <v>3031.3115888</v>
      </c>
      <c r="Z75" s="67" t="n">
        <f aca="false">Z20*Inputs!$E$71/30</f>
        <v>3031.3115888</v>
      </c>
      <c r="AA75" s="67" t="n">
        <f aca="false">AA20*Inputs!$E$71/30</f>
        <v>3184.69595519328</v>
      </c>
      <c r="AB75" s="67" t="n">
        <f aca="false">AB20*Inputs!$E$71/30</f>
        <v>3184.69595519328</v>
      </c>
      <c r="AC75" s="67" t="n">
        <f aca="false">AC20*Inputs!$E$71/30</f>
        <v>3184.69595519328</v>
      </c>
      <c r="AD75" s="67" t="n">
        <f aca="false">AD20*Inputs!$E$71/30</f>
        <v>3184.69595519328</v>
      </c>
      <c r="AE75" s="67" t="n">
        <f aca="false">AE20*Inputs!$E$71/30</f>
        <v>3184.69595519328</v>
      </c>
      <c r="AF75" s="67" t="n">
        <f aca="false">AF20*Inputs!$E$71/30</f>
        <v>4342.7672116272</v>
      </c>
      <c r="AG75" s="67" t="n">
        <f aca="false">AG20*Inputs!$E$71/30</f>
        <v>4342.7672116272</v>
      </c>
      <c r="AH75" s="67" t="n">
        <f aca="false">AH20*Inputs!$E$71/30</f>
        <v>4342.7672116272</v>
      </c>
      <c r="AI75" s="67" t="n">
        <f aca="false">AI20*Inputs!$E$71/30</f>
        <v>3184.69595519328</v>
      </c>
      <c r="AJ75" s="67" t="n">
        <f aca="false">AJ20*Inputs!$E$71/30</f>
        <v>3184.69595519328</v>
      </c>
      <c r="AK75" s="67" t="n">
        <f aca="false">AK20*Inputs!$E$71/30</f>
        <v>3184.69595519328</v>
      </c>
      <c r="AL75" s="67" t="n">
        <f aca="false">AL20*Inputs!$E$71/30</f>
        <v>3184.69595519328</v>
      </c>
      <c r="AM75" s="67" t="n">
        <f aca="false">AM20*Inputs!$E$71/30</f>
        <v>3345.84157052606</v>
      </c>
      <c r="AN75" s="67" t="n">
        <f aca="false">AN20*Inputs!$E$71/30</f>
        <v>3345.84157052606</v>
      </c>
      <c r="AO75" s="67" t="n">
        <f aca="false">AO20*Inputs!$E$71/30</f>
        <v>3345.84157052606</v>
      </c>
      <c r="AP75" s="67" t="n">
        <f aca="false">AP20*Inputs!$E$71/30</f>
        <v>3345.84157052606</v>
      </c>
      <c r="AQ75" s="67" t="n">
        <f aca="false">AQ20*Inputs!$E$71/30</f>
        <v>3345.84157052606</v>
      </c>
      <c r="AR75" s="67" t="n">
        <f aca="false">AR20*Inputs!$E$71/30</f>
        <v>4562.51123253554</v>
      </c>
      <c r="AS75" s="67" t="n">
        <f aca="false">AS20*Inputs!$E$71/30</f>
        <v>4562.51123253554</v>
      </c>
      <c r="AT75" s="67" t="n">
        <f aca="false">AT20*Inputs!$E$71/30</f>
        <v>4562.51123253554</v>
      </c>
      <c r="AU75" s="67" t="n">
        <f aca="false">AU20*Inputs!$E$71/30</f>
        <v>3345.84157052606</v>
      </c>
      <c r="AV75" s="67" t="n">
        <f aca="false">AV20*Inputs!$E$71/30</f>
        <v>3345.84157052606</v>
      </c>
      <c r="AW75" s="67" t="n">
        <f aca="false">AW20*Inputs!$E$71/30</f>
        <v>3345.84157052606</v>
      </c>
      <c r="AX75" s="67" t="n">
        <f aca="false">AX20*Inputs!$E$71/30</f>
        <v>3345.84157052606</v>
      </c>
      <c r="AY75" s="67" t="n">
        <f aca="false">AY20*Inputs!$E$71/30</f>
        <v>3515.14115399468</v>
      </c>
      <c r="AZ75" s="67" t="n">
        <f aca="false">AZ20*Inputs!$E$71/30</f>
        <v>3515.14115399468</v>
      </c>
      <c r="BA75" s="67" t="n">
        <f aca="false">BA20*Inputs!$E$71/30</f>
        <v>3515.14115399468</v>
      </c>
      <c r="BB75" s="67" t="n">
        <f aca="false">BB20*Inputs!$E$71/30</f>
        <v>3515.14115399468</v>
      </c>
      <c r="BC75" s="67" t="n">
        <f aca="false">BC20*Inputs!$E$71/30</f>
        <v>3515.14115399468</v>
      </c>
      <c r="BD75" s="67" t="n">
        <f aca="false">BD20*Inputs!$E$71/30</f>
        <v>4793.37430090184</v>
      </c>
      <c r="BE75" s="67" t="n">
        <f aca="false">BE20*Inputs!$E$71/30</f>
        <v>4793.37430090184</v>
      </c>
      <c r="BF75" s="67" t="n">
        <f aca="false">BF20*Inputs!$E$71/30</f>
        <v>4793.37430090184</v>
      </c>
      <c r="BG75" s="67" t="n">
        <f aca="false">BG20*Inputs!$E$71/30</f>
        <v>3515.14115399468</v>
      </c>
      <c r="BH75" s="67" t="n">
        <f aca="false">BH20*Inputs!$E$71/30</f>
        <v>3515.14115399468</v>
      </c>
      <c r="BI75" s="67" t="n">
        <f aca="false">BI20*Inputs!$E$71/30</f>
        <v>3515.14115399468</v>
      </c>
      <c r="BJ75" s="67" t="n">
        <f aca="false">BJ20*Inputs!$E$71/30</f>
        <v>3515.14115399468</v>
      </c>
    </row>
    <row r="76" customFormat="false" ht="15" hidden="false" customHeight="false" outlineLevel="0" collapsed="false">
      <c r="A76" s="6" t="s">
        <v>91</v>
      </c>
      <c r="C76" s="67" t="n">
        <f aca="false">-C28*Inputs!$E$72/30</f>
        <v>686.592226666667</v>
      </c>
      <c r="D76" s="67" t="n">
        <f aca="false">-D28*Inputs!$E$72/30</f>
        <v>720.581060666667</v>
      </c>
      <c r="E76" s="67" t="n">
        <f aca="false">-E28*Inputs!$E$72/30</f>
        <v>754.569894666667</v>
      </c>
      <c r="F76" s="67" t="n">
        <f aca="false">-F28*Inputs!$E$72/30</f>
        <v>788.558728666667</v>
      </c>
      <c r="G76" s="67" t="n">
        <f aca="false">-G28*Inputs!$E$72/30</f>
        <v>822.547562666667</v>
      </c>
      <c r="H76" s="67" t="n">
        <f aca="false">-H28*Inputs!$E$72/30</f>
        <v>1000.73145</v>
      </c>
      <c r="I76" s="67" t="n">
        <f aca="false">-I28*Inputs!$E$72/30</f>
        <v>1047.07986</v>
      </c>
      <c r="J76" s="67" t="n">
        <f aca="false">-J28*Inputs!$E$72/30</f>
        <v>1093.42827</v>
      </c>
      <c r="K76" s="67" t="n">
        <f aca="false">-K28*Inputs!$E$72/30</f>
        <v>958.502898666667</v>
      </c>
      <c r="L76" s="67" t="n">
        <f aca="false">-L28*Inputs!$E$72/30</f>
        <v>992.491732666667</v>
      </c>
      <c r="M76" s="67" t="n">
        <f aca="false">-M28*Inputs!$E$72/30</f>
        <v>1026.48056666667</v>
      </c>
      <c r="N76" s="67" t="n">
        <f aca="false">-N28*Inputs!$E$72/30</f>
        <v>1026.48056666667</v>
      </c>
      <c r="O76" s="67" t="n">
        <f aca="false">-O28*Inputs!$E$72/30</f>
        <v>1068.94448334</v>
      </c>
      <c r="P76" s="67" t="n">
        <f aca="false">-P28*Inputs!$E$72/30</f>
        <v>1068.94448334</v>
      </c>
      <c r="Q76" s="67" t="n">
        <f aca="false">-Q28*Inputs!$E$72/30</f>
        <v>1068.94448334</v>
      </c>
      <c r="R76" s="67" t="n">
        <f aca="false">-R28*Inputs!$E$72/30</f>
        <v>1068.94448334</v>
      </c>
      <c r="S76" s="67" t="n">
        <f aca="false">-S28*Inputs!$E$72/30</f>
        <v>1068.94448334</v>
      </c>
      <c r="T76" s="67" t="n">
        <f aca="false">-T28*Inputs!$E$72/30</f>
        <v>1285.3606591</v>
      </c>
      <c r="U76" s="67" t="n">
        <f aca="false">-U28*Inputs!$E$72/30</f>
        <v>1285.3606591</v>
      </c>
      <c r="V76" s="67" t="n">
        <f aca="false">-V28*Inputs!$E$72/30</f>
        <v>1285.3606591</v>
      </c>
      <c r="W76" s="67" t="n">
        <f aca="false">-W28*Inputs!$E$72/30</f>
        <v>1068.94448334</v>
      </c>
      <c r="X76" s="67" t="n">
        <f aca="false">-X28*Inputs!$E$72/30</f>
        <v>1068.94448334</v>
      </c>
      <c r="Y76" s="67" t="n">
        <f aca="false">-Y28*Inputs!$E$72/30</f>
        <v>1068.94448334</v>
      </c>
      <c r="Z76" s="67" t="n">
        <f aca="false">-Z28*Inputs!$E$72/30</f>
        <v>1068.94448334</v>
      </c>
      <c r="AA76" s="67" t="n">
        <f aca="false">-AA28*Inputs!$E$72/30</f>
        <v>1113.272794197</v>
      </c>
      <c r="AB76" s="67" t="n">
        <f aca="false">-AB28*Inputs!$E$72/30</f>
        <v>1113.272794197</v>
      </c>
      <c r="AC76" s="67" t="n">
        <f aca="false">-AC28*Inputs!$E$72/30</f>
        <v>1113.272794197</v>
      </c>
      <c r="AD76" s="67" t="n">
        <f aca="false">-AD28*Inputs!$E$72/30</f>
        <v>1113.272794197</v>
      </c>
      <c r="AE76" s="67" t="n">
        <f aca="false">-AE28*Inputs!$E$72/30</f>
        <v>1113.272794197</v>
      </c>
      <c r="AF76" s="67" t="n">
        <f aca="false">-AF28*Inputs!$E$72/30</f>
        <v>1340.63962845046</v>
      </c>
      <c r="AG76" s="67" t="n">
        <f aca="false">-AG28*Inputs!$E$72/30</f>
        <v>1340.63962845046</v>
      </c>
      <c r="AH76" s="67" t="n">
        <f aca="false">-AH28*Inputs!$E$72/30</f>
        <v>1340.63962845046</v>
      </c>
      <c r="AI76" s="67" t="n">
        <f aca="false">-AI28*Inputs!$E$72/30</f>
        <v>1113.272794197</v>
      </c>
      <c r="AJ76" s="67" t="n">
        <f aca="false">-AJ28*Inputs!$E$72/30</f>
        <v>1113.272794197</v>
      </c>
      <c r="AK76" s="67" t="n">
        <f aca="false">-AK28*Inputs!$E$72/30</f>
        <v>1113.272794197</v>
      </c>
      <c r="AL76" s="67" t="n">
        <f aca="false">-AL28*Inputs!$E$72/30</f>
        <v>1113.272794197</v>
      </c>
      <c r="AM76" s="67" t="n">
        <f aca="false">-AM28*Inputs!$E$72/30</f>
        <v>1159.55130918337</v>
      </c>
      <c r="AN76" s="67" t="n">
        <f aca="false">-AN28*Inputs!$E$72/30</f>
        <v>1159.55130918337</v>
      </c>
      <c r="AO76" s="67" t="n">
        <f aca="false">-AO28*Inputs!$E$72/30</f>
        <v>1159.55130918337</v>
      </c>
      <c r="AP76" s="67" t="n">
        <f aca="false">-AP28*Inputs!$E$72/30</f>
        <v>1159.55130918337</v>
      </c>
      <c r="AQ76" s="67" t="n">
        <f aca="false">-AQ28*Inputs!$E$72/30</f>
        <v>1159.55130918337</v>
      </c>
      <c r="AR76" s="67" t="n">
        <f aca="false">-AR28*Inputs!$E$72/30</f>
        <v>1398.42290525005</v>
      </c>
      <c r="AS76" s="67" t="n">
        <f aca="false">-AS28*Inputs!$E$72/30</f>
        <v>1398.42290525005</v>
      </c>
      <c r="AT76" s="67" t="n">
        <f aca="false">-AT28*Inputs!$E$72/30</f>
        <v>1398.42290525005</v>
      </c>
      <c r="AU76" s="67" t="n">
        <f aca="false">-AU28*Inputs!$E$72/30</f>
        <v>1159.55130918337</v>
      </c>
      <c r="AV76" s="67" t="n">
        <f aca="false">-AV28*Inputs!$E$72/30</f>
        <v>1159.55130918337</v>
      </c>
      <c r="AW76" s="67" t="n">
        <f aca="false">-AW28*Inputs!$E$72/30</f>
        <v>1159.55130918337</v>
      </c>
      <c r="AX76" s="67" t="n">
        <f aca="false">-AX28*Inputs!$E$72/30</f>
        <v>1159.55130918337</v>
      </c>
      <c r="AY76" s="67" t="n">
        <f aca="false">-AY28*Inputs!$E$72/30</f>
        <v>1207.86992437605</v>
      </c>
      <c r="AZ76" s="67" t="n">
        <f aca="false">-AZ28*Inputs!$E$72/30</f>
        <v>1207.86992437605</v>
      </c>
      <c r="BA76" s="67" t="n">
        <f aca="false">-BA28*Inputs!$E$72/30</f>
        <v>1207.86992437605</v>
      </c>
      <c r="BB76" s="67" t="n">
        <f aca="false">-BB28*Inputs!$E$72/30</f>
        <v>1207.86992437605</v>
      </c>
      <c r="BC76" s="67" t="n">
        <f aca="false">-BC28*Inputs!$E$72/30</f>
        <v>1207.86992437605</v>
      </c>
      <c r="BD76" s="67" t="n">
        <f aca="false">-BD28*Inputs!$E$72/30</f>
        <v>1458.82842320371</v>
      </c>
      <c r="BE76" s="67" t="n">
        <f aca="false">-BE28*Inputs!$E$72/30</f>
        <v>1458.82842320371</v>
      </c>
      <c r="BF76" s="67" t="n">
        <f aca="false">-BF28*Inputs!$E$72/30</f>
        <v>1458.82842320371</v>
      </c>
      <c r="BG76" s="67" t="n">
        <f aca="false">-BG28*Inputs!$E$72/30</f>
        <v>1207.86992437605</v>
      </c>
      <c r="BH76" s="67" t="n">
        <f aca="false">-BH28*Inputs!$E$72/30</f>
        <v>1207.86992437605</v>
      </c>
      <c r="BI76" s="67" t="n">
        <f aca="false">-BI28*Inputs!$E$72/30</f>
        <v>1207.86992437605</v>
      </c>
      <c r="BJ76" s="67" t="n">
        <f aca="false">-BJ28*Inputs!$E$72/30</f>
        <v>1207.86992437605</v>
      </c>
    </row>
    <row r="77" customFormat="false" ht="15" hidden="false" customHeight="false" outlineLevel="0" collapsed="false">
      <c r="A77" s="6" t="s">
        <v>94</v>
      </c>
      <c r="C77" s="67" t="n">
        <f aca="false">-C28*Inputs!$E$73/30</f>
        <v>5721.60188888889</v>
      </c>
      <c r="D77" s="67" t="n">
        <f aca="false">-D28*Inputs!$E$73/30</f>
        <v>6004.84217222222</v>
      </c>
      <c r="E77" s="67" t="n">
        <f aca="false">-E28*Inputs!$E$73/30</f>
        <v>6288.08245555556</v>
      </c>
      <c r="F77" s="67" t="n">
        <f aca="false">-F28*Inputs!$E$73/30</f>
        <v>6571.32273888889</v>
      </c>
      <c r="G77" s="67" t="n">
        <f aca="false">-G28*Inputs!$E$73/30</f>
        <v>6854.56302222222</v>
      </c>
      <c r="H77" s="67" t="n">
        <f aca="false">-H28*Inputs!$E$73/30</f>
        <v>8339.42875</v>
      </c>
      <c r="I77" s="67" t="n">
        <f aca="false">-I28*Inputs!$E$73/30</f>
        <v>8725.6655</v>
      </c>
      <c r="J77" s="67" t="n">
        <f aca="false">-J28*Inputs!$E$73/30</f>
        <v>9111.90225</v>
      </c>
      <c r="K77" s="67" t="n">
        <f aca="false">-K28*Inputs!$E$73/30</f>
        <v>7987.52415555556</v>
      </c>
      <c r="L77" s="67" t="n">
        <f aca="false">-L28*Inputs!$E$73/30</f>
        <v>8270.76443888889</v>
      </c>
      <c r="M77" s="67" t="n">
        <f aca="false">-M28*Inputs!$E$73/30</f>
        <v>8554.00472222222</v>
      </c>
      <c r="N77" s="67" t="n">
        <f aca="false">-N28*Inputs!$E$73/30</f>
        <v>8554.00472222222</v>
      </c>
      <c r="O77" s="67" t="n">
        <f aca="false">-O28*Inputs!$E$73/30</f>
        <v>8907.8706945</v>
      </c>
      <c r="P77" s="67" t="n">
        <f aca="false">-P28*Inputs!$E$73/30</f>
        <v>8907.8706945</v>
      </c>
      <c r="Q77" s="67" t="n">
        <f aca="false">-Q28*Inputs!$E$73/30</f>
        <v>8907.8706945</v>
      </c>
      <c r="R77" s="67" t="n">
        <f aca="false">-R28*Inputs!$E$73/30</f>
        <v>8907.8706945</v>
      </c>
      <c r="S77" s="67" t="n">
        <f aca="false">-S28*Inputs!$E$73/30</f>
        <v>8907.8706945</v>
      </c>
      <c r="T77" s="67" t="n">
        <f aca="false">-T28*Inputs!$E$73/30</f>
        <v>10711.3388258333</v>
      </c>
      <c r="U77" s="67" t="n">
        <f aca="false">-U28*Inputs!$E$73/30</f>
        <v>10711.3388258333</v>
      </c>
      <c r="V77" s="67" t="n">
        <f aca="false">-V28*Inputs!$E$73/30</f>
        <v>10711.3388258333</v>
      </c>
      <c r="W77" s="67" t="n">
        <f aca="false">-W28*Inputs!$E$73/30</f>
        <v>8907.8706945</v>
      </c>
      <c r="X77" s="67" t="n">
        <f aca="false">-X28*Inputs!$E$73/30</f>
        <v>8907.8706945</v>
      </c>
      <c r="Y77" s="67" t="n">
        <f aca="false">-Y28*Inputs!$E$73/30</f>
        <v>8907.8706945</v>
      </c>
      <c r="Z77" s="67" t="n">
        <f aca="false">-Z28*Inputs!$E$73/30</f>
        <v>8907.8706945</v>
      </c>
      <c r="AA77" s="67" t="n">
        <f aca="false">-AA28*Inputs!$E$73/30</f>
        <v>9277.27328497503</v>
      </c>
      <c r="AB77" s="67" t="n">
        <f aca="false">-AB28*Inputs!$E$73/30</f>
        <v>9277.27328497503</v>
      </c>
      <c r="AC77" s="67" t="n">
        <f aca="false">-AC28*Inputs!$E$73/30</f>
        <v>9277.27328497503</v>
      </c>
      <c r="AD77" s="67" t="n">
        <f aca="false">-AD28*Inputs!$E$73/30</f>
        <v>9277.27328497503</v>
      </c>
      <c r="AE77" s="67" t="n">
        <f aca="false">-AE28*Inputs!$E$73/30</f>
        <v>9277.27328497503</v>
      </c>
      <c r="AF77" s="67" t="n">
        <f aca="false">-AF28*Inputs!$E$73/30</f>
        <v>11171.9969037538</v>
      </c>
      <c r="AG77" s="67" t="n">
        <f aca="false">-AG28*Inputs!$E$73/30</f>
        <v>11171.9969037538</v>
      </c>
      <c r="AH77" s="67" t="n">
        <f aca="false">-AH28*Inputs!$E$73/30</f>
        <v>11171.9969037538</v>
      </c>
      <c r="AI77" s="67" t="n">
        <f aca="false">-AI28*Inputs!$E$73/30</f>
        <v>9277.27328497503</v>
      </c>
      <c r="AJ77" s="67" t="n">
        <f aca="false">-AJ28*Inputs!$E$73/30</f>
        <v>9277.27328497503</v>
      </c>
      <c r="AK77" s="67" t="n">
        <f aca="false">-AK28*Inputs!$E$73/30</f>
        <v>9277.27328497503</v>
      </c>
      <c r="AL77" s="67" t="n">
        <f aca="false">-AL28*Inputs!$E$73/30</f>
        <v>9277.27328497503</v>
      </c>
      <c r="AM77" s="67" t="n">
        <f aca="false">-AM28*Inputs!$E$73/30</f>
        <v>9662.92757652811</v>
      </c>
      <c r="AN77" s="67" t="n">
        <f aca="false">-AN28*Inputs!$E$73/30</f>
        <v>9662.92757652811</v>
      </c>
      <c r="AO77" s="67" t="n">
        <f aca="false">-AO28*Inputs!$E$73/30</f>
        <v>9662.92757652811</v>
      </c>
      <c r="AP77" s="67" t="n">
        <f aca="false">-AP28*Inputs!$E$73/30</f>
        <v>9662.92757652811</v>
      </c>
      <c r="AQ77" s="67" t="n">
        <f aca="false">-AQ28*Inputs!$E$73/30</f>
        <v>9662.92757652811</v>
      </c>
      <c r="AR77" s="67" t="n">
        <f aca="false">-AR28*Inputs!$E$73/30</f>
        <v>11653.5242104171</v>
      </c>
      <c r="AS77" s="67" t="n">
        <f aca="false">-AS28*Inputs!$E$73/30</f>
        <v>11653.5242104171</v>
      </c>
      <c r="AT77" s="67" t="n">
        <f aca="false">-AT28*Inputs!$E$73/30</f>
        <v>11653.5242104171</v>
      </c>
      <c r="AU77" s="67" t="n">
        <f aca="false">-AU28*Inputs!$E$73/30</f>
        <v>9662.92757652811</v>
      </c>
      <c r="AV77" s="67" t="n">
        <f aca="false">-AV28*Inputs!$E$73/30</f>
        <v>9662.92757652811</v>
      </c>
      <c r="AW77" s="67" t="n">
        <f aca="false">-AW28*Inputs!$E$73/30</f>
        <v>9662.92757652811</v>
      </c>
      <c r="AX77" s="67" t="n">
        <f aca="false">-AX28*Inputs!$E$73/30</f>
        <v>9662.92757652811</v>
      </c>
      <c r="AY77" s="67" t="n">
        <f aca="false">-AY28*Inputs!$E$73/30</f>
        <v>10065.5827031338</v>
      </c>
      <c r="AZ77" s="67" t="n">
        <f aca="false">-AZ28*Inputs!$E$73/30</f>
        <v>10065.5827031338</v>
      </c>
      <c r="BA77" s="67" t="n">
        <f aca="false">-BA28*Inputs!$E$73/30</f>
        <v>10065.5827031338</v>
      </c>
      <c r="BB77" s="67" t="n">
        <f aca="false">-BB28*Inputs!$E$73/30</f>
        <v>10065.5827031338</v>
      </c>
      <c r="BC77" s="67" t="n">
        <f aca="false">-BC28*Inputs!$E$73/30</f>
        <v>10065.5827031338</v>
      </c>
      <c r="BD77" s="67" t="n">
        <f aca="false">-BD28*Inputs!$E$73/30</f>
        <v>12156.9035266976</v>
      </c>
      <c r="BE77" s="67" t="n">
        <f aca="false">-BE28*Inputs!$E$73/30</f>
        <v>12156.9035266976</v>
      </c>
      <c r="BF77" s="67" t="n">
        <f aca="false">-BF28*Inputs!$E$73/30</f>
        <v>12156.9035266976</v>
      </c>
      <c r="BG77" s="67" t="n">
        <f aca="false">-BG28*Inputs!$E$73/30</f>
        <v>10065.5827031338</v>
      </c>
      <c r="BH77" s="67" t="n">
        <f aca="false">-BH28*Inputs!$E$73/30</f>
        <v>10065.5827031338</v>
      </c>
      <c r="BI77" s="67" t="n">
        <f aca="false">-BI28*Inputs!$E$73/30</f>
        <v>10065.5827031338</v>
      </c>
      <c r="BJ77" s="67" t="n">
        <f aca="false">-BJ28*Inputs!$E$73/30</f>
        <v>10065.5827031338</v>
      </c>
    </row>
    <row r="78" customFormat="false" ht="15" hidden="false" customHeight="false" outlineLevel="0" collapsed="false">
      <c r="A78" s="6" t="s">
        <v>338</v>
      </c>
      <c r="C78" s="67" t="n">
        <f aca="false">-C75</f>
        <v>-1154.12586666667</v>
      </c>
      <c r="D78" s="67" t="n">
        <f aca="false">C75-D75</f>
        <v>-173.11888</v>
      </c>
      <c r="E78" s="67" t="n">
        <f aca="false">D75-E75</f>
        <v>-173.11888</v>
      </c>
      <c r="F78" s="67" t="n">
        <f aca="false">E75-F75</f>
        <v>-173.11888</v>
      </c>
      <c r="G78" s="67" t="n">
        <f aca="false">F75-G75</f>
        <v>-173.11888</v>
      </c>
      <c r="H78" s="67" t="n">
        <f aca="false">G75-H75</f>
        <v>-907.562613333333</v>
      </c>
      <c r="I78" s="67" t="n">
        <f aca="false">H75-I75</f>
        <v>-236.0712</v>
      </c>
      <c r="J78" s="67" t="n">
        <f aca="false">I75-J75</f>
        <v>-236.071200000001</v>
      </c>
      <c r="K78" s="67" t="n">
        <f aca="false">J75-K75</f>
        <v>687.229493333334</v>
      </c>
      <c r="L78" s="67" t="n">
        <f aca="false">K75-L75</f>
        <v>-173.11888</v>
      </c>
      <c r="M78" s="67" t="n">
        <f aca="false">L75-M75</f>
        <v>-173.11888</v>
      </c>
      <c r="N78" s="67" t="n">
        <f aca="false">M75-N75</f>
        <v>0</v>
      </c>
      <c r="O78" s="67" t="n">
        <f aca="false">N75-O75</f>
        <v>-145.996922133334</v>
      </c>
      <c r="P78" s="67" t="n">
        <f aca="false">O75-P75</f>
        <v>0</v>
      </c>
      <c r="Q78" s="67" t="n">
        <f aca="false">P75-Q75</f>
        <v>0</v>
      </c>
      <c r="R78" s="67" t="n">
        <f aca="false">Q75-R75</f>
        <v>0</v>
      </c>
      <c r="S78" s="67" t="n">
        <f aca="false">R75-S75</f>
        <v>0</v>
      </c>
      <c r="T78" s="67" t="n">
        <f aca="false">S75-T75</f>
        <v>-1102.2951232</v>
      </c>
      <c r="U78" s="67" t="n">
        <f aca="false">T75-U75</f>
        <v>0</v>
      </c>
      <c r="V78" s="67" t="n">
        <f aca="false">U75-V75</f>
        <v>0</v>
      </c>
      <c r="W78" s="67" t="n">
        <f aca="false">V75-W75</f>
        <v>1102.2951232</v>
      </c>
      <c r="X78" s="67" t="n">
        <f aca="false">W75-X75</f>
        <v>0</v>
      </c>
      <c r="Y78" s="67" t="n">
        <f aca="false">X75-Y75</f>
        <v>0</v>
      </c>
      <c r="Z78" s="67" t="n">
        <f aca="false">Y75-Z75</f>
        <v>0</v>
      </c>
      <c r="AA78" s="67" t="n">
        <f aca="false">Z75-AA75</f>
        <v>-153.384366393279</v>
      </c>
      <c r="AB78" s="67" t="n">
        <f aca="false">AA75-AB75</f>
        <v>0</v>
      </c>
      <c r="AC78" s="67" t="n">
        <f aca="false">AB75-AC75</f>
        <v>0</v>
      </c>
      <c r="AD78" s="67" t="n">
        <f aca="false">AC75-AD75</f>
        <v>0</v>
      </c>
      <c r="AE78" s="67" t="n">
        <f aca="false">AD75-AE75</f>
        <v>0</v>
      </c>
      <c r="AF78" s="67" t="n">
        <f aca="false">AE75-AF75</f>
        <v>-1158.07125643392</v>
      </c>
      <c r="AG78" s="67" t="n">
        <f aca="false">AF75-AG75</f>
        <v>0</v>
      </c>
      <c r="AH78" s="67" t="n">
        <f aca="false">AG75-AH75</f>
        <v>0</v>
      </c>
      <c r="AI78" s="67" t="n">
        <f aca="false">AH75-AI75</f>
        <v>1158.07125643392</v>
      </c>
      <c r="AJ78" s="67" t="n">
        <f aca="false">AI75-AJ75</f>
        <v>0</v>
      </c>
      <c r="AK78" s="67" t="n">
        <f aca="false">AJ75-AK75</f>
        <v>0</v>
      </c>
      <c r="AL78" s="67" t="n">
        <f aca="false">AK75-AL75</f>
        <v>0</v>
      </c>
      <c r="AM78" s="67" t="n">
        <f aca="false">AL75-AM75</f>
        <v>-161.145615332781</v>
      </c>
      <c r="AN78" s="67" t="n">
        <f aca="false">AM75-AN75</f>
        <v>0</v>
      </c>
      <c r="AO78" s="67" t="n">
        <f aca="false">AN75-AO75</f>
        <v>0</v>
      </c>
      <c r="AP78" s="67" t="n">
        <f aca="false">AO75-AP75</f>
        <v>0</v>
      </c>
      <c r="AQ78" s="67" t="n">
        <f aca="false">AP75-AQ75</f>
        <v>0</v>
      </c>
      <c r="AR78" s="67" t="n">
        <f aca="false">AQ75-AR75</f>
        <v>-1216.66966200948</v>
      </c>
      <c r="AS78" s="67" t="n">
        <f aca="false">AR75-AS75</f>
        <v>0</v>
      </c>
      <c r="AT78" s="67" t="n">
        <f aca="false">AS75-AT75</f>
        <v>0</v>
      </c>
      <c r="AU78" s="67" t="n">
        <f aca="false">AT75-AU75</f>
        <v>1216.66966200948</v>
      </c>
      <c r="AV78" s="67" t="n">
        <f aca="false">AU75-AV75</f>
        <v>0</v>
      </c>
      <c r="AW78" s="67" t="n">
        <f aca="false">AV75-AW75</f>
        <v>0</v>
      </c>
      <c r="AX78" s="67" t="n">
        <f aca="false">AW75-AX75</f>
        <v>0</v>
      </c>
      <c r="AY78" s="67" t="n">
        <f aca="false">AX75-AY75</f>
        <v>-169.299583468619</v>
      </c>
      <c r="AZ78" s="67" t="n">
        <f aca="false">AY75-AZ75</f>
        <v>0</v>
      </c>
      <c r="BA78" s="67" t="n">
        <f aca="false">AZ75-BA75</f>
        <v>0</v>
      </c>
      <c r="BB78" s="67" t="n">
        <f aca="false">BA75-BB75</f>
        <v>0</v>
      </c>
      <c r="BC78" s="67" t="n">
        <f aca="false">BB75-BC75</f>
        <v>0</v>
      </c>
      <c r="BD78" s="67" t="n">
        <f aca="false">BC75-BD75</f>
        <v>-1278.23314690716</v>
      </c>
      <c r="BE78" s="67" t="n">
        <f aca="false">BD75-BE75</f>
        <v>0</v>
      </c>
      <c r="BF78" s="67" t="n">
        <f aca="false">BE75-BF75</f>
        <v>0</v>
      </c>
      <c r="BG78" s="67" t="n">
        <f aca="false">BF75-BG75</f>
        <v>1278.23314690716</v>
      </c>
      <c r="BH78" s="67" t="n">
        <f aca="false">BG75-BH75</f>
        <v>0</v>
      </c>
      <c r="BI78" s="67" t="n">
        <f aca="false">BH75-BI75</f>
        <v>0</v>
      </c>
      <c r="BJ78" s="67" t="n">
        <f aca="false">BI75-BJ75</f>
        <v>0</v>
      </c>
    </row>
    <row r="79" customFormat="false" ht="15" hidden="false" customHeight="false" outlineLevel="0" collapsed="false">
      <c r="A79" s="6" t="s">
        <v>339</v>
      </c>
      <c r="C79" s="67" t="n">
        <f aca="false">-C76</f>
        <v>-686.592226666667</v>
      </c>
      <c r="D79" s="67" t="n">
        <f aca="false">C76-D76</f>
        <v>-33.9888340000001</v>
      </c>
      <c r="E79" s="67" t="n">
        <f aca="false">D76-E76</f>
        <v>-33.988834</v>
      </c>
      <c r="F79" s="67" t="n">
        <f aca="false">E76-F76</f>
        <v>-33.988834</v>
      </c>
      <c r="G79" s="67" t="n">
        <f aca="false">F76-G76</f>
        <v>-33.988834</v>
      </c>
      <c r="H79" s="67" t="n">
        <f aca="false">G76-H76</f>
        <v>-178.183887333333</v>
      </c>
      <c r="I79" s="67" t="n">
        <f aca="false">H76-I76</f>
        <v>-46.3484099999998</v>
      </c>
      <c r="J79" s="67" t="n">
        <f aca="false">I76-J76</f>
        <v>-46.3484100000003</v>
      </c>
      <c r="K79" s="67" t="n">
        <f aca="false">J76-K76</f>
        <v>134.925371333333</v>
      </c>
      <c r="L79" s="67" t="n">
        <f aca="false">K76-L76</f>
        <v>-33.9888339999999</v>
      </c>
      <c r="M79" s="67" t="n">
        <f aca="false">L76-M76</f>
        <v>-33.988834</v>
      </c>
      <c r="N79" s="67" t="n">
        <f aca="false">M76-N76</f>
        <v>0</v>
      </c>
      <c r="O79" s="67" t="n">
        <f aca="false">N76-O76</f>
        <v>-42.4639166733334</v>
      </c>
      <c r="P79" s="67" t="n">
        <f aca="false">O76-P76</f>
        <v>0</v>
      </c>
      <c r="Q79" s="67" t="n">
        <f aca="false">P76-Q76</f>
        <v>0</v>
      </c>
      <c r="R79" s="67" t="n">
        <f aca="false">Q76-R76</f>
        <v>0</v>
      </c>
      <c r="S79" s="67" t="n">
        <f aca="false">R76-S76</f>
        <v>0</v>
      </c>
      <c r="T79" s="67" t="n">
        <f aca="false">S76-T76</f>
        <v>-216.41617576</v>
      </c>
      <c r="U79" s="67" t="n">
        <f aca="false">T76-U76</f>
        <v>0</v>
      </c>
      <c r="V79" s="67" t="n">
        <f aca="false">U76-V76</f>
        <v>0</v>
      </c>
      <c r="W79" s="67" t="n">
        <f aca="false">V76-W76</f>
        <v>216.41617576</v>
      </c>
      <c r="X79" s="67" t="n">
        <f aca="false">W76-X76</f>
        <v>0</v>
      </c>
      <c r="Y79" s="67" t="n">
        <f aca="false">X76-Y76</f>
        <v>0</v>
      </c>
      <c r="Z79" s="67" t="n">
        <f aca="false">Y76-Z76</f>
        <v>0</v>
      </c>
      <c r="AA79" s="67" t="n">
        <f aca="false">Z76-AA76</f>
        <v>-44.328310857004</v>
      </c>
      <c r="AB79" s="67" t="n">
        <f aca="false">AA76-AB76</f>
        <v>0</v>
      </c>
      <c r="AC79" s="67" t="n">
        <f aca="false">AB76-AC76</f>
        <v>0</v>
      </c>
      <c r="AD79" s="67" t="n">
        <f aca="false">AC76-AD76</f>
        <v>0</v>
      </c>
      <c r="AE79" s="67" t="n">
        <f aca="false">AD76-AE76</f>
        <v>0</v>
      </c>
      <c r="AF79" s="67" t="n">
        <f aca="false">AE76-AF76</f>
        <v>-227.366834253456</v>
      </c>
      <c r="AG79" s="67" t="n">
        <f aca="false">AF76-AG76</f>
        <v>0</v>
      </c>
      <c r="AH79" s="67" t="n">
        <f aca="false">AG76-AH76</f>
        <v>0</v>
      </c>
      <c r="AI79" s="67" t="n">
        <f aca="false">AH76-AI76</f>
        <v>227.366834253456</v>
      </c>
      <c r="AJ79" s="67" t="n">
        <f aca="false">AI76-AJ76</f>
        <v>0</v>
      </c>
      <c r="AK79" s="67" t="n">
        <f aca="false">AJ76-AK76</f>
        <v>0</v>
      </c>
      <c r="AL79" s="67" t="n">
        <f aca="false">AK76-AL76</f>
        <v>0</v>
      </c>
      <c r="AM79" s="67" t="n">
        <f aca="false">AL76-AM76</f>
        <v>-46.2785149863685</v>
      </c>
      <c r="AN79" s="67" t="n">
        <f aca="false">AM76-AN76</f>
        <v>0</v>
      </c>
      <c r="AO79" s="67" t="n">
        <f aca="false">AN76-AO76</f>
        <v>0</v>
      </c>
      <c r="AP79" s="67" t="n">
        <f aca="false">AO76-AP76</f>
        <v>0</v>
      </c>
      <c r="AQ79" s="67" t="n">
        <f aca="false">AP76-AQ76</f>
        <v>0</v>
      </c>
      <c r="AR79" s="67" t="n">
        <f aca="false">AQ76-AR76</f>
        <v>-238.871596066681</v>
      </c>
      <c r="AS79" s="67" t="n">
        <f aca="false">AR76-AS76</f>
        <v>0</v>
      </c>
      <c r="AT79" s="67" t="n">
        <f aca="false">AS76-AT76</f>
        <v>0</v>
      </c>
      <c r="AU79" s="67" t="n">
        <f aca="false">AT76-AU76</f>
        <v>238.871596066681</v>
      </c>
      <c r="AV79" s="67" t="n">
        <f aca="false">AU76-AV76</f>
        <v>0</v>
      </c>
      <c r="AW79" s="67" t="n">
        <f aca="false">AV76-AW76</f>
        <v>0</v>
      </c>
      <c r="AX79" s="67" t="n">
        <f aca="false">AW76-AX76</f>
        <v>0</v>
      </c>
      <c r="AY79" s="67" t="n">
        <f aca="false">AX76-AY76</f>
        <v>-48.3186151926789</v>
      </c>
      <c r="AZ79" s="67" t="n">
        <f aca="false">AY76-AZ76</f>
        <v>0</v>
      </c>
      <c r="BA79" s="67" t="n">
        <f aca="false">AZ76-BA76</f>
        <v>0</v>
      </c>
      <c r="BB79" s="67" t="n">
        <f aca="false">BA76-BB76</f>
        <v>0</v>
      </c>
      <c r="BC79" s="67" t="n">
        <f aca="false">BB76-BC76</f>
        <v>0</v>
      </c>
      <c r="BD79" s="67" t="n">
        <f aca="false">BC76-BD76</f>
        <v>-250.958498827655</v>
      </c>
      <c r="BE79" s="67" t="n">
        <f aca="false">BD76-BE76</f>
        <v>0</v>
      </c>
      <c r="BF79" s="67" t="n">
        <f aca="false">BE76-BF76</f>
        <v>0</v>
      </c>
      <c r="BG79" s="67" t="n">
        <f aca="false">BF76-BG76</f>
        <v>250.958498827655</v>
      </c>
      <c r="BH79" s="67" t="n">
        <f aca="false">BG76-BH76</f>
        <v>0</v>
      </c>
      <c r="BI79" s="67" t="n">
        <f aca="false">BH76-BI76</f>
        <v>0</v>
      </c>
      <c r="BJ79" s="67" t="n">
        <f aca="false">BI76-BJ76</f>
        <v>0</v>
      </c>
    </row>
    <row r="80" customFormat="false" ht="15" hidden="false" customHeight="false" outlineLevel="0" collapsed="false">
      <c r="A80" s="6" t="s">
        <v>340</v>
      </c>
      <c r="C80" s="67" t="n">
        <f aca="false">C77</f>
        <v>5721.60188888889</v>
      </c>
      <c r="D80" s="67" t="n">
        <f aca="false">D77-C77</f>
        <v>283.240283333333</v>
      </c>
      <c r="E80" s="67" t="n">
        <f aca="false">E77-D77</f>
        <v>283.240283333334</v>
      </c>
      <c r="F80" s="67" t="n">
        <f aca="false">F77-E77</f>
        <v>283.240283333334</v>
      </c>
      <c r="G80" s="67" t="n">
        <f aca="false">G77-F77</f>
        <v>283.240283333334</v>
      </c>
      <c r="H80" s="67" t="n">
        <f aca="false">H77-G77</f>
        <v>1484.86572777778</v>
      </c>
      <c r="I80" s="67" t="n">
        <f aca="false">I77-H77</f>
        <v>386.236749999998</v>
      </c>
      <c r="J80" s="67" t="n">
        <f aca="false">J77-I77</f>
        <v>386.236750000002</v>
      </c>
      <c r="K80" s="67" t="n">
        <f aca="false">K77-J77</f>
        <v>-1124.37809444445</v>
      </c>
      <c r="L80" s="67" t="n">
        <f aca="false">L77-K77</f>
        <v>283.240283333334</v>
      </c>
      <c r="M80" s="67" t="n">
        <f aca="false">M77-L77</f>
        <v>283.240283333333</v>
      </c>
      <c r="N80" s="67" t="n">
        <f aca="false">N77-M77</f>
        <v>0</v>
      </c>
      <c r="O80" s="67" t="n">
        <f aca="false">O77-N77</f>
        <v>353.865972277778</v>
      </c>
      <c r="P80" s="67" t="n">
        <f aca="false">P77-O77</f>
        <v>0</v>
      </c>
      <c r="Q80" s="67" t="n">
        <f aca="false">Q77-P77</f>
        <v>0</v>
      </c>
      <c r="R80" s="67" t="n">
        <f aca="false">R77-Q77</f>
        <v>0</v>
      </c>
      <c r="S80" s="67" t="n">
        <f aca="false">S77-R77</f>
        <v>0</v>
      </c>
      <c r="T80" s="67" t="n">
        <f aca="false">T77-S77</f>
        <v>1803.46813133334</v>
      </c>
      <c r="U80" s="67" t="n">
        <f aca="false">U77-T77</f>
        <v>0</v>
      </c>
      <c r="V80" s="67" t="n">
        <f aca="false">V77-U77</f>
        <v>0</v>
      </c>
      <c r="W80" s="67" t="n">
        <f aca="false">W77-V77</f>
        <v>-1803.46813133334</v>
      </c>
      <c r="X80" s="67" t="n">
        <f aca="false">X77-W77</f>
        <v>0</v>
      </c>
      <c r="Y80" s="67" t="n">
        <f aca="false">Y77-X77</f>
        <v>0</v>
      </c>
      <c r="Z80" s="67" t="n">
        <f aca="false">Z77-Y77</f>
        <v>0</v>
      </c>
      <c r="AA80" s="67" t="n">
        <f aca="false">AA77-Z77</f>
        <v>369.402590475032</v>
      </c>
      <c r="AB80" s="67" t="n">
        <f aca="false">AB77-AA77</f>
        <v>0</v>
      </c>
      <c r="AC80" s="67" t="n">
        <f aca="false">AC77-AB77</f>
        <v>0</v>
      </c>
      <c r="AD80" s="67" t="n">
        <f aca="false">AD77-AC77</f>
        <v>0</v>
      </c>
      <c r="AE80" s="67" t="n">
        <f aca="false">AE77-AD77</f>
        <v>0</v>
      </c>
      <c r="AF80" s="67" t="n">
        <f aca="false">AF77-AE77</f>
        <v>1894.7236187788</v>
      </c>
      <c r="AG80" s="67" t="n">
        <f aca="false">AG77-AF77</f>
        <v>0</v>
      </c>
      <c r="AH80" s="67" t="n">
        <f aca="false">AH77-AG77</f>
        <v>0</v>
      </c>
      <c r="AI80" s="67" t="n">
        <f aca="false">AI77-AH77</f>
        <v>-1894.7236187788</v>
      </c>
      <c r="AJ80" s="67" t="n">
        <f aca="false">AJ77-AI77</f>
        <v>0</v>
      </c>
      <c r="AK80" s="67" t="n">
        <f aca="false">AK77-AJ77</f>
        <v>0</v>
      </c>
      <c r="AL80" s="67" t="n">
        <f aca="false">AL77-AK77</f>
        <v>0</v>
      </c>
      <c r="AM80" s="67" t="n">
        <f aca="false">AM77-AL77</f>
        <v>385.654291553074</v>
      </c>
      <c r="AN80" s="67" t="n">
        <f aca="false">AN77-AM77</f>
        <v>0</v>
      </c>
      <c r="AO80" s="67" t="n">
        <f aca="false">AO77-AN77</f>
        <v>0</v>
      </c>
      <c r="AP80" s="67" t="n">
        <f aca="false">AP77-AO77</f>
        <v>0</v>
      </c>
      <c r="AQ80" s="67" t="n">
        <f aca="false">AQ77-AP77</f>
        <v>0</v>
      </c>
      <c r="AR80" s="67" t="n">
        <f aca="false">AR77-AQ77</f>
        <v>1990.59663388901</v>
      </c>
      <c r="AS80" s="67" t="n">
        <f aca="false">AS77-AR77</f>
        <v>0</v>
      </c>
      <c r="AT80" s="67" t="n">
        <f aca="false">AT77-AS77</f>
        <v>0</v>
      </c>
      <c r="AU80" s="67" t="n">
        <f aca="false">AU77-AT77</f>
        <v>-1990.59663388901</v>
      </c>
      <c r="AV80" s="67" t="n">
        <f aca="false">AV77-AU77</f>
        <v>0</v>
      </c>
      <c r="AW80" s="67" t="n">
        <f aca="false">AW77-AV77</f>
        <v>0</v>
      </c>
      <c r="AX80" s="67" t="n">
        <f aca="false">AX77-AW77</f>
        <v>0</v>
      </c>
      <c r="AY80" s="67" t="n">
        <f aca="false">AY77-AX77</f>
        <v>402.655126605656</v>
      </c>
      <c r="AZ80" s="67" t="n">
        <f aca="false">AZ77-AY77</f>
        <v>0</v>
      </c>
      <c r="BA80" s="67" t="n">
        <f aca="false">BA77-AZ77</f>
        <v>0</v>
      </c>
      <c r="BB80" s="67" t="n">
        <f aca="false">BB77-BA77</f>
        <v>0</v>
      </c>
      <c r="BC80" s="67" t="n">
        <f aca="false">BC77-BB77</f>
        <v>0</v>
      </c>
      <c r="BD80" s="67" t="n">
        <f aca="false">BD77-BC77</f>
        <v>2091.32082356379</v>
      </c>
      <c r="BE80" s="67" t="n">
        <f aca="false">BE77-BD77</f>
        <v>0</v>
      </c>
      <c r="BF80" s="67" t="n">
        <f aca="false">BF77-BE77</f>
        <v>0</v>
      </c>
      <c r="BG80" s="67" t="n">
        <f aca="false">BG77-BF77</f>
        <v>-2091.32082356379</v>
      </c>
      <c r="BH80" s="67" t="n">
        <f aca="false">BH77-BG77</f>
        <v>0</v>
      </c>
      <c r="BI80" s="67" t="n">
        <f aca="false">BI77-BH77</f>
        <v>0</v>
      </c>
      <c r="BJ80" s="67" t="n">
        <f aca="false">BJ77-BI77</f>
        <v>0</v>
      </c>
    </row>
    <row r="82" customFormat="false" ht="15.75" hidden="false" customHeight="true" outlineLevel="0" collapsed="false">
      <c r="A82" s="7" t="s">
        <v>437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4" t="s">
        <v>52</v>
      </c>
      <c r="C83" s="73" t="n">
        <f aca="false">C51-C62+C78+C79+C80</f>
        <v>-6558.71080177778</v>
      </c>
      <c r="D83" s="73" t="n">
        <f aca="false">D51-D62+D78+D79+D80</f>
        <v>-9084.55071323503</v>
      </c>
      <c r="E83" s="73" t="n">
        <f aca="false">E51-E62+E78+E79+E80</f>
        <v>-7805.61839552794</v>
      </c>
      <c r="F83" s="73" t="n">
        <f aca="false">F51-F62+F78+F79+F80</f>
        <v>-6526.66495236155</v>
      </c>
      <c r="G83" s="73" t="n">
        <f aca="false">G51-G62+G78+G79+G80</f>
        <v>-5247.69026050402</v>
      </c>
      <c r="H83" s="73" t="n">
        <f aca="false">H51-H62+H78+H79+H80</f>
        <v>1764.70196043978</v>
      </c>
      <c r="I83" s="73" t="n">
        <f aca="false">I51-I62+I78+I79+I80</f>
        <v>3212.16682074361</v>
      </c>
      <c r="J83" s="73" t="n">
        <f aca="false">J51-J62+J78+J79+J80</f>
        <v>4954.95539087515</v>
      </c>
      <c r="K83" s="73" t="n">
        <f aca="false">K51-K62+K78+K79+K80</f>
        <v>-509.93231538868</v>
      </c>
      <c r="L83" s="73" t="n">
        <f aca="false">L51-L62+L78+L79+L80</f>
        <v>1147.50629282046</v>
      </c>
      <c r="M83" s="73" t="n">
        <f aca="false">M51-M62+M78+M79+M80</f>
        <v>2426.61110524421</v>
      </c>
      <c r="N83" s="73" t="n">
        <f aca="false">N51-N62+N78+N79+N80</f>
        <v>2354.2946696131</v>
      </c>
      <c r="O83" s="73" t="n">
        <f aca="false">O51-O62+O78+O79+O80</f>
        <v>3463.30031433703</v>
      </c>
      <c r="P83" s="73" t="n">
        <f aca="false">P51-P62+P78+P79+P80</f>
        <v>3301.75596598256</v>
      </c>
      <c r="Q83" s="73" t="n">
        <f aca="false">Q51-Q62+Q78+Q79+Q80</f>
        <v>3305.6392723457</v>
      </c>
      <c r="R83" s="73" t="n">
        <f aca="false">R51-R62+R78+R79+R80</f>
        <v>3309.5452313293</v>
      </c>
      <c r="S83" s="73" t="n">
        <f aca="false">S51-S62+S78+S79+S80</f>
        <v>3313.47397507364</v>
      </c>
      <c r="T83" s="73" t="n">
        <f aca="false">T51-T62+T78+T79+T80</f>
        <v>11922.4342107192</v>
      </c>
      <c r="U83" s="73" t="n">
        <f aca="false">U51-U62+U78+U79+U80</f>
        <v>11441.6520911203</v>
      </c>
      <c r="V83" s="73" t="n">
        <f aca="false">V51-V62+V78+V79+V80</f>
        <v>11445.6499897192</v>
      </c>
      <c r="W83" s="73" t="n">
        <f aca="false">W51-W62+W78+W79+W80</f>
        <v>2844.662635164</v>
      </c>
      <c r="X83" s="73" t="n">
        <f aca="false">X51-X62+X78+X79+X80</f>
        <v>3333.46414432622</v>
      </c>
      <c r="Y83" s="73" t="n">
        <f aca="false">Y51-Y62+Y78+Y79+Y80</f>
        <v>3337.53241506304</v>
      </c>
      <c r="Z83" s="73" t="n">
        <f aca="false">Z51-Z62+Z78+Z79+Z80</f>
        <v>3341.62441737916</v>
      </c>
      <c r="AA83" s="73" t="n">
        <f aca="false">AA51-AA62+AA78+AA79+AA80</f>
        <v>4438.5407328128</v>
      </c>
      <c r="AB83" s="73" t="n">
        <f aca="false">AB51-AB62+AB78+AB79+AB80</f>
        <v>4270.99070117294</v>
      </c>
      <c r="AC83" s="73" t="n">
        <f aca="false">AC51-AC62+AC78+AC79+AC80</f>
        <v>4275.15473206707</v>
      </c>
      <c r="AD83" s="73" t="n">
        <f aca="false">AD51-AD62+AD78+AD79+AD80</f>
        <v>4279.34305314141</v>
      </c>
      <c r="AE83" s="73" t="n">
        <f aca="false">AE51-AE62+AE78+AE79+AE80</f>
        <v>4283.55580608869</v>
      </c>
      <c r="AF83" s="73" t="n">
        <f aca="false">AF51-AF62+AF78+AF79+AF80</f>
        <v>13328.2151415135</v>
      </c>
      <c r="AG83" s="73" t="n">
        <f aca="false">AG51-AG62+AG78+AG79+AG80</f>
        <v>12823.1916585044</v>
      </c>
      <c r="AH83" s="73" t="n">
        <f aca="false">AH51-AH62+AH78+AH79+AH80</f>
        <v>12827.4785655163</v>
      </c>
      <c r="AI83" s="73" t="n">
        <f aca="false">AI51-AI62+AI78+AI79+AI80</f>
        <v>3791.36847140046</v>
      </c>
      <c r="AJ83" s="73" t="n">
        <f aca="false">AJ51-AJ62+AJ78+AJ79+AJ80</f>
        <v>4304.99106629287</v>
      </c>
      <c r="AK83" s="73" t="n">
        <f aca="false">AK51-AK62+AK78+AK79+AK80</f>
        <v>4309.3534326502</v>
      </c>
      <c r="AL83" s="73" t="n">
        <f aca="false">AL51-AL62+AL78+AL79+AL80</f>
        <v>4313.74124614462</v>
      </c>
      <c r="AM83" s="73" t="n">
        <f aca="false">AM51-AM62+AM78+AM79+AM80</f>
        <v>5413.20528264283</v>
      </c>
      <c r="AN83" s="73" t="n">
        <f aca="false">AN51-AN62+AN78+AN79+AN80</f>
        <v>5239.4142753683</v>
      </c>
      <c r="AO83" s="73" t="n">
        <f aca="false">AO51-AO62+AO78+AO79+AO80</f>
        <v>5243.87932439246</v>
      </c>
      <c r="AP83" s="73" t="n">
        <f aca="false">AP51-AP62+AP78+AP79+AP80</f>
        <v>5248.37041953592</v>
      </c>
      <c r="AQ83" s="73" t="n">
        <f aca="false">AQ51-AQ62+AQ78+AQ79+AQ80</f>
        <v>5252.88771273438</v>
      </c>
      <c r="AR83" s="73" t="n">
        <f aca="false">AR51-AR62+AR78+AR79+AR80</f>
        <v>14755.2987185043</v>
      </c>
      <c r="AS83" s="73" t="n">
        <f aca="false">AS51-AS62+AS78+AS79+AS80</f>
        <v>13437.6755277549</v>
      </c>
      <c r="AT83" s="73" t="n">
        <f aca="false">AT51-AT62+AT78+AT79+AT80</f>
        <v>12080.5043420535</v>
      </c>
      <c r="AU83" s="73" t="n">
        <f aca="false">AU51-AU62+AU78+AU79+AU80</f>
        <v>4469.43629535655</v>
      </c>
      <c r="AV83" s="73" t="n">
        <f aca="false">AV51-AV62+AV78+AV79+AV80</f>
        <v>5009.12177632587</v>
      </c>
      <c r="AW83" s="73" t="n">
        <f aca="false">AW51-AW62+AW78+AW79+AW80</f>
        <v>5013.77331296835</v>
      </c>
      <c r="AX83" s="73" t="n">
        <f aca="false">AX51-AX62+AX78+AX79+AX80</f>
        <v>5018.44640611385</v>
      </c>
      <c r="AY83" s="73" t="n">
        <f aca="false">AY51-AY62+AY78+AY79+AY80</f>
        <v>5938.65619662923</v>
      </c>
      <c r="AZ83" s="73" t="n">
        <f aca="false">AZ51-AZ62+AZ78+AZ79+AZ80</f>
        <v>5758.36453689247</v>
      </c>
      <c r="BA83" s="73" t="n">
        <f aca="false">BA51-BA62+BA78+BA79+BA80</f>
        <v>5763.13174104674</v>
      </c>
      <c r="BB83" s="73" t="n">
        <f aca="false">BB51-BB62+BB78+BB79+BB80</f>
        <v>5767.92100910736</v>
      </c>
      <c r="BC83" s="73" t="n">
        <f aca="false">BC51-BC62+BC78+BC79+BC80</f>
        <v>5772.73246978045</v>
      </c>
      <c r="BD83" s="73" t="n">
        <f aca="false">BD51-BD62+BD78+BD79+BD80</f>
        <v>13778.596345522</v>
      </c>
      <c r="BE83" s="73" t="n">
        <f aca="false">BE51-BE62+BE78+BE79+BE80</f>
        <v>13221.3234027169</v>
      </c>
      <c r="BF83" s="73" t="n">
        <f aca="false">BF51-BF62+BF78+BF79+BF80</f>
        <v>13226.2022209939</v>
      </c>
      <c r="BG83" s="73" t="n">
        <f aca="false">BG51-BG62+BG78+BG79+BG80</f>
        <v>5230.07366126057</v>
      </c>
      <c r="BH83" s="73" t="n">
        <f aca="false">BH51-BH62+BH78+BH79+BH80</f>
        <v>5797.12721984811</v>
      </c>
      <c r="BI83" s="73" t="n">
        <f aca="false">BI51-BI62+BI78+BI79+BI80</f>
        <v>5802.07458137654</v>
      </c>
      <c r="BJ83" s="73" t="n">
        <f aca="false">BJ51-BJ62+BJ78+BJ79+BJ80</f>
        <v>5807.04505772934</v>
      </c>
    </row>
    <row r="84" customFormat="false" ht="15" hidden="false" customHeight="false" outlineLevel="0" collapsed="false">
      <c r="A84" s="6" t="s">
        <v>438</v>
      </c>
      <c r="C84" s="67" t="n">
        <f aca="false">-C59</f>
        <v>-865750</v>
      </c>
      <c r="D84" s="67" t="n">
        <f aca="false">-D59</f>
        <v>-750</v>
      </c>
      <c r="E84" s="67" t="n">
        <f aca="false">-E59</f>
        <v>-750</v>
      </c>
      <c r="F84" s="67" t="n">
        <f aca="false">-F59</f>
        <v>-750</v>
      </c>
      <c r="G84" s="67" t="n">
        <f aca="false">-G59</f>
        <v>-750</v>
      </c>
      <c r="H84" s="67" t="n">
        <f aca="false">-H59</f>
        <v>-750</v>
      </c>
      <c r="I84" s="67" t="n">
        <f aca="false">-I59</f>
        <v>-750</v>
      </c>
      <c r="J84" s="67" t="n">
        <f aca="false">-J59</f>
        <v>-750</v>
      </c>
      <c r="K84" s="67" t="n">
        <f aca="false">-K59</f>
        <v>-750</v>
      </c>
      <c r="L84" s="67" t="n">
        <f aca="false">-L59</f>
        <v>-750</v>
      </c>
      <c r="M84" s="67" t="n">
        <f aca="false">-M59</f>
        <v>-750</v>
      </c>
      <c r="N84" s="67" t="n">
        <f aca="false">-N59</f>
        <v>-750</v>
      </c>
      <c r="O84" s="67" t="n">
        <f aca="false">-O59</f>
        <v>-772.5</v>
      </c>
      <c r="P84" s="67" t="n">
        <f aca="false">-P59</f>
        <v>-772.5</v>
      </c>
      <c r="Q84" s="67" t="n">
        <f aca="false">-Q59</f>
        <v>-772.5</v>
      </c>
      <c r="R84" s="67" t="n">
        <f aca="false">-R59</f>
        <v>-772.5</v>
      </c>
      <c r="S84" s="67" t="n">
        <f aca="false">-S59</f>
        <v>-772.5</v>
      </c>
      <c r="T84" s="67" t="n">
        <f aca="false">-T59</f>
        <v>-772.5</v>
      </c>
      <c r="U84" s="67" t="n">
        <f aca="false">-U59</f>
        <v>-772.5</v>
      </c>
      <c r="V84" s="67" t="n">
        <f aca="false">-V59</f>
        <v>-772.5</v>
      </c>
      <c r="W84" s="67" t="n">
        <f aca="false">-W59</f>
        <v>-772.5</v>
      </c>
      <c r="X84" s="67" t="n">
        <f aca="false">-X59</f>
        <v>-772.5</v>
      </c>
      <c r="Y84" s="67" t="n">
        <f aca="false">-Y59</f>
        <v>-772.5</v>
      </c>
      <c r="Z84" s="67" t="n">
        <f aca="false">-Z59</f>
        <v>-772.5</v>
      </c>
      <c r="AA84" s="67" t="n">
        <f aca="false">-AA59</f>
        <v>-795.675</v>
      </c>
      <c r="AB84" s="67" t="n">
        <f aca="false">-AB59</f>
        <v>-795.675</v>
      </c>
      <c r="AC84" s="67" t="n">
        <f aca="false">-AC59</f>
        <v>-795.675</v>
      </c>
      <c r="AD84" s="67" t="n">
        <f aca="false">-AD59</f>
        <v>-795.675</v>
      </c>
      <c r="AE84" s="67" t="n">
        <f aca="false">-AE59</f>
        <v>-795.675</v>
      </c>
      <c r="AF84" s="67" t="n">
        <f aca="false">-AF59</f>
        <v>-795.675</v>
      </c>
      <c r="AG84" s="67" t="n">
        <f aca="false">-AG59</f>
        <v>-795.675</v>
      </c>
      <c r="AH84" s="67" t="n">
        <f aca="false">-AH59</f>
        <v>-795.675</v>
      </c>
      <c r="AI84" s="67" t="n">
        <f aca="false">-AI59</f>
        <v>-795.675</v>
      </c>
      <c r="AJ84" s="67" t="n">
        <f aca="false">-AJ59</f>
        <v>-795.675</v>
      </c>
      <c r="AK84" s="67" t="n">
        <f aca="false">-AK59</f>
        <v>-795.675</v>
      </c>
      <c r="AL84" s="67" t="n">
        <f aca="false">-AL59</f>
        <v>-795.675</v>
      </c>
      <c r="AM84" s="67" t="n">
        <f aca="false">-AM59</f>
        <v>-819.54525</v>
      </c>
      <c r="AN84" s="67" t="n">
        <f aca="false">-AN59</f>
        <v>-819.54525</v>
      </c>
      <c r="AO84" s="67" t="n">
        <f aca="false">-AO59</f>
        <v>-819.54525</v>
      </c>
      <c r="AP84" s="67" t="n">
        <f aca="false">-AP59</f>
        <v>-819.54525</v>
      </c>
      <c r="AQ84" s="67" t="n">
        <f aca="false">-AQ59</f>
        <v>-819.54525</v>
      </c>
      <c r="AR84" s="67" t="n">
        <f aca="false">-AR59</f>
        <v>-819.54525</v>
      </c>
      <c r="AS84" s="67" t="n">
        <f aca="false">-AS59</f>
        <v>-819.54525</v>
      </c>
      <c r="AT84" s="67" t="n">
        <f aca="false">-AT59</f>
        <v>-819.54525</v>
      </c>
      <c r="AU84" s="67" t="n">
        <f aca="false">-AU59</f>
        <v>-819.54525</v>
      </c>
      <c r="AV84" s="67" t="n">
        <f aca="false">-AV59</f>
        <v>-819.54525</v>
      </c>
      <c r="AW84" s="67" t="n">
        <f aca="false">-AW59</f>
        <v>-819.54525</v>
      </c>
      <c r="AX84" s="67" t="n">
        <f aca="false">-AX59</f>
        <v>-819.54525</v>
      </c>
      <c r="AY84" s="67" t="n">
        <f aca="false">-AY59</f>
        <v>-844.1316075</v>
      </c>
      <c r="AZ84" s="67" t="n">
        <f aca="false">-AZ59</f>
        <v>-844.1316075</v>
      </c>
      <c r="BA84" s="67" t="n">
        <f aca="false">-BA59</f>
        <v>-844.1316075</v>
      </c>
      <c r="BB84" s="67" t="n">
        <f aca="false">-BB59</f>
        <v>-844.1316075</v>
      </c>
      <c r="BC84" s="67" t="n">
        <f aca="false">-BC59</f>
        <v>-844.1316075</v>
      </c>
      <c r="BD84" s="67" t="n">
        <f aca="false">-BD59</f>
        <v>-844.1316075</v>
      </c>
      <c r="BE84" s="67" t="n">
        <f aca="false">-BE59</f>
        <v>-844.1316075</v>
      </c>
      <c r="BF84" s="67" t="n">
        <f aca="false">-BF59</f>
        <v>-844.1316075</v>
      </c>
      <c r="BG84" s="67" t="n">
        <f aca="false">-BG59</f>
        <v>-844.1316075</v>
      </c>
      <c r="BH84" s="67" t="n">
        <f aca="false">-BH59</f>
        <v>-844.1316075</v>
      </c>
      <c r="BI84" s="67" t="n">
        <f aca="false">-BI59</f>
        <v>-844.1316075</v>
      </c>
      <c r="BJ84" s="67" t="n">
        <f aca="false">-BJ59</f>
        <v>-844.1316075</v>
      </c>
    </row>
    <row r="85" customFormat="false" ht="15" hidden="false" customHeight="false" outlineLevel="0" collapsed="false">
      <c r="A85" s="6" t="s">
        <v>64</v>
      </c>
      <c r="C85" s="67" t="n">
        <f aca="false">IF(C$4=1,Inputs!$E$65,0)</f>
        <v>430000</v>
      </c>
      <c r="D85" s="67" t="n">
        <f aca="false">IF(D$4=1,Inputs!$E$65,0)</f>
        <v>0</v>
      </c>
      <c r="E85" s="67" t="n">
        <f aca="false">IF(E$4=1,Inputs!$E$65,0)</f>
        <v>0</v>
      </c>
      <c r="F85" s="67" t="n">
        <f aca="false">IF(F$4=1,Inputs!$E$65,0)</f>
        <v>0</v>
      </c>
      <c r="G85" s="67" t="n">
        <f aca="false">IF(G$4=1,Inputs!$E$65,0)</f>
        <v>0</v>
      </c>
      <c r="H85" s="67" t="n">
        <f aca="false">IF(H$4=1,Inputs!$E$65,0)</f>
        <v>0</v>
      </c>
      <c r="I85" s="67" t="n">
        <f aca="false">IF(I$4=1,Inputs!$E$65,0)</f>
        <v>0</v>
      </c>
      <c r="J85" s="67" t="n">
        <f aca="false">IF(J$4=1,Inputs!$E$65,0)</f>
        <v>0</v>
      </c>
      <c r="K85" s="67" t="n">
        <f aca="false">IF(K$4=1,Inputs!$E$65,0)</f>
        <v>0</v>
      </c>
      <c r="L85" s="67" t="n">
        <f aca="false">IF(L$4=1,Inputs!$E$65,0)</f>
        <v>0</v>
      </c>
      <c r="M85" s="67" t="n">
        <f aca="false">IF(M$4=1,Inputs!$E$65,0)</f>
        <v>0</v>
      </c>
      <c r="N85" s="67" t="n">
        <f aca="false">IF(N$4=1,Inputs!$E$65,0)</f>
        <v>0</v>
      </c>
      <c r="O85" s="67" t="n">
        <f aca="false">IF(O$4=1,Inputs!$E$65,0)</f>
        <v>0</v>
      </c>
      <c r="P85" s="67" t="n">
        <f aca="false">IF(P$4=1,Inputs!$E$65,0)</f>
        <v>0</v>
      </c>
      <c r="Q85" s="67" t="n">
        <f aca="false">IF(Q$4=1,Inputs!$E$65,0)</f>
        <v>0</v>
      </c>
      <c r="R85" s="67" t="n">
        <f aca="false">IF(R$4=1,Inputs!$E$65,0)</f>
        <v>0</v>
      </c>
      <c r="S85" s="67" t="n">
        <f aca="false">IF(S$4=1,Inputs!$E$65,0)</f>
        <v>0</v>
      </c>
      <c r="T85" s="67" t="n">
        <f aca="false">IF(T$4=1,Inputs!$E$65,0)</f>
        <v>0</v>
      </c>
      <c r="U85" s="67" t="n">
        <f aca="false">IF(U$4=1,Inputs!$E$65,0)</f>
        <v>0</v>
      </c>
      <c r="V85" s="67" t="n">
        <f aca="false">IF(V$4=1,Inputs!$E$65,0)</f>
        <v>0</v>
      </c>
      <c r="W85" s="67" t="n">
        <f aca="false">IF(W$4=1,Inputs!$E$65,0)</f>
        <v>0</v>
      </c>
      <c r="X85" s="67" t="n">
        <f aca="false">IF(X$4=1,Inputs!$E$65,0)</f>
        <v>0</v>
      </c>
      <c r="Y85" s="67" t="n">
        <f aca="false">IF(Y$4=1,Inputs!$E$65,0)</f>
        <v>0</v>
      </c>
      <c r="Z85" s="67" t="n">
        <f aca="false">IF(Z$4=1,Inputs!$E$65,0)</f>
        <v>0</v>
      </c>
      <c r="AA85" s="67" t="n">
        <f aca="false">IF(AA$4=1,Inputs!$E$65,0)</f>
        <v>0</v>
      </c>
      <c r="AB85" s="67" t="n">
        <f aca="false">IF(AB$4=1,Inputs!$E$65,0)</f>
        <v>0</v>
      </c>
      <c r="AC85" s="67" t="n">
        <f aca="false">IF(AC$4=1,Inputs!$E$65,0)</f>
        <v>0</v>
      </c>
      <c r="AD85" s="67" t="n">
        <f aca="false">IF(AD$4=1,Inputs!$E$65,0)</f>
        <v>0</v>
      </c>
      <c r="AE85" s="67" t="n">
        <f aca="false">IF(AE$4=1,Inputs!$E$65,0)</f>
        <v>0</v>
      </c>
      <c r="AF85" s="67" t="n">
        <f aca="false">IF(AF$4=1,Inputs!$E$65,0)</f>
        <v>0</v>
      </c>
      <c r="AG85" s="67" t="n">
        <f aca="false">IF(AG$4=1,Inputs!$E$65,0)</f>
        <v>0</v>
      </c>
      <c r="AH85" s="67" t="n">
        <f aca="false">IF(AH$4=1,Inputs!$E$65,0)</f>
        <v>0</v>
      </c>
      <c r="AI85" s="67" t="n">
        <f aca="false">IF(AI$4=1,Inputs!$E$65,0)</f>
        <v>0</v>
      </c>
      <c r="AJ85" s="67" t="n">
        <f aca="false">IF(AJ$4=1,Inputs!$E$65,0)</f>
        <v>0</v>
      </c>
      <c r="AK85" s="67" t="n">
        <f aca="false">IF(AK$4=1,Inputs!$E$65,0)</f>
        <v>0</v>
      </c>
      <c r="AL85" s="67" t="n">
        <f aca="false">IF(AL$4=1,Inputs!$E$65,0)</f>
        <v>0</v>
      </c>
      <c r="AM85" s="67" t="n">
        <f aca="false">IF(AM$4=1,Inputs!$E$65,0)</f>
        <v>0</v>
      </c>
      <c r="AN85" s="67" t="n">
        <f aca="false">IF(AN$4=1,Inputs!$E$65,0)</f>
        <v>0</v>
      </c>
      <c r="AO85" s="67" t="n">
        <f aca="false">IF(AO$4=1,Inputs!$E$65,0)</f>
        <v>0</v>
      </c>
      <c r="AP85" s="67" t="n">
        <f aca="false">IF(AP$4=1,Inputs!$E$65,0)</f>
        <v>0</v>
      </c>
      <c r="AQ85" s="67" t="n">
        <f aca="false">IF(AQ$4=1,Inputs!$E$65,0)</f>
        <v>0</v>
      </c>
      <c r="AR85" s="67" t="n">
        <f aca="false">IF(AR$4=1,Inputs!$E$65,0)</f>
        <v>0</v>
      </c>
      <c r="AS85" s="67" t="n">
        <f aca="false">IF(AS$4=1,Inputs!$E$65,0)</f>
        <v>0</v>
      </c>
      <c r="AT85" s="67" t="n">
        <f aca="false">IF(AT$4=1,Inputs!$E$65,0)</f>
        <v>0</v>
      </c>
      <c r="AU85" s="67" t="n">
        <f aca="false">IF(AU$4=1,Inputs!$E$65,0)</f>
        <v>0</v>
      </c>
      <c r="AV85" s="67" t="n">
        <f aca="false">IF(AV$4=1,Inputs!$E$65,0)</f>
        <v>0</v>
      </c>
      <c r="AW85" s="67" t="n">
        <f aca="false">IF(AW$4=1,Inputs!$E$65,0)</f>
        <v>0</v>
      </c>
      <c r="AX85" s="67" t="n">
        <f aca="false">IF(AX$4=1,Inputs!$E$65,0)</f>
        <v>0</v>
      </c>
      <c r="AY85" s="67" t="n">
        <f aca="false">IF(AY$4=1,Inputs!$E$65,0)</f>
        <v>0</v>
      </c>
      <c r="AZ85" s="67" t="n">
        <f aca="false">IF(AZ$4=1,Inputs!$E$65,0)</f>
        <v>0</v>
      </c>
      <c r="BA85" s="67" t="n">
        <f aca="false">IF(BA$4=1,Inputs!$E$65,0)</f>
        <v>0</v>
      </c>
      <c r="BB85" s="67" t="n">
        <f aca="false">IF(BB$4=1,Inputs!$E$65,0)</f>
        <v>0</v>
      </c>
      <c r="BC85" s="67" t="n">
        <f aca="false">IF(BC$4=1,Inputs!$E$65,0)</f>
        <v>0</v>
      </c>
      <c r="BD85" s="67" t="n">
        <f aca="false">IF(BD$4=1,Inputs!$E$65,0)</f>
        <v>0</v>
      </c>
      <c r="BE85" s="67" t="n">
        <f aca="false">IF(BE$4=1,Inputs!$E$65,0)</f>
        <v>0</v>
      </c>
      <c r="BF85" s="67" t="n">
        <f aca="false">IF(BF$4=1,Inputs!$E$65,0)</f>
        <v>0</v>
      </c>
      <c r="BG85" s="67" t="n">
        <f aca="false">IF(BG$4=1,Inputs!$E$65,0)</f>
        <v>0</v>
      </c>
      <c r="BH85" s="67" t="n">
        <f aca="false">IF(BH$4=1,Inputs!$E$65,0)</f>
        <v>0</v>
      </c>
      <c r="BI85" s="67" t="n">
        <f aca="false">IF(BI$4=1,Inputs!$E$65,0)</f>
        <v>0</v>
      </c>
      <c r="BJ85" s="67" t="n">
        <f aca="false">IF(BJ$4=1,Inputs!$E$65,0)</f>
        <v>0</v>
      </c>
    </row>
    <row r="86" customFormat="false" ht="15" hidden="false" customHeight="false" outlineLevel="0" collapsed="false">
      <c r="A86" s="6" t="s">
        <v>54</v>
      </c>
      <c r="C86" s="67" t="n">
        <f aca="false">C85+C68+C70</f>
        <v>929382.770680291</v>
      </c>
      <c r="D86" s="67" t="n">
        <f aca="false">D85+D68+D70</f>
        <v>-620.82982407376</v>
      </c>
      <c r="E86" s="67" t="n">
        <f aca="false">E85+E68+E70</f>
        <v>-624.451331380857</v>
      </c>
      <c r="F86" s="67" t="n">
        <f aca="false">F85+F68+F70</f>
        <v>-628.093964147245</v>
      </c>
      <c r="G86" s="67" t="n">
        <f aca="false">G85+G68+G70</f>
        <v>-631.757845604771</v>
      </c>
      <c r="H86" s="67" t="n">
        <f aca="false">H85+H68+H70</f>
        <v>-635.443099704132</v>
      </c>
      <c r="I86" s="67" t="n">
        <f aca="false">I85+I68+I70</f>
        <v>-639.149851119073</v>
      </c>
      <c r="J86" s="67" t="n">
        <f aca="false">J85+J68+J70</f>
        <v>-642.878225250601</v>
      </c>
      <c r="K86" s="67" t="n">
        <f aca="false">K85+K68+K70</f>
        <v>-646.62834823123</v>
      </c>
      <c r="L86" s="67" t="n">
        <f aca="false">L85+L68+L70</f>
        <v>-650.400346929245</v>
      </c>
      <c r="M86" s="67" t="n">
        <f aca="false">M85+M68+M70</f>
        <v>-654.194348952999</v>
      </c>
      <c r="N86" s="67" t="n">
        <f aca="false">N85+N68+N70</f>
        <v>-658.010482655225</v>
      </c>
      <c r="O86" s="67" t="n">
        <f aca="false">O85+O68+O70</f>
        <v>-661.84887713738</v>
      </c>
      <c r="P86" s="67" t="n">
        <f aca="false">P85+P68+P70</f>
        <v>-665.709662254014</v>
      </c>
      <c r="Q86" s="67" t="n">
        <f aca="false">Q85+Q68+Q70</f>
        <v>-669.592968617164</v>
      </c>
      <c r="R86" s="67" t="n">
        <f aca="false">R85+R68+R70</f>
        <v>-673.498927600764</v>
      </c>
      <c r="S86" s="67" t="n">
        <f aca="false">S85+S68+S70</f>
        <v>-677.427671345101</v>
      </c>
      <c r="T86" s="67" t="n">
        <f aca="false">T85+T68+T70</f>
        <v>-681.379332761281</v>
      </c>
      <c r="U86" s="67" t="n">
        <f aca="false">U85+U68+U70</f>
        <v>-685.354045535722</v>
      </c>
      <c r="V86" s="67" t="n">
        <f aca="false">V85+V68+V70</f>
        <v>-689.35194413468</v>
      </c>
      <c r="W86" s="67" t="n">
        <f aca="false">W85+W68+W70</f>
        <v>-693.373163808799</v>
      </c>
      <c r="X86" s="67" t="n">
        <f aca="false">X85+X68+X70</f>
        <v>-697.417840597684</v>
      </c>
      <c r="Y86" s="67" t="n">
        <f aca="false">Y85+Y68+Y70</f>
        <v>-701.486111334503</v>
      </c>
      <c r="Z86" s="67" t="n">
        <f aca="false">Z85+Z68+Z70</f>
        <v>-705.578113650622</v>
      </c>
      <c r="AA86" s="67" t="n">
        <f aca="false">AA85+AA68+AA70</f>
        <v>-709.69398598025</v>
      </c>
      <c r="AB86" s="67" t="n">
        <f aca="false">AB85+AB68+AB70</f>
        <v>-713.833867565135</v>
      </c>
      <c r="AC86" s="67" t="n">
        <f aca="false">AC85+AC68+AC70</f>
        <v>-717.997898459265</v>
      </c>
      <c r="AD86" s="67" t="n">
        <f aca="false">AD85+AD68+AD70</f>
        <v>-722.186219533611</v>
      </c>
      <c r="AE86" s="67" t="n">
        <f aca="false">AE85+AE68+AE70</f>
        <v>-726.39897248089</v>
      </c>
      <c r="AF86" s="67" t="n">
        <f aca="false">AF85+AF68+AF70</f>
        <v>-730.636299820362</v>
      </c>
      <c r="AG86" s="67" t="n">
        <f aca="false">AG85+AG68+AG70</f>
        <v>-734.898344902647</v>
      </c>
      <c r="AH86" s="67" t="n">
        <f aca="false">AH85+AH68+AH70</f>
        <v>-739.18525191458</v>
      </c>
      <c r="AI86" s="67" t="n">
        <f aca="false">AI85+AI68+AI70</f>
        <v>-743.497165884082</v>
      </c>
      <c r="AJ86" s="67" t="n">
        <f aca="false">AJ85+AJ68+AJ70</f>
        <v>-747.834232685072</v>
      </c>
      <c r="AK86" s="67" t="n">
        <f aca="false">AK85+AK68+AK70</f>
        <v>-752.196599042402</v>
      </c>
      <c r="AL86" s="67" t="n">
        <f aca="false">AL85+AL68+AL70</f>
        <v>-756.584412536815</v>
      </c>
      <c r="AM86" s="67" t="n">
        <f aca="false">AM85+AM68+AM70</f>
        <v>-760.997821609948</v>
      </c>
      <c r="AN86" s="67" t="n">
        <f aca="false">AN85+AN68+AN70</f>
        <v>-765.436975569339</v>
      </c>
      <c r="AO86" s="67" t="n">
        <f aca="false">AO85+AO68+AO70</f>
        <v>-769.902024593493</v>
      </c>
      <c r="AP86" s="67" t="n">
        <f aca="false">AP85+AP68+AP70</f>
        <v>-774.393119736955</v>
      </c>
      <c r="AQ86" s="67" t="n">
        <f aca="false">AQ85+AQ68+AQ70</f>
        <v>-778.910412935421</v>
      </c>
      <c r="AR86" s="67" t="n">
        <f aca="false">AR85+AR68+AR70</f>
        <v>-783.454057010878</v>
      </c>
      <c r="AS86" s="67" t="n">
        <f aca="false">AS85+AS68+AS70</f>
        <v>-788.024205676774</v>
      </c>
      <c r="AT86" s="67" t="n">
        <f aca="false">AT85+AT68+AT70</f>
        <v>-792.621013543222</v>
      </c>
      <c r="AU86" s="67" t="n">
        <f aca="false">AU85+AU68+AU70</f>
        <v>-797.244636122224</v>
      </c>
      <c r="AV86" s="67" t="n">
        <f aca="false">AV85+AV68+AV70</f>
        <v>-801.895229832937</v>
      </c>
      <c r="AW86" s="67" t="n">
        <f aca="false">AW85+AW68+AW70</f>
        <v>-806.572952006962</v>
      </c>
      <c r="AX86" s="67" t="n">
        <f aca="false">AX85+AX68+AX70</f>
        <v>-811.277960893669</v>
      </c>
      <c r="AY86" s="67" t="n">
        <f aca="false">AY85+AY68+AY70</f>
        <v>-816.010415665549</v>
      </c>
      <c r="AZ86" s="67" t="n">
        <f aca="false">AZ85+AZ68+AZ70</f>
        <v>-820.770476423598</v>
      </c>
      <c r="BA86" s="67" t="n">
        <f aca="false">BA85+BA68+BA70</f>
        <v>-825.558304202736</v>
      </c>
      <c r="BB86" s="67" t="n">
        <f aca="false">BB85+BB68+BB70</f>
        <v>-830.374060977252</v>
      </c>
      <c r="BC86" s="67" t="n">
        <f aca="false">BC85+BC68+BC70</f>
        <v>-835.217909666286</v>
      </c>
      <c r="BD86" s="67" t="n">
        <f aca="false">BD85+BD68+BD70</f>
        <v>-840.09001413934</v>
      </c>
      <c r="BE86" s="67" t="n">
        <f aca="false">BE85+BE68+BE70</f>
        <v>-844.990539221819</v>
      </c>
      <c r="BF86" s="67" t="n">
        <f aca="false">BF85+BF68+BF70</f>
        <v>-849.919650700613</v>
      </c>
      <c r="BG86" s="67" t="n">
        <f aca="false">BG85+BG68+BG70</f>
        <v>-854.8775153297</v>
      </c>
      <c r="BH86" s="67" t="n">
        <f aca="false">BH85+BH68+BH70</f>
        <v>-859.86430083579</v>
      </c>
      <c r="BI86" s="67" t="n">
        <f aca="false">BI85+BI68+BI70</f>
        <v>-864.880175923999</v>
      </c>
      <c r="BJ86" s="67" t="n">
        <f aca="false">BJ85+BJ68+BJ70</f>
        <v>-869.925310283555</v>
      </c>
    </row>
    <row r="87" customFormat="false" ht="15" hidden="false" customHeight="false" outlineLevel="0" collapsed="false">
      <c r="A87" s="111" t="s">
        <v>439</v>
      </c>
      <c r="C87" s="68" t="n">
        <f aca="false">C83+C84+C86</f>
        <v>57074.0598785135</v>
      </c>
      <c r="D87" s="68" t="n">
        <f aca="false">D83+D84+D86</f>
        <v>-10455.3805373088</v>
      </c>
      <c r="E87" s="68" t="n">
        <f aca="false">E83+E84+E86</f>
        <v>-9180.06972690879</v>
      </c>
      <c r="F87" s="68" t="n">
        <f aca="false">F83+F84+F86</f>
        <v>-7904.75891650879</v>
      </c>
      <c r="G87" s="68" t="n">
        <f aca="false">G83+G84+G86</f>
        <v>-6629.44810610879</v>
      </c>
      <c r="H87" s="68" t="n">
        <f aca="false">H83+H84+H86</f>
        <v>379.258860735652</v>
      </c>
      <c r="I87" s="68" t="n">
        <f aca="false">I83+I84+I86</f>
        <v>1823.01696962454</v>
      </c>
      <c r="J87" s="68" t="n">
        <f aca="false">J83+J84+J86</f>
        <v>3562.07716562455</v>
      </c>
      <c r="K87" s="68" t="n">
        <f aca="false">K83+K84+K86</f>
        <v>-1906.56066361991</v>
      </c>
      <c r="L87" s="68" t="n">
        <f aca="false">L83+L84+L86</f>
        <v>-252.894054108789</v>
      </c>
      <c r="M87" s="68" t="n">
        <f aca="false">M83+M84+M86</f>
        <v>1022.41675629121</v>
      </c>
      <c r="N87" s="68" t="n">
        <f aca="false">N83+N84+N86</f>
        <v>946.284186957875</v>
      </c>
      <c r="O87" s="68" t="n">
        <f aca="false">O83+O84+O86</f>
        <v>2028.95143719965</v>
      </c>
      <c r="P87" s="68" t="n">
        <f aca="false">P83+P84+P86</f>
        <v>1863.54630372854</v>
      </c>
      <c r="Q87" s="68" t="n">
        <f aca="false">Q83+Q84+Q86</f>
        <v>1863.54630372854</v>
      </c>
      <c r="R87" s="68" t="n">
        <f aca="false">R83+R84+R86</f>
        <v>1863.54630372854</v>
      </c>
      <c r="S87" s="68" t="n">
        <f aca="false">S83+S84+S86</f>
        <v>1863.54630372854</v>
      </c>
      <c r="T87" s="68" t="n">
        <f aca="false">T83+T84+T86</f>
        <v>10468.5548779579</v>
      </c>
      <c r="U87" s="68" t="n">
        <f aca="false">U83+U84+U86</f>
        <v>9983.79804558454</v>
      </c>
      <c r="V87" s="68" t="n">
        <f aca="false">V83+V84+V86</f>
        <v>9983.79804558454</v>
      </c>
      <c r="W87" s="68" t="n">
        <f aca="false">W83+W84+W86</f>
        <v>1378.78947135521</v>
      </c>
      <c r="X87" s="68" t="n">
        <f aca="false">X83+X84+X86</f>
        <v>1863.54630372854</v>
      </c>
      <c r="Y87" s="68" t="n">
        <f aca="false">Y83+Y84+Y86</f>
        <v>1863.54630372854</v>
      </c>
      <c r="Z87" s="68" t="n">
        <f aca="false">Z83+Z84+Z86</f>
        <v>1863.54630372854</v>
      </c>
      <c r="AA87" s="68" t="n">
        <f aca="false">AA83+AA84+AA86</f>
        <v>2933.17174683255</v>
      </c>
      <c r="AB87" s="68" t="n">
        <f aca="false">AB83+AB84+AB86</f>
        <v>2761.4818336078</v>
      </c>
      <c r="AC87" s="68" t="n">
        <f aca="false">AC83+AC84+AC86</f>
        <v>2761.4818336078</v>
      </c>
      <c r="AD87" s="68" t="n">
        <f aca="false">AD83+AD84+AD86</f>
        <v>2761.4818336078</v>
      </c>
      <c r="AE87" s="68" t="n">
        <f aca="false">AE83+AE84+AE86</f>
        <v>2761.4818336078</v>
      </c>
      <c r="AF87" s="68" t="n">
        <f aca="false">AF83+AF84+AF86</f>
        <v>11801.9038416931</v>
      </c>
      <c r="AG87" s="68" t="n">
        <f aca="false">AG83+AG84+AG86</f>
        <v>11292.6183136017</v>
      </c>
      <c r="AH87" s="68" t="n">
        <f aca="false">AH83+AH84+AH86</f>
        <v>11292.6183136017</v>
      </c>
      <c r="AI87" s="68" t="n">
        <f aca="false">AI83+AI84+AI86</f>
        <v>2252.19630551638</v>
      </c>
      <c r="AJ87" s="68" t="n">
        <f aca="false">AJ83+AJ84+AJ86</f>
        <v>2761.4818336078</v>
      </c>
      <c r="AK87" s="68" t="n">
        <f aca="false">AK83+AK84+AK86</f>
        <v>2761.4818336078</v>
      </c>
      <c r="AL87" s="68" t="n">
        <f aca="false">AL83+AL84+AL86</f>
        <v>2761.4818336078</v>
      </c>
      <c r="AM87" s="68" t="n">
        <f aca="false">AM83+AM84+AM86</f>
        <v>3832.66221103289</v>
      </c>
      <c r="AN87" s="68" t="n">
        <f aca="false">AN83+AN84+AN86</f>
        <v>3654.43204979896</v>
      </c>
      <c r="AO87" s="68" t="n">
        <f aca="false">AO83+AO84+AO86</f>
        <v>3654.43204979896</v>
      </c>
      <c r="AP87" s="68" t="n">
        <f aca="false">AP83+AP84+AP86</f>
        <v>3654.43204979896</v>
      </c>
      <c r="AQ87" s="68" t="n">
        <f aca="false">AQ83+AQ84+AQ86</f>
        <v>3654.43204979896</v>
      </c>
      <c r="AR87" s="68" t="n">
        <f aca="false">AR83+AR84+AR86</f>
        <v>13152.2994114934</v>
      </c>
      <c r="AS87" s="68" t="n">
        <f aca="false">AS83+AS84+AS86</f>
        <v>11830.1060720782</v>
      </c>
      <c r="AT87" s="68" t="n">
        <f aca="false">AT83+AT84+AT86</f>
        <v>10468.3380785102</v>
      </c>
      <c r="AU87" s="68" t="n">
        <f aca="false">AU83+AU84+AU86</f>
        <v>2852.64640923433</v>
      </c>
      <c r="AV87" s="68" t="n">
        <f aca="false">AV83+AV84+AV86</f>
        <v>3387.68129649293</v>
      </c>
      <c r="AW87" s="68" t="n">
        <f aca="false">AW83+AW84+AW86</f>
        <v>3387.65511096139</v>
      </c>
      <c r="AX87" s="68" t="n">
        <f aca="false">AX83+AX84+AX86</f>
        <v>3387.62319522018</v>
      </c>
      <c r="AY87" s="68" t="n">
        <f aca="false">AY83+AY84+AY86</f>
        <v>4278.51417346367</v>
      </c>
      <c r="AZ87" s="68" t="n">
        <f aca="false">AZ83+AZ84+AZ86</f>
        <v>4093.46245296888</v>
      </c>
      <c r="BA87" s="68" t="n">
        <f aca="false">BA83+BA84+BA86</f>
        <v>4093.44182934401</v>
      </c>
      <c r="BB87" s="68" t="n">
        <f aca="false">BB83+BB84+BB86</f>
        <v>4093.41534063011</v>
      </c>
      <c r="BC87" s="68" t="n">
        <f aca="false">BC83+BC84+BC86</f>
        <v>4093.38295261416</v>
      </c>
      <c r="BD87" s="68" t="n">
        <f aca="false">BD83+BD84+BD86</f>
        <v>12094.3747238827</v>
      </c>
      <c r="BE87" s="68" t="n">
        <f aca="false">BE83+BE84+BE86</f>
        <v>11532.2012559951</v>
      </c>
      <c r="BF87" s="68" t="n">
        <f aca="false">BF83+BF84+BF86</f>
        <v>11532.1509627933</v>
      </c>
      <c r="BG87" s="68" t="n">
        <f aca="false">BG83+BG84+BG86</f>
        <v>3531.06453843086</v>
      </c>
      <c r="BH87" s="68" t="n">
        <f aca="false">BH83+BH84+BH86</f>
        <v>4093.13131151231</v>
      </c>
      <c r="BI87" s="68" t="n">
        <f aca="false">BI83+BI84+BI86</f>
        <v>4093.06279795254</v>
      </c>
      <c r="BJ87" s="68" t="n">
        <f aca="false">BJ83+BJ84+BJ86</f>
        <v>4092.98813994579</v>
      </c>
    </row>
    <row r="88" customFormat="false" ht="15" hidden="false" customHeight="false" outlineLevel="0" collapsed="false">
      <c r="A88" s="6" t="s">
        <v>341</v>
      </c>
      <c r="C88" s="67" t="n">
        <f aca="false">0</f>
        <v>0</v>
      </c>
      <c r="D88" s="67" t="n">
        <f aca="false">C89</f>
        <v>57074.0598785135</v>
      </c>
      <c r="E88" s="67" t="n">
        <f aca="false">D89</f>
        <v>46618.6793412047</v>
      </c>
      <c r="F88" s="67" t="n">
        <f aca="false">E89</f>
        <v>37438.6096142959</v>
      </c>
      <c r="G88" s="67" t="n">
        <f aca="false">F89</f>
        <v>29533.8506977871</v>
      </c>
      <c r="H88" s="67" t="n">
        <f aca="false">G89</f>
        <v>22904.4025916783</v>
      </c>
      <c r="I88" s="67" t="n">
        <f aca="false">H89</f>
        <v>23283.6614524139</v>
      </c>
      <c r="J88" s="67" t="n">
        <f aca="false">I89</f>
        <v>25106.6784220385</v>
      </c>
      <c r="K88" s="67" t="n">
        <f aca="false">J89</f>
        <v>28668.755587663</v>
      </c>
      <c r="L88" s="67" t="n">
        <f aca="false">K89</f>
        <v>26762.1949240431</v>
      </c>
      <c r="M88" s="67" t="n">
        <f aca="false">L89</f>
        <v>26509.3008699343</v>
      </c>
      <c r="N88" s="67" t="n">
        <f aca="false">M89</f>
        <v>27531.7176262255</v>
      </c>
      <c r="O88" s="67" t="n">
        <f aca="false">N89</f>
        <v>28478.0018131834</v>
      </c>
      <c r="P88" s="67" t="n">
        <f aca="false">O89</f>
        <v>30506.953250383</v>
      </c>
      <c r="Q88" s="67" t="n">
        <f aca="false">P89</f>
        <v>32370.4995541116</v>
      </c>
      <c r="R88" s="67" t="n">
        <f aca="false">Q89</f>
        <v>34234.0458578401</v>
      </c>
      <c r="S88" s="67" t="n">
        <f aca="false">R89</f>
        <v>36097.5921615687</v>
      </c>
      <c r="T88" s="67" t="n">
        <f aca="false">S89</f>
        <v>37961.1384652972</v>
      </c>
      <c r="U88" s="67" t="n">
        <f aca="false">T89</f>
        <v>48429.6933432551</v>
      </c>
      <c r="V88" s="67" t="n">
        <f aca="false">U89</f>
        <v>58413.4913888396</v>
      </c>
      <c r="W88" s="67" t="n">
        <f aca="false">V89</f>
        <v>68397.2894344242</v>
      </c>
      <c r="X88" s="67" t="n">
        <f aca="false">W89</f>
        <v>69776.0789057794</v>
      </c>
      <c r="Y88" s="67" t="n">
        <f aca="false">X89</f>
        <v>71639.6252095079</v>
      </c>
      <c r="Z88" s="67" t="n">
        <f aca="false">Y89</f>
        <v>73503.1715132364</v>
      </c>
      <c r="AA88" s="67" t="n">
        <f aca="false">Z89</f>
        <v>75366.717816965</v>
      </c>
      <c r="AB88" s="67" t="n">
        <f aca="false">AA89</f>
        <v>78299.8895637975</v>
      </c>
      <c r="AC88" s="67" t="n">
        <f aca="false">AB89</f>
        <v>81061.3713974053</v>
      </c>
      <c r="AD88" s="67" t="n">
        <f aca="false">AC89</f>
        <v>83822.8532310131</v>
      </c>
      <c r="AE88" s="67" t="n">
        <f aca="false">AD89</f>
        <v>86584.3350646209</v>
      </c>
      <c r="AF88" s="67" t="n">
        <f aca="false">AE89</f>
        <v>89345.8168982287</v>
      </c>
      <c r="AG88" s="67" t="n">
        <f aca="false">AF89</f>
        <v>101147.720739922</v>
      </c>
      <c r="AH88" s="67" t="n">
        <f aca="false">AG89</f>
        <v>112440.339053524</v>
      </c>
      <c r="AI88" s="67" t="n">
        <f aca="false">AH89</f>
        <v>123732.957367125</v>
      </c>
      <c r="AJ88" s="67" t="n">
        <f aca="false">AI89</f>
        <v>125985.153672642</v>
      </c>
      <c r="AK88" s="67" t="n">
        <f aca="false">AJ89</f>
        <v>128746.635506249</v>
      </c>
      <c r="AL88" s="67" t="n">
        <f aca="false">AK89</f>
        <v>131508.117339857</v>
      </c>
      <c r="AM88" s="67" t="n">
        <f aca="false">AL89</f>
        <v>134269.599173465</v>
      </c>
      <c r="AN88" s="67" t="n">
        <f aca="false">AM89</f>
        <v>138102.261384498</v>
      </c>
      <c r="AO88" s="67" t="n">
        <f aca="false">AN89</f>
        <v>141756.693434297</v>
      </c>
      <c r="AP88" s="67" t="n">
        <f aca="false">AO89</f>
        <v>145411.125484096</v>
      </c>
      <c r="AQ88" s="67" t="n">
        <f aca="false">AP89</f>
        <v>149065.557533895</v>
      </c>
      <c r="AR88" s="67" t="n">
        <f aca="false">AQ89</f>
        <v>152719.989583694</v>
      </c>
      <c r="AS88" s="67" t="n">
        <f aca="false">AR89</f>
        <v>165872.288995187</v>
      </c>
      <c r="AT88" s="67" t="n">
        <f aca="false">AS89</f>
        <v>177702.395067265</v>
      </c>
      <c r="AU88" s="67" t="n">
        <f aca="false">AT89</f>
        <v>188170.733145776</v>
      </c>
      <c r="AV88" s="67" t="n">
        <f aca="false">AU89</f>
        <v>191023.37955501</v>
      </c>
      <c r="AW88" s="67" t="n">
        <f aca="false">AV89</f>
        <v>194411.060851503</v>
      </c>
      <c r="AX88" s="67" t="n">
        <f aca="false">AW89</f>
        <v>197798.715962464</v>
      </c>
      <c r="AY88" s="67" t="n">
        <f aca="false">AX89</f>
        <v>201186.339157684</v>
      </c>
      <c r="AZ88" s="67" t="n">
        <f aca="false">AY89</f>
        <v>205464.853331148</v>
      </c>
      <c r="BA88" s="67" t="n">
        <f aca="false">AZ89</f>
        <v>209558.315784117</v>
      </c>
      <c r="BB88" s="67" t="n">
        <f aca="false">BA89</f>
        <v>213651.757613461</v>
      </c>
      <c r="BC88" s="67" t="n">
        <f aca="false">BB89</f>
        <v>217745.172954091</v>
      </c>
      <c r="BD88" s="67" t="n">
        <f aca="false">BC89</f>
        <v>221838.555906705</v>
      </c>
      <c r="BE88" s="67" t="n">
        <f aca="false">BD89</f>
        <v>233932.930630588</v>
      </c>
      <c r="BF88" s="67" t="n">
        <f aca="false">BE89</f>
        <v>245465.131886583</v>
      </c>
      <c r="BG88" s="67" t="n">
        <f aca="false">BF89</f>
        <v>256997.282849376</v>
      </c>
      <c r="BH88" s="67" t="n">
        <f aca="false">BG89</f>
        <v>260528.347387807</v>
      </c>
      <c r="BI88" s="67" t="n">
        <f aca="false">BH89</f>
        <v>264621.478699319</v>
      </c>
      <c r="BJ88" s="67" t="n">
        <f aca="false">BI89</f>
        <v>268714.541497272</v>
      </c>
    </row>
    <row r="89" customFormat="false" ht="15" hidden="false" customHeight="false" outlineLevel="0" collapsed="false">
      <c r="A89" s="111" t="s">
        <v>87</v>
      </c>
      <c r="C89" s="68" t="n">
        <f aca="false">C88+C87</f>
        <v>57074.0598785135</v>
      </c>
      <c r="D89" s="68" t="n">
        <f aca="false">D88+D87</f>
        <v>46618.6793412047</v>
      </c>
      <c r="E89" s="68" t="n">
        <f aca="false">E88+E87</f>
        <v>37438.6096142959</v>
      </c>
      <c r="F89" s="68" t="n">
        <f aca="false">F88+F87</f>
        <v>29533.8506977871</v>
      </c>
      <c r="G89" s="68" t="n">
        <f aca="false">G88+G87</f>
        <v>22904.4025916783</v>
      </c>
      <c r="H89" s="68" t="n">
        <f aca="false">H88+H87</f>
        <v>23283.6614524139</v>
      </c>
      <c r="I89" s="68" t="n">
        <f aca="false">I88+I87</f>
        <v>25106.6784220385</v>
      </c>
      <c r="J89" s="68" t="n">
        <f aca="false">J88+J87</f>
        <v>28668.755587663</v>
      </c>
      <c r="K89" s="68" t="n">
        <f aca="false">K88+K87</f>
        <v>26762.1949240431</v>
      </c>
      <c r="L89" s="68" t="n">
        <f aca="false">L88+L87</f>
        <v>26509.3008699343</v>
      </c>
      <c r="M89" s="68" t="n">
        <f aca="false">M88+M87</f>
        <v>27531.7176262255</v>
      </c>
      <c r="N89" s="68" t="n">
        <f aca="false">N88+N87</f>
        <v>28478.0018131834</v>
      </c>
      <c r="O89" s="68" t="n">
        <f aca="false">O88+O87</f>
        <v>30506.953250383</v>
      </c>
      <c r="P89" s="68" t="n">
        <f aca="false">P88+P87</f>
        <v>32370.4995541116</v>
      </c>
      <c r="Q89" s="68" t="n">
        <f aca="false">Q88+Q87</f>
        <v>34234.0458578401</v>
      </c>
      <c r="R89" s="68" t="n">
        <f aca="false">R88+R87</f>
        <v>36097.5921615687</v>
      </c>
      <c r="S89" s="68" t="n">
        <f aca="false">S88+S87</f>
        <v>37961.1384652972</v>
      </c>
      <c r="T89" s="68" t="n">
        <f aca="false">T88+T87</f>
        <v>48429.6933432551</v>
      </c>
      <c r="U89" s="68" t="n">
        <f aca="false">U88+U87</f>
        <v>58413.4913888396</v>
      </c>
      <c r="V89" s="68" t="n">
        <f aca="false">V88+V87</f>
        <v>68397.2894344242</v>
      </c>
      <c r="W89" s="68" t="n">
        <f aca="false">W88+W87</f>
        <v>69776.0789057794</v>
      </c>
      <c r="X89" s="68" t="n">
        <f aca="false">X88+X87</f>
        <v>71639.6252095079</v>
      </c>
      <c r="Y89" s="68" t="n">
        <f aca="false">Y88+Y87</f>
        <v>73503.1715132364</v>
      </c>
      <c r="Z89" s="68" t="n">
        <f aca="false">Z88+Z87</f>
        <v>75366.717816965</v>
      </c>
      <c r="AA89" s="68" t="n">
        <f aca="false">AA88+AA87</f>
        <v>78299.8895637975</v>
      </c>
      <c r="AB89" s="68" t="n">
        <f aca="false">AB88+AB87</f>
        <v>81061.3713974053</v>
      </c>
      <c r="AC89" s="68" t="n">
        <f aca="false">AC88+AC87</f>
        <v>83822.8532310131</v>
      </c>
      <c r="AD89" s="68" t="n">
        <f aca="false">AD88+AD87</f>
        <v>86584.3350646209</v>
      </c>
      <c r="AE89" s="68" t="n">
        <f aca="false">AE88+AE87</f>
        <v>89345.8168982287</v>
      </c>
      <c r="AF89" s="68" t="n">
        <f aca="false">AF88+AF87</f>
        <v>101147.720739922</v>
      </c>
      <c r="AG89" s="68" t="n">
        <f aca="false">AG88+AG87</f>
        <v>112440.339053524</v>
      </c>
      <c r="AH89" s="68" t="n">
        <f aca="false">AH88+AH87</f>
        <v>123732.957367125</v>
      </c>
      <c r="AI89" s="68" t="n">
        <f aca="false">AI88+AI87</f>
        <v>125985.153672642</v>
      </c>
      <c r="AJ89" s="68" t="n">
        <f aca="false">AJ88+AJ87</f>
        <v>128746.635506249</v>
      </c>
      <c r="AK89" s="68" t="n">
        <f aca="false">AK88+AK87</f>
        <v>131508.117339857</v>
      </c>
      <c r="AL89" s="68" t="n">
        <f aca="false">AL88+AL87</f>
        <v>134269.599173465</v>
      </c>
      <c r="AM89" s="68" t="n">
        <f aca="false">AM88+AM87</f>
        <v>138102.261384498</v>
      </c>
      <c r="AN89" s="68" t="n">
        <f aca="false">AN88+AN87</f>
        <v>141756.693434297</v>
      </c>
      <c r="AO89" s="68" t="n">
        <f aca="false">AO88+AO87</f>
        <v>145411.125484096</v>
      </c>
      <c r="AP89" s="68" t="n">
        <f aca="false">AP88+AP87</f>
        <v>149065.557533895</v>
      </c>
      <c r="AQ89" s="68" t="n">
        <f aca="false">AQ88+AQ87</f>
        <v>152719.989583694</v>
      </c>
      <c r="AR89" s="68" t="n">
        <f aca="false">AR88+AR87</f>
        <v>165872.288995187</v>
      </c>
      <c r="AS89" s="68" t="n">
        <f aca="false">AS88+AS87</f>
        <v>177702.395067265</v>
      </c>
      <c r="AT89" s="68" t="n">
        <f aca="false">AT88+AT87</f>
        <v>188170.733145776</v>
      </c>
      <c r="AU89" s="68" t="n">
        <f aca="false">AU88+AU87</f>
        <v>191023.37955501</v>
      </c>
      <c r="AV89" s="68" t="n">
        <f aca="false">AV88+AV87</f>
        <v>194411.060851503</v>
      </c>
      <c r="AW89" s="68" t="n">
        <f aca="false">AW88+AW87</f>
        <v>197798.715962464</v>
      </c>
      <c r="AX89" s="68" t="n">
        <f aca="false">AX88+AX87</f>
        <v>201186.339157684</v>
      </c>
      <c r="AY89" s="68" t="n">
        <f aca="false">AY88+AY87</f>
        <v>205464.853331148</v>
      </c>
      <c r="AZ89" s="68" t="n">
        <f aca="false">AZ88+AZ87</f>
        <v>209558.315784117</v>
      </c>
      <c r="BA89" s="68" t="n">
        <f aca="false">BA88+BA87</f>
        <v>213651.757613461</v>
      </c>
      <c r="BB89" s="68" t="n">
        <f aca="false">BB88+BB87</f>
        <v>217745.172954091</v>
      </c>
      <c r="BC89" s="68" t="n">
        <f aca="false">BC88+BC87</f>
        <v>221838.555906705</v>
      </c>
      <c r="BD89" s="68" t="n">
        <f aca="false">BD88+BD87</f>
        <v>233932.930630588</v>
      </c>
      <c r="BE89" s="68" t="n">
        <f aca="false">BE88+BE87</f>
        <v>245465.131886583</v>
      </c>
      <c r="BF89" s="68" t="n">
        <f aca="false">BF88+BF87</f>
        <v>256997.282849376</v>
      </c>
      <c r="BG89" s="68" t="n">
        <f aca="false">BG88+BG87</f>
        <v>260528.347387807</v>
      </c>
      <c r="BH89" s="68" t="n">
        <f aca="false">BH88+BH87</f>
        <v>264621.478699319</v>
      </c>
      <c r="BI89" s="68" t="n">
        <f aca="false">BI88+BI87</f>
        <v>268714.541497272</v>
      </c>
      <c r="BJ89" s="68" t="n">
        <f aca="false">BJ88+BJ87</f>
        <v>272807.529637218</v>
      </c>
    </row>
    <row r="90" customFormat="false" ht="15" hidden="false" customHeight="false" outlineLevel="0" collapsed="false">
      <c r="A90" s="114" t="s">
        <v>440</v>
      </c>
      <c r="C90" s="116" t="n">
        <f aca="false">IF(C42&gt;0,1,0)</f>
        <v>0</v>
      </c>
      <c r="D90" s="116" t="n">
        <f aca="false">IF(D42&gt;0,1,0)</f>
        <v>0</v>
      </c>
      <c r="E90" s="116" t="n">
        <f aca="false">IF(E42&gt;0,1,0)</f>
        <v>0</v>
      </c>
      <c r="F90" s="116" t="n">
        <f aca="false">IF(F42&gt;0,1,0)</f>
        <v>0</v>
      </c>
      <c r="G90" s="116" t="n">
        <f aca="false">IF(G42&gt;0,1,0)</f>
        <v>0</v>
      </c>
      <c r="H90" s="116" t="n">
        <f aca="false">IF(H42&gt;0,1,0)</f>
        <v>1</v>
      </c>
      <c r="I90" s="116" t="n">
        <f aca="false">IF(I42&gt;0,1,0)</f>
        <v>1</v>
      </c>
      <c r="J90" s="116" t="n">
        <f aca="false">IF(J42&gt;0,1,0)</f>
        <v>1</v>
      </c>
      <c r="K90" s="116" t="n">
        <f aca="false">IF(K42&gt;0,1,0)</f>
        <v>1</v>
      </c>
      <c r="L90" s="116" t="n">
        <f aca="false">IF(L42&gt;0,1,0)</f>
        <v>1</v>
      </c>
      <c r="M90" s="116" t="n">
        <f aca="false">IF(M42&gt;0,1,0)</f>
        <v>1</v>
      </c>
      <c r="N90" s="116" t="n">
        <f aca="false">IF(N42&gt;0,1,0)</f>
        <v>1</v>
      </c>
      <c r="O90" s="116" t="n">
        <f aca="false">IF(O42&gt;0,1,0)</f>
        <v>1</v>
      </c>
      <c r="P90" s="116" t="n">
        <f aca="false">IF(P42&gt;0,1,0)</f>
        <v>1</v>
      </c>
      <c r="Q90" s="116" t="n">
        <f aca="false">IF(Q42&gt;0,1,0)</f>
        <v>1</v>
      </c>
      <c r="R90" s="116" t="n">
        <f aca="false">IF(R42&gt;0,1,0)</f>
        <v>1</v>
      </c>
      <c r="S90" s="116" t="n">
        <f aca="false">IF(S42&gt;0,1,0)</f>
        <v>1</v>
      </c>
      <c r="T90" s="116" t="n">
        <f aca="false">IF(T42&gt;0,1,0)</f>
        <v>1</v>
      </c>
      <c r="U90" s="116" t="n">
        <f aca="false">IF(U42&gt;0,1,0)</f>
        <v>1</v>
      </c>
      <c r="V90" s="116" t="n">
        <f aca="false">IF(V42&gt;0,1,0)</f>
        <v>1</v>
      </c>
      <c r="W90" s="116" t="n">
        <f aca="false">IF(W42&gt;0,1,0)</f>
        <v>1</v>
      </c>
      <c r="X90" s="116" t="n">
        <f aca="false">IF(X42&gt;0,1,0)</f>
        <v>1</v>
      </c>
      <c r="Y90" s="116" t="n">
        <f aca="false">IF(Y42&gt;0,1,0)</f>
        <v>1</v>
      </c>
      <c r="Z90" s="116" t="n">
        <f aca="false">IF(Z42&gt;0,1,0)</f>
        <v>1</v>
      </c>
      <c r="AA90" s="116" t="n">
        <f aca="false">IF(AA42&gt;0,1,0)</f>
        <v>1</v>
      </c>
      <c r="AB90" s="116" t="n">
        <f aca="false">IF(AB42&gt;0,1,0)</f>
        <v>1</v>
      </c>
      <c r="AC90" s="116" t="n">
        <f aca="false">IF(AC42&gt;0,1,0)</f>
        <v>1</v>
      </c>
      <c r="AD90" s="116" t="n">
        <f aca="false">IF(AD42&gt;0,1,0)</f>
        <v>1</v>
      </c>
      <c r="AE90" s="116" t="n">
        <f aca="false">IF(AE42&gt;0,1,0)</f>
        <v>1</v>
      </c>
      <c r="AF90" s="116" t="n">
        <f aca="false">IF(AF42&gt;0,1,0)</f>
        <v>1</v>
      </c>
      <c r="AG90" s="116" t="n">
        <f aca="false">IF(AG42&gt;0,1,0)</f>
        <v>1</v>
      </c>
      <c r="AH90" s="116" t="n">
        <f aca="false">IF(AH42&gt;0,1,0)</f>
        <v>1</v>
      </c>
      <c r="AI90" s="116" t="n">
        <f aca="false">IF(AI42&gt;0,1,0)</f>
        <v>1</v>
      </c>
      <c r="AJ90" s="116" t="n">
        <f aca="false">IF(AJ42&gt;0,1,0)</f>
        <v>1</v>
      </c>
      <c r="AK90" s="116" t="n">
        <f aca="false">IF(AK42&gt;0,1,0)</f>
        <v>1</v>
      </c>
      <c r="AL90" s="116" t="n">
        <f aca="false">IF(AL42&gt;0,1,0)</f>
        <v>1</v>
      </c>
      <c r="AM90" s="116" t="n">
        <f aca="false">IF(AM42&gt;0,1,0)</f>
        <v>1</v>
      </c>
      <c r="AN90" s="116" t="n">
        <f aca="false">IF(AN42&gt;0,1,0)</f>
        <v>1</v>
      </c>
      <c r="AO90" s="116" t="n">
        <f aca="false">IF(AO42&gt;0,1,0)</f>
        <v>1</v>
      </c>
      <c r="AP90" s="116" t="n">
        <f aca="false">IF(AP42&gt;0,1,0)</f>
        <v>1</v>
      </c>
      <c r="AQ90" s="116" t="n">
        <f aca="false">IF(AQ42&gt;0,1,0)</f>
        <v>1</v>
      </c>
      <c r="AR90" s="116" t="n">
        <f aca="false">IF(AR42&gt;0,1,0)</f>
        <v>1</v>
      </c>
      <c r="AS90" s="116" t="n">
        <f aca="false">IF(AS42&gt;0,1,0)</f>
        <v>1</v>
      </c>
      <c r="AT90" s="116" t="n">
        <f aca="false">IF(AT42&gt;0,1,0)</f>
        <v>1</v>
      </c>
      <c r="AU90" s="116" t="n">
        <f aca="false">IF(AU42&gt;0,1,0)</f>
        <v>1</v>
      </c>
      <c r="AV90" s="116" t="n">
        <f aca="false">IF(AV42&gt;0,1,0)</f>
        <v>1</v>
      </c>
      <c r="AW90" s="116" t="n">
        <f aca="false">IF(AW42&gt;0,1,0)</f>
        <v>1</v>
      </c>
      <c r="AX90" s="116" t="n">
        <f aca="false">IF(AX42&gt;0,1,0)</f>
        <v>1</v>
      </c>
      <c r="AY90" s="116" t="n">
        <f aca="false">IF(AY42&gt;0,1,0)</f>
        <v>1</v>
      </c>
      <c r="AZ90" s="116" t="n">
        <f aca="false">IF(AZ42&gt;0,1,0)</f>
        <v>1</v>
      </c>
      <c r="BA90" s="116" t="n">
        <f aca="false">IF(BA42&gt;0,1,0)</f>
        <v>1</v>
      </c>
      <c r="BB90" s="116" t="n">
        <f aca="false">IF(BB42&gt;0,1,0)</f>
        <v>1</v>
      </c>
      <c r="BC90" s="116" t="n">
        <f aca="false">IF(BC42&gt;0,1,0)</f>
        <v>1</v>
      </c>
      <c r="BD90" s="116" t="n">
        <f aca="false">IF(BD42&gt;0,1,0)</f>
        <v>1</v>
      </c>
      <c r="BE90" s="116" t="n">
        <f aca="false">IF(BE42&gt;0,1,0)</f>
        <v>1</v>
      </c>
      <c r="BF90" s="116" t="n">
        <f aca="false">IF(BF42&gt;0,1,0)</f>
        <v>1</v>
      </c>
      <c r="BG90" s="116" t="n">
        <f aca="false">IF(BG42&gt;0,1,0)</f>
        <v>1</v>
      </c>
      <c r="BH90" s="116" t="n">
        <f aca="false">IF(BH42&gt;0,1,0)</f>
        <v>1</v>
      </c>
      <c r="BI90" s="116" t="n">
        <f aca="false">IF(BI42&gt;0,1,0)</f>
        <v>1</v>
      </c>
      <c r="BJ90" s="116" t="n">
        <f aca="false">IF(BJ42&gt;0,1,0)</f>
        <v>1</v>
      </c>
    </row>
    <row r="92" customFormat="false" ht="15.75" hidden="false" customHeight="true" outlineLevel="0" collapsed="false">
      <c r="A92" s="7" t="s">
        <v>441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customFormat="false" ht="15" hidden="false" customHeight="false" outlineLevel="0" collapsed="false">
      <c r="A93" s="114" t="s">
        <v>442</v>
      </c>
      <c r="C93" s="116" t="n">
        <f aca="false">IF(C51&gt;0,1,0)</f>
        <v>0</v>
      </c>
      <c r="D93" s="116" t="n">
        <f aca="false">IF(D51&gt;0,1,0)</f>
        <v>0</v>
      </c>
      <c r="E93" s="116" t="n">
        <f aca="false">IF(E51&gt;0,1,0)</f>
        <v>0</v>
      </c>
      <c r="F93" s="116" t="n">
        <f aca="false">IF(F51&gt;0,1,0)</f>
        <v>0</v>
      </c>
      <c r="G93" s="116" t="n">
        <f aca="false">IF(G51&gt;0,1,0)</f>
        <v>0</v>
      </c>
      <c r="H93" s="116" t="n">
        <f aca="false">IF(H51&gt;0,1,0)</f>
        <v>0</v>
      </c>
      <c r="I93" s="116" t="n">
        <f aca="false">IF(I51&gt;0,1,0)</f>
        <v>0</v>
      </c>
      <c r="J93" s="116" t="n">
        <f aca="false">IF(J51&gt;0,1,0)</f>
        <v>1</v>
      </c>
      <c r="K93" s="116" t="n">
        <f aca="false">IF(K51&gt;0,1,0)</f>
        <v>0</v>
      </c>
      <c r="L93" s="116" t="n">
        <f aca="false">IF(L51&gt;0,1,0)</f>
        <v>0</v>
      </c>
      <c r="M93" s="116" t="n">
        <f aca="false">IF(M51&gt;0,1,0)</f>
        <v>0</v>
      </c>
      <c r="N93" s="116" t="n">
        <f aca="false">IF(N51&gt;0,1,0)</f>
        <v>0</v>
      </c>
      <c r="O93" s="116" t="n">
        <f aca="false">IF(O51&gt;0,1,0)</f>
        <v>0</v>
      </c>
      <c r="P93" s="116" t="n">
        <f aca="false">IF(P51&gt;0,1,0)</f>
        <v>0</v>
      </c>
      <c r="Q93" s="116" t="n">
        <f aca="false">IF(Q51&gt;0,1,0)</f>
        <v>0</v>
      </c>
      <c r="R93" s="116" t="n">
        <f aca="false">IF(R51&gt;0,1,0)</f>
        <v>0</v>
      </c>
      <c r="S93" s="116" t="n">
        <f aca="false">IF(S51&gt;0,1,0)</f>
        <v>0</v>
      </c>
      <c r="T93" s="116" t="n">
        <f aca="false">IF(T51&gt;0,1,0)</f>
        <v>1</v>
      </c>
      <c r="U93" s="116" t="n">
        <f aca="false">IF(U51&gt;0,1,0)</f>
        <v>1</v>
      </c>
      <c r="V93" s="116" t="n">
        <f aca="false">IF(V51&gt;0,1,0)</f>
        <v>1</v>
      </c>
      <c r="W93" s="116" t="n">
        <f aca="false">IF(W51&gt;0,1,0)</f>
        <v>0</v>
      </c>
      <c r="X93" s="116" t="n">
        <f aca="false">IF(X51&gt;0,1,0)</f>
        <v>0</v>
      </c>
      <c r="Y93" s="116" t="n">
        <f aca="false">IF(Y51&gt;0,1,0)</f>
        <v>0</v>
      </c>
      <c r="Z93" s="116" t="n">
        <f aca="false">IF(Z51&gt;0,1,0)</f>
        <v>0</v>
      </c>
      <c r="AA93" s="116" t="n">
        <f aca="false">IF(AA51&gt;0,1,0)</f>
        <v>1</v>
      </c>
      <c r="AB93" s="116" t="n">
        <f aca="false">IF(AB51&gt;0,1,0)</f>
        <v>1</v>
      </c>
      <c r="AC93" s="116" t="n">
        <f aca="false">IF(AC51&gt;0,1,0)</f>
        <v>1</v>
      </c>
      <c r="AD93" s="116" t="n">
        <f aca="false">IF(AD51&gt;0,1,0)</f>
        <v>1</v>
      </c>
      <c r="AE93" s="116" t="n">
        <f aca="false">IF(AE51&gt;0,1,0)</f>
        <v>1</v>
      </c>
      <c r="AF93" s="116" t="n">
        <f aca="false">IF(AF51&gt;0,1,0)</f>
        <v>1</v>
      </c>
      <c r="AG93" s="116" t="n">
        <f aca="false">IF(AG51&gt;0,1,0)</f>
        <v>1</v>
      </c>
      <c r="AH93" s="116" t="n">
        <f aca="false">IF(AH51&gt;0,1,0)</f>
        <v>1</v>
      </c>
      <c r="AI93" s="116" t="n">
        <f aca="false">IF(AI51&gt;0,1,0)</f>
        <v>1</v>
      </c>
      <c r="AJ93" s="116" t="n">
        <f aca="false">IF(AJ51&gt;0,1,0)</f>
        <v>1</v>
      </c>
      <c r="AK93" s="116" t="n">
        <f aca="false">IF(AK51&gt;0,1,0)</f>
        <v>1</v>
      </c>
      <c r="AL93" s="116" t="n">
        <f aca="false">IF(AL51&gt;0,1,0)</f>
        <v>1</v>
      </c>
      <c r="AM93" s="116" t="n">
        <f aca="false">IF(AM51&gt;0,1,0)</f>
        <v>1</v>
      </c>
      <c r="AN93" s="116" t="n">
        <f aca="false">IF(AN51&gt;0,1,0)</f>
        <v>1</v>
      </c>
      <c r="AO93" s="116" t="n">
        <f aca="false">IF(AO51&gt;0,1,0)</f>
        <v>1</v>
      </c>
      <c r="AP93" s="116" t="n">
        <f aca="false">IF(AP51&gt;0,1,0)</f>
        <v>1</v>
      </c>
      <c r="AQ93" s="116" t="n">
        <f aca="false">IF(AQ51&gt;0,1,0)</f>
        <v>1</v>
      </c>
      <c r="AR93" s="116" t="n">
        <f aca="false">IF(AR51&gt;0,1,0)</f>
        <v>1</v>
      </c>
      <c r="AS93" s="116" t="n">
        <f aca="false">IF(AS51&gt;0,1,0)</f>
        <v>1</v>
      </c>
      <c r="AT93" s="116" t="n">
        <f aca="false">IF(AT51&gt;0,1,0)</f>
        <v>1</v>
      </c>
      <c r="AU93" s="116" t="n">
        <f aca="false">IF(AU51&gt;0,1,0)</f>
        <v>1</v>
      </c>
      <c r="AV93" s="116" t="n">
        <f aca="false">IF(AV51&gt;0,1,0)</f>
        <v>1</v>
      </c>
      <c r="AW93" s="116" t="n">
        <f aca="false">IF(AW51&gt;0,1,0)</f>
        <v>1</v>
      </c>
      <c r="AX93" s="116" t="n">
        <f aca="false">IF(AX51&gt;0,1,0)</f>
        <v>1</v>
      </c>
      <c r="AY93" s="116" t="n">
        <f aca="false">IF(AY51&gt;0,1,0)</f>
        <v>1</v>
      </c>
      <c r="AZ93" s="116" t="n">
        <f aca="false">IF(AZ51&gt;0,1,0)</f>
        <v>1</v>
      </c>
      <c r="BA93" s="116" t="n">
        <f aca="false">IF(BA51&gt;0,1,0)</f>
        <v>1</v>
      </c>
      <c r="BB93" s="116" t="n">
        <f aca="false">IF(BB51&gt;0,1,0)</f>
        <v>1</v>
      </c>
      <c r="BC93" s="116" t="n">
        <f aca="false">IF(BC51&gt;0,1,0)</f>
        <v>1</v>
      </c>
      <c r="BD93" s="116" t="n">
        <f aca="false">IF(BD51&gt;0,1,0)</f>
        <v>1</v>
      </c>
      <c r="BE93" s="116" t="n">
        <f aca="false">IF(BE51&gt;0,1,0)</f>
        <v>1</v>
      </c>
      <c r="BF93" s="116" t="n">
        <f aca="false">IF(BF51&gt;0,1,0)</f>
        <v>1</v>
      </c>
      <c r="BG93" s="116" t="n">
        <f aca="false">IF(BG51&gt;0,1,0)</f>
        <v>1</v>
      </c>
      <c r="BH93" s="116" t="n">
        <f aca="false">IF(BH51&gt;0,1,0)</f>
        <v>1</v>
      </c>
      <c r="BI93" s="116" t="n">
        <f aca="false">IF(BI51&gt;0,1,0)</f>
        <v>1</v>
      </c>
      <c r="BJ93" s="116" t="n">
        <f aca="false">IF(BJ51&gt;0,1,0)</f>
        <v>1</v>
      </c>
    </row>
    <row r="94" customFormat="false" ht="15" hidden="false" customHeight="false" outlineLevel="0" collapsed="false">
      <c r="A94" s="6" t="s">
        <v>443</v>
      </c>
      <c r="C94" s="67" t="n">
        <f aca="false">C83+C84</f>
        <v>-872308.710801778</v>
      </c>
      <c r="D94" s="67" t="n">
        <f aca="false">D83+D84</f>
        <v>-9834.55071323503</v>
      </c>
      <c r="E94" s="67" t="n">
        <f aca="false">E83+E84</f>
        <v>-8555.61839552794</v>
      </c>
      <c r="F94" s="67" t="n">
        <f aca="false">F83+F84</f>
        <v>-7276.66495236155</v>
      </c>
      <c r="G94" s="67" t="n">
        <f aca="false">G83+G84</f>
        <v>-5997.69026050402</v>
      </c>
      <c r="H94" s="67" t="n">
        <f aca="false">H83+H84</f>
        <v>1014.70196043978</v>
      </c>
      <c r="I94" s="67" t="n">
        <f aca="false">I83+I84</f>
        <v>2462.16682074361</v>
      </c>
      <c r="J94" s="67" t="n">
        <f aca="false">J83+J84</f>
        <v>4204.95539087515</v>
      </c>
      <c r="K94" s="67" t="n">
        <f aca="false">K83+K84</f>
        <v>-1259.93231538868</v>
      </c>
      <c r="L94" s="67" t="n">
        <f aca="false">L83+L84</f>
        <v>397.506292820456</v>
      </c>
      <c r="M94" s="67" t="n">
        <f aca="false">M83+M84</f>
        <v>1676.61110524421</v>
      </c>
      <c r="N94" s="67" t="n">
        <f aca="false">N83+N84</f>
        <v>1604.2946696131</v>
      </c>
      <c r="O94" s="67" t="n">
        <f aca="false">O83+O84</f>
        <v>2690.80031433703</v>
      </c>
      <c r="P94" s="67" t="n">
        <f aca="false">P83+P84</f>
        <v>2529.25596598256</v>
      </c>
      <c r="Q94" s="67" t="n">
        <f aca="false">Q83+Q84</f>
        <v>2533.1392723457</v>
      </c>
      <c r="R94" s="67" t="n">
        <f aca="false">R83+R84</f>
        <v>2537.0452313293</v>
      </c>
      <c r="S94" s="67" t="n">
        <f aca="false">S83+S84</f>
        <v>2540.97397507364</v>
      </c>
      <c r="T94" s="67" t="n">
        <f aca="false">T83+T84</f>
        <v>11149.9342107192</v>
      </c>
      <c r="U94" s="67" t="n">
        <f aca="false">U83+U84</f>
        <v>10669.1520911203</v>
      </c>
      <c r="V94" s="67" t="n">
        <f aca="false">V83+V84</f>
        <v>10673.1499897192</v>
      </c>
      <c r="W94" s="67" t="n">
        <f aca="false">W83+W84</f>
        <v>2072.162635164</v>
      </c>
      <c r="X94" s="67" t="n">
        <f aca="false">X83+X84</f>
        <v>2560.96414432622</v>
      </c>
      <c r="Y94" s="67" t="n">
        <f aca="false">Y83+Y84</f>
        <v>2565.03241506304</v>
      </c>
      <c r="Z94" s="67" t="n">
        <f aca="false">Z83+Z84</f>
        <v>2569.12441737916</v>
      </c>
      <c r="AA94" s="67" t="n">
        <f aca="false">AA83+AA84</f>
        <v>3642.8657328128</v>
      </c>
      <c r="AB94" s="67" t="n">
        <f aca="false">AB83+AB84</f>
        <v>3475.31570117294</v>
      </c>
      <c r="AC94" s="67" t="n">
        <f aca="false">AC83+AC84</f>
        <v>3479.47973206707</v>
      </c>
      <c r="AD94" s="67" t="n">
        <f aca="false">AD83+AD84</f>
        <v>3483.66805314141</v>
      </c>
      <c r="AE94" s="67" t="n">
        <f aca="false">AE83+AE84</f>
        <v>3487.88080608869</v>
      </c>
      <c r="AF94" s="67" t="n">
        <f aca="false">AF83+AF84</f>
        <v>12532.5401415135</v>
      </c>
      <c r="AG94" s="67" t="n">
        <f aca="false">AG83+AG84</f>
        <v>12027.5166585044</v>
      </c>
      <c r="AH94" s="67" t="n">
        <f aca="false">AH83+AH84</f>
        <v>12031.8035655163</v>
      </c>
      <c r="AI94" s="67" t="n">
        <f aca="false">AI83+AI84</f>
        <v>2995.69347140046</v>
      </c>
      <c r="AJ94" s="67" t="n">
        <f aca="false">AJ83+AJ84</f>
        <v>3509.31606629287</v>
      </c>
      <c r="AK94" s="67" t="n">
        <f aca="false">AK83+AK84</f>
        <v>3513.6784326502</v>
      </c>
      <c r="AL94" s="67" t="n">
        <f aca="false">AL83+AL84</f>
        <v>3518.06624614462</v>
      </c>
      <c r="AM94" s="67" t="n">
        <f aca="false">AM83+AM84</f>
        <v>4593.66003264283</v>
      </c>
      <c r="AN94" s="67" t="n">
        <f aca="false">AN83+AN84</f>
        <v>4419.8690253683</v>
      </c>
      <c r="AO94" s="67" t="n">
        <f aca="false">AO83+AO84</f>
        <v>4424.33407439246</v>
      </c>
      <c r="AP94" s="67" t="n">
        <f aca="false">AP83+AP84</f>
        <v>4428.82516953592</v>
      </c>
      <c r="AQ94" s="67" t="n">
        <f aca="false">AQ83+AQ84</f>
        <v>4433.34246273438</v>
      </c>
      <c r="AR94" s="67" t="n">
        <f aca="false">AR83+AR84</f>
        <v>13935.7534685043</v>
      </c>
      <c r="AS94" s="67" t="n">
        <f aca="false">AS83+AS84</f>
        <v>12618.1302777549</v>
      </c>
      <c r="AT94" s="67" t="n">
        <f aca="false">AT83+AT84</f>
        <v>11260.9590920535</v>
      </c>
      <c r="AU94" s="67" t="n">
        <f aca="false">AU83+AU84</f>
        <v>3649.89104535655</v>
      </c>
      <c r="AV94" s="67" t="n">
        <f aca="false">AV83+AV84</f>
        <v>4189.57652632587</v>
      </c>
      <c r="AW94" s="67" t="n">
        <f aca="false">AW83+AW84</f>
        <v>4194.22806296835</v>
      </c>
      <c r="AX94" s="67" t="n">
        <f aca="false">AX83+AX84</f>
        <v>4198.90115611385</v>
      </c>
      <c r="AY94" s="67" t="n">
        <f aca="false">AY83+AY84</f>
        <v>5094.52458912922</v>
      </c>
      <c r="AZ94" s="67" t="n">
        <f aca="false">AZ83+AZ84</f>
        <v>4914.23292939247</v>
      </c>
      <c r="BA94" s="67" t="n">
        <f aca="false">BA83+BA84</f>
        <v>4919.00013354674</v>
      </c>
      <c r="BB94" s="67" t="n">
        <f aca="false">BB83+BB84</f>
        <v>4923.78940160736</v>
      </c>
      <c r="BC94" s="67" t="n">
        <f aca="false">BC83+BC84</f>
        <v>4928.60086228045</v>
      </c>
      <c r="BD94" s="67" t="n">
        <f aca="false">BD83+BD84</f>
        <v>12934.464738022</v>
      </c>
      <c r="BE94" s="67" t="n">
        <f aca="false">BE83+BE84</f>
        <v>12377.1917952169</v>
      </c>
      <c r="BF94" s="67" t="n">
        <f aca="false">BF83+BF84</f>
        <v>12382.0706134939</v>
      </c>
      <c r="BG94" s="67" t="n">
        <f aca="false">BG83+BG84</f>
        <v>4385.94205376057</v>
      </c>
      <c r="BH94" s="67" t="n">
        <f aca="false">BH83+BH84</f>
        <v>4952.9956123481</v>
      </c>
      <c r="BI94" s="67" t="n">
        <f aca="false">BI83+BI84</f>
        <v>4957.94297387654</v>
      </c>
      <c r="BJ94" s="67" t="n">
        <f aca="false">BJ83+BJ84</f>
        <v>4962.91345022934</v>
      </c>
    </row>
    <row r="95" customFormat="false" ht="15" hidden="false" customHeight="false" outlineLevel="0" collapsed="false">
      <c r="A95" s="6" t="s">
        <v>444</v>
      </c>
      <c r="C95" s="67" t="n">
        <f aca="false">C94</f>
        <v>-872308.710801778</v>
      </c>
      <c r="D95" s="67" t="n">
        <f aca="false">C95+D94</f>
        <v>-882143.261515013</v>
      </c>
      <c r="E95" s="67" t="n">
        <f aca="false">D95+E94</f>
        <v>-890698.879910541</v>
      </c>
      <c r="F95" s="67" t="n">
        <f aca="false">E95+F94</f>
        <v>-897975.544862902</v>
      </c>
      <c r="G95" s="67" t="n">
        <f aca="false">F95+G94</f>
        <v>-903973.235123406</v>
      </c>
      <c r="H95" s="67" t="n">
        <f aca="false">G95+H94</f>
        <v>-902958.533162967</v>
      </c>
      <c r="I95" s="67" t="n">
        <f aca="false">H95+I94</f>
        <v>-900496.366342223</v>
      </c>
      <c r="J95" s="67" t="n">
        <f aca="false">I95+J94</f>
        <v>-896291.410951348</v>
      </c>
      <c r="K95" s="67" t="n">
        <f aca="false">J95+K94</f>
        <v>-897551.343266737</v>
      </c>
      <c r="L95" s="67" t="n">
        <f aca="false">K95+L94</f>
        <v>-897153.836973916</v>
      </c>
      <c r="M95" s="67" t="n">
        <f aca="false">L95+M94</f>
        <v>-895477.225868672</v>
      </c>
      <c r="N95" s="67" t="n">
        <f aca="false">M95+N94</f>
        <v>-893872.931199059</v>
      </c>
      <c r="O95" s="67" t="n">
        <f aca="false">N95+O94</f>
        <v>-891182.130884722</v>
      </c>
      <c r="P95" s="67" t="n">
        <f aca="false">O95+P94</f>
        <v>-888652.874918739</v>
      </c>
      <c r="Q95" s="67" t="n">
        <f aca="false">P95+Q94</f>
        <v>-886119.735646393</v>
      </c>
      <c r="R95" s="67" t="n">
        <f aca="false">Q95+R94</f>
        <v>-883582.690415064</v>
      </c>
      <c r="S95" s="67" t="n">
        <f aca="false">R95+S94</f>
        <v>-881041.71643999</v>
      </c>
      <c r="T95" s="67" t="n">
        <f aca="false">S95+T94</f>
        <v>-869891.782229271</v>
      </c>
      <c r="U95" s="67" t="n">
        <f aca="false">T95+U94</f>
        <v>-859222.630138151</v>
      </c>
      <c r="V95" s="67" t="n">
        <f aca="false">U95+V94</f>
        <v>-848549.480148432</v>
      </c>
      <c r="W95" s="67" t="n">
        <f aca="false">V95+W94</f>
        <v>-846477.317513268</v>
      </c>
      <c r="X95" s="67" t="n">
        <f aca="false">W95+X94</f>
        <v>-843916.353368942</v>
      </c>
      <c r="Y95" s="67" t="n">
        <f aca="false">X95+Y94</f>
        <v>-841351.320953879</v>
      </c>
      <c r="Z95" s="67" t="n">
        <f aca="false">Y95+Z94</f>
        <v>-838782.196536499</v>
      </c>
      <c r="AA95" s="67" t="n">
        <f aca="false">Z95+AA94</f>
        <v>-835139.330803687</v>
      </c>
      <c r="AB95" s="67" t="n">
        <f aca="false">AA95+AB94</f>
        <v>-831664.015102514</v>
      </c>
      <c r="AC95" s="67" t="n">
        <f aca="false">AB95+AC94</f>
        <v>-828184.535370447</v>
      </c>
      <c r="AD95" s="67" t="n">
        <f aca="false">AC95+AD94</f>
        <v>-824700.867317305</v>
      </c>
      <c r="AE95" s="67" t="n">
        <f aca="false">AD95+AE94</f>
        <v>-821212.986511216</v>
      </c>
      <c r="AF95" s="67" t="n">
        <f aca="false">AE95+AF94</f>
        <v>-808680.446369703</v>
      </c>
      <c r="AG95" s="67" t="n">
        <f aca="false">AF95+AG94</f>
        <v>-796652.929711199</v>
      </c>
      <c r="AH95" s="67" t="n">
        <f aca="false">AG95+AH94</f>
        <v>-784621.126145682</v>
      </c>
      <c r="AI95" s="67" t="n">
        <f aca="false">AH95+AI94</f>
        <v>-781625.432674282</v>
      </c>
      <c r="AJ95" s="67" t="n">
        <f aca="false">AI95+AJ94</f>
        <v>-778116.116607989</v>
      </c>
      <c r="AK95" s="67" t="n">
        <f aca="false">AJ95+AK94</f>
        <v>-774602.438175339</v>
      </c>
      <c r="AL95" s="67" t="n">
        <f aca="false">AK95+AL94</f>
        <v>-771084.371929194</v>
      </c>
      <c r="AM95" s="67" t="n">
        <f aca="false">AL95+AM94</f>
        <v>-766490.711896551</v>
      </c>
      <c r="AN95" s="67" t="n">
        <f aca="false">AM95+AN94</f>
        <v>-762070.842871183</v>
      </c>
      <c r="AO95" s="67" t="n">
        <f aca="false">AN95+AO94</f>
        <v>-757646.508796791</v>
      </c>
      <c r="AP95" s="67" t="n">
        <f aca="false">AO95+AP94</f>
        <v>-753217.683627255</v>
      </c>
      <c r="AQ95" s="67" t="n">
        <f aca="false">AP95+AQ94</f>
        <v>-748784.34116452</v>
      </c>
      <c r="AR95" s="67" t="n">
        <f aca="false">AQ95+AR94</f>
        <v>-734848.587696016</v>
      </c>
      <c r="AS95" s="67" t="n">
        <f aca="false">AR95+AS94</f>
        <v>-722230.457418261</v>
      </c>
      <c r="AT95" s="67" t="n">
        <f aca="false">AS95+AT94</f>
        <v>-710969.498326208</v>
      </c>
      <c r="AU95" s="67" t="n">
        <f aca="false">AT95+AU94</f>
        <v>-707319.607280851</v>
      </c>
      <c r="AV95" s="67" t="n">
        <f aca="false">AU95+AV94</f>
        <v>-703130.030754525</v>
      </c>
      <c r="AW95" s="67" t="n">
        <f aca="false">AV95+AW94</f>
        <v>-698935.802691557</v>
      </c>
      <c r="AX95" s="67" t="n">
        <f aca="false">AW95+AX94</f>
        <v>-694736.901535443</v>
      </c>
      <c r="AY95" s="67" t="n">
        <f aca="false">AX95+AY94</f>
        <v>-689642.376946314</v>
      </c>
      <c r="AZ95" s="67" t="n">
        <f aca="false">AY95+AZ94</f>
        <v>-684728.144016921</v>
      </c>
      <c r="BA95" s="67" t="n">
        <f aca="false">AZ95+BA94</f>
        <v>-679809.143883374</v>
      </c>
      <c r="BB95" s="67" t="n">
        <f aca="false">BA95+BB94</f>
        <v>-674885.354481767</v>
      </c>
      <c r="BC95" s="67" t="n">
        <f aca="false">BB95+BC94</f>
        <v>-669956.753619487</v>
      </c>
      <c r="BD95" s="67" t="n">
        <f aca="false">BC95+BD94</f>
        <v>-657022.288881465</v>
      </c>
      <c r="BE95" s="67" t="n">
        <f aca="false">BD95+BE94</f>
        <v>-644645.097086248</v>
      </c>
      <c r="BF95" s="67" t="n">
        <f aca="false">BE95+BF94</f>
        <v>-632263.026472754</v>
      </c>
      <c r="BG95" s="67" t="n">
        <f aca="false">BF95+BG94</f>
        <v>-627877.084418993</v>
      </c>
      <c r="BH95" s="67" t="n">
        <f aca="false">BG95+BH94</f>
        <v>-622924.088806645</v>
      </c>
      <c r="BI95" s="67" t="n">
        <f aca="false">BH95+BI94</f>
        <v>-617966.145832769</v>
      </c>
      <c r="BJ95" s="67" t="n">
        <f aca="false">BI95+BJ94</f>
        <v>-613003.232382539</v>
      </c>
    </row>
    <row r="96" customFormat="false" ht="15" hidden="false" customHeight="false" outlineLevel="0" collapsed="false">
      <c r="A96" s="114" t="s">
        <v>445</v>
      </c>
      <c r="C96" s="67" t="n">
        <f aca="false">C95</f>
        <v>-872308.710801778</v>
      </c>
      <c r="D96" s="67" t="n">
        <f aca="false">MIN(C96,D95)</f>
        <v>-882143.261515013</v>
      </c>
      <c r="E96" s="67" t="n">
        <f aca="false">MIN(D96,E95)</f>
        <v>-890698.879910541</v>
      </c>
      <c r="F96" s="67" t="n">
        <f aca="false">MIN(E96,F95)</f>
        <v>-897975.544862902</v>
      </c>
      <c r="G96" s="67" t="n">
        <f aca="false">MIN(F96,G95)</f>
        <v>-903973.235123406</v>
      </c>
      <c r="H96" s="67" t="n">
        <f aca="false">MIN(G96,H95)</f>
        <v>-903973.235123406</v>
      </c>
      <c r="I96" s="67" t="n">
        <f aca="false">MIN(H96,I95)</f>
        <v>-903973.235123406</v>
      </c>
      <c r="J96" s="67" t="n">
        <f aca="false">MIN(I96,J95)</f>
        <v>-903973.235123406</v>
      </c>
      <c r="K96" s="67" t="n">
        <f aca="false">MIN(J96,K95)</f>
        <v>-903973.235123406</v>
      </c>
      <c r="L96" s="67" t="n">
        <f aca="false">MIN(K96,L95)</f>
        <v>-903973.235123406</v>
      </c>
      <c r="M96" s="67" t="n">
        <f aca="false">MIN(L96,M95)</f>
        <v>-903973.235123406</v>
      </c>
      <c r="N96" s="67" t="n">
        <f aca="false">MIN(M96,N95)</f>
        <v>-903973.235123406</v>
      </c>
      <c r="O96" s="67" t="n">
        <f aca="false">MIN(N96,O95)</f>
        <v>-903973.235123406</v>
      </c>
      <c r="P96" s="67" t="n">
        <f aca="false">MIN(O96,P95)</f>
        <v>-903973.235123406</v>
      </c>
      <c r="Q96" s="67" t="n">
        <f aca="false">MIN(P96,Q95)</f>
        <v>-903973.235123406</v>
      </c>
      <c r="R96" s="67" t="n">
        <f aca="false">MIN(Q96,R95)</f>
        <v>-903973.235123406</v>
      </c>
      <c r="S96" s="67" t="n">
        <f aca="false">MIN(R96,S95)</f>
        <v>-903973.235123406</v>
      </c>
      <c r="T96" s="67" t="n">
        <f aca="false">MIN(S96,T95)</f>
        <v>-903973.235123406</v>
      </c>
      <c r="U96" s="67" t="n">
        <f aca="false">MIN(T96,U95)</f>
        <v>-903973.235123406</v>
      </c>
      <c r="V96" s="67" t="n">
        <f aca="false">MIN(U96,V95)</f>
        <v>-903973.235123406</v>
      </c>
      <c r="W96" s="67" t="n">
        <f aca="false">MIN(V96,W95)</f>
        <v>-903973.235123406</v>
      </c>
      <c r="X96" s="67" t="n">
        <f aca="false">MIN(W96,X95)</f>
        <v>-903973.235123406</v>
      </c>
      <c r="Y96" s="67" t="n">
        <f aca="false">MIN(X96,Y95)</f>
        <v>-903973.235123406</v>
      </c>
      <c r="Z96" s="67" t="n">
        <f aca="false">MIN(Y96,Z95)</f>
        <v>-903973.235123406</v>
      </c>
      <c r="AA96" s="67" t="n">
        <f aca="false">MIN(Z96,AA95)</f>
        <v>-903973.235123406</v>
      </c>
      <c r="AB96" s="67" t="n">
        <f aca="false">MIN(AA96,AB95)</f>
        <v>-903973.235123406</v>
      </c>
      <c r="AC96" s="67" t="n">
        <f aca="false">MIN(AB96,AC95)</f>
        <v>-903973.235123406</v>
      </c>
      <c r="AD96" s="67" t="n">
        <f aca="false">MIN(AC96,AD95)</f>
        <v>-903973.235123406</v>
      </c>
      <c r="AE96" s="67" t="n">
        <f aca="false">MIN(AD96,AE95)</f>
        <v>-903973.235123406</v>
      </c>
      <c r="AF96" s="67" t="n">
        <f aca="false">MIN(AE96,AF95)</f>
        <v>-903973.235123406</v>
      </c>
      <c r="AG96" s="67" t="n">
        <f aca="false">MIN(AF96,AG95)</f>
        <v>-903973.235123406</v>
      </c>
      <c r="AH96" s="67" t="n">
        <f aca="false">MIN(AG96,AH95)</f>
        <v>-903973.235123406</v>
      </c>
      <c r="AI96" s="67" t="n">
        <f aca="false">MIN(AH96,AI95)</f>
        <v>-903973.235123406</v>
      </c>
      <c r="AJ96" s="67" t="n">
        <f aca="false">MIN(AI96,AJ95)</f>
        <v>-903973.235123406</v>
      </c>
      <c r="AK96" s="67" t="n">
        <f aca="false">MIN(AJ96,AK95)</f>
        <v>-903973.235123406</v>
      </c>
      <c r="AL96" s="67" t="n">
        <f aca="false">MIN(AK96,AL95)</f>
        <v>-903973.235123406</v>
      </c>
      <c r="AM96" s="67" t="n">
        <f aca="false">MIN(AL96,AM95)</f>
        <v>-903973.235123406</v>
      </c>
      <c r="AN96" s="67" t="n">
        <f aca="false">MIN(AM96,AN95)</f>
        <v>-903973.235123406</v>
      </c>
      <c r="AO96" s="67" t="n">
        <f aca="false">MIN(AN96,AO95)</f>
        <v>-903973.235123406</v>
      </c>
      <c r="AP96" s="67" t="n">
        <f aca="false">MIN(AO96,AP95)</f>
        <v>-903973.235123406</v>
      </c>
      <c r="AQ96" s="67" t="n">
        <f aca="false">MIN(AP96,AQ95)</f>
        <v>-903973.235123406</v>
      </c>
      <c r="AR96" s="67" t="n">
        <f aca="false">MIN(AQ96,AR95)</f>
        <v>-903973.235123406</v>
      </c>
      <c r="AS96" s="67" t="n">
        <f aca="false">MIN(AR96,AS95)</f>
        <v>-903973.235123406</v>
      </c>
      <c r="AT96" s="67" t="n">
        <f aca="false">MIN(AS96,AT95)</f>
        <v>-903973.235123406</v>
      </c>
      <c r="AU96" s="67" t="n">
        <f aca="false">MIN(AT96,AU95)</f>
        <v>-903973.235123406</v>
      </c>
      <c r="AV96" s="67" t="n">
        <f aca="false">MIN(AU96,AV95)</f>
        <v>-903973.235123406</v>
      </c>
      <c r="AW96" s="67" t="n">
        <f aca="false">MIN(AV96,AW95)</f>
        <v>-903973.235123406</v>
      </c>
      <c r="AX96" s="67" t="n">
        <f aca="false">MIN(AW96,AX95)</f>
        <v>-903973.235123406</v>
      </c>
      <c r="AY96" s="67" t="n">
        <f aca="false">MIN(AX96,AY95)</f>
        <v>-903973.235123406</v>
      </c>
      <c r="AZ96" s="67" t="n">
        <f aca="false">MIN(AY96,AZ95)</f>
        <v>-903973.235123406</v>
      </c>
      <c r="BA96" s="67" t="n">
        <f aca="false">MIN(AZ96,BA95)</f>
        <v>-903973.235123406</v>
      </c>
      <c r="BB96" s="67" t="n">
        <f aca="false">MIN(BA96,BB95)</f>
        <v>-903973.235123406</v>
      </c>
      <c r="BC96" s="67" t="n">
        <f aca="false">MIN(BB96,BC95)</f>
        <v>-903973.235123406</v>
      </c>
      <c r="BD96" s="67" t="n">
        <f aca="false">MIN(BC96,BD95)</f>
        <v>-903973.235123406</v>
      </c>
      <c r="BE96" s="67" t="n">
        <f aca="false">MIN(BD96,BE95)</f>
        <v>-903973.235123406</v>
      </c>
      <c r="BF96" s="67" t="n">
        <f aca="false">MIN(BE96,BF95)</f>
        <v>-903973.235123406</v>
      </c>
      <c r="BG96" s="67" t="n">
        <f aca="false">MIN(BF96,BG95)</f>
        <v>-903973.235123406</v>
      </c>
      <c r="BH96" s="67" t="n">
        <f aca="false">MIN(BG96,BH95)</f>
        <v>-903973.235123406</v>
      </c>
      <c r="BI96" s="67" t="n">
        <f aca="false">MIN(BH96,BI95)</f>
        <v>-903973.235123406</v>
      </c>
      <c r="BJ96" s="67" t="n">
        <f aca="false">MIN(BI96,BJ95)</f>
        <v>-903973.235123406</v>
      </c>
    </row>
    <row r="97" customFormat="false" ht="15" hidden="false" customHeight="false" outlineLevel="0" collapsed="false">
      <c r="A97" s="114" t="s">
        <v>446</v>
      </c>
      <c r="C97" s="116" t="n">
        <f aca="false">IF(AND(C95&gt;=0,C96&lt;0),1,0)</f>
        <v>0</v>
      </c>
      <c r="D97" s="116" t="n">
        <f aca="false">IF(AND(D95&gt;=0,D96&lt;0),1,0)</f>
        <v>0</v>
      </c>
      <c r="E97" s="116" t="n">
        <f aca="false">IF(AND(E95&gt;=0,E96&lt;0),1,0)</f>
        <v>0</v>
      </c>
      <c r="F97" s="116" t="n">
        <f aca="false">IF(AND(F95&gt;=0,F96&lt;0),1,0)</f>
        <v>0</v>
      </c>
      <c r="G97" s="116" t="n">
        <f aca="false">IF(AND(G95&gt;=0,G96&lt;0),1,0)</f>
        <v>0</v>
      </c>
      <c r="H97" s="116" t="n">
        <f aca="false">IF(AND(H95&gt;=0,H96&lt;0),1,0)</f>
        <v>0</v>
      </c>
      <c r="I97" s="116" t="n">
        <f aca="false">IF(AND(I95&gt;=0,I96&lt;0),1,0)</f>
        <v>0</v>
      </c>
      <c r="J97" s="116" t="n">
        <f aca="false">IF(AND(J95&gt;=0,J96&lt;0),1,0)</f>
        <v>0</v>
      </c>
      <c r="K97" s="116" t="n">
        <f aca="false">IF(AND(K95&gt;=0,K96&lt;0),1,0)</f>
        <v>0</v>
      </c>
      <c r="L97" s="116" t="n">
        <f aca="false">IF(AND(L95&gt;=0,L96&lt;0),1,0)</f>
        <v>0</v>
      </c>
      <c r="M97" s="116" t="n">
        <f aca="false">IF(AND(M95&gt;=0,M96&lt;0),1,0)</f>
        <v>0</v>
      </c>
      <c r="N97" s="116" t="n">
        <f aca="false">IF(AND(N95&gt;=0,N96&lt;0),1,0)</f>
        <v>0</v>
      </c>
      <c r="O97" s="116" t="n">
        <f aca="false">IF(AND(O95&gt;=0,O96&lt;0),1,0)</f>
        <v>0</v>
      </c>
      <c r="P97" s="116" t="n">
        <f aca="false">IF(AND(P95&gt;=0,P96&lt;0),1,0)</f>
        <v>0</v>
      </c>
      <c r="Q97" s="116" t="n">
        <f aca="false">IF(AND(Q95&gt;=0,Q96&lt;0),1,0)</f>
        <v>0</v>
      </c>
      <c r="R97" s="116" t="n">
        <f aca="false">IF(AND(R95&gt;=0,R96&lt;0),1,0)</f>
        <v>0</v>
      </c>
      <c r="S97" s="116" t="n">
        <f aca="false">IF(AND(S95&gt;=0,S96&lt;0),1,0)</f>
        <v>0</v>
      </c>
      <c r="T97" s="116" t="n">
        <f aca="false">IF(AND(T95&gt;=0,T96&lt;0),1,0)</f>
        <v>0</v>
      </c>
      <c r="U97" s="116" t="n">
        <f aca="false">IF(AND(U95&gt;=0,U96&lt;0),1,0)</f>
        <v>0</v>
      </c>
      <c r="V97" s="116" t="n">
        <f aca="false">IF(AND(V95&gt;=0,V96&lt;0),1,0)</f>
        <v>0</v>
      </c>
      <c r="W97" s="116" t="n">
        <f aca="false">IF(AND(W95&gt;=0,W96&lt;0),1,0)</f>
        <v>0</v>
      </c>
      <c r="X97" s="116" t="n">
        <f aca="false">IF(AND(X95&gt;=0,X96&lt;0),1,0)</f>
        <v>0</v>
      </c>
      <c r="Y97" s="116" t="n">
        <f aca="false">IF(AND(Y95&gt;=0,Y96&lt;0),1,0)</f>
        <v>0</v>
      </c>
      <c r="Z97" s="116" t="n">
        <f aca="false">IF(AND(Z95&gt;=0,Z96&lt;0),1,0)</f>
        <v>0</v>
      </c>
      <c r="AA97" s="116" t="n">
        <f aca="false">IF(AND(AA95&gt;=0,AA96&lt;0),1,0)</f>
        <v>0</v>
      </c>
      <c r="AB97" s="116" t="n">
        <f aca="false">IF(AND(AB95&gt;=0,AB96&lt;0),1,0)</f>
        <v>0</v>
      </c>
      <c r="AC97" s="116" t="n">
        <f aca="false">IF(AND(AC95&gt;=0,AC96&lt;0),1,0)</f>
        <v>0</v>
      </c>
      <c r="AD97" s="116" t="n">
        <f aca="false">IF(AND(AD95&gt;=0,AD96&lt;0),1,0)</f>
        <v>0</v>
      </c>
      <c r="AE97" s="116" t="n">
        <f aca="false">IF(AND(AE95&gt;=0,AE96&lt;0),1,0)</f>
        <v>0</v>
      </c>
      <c r="AF97" s="116" t="n">
        <f aca="false">IF(AND(AF95&gt;=0,AF96&lt;0),1,0)</f>
        <v>0</v>
      </c>
      <c r="AG97" s="116" t="n">
        <f aca="false">IF(AND(AG95&gt;=0,AG96&lt;0),1,0)</f>
        <v>0</v>
      </c>
      <c r="AH97" s="116" t="n">
        <f aca="false">IF(AND(AH95&gt;=0,AH96&lt;0),1,0)</f>
        <v>0</v>
      </c>
      <c r="AI97" s="116" t="n">
        <f aca="false">IF(AND(AI95&gt;=0,AI96&lt;0),1,0)</f>
        <v>0</v>
      </c>
      <c r="AJ97" s="116" t="n">
        <f aca="false">IF(AND(AJ95&gt;=0,AJ96&lt;0),1,0)</f>
        <v>0</v>
      </c>
      <c r="AK97" s="116" t="n">
        <f aca="false">IF(AND(AK95&gt;=0,AK96&lt;0),1,0)</f>
        <v>0</v>
      </c>
      <c r="AL97" s="116" t="n">
        <f aca="false">IF(AND(AL95&gt;=0,AL96&lt;0),1,0)</f>
        <v>0</v>
      </c>
      <c r="AM97" s="116" t="n">
        <f aca="false">IF(AND(AM95&gt;=0,AM96&lt;0),1,0)</f>
        <v>0</v>
      </c>
      <c r="AN97" s="116" t="n">
        <f aca="false">IF(AND(AN95&gt;=0,AN96&lt;0),1,0)</f>
        <v>0</v>
      </c>
      <c r="AO97" s="116" t="n">
        <f aca="false">IF(AND(AO95&gt;=0,AO96&lt;0),1,0)</f>
        <v>0</v>
      </c>
      <c r="AP97" s="116" t="n">
        <f aca="false">IF(AND(AP95&gt;=0,AP96&lt;0),1,0)</f>
        <v>0</v>
      </c>
      <c r="AQ97" s="116" t="n">
        <f aca="false">IF(AND(AQ95&gt;=0,AQ96&lt;0),1,0)</f>
        <v>0</v>
      </c>
      <c r="AR97" s="116" t="n">
        <f aca="false">IF(AND(AR95&gt;=0,AR96&lt;0),1,0)</f>
        <v>0</v>
      </c>
      <c r="AS97" s="116" t="n">
        <f aca="false">IF(AND(AS95&gt;=0,AS96&lt;0),1,0)</f>
        <v>0</v>
      </c>
      <c r="AT97" s="116" t="n">
        <f aca="false">IF(AND(AT95&gt;=0,AT96&lt;0),1,0)</f>
        <v>0</v>
      </c>
      <c r="AU97" s="116" t="n">
        <f aca="false">IF(AND(AU95&gt;=0,AU96&lt;0),1,0)</f>
        <v>0</v>
      </c>
      <c r="AV97" s="116" t="n">
        <f aca="false">IF(AND(AV95&gt;=0,AV96&lt;0),1,0)</f>
        <v>0</v>
      </c>
      <c r="AW97" s="116" t="n">
        <f aca="false">IF(AND(AW95&gt;=0,AW96&lt;0),1,0)</f>
        <v>0</v>
      </c>
      <c r="AX97" s="116" t="n">
        <f aca="false">IF(AND(AX95&gt;=0,AX96&lt;0),1,0)</f>
        <v>0</v>
      </c>
      <c r="AY97" s="116" t="n">
        <f aca="false">IF(AND(AY95&gt;=0,AY96&lt;0),1,0)</f>
        <v>0</v>
      </c>
      <c r="AZ97" s="116" t="n">
        <f aca="false">IF(AND(AZ95&gt;=0,AZ96&lt;0),1,0)</f>
        <v>0</v>
      </c>
      <c r="BA97" s="116" t="n">
        <f aca="false">IF(AND(BA95&gt;=0,BA96&lt;0),1,0)</f>
        <v>0</v>
      </c>
      <c r="BB97" s="116" t="n">
        <f aca="false">IF(AND(BB95&gt;=0,BB96&lt;0),1,0)</f>
        <v>0</v>
      </c>
      <c r="BC97" s="116" t="n">
        <f aca="false">IF(AND(BC95&gt;=0,BC96&lt;0),1,0)</f>
        <v>0</v>
      </c>
      <c r="BD97" s="116" t="n">
        <f aca="false">IF(AND(BD95&gt;=0,BD96&lt;0),1,0)</f>
        <v>0</v>
      </c>
      <c r="BE97" s="116" t="n">
        <f aca="false">IF(AND(BE95&gt;=0,BE96&lt;0),1,0)</f>
        <v>0</v>
      </c>
      <c r="BF97" s="116" t="n">
        <f aca="false">IF(AND(BF95&gt;=0,BF96&lt;0),1,0)</f>
        <v>0</v>
      </c>
      <c r="BG97" s="116" t="n">
        <f aca="false">IF(AND(BG95&gt;=0,BG96&lt;0),1,0)</f>
        <v>0</v>
      </c>
      <c r="BH97" s="116" t="n">
        <f aca="false">IF(AND(BH95&gt;=0,BH96&lt;0),1,0)</f>
        <v>0</v>
      </c>
      <c r="BI97" s="116" t="n">
        <f aca="false">IF(AND(BI95&gt;=0,BI96&lt;0),1,0)</f>
        <v>0</v>
      </c>
      <c r="BJ97" s="116" t="n">
        <f aca="false">IF(AND(BJ95&gt;=0,BJ96&lt;0),1,0)</f>
        <v>0</v>
      </c>
    </row>
    <row r="98" customFormat="false" ht="15" hidden="false" customHeight="false" outlineLevel="0" collapsed="false">
      <c r="A98" s="6" t="s">
        <v>447</v>
      </c>
      <c r="C98" s="67" t="n">
        <f aca="false">C83-C46*(1-Inputs!$E$77)+C84</f>
        <v>-870004.544135111</v>
      </c>
      <c r="D98" s="67" t="n">
        <f aca="false">D83-D46*(1-Inputs!$E$77)+D84</f>
        <v>-7533.22844501669</v>
      </c>
      <c r="E98" s="67" t="n">
        <f aca="false">E83-E46*(1-Inputs!$E$77)+E84</f>
        <v>-6257.1571180822</v>
      </c>
      <c r="F98" s="67" t="n">
        <f aca="false">F83-F46*(1-Inputs!$E$77)+F84</f>
        <v>-4981.08135480126</v>
      </c>
      <c r="G98" s="67" t="n">
        <f aca="false">G83-G46*(1-Inputs!$E$77)+G84</f>
        <v>-3705.00112929517</v>
      </c>
      <c r="H98" s="67" t="n">
        <f aca="false">H83-H46*(1-Inputs!$E$77)+H84</f>
        <v>3304.47974091013</v>
      </c>
      <c r="I98" s="67" t="n">
        <f aca="false">I83-I46*(1-Inputs!$E$77)+I84</f>
        <v>4749.01626759616</v>
      </c>
      <c r="J98" s="67" t="n">
        <f aca="false">J83-J46*(1-Inputs!$E$77)+J84</f>
        <v>6488.85942216378</v>
      </c>
      <c r="K98" s="67" t="n">
        <f aca="false">K83-K46*(1-Inputs!$E$77)+K84</f>
        <v>1021.00911874526</v>
      </c>
      <c r="L98" s="67" t="n">
        <f aca="false">L83-L46*(1-Inputs!$E$77)+L84</f>
        <v>2675.46784798297</v>
      </c>
      <c r="M98" s="67" t="n">
        <f aca="false">M83-M46*(1-Inputs!$E$77)+M84</f>
        <v>3951.57539880795</v>
      </c>
      <c r="N98" s="67" t="n">
        <f aca="false">N83-N46*(1-Inputs!$E$77)+N84</f>
        <v>3876.24421755208</v>
      </c>
      <c r="O98" s="67" t="n">
        <f aca="false">O83-O46*(1-Inputs!$E$77)+O84</f>
        <v>4959.71753063512</v>
      </c>
      <c r="P98" s="67" t="n">
        <f aca="false">P83-P46*(1-Inputs!$E$77)+P84</f>
        <v>4795.1231620385</v>
      </c>
      <c r="Q98" s="67" t="n">
        <f aca="false">Q83-Q46*(1-Inputs!$E$77)+Q84</f>
        <v>4795.93865637476</v>
      </c>
      <c r="R98" s="67" t="n">
        <f aca="false">R83-R46*(1-Inputs!$E$77)+R84</f>
        <v>4796.75890776131</v>
      </c>
      <c r="S98" s="67" t="n">
        <f aca="false">S83-S46*(1-Inputs!$E$77)+S84</f>
        <v>4797.58394394763</v>
      </c>
      <c r="T98" s="67" t="n">
        <f aca="false">T83-T46*(1-Inputs!$E$77)+T84</f>
        <v>13403.4223670744</v>
      </c>
      <c r="U98" s="67" t="n">
        <f aca="false">U83-U46*(1-Inputs!$E$77)+U84</f>
        <v>12919.5002243837</v>
      </c>
      <c r="V98" s="67" t="n">
        <f aca="false">V83-V46*(1-Inputs!$E$77)+V84</f>
        <v>12920.3397830894</v>
      </c>
      <c r="W98" s="67" t="n">
        <f aca="false">W83-W46*(1-Inputs!$E$77)+W84</f>
        <v>4316.17566499167</v>
      </c>
      <c r="X98" s="67" t="n">
        <f aca="false">X83-X46*(1-Inputs!$E$77)+X84</f>
        <v>4801.78187949067</v>
      </c>
      <c r="Y98" s="67" t="n">
        <f aca="false">Y83-Y46*(1-Inputs!$E$77)+Y84</f>
        <v>4802.6362163454</v>
      </c>
      <c r="Z98" s="67" t="n">
        <f aca="false">Z83-Z46*(1-Inputs!$E$77)+Z84</f>
        <v>4803.49553683178</v>
      </c>
      <c r="AA98" s="67" t="n">
        <f aca="false">AA83-AA46*(1-Inputs!$E$77)+AA84</f>
        <v>5873.98531312502</v>
      </c>
      <c r="AB98" s="67" t="n">
        <f aca="false">AB83-AB46*(1-Inputs!$E$77)+AB84</f>
        <v>5703.16477503309</v>
      </c>
      <c r="AC98" s="67" t="n">
        <f aca="false">AC83-AC46*(1-Inputs!$E$77)+AC84</f>
        <v>5704.03922152086</v>
      </c>
      <c r="AD98" s="67" t="n">
        <f aca="false">AD83-AD46*(1-Inputs!$E$77)+AD84</f>
        <v>5704.91876894647</v>
      </c>
      <c r="AE98" s="67" t="n">
        <f aca="false">AE83-AE46*(1-Inputs!$E$77)+AE84</f>
        <v>5705.8034470654</v>
      </c>
      <c r="AF98" s="67" t="n">
        <f aca="false">AF83-AF46*(1-Inputs!$E$77)+AF84</f>
        <v>14747.115293892</v>
      </c>
      <c r="AG98" s="67" t="n">
        <f aca="false">AG83-AG46*(1-Inputs!$E$77)+AG84</f>
        <v>14238.7247952679</v>
      </c>
      <c r="AH98" s="67" t="n">
        <f aca="false">AH83-AH46*(1-Inputs!$E$77)+AH84</f>
        <v>14239.6250457404</v>
      </c>
      <c r="AI98" s="67" t="n">
        <f aca="false">AI83-AI46*(1-Inputs!$E$77)+AI84</f>
        <v>5200.10853958865</v>
      </c>
      <c r="AJ98" s="67" t="n">
        <f aca="false">AJ83-AJ46*(1-Inputs!$E$77)+AJ84</f>
        <v>5710.30485170828</v>
      </c>
      <c r="AK98" s="67" t="n">
        <f aca="false">AK83-AK46*(1-Inputs!$E$77)+AK84</f>
        <v>5711.22094864332</v>
      </c>
      <c r="AL98" s="67" t="n">
        <f aca="false">AL83-AL46*(1-Inputs!$E$77)+AL84</f>
        <v>5712.14238947715</v>
      </c>
      <c r="AM98" s="67" t="n">
        <f aca="false">AM83-AM46*(1-Inputs!$E$77)+AM84</f>
        <v>6784.24958280759</v>
      </c>
      <c r="AN98" s="67" t="n">
        <f aca="false">AN83-AN46*(1-Inputs!$E$77)+AN84</f>
        <v>6606.95164390514</v>
      </c>
      <c r="AO98" s="67" t="n">
        <f aca="false">AO83-AO46*(1-Inputs!$E$77)+AO84</f>
        <v>6607.88930420021</v>
      </c>
      <c r="AP98" s="67" t="n">
        <f aca="false">AP83-AP46*(1-Inputs!$E$77)+AP84</f>
        <v>6608.83243418034</v>
      </c>
      <c r="AQ98" s="67" t="n">
        <f aca="false">AQ83-AQ46*(1-Inputs!$E$77)+AQ84</f>
        <v>6609.78106575201</v>
      </c>
      <c r="AR98" s="67" t="n">
        <f aca="false">AR83-AR46*(1-Inputs!$E$77)+AR84</f>
        <v>16108.6025927023</v>
      </c>
      <c r="AS98" s="67" t="n">
        <f aca="false">AS83-AS46*(1-Inputs!$E$77)+AS84</f>
        <v>14787.3689845069</v>
      </c>
      <c r="AT98" s="67" t="n">
        <f aca="false">AT83-AT46*(1-Inputs!$E$77)+AT84</f>
        <v>13426.5663205909</v>
      </c>
      <c r="AU98" s="67" t="n">
        <f aca="false">AU83-AU46*(1-Inputs!$E$77)+AU84</f>
        <v>5811.84561205661</v>
      </c>
      <c r="AV98" s="67" t="n">
        <f aca="false">AV83-AV46*(1-Inputs!$E$77)+AV84</f>
        <v>6347.85712399446</v>
      </c>
      <c r="AW98" s="67" t="n">
        <f aca="false">AW83-AW46*(1-Inputs!$E$77)+AW84</f>
        <v>6348.81326011946</v>
      </c>
      <c r="AX98" s="67" t="n">
        <f aca="false">AX83-AX46*(1-Inputs!$E$77)+AX84</f>
        <v>6349.76939624446</v>
      </c>
      <c r="AY98" s="67" t="n">
        <f aca="false">AY83-AY46*(1-Inputs!$E$77)+AY84</f>
        <v>7241.65418999005</v>
      </c>
      <c r="AZ98" s="67" t="n">
        <f aca="false">AZ83-AZ46*(1-Inputs!$E$77)+AZ84</f>
        <v>7057.60208225444</v>
      </c>
      <c r="BA98" s="67" t="n">
        <f aca="false">BA83-BA46*(1-Inputs!$E$77)+BA84</f>
        <v>7058.58690246319</v>
      </c>
      <c r="BB98" s="67" t="n">
        <f aca="false">BB83-BB46*(1-Inputs!$E$77)+BB84</f>
        <v>7059.57172267194</v>
      </c>
      <c r="BC98" s="67" t="n">
        <f aca="false">BC83-BC46*(1-Inputs!$E$77)+BC84</f>
        <v>7060.55654288069</v>
      </c>
      <c r="BD98" s="67" t="n">
        <f aca="false">BD83-BD46*(1-Inputs!$E$77)+BD84</f>
        <v>15062.5714560885</v>
      </c>
      <c r="BE98" s="67" t="n">
        <f aca="false">BE83-BE46*(1-Inputs!$E$77)+BE84</f>
        <v>14501.4270984683</v>
      </c>
      <c r="BF98" s="67" t="n">
        <f aca="false">BF83-BF46*(1-Inputs!$E$77)+BF84</f>
        <v>14502.4119186771</v>
      </c>
      <c r="BG98" s="67" t="n">
        <f aca="false">BG83-BG46*(1-Inputs!$E$77)+BG84</f>
        <v>6502.36664588672</v>
      </c>
      <c r="BH98" s="67" t="n">
        <f aca="false">BH83-BH46*(1-Inputs!$E$77)+BH84</f>
        <v>7065.48064392444</v>
      </c>
      <c r="BI98" s="67" t="n">
        <f aca="false">BI83-BI46*(1-Inputs!$E$77)+BI84</f>
        <v>7066.4654641332</v>
      </c>
      <c r="BJ98" s="67" t="n">
        <f aca="false">BJ83-BJ46*(1-Inputs!$E$77)+BJ84</f>
        <v>7067.45028434194</v>
      </c>
    </row>
    <row r="100" customFormat="false" ht="15.75" hidden="false" customHeight="true" outlineLevel="0" collapsed="false">
      <c r="A100" s="7" t="s">
        <v>448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6" t="s">
        <v>97</v>
      </c>
      <c r="C101" s="67" t="n">
        <f aca="false">C85</f>
        <v>430000</v>
      </c>
      <c r="D101" s="67" t="n">
        <f aca="false">C101+D85</f>
        <v>430000</v>
      </c>
      <c r="E101" s="67" t="n">
        <f aca="false">D101+E85</f>
        <v>430000</v>
      </c>
      <c r="F101" s="67" t="n">
        <f aca="false">E101+F85</f>
        <v>430000</v>
      </c>
      <c r="G101" s="67" t="n">
        <f aca="false">F101+G85</f>
        <v>430000</v>
      </c>
      <c r="H101" s="67" t="n">
        <f aca="false">G101+H85</f>
        <v>430000</v>
      </c>
      <c r="I101" s="67" t="n">
        <f aca="false">H101+I85</f>
        <v>430000</v>
      </c>
      <c r="J101" s="67" t="n">
        <f aca="false">I101+J85</f>
        <v>430000</v>
      </c>
      <c r="K101" s="67" t="n">
        <f aca="false">J101+K85</f>
        <v>430000</v>
      </c>
      <c r="L101" s="67" t="n">
        <f aca="false">K101+L85</f>
        <v>430000</v>
      </c>
      <c r="M101" s="67" t="n">
        <f aca="false">L101+M85</f>
        <v>430000</v>
      </c>
      <c r="N101" s="67" t="n">
        <f aca="false">M101+N85</f>
        <v>430000</v>
      </c>
      <c r="O101" s="67" t="n">
        <f aca="false">N101+O85</f>
        <v>430000</v>
      </c>
      <c r="P101" s="67" t="n">
        <f aca="false">O101+P85</f>
        <v>430000</v>
      </c>
      <c r="Q101" s="67" t="n">
        <f aca="false">P101+Q85</f>
        <v>430000</v>
      </c>
      <c r="R101" s="67" t="n">
        <f aca="false">Q101+R85</f>
        <v>430000</v>
      </c>
      <c r="S101" s="67" t="n">
        <f aca="false">R101+S85</f>
        <v>430000</v>
      </c>
      <c r="T101" s="67" t="n">
        <f aca="false">S101+T85</f>
        <v>430000</v>
      </c>
      <c r="U101" s="67" t="n">
        <f aca="false">T101+U85</f>
        <v>430000</v>
      </c>
      <c r="V101" s="67" t="n">
        <f aca="false">U101+V85</f>
        <v>430000</v>
      </c>
      <c r="W101" s="67" t="n">
        <f aca="false">V101+W85</f>
        <v>430000</v>
      </c>
      <c r="X101" s="67" t="n">
        <f aca="false">W101+X85</f>
        <v>430000</v>
      </c>
      <c r="Y101" s="67" t="n">
        <f aca="false">X101+Y85</f>
        <v>430000</v>
      </c>
      <c r="Z101" s="67" t="n">
        <f aca="false">Y101+Z85</f>
        <v>430000</v>
      </c>
      <c r="AA101" s="67" t="n">
        <f aca="false">Z101+AA85</f>
        <v>430000</v>
      </c>
      <c r="AB101" s="67" t="n">
        <f aca="false">AA101+AB85</f>
        <v>430000</v>
      </c>
      <c r="AC101" s="67" t="n">
        <f aca="false">AB101+AC85</f>
        <v>430000</v>
      </c>
      <c r="AD101" s="67" t="n">
        <f aca="false">AC101+AD85</f>
        <v>430000</v>
      </c>
      <c r="AE101" s="67" t="n">
        <f aca="false">AD101+AE85</f>
        <v>430000</v>
      </c>
      <c r="AF101" s="67" t="n">
        <f aca="false">AE101+AF85</f>
        <v>430000</v>
      </c>
      <c r="AG101" s="67" t="n">
        <f aca="false">AF101+AG85</f>
        <v>430000</v>
      </c>
      <c r="AH101" s="67" t="n">
        <f aca="false">AG101+AH85</f>
        <v>430000</v>
      </c>
      <c r="AI101" s="67" t="n">
        <f aca="false">AH101+AI85</f>
        <v>430000</v>
      </c>
      <c r="AJ101" s="67" t="n">
        <f aca="false">AI101+AJ85</f>
        <v>430000</v>
      </c>
      <c r="AK101" s="67" t="n">
        <f aca="false">AJ101+AK85</f>
        <v>430000</v>
      </c>
      <c r="AL101" s="67" t="n">
        <f aca="false">AK101+AL85</f>
        <v>430000</v>
      </c>
      <c r="AM101" s="67" t="n">
        <f aca="false">AL101+AM85</f>
        <v>430000</v>
      </c>
      <c r="AN101" s="67" t="n">
        <f aca="false">AM101+AN85</f>
        <v>430000</v>
      </c>
      <c r="AO101" s="67" t="n">
        <f aca="false">AN101+AO85</f>
        <v>430000</v>
      </c>
      <c r="AP101" s="67" t="n">
        <f aca="false">AO101+AP85</f>
        <v>430000</v>
      </c>
      <c r="AQ101" s="67" t="n">
        <f aca="false">AP101+AQ85</f>
        <v>430000</v>
      </c>
      <c r="AR101" s="67" t="n">
        <f aca="false">AQ101+AR85</f>
        <v>430000</v>
      </c>
      <c r="AS101" s="67" t="n">
        <f aca="false">AR101+AS85</f>
        <v>430000</v>
      </c>
      <c r="AT101" s="67" t="n">
        <f aca="false">AS101+AT85</f>
        <v>430000</v>
      </c>
      <c r="AU101" s="67" t="n">
        <f aca="false">AT101+AU85</f>
        <v>430000</v>
      </c>
      <c r="AV101" s="67" t="n">
        <f aca="false">AU101+AV85</f>
        <v>430000</v>
      </c>
      <c r="AW101" s="67" t="n">
        <f aca="false">AV101+AW85</f>
        <v>430000</v>
      </c>
      <c r="AX101" s="67" t="n">
        <f aca="false">AW101+AX85</f>
        <v>430000</v>
      </c>
      <c r="AY101" s="67" t="n">
        <f aca="false">AX101+AY85</f>
        <v>430000</v>
      </c>
      <c r="AZ101" s="67" t="n">
        <f aca="false">AY101+AZ85</f>
        <v>430000</v>
      </c>
      <c r="BA101" s="67" t="n">
        <f aca="false">AZ101+BA85</f>
        <v>430000</v>
      </c>
      <c r="BB101" s="67" t="n">
        <f aca="false">BA101+BB85</f>
        <v>430000</v>
      </c>
      <c r="BC101" s="67" t="n">
        <f aca="false">BB101+BC85</f>
        <v>430000</v>
      </c>
      <c r="BD101" s="67" t="n">
        <f aca="false">BC101+BD85</f>
        <v>430000</v>
      </c>
      <c r="BE101" s="67" t="n">
        <f aca="false">BD101+BE85</f>
        <v>430000</v>
      </c>
      <c r="BF101" s="67" t="n">
        <f aca="false">BE101+BF85</f>
        <v>430000</v>
      </c>
      <c r="BG101" s="67" t="n">
        <f aca="false">BF101+BG85</f>
        <v>430000</v>
      </c>
      <c r="BH101" s="67" t="n">
        <f aca="false">BG101+BH85</f>
        <v>430000</v>
      </c>
      <c r="BI101" s="67" t="n">
        <f aca="false">BH101+BI85</f>
        <v>430000</v>
      </c>
      <c r="BJ101" s="67" t="n">
        <f aca="false">BI101+BJ85</f>
        <v>430000</v>
      </c>
    </row>
    <row r="102" customFormat="false" ht="15" hidden="false" customHeight="false" outlineLevel="0" collapsed="false">
      <c r="A102" s="6" t="s">
        <v>98</v>
      </c>
      <c r="C102" s="67" t="n">
        <f aca="false">C51</f>
        <v>-14249.3168195556</v>
      </c>
      <c r="D102" s="67" t="n">
        <f aca="false">C102+D51</f>
        <v>-27223.8889910128</v>
      </c>
      <c r="E102" s="67" t="n">
        <f aca="false">D102+E51</f>
        <v>-38923.6955114296</v>
      </c>
      <c r="F102" s="67" t="n">
        <f aca="false">E102+F51</f>
        <v>-49348.7152553467</v>
      </c>
      <c r="G102" s="67" t="n">
        <f aca="false">F102+G51</f>
        <v>-58498.926974073</v>
      </c>
      <c r="H102" s="67" t="n">
        <f aca="false">G102+H51</f>
        <v>-60963.8997962999</v>
      </c>
      <c r="I102" s="67" t="n">
        <f aca="false">H102+I51</f>
        <v>-61690.2723377785</v>
      </c>
      <c r="J102" s="67" t="n">
        <f aca="false">I102+J51</f>
        <v>-60678.0229757922</v>
      </c>
      <c r="K102" s="67" t="n">
        <f aca="false">J102+K51</f>
        <v>-64728.7876169587</v>
      </c>
      <c r="L102" s="67" t="n">
        <f aca="false">K102+L51</f>
        <v>-67504.6361156938</v>
      </c>
      <c r="M102" s="67" t="n">
        <f aca="false">L102+M51</f>
        <v>-69005.5464686718</v>
      </c>
      <c r="N102" s="67" t="n">
        <f aca="false">M102+N51</f>
        <v>-70506.8073546142</v>
      </c>
      <c r="O102" s="67" t="n">
        <f aca="false">N102+O51</f>
        <v>-71068.7593959705</v>
      </c>
      <c r="P102" s="67" t="n">
        <f aca="false">O102+P51</f>
        <v>-71631.1423188769</v>
      </c>
      <c r="Q102" s="67" t="n">
        <f aca="false">P102+Q51</f>
        <v>-72193.9336020867</v>
      </c>
      <c r="R102" s="67" t="n">
        <f aca="false">Q102+R51</f>
        <v>-72757.1105929796</v>
      </c>
      <c r="S102" s="67" t="n">
        <f aca="false">R102+S51</f>
        <v>-73320.6505067949</v>
      </c>
      <c r="T102" s="67" t="n">
        <f aca="false">S102+T51</f>
        <v>-65764.2786840046</v>
      </c>
      <c r="U102" s="67" t="n">
        <f aca="false">T102+U51</f>
        <v>-58208.2238151066</v>
      </c>
      <c r="V102" s="67" t="n">
        <f aca="false">U102+V51</f>
        <v>-50652.4627142763</v>
      </c>
      <c r="W102" s="67" t="n">
        <f aca="false">V102+W51</f>
        <v>-51217.2238022945</v>
      </c>
      <c r="X102" s="67" t="n">
        <f aca="false">W102+X51</f>
        <v>-51782.2318801905</v>
      </c>
      <c r="Y102" s="67" t="n">
        <f aca="false">X102+Y51</f>
        <v>-52347.4633540163</v>
      </c>
      <c r="Z102" s="67" t="n">
        <f aca="false">Y102+Z51</f>
        <v>-52912.8944921927</v>
      </c>
      <c r="AA102" s="67" t="n">
        <f aca="false">Z102+AA51</f>
        <v>-52557.5196448269</v>
      </c>
      <c r="AB102" s="67" t="n">
        <f aca="false">AA102+AB51</f>
        <v>-52202.4253325428</v>
      </c>
      <c r="AC102" s="67" t="n">
        <f aca="false">AB102+AC51</f>
        <v>-51847.5874060313</v>
      </c>
      <c r="AD102" s="67" t="n">
        <f aca="false">AC102+AD51</f>
        <v>-51492.9815751121</v>
      </c>
      <c r="AE102" s="67" t="n">
        <f aca="false">AD102+AE51</f>
        <v>-51138.5834079123</v>
      </c>
      <c r="AF102" s="67" t="n">
        <f aca="false">AE102+AF51</f>
        <v>-42253.2318500458</v>
      </c>
      <c r="AG102" s="67" t="n">
        <f aca="false">AF102+AG51</f>
        <v>-33368.0386637637</v>
      </c>
      <c r="AH102" s="67" t="n">
        <f aca="false">AG102+AH51</f>
        <v>-24482.9789871363</v>
      </c>
      <c r="AI102" s="67" t="n">
        <f aca="false">AH102+AI51</f>
        <v>-24129.1642932</v>
      </c>
      <c r="AJ102" s="67" t="n">
        <f aca="false">AI102+AJ51</f>
        <v>-23775.4329491293</v>
      </c>
      <c r="AK102" s="67" t="n">
        <f aca="false">AJ102+AK51</f>
        <v>-23421.759655368</v>
      </c>
      <c r="AL102" s="67" t="n">
        <f aca="false">AK102+AL51</f>
        <v>-23068.1189647789</v>
      </c>
      <c r="AM102" s="67" t="n">
        <f aca="false">AL102+AM51</f>
        <v>-21797.7974280922</v>
      </c>
      <c r="AN102" s="67" t="n">
        <f aca="false">AM102+AN51</f>
        <v>-20527.5897666128</v>
      </c>
      <c r="AO102" s="67" t="n">
        <f aca="false">AN102+AO51</f>
        <v>-19257.4700852759</v>
      </c>
      <c r="AP102" s="67" t="n">
        <f aca="false">AO102+AP51</f>
        <v>-17987.4123379622</v>
      </c>
      <c r="AQ102" s="67" t="n">
        <f aca="false">AP102+AQ51</f>
        <v>-16717.3903266167</v>
      </c>
      <c r="AR102" s="67" t="n">
        <f aca="false">AQ102+AR51</f>
        <v>-6484.56571448086</v>
      </c>
      <c r="AS102" s="67" t="n">
        <f aca="false">AR102+AS51</f>
        <v>2961.13805355187</v>
      </c>
      <c r="AT102" s="67" t="n">
        <f aca="false">AS102+AT51</f>
        <v>11045.1176067164</v>
      </c>
      <c r="AU102" s="67" t="n">
        <f aca="false">AT102+AU51</f>
        <v>12048.5314598303</v>
      </c>
      <c r="AV102" s="67" t="n">
        <f aca="false">AU102+AV51</f>
        <v>13052.0223889339</v>
      </c>
      <c r="AW102" s="67" t="n">
        <f aca="false">AV102+AW51</f>
        <v>14055.6118255134</v>
      </c>
      <c r="AX102" s="67" t="n">
        <f aca="false">AW102+AX51</f>
        <v>15059.3213260717</v>
      </c>
      <c r="AY102" s="67" t="n">
        <f aca="false">AX102+AY51</f>
        <v>16793.5140691593</v>
      </c>
      <c r="AZ102" s="67" t="n">
        <f aca="false">AY102+AZ51</f>
        <v>18527.7624604129</v>
      </c>
      <c r="BA102" s="67" t="n">
        <f aca="false">AZ102+BA51</f>
        <v>20262.0884357791</v>
      </c>
      <c r="BB102" s="67" t="n">
        <f aca="false">BA102+BB51</f>
        <v>21996.5140591642</v>
      </c>
      <c r="BC102" s="67" t="n">
        <f aca="false">BB102+BC51</f>
        <v>23731.0615231808</v>
      </c>
      <c r="BD102" s="67" t="n">
        <f aca="false">BC102+BD51</f>
        <v>32904.6540650682</v>
      </c>
      <c r="BE102" s="67" t="n">
        <f aca="false">BD102+BE51</f>
        <v>42078.4132219379</v>
      </c>
      <c r="BF102" s="67" t="n">
        <f aca="false">BE102+BF51</f>
        <v>51252.361577043</v>
      </c>
      <c r="BG102" s="67" t="n">
        <f aca="false">BF102+BG51</f>
        <v>52987.620930202</v>
      </c>
      <c r="BH102" s="67" t="n">
        <f aca="false">BG102+BH51</f>
        <v>54723.1150440778</v>
      </c>
      <c r="BI102" s="67" t="n">
        <f aca="false">BH102+BI51</f>
        <v>56458.8668994405</v>
      </c>
      <c r="BJ102" s="67" t="n">
        <f aca="false">BI102+BJ51</f>
        <v>58194.8996111143</v>
      </c>
    </row>
    <row r="103" customFormat="false" ht="15" hidden="false" customHeight="false" outlineLevel="0" collapsed="false">
      <c r="A103" s="4" t="s">
        <v>93</v>
      </c>
      <c r="C103" s="73" t="n">
        <f aca="false">C89+C75+C76+C64</f>
        <v>920855.055749625</v>
      </c>
      <c r="D103" s="73" t="n">
        <f aca="false">D89+D75+D76+D64</f>
        <v>907542.894037427</v>
      </c>
      <c r="E103" s="73" t="n">
        <f aca="false">E89+E75+E76+E64</f>
        <v>895501.876468963</v>
      </c>
      <c r="F103" s="73" t="n">
        <f aca="false">F89+F75+F76+F64</f>
        <v>884732.003044232</v>
      </c>
      <c r="G103" s="73" t="n">
        <f aca="false">G89+G75+G76+G64</f>
        <v>875233.273763234</v>
      </c>
      <c r="H103" s="73" t="n">
        <f aca="false">H89+H75+H76+H64</f>
        <v>873617.723569081</v>
      </c>
      <c r="I103" s="73" t="n">
        <f aca="false">I89+I75+I76+I64</f>
        <v>872638.437926483</v>
      </c>
      <c r="J103" s="73" t="n">
        <f aca="false">J89+J75+J76+J64</f>
        <v>873394.045813219</v>
      </c>
      <c r="K103" s="73" t="n">
        <f aca="false">K89+K75+K76+K64</f>
        <v>867572.274729376</v>
      </c>
      <c r="L103" s="73" t="n">
        <f aca="false">L89+L75+L76+L64</f>
        <v>864429.266167045</v>
      </c>
      <c r="M103" s="73" t="n">
        <f aca="false">M89+M75+M76+M64</f>
        <v>862557.401748448</v>
      </c>
      <c r="N103" s="73" t="n">
        <f aca="false">N89+N75+N76+N64</f>
        <v>860398.13037985</v>
      </c>
      <c r="O103" s="73" t="n">
        <f aca="false">O89+O75+O76+O64</f>
        <v>859528.195433634</v>
      </c>
      <c r="P103" s="73" t="n">
        <f aca="false">P89+P75+P76+P64</f>
        <v>858300.102848474</v>
      </c>
      <c r="Q103" s="73" t="n">
        <f aca="false">Q89+Q75+Q76+Q64</f>
        <v>857067.718596647</v>
      </c>
      <c r="R103" s="73" t="n">
        <f aca="false">R89+R75+R76+R64</f>
        <v>855831.042678153</v>
      </c>
      <c r="S103" s="73" t="n">
        <f aca="false">S89+S75+S76+S64</f>
        <v>854590.075092993</v>
      </c>
      <c r="T103" s="73" t="n">
        <f aca="false">T89+T75+T76+T64</f>
        <v>863268.535714355</v>
      </c>
      <c r="U103" s="73" t="n">
        <f aca="false">U89+U75+U76+U64</f>
        <v>870139.236537717</v>
      </c>
      <c r="V103" s="73" t="n">
        <f aca="false">V89+V75+V76+V64</f>
        <v>877005.645694413</v>
      </c>
      <c r="W103" s="73" t="n">
        <f aca="false">W89+W75+W76+W64</f>
        <v>873944.043311253</v>
      </c>
      <c r="X103" s="73" t="n">
        <f aca="false">X89+X75+X76+X64</f>
        <v>872681.617392759</v>
      </c>
      <c r="Y103" s="73" t="n">
        <f aca="false">Y89+Y75+Y76+Y64</f>
        <v>871414.899807599</v>
      </c>
      <c r="Z103" s="73" t="n">
        <f aca="false">Z89+Z75+Z76+Z64</f>
        <v>870143.890555772</v>
      </c>
      <c r="AA103" s="73" t="n">
        <f aca="false">AA89+AA75+AA76+AA64</f>
        <v>870158.974007632</v>
      </c>
      <c r="AB103" s="73" t="n">
        <f aca="false">AB89+AB75+AB76+AB64</f>
        <v>869800.234452351</v>
      </c>
      <c r="AC103" s="73" t="n">
        <f aca="false">AC89+AC75+AC76+AC64</f>
        <v>869437.074480404</v>
      </c>
      <c r="AD103" s="73" t="n">
        <f aca="false">AD89+AD75+AD76+AD64</f>
        <v>869069.494091789</v>
      </c>
      <c r="AE103" s="73" t="n">
        <f aca="false">AE89+AE75+AE76+AE64</f>
        <v>868697.493286508</v>
      </c>
      <c r="AF103" s="73" t="n">
        <f aca="false">AF89+AF75+AF76+AF64</f>
        <v>878746.932163333</v>
      </c>
      <c r="AG103" s="73" t="n">
        <f aca="false">AG89+AG75+AG76+AG64</f>
        <v>886897.227004713</v>
      </c>
      <c r="AH103" s="73" t="n">
        <f aca="false">AH89+AH75+AH76+AH64</f>
        <v>895043.101429426</v>
      </c>
      <c r="AI103" s="73" t="n">
        <f aca="false">AI89+AI75+AI76+AI64</f>
        <v>892758.695338699</v>
      </c>
      <c r="AJ103" s="73" t="n">
        <f aca="false">AJ89+AJ75+AJ76+AJ64</f>
        <v>892364.592450085</v>
      </c>
      <c r="AK103" s="73" t="n">
        <f aca="false">AK89+AK75+AK76+AK64</f>
        <v>891966.069144804</v>
      </c>
      <c r="AL103" s="73" t="n">
        <f aca="false">AL89+AL75+AL76+AL64</f>
        <v>891563.125422856</v>
      </c>
      <c r="AM103" s="73" t="n">
        <f aca="false">AM89+AM75+AM76+AM64</f>
        <v>892458.103429486</v>
      </c>
      <c r="AN103" s="73" t="n">
        <f aca="false">AN89+AN75+AN76+AN64</f>
        <v>892962.874115396</v>
      </c>
      <c r="AO103" s="73" t="n">
        <f aca="false">AO89+AO75+AO76+AO64</f>
        <v>893463.091772139</v>
      </c>
      <c r="AP103" s="73" t="n">
        <f aca="false">AP89+AP75+AP76+AP64</f>
        <v>893958.756399716</v>
      </c>
      <c r="AQ103" s="73" t="n">
        <f aca="false">AQ89+AQ75+AQ76+AQ64</f>
        <v>894449.867998126</v>
      </c>
      <c r="AR103" s="73" t="n">
        <f aca="false">AR89+AR75+AR76+AR64</f>
        <v>905889.83518714</v>
      </c>
      <c r="AS103" s="73" t="n">
        <f aca="false">AS89+AS75+AS76+AS64</f>
        <v>914547.514749496</v>
      </c>
      <c r="AT103" s="73" t="n">
        <f aca="false">AT89+AT75+AT76+AT64</f>
        <v>921838.873289117</v>
      </c>
      <c r="AU103" s="73" t="n">
        <f aca="false">AU89+AU75+AU76+AU64</f>
        <v>920054.44587222</v>
      </c>
      <c r="AV103" s="73" t="n">
        <f aca="false">AV89+AV75+AV76+AV64</f>
        <v>920256.04157149</v>
      </c>
      <c r="AW103" s="73" t="n">
        <f aca="false">AW89+AW75+AW76+AW64</f>
        <v>920453.058056063</v>
      </c>
      <c r="AX103" s="73" t="n">
        <f aca="false">AX89+AX75+AX76+AX64</f>
        <v>920645.489595727</v>
      </c>
      <c r="AY103" s="73" t="n">
        <f aca="false">AY89+AY75+AY76+AY64</f>
        <v>921966.327049755</v>
      </c>
      <c r="AZ103" s="73" t="n">
        <f aca="false">AZ89+AZ75+AZ76+AZ64</f>
        <v>922879.804964585</v>
      </c>
      <c r="BA103" s="73" t="n">
        <f aca="false">BA89+BA75+BA76+BA64</f>
        <v>923788.572635748</v>
      </c>
      <c r="BB103" s="73" t="n">
        <f aca="false">BB89+BB75+BB76+BB64</f>
        <v>924692.624198156</v>
      </c>
      <c r="BC103" s="73" t="n">
        <f aca="false">BC89+BC75+BC76+BC64</f>
        <v>925591.953752507</v>
      </c>
      <c r="BD103" s="73" t="n">
        <f aca="false">BD89+BD75+BD76+BD64</f>
        <v>936016.777103819</v>
      </c>
      <c r="BE103" s="73" t="n">
        <f aca="false">BE89+BE75+BE76+BE64</f>
        <v>944345.545721466</v>
      </c>
      <c r="BF103" s="73" t="n">
        <f aca="false">BF89+BF75+BF76+BF64</f>
        <v>952669.574425871</v>
      </c>
      <c r="BG103" s="73" t="n">
        <f aca="false">BG89+BG75+BG76+BG64</f>
        <v>951458.635440137</v>
      </c>
      <c r="BH103" s="73" t="n">
        <f aca="false">BH89+BH75+BH76+BH64</f>
        <v>952334.265253177</v>
      </c>
      <c r="BI103" s="73" t="n">
        <f aca="false">BI89+BI75+BI76+BI64</f>
        <v>953205.136932615</v>
      </c>
      <c r="BJ103" s="73" t="n">
        <f aca="false">BJ89+BJ75+BJ76+BJ64</f>
        <v>954071.244334005</v>
      </c>
    </row>
    <row r="104" customFormat="false" ht="15" hidden="false" customHeight="false" outlineLevel="0" collapsed="false">
      <c r="A104" s="6" t="s">
        <v>96</v>
      </c>
      <c r="C104" s="67" t="n">
        <f aca="false">C77+C72</f>
        <v>505104.37256918</v>
      </c>
      <c r="D104" s="67" t="n">
        <f aca="false">D77+D72</f>
        <v>504766.78302844</v>
      </c>
      <c r="E104" s="67" t="n">
        <f aca="false">E77+E72</f>
        <v>504425.571980392</v>
      </c>
      <c r="F104" s="67" t="n">
        <f aca="false">F77+F72</f>
        <v>504080.718299578</v>
      </c>
      <c r="G104" s="67" t="n">
        <f aca="false">G77+G72</f>
        <v>503732.200737307</v>
      </c>
      <c r="H104" s="67" t="n">
        <f aca="false">H77+H72</f>
        <v>504581.62336538</v>
      </c>
      <c r="I104" s="67" t="n">
        <f aca="false">I77+I72</f>
        <v>504328.710264261</v>
      </c>
      <c r="J104" s="67" t="n">
        <f aca="false">J77+J72</f>
        <v>504072.068789011</v>
      </c>
      <c r="K104" s="67" t="n">
        <f aca="false">K77+K72</f>
        <v>502301.062346335</v>
      </c>
      <c r="L104" s="67" t="n">
        <f aca="false">L77+L72</f>
        <v>501933.902282739</v>
      </c>
      <c r="M104" s="67" t="n">
        <f aca="false">M77+M72</f>
        <v>501562.948217119</v>
      </c>
      <c r="N104" s="67" t="n">
        <f aca="false">N77+N72</f>
        <v>500904.937734464</v>
      </c>
      <c r="O104" s="67" t="n">
        <f aca="false">O77+O72</f>
        <v>500596.954829605</v>
      </c>
      <c r="P104" s="67" t="n">
        <f aca="false">P77+P72</f>
        <v>499931.245167351</v>
      </c>
      <c r="Q104" s="67" t="n">
        <f aca="false">Q77+Q72</f>
        <v>499261.652198733</v>
      </c>
      <c r="R104" s="67" t="n">
        <f aca="false">R77+R72</f>
        <v>498588.153271133</v>
      </c>
      <c r="S104" s="67" t="n">
        <f aca="false">S77+S72</f>
        <v>497910.725599788</v>
      </c>
      <c r="T104" s="67" t="n">
        <f aca="false">T77+T72</f>
        <v>499032.81439836</v>
      </c>
      <c r="U104" s="67" t="n">
        <f aca="false">U77+U72</f>
        <v>498347.460352824</v>
      </c>
      <c r="V104" s="67" t="n">
        <f aca="false">V77+V72</f>
        <v>497658.108408689</v>
      </c>
      <c r="W104" s="67" t="n">
        <f aca="false">W77+W72</f>
        <v>495161.267113547</v>
      </c>
      <c r="X104" s="67" t="n">
        <f aca="false">X77+X72</f>
        <v>494463.849272949</v>
      </c>
      <c r="Y104" s="67" t="n">
        <f aca="false">Y77+Y72</f>
        <v>493762.363161615</v>
      </c>
      <c r="Z104" s="67" t="n">
        <f aca="false">Z77+Z72</f>
        <v>493056.785047964</v>
      </c>
      <c r="AA104" s="67" t="n">
        <f aca="false">AA77+AA72</f>
        <v>492716.493652459</v>
      </c>
      <c r="AB104" s="67" t="n">
        <f aca="false">AB77+AB72</f>
        <v>492002.659784894</v>
      </c>
      <c r="AC104" s="67" t="n">
        <f aca="false">AC77+AC72</f>
        <v>491284.661886435</v>
      </c>
      <c r="AD104" s="67" t="n">
        <f aca="false">AD77+AD72</f>
        <v>490562.475666901</v>
      </c>
      <c r="AE104" s="67" t="n">
        <f aca="false">AE77+AE72</f>
        <v>489836.07669442</v>
      </c>
      <c r="AF104" s="67" t="n">
        <f aca="false">AF77+AF72</f>
        <v>491000.164013379</v>
      </c>
      <c r="AG104" s="67" t="n">
        <f aca="false">AG77+AG72</f>
        <v>490265.265668476</v>
      </c>
      <c r="AH104" s="67" t="n">
        <f aca="false">AH77+AH72</f>
        <v>489526.080416561</v>
      </c>
      <c r="AI104" s="67" t="n">
        <f aca="false">AI77+AI72</f>
        <v>486887.859631898</v>
      </c>
      <c r="AJ104" s="67" t="n">
        <f aca="false">AJ77+AJ72</f>
        <v>486140.025399213</v>
      </c>
      <c r="AK104" s="67" t="n">
        <f aca="false">AK77+AK72</f>
        <v>485387.828800171</v>
      </c>
      <c r="AL104" s="67" t="n">
        <f aca="false">AL77+AL72</f>
        <v>484631.244387634</v>
      </c>
      <c r="AM104" s="67" t="n">
        <f aca="false">AM77+AM72</f>
        <v>484255.900857577</v>
      </c>
      <c r="AN104" s="67" t="n">
        <f aca="false">AN77+AN72</f>
        <v>483490.463882008</v>
      </c>
      <c r="AO104" s="67" t="n">
        <f aca="false">AO77+AO72</f>
        <v>482720.561857414</v>
      </c>
      <c r="AP104" s="67" t="n">
        <f aca="false">AP77+AP72</f>
        <v>481946.168737677</v>
      </c>
      <c r="AQ104" s="67" t="n">
        <f aca="false">AQ77+AQ72</f>
        <v>481167.258324742</v>
      </c>
      <c r="AR104" s="67" t="n">
        <f aca="false">AR77+AR72</f>
        <v>482374.40090162</v>
      </c>
      <c r="AS104" s="67" t="n">
        <f aca="false">AS77+AS72</f>
        <v>481586.376695943</v>
      </c>
      <c r="AT104" s="67" t="n">
        <f aca="false">AT77+AT72</f>
        <v>480793.7556824</v>
      </c>
      <c r="AU104" s="67" t="n">
        <f aca="false">AU77+AU72</f>
        <v>478005.914412389</v>
      </c>
      <c r="AV104" s="67" t="n">
        <f aca="false">AV77+AV72</f>
        <v>477204.019182556</v>
      </c>
      <c r="AW104" s="67" t="n">
        <f aca="false">AW77+AW72</f>
        <v>476397.446230549</v>
      </c>
      <c r="AX104" s="67" t="n">
        <f aca="false">AX77+AX72</f>
        <v>475586.168269655</v>
      </c>
      <c r="AY104" s="67" t="n">
        <f aca="false">AY77+AY72</f>
        <v>475172.812980596</v>
      </c>
      <c r="AZ104" s="67" t="n">
        <f aca="false">AZ77+AZ72</f>
        <v>474352.042504172</v>
      </c>
      <c r="BA104" s="67" t="n">
        <f aca="false">BA77+BA72</f>
        <v>473526.484199969</v>
      </c>
      <c r="BB104" s="67" t="n">
        <f aca="false">BB77+BB72</f>
        <v>472696.110138992</v>
      </c>
      <c r="BC104" s="67" t="n">
        <f aca="false">BC77+BC72</f>
        <v>471860.892229326</v>
      </c>
      <c r="BD104" s="67" t="n">
        <f aca="false">BD77+BD72</f>
        <v>473112.12303875</v>
      </c>
      <c r="BE104" s="67" t="n">
        <f aca="false">BE77+BE72</f>
        <v>472267.132499528</v>
      </c>
      <c r="BF104" s="67" t="n">
        <f aca="false">BF77+BF72</f>
        <v>471417.212848828</v>
      </c>
      <c r="BG104" s="67" t="n">
        <f aca="false">BG77+BG72</f>
        <v>468471.014509934</v>
      </c>
      <c r="BH104" s="67" t="n">
        <f aca="false">BH77+BH72</f>
        <v>467611.150209098</v>
      </c>
      <c r="BI104" s="67" t="n">
        <f aca="false">BI77+BI72</f>
        <v>466746.270033174</v>
      </c>
      <c r="BJ104" s="67" t="n">
        <f aca="false">BJ77+BJ72</f>
        <v>465876.344722891</v>
      </c>
    </row>
    <row r="105" customFormat="false" ht="15" hidden="false" customHeight="false" outlineLevel="0" collapsed="false">
      <c r="A105" s="6" t="s">
        <v>99</v>
      </c>
      <c r="C105" s="67" t="n">
        <f aca="false">C101+C102</f>
        <v>415750.683180444</v>
      </c>
      <c r="D105" s="67" t="n">
        <f aca="false">D101+D102</f>
        <v>402776.111008987</v>
      </c>
      <c r="E105" s="67" t="n">
        <f aca="false">E101+E102</f>
        <v>391076.30448857</v>
      </c>
      <c r="F105" s="67" t="n">
        <f aca="false">F101+F102</f>
        <v>380651.284744653</v>
      </c>
      <c r="G105" s="67" t="n">
        <f aca="false">G101+G102</f>
        <v>371501.073025927</v>
      </c>
      <c r="H105" s="67" t="n">
        <f aca="false">H101+H102</f>
        <v>369036.1002037</v>
      </c>
      <c r="I105" s="67" t="n">
        <f aca="false">I101+I102</f>
        <v>368309.727662222</v>
      </c>
      <c r="J105" s="67" t="n">
        <f aca="false">J101+J102</f>
        <v>369321.977024208</v>
      </c>
      <c r="K105" s="67" t="n">
        <f aca="false">K101+K102</f>
        <v>365271.212383041</v>
      </c>
      <c r="L105" s="67" t="n">
        <f aca="false">L101+L102</f>
        <v>362495.363884306</v>
      </c>
      <c r="M105" s="67" t="n">
        <f aca="false">M101+M102</f>
        <v>360994.453531328</v>
      </c>
      <c r="N105" s="67" t="n">
        <f aca="false">N101+N102</f>
        <v>359493.192645386</v>
      </c>
      <c r="O105" s="67" t="n">
        <f aca="false">O101+O102</f>
        <v>358931.240604029</v>
      </c>
      <c r="P105" s="67" t="n">
        <f aca="false">P101+P102</f>
        <v>358368.857681123</v>
      </c>
      <c r="Q105" s="67" t="n">
        <f aca="false">Q101+Q102</f>
        <v>357806.066397913</v>
      </c>
      <c r="R105" s="67" t="n">
        <f aca="false">R101+R102</f>
        <v>357242.88940702</v>
      </c>
      <c r="S105" s="67" t="n">
        <f aca="false">S101+S102</f>
        <v>356679.349493205</v>
      </c>
      <c r="T105" s="67" t="n">
        <f aca="false">T101+T102</f>
        <v>364235.721315995</v>
      </c>
      <c r="U105" s="67" t="n">
        <f aca="false">U101+U102</f>
        <v>371791.776184893</v>
      </c>
      <c r="V105" s="67" t="n">
        <f aca="false">V101+V102</f>
        <v>379347.537285724</v>
      </c>
      <c r="W105" s="67" t="n">
        <f aca="false">W101+W102</f>
        <v>378782.776197706</v>
      </c>
      <c r="X105" s="67" t="n">
        <f aca="false">X101+X102</f>
        <v>378217.76811981</v>
      </c>
      <c r="Y105" s="67" t="n">
        <f aca="false">Y101+Y102</f>
        <v>377652.536645984</v>
      </c>
      <c r="Z105" s="67" t="n">
        <f aca="false">Z101+Z102</f>
        <v>377087.105507807</v>
      </c>
      <c r="AA105" s="67" t="n">
        <f aca="false">AA101+AA102</f>
        <v>377442.480355173</v>
      </c>
      <c r="AB105" s="67" t="n">
        <f aca="false">AB101+AB102</f>
        <v>377797.574667457</v>
      </c>
      <c r="AC105" s="67" t="n">
        <f aca="false">AC101+AC102</f>
        <v>378152.412593969</v>
      </c>
      <c r="AD105" s="67" t="n">
        <f aca="false">AD101+AD102</f>
        <v>378507.018424888</v>
      </c>
      <c r="AE105" s="67" t="n">
        <f aca="false">AE101+AE102</f>
        <v>378861.416592088</v>
      </c>
      <c r="AF105" s="67" t="n">
        <f aca="false">AF101+AF102</f>
        <v>387746.768149954</v>
      </c>
      <c r="AG105" s="67" t="n">
        <f aca="false">AG101+AG102</f>
        <v>396631.961336236</v>
      </c>
      <c r="AH105" s="67" t="n">
        <f aca="false">AH101+AH102</f>
        <v>405517.021012864</v>
      </c>
      <c r="AI105" s="67" t="n">
        <f aca="false">AI101+AI102</f>
        <v>405870.8357068</v>
      </c>
      <c r="AJ105" s="67" t="n">
        <f aca="false">AJ101+AJ102</f>
        <v>406224.567050871</v>
      </c>
      <c r="AK105" s="67" t="n">
        <f aca="false">AK101+AK102</f>
        <v>406578.240344632</v>
      </c>
      <c r="AL105" s="67" t="n">
        <f aca="false">AL101+AL102</f>
        <v>406931.881035221</v>
      </c>
      <c r="AM105" s="67" t="n">
        <f aca="false">AM101+AM102</f>
        <v>408202.202571908</v>
      </c>
      <c r="AN105" s="67" t="n">
        <f aca="false">AN101+AN102</f>
        <v>409472.410233387</v>
      </c>
      <c r="AO105" s="67" t="n">
        <f aca="false">AO101+AO102</f>
        <v>410742.529914724</v>
      </c>
      <c r="AP105" s="67" t="n">
        <f aca="false">AP101+AP102</f>
        <v>412012.587662038</v>
      </c>
      <c r="AQ105" s="67" t="n">
        <f aca="false">AQ101+AQ102</f>
        <v>413282.609673383</v>
      </c>
      <c r="AR105" s="67" t="n">
        <f aca="false">AR101+AR102</f>
        <v>423515.434285519</v>
      </c>
      <c r="AS105" s="67" t="n">
        <f aca="false">AS101+AS102</f>
        <v>432961.138053552</v>
      </c>
      <c r="AT105" s="67" t="n">
        <f aca="false">AT101+AT102</f>
        <v>441045.117606716</v>
      </c>
      <c r="AU105" s="67" t="n">
        <f aca="false">AU101+AU102</f>
        <v>442048.53145983</v>
      </c>
      <c r="AV105" s="67" t="n">
        <f aca="false">AV101+AV102</f>
        <v>443052.022388934</v>
      </c>
      <c r="AW105" s="67" t="n">
        <f aca="false">AW101+AW102</f>
        <v>444055.611825513</v>
      </c>
      <c r="AX105" s="67" t="n">
        <f aca="false">AX101+AX102</f>
        <v>445059.321326072</v>
      </c>
      <c r="AY105" s="67" t="n">
        <f aca="false">AY101+AY102</f>
        <v>446793.514069159</v>
      </c>
      <c r="AZ105" s="67" t="n">
        <f aca="false">AZ101+AZ102</f>
        <v>448527.762460413</v>
      </c>
      <c r="BA105" s="67" t="n">
        <f aca="false">BA101+BA102</f>
        <v>450262.088435779</v>
      </c>
      <c r="BB105" s="67" t="n">
        <f aca="false">BB101+BB102</f>
        <v>451996.514059164</v>
      </c>
      <c r="BC105" s="67" t="n">
        <f aca="false">BC101+BC102</f>
        <v>453731.061523181</v>
      </c>
      <c r="BD105" s="67" t="n">
        <f aca="false">BD101+BD102</f>
        <v>462904.654065068</v>
      </c>
      <c r="BE105" s="67" t="n">
        <f aca="false">BE101+BE102</f>
        <v>472078.413221938</v>
      </c>
      <c r="BF105" s="67" t="n">
        <f aca="false">BF101+BF102</f>
        <v>481252.361577043</v>
      </c>
      <c r="BG105" s="67" t="n">
        <f aca="false">BG101+BG102</f>
        <v>482987.620930202</v>
      </c>
      <c r="BH105" s="67" t="n">
        <f aca="false">BH101+BH102</f>
        <v>484723.115044078</v>
      </c>
      <c r="BI105" s="67" t="n">
        <f aca="false">BI101+BI102</f>
        <v>486458.866899441</v>
      </c>
      <c r="BJ105" s="67" t="n">
        <f aca="false">BJ101+BJ102</f>
        <v>488194.899611114</v>
      </c>
    </row>
    <row r="106" customFormat="false" ht="15" hidden="false" customHeight="false" outlineLevel="0" collapsed="false">
      <c r="A106" s="4" t="s">
        <v>100</v>
      </c>
      <c r="C106" s="73" t="n">
        <f aca="false">C104+C105</f>
        <v>920855.055749625</v>
      </c>
      <c r="D106" s="73" t="n">
        <f aca="false">D104+D105</f>
        <v>907542.894037427</v>
      </c>
      <c r="E106" s="73" t="n">
        <f aca="false">E104+E105</f>
        <v>895501.876468963</v>
      </c>
      <c r="F106" s="73" t="n">
        <f aca="false">F104+F105</f>
        <v>884732.003044232</v>
      </c>
      <c r="G106" s="73" t="n">
        <f aca="false">G104+G105</f>
        <v>875233.273763234</v>
      </c>
      <c r="H106" s="73" t="n">
        <f aca="false">H104+H105</f>
        <v>873617.723569081</v>
      </c>
      <c r="I106" s="73" t="n">
        <f aca="false">I104+I105</f>
        <v>872638.437926483</v>
      </c>
      <c r="J106" s="73" t="n">
        <f aca="false">J104+J105</f>
        <v>873394.045813219</v>
      </c>
      <c r="K106" s="73" t="n">
        <f aca="false">K104+K105</f>
        <v>867572.274729376</v>
      </c>
      <c r="L106" s="73" t="n">
        <f aca="false">L104+L105</f>
        <v>864429.266167045</v>
      </c>
      <c r="M106" s="73" t="n">
        <f aca="false">M104+M105</f>
        <v>862557.401748448</v>
      </c>
      <c r="N106" s="73" t="n">
        <f aca="false">N104+N105</f>
        <v>860398.13037985</v>
      </c>
      <c r="O106" s="73" t="n">
        <f aca="false">O104+O105</f>
        <v>859528.195433634</v>
      </c>
      <c r="P106" s="73" t="n">
        <f aca="false">P104+P105</f>
        <v>858300.102848474</v>
      </c>
      <c r="Q106" s="73" t="n">
        <f aca="false">Q104+Q105</f>
        <v>857067.718596647</v>
      </c>
      <c r="R106" s="73" t="n">
        <f aca="false">R104+R105</f>
        <v>855831.042678153</v>
      </c>
      <c r="S106" s="73" t="n">
        <f aca="false">S104+S105</f>
        <v>854590.075092993</v>
      </c>
      <c r="T106" s="73" t="n">
        <f aca="false">T104+T105</f>
        <v>863268.535714355</v>
      </c>
      <c r="U106" s="73" t="n">
        <f aca="false">U104+U105</f>
        <v>870139.236537717</v>
      </c>
      <c r="V106" s="73" t="n">
        <f aca="false">V104+V105</f>
        <v>877005.645694413</v>
      </c>
      <c r="W106" s="73" t="n">
        <f aca="false">W104+W105</f>
        <v>873944.043311253</v>
      </c>
      <c r="X106" s="73" t="n">
        <f aca="false">X104+X105</f>
        <v>872681.617392759</v>
      </c>
      <c r="Y106" s="73" t="n">
        <f aca="false">Y104+Y105</f>
        <v>871414.899807599</v>
      </c>
      <c r="Z106" s="73" t="n">
        <f aca="false">Z104+Z105</f>
        <v>870143.890555772</v>
      </c>
      <c r="AA106" s="73" t="n">
        <f aca="false">AA104+AA105</f>
        <v>870158.974007632</v>
      </c>
      <c r="AB106" s="73" t="n">
        <f aca="false">AB104+AB105</f>
        <v>869800.234452351</v>
      </c>
      <c r="AC106" s="73" t="n">
        <f aca="false">AC104+AC105</f>
        <v>869437.074480403</v>
      </c>
      <c r="AD106" s="73" t="n">
        <f aca="false">AD104+AD105</f>
        <v>869069.494091789</v>
      </c>
      <c r="AE106" s="73" t="n">
        <f aca="false">AE104+AE105</f>
        <v>868697.493286508</v>
      </c>
      <c r="AF106" s="73" t="n">
        <f aca="false">AF104+AF105</f>
        <v>878746.932163333</v>
      </c>
      <c r="AG106" s="73" t="n">
        <f aca="false">AG104+AG105</f>
        <v>886897.227004712</v>
      </c>
      <c r="AH106" s="73" t="n">
        <f aca="false">AH104+AH105</f>
        <v>895043.101429425</v>
      </c>
      <c r="AI106" s="73" t="n">
        <f aca="false">AI104+AI105</f>
        <v>892758.695338699</v>
      </c>
      <c r="AJ106" s="73" t="n">
        <f aca="false">AJ104+AJ105</f>
        <v>892364.592450084</v>
      </c>
      <c r="AK106" s="73" t="n">
        <f aca="false">AK104+AK105</f>
        <v>891966.069144803</v>
      </c>
      <c r="AL106" s="73" t="n">
        <f aca="false">AL104+AL105</f>
        <v>891563.125422855</v>
      </c>
      <c r="AM106" s="73" t="n">
        <f aca="false">AM104+AM105</f>
        <v>892458.103429485</v>
      </c>
      <c r="AN106" s="73" t="n">
        <f aca="false">AN104+AN105</f>
        <v>892962.874115395</v>
      </c>
      <c r="AO106" s="73" t="n">
        <f aca="false">AO104+AO105</f>
        <v>893463.091772139</v>
      </c>
      <c r="AP106" s="73" t="n">
        <f aca="false">AP104+AP105</f>
        <v>893958.756399715</v>
      </c>
      <c r="AQ106" s="73" t="n">
        <f aca="false">AQ104+AQ105</f>
        <v>894449.867998125</v>
      </c>
      <c r="AR106" s="73" t="n">
        <f aca="false">AR104+AR105</f>
        <v>905889.835187139</v>
      </c>
      <c r="AS106" s="73" t="n">
        <f aca="false">AS104+AS105</f>
        <v>914547.514749495</v>
      </c>
      <c r="AT106" s="73" t="n">
        <f aca="false">AT104+AT105</f>
        <v>921838.873289117</v>
      </c>
      <c r="AU106" s="73" t="n">
        <f aca="false">AU104+AU105</f>
        <v>920054.445872219</v>
      </c>
      <c r="AV106" s="73" t="n">
        <f aca="false">AV104+AV105</f>
        <v>920256.04157149</v>
      </c>
      <c r="AW106" s="73" t="n">
        <f aca="false">AW104+AW105</f>
        <v>920453.058056063</v>
      </c>
      <c r="AX106" s="73" t="n">
        <f aca="false">AX104+AX105</f>
        <v>920645.489595727</v>
      </c>
      <c r="AY106" s="73" t="n">
        <f aca="false">AY104+AY105</f>
        <v>921966.327049755</v>
      </c>
      <c r="AZ106" s="73" t="n">
        <f aca="false">AZ104+AZ105</f>
        <v>922879.804964585</v>
      </c>
      <c r="BA106" s="73" t="n">
        <f aca="false">BA104+BA105</f>
        <v>923788.572635748</v>
      </c>
      <c r="BB106" s="73" t="n">
        <f aca="false">BB104+BB105</f>
        <v>924692.624198156</v>
      </c>
      <c r="BC106" s="73" t="n">
        <f aca="false">BC104+BC105</f>
        <v>925591.953752506</v>
      </c>
      <c r="BD106" s="73" t="n">
        <f aca="false">BD104+BD105</f>
        <v>936016.777103818</v>
      </c>
      <c r="BE106" s="73" t="n">
        <f aca="false">BE104+BE105</f>
        <v>944345.545721466</v>
      </c>
      <c r="BF106" s="73" t="n">
        <f aca="false">BF104+BF105</f>
        <v>952669.574425871</v>
      </c>
      <c r="BG106" s="73" t="n">
        <f aca="false">BG104+BG105</f>
        <v>951458.635440136</v>
      </c>
      <c r="BH106" s="73" t="n">
        <f aca="false">BH104+BH105</f>
        <v>952334.265253176</v>
      </c>
      <c r="BI106" s="73" t="n">
        <f aca="false">BI104+BI105</f>
        <v>953205.136932615</v>
      </c>
      <c r="BJ106" s="73" t="n">
        <f aca="false">BJ104+BJ105</f>
        <v>954071.244334005</v>
      </c>
    </row>
    <row r="107" customFormat="false" ht="15" hidden="false" customHeight="false" outlineLevel="0" collapsed="false">
      <c r="A107" s="6" t="s">
        <v>449</v>
      </c>
      <c r="C107" s="67" t="n">
        <f aca="false">C103-C106</f>
        <v>0</v>
      </c>
      <c r="D107" s="67" t="n">
        <f aca="false">D103-D106</f>
        <v>0</v>
      </c>
      <c r="E107" s="67" t="n">
        <f aca="false">E103-E106</f>
        <v>0</v>
      </c>
      <c r="F107" s="67" t="n">
        <f aca="false">F103-F106</f>
        <v>0</v>
      </c>
      <c r="G107" s="67" t="n">
        <f aca="false">G103-G106</f>
        <v>0</v>
      </c>
      <c r="H107" s="67" t="n">
        <f aca="false">H103-H106</f>
        <v>0</v>
      </c>
      <c r="I107" s="67" t="n">
        <f aca="false">I103-I106</f>
        <v>0</v>
      </c>
      <c r="J107" s="67" t="n">
        <f aca="false">J103-J106</f>
        <v>0</v>
      </c>
      <c r="K107" s="67" t="n">
        <f aca="false">K103-K106</f>
        <v>0</v>
      </c>
      <c r="L107" s="67" t="n">
        <f aca="false">L103-L106</f>
        <v>0</v>
      </c>
      <c r="M107" s="67" t="n">
        <f aca="false">M103-M106</f>
        <v>0</v>
      </c>
      <c r="N107" s="67" t="n">
        <f aca="false">N103-N106</f>
        <v>0</v>
      </c>
      <c r="O107" s="67" t="n">
        <f aca="false">O103-O106</f>
        <v>0</v>
      </c>
      <c r="P107" s="67" t="n">
        <f aca="false">P103-P106</f>
        <v>0</v>
      </c>
      <c r="Q107" s="67" t="n">
        <f aca="false">Q103-Q106</f>
        <v>0</v>
      </c>
      <c r="R107" s="67" t="n">
        <f aca="false">R103-R106</f>
        <v>0</v>
      </c>
      <c r="S107" s="67" t="n">
        <f aca="false">S103-S106</f>
        <v>0</v>
      </c>
      <c r="T107" s="67" t="n">
        <f aca="false">T103-T106</f>
        <v>0</v>
      </c>
      <c r="U107" s="67" t="n">
        <f aca="false">U103-U106</f>
        <v>0</v>
      </c>
      <c r="V107" s="67" t="n">
        <f aca="false">V103-V106</f>
        <v>0</v>
      </c>
      <c r="W107" s="67" t="n">
        <f aca="false">W103-W106</f>
        <v>0</v>
      </c>
      <c r="X107" s="67" t="n">
        <f aca="false">X103-X106</f>
        <v>0</v>
      </c>
      <c r="Y107" s="67" t="n">
        <f aca="false">Y103-Y106</f>
        <v>0</v>
      </c>
      <c r="Z107" s="67" t="n">
        <f aca="false">Z103-Z106</f>
        <v>0</v>
      </c>
      <c r="AA107" s="67" t="n">
        <f aca="false">AA103-AA106</f>
        <v>0</v>
      </c>
      <c r="AB107" s="67" t="n">
        <f aca="false">AB103-AB106</f>
        <v>0</v>
      </c>
      <c r="AC107" s="67" t="n">
        <f aca="false">AC103-AC106</f>
        <v>0</v>
      </c>
      <c r="AD107" s="67" t="n">
        <f aca="false">AD103-AD106</f>
        <v>0</v>
      </c>
      <c r="AE107" s="67" t="n">
        <f aca="false">AE103-AE106</f>
        <v>0</v>
      </c>
      <c r="AF107" s="67" t="n">
        <f aca="false">AF103-AF106</f>
        <v>0</v>
      </c>
      <c r="AG107" s="67" t="n">
        <f aca="false">AG103-AG106</f>
        <v>0</v>
      </c>
      <c r="AH107" s="67" t="n">
        <f aca="false">AH103-AH106</f>
        <v>0</v>
      </c>
      <c r="AI107" s="67" t="n">
        <f aca="false">AI103-AI106</f>
        <v>0</v>
      </c>
      <c r="AJ107" s="67" t="n">
        <f aca="false">AJ103-AJ106</f>
        <v>0</v>
      </c>
      <c r="AK107" s="67" t="n">
        <f aca="false">AK103-AK106</f>
        <v>0</v>
      </c>
      <c r="AL107" s="67" t="n">
        <f aca="false">AL103-AL106</f>
        <v>0</v>
      </c>
      <c r="AM107" s="67" t="n">
        <f aca="false">AM103-AM106</f>
        <v>0</v>
      </c>
      <c r="AN107" s="67" t="n">
        <f aca="false">AN103-AN106</f>
        <v>0</v>
      </c>
      <c r="AO107" s="67" t="n">
        <f aca="false">AO103-AO106</f>
        <v>0</v>
      </c>
      <c r="AP107" s="67" t="n">
        <f aca="false">AP103-AP106</f>
        <v>0</v>
      </c>
      <c r="AQ107" s="67" t="n">
        <f aca="false">AQ103-AQ106</f>
        <v>0</v>
      </c>
      <c r="AR107" s="67" t="n">
        <f aca="false">AR103-AR106</f>
        <v>0</v>
      </c>
      <c r="AS107" s="67" t="n">
        <f aca="false">AS103-AS106</f>
        <v>0</v>
      </c>
      <c r="AT107" s="67" t="n">
        <f aca="false">AT103-AT106</f>
        <v>0</v>
      </c>
      <c r="AU107" s="67" t="n">
        <f aca="false">AU103-AU106</f>
        <v>0</v>
      </c>
      <c r="AV107" s="67" t="n">
        <f aca="false">AV103-AV106</f>
        <v>0</v>
      </c>
      <c r="AW107" s="67" t="n">
        <f aca="false">AW103-AW106</f>
        <v>0</v>
      </c>
      <c r="AX107" s="67" t="n">
        <f aca="false">AX103-AX106</f>
        <v>0</v>
      </c>
      <c r="AY107" s="67" t="n">
        <f aca="false">AY103-AY106</f>
        <v>0</v>
      </c>
      <c r="AZ107" s="67" t="n">
        <f aca="false">AZ103-AZ106</f>
        <v>0</v>
      </c>
      <c r="BA107" s="67" t="n">
        <f aca="false">BA103-BA106</f>
        <v>0</v>
      </c>
      <c r="BB107" s="67" t="n">
        <f aca="false">BB103-BB106</f>
        <v>0</v>
      </c>
      <c r="BC107" s="67" t="n">
        <f aca="false">BC103-BC106</f>
        <v>0</v>
      </c>
      <c r="BD107" s="67" t="n">
        <f aca="false">BD103-BD106</f>
        <v>0</v>
      </c>
      <c r="BE107" s="67" t="n">
        <f aca="false">BE103-BE106</f>
        <v>0</v>
      </c>
      <c r="BF107" s="67" t="n">
        <f aca="false">BF103-BF106</f>
        <v>0</v>
      </c>
      <c r="BG107" s="67" t="n">
        <f aca="false">BG103-BG106</f>
        <v>0</v>
      </c>
      <c r="BH107" s="67" t="n">
        <f aca="false">BH103-BH106</f>
        <v>0</v>
      </c>
      <c r="BI107" s="67" t="n">
        <f aca="false">BI103-BI106</f>
        <v>0</v>
      </c>
      <c r="BJ107" s="67" t="n">
        <f aca="false">BJ103-BJ106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450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344</v>
      </c>
    </row>
    <row r="3" customFormat="false" ht="15" hidden="false" customHeight="false" outlineLevel="0" collapsed="false">
      <c r="A3" s="33" t="s">
        <v>345</v>
      </c>
      <c r="C3" s="52" t="s">
        <v>346</v>
      </c>
      <c r="D3" s="52" t="s">
        <v>347</v>
      </c>
      <c r="E3" s="52" t="s">
        <v>348</v>
      </c>
      <c r="F3" s="52" t="s">
        <v>349</v>
      </c>
      <c r="G3" s="52" t="s">
        <v>350</v>
      </c>
      <c r="H3" s="52" t="s">
        <v>351</v>
      </c>
      <c r="I3" s="52" t="s">
        <v>352</v>
      </c>
      <c r="J3" s="52" t="s">
        <v>353</v>
      </c>
      <c r="K3" s="52" t="s">
        <v>354</v>
      </c>
      <c r="L3" s="52" t="s">
        <v>355</v>
      </c>
      <c r="M3" s="52" t="s">
        <v>356</v>
      </c>
      <c r="N3" s="52" t="s">
        <v>357</v>
      </c>
      <c r="O3" s="52" t="s">
        <v>358</v>
      </c>
      <c r="P3" s="52" t="s">
        <v>359</v>
      </c>
      <c r="Q3" s="52" t="s">
        <v>360</v>
      </c>
      <c r="R3" s="52" t="s">
        <v>361</v>
      </c>
      <c r="S3" s="52" t="s">
        <v>362</v>
      </c>
      <c r="T3" s="52" t="s">
        <v>363</v>
      </c>
      <c r="U3" s="52" t="s">
        <v>364</v>
      </c>
      <c r="V3" s="52" t="s">
        <v>365</v>
      </c>
      <c r="W3" s="52" t="s">
        <v>366</v>
      </c>
      <c r="X3" s="52" t="s">
        <v>367</v>
      </c>
      <c r="Y3" s="52" t="s">
        <v>368</v>
      </c>
      <c r="Z3" s="52" t="s">
        <v>369</v>
      </c>
      <c r="AA3" s="52" t="s">
        <v>370</v>
      </c>
      <c r="AB3" s="52" t="s">
        <v>371</v>
      </c>
      <c r="AC3" s="52" t="s">
        <v>372</v>
      </c>
      <c r="AD3" s="52" t="s">
        <v>373</v>
      </c>
      <c r="AE3" s="52" t="s">
        <v>374</v>
      </c>
      <c r="AF3" s="52" t="s">
        <v>375</v>
      </c>
      <c r="AG3" s="52" t="s">
        <v>376</v>
      </c>
      <c r="AH3" s="52" t="s">
        <v>377</v>
      </c>
      <c r="AI3" s="52" t="s">
        <v>378</v>
      </c>
      <c r="AJ3" s="52" t="s">
        <v>379</v>
      </c>
      <c r="AK3" s="52" t="s">
        <v>380</v>
      </c>
      <c r="AL3" s="52" t="s">
        <v>381</v>
      </c>
      <c r="AM3" s="52" t="s">
        <v>382</v>
      </c>
      <c r="AN3" s="52" t="s">
        <v>383</v>
      </c>
      <c r="AO3" s="52" t="s">
        <v>384</v>
      </c>
      <c r="AP3" s="52" t="s">
        <v>385</v>
      </c>
      <c r="AQ3" s="52" t="s">
        <v>386</v>
      </c>
      <c r="AR3" s="52" t="s">
        <v>387</v>
      </c>
      <c r="AS3" s="52" t="s">
        <v>388</v>
      </c>
      <c r="AT3" s="52" t="s">
        <v>389</v>
      </c>
      <c r="AU3" s="52" t="s">
        <v>390</v>
      </c>
      <c r="AV3" s="52" t="s">
        <v>391</v>
      </c>
      <c r="AW3" s="52" t="s">
        <v>392</v>
      </c>
      <c r="AX3" s="52" t="s">
        <v>393</v>
      </c>
      <c r="AY3" s="52" t="s">
        <v>394</v>
      </c>
      <c r="AZ3" s="52" t="s">
        <v>395</v>
      </c>
      <c r="BA3" s="52" t="s">
        <v>396</v>
      </c>
      <c r="BB3" s="52" t="s">
        <v>397</v>
      </c>
      <c r="BC3" s="52" t="s">
        <v>398</v>
      </c>
      <c r="BD3" s="52" t="s">
        <v>399</v>
      </c>
      <c r="BE3" s="52" t="s">
        <v>400</v>
      </c>
      <c r="BF3" s="52" t="s">
        <v>401</v>
      </c>
      <c r="BG3" s="52" t="s">
        <v>402</v>
      </c>
      <c r="BH3" s="52" t="s">
        <v>403</v>
      </c>
      <c r="BI3" s="52" t="s">
        <v>404</v>
      </c>
      <c r="BJ3" s="52" t="s">
        <v>405</v>
      </c>
    </row>
    <row r="4" customFormat="false" ht="15" hidden="false" customHeight="false" outlineLevel="0" collapsed="false">
      <c r="A4" s="72" t="s">
        <v>406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451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452</v>
      </c>
      <c r="C8" s="115" t="n">
        <f aca="false">Inputs!$E$49*(1+Inputs!$E$51)^(C$5-1)*MAX(0,MIN(1,C$4*1-Inputs!$E$52+1))/1</f>
        <v>1.5</v>
      </c>
      <c r="D8" s="115" t="n">
        <f aca="false">Inputs!$E$49*(1+Inputs!$E$51)^(D$5-1)*MAX(0,MIN(1,D$4*1-Inputs!$E$52+1))/1</f>
        <v>1.5</v>
      </c>
      <c r="E8" s="115" t="n">
        <f aca="false">Inputs!$E$49*(1+Inputs!$E$51)^(E$5-1)*MAX(0,MIN(1,E$4*1-Inputs!$E$52+1))/1</f>
        <v>1.5</v>
      </c>
      <c r="F8" s="115" t="n">
        <f aca="false">Inputs!$E$49*(1+Inputs!$E$51)^(F$5-1)*MAX(0,MIN(1,F$4*1-Inputs!$E$52+1))/1</f>
        <v>1.5</v>
      </c>
      <c r="G8" s="115" t="n">
        <f aca="false">Inputs!$E$49*(1+Inputs!$E$51)^(G$5-1)*MAX(0,MIN(1,G$4*1-Inputs!$E$52+1))/1</f>
        <v>1.5</v>
      </c>
      <c r="H8" s="115" t="n">
        <f aca="false">Inputs!$E$49*(1+Inputs!$E$51)^(H$5-1)*MAX(0,MIN(1,H$4*1-Inputs!$E$52+1))/1</f>
        <v>1.5</v>
      </c>
      <c r="I8" s="115" t="n">
        <f aca="false">Inputs!$E$49*(1+Inputs!$E$51)^(I$5-1)*MAX(0,MIN(1,I$4*1-Inputs!$E$52+1))/1</f>
        <v>1.5</v>
      </c>
      <c r="J8" s="115" t="n">
        <f aca="false">Inputs!$E$49*(1+Inputs!$E$51)^(J$5-1)*MAX(0,MIN(1,J$4*1-Inputs!$E$52+1))/1</f>
        <v>1.5</v>
      </c>
      <c r="K8" s="115" t="n">
        <f aca="false">Inputs!$E$49*(1+Inputs!$E$51)^(K$5-1)*MAX(0,MIN(1,K$4*1-Inputs!$E$52+1))/1</f>
        <v>1.5</v>
      </c>
      <c r="L8" s="115" t="n">
        <f aca="false">Inputs!$E$49*(1+Inputs!$E$51)^(L$5-1)*MAX(0,MIN(1,L$4*1-Inputs!$E$52+1))/1</f>
        <v>1.5</v>
      </c>
      <c r="M8" s="115" t="n">
        <f aca="false">Inputs!$E$49*(1+Inputs!$E$51)^(M$5-1)*MAX(0,MIN(1,M$4*1-Inputs!$E$52+1))/1</f>
        <v>1.5</v>
      </c>
      <c r="N8" s="115" t="n">
        <f aca="false">Inputs!$E$49*(1+Inputs!$E$51)^(N$5-1)*MAX(0,MIN(1,N$4*1-Inputs!$E$52+1))/1</f>
        <v>1.5</v>
      </c>
      <c r="O8" s="115" t="n">
        <f aca="false">Inputs!$E$49*(1+Inputs!$E$51)^(O$5-1)*MAX(0,MIN(1,O$4*1-Inputs!$E$52+1))/1</f>
        <v>1.5</v>
      </c>
      <c r="P8" s="115" t="n">
        <f aca="false">Inputs!$E$49*(1+Inputs!$E$51)^(P$5-1)*MAX(0,MIN(1,P$4*1-Inputs!$E$52+1))/1</f>
        <v>1.5</v>
      </c>
      <c r="Q8" s="115" t="n">
        <f aca="false">Inputs!$E$49*(1+Inputs!$E$51)^(Q$5-1)*MAX(0,MIN(1,Q$4*1-Inputs!$E$52+1))/1</f>
        <v>1.5</v>
      </c>
      <c r="R8" s="115" t="n">
        <f aca="false">Inputs!$E$49*(1+Inputs!$E$51)^(R$5-1)*MAX(0,MIN(1,R$4*1-Inputs!$E$52+1))/1</f>
        <v>1.5</v>
      </c>
      <c r="S8" s="115" t="n">
        <f aca="false">Inputs!$E$49*(1+Inputs!$E$51)^(S$5-1)*MAX(0,MIN(1,S$4*1-Inputs!$E$52+1))/1</f>
        <v>1.5</v>
      </c>
      <c r="T8" s="115" t="n">
        <f aca="false">Inputs!$E$49*(1+Inputs!$E$51)^(T$5-1)*MAX(0,MIN(1,T$4*1-Inputs!$E$52+1))/1</f>
        <v>1.5</v>
      </c>
      <c r="U8" s="115" t="n">
        <f aca="false">Inputs!$E$49*(1+Inputs!$E$51)^(U$5-1)*MAX(0,MIN(1,U$4*1-Inputs!$E$52+1))/1</f>
        <v>1.5</v>
      </c>
      <c r="V8" s="115" t="n">
        <f aca="false">Inputs!$E$49*(1+Inputs!$E$51)^(V$5-1)*MAX(0,MIN(1,V$4*1-Inputs!$E$52+1))/1</f>
        <v>1.5</v>
      </c>
      <c r="W8" s="115" t="n">
        <f aca="false">Inputs!$E$49*(1+Inputs!$E$51)^(W$5-1)*MAX(0,MIN(1,W$4*1-Inputs!$E$52+1))/1</f>
        <v>1.5</v>
      </c>
      <c r="X8" s="115" t="n">
        <f aca="false">Inputs!$E$49*(1+Inputs!$E$51)^(X$5-1)*MAX(0,MIN(1,X$4*1-Inputs!$E$52+1))/1</f>
        <v>1.5</v>
      </c>
      <c r="Y8" s="115" t="n">
        <f aca="false">Inputs!$E$49*(1+Inputs!$E$51)^(Y$5-1)*MAX(0,MIN(1,Y$4*1-Inputs!$E$52+1))/1</f>
        <v>1.5</v>
      </c>
      <c r="Z8" s="115" t="n">
        <f aca="false">Inputs!$E$49*(1+Inputs!$E$51)^(Z$5-1)*MAX(0,MIN(1,Z$4*1-Inputs!$E$52+1))/1</f>
        <v>1.5</v>
      </c>
      <c r="AA8" s="115" t="n">
        <f aca="false">Inputs!$E$49*(1+Inputs!$E$51)^(AA$5-1)*MAX(0,MIN(1,AA$4*1-Inputs!$E$52+1))/1</f>
        <v>1.5</v>
      </c>
      <c r="AB8" s="115" t="n">
        <f aca="false">Inputs!$E$49*(1+Inputs!$E$51)^(AB$5-1)*MAX(0,MIN(1,AB$4*1-Inputs!$E$52+1))/1</f>
        <v>1.5</v>
      </c>
      <c r="AC8" s="115" t="n">
        <f aca="false">Inputs!$E$49*(1+Inputs!$E$51)^(AC$5-1)*MAX(0,MIN(1,AC$4*1-Inputs!$E$52+1))/1</f>
        <v>1.5</v>
      </c>
      <c r="AD8" s="115" t="n">
        <f aca="false">Inputs!$E$49*(1+Inputs!$E$51)^(AD$5-1)*MAX(0,MIN(1,AD$4*1-Inputs!$E$52+1))/1</f>
        <v>1.5</v>
      </c>
      <c r="AE8" s="115" t="n">
        <f aca="false">Inputs!$E$49*(1+Inputs!$E$51)^(AE$5-1)*MAX(0,MIN(1,AE$4*1-Inputs!$E$52+1))/1</f>
        <v>1.5</v>
      </c>
      <c r="AF8" s="115" t="n">
        <f aca="false">Inputs!$E$49*(1+Inputs!$E$51)^(AF$5-1)*MAX(0,MIN(1,AF$4*1-Inputs!$E$52+1))/1</f>
        <v>1.5</v>
      </c>
      <c r="AG8" s="115" t="n">
        <f aca="false">Inputs!$E$49*(1+Inputs!$E$51)^(AG$5-1)*MAX(0,MIN(1,AG$4*1-Inputs!$E$52+1))/1</f>
        <v>1.5</v>
      </c>
      <c r="AH8" s="115" t="n">
        <f aca="false">Inputs!$E$49*(1+Inputs!$E$51)^(AH$5-1)*MAX(0,MIN(1,AH$4*1-Inputs!$E$52+1))/1</f>
        <v>1.5</v>
      </c>
      <c r="AI8" s="115" t="n">
        <f aca="false">Inputs!$E$49*(1+Inputs!$E$51)^(AI$5-1)*MAX(0,MIN(1,AI$4*1-Inputs!$E$52+1))/1</f>
        <v>1.5</v>
      </c>
      <c r="AJ8" s="115" t="n">
        <f aca="false">Inputs!$E$49*(1+Inputs!$E$51)^(AJ$5-1)*MAX(0,MIN(1,AJ$4*1-Inputs!$E$52+1))/1</f>
        <v>1.5</v>
      </c>
      <c r="AK8" s="115" t="n">
        <f aca="false">Inputs!$E$49*(1+Inputs!$E$51)^(AK$5-1)*MAX(0,MIN(1,AK$4*1-Inputs!$E$52+1))/1</f>
        <v>1.5</v>
      </c>
      <c r="AL8" s="115" t="n">
        <f aca="false">Inputs!$E$49*(1+Inputs!$E$51)^(AL$5-1)*MAX(0,MIN(1,AL$4*1-Inputs!$E$52+1))/1</f>
        <v>1.5</v>
      </c>
      <c r="AM8" s="115" t="n">
        <f aca="false">Inputs!$E$49*(1+Inputs!$E$51)^(AM$5-1)*MAX(0,MIN(1,AM$4*1-Inputs!$E$52+1))/1</f>
        <v>1.5</v>
      </c>
      <c r="AN8" s="115" t="n">
        <f aca="false">Inputs!$E$49*(1+Inputs!$E$51)^(AN$5-1)*MAX(0,MIN(1,AN$4*1-Inputs!$E$52+1))/1</f>
        <v>1.5</v>
      </c>
      <c r="AO8" s="115" t="n">
        <f aca="false">Inputs!$E$49*(1+Inputs!$E$51)^(AO$5-1)*MAX(0,MIN(1,AO$4*1-Inputs!$E$52+1))/1</f>
        <v>1.5</v>
      </c>
      <c r="AP8" s="115" t="n">
        <f aca="false">Inputs!$E$49*(1+Inputs!$E$51)^(AP$5-1)*MAX(0,MIN(1,AP$4*1-Inputs!$E$52+1))/1</f>
        <v>1.5</v>
      </c>
      <c r="AQ8" s="115" t="n">
        <f aca="false">Inputs!$E$49*(1+Inputs!$E$51)^(AQ$5-1)*MAX(0,MIN(1,AQ$4*1-Inputs!$E$52+1))/1</f>
        <v>1.5</v>
      </c>
      <c r="AR8" s="115" t="n">
        <f aca="false">Inputs!$E$49*(1+Inputs!$E$51)^(AR$5-1)*MAX(0,MIN(1,AR$4*1-Inputs!$E$52+1))/1</f>
        <v>1.5</v>
      </c>
      <c r="AS8" s="115" t="n">
        <f aca="false">Inputs!$E$49*(1+Inputs!$E$51)^(AS$5-1)*MAX(0,MIN(1,AS$4*1-Inputs!$E$52+1))/1</f>
        <v>1.5</v>
      </c>
      <c r="AT8" s="115" t="n">
        <f aca="false">Inputs!$E$49*(1+Inputs!$E$51)^(AT$5-1)*MAX(0,MIN(1,AT$4*1-Inputs!$E$52+1))/1</f>
        <v>1.5</v>
      </c>
      <c r="AU8" s="115" t="n">
        <f aca="false">Inputs!$E$49*(1+Inputs!$E$51)^(AU$5-1)*MAX(0,MIN(1,AU$4*1-Inputs!$E$52+1))/1</f>
        <v>1.5</v>
      </c>
      <c r="AV8" s="115" t="n">
        <f aca="false">Inputs!$E$49*(1+Inputs!$E$51)^(AV$5-1)*MAX(0,MIN(1,AV$4*1-Inputs!$E$52+1))/1</f>
        <v>1.5</v>
      </c>
      <c r="AW8" s="115" t="n">
        <f aca="false">Inputs!$E$49*(1+Inputs!$E$51)^(AW$5-1)*MAX(0,MIN(1,AW$4*1-Inputs!$E$52+1))/1</f>
        <v>1.5</v>
      </c>
      <c r="AX8" s="115" t="n">
        <f aca="false">Inputs!$E$49*(1+Inputs!$E$51)^(AX$5-1)*MAX(0,MIN(1,AX$4*1-Inputs!$E$52+1))/1</f>
        <v>1.5</v>
      </c>
      <c r="AY8" s="115" t="n">
        <f aca="false">Inputs!$E$49*(1+Inputs!$E$51)^(AY$5-1)*MAX(0,MIN(1,AY$4*1-Inputs!$E$52+1))/1</f>
        <v>1.5</v>
      </c>
      <c r="AZ8" s="115" t="n">
        <f aca="false">Inputs!$E$49*(1+Inputs!$E$51)^(AZ$5-1)*MAX(0,MIN(1,AZ$4*1-Inputs!$E$52+1))/1</f>
        <v>1.5</v>
      </c>
      <c r="BA8" s="115" t="n">
        <f aca="false">Inputs!$E$49*(1+Inputs!$E$51)^(BA$5-1)*MAX(0,MIN(1,BA$4*1-Inputs!$E$52+1))/1</f>
        <v>1.5</v>
      </c>
      <c r="BB8" s="115" t="n">
        <f aca="false">Inputs!$E$49*(1+Inputs!$E$51)^(BB$5-1)*MAX(0,MIN(1,BB$4*1-Inputs!$E$52+1))/1</f>
        <v>1.5</v>
      </c>
      <c r="BC8" s="115" t="n">
        <f aca="false">Inputs!$E$49*(1+Inputs!$E$51)^(BC$5-1)*MAX(0,MIN(1,BC$4*1-Inputs!$E$52+1))/1</f>
        <v>1.5</v>
      </c>
      <c r="BD8" s="115" t="n">
        <f aca="false">Inputs!$E$49*(1+Inputs!$E$51)^(BD$5-1)*MAX(0,MIN(1,BD$4*1-Inputs!$E$52+1))/1</f>
        <v>1.5</v>
      </c>
      <c r="BE8" s="115" t="n">
        <f aca="false">Inputs!$E$49*(1+Inputs!$E$51)^(BE$5-1)*MAX(0,MIN(1,BE$4*1-Inputs!$E$52+1))/1</f>
        <v>1.5</v>
      </c>
      <c r="BF8" s="115" t="n">
        <f aca="false">Inputs!$E$49*(1+Inputs!$E$51)^(BF$5-1)*MAX(0,MIN(1,BF$4*1-Inputs!$E$52+1))/1</f>
        <v>1.5</v>
      </c>
      <c r="BG8" s="115" t="n">
        <f aca="false">Inputs!$E$49*(1+Inputs!$E$51)^(BG$5-1)*MAX(0,MIN(1,BG$4*1-Inputs!$E$52+1))/1</f>
        <v>1.5</v>
      </c>
      <c r="BH8" s="115" t="n">
        <f aca="false">Inputs!$E$49*(1+Inputs!$E$51)^(BH$5-1)*MAX(0,MIN(1,BH$4*1-Inputs!$E$52+1))/1</f>
        <v>1.5</v>
      </c>
      <c r="BI8" s="115" t="n">
        <f aca="false">Inputs!$E$49*(1+Inputs!$E$51)^(BI$5-1)*MAX(0,MIN(1,BI$4*1-Inputs!$E$52+1))/1</f>
        <v>1.5</v>
      </c>
      <c r="BJ8" s="115" t="n">
        <f aca="false">Inputs!$E$49*(1+Inputs!$E$51)^(BJ$5-1)*MAX(0,MIN(1,BJ$4*1-Inputs!$E$52+1))/1</f>
        <v>1.5</v>
      </c>
    </row>
    <row r="9" customFormat="false" ht="15" hidden="false" customHeight="false" outlineLevel="0" collapsed="false">
      <c r="A9" s="6" t="s">
        <v>453</v>
      </c>
      <c r="C9" s="115" t="n">
        <f aca="false">Inputs!$E$53*(1+Inputs!$E$55)^(C$5-1)*MAX(0,MIN(1,C$4*1-Inputs!$E$56+1))/1</f>
        <v>1</v>
      </c>
      <c r="D9" s="115" t="n">
        <f aca="false">Inputs!$E$53*(1+Inputs!$E$55)^(D$5-1)*MAX(0,MIN(1,D$4*1-Inputs!$E$56+1))/1</f>
        <v>1</v>
      </c>
      <c r="E9" s="115" t="n">
        <f aca="false">Inputs!$E$53*(1+Inputs!$E$55)^(E$5-1)*MAX(0,MIN(1,E$4*1-Inputs!$E$56+1))/1</f>
        <v>1</v>
      </c>
      <c r="F9" s="115" t="n">
        <f aca="false">Inputs!$E$53*(1+Inputs!$E$55)^(F$5-1)*MAX(0,MIN(1,F$4*1-Inputs!$E$56+1))/1</f>
        <v>1</v>
      </c>
      <c r="G9" s="115" t="n">
        <f aca="false">Inputs!$E$53*(1+Inputs!$E$55)^(G$5-1)*MAX(0,MIN(1,G$4*1-Inputs!$E$56+1))/1</f>
        <v>1</v>
      </c>
      <c r="H9" s="115" t="n">
        <f aca="false">Inputs!$E$53*(1+Inputs!$E$55)^(H$5-1)*MAX(0,MIN(1,H$4*1-Inputs!$E$56+1))/1</f>
        <v>1</v>
      </c>
      <c r="I9" s="115" t="n">
        <f aca="false">Inputs!$E$53*(1+Inputs!$E$55)^(I$5-1)*MAX(0,MIN(1,I$4*1-Inputs!$E$56+1))/1</f>
        <v>1</v>
      </c>
      <c r="J9" s="115" t="n">
        <f aca="false">Inputs!$E$53*(1+Inputs!$E$55)^(J$5-1)*MAX(0,MIN(1,J$4*1-Inputs!$E$56+1))/1</f>
        <v>1</v>
      </c>
      <c r="K9" s="115" t="n">
        <f aca="false">Inputs!$E$53*(1+Inputs!$E$55)^(K$5-1)*MAX(0,MIN(1,K$4*1-Inputs!$E$56+1))/1</f>
        <v>1</v>
      </c>
      <c r="L9" s="115" t="n">
        <f aca="false">Inputs!$E$53*(1+Inputs!$E$55)^(L$5-1)*MAX(0,MIN(1,L$4*1-Inputs!$E$56+1))/1</f>
        <v>1</v>
      </c>
      <c r="M9" s="115" t="n">
        <f aca="false">Inputs!$E$53*(1+Inputs!$E$55)^(M$5-1)*MAX(0,MIN(1,M$4*1-Inputs!$E$56+1))/1</f>
        <v>1</v>
      </c>
      <c r="N9" s="115" t="n">
        <f aca="false">Inputs!$E$53*(1+Inputs!$E$55)^(N$5-1)*MAX(0,MIN(1,N$4*1-Inputs!$E$56+1))/1</f>
        <v>1</v>
      </c>
      <c r="O9" s="115" t="n">
        <f aca="false">Inputs!$E$53*(1+Inputs!$E$55)^(O$5-1)*MAX(0,MIN(1,O$4*1-Inputs!$E$56+1))/1</f>
        <v>1</v>
      </c>
      <c r="P9" s="115" t="n">
        <f aca="false">Inputs!$E$53*(1+Inputs!$E$55)^(P$5-1)*MAX(0,MIN(1,P$4*1-Inputs!$E$56+1))/1</f>
        <v>1</v>
      </c>
      <c r="Q9" s="115" t="n">
        <f aca="false">Inputs!$E$53*(1+Inputs!$E$55)^(Q$5-1)*MAX(0,MIN(1,Q$4*1-Inputs!$E$56+1))/1</f>
        <v>1</v>
      </c>
      <c r="R9" s="115" t="n">
        <f aca="false">Inputs!$E$53*(1+Inputs!$E$55)^(R$5-1)*MAX(0,MIN(1,R$4*1-Inputs!$E$56+1))/1</f>
        <v>1</v>
      </c>
      <c r="S9" s="115" t="n">
        <f aca="false">Inputs!$E$53*(1+Inputs!$E$55)^(S$5-1)*MAX(0,MIN(1,S$4*1-Inputs!$E$56+1))/1</f>
        <v>1</v>
      </c>
      <c r="T9" s="115" t="n">
        <f aca="false">Inputs!$E$53*(1+Inputs!$E$55)^(T$5-1)*MAX(0,MIN(1,T$4*1-Inputs!$E$56+1))/1</f>
        <v>1</v>
      </c>
      <c r="U9" s="115" t="n">
        <f aca="false">Inputs!$E$53*(1+Inputs!$E$55)^(U$5-1)*MAX(0,MIN(1,U$4*1-Inputs!$E$56+1))/1</f>
        <v>1</v>
      </c>
      <c r="V9" s="115" t="n">
        <f aca="false">Inputs!$E$53*(1+Inputs!$E$55)^(V$5-1)*MAX(0,MIN(1,V$4*1-Inputs!$E$56+1))/1</f>
        <v>1</v>
      </c>
      <c r="W9" s="115" t="n">
        <f aca="false">Inputs!$E$53*(1+Inputs!$E$55)^(W$5-1)*MAX(0,MIN(1,W$4*1-Inputs!$E$56+1))/1</f>
        <v>1</v>
      </c>
      <c r="X9" s="115" t="n">
        <f aca="false">Inputs!$E$53*(1+Inputs!$E$55)^(X$5-1)*MAX(0,MIN(1,X$4*1-Inputs!$E$56+1))/1</f>
        <v>1</v>
      </c>
      <c r="Y9" s="115" t="n">
        <f aca="false">Inputs!$E$53*(1+Inputs!$E$55)^(Y$5-1)*MAX(0,MIN(1,Y$4*1-Inputs!$E$56+1))/1</f>
        <v>1</v>
      </c>
      <c r="Z9" s="115" t="n">
        <f aca="false">Inputs!$E$53*(1+Inputs!$E$55)^(Z$5-1)*MAX(0,MIN(1,Z$4*1-Inputs!$E$56+1))/1</f>
        <v>1</v>
      </c>
      <c r="AA9" s="115" t="n">
        <f aca="false">Inputs!$E$53*(1+Inputs!$E$55)^(AA$5-1)*MAX(0,MIN(1,AA$4*1-Inputs!$E$56+1))/1</f>
        <v>1</v>
      </c>
      <c r="AB9" s="115" t="n">
        <f aca="false">Inputs!$E$53*(1+Inputs!$E$55)^(AB$5-1)*MAX(0,MIN(1,AB$4*1-Inputs!$E$56+1))/1</f>
        <v>1</v>
      </c>
      <c r="AC9" s="115" t="n">
        <f aca="false">Inputs!$E$53*(1+Inputs!$E$55)^(AC$5-1)*MAX(0,MIN(1,AC$4*1-Inputs!$E$56+1))/1</f>
        <v>1</v>
      </c>
      <c r="AD9" s="115" t="n">
        <f aca="false">Inputs!$E$53*(1+Inputs!$E$55)^(AD$5-1)*MAX(0,MIN(1,AD$4*1-Inputs!$E$56+1))/1</f>
        <v>1</v>
      </c>
      <c r="AE9" s="115" t="n">
        <f aca="false">Inputs!$E$53*(1+Inputs!$E$55)^(AE$5-1)*MAX(0,MIN(1,AE$4*1-Inputs!$E$56+1))/1</f>
        <v>1</v>
      </c>
      <c r="AF9" s="115" t="n">
        <f aca="false">Inputs!$E$53*(1+Inputs!$E$55)^(AF$5-1)*MAX(0,MIN(1,AF$4*1-Inputs!$E$56+1))/1</f>
        <v>1</v>
      </c>
      <c r="AG9" s="115" t="n">
        <f aca="false">Inputs!$E$53*(1+Inputs!$E$55)^(AG$5-1)*MAX(0,MIN(1,AG$4*1-Inputs!$E$56+1))/1</f>
        <v>1</v>
      </c>
      <c r="AH9" s="115" t="n">
        <f aca="false">Inputs!$E$53*(1+Inputs!$E$55)^(AH$5-1)*MAX(0,MIN(1,AH$4*1-Inputs!$E$56+1))/1</f>
        <v>1</v>
      </c>
      <c r="AI9" s="115" t="n">
        <f aca="false">Inputs!$E$53*(1+Inputs!$E$55)^(AI$5-1)*MAX(0,MIN(1,AI$4*1-Inputs!$E$56+1))/1</f>
        <v>1</v>
      </c>
      <c r="AJ9" s="115" t="n">
        <f aca="false">Inputs!$E$53*(1+Inputs!$E$55)^(AJ$5-1)*MAX(0,MIN(1,AJ$4*1-Inputs!$E$56+1))/1</f>
        <v>1</v>
      </c>
      <c r="AK9" s="115" t="n">
        <f aca="false">Inputs!$E$53*(1+Inputs!$E$55)^(AK$5-1)*MAX(0,MIN(1,AK$4*1-Inputs!$E$56+1))/1</f>
        <v>1</v>
      </c>
      <c r="AL9" s="115" t="n">
        <f aca="false">Inputs!$E$53*(1+Inputs!$E$55)^(AL$5-1)*MAX(0,MIN(1,AL$4*1-Inputs!$E$56+1))/1</f>
        <v>1</v>
      </c>
      <c r="AM9" s="115" t="n">
        <f aca="false">Inputs!$E$53*(1+Inputs!$E$55)^(AM$5-1)*MAX(0,MIN(1,AM$4*1-Inputs!$E$56+1))/1</f>
        <v>1</v>
      </c>
      <c r="AN9" s="115" t="n">
        <f aca="false">Inputs!$E$53*(1+Inputs!$E$55)^(AN$5-1)*MAX(0,MIN(1,AN$4*1-Inputs!$E$56+1))/1</f>
        <v>1</v>
      </c>
      <c r="AO9" s="115" t="n">
        <f aca="false">Inputs!$E$53*(1+Inputs!$E$55)^(AO$5-1)*MAX(0,MIN(1,AO$4*1-Inputs!$E$56+1))/1</f>
        <v>1</v>
      </c>
      <c r="AP9" s="115" t="n">
        <f aca="false">Inputs!$E$53*(1+Inputs!$E$55)^(AP$5-1)*MAX(0,MIN(1,AP$4*1-Inputs!$E$56+1))/1</f>
        <v>1</v>
      </c>
      <c r="AQ9" s="115" t="n">
        <f aca="false">Inputs!$E$53*(1+Inputs!$E$55)^(AQ$5-1)*MAX(0,MIN(1,AQ$4*1-Inputs!$E$56+1))/1</f>
        <v>1</v>
      </c>
      <c r="AR9" s="115" t="n">
        <f aca="false">Inputs!$E$53*(1+Inputs!$E$55)^(AR$5-1)*MAX(0,MIN(1,AR$4*1-Inputs!$E$56+1))/1</f>
        <v>1</v>
      </c>
      <c r="AS9" s="115" t="n">
        <f aca="false">Inputs!$E$53*(1+Inputs!$E$55)^(AS$5-1)*MAX(0,MIN(1,AS$4*1-Inputs!$E$56+1))/1</f>
        <v>1</v>
      </c>
      <c r="AT9" s="115" t="n">
        <f aca="false">Inputs!$E$53*(1+Inputs!$E$55)^(AT$5-1)*MAX(0,MIN(1,AT$4*1-Inputs!$E$56+1))/1</f>
        <v>1</v>
      </c>
      <c r="AU9" s="115" t="n">
        <f aca="false">Inputs!$E$53*(1+Inputs!$E$55)^(AU$5-1)*MAX(0,MIN(1,AU$4*1-Inputs!$E$56+1))/1</f>
        <v>1</v>
      </c>
      <c r="AV9" s="115" t="n">
        <f aca="false">Inputs!$E$53*(1+Inputs!$E$55)^(AV$5-1)*MAX(0,MIN(1,AV$4*1-Inputs!$E$56+1))/1</f>
        <v>1</v>
      </c>
      <c r="AW9" s="115" t="n">
        <f aca="false">Inputs!$E$53*(1+Inputs!$E$55)^(AW$5-1)*MAX(0,MIN(1,AW$4*1-Inputs!$E$56+1))/1</f>
        <v>1</v>
      </c>
      <c r="AX9" s="115" t="n">
        <f aca="false">Inputs!$E$53*(1+Inputs!$E$55)^(AX$5-1)*MAX(0,MIN(1,AX$4*1-Inputs!$E$56+1))/1</f>
        <v>1</v>
      </c>
      <c r="AY9" s="115" t="n">
        <f aca="false">Inputs!$E$53*(1+Inputs!$E$55)^(AY$5-1)*MAX(0,MIN(1,AY$4*1-Inputs!$E$56+1))/1</f>
        <v>1</v>
      </c>
      <c r="AZ9" s="115" t="n">
        <f aca="false">Inputs!$E$53*(1+Inputs!$E$55)^(AZ$5-1)*MAX(0,MIN(1,AZ$4*1-Inputs!$E$56+1))/1</f>
        <v>1</v>
      </c>
      <c r="BA9" s="115" t="n">
        <f aca="false">Inputs!$E$53*(1+Inputs!$E$55)^(BA$5-1)*MAX(0,MIN(1,BA$4*1-Inputs!$E$56+1))/1</f>
        <v>1</v>
      </c>
      <c r="BB9" s="115" t="n">
        <f aca="false">Inputs!$E$53*(1+Inputs!$E$55)^(BB$5-1)*MAX(0,MIN(1,BB$4*1-Inputs!$E$56+1))/1</f>
        <v>1</v>
      </c>
      <c r="BC9" s="115" t="n">
        <f aca="false">Inputs!$E$53*(1+Inputs!$E$55)^(BC$5-1)*MAX(0,MIN(1,BC$4*1-Inputs!$E$56+1))/1</f>
        <v>1</v>
      </c>
      <c r="BD9" s="115" t="n">
        <f aca="false">Inputs!$E$53*(1+Inputs!$E$55)^(BD$5-1)*MAX(0,MIN(1,BD$4*1-Inputs!$E$56+1))/1</f>
        <v>1</v>
      </c>
      <c r="BE9" s="115" t="n">
        <f aca="false">Inputs!$E$53*(1+Inputs!$E$55)^(BE$5-1)*MAX(0,MIN(1,BE$4*1-Inputs!$E$56+1))/1</f>
        <v>1</v>
      </c>
      <c r="BF9" s="115" t="n">
        <f aca="false">Inputs!$E$53*(1+Inputs!$E$55)^(BF$5-1)*MAX(0,MIN(1,BF$4*1-Inputs!$E$56+1))/1</f>
        <v>1</v>
      </c>
      <c r="BG9" s="115" t="n">
        <f aca="false">Inputs!$E$53*(1+Inputs!$E$55)^(BG$5-1)*MAX(0,MIN(1,BG$4*1-Inputs!$E$56+1))/1</f>
        <v>1</v>
      </c>
      <c r="BH9" s="115" t="n">
        <f aca="false">Inputs!$E$53*(1+Inputs!$E$55)^(BH$5-1)*MAX(0,MIN(1,BH$4*1-Inputs!$E$56+1))/1</f>
        <v>1</v>
      </c>
      <c r="BI9" s="115" t="n">
        <f aca="false">Inputs!$E$53*(1+Inputs!$E$55)^(BI$5-1)*MAX(0,MIN(1,BI$4*1-Inputs!$E$56+1))/1</f>
        <v>1</v>
      </c>
      <c r="BJ9" s="115" t="n">
        <f aca="false">Inputs!$E$53*(1+Inputs!$E$55)^(BJ$5-1)*MAX(0,MIN(1,BJ$4*1-Inputs!$E$56+1))/1</f>
        <v>1</v>
      </c>
    </row>
    <row r="10" customFormat="false" ht="15" hidden="false" customHeight="false" outlineLevel="0" collapsed="false">
      <c r="A10" s="6" t="s">
        <v>454</v>
      </c>
      <c r="C10" s="115" t="n">
        <f aca="false">Inputs!$E$57*(1+Inputs!$E$59)^(C$5-1)*MAX(0,MIN(1,C$4*1-Inputs!$E$60+1))/1</f>
        <v>0.6</v>
      </c>
      <c r="D10" s="115" t="n">
        <f aca="false">Inputs!$E$57*(1+Inputs!$E$59)^(D$5-1)*MAX(0,MIN(1,D$4*1-Inputs!$E$60+1))/1</f>
        <v>0.6</v>
      </c>
      <c r="E10" s="115" t="n">
        <f aca="false">Inputs!$E$57*(1+Inputs!$E$59)^(E$5-1)*MAX(0,MIN(1,E$4*1-Inputs!$E$60+1))/1</f>
        <v>0.6</v>
      </c>
      <c r="F10" s="115" t="n">
        <f aca="false">Inputs!$E$57*(1+Inputs!$E$59)^(F$5-1)*MAX(0,MIN(1,F$4*1-Inputs!$E$60+1))/1</f>
        <v>0.6</v>
      </c>
      <c r="G10" s="115" t="n">
        <f aca="false">Inputs!$E$57*(1+Inputs!$E$59)^(G$5-1)*MAX(0,MIN(1,G$4*1-Inputs!$E$60+1))/1</f>
        <v>0.6</v>
      </c>
      <c r="H10" s="115" t="n">
        <f aca="false">Inputs!$E$57*(1+Inputs!$E$59)^(H$5-1)*MAX(0,MIN(1,H$4*1-Inputs!$E$60+1))/1</f>
        <v>0.6</v>
      </c>
      <c r="I10" s="115" t="n">
        <f aca="false">Inputs!$E$57*(1+Inputs!$E$59)^(I$5-1)*MAX(0,MIN(1,I$4*1-Inputs!$E$60+1))/1</f>
        <v>0.6</v>
      </c>
      <c r="J10" s="115" t="n">
        <f aca="false">Inputs!$E$57*(1+Inputs!$E$59)^(J$5-1)*MAX(0,MIN(1,J$4*1-Inputs!$E$60+1))/1</f>
        <v>0.6</v>
      </c>
      <c r="K10" s="115" t="n">
        <f aca="false">Inputs!$E$57*(1+Inputs!$E$59)^(K$5-1)*MAX(0,MIN(1,K$4*1-Inputs!$E$60+1))/1</f>
        <v>0.6</v>
      </c>
      <c r="L10" s="115" t="n">
        <f aca="false">Inputs!$E$57*(1+Inputs!$E$59)^(L$5-1)*MAX(0,MIN(1,L$4*1-Inputs!$E$60+1))/1</f>
        <v>0.6</v>
      </c>
      <c r="M10" s="115" t="n">
        <f aca="false">Inputs!$E$57*(1+Inputs!$E$59)^(M$5-1)*MAX(0,MIN(1,M$4*1-Inputs!$E$60+1))/1</f>
        <v>0.6</v>
      </c>
      <c r="N10" s="115" t="n">
        <f aca="false">Inputs!$E$57*(1+Inputs!$E$59)^(N$5-1)*MAX(0,MIN(1,N$4*1-Inputs!$E$60+1))/1</f>
        <v>0.6</v>
      </c>
      <c r="O10" s="115" t="n">
        <f aca="false">Inputs!$E$57*(1+Inputs!$E$59)^(O$5-1)*MAX(0,MIN(1,O$4*1-Inputs!$E$60+1))/1</f>
        <v>0.6</v>
      </c>
      <c r="P10" s="115" t="n">
        <f aca="false">Inputs!$E$57*(1+Inputs!$E$59)^(P$5-1)*MAX(0,MIN(1,P$4*1-Inputs!$E$60+1))/1</f>
        <v>0.6</v>
      </c>
      <c r="Q10" s="115" t="n">
        <f aca="false">Inputs!$E$57*(1+Inputs!$E$59)^(Q$5-1)*MAX(0,MIN(1,Q$4*1-Inputs!$E$60+1))/1</f>
        <v>0.6</v>
      </c>
      <c r="R10" s="115" t="n">
        <f aca="false">Inputs!$E$57*(1+Inputs!$E$59)^(R$5-1)*MAX(0,MIN(1,R$4*1-Inputs!$E$60+1))/1</f>
        <v>0.6</v>
      </c>
      <c r="S10" s="115" t="n">
        <f aca="false">Inputs!$E$57*(1+Inputs!$E$59)^(S$5-1)*MAX(0,MIN(1,S$4*1-Inputs!$E$60+1))/1</f>
        <v>0.6</v>
      </c>
      <c r="T10" s="115" t="n">
        <f aca="false">Inputs!$E$57*(1+Inputs!$E$59)^(T$5-1)*MAX(0,MIN(1,T$4*1-Inputs!$E$60+1))/1</f>
        <v>0.6</v>
      </c>
      <c r="U10" s="115" t="n">
        <f aca="false">Inputs!$E$57*(1+Inputs!$E$59)^(U$5-1)*MAX(0,MIN(1,U$4*1-Inputs!$E$60+1))/1</f>
        <v>0.6</v>
      </c>
      <c r="V10" s="115" t="n">
        <f aca="false">Inputs!$E$57*(1+Inputs!$E$59)^(V$5-1)*MAX(0,MIN(1,V$4*1-Inputs!$E$60+1))/1</f>
        <v>0.6</v>
      </c>
      <c r="W10" s="115" t="n">
        <f aca="false">Inputs!$E$57*(1+Inputs!$E$59)^(W$5-1)*MAX(0,MIN(1,W$4*1-Inputs!$E$60+1))/1</f>
        <v>0.6</v>
      </c>
      <c r="X10" s="115" t="n">
        <f aca="false">Inputs!$E$57*(1+Inputs!$E$59)^(X$5-1)*MAX(0,MIN(1,X$4*1-Inputs!$E$60+1))/1</f>
        <v>0.6</v>
      </c>
      <c r="Y10" s="115" t="n">
        <f aca="false">Inputs!$E$57*(1+Inputs!$E$59)^(Y$5-1)*MAX(0,MIN(1,Y$4*1-Inputs!$E$60+1))/1</f>
        <v>0.6</v>
      </c>
      <c r="Z10" s="115" t="n">
        <f aca="false">Inputs!$E$57*(1+Inputs!$E$59)^(Z$5-1)*MAX(0,MIN(1,Z$4*1-Inputs!$E$60+1))/1</f>
        <v>0.6</v>
      </c>
      <c r="AA10" s="115" t="n">
        <f aca="false">Inputs!$E$57*(1+Inputs!$E$59)^(AA$5-1)*MAX(0,MIN(1,AA$4*1-Inputs!$E$60+1))/1</f>
        <v>0.6</v>
      </c>
      <c r="AB10" s="115" t="n">
        <f aca="false">Inputs!$E$57*(1+Inputs!$E$59)^(AB$5-1)*MAX(0,MIN(1,AB$4*1-Inputs!$E$60+1))/1</f>
        <v>0.6</v>
      </c>
      <c r="AC10" s="115" t="n">
        <f aca="false">Inputs!$E$57*(1+Inputs!$E$59)^(AC$5-1)*MAX(0,MIN(1,AC$4*1-Inputs!$E$60+1))/1</f>
        <v>0.6</v>
      </c>
      <c r="AD10" s="115" t="n">
        <f aca="false">Inputs!$E$57*(1+Inputs!$E$59)^(AD$5-1)*MAX(0,MIN(1,AD$4*1-Inputs!$E$60+1))/1</f>
        <v>0.6</v>
      </c>
      <c r="AE10" s="115" t="n">
        <f aca="false">Inputs!$E$57*(1+Inputs!$E$59)^(AE$5-1)*MAX(0,MIN(1,AE$4*1-Inputs!$E$60+1))/1</f>
        <v>0.6</v>
      </c>
      <c r="AF10" s="115" t="n">
        <f aca="false">Inputs!$E$57*(1+Inputs!$E$59)^(AF$5-1)*MAX(0,MIN(1,AF$4*1-Inputs!$E$60+1))/1</f>
        <v>0.6</v>
      </c>
      <c r="AG10" s="115" t="n">
        <f aca="false">Inputs!$E$57*(1+Inputs!$E$59)^(AG$5-1)*MAX(0,MIN(1,AG$4*1-Inputs!$E$60+1))/1</f>
        <v>0.6</v>
      </c>
      <c r="AH10" s="115" t="n">
        <f aca="false">Inputs!$E$57*(1+Inputs!$E$59)^(AH$5-1)*MAX(0,MIN(1,AH$4*1-Inputs!$E$60+1))/1</f>
        <v>0.6</v>
      </c>
      <c r="AI10" s="115" t="n">
        <f aca="false">Inputs!$E$57*(1+Inputs!$E$59)^(AI$5-1)*MAX(0,MIN(1,AI$4*1-Inputs!$E$60+1))/1</f>
        <v>0.6</v>
      </c>
      <c r="AJ10" s="115" t="n">
        <f aca="false">Inputs!$E$57*(1+Inputs!$E$59)^(AJ$5-1)*MAX(0,MIN(1,AJ$4*1-Inputs!$E$60+1))/1</f>
        <v>0.6</v>
      </c>
      <c r="AK10" s="115" t="n">
        <f aca="false">Inputs!$E$57*(1+Inputs!$E$59)^(AK$5-1)*MAX(0,MIN(1,AK$4*1-Inputs!$E$60+1))/1</f>
        <v>0.6</v>
      </c>
      <c r="AL10" s="115" t="n">
        <f aca="false">Inputs!$E$57*(1+Inputs!$E$59)^(AL$5-1)*MAX(0,MIN(1,AL$4*1-Inputs!$E$60+1))/1</f>
        <v>0.6</v>
      </c>
      <c r="AM10" s="115" t="n">
        <f aca="false">Inputs!$E$57*(1+Inputs!$E$59)^(AM$5-1)*MAX(0,MIN(1,AM$4*1-Inputs!$E$60+1))/1</f>
        <v>0.6</v>
      </c>
      <c r="AN10" s="115" t="n">
        <f aca="false">Inputs!$E$57*(1+Inputs!$E$59)^(AN$5-1)*MAX(0,MIN(1,AN$4*1-Inputs!$E$60+1))/1</f>
        <v>0.6</v>
      </c>
      <c r="AO10" s="115" t="n">
        <f aca="false">Inputs!$E$57*(1+Inputs!$E$59)^(AO$5-1)*MAX(0,MIN(1,AO$4*1-Inputs!$E$60+1))/1</f>
        <v>0.6</v>
      </c>
      <c r="AP10" s="115" t="n">
        <f aca="false">Inputs!$E$57*(1+Inputs!$E$59)^(AP$5-1)*MAX(0,MIN(1,AP$4*1-Inputs!$E$60+1))/1</f>
        <v>0.6</v>
      </c>
      <c r="AQ10" s="115" t="n">
        <f aca="false">Inputs!$E$57*(1+Inputs!$E$59)^(AQ$5-1)*MAX(0,MIN(1,AQ$4*1-Inputs!$E$60+1))/1</f>
        <v>0.6</v>
      </c>
      <c r="AR10" s="115" t="n">
        <f aca="false">Inputs!$E$57*(1+Inputs!$E$59)^(AR$5-1)*MAX(0,MIN(1,AR$4*1-Inputs!$E$60+1))/1</f>
        <v>0.6</v>
      </c>
      <c r="AS10" s="115" t="n">
        <f aca="false">Inputs!$E$57*(1+Inputs!$E$59)^(AS$5-1)*MAX(0,MIN(1,AS$4*1-Inputs!$E$60+1))/1</f>
        <v>0.6</v>
      </c>
      <c r="AT10" s="115" t="n">
        <f aca="false">Inputs!$E$57*(1+Inputs!$E$59)^(AT$5-1)*MAX(0,MIN(1,AT$4*1-Inputs!$E$60+1))/1</f>
        <v>0.6</v>
      </c>
      <c r="AU10" s="115" t="n">
        <f aca="false">Inputs!$E$57*(1+Inputs!$E$59)^(AU$5-1)*MAX(0,MIN(1,AU$4*1-Inputs!$E$60+1))/1</f>
        <v>0.6</v>
      </c>
      <c r="AV10" s="115" t="n">
        <f aca="false">Inputs!$E$57*(1+Inputs!$E$59)^(AV$5-1)*MAX(0,MIN(1,AV$4*1-Inputs!$E$60+1))/1</f>
        <v>0.6</v>
      </c>
      <c r="AW10" s="115" t="n">
        <f aca="false">Inputs!$E$57*(1+Inputs!$E$59)^(AW$5-1)*MAX(0,MIN(1,AW$4*1-Inputs!$E$60+1))/1</f>
        <v>0.6</v>
      </c>
      <c r="AX10" s="115" t="n">
        <f aca="false">Inputs!$E$57*(1+Inputs!$E$59)^(AX$5-1)*MAX(0,MIN(1,AX$4*1-Inputs!$E$60+1))/1</f>
        <v>0.6</v>
      </c>
      <c r="AY10" s="115" t="n">
        <f aca="false">Inputs!$E$57*(1+Inputs!$E$59)^(AY$5-1)*MAX(0,MIN(1,AY$4*1-Inputs!$E$60+1))/1</f>
        <v>0.6</v>
      </c>
      <c r="AZ10" s="115" t="n">
        <f aca="false">Inputs!$E$57*(1+Inputs!$E$59)^(AZ$5-1)*MAX(0,MIN(1,AZ$4*1-Inputs!$E$60+1))/1</f>
        <v>0.6</v>
      </c>
      <c r="BA10" s="115" t="n">
        <f aca="false">Inputs!$E$57*(1+Inputs!$E$59)^(BA$5-1)*MAX(0,MIN(1,BA$4*1-Inputs!$E$60+1))/1</f>
        <v>0.6</v>
      </c>
      <c r="BB10" s="115" t="n">
        <f aca="false">Inputs!$E$57*(1+Inputs!$E$59)^(BB$5-1)*MAX(0,MIN(1,BB$4*1-Inputs!$E$60+1))/1</f>
        <v>0.6</v>
      </c>
      <c r="BC10" s="115" t="n">
        <f aca="false">Inputs!$E$57*(1+Inputs!$E$59)^(BC$5-1)*MAX(0,MIN(1,BC$4*1-Inputs!$E$60+1))/1</f>
        <v>0.6</v>
      </c>
      <c r="BD10" s="115" t="n">
        <f aca="false">Inputs!$E$57*(1+Inputs!$E$59)^(BD$5-1)*MAX(0,MIN(1,BD$4*1-Inputs!$E$60+1))/1</f>
        <v>0.6</v>
      </c>
      <c r="BE10" s="115" t="n">
        <f aca="false">Inputs!$E$57*(1+Inputs!$E$59)^(BE$5-1)*MAX(0,MIN(1,BE$4*1-Inputs!$E$60+1))/1</f>
        <v>0.6</v>
      </c>
      <c r="BF10" s="115" t="n">
        <f aca="false">Inputs!$E$57*(1+Inputs!$E$59)^(BF$5-1)*MAX(0,MIN(1,BF$4*1-Inputs!$E$60+1))/1</f>
        <v>0.6</v>
      </c>
      <c r="BG10" s="115" t="n">
        <f aca="false">Inputs!$E$57*(1+Inputs!$E$59)^(BG$5-1)*MAX(0,MIN(1,BG$4*1-Inputs!$E$60+1))/1</f>
        <v>0.6</v>
      </c>
      <c r="BH10" s="115" t="n">
        <f aca="false">Inputs!$E$57*(1+Inputs!$E$59)^(BH$5-1)*MAX(0,MIN(1,BH$4*1-Inputs!$E$60+1))/1</f>
        <v>0.6</v>
      </c>
      <c r="BI10" s="115" t="n">
        <f aca="false">Inputs!$E$57*(1+Inputs!$E$59)^(BI$5-1)*MAX(0,MIN(1,BI$4*1-Inputs!$E$60+1))/1</f>
        <v>0.6</v>
      </c>
      <c r="BJ10" s="115" t="n">
        <f aca="false">Inputs!$E$57*(1+Inputs!$E$59)^(BJ$5-1)*MAX(0,MIN(1,BJ$4*1-Inputs!$E$60+1))/1</f>
        <v>0.6</v>
      </c>
    </row>
    <row r="11" customFormat="false" ht="15" hidden="false" customHeight="false" outlineLevel="0" collapsed="false">
      <c r="A11" s="111" t="s">
        <v>455</v>
      </c>
      <c r="C11" s="119" t="n">
        <f aca="false">C8+C9+C10</f>
        <v>3.1</v>
      </c>
      <c r="D11" s="119" t="n">
        <f aca="false">D8+D9+D10</f>
        <v>3.1</v>
      </c>
      <c r="E11" s="119" t="n">
        <f aca="false">E8+E9+E10</f>
        <v>3.1</v>
      </c>
      <c r="F11" s="119" t="n">
        <f aca="false">F8+F9+F10</f>
        <v>3.1</v>
      </c>
      <c r="G11" s="119" t="n">
        <f aca="false">G8+G9+G10</f>
        <v>3.1</v>
      </c>
      <c r="H11" s="119" t="n">
        <f aca="false">H8+H9+H10</f>
        <v>3.1</v>
      </c>
      <c r="I11" s="119" t="n">
        <f aca="false">I8+I9+I10</f>
        <v>3.1</v>
      </c>
      <c r="J11" s="119" t="n">
        <f aca="false">J8+J9+J10</f>
        <v>3.1</v>
      </c>
      <c r="K11" s="119" t="n">
        <f aca="false">K8+K9+K10</f>
        <v>3.1</v>
      </c>
      <c r="L11" s="119" t="n">
        <f aca="false">L8+L9+L10</f>
        <v>3.1</v>
      </c>
      <c r="M11" s="119" t="n">
        <f aca="false">M8+M9+M10</f>
        <v>3.1</v>
      </c>
      <c r="N11" s="119" t="n">
        <f aca="false">N8+N9+N10</f>
        <v>3.1</v>
      </c>
      <c r="O11" s="119" t="n">
        <f aca="false">O8+O9+O10</f>
        <v>3.1</v>
      </c>
      <c r="P11" s="119" t="n">
        <f aca="false">P8+P9+P10</f>
        <v>3.1</v>
      </c>
      <c r="Q11" s="119" t="n">
        <f aca="false">Q8+Q9+Q10</f>
        <v>3.1</v>
      </c>
      <c r="R11" s="119" t="n">
        <f aca="false">R8+R9+R10</f>
        <v>3.1</v>
      </c>
      <c r="S11" s="119" t="n">
        <f aca="false">S8+S9+S10</f>
        <v>3.1</v>
      </c>
      <c r="T11" s="119" t="n">
        <f aca="false">T8+T9+T10</f>
        <v>3.1</v>
      </c>
      <c r="U11" s="119" t="n">
        <f aca="false">U8+U9+U10</f>
        <v>3.1</v>
      </c>
      <c r="V11" s="119" t="n">
        <f aca="false">V8+V9+V10</f>
        <v>3.1</v>
      </c>
      <c r="W11" s="119" t="n">
        <f aca="false">W8+W9+W10</f>
        <v>3.1</v>
      </c>
      <c r="X11" s="119" t="n">
        <f aca="false">X8+X9+X10</f>
        <v>3.1</v>
      </c>
      <c r="Y11" s="119" t="n">
        <f aca="false">Y8+Y9+Y10</f>
        <v>3.1</v>
      </c>
      <c r="Z11" s="119" t="n">
        <f aca="false">Z8+Z9+Z10</f>
        <v>3.1</v>
      </c>
      <c r="AA11" s="119" t="n">
        <f aca="false">AA8+AA9+AA10</f>
        <v>3.1</v>
      </c>
      <c r="AB11" s="119" t="n">
        <f aca="false">AB8+AB9+AB10</f>
        <v>3.1</v>
      </c>
      <c r="AC11" s="119" t="n">
        <f aca="false">AC8+AC9+AC10</f>
        <v>3.1</v>
      </c>
      <c r="AD11" s="119" t="n">
        <f aca="false">AD8+AD9+AD10</f>
        <v>3.1</v>
      </c>
      <c r="AE11" s="119" t="n">
        <f aca="false">AE8+AE9+AE10</f>
        <v>3.1</v>
      </c>
      <c r="AF11" s="119" t="n">
        <f aca="false">AF8+AF9+AF10</f>
        <v>3.1</v>
      </c>
      <c r="AG11" s="119" t="n">
        <f aca="false">AG8+AG9+AG10</f>
        <v>3.1</v>
      </c>
      <c r="AH11" s="119" t="n">
        <f aca="false">AH8+AH9+AH10</f>
        <v>3.1</v>
      </c>
      <c r="AI11" s="119" t="n">
        <f aca="false">AI8+AI9+AI10</f>
        <v>3.1</v>
      </c>
      <c r="AJ11" s="119" t="n">
        <f aca="false">AJ8+AJ9+AJ10</f>
        <v>3.1</v>
      </c>
      <c r="AK11" s="119" t="n">
        <f aca="false">AK8+AK9+AK10</f>
        <v>3.1</v>
      </c>
      <c r="AL11" s="119" t="n">
        <f aca="false">AL8+AL9+AL10</f>
        <v>3.1</v>
      </c>
      <c r="AM11" s="119" t="n">
        <f aca="false">AM8+AM9+AM10</f>
        <v>3.1</v>
      </c>
      <c r="AN11" s="119" t="n">
        <f aca="false">AN8+AN9+AN10</f>
        <v>3.1</v>
      </c>
      <c r="AO11" s="119" t="n">
        <f aca="false">AO8+AO9+AO10</f>
        <v>3.1</v>
      </c>
      <c r="AP11" s="119" t="n">
        <f aca="false">AP8+AP9+AP10</f>
        <v>3.1</v>
      </c>
      <c r="AQ11" s="119" t="n">
        <f aca="false">AQ8+AQ9+AQ10</f>
        <v>3.1</v>
      </c>
      <c r="AR11" s="119" t="n">
        <f aca="false">AR8+AR9+AR10</f>
        <v>3.1</v>
      </c>
      <c r="AS11" s="119" t="n">
        <f aca="false">AS8+AS9+AS10</f>
        <v>3.1</v>
      </c>
      <c r="AT11" s="119" t="n">
        <f aca="false">AT8+AT9+AT10</f>
        <v>3.1</v>
      </c>
      <c r="AU11" s="119" t="n">
        <f aca="false">AU8+AU9+AU10</f>
        <v>3.1</v>
      </c>
      <c r="AV11" s="119" t="n">
        <f aca="false">AV8+AV9+AV10</f>
        <v>3.1</v>
      </c>
      <c r="AW11" s="119" t="n">
        <f aca="false">AW8+AW9+AW10</f>
        <v>3.1</v>
      </c>
      <c r="AX11" s="119" t="n">
        <f aca="false">AX8+AX9+AX10</f>
        <v>3.1</v>
      </c>
      <c r="AY11" s="119" t="n">
        <f aca="false">AY8+AY9+AY10</f>
        <v>3.1</v>
      </c>
      <c r="AZ11" s="119" t="n">
        <f aca="false">AZ8+AZ9+AZ10</f>
        <v>3.1</v>
      </c>
      <c r="BA11" s="119" t="n">
        <f aca="false">BA8+BA9+BA10</f>
        <v>3.1</v>
      </c>
      <c r="BB11" s="119" t="n">
        <f aca="false">BB8+BB9+BB10</f>
        <v>3.1</v>
      </c>
      <c r="BC11" s="119" t="n">
        <f aca="false">BC8+BC9+BC10</f>
        <v>3.1</v>
      </c>
      <c r="BD11" s="119" t="n">
        <f aca="false">BD8+BD9+BD10</f>
        <v>3.1</v>
      </c>
      <c r="BE11" s="119" t="n">
        <f aca="false">BE8+BE9+BE10</f>
        <v>3.1</v>
      </c>
      <c r="BF11" s="119" t="n">
        <f aca="false">BF8+BF9+BF10</f>
        <v>3.1</v>
      </c>
      <c r="BG11" s="119" t="n">
        <f aca="false">BG8+BG9+BG10</f>
        <v>3.1</v>
      </c>
      <c r="BH11" s="119" t="n">
        <f aca="false">BH8+BH9+BH10</f>
        <v>3.1</v>
      </c>
      <c r="BI11" s="119" t="n">
        <f aca="false">BI8+BI9+BI10</f>
        <v>3.1</v>
      </c>
      <c r="BJ11" s="119" t="n">
        <f aca="false">BJ8+BJ9+BJ10</f>
        <v>3.1</v>
      </c>
    </row>
    <row r="13" customFormat="false" ht="15.75" hidden="false" customHeight="true" outlineLevel="0" collapsed="false">
      <c r="A13" s="7" t="s">
        <v>456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457</v>
      </c>
      <c r="C14" s="67" t="n">
        <f aca="false">-C8*Inputs!$E$50/12*1*(1+Inputs!$E$61)*(1+Inputs!$E$62)^(C$5-1)</f>
        <v>-4600</v>
      </c>
      <c r="D14" s="67" t="n">
        <f aca="false">-D8*Inputs!$E$50/12*1*(1+Inputs!$E$61)*(1+Inputs!$E$62)^(D$5-1)</f>
        <v>-4600</v>
      </c>
      <c r="E14" s="67" t="n">
        <f aca="false">-E8*Inputs!$E$50/12*1*(1+Inputs!$E$61)*(1+Inputs!$E$62)^(E$5-1)</f>
        <v>-4600</v>
      </c>
      <c r="F14" s="67" t="n">
        <f aca="false">-F8*Inputs!$E$50/12*1*(1+Inputs!$E$61)*(1+Inputs!$E$62)^(F$5-1)</f>
        <v>-4600</v>
      </c>
      <c r="G14" s="67" t="n">
        <f aca="false">-G8*Inputs!$E$50/12*1*(1+Inputs!$E$61)*(1+Inputs!$E$62)^(G$5-1)</f>
        <v>-4600</v>
      </c>
      <c r="H14" s="67" t="n">
        <f aca="false">-H8*Inputs!$E$50/12*1*(1+Inputs!$E$61)*(1+Inputs!$E$62)^(H$5-1)</f>
        <v>-4600</v>
      </c>
      <c r="I14" s="67" t="n">
        <f aca="false">-I8*Inputs!$E$50/12*1*(1+Inputs!$E$61)*(1+Inputs!$E$62)^(I$5-1)</f>
        <v>-4600</v>
      </c>
      <c r="J14" s="67" t="n">
        <f aca="false">-J8*Inputs!$E$50/12*1*(1+Inputs!$E$61)*(1+Inputs!$E$62)^(J$5-1)</f>
        <v>-4600</v>
      </c>
      <c r="K14" s="67" t="n">
        <f aca="false">-K8*Inputs!$E$50/12*1*(1+Inputs!$E$61)*(1+Inputs!$E$62)^(K$5-1)</f>
        <v>-4600</v>
      </c>
      <c r="L14" s="67" t="n">
        <f aca="false">-L8*Inputs!$E$50/12*1*(1+Inputs!$E$61)*(1+Inputs!$E$62)^(L$5-1)</f>
        <v>-4600</v>
      </c>
      <c r="M14" s="67" t="n">
        <f aca="false">-M8*Inputs!$E$50/12*1*(1+Inputs!$E$61)*(1+Inputs!$E$62)^(M$5-1)</f>
        <v>-4600</v>
      </c>
      <c r="N14" s="67" t="n">
        <f aca="false">-N8*Inputs!$E$50/12*1*(1+Inputs!$E$61)*(1+Inputs!$E$62)^(N$5-1)</f>
        <v>-4600</v>
      </c>
      <c r="O14" s="67" t="n">
        <f aca="false">-O8*Inputs!$E$50/12*1*(1+Inputs!$E$61)*(1+Inputs!$E$62)^(O$5-1)</f>
        <v>-4738</v>
      </c>
      <c r="P14" s="67" t="n">
        <f aca="false">-P8*Inputs!$E$50/12*1*(1+Inputs!$E$61)*(1+Inputs!$E$62)^(P$5-1)</f>
        <v>-4738</v>
      </c>
      <c r="Q14" s="67" t="n">
        <f aca="false">-Q8*Inputs!$E$50/12*1*(1+Inputs!$E$61)*(1+Inputs!$E$62)^(Q$5-1)</f>
        <v>-4738</v>
      </c>
      <c r="R14" s="67" t="n">
        <f aca="false">-R8*Inputs!$E$50/12*1*(1+Inputs!$E$61)*(1+Inputs!$E$62)^(R$5-1)</f>
        <v>-4738</v>
      </c>
      <c r="S14" s="67" t="n">
        <f aca="false">-S8*Inputs!$E$50/12*1*(1+Inputs!$E$61)*(1+Inputs!$E$62)^(S$5-1)</f>
        <v>-4738</v>
      </c>
      <c r="T14" s="67" t="n">
        <f aca="false">-T8*Inputs!$E$50/12*1*(1+Inputs!$E$61)*(1+Inputs!$E$62)^(T$5-1)</f>
        <v>-4738</v>
      </c>
      <c r="U14" s="67" t="n">
        <f aca="false">-U8*Inputs!$E$50/12*1*(1+Inputs!$E$61)*(1+Inputs!$E$62)^(U$5-1)</f>
        <v>-4738</v>
      </c>
      <c r="V14" s="67" t="n">
        <f aca="false">-V8*Inputs!$E$50/12*1*(1+Inputs!$E$61)*(1+Inputs!$E$62)^(V$5-1)</f>
        <v>-4738</v>
      </c>
      <c r="W14" s="67" t="n">
        <f aca="false">-W8*Inputs!$E$50/12*1*(1+Inputs!$E$61)*(1+Inputs!$E$62)^(W$5-1)</f>
        <v>-4738</v>
      </c>
      <c r="X14" s="67" t="n">
        <f aca="false">-X8*Inputs!$E$50/12*1*(1+Inputs!$E$61)*(1+Inputs!$E$62)^(X$5-1)</f>
        <v>-4738</v>
      </c>
      <c r="Y14" s="67" t="n">
        <f aca="false">-Y8*Inputs!$E$50/12*1*(1+Inputs!$E$61)*(1+Inputs!$E$62)^(Y$5-1)</f>
        <v>-4738</v>
      </c>
      <c r="Z14" s="67" t="n">
        <f aca="false">-Z8*Inputs!$E$50/12*1*(1+Inputs!$E$61)*(1+Inputs!$E$62)^(Z$5-1)</f>
        <v>-4738</v>
      </c>
      <c r="AA14" s="67" t="n">
        <f aca="false">-AA8*Inputs!$E$50/12*1*(1+Inputs!$E$61)*(1+Inputs!$E$62)^(AA$5-1)</f>
        <v>-4880.14</v>
      </c>
      <c r="AB14" s="67" t="n">
        <f aca="false">-AB8*Inputs!$E$50/12*1*(1+Inputs!$E$61)*(1+Inputs!$E$62)^(AB$5-1)</f>
        <v>-4880.14</v>
      </c>
      <c r="AC14" s="67" t="n">
        <f aca="false">-AC8*Inputs!$E$50/12*1*(1+Inputs!$E$61)*(1+Inputs!$E$62)^(AC$5-1)</f>
        <v>-4880.14</v>
      </c>
      <c r="AD14" s="67" t="n">
        <f aca="false">-AD8*Inputs!$E$50/12*1*(1+Inputs!$E$61)*(1+Inputs!$E$62)^(AD$5-1)</f>
        <v>-4880.14</v>
      </c>
      <c r="AE14" s="67" t="n">
        <f aca="false">-AE8*Inputs!$E$50/12*1*(1+Inputs!$E$61)*(1+Inputs!$E$62)^(AE$5-1)</f>
        <v>-4880.14</v>
      </c>
      <c r="AF14" s="67" t="n">
        <f aca="false">-AF8*Inputs!$E$50/12*1*(1+Inputs!$E$61)*(1+Inputs!$E$62)^(AF$5-1)</f>
        <v>-4880.14</v>
      </c>
      <c r="AG14" s="67" t="n">
        <f aca="false">-AG8*Inputs!$E$50/12*1*(1+Inputs!$E$61)*(1+Inputs!$E$62)^(AG$5-1)</f>
        <v>-4880.14</v>
      </c>
      <c r="AH14" s="67" t="n">
        <f aca="false">-AH8*Inputs!$E$50/12*1*(1+Inputs!$E$61)*(1+Inputs!$E$62)^(AH$5-1)</f>
        <v>-4880.14</v>
      </c>
      <c r="AI14" s="67" t="n">
        <f aca="false">-AI8*Inputs!$E$50/12*1*(1+Inputs!$E$61)*(1+Inputs!$E$62)^(AI$5-1)</f>
        <v>-4880.14</v>
      </c>
      <c r="AJ14" s="67" t="n">
        <f aca="false">-AJ8*Inputs!$E$50/12*1*(1+Inputs!$E$61)*(1+Inputs!$E$62)^(AJ$5-1)</f>
        <v>-4880.14</v>
      </c>
      <c r="AK14" s="67" t="n">
        <f aca="false">-AK8*Inputs!$E$50/12*1*(1+Inputs!$E$61)*(1+Inputs!$E$62)^(AK$5-1)</f>
        <v>-4880.14</v>
      </c>
      <c r="AL14" s="67" t="n">
        <f aca="false">-AL8*Inputs!$E$50/12*1*(1+Inputs!$E$61)*(1+Inputs!$E$62)^(AL$5-1)</f>
        <v>-4880.14</v>
      </c>
      <c r="AM14" s="67" t="n">
        <f aca="false">-AM8*Inputs!$E$50/12*1*(1+Inputs!$E$61)*(1+Inputs!$E$62)^(AM$5-1)</f>
        <v>-5026.5442</v>
      </c>
      <c r="AN14" s="67" t="n">
        <f aca="false">-AN8*Inputs!$E$50/12*1*(1+Inputs!$E$61)*(1+Inputs!$E$62)^(AN$5-1)</f>
        <v>-5026.5442</v>
      </c>
      <c r="AO14" s="67" t="n">
        <f aca="false">-AO8*Inputs!$E$50/12*1*(1+Inputs!$E$61)*(1+Inputs!$E$62)^(AO$5-1)</f>
        <v>-5026.5442</v>
      </c>
      <c r="AP14" s="67" t="n">
        <f aca="false">-AP8*Inputs!$E$50/12*1*(1+Inputs!$E$61)*(1+Inputs!$E$62)^(AP$5-1)</f>
        <v>-5026.5442</v>
      </c>
      <c r="AQ14" s="67" t="n">
        <f aca="false">-AQ8*Inputs!$E$50/12*1*(1+Inputs!$E$61)*(1+Inputs!$E$62)^(AQ$5-1)</f>
        <v>-5026.5442</v>
      </c>
      <c r="AR14" s="67" t="n">
        <f aca="false">-AR8*Inputs!$E$50/12*1*(1+Inputs!$E$61)*(1+Inputs!$E$62)^(AR$5-1)</f>
        <v>-5026.5442</v>
      </c>
      <c r="AS14" s="67" t="n">
        <f aca="false">-AS8*Inputs!$E$50/12*1*(1+Inputs!$E$61)*(1+Inputs!$E$62)^(AS$5-1)</f>
        <v>-5026.5442</v>
      </c>
      <c r="AT14" s="67" t="n">
        <f aca="false">-AT8*Inputs!$E$50/12*1*(1+Inputs!$E$61)*(1+Inputs!$E$62)^(AT$5-1)</f>
        <v>-5026.5442</v>
      </c>
      <c r="AU14" s="67" t="n">
        <f aca="false">-AU8*Inputs!$E$50/12*1*(1+Inputs!$E$61)*(1+Inputs!$E$62)^(AU$5-1)</f>
        <v>-5026.5442</v>
      </c>
      <c r="AV14" s="67" t="n">
        <f aca="false">-AV8*Inputs!$E$50/12*1*(1+Inputs!$E$61)*(1+Inputs!$E$62)^(AV$5-1)</f>
        <v>-5026.5442</v>
      </c>
      <c r="AW14" s="67" t="n">
        <f aca="false">-AW8*Inputs!$E$50/12*1*(1+Inputs!$E$61)*(1+Inputs!$E$62)^(AW$5-1)</f>
        <v>-5026.5442</v>
      </c>
      <c r="AX14" s="67" t="n">
        <f aca="false">-AX8*Inputs!$E$50/12*1*(1+Inputs!$E$61)*(1+Inputs!$E$62)^(AX$5-1)</f>
        <v>-5026.5442</v>
      </c>
      <c r="AY14" s="67" t="n">
        <f aca="false">-AY8*Inputs!$E$50/12*1*(1+Inputs!$E$61)*(1+Inputs!$E$62)^(AY$5-1)</f>
        <v>-5177.340526</v>
      </c>
      <c r="AZ14" s="67" t="n">
        <f aca="false">-AZ8*Inputs!$E$50/12*1*(1+Inputs!$E$61)*(1+Inputs!$E$62)^(AZ$5-1)</f>
        <v>-5177.340526</v>
      </c>
      <c r="BA14" s="67" t="n">
        <f aca="false">-BA8*Inputs!$E$50/12*1*(1+Inputs!$E$61)*(1+Inputs!$E$62)^(BA$5-1)</f>
        <v>-5177.340526</v>
      </c>
      <c r="BB14" s="67" t="n">
        <f aca="false">-BB8*Inputs!$E$50/12*1*(1+Inputs!$E$61)*(1+Inputs!$E$62)^(BB$5-1)</f>
        <v>-5177.340526</v>
      </c>
      <c r="BC14" s="67" t="n">
        <f aca="false">-BC8*Inputs!$E$50/12*1*(1+Inputs!$E$61)*(1+Inputs!$E$62)^(BC$5-1)</f>
        <v>-5177.340526</v>
      </c>
      <c r="BD14" s="67" t="n">
        <f aca="false">-BD8*Inputs!$E$50/12*1*(1+Inputs!$E$61)*(1+Inputs!$E$62)^(BD$5-1)</f>
        <v>-5177.340526</v>
      </c>
      <c r="BE14" s="67" t="n">
        <f aca="false">-BE8*Inputs!$E$50/12*1*(1+Inputs!$E$61)*(1+Inputs!$E$62)^(BE$5-1)</f>
        <v>-5177.340526</v>
      </c>
      <c r="BF14" s="67" t="n">
        <f aca="false">-BF8*Inputs!$E$50/12*1*(1+Inputs!$E$61)*(1+Inputs!$E$62)^(BF$5-1)</f>
        <v>-5177.340526</v>
      </c>
      <c r="BG14" s="67" t="n">
        <f aca="false">-BG8*Inputs!$E$50/12*1*(1+Inputs!$E$61)*(1+Inputs!$E$62)^(BG$5-1)</f>
        <v>-5177.340526</v>
      </c>
      <c r="BH14" s="67" t="n">
        <f aca="false">-BH8*Inputs!$E$50/12*1*(1+Inputs!$E$61)*(1+Inputs!$E$62)^(BH$5-1)</f>
        <v>-5177.340526</v>
      </c>
      <c r="BI14" s="67" t="n">
        <f aca="false">-BI8*Inputs!$E$50/12*1*(1+Inputs!$E$61)*(1+Inputs!$E$62)^(BI$5-1)</f>
        <v>-5177.340526</v>
      </c>
      <c r="BJ14" s="67" t="n">
        <f aca="false">-BJ8*Inputs!$E$50/12*1*(1+Inputs!$E$61)*(1+Inputs!$E$62)^(BJ$5-1)</f>
        <v>-5177.340526</v>
      </c>
    </row>
    <row r="15" customFormat="false" ht="15" hidden="false" customHeight="false" outlineLevel="0" collapsed="false">
      <c r="A15" s="6" t="s">
        <v>458</v>
      </c>
      <c r="C15" s="67" t="n">
        <f aca="false">-C9*Inputs!$E$54/12*1*(1+Inputs!$E$61)*(1+Inputs!$E$62)^(C$5-1)</f>
        <v>-3833.33333333333</v>
      </c>
      <c r="D15" s="67" t="n">
        <f aca="false">-D9*Inputs!$E$54/12*1*(1+Inputs!$E$61)*(1+Inputs!$E$62)^(D$5-1)</f>
        <v>-3833.33333333333</v>
      </c>
      <c r="E15" s="67" t="n">
        <f aca="false">-E9*Inputs!$E$54/12*1*(1+Inputs!$E$61)*(1+Inputs!$E$62)^(E$5-1)</f>
        <v>-3833.33333333333</v>
      </c>
      <c r="F15" s="67" t="n">
        <f aca="false">-F9*Inputs!$E$54/12*1*(1+Inputs!$E$61)*(1+Inputs!$E$62)^(F$5-1)</f>
        <v>-3833.33333333333</v>
      </c>
      <c r="G15" s="67" t="n">
        <f aca="false">-G9*Inputs!$E$54/12*1*(1+Inputs!$E$61)*(1+Inputs!$E$62)^(G$5-1)</f>
        <v>-3833.33333333333</v>
      </c>
      <c r="H15" s="67" t="n">
        <f aca="false">-H9*Inputs!$E$54/12*1*(1+Inputs!$E$61)*(1+Inputs!$E$62)^(H$5-1)</f>
        <v>-3833.33333333333</v>
      </c>
      <c r="I15" s="67" t="n">
        <f aca="false">-I9*Inputs!$E$54/12*1*(1+Inputs!$E$61)*(1+Inputs!$E$62)^(I$5-1)</f>
        <v>-3833.33333333333</v>
      </c>
      <c r="J15" s="67" t="n">
        <f aca="false">-J9*Inputs!$E$54/12*1*(1+Inputs!$E$61)*(1+Inputs!$E$62)^(J$5-1)</f>
        <v>-3833.33333333333</v>
      </c>
      <c r="K15" s="67" t="n">
        <f aca="false">-K9*Inputs!$E$54/12*1*(1+Inputs!$E$61)*(1+Inputs!$E$62)^(K$5-1)</f>
        <v>-3833.33333333333</v>
      </c>
      <c r="L15" s="67" t="n">
        <f aca="false">-L9*Inputs!$E$54/12*1*(1+Inputs!$E$61)*(1+Inputs!$E$62)^(L$5-1)</f>
        <v>-3833.33333333333</v>
      </c>
      <c r="M15" s="67" t="n">
        <f aca="false">-M9*Inputs!$E$54/12*1*(1+Inputs!$E$61)*(1+Inputs!$E$62)^(M$5-1)</f>
        <v>-3833.33333333333</v>
      </c>
      <c r="N15" s="67" t="n">
        <f aca="false">-N9*Inputs!$E$54/12*1*(1+Inputs!$E$61)*(1+Inputs!$E$62)^(N$5-1)</f>
        <v>-3833.33333333333</v>
      </c>
      <c r="O15" s="67" t="n">
        <f aca="false">-O9*Inputs!$E$54/12*1*(1+Inputs!$E$61)*(1+Inputs!$E$62)^(O$5-1)</f>
        <v>-3948.33333333333</v>
      </c>
      <c r="P15" s="67" t="n">
        <f aca="false">-P9*Inputs!$E$54/12*1*(1+Inputs!$E$61)*(1+Inputs!$E$62)^(P$5-1)</f>
        <v>-3948.33333333333</v>
      </c>
      <c r="Q15" s="67" t="n">
        <f aca="false">-Q9*Inputs!$E$54/12*1*(1+Inputs!$E$61)*(1+Inputs!$E$62)^(Q$5-1)</f>
        <v>-3948.33333333333</v>
      </c>
      <c r="R15" s="67" t="n">
        <f aca="false">-R9*Inputs!$E$54/12*1*(1+Inputs!$E$61)*(1+Inputs!$E$62)^(R$5-1)</f>
        <v>-3948.33333333333</v>
      </c>
      <c r="S15" s="67" t="n">
        <f aca="false">-S9*Inputs!$E$54/12*1*(1+Inputs!$E$61)*(1+Inputs!$E$62)^(S$5-1)</f>
        <v>-3948.33333333333</v>
      </c>
      <c r="T15" s="67" t="n">
        <f aca="false">-T9*Inputs!$E$54/12*1*(1+Inputs!$E$61)*(1+Inputs!$E$62)^(T$5-1)</f>
        <v>-3948.33333333333</v>
      </c>
      <c r="U15" s="67" t="n">
        <f aca="false">-U9*Inputs!$E$54/12*1*(1+Inputs!$E$61)*(1+Inputs!$E$62)^(U$5-1)</f>
        <v>-3948.33333333333</v>
      </c>
      <c r="V15" s="67" t="n">
        <f aca="false">-V9*Inputs!$E$54/12*1*(1+Inputs!$E$61)*(1+Inputs!$E$62)^(V$5-1)</f>
        <v>-3948.33333333333</v>
      </c>
      <c r="W15" s="67" t="n">
        <f aca="false">-W9*Inputs!$E$54/12*1*(1+Inputs!$E$61)*(1+Inputs!$E$62)^(W$5-1)</f>
        <v>-3948.33333333333</v>
      </c>
      <c r="X15" s="67" t="n">
        <f aca="false">-X9*Inputs!$E$54/12*1*(1+Inputs!$E$61)*(1+Inputs!$E$62)^(X$5-1)</f>
        <v>-3948.33333333333</v>
      </c>
      <c r="Y15" s="67" t="n">
        <f aca="false">-Y9*Inputs!$E$54/12*1*(1+Inputs!$E$61)*(1+Inputs!$E$62)^(Y$5-1)</f>
        <v>-3948.33333333333</v>
      </c>
      <c r="Z15" s="67" t="n">
        <f aca="false">-Z9*Inputs!$E$54/12*1*(1+Inputs!$E$61)*(1+Inputs!$E$62)^(Z$5-1)</f>
        <v>-3948.33333333333</v>
      </c>
      <c r="AA15" s="67" t="n">
        <f aca="false">-AA9*Inputs!$E$54/12*1*(1+Inputs!$E$61)*(1+Inputs!$E$62)^(AA$5-1)</f>
        <v>-4066.78333333333</v>
      </c>
      <c r="AB15" s="67" t="n">
        <f aca="false">-AB9*Inputs!$E$54/12*1*(1+Inputs!$E$61)*(1+Inputs!$E$62)^(AB$5-1)</f>
        <v>-4066.78333333333</v>
      </c>
      <c r="AC15" s="67" t="n">
        <f aca="false">-AC9*Inputs!$E$54/12*1*(1+Inputs!$E$61)*(1+Inputs!$E$62)^(AC$5-1)</f>
        <v>-4066.78333333333</v>
      </c>
      <c r="AD15" s="67" t="n">
        <f aca="false">-AD9*Inputs!$E$54/12*1*(1+Inputs!$E$61)*(1+Inputs!$E$62)^(AD$5-1)</f>
        <v>-4066.78333333333</v>
      </c>
      <c r="AE15" s="67" t="n">
        <f aca="false">-AE9*Inputs!$E$54/12*1*(1+Inputs!$E$61)*(1+Inputs!$E$62)^(AE$5-1)</f>
        <v>-4066.78333333333</v>
      </c>
      <c r="AF15" s="67" t="n">
        <f aca="false">-AF9*Inputs!$E$54/12*1*(1+Inputs!$E$61)*(1+Inputs!$E$62)^(AF$5-1)</f>
        <v>-4066.78333333333</v>
      </c>
      <c r="AG15" s="67" t="n">
        <f aca="false">-AG9*Inputs!$E$54/12*1*(1+Inputs!$E$61)*(1+Inputs!$E$62)^(AG$5-1)</f>
        <v>-4066.78333333333</v>
      </c>
      <c r="AH15" s="67" t="n">
        <f aca="false">-AH9*Inputs!$E$54/12*1*(1+Inputs!$E$61)*(1+Inputs!$E$62)^(AH$5-1)</f>
        <v>-4066.78333333333</v>
      </c>
      <c r="AI15" s="67" t="n">
        <f aca="false">-AI9*Inputs!$E$54/12*1*(1+Inputs!$E$61)*(1+Inputs!$E$62)^(AI$5-1)</f>
        <v>-4066.78333333333</v>
      </c>
      <c r="AJ15" s="67" t="n">
        <f aca="false">-AJ9*Inputs!$E$54/12*1*(1+Inputs!$E$61)*(1+Inputs!$E$62)^(AJ$5-1)</f>
        <v>-4066.78333333333</v>
      </c>
      <c r="AK15" s="67" t="n">
        <f aca="false">-AK9*Inputs!$E$54/12*1*(1+Inputs!$E$61)*(1+Inputs!$E$62)^(AK$5-1)</f>
        <v>-4066.78333333333</v>
      </c>
      <c r="AL15" s="67" t="n">
        <f aca="false">-AL9*Inputs!$E$54/12*1*(1+Inputs!$E$61)*(1+Inputs!$E$62)^(AL$5-1)</f>
        <v>-4066.78333333333</v>
      </c>
      <c r="AM15" s="67" t="n">
        <f aca="false">-AM9*Inputs!$E$54/12*1*(1+Inputs!$E$61)*(1+Inputs!$E$62)^(AM$5-1)</f>
        <v>-4188.78683333333</v>
      </c>
      <c r="AN15" s="67" t="n">
        <f aca="false">-AN9*Inputs!$E$54/12*1*(1+Inputs!$E$61)*(1+Inputs!$E$62)^(AN$5-1)</f>
        <v>-4188.78683333333</v>
      </c>
      <c r="AO15" s="67" t="n">
        <f aca="false">-AO9*Inputs!$E$54/12*1*(1+Inputs!$E$61)*(1+Inputs!$E$62)^(AO$5-1)</f>
        <v>-4188.78683333333</v>
      </c>
      <c r="AP15" s="67" t="n">
        <f aca="false">-AP9*Inputs!$E$54/12*1*(1+Inputs!$E$61)*(1+Inputs!$E$62)^(AP$5-1)</f>
        <v>-4188.78683333333</v>
      </c>
      <c r="AQ15" s="67" t="n">
        <f aca="false">-AQ9*Inputs!$E$54/12*1*(1+Inputs!$E$61)*(1+Inputs!$E$62)^(AQ$5-1)</f>
        <v>-4188.78683333333</v>
      </c>
      <c r="AR15" s="67" t="n">
        <f aca="false">-AR9*Inputs!$E$54/12*1*(1+Inputs!$E$61)*(1+Inputs!$E$62)^(AR$5-1)</f>
        <v>-4188.78683333333</v>
      </c>
      <c r="AS15" s="67" t="n">
        <f aca="false">-AS9*Inputs!$E$54/12*1*(1+Inputs!$E$61)*(1+Inputs!$E$62)^(AS$5-1)</f>
        <v>-4188.78683333333</v>
      </c>
      <c r="AT15" s="67" t="n">
        <f aca="false">-AT9*Inputs!$E$54/12*1*(1+Inputs!$E$61)*(1+Inputs!$E$62)^(AT$5-1)</f>
        <v>-4188.78683333333</v>
      </c>
      <c r="AU15" s="67" t="n">
        <f aca="false">-AU9*Inputs!$E$54/12*1*(1+Inputs!$E$61)*(1+Inputs!$E$62)^(AU$5-1)</f>
        <v>-4188.78683333333</v>
      </c>
      <c r="AV15" s="67" t="n">
        <f aca="false">-AV9*Inputs!$E$54/12*1*(1+Inputs!$E$61)*(1+Inputs!$E$62)^(AV$5-1)</f>
        <v>-4188.78683333333</v>
      </c>
      <c r="AW15" s="67" t="n">
        <f aca="false">-AW9*Inputs!$E$54/12*1*(1+Inputs!$E$61)*(1+Inputs!$E$62)^(AW$5-1)</f>
        <v>-4188.78683333333</v>
      </c>
      <c r="AX15" s="67" t="n">
        <f aca="false">-AX9*Inputs!$E$54/12*1*(1+Inputs!$E$61)*(1+Inputs!$E$62)^(AX$5-1)</f>
        <v>-4188.78683333333</v>
      </c>
      <c r="AY15" s="67" t="n">
        <f aca="false">-AY9*Inputs!$E$54/12*1*(1+Inputs!$E$61)*(1+Inputs!$E$62)^(AY$5-1)</f>
        <v>-4314.45043833333</v>
      </c>
      <c r="AZ15" s="67" t="n">
        <f aca="false">-AZ9*Inputs!$E$54/12*1*(1+Inputs!$E$61)*(1+Inputs!$E$62)^(AZ$5-1)</f>
        <v>-4314.45043833333</v>
      </c>
      <c r="BA15" s="67" t="n">
        <f aca="false">-BA9*Inputs!$E$54/12*1*(1+Inputs!$E$61)*(1+Inputs!$E$62)^(BA$5-1)</f>
        <v>-4314.45043833333</v>
      </c>
      <c r="BB15" s="67" t="n">
        <f aca="false">-BB9*Inputs!$E$54/12*1*(1+Inputs!$E$61)*(1+Inputs!$E$62)^(BB$5-1)</f>
        <v>-4314.45043833333</v>
      </c>
      <c r="BC15" s="67" t="n">
        <f aca="false">-BC9*Inputs!$E$54/12*1*(1+Inputs!$E$61)*(1+Inputs!$E$62)^(BC$5-1)</f>
        <v>-4314.45043833333</v>
      </c>
      <c r="BD15" s="67" t="n">
        <f aca="false">-BD9*Inputs!$E$54/12*1*(1+Inputs!$E$61)*(1+Inputs!$E$62)^(BD$5-1)</f>
        <v>-4314.45043833333</v>
      </c>
      <c r="BE15" s="67" t="n">
        <f aca="false">-BE9*Inputs!$E$54/12*1*(1+Inputs!$E$61)*(1+Inputs!$E$62)^(BE$5-1)</f>
        <v>-4314.45043833333</v>
      </c>
      <c r="BF15" s="67" t="n">
        <f aca="false">-BF9*Inputs!$E$54/12*1*(1+Inputs!$E$61)*(1+Inputs!$E$62)^(BF$5-1)</f>
        <v>-4314.45043833333</v>
      </c>
      <c r="BG15" s="67" t="n">
        <f aca="false">-BG9*Inputs!$E$54/12*1*(1+Inputs!$E$61)*(1+Inputs!$E$62)^(BG$5-1)</f>
        <v>-4314.45043833333</v>
      </c>
      <c r="BH15" s="67" t="n">
        <f aca="false">-BH9*Inputs!$E$54/12*1*(1+Inputs!$E$61)*(1+Inputs!$E$62)^(BH$5-1)</f>
        <v>-4314.45043833333</v>
      </c>
      <c r="BI15" s="67" t="n">
        <f aca="false">-BI9*Inputs!$E$54/12*1*(1+Inputs!$E$61)*(1+Inputs!$E$62)^(BI$5-1)</f>
        <v>-4314.45043833333</v>
      </c>
      <c r="BJ15" s="67" t="n">
        <f aca="false">-BJ9*Inputs!$E$54/12*1*(1+Inputs!$E$61)*(1+Inputs!$E$62)^(BJ$5-1)</f>
        <v>-4314.45043833333</v>
      </c>
    </row>
    <row r="16" customFormat="false" ht="15" hidden="false" customHeight="false" outlineLevel="0" collapsed="false">
      <c r="A16" s="6" t="s">
        <v>459</v>
      </c>
      <c r="C16" s="67" t="n">
        <f aca="false">-C10*Inputs!$E$58/12*1*(1+Inputs!$E$61)*(1+Inputs!$E$62)^(C$5-1)</f>
        <v>-1725</v>
      </c>
      <c r="D16" s="67" t="n">
        <f aca="false">-D10*Inputs!$E$58/12*1*(1+Inputs!$E$61)*(1+Inputs!$E$62)^(D$5-1)</f>
        <v>-1725</v>
      </c>
      <c r="E16" s="67" t="n">
        <f aca="false">-E10*Inputs!$E$58/12*1*(1+Inputs!$E$61)*(1+Inputs!$E$62)^(E$5-1)</f>
        <v>-1725</v>
      </c>
      <c r="F16" s="67" t="n">
        <f aca="false">-F10*Inputs!$E$58/12*1*(1+Inputs!$E$61)*(1+Inputs!$E$62)^(F$5-1)</f>
        <v>-1725</v>
      </c>
      <c r="G16" s="67" t="n">
        <f aca="false">-G10*Inputs!$E$58/12*1*(1+Inputs!$E$61)*(1+Inputs!$E$62)^(G$5-1)</f>
        <v>-1725</v>
      </c>
      <c r="H16" s="67" t="n">
        <f aca="false">-H10*Inputs!$E$58/12*1*(1+Inputs!$E$61)*(1+Inputs!$E$62)^(H$5-1)</f>
        <v>-1725</v>
      </c>
      <c r="I16" s="67" t="n">
        <f aca="false">-I10*Inputs!$E$58/12*1*(1+Inputs!$E$61)*(1+Inputs!$E$62)^(I$5-1)</f>
        <v>-1725</v>
      </c>
      <c r="J16" s="67" t="n">
        <f aca="false">-J10*Inputs!$E$58/12*1*(1+Inputs!$E$61)*(1+Inputs!$E$62)^(J$5-1)</f>
        <v>-1725</v>
      </c>
      <c r="K16" s="67" t="n">
        <f aca="false">-K10*Inputs!$E$58/12*1*(1+Inputs!$E$61)*(1+Inputs!$E$62)^(K$5-1)</f>
        <v>-1725</v>
      </c>
      <c r="L16" s="67" t="n">
        <f aca="false">-L10*Inputs!$E$58/12*1*(1+Inputs!$E$61)*(1+Inputs!$E$62)^(L$5-1)</f>
        <v>-1725</v>
      </c>
      <c r="M16" s="67" t="n">
        <f aca="false">-M10*Inputs!$E$58/12*1*(1+Inputs!$E$61)*(1+Inputs!$E$62)^(M$5-1)</f>
        <v>-1725</v>
      </c>
      <c r="N16" s="67" t="n">
        <f aca="false">-N10*Inputs!$E$58/12*1*(1+Inputs!$E$61)*(1+Inputs!$E$62)^(N$5-1)</f>
        <v>-1725</v>
      </c>
      <c r="O16" s="67" t="n">
        <f aca="false">-O10*Inputs!$E$58/12*1*(1+Inputs!$E$61)*(1+Inputs!$E$62)^(O$5-1)</f>
        <v>-1776.75</v>
      </c>
      <c r="P16" s="67" t="n">
        <f aca="false">-P10*Inputs!$E$58/12*1*(1+Inputs!$E$61)*(1+Inputs!$E$62)^(P$5-1)</f>
        <v>-1776.75</v>
      </c>
      <c r="Q16" s="67" t="n">
        <f aca="false">-Q10*Inputs!$E$58/12*1*(1+Inputs!$E$61)*(1+Inputs!$E$62)^(Q$5-1)</f>
        <v>-1776.75</v>
      </c>
      <c r="R16" s="67" t="n">
        <f aca="false">-R10*Inputs!$E$58/12*1*(1+Inputs!$E$61)*(1+Inputs!$E$62)^(R$5-1)</f>
        <v>-1776.75</v>
      </c>
      <c r="S16" s="67" t="n">
        <f aca="false">-S10*Inputs!$E$58/12*1*(1+Inputs!$E$61)*(1+Inputs!$E$62)^(S$5-1)</f>
        <v>-1776.75</v>
      </c>
      <c r="T16" s="67" t="n">
        <f aca="false">-T10*Inputs!$E$58/12*1*(1+Inputs!$E$61)*(1+Inputs!$E$62)^(T$5-1)</f>
        <v>-1776.75</v>
      </c>
      <c r="U16" s="67" t="n">
        <f aca="false">-U10*Inputs!$E$58/12*1*(1+Inputs!$E$61)*(1+Inputs!$E$62)^(U$5-1)</f>
        <v>-1776.75</v>
      </c>
      <c r="V16" s="67" t="n">
        <f aca="false">-V10*Inputs!$E$58/12*1*(1+Inputs!$E$61)*(1+Inputs!$E$62)^(V$5-1)</f>
        <v>-1776.75</v>
      </c>
      <c r="W16" s="67" t="n">
        <f aca="false">-W10*Inputs!$E$58/12*1*(1+Inputs!$E$61)*(1+Inputs!$E$62)^(W$5-1)</f>
        <v>-1776.75</v>
      </c>
      <c r="X16" s="67" t="n">
        <f aca="false">-X10*Inputs!$E$58/12*1*(1+Inputs!$E$61)*(1+Inputs!$E$62)^(X$5-1)</f>
        <v>-1776.75</v>
      </c>
      <c r="Y16" s="67" t="n">
        <f aca="false">-Y10*Inputs!$E$58/12*1*(1+Inputs!$E$61)*(1+Inputs!$E$62)^(Y$5-1)</f>
        <v>-1776.75</v>
      </c>
      <c r="Z16" s="67" t="n">
        <f aca="false">-Z10*Inputs!$E$58/12*1*(1+Inputs!$E$61)*(1+Inputs!$E$62)^(Z$5-1)</f>
        <v>-1776.75</v>
      </c>
      <c r="AA16" s="67" t="n">
        <f aca="false">-AA10*Inputs!$E$58/12*1*(1+Inputs!$E$61)*(1+Inputs!$E$62)^(AA$5-1)</f>
        <v>-1830.0525</v>
      </c>
      <c r="AB16" s="67" t="n">
        <f aca="false">-AB10*Inputs!$E$58/12*1*(1+Inputs!$E$61)*(1+Inputs!$E$62)^(AB$5-1)</f>
        <v>-1830.0525</v>
      </c>
      <c r="AC16" s="67" t="n">
        <f aca="false">-AC10*Inputs!$E$58/12*1*(1+Inputs!$E$61)*(1+Inputs!$E$62)^(AC$5-1)</f>
        <v>-1830.0525</v>
      </c>
      <c r="AD16" s="67" t="n">
        <f aca="false">-AD10*Inputs!$E$58/12*1*(1+Inputs!$E$61)*(1+Inputs!$E$62)^(AD$5-1)</f>
        <v>-1830.0525</v>
      </c>
      <c r="AE16" s="67" t="n">
        <f aca="false">-AE10*Inputs!$E$58/12*1*(1+Inputs!$E$61)*(1+Inputs!$E$62)^(AE$5-1)</f>
        <v>-1830.0525</v>
      </c>
      <c r="AF16" s="67" t="n">
        <f aca="false">-AF10*Inputs!$E$58/12*1*(1+Inputs!$E$61)*(1+Inputs!$E$62)^(AF$5-1)</f>
        <v>-1830.0525</v>
      </c>
      <c r="AG16" s="67" t="n">
        <f aca="false">-AG10*Inputs!$E$58/12*1*(1+Inputs!$E$61)*(1+Inputs!$E$62)^(AG$5-1)</f>
        <v>-1830.0525</v>
      </c>
      <c r="AH16" s="67" t="n">
        <f aca="false">-AH10*Inputs!$E$58/12*1*(1+Inputs!$E$61)*(1+Inputs!$E$62)^(AH$5-1)</f>
        <v>-1830.0525</v>
      </c>
      <c r="AI16" s="67" t="n">
        <f aca="false">-AI10*Inputs!$E$58/12*1*(1+Inputs!$E$61)*(1+Inputs!$E$62)^(AI$5-1)</f>
        <v>-1830.0525</v>
      </c>
      <c r="AJ16" s="67" t="n">
        <f aca="false">-AJ10*Inputs!$E$58/12*1*(1+Inputs!$E$61)*(1+Inputs!$E$62)^(AJ$5-1)</f>
        <v>-1830.0525</v>
      </c>
      <c r="AK16" s="67" t="n">
        <f aca="false">-AK10*Inputs!$E$58/12*1*(1+Inputs!$E$61)*(1+Inputs!$E$62)^(AK$5-1)</f>
        <v>-1830.0525</v>
      </c>
      <c r="AL16" s="67" t="n">
        <f aca="false">-AL10*Inputs!$E$58/12*1*(1+Inputs!$E$61)*(1+Inputs!$E$62)^(AL$5-1)</f>
        <v>-1830.0525</v>
      </c>
      <c r="AM16" s="67" t="n">
        <f aca="false">-AM10*Inputs!$E$58/12*1*(1+Inputs!$E$61)*(1+Inputs!$E$62)^(AM$5-1)</f>
        <v>-1884.954075</v>
      </c>
      <c r="AN16" s="67" t="n">
        <f aca="false">-AN10*Inputs!$E$58/12*1*(1+Inputs!$E$61)*(1+Inputs!$E$62)^(AN$5-1)</f>
        <v>-1884.954075</v>
      </c>
      <c r="AO16" s="67" t="n">
        <f aca="false">-AO10*Inputs!$E$58/12*1*(1+Inputs!$E$61)*(1+Inputs!$E$62)^(AO$5-1)</f>
        <v>-1884.954075</v>
      </c>
      <c r="AP16" s="67" t="n">
        <f aca="false">-AP10*Inputs!$E$58/12*1*(1+Inputs!$E$61)*(1+Inputs!$E$62)^(AP$5-1)</f>
        <v>-1884.954075</v>
      </c>
      <c r="AQ16" s="67" t="n">
        <f aca="false">-AQ10*Inputs!$E$58/12*1*(1+Inputs!$E$61)*(1+Inputs!$E$62)^(AQ$5-1)</f>
        <v>-1884.954075</v>
      </c>
      <c r="AR16" s="67" t="n">
        <f aca="false">-AR10*Inputs!$E$58/12*1*(1+Inputs!$E$61)*(1+Inputs!$E$62)^(AR$5-1)</f>
        <v>-1884.954075</v>
      </c>
      <c r="AS16" s="67" t="n">
        <f aca="false">-AS10*Inputs!$E$58/12*1*(1+Inputs!$E$61)*(1+Inputs!$E$62)^(AS$5-1)</f>
        <v>-1884.954075</v>
      </c>
      <c r="AT16" s="67" t="n">
        <f aca="false">-AT10*Inputs!$E$58/12*1*(1+Inputs!$E$61)*(1+Inputs!$E$62)^(AT$5-1)</f>
        <v>-1884.954075</v>
      </c>
      <c r="AU16" s="67" t="n">
        <f aca="false">-AU10*Inputs!$E$58/12*1*(1+Inputs!$E$61)*(1+Inputs!$E$62)^(AU$5-1)</f>
        <v>-1884.954075</v>
      </c>
      <c r="AV16" s="67" t="n">
        <f aca="false">-AV10*Inputs!$E$58/12*1*(1+Inputs!$E$61)*(1+Inputs!$E$62)^(AV$5-1)</f>
        <v>-1884.954075</v>
      </c>
      <c r="AW16" s="67" t="n">
        <f aca="false">-AW10*Inputs!$E$58/12*1*(1+Inputs!$E$61)*(1+Inputs!$E$62)^(AW$5-1)</f>
        <v>-1884.954075</v>
      </c>
      <c r="AX16" s="67" t="n">
        <f aca="false">-AX10*Inputs!$E$58/12*1*(1+Inputs!$E$61)*(1+Inputs!$E$62)^(AX$5-1)</f>
        <v>-1884.954075</v>
      </c>
      <c r="AY16" s="67" t="n">
        <f aca="false">-AY10*Inputs!$E$58/12*1*(1+Inputs!$E$61)*(1+Inputs!$E$62)^(AY$5-1)</f>
        <v>-1941.50269725</v>
      </c>
      <c r="AZ16" s="67" t="n">
        <f aca="false">-AZ10*Inputs!$E$58/12*1*(1+Inputs!$E$61)*(1+Inputs!$E$62)^(AZ$5-1)</f>
        <v>-1941.50269725</v>
      </c>
      <c r="BA16" s="67" t="n">
        <f aca="false">-BA10*Inputs!$E$58/12*1*(1+Inputs!$E$61)*(1+Inputs!$E$62)^(BA$5-1)</f>
        <v>-1941.50269725</v>
      </c>
      <c r="BB16" s="67" t="n">
        <f aca="false">-BB10*Inputs!$E$58/12*1*(1+Inputs!$E$61)*(1+Inputs!$E$62)^(BB$5-1)</f>
        <v>-1941.50269725</v>
      </c>
      <c r="BC16" s="67" t="n">
        <f aca="false">-BC10*Inputs!$E$58/12*1*(1+Inputs!$E$61)*(1+Inputs!$E$62)^(BC$5-1)</f>
        <v>-1941.50269725</v>
      </c>
      <c r="BD16" s="67" t="n">
        <f aca="false">-BD10*Inputs!$E$58/12*1*(1+Inputs!$E$61)*(1+Inputs!$E$62)^(BD$5-1)</f>
        <v>-1941.50269725</v>
      </c>
      <c r="BE16" s="67" t="n">
        <f aca="false">-BE10*Inputs!$E$58/12*1*(1+Inputs!$E$61)*(1+Inputs!$E$62)^(BE$5-1)</f>
        <v>-1941.50269725</v>
      </c>
      <c r="BF16" s="67" t="n">
        <f aca="false">-BF10*Inputs!$E$58/12*1*(1+Inputs!$E$61)*(1+Inputs!$E$62)^(BF$5-1)</f>
        <v>-1941.50269725</v>
      </c>
      <c r="BG16" s="67" t="n">
        <f aca="false">-BG10*Inputs!$E$58/12*1*(1+Inputs!$E$61)*(1+Inputs!$E$62)^(BG$5-1)</f>
        <v>-1941.50269725</v>
      </c>
      <c r="BH16" s="67" t="n">
        <f aca="false">-BH10*Inputs!$E$58/12*1*(1+Inputs!$E$61)*(1+Inputs!$E$62)^(BH$5-1)</f>
        <v>-1941.50269725</v>
      </c>
      <c r="BI16" s="67" t="n">
        <f aca="false">-BI10*Inputs!$E$58/12*1*(1+Inputs!$E$61)*(1+Inputs!$E$62)^(BI$5-1)</f>
        <v>-1941.50269725</v>
      </c>
      <c r="BJ16" s="67" t="n">
        <f aca="false">-BJ10*Inputs!$E$58/12*1*(1+Inputs!$E$61)*(1+Inputs!$E$62)^(BJ$5-1)</f>
        <v>-1941.50269725</v>
      </c>
    </row>
    <row r="17" customFormat="false" ht="15" hidden="false" customHeight="false" outlineLevel="0" collapsed="false">
      <c r="A17" s="111" t="s">
        <v>460</v>
      </c>
      <c r="C17" s="68" t="n">
        <f aca="false">C14+C15+C16</f>
        <v>-10158.3333333333</v>
      </c>
      <c r="D17" s="68" t="n">
        <f aca="false">D14+D15+D16</f>
        <v>-10158.3333333333</v>
      </c>
      <c r="E17" s="68" t="n">
        <f aca="false">E14+E15+E16</f>
        <v>-10158.3333333333</v>
      </c>
      <c r="F17" s="68" t="n">
        <f aca="false">F14+F15+F16</f>
        <v>-10158.3333333333</v>
      </c>
      <c r="G17" s="68" t="n">
        <f aca="false">G14+G15+G16</f>
        <v>-10158.3333333333</v>
      </c>
      <c r="H17" s="68" t="n">
        <f aca="false">H14+H15+H16</f>
        <v>-10158.3333333333</v>
      </c>
      <c r="I17" s="68" t="n">
        <f aca="false">I14+I15+I16</f>
        <v>-10158.3333333333</v>
      </c>
      <c r="J17" s="68" t="n">
        <f aca="false">J14+J15+J16</f>
        <v>-10158.3333333333</v>
      </c>
      <c r="K17" s="68" t="n">
        <f aca="false">K14+K15+K16</f>
        <v>-10158.3333333333</v>
      </c>
      <c r="L17" s="68" t="n">
        <f aca="false">L14+L15+L16</f>
        <v>-10158.3333333333</v>
      </c>
      <c r="M17" s="68" t="n">
        <f aca="false">M14+M15+M16</f>
        <v>-10158.3333333333</v>
      </c>
      <c r="N17" s="68" t="n">
        <f aca="false">N14+N15+N16</f>
        <v>-10158.3333333333</v>
      </c>
      <c r="O17" s="68" t="n">
        <f aca="false">O14+O15+O16</f>
        <v>-10463.0833333333</v>
      </c>
      <c r="P17" s="68" t="n">
        <f aca="false">P14+P15+P16</f>
        <v>-10463.0833333333</v>
      </c>
      <c r="Q17" s="68" t="n">
        <f aca="false">Q14+Q15+Q16</f>
        <v>-10463.0833333333</v>
      </c>
      <c r="R17" s="68" t="n">
        <f aca="false">R14+R15+R16</f>
        <v>-10463.0833333333</v>
      </c>
      <c r="S17" s="68" t="n">
        <f aca="false">S14+S15+S16</f>
        <v>-10463.0833333333</v>
      </c>
      <c r="T17" s="68" t="n">
        <f aca="false">T14+T15+T16</f>
        <v>-10463.0833333333</v>
      </c>
      <c r="U17" s="68" t="n">
        <f aca="false">U14+U15+U16</f>
        <v>-10463.0833333333</v>
      </c>
      <c r="V17" s="68" t="n">
        <f aca="false">V14+V15+V16</f>
        <v>-10463.0833333333</v>
      </c>
      <c r="W17" s="68" t="n">
        <f aca="false">W14+W15+W16</f>
        <v>-10463.0833333333</v>
      </c>
      <c r="X17" s="68" t="n">
        <f aca="false">X14+X15+X16</f>
        <v>-10463.0833333333</v>
      </c>
      <c r="Y17" s="68" t="n">
        <f aca="false">Y14+Y15+Y16</f>
        <v>-10463.0833333333</v>
      </c>
      <c r="Z17" s="68" t="n">
        <f aca="false">Z14+Z15+Z16</f>
        <v>-10463.0833333333</v>
      </c>
      <c r="AA17" s="68" t="n">
        <f aca="false">AA14+AA15+AA16</f>
        <v>-10776.9758333333</v>
      </c>
      <c r="AB17" s="68" t="n">
        <f aca="false">AB14+AB15+AB16</f>
        <v>-10776.9758333333</v>
      </c>
      <c r="AC17" s="68" t="n">
        <f aca="false">AC14+AC15+AC16</f>
        <v>-10776.9758333333</v>
      </c>
      <c r="AD17" s="68" t="n">
        <f aca="false">AD14+AD15+AD16</f>
        <v>-10776.9758333333</v>
      </c>
      <c r="AE17" s="68" t="n">
        <f aca="false">AE14+AE15+AE16</f>
        <v>-10776.9758333333</v>
      </c>
      <c r="AF17" s="68" t="n">
        <f aca="false">AF14+AF15+AF16</f>
        <v>-10776.9758333333</v>
      </c>
      <c r="AG17" s="68" t="n">
        <f aca="false">AG14+AG15+AG16</f>
        <v>-10776.9758333333</v>
      </c>
      <c r="AH17" s="68" t="n">
        <f aca="false">AH14+AH15+AH16</f>
        <v>-10776.9758333333</v>
      </c>
      <c r="AI17" s="68" t="n">
        <f aca="false">AI14+AI15+AI16</f>
        <v>-10776.9758333333</v>
      </c>
      <c r="AJ17" s="68" t="n">
        <f aca="false">AJ14+AJ15+AJ16</f>
        <v>-10776.9758333333</v>
      </c>
      <c r="AK17" s="68" t="n">
        <f aca="false">AK14+AK15+AK16</f>
        <v>-10776.9758333333</v>
      </c>
      <c r="AL17" s="68" t="n">
        <f aca="false">AL14+AL15+AL16</f>
        <v>-10776.9758333333</v>
      </c>
      <c r="AM17" s="68" t="n">
        <f aca="false">AM14+AM15+AM16</f>
        <v>-11100.2851083333</v>
      </c>
      <c r="AN17" s="68" t="n">
        <f aca="false">AN14+AN15+AN16</f>
        <v>-11100.2851083333</v>
      </c>
      <c r="AO17" s="68" t="n">
        <f aca="false">AO14+AO15+AO16</f>
        <v>-11100.2851083333</v>
      </c>
      <c r="AP17" s="68" t="n">
        <f aca="false">AP14+AP15+AP16</f>
        <v>-11100.2851083333</v>
      </c>
      <c r="AQ17" s="68" t="n">
        <f aca="false">AQ14+AQ15+AQ16</f>
        <v>-11100.2851083333</v>
      </c>
      <c r="AR17" s="68" t="n">
        <f aca="false">AR14+AR15+AR16</f>
        <v>-11100.2851083333</v>
      </c>
      <c r="AS17" s="68" t="n">
        <f aca="false">AS14+AS15+AS16</f>
        <v>-11100.2851083333</v>
      </c>
      <c r="AT17" s="68" t="n">
        <f aca="false">AT14+AT15+AT16</f>
        <v>-11100.2851083333</v>
      </c>
      <c r="AU17" s="68" t="n">
        <f aca="false">AU14+AU15+AU16</f>
        <v>-11100.2851083333</v>
      </c>
      <c r="AV17" s="68" t="n">
        <f aca="false">AV14+AV15+AV16</f>
        <v>-11100.2851083333</v>
      </c>
      <c r="AW17" s="68" t="n">
        <f aca="false">AW14+AW15+AW16</f>
        <v>-11100.2851083333</v>
      </c>
      <c r="AX17" s="68" t="n">
        <f aca="false">AX14+AX15+AX16</f>
        <v>-11100.2851083333</v>
      </c>
      <c r="AY17" s="68" t="n">
        <f aca="false">AY14+AY15+AY16</f>
        <v>-11433.2936615833</v>
      </c>
      <c r="AZ17" s="68" t="n">
        <f aca="false">AZ14+AZ15+AZ16</f>
        <v>-11433.2936615833</v>
      </c>
      <c r="BA17" s="68" t="n">
        <f aca="false">BA14+BA15+BA16</f>
        <v>-11433.2936615833</v>
      </c>
      <c r="BB17" s="68" t="n">
        <f aca="false">BB14+BB15+BB16</f>
        <v>-11433.2936615833</v>
      </c>
      <c r="BC17" s="68" t="n">
        <f aca="false">BC14+BC15+BC16</f>
        <v>-11433.2936615833</v>
      </c>
      <c r="BD17" s="68" t="n">
        <f aca="false">BD14+BD15+BD16</f>
        <v>-11433.2936615833</v>
      </c>
      <c r="BE17" s="68" t="n">
        <f aca="false">BE14+BE15+BE16</f>
        <v>-11433.2936615833</v>
      </c>
      <c r="BF17" s="68" t="n">
        <f aca="false">BF14+BF15+BF16</f>
        <v>-11433.2936615833</v>
      </c>
      <c r="BG17" s="68" t="n">
        <f aca="false">BG14+BG15+BG16</f>
        <v>-11433.2936615833</v>
      </c>
      <c r="BH17" s="68" t="n">
        <f aca="false">BH14+BH15+BH16</f>
        <v>-11433.2936615833</v>
      </c>
      <c r="BI17" s="68" t="n">
        <f aca="false">BI14+BI15+BI16</f>
        <v>-11433.2936615833</v>
      </c>
      <c r="BJ17" s="68" t="n">
        <f aca="false">BJ14+BJ15+BJ16</f>
        <v>-11433.2936615833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6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461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462</v>
      </c>
    </row>
    <row r="4" customFormat="false" ht="15.75" hidden="false" customHeight="true" outlineLevel="0" collapsed="false">
      <c r="A4" s="7" t="s">
        <v>463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345</v>
      </c>
      <c r="C5" s="52" t="s">
        <v>346</v>
      </c>
      <c r="D5" s="52" t="s">
        <v>347</v>
      </c>
      <c r="E5" s="52" t="s">
        <v>348</v>
      </c>
      <c r="F5" s="52" t="s">
        <v>349</v>
      </c>
      <c r="G5" s="52" t="s">
        <v>350</v>
      </c>
      <c r="H5" s="52" t="s">
        <v>351</v>
      </c>
      <c r="I5" s="52" t="s">
        <v>352</v>
      </c>
      <c r="J5" s="52" t="s">
        <v>353</v>
      </c>
      <c r="K5" s="52" t="s">
        <v>354</v>
      </c>
      <c r="L5" s="52" t="s">
        <v>355</v>
      </c>
      <c r="M5" s="52" t="s">
        <v>356</v>
      </c>
      <c r="N5" s="52" t="s">
        <v>357</v>
      </c>
      <c r="O5" s="52" t="s">
        <v>358</v>
      </c>
      <c r="P5" s="52" t="s">
        <v>359</v>
      </c>
      <c r="Q5" s="52" t="s">
        <v>360</v>
      </c>
      <c r="R5" s="52" t="s">
        <v>361</v>
      </c>
      <c r="S5" s="52" t="s">
        <v>362</v>
      </c>
      <c r="T5" s="52" t="s">
        <v>363</v>
      </c>
      <c r="U5" s="52" t="s">
        <v>364</v>
      </c>
      <c r="V5" s="52" t="s">
        <v>365</v>
      </c>
      <c r="W5" s="52" t="s">
        <v>366</v>
      </c>
      <c r="X5" s="52" t="s">
        <v>367</v>
      </c>
      <c r="Y5" s="52" t="s">
        <v>368</v>
      </c>
      <c r="Z5" s="52" t="s">
        <v>369</v>
      </c>
      <c r="AA5" s="52" t="s">
        <v>370</v>
      </c>
      <c r="AB5" s="52" t="s">
        <v>371</v>
      </c>
      <c r="AC5" s="52" t="s">
        <v>372</v>
      </c>
      <c r="AD5" s="52" t="s">
        <v>373</v>
      </c>
      <c r="AE5" s="52" t="s">
        <v>374</v>
      </c>
      <c r="AF5" s="52" t="s">
        <v>375</v>
      </c>
      <c r="AG5" s="52" t="s">
        <v>376</v>
      </c>
      <c r="AH5" s="52" t="s">
        <v>377</v>
      </c>
      <c r="AI5" s="52" t="s">
        <v>378</v>
      </c>
      <c r="AJ5" s="52" t="s">
        <v>379</v>
      </c>
      <c r="AK5" s="52" t="s">
        <v>380</v>
      </c>
      <c r="AL5" s="52" t="s">
        <v>381</v>
      </c>
      <c r="AM5" s="52" t="s">
        <v>382</v>
      </c>
      <c r="AN5" s="52" t="s">
        <v>383</v>
      </c>
      <c r="AO5" s="52" t="s">
        <v>384</v>
      </c>
      <c r="AP5" s="52" t="s">
        <v>385</v>
      </c>
      <c r="AQ5" s="52" t="s">
        <v>386</v>
      </c>
      <c r="AR5" s="52" t="s">
        <v>387</v>
      </c>
      <c r="AS5" s="52" t="s">
        <v>388</v>
      </c>
      <c r="AT5" s="52" t="s">
        <v>389</v>
      </c>
      <c r="AU5" s="52" t="s">
        <v>390</v>
      </c>
      <c r="AV5" s="52" t="s">
        <v>391</v>
      </c>
      <c r="AW5" s="52" t="s">
        <v>392</v>
      </c>
      <c r="AX5" s="52" t="s">
        <v>393</v>
      </c>
      <c r="AY5" s="52" t="s">
        <v>394</v>
      </c>
      <c r="AZ5" s="52" t="s">
        <v>395</v>
      </c>
      <c r="BA5" s="52" t="s">
        <v>396</v>
      </c>
      <c r="BB5" s="52" t="s">
        <v>397</v>
      </c>
      <c r="BC5" s="52" t="s">
        <v>398</v>
      </c>
      <c r="BD5" s="52" t="s">
        <v>399</v>
      </c>
      <c r="BE5" s="52" t="s">
        <v>400</v>
      </c>
      <c r="BF5" s="52" t="s">
        <v>401</v>
      </c>
      <c r="BG5" s="52" t="s">
        <v>402</v>
      </c>
      <c r="BH5" s="52" t="s">
        <v>403</v>
      </c>
      <c r="BI5" s="52" t="s">
        <v>404</v>
      </c>
      <c r="BJ5" s="52" t="s">
        <v>405</v>
      </c>
    </row>
    <row r="6" customFormat="false" ht="15" hidden="false" customHeight="false" outlineLevel="0" collapsed="false">
      <c r="A6" s="72" t="s">
        <v>406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  <c r="AM6" s="72" t="n">
        <v>37</v>
      </c>
      <c r="AN6" s="72" t="n">
        <v>38</v>
      </c>
      <c r="AO6" s="72" t="n">
        <v>39</v>
      </c>
      <c r="AP6" s="72" t="n">
        <v>40</v>
      </c>
      <c r="AQ6" s="72" t="n">
        <v>41</v>
      </c>
      <c r="AR6" s="72" t="n">
        <v>42</v>
      </c>
      <c r="AS6" s="72" t="n">
        <v>43</v>
      </c>
      <c r="AT6" s="72" t="n">
        <v>44</v>
      </c>
      <c r="AU6" s="72" t="n">
        <v>45</v>
      </c>
      <c r="AV6" s="72" t="n">
        <v>46</v>
      </c>
      <c r="AW6" s="72" t="n">
        <v>47</v>
      </c>
      <c r="AX6" s="72" t="n">
        <v>48</v>
      </c>
      <c r="AY6" s="72" t="n">
        <v>49</v>
      </c>
      <c r="AZ6" s="72" t="n">
        <v>50</v>
      </c>
      <c r="BA6" s="72" t="n">
        <v>51</v>
      </c>
      <c r="BB6" s="72" t="n">
        <v>52</v>
      </c>
      <c r="BC6" s="72" t="n">
        <v>53</v>
      </c>
      <c r="BD6" s="72" t="n">
        <v>54</v>
      </c>
      <c r="BE6" s="72" t="n">
        <v>55</v>
      </c>
      <c r="BF6" s="72" t="n">
        <v>56</v>
      </c>
      <c r="BG6" s="72" t="n">
        <v>57</v>
      </c>
      <c r="BH6" s="72" t="n">
        <v>58</v>
      </c>
      <c r="BI6" s="72" t="n">
        <v>59</v>
      </c>
      <c r="BJ6" s="72" t="n">
        <v>60</v>
      </c>
    </row>
    <row r="7" customFormat="false" ht="15" hidden="false" customHeight="false" outlineLevel="0" collapsed="false">
      <c r="A7" s="72" t="s">
        <v>154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  <c r="AM7" s="72" t="n">
        <f aca="false">ROUNDUP(AM6*1/12,0)</f>
        <v>4</v>
      </c>
      <c r="AN7" s="72" t="n">
        <f aca="false">ROUNDUP(AN6*1/12,0)</f>
        <v>4</v>
      </c>
      <c r="AO7" s="72" t="n">
        <f aca="false">ROUNDUP(AO6*1/12,0)</f>
        <v>4</v>
      </c>
      <c r="AP7" s="72" t="n">
        <f aca="false">ROUNDUP(AP6*1/12,0)</f>
        <v>4</v>
      </c>
      <c r="AQ7" s="72" t="n">
        <f aca="false">ROUNDUP(AQ6*1/12,0)</f>
        <v>4</v>
      </c>
      <c r="AR7" s="72" t="n">
        <f aca="false">ROUNDUP(AR6*1/12,0)</f>
        <v>4</v>
      </c>
      <c r="AS7" s="72" t="n">
        <f aca="false">ROUNDUP(AS6*1/12,0)</f>
        <v>4</v>
      </c>
      <c r="AT7" s="72" t="n">
        <f aca="false">ROUNDUP(AT6*1/12,0)</f>
        <v>4</v>
      </c>
      <c r="AU7" s="72" t="n">
        <f aca="false">ROUNDUP(AU6*1/12,0)</f>
        <v>4</v>
      </c>
      <c r="AV7" s="72" t="n">
        <f aca="false">ROUNDUP(AV6*1/12,0)</f>
        <v>4</v>
      </c>
      <c r="AW7" s="72" t="n">
        <f aca="false">ROUNDUP(AW6*1/12,0)</f>
        <v>4</v>
      </c>
      <c r="AX7" s="72" t="n">
        <f aca="false">ROUNDUP(AX6*1/12,0)</f>
        <v>4</v>
      </c>
      <c r="AY7" s="72" t="n">
        <f aca="false">ROUNDUP(AY6*1/12,0)</f>
        <v>5</v>
      </c>
      <c r="AZ7" s="72" t="n">
        <f aca="false">ROUNDUP(AZ6*1/12,0)</f>
        <v>5</v>
      </c>
      <c r="BA7" s="72" t="n">
        <f aca="false">ROUNDUP(BA6*1/12,0)</f>
        <v>5</v>
      </c>
      <c r="BB7" s="72" t="n">
        <f aca="false">ROUNDUP(BB6*1/12,0)</f>
        <v>5</v>
      </c>
      <c r="BC7" s="72" t="n">
        <f aca="false">ROUNDUP(BC6*1/12,0)</f>
        <v>5</v>
      </c>
      <c r="BD7" s="72" t="n">
        <f aca="false">ROUNDUP(BD6*1/12,0)</f>
        <v>5</v>
      </c>
      <c r="BE7" s="72" t="n">
        <f aca="false">ROUNDUP(BE6*1/12,0)</f>
        <v>5</v>
      </c>
      <c r="BF7" s="72" t="n">
        <f aca="false">ROUNDUP(BF6*1/12,0)</f>
        <v>5</v>
      </c>
      <c r="BG7" s="72" t="n">
        <f aca="false">ROUNDUP(BG6*1/12,0)</f>
        <v>5</v>
      </c>
      <c r="BH7" s="72" t="n">
        <f aca="false">ROUNDUP(BH6*1/12,0)</f>
        <v>5</v>
      </c>
      <c r="BI7" s="72" t="n">
        <f aca="false">ROUNDUP(BI6*1/12,0)</f>
        <v>5</v>
      </c>
      <c r="BJ7" s="72" t="n">
        <f aca="false">ROUNDUP(BJ6*1/12,0)</f>
        <v>5</v>
      </c>
    </row>
    <row r="9" customFormat="false" ht="15.75" hidden="false" customHeight="true" outlineLevel="0" collapsed="false">
      <c r="A9" s="7" t="s">
        <v>246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4" t="s">
        <v>407</v>
      </c>
      <c r="C10" s="115" t="n">
        <f aca="false">MAX(0,MIN(1,Inputs!$B$10-(C$6-1)*1))</f>
        <v>1</v>
      </c>
      <c r="D10" s="115" t="n">
        <f aca="false">MAX(0,MIN(1,Inputs!$B$10-(D$6-1)*1))</f>
        <v>1</v>
      </c>
      <c r="E10" s="115" t="n">
        <f aca="false">MAX(0,MIN(1,Inputs!$B$10-(E$6-1)*1))</f>
        <v>1</v>
      </c>
      <c r="F10" s="115" t="n">
        <f aca="false">MAX(0,MIN(1,Inputs!$B$10-(F$6-1)*1))</f>
        <v>1</v>
      </c>
      <c r="G10" s="115" t="n">
        <f aca="false">MAX(0,MIN(1,Inputs!$B$10-(G$6-1)*1))</f>
        <v>1</v>
      </c>
      <c r="H10" s="115" t="n">
        <f aca="false">MAX(0,MIN(1,Inputs!$B$10-(H$6-1)*1))</f>
        <v>1</v>
      </c>
      <c r="I10" s="115" t="n">
        <f aca="false">MAX(0,MIN(1,Inputs!$B$10-(I$6-1)*1))</f>
        <v>1</v>
      </c>
      <c r="J10" s="115" t="n">
        <f aca="false">MAX(0,MIN(1,Inputs!$B$10-(J$6-1)*1))</f>
        <v>1</v>
      </c>
      <c r="K10" s="115" t="n">
        <f aca="false">MAX(0,MIN(1,Inputs!$B$10-(K$6-1)*1))</f>
        <v>1</v>
      </c>
      <c r="L10" s="115" t="n">
        <f aca="false">MAX(0,MIN(1,Inputs!$B$10-(L$6-1)*1))</f>
        <v>1</v>
      </c>
      <c r="M10" s="115" t="n">
        <f aca="false">MAX(0,MIN(1,Inputs!$B$10-(M$6-1)*1))</f>
        <v>1</v>
      </c>
      <c r="N10" s="115" t="n">
        <f aca="false">MAX(0,MIN(1,Inputs!$B$10-(N$6-1)*1))</f>
        <v>1</v>
      </c>
      <c r="O10" s="115" t="n">
        <f aca="false">MAX(0,MIN(1,Inputs!$B$10-(O$6-1)*1))</f>
        <v>1</v>
      </c>
      <c r="P10" s="115" t="n">
        <f aca="false">MAX(0,MIN(1,Inputs!$B$10-(P$6-1)*1))</f>
        <v>1</v>
      </c>
      <c r="Q10" s="115" t="n">
        <f aca="false">MAX(0,MIN(1,Inputs!$B$10-(Q$6-1)*1))</f>
        <v>0</v>
      </c>
      <c r="R10" s="115" t="n">
        <f aca="false">MAX(0,MIN(1,Inputs!$B$10-(R$6-1)*1))</f>
        <v>0</v>
      </c>
      <c r="S10" s="115" t="n">
        <f aca="false">MAX(0,MIN(1,Inputs!$B$10-(S$6-1)*1))</f>
        <v>0</v>
      </c>
      <c r="T10" s="115" t="n">
        <f aca="false">MAX(0,MIN(1,Inputs!$B$10-(T$6-1)*1))</f>
        <v>0</v>
      </c>
      <c r="U10" s="115" t="n">
        <f aca="false">MAX(0,MIN(1,Inputs!$B$10-(U$6-1)*1))</f>
        <v>0</v>
      </c>
      <c r="V10" s="115" t="n">
        <f aca="false">MAX(0,MIN(1,Inputs!$B$10-(V$6-1)*1))</f>
        <v>0</v>
      </c>
      <c r="W10" s="115" t="n">
        <f aca="false">MAX(0,MIN(1,Inputs!$B$10-(W$6-1)*1))</f>
        <v>0</v>
      </c>
      <c r="X10" s="115" t="n">
        <f aca="false">MAX(0,MIN(1,Inputs!$B$10-(X$6-1)*1))</f>
        <v>0</v>
      </c>
      <c r="Y10" s="115" t="n">
        <f aca="false">MAX(0,MIN(1,Inputs!$B$10-(Y$6-1)*1))</f>
        <v>0</v>
      </c>
      <c r="Z10" s="115" t="n">
        <f aca="false">MAX(0,MIN(1,Inputs!$B$10-(Z$6-1)*1))</f>
        <v>0</v>
      </c>
      <c r="AA10" s="115" t="n">
        <f aca="false">MAX(0,MIN(1,Inputs!$B$10-(AA$6-1)*1))</f>
        <v>0</v>
      </c>
      <c r="AB10" s="115" t="n">
        <f aca="false">MAX(0,MIN(1,Inputs!$B$10-(AB$6-1)*1))</f>
        <v>0</v>
      </c>
      <c r="AC10" s="115" t="n">
        <f aca="false">MAX(0,MIN(1,Inputs!$B$10-(AC$6-1)*1))</f>
        <v>0</v>
      </c>
      <c r="AD10" s="115" t="n">
        <f aca="false">MAX(0,MIN(1,Inputs!$B$10-(AD$6-1)*1))</f>
        <v>0</v>
      </c>
      <c r="AE10" s="115" t="n">
        <f aca="false">MAX(0,MIN(1,Inputs!$B$10-(AE$6-1)*1))</f>
        <v>0</v>
      </c>
      <c r="AF10" s="115" t="n">
        <f aca="false">MAX(0,MIN(1,Inputs!$B$10-(AF$6-1)*1))</f>
        <v>0</v>
      </c>
      <c r="AG10" s="115" t="n">
        <f aca="false">MAX(0,MIN(1,Inputs!$B$10-(AG$6-1)*1))</f>
        <v>0</v>
      </c>
      <c r="AH10" s="115" t="n">
        <f aca="false">MAX(0,MIN(1,Inputs!$B$10-(AH$6-1)*1))</f>
        <v>0</v>
      </c>
      <c r="AI10" s="115" t="n">
        <f aca="false">MAX(0,MIN(1,Inputs!$B$10-(AI$6-1)*1))</f>
        <v>0</v>
      </c>
      <c r="AJ10" s="115" t="n">
        <f aca="false">MAX(0,MIN(1,Inputs!$B$10-(AJ$6-1)*1))</f>
        <v>0</v>
      </c>
      <c r="AK10" s="115" t="n">
        <f aca="false">MAX(0,MIN(1,Inputs!$B$10-(AK$6-1)*1))</f>
        <v>0</v>
      </c>
      <c r="AL10" s="115" t="n">
        <f aca="false">MAX(0,MIN(1,Inputs!$B$10-(AL$6-1)*1))</f>
        <v>0</v>
      </c>
      <c r="AM10" s="115" t="n">
        <f aca="false">MAX(0,MIN(1,Inputs!$B$10-(AM$6-1)*1))</f>
        <v>0</v>
      </c>
      <c r="AN10" s="115" t="n">
        <f aca="false">MAX(0,MIN(1,Inputs!$B$10-(AN$6-1)*1))</f>
        <v>0</v>
      </c>
      <c r="AO10" s="115" t="n">
        <f aca="false">MAX(0,MIN(1,Inputs!$B$10-(AO$6-1)*1))</f>
        <v>0</v>
      </c>
      <c r="AP10" s="115" t="n">
        <f aca="false">MAX(0,MIN(1,Inputs!$B$10-(AP$6-1)*1))</f>
        <v>0</v>
      </c>
      <c r="AQ10" s="115" t="n">
        <f aca="false">MAX(0,MIN(1,Inputs!$B$10-(AQ$6-1)*1))</f>
        <v>0</v>
      </c>
      <c r="AR10" s="115" t="n">
        <f aca="false">MAX(0,MIN(1,Inputs!$B$10-(AR$6-1)*1))</f>
        <v>0</v>
      </c>
      <c r="AS10" s="115" t="n">
        <f aca="false">MAX(0,MIN(1,Inputs!$B$10-(AS$6-1)*1))</f>
        <v>0</v>
      </c>
      <c r="AT10" s="115" t="n">
        <f aca="false">MAX(0,MIN(1,Inputs!$B$10-(AT$6-1)*1))</f>
        <v>0</v>
      </c>
      <c r="AU10" s="115" t="n">
        <f aca="false">MAX(0,MIN(1,Inputs!$B$10-(AU$6-1)*1))</f>
        <v>0</v>
      </c>
      <c r="AV10" s="115" t="n">
        <f aca="false">MAX(0,MIN(1,Inputs!$B$10-(AV$6-1)*1))</f>
        <v>0</v>
      </c>
      <c r="AW10" s="115" t="n">
        <f aca="false">MAX(0,MIN(1,Inputs!$B$10-(AW$6-1)*1))</f>
        <v>0</v>
      </c>
      <c r="AX10" s="115" t="n">
        <f aca="false">MAX(0,MIN(1,Inputs!$B$10-(AX$6-1)*1))</f>
        <v>0</v>
      </c>
      <c r="AY10" s="115" t="n">
        <f aca="false">MAX(0,MIN(1,Inputs!$B$10-(AY$6-1)*1))</f>
        <v>0</v>
      </c>
      <c r="AZ10" s="115" t="n">
        <f aca="false">MAX(0,MIN(1,Inputs!$B$10-(AZ$6-1)*1))</f>
        <v>0</v>
      </c>
      <c r="BA10" s="115" t="n">
        <f aca="false">MAX(0,MIN(1,Inputs!$B$10-(BA$6-1)*1))</f>
        <v>0</v>
      </c>
      <c r="BB10" s="115" t="n">
        <f aca="false">MAX(0,MIN(1,Inputs!$B$10-(BB$6-1)*1))</f>
        <v>0</v>
      </c>
      <c r="BC10" s="115" t="n">
        <f aca="false">MAX(0,MIN(1,Inputs!$B$10-(BC$6-1)*1))</f>
        <v>0</v>
      </c>
      <c r="BD10" s="115" t="n">
        <f aca="false">MAX(0,MIN(1,Inputs!$B$10-(BD$6-1)*1))</f>
        <v>0</v>
      </c>
      <c r="BE10" s="115" t="n">
        <f aca="false">MAX(0,MIN(1,Inputs!$B$10-(BE$6-1)*1))</f>
        <v>0</v>
      </c>
      <c r="BF10" s="115" t="n">
        <f aca="false">MAX(0,MIN(1,Inputs!$B$10-(BF$6-1)*1))</f>
        <v>0</v>
      </c>
      <c r="BG10" s="115" t="n">
        <f aca="false">MAX(0,MIN(1,Inputs!$B$10-(BG$6-1)*1))</f>
        <v>0</v>
      </c>
      <c r="BH10" s="115" t="n">
        <f aca="false">MAX(0,MIN(1,Inputs!$B$10-(BH$6-1)*1))</f>
        <v>0</v>
      </c>
      <c r="BI10" s="115" t="n">
        <f aca="false">MAX(0,MIN(1,Inputs!$B$10-(BI$6-1)*1))</f>
        <v>0</v>
      </c>
      <c r="BJ10" s="115" t="n">
        <f aca="false">MAX(0,MIN(1,Inputs!$B$10-(BJ$6-1)*1))</f>
        <v>0</v>
      </c>
    </row>
    <row r="11" customFormat="false" ht="15" hidden="false" customHeight="false" outlineLevel="0" collapsed="false">
      <c r="A11" s="38" t="s">
        <v>408</v>
      </c>
      <c r="C11" s="74" t="n">
        <f aca="false">IF(Inputs!$B$10&lt;=0,1,(C10*Inputs!$B$11+(1-Inputs!$B$11)/MAX(1,Inputs!$B$10)*(C10*(C$6-1)*1+C10*(C10-1)/2)+1-C10)/1)</f>
        <v>0.3</v>
      </c>
      <c r="D11" s="74" t="n">
        <f aca="false">IF(Inputs!$B$10&lt;=0,1,(D10*Inputs!$B$11+(1-Inputs!$B$11)/MAX(1,Inputs!$B$10)*(D10*(D$6-1)*1+D10*(D10-1)/2)+1-D10)/1)</f>
        <v>0.35</v>
      </c>
      <c r="E11" s="74" t="n">
        <f aca="false">IF(Inputs!$B$10&lt;=0,1,(E10*Inputs!$B$11+(1-Inputs!$B$11)/MAX(1,Inputs!$B$10)*(E10*(E$6-1)*1+E10*(E10-1)/2)+1-E10)/1)</f>
        <v>0.4</v>
      </c>
      <c r="F11" s="74" t="n">
        <f aca="false">IF(Inputs!$B$10&lt;=0,1,(F10*Inputs!$B$11+(1-Inputs!$B$11)/MAX(1,Inputs!$B$10)*(F10*(F$6-1)*1+F10*(F10-1)/2)+1-F10)/1)</f>
        <v>0.45</v>
      </c>
      <c r="G11" s="74" t="n">
        <f aca="false">IF(Inputs!$B$10&lt;=0,1,(G10*Inputs!$B$11+(1-Inputs!$B$11)/MAX(1,Inputs!$B$10)*(G10*(G$6-1)*1+G10*(G10-1)/2)+1-G10)/1)</f>
        <v>0.5</v>
      </c>
      <c r="H11" s="74" t="n">
        <f aca="false">IF(Inputs!$B$10&lt;=0,1,(H10*Inputs!$B$11+(1-Inputs!$B$11)/MAX(1,Inputs!$B$10)*(H10*(H$6-1)*1+H10*(H10-1)/2)+1-H10)/1)</f>
        <v>0.55</v>
      </c>
      <c r="I11" s="74" t="n">
        <f aca="false">IF(Inputs!$B$10&lt;=0,1,(I10*Inputs!$B$11+(1-Inputs!$B$11)/MAX(1,Inputs!$B$10)*(I10*(I$6-1)*1+I10*(I10-1)/2)+1-I10)/1)</f>
        <v>0.6</v>
      </c>
      <c r="J11" s="74" t="n">
        <f aca="false">IF(Inputs!$B$10&lt;=0,1,(J10*Inputs!$B$11+(1-Inputs!$B$11)/MAX(1,Inputs!$B$10)*(J10*(J$6-1)*1+J10*(J10-1)/2)+1-J10)/1)</f>
        <v>0.65</v>
      </c>
      <c r="K11" s="74" t="n">
        <f aca="false">IF(Inputs!$B$10&lt;=0,1,(K10*Inputs!$B$11+(1-Inputs!$B$11)/MAX(1,Inputs!$B$10)*(K10*(K$6-1)*1+K10*(K10-1)/2)+1-K10)/1)</f>
        <v>0.7</v>
      </c>
      <c r="L11" s="74" t="n">
        <f aca="false">IF(Inputs!$B$10&lt;=0,1,(L10*Inputs!$B$11+(1-Inputs!$B$11)/MAX(1,Inputs!$B$10)*(L10*(L$6-1)*1+L10*(L10-1)/2)+1-L10)/1)</f>
        <v>0.75</v>
      </c>
      <c r="M11" s="74" t="n">
        <f aca="false">IF(Inputs!$B$10&lt;=0,1,(M10*Inputs!$B$11+(1-Inputs!$B$11)/MAX(1,Inputs!$B$10)*(M10*(M$6-1)*1+M10*(M10-1)/2)+1-M10)/1)</f>
        <v>0.8</v>
      </c>
      <c r="N11" s="74" t="n">
        <f aca="false">IF(Inputs!$B$10&lt;=0,1,(N10*Inputs!$B$11+(1-Inputs!$B$11)/MAX(1,Inputs!$B$10)*(N10*(N$6-1)*1+N10*(N10-1)/2)+1-N10)/1)</f>
        <v>0.85</v>
      </c>
      <c r="O11" s="74" t="n">
        <f aca="false">IF(Inputs!$B$10&lt;=0,1,(O10*Inputs!$B$11+(1-Inputs!$B$11)/MAX(1,Inputs!$B$10)*(O10*(O$6-1)*1+O10*(O10-1)/2)+1-O10)/1)</f>
        <v>0.9</v>
      </c>
      <c r="P11" s="74" t="n">
        <f aca="false">IF(Inputs!$B$10&lt;=0,1,(P10*Inputs!$B$11+(1-Inputs!$B$11)/MAX(1,Inputs!$B$10)*(P10*(P$6-1)*1+P10*(P10-1)/2)+1-P10)/1)</f>
        <v>0.95</v>
      </c>
      <c r="Q11" s="74" t="n">
        <f aca="false">IF(Inputs!$B$10&lt;=0,1,(Q10*Inputs!$B$11+(1-Inputs!$B$11)/MAX(1,Inputs!$B$10)*(Q10*(Q$6-1)*1+Q10*(Q10-1)/2)+1-Q10)/1)</f>
        <v>1</v>
      </c>
      <c r="R11" s="74" t="n">
        <f aca="false">IF(Inputs!$B$10&lt;=0,1,(R10*Inputs!$B$11+(1-Inputs!$B$11)/MAX(1,Inputs!$B$10)*(R10*(R$6-1)*1+R10*(R10-1)/2)+1-R10)/1)</f>
        <v>1</v>
      </c>
      <c r="S11" s="74" t="n">
        <f aca="false">IF(Inputs!$B$10&lt;=0,1,(S10*Inputs!$B$11+(1-Inputs!$B$11)/MAX(1,Inputs!$B$10)*(S10*(S$6-1)*1+S10*(S10-1)/2)+1-S10)/1)</f>
        <v>1</v>
      </c>
      <c r="T11" s="74" t="n">
        <f aca="false">IF(Inputs!$B$10&lt;=0,1,(T10*Inputs!$B$11+(1-Inputs!$B$11)/MAX(1,Inputs!$B$10)*(T10*(T$6-1)*1+T10*(T10-1)/2)+1-T10)/1)</f>
        <v>1</v>
      </c>
      <c r="U11" s="74" t="n">
        <f aca="false">IF(Inputs!$B$10&lt;=0,1,(U10*Inputs!$B$11+(1-Inputs!$B$11)/MAX(1,Inputs!$B$10)*(U10*(U$6-1)*1+U10*(U10-1)/2)+1-U10)/1)</f>
        <v>1</v>
      </c>
      <c r="V11" s="74" t="n">
        <f aca="false">IF(Inputs!$B$10&lt;=0,1,(V10*Inputs!$B$11+(1-Inputs!$B$11)/MAX(1,Inputs!$B$10)*(V10*(V$6-1)*1+V10*(V10-1)/2)+1-V10)/1)</f>
        <v>1</v>
      </c>
      <c r="W11" s="74" t="n">
        <f aca="false">IF(Inputs!$B$10&lt;=0,1,(W10*Inputs!$B$11+(1-Inputs!$B$11)/MAX(1,Inputs!$B$10)*(W10*(W$6-1)*1+W10*(W10-1)/2)+1-W10)/1)</f>
        <v>1</v>
      </c>
      <c r="X11" s="74" t="n">
        <f aca="false">IF(Inputs!$B$10&lt;=0,1,(X10*Inputs!$B$11+(1-Inputs!$B$11)/MAX(1,Inputs!$B$10)*(X10*(X$6-1)*1+X10*(X10-1)/2)+1-X10)/1)</f>
        <v>1</v>
      </c>
      <c r="Y11" s="74" t="n">
        <f aca="false">IF(Inputs!$B$10&lt;=0,1,(Y10*Inputs!$B$11+(1-Inputs!$B$11)/MAX(1,Inputs!$B$10)*(Y10*(Y$6-1)*1+Y10*(Y10-1)/2)+1-Y10)/1)</f>
        <v>1</v>
      </c>
      <c r="Z11" s="74" t="n">
        <f aca="false">IF(Inputs!$B$10&lt;=0,1,(Z10*Inputs!$B$11+(1-Inputs!$B$11)/MAX(1,Inputs!$B$10)*(Z10*(Z$6-1)*1+Z10*(Z10-1)/2)+1-Z10)/1)</f>
        <v>1</v>
      </c>
      <c r="AA11" s="74" t="n">
        <f aca="false">IF(Inputs!$B$10&lt;=0,1,(AA10*Inputs!$B$11+(1-Inputs!$B$11)/MAX(1,Inputs!$B$10)*(AA10*(AA$6-1)*1+AA10*(AA10-1)/2)+1-AA10)/1)</f>
        <v>1</v>
      </c>
      <c r="AB11" s="74" t="n">
        <f aca="false">IF(Inputs!$B$10&lt;=0,1,(AB10*Inputs!$B$11+(1-Inputs!$B$11)/MAX(1,Inputs!$B$10)*(AB10*(AB$6-1)*1+AB10*(AB10-1)/2)+1-AB10)/1)</f>
        <v>1</v>
      </c>
      <c r="AC11" s="74" t="n">
        <f aca="false">IF(Inputs!$B$10&lt;=0,1,(AC10*Inputs!$B$11+(1-Inputs!$B$11)/MAX(1,Inputs!$B$10)*(AC10*(AC$6-1)*1+AC10*(AC10-1)/2)+1-AC10)/1)</f>
        <v>1</v>
      </c>
      <c r="AD11" s="74" t="n">
        <f aca="false">IF(Inputs!$B$10&lt;=0,1,(AD10*Inputs!$B$11+(1-Inputs!$B$11)/MAX(1,Inputs!$B$10)*(AD10*(AD$6-1)*1+AD10*(AD10-1)/2)+1-AD10)/1)</f>
        <v>1</v>
      </c>
      <c r="AE11" s="74" t="n">
        <f aca="false">IF(Inputs!$B$10&lt;=0,1,(AE10*Inputs!$B$11+(1-Inputs!$B$11)/MAX(1,Inputs!$B$10)*(AE10*(AE$6-1)*1+AE10*(AE10-1)/2)+1-AE10)/1)</f>
        <v>1</v>
      </c>
      <c r="AF11" s="74" t="n">
        <f aca="false">IF(Inputs!$B$10&lt;=0,1,(AF10*Inputs!$B$11+(1-Inputs!$B$11)/MAX(1,Inputs!$B$10)*(AF10*(AF$6-1)*1+AF10*(AF10-1)/2)+1-AF10)/1)</f>
        <v>1</v>
      </c>
      <c r="AG11" s="74" t="n">
        <f aca="false">IF(Inputs!$B$10&lt;=0,1,(AG10*Inputs!$B$11+(1-Inputs!$B$11)/MAX(1,Inputs!$B$10)*(AG10*(AG$6-1)*1+AG10*(AG10-1)/2)+1-AG10)/1)</f>
        <v>1</v>
      </c>
      <c r="AH11" s="74" t="n">
        <f aca="false">IF(Inputs!$B$10&lt;=0,1,(AH10*Inputs!$B$11+(1-Inputs!$B$11)/MAX(1,Inputs!$B$10)*(AH10*(AH$6-1)*1+AH10*(AH10-1)/2)+1-AH10)/1)</f>
        <v>1</v>
      </c>
      <c r="AI11" s="74" t="n">
        <f aca="false">IF(Inputs!$B$10&lt;=0,1,(AI10*Inputs!$B$11+(1-Inputs!$B$11)/MAX(1,Inputs!$B$10)*(AI10*(AI$6-1)*1+AI10*(AI10-1)/2)+1-AI10)/1)</f>
        <v>1</v>
      </c>
      <c r="AJ11" s="74" t="n">
        <f aca="false">IF(Inputs!$B$10&lt;=0,1,(AJ10*Inputs!$B$11+(1-Inputs!$B$11)/MAX(1,Inputs!$B$10)*(AJ10*(AJ$6-1)*1+AJ10*(AJ10-1)/2)+1-AJ10)/1)</f>
        <v>1</v>
      </c>
      <c r="AK11" s="74" t="n">
        <f aca="false">IF(Inputs!$B$10&lt;=0,1,(AK10*Inputs!$B$11+(1-Inputs!$B$11)/MAX(1,Inputs!$B$10)*(AK10*(AK$6-1)*1+AK10*(AK10-1)/2)+1-AK10)/1)</f>
        <v>1</v>
      </c>
      <c r="AL11" s="74" t="n">
        <f aca="false">IF(Inputs!$B$10&lt;=0,1,(AL10*Inputs!$B$11+(1-Inputs!$B$11)/MAX(1,Inputs!$B$10)*(AL10*(AL$6-1)*1+AL10*(AL10-1)/2)+1-AL10)/1)</f>
        <v>1</v>
      </c>
      <c r="AM11" s="74" t="n">
        <f aca="false">IF(Inputs!$B$10&lt;=0,1,(AM10*Inputs!$B$11+(1-Inputs!$B$11)/MAX(1,Inputs!$B$10)*(AM10*(AM$6-1)*1+AM10*(AM10-1)/2)+1-AM10)/1)</f>
        <v>1</v>
      </c>
      <c r="AN11" s="74" t="n">
        <f aca="false">IF(Inputs!$B$10&lt;=0,1,(AN10*Inputs!$B$11+(1-Inputs!$B$11)/MAX(1,Inputs!$B$10)*(AN10*(AN$6-1)*1+AN10*(AN10-1)/2)+1-AN10)/1)</f>
        <v>1</v>
      </c>
      <c r="AO11" s="74" t="n">
        <f aca="false">IF(Inputs!$B$10&lt;=0,1,(AO10*Inputs!$B$11+(1-Inputs!$B$11)/MAX(1,Inputs!$B$10)*(AO10*(AO$6-1)*1+AO10*(AO10-1)/2)+1-AO10)/1)</f>
        <v>1</v>
      </c>
      <c r="AP11" s="74" t="n">
        <f aca="false">IF(Inputs!$B$10&lt;=0,1,(AP10*Inputs!$B$11+(1-Inputs!$B$11)/MAX(1,Inputs!$B$10)*(AP10*(AP$6-1)*1+AP10*(AP10-1)/2)+1-AP10)/1)</f>
        <v>1</v>
      </c>
      <c r="AQ11" s="74" t="n">
        <f aca="false">IF(Inputs!$B$10&lt;=0,1,(AQ10*Inputs!$B$11+(1-Inputs!$B$11)/MAX(1,Inputs!$B$10)*(AQ10*(AQ$6-1)*1+AQ10*(AQ10-1)/2)+1-AQ10)/1)</f>
        <v>1</v>
      </c>
      <c r="AR11" s="74" t="n">
        <f aca="false">IF(Inputs!$B$10&lt;=0,1,(AR10*Inputs!$B$11+(1-Inputs!$B$11)/MAX(1,Inputs!$B$10)*(AR10*(AR$6-1)*1+AR10*(AR10-1)/2)+1-AR10)/1)</f>
        <v>1</v>
      </c>
      <c r="AS11" s="74" t="n">
        <f aca="false">IF(Inputs!$B$10&lt;=0,1,(AS10*Inputs!$B$11+(1-Inputs!$B$11)/MAX(1,Inputs!$B$10)*(AS10*(AS$6-1)*1+AS10*(AS10-1)/2)+1-AS10)/1)</f>
        <v>1</v>
      </c>
      <c r="AT11" s="74" t="n">
        <f aca="false">IF(Inputs!$B$10&lt;=0,1,(AT10*Inputs!$B$11+(1-Inputs!$B$11)/MAX(1,Inputs!$B$10)*(AT10*(AT$6-1)*1+AT10*(AT10-1)/2)+1-AT10)/1)</f>
        <v>1</v>
      </c>
      <c r="AU11" s="74" t="n">
        <f aca="false">IF(Inputs!$B$10&lt;=0,1,(AU10*Inputs!$B$11+(1-Inputs!$B$11)/MAX(1,Inputs!$B$10)*(AU10*(AU$6-1)*1+AU10*(AU10-1)/2)+1-AU10)/1)</f>
        <v>1</v>
      </c>
      <c r="AV11" s="74" t="n">
        <f aca="false">IF(Inputs!$B$10&lt;=0,1,(AV10*Inputs!$B$11+(1-Inputs!$B$11)/MAX(1,Inputs!$B$10)*(AV10*(AV$6-1)*1+AV10*(AV10-1)/2)+1-AV10)/1)</f>
        <v>1</v>
      </c>
      <c r="AW11" s="74" t="n">
        <f aca="false">IF(Inputs!$B$10&lt;=0,1,(AW10*Inputs!$B$11+(1-Inputs!$B$11)/MAX(1,Inputs!$B$10)*(AW10*(AW$6-1)*1+AW10*(AW10-1)/2)+1-AW10)/1)</f>
        <v>1</v>
      </c>
      <c r="AX11" s="74" t="n">
        <f aca="false">IF(Inputs!$B$10&lt;=0,1,(AX10*Inputs!$B$11+(1-Inputs!$B$11)/MAX(1,Inputs!$B$10)*(AX10*(AX$6-1)*1+AX10*(AX10-1)/2)+1-AX10)/1)</f>
        <v>1</v>
      </c>
      <c r="AY11" s="74" t="n">
        <f aca="false">IF(Inputs!$B$10&lt;=0,1,(AY10*Inputs!$B$11+(1-Inputs!$B$11)/MAX(1,Inputs!$B$10)*(AY10*(AY$6-1)*1+AY10*(AY10-1)/2)+1-AY10)/1)</f>
        <v>1</v>
      </c>
      <c r="AZ11" s="74" t="n">
        <f aca="false">IF(Inputs!$B$10&lt;=0,1,(AZ10*Inputs!$B$11+(1-Inputs!$B$11)/MAX(1,Inputs!$B$10)*(AZ10*(AZ$6-1)*1+AZ10*(AZ10-1)/2)+1-AZ10)/1)</f>
        <v>1</v>
      </c>
      <c r="BA11" s="74" t="n">
        <f aca="false">IF(Inputs!$B$10&lt;=0,1,(BA10*Inputs!$B$11+(1-Inputs!$B$11)/MAX(1,Inputs!$B$10)*(BA10*(BA$6-1)*1+BA10*(BA10-1)/2)+1-BA10)/1)</f>
        <v>1</v>
      </c>
      <c r="BB11" s="74" t="n">
        <f aca="false">IF(Inputs!$B$10&lt;=0,1,(BB10*Inputs!$B$11+(1-Inputs!$B$11)/MAX(1,Inputs!$B$10)*(BB10*(BB$6-1)*1+BB10*(BB10-1)/2)+1-BB10)/1)</f>
        <v>1</v>
      </c>
      <c r="BC11" s="74" t="n">
        <f aca="false">IF(Inputs!$B$10&lt;=0,1,(BC10*Inputs!$B$11+(1-Inputs!$B$11)/MAX(1,Inputs!$B$10)*(BC10*(BC$6-1)*1+BC10*(BC10-1)/2)+1-BC10)/1)</f>
        <v>1</v>
      </c>
      <c r="BD11" s="74" t="n">
        <f aca="false">IF(Inputs!$B$10&lt;=0,1,(BD10*Inputs!$B$11+(1-Inputs!$B$11)/MAX(1,Inputs!$B$10)*(BD10*(BD$6-1)*1+BD10*(BD10-1)/2)+1-BD10)/1)</f>
        <v>1</v>
      </c>
      <c r="BE11" s="74" t="n">
        <f aca="false">IF(Inputs!$B$10&lt;=0,1,(BE10*Inputs!$B$11+(1-Inputs!$B$11)/MAX(1,Inputs!$B$10)*(BE10*(BE$6-1)*1+BE10*(BE10-1)/2)+1-BE10)/1)</f>
        <v>1</v>
      </c>
      <c r="BF11" s="74" t="n">
        <f aca="false">IF(Inputs!$B$10&lt;=0,1,(BF10*Inputs!$B$11+(1-Inputs!$B$11)/MAX(1,Inputs!$B$10)*(BF10*(BF$6-1)*1+BF10*(BF10-1)/2)+1-BF10)/1)</f>
        <v>1</v>
      </c>
      <c r="BG11" s="74" t="n">
        <f aca="false">IF(Inputs!$B$10&lt;=0,1,(BG10*Inputs!$B$11+(1-Inputs!$B$11)/MAX(1,Inputs!$B$10)*(BG10*(BG$6-1)*1+BG10*(BG10-1)/2)+1-BG10)/1)</f>
        <v>1</v>
      </c>
      <c r="BH11" s="74" t="n">
        <f aca="false">IF(Inputs!$B$10&lt;=0,1,(BH10*Inputs!$B$11+(1-Inputs!$B$11)/MAX(1,Inputs!$B$10)*(BH10*(BH$6-1)*1+BH10*(BH10-1)/2)+1-BH10)/1)</f>
        <v>1</v>
      </c>
      <c r="BI11" s="74" t="n">
        <f aca="false">IF(Inputs!$B$10&lt;=0,1,(BI10*Inputs!$B$11+(1-Inputs!$B$11)/MAX(1,Inputs!$B$10)*(BI10*(BI$6-1)*1+BI10*(BI10-1)/2)+1-BI10)/1)</f>
        <v>1</v>
      </c>
      <c r="BJ11" s="74" t="n">
        <f aca="false">IF(Inputs!$B$10&lt;=0,1,(BJ10*Inputs!$B$11+(1-Inputs!$B$11)/MAX(1,Inputs!$B$10)*(BJ10*(BJ$6-1)*1+BJ10*(BJ10-1)/2)+1-BJ10)/1)</f>
        <v>1</v>
      </c>
    </row>
    <row r="12" customFormat="false" ht="15" hidden="false" customHeight="false" outlineLevel="0" collapsed="false">
      <c r="A12" s="6" t="s">
        <v>409</v>
      </c>
      <c r="C12" s="77" t="n">
        <f aca="false">IF(AND(MOD(C$6-1,12)&gt;=5,MOD(C$6-1,12)&lt;=7),1+Inputs!$B$12,1-Inputs!$B$12/3)</f>
        <v>0.916666666666667</v>
      </c>
      <c r="D12" s="77" t="n">
        <f aca="false">IF(AND(MOD(D$6-1,12)&gt;=5,MOD(D$6-1,12)&lt;=7),1+Inputs!$B$12,1-Inputs!$B$12/3)</f>
        <v>0.916666666666667</v>
      </c>
      <c r="E12" s="77" t="n">
        <f aca="false">IF(AND(MOD(E$6-1,12)&gt;=5,MOD(E$6-1,12)&lt;=7),1+Inputs!$B$12,1-Inputs!$B$12/3)</f>
        <v>0.916666666666667</v>
      </c>
      <c r="F12" s="77" t="n">
        <f aca="false">IF(AND(MOD(F$6-1,12)&gt;=5,MOD(F$6-1,12)&lt;=7),1+Inputs!$B$12,1-Inputs!$B$12/3)</f>
        <v>0.916666666666667</v>
      </c>
      <c r="G12" s="77" t="n">
        <f aca="false">IF(AND(MOD(G$6-1,12)&gt;=5,MOD(G$6-1,12)&lt;=7),1+Inputs!$B$12,1-Inputs!$B$12/3)</f>
        <v>0.916666666666667</v>
      </c>
      <c r="H12" s="77" t="n">
        <f aca="false">IF(AND(MOD(H$6-1,12)&gt;=5,MOD(H$6-1,12)&lt;=7),1+Inputs!$B$12,1-Inputs!$B$12/3)</f>
        <v>1.25</v>
      </c>
      <c r="I12" s="77" t="n">
        <f aca="false">IF(AND(MOD(I$6-1,12)&gt;=5,MOD(I$6-1,12)&lt;=7),1+Inputs!$B$12,1-Inputs!$B$12/3)</f>
        <v>1.25</v>
      </c>
      <c r="J12" s="77" t="n">
        <f aca="false">IF(AND(MOD(J$6-1,12)&gt;=5,MOD(J$6-1,12)&lt;=7),1+Inputs!$B$12,1-Inputs!$B$12/3)</f>
        <v>1.25</v>
      </c>
      <c r="K12" s="77" t="n">
        <f aca="false">IF(AND(MOD(K$6-1,12)&gt;=5,MOD(K$6-1,12)&lt;=7),1+Inputs!$B$12,1-Inputs!$B$12/3)</f>
        <v>0.916666666666667</v>
      </c>
      <c r="L12" s="77" t="n">
        <f aca="false">IF(AND(MOD(L$6-1,12)&gt;=5,MOD(L$6-1,12)&lt;=7),1+Inputs!$B$12,1-Inputs!$B$12/3)</f>
        <v>0.916666666666667</v>
      </c>
      <c r="M12" s="77" t="n">
        <f aca="false">IF(AND(MOD(M$6-1,12)&gt;=5,MOD(M$6-1,12)&lt;=7),1+Inputs!$B$12,1-Inputs!$B$12/3)</f>
        <v>0.916666666666667</v>
      </c>
      <c r="N12" s="77" t="n">
        <f aca="false">IF(AND(MOD(N$6-1,12)&gt;=5,MOD(N$6-1,12)&lt;=7),1+Inputs!$B$12,1-Inputs!$B$12/3)</f>
        <v>0.916666666666667</v>
      </c>
      <c r="O12" s="77" t="n">
        <f aca="false">IF(AND(MOD(O$6-1,12)&gt;=5,MOD(O$6-1,12)&lt;=7),1+Inputs!$B$12,1-Inputs!$B$12/3)</f>
        <v>0.916666666666667</v>
      </c>
      <c r="P12" s="77" t="n">
        <f aca="false">IF(AND(MOD(P$6-1,12)&gt;=5,MOD(P$6-1,12)&lt;=7),1+Inputs!$B$12,1-Inputs!$B$12/3)</f>
        <v>0.916666666666667</v>
      </c>
      <c r="Q12" s="77" t="n">
        <f aca="false">IF(AND(MOD(Q$6-1,12)&gt;=5,MOD(Q$6-1,12)&lt;=7),1+Inputs!$B$12,1-Inputs!$B$12/3)</f>
        <v>0.916666666666667</v>
      </c>
      <c r="R12" s="77" t="n">
        <f aca="false">IF(AND(MOD(R$6-1,12)&gt;=5,MOD(R$6-1,12)&lt;=7),1+Inputs!$B$12,1-Inputs!$B$12/3)</f>
        <v>0.916666666666667</v>
      </c>
      <c r="S12" s="77" t="n">
        <f aca="false">IF(AND(MOD(S$6-1,12)&gt;=5,MOD(S$6-1,12)&lt;=7),1+Inputs!$B$12,1-Inputs!$B$12/3)</f>
        <v>0.916666666666667</v>
      </c>
      <c r="T12" s="77" t="n">
        <f aca="false">IF(AND(MOD(T$6-1,12)&gt;=5,MOD(T$6-1,12)&lt;=7),1+Inputs!$B$12,1-Inputs!$B$12/3)</f>
        <v>1.25</v>
      </c>
      <c r="U12" s="77" t="n">
        <f aca="false">IF(AND(MOD(U$6-1,12)&gt;=5,MOD(U$6-1,12)&lt;=7),1+Inputs!$B$12,1-Inputs!$B$12/3)</f>
        <v>1.25</v>
      </c>
      <c r="V12" s="77" t="n">
        <f aca="false">IF(AND(MOD(V$6-1,12)&gt;=5,MOD(V$6-1,12)&lt;=7),1+Inputs!$B$12,1-Inputs!$B$12/3)</f>
        <v>1.25</v>
      </c>
      <c r="W12" s="77" t="n">
        <f aca="false">IF(AND(MOD(W$6-1,12)&gt;=5,MOD(W$6-1,12)&lt;=7),1+Inputs!$B$12,1-Inputs!$B$12/3)</f>
        <v>0.916666666666667</v>
      </c>
      <c r="X12" s="77" t="n">
        <f aca="false">IF(AND(MOD(X$6-1,12)&gt;=5,MOD(X$6-1,12)&lt;=7),1+Inputs!$B$12,1-Inputs!$B$12/3)</f>
        <v>0.916666666666667</v>
      </c>
      <c r="Y12" s="77" t="n">
        <f aca="false">IF(AND(MOD(Y$6-1,12)&gt;=5,MOD(Y$6-1,12)&lt;=7),1+Inputs!$B$12,1-Inputs!$B$12/3)</f>
        <v>0.916666666666667</v>
      </c>
      <c r="Z12" s="77" t="n">
        <f aca="false">IF(AND(MOD(Z$6-1,12)&gt;=5,MOD(Z$6-1,12)&lt;=7),1+Inputs!$B$12,1-Inputs!$B$12/3)</f>
        <v>0.916666666666667</v>
      </c>
      <c r="AA12" s="77" t="n">
        <f aca="false">IF(AND(MOD(AA$6-1,12)&gt;=5,MOD(AA$6-1,12)&lt;=7),1+Inputs!$B$12,1-Inputs!$B$12/3)</f>
        <v>0.916666666666667</v>
      </c>
      <c r="AB12" s="77" t="n">
        <f aca="false">IF(AND(MOD(AB$6-1,12)&gt;=5,MOD(AB$6-1,12)&lt;=7),1+Inputs!$B$12,1-Inputs!$B$12/3)</f>
        <v>0.916666666666667</v>
      </c>
      <c r="AC12" s="77" t="n">
        <f aca="false">IF(AND(MOD(AC$6-1,12)&gt;=5,MOD(AC$6-1,12)&lt;=7),1+Inputs!$B$12,1-Inputs!$B$12/3)</f>
        <v>0.916666666666667</v>
      </c>
      <c r="AD12" s="77" t="n">
        <f aca="false">IF(AND(MOD(AD$6-1,12)&gt;=5,MOD(AD$6-1,12)&lt;=7),1+Inputs!$B$12,1-Inputs!$B$12/3)</f>
        <v>0.916666666666667</v>
      </c>
      <c r="AE12" s="77" t="n">
        <f aca="false">IF(AND(MOD(AE$6-1,12)&gt;=5,MOD(AE$6-1,12)&lt;=7),1+Inputs!$B$12,1-Inputs!$B$12/3)</f>
        <v>0.916666666666667</v>
      </c>
      <c r="AF12" s="77" t="n">
        <f aca="false">IF(AND(MOD(AF$6-1,12)&gt;=5,MOD(AF$6-1,12)&lt;=7),1+Inputs!$B$12,1-Inputs!$B$12/3)</f>
        <v>1.25</v>
      </c>
      <c r="AG12" s="77" t="n">
        <f aca="false">IF(AND(MOD(AG$6-1,12)&gt;=5,MOD(AG$6-1,12)&lt;=7),1+Inputs!$B$12,1-Inputs!$B$12/3)</f>
        <v>1.25</v>
      </c>
      <c r="AH12" s="77" t="n">
        <f aca="false">IF(AND(MOD(AH$6-1,12)&gt;=5,MOD(AH$6-1,12)&lt;=7),1+Inputs!$B$12,1-Inputs!$B$12/3)</f>
        <v>1.25</v>
      </c>
      <c r="AI12" s="77" t="n">
        <f aca="false">IF(AND(MOD(AI$6-1,12)&gt;=5,MOD(AI$6-1,12)&lt;=7),1+Inputs!$B$12,1-Inputs!$B$12/3)</f>
        <v>0.916666666666667</v>
      </c>
      <c r="AJ12" s="77" t="n">
        <f aca="false">IF(AND(MOD(AJ$6-1,12)&gt;=5,MOD(AJ$6-1,12)&lt;=7),1+Inputs!$B$12,1-Inputs!$B$12/3)</f>
        <v>0.916666666666667</v>
      </c>
      <c r="AK12" s="77" t="n">
        <f aca="false">IF(AND(MOD(AK$6-1,12)&gt;=5,MOD(AK$6-1,12)&lt;=7),1+Inputs!$B$12,1-Inputs!$B$12/3)</f>
        <v>0.916666666666667</v>
      </c>
      <c r="AL12" s="77" t="n">
        <f aca="false">IF(AND(MOD(AL$6-1,12)&gt;=5,MOD(AL$6-1,12)&lt;=7),1+Inputs!$B$12,1-Inputs!$B$12/3)</f>
        <v>0.916666666666667</v>
      </c>
      <c r="AM12" s="77" t="n">
        <f aca="false">IF(AND(MOD(AM$6-1,12)&gt;=5,MOD(AM$6-1,12)&lt;=7),1+Inputs!$B$12,1-Inputs!$B$12/3)</f>
        <v>0.916666666666667</v>
      </c>
      <c r="AN12" s="77" t="n">
        <f aca="false">IF(AND(MOD(AN$6-1,12)&gt;=5,MOD(AN$6-1,12)&lt;=7),1+Inputs!$B$12,1-Inputs!$B$12/3)</f>
        <v>0.916666666666667</v>
      </c>
      <c r="AO12" s="77" t="n">
        <f aca="false">IF(AND(MOD(AO$6-1,12)&gt;=5,MOD(AO$6-1,12)&lt;=7),1+Inputs!$B$12,1-Inputs!$B$12/3)</f>
        <v>0.916666666666667</v>
      </c>
      <c r="AP12" s="77" t="n">
        <f aca="false">IF(AND(MOD(AP$6-1,12)&gt;=5,MOD(AP$6-1,12)&lt;=7),1+Inputs!$B$12,1-Inputs!$B$12/3)</f>
        <v>0.916666666666667</v>
      </c>
      <c r="AQ12" s="77" t="n">
        <f aca="false">IF(AND(MOD(AQ$6-1,12)&gt;=5,MOD(AQ$6-1,12)&lt;=7),1+Inputs!$B$12,1-Inputs!$B$12/3)</f>
        <v>0.916666666666667</v>
      </c>
      <c r="AR12" s="77" t="n">
        <f aca="false">IF(AND(MOD(AR$6-1,12)&gt;=5,MOD(AR$6-1,12)&lt;=7),1+Inputs!$B$12,1-Inputs!$B$12/3)</f>
        <v>1.25</v>
      </c>
      <c r="AS12" s="77" t="n">
        <f aca="false">IF(AND(MOD(AS$6-1,12)&gt;=5,MOD(AS$6-1,12)&lt;=7),1+Inputs!$B$12,1-Inputs!$B$12/3)</f>
        <v>1.25</v>
      </c>
      <c r="AT12" s="77" t="n">
        <f aca="false">IF(AND(MOD(AT$6-1,12)&gt;=5,MOD(AT$6-1,12)&lt;=7),1+Inputs!$B$12,1-Inputs!$B$12/3)</f>
        <v>1.25</v>
      </c>
      <c r="AU12" s="77" t="n">
        <f aca="false">IF(AND(MOD(AU$6-1,12)&gt;=5,MOD(AU$6-1,12)&lt;=7),1+Inputs!$B$12,1-Inputs!$B$12/3)</f>
        <v>0.916666666666667</v>
      </c>
      <c r="AV12" s="77" t="n">
        <f aca="false">IF(AND(MOD(AV$6-1,12)&gt;=5,MOD(AV$6-1,12)&lt;=7),1+Inputs!$B$12,1-Inputs!$B$12/3)</f>
        <v>0.916666666666667</v>
      </c>
      <c r="AW12" s="77" t="n">
        <f aca="false">IF(AND(MOD(AW$6-1,12)&gt;=5,MOD(AW$6-1,12)&lt;=7),1+Inputs!$B$12,1-Inputs!$B$12/3)</f>
        <v>0.916666666666667</v>
      </c>
      <c r="AX12" s="77" t="n">
        <f aca="false">IF(AND(MOD(AX$6-1,12)&gt;=5,MOD(AX$6-1,12)&lt;=7),1+Inputs!$B$12,1-Inputs!$B$12/3)</f>
        <v>0.916666666666667</v>
      </c>
      <c r="AY12" s="77" t="n">
        <f aca="false">IF(AND(MOD(AY$6-1,12)&gt;=5,MOD(AY$6-1,12)&lt;=7),1+Inputs!$B$12,1-Inputs!$B$12/3)</f>
        <v>0.916666666666667</v>
      </c>
      <c r="AZ12" s="77" t="n">
        <f aca="false">IF(AND(MOD(AZ$6-1,12)&gt;=5,MOD(AZ$6-1,12)&lt;=7),1+Inputs!$B$12,1-Inputs!$B$12/3)</f>
        <v>0.916666666666667</v>
      </c>
      <c r="BA12" s="77" t="n">
        <f aca="false">IF(AND(MOD(BA$6-1,12)&gt;=5,MOD(BA$6-1,12)&lt;=7),1+Inputs!$B$12,1-Inputs!$B$12/3)</f>
        <v>0.916666666666667</v>
      </c>
      <c r="BB12" s="77" t="n">
        <f aca="false">IF(AND(MOD(BB$6-1,12)&gt;=5,MOD(BB$6-1,12)&lt;=7),1+Inputs!$B$12,1-Inputs!$B$12/3)</f>
        <v>0.916666666666667</v>
      </c>
      <c r="BC12" s="77" t="n">
        <f aca="false">IF(AND(MOD(BC$6-1,12)&gt;=5,MOD(BC$6-1,12)&lt;=7),1+Inputs!$B$12,1-Inputs!$B$12/3)</f>
        <v>0.916666666666667</v>
      </c>
      <c r="BD12" s="77" t="n">
        <f aca="false">IF(AND(MOD(BD$6-1,12)&gt;=5,MOD(BD$6-1,12)&lt;=7),1+Inputs!$B$12,1-Inputs!$B$12/3)</f>
        <v>1.25</v>
      </c>
      <c r="BE12" s="77" t="n">
        <f aca="false">IF(AND(MOD(BE$6-1,12)&gt;=5,MOD(BE$6-1,12)&lt;=7),1+Inputs!$B$12,1-Inputs!$B$12/3)</f>
        <v>1.25</v>
      </c>
      <c r="BF12" s="77" t="n">
        <f aca="false">IF(AND(MOD(BF$6-1,12)&gt;=5,MOD(BF$6-1,12)&lt;=7),1+Inputs!$B$12,1-Inputs!$B$12/3)</f>
        <v>1.25</v>
      </c>
      <c r="BG12" s="77" t="n">
        <f aca="false">IF(AND(MOD(BG$6-1,12)&gt;=5,MOD(BG$6-1,12)&lt;=7),1+Inputs!$B$12,1-Inputs!$B$12/3)</f>
        <v>0.916666666666667</v>
      </c>
      <c r="BH12" s="77" t="n">
        <f aca="false">IF(AND(MOD(BH$6-1,12)&gt;=5,MOD(BH$6-1,12)&lt;=7),1+Inputs!$B$12,1-Inputs!$B$12/3)</f>
        <v>0.916666666666667</v>
      </c>
      <c r="BI12" s="77" t="n">
        <f aca="false">IF(AND(MOD(BI$6-1,12)&gt;=5,MOD(BI$6-1,12)&lt;=7),1+Inputs!$B$12,1-Inputs!$B$12/3)</f>
        <v>0.916666666666667</v>
      </c>
      <c r="BJ12" s="77" t="n">
        <f aca="false">IF(AND(MOD(BJ$6-1,12)&gt;=5,MOD(BJ$6-1,12)&lt;=7),1+Inputs!$B$12,1-Inputs!$B$12/3)</f>
        <v>0.916666666666667</v>
      </c>
    </row>
    <row r="13" customFormat="false" ht="15" hidden="false" customHeight="false" outlineLevel="0" collapsed="false">
      <c r="A13" s="6" t="s">
        <v>410</v>
      </c>
      <c r="C13" s="116" t="n">
        <f aca="false">Inputs!$B$7*Inputs!$B$13*1</f>
        <v>304</v>
      </c>
      <c r="D13" s="116" t="n">
        <f aca="false">Inputs!$B$7*Inputs!$B$13*1</f>
        <v>304</v>
      </c>
      <c r="E13" s="116" t="n">
        <f aca="false">Inputs!$B$7*Inputs!$B$13*1</f>
        <v>304</v>
      </c>
      <c r="F13" s="116" t="n">
        <f aca="false">Inputs!$B$7*Inputs!$B$13*1</f>
        <v>304</v>
      </c>
      <c r="G13" s="116" t="n">
        <f aca="false">Inputs!$B$7*Inputs!$B$13*1</f>
        <v>304</v>
      </c>
      <c r="H13" s="116" t="n">
        <f aca="false">Inputs!$B$7*Inputs!$B$13*1</f>
        <v>304</v>
      </c>
      <c r="I13" s="116" t="n">
        <f aca="false">Inputs!$B$7*Inputs!$B$13*1</f>
        <v>304</v>
      </c>
      <c r="J13" s="116" t="n">
        <f aca="false">Inputs!$B$7*Inputs!$B$13*1</f>
        <v>304</v>
      </c>
      <c r="K13" s="116" t="n">
        <f aca="false">Inputs!$B$7*Inputs!$B$13*1</f>
        <v>304</v>
      </c>
      <c r="L13" s="116" t="n">
        <f aca="false">Inputs!$B$7*Inputs!$B$13*1</f>
        <v>304</v>
      </c>
      <c r="M13" s="116" t="n">
        <f aca="false">Inputs!$B$7*Inputs!$B$13*1</f>
        <v>304</v>
      </c>
      <c r="N13" s="116" t="n">
        <f aca="false">Inputs!$B$7*Inputs!$B$13*1</f>
        <v>304</v>
      </c>
      <c r="O13" s="116" t="n">
        <f aca="false">Inputs!$B$7*Inputs!$B$13*1</f>
        <v>304</v>
      </c>
      <c r="P13" s="116" t="n">
        <f aca="false">Inputs!$B$7*Inputs!$B$13*1</f>
        <v>304</v>
      </c>
      <c r="Q13" s="116" t="n">
        <f aca="false">Inputs!$B$7*Inputs!$B$13*1</f>
        <v>304</v>
      </c>
      <c r="R13" s="116" t="n">
        <f aca="false">Inputs!$B$7*Inputs!$B$13*1</f>
        <v>304</v>
      </c>
      <c r="S13" s="116" t="n">
        <f aca="false">Inputs!$B$7*Inputs!$B$13*1</f>
        <v>304</v>
      </c>
      <c r="T13" s="116" t="n">
        <f aca="false">Inputs!$B$7*Inputs!$B$13*1</f>
        <v>304</v>
      </c>
      <c r="U13" s="116" t="n">
        <f aca="false">Inputs!$B$7*Inputs!$B$13*1</f>
        <v>304</v>
      </c>
      <c r="V13" s="116" t="n">
        <f aca="false">Inputs!$B$7*Inputs!$B$13*1</f>
        <v>304</v>
      </c>
      <c r="W13" s="116" t="n">
        <f aca="false">Inputs!$B$7*Inputs!$B$13*1</f>
        <v>304</v>
      </c>
      <c r="X13" s="116" t="n">
        <f aca="false">Inputs!$B$7*Inputs!$B$13*1</f>
        <v>304</v>
      </c>
      <c r="Y13" s="116" t="n">
        <f aca="false">Inputs!$B$7*Inputs!$B$13*1</f>
        <v>304</v>
      </c>
      <c r="Z13" s="116" t="n">
        <f aca="false">Inputs!$B$7*Inputs!$B$13*1</f>
        <v>304</v>
      </c>
      <c r="AA13" s="116" t="n">
        <f aca="false">Inputs!$B$7*Inputs!$B$13*1</f>
        <v>304</v>
      </c>
      <c r="AB13" s="116" t="n">
        <f aca="false">Inputs!$B$7*Inputs!$B$13*1</f>
        <v>304</v>
      </c>
      <c r="AC13" s="116" t="n">
        <f aca="false">Inputs!$B$7*Inputs!$B$13*1</f>
        <v>304</v>
      </c>
      <c r="AD13" s="116" t="n">
        <f aca="false">Inputs!$B$7*Inputs!$B$13*1</f>
        <v>304</v>
      </c>
      <c r="AE13" s="116" t="n">
        <f aca="false">Inputs!$B$7*Inputs!$B$13*1</f>
        <v>304</v>
      </c>
      <c r="AF13" s="116" t="n">
        <f aca="false">Inputs!$B$7*Inputs!$B$13*1</f>
        <v>304</v>
      </c>
      <c r="AG13" s="116" t="n">
        <f aca="false">Inputs!$B$7*Inputs!$B$13*1</f>
        <v>304</v>
      </c>
      <c r="AH13" s="116" t="n">
        <f aca="false">Inputs!$B$7*Inputs!$B$13*1</f>
        <v>304</v>
      </c>
      <c r="AI13" s="116" t="n">
        <f aca="false">Inputs!$B$7*Inputs!$B$13*1</f>
        <v>304</v>
      </c>
      <c r="AJ13" s="116" t="n">
        <f aca="false">Inputs!$B$7*Inputs!$B$13*1</f>
        <v>304</v>
      </c>
      <c r="AK13" s="116" t="n">
        <f aca="false">Inputs!$B$7*Inputs!$B$13*1</f>
        <v>304</v>
      </c>
      <c r="AL13" s="116" t="n">
        <f aca="false">Inputs!$B$7*Inputs!$B$13*1</f>
        <v>304</v>
      </c>
      <c r="AM13" s="116" t="n">
        <f aca="false">Inputs!$B$7*Inputs!$B$13*1</f>
        <v>304</v>
      </c>
      <c r="AN13" s="116" t="n">
        <f aca="false">Inputs!$B$7*Inputs!$B$13*1</f>
        <v>304</v>
      </c>
      <c r="AO13" s="116" t="n">
        <f aca="false">Inputs!$B$7*Inputs!$B$13*1</f>
        <v>304</v>
      </c>
      <c r="AP13" s="116" t="n">
        <f aca="false">Inputs!$B$7*Inputs!$B$13*1</f>
        <v>304</v>
      </c>
      <c r="AQ13" s="116" t="n">
        <f aca="false">Inputs!$B$7*Inputs!$B$13*1</f>
        <v>304</v>
      </c>
      <c r="AR13" s="116" t="n">
        <f aca="false">Inputs!$B$7*Inputs!$B$13*1</f>
        <v>304</v>
      </c>
      <c r="AS13" s="116" t="n">
        <f aca="false">Inputs!$B$7*Inputs!$B$13*1</f>
        <v>304</v>
      </c>
      <c r="AT13" s="116" t="n">
        <f aca="false">Inputs!$B$7*Inputs!$B$13*1</f>
        <v>304</v>
      </c>
      <c r="AU13" s="116" t="n">
        <f aca="false">Inputs!$B$7*Inputs!$B$13*1</f>
        <v>304</v>
      </c>
      <c r="AV13" s="116" t="n">
        <f aca="false">Inputs!$B$7*Inputs!$B$13*1</f>
        <v>304</v>
      </c>
      <c r="AW13" s="116" t="n">
        <f aca="false">Inputs!$B$7*Inputs!$B$13*1</f>
        <v>304</v>
      </c>
      <c r="AX13" s="116" t="n">
        <f aca="false">Inputs!$B$7*Inputs!$B$13*1</f>
        <v>304</v>
      </c>
      <c r="AY13" s="116" t="n">
        <f aca="false">Inputs!$B$7*Inputs!$B$13*1</f>
        <v>304</v>
      </c>
      <c r="AZ13" s="116" t="n">
        <f aca="false">Inputs!$B$7*Inputs!$B$13*1</f>
        <v>304</v>
      </c>
      <c r="BA13" s="116" t="n">
        <f aca="false">Inputs!$B$7*Inputs!$B$13*1</f>
        <v>304</v>
      </c>
      <c r="BB13" s="116" t="n">
        <f aca="false">Inputs!$B$7*Inputs!$B$13*1</f>
        <v>304</v>
      </c>
      <c r="BC13" s="116" t="n">
        <f aca="false">Inputs!$B$7*Inputs!$B$13*1</f>
        <v>304</v>
      </c>
      <c r="BD13" s="116" t="n">
        <f aca="false">Inputs!$B$7*Inputs!$B$13*1</f>
        <v>304</v>
      </c>
      <c r="BE13" s="116" t="n">
        <f aca="false">Inputs!$B$7*Inputs!$B$13*1</f>
        <v>304</v>
      </c>
      <c r="BF13" s="116" t="n">
        <f aca="false">Inputs!$B$7*Inputs!$B$13*1</f>
        <v>304</v>
      </c>
      <c r="BG13" s="116" t="n">
        <f aca="false">Inputs!$B$7*Inputs!$B$13*1</f>
        <v>304</v>
      </c>
      <c r="BH13" s="116" t="n">
        <f aca="false">Inputs!$B$7*Inputs!$B$13*1</f>
        <v>304</v>
      </c>
      <c r="BI13" s="116" t="n">
        <f aca="false">Inputs!$B$7*Inputs!$B$13*1</f>
        <v>304</v>
      </c>
      <c r="BJ13" s="116" t="n">
        <f aca="false">Inputs!$B$7*Inputs!$B$13*1</f>
        <v>304</v>
      </c>
    </row>
    <row r="14" customFormat="false" ht="15" hidden="false" customHeight="false" outlineLevel="0" collapsed="false">
      <c r="A14" s="38" t="s">
        <v>411</v>
      </c>
      <c r="C14" s="74" t="n">
        <f aca="false">MIN(1,Inputs!$B$8*(1+Inputs!$B$9)^(C$7-1)*C11*C12)</f>
        <v>0.1375</v>
      </c>
      <c r="D14" s="74" t="n">
        <f aca="false">MIN(1,Inputs!$B$8*(1+Inputs!$B$9)^(D$7-1)*D11*D12)</f>
        <v>0.160416666666667</v>
      </c>
      <c r="E14" s="74" t="n">
        <f aca="false">MIN(1,Inputs!$B$8*(1+Inputs!$B$9)^(E$7-1)*E11*E12)</f>
        <v>0.183333333333333</v>
      </c>
      <c r="F14" s="74" t="n">
        <f aca="false">MIN(1,Inputs!$B$8*(1+Inputs!$B$9)^(F$7-1)*F11*F12)</f>
        <v>0.20625</v>
      </c>
      <c r="G14" s="74" t="n">
        <f aca="false">MIN(1,Inputs!$B$8*(1+Inputs!$B$9)^(G$7-1)*G11*G12)</f>
        <v>0.229166666666667</v>
      </c>
      <c r="H14" s="74" t="n">
        <f aca="false">MIN(1,Inputs!$B$8*(1+Inputs!$B$9)^(H$7-1)*H11*H12)</f>
        <v>0.34375</v>
      </c>
      <c r="I14" s="74" t="n">
        <f aca="false">MIN(1,Inputs!$B$8*(1+Inputs!$B$9)^(I$7-1)*I11*I12)</f>
        <v>0.375</v>
      </c>
      <c r="J14" s="74" t="n">
        <f aca="false">MIN(1,Inputs!$B$8*(1+Inputs!$B$9)^(J$7-1)*J11*J12)</f>
        <v>0.40625</v>
      </c>
      <c r="K14" s="74" t="n">
        <f aca="false">MIN(1,Inputs!$B$8*(1+Inputs!$B$9)^(K$7-1)*K11*K12)</f>
        <v>0.320833333333333</v>
      </c>
      <c r="L14" s="74" t="n">
        <f aca="false">MIN(1,Inputs!$B$8*(1+Inputs!$B$9)^(L$7-1)*L11*L12)</f>
        <v>0.34375</v>
      </c>
      <c r="M14" s="74" t="n">
        <f aca="false">MIN(1,Inputs!$B$8*(1+Inputs!$B$9)^(M$7-1)*M11*M12)</f>
        <v>0.366666666666667</v>
      </c>
      <c r="N14" s="74" t="n">
        <f aca="false">MIN(1,Inputs!$B$8*(1+Inputs!$B$9)^(N$7-1)*N11*N12)</f>
        <v>0.389583333333333</v>
      </c>
      <c r="O14" s="74" t="n">
        <f aca="false">MIN(1,Inputs!$B$8*(1+Inputs!$B$9)^(O$7-1)*O11*O12)</f>
        <v>0.4125</v>
      </c>
      <c r="P14" s="74" t="n">
        <f aca="false">MIN(1,Inputs!$B$8*(1+Inputs!$B$9)^(P$7-1)*P11*P12)</f>
        <v>0.435416666666667</v>
      </c>
      <c r="Q14" s="74" t="n">
        <f aca="false">MIN(1,Inputs!$B$8*(1+Inputs!$B$9)^(Q$7-1)*Q11*Q12)</f>
        <v>0.458333333333333</v>
      </c>
      <c r="R14" s="74" t="n">
        <f aca="false">MIN(1,Inputs!$B$8*(1+Inputs!$B$9)^(R$7-1)*R11*R12)</f>
        <v>0.458333333333333</v>
      </c>
      <c r="S14" s="74" t="n">
        <f aca="false">MIN(1,Inputs!$B$8*(1+Inputs!$B$9)^(S$7-1)*S11*S12)</f>
        <v>0.458333333333333</v>
      </c>
      <c r="T14" s="74" t="n">
        <f aca="false">MIN(1,Inputs!$B$8*(1+Inputs!$B$9)^(T$7-1)*T11*T12)</f>
        <v>0.625</v>
      </c>
      <c r="U14" s="74" t="n">
        <f aca="false">MIN(1,Inputs!$B$8*(1+Inputs!$B$9)^(U$7-1)*U11*U12)</f>
        <v>0.625</v>
      </c>
      <c r="V14" s="74" t="n">
        <f aca="false">MIN(1,Inputs!$B$8*(1+Inputs!$B$9)^(V$7-1)*V11*V12)</f>
        <v>0.625</v>
      </c>
      <c r="W14" s="74" t="n">
        <f aca="false">MIN(1,Inputs!$B$8*(1+Inputs!$B$9)^(W$7-1)*W11*W12)</f>
        <v>0.458333333333333</v>
      </c>
      <c r="X14" s="74" t="n">
        <f aca="false">MIN(1,Inputs!$B$8*(1+Inputs!$B$9)^(X$7-1)*X11*X12)</f>
        <v>0.458333333333333</v>
      </c>
      <c r="Y14" s="74" t="n">
        <f aca="false">MIN(1,Inputs!$B$8*(1+Inputs!$B$9)^(Y$7-1)*Y11*Y12)</f>
        <v>0.458333333333333</v>
      </c>
      <c r="Z14" s="74" t="n">
        <f aca="false">MIN(1,Inputs!$B$8*(1+Inputs!$B$9)^(Z$7-1)*Z11*Z12)</f>
        <v>0.458333333333333</v>
      </c>
      <c r="AA14" s="74" t="n">
        <f aca="false">MIN(1,Inputs!$B$8*(1+Inputs!$B$9)^(AA$7-1)*AA11*AA12)</f>
        <v>0.458333333333333</v>
      </c>
      <c r="AB14" s="74" t="n">
        <f aca="false">MIN(1,Inputs!$B$8*(1+Inputs!$B$9)^(AB$7-1)*AB11*AB12)</f>
        <v>0.458333333333333</v>
      </c>
      <c r="AC14" s="74" t="n">
        <f aca="false">MIN(1,Inputs!$B$8*(1+Inputs!$B$9)^(AC$7-1)*AC11*AC12)</f>
        <v>0.458333333333333</v>
      </c>
      <c r="AD14" s="74" t="n">
        <f aca="false">MIN(1,Inputs!$B$8*(1+Inputs!$B$9)^(AD$7-1)*AD11*AD12)</f>
        <v>0.458333333333333</v>
      </c>
      <c r="AE14" s="74" t="n">
        <f aca="false">MIN(1,Inputs!$B$8*(1+Inputs!$B$9)^(AE$7-1)*AE11*AE12)</f>
        <v>0.458333333333333</v>
      </c>
      <c r="AF14" s="74" t="n">
        <f aca="false">MIN(1,Inputs!$B$8*(1+Inputs!$B$9)^(AF$7-1)*AF11*AF12)</f>
        <v>0.625</v>
      </c>
      <c r="AG14" s="74" t="n">
        <f aca="false">MIN(1,Inputs!$B$8*(1+Inputs!$B$9)^(AG$7-1)*AG11*AG12)</f>
        <v>0.625</v>
      </c>
      <c r="AH14" s="74" t="n">
        <f aca="false">MIN(1,Inputs!$B$8*(1+Inputs!$B$9)^(AH$7-1)*AH11*AH12)</f>
        <v>0.625</v>
      </c>
      <c r="AI14" s="74" t="n">
        <f aca="false">MIN(1,Inputs!$B$8*(1+Inputs!$B$9)^(AI$7-1)*AI11*AI12)</f>
        <v>0.458333333333333</v>
      </c>
      <c r="AJ14" s="74" t="n">
        <f aca="false">MIN(1,Inputs!$B$8*(1+Inputs!$B$9)^(AJ$7-1)*AJ11*AJ12)</f>
        <v>0.458333333333333</v>
      </c>
      <c r="AK14" s="74" t="n">
        <f aca="false">MIN(1,Inputs!$B$8*(1+Inputs!$B$9)^(AK$7-1)*AK11*AK12)</f>
        <v>0.458333333333333</v>
      </c>
      <c r="AL14" s="74" t="n">
        <f aca="false">MIN(1,Inputs!$B$8*(1+Inputs!$B$9)^(AL$7-1)*AL11*AL12)</f>
        <v>0.458333333333333</v>
      </c>
      <c r="AM14" s="74" t="n">
        <f aca="false">MIN(1,Inputs!$B$8*(1+Inputs!$B$9)^(AM$7-1)*AM11*AM12)</f>
        <v>0.458333333333333</v>
      </c>
      <c r="AN14" s="74" t="n">
        <f aca="false">MIN(1,Inputs!$B$8*(1+Inputs!$B$9)^(AN$7-1)*AN11*AN12)</f>
        <v>0.458333333333333</v>
      </c>
      <c r="AO14" s="74" t="n">
        <f aca="false">MIN(1,Inputs!$B$8*(1+Inputs!$B$9)^(AO$7-1)*AO11*AO12)</f>
        <v>0.458333333333333</v>
      </c>
      <c r="AP14" s="74" t="n">
        <f aca="false">MIN(1,Inputs!$B$8*(1+Inputs!$B$9)^(AP$7-1)*AP11*AP12)</f>
        <v>0.458333333333333</v>
      </c>
      <c r="AQ14" s="74" t="n">
        <f aca="false">MIN(1,Inputs!$B$8*(1+Inputs!$B$9)^(AQ$7-1)*AQ11*AQ12)</f>
        <v>0.458333333333333</v>
      </c>
      <c r="AR14" s="74" t="n">
        <f aca="false">MIN(1,Inputs!$B$8*(1+Inputs!$B$9)^(AR$7-1)*AR11*AR12)</f>
        <v>0.625</v>
      </c>
      <c r="AS14" s="74" t="n">
        <f aca="false">MIN(1,Inputs!$B$8*(1+Inputs!$B$9)^(AS$7-1)*AS11*AS12)</f>
        <v>0.625</v>
      </c>
      <c r="AT14" s="74" t="n">
        <f aca="false">MIN(1,Inputs!$B$8*(1+Inputs!$B$9)^(AT$7-1)*AT11*AT12)</f>
        <v>0.625</v>
      </c>
      <c r="AU14" s="74" t="n">
        <f aca="false">MIN(1,Inputs!$B$8*(1+Inputs!$B$9)^(AU$7-1)*AU11*AU12)</f>
        <v>0.458333333333333</v>
      </c>
      <c r="AV14" s="74" t="n">
        <f aca="false">MIN(1,Inputs!$B$8*(1+Inputs!$B$9)^(AV$7-1)*AV11*AV12)</f>
        <v>0.458333333333333</v>
      </c>
      <c r="AW14" s="74" t="n">
        <f aca="false">MIN(1,Inputs!$B$8*(1+Inputs!$B$9)^(AW$7-1)*AW11*AW12)</f>
        <v>0.458333333333333</v>
      </c>
      <c r="AX14" s="74" t="n">
        <f aca="false">MIN(1,Inputs!$B$8*(1+Inputs!$B$9)^(AX$7-1)*AX11*AX12)</f>
        <v>0.458333333333333</v>
      </c>
      <c r="AY14" s="74" t="n">
        <f aca="false">MIN(1,Inputs!$B$8*(1+Inputs!$B$9)^(AY$7-1)*AY11*AY12)</f>
        <v>0.458333333333333</v>
      </c>
      <c r="AZ14" s="74" t="n">
        <f aca="false">MIN(1,Inputs!$B$8*(1+Inputs!$B$9)^(AZ$7-1)*AZ11*AZ12)</f>
        <v>0.458333333333333</v>
      </c>
      <c r="BA14" s="74" t="n">
        <f aca="false">MIN(1,Inputs!$B$8*(1+Inputs!$B$9)^(BA$7-1)*BA11*BA12)</f>
        <v>0.458333333333333</v>
      </c>
      <c r="BB14" s="74" t="n">
        <f aca="false">MIN(1,Inputs!$B$8*(1+Inputs!$B$9)^(BB$7-1)*BB11*BB12)</f>
        <v>0.458333333333333</v>
      </c>
      <c r="BC14" s="74" t="n">
        <f aca="false">MIN(1,Inputs!$B$8*(1+Inputs!$B$9)^(BC$7-1)*BC11*BC12)</f>
        <v>0.458333333333333</v>
      </c>
      <c r="BD14" s="74" t="n">
        <f aca="false">MIN(1,Inputs!$B$8*(1+Inputs!$B$9)^(BD$7-1)*BD11*BD12)</f>
        <v>0.625</v>
      </c>
      <c r="BE14" s="74" t="n">
        <f aca="false">MIN(1,Inputs!$B$8*(1+Inputs!$B$9)^(BE$7-1)*BE11*BE12)</f>
        <v>0.625</v>
      </c>
      <c r="BF14" s="74" t="n">
        <f aca="false">MIN(1,Inputs!$B$8*(1+Inputs!$B$9)^(BF$7-1)*BF11*BF12)</f>
        <v>0.625</v>
      </c>
      <c r="BG14" s="74" t="n">
        <f aca="false">MIN(1,Inputs!$B$8*(1+Inputs!$B$9)^(BG$7-1)*BG11*BG12)</f>
        <v>0.458333333333333</v>
      </c>
      <c r="BH14" s="74" t="n">
        <f aca="false">MIN(1,Inputs!$B$8*(1+Inputs!$B$9)^(BH$7-1)*BH11*BH12)</f>
        <v>0.458333333333333</v>
      </c>
      <c r="BI14" s="74" t="n">
        <f aca="false">MIN(1,Inputs!$B$8*(1+Inputs!$B$9)^(BI$7-1)*BI11*BI12)</f>
        <v>0.458333333333333</v>
      </c>
      <c r="BJ14" s="74" t="n">
        <f aca="false">MIN(1,Inputs!$B$8*(1+Inputs!$B$9)^(BJ$7-1)*BJ11*BJ12)</f>
        <v>0.458333333333333</v>
      </c>
    </row>
    <row r="15" customFormat="false" ht="15" hidden="false" customHeight="false" outlineLevel="0" collapsed="false">
      <c r="A15" s="4" t="s">
        <v>234</v>
      </c>
      <c r="C15" s="117" t="n">
        <f aca="false">C13*C14</f>
        <v>41.8</v>
      </c>
      <c r="D15" s="117" t="n">
        <f aca="false">D13*D14</f>
        <v>48.7666666666667</v>
      </c>
      <c r="E15" s="117" t="n">
        <f aca="false">E13*E14</f>
        <v>55.7333333333333</v>
      </c>
      <c r="F15" s="117" t="n">
        <f aca="false">F13*F14</f>
        <v>62.7</v>
      </c>
      <c r="G15" s="117" t="n">
        <f aca="false">G13*G14</f>
        <v>69.6666666666667</v>
      </c>
      <c r="H15" s="117" t="n">
        <f aca="false">H13*H14</f>
        <v>104.5</v>
      </c>
      <c r="I15" s="117" t="n">
        <f aca="false">I13*I14</f>
        <v>114</v>
      </c>
      <c r="J15" s="117" t="n">
        <f aca="false">J13*J14</f>
        <v>123.5</v>
      </c>
      <c r="K15" s="117" t="n">
        <f aca="false">K13*K14</f>
        <v>97.5333333333333</v>
      </c>
      <c r="L15" s="117" t="n">
        <f aca="false">L13*L14</f>
        <v>104.5</v>
      </c>
      <c r="M15" s="117" t="n">
        <f aca="false">M13*M14</f>
        <v>111.466666666667</v>
      </c>
      <c r="N15" s="117" t="n">
        <f aca="false">N13*N14</f>
        <v>118.433333333333</v>
      </c>
      <c r="O15" s="117" t="n">
        <f aca="false">O13*O14</f>
        <v>125.4</v>
      </c>
      <c r="P15" s="117" t="n">
        <f aca="false">P13*P14</f>
        <v>132.366666666667</v>
      </c>
      <c r="Q15" s="117" t="n">
        <f aca="false">Q13*Q14</f>
        <v>139.333333333333</v>
      </c>
      <c r="R15" s="117" t="n">
        <f aca="false">R13*R14</f>
        <v>139.333333333333</v>
      </c>
      <c r="S15" s="117" t="n">
        <f aca="false">S13*S14</f>
        <v>139.333333333333</v>
      </c>
      <c r="T15" s="117" t="n">
        <f aca="false">T13*T14</f>
        <v>190</v>
      </c>
      <c r="U15" s="117" t="n">
        <f aca="false">U13*U14</f>
        <v>190</v>
      </c>
      <c r="V15" s="117" t="n">
        <f aca="false">V13*V14</f>
        <v>190</v>
      </c>
      <c r="W15" s="117" t="n">
        <f aca="false">W13*W14</f>
        <v>139.333333333333</v>
      </c>
      <c r="X15" s="117" t="n">
        <f aca="false">X13*X14</f>
        <v>139.333333333333</v>
      </c>
      <c r="Y15" s="117" t="n">
        <f aca="false">Y13*Y14</f>
        <v>139.333333333333</v>
      </c>
      <c r="Z15" s="117" t="n">
        <f aca="false">Z13*Z14</f>
        <v>139.333333333333</v>
      </c>
      <c r="AA15" s="117" t="n">
        <f aca="false">AA13*AA14</f>
        <v>139.333333333333</v>
      </c>
      <c r="AB15" s="117" t="n">
        <f aca="false">AB13*AB14</f>
        <v>139.333333333333</v>
      </c>
      <c r="AC15" s="117" t="n">
        <f aca="false">AC13*AC14</f>
        <v>139.333333333333</v>
      </c>
      <c r="AD15" s="117" t="n">
        <f aca="false">AD13*AD14</f>
        <v>139.333333333333</v>
      </c>
      <c r="AE15" s="117" t="n">
        <f aca="false">AE13*AE14</f>
        <v>139.333333333333</v>
      </c>
      <c r="AF15" s="117" t="n">
        <f aca="false">AF13*AF14</f>
        <v>190</v>
      </c>
      <c r="AG15" s="117" t="n">
        <f aca="false">AG13*AG14</f>
        <v>190</v>
      </c>
      <c r="AH15" s="117" t="n">
        <f aca="false">AH13*AH14</f>
        <v>190</v>
      </c>
      <c r="AI15" s="117" t="n">
        <f aca="false">AI13*AI14</f>
        <v>139.333333333333</v>
      </c>
      <c r="AJ15" s="117" t="n">
        <f aca="false">AJ13*AJ14</f>
        <v>139.333333333333</v>
      </c>
      <c r="AK15" s="117" t="n">
        <f aca="false">AK13*AK14</f>
        <v>139.333333333333</v>
      </c>
      <c r="AL15" s="117" t="n">
        <f aca="false">AL13*AL14</f>
        <v>139.333333333333</v>
      </c>
      <c r="AM15" s="117" t="n">
        <f aca="false">AM13*AM14</f>
        <v>139.333333333333</v>
      </c>
      <c r="AN15" s="117" t="n">
        <f aca="false">AN13*AN14</f>
        <v>139.333333333333</v>
      </c>
      <c r="AO15" s="117" t="n">
        <f aca="false">AO13*AO14</f>
        <v>139.333333333333</v>
      </c>
      <c r="AP15" s="117" t="n">
        <f aca="false">AP13*AP14</f>
        <v>139.333333333333</v>
      </c>
      <c r="AQ15" s="117" t="n">
        <f aca="false">AQ13*AQ14</f>
        <v>139.333333333333</v>
      </c>
      <c r="AR15" s="117" t="n">
        <f aca="false">AR13*AR14</f>
        <v>190</v>
      </c>
      <c r="AS15" s="117" t="n">
        <f aca="false">AS13*AS14</f>
        <v>190</v>
      </c>
      <c r="AT15" s="117" t="n">
        <f aca="false">AT13*AT14</f>
        <v>190</v>
      </c>
      <c r="AU15" s="117" t="n">
        <f aca="false">AU13*AU14</f>
        <v>139.333333333333</v>
      </c>
      <c r="AV15" s="117" t="n">
        <f aca="false">AV13*AV14</f>
        <v>139.333333333333</v>
      </c>
      <c r="AW15" s="117" t="n">
        <f aca="false">AW13*AW14</f>
        <v>139.333333333333</v>
      </c>
      <c r="AX15" s="117" t="n">
        <f aca="false">AX13*AX14</f>
        <v>139.333333333333</v>
      </c>
      <c r="AY15" s="117" t="n">
        <f aca="false">AY13*AY14</f>
        <v>139.333333333333</v>
      </c>
      <c r="AZ15" s="117" t="n">
        <f aca="false">AZ13*AZ14</f>
        <v>139.333333333333</v>
      </c>
      <c r="BA15" s="117" t="n">
        <f aca="false">BA13*BA14</f>
        <v>139.333333333333</v>
      </c>
      <c r="BB15" s="117" t="n">
        <f aca="false">BB13*BB14</f>
        <v>139.333333333333</v>
      </c>
      <c r="BC15" s="117" t="n">
        <f aca="false">BC13*BC14</f>
        <v>139.333333333333</v>
      </c>
      <c r="BD15" s="117" t="n">
        <f aca="false">BD13*BD14</f>
        <v>190</v>
      </c>
      <c r="BE15" s="117" t="n">
        <f aca="false">BE13*BE14</f>
        <v>190</v>
      </c>
      <c r="BF15" s="117" t="n">
        <f aca="false">BF13*BF14</f>
        <v>190</v>
      </c>
      <c r="BG15" s="117" t="n">
        <f aca="false">BG13*BG14</f>
        <v>139.333333333333</v>
      </c>
      <c r="BH15" s="117" t="n">
        <f aca="false">BH13*BH14</f>
        <v>139.333333333333</v>
      </c>
      <c r="BI15" s="117" t="n">
        <f aca="false">BI13*BI14</f>
        <v>139.333333333333</v>
      </c>
      <c r="BJ15" s="117" t="n">
        <f aca="false">BJ13*BJ14</f>
        <v>139.333333333333</v>
      </c>
    </row>
    <row r="16" customFormat="false" ht="15" hidden="false" customHeight="false" outlineLevel="0" collapsed="false">
      <c r="A16" s="6" t="s">
        <v>412</v>
      </c>
      <c r="C16" s="116" t="n">
        <f aca="false">IF(Inputs!$B$14&lt;=0,0,C15/Inputs!$B$14)</f>
        <v>23.2222222222222</v>
      </c>
      <c r="D16" s="116" t="n">
        <f aca="false">IF(Inputs!$B$14&lt;=0,0,D15/Inputs!$B$14)</f>
        <v>27.0925925925926</v>
      </c>
      <c r="E16" s="116" t="n">
        <f aca="false">IF(Inputs!$B$14&lt;=0,0,E15/Inputs!$B$14)</f>
        <v>30.962962962963</v>
      </c>
      <c r="F16" s="116" t="n">
        <f aca="false">IF(Inputs!$B$14&lt;=0,0,F15/Inputs!$B$14)</f>
        <v>34.8333333333333</v>
      </c>
      <c r="G16" s="116" t="n">
        <f aca="false">IF(Inputs!$B$14&lt;=0,0,G15/Inputs!$B$14)</f>
        <v>38.7037037037037</v>
      </c>
      <c r="H16" s="116" t="n">
        <f aca="false">IF(Inputs!$B$14&lt;=0,0,H15/Inputs!$B$14)</f>
        <v>58.0555555555555</v>
      </c>
      <c r="I16" s="116" t="n">
        <f aca="false">IF(Inputs!$B$14&lt;=0,0,I15/Inputs!$B$14)</f>
        <v>63.3333333333333</v>
      </c>
      <c r="J16" s="116" t="n">
        <f aca="false">IF(Inputs!$B$14&lt;=0,0,J15/Inputs!$B$14)</f>
        <v>68.6111111111111</v>
      </c>
      <c r="K16" s="116" t="n">
        <f aca="false">IF(Inputs!$B$14&lt;=0,0,K15/Inputs!$B$14)</f>
        <v>54.1851851851852</v>
      </c>
      <c r="L16" s="116" t="n">
        <f aca="false">IF(Inputs!$B$14&lt;=0,0,L15/Inputs!$B$14)</f>
        <v>58.0555555555556</v>
      </c>
      <c r="M16" s="116" t="n">
        <f aca="false">IF(Inputs!$B$14&lt;=0,0,M15/Inputs!$B$14)</f>
        <v>61.9259259259259</v>
      </c>
      <c r="N16" s="116" t="n">
        <f aca="false">IF(Inputs!$B$14&lt;=0,0,N15/Inputs!$B$14)</f>
        <v>65.7962962962963</v>
      </c>
      <c r="O16" s="116" t="n">
        <f aca="false">IF(Inputs!$B$14&lt;=0,0,O15/Inputs!$B$14)</f>
        <v>69.6666666666667</v>
      </c>
      <c r="P16" s="116" t="n">
        <f aca="false">IF(Inputs!$B$14&lt;=0,0,P15/Inputs!$B$14)</f>
        <v>73.537037037037</v>
      </c>
      <c r="Q16" s="116" t="n">
        <f aca="false">IF(Inputs!$B$14&lt;=0,0,Q15/Inputs!$B$14)</f>
        <v>77.4074074074074</v>
      </c>
      <c r="R16" s="116" t="n">
        <f aca="false">IF(Inputs!$B$14&lt;=0,0,R15/Inputs!$B$14)</f>
        <v>77.4074074074074</v>
      </c>
      <c r="S16" s="116" t="n">
        <f aca="false">IF(Inputs!$B$14&lt;=0,0,S15/Inputs!$B$14)</f>
        <v>77.4074074074074</v>
      </c>
      <c r="T16" s="116" t="n">
        <f aca="false">IF(Inputs!$B$14&lt;=0,0,T15/Inputs!$B$14)</f>
        <v>105.555555555556</v>
      </c>
      <c r="U16" s="116" t="n">
        <f aca="false">IF(Inputs!$B$14&lt;=0,0,U15/Inputs!$B$14)</f>
        <v>105.555555555556</v>
      </c>
      <c r="V16" s="116" t="n">
        <f aca="false">IF(Inputs!$B$14&lt;=0,0,V15/Inputs!$B$14)</f>
        <v>105.555555555556</v>
      </c>
      <c r="W16" s="116" t="n">
        <f aca="false">IF(Inputs!$B$14&lt;=0,0,W15/Inputs!$B$14)</f>
        <v>77.4074074074074</v>
      </c>
      <c r="X16" s="116" t="n">
        <f aca="false">IF(Inputs!$B$14&lt;=0,0,X15/Inputs!$B$14)</f>
        <v>77.4074074074074</v>
      </c>
      <c r="Y16" s="116" t="n">
        <f aca="false">IF(Inputs!$B$14&lt;=0,0,Y15/Inputs!$B$14)</f>
        <v>77.4074074074074</v>
      </c>
      <c r="Z16" s="116" t="n">
        <f aca="false">IF(Inputs!$B$14&lt;=0,0,Z15/Inputs!$B$14)</f>
        <v>77.4074074074074</v>
      </c>
      <c r="AA16" s="116" t="n">
        <f aca="false">IF(Inputs!$B$14&lt;=0,0,AA15/Inputs!$B$14)</f>
        <v>77.4074074074074</v>
      </c>
      <c r="AB16" s="116" t="n">
        <f aca="false">IF(Inputs!$B$14&lt;=0,0,AB15/Inputs!$B$14)</f>
        <v>77.4074074074074</v>
      </c>
      <c r="AC16" s="116" t="n">
        <f aca="false">IF(Inputs!$B$14&lt;=0,0,AC15/Inputs!$B$14)</f>
        <v>77.4074074074074</v>
      </c>
      <c r="AD16" s="116" t="n">
        <f aca="false">IF(Inputs!$B$14&lt;=0,0,AD15/Inputs!$B$14)</f>
        <v>77.4074074074074</v>
      </c>
      <c r="AE16" s="116" t="n">
        <f aca="false">IF(Inputs!$B$14&lt;=0,0,AE15/Inputs!$B$14)</f>
        <v>77.4074074074074</v>
      </c>
      <c r="AF16" s="116" t="n">
        <f aca="false">IF(Inputs!$B$14&lt;=0,0,AF15/Inputs!$B$14)</f>
        <v>105.555555555556</v>
      </c>
      <c r="AG16" s="116" t="n">
        <f aca="false">IF(Inputs!$B$14&lt;=0,0,AG15/Inputs!$B$14)</f>
        <v>105.555555555556</v>
      </c>
      <c r="AH16" s="116" t="n">
        <f aca="false">IF(Inputs!$B$14&lt;=0,0,AH15/Inputs!$B$14)</f>
        <v>105.555555555556</v>
      </c>
      <c r="AI16" s="116" t="n">
        <f aca="false">IF(Inputs!$B$14&lt;=0,0,AI15/Inputs!$B$14)</f>
        <v>77.4074074074074</v>
      </c>
      <c r="AJ16" s="116" t="n">
        <f aca="false">IF(Inputs!$B$14&lt;=0,0,AJ15/Inputs!$B$14)</f>
        <v>77.4074074074074</v>
      </c>
      <c r="AK16" s="116" t="n">
        <f aca="false">IF(Inputs!$B$14&lt;=0,0,AK15/Inputs!$B$14)</f>
        <v>77.4074074074074</v>
      </c>
      <c r="AL16" s="116" t="n">
        <f aca="false">IF(Inputs!$B$14&lt;=0,0,AL15/Inputs!$B$14)</f>
        <v>77.4074074074074</v>
      </c>
      <c r="AM16" s="116" t="n">
        <f aca="false">IF(Inputs!$B$14&lt;=0,0,AM15/Inputs!$B$14)</f>
        <v>77.4074074074074</v>
      </c>
      <c r="AN16" s="116" t="n">
        <f aca="false">IF(Inputs!$B$14&lt;=0,0,AN15/Inputs!$B$14)</f>
        <v>77.4074074074074</v>
      </c>
      <c r="AO16" s="116" t="n">
        <f aca="false">IF(Inputs!$B$14&lt;=0,0,AO15/Inputs!$B$14)</f>
        <v>77.4074074074074</v>
      </c>
      <c r="AP16" s="116" t="n">
        <f aca="false">IF(Inputs!$B$14&lt;=0,0,AP15/Inputs!$B$14)</f>
        <v>77.4074074074074</v>
      </c>
      <c r="AQ16" s="116" t="n">
        <f aca="false">IF(Inputs!$B$14&lt;=0,0,AQ15/Inputs!$B$14)</f>
        <v>77.4074074074074</v>
      </c>
      <c r="AR16" s="116" t="n">
        <f aca="false">IF(Inputs!$B$14&lt;=0,0,AR15/Inputs!$B$14)</f>
        <v>105.555555555556</v>
      </c>
      <c r="AS16" s="116" t="n">
        <f aca="false">IF(Inputs!$B$14&lt;=0,0,AS15/Inputs!$B$14)</f>
        <v>105.555555555556</v>
      </c>
      <c r="AT16" s="116" t="n">
        <f aca="false">IF(Inputs!$B$14&lt;=0,0,AT15/Inputs!$B$14)</f>
        <v>105.555555555556</v>
      </c>
      <c r="AU16" s="116" t="n">
        <f aca="false">IF(Inputs!$B$14&lt;=0,0,AU15/Inputs!$B$14)</f>
        <v>77.4074074074074</v>
      </c>
      <c r="AV16" s="116" t="n">
        <f aca="false">IF(Inputs!$B$14&lt;=0,0,AV15/Inputs!$B$14)</f>
        <v>77.4074074074074</v>
      </c>
      <c r="AW16" s="116" t="n">
        <f aca="false">IF(Inputs!$B$14&lt;=0,0,AW15/Inputs!$B$14)</f>
        <v>77.4074074074074</v>
      </c>
      <c r="AX16" s="116" t="n">
        <f aca="false">IF(Inputs!$B$14&lt;=0,0,AX15/Inputs!$B$14)</f>
        <v>77.4074074074074</v>
      </c>
      <c r="AY16" s="116" t="n">
        <f aca="false">IF(Inputs!$B$14&lt;=0,0,AY15/Inputs!$B$14)</f>
        <v>77.4074074074074</v>
      </c>
      <c r="AZ16" s="116" t="n">
        <f aca="false">IF(Inputs!$B$14&lt;=0,0,AZ15/Inputs!$B$14)</f>
        <v>77.4074074074074</v>
      </c>
      <c r="BA16" s="116" t="n">
        <f aca="false">IF(Inputs!$B$14&lt;=0,0,BA15/Inputs!$B$14)</f>
        <v>77.4074074074074</v>
      </c>
      <c r="BB16" s="116" t="n">
        <f aca="false">IF(Inputs!$B$14&lt;=0,0,BB15/Inputs!$B$14)</f>
        <v>77.4074074074074</v>
      </c>
      <c r="BC16" s="116" t="n">
        <f aca="false">IF(Inputs!$B$14&lt;=0,0,BC15/Inputs!$B$14)</f>
        <v>77.4074074074074</v>
      </c>
      <c r="BD16" s="116" t="n">
        <f aca="false">IF(Inputs!$B$14&lt;=0,0,BD15/Inputs!$B$14)</f>
        <v>105.555555555556</v>
      </c>
      <c r="BE16" s="116" t="n">
        <f aca="false">IF(Inputs!$B$14&lt;=0,0,BE15/Inputs!$B$14)</f>
        <v>105.555555555556</v>
      </c>
      <c r="BF16" s="116" t="n">
        <f aca="false">IF(Inputs!$B$14&lt;=0,0,BF15/Inputs!$B$14)</f>
        <v>105.555555555556</v>
      </c>
      <c r="BG16" s="116" t="n">
        <f aca="false">IF(Inputs!$B$14&lt;=0,0,BG15/Inputs!$B$14)</f>
        <v>77.4074074074074</v>
      </c>
      <c r="BH16" s="116" t="n">
        <f aca="false">IF(Inputs!$B$14&lt;=0,0,BH15/Inputs!$B$14)</f>
        <v>77.4074074074074</v>
      </c>
      <c r="BI16" s="116" t="n">
        <f aca="false">IF(Inputs!$B$14&lt;=0,0,BI15/Inputs!$B$14)</f>
        <v>77.4074074074074</v>
      </c>
      <c r="BJ16" s="116" t="n">
        <f aca="false">IF(Inputs!$B$14&lt;=0,0,BJ15/Inputs!$B$14)</f>
        <v>77.4074074074074</v>
      </c>
    </row>
    <row r="18" customFormat="false" ht="15.75" hidden="false" customHeight="true" outlineLevel="0" collapsed="false">
      <c r="A18" s="7" t="s">
        <v>44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59</v>
      </c>
      <c r="C19" s="118" t="n">
        <f aca="false">Inputs!$B$17*(1+Inputs!$B$18)^(C$7-1)</f>
        <v>135</v>
      </c>
      <c r="D19" s="118" t="n">
        <f aca="false">Inputs!$B$17*(1+Inputs!$B$18)^(D$7-1)</f>
        <v>135</v>
      </c>
      <c r="E19" s="118" t="n">
        <f aca="false">Inputs!$B$17*(1+Inputs!$B$18)^(E$7-1)</f>
        <v>135</v>
      </c>
      <c r="F19" s="118" t="n">
        <f aca="false">Inputs!$B$17*(1+Inputs!$B$18)^(F$7-1)</f>
        <v>135</v>
      </c>
      <c r="G19" s="118" t="n">
        <f aca="false">Inputs!$B$17*(1+Inputs!$B$18)^(G$7-1)</f>
        <v>135</v>
      </c>
      <c r="H19" s="118" t="n">
        <f aca="false">Inputs!$B$17*(1+Inputs!$B$18)^(H$7-1)</f>
        <v>135</v>
      </c>
      <c r="I19" s="118" t="n">
        <f aca="false">Inputs!$B$17*(1+Inputs!$B$18)^(I$7-1)</f>
        <v>135</v>
      </c>
      <c r="J19" s="118" t="n">
        <f aca="false">Inputs!$B$17*(1+Inputs!$B$18)^(J$7-1)</f>
        <v>135</v>
      </c>
      <c r="K19" s="118" t="n">
        <f aca="false">Inputs!$B$17*(1+Inputs!$B$18)^(K$7-1)</f>
        <v>135</v>
      </c>
      <c r="L19" s="118" t="n">
        <f aca="false">Inputs!$B$17*(1+Inputs!$B$18)^(L$7-1)</f>
        <v>135</v>
      </c>
      <c r="M19" s="118" t="n">
        <f aca="false">Inputs!$B$17*(1+Inputs!$B$18)^(M$7-1)</f>
        <v>135</v>
      </c>
      <c r="N19" s="118" t="n">
        <f aca="false">Inputs!$B$17*(1+Inputs!$B$18)^(N$7-1)</f>
        <v>135</v>
      </c>
      <c r="O19" s="118" t="n">
        <f aca="false">Inputs!$B$17*(1+Inputs!$B$18)^(O$7-1)</f>
        <v>136.35</v>
      </c>
      <c r="P19" s="118" t="n">
        <f aca="false">Inputs!$B$17*(1+Inputs!$B$18)^(P$7-1)</f>
        <v>136.35</v>
      </c>
      <c r="Q19" s="118" t="n">
        <f aca="false">Inputs!$B$17*(1+Inputs!$B$18)^(Q$7-1)</f>
        <v>136.35</v>
      </c>
      <c r="R19" s="118" t="n">
        <f aca="false">Inputs!$B$17*(1+Inputs!$B$18)^(R$7-1)</f>
        <v>136.35</v>
      </c>
      <c r="S19" s="118" t="n">
        <f aca="false">Inputs!$B$17*(1+Inputs!$B$18)^(S$7-1)</f>
        <v>136.35</v>
      </c>
      <c r="T19" s="118" t="n">
        <f aca="false">Inputs!$B$17*(1+Inputs!$B$18)^(T$7-1)</f>
        <v>136.35</v>
      </c>
      <c r="U19" s="118" t="n">
        <f aca="false">Inputs!$B$17*(1+Inputs!$B$18)^(U$7-1)</f>
        <v>136.35</v>
      </c>
      <c r="V19" s="118" t="n">
        <f aca="false">Inputs!$B$17*(1+Inputs!$B$18)^(V$7-1)</f>
        <v>136.35</v>
      </c>
      <c r="W19" s="118" t="n">
        <f aca="false">Inputs!$B$17*(1+Inputs!$B$18)^(W$7-1)</f>
        <v>136.35</v>
      </c>
      <c r="X19" s="118" t="n">
        <f aca="false">Inputs!$B$17*(1+Inputs!$B$18)^(X$7-1)</f>
        <v>136.35</v>
      </c>
      <c r="Y19" s="118" t="n">
        <f aca="false">Inputs!$B$17*(1+Inputs!$B$18)^(Y$7-1)</f>
        <v>136.35</v>
      </c>
      <c r="Z19" s="118" t="n">
        <f aca="false">Inputs!$B$17*(1+Inputs!$B$18)^(Z$7-1)</f>
        <v>136.35</v>
      </c>
      <c r="AA19" s="118" t="n">
        <f aca="false">Inputs!$B$17*(1+Inputs!$B$18)^(AA$7-1)</f>
        <v>137.7135</v>
      </c>
      <c r="AB19" s="118" t="n">
        <f aca="false">Inputs!$B$17*(1+Inputs!$B$18)^(AB$7-1)</f>
        <v>137.7135</v>
      </c>
      <c r="AC19" s="118" t="n">
        <f aca="false">Inputs!$B$17*(1+Inputs!$B$18)^(AC$7-1)</f>
        <v>137.7135</v>
      </c>
      <c r="AD19" s="118" t="n">
        <f aca="false">Inputs!$B$17*(1+Inputs!$B$18)^(AD$7-1)</f>
        <v>137.7135</v>
      </c>
      <c r="AE19" s="118" t="n">
        <f aca="false">Inputs!$B$17*(1+Inputs!$B$18)^(AE$7-1)</f>
        <v>137.7135</v>
      </c>
      <c r="AF19" s="118" t="n">
        <f aca="false">Inputs!$B$17*(1+Inputs!$B$18)^(AF$7-1)</f>
        <v>137.7135</v>
      </c>
      <c r="AG19" s="118" t="n">
        <f aca="false">Inputs!$B$17*(1+Inputs!$B$18)^(AG$7-1)</f>
        <v>137.7135</v>
      </c>
      <c r="AH19" s="118" t="n">
        <f aca="false">Inputs!$B$17*(1+Inputs!$B$18)^(AH$7-1)</f>
        <v>137.7135</v>
      </c>
      <c r="AI19" s="118" t="n">
        <f aca="false">Inputs!$B$17*(1+Inputs!$B$18)^(AI$7-1)</f>
        <v>137.7135</v>
      </c>
      <c r="AJ19" s="118" t="n">
        <f aca="false">Inputs!$B$17*(1+Inputs!$B$18)^(AJ$7-1)</f>
        <v>137.7135</v>
      </c>
      <c r="AK19" s="118" t="n">
        <f aca="false">Inputs!$B$17*(1+Inputs!$B$18)^(AK$7-1)</f>
        <v>137.7135</v>
      </c>
      <c r="AL19" s="118" t="n">
        <f aca="false">Inputs!$B$17*(1+Inputs!$B$18)^(AL$7-1)</f>
        <v>137.7135</v>
      </c>
      <c r="AM19" s="118" t="n">
        <f aca="false">Inputs!$B$17*(1+Inputs!$B$18)^(AM$7-1)</f>
        <v>139.090635</v>
      </c>
      <c r="AN19" s="118" t="n">
        <f aca="false">Inputs!$B$17*(1+Inputs!$B$18)^(AN$7-1)</f>
        <v>139.090635</v>
      </c>
      <c r="AO19" s="118" t="n">
        <f aca="false">Inputs!$B$17*(1+Inputs!$B$18)^(AO$7-1)</f>
        <v>139.090635</v>
      </c>
      <c r="AP19" s="118" t="n">
        <f aca="false">Inputs!$B$17*(1+Inputs!$B$18)^(AP$7-1)</f>
        <v>139.090635</v>
      </c>
      <c r="AQ19" s="118" t="n">
        <f aca="false">Inputs!$B$17*(1+Inputs!$B$18)^(AQ$7-1)</f>
        <v>139.090635</v>
      </c>
      <c r="AR19" s="118" t="n">
        <f aca="false">Inputs!$B$17*(1+Inputs!$B$18)^(AR$7-1)</f>
        <v>139.090635</v>
      </c>
      <c r="AS19" s="118" t="n">
        <f aca="false">Inputs!$B$17*(1+Inputs!$B$18)^(AS$7-1)</f>
        <v>139.090635</v>
      </c>
      <c r="AT19" s="118" t="n">
        <f aca="false">Inputs!$B$17*(1+Inputs!$B$18)^(AT$7-1)</f>
        <v>139.090635</v>
      </c>
      <c r="AU19" s="118" t="n">
        <f aca="false">Inputs!$B$17*(1+Inputs!$B$18)^(AU$7-1)</f>
        <v>139.090635</v>
      </c>
      <c r="AV19" s="118" t="n">
        <f aca="false">Inputs!$B$17*(1+Inputs!$B$18)^(AV$7-1)</f>
        <v>139.090635</v>
      </c>
      <c r="AW19" s="118" t="n">
        <f aca="false">Inputs!$B$17*(1+Inputs!$B$18)^(AW$7-1)</f>
        <v>139.090635</v>
      </c>
      <c r="AX19" s="118" t="n">
        <f aca="false">Inputs!$B$17*(1+Inputs!$B$18)^(AX$7-1)</f>
        <v>139.090635</v>
      </c>
      <c r="AY19" s="118" t="n">
        <f aca="false">Inputs!$B$17*(1+Inputs!$B$18)^(AY$7-1)</f>
        <v>140.48154135</v>
      </c>
      <c r="AZ19" s="118" t="n">
        <f aca="false">Inputs!$B$17*(1+Inputs!$B$18)^(AZ$7-1)</f>
        <v>140.48154135</v>
      </c>
      <c r="BA19" s="118" t="n">
        <f aca="false">Inputs!$B$17*(1+Inputs!$B$18)^(BA$7-1)</f>
        <v>140.48154135</v>
      </c>
      <c r="BB19" s="118" t="n">
        <f aca="false">Inputs!$B$17*(1+Inputs!$B$18)^(BB$7-1)</f>
        <v>140.48154135</v>
      </c>
      <c r="BC19" s="118" t="n">
        <f aca="false">Inputs!$B$17*(1+Inputs!$B$18)^(BC$7-1)</f>
        <v>140.48154135</v>
      </c>
      <c r="BD19" s="118" t="n">
        <f aca="false">Inputs!$B$17*(1+Inputs!$B$18)^(BD$7-1)</f>
        <v>140.48154135</v>
      </c>
      <c r="BE19" s="118" t="n">
        <f aca="false">Inputs!$B$17*(1+Inputs!$B$18)^(BE$7-1)</f>
        <v>140.48154135</v>
      </c>
      <c r="BF19" s="118" t="n">
        <f aca="false">Inputs!$B$17*(1+Inputs!$B$18)^(BF$7-1)</f>
        <v>140.48154135</v>
      </c>
      <c r="BG19" s="118" t="n">
        <f aca="false">Inputs!$B$17*(1+Inputs!$B$18)^(BG$7-1)</f>
        <v>140.48154135</v>
      </c>
      <c r="BH19" s="118" t="n">
        <f aca="false">Inputs!$B$17*(1+Inputs!$B$18)^(BH$7-1)</f>
        <v>140.48154135</v>
      </c>
      <c r="BI19" s="118" t="n">
        <f aca="false">Inputs!$B$17*(1+Inputs!$B$18)^(BI$7-1)</f>
        <v>140.48154135</v>
      </c>
      <c r="BJ19" s="118" t="n">
        <f aca="false">Inputs!$B$17*(1+Inputs!$B$18)^(BJ$7-1)</f>
        <v>140.48154135</v>
      </c>
    </row>
    <row r="20" customFormat="false" ht="15" hidden="false" customHeight="false" outlineLevel="0" collapsed="false">
      <c r="A20" s="6" t="s">
        <v>235</v>
      </c>
      <c r="C20" s="67" t="n">
        <f aca="false">C15*C19</f>
        <v>5643</v>
      </c>
      <c r="D20" s="67" t="n">
        <f aca="false">D15*D19</f>
        <v>6583.5</v>
      </c>
      <c r="E20" s="67" t="n">
        <f aca="false">E15*E19</f>
        <v>7524</v>
      </c>
      <c r="F20" s="67" t="n">
        <f aca="false">F15*F19</f>
        <v>8464.5</v>
      </c>
      <c r="G20" s="67" t="n">
        <f aca="false">G15*G19</f>
        <v>9405</v>
      </c>
      <c r="H20" s="67" t="n">
        <f aca="false">H15*H19</f>
        <v>14107.5</v>
      </c>
      <c r="I20" s="67" t="n">
        <f aca="false">I15*I19</f>
        <v>15390</v>
      </c>
      <c r="J20" s="67" t="n">
        <f aca="false">J15*J19</f>
        <v>16672.5</v>
      </c>
      <c r="K20" s="67" t="n">
        <f aca="false">K15*K19</f>
        <v>13167</v>
      </c>
      <c r="L20" s="67" t="n">
        <f aca="false">L15*L19</f>
        <v>14107.5</v>
      </c>
      <c r="M20" s="67" t="n">
        <f aca="false">M15*M19</f>
        <v>15048</v>
      </c>
      <c r="N20" s="67" t="n">
        <f aca="false">N15*N19</f>
        <v>15988.5</v>
      </c>
      <c r="O20" s="67" t="n">
        <f aca="false">O15*O19</f>
        <v>17098.29</v>
      </c>
      <c r="P20" s="67" t="n">
        <f aca="false">P15*P19</f>
        <v>18048.195</v>
      </c>
      <c r="Q20" s="67" t="n">
        <f aca="false">Q15*Q19</f>
        <v>18998.1</v>
      </c>
      <c r="R20" s="67" t="n">
        <f aca="false">R15*R19</f>
        <v>18998.1</v>
      </c>
      <c r="S20" s="67" t="n">
        <f aca="false">S15*S19</f>
        <v>18998.1</v>
      </c>
      <c r="T20" s="67" t="n">
        <f aca="false">T15*T19</f>
        <v>25906.5</v>
      </c>
      <c r="U20" s="67" t="n">
        <f aca="false">U15*U19</f>
        <v>25906.5</v>
      </c>
      <c r="V20" s="67" t="n">
        <f aca="false">V15*V19</f>
        <v>25906.5</v>
      </c>
      <c r="W20" s="67" t="n">
        <f aca="false">W15*W19</f>
        <v>18998.1</v>
      </c>
      <c r="X20" s="67" t="n">
        <f aca="false">X15*X19</f>
        <v>18998.1</v>
      </c>
      <c r="Y20" s="67" t="n">
        <f aca="false">Y15*Y19</f>
        <v>18998.1</v>
      </c>
      <c r="Z20" s="67" t="n">
        <f aca="false">Z15*Z19</f>
        <v>18998.1</v>
      </c>
      <c r="AA20" s="67" t="n">
        <f aca="false">AA15*AA19</f>
        <v>19188.081</v>
      </c>
      <c r="AB20" s="67" t="n">
        <f aca="false">AB15*AB19</f>
        <v>19188.081</v>
      </c>
      <c r="AC20" s="67" t="n">
        <f aca="false">AC15*AC19</f>
        <v>19188.081</v>
      </c>
      <c r="AD20" s="67" t="n">
        <f aca="false">AD15*AD19</f>
        <v>19188.081</v>
      </c>
      <c r="AE20" s="67" t="n">
        <f aca="false">AE15*AE19</f>
        <v>19188.081</v>
      </c>
      <c r="AF20" s="67" t="n">
        <f aca="false">AF15*AF19</f>
        <v>26165.565</v>
      </c>
      <c r="AG20" s="67" t="n">
        <f aca="false">AG15*AG19</f>
        <v>26165.565</v>
      </c>
      <c r="AH20" s="67" t="n">
        <f aca="false">AH15*AH19</f>
        <v>26165.565</v>
      </c>
      <c r="AI20" s="67" t="n">
        <f aca="false">AI15*AI19</f>
        <v>19188.081</v>
      </c>
      <c r="AJ20" s="67" t="n">
        <f aca="false">AJ15*AJ19</f>
        <v>19188.081</v>
      </c>
      <c r="AK20" s="67" t="n">
        <f aca="false">AK15*AK19</f>
        <v>19188.081</v>
      </c>
      <c r="AL20" s="67" t="n">
        <f aca="false">AL15*AL19</f>
        <v>19188.081</v>
      </c>
      <c r="AM20" s="67" t="n">
        <f aca="false">AM15*AM19</f>
        <v>19379.96181</v>
      </c>
      <c r="AN20" s="67" t="n">
        <f aca="false">AN15*AN19</f>
        <v>19379.96181</v>
      </c>
      <c r="AO20" s="67" t="n">
        <f aca="false">AO15*AO19</f>
        <v>19379.96181</v>
      </c>
      <c r="AP20" s="67" t="n">
        <f aca="false">AP15*AP19</f>
        <v>19379.96181</v>
      </c>
      <c r="AQ20" s="67" t="n">
        <f aca="false">AQ15*AQ19</f>
        <v>19379.96181</v>
      </c>
      <c r="AR20" s="67" t="n">
        <f aca="false">AR15*AR19</f>
        <v>26427.22065</v>
      </c>
      <c r="AS20" s="67" t="n">
        <f aca="false">AS15*AS19</f>
        <v>26427.22065</v>
      </c>
      <c r="AT20" s="67" t="n">
        <f aca="false">AT15*AT19</f>
        <v>26427.22065</v>
      </c>
      <c r="AU20" s="67" t="n">
        <f aca="false">AU15*AU19</f>
        <v>19379.96181</v>
      </c>
      <c r="AV20" s="67" t="n">
        <f aca="false">AV15*AV19</f>
        <v>19379.96181</v>
      </c>
      <c r="AW20" s="67" t="n">
        <f aca="false">AW15*AW19</f>
        <v>19379.96181</v>
      </c>
      <c r="AX20" s="67" t="n">
        <f aca="false">AX15*AX19</f>
        <v>19379.96181</v>
      </c>
      <c r="AY20" s="67" t="n">
        <f aca="false">AY15*AY19</f>
        <v>19573.7614281</v>
      </c>
      <c r="AZ20" s="67" t="n">
        <f aca="false">AZ15*AZ19</f>
        <v>19573.7614281</v>
      </c>
      <c r="BA20" s="67" t="n">
        <f aca="false">BA15*BA19</f>
        <v>19573.7614281</v>
      </c>
      <c r="BB20" s="67" t="n">
        <f aca="false">BB15*BB19</f>
        <v>19573.7614281</v>
      </c>
      <c r="BC20" s="67" t="n">
        <f aca="false">BC15*BC19</f>
        <v>19573.7614281</v>
      </c>
      <c r="BD20" s="67" t="n">
        <f aca="false">BD15*BD19</f>
        <v>26691.4928565</v>
      </c>
      <c r="BE20" s="67" t="n">
        <f aca="false">BE15*BE19</f>
        <v>26691.4928565</v>
      </c>
      <c r="BF20" s="67" t="n">
        <f aca="false">BF15*BF19</f>
        <v>26691.4928565</v>
      </c>
      <c r="BG20" s="67" t="n">
        <f aca="false">BG15*BG19</f>
        <v>19573.7614281</v>
      </c>
      <c r="BH20" s="67" t="n">
        <f aca="false">BH15*BH19</f>
        <v>19573.7614281</v>
      </c>
      <c r="BI20" s="67" t="n">
        <f aca="false">BI15*BI19</f>
        <v>19573.7614281</v>
      </c>
      <c r="BJ20" s="67" t="n">
        <f aca="false">BJ15*BJ19</f>
        <v>19573.7614281</v>
      </c>
    </row>
    <row r="21" customFormat="false" ht="15" hidden="false" customHeight="false" outlineLevel="0" collapsed="false">
      <c r="A21" s="6" t="s">
        <v>236</v>
      </c>
      <c r="C21" s="67" t="n">
        <f aca="false">C15*Inputs!$B$19*(1+Inputs!$B$18)^(C$7-1)</f>
        <v>376.2</v>
      </c>
      <c r="D21" s="67" t="n">
        <f aca="false">D15*Inputs!$B$19*(1+Inputs!$B$18)^(D$7-1)</f>
        <v>438.9</v>
      </c>
      <c r="E21" s="67" t="n">
        <f aca="false">E15*Inputs!$B$19*(1+Inputs!$B$18)^(E$7-1)</f>
        <v>501.6</v>
      </c>
      <c r="F21" s="67" t="n">
        <f aca="false">F15*Inputs!$B$19*(1+Inputs!$B$18)^(F$7-1)</f>
        <v>564.3</v>
      </c>
      <c r="G21" s="67" t="n">
        <f aca="false">G15*Inputs!$B$19*(1+Inputs!$B$18)^(G$7-1)</f>
        <v>627</v>
      </c>
      <c r="H21" s="67" t="n">
        <f aca="false">H15*Inputs!$B$19*(1+Inputs!$B$18)^(H$7-1)</f>
        <v>940.5</v>
      </c>
      <c r="I21" s="67" t="n">
        <f aca="false">I15*Inputs!$B$19*(1+Inputs!$B$18)^(I$7-1)</f>
        <v>1026</v>
      </c>
      <c r="J21" s="67" t="n">
        <f aca="false">J15*Inputs!$B$19*(1+Inputs!$B$18)^(J$7-1)</f>
        <v>1111.5</v>
      </c>
      <c r="K21" s="67" t="n">
        <f aca="false">K15*Inputs!$B$19*(1+Inputs!$B$18)^(K$7-1)</f>
        <v>877.8</v>
      </c>
      <c r="L21" s="67" t="n">
        <f aca="false">L15*Inputs!$B$19*(1+Inputs!$B$18)^(L$7-1)</f>
        <v>940.5</v>
      </c>
      <c r="M21" s="67" t="n">
        <f aca="false">M15*Inputs!$B$19*(1+Inputs!$B$18)^(M$7-1)</f>
        <v>1003.2</v>
      </c>
      <c r="N21" s="67" t="n">
        <f aca="false">N15*Inputs!$B$19*(1+Inputs!$B$18)^(N$7-1)</f>
        <v>1065.9</v>
      </c>
      <c r="O21" s="67" t="n">
        <f aca="false">O15*Inputs!$B$19*(1+Inputs!$B$18)^(O$7-1)</f>
        <v>1139.886</v>
      </c>
      <c r="P21" s="67" t="n">
        <f aca="false">P15*Inputs!$B$19*(1+Inputs!$B$18)^(P$7-1)</f>
        <v>1203.213</v>
      </c>
      <c r="Q21" s="67" t="n">
        <f aca="false">Q15*Inputs!$B$19*(1+Inputs!$B$18)^(Q$7-1)</f>
        <v>1266.54</v>
      </c>
      <c r="R21" s="67" t="n">
        <f aca="false">R15*Inputs!$B$19*(1+Inputs!$B$18)^(R$7-1)</f>
        <v>1266.54</v>
      </c>
      <c r="S21" s="67" t="n">
        <f aca="false">S15*Inputs!$B$19*(1+Inputs!$B$18)^(S$7-1)</f>
        <v>1266.54</v>
      </c>
      <c r="T21" s="67" t="n">
        <f aca="false">T15*Inputs!$B$19*(1+Inputs!$B$18)^(T$7-1)</f>
        <v>1727.1</v>
      </c>
      <c r="U21" s="67" t="n">
        <f aca="false">U15*Inputs!$B$19*(1+Inputs!$B$18)^(U$7-1)</f>
        <v>1727.1</v>
      </c>
      <c r="V21" s="67" t="n">
        <f aca="false">V15*Inputs!$B$19*(1+Inputs!$B$18)^(V$7-1)</f>
        <v>1727.1</v>
      </c>
      <c r="W21" s="67" t="n">
        <f aca="false">W15*Inputs!$B$19*(1+Inputs!$B$18)^(W$7-1)</f>
        <v>1266.54</v>
      </c>
      <c r="X21" s="67" t="n">
        <f aca="false">X15*Inputs!$B$19*(1+Inputs!$B$18)^(X$7-1)</f>
        <v>1266.54</v>
      </c>
      <c r="Y21" s="67" t="n">
        <f aca="false">Y15*Inputs!$B$19*(1+Inputs!$B$18)^(Y$7-1)</f>
        <v>1266.54</v>
      </c>
      <c r="Z21" s="67" t="n">
        <f aca="false">Z15*Inputs!$B$19*(1+Inputs!$B$18)^(Z$7-1)</f>
        <v>1266.54</v>
      </c>
      <c r="AA21" s="67" t="n">
        <f aca="false">AA15*Inputs!$B$19*(1+Inputs!$B$18)^(AA$7-1)</f>
        <v>1279.2054</v>
      </c>
      <c r="AB21" s="67" t="n">
        <f aca="false">AB15*Inputs!$B$19*(1+Inputs!$B$18)^(AB$7-1)</f>
        <v>1279.2054</v>
      </c>
      <c r="AC21" s="67" t="n">
        <f aca="false">AC15*Inputs!$B$19*(1+Inputs!$B$18)^(AC$7-1)</f>
        <v>1279.2054</v>
      </c>
      <c r="AD21" s="67" t="n">
        <f aca="false">AD15*Inputs!$B$19*(1+Inputs!$B$18)^(AD$7-1)</f>
        <v>1279.2054</v>
      </c>
      <c r="AE21" s="67" t="n">
        <f aca="false">AE15*Inputs!$B$19*(1+Inputs!$B$18)^(AE$7-1)</f>
        <v>1279.2054</v>
      </c>
      <c r="AF21" s="67" t="n">
        <f aca="false">AF15*Inputs!$B$19*(1+Inputs!$B$18)^(AF$7-1)</f>
        <v>1744.371</v>
      </c>
      <c r="AG21" s="67" t="n">
        <f aca="false">AG15*Inputs!$B$19*(1+Inputs!$B$18)^(AG$7-1)</f>
        <v>1744.371</v>
      </c>
      <c r="AH21" s="67" t="n">
        <f aca="false">AH15*Inputs!$B$19*(1+Inputs!$B$18)^(AH$7-1)</f>
        <v>1744.371</v>
      </c>
      <c r="AI21" s="67" t="n">
        <f aca="false">AI15*Inputs!$B$19*(1+Inputs!$B$18)^(AI$7-1)</f>
        <v>1279.2054</v>
      </c>
      <c r="AJ21" s="67" t="n">
        <f aca="false">AJ15*Inputs!$B$19*(1+Inputs!$B$18)^(AJ$7-1)</f>
        <v>1279.2054</v>
      </c>
      <c r="AK21" s="67" t="n">
        <f aca="false">AK15*Inputs!$B$19*(1+Inputs!$B$18)^(AK$7-1)</f>
        <v>1279.2054</v>
      </c>
      <c r="AL21" s="67" t="n">
        <f aca="false">AL15*Inputs!$B$19*(1+Inputs!$B$18)^(AL$7-1)</f>
        <v>1279.2054</v>
      </c>
      <c r="AM21" s="67" t="n">
        <f aca="false">AM15*Inputs!$B$19*(1+Inputs!$B$18)^(AM$7-1)</f>
        <v>1291.997454</v>
      </c>
      <c r="AN21" s="67" t="n">
        <f aca="false">AN15*Inputs!$B$19*(1+Inputs!$B$18)^(AN$7-1)</f>
        <v>1291.997454</v>
      </c>
      <c r="AO21" s="67" t="n">
        <f aca="false">AO15*Inputs!$B$19*(1+Inputs!$B$18)^(AO$7-1)</f>
        <v>1291.997454</v>
      </c>
      <c r="AP21" s="67" t="n">
        <f aca="false">AP15*Inputs!$B$19*(1+Inputs!$B$18)^(AP$7-1)</f>
        <v>1291.997454</v>
      </c>
      <c r="AQ21" s="67" t="n">
        <f aca="false">AQ15*Inputs!$B$19*(1+Inputs!$B$18)^(AQ$7-1)</f>
        <v>1291.997454</v>
      </c>
      <c r="AR21" s="67" t="n">
        <f aca="false">AR15*Inputs!$B$19*(1+Inputs!$B$18)^(AR$7-1)</f>
        <v>1761.81471</v>
      </c>
      <c r="AS21" s="67" t="n">
        <f aca="false">AS15*Inputs!$B$19*(1+Inputs!$B$18)^(AS$7-1)</f>
        <v>1761.81471</v>
      </c>
      <c r="AT21" s="67" t="n">
        <f aca="false">AT15*Inputs!$B$19*(1+Inputs!$B$18)^(AT$7-1)</f>
        <v>1761.81471</v>
      </c>
      <c r="AU21" s="67" t="n">
        <f aca="false">AU15*Inputs!$B$19*(1+Inputs!$B$18)^(AU$7-1)</f>
        <v>1291.997454</v>
      </c>
      <c r="AV21" s="67" t="n">
        <f aca="false">AV15*Inputs!$B$19*(1+Inputs!$B$18)^(AV$7-1)</f>
        <v>1291.997454</v>
      </c>
      <c r="AW21" s="67" t="n">
        <f aca="false">AW15*Inputs!$B$19*(1+Inputs!$B$18)^(AW$7-1)</f>
        <v>1291.997454</v>
      </c>
      <c r="AX21" s="67" t="n">
        <f aca="false">AX15*Inputs!$B$19*(1+Inputs!$B$18)^(AX$7-1)</f>
        <v>1291.997454</v>
      </c>
      <c r="AY21" s="67" t="n">
        <f aca="false">AY15*Inputs!$B$19*(1+Inputs!$B$18)^(AY$7-1)</f>
        <v>1304.91742854</v>
      </c>
      <c r="AZ21" s="67" t="n">
        <f aca="false">AZ15*Inputs!$B$19*(1+Inputs!$B$18)^(AZ$7-1)</f>
        <v>1304.91742854</v>
      </c>
      <c r="BA21" s="67" t="n">
        <f aca="false">BA15*Inputs!$B$19*(1+Inputs!$B$18)^(BA$7-1)</f>
        <v>1304.91742854</v>
      </c>
      <c r="BB21" s="67" t="n">
        <f aca="false">BB15*Inputs!$B$19*(1+Inputs!$B$18)^(BB$7-1)</f>
        <v>1304.91742854</v>
      </c>
      <c r="BC21" s="67" t="n">
        <f aca="false">BC15*Inputs!$B$19*(1+Inputs!$B$18)^(BC$7-1)</f>
        <v>1304.91742854</v>
      </c>
      <c r="BD21" s="67" t="n">
        <f aca="false">BD15*Inputs!$B$19*(1+Inputs!$B$18)^(BD$7-1)</f>
        <v>1779.4328571</v>
      </c>
      <c r="BE21" s="67" t="n">
        <f aca="false">BE15*Inputs!$B$19*(1+Inputs!$B$18)^(BE$7-1)</f>
        <v>1779.4328571</v>
      </c>
      <c r="BF21" s="67" t="n">
        <f aca="false">BF15*Inputs!$B$19*(1+Inputs!$B$18)^(BF$7-1)</f>
        <v>1779.4328571</v>
      </c>
      <c r="BG21" s="67" t="n">
        <f aca="false">BG15*Inputs!$B$19*(1+Inputs!$B$18)^(BG$7-1)</f>
        <v>1304.91742854</v>
      </c>
      <c r="BH21" s="67" t="n">
        <f aca="false">BH15*Inputs!$B$19*(1+Inputs!$B$18)^(BH$7-1)</f>
        <v>1304.91742854</v>
      </c>
      <c r="BI21" s="67" t="n">
        <f aca="false">BI15*Inputs!$B$19*(1+Inputs!$B$18)^(BI$7-1)</f>
        <v>1304.91742854</v>
      </c>
      <c r="BJ21" s="67" t="n">
        <f aca="false">BJ15*Inputs!$B$19*(1+Inputs!$B$18)^(BJ$7-1)</f>
        <v>1304.91742854</v>
      </c>
    </row>
    <row r="22" customFormat="false" ht="15" hidden="false" customHeight="false" outlineLevel="0" collapsed="false">
      <c r="A22" s="111" t="s">
        <v>44</v>
      </c>
      <c r="C22" s="68" t="n">
        <f aca="false">C20+C21</f>
        <v>6019.2</v>
      </c>
      <c r="D22" s="68" t="n">
        <f aca="false">D20+D21</f>
        <v>7022.4</v>
      </c>
      <c r="E22" s="68" t="n">
        <f aca="false">E20+E21</f>
        <v>8025.6</v>
      </c>
      <c r="F22" s="68" t="n">
        <f aca="false">F20+F21</f>
        <v>9028.8</v>
      </c>
      <c r="G22" s="68" t="n">
        <f aca="false">G20+G21</f>
        <v>10032</v>
      </c>
      <c r="H22" s="68" t="n">
        <f aca="false">H20+H21</f>
        <v>15048</v>
      </c>
      <c r="I22" s="68" t="n">
        <f aca="false">I20+I21</f>
        <v>16416</v>
      </c>
      <c r="J22" s="68" t="n">
        <f aca="false">J20+J21</f>
        <v>17784</v>
      </c>
      <c r="K22" s="68" t="n">
        <f aca="false">K20+K21</f>
        <v>14044.8</v>
      </c>
      <c r="L22" s="68" t="n">
        <f aca="false">L20+L21</f>
        <v>15048</v>
      </c>
      <c r="M22" s="68" t="n">
        <f aca="false">M20+M21</f>
        <v>16051.2</v>
      </c>
      <c r="N22" s="68" t="n">
        <f aca="false">N20+N21</f>
        <v>17054.4</v>
      </c>
      <c r="O22" s="68" t="n">
        <f aca="false">O20+O21</f>
        <v>18238.176</v>
      </c>
      <c r="P22" s="68" t="n">
        <f aca="false">P20+P21</f>
        <v>19251.408</v>
      </c>
      <c r="Q22" s="68" t="n">
        <f aca="false">Q20+Q21</f>
        <v>20264.64</v>
      </c>
      <c r="R22" s="68" t="n">
        <f aca="false">R20+R21</f>
        <v>20264.64</v>
      </c>
      <c r="S22" s="68" t="n">
        <f aca="false">S20+S21</f>
        <v>20264.64</v>
      </c>
      <c r="T22" s="68" t="n">
        <f aca="false">T20+T21</f>
        <v>27633.6</v>
      </c>
      <c r="U22" s="68" t="n">
        <f aca="false">U20+U21</f>
        <v>27633.6</v>
      </c>
      <c r="V22" s="68" t="n">
        <f aca="false">V20+V21</f>
        <v>27633.6</v>
      </c>
      <c r="W22" s="68" t="n">
        <f aca="false">W20+W21</f>
        <v>20264.64</v>
      </c>
      <c r="X22" s="68" t="n">
        <f aca="false">X20+X21</f>
        <v>20264.64</v>
      </c>
      <c r="Y22" s="68" t="n">
        <f aca="false">Y20+Y21</f>
        <v>20264.64</v>
      </c>
      <c r="Z22" s="68" t="n">
        <f aca="false">Z20+Z21</f>
        <v>20264.64</v>
      </c>
      <c r="AA22" s="68" t="n">
        <f aca="false">AA20+AA21</f>
        <v>20467.2864</v>
      </c>
      <c r="AB22" s="68" t="n">
        <f aca="false">AB20+AB21</f>
        <v>20467.2864</v>
      </c>
      <c r="AC22" s="68" t="n">
        <f aca="false">AC20+AC21</f>
        <v>20467.2864</v>
      </c>
      <c r="AD22" s="68" t="n">
        <f aca="false">AD20+AD21</f>
        <v>20467.2864</v>
      </c>
      <c r="AE22" s="68" t="n">
        <f aca="false">AE20+AE21</f>
        <v>20467.2864</v>
      </c>
      <c r="AF22" s="68" t="n">
        <f aca="false">AF20+AF21</f>
        <v>27909.936</v>
      </c>
      <c r="AG22" s="68" t="n">
        <f aca="false">AG20+AG21</f>
        <v>27909.936</v>
      </c>
      <c r="AH22" s="68" t="n">
        <f aca="false">AH20+AH21</f>
        <v>27909.936</v>
      </c>
      <c r="AI22" s="68" t="n">
        <f aca="false">AI20+AI21</f>
        <v>20467.2864</v>
      </c>
      <c r="AJ22" s="68" t="n">
        <f aca="false">AJ20+AJ21</f>
        <v>20467.2864</v>
      </c>
      <c r="AK22" s="68" t="n">
        <f aca="false">AK20+AK21</f>
        <v>20467.2864</v>
      </c>
      <c r="AL22" s="68" t="n">
        <f aca="false">AL20+AL21</f>
        <v>20467.2864</v>
      </c>
      <c r="AM22" s="68" t="n">
        <f aca="false">AM20+AM21</f>
        <v>20671.959264</v>
      </c>
      <c r="AN22" s="68" t="n">
        <f aca="false">AN20+AN21</f>
        <v>20671.959264</v>
      </c>
      <c r="AO22" s="68" t="n">
        <f aca="false">AO20+AO21</f>
        <v>20671.959264</v>
      </c>
      <c r="AP22" s="68" t="n">
        <f aca="false">AP20+AP21</f>
        <v>20671.959264</v>
      </c>
      <c r="AQ22" s="68" t="n">
        <f aca="false">AQ20+AQ21</f>
        <v>20671.959264</v>
      </c>
      <c r="AR22" s="68" t="n">
        <f aca="false">AR20+AR21</f>
        <v>28189.03536</v>
      </c>
      <c r="AS22" s="68" t="n">
        <f aca="false">AS20+AS21</f>
        <v>28189.03536</v>
      </c>
      <c r="AT22" s="68" t="n">
        <f aca="false">AT20+AT21</f>
        <v>28189.03536</v>
      </c>
      <c r="AU22" s="68" t="n">
        <f aca="false">AU20+AU21</f>
        <v>20671.959264</v>
      </c>
      <c r="AV22" s="68" t="n">
        <f aca="false">AV20+AV21</f>
        <v>20671.959264</v>
      </c>
      <c r="AW22" s="68" t="n">
        <f aca="false">AW20+AW21</f>
        <v>20671.959264</v>
      </c>
      <c r="AX22" s="68" t="n">
        <f aca="false">AX20+AX21</f>
        <v>20671.959264</v>
      </c>
      <c r="AY22" s="68" t="n">
        <f aca="false">AY20+AY21</f>
        <v>20878.67885664</v>
      </c>
      <c r="AZ22" s="68" t="n">
        <f aca="false">AZ20+AZ21</f>
        <v>20878.67885664</v>
      </c>
      <c r="BA22" s="68" t="n">
        <f aca="false">BA20+BA21</f>
        <v>20878.67885664</v>
      </c>
      <c r="BB22" s="68" t="n">
        <f aca="false">BB20+BB21</f>
        <v>20878.67885664</v>
      </c>
      <c r="BC22" s="68" t="n">
        <f aca="false">BC20+BC21</f>
        <v>20878.67885664</v>
      </c>
      <c r="BD22" s="68" t="n">
        <f aca="false">BD20+BD21</f>
        <v>28470.9257136</v>
      </c>
      <c r="BE22" s="68" t="n">
        <f aca="false">BE20+BE21</f>
        <v>28470.9257136</v>
      </c>
      <c r="BF22" s="68" t="n">
        <f aca="false">BF20+BF21</f>
        <v>28470.9257136</v>
      </c>
      <c r="BG22" s="68" t="n">
        <f aca="false">BG20+BG21</f>
        <v>20878.67885664</v>
      </c>
      <c r="BH22" s="68" t="n">
        <f aca="false">BH20+BH21</f>
        <v>20878.67885664</v>
      </c>
      <c r="BI22" s="68" t="n">
        <f aca="false">BI20+BI21</f>
        <v>20878.67885664</v>
      </c>
      <c r="BJ22" s="68" t="n">
        <f aca="false">BJ20+BJ21</f>
        <v>20878.67885664</v>
      </c>
    </row>
    <row r="24" customFormat="false" ht="15.75" hidden="false" customHeight="true" outlineLevel="0" collapsed="false">
      <c r="A24" s="7" t="s">
        <v>76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413</v>
      </c>
      <c r="C25" s="67" t="n">
        <f aca="false">C118</f>
        <v>-4600</v>
      </c>
      <c r="D25" s="67" t="n">
        <f aca="false">D118</f>
        <v>-4600</v>
      </c>
      <c r="E25" s="67" t="n">
        <f aca="false">E118</f>
        <v>-4600</v>
      </c>
      <c r="F25" s="67" t="n">
        <f aca="false">F118</f>
        <v>-4600</v>
      </c>
      <c r="G25" s="67" t="n">
        <f aca="false">G118</f>
        <v>-4600</v>
      </c>
      <c r="H25" s="67" t="n">
        <f aca="false">H118</f>
        <v>-4600</v>
      </c>
      <c r="I25" s="67" t="n">
        <f aca="false">I118</f>
        <v>-4600</v>
      </c>
      <c r="J25" s="67" t="n">
        <f aca="false">J118</f>
        <v>-4600</v>
      </c>
      <c r="K25" s="67" t="n">
        <f aca="false">K118</f>
        <v>-4600</v>
      </c>
      <c r="L25" s="67" t="n">
        <f aca="false">L118</f>
        <v>-4600</v>
      </c>
      <c r="M25" s="67" t="n">
        <f aca="false">M118</f>
        <v>-4600</v>
      </c>
      <c r="N25" s="67" t="n">
        <f aca="false">N118</f>
        <v>-4600</v>
      </c>
      <c r="O25" s="67" t="n">
        <f aca="false">O118</f>
        <v>-4784</v>
      </c>
      <c r="P25" s="67" t="n">
        <f aca="false">P118</f>
        <v>-4784</v>
      </c>
      <c r="Q25" s="67" t="n">
        <f aca="false">Q118</f>
        <v>-4784</v>
      </c>
      <c r="R25" s="67" t="n">
        <f aca="false">R118</f>
        <v>-4784</v>
      </c>
      <c r="S25" s="67" t="n">
        <f aca="false">S118</f>
        <v>-4784</v>
      </c>
      <c r="T25" s="67" t="n">
        <f aca="false">T118</f>
        <v>-4784</v>
      </c>
      <c r="U25" s="67" t="n">
        <f aca="false">U118</f>
        <v>-4784</v>
      </c>
      <c r="V25" s="67" t="n">
        <f aca="false">V118</f>
        <v>-4784</v>
      </c>
      <c r="W25" s="67" t="n">
        <f aca="false">W118</f>
        <v>-4784</v>
      </c>
      <c r="X25" s="67" t="n">
        <f aca="false">X118</f>
        <v>-4784</v>
      </c>
      <c r="Y25" s="67" t="n">
        <f aca="false">Y118</f>
        <v>-4784</v>
      </c>
      <c r="Z25" s="67" t="n">
        <f aca="false">Z118</f>
        <v>-4784</v>
      </c>
      <c r="AA25" s="67" t="n">
        <f aca="false">AA118</f>
        <v>-4975.36</v>
      </c>
      <c r="AB25" s="67" t="n">
        <f aca="false">AB118</f>
        <v>-4975.36</v>
      </c>
      <c r="AC25" s="67" t="n">
        <f aca="false">AC118</f>
        <v>-4975.36</v>
      </c>
      <c r="AD25" s="67" t="n">
        <f aca="false">AD118</f>
        <v>-4975.36</v>
      </c>
      <c r="AE25" s="67" t="n">
        <f aca="false">AE118</f>
        <v>-4975.36</v>
      </c>
      <c r="AF25" s="67" t="n">
        <f aca="false">AF118</f>
        <v>-4975.36</v>
      </c>
      <c r="AG25" s="67" t="n">
        <f aca="false">AG118</f>
        <v>-4975.36</v>
      </c>
      <c r="AH25" s="67" t="n">
        <f aca="false">AH118</f>
        <v>-4975.36</v>
      </c>
      <c r="AI25" s="67" t="n">
        <f aca="false">AI118</f>
        <v>-4975.36</v>
      </c>
      <c r="AJ25" s="67" t="n">
        <f aca="false">AJ118</f>
        <v>-4975.36</v>
      </c>
      <c r="AK25" s="67" t="n">
        <f aca="false">AK118</f>
        <v>-4975.36</v>
      </c>
      <c r="AL25" s="67" t="n">
        <f aca="false">AL118</f>
        <v>-4975.36</v>
      </c>
      <c r="AM25" s="67" t="n">
        <f aca="false">AM118</f>
        <v>-5174.3744</v>
      </c>
      <c r="AN25" s="67" t="n">
        <f aca="false">AN118</f>
        <v>-5174.3744</v>
      </c>
      <c r="AO25" s="67" t="n">
        <f aca="false">AO118</f>
        <v>-5174.3744</v>
      </c>
      <c r="AP25" s="67" t="n">
        <f aca="false">AP118</f>
        <v>-5174.3744</v>
      </c>
      <c r="AQ25" s="67" t="n">
        <f aca="false">AQ118</f>
        <v>-5174.3744</v>
      </c>
      <c r="AR25" s="67" t="n">
        <f aca="false">AR118</f>
        <v>-5174.3744</v>
      </c>
      <c r="AS25" s="67" t="n">
        <f aca="false">AS118</f>
        <v>-5174.3744</v>
      </c>
      <c r="AT25" s="67" t="n">
        <f aca="false">AT118</f>
        <v>-5174.3744</v>
      </c>
      <c r="AU25" s="67" t="n">
        <f aca="false">AU118</f>
        <v>-5174.3744</v>
      </c>
      <c r="AV25" s="67" t="n">
        <f aca="false">AV118</f>
        <v>-5174.3744</v>
      </c>
      <c r="AW25" s="67" t="n">
        <f aca="false">AW118</f>
        <v>-5174.3744</v>
      </c>
      <c r="AX25" s="67" t="n">
        <f aca="false">AX118</f>
        <v>-5174.3744</v>
      </c>
      <c r="AY25" s="67" t="n">
        <f aca="false">AY118</f>
        <v>-5381.349376</v>
      </c>
      <c r="AZ25" s="67" t="n">
        <f aca="false">AZ118</f>
        <v>-5381.349376</v>
      </c>
      <c r="BA25" s="67" t="n">
        <f aca="false">BA118</f>
        <v>-5381.349376</v>
      </c>
      <c r="BB25" s="67" t="n">
        <f aca="false">BB118</f>
        <v>-5381.349376</v>
      </c>
      <c r="BC25" s="67" t="n">
        <f aca="false">BC118</f>
        <v>-5381.349376</v>
      </c>
      <c r="BD25" s="67" t="n">
        <f aca="false">BD118</f>
        <v>-5381.349376</v>
      </c>
      <c r="BE25" s="67" t="n">
        <f aca="false">BE118</f>
        <v>-5381.349376</v>
      </c>
      <c r="BF25" s="67" t="n">
        <f aca="false">BF118</f>
        <v>-5381.349376</v>
      </c>
      <c r="BG25" s="67" t="n">
        <f aca="false">BG118</f>
        <v>-5381.349376</v>
      </c>
      <c r="BH25" s="67" t="n">
        <f aca="false">BH118</f>
        <v>-5381.349376</v>
      </c>
      <c r="BI25" s="67" t="n">
        <f aca="false">BI118</f>
        <v>-5381.349376</v>
      </c>
      <c r="BJ25" s="67" t="n">
        <f aca="false">BJ118</f>
        <v>-5381.349376</v>
      </c>
    </row>
    <row r="26" customFormat="false" ht="15" hidden="false" customHeight="false" outlineLevel="0" collapsed="false">
      <c r="A26" s="6" t="s">
        <v>414</v>
      </c>
      <c r="C26" s="67" t="n">
        <f aca="false">-C20*Inputs!$B$25*Inputs!$B$26</f>
        <v>-623.5515</v>
      </c>
      <c r="D26" s="67" t="n">
        <f aca="false">-D20*Inputs!$B$25*Inputs!$B$26</f>
        <v>-727.47675</v>
      </c>
      <c r="E26" s="67" t="n">
        <f aca="false">-E20*Inputs!$B$25*Inputs!$B$26</f>
        <v>-831.402</v>
      </c>
      <c r="F26" s="67" t="n">
        <f aca="false">-F20*Inputs!$B$25*Inputs!$B$26</f>
        <v>-935.32725</v>
      </c>
      <c r="G26" s="67" t="n">
        <f aca="false">-G20*Inputs!$B$25*Inputs!$B$26</f>
        <v>-1039.2525</v>
      </c>
      <c r="H26" s="67" t="n">
        <f aca="false">-H20*Inputs!$B$25*Inputs!$B$26</f>
        <v>-1558.87875</v>
      </c>
      <c r="I26" s="67" t="n">
        <f aca="false">-I20*Inputs!$B$25*Inputs!$B$26</f>
        <v>-1700.595</v>
      </c>
      <c r="J26" s="67" t="n">
        <f aca="false">-J20*Inputs!$B$25*Inputs!$B$26</f>
        <v>-1842.31125</v>
      </c>
      <c r="K26" s="67" t="n">
        <f aca="false">-K20*Inputs!$B$25*Inputs!$B$26</f>
        <v>-1454.9535</v>
      </c>
      <c r="L26" s="67" t="n">
        <f aca="false">-L20*Inputs!$B$25*Inputs!$B$26</f>
        <v>-1558.87875</v>
      </c>
      <c r="M26" s="67" t="n">
        <f aca="false">-M20*Inputs!$B$25*Inputs!$B$26</f>
        <v>-1662.804</v>
      </c>
      <c r="N26" s="67" t="n">
        <f aca="false">-N20*Inputs!$B$25*Inputs!$B$26</f>
        <v>-1766.72925</v>
      </c>
      <c r="O26" s="67" t="n">
        <f aca="false">-O20*Inputs!$B$25*Inputs!$B$26</f>
        <v>-1889.361045</v>
      </c>
      <c r="P26" s="67" t="n">
        <f aca="false">-P20*Inputs!$B$25*Inputs!$B$26</f>
        <v>-1994.3255475</v>
      </c>
      <c r="Q26" s="67" t="n">
        <f aca="false">-Q20*Inputs!$B$25*Inputs!$B$26</f>
        <v>-2099.29005</v>
      </c>
      <c r="R26" s="67" t="n">
        <f aca="false">-R20*Inputs!$B$25*Inputs!$B$26</f>
        <v>-2099.29005</v>
      </c>
      <c r="S26" s="67" t="n">
        <f aca="false">-S20*Inputs!$B$25*Inputs!$B$26</f>
        <v>-2099.29005</v>
      </c>
      <c r="T26" s="67" t="n">
        <f aca="false">-T20*Inputs!$B$25*Inputs!$B$26</f>
        <v>-2862.66825</v>
      </c>
      <c r="U26" s="67" t="n">
        <f aca="false">-U20*Inputs!$B$25*Inputs!$B$26</f>
        <v>-2862.66825</v>
      </c>
      <c r="V26" s="67" t="n">
        <f aca="false">-V20*Inputs!$B$25*Inputs!$B$26</f>
        <v>-2862.66825</v>
      </c>
      <c r="W26" s="67" t="n">
        <f aca="false">-W20*Inputs!$B$25*Inputs!$B$26</f>
        <v>-2099.29005</v>
      </c>
      <c r="X26" s="67" t="n">
        <f aca="false">-X20*Inputs!$B$25*Inputs!$B$26</f>
        <v>-2099.29005</v>
      </c>
      <c r="Y26" s="67" t="n">
        <f aca="false">-Y20*Inputs!$B$25*Inputs!$B$26</f>
        <v>-2099.29005</v>
      </c>
      <c r="Z26" s="67" t="n">
        <f aca="false">-Z20*Inputs!$B$25*Inputs!$B$26</f>
        <v>-2099.29005</v>
      </c>
      <c r="AA26" s="67" t="n">
        <f aca="false">-AA20*Inputs!$B$25*Inputs!$B$26</f>
        <v>-2120.2829505</v>
      </c>
      <c r="AB26" s="67" t="n">
        <f aca="false">-AB20*Inputs!$B$25*Inputs!$B$26</f>
        <v>-2120.2829505</v>
      </c>
      <c r="AC26" s="67" t="n">
        <f aca="false">-AC20*Inputs!$B$25*Inputs!$B$26</f>
        <v>-2120.2829505</v>
      </c>
      <c r="AD26" s="67" t="n">
        <f aca="false">-AD20*Inputs!$B$25*Inputs!$B$26</f>
        <v>-2120.2829505</v>
      </c>
      <c r="AE26" s="67" t="n">
        <f aca="false">-AE20*Inputs!$B$25*Inputs!$B$26</f>
        <v>-2120.2829505</v>
      </c>
      <c r="AF26" s="67" t="n">
        <f aca="false">-AF20*Inputs!$B$25*Inputs!$B$26</f>
        <v>-2891.2949325</v>
      </c>
      <c r="AG26" s="67" t="n">
        <f aca="false">-AG20*Inputs!$B$25*Inputs!$B$26</f>
        <v>-2891.2949325</v>
      </c>
      <c r="AH26" s="67" t="n">
        <f aca="false">-AH20*Inputs!$B$25*Inputs!$B$26</f>
        <v>-2891.2949325</v>
      </c>
      <c r="AI26" s="67" t="n">
        <f aca="false">-AI20*Inputs!$B$25*Inputs!$B$26</f>
        <v>-2120.2829505</v>
      </c>
      <c r="AJ26" s="67" t="n">
        <f aca="false">-AJ20*Inputs!$B$25*Inputs!$B$26</f>
        <v>-2120.2829505</v>
      </c>
      <c r="AK26" s="67" t="n">
        <f aca="false">-AK20*Inputs!$B$25*Inputs!$B$26</f>
        <v>-2120.2829505</v>
      </c>
      <c r="AL26" s="67" t="n">
        <f aca="false">-AL20*Inputs!$B$25*Inputs!$B$26</f>
        <v>-2120.2829505</v>
      </c>
      <c r="AM26" s="67" t="n">
        <f aca="false">-AM20*Inputs!$B$25*Inputs!$B$26</f>
        <v>-2141.485780005</v>
      </c>
      <c r="AN26" s="67" t="n">
        <f aca="false">-AN20*Inputs!$B$25*Inputs!$B$26</f>
        <v>-2141.485780005</v>
      </c>
      <c r="AO26" s="67" t="n">
        <f aca="false">-AO20*Inputs!$B$25*Inputs!$B$26</f>
        <v>-2141.485780005</v>
      </c>
      <c r="AP26" s="67" t="n">
        <f aca="false">-AP20*Inputs!$B$25*Inputs!$B$26</f>
        <v>-2141.485780005</v>
      </c>
      <c r="AQ26" s="67" t="n">
        <f aca="false">-AQ20*Inputs!$B$25*Inputs!$B$26</f>
        <v>-2141.485780005</v>
      </c>
      <c r="AR26" s="67" t="n">
        <f aca="false">-AR20*Inputs!$B$25*Inputs!$B$26</f>
        <v>-2920.207881825</v>
      </c>
      <c r="AS26" s="67" t="n">
        <f aca="false">-AS20*Inputs!$B$25*Inputs!$B$26</f>
        <v>-2920.207881825</v>
      </c>
      <c r="AT26" s="67" t="n">
        <f aca="false">-AT20*Inputs!$B$25*Inputs!$B$26</f>
        <v>-2920.207881825</v>
      </c>
      <c r="AU26" s="67" t="n">
        <f aca="false">-AU20*Inputs!$B$25*Inputs!$B$26</f>
        <v>-2141.485780005</v>
      </c>
      <c r="AV26" s="67" t="n">
        <f aca="false">-AV20*Inputs!$B$25*Inputs!$B$26</f>
        <v>-2141.485780005</v>
      </c>
      <c r="AW26" s="67" t="n">
        <f aca="false">-AW20*Inputs!$B$25*Inputs!$B$26</f>
        <v>-2141.485780005</v>
      </c>
      <c r="AX26" s="67" t="n">
        <f aca="false">-AX20*Inputs!$B$25*Inputs!$B$26</f>
        <v>-2141.485780005</v>
      </c>
      <c r="AY26" s="67" t="n">
        <f aca="false">-AY20*Inputs!$B$25*Inputs!$B$26</f>
        <v>-2162.90063780505</v>
      </c>
      <c r="AZ26" s="67" t="n">
        <f aca="false">-AZ20*Inputs!$B$25*Inputs!$B$26</f>
        <v>-2162.90063780505</v>
      </c>
      <c r="BA26" s="67" t="n">
        <f aca="false">-BA20*Inputs!$B$25*Inputs!$B$26</f>
        <v>-2162.90063780505</v>
      </c>
      <c r="BB26" s="67" t="n">
        <f aca="false">-BB20*Inputs!$B$25*Inputs!$B$26</f>
        <v>-2162.90063780505</v>
      </c>
      <c r="BC26" s="67" t="n">
        <f aca="false">-BC20*Inputs!$B$25*Inputs!$B$26</f>
        <v>-2162.90063780505</v>
      </c>
      <c r="BD26" s="67" t="n">
        <f aca="false">-BD20*Inputs!$B$25*Inputs!$B$26</f>
        <v>-2949.40996064325</v>
      </c>
      <c r="BE26" s="67" t="n">
        <f aca="false">-BE20*Inputs!$B$25*Inputs!$B$26</f>
        <v>-2949.40996064325</v>
      </c>
      <c r="BF26" s="67" t="n">
        <f aca="false">-BF20*Inputs!$B$25*Inputs!$B$26</f>
        <v>-2949.40996064325</v>
      </c>
      <c r="BG26" s="67" t="n">
        <f aca="false">-BG20*Inputs!$B$25*Inputs!$B$26</f>
        <v>-2162.90063780505</v>
      </c>
      <c r="BH26" s="67" t="n">
        <f aca="false">-BH20*Inputs!$B$25*Inputs!$B$26</f>
        <v>-2162.90063780505</v>
      </c>
      <c r="BI26" s="67" t="n">
        <f aca="false">-BI20*Inputs!$B$25*Inputs!$B$26</f>
        <v>-2162.90063780505</v>
      </c>
      <c r="BJ26" s="67" t="n">
        <f aca="false">-BJ20*Inputs!$B$25*Inputs!$B$26</f>
        <v>-2162.90063780505</v>
      </c>
    </row>
    <row r="27" customFormat="false" ht="15" hidden="false" customHeight="false" outlineLevel="0" collapsed="false">
      <c r="A27" s="6" t="s">
        <v>415</v>
      </c>
      <c r="C27" s="67" t="n">
        <f aca="false">-C21*Inputs!$B$22</f>
        <v>-206.91</v>
      </c>
      <c r="D27" s="67" t="n">
        <f aca="false">-D21*Inputs!$B$22</f>
        <v>-241.395</v>
      </c>
      <c r="E27" s="67" t="n">
        <f aca="false">-E21*Inputs!$B$22</f>
        <v>-275.88</v>
      </c>
      <c r="F27" s="67" t="n">
        <f aca="false">-F21*Inputs!$B$22</f>
        <v>-310.365</v>
      </c>
      <c r="G27" s="67" t="n">
        <f aca="false">-G21*Inputs!$B$22</f>
        <v>-344.85</v>
      </c>
      <c r="H27" s="67" t="n">
        <f aca="false">-H21*Inputs!$B$22</f>
        <v>-517.275</v>
      </c>
      <c r="I27" s="67" t="n">
        <f aca="false">-I21*Inputs!$B$22</f>
        <v>-564.3</v>
      </c>
      <c r="J27" s="67" t="n">
        <f aca="false">-J21*Inputs!$B$22</f>
        <v>-611.325</v>
      </c>
      <c r="K27" s="67" t="n">
        <f aca="false">-K21*Inputs!$B$22</f>
        <v>-482.79</v>
      </c>
      <c r="L27" s="67" t="n">
        <f aca="false">-L21*Inputs!$B$22</f>
        <v>-517.275</v>
      </c>
      <c r="M27" s="67" t="n">
        <f aca="false">-M21*Inputs!$B$22</f>
        <v>-551.76</v>
      </c>
      <c r="N27" s="67" t="n">
        <f aca="false">-N21*Inputs!$B$22</f>
        <v>-586.245</v>
      </c>
      <c r="O27" s="67" t="n">
        <f aca="false">-O21*Inputs!$B$22</f>
        <v>-626.9373</v>
      </c>
      <c r="P27" s="67" t="n">
        <f aca="false">-P21*Inputs!$B$22</f>
        <v>-661.76715</v>
      </c>
      <c r="Q27" s="67" t="n">
        <f aca="false">-Q21*Inputs!$B$22</f>
        <v>-696.597</v>
      </c>
      <c r="R27" s="67" t="n">
        <f aca="false">-R21*Inputs!$B$22</f>
        <v>-696.597</v>
      </c>
      <c r="S27" s="67" t="n">
        <f aca="false">-S21*Inputs!$B$22</f>
        <v>-696.597</v>
      </c>
      <c r="T27" s="67" t="n">
        <f aca="false">-T21*Inputs!$B$22</f>
        <v>-949.905</v>
      </c>
      <c r="U27" s="67" t="n">
        <f aca="false">-U21*Inputs!$B$22</f>
        <v>-949.905</v>
      </c>
      <c r="V27" s="67" t="n">
        <f aca="false">-V21*Inputs!$B$22</f>
        <v>-949.905</v>
      </c>
      <c r="W27" s="67" t="n">
        <f aca="false">-W21*Inputs!$B$22</f>
        <v>-696.597</v>
      </c>
      <c r="X27" s="67" t="n">
        <f aca="false">-X21*Inputs!$B$22</f>
        <v>-696.597</v>
      </c>
      <c r="Y27" s="67" t="n">
        <f aca="false">-Y21*Inputs!$B$22</f>
        <v>-696.597</v>
      </c>
      <c r="Z27" s="67" t="n">
        <f aca="false">-Z21*Inputs!$B$22</f>
        <v>-696.597</v>
      </c>
      <c r="AA27" s="67" t="n">
        <f aca="false">-AA21*Inputs!$B$22</f>
        <v>-703.56297</v>
      </c>
      <c r="AB27" s="67" t="n">
        <f aca="false">-AB21*Inputs!$B$22</f>
        <v>-703.56297</v>
      </c>
      <c r="AC27" s="67" t="n">
        <f aca="false">-AC21*Inputs!$B$22</f>
        <v>-703.56297</v>
      </c>
      <c r="AD27" s="67" t="n">
        <f aca="false">-AD21*Inputs!$B$22</f>
        <v>-703.56297</v>
      </c>
      <c r="AE27" s="67" t="n">
        <f aca="false">-AE21*Inputs!$B$22</f>
        <v>-703.56297</v>
      </c>
      <c r="AF27" s="67" t="n">
        <f aca="false">-AF21*Inputs!$B$22</f>
        <v>-959.40405</v>
      </c>
      <c r="AG27" s="67" t="n">
        <f aca="false">-AG21*Inputs!$B$22</f>
        <v>-959.40405</v>
      </c>
      <c r="AH27" s="67" t="n">
        <f aca="false">-AH21*Inputs!$B$22</f>
        <v>-959.40405</v>
      </c>
      <c r="AI27" s="67" t="n">
        <f aca="false">-AI21*Inputs!$B$22</f>
        <v>-703.56297</v>
      </c>
      <c r="AJ27" s="67" t="n">
        <f aca="false">-AJ21*Inputs!$B$22</f>
        <v>-703.56297</v>
      </c>
      <c r="AK27" s="67" t="n">
        <f aca="false">-AK21*Inputs!$B$22</f>
        <v>-703.56297</v>
      </c>
      <c r="AL27" s="67" t="n">
        <f aca="false">-AL21*Inputs!$B$22</f>
        <v>-703.56297</v>
      </c>
      <c r="AM27" s="67" t="n">
        <f aca="false">-AM21*Inputs!$B$22</f>
        <v>-710.5985997</v>
      </c>
      <c r="AN27" s="67" t="n">
        <f aca="false">-AN21*Inputs!$B$22</f>
        <v>-710.5985997</v>
      </c>
      <c r="AO27" s="67" t="n">
        <f aca="false">-AO21*Inputs!$B$22</f>
        <v>-710.5985997</v>
      </c>
      <c r="AP27" s="67" t="n">
        <f aca="false">-AP21*Inputs!$B$22</f>
        <v>-710.5985997</v>
      </c>
      <c r="AQ27" s="67" t="n">
        <f aca="false">-AQ21*Inputs!$B$22</f>
        <v>-710.5985997</v>
      </c>
      <c r="AR27" s="67" t="n">
        <f aca="false">-AR21*Inputs!$B$22</f>
        <v>-968.9980905</v>
      </c>
      <c r="AS27" s="67" t="n">
        <f aca="false">-AS21*Inputs!$B$22</f>
        <v>-968.9980905</v>
      </c>
      <c r="AT27" s="67" t="n">
        <f aca="false">-AT21*Inputs!$B$22</f>
        <v>-968.9980905</v>
      </c>
      <c r="AU27" s="67" t="n">
        <f aca="false">-AU21*Inputs!$B$22</f>
        <v>-710.5985997</v>
      </c>
      <c r="AV27" s="67" t="n">
        <f aca="false">-AV21*Inputs!$B$22</f>
        <v>-710.5985997</v>
      </c>
      <c r="AW27" s="67" t="n">
        <f aca="false">-AW21*Inputs!$B$22</f>
        <v>-710.5985997</v>
      </c>
      <c r="AX27" s="67" t="n">
        <f aca="false">-AX21*Inputs!$B$22</f>
        <v>-710.5985997</v>
      </c>
      <c r="AY27" s="67" t="n">
        <f aca="false">-AY21*Inputs!$B$22</f>
        <v>-717.704585697</v>
      </c>
      <c r="AZ27" s="67" t="n">
        <f aca="false">-AZ21*Inputs!$B$22</f>
        <v>-717.704585697</v>
      </c>
      <c r="BA27" s="67" t="n">
        <f aca="false">-BA21*Inputs!$B$22</f>
        <v>-717.704585697</v>
      </c>
      <c r="BB27" s="67" t="n">
        <f aca="false">-BB21*Inputs!$B$22</f>
        <v>-717.704585697</v>
      </c>
      <c r="BC27" s="67" t="n">
        <f aca="false">-BC21*Inputs!$B$22</f>
        <v>-717.704585697</v>
      </c>
      <c r="BD27" s="67" t="n">
        <f aca="false">-BD21*Inputs!$B$22</f>
        <v>-978.688071405</v>
      </c>
      <c r="BE27" s="67" t="n">
        <f aca="false">-BE21*Inputs!$B$22</f>
        <v>-978.688071405</v>
      </c>
      <c r="BF27" s="67" t="n">
        <f aca="false">-BF21*Inputs!$B$22</f>
        <v>-978.688071405</v>
      </c>
      <c r="BG27" s="67" t="n">
        <f aca="false">-BG21*Inputs!$B$22</f>
        <v>-717.704585697</v>
      </c>
      <c r="BH27" s="67" t="n">
        <f aca="false">-BH21*Inputs!$B$22</f>
        <v>-717.704585697</v>
      </c>
      <c r="BI27" s="67" t="n">
        <f aca="false">-BI21*Inputs!$B$22</f>
        <v>-717.704585697</v>
      </c>
      <c r="BJ27" s="67" t="n">
        <f aca="false">-BJ21*Inputs!$B$22</f>
        <v>-717.704585697</v>
      </c>
    </row>
    <row r="28" customFormat="false" ht="15" hidden="false" customHeight="false" outlineLevel="0" collapsed="false">
      <c r="A28" s="6" t="s">
        <v>416</v>
      </c>
      <c r="C28" s="67" t="n">
        <f aca="false">-C16*Inputs!$B$23*(1+Inputs!$B$39)^(C$7-1)</f>
        <v>-603.777777777778</v>
      </c>
      <c r="D28" s="67" t="n">
        <f aca="false">-D16*Inputs!$B$23*(1+Inputs!$B$39)^(D$7-1)</f>
        <v>-704.407407407408</v>
      </c>
      <c r="E28" s="67" t="n">
        <f aca="false">-E16*Inputs!$B$23*(1+Inputs!$B$39)^(E$7-1)</f>
        <v>-805.037037037037</v>
      </c>
      <c r="F28" s="67" t="n">
        <f aca="false">-F16*Inputs!$B$23*(1+Inputs!$B$39)^(F$7-1)</f>
        <v>-905.666666666667</v>
      </c>
      <c r="G28" s="67" t="n">
        <f aca="false">-G16*Inputs!$B$23*(1+Inputs!$B$39)^(G$7-1)</f>
        <v>-1006.2962962963</v>
      </c>
      <c r="H28" s="67" t="n">
        <f aca="false">-H16*Inputs!$B$23*(1+Inputs!$B$39)^(H$7-1)</f>
        <v>-1509.44444444444</v>
      </c>
      <c r="I28" s="67" t="n">
        <f aca="false">-I16*Inputs!$B$23*(1+Inputs!$B$39)^(I$7-1)</f>
        <v>-1646.66666666667</v>
      </c>
      <c r="J28" s="67" t="n">
        <f aca="false">-J16*Inputs!$B$23*(1+Inputs!$B$39)^(J$7-1)</f>
        <v>-1783.88888888889</v>
      </c>
      <c r="K28" s="67" t="n">
        <f aca="false">-K16*Inputs!$B$23*(1+Inputs!$B$39)^(K$7-1)</f>
        <v>-1408.81481481481</v>
      </c>
      <c r="L28" s="67" t="n">
        <f aca="false">-L16*Inputs!$B$23*(1+Inputs!$B$39)^(L$7-1)</f>
        <v>-1509.44444444444</v>
      </c>
      <c r="M28" s="67" t="n">
        <f aca="false">-M16*Inputs!$B$23*(1+Inputs!$B$39)^(M$7-1)</f>
        <v>-1610.07407407407</v>
      </c>
      <c r="N28" s="67" t="n">
        <f aca="false">-N16*Inputs!$B$23*(1+Inputs!$B$39)^(N$7-1)</f>
        <v>-1710.7037037037</v>
      </c>
      <c r="O28" s="67" t="n">
        <f aca="false">-O16*Inputs!$B$23*(1+Inputs!$B$39)^(O$7-1)</f>
        <v>-1883.78666666667</v>
      </c>
      <c r="P28" s="67" t="n">
        <f aca="false">-P16*Inputs!$B$23*(1+Inputs!$B$39)^(P$7-1)</f>
        <v>-1988.44148148148</v>
      </c>
      <c r="Q28" s="67" t="n">
        <f aca="false">-Q16*Inputs!$B$23*(1+Inputs!$B$39)^(Q$7-1)</f>
        <v>-2093.0962962963</v>
      </c>
      <c r="R28" s="67" t="n">
        <f aca="false">-R16*Inputs!$B$23*(1+Inputs!$B$39)^(R$7-1)</f>
        <v>-2093.0962962963</v>
      </c>
      <c r="S28" s="67" t="n">
        <f aca="false">-S16*Inputs!$B$23*(1+Inputs!$B$39)^(S$7-1)</f>
        <v>-2093.0962962963</v>
      </c>
      <c r="T28" s="67" t="n">
        <f aca="false">-T16*Inputs!$B$23*(1+Inputs!$B$39)^(T$7-1)</f>
        <v>-2854.22222222222</v>
      </c>
      <c r="U28" s="67" t="n">
        <f aca="false">-U16*Inputs!$B$23*(1+Inputs!$B$39)^(U$7-1)</f>
        <v>-2854.22222222222</v>
      </c>
      <c r="V28" s="67" t="n">
        <f aca="false">-V16*Inputs!$B$23*(1+Inputs!$B$39)^(V$7-1)</f>
        <v>-2854.22222222222</v>
      </c>
      <c r="W28" s="67" t="n">
        <f aca="false">-W16*Inputs!$B$23*(1+Inputs!$B$39)^(W$7-1)</f>
        <v>-2093.0962962963</v>
      </c>
      <c r="X28" s="67" t="n">
        <f aca="false">-X16*Inputs!$B$23*(1+Inputs!$B$39)^(X$7-1)</f>
        <v>-2093.0962962963</v>
      </c>
      <c r="Y28" s="67" t="n">
        <f aca="false">-Y16*Inputs!$B$23*(1+Inputs!$B$39)^(Y$7-1)</f>
        <v>-2093.0962962963</v>
      </c>
      <c r="Z28" s="67" t="n">
        <f aca="false">-Z16*Inputs!$B$23*(1+Inputs!$B$39)^(Z$7-1)</f>
        <v>-2093.0962962963</v>
      </c>
      <c r="AA28" s="67" t="n">
        <f aca="false">-AA16*Inputs!$B$23*(1+Inputs!$B$39)^(AA$7-1)</f>
        <v>-2176.82014814815</v>
      </c>
      <c r="AB28" s="67" t="n">
        <f aca="false">-AB16*Inputs!$B$23*(1+Inputs!$B$39)^(AB$7-1)</f>
        <v>-2176.82014814815</v>
      </c>
      <c r="AC28" s="67" t="n">
        <f aca="false">-AC16*Inputs!$B$23*(1+Inputs!$B$39)^(AC$7-1)</f>
        <v>-2176.82014814815</v>
      </c>
      <c r="AD28" s="67" t="n">
        <f aca="false">-AD16*Inputs!$B$23*(1+Inputs!$B$39)^(AD$7-1)</f>
        <v>-2176.82014814815</v>
      </c>
      <c r="AE28" s="67" t="n">
        <f aca="false">-AE16*Inputs!$B$23*(1+Inputs!$B$39)^(AE$7-1)</f>
        <v>-2176.82014814815</v>
      </c>
      <c r="AF28" s="67" t="n">
        <f aca="false">-AF16*Inputs!$B$23*(1+Inputs!$B$39)^(AF$7-1)</f>
        <v>-2968.39111111111</v>
      </c>
      <c r="AG28" s="67" t="n">
        <f aca="false">-AG16*Inputs!$B$23*(1+Inputs!$B$39)^(AG$7-1)</f>
        <v>-2968.39111111111</v>
      </c>
      <c r="AH28" s="67" t="n">
        <f aca="false">-AH16*Inputs!$B$23*(1+Inputs!$B$39)^(AH$7-1)</f>
        <v>-2968.39111111111</v>
      </c>
      <c r="AI28" s="67" t="n">
        <f aca="false">-AI16*Inputs!$B$23*(1+Inputs!$B$39)^(AI$7-1)</f>
        <v>-2176.82014814815</v>
      </c>
      <c r="AJ28" s="67" t="n">
        <f aca="false">-AJ16*Inputs!$B$23*(1+Inputs!$B$39)^(AJ$7-1)</f>
        <v>-2176.82014814815</v>
      </c>
      <c r="AK28" s="67" t="n">
        <f aca="false">-AK16*Inputs!$B$23*(1+Inputs!$B$39)^(AK$7-1)</f>
        <v>-2176.82014814815</v>
      </c>
      <c r="AL28" s="67" t="n">
        <f aca="false">-AL16*Inputs!$B$23*(1+Inputs!$B$39)^(AL$7-1)</f>
        <v>-2176.82014814815</v>
      </c>
      <c r="AM28" s="67" t="n">
        <f aca="false">-AM16*Inputs!$B$23*(1+Inputs!$B$39)^(AM$7-1)</f>
        <v>-2263.89295407407</v>
      </c>
      <c r="AN28" s="67" t="n">
        <f aca="false">-AN16*Inputs!$B$23*(1+Inputs!$B$39)^(AN$7-1)</f>
        <v>-2263.89295407407</v>
      </c>
      <c r="AO28" s="67" t="n">
        <f aca="false">-AO16*Inputs!$B$23*(1+Inputs!$B$39)^(AO$7-1)</f>
        <v>-2263.89295407407</v>
      </c>
      <c r="AP28" s="67" t="n">
        <f aca="false">-AP16*Inputs!$B$23*(1+Inputs!$B$39)^(AP$7-1)</f>
        <v>-2263.89295407407</v>
      </c>
      <c r="AQ28" s="67" t="n">
        <f aca="false">-AQ16*Inputs!$B$23*(1+Inputs!$B$39)^(AQ$7-1)</f>
        <v>-2263.89295407407</v>
      </c>
      <c r="AR28" s="67" t="n">
        <f aca="false">-AR16*Inputs!$B$23*(1+Inputs!$B$39)^(AR$7-1)</f>
        <v>-3087.12675555556</v>
      </c>
      <c r="AS28" s="67" t="n">
        <f aca="false">-AS16*Inputs!$B$23*(1+Inputs!$B$39)^(AS$7-1)</f>
        <v>-3087.12675555556</v>
      </c>
      <c r="AT28" s="67" t="n">
        <f aca="false">-AT16*Inputs!$B$23*(1+Inputs!$B$39)^(AT$7-1)</f>
        <v>-3087.12675555556</v>
      </c>
      <c r="AU28" s="67" t="n">
        <f aca="false">-AU16*Inputs!$B$23*(1+Inputs!$B$39)^(AU$7-1)</f>
        <v>-2263.89295407407</v>
      </c>
      <c r="AV28" s="67" t="n">
        <f aca="false">-AV16*Inputs!$B$23*(1+Inputs!$B$39)^(AV$7-1)</f>
        <v>-2263.89295407407</v>
      </c>
      <c r="AW28" s="67" t="n">
        <f aca="false">-AW16*Inputs!$B$23*(1+Inputs!$B$39)^(AW$7-1)</f>
        <v>-2263.89295407407</v>
      </c>
      <c r="AX28" s="67" t="n">
        <f aca="false">-AX16*Inputs!$B$23*(1+Inputs!$B$39)^(AX$7-1)</f>
        <v>-2263.89295407407</v>
      </c>
      <c r="AY28" s="67" t="n">
        <f aca="false">-AY16*Inputs!$B$23*(1+Inputs!$B$39)^(AY$7-1)</f>
        <v>-2354.44867223704</v>
      </c>
      <c r="AZ28" s="67" t="n">
        <f aca="false">-AZ16*Inputs!$B$23*(1+Inputs!$B$39)^(AZ$7-1)</f>
        <v>-2354.44867223704</v>
      </c>
      <c r="BA28" s="67" t="n">
        <f aca="false">-BA16*Inputs!$B$23*(1+Inputs!$B$39)^(BA$7-1)</f>
        <v>-2354.44867223704</v>
      </c>
      <c r="BB28" s="67" t="n">
        <f aca="false">-BB16*Inputs!$B$23*(1+Inputs!$B$39)^(BB$7-1)</f>
        <v>-2354.44867223704</v>
      </c>
      <c r="BC28" s="67" t="n">
        <f aca="false">-BC16*Inputs!$B$23*(1+Inputs!$B$39)^(BC$7-1)</f>
        <v>-2354.44867223704</v>
      </c>
      <c r="BD28" s="67" t="n">
        <f aca="false">-BD16*Inputs!$B$23*(1+Inputs!$B$39)^(BD$7-1)</f>
        <v>-3210.61182577778</v>
      </c>
      <c r="BE28" s="67" t="n">
        <f aca="false">-BE16*Inputs!$B$23*(1+Inputs!$B$39)^(BE$7-1)</f>
        <v>-3210.61182577778</v>
      </c>
      <c r="BF28" s="67" t="n">
        <f aca="false">-BF16*Inputs!$B$23*(1+Inputs!$B$39)^(BF$7-1)</f>
        <v>-3210.61182577778</v>
      </c>
      <c r="BG28" s="67" t="n">
        <f aca="false">-BG16*Inputs!$B$23*(1+Inputs!$B$39)^(BG$7-1)</f>
        <v>-2354.44867223704</v>
      </c>
      <c r="BH28" s="67" t="n">
        <f aca="false">-BH16*Inputs!$B$23*(1+Inputs!$B$39)^(BH$7-1)</f>
        <v>-2354.44867223704</v>
      </c>
      <c r="BI28" s="67" t="n">
        <f aca="false">-BI16*Inputs!$B$23*(1+Inputs!$B$39)^(BI$7-1)</f>
        <v>-2354.44867223704</v>
      </c>
      <c r="BJ28" s="67" t="n">
        <f aca="false">-BJ16*Inputs!$B$23*(1+Inputs!$B$39)^(BJ$7-1)</f>
        <v>-2354.44867223704</v>
      </c>
    </row>
    <row r="29" customFormat="false" ht="15" hidden="false" customHeight="false" outlineLevel="0" collapsed="false">
      <c r="A29" s="6" t="s">
        <v>417</v>
      </c>
      <c r="C29" s="67" t="n">
        <f aca="false">-C15*Inputs!$B$24*(1+Inputs!$B$39)^(C$7-1)</f>
        <v>-209</v>
      </c>
      <c r="D29" s="67" t="n">
        <f aca="false">-D15*Inputs!$B$24*(1+Inputs!$B$39)^(D$7-1)</f>
        <v>-243.833333333333</v>
      </c>
      <c r="E29" s="67" t="n">
        <f aca="false">-E15*Inputs!$B$24*(1+Inputs!$B$39)^(E$7-1)</f>
        <v>-278.666666666667</v>
      </c>
      <c r="F29" s="67" t="n">
        <f aca="false">-F15*Inputs!$B$24*(1+Inputs!$B$39)^(F$7-1)</f>
        <v>-313.5</v>
      </c>
      <c r="G29" s="67" t="n">
        <f aca="false">-G15*Inputs!$B$24*(1+Inputs!$B$39)^(G$7-1)</f>
        <v>-348.333333333333</v>
      </c>
      <c r="H29" s="67" t="n">
        <f aca="false">-H15*Inputs!$B$24*(1+Inputs!$B$39)^(H$7-1)</f>
        <v>-522.5</v>
      </c>
      <c r="I29" s="67" t="n">
        <f aca="false">-I15*Inputs!$B$24*(1+Inputs!$B$39)^(I$7-1)</f>
        <v>-570</v>
      </c>
      <c r="J29" s="67" t="n">
        <f aca="false">-J15*Inputs!$B$24*(1+Inputs!$B$39)^(J$7-1)</f>
        <v>-617.5</v>
      </c>
      <c r="K29" s="67" t="n">
        <f aca="false">-K15*Inputs!$B$24*(1+Inputs!$B$39)^(K$7-1)</f>
        <v>-487.666666666667</v>
      </c>
      <c r="L29" s="67" t="n">
        <f aca="false">-L15*Inputs!$B$24*(1+Inputs!$B$39)^(L$7-1)</f>
        <v>-522.5</v>
      </c>
      <c r="M29" s="67" t="n">
        <f aca="false">-M15*Inputs!$B$24*(1+Inputs!$B$39)^(M$7-1)</f>
        <v>-557.333333333333</v>
      </c>
      <c r="N29" s="67" t="n">
        <f aca="false">-N15*Inputs!$B$24*(1+Inputs!$B$39)^(N$7-1)</f>
        <v>-592.166666666667</v>
      </c>
      <c r="O29" s="67" t="n">
        <f aca="false">-O15*Inputs!$B$24*(1+Inputs!$B$39)^(O$7-1)</f>
        <v>-652.08</v>
      </c>
      <c r="P29" s="67" t="n">
        <f aca="false">-P15*Inputs!$B$24*(1+Inputs!$B$39)^(P$7-1)</f>
        <v>-688.306666666667</v>
      </c>
      <c r="Q29" s="67" t="n">
        <f aca="false">-Q15*Inputs!$B$24*(1+Inputs!$B$39)^(Q$7-1)</f>
        <v>-724.533333333333</v>
      </c>
      <c r="R29" s="67" t="n">
        <f aca="false">-R15*Inputs!$B$24*(1+Inputs!$B$39)^(R$7-1)</f>
        <v>-724.533333333333</v>
      </c>
      <c r="S29" s="67" t="n">
        <f aca="false">-S15*Inputs!$B$24*(1+Inputs!$B$39)^(S$7-1)</f>
        <v>-724.533333333333</v>
      </c>
      <c r="T29" s="67" t="n">
        <f aca="false">-T15*Inputs!$B$24*(1+Inputs!$B$39)^(T$7-1)</f>
        <v>-988</v>
      </c>
      <c r="U29" s="67" t="n">
        <f aca="false">-U15*Inputs!$B$24*(1+Inputs!$B$39)^(U$7-1)</f>
        <v>-988</v>
      </c>
      <c r="V29" s="67" t="n">
        <f aca="false">-V15*Inputs!$B$24*(1+Inputs!$B$39)^(V$7-1)</f>
        <v>-988</v>
      </c>
      <c r="W29" s="67" t="n">
        <f aca="false">-W15*Inputs!$B$24*(1+Inputs!$B$39)^(W$7-1)</f>
        <v>-724.533333333333</v>
      </c>
      <c r="X29" s="67" t="n">
        <f aca="false">-X15*Inputs!$B$24*(1+Inputs!$B$39)^(X$7-1)</f>
        <v>-724.533333333333</v>
      </c>
      <c r="Y29" s="67" t="n">
        <f aca="false">-Y15*Inputs!$B$24*(1+Inputs!$B$39)^(Y$7-1)</f>
        <v>-724.533333333333</v>
      </c>
      <c r="Z29" s="67" t="n">
        <f aca="false">-Z15*Inputs!$B$24*(1+Inputs!$B$39)^(Z$7-1)</f>
        <v>-724.533333333333</v>
      </c>
      <c r="AA29" s="67" t="n">
        <f aca="false">-AA15*Inputs!$B$24*(1+Inputs!$B$39)^(AA$7-1)</f>
        <v>-753.514666666667</v>
      </c>
      <c r="AB29" s="67" t="n">
        <f aca="false">-AB15*Inputs!$B$24*(1+Inputs!$B$39)^(AB$7-1)</f>
        <v>-753.514666666667</v>
      </c>
      <c r="AC29" s="67" t="n">
        <f aca="false">-AC15*Inputs!$B$24*(1+Inputs!$B$39)^(AC$7-1)</f>
        <v>-753.514666666667</v>
      </c>
      <c r="AD29" s="67" t="n">
        <f aca="false">-AD15*Inputs!$B$24*(1+Inputs!$B$39)^(AD$7-1)</f>
        <v>-753.514666666667</v>
      </c>
      <c r="AE29" s="67" t="n">
        <f aca="false">-AE15*Inputs!$B$24*(1+Inputs!$B$39)^(AE$7-1)</f>
        <v>-753.514666666667</v>
      </c>
      <c r="AF29" s="67" t="n">
        <f aca="false">-AF15*Inputs!$B$24*(1+Inputs!$B$39)^(AF$7-1)</f>
        <v>-1027.52</v>
      </c>
      <c r="AG29" s="67" t="n">
        <f aca="false">-AG15*Inputs!$B$24*(1+Inputs!$B$39)^(AG$7-1)</f>
        <v>-1027.52</v>
      </c>
      <c r="AH29" s="67" t="n">
        <f aca="false">-AH15*Inputs!$B$24*(1+Inputs!$B$39)^(AH$7-1)</f>
        <v>-1027.52</v>
      </c>
      <c r="AI29" s="67" t="n">
        <f aca="false">-AI15*Inputs!$B$24*(1+Inputs!$B$39)^(AI$7-1)</f>
        <v>-753.514666666667</v>
      </c>
      <c r="AJ29" s="67" t="n">
        <f aca="false">-AJ15*Inputs!$B$24*(1+Inputs!$B$39)^(AJ$7-1)</f>
        <v>-753.514666666667</v>
      </c>
      <c r="AK29" s="67" t="n">
        <f aca="false">-AK15*Inputs!$B$24*(1+Inputs!$B$39)^(AK$7-1)</f>
        <v>-753.514666666667</v>
      </c>
      <c r="AL29" s="67" t="n">
        <f aca="false">-AL15*Inputs!$B$24*(1+Inputs!$B$39)^(AL$7-1)</f>
        <v>-753.514666666667</v>
      </c>
      <c r="AM29" s="67" t="n">
        <f aca="false">-AM15*Inputs!$B$24*(1+Inputs!$B$39)^(AM$7-1)</f>
        <v>-783.655253333333</v>
      </c>
      <c r="AN29" s="67" t="n">
        <f aca="false">-AN15*Inputs!$B$24*(1+Inputs!$B$39)^(AN$7-1)</f>
        <v>-783.655253333333</v>
      </c>
      <c r="AO29" s="67" t="n">
        <f aca="false">-AO15*Inputs!$B$24*(1+Inputs!$B$39)^(AO$7-1)</f>
        <v>-783.655253333333</v>
      </c>
      <c r="AP29" s="67" t="n">
        <f aca="false">-AP15*Inputs!$B$24*(1+Inputs!$B$39)^(AP$7-1)</f>
        <v>-783.655253333333</v>
      </c>
      <c r="AQ29" s="67" t="n">
        <f aca="false">-AQ15*Inputs!$B$24*(1+Inputs!$B$39)^(AQ$7-1)</f>
        <v>-783.655253333333</v>
      </c>
      <c r="AR29" s="67" t="n">
        <f aca="false">-AR15*Inputs!$B$24*(1+Inputs!$B$39)^(AR$7-1)</f>
        <v>-1068.6208</v>
      </c>
      <c r="AS29" s="67" t="n">
        <f aca="false">-AS15*Inputs!$B$24*(1+Inputs!$B$39)^(AS$7-1)</f>
        <v>-1068.6208</v>
      </c>
      <c r="AT29" s="67" t="n">
        <f aca="false">-AT15*Inputs!$B$24*(1+Inputs!$B$39)^(AT$7-1)</f>
        <v>-1068.6208</v>
      </c>
      <c r="AU29" s="67" t="n">
        <f aca="false">-AU15*Inputs!$B$24*(1+Inputs!$B$39)^(AU$7-1)</f>
        <v>-783.655253333333</v>
      </c>
      <c r="AV29" s="67" t="n">
        <f aca="false">-AV15*Inputs!$B$24*(1+Inputs!$B$39)^(AV$7-1)</f>
        <v>-783.655253333333</v>
      </c>
      <c r="AW29" s="67" t="n">
        <f aca="false">-AW15*Inputs!$B$24*(1+Inputs!$B$39)^(AW$7-1)</f>
        <v>-783.655253333333</v>
      </c>
      <c r="AX29" s="67" t="n">
        <f aca="false">-AX15*Inputs!$B$24*(1+Inputs!$B$39)^(AX$7-1)</f>
        <v>-783.655253333333</v>
      </c>
      <c r="AY29" s="67" t="n">
        <f aca="false">-AY15*Inputs!$B$24*(1+Inputs!$B$39)^(AY$7-1)</f>
        <v>-815.001463466667</v>
      </c>
      <c r="AZ29" s="67" t="n">
        <f aca="false">-AZ15*Inputs!$B$24*(1+Inputs!$B$39)^(AZ$7-1)</f>
        <v>-815.001463466667</v>
      </c>
      <c r="BA29" s="67" t="n">
        <f aca="false">-BA15*Inputs!$B$24*(1+Inputs!$B$39)^(BA$7-1)</f>
        <v>-815.001463466667</v>
      </c>
      <c r="BB29" s="67" t="n">
        <f aca="false">-BB15*Inputs!$B$24*(1+Inputs!$B$39)^(BB$7-1)</f>
        <v>-815.001463466667</v>
      </c>
      <c r="BC29" s="67" t="n">
        <f aca="false">-BC15*Inputs!$B$24*(1+Inputs!$B$39)^(BC$7-1)</f>
        <v>-815.001463466667</v>
      </c>
      <c r="BD29" s="67" t="n">
        <f aca="false">-BD15*Inputs!$B$24*(1+Inputs!$B$39)^(BD$7-1)</f>
        <v>-1111.365632</v>
      </c>
      <c r="BE29" s="67" t="n">
        <f aca="false">-BE15*Inputs!$B$24*(1+Inputs!$B$39)^(BE$7-1)</f>
        <v>-1111.365632</v>
      </c>
      <c r="BF29" s="67" t="n">
        <f aca="false">-BF15*Inputs!$B$24*(1+Inputs!$B$39)^(BF$7-1)</f>
        <v>-1111.365632</v>
      </c>
      <c r="BG29" s="67" t="n">
        <f aca="false">-BG15*Inputs!$B$24*(1+Inputs!$B$39)^(BG$7-1)</f>
        <v>-815.001463466667</v>
      </c>
      <c r="BH29" s="67" t="n">
        <f aca="false">-BH15*Inputs!$B$24*(1+Inputs!$B$39)^(BH$7-1)</f>
        <v>-815.001463466667</v>
      </c>
      <c r="BI29" s="67" t="n">
        <f aca="false">-BI15*Inputs!$B$24*(1+Inputs!$B$39)^(BI$7-1)</f>
        <v>-815.001463466667</v>
      </c>
      <c r="BJ29" s="67" t="n">
        <f aca="false">-BJ15*Inputs!$B$24*(1+Inputs!$B$39)^(BJ$7-1)</f>
        <v>-815.001463466667</v>
      </c>
    </row>
    <row r="30" customFormat="false" ht="15" hidden="false" customHeight="false" outlineLevel="0" collapsed="false">
      <c r="A30" s="4" t="s">
        <v>76</v>
      </c>
      <c r="C30" s="73" t="n">
        <f aca="false">C25+C26+C27+C28+C29</f>
        <v>-6243.23927777778</v>
      </c>
      <c r="D30" s="73" t="n">
        <f aca="false">D25+D26+D27+D28+D29</f>
        <v>-6517.11249074074</v>
      </c>
      <c r="E30" s="73" t="n">
        <f aca="false">E25+E26+E27+E28+E29</f>
        <v>-6790.9857037037</v>
      </c>
      <c r="F30" s="73" t="n">
        <f aca="false">F25+F26+F27+F28+F29</f>
        <v>-7064.85891666667</v>
      </c>
      <c r="G30" s="73" t="n">
        <f aca="false">G25+G26+G27+G28+G29</f>
        <v>-7338.73212962963</v>
      </c>
      <c r="H30" s="73" t="n">
        <f aca="false">H25+H26+H27+H28+H29</f>
        <v>-8708.09819444444</v>
      </c>
      <c r="I30" s="73" t="n">
        <f aca="false">I25+I26+I27+I28+I29</f>
        <v>-9081.56166666667</v>
      </c>
      <c r="J30" s="73" t="n">
        <f aca="false">J25+J26+J27+J28+J29</f>
        <v>-9455.02513888889</v>
      </c>
      <c r="K30" s="73" t="n">
        <f aca="false">K25+K26+K27+K28+K29</f>
        <v>-8434.22498148148</v>
      </c>
      <c r="L30" s="73" t="n">
        <f aca="false">L25+L26+L27+L28+L29</f>
        <v>-8708.09819444444</v>
      </c>
      <c r="M30" s="73" t="n">
        <f aca="false">M25+M26+M27+M28+M29</f>
        <v>-8981.97140740741</v>
      </c>
      <c r="N30" s="73" t="n">
        <f aca="false">N25+N26+N27+N28+N29</f>
        <v>-9255.84462037037</v>
      </c>
      <c r="O30" s="73" t="n">
        <f aca="false">O25+O26+O27+O28+O29</f>
        <v>-9836.16501166667</v>
      </c>
      <c r="P30" s="73" t="n">
        <f aca="false">P25+P26+P27+P28+P29</f>
        <v>-10116.8408456481</v>
      </c>
      <c r="Q30" s="73" t="n">
        <f aca="false">Q25+Q26+Q27+Q28+Q29</f>
        <v>-10397.5166796296</v>
      </c>
      <c r="R30" s="73" t="n">
        <f aca="false">R25+R26+R27+R28+R29</f>
        <v>-10397.5166796296</v>
      </c>
      <c r="S30" s="73" t="n">
        <f aca="false">S25+S26+S27+S28+S29</f>
        <v>-10397.5166796296</v>
      </c>
      <c r="T30" s="73" t="n">
        <f aca="false">T25+T26+T27+T28+T29</f>
        <v>-12438.7954722222</v>
      </c>
      <c r="U30" s="73" t="n">
        <f aca="false">U25+U26+U27+U28+U29</f>
        <v>-12438.7954722222</v>
      </c>
      <c r="V30" s="73" t="n">
        <f aca="false">V25+V26+V27+V28+V29</f>
        <v>-12438.7954722222</v>
      </c>
      <c r="W30" s="73" t="n">
        <f aca="false">W25+W26+W27+W28+W29</f>
        <v>-10397.5166796296</v>
      </c>
      <c r="X30" s="73" t="n">
        <f aca="false">X25+X26+X27+X28+X29</f>
        <v>-10397.5166796296</v>
      </c>
      <c r="Y30" s="73" t="n">
        <f aca="false">Y25+Y26+Y27+Y28+Y29</f>
        <v>-10397.5166796296</v>
      </c>
      <c r="Z30" s="73" t="n">
        <f aca="false">Z25+Z26+Z27+Z28+Z29</f>
        <v>-10397.5166796296</v>
      </c>
      <c r="AA30" s="73" t="n">
        <f aca="false">AA25+AA26+AA27+AA28+AA29</f>
        <v>-10729.5407353148</v>
      </c>
      <c r="AB30" s="73" t="n">
        <f aca="false">AB25+AB26+AB27+AB28+AB29</f>
        <v>-10729.5407353148</v>
      </c>
      <c r="AC30" s="73" t="n">
        <f aca="false">AC25+AC26+AC27+AC28+AC29</f>
        <v>-10729.5407353148</v>
      </c>
      <c r="AD30" s="73" t="n">
        <f aca="false">AD25+AD26+AD27+AD28+AD29</f>
        <v>-10729.5407353148</v>
      </c>
      <c r="AE30" s="73" t="n">
        <f aca="false">AE25+AE26+AE27+AE28+AE29</f>
        <v>-10729.5407353148</v>
      </c>
      <c r="AF30" s="73" t="n">
        <f aca="false">AF25+AF26+AF27+AF28+AF29</f>
        <v>-12821.9700936111</v>
      </c>
      <c r="AG30" s="73" t="n">
        <f aca="false">AG25+AG26+AG27+AG28+AG29</f>
        <v>-12821.9700936111</v>
      </c>
      <c r="AH30" s="73" t="n">
        <f aca="false">AH25+AH26+AH27+AH28+AH29</f>
        <v>-12821.9700936111</v>
      </c>
      <c r="AI30" s="73" t="n">
        <f aca="false">AI25+AI26+AI27+AI28+AI29</f>
        <v>-10729.5407353148</v>
      </c>
      <c r="AJ30" s="73" t="n">
        <f aca="false">AJ25+AJ26+AJ27+AJ28+AJ29</f>
        <v>-10729.5407353148</v>
      </c>
      <c r="AK30" s="73" t="n">
        <f aca="false">AK25+AK26+AK27+AK28+AK29</f>
        <v>-10729.5407353148</v>
      </c>
      <c r="AL30" s="73" t="n">
        <f aca="false">AL25+AL26+AL27+AL28+AL29</f>
        <v>-10729.5407353148</v>
      </c>
      <c r="AM30" s="73" t="n">
        <f aca="false">AM25+AM26+AM27+AM28+AM29</f>
        <v>-11074.0069871124</v>
      </c>
      <c r="AN30" s="73" t="n">
        <f aca="false">AN25+AN26+AN27+AN28+AN29</f>
        <v>-11074.0069871124</v>
      </c>
      <c r="AO30" s="73" t="n">
        <f aca="false">AO25+AO26+AO27+AO28+AO29</f>
        <v>-11074.0069871124</v>
      </c>
      <c r="AP30" s="73" t="n">
        <f aca="false">AP25+AP26+AP27+AP28+AP29</f>
        <v>-11074.0069871124</v>
      </c>
      <c r="AQ30" s="73" t="n">
        <f aca="false">AQ25+AQ26+AQ27+AQ28+AQ29</f>
        <v>-11074.0069871124</v>
      </c>
      <c r="AR30" s="73" t="n">
        <f aca="false">AR25+AR26+AR27+AR28+AR29</f>
        <v>-13219.3279278806</v>
      </c>
      <c r="AS30" s="73" t="n">
        <f aca="false">AS25+AS26+AS27+AS28+AS29</f>
        <v>-13219.3279278806</v>
      </c>
      <c r="AT30" s="73" t="n">
        <f aca="false">AT25+AT26+AT27+AT28+AT29</f>
        <v>-13219.3279278806</v>
      </c>
      <c r="AU30" s="73" t="n">
        <f aca="false">AU25+AU26+AU27+AU28+AU29</f>
        <v>-11074.0069871124</v>
      </c>
      <c r="AV30" s="73" t="n">
        <f aca="false">AV25+AV26+AV27+AV28+AV29</f>
        <v>-11074.0069871124</v>
      </c>
      <c r="AW30" s="73" t="n">
        <f aca="false">AW25+AW26+AW27+AW28+AW29</f>
        <v>-11074.0069871124</v>
      </c>
      <c r="AX30" s="73" t="n">
        <f aca="false">AX25+AX26+AX27+AX28+AX29</f>
        <v>-11074.0069871124</v>
      </c>
      <c r="AY30" s="73" t="n">
        <f aca="false">AY25+AY26+AY27+AY28+AY29</f>
        <v>-11431.4047352058</v>
      </c>
      <c r="AZ30" s="73" t="n">
        <f aca="false">AZ25+AZ26+AZ27+AZ28+AZ29</f>
        <v>-11431.4047352058</v>
      </c>
      <c r="BA30" s="73" t="n">
        <f aca="false">BA25+BA26+BA27+BA28+BA29</f>
        <v>-11431.4047352058</v>
      </c>
      <c r="BB30" s="73" t="n">
        <f aca="false">BB25+BB26+BB27+BB28+BB29</f>
        <v>-11431.4047352058</v>
      </c>
      <c r="BC30" s="73" t="n">
        <f aca="false">BC25+BC26+BC27+BC28+BC29</f>
        <v>-11431.4047352058</v>
      </c>
      <c r="BD30" s="73" t="n">
        <f aca="false">BD25+BD26+BD27+BD28+BD29</f>
        <v>-13631.424865826</v>
      </c>
      <c r="BE30" s="73" t="n">
        <f aca="false">BE25+BE26+BE27+BE28+BE29</f>
        <v>-13631.424865826</v>
      </c>
      <c r="BF30" s="73" t="n">
        <f aca="false">BF25+BF26+BF27+BF28+BF29</f>
        <v>-13631.424865826</v>
      </c>
      <c r="BG30" s="73" t="n">
        <f aca="false">BG25+BG26+BG27+BG28+BG29</f>
        <v>-11431.4047352058</v>
      </c>
      <c r="BH30" s="73" t="n">
        <f aca="false">BH25+BH26+BH27+BH28+BH29</f>
        <v>-11431.4047352058</v>
      </c>
      <c r="BI30" s="73" t="n">
        <f aca="false">BI25+BI26+BI27+BI28+BI29</f>
        <v>-11431.4047352058</v>
      </c>
      <c r="BJ30" s="73" t="n">
        <f aca="false">BJ25+BJ26+BJ27+BJ28+BJ29</f>
        <v>-11431.4047352058</v>
      </c>
    </row>
    <row r="31" customFormat="false" ht="15" hidden="false" customHeight="false" outlineLevel="0" collapsed="false">
      <c r="A31" s="111" t="s">
        <v>45</v>
      </c>
      <c r="C31" s="68" t="n">
        <f aca="false">C22+C30</f>
        <v>-224.039277777778</v>
      </c>
      <c r="D31" s="68" t="n">
        <f aca="false">D22+D30</f>
        <v>505.28750925926</v>
      </c>
      <c r="E31" s="68" t="n">
        <f aca="false">E22+E30</f>
        <v>1234.6142962963</v>
      </c>
      <c r="F31" s="68" t="n">
        <f aca="false">F22+F30</f>
        <v>1963.94108333333</v>
      </c>
      <c r="G31" s="68" t="n">
        <f aca="false">G22+G30</f>
        <v>2693.26787037037</v>
      </c>
      <c r="H31" s="68" t="n">
        <f aca="false">H22+H30</f>
        <v>6339.90180555555</v>
      </c>
      <c r="I31" s="68" t="n">
        <f aca="false">I22+I30</f>
        <v>7334.43833333334</v>
      </c>
      <c r="J31" s="68" t="n">
        <f aca="false">J22+J30</f>
        <v>8328.97486111111</v>
      </c>
      <c r="K31" s="68" t="n">
        <f aca="false">K22+K30</f>
        <v>5610.57501851852</v>
      </c>
      <c r="L31" s="68" t="n">
        <f aca="false">L22+L30</f>
        <v>6339.90180555556</v>
      </c>
      <c r="M31" s="68" t="n">
        <f aca="false">M22+M30</f>
        <v>7069.22859259259</v>
      </c>
      <c r="N31" s="68" t="n">
        <f aca="false">N22+N30</f>
        <v>7798.55537962963</v>
      </c>
      <c r="O31" s="68" t="n">
        <f aca="false">O22+O30</f>
        <v>8402.01098833333</v>
      </c>
      <c r="P31" s="68" t="n">
        <f aca="false">P22+P30</f>
        <v>9134.56715435185</v>
      </c>
      <c r="Q31" s="68" t="n">
        <f aca="false">Q22+Q30</f>
        <v>9867.12332037037</v>
      </c>
      <c r="R31" s="68" t="n">
        <f aca="false">R22+R30</f>
        <v>9867.12332037037</v>
      </c>
      <c r="S31" s="68" t="n">
        <f aca="false">S22+S30</f>
        <v>9867.12332037037</v>
      </c>
      <c r="T31" s="68" t="n">
        <f aca="false">T22+T30</f>
        <v>15194.8045277778</v>
      </c>
      <c r="U31" s="68" t="n">
        <f aca="false">U22+U30</f>
        <v>15194.8045277778</v>
      </c>
      <c r="V31" s="68" t="n">
        <f aca="false">V22+V30</f>
        <v>15194.8045277778</v>
      </c>
      <c r="W31" s="68" t="n">
        <f aca="false">W22+W30</f>
        <v>9867.12332037037</v>
      </c>
      <c r="X31" s="68" t="n">
        <f aca="false">X22+X30</f>
        <v>9867.12332037037</v>
      </c>
      <c r="Y31" s="68" t="n">
        <f aca="false">Y22+Y30</f>
        <v>9867.12332037037</v>
      </c>
      <c r="Z31" s="68" t="n">
        <f aca="false">Z22+Z30</f>
        <v>9867.12332037037</v>
      </c>
      <c r="AA31" s="68" t="n">
        <f aca="false">AA22+AA30</f>
        <v>9737.74566468518</v>
      </c>
      <c r="AB31" s="68" t="n">
        <f aca="false">AB22+AB30</f>
        <v>9737.74566468518</v>
      </c>
      <c r="AC31" s="68" t="n">
        <f aca="false">AC22+AC30</f>
        <v>9737.74566468518</v>
      </c>
      <c r="AD31" s="68" t="n">
        <f aca="false">AD22+AD30</f>
        <v>9737.74566468518</v>
      </c>
      <c r="AE31" s="68" t="n">
        <f aca="false">AE22+AE30</f>
        <v>9737.74566468518</v>
      </c>
      <c r="AF31" s="68" t="n">
        <f aca="false">AF22+AF30</f>
        <v>15087.9659063889</v>
      </c>
      <c r="AG31" s="68" t="n">
        <f aca="false">AG22+AG30</f>
        <v>15087.9659063889</v>
      </c>
      <c r="AH31" s="68" t="n">
        <f aca="false">AH22+AH30</f>
        <v>15087.9659063889</v>
      </c>
      <c r="AI31" s="68" t="n">
        <f aca="false">AI22+AI30</f>
        <v>9737.74566468518</v>
      </c>
      <c r="AJ31" s="68" t="n">
        <f aca="false">AJ22+AJ30</f>
        <v>9737.74566468518</v>
      </c>
      <c r="AK31" s="68" t="n">
        <f aca="false">AK22+AK30</f>
        <v>9737.74566468518</v>
      </c>
      <c r="AL31" s="68" t="n">
        <f aca="false">AL22+AL30</f>
        <v>9737.74566468518</v>
      </c>
      <c r="AM31" s="68" t="n">
        <f aca="false">AM22+AM30</f>
        <v>9597.95227688759</v>
      </c>
      <c r="AN31" s="68" t="n">
        <f aca="false">AN22+AN30</f>
        <v>9597.95227688759</v>
      </c>
      <c r="AO31" s="68" t="n">
        <f aca="false">AO22+AO30</f>
        <v>9597.95227688759</v>
      </c>
      <c r="AP31" s="68" t="n">
        <f aca="false">AP22+AP30</f>
        <v>9597.95227688759</v>
      </c>
      <c r="AQ31" s="68" t="n">
        <f aca="false">AQ22+AQ30</f>
        <v>9597.95227688759</v>
      </c>
      <c r="AR31" s="68" t="n">
        <f aca="false">AR22+AR30</f>
        <v>14969.7074321194</v>
      </c>
      <c r="AS31" s="68" t="n">
        <f aca="false">AS22+AS30</f>
        <v>14969.7074321194</v>
      </c>
      <c r="AT31" s="68" t="n">
        <f aca="false">AT22+AT30</f>
        <v>14969.7074321194</v>
      </c>
      <c r="AU31" s="68" t="n">
        <f aca="false">AU22+AU30</f>
        <v>9597.95227688759</v>
      </c>
      <c r="AV31" s="68" t="n">
        <f aca="false">AV22+AV30</f>
        <v>9597.95227688759</v>
      </c>
      <c r="AW31" s="68" t="n">
        <f aca="false">AW22+AW30</f>
        <v>9597.95227688759</v>
      </c>
      <c r="AX31" s="68" t="n">
        <f aca="false">AX22+AX30</f>
        <v>9597.95227688759</v>
      </c>
      <c r="AY31" s="68" t="n">
        <f aca="false">AY22+AY30</f>
        <v>9447.27412143425</v>
      </c>
      <c r="AZ31" s="68" t="n">
        <f aca="false">AZ22+AZ30</f>
        <v>9447.27412143425</v>
      </c>
      <c r="BA31" s="68" t="n">
        <f aca="false">BA22+BA30</f>
        <v>9447.27412143425</v>
      </c>
      <c r="BB31" s="68" t="n">
        <f aca="false">BB22+BB30</f>
        <v>9447.27412143425</v>
      </c>
      <c r="BC31" s="68" t="n">
        <f aca="false">BC22+BC30</f>
        <v>9447.27412143425</v>
      </c>
      <c r="BD31" s="68" t="n">
        <f aca="false">BD22+BD30</f>
        <v>14839.500847774</v>
      </c>
      <c r="BE31" s="68" t="n">
        <f aca="false">BE22+BE30</f>
        <v>14839.500847774</v>
      </c>
      <c r="BF31" s="68" t="n">
        <f aca="false">BF22+BF30</f>
        <v>14839.500847774</v>
      </c>
      <c r="BG31" s="68" t="n">
        <f aca="false">BG22+BG30</f>
        <v>9447.27412143425</v>
      </c>
      <c r="BH31" s="68" t="n">
        <f aca="false">BH22+BH30</f>
        <v>9447.27412143425</v>
      </c>
      <c r="BI31" s="68" t="n">
        <f aca="false">BI22+BI30</f>
        <v>9447.27412143425</v>
      </c>
      <c r="BJ31" s="68" t="n">
        <f aca="false">BJ22+BJ30</f>
        <v>9447.27412143425</v>
      </c>
    </row>
    <row r="33" customFormat="false" ht="15.75" hidden="false" customHeight="true" outlineLevel="0" collapsed="false">
      <c r="A33" s="7" t="s">
        <v>47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328</v>
      </c>
      <c r="C34" s="67" t="n">
        <f aca="false">C121-C118</f>
        <v>-5558.33333333333</v>
      </c>
      <c r="D34" s="67" t="n">
        <f aca="false">D121-D118</f>
        <v>-5558.33333333333</v>
      </c>
      <c r="E34" s="67" t="n">
        <f aca="false">E121-E118</f>
        <v>-5558.33333333333</v>
      </c>
      <c r="F34" s="67" t="n">
        <f aca="false">F121-F118</f>
        <v>-5558.33333333333</v>
      </c>
      <c r="G34" s="67" t="n">
        <f aca="false">G121-G118</f>
        <v>-5558.33333333333</v>
      </c>
      <c r="H34" s="67" t="n">
        <f aca="false">H121-H118</f>
        <v>-5558.33333333333</v>
      </c>
      <c r="I34" s="67" t="n">
        <f aca="false">I121-I118</f>
        <v>-5558.33333333333</v>
      </c>
      <c r="J34" s="67" t="n">
        <f aca="false">J121-J118</f>
        <v>-5558.33333333333</v>
      </c>
      <c r="K34" s="67" t="n">
        <f aca="false">K121-K118</f>
        <v>-5558.33333333333</v>
      </c>
      <c r="L34" s="67" t="n">
        <f aca="false">L121-L118</f>
        <v>-5558.33333333333</v>
      </c>
      <c r="M34" s="67" t="n">
        <f aca="false">M121-M118</f>
        <v>-5558.33333333333</v>
      </c>
      <c r="N34" s="67" t="n">
        <f aca="false">N121-N118</f>
        <v>-5558.33333333333</v>
      </c>
      <c r="O34" s="67" t="n">
        <f aca="false">O121-O118</f>
        <v>-5780.66666666667</v>
      </c>
      <c r="P34" s="67" t="n">
        <f aca="false">P121-P118</f>
        <v>-5780.66666666667</v>
      </c>
      <c r="Q34" s="67" t="n">
        <f aca="false">Q121-Q118</f>
        <v>-5780.66666666667</v>
      </c>
      <c r="R34" s="67" t="n">
        <f aca="false">R121-R118</f>
        <v>-5780.66666666667</v>
      </c>
      <c r="S34" s="67" t="n">
        <f aca="false">S121-S118</f>
        <v>-5780.66666666667</v>
      </c>
      <c r="T34" s="67" t="n">
        <f aca="false">T121-T118</f>
        <v>-5780.66666666667</v>
      </c>
      <c r="U34" s="67" t="n">
        <f aca="false">U121-U118</f>
        <v>-5780.66666666667</v>
      </c>
      <c r="V34" s="67" t="n">
        <f aca="false">V121-V118</f>
        <v>-5780.66666666667</v>
      </c>
      <c r="W34" s="67" t="n">
        <f aca="false">W121-W118</f>
        <v>-5780.66666666667</v>
      </c>
      <c r="X34" s="67" t="n">
        <f aca="false">X121-X118</f>
        <v>-5780.66666666667</v>
      </c>
      <c r="Y34" s="67" t="n">
        <f aca="false">Y121-Y118</f>
        <v>-5780.66666666667</v>
      </c>
      <c r="Z34" s="67" t="n">
        <f aca="false">Z121-Z118</f>
        <v>-5780.66666666667</v>
      </c>
      <c r="AA34" s="67" t="n">
        <f aca="false">AA121-AA118</f>
        <v>-6011.89333333333</v>
      </c>
      <c r="AB34" s="67" t="n">
        <f aca="false">AB121-AB118</f>
        <v>-6011.89333333333</v>
      </c>
      <c r="AC34" s="67" t="n">
        <f aca="false">AC121-AC118</f>
        <v>-6011.89333333333</v>
      </c>
      <c r="AD34" s="67" t="n">
        <f aca="false">AD121-AD118</f>
        <v>-6011.89333333333</v>
      </c>
      <c r="AE34" s="67" t="n">
        <f aca="false">AE121-AE118</f>
        <v>-6011.89333333333</v>
      </c>
      <c r="AF34" s="67" t="n">
        <f aca="false">AF121-AF118</f>
        <v>-6011.89333333333</v>
      </c>
      <c r="AG34" s="67" t="n">
        <f aca="false">AG121-AG118</f>
        <v>-6011.89333333333</v>
      </c>
      <c r="AH34" s="67" t="n">
        <f aca="false">AH121-AH118</f>
        <v>-6011.89333333333</v>
      </c>
      <c r="AI34" s="67" t="n">
        <f aca="false">AI121-AI118</f>
        <v>-6011.89333333333</v>
      </c>
      <c r="AJ34" s="67" t="n">
        <f aca="false">AJ121-AJ118</f>
        <v>-6011.89333333333</v>
      </c>
      <c r="AK34" s="67" t="n">
        <f aca="false">AK121-AK118</f>
        <v>-6011.89333333333</v>
      </c>
      <c r="AL34" s="67" t="n">
        <f aca="false">AL121-AL118</f>
        <v>-6011.89333333333</v>
      </c>
      <c r="AM34" s="67" t="n">
        <f aca="false">AM121-AM118</f>
        <v>-6252.36906666667</v>
      </c>
      <c r="AN34" s="67" t="n">
        <f aca="false">AN121-AN118</f>
        <v>-6252.36906666667</v>
      </c>
      <c r="AO34" s="67" t="n">
        <f aca="false">AO121-AO118</f>
        <v>-6252.36906666667</v>
      </c>
      <c r="AP34" s="67" t="n">
        <f aca="false">AP121-AP118</f>
        <v>-6252.36906666667</v>
      </c>
      <c r="AQ34" s="67" t="n">
        <f aca="false">AQ121-AQ118</f>
        <v>-6252.36906666667</v>
      </c>
      <c r="AR34" s="67" t="n">
        <f aca="false">AR121-AR118</f>
        <v>-6252.36906666667</v>
      </c>
      <c r="AS34" s="67" t="n">
        <f aca="false">AS121-AS118</f>
        <v>-6252.36906666667</v>
      </c>
      <c r="AT34" s="67" t="n">
        <f aca="false">AT121-AT118</f>
        <v>-6252.36906666667</v>
      </c>
      <c r="AU34" s="67" t="n">
        <f aca="false">AU121-AU118</f>
        <v>-6252.36906666667</v>
      </c>
      <c r="AV34" s="67" t="n">
        <f aca="false">AV121-AV118</f>
        <v>-6252.36906666667</v>
      </c>
      <c r="AW34" s="67" t="n">
        <f aca="false">AW121-AW118</f>
        <v>-6252.36906666667</v>
      </c>
      <c r="AX34" s="67" t="n">
        <f aca="false">AX121-AX118</f>
        <v>-6252.36906666667</v>
      </c>
      <c r="AY34" s="67" t="n">
        <f aca="false">AY121-AY118</f>
        <v>-6502.46382933333</v>
      </c>
      <c r="AZ34" s="67" t="n">
        <f aca="false">AZ121-AZ118</f>
        <v>-6502.46382933333</v>
      </c>
      <c r="BA34" s="67" t="n">
        <f aca="false">BA121-BA118</f>
        <v>-6502.46382933333</v>
      </c>
      <c r="BB34" s="67" t="n">
        <f aca="false">BB121-BB118</f>
        <v>-6502.46382933333</v>
      </c>
      <c r="BC34" s="67" t="n">
        <f aca="false">BC121-BC118</f>
        <v>-6502.46382933333</v>
      </c>
      <c r="BD34" s="67" t="n">
        <f aca="false">BD121-BD118</f>
        <v>-6502.46382933333</v>
      </c>
      <c r="BE34" s="67" t="n">
        <f aca="false">BE121-BE118</f>
        <v>-6502.46382933333</v>
      </c>
      <c r="BF34" s="67" t="n">
        <f aca="false">BF121-BF118</f>
        <v>-6502.46382933333</v>
      </c>
      <c r="BG34" s="67" t="n">
        <f aca="false">BG121-BG118</f>
        <v>-6502.46382933333</v>
      </c>
      <c r="BH34" s="67" t="n">
        <f aca="false">BH121-BH118</f>
        <v>-6502.46382933333</v>
      </c>
      <c r="BI34" s="67" t="n">
        <f aca="false">BI121-BI118</f>
        <v>-6502.46382933333</v>
      </c>
      <c r="BJ34" s="67" t="n">
        <f aca="false">BJ121-BJ118</f>
        <v>-6502.46382933333</v>
      </c>
    </row>
    <row r="35" customFormat="false" ht="15" hidden="false" customHeight="false" outlineLevel="0" collapsed="false">
      <c r="A35" s="6" t="s">
        <v>329</v>
      </c>
      <c r="C35" s="67" t="n">
        <f aca="false">-Inputs!$B$29*(1+Inputs!$B$30)^(C$7-1)*1</f>
        <v>-0</v>
      </c>
      <c r="D35" s="67" t="n">
        <f aca="false">-Inputs!$B$29*(1+Inputs!$B$30)^(D$7-1)*1</f>
        <v>-0</v>
      </c>
      <c r="E35" s="67" t="n">
        <f aca="false">-Inputs!$B$29*(1+Inputs!$B$30)^(E$7-1)*1</f>
        <v>-0</v>
      </c>
      <c r="F35" s="67" t="n">
        <f aca="false">-Inputs!$B$29*(1+Inputs!$B$30)^(F$7-1)*1</f>
        <v>-0</v>
      </c>
      <c r="G35" s="67" t="n">
        <f aca="false">-Inputs!$B$29*(1+Inputs!$B$30)^(G$7-1)*1</f>
        <v>-0</v>
      </c>
      <c r="H35" s="67" t="n">
        <f aca="false">-Inputs!$B$29*(1+Inputs!$B$30)^(H$7-1)*1</f>
        <v>-0</v>
      </c>
      <c r="I35" s="67" t="n">
        <f aca="false">-Inputs!$B$29*(1+Inputs!$B$30)^(I$7-1)*1</f>
        <v>-0</v>
      </c>
      <c r="J35" s="67" t="n">
        <f aca="false">-Inputs!$B$29*(1+Inputs!$B$30)^(J$7-1)*1</f>
        <v>-0</v>
      </c>
      <c r="K35" s="67" t="n">
        <f aca="false">-Inputs!$B$29*(1+Inputs!$B$30)^(K$7-1)*1</f>
        <v>-0</v>
      </c>
      <c r="L35" s="67" t="n">
        <f aca="false">-Inputs!$B$29*(1+Inputs!$B$30)^(L$7-1)*1</f>
        <v>-0</v>
      </c>
      <c r="M35" s="67" t="n">
        <f aca="false">-Inputs!$B$29*(1+Inputs!$B$30)^(M$7-1)*1</f>
        <v>-0</v>
      </c>
      <c r="N35" s="67" t="n">
        <f aca="false">-Inputs!$B$29*(1+Inputs!$B$30)^(N$7-1)*1</f>
        <v>-0</v>
      </c>
      <c r="O35" s="67" t="n">
        <f aca="false">-Inputs!$B$29*(1+Inputs!$B$30)^(O$7-1)*1</f>
        <v>-0</v>
      </c>
      <c r="P35" s="67" t="n">
        <f aca="false">-Inputs!$B$29*(1+Inputs!$B$30)^(P$7-1)*1</f>
        <v>-0</v>
      </c>
      <c r="Q35" s="67" t="n">
        <f aca="false">-Inputs!$B$29*(1+Inputs!$B$30)^(Q$7-1)*1</f>
        <v>-0</v>
      </c>
      <c r="R35" s="67" t="n">
        <f aca="false">-Inputs!$B$29*(1+Inputs!$B$30)^(R$7-1)*1</f>
        <v>-0</v>
      </c>
      <c r="S35" s="67" t="n">
        <f aca="false">-Inputs!$B$29*(1+Inputs!$B$30)^(S$7-1)*1</f>
        <v>-0</v>
      </c>
      <c r="T35" s="67" t="n">
        <f aca="false">-Inputs!$B$29*(1+Inputs!$B$30)^(T$7-1)*1</f>
        <v>-0</v>
      </c>
      <c r="U35" s="67" t="n">
        <f aca="false">-Inputs!$B$29*(1+Inputs!$B$30)^(U$7-1)*1</f>
        <v>-0</v>
      </c>
      <c r="V35" s="67" t="n">
        <f aca="false">-Inputs!$B$29*(1+Inputs!$B$30)^(V$7-1)*1</f>
        <v>-0</v>
      </c>
      <c r="W35" s="67" t="n">
        <f aca="false">-Inputs!$B$29*(1+Inputs!$B$30)^(W$7-1)*1</f>
        <v>-0</v>
      </c>
      <c r="X35" s="67" t="n">
        <f aca="false">-Inputs!$B$29*(1+Inputs!$B$30)^(X$7-1)*1</f>
        <v>-0</v>
      </c>
      <c r="Y35" s="67" t="n">
        <f aca="false">-Inputs!$B$29*(1+Inputs!$B$30)^(Y$7-1)*1</f>
        <v>-0</v>
      </c>
      <c r="Z35" s="67" t="n">
        <f aca="false">-Inputs!$B$29*(1+Inputs!$B$30)^(Z$7-1)*1</f>
        <v>-0</v>
      </c>
      <c r="AA35" s="67" t="n">
        <f aca="false">-Inputs!$B$29*(1+Inputs!$B$30)^(AA$7-1)*1</f>
        <v>-0</v>
      </c>
      <c r="AB35" s="67" t="n">
        <f aca="false">-Inputs!$B$29*(1+Inputs!$B$30)^(AB$7-1)*1</f>
        <v>-0</v>
      </c>
      <c r="AC35" s="67" t="n">
        <f aca="false">-Inputs!$B$29*(1+Inputs!$B$30)^(AC$7-1)*1</f>
        <v>-0</v>
      </c>
      <c r="AD35" s="67" t="n">
        <f aca="false">-Inputs!$B$29*(1+Inputs!$B$30)^(AD$7-1)*1</f>
        <v>-0</v>
      </c>
      <c r="AE35" s="67" t="n">
        <f aca="false">-Inputs!$B$29*(1+Inputs!$B$30)^(AE$7-1)*1</f>
        <v>-0</v>
      </c>
      <c r="AF35" s="67" t="n">
        <f aca="false">-Inputs!$B$29*(1+Inputs!$B$30)^(AF$7-1)*1</f>
        <v>-0</v>
      </c>
      <c r="AG35" s="67" t="n">
        <f aca="false">-Inputs!$B$29*(1+Inputs!$B$30)^(AG$7-1)*1</f>
        <v>-0</v>
      </c>
      <c r="AH35" s="67" t="n">
        <f aca="false">-Inputs!$B$29*(1+Inputs!$B$30)^(AH$7-1)*1</f>
        <v>-0</v>
      </c>
      <c r="AI35" s="67" t="n">
        <f aca="false">-Inputs!$B$29*(1+Inputs!$B$30)^(AI$7-1)*1</f>
        <v>-0</v>
      </c>
      <c r="AJ35" s="67" t="n">
        <f aca="false">-Inputs!$B$29*(1+Inputs!$B$30)^(AJ$7-1)*1</f>
        <v>-0</v>
      </c>
      <c r="AK35" s="67" t="n">
        <f aca="false">-Inputs!$B$29*(1+Inputs!$B$30)^(AK$7-1)*1</f>
        <v>-0</v>
      </c>
      <c r="AL35" s="67" t="n">
        <f aca="false">-Inputs!$B$29*(1+Inputs!$B$30)^(AL$7-1)*1</f>
        <v>-0</v>
      </c>
      <c r="AM35" s="67" t="n">
        <f aca="false">-Inputs!$B$29*(1+Inputs!$B$30)^(AM$7-1)*1</f>
        <v>-0</v>
      </c>
      <c r="AN35" s="67" t="n">
        <f aca="false">-Inputs!$B$29*(1+Inputs!$B$30)^(AN$7-1)*1</f>
        <v>-0</v>
      </c>
      <c r="AO35" s="67" t="n">
        <f aca="false">-Inputs!$B$29*(1+Inputs!$B$30)^(AO$7-1)*1</f>
        <v>-0</v>
      </c>
      <c r="AP35" s="67" t="n">
        <f aca="false">-Inputs!$B$29*(1+Inputs!$B$30)^(AP$7-1)*1</f>
        <v>-0</v>
      </c>
      <c r="AQ35" s="67" t="n">
        <f aca="false">-Inputs!$B$29*(1+Inputs!$B$30)^(AQ$7-1)*1</f>
        <v>-0</v>
      </c>
      <c r="AR35" s="67" t="n">
        <f aca="false">-Inputs!$B$29*(1+Inputs!$B$30)^(AR$7-1)*1</f>
        <v>-0</v>
      </c>
      <c r="AS35" s="67" t="n">
        <f aca="false">-Inputs!$B$29*(1+Inputs!$B$30)^(AS$7-1)*1</f>
        <v>-0</v>
      </c>
      <c r="AT35" s="67" t="n">
        <f aca="false">-Inputs!$B$29*(1+Inputs!$B$30)^(AT$7-1)*1</f>
        <v>-0</v>
      </c>
      <c r="AU35" s="67" t="n">
        <f aca="false">-Inputs!$B$29*(1+Inputs!$B$30)^(AU$7-1)*1</f>
        <v>-0</v>
      </c>
      <c r="AV35" s="67" t="n">
        <f aca="false">-Inputs!$B$29*(1+Inputs!$B$30)^(AV$7-1)*1</f>
        <v>-0</v>
      </c>
      <c r="AW35" s="67" t="n">
        <f aca="false">-Inputs!$B$29*(1+Inputs!$B$30)^(AW$7-1)*1</f>
        <v>-0</v>
      </c>
      <c r="AX35" s="67" t="n">
        <f aca="false">-Inputs!$B$29*(1+Inputs!$B$30)^(AX$7-1)*1</f>
        <v>-0</v>
      </c>
      <c r="AY35" s="67" t="n">
        <f aca="false">-Inputs!$B$29*(1+Inputs!$B$30)^(AY$7-1)*1</f>
        <v>-0</v>
      </c>
      <c r="AZ35" s="67" t="n">
        <f aca="false">-Inputs!$B$29*(1+Inputs!$B$30)^(AZ$7-1)*1</f>
        <v>-0</v>
      </c>
      <c r="BA35" s="67" t="n">
        <f aca="false">-Inputs!$B$29*(1+Inputs!$B$30)^(BA$7-1)*1</f>
        <v>-0</v>
      </c>
      <c r="BB35" s="67" t="n">
        <f aca="false">-Inputs!$B$29*(1+Inputs!$B$30)^(BB$7-1)*1</f>
        <v>-0</v>
      </c>
      <c r="BC35" s="67" t="n">
        <f aca="false">-Inputs!$B$29*(1+Inputs!$B$30)^(BC$7-1)*1</f>
        <v>-0</v>
      </c>
      <c r="BD35" s="67" t="n">
        <f aca="false">-Inputs!$B$29*(1+Inputs!$B$30)^(BD$7-1)*1</f>
        <v>-0</v>
      </c>
      <c r="BE35" s="67" t="n">
        <f aca="false">-Inputs!$B$29*(1+Inputs!$B$30)^(BE$7-1)*1</f>
        <v>-0</v>
      </c>
      <c r="BF35" s="67" t="n">
        <f aca="false">-Inputs!$B$29*(1+Inputs!$B$30)^(BF$7-1)*1</f>
        <v>-0</v>
      </c>
      <c r="BG35" s="67" t="n">
        <f aca="false">-Inputs!$B$29*(1+Inputs!$B$30)^(BG$7-1)*1</f>
        <v>-0</v>
      </c>
      <c r="BH35" s="67" t="n">
        <f aca="false">-Inputs!$B$29*(1+Inputs!$B$30)^(BH$7-1)*1</f>
        <v>-0</v>
      </c>
      <c r="BI35" s="67" t="n">
        <f aca="false">-Inputs!$B$29*(1+Inputs!$B$30)^(BI$7-1)*1</f>
        <v>-0</v>
      </c>
      <c r="BJ35" s="67" t="n">
        <f aca="false">-Inputs!$B$29*(1+Inputs!$B$30)^(BJ$7-1)*1</f>
        <v>-0</v>
      </c>
    </row>
    <row r="36" customFormat="false" ht="15" hidden="false" customHeight="false" outlineLevel="0" collapsed="false">
      <c r="A36" s="6" t="s">
        <v>330</v>
      </c>
      <c r="C36" s="67" t="n">
        <f aca="false">-Inputs!$B$31/12*(1+Inputs!$B$39)^(C$7-1)*1</f>
        <v>-666.666666666667</v>
      </c>
      <c r="D36" s="67" t="n">
        <f aca="false">-Inputs!$B$31/12*(1+Inputs!$B$39)^(D$7-1)*1</f>
        <v>-666.666666666667</v>
      </c>
      <c r="E36" s="67" t="n">
        <f aca="false">-Inputs!$B$31/12*(1+Inputs!$B$39)^(E$7-1)*1</f>
        <v>-666.666666666667</v>
      </c>
      <c r="F36" s="67" t="n">
        <f aca="false">-Inputs!$B$31/12*(1+Inputs!$B$39)^(F$7-1)*1</f>
        <v>-666.666666666667</v>
      </c>
      <c r="G36" s="67" t="n">
        <f aca="false">-Inputs!$B$31/12*(1+Inputs!$B$39)^(G$7-1)*1</f>
        <v>-666.666666666667</v>
      </c>
      <c r="H36" s="67" t="n">
        <f aca="false">-Inputs!$B$31/12*(1+Inputs!$B$39)^(H$7-1)*1</f>
        <v>-666.666666666667</v>
      </c>
      <c r="I36" s="67" t="n">
        <f aca="false">-Inputs!$B$31/12*(1+Inputs!$B$39)^(I$7-1)*1</f>
        <v>-666.666666666667</v>
      </c>
      <c r="J36" s="67" t="n">
        <f aca="false">-Inputs!$B$31/12*(1+Inputs!$B$39)^(J$7-1)*1</f>
        <v>-666.666666666667</v>
      </c>
      <c r="K36" s="67" t="n">
        <f aca="false">-Inputs!$B$31/12*(1+Inputs!$B$39)^(K$7-1)*1</f>
        <v>-666.666666666667</v>
      </c>
      <c r="L36" s="67" t="n">
        <f aca="false">-Inputs!$B$31/12*(1+Inputs!$B$39)^(L$7-1)*1</f>
        <v>-666.666666666667</v>
      </c>
      <c r="M36" s="67" t="n">
        <f aca="false">-Inputs!$B$31/12*(1+Inputs!$B$39)^(M$7-1)*1</f>
        <v>-666.666666666667</v>
      </c>
      <c r="N36" s="67" t="n">
        <f aca="false">-Inputs!$B$31/12*(1+Inputs!$B$39)^(N$7-1)*1</f>
        <v>-666.666666666667</v>
      </c>
      <c r="O36" s="67" t="n">
        <f aca="false">-Inputs!$B$31/12*(1+Inputs!$B$39)^(O$7-1)*1</f>
        <v>-693.333333333333</v>
      </c>
      <c r="P36" s="67" t="n">
        <f aca="false">-Inputs!$B$31/12*(1+Inputs!$B$39)^(P$7-1)*1</f>
        <v>-693.333333333333</v>
      </c>
      <c r="Q36" s="67" t="n">
        <f aca="false">-Inputs!$B$31/12*(1+Inputs!$B$39)^(Q$7-1)*1</f>
        <v>-693.333333333333</v>
      </c>
      <c r="R36" s="67" t="n">
        <f aca="false">-Inputs!$B$31/12*(1+Inputs!$B$39)^(R$7-1)*1</f>
        <v>-693.333333333333</v>
      </c>
      <c r="S36" s="67" t="n">
        <f aca="false">-Inputs!$B$31/12*(1+Inputs!$B$39)^(S$7-1)*1</f>
        <v>-693.333333333333</v>
      </c>
      <c r="T36" s="67" t="n">
        <f aca="false">-Inputs!$B$31/12*(1+Inputs!$B$39)^(T$7-1)*1</f>
        <v>-693.333333333333</v>
      </c>
      <c r="U36" s="67" t="n">
        <f aca="false">-Inputs!$B$31/12*(1+Inputs!$B$39)^(U$7-1)*1</f>
        <v>-693.333333333333</v>
      </c>
      <c r="V36" s="67" t="n">
        <f aca="false">-Inputs!$B$31/12*(1+Inputs!$B$39)^(V$7-1)*1</f>
        <v>-693.333333333333</v>
      </c>
      <c r="W36" s="67" t="n">
        <f aca="false">-Inputs!$B$31/12*(1+Inputs!$B$39)^(W$7-1)*1</f>
        <v>-693.333333333333</v>
      </c>
      <c r="X36" s="67" t="n">
        <f aca="false">-Inputs!$B$31/12*(1+Inputs!$B$39)^(X$7-1)*1</f>
        <v>-693.333333333333</v>
      </c>
      <c r="Y36" s="67" t="n">
        <f aca="false">-Inputs!$B$31/12*(1+Inputs!$B$39)^(Y$7-1)*1</f>
        <v>-693.333333333333</v>
      </c>
      <c r="Z36" s="67" t="n">
        <f aca="false">-Inputs!$B$31/12*(1+Inputs!$B$39)^(Z$7-1)*1</f>
        <v>-693.333333333333</v>
      </c>
      <c r="AA36" s="67" t="n">
        <f aca="false">-Inputs!$B$31/12*(1+Inputs!$B$39)^(AA$7-1)*1</f>
        <v>-721.066666666667</v>
      </c>
      <c r="AB36" s="67" t="n">
        <f aca="false">-Inputs!$B$31/12*(1+Inputs!$B$39)^(AB$7-1)*1</f>
        <v>-721.066666666667</v>
      </c>
      <c r="AC36" s="67" t="n">
        <f aca="false">-Inputs!$B$31/12*(1+Inputs!$B$39)^(AC$7-1)*1</f>
        <v>-721.066666666667</v>
      </c>
      <c r="AD36" s="67" t="n">
        <f aca="false">-Inputs!$B$31/12*(1+Inputs!$B$39)^(AD$7-1)*1</f>
        <v>-721.066666666667</v>
      </c>
      <c r="AE36" s="67" t="n">
        <f aca="false">-Inputs!$B$31/12*(1+Inputs!$B$39)^(AE$7-1)*1</f>
        <v>-721.066666666667</v>
      </c>
      <c r="AF36" s="67" t="n">
        <f aca="false">-Inputs!$B$31/12*(1+Inputs!$B$39)^(AF$7-1)*1</f>
        <v>-721.066666666667</v>
      </c>
      <c r="AG36" s="67" t="n">
        <f aca="false">-Inputs!$B$31/12*(1+Inputs!$B$39)^(AG$7-1)*1</f>
        <v>-721.066666666667</v>
      </c>
      <c r="AH36" s="67" t="n">
        <f aca="false">-Inputs!$B$31/12*(1+Inputs!$B$39)^(AH$7-1)*1</f>
        <v>-721.066666666667</v>
      </c>
      <c r="AI36" s="67" t="n">
        <f aca="false">-Inputs!$B$31/12*(1+Inputs!$B$39)^(AI$7-1)*1</f>
        <v>-721.066666666667</v>
      </c>
      <c r="AJ36" s="67" t="n">
        <f aca="false">-Inputs!$B$31/12*(1+Inputs!$B$39)^(AJ$7-1)*1</f>
        <v>-721.066666666667</v>
      </c>
      <c r="AK36" s="67" t="n">
        <f aca="false">-Inputs!$B$31/12*(1+Inputs!$B$39)^(AK$7-1)*1</f>
        <v>-721.066666666667</v>
      </c>
      <c r="AL36" s="67" t="n">
        <f aca="false">-Inputs!$B$31/12*(1+Inputs!$B$39)^(AL$7-1)*1</f>
        <v>-721.066666666667</v>
      </c>
      <c r="AM36" s="67" t="n">
        <f aca="false">-Inputs!$B$31/12*(1+Inputs!$B$39)^(AM$7-1)*1</f>
        <v>-749.909333333333</v>
      </c>
      <c r="AN36" s="67" t="n">
        <f aca="false">-Inputs!$B$31/12*(1+Inputs!$B$39)^(AN$7-1)*1</f>
        <v>-749.909333333333</v>
      </c>
      <c r="AO36" s="67" t="n">
        <f aca="false">-Inputs!$B$31/12*(1+Inputs!$B$39)^(AO$7-1)*1</f>
        <v>-749.909333333333</v>
      </c>
      <c r="AP36" s="67" t="n">
        <f aca="false">-Inputs!$B$31/12*(1+Inputs!$B$39)^(AP$7-1)*1</f>
        <v>-749.909333333333</v>
      </c>
      <c r="AQ36" s="67" t="n">
        <f aca="false">-Inputs!$B$31/12*(1+Inputs!$B$39)^(AQ$7-1)*1</f>
        <v>-749.909333333333</v>
      </c>
      <c r="AR36" s="67" t="n">
        <f aca="false">-Inputs!$B$31/12*(1+Inputs!$B$39)^(AR$7-1)*1</f>
        <v>-749.909333333333</v>
      </c>
      <c r="AS36" s="67" t="n">
        <f aca="false">-Inputs!$B$31/12*(1+Inputs!$B$39)^(AS$7-1)*1</f>
        <v>-749.909333333333</v>
      </c>
      <c r="AT36" s="67" t="n">
        <f aca="false">-Inputs!$B$31/12*(1+Inputs!$B$39)^(AT$7-1)*1</f>
        <v>-749.909333333333</v>
      </c>
      <c r="AU36" s="67" t="n">
        <f aca="false">-Inputs!$B$31/12*(1+Inputs!$B$39)^(AU$7-1)*1</f>
        <v>-749.909333333333</v>
      </c>
      <c r="AV36" s="67" t="n">
        <f aca="false">-Inputs!$B$31/12*(1+Inputs!$B$39)^(AV$7-1)*1</f>
        <v>-749.909333333333</v>
      </c>
      <c r="AW36" s="67" t="n">
        <f aca="false">-Inputs!$B$31/12*(1+Inputs!$B$39)^(AW$7-1)*1</f>
        <v>-749.909333333333</v>
      </c>
      <c r="AX36" s="67" t="n">
        <f aca="false">-Inputs!$B$31/12*(1+Inputs!$B$39)^(AX$7-1)*1</f>
        <v>-749.909333333333</v>
      </c>
      <c r="AY36" s="67" t="n">
        <f aca="false">-Inputs!$B$31/12*(1+Inputs!$B$39)^(AY$7-1)*1</f>
        <v>-779.905706666667</v>
      </c>
      <c r="AZ36" s="67" t="n">
        <f aca="false">-Inputs!$B$31/12*(1+Inputs!$B$39)^(AZ$7-1)*1</f>
        <v>-779.905706666667</v>
      </c>
      <c r="BA36" s="67" t="n">
        <f aca="false">-Inputs!$B$31/12*(1+Inputs!$B$39)^(BA$7-1)*1</f>
        <v>-779.905706666667</v>
      </c>
      <c r="BB36" s="67" t="n">
        <f aca="false">-Inputs!$B$31/12*(1+Inputs!$B$39)^(BB$7-1)*1</f>
        <v>-779.905706666667</v>
      </c>
      <c r="BC36" s="67" t="n">
        <f aca="false">-Inputs!$B$31/12*(1+Inputs!$B$39)^(BC$7-1)*1</f>
        <v>-779.905706666667</v>
      </c>
      <c r="BD36" s="67" t="n">
        <f aca="false">-Inputs!$B$31/12*(1+Inputs!$B$39)^(BD$7-1)*1</f>
        <v>-779.905706666667</v>
      </c>
      <c r="BE36" s="67" t="n">
        <f aca="false">-Inputs!$B$31/12*(1+Inputs!$B$39)^(BE$7-1)*1</f>
        <v>-779.905706666667</v>
      </c>
      <c r="BF36" s="67" t="n">
        <f aca="false">-Inputs!$B$31/12*(1+Inputs!$B$39)^(BF$7-1)*1</f>
        <v>-779.905706666667</v>
      </c>
      <c r="BG36" s="67" t="n">
        <f aca="false">-Inputs!$B$31/12*(1+Inputs!$B$39)^(BG$7-1)*1</f>
        <v>-779.905706666667</v>
      </c>
      <c r="BH36" s="67" t="n">
        <f aca="false">-Inputs!$B$31/12*(1+Inputs!$B$39)^(BH$7-1)*1</f>
        <v>-779.905706666667</v>
      </c>
      <c r="BI36" s="67" t="n">
        <f aca="false">-Inputs!$B$31/12*(1+Inputs!$B$39)^(BI$7-1)*1</f>
        <v>-779.905706666667</v>
      </c>
      <c r="BJ36" s="67" t="n">
        <f aca="false">-Inputs!$B$31/12*(1+Inputs!$B$39)^(BJ$7-1)*1</f>
        <v>-779.905706666667</v>
      </c>
    </row>
    <row r="37" customFormat="false" ht="15" hidden="false" customHeight="false" outlineLevel="0" collapsed="false">
      <c r="A37" s="6" t="s">
        <v>331</v>
      </c>
      <c r="C37" s="67" t="n">
        <f aca="false">-Inputs!$B$32*(1+Inputs!$B$39)^(C$7-1)*1</f>
        <v>-700</v>
      </c>
      <c r="D37" s="67" t="n">
        <f aca="false">-Inputs!$B$32*(1+Inputs!$B$39)^(D$7-1)*1</f>
        <v>-700</v>
      </c>
      <c r="E37" s="67" t="n">
        <f aca="false">-Inputs!$B$32*(1+Inputs!$B$39)^(E$7-1)*1</f>
        <v>-700</v>
      </c>
      <c r="F37" s="67" t="n">
        <f aca="false">-Inputs!$B$32*(1+Inputs!$B$39)^(F$7-1)*1</f>
        <v>-700</v>
      </c>
      <c r="G37" s="67" t="n">
        <f aca="false">-Inputs!$B$32*(1+Inputs!$B$39)^(G$7-1)*1</f>
        <v>-700</v>
      </c>
      <c r="H37" s="67" t="n">
        <f aca="false">-Inputs!$B$32*(1+Inputs!$B$39)^(H$7-1)*1</f>
        <v>-700</v>
      </c>
      <c r="I37" s="67" t="n">
        <f aca="false">-Inputs!$B$32*(1+Inputs!$B$39)^(I$7-1)*1</f>
        <v>-700</v>
      </c>
      <c r="J37" s="67" t="n">
        <f aca="false">-Inputs!$B$32*(1+Inputs!$B$39)^(J$7-1)*1</f>
        <v>-700</v>
      </c>
      <c r="K37" s="67" t="n">
        <f aca="false">-Inputs!$B$32*(1+Inputs!$B$39)^(K$7-1)*1</f>
        <v>-700</v>
      </c>
      <c r="L37" s="67" t="n">
        <f aca="false">-Inputs!$B$32*(1+Inputs!$B$39)^(L$7-1)*1</f>
        <v>-700</v>
      </c>
      <c r="M37" s="67" t="n">
        <f aca="false">-Inputs!$B$32*(1+Inputs!$B$39)^(M$7-1)*1</f>
        <v>-700</v>
      </c>
      <c r="N37" s="67" t="n">
        <f aca="false">-Inputs!$B$32*(1+Inputs!$B$39)^(N$7-1)*1</f>
        <v>-700</v>
      </c>
      <c r="O37" s="67" t="n">
        <f aca="false">-Inputs!$B$32*(1+Inputs!$B$39)^(O$7-1)*1</f>
        <v>-728</v>
      </c>
      <c r="P37" s="67" t="n">
        <f aca="false">-Inputs!$B$32*(1+Inputs!$B$39)^(P$7-1)*1</f>
        <v>-728</v>
      </c>
      <c r="Q37" s="67" t="n">
        <f aca="false">-Inputs!$B$32*(1+Inputs!$B$39)^(Q$7-1)*1</f>
        <v>-728</v>
      </c>
      <c r="R37" s="67" t="n">
        <f aca="false">-Inputs!$B$32*(1+Inputs!$B$39)^(R$7-1)*1</f>
        <v>-728</v>
      </c>
      <c r="S37" s="67" t="n">
        <f aca="false">-Inputs!$B$32*(1+Inputs!$B$39)^(S$7-1)*1</f>
        <v>-728</v>
      </c>
      <c r="T37" s="67" t="n">
        <f aca="false">-Inputs!$B$32*(1+Inputs!$B$39)^(T$7-1)*1</f>
        <v>-728</v>
      </c>
      <c r="U37" s="67" t="n">
        <f aca="false">-Inputs!$B$32*(1+Inputs!$B$39)^(U$7-1)*1</f>
        <v>-728</v>
      </c>
      <c r="V37" s="67" t="n">
        <f aca="false">-Inputs!$B$32*(1+Inputs!$B$39)^(V$7-1)*1</f>
        <v>-728</v>
      </c>
      <c r="W37" s="67" t="n">
        <f aca="false">-Inputs!$B$32*(1+Inputs!$B$39)^(W$7-1)*1</f>
        <v>-728</v>
      </c>
      <c r="X37" s="67" t="n">
        <f aca="false">-Inputs!$B$32*(1+Inputs!$B$39)^(X$7-1)*1</f>
        <v>-728</v>
      </c>
      <c r="Y37" s="67" t="n">
        <f aca="false">-Inputs!$B$32*(1+Inputs!$B$39)^(Y$7-1)*1</f>
        <v>-728</v>
      </c>
      <c r="Z37" s="67" t="n">
        <f aca="false">-Inputs!$B$32*(1+Inputs!$B$39)^(Z$7-1)*1</f>
        <v>-728</v>
      </c>
      <c r="AA37" s="67" t="n">
        <f aca="false">-Inputs!$B$32*(1+Inputs!$B$39)^(AA$7-1)*1</f>
        <v>-757.12</v>
      </c>
      <c r="AB37" s="67" t="n">
        <f aca="false">-Inputs!$B$32*(1+Inputs!$B$39)^(AB$7-1)*1</f>
        <v>-757.12</v>
      </c>
      <c r="AC37" s="67" t="n">
        <f aca="false">-Inputs!$B$32*(1+Inputs!$B$39)^(AC$7-1)*1</f>
        <v>-757.12</v>
      </c>
      <c r="AD37" s="67" t="n">
        <f aca="false">-Inputs!$B$32*(1+Inputs!$B$39)^(AD$7-1)*1</f>
        <v>-757.12</v>
      </c>
      <c r="AE37" s="67" t="n">
        <f aca="false">-Inputs!$B$32*(1+Inputs!$B$39)^(AE$7-1)*1</f>
        <v>-757.12</v>
      </c>
      <c r="AF37" s="67" t="n">
        <f aca="false">-Inputs!$B$32*(1+Inputs!$B$39)^(AF$7-1)*1</f>
        <v>-757.12</v>
      </c>
      <c r="AG37" s="67" t="n">
        <f aca="false">-Inputs!$B$32*(1+Inputs!$B$39)^(AG$7-1)*1</f>
        <v>-757.12</v>
      </c>
      <c r="AH37" s="67" t="n">
        <f aca="false">-Inputs!$B$32*(1+Inputs!$B$39)^(AH$7-1)*1</f>
        <v>-757.12</v>
      </c>
      <c r="AI37" s="67" t="n">
        <f aca="false">-Inputs!$B$32*(1+Inputs!$B$39)^(AI$7-1)*1</f>
        <v>-757.12</v>
      </c>
      <c r="AJ37" s="67" t="n">
        <f aca="false">-Inputs!$B$32*(1+Inputs!$B$39)^(AJ$7-1)*1</f>
        <v>-757.12</v>
      </c>
      <c r="AK37" s="67" t="n">
        <f aca="false">-Inputs!$B$32*(1+Inputs!$B$39)^(AK$7-1)*1</f>
        <v>-757.12</v>
      </c>
      <c r="AL37" s="67" t="n">
        <f aca="false">-Inputs!$B$32*(1+Inputs!$B$39)^(AL$7-1)*1</f>
        <v>-757.12</v>
      </c>
      <c r="AM37" s="67" t="n">
        <f aca="false">-Inputs!$B$32*(1+Inputs!$B$39)^(AM$7-1)*1</f>
        <v>-787.4048</v>
      </c>
      <c r="AN37" s="67" t="n">
        <f aca="false">-Inputs!$B$32*(1+Inputs!$B$39)^(AN$7-1)*1</f>
        <v>-787.4048</v>
      </c>
      <c r="AO37" s="67" t="n">
        <f aca="false">-Inputs!$B$32*(1+Inputs!$B$39)^(AO$7-1)*1</f>
        <v>-787.4048</v>
      </c>
      <c r="AP37" s="67" t="n">
        <f aca="false">-Inputs!$B$32*(1+Inputs!$B$39)^(AP$7-1)*1</f>
        <v>-787.4048</v>
      </c>
      <c r="AQ37" s="67" t="n">
        <f aca="false">-Inputs!$B$32*(1+Inputs!$B$39)^(AQ$7-1)*1</f>
        <v>-787.4048</v>
      </c>
      <c r="AR37" s="67" t="n">
        <f aca="false">-Inputs!$B$32*(1+Inputs!$B$39)^(AR$7-1)*1</f>
        <v>-787.4048</v>
      </c>
      <c r="AS37" s="67" t="n">
        <f aca="false">-Inputs!$B$32*(1+Inputs!$B$39)^(AS$7-1)*1</f>
        <v>-787.4048</v>
      </c>
      <c r="AT37" s="67" t="n">
        <f aca="false">-Inputs!$B$32*(1+Inputs!$B$39)^(AT$7-1)*1</f>
        <v>-787.4048</v>
      </c>
      <c r="AU37" s="67" t="n">
        <f aca="false">-Inputs!$B$32*(1+Inputs!$B$39)^(AU$7-1)*1</f>
        <v>-787.4048</v>
      </c>
      <c r="AV37" s="67" t="n">
        <f aca="false">-Inputs!$B$32*(1+Inputs!$B$39)^(AV$7-1)*1</f>
        <v>-787.4048</v>
      </c>
      <c r="AW37" s="67" t="n">
        <f aca="false">-Inputs!$B$32*(1+Inputs!$B$39)^(AW$7-1)*1</f>
        <v>-787.4048</v>
      </c>
      <c r="AX37" s="67" t="n">
        <f aca="false">-Inputs!$B$32*(1+Inputs!$B$39)^(AX$7-1)*1</f>
        <v>-787.4048</v>
      </c>
      <c r="AY37" s="67" t="n">
        <f aca="false">-Inputs!$B$32*(1+Inputs!$B$39)^(AY$7-1)*1</f>
        <v>-818.900992</v>
      </c>
      <c r="AZ37" s="67" t="n">
        <f aca="false">-Inputs!$B$32*(1+Inputs!$B$39)^(AZ$7-1)*1</f>
        <v>-818.900992</v>
      </c>
      <c r="BA37" s="67" t="n">
        <f aca="false">-Inputs!$B$32*(1+Inputs!$B$39)^(BA$7-1)*1</f>
        <v>-818.900992</v>
      </c>
      <c r="BB37" s="67" t="n">
        <f aca="false">-Inputs!$B$32*(1+Inputs!$B$39)^(BB$7-1)*1</f>
        <v>-818.900992</v>
      </c>
      <c r="BC37" s="67" t="n">
        <f aca="false">-Inputs!$B$32*(1+Inputs!$B$39)^(BC$7-1)*1</f>
        <v>-818.900992</v>
      </c>
      <c r="BD37" s="67" t="n">
        <f aca="false">-Inputs!$B$32*(1+Inputs!$B$39)^(BD$7-1)*1</f>
        <v>-818.900992</v>
      </c>
      <c r="BE37" s="67" t="n">
        <f aca="false">-Inputs!$B$32*(1+Inputs!$B$39)^(BE$7-1)*1</f>
        <v>-818.900992</v>
      </c>
      <c r="BF37" s="67" t="n">
        <f aca="false">-Inputs!$B$32*(1+Inputs!$B$39)^(BF$7-1)*1</f>
        <v>-818.900992</v>
      </c>
      <c r="BG37" s="67" t="n">
        <f aca="false">-Inputs!$B$32*(1+Inputs!$B$39)^(BG$7-1)*1</f>
        <v>-818.900992</v>
      </c>
      <c r="BH37" s="67" t="n">
        <f aca="false">-Inputs!$B$32*(1+Inputs!$B$39)^(BH$7-1)*1</f>
        <v>-818.900992</v>
      </c>
      <c r="BI37" s="67" t="n">
        <f aca="false">-Inputs!$B$32*(1+Inputs!$B$39)^(BI$7-1)*1</f>
        <v>-818.900992</v>
      </c>
      <c r="BJ37" s="67" t="n">
        <f aca="false">-Inputs!$B$32*(1+Inputs!$B$39)^(BJ$7-1)*1</f>
        <v>-818.900992</v>
      </c>
    </row>
    <row r="38" customFormat="false" ht="15" hidden="false" customHeight="false" outlineLevel="0" collapsed="false">
      <c r="A38" s="6" t="s">
        <v>332</v>
      </c>
      <c r="C38" s="67" t="n">
        <f aca="false">-Inputs!$B$33*(1+Inputs!$B$39)^(C$7-1)*1</f>
        <v>-1800</v>
      </c>
      <c r="D38" s="67" t="n">
        <f aca="false">-Inputs!$B$33*(1+Inputs!$B$39)^(D$7-1)*1</f>
        <v>-1800</v>
      </c>
      <c r="E38" s="67" t="n">
        <f aca="false">-Inputs!$B$33*(1+Inputs!$B$39)^(E$7-1)*1</f>
        <v>-1800</v>
      </c>
      <c r="F38" s="67" t="n">
        <f aca="false">-Inputs!$B$33*(1+Inputs!$B$39)^(F$7-1)*1</f>
        <v>-1800</v>
      </c>
      <c r="G38" s="67" t="n">
        <f aca="false">-Inputs!$B$33*(1+Inputs!$B$39)^(G$7-1)*1</f>
        <v>-1800</v>
      </c>
      <c r="H38" s="67" t="n">
        <f aca="false">-Inputs!$B$33*(1+Inputs!$B$39)^(H$7-1)*1</f>
        <v>-1800</v>
      </c>
      <c r="I38" s="67" t="n">
        <f aca="false">-Inputs!$B$33*(1+Inputs!$B$39)^(I$7-1)*1</f>
        <v>-1800</v>
      </c>
      <c r="J38" s="67" t="n">
        <f aca="false">-Inputs!$B$33*(1+Inputs!$B$39)^(J$7-1)*1</f>
        <v>-1800</v>
      </c>
      <c r="K38" s="67" t="n">
        <f aca="false">-Inputs!$B$33*(1+Inputs!$B$39)^(K$7-1)*1</f>
        <v>-1800</v>
      </c>
      <c r="L38" s="67" t="n">
        <f aca="false">-Inputs!$B$33*(1+Inputs!$B$39)^(L$7-1)*1</f>
        <v>-1800</v>
      </c>
      <c r="M38" s="67" t="n">
        <f aca="false">-Inputs!$B$33*(1+Inputs!$B$39)^(M$7-1)*1</f>
        <v>-1800</v>
      </c>
      <c r="N38" s="67" t="n">
        <f aca="false">-Inputs!$B$33*(1+Inputs!$B$39)^(N$7-1)*1</f>
        <v>-1800</v>
      </c>
      <c r="O38" s="67" t="n">
        <f aca="false">-Inputs!$B$33*(1+Inputs!$B$39)^(O$7-1)*1</f>
        <v>-1872</v>
      </c>
      <c r="P38" s="67" t="n">
        <f aca="false">-Inputs!$B$33*(1+Inputs!$B$39)^(P$7-1)*1</f>
        <v>-1872</v>
      </c>
      <c r="Q38" s="67" t="n">
        <f aca="false">-Inputs!$B$33*(1+Inputs!$B$39)^(Q$7-1)*1</f>
        <v>-1872</v>
      </c>
      <c r="R38" s="67" t="n">
        <f aca="false">-Inputs!$B$33*(1+Inputs!$B$39)^(R$7-1)*1</f>
        <v>-1872</v>
      </c>
      <c r="S38" s="67" t="n">
        <f aca="false">-Inputs!$B$33*(1+Inputs!$B$39)^(S$7-1)*1</f>
        <v>-1872</v>
      </c>
      <c r="T38" s="67" t="n">
        <f aca="false">-Inputs!$B$33*(1+Inputs!$B$39)^(T$7-1)*1</f>
        <v>-1872</v>
      </c>
      <c r="U38" s="67" t="n">
        <f aca="false">-Inputs!$B$33*(1+Inputs!$B$39)^(U$7-1)*1</f>
        <v>-1872</v>
      </c>
      <c r="V38" s="67" t="n">
        <f aca="false">-Inputs!$B$33*(1+Inputs!$B$39)^(V$7-1)*1</f>
        <v>-1872</v>
      </c>
      <c r="W38" s="67" t="n">
        <f aca="false">-Inputs!$B$33*(1+Inputs!$B$39)^(W$7-1)*1</f>
        <v>-1872</v>
      </c>
      <c r="X38" s="67" t="n">
        <f aca="false">-Inputs!$B$33*(1+Inputs!$B$39)^(X$7-1)*1</f>
        <v>-1872</v>
      </c>
      <c r="Y38" s="67" t="n">
        <f aca="false">-Inputs!$B$33*(1+Inputs!$B$39)^(Y$7-1)*1</f>
        <v>-1872</v>
      </c>
      <c r="Z38" s="67" t="n">
        <f aca="false">-Inputs!$B$33*(1+Inputs!$B$39)^(Z$7-1)*1</f>
        <v>-1872</v>
      </c>
      <c r="AA38" s="67" t="n">
        <f aca="false">-Inputs!$B$33*(1+Inputs!$B$39)^(AA$7-1)*1</f>
        <v>-1946.88</v>
      </c>
      <c r="AB38" s="67" t="n">
        <f aca="false">-Inputs!$B$33*(1+Inputs!$B$39)^(AB$7-1)*1</f>
        <v>-1946.88</v>
      </c>
      <c r="AC38" s="67" t="n">
        <f aca="false">-Inputs!$B$33*(1+Inputs!$B$39)^(AC$7-1)*1</f>
        <v>-1946.88</v>
      </c>
      <c r="AD38" s="67" t="n">
        <f aca="false">-Inputs!$B$33*(1+Inputs!$B$39)^(AD$7-1)*1</f>
        <v>-1946.88</v>
      </c>
      <c r="AE38" s="67" t="n">
        <f aca="false">-Inputs!$B$33*(1+Inputs!$B$39)^(AE$7-1)*1</f>
        <v>-1946.88</v>
      </c>
      <c r="AF38" s="67" t="n">
        <f aca="false">-Inputs!$B$33*(1+Inputs!$B$39)^(AF$7-1)*1</f>
        <v>-1946.88</v>
      </c>
      <c r="AG38" s="67" t="n">
        <f aca="false">-Inputs!$B$33*(1+Inputs!$B$39)^(AG$7-1)*1</f>
        <v>-1946.88</v>
      </c>
      <c r="AH38" s="67" t="n">
        <f aca="false">-Inputs!$B$33*(1+Inputs!$B$39)^(AH$7-1)*1</f>
        <v>-1946.88</v>
      </c>
      <c r="AI38" s="67" t="n">
        <f aca="false">-Inputs!$B$33*(1+Inputs!$B$39)^(AI$7-1)*1</f>
        <v>-1946.88</v>
      </c>
      <c r="AJ38" s="67" t="n">
        <f aca="false">-Inputs!$B$33*(1+Inputs!$B$39)^(AJ$7-1)*1</f>
        <v>-1946.88</v>
      </c>
      <c r="AK38" s="67" t="n">
        <f aca="false">-Inputs!$B$33*(1+Inputs!$B$39)^(AK$7-1)*1</f>
        <v>-1946.88</v>
      </c>
      <c r="AL38" s="67" t="n">
        <f aca="false">-Inputs!$B$33*(1+Inputs!$B$39)^(AL$7-1)*1</f>
        <v>-1946.88</v>
      </c>
      <c r="AM38" s="67" t="n">
        <f aca="false">-Inputs!$B$33*(1+Inputs!$B$39)^(AM$7-1)*1</f>
        <v>-2024.7552</v>
      </c>
      <c r="AN38" s="67" t="n">
        <f aca="false">-Inputs!$B$33*(1+Inputs!$B$39)^(AN$7-1)*1</f>
        <v>-2024.7552</v>
      </c>
      <c r="AO38" s="67" t="n">
        <f aca="false">-Inputs!$B$33*(1+Inputs!$B$39)^(AO$7-1)*1</f>
        <v>-2024.7552</v>
      </c>
      <c r="AP38" s="67" t="n">
        <f aca="false">-Inputs!$B$33*(1+Inputs!$B$39)^(AP$7-1)*1</f>
        <v>-2024.7552</v>
      </c>
      <c r="AQ38" s="67" t="n">
        <f aca="false">-Inputs!$B$33*(1+Inputs!$B$39)^(AQ$7-1)*1</f>
        <v>-2024.7552</v>
      </c>
      <c r="AR38" s="67" t="n">
        <f aca="false">-Inputs!$B$33*(1+Inputs!$B$39)^(AR$7-1)*1</f>
        <v>-2024.7552</v>
      </c>
      <c r="AS38" s="67" t="n">
        <f aca="false">-Inputs!$B$33*(1+Inputs!$B$39)^(AS$7-1)*1</f>
        <v>-2024.7552</v>
      </c>
      <c r="AT38" s="67" t="n">
        <f aca="false">-Inputs!$B$33*(1+Inputs!$B$39)^(AT$7-1)*1</f>
        <v>-2024.7552</v>
      </c>
      <c r="AU38" s="67" t="n">
        <f aca="false">-Inputs!$B$33*(1+Inputs!$B$39)^(AU$7-1)*1</f>
        <v>-2024.7552</v>
      </c>
      <c r="AV38" s="67" t="n">
        <f aca="false">-Inputs!$B$33*(1+Inputs!$B$39)^(AV$7-1)*1</f>
        <v>-2024.7552</v>
      </c>
      <c r="AW38" s="67" t="n">
        <f aca="false">-Inputs!$B$33*(1+Inputs!$B$39)^(AW$7-1)*1</f>
        <v>-2024.7552</v>
      </c>
      <c r="AX38" s="67" t="n">
        <f aca="false">-Inputs!$B$33*(1+Inputs!$B$39)^(AX$7-1)*1</f>
        <v>-2024.7552</v>
      </c>
      <c r="AY38" s="67" t="n">
        <f aca="false">-Inputs!$B$33*(1+Inputs!$B$39)^(AY$7-1)*1</f>
        <v>-2105.745408</v>
      </c>
      <c r="AZ38" s="67" t="n">
        <f aca="false">-Inputs!$B$33*(1+Inputs!$B$39)^(AZ$7-1)*1</f>
        <v>-2105.745408</v>
      </c>
      <c r="BA38" s="67" t="n">
        <f aca="false">-Inputs!$B$33*(1+Inputs!$B$39)^(BA$7-1)*1</f>
        <v>-2105.745408</v>
      </c>
      <c r="BB38" s="67" t="n">
        <f aca="false">-Inputs!$B$33*(1+Inputs!$B$39)^(BB$7-1)*1</f>
        <v>-2105.745408</v>
      </c>
      <c r="BC38" s="67" t="n">
        <f aca="false">-Inputs!$B$33*(1+Inputs!$B$39)^(BC$7-1)*1</f>
        <v>-2105.745408</v>
      </c>
      <c r="BD38" s="67" t="n">
        <f aca="false">-Inputs!$B$33*(1+Inputs!$B$39)^(BD$7-1)*1</f>
        <v>-2105.745408</v>
      </c>
      <c r="BE38" s="67" t="n">
        <f aca="false">-Inputs!$B$33*(1+Inputs!$B$39)^(BE$7-1)*1</f>
        <v>-2105.745408</v>
      </c>
      <c r="BF38" s="67" t="n">
        <f aca="false">-Inputs!$B$33*(1+Inputs!$B$39)^(BF$7-1)*1</f>
        <v>-2105.745408</v>
      </c>
      <c r="BG38" s="67" t="n">
        <f aca="false">-Inputs!$B$33*(1+Inputs!$B$39)^(BG$7-1)*1</f>
        <v>-2105.745408</v>
      </c>
      <c r="BH38" s="67" t="n">
        <f aca="false">-Inputs!$B$33*(1+Inputs!$B$39)^(BH$7-1)*1</f>
        <v>-2105.745408</v>
      </c>
      <c r="BI38" s="67" t="n">
        <f aca="false">-Inputs!$B$33*(1+Inputs!$B$39)^(BI$7-1)*1</f>
        <v>-2105.745408</v>
      </c>
      <c r="BJ38" s="67" t="n">
        <f aca="false">-Inputs!$B$33*(1+Inputs!$B$39)^(BJ$7-1)*1</f>
        <v>-2105.745408</v>
      </c>
    </row>
    <row r="39" customFormat="false" ht="15" hidden="false" customHeight="false" outlineLevel="0" collapsed="false">
      <c r="A39" s="6" t="s">
        <v>333</v>
      </c>
      <c r="C39" s="67" t="n">
        <f aca="false">-C22*Inputs!$B$34</f>
        <v>-300.96</v>
      </c>
      <c r="D39" s="67" t="n">
        <f aca="false">-D22*Inputs!$B$34</f>
        <v>-351.12</v>
      </c>
      <c r="E39" s="67" t="n">
        <f aca="false">-E22*Inputs!$B$34</f>
        <v>-401.28</v>
      </c>
      <c r="F39" s="67" t="n">
        <f aca="false">-F22*Inputs!$B$34</f>
        <v>-451.44</v>
      </c>
      <c r="G39" s="67" t="n">
        <f aca="false">-G22*Inputs!$B$34</f>
        <v>-501.6</v>
      </c>
      <c r="H39" s="67" t="n">
        <f aca="false">-H22*Inputs!$B$34</f>
        <v>-752.4</v>
      </c>
      <c r="I39" s="67" t="n">
        <f aca="false">-I22*Inputs!$B$34</f>
        <v>-820.8</v>
      </c>
      <c r="J39" s="67" t="n">
        <f aca="false">-J22*Inputs!$B$34</f>
        <v>-889.2</v>
      </c>
      <c r="K39" s="67" t="n">
        <f aca="false">-K22*Inputs!$B$34</f>
        <v>-702.24</v>
      </c>
      <c r="L39" s="67" t="n">
        <f aca="false">-L22*Inputs!$B$34</f>
        <v>-752.4</v>
      </c>
      <c r="M39" s="67" t="n">
        <f aca="false">-M22*Inputs!$B$34</f>
        <v>-802.56</v>
      </c>
      <c r="N39" s="67" t="n">
        <f aca="false">-N22*Inputs!$B$34</f>
        <v>-852.72</v>
      </c>
      <c r="O39" s="67" t="n">
        <f aca="false">-O22*Inputs!$B$34</f>
        <v>-911.9088</v>
      </c>
      <c r="P39" s="67" t="n">
        <f aca="false">-P22*Inputs!$B$34</f>
        <v>-962.5704</v>
      </c>
      <c r="Q39" s="67" t="n">
        <f aca="false">-Q22*Inputs!$B$34</f>
        <v>-1013.232</v>
      </c>
      <c r="R39" s="67" t="n">
        <f aca="false">-R22*Inputs!$B$34</f>
        <v>-1013.232</v>
      </c>
      <c r="S39" s="67" t="n">
        <f aca="false">-S22*Inputs!$B$34</f>
        <v>-1013.232</v>
      </c>
      <c r="T39" s="67" t="n">
        <f aca="false">-T22*Inputs!$B$34</f>
        <v>-1381.68</v>
      </c>
      <c r="U39" s="67" t="n">
        <f aca="false">-U22*Inputs!$B$34</f>
        <v>-1381.68</v>
      </c>
      <c r="V39" s="67" t="n">
        <f aca="false">-V22*Inputs!$B$34</f>
        <v>-1381.68</v>
      </c>
      <c r="W39" s="67" t="n">
        <f aca="false">-W22*Inputs!$B$34</f>
        <v>-1013.232</v>
      </c>
      <c r="X39" s="67" t="n">
        <f aca="false">-X22*Inputs!$B$34</f>
        <v>-1013.232</v>
      </c>
      <c r="Y39" s="67" t="n">
        <f aca="false">-Y22*Inputs!$B$34</f>
        <v>-1013.232</v>
      </c>
      <c r="Z39" s="67" t="n">
        <f aca="false">-Z22*Inputs!$B$34</f>
        <v>-1013.232</v>
      </c>
      <c r="AA39" s="67" t="n">
        <f aca="false">-AA22*Inputs!$B$34</f>
        <v>-1023.36432</v>
      </c>
      <c r="AB39" s="67" t="n">
        <f aca="false">-AB22*Inputs!$B$34</f>
        <v>-1023.36432</v>
      </c>
      <c r="AC39" s="67" t="n">
        <f aca="false">-AC22*Inputs!$B$34</f>
        <v>-1023.36432</v>
      </c>
      <c r="AD39" s="67" t="n">
        <f aca="false">-AD22*Inputs!$B$34</f>
        <v>-1023.36432</v>
      </c>
      <c r="AE39" s="67" t="n">
        <f aca="false">-AE22*Inputs!$B$34</f>
        <v>-1023.36432</v>
      </c>
      <c r="AF39" s="67" t="n">
        <f aca="false">-AF22*Inputs!$B$34</f>
        <v>-1395.4968</v>
      </c>
      <c r="AG39" s="67" t="n">
        <f aca="false">-AG22*Inputs!$B$34</f>
        <v>-1395.4968</v>
      </c>
      <c r="AH39" s="67" t="n">
        <f aca="false">-AH22*Inputs!$B$34</f>
        <v>-1395.4968</v>
      </c>
      <c r="AI39" s="67" t="n">
        <f aca="false">-AI22*Inputs!$B$34</f>
        <v>-1023.36432</v>
      </c>
      <c r="AJ39" s="67" t="n">
        <f aca="false">-AJ22*Inputs!$B$34</f>
        <v>-1023.36432</v>
      </c>
      <c r="AK39" s="67" t="n">
        <f aca="false">-AK22*Inputs!$B$34</f>
        <v>-1023.36432</v>
      </c>
      <c r="AL39" s="67" t="n">
        <f aca="false">-AL22*Inputs!$B$34</f>
        <v>-1023.36432</v>
      </c>
      <c r="AM39" s="67" t="n">
        <f aca="false">-AM22*Inputs!$B$34</f>
        <v>-1033.5979632</v>
      </c>
      <c r="AN39" s="67" t="n">
        <f aca="false">-AN22*Inputs!$B$34</f>
        <v>-1033.5979632</v>
      </c>
      <c r="AO39" s="67" t="n">
        <f aca="false">-AO22*Inputs!$B$34</f>
        <v>-1033.5979632</v>
      </c>
      <c r="AP39" s="67" t="n">
        <f aca="false">-AP22*Inputs!$B$34</f>
        <v>-1033.5979632</v>
      </c>
      <c r="AQ39" s="67" t="n">
        <f aca="false">-AQ22*Inputs!$B$34</f>
        <v>-1033.5979632</v>
      </c>
      <c r="AR39" s="67" t="n">
        <f aca="false">-AR22*Inputs!$B$34</f>
        <v>-1409.451768</v>
      </c>
      <c r="AS39" s="67" t="n">
        <f aca="false">-AS22*Inputs!$B$34</f>
        <v>-1409.451768</v>
      </c>
      <c r="AT39" s="67" t="n">
        <f aca="false">-AT22*Inputs!$B$34</f>
        <v>-1409.451768</v>
      </c>
      <c r="AU39" s="67" t="n">
        <f aca="false">-AU22*Inputs!$B$34</f>
        <v>-1033.5979632</v>
      </c>
      <c r="AV39" s="67" t="n">
        <f aca="false">-AV22*Inputs!$B$34</f>
        <v>-1033.5979632</v>
      </c>
      <c r="AW39" s="67" t="n">
        <f aca="false">-AW22*Inputs!$B$34</f>
        <v>-1033.5979632</v>
      </c>
      <c r="AX39" s="67" t="n">
        <f aca="false">-AX22*Inputs!$B$34</f>
        <v>-1033.5979632</v>
      </c>
      <c r="AY39" s="67" t="n">
        <f aca="false">-AY22*Inputs!$B$34</f>
        <v>-1043.933942832</v>
      </c>
      <c r="AZ39" s="67" t="n">
        <f aca="false">-AZ22*Inputs!$B$34</f>
        <v>-1043.933942832</v>
      </c>
      <c r="BA39" s="67" t="n">
        <f aca="false">-BA22*Inputs!$B$34</f>
        <v>-1043.933942832</v>
      </c>
      <c r="BB39" s="67" t="n">
        <f aca="false">-BB22*Inputs!$B$34</f>
        <v>-1043.933942832</v>
      </c>
      <c r="BC39" s="67" t="n">
        <f aca="false">-BC22*Inputs!$B$34</f>
        <v>-1043.933942832</v>
      </c>
      <c r="BD39" s="67" t="n">
        <f aca="false">-BD22*Inputs!$B$34</f>
        <v>-1423.54628568</v>
      </c>
      <c r="BE39" s="67" t="n">
        <f aca="false">-BE22*Inputs!$B$34</f>
        <v>-1423.54628568</v>
      </c>
      <c r="BF39" s="67" t="n">
        <f aca="false">-BF22*Inputs!$B$34</f>
        <v>-1423.54628568</v>
      </c>
      <c r="BG39" s="67" t="n">
        <f aca="false">-BG22*Inputs!$B$34</f>
        <v>-1043.933942832</v>
      </c>
      <c r="BH39" s="67" t="n">
        <f aca="false">-BH22*Inputs!$B$34</f>
        <v>-1043.933942832</v>
      </c>
      <c r="BI39" s="67" t="n">
        <f aca="false">-BI22*Inputs!$B$34</f>
        <v>-1043.933942832</v>
      </c>
      <c r="BJ39" s="67" t="n">
        <f aca="false">-BJ22*Inputs!$B$34</f>
        <v>-1043.933942832</v>
      </c>
    </row>
    <row r="40" customFormat="false" ht="15" hidden="false" customHeight="false" outlineLevel="0" collapsed="false">
      <c r="A40" s="6" t="s">
        <v>334</v>
      </c>
      <c r="C40" s="67" t="n">
        <f aca="false">-Inputs!$B$36*(1+Inputs!$B$37)^(C$7-1)*1</f>
        <v>-1500</v>
      </c>
      <c r="D40" s="67" t="n">
        <f aca="false">-Inputs!$B$36*(1+Inputs!$B$37)^(D$7-1)*1</f>
        <v>-1500</v>
      </c>
      <c r="E40" s="67" t="n">
        <f aca="false">-Inputs!$B$36*(1+Inputs!$B$37)^(E$7-1)*1</f>
        <v>-1500</v>
      </c>
      <c r="F40" s="67" t="n">
        <f aca="false">-Inputs!$B$36*(1+Inputs!$B$37)^(F$7-1)*1</f>
        <v>-1500</v>
      </c>
      <c r="G40" s="67" t="n">
        <f aca="false">-Inputs!$B$36*(1+Inputs!$B$37)^(G$7-1)*1</f>
        <v>-1500</v>
      </c>
      <c r="H40" s="67" t="n">
        <f aca="false">-Inputs!$B$36*(1+Inputs!$B$37)^(H$7-1)*1</f>
        <v>-1500</v>
      </c>
      <c r="I40" s="67" t="n">
        <f aca="false">-Inputs!$B$36*(1+Inputs!$B$37)^(I$7-1)*1</f>
        <v>-1500</v>
      </c>
      <c r="J40" s="67" t="n">
        <f aca="false">-Inputs!$B$36*(1+Inputs!$B$37)^(J$7-1)*1</f>
        <v>-1500</v>
      </c>
      <c r="K40" s="67" t="n">
        <f aca="false">-Inputs!$B$36*(1+Inputs!$B$37)^(K$7-1)*1</f>
        <v>-1500</v>
      </c>
      <c r="L40" s="67" t="n">
        <f aca="false">-Inputs!$B$36*(1+Inputs!$B$37)^(L$7-1)*1</f>
        <v>-1500</v>
      </c>
      <c r="M40" s="67" t="n">
        <f aca="false">-Inputs!$B$36*(1+Inputs!$B$37)^(M$7-1)*1</f>
        <v>-1500</v>
      </c>
      <c r="N40" s="67" t="n">
        <f aca="false">-Inputs!$B$36*(1+Inputs!$B$37)^(N$7-1)*1</f>
        <v>-1500</v>
      </c>
      <c r="O40" s="67" t="n">
        <f aca="false">-Inputs!$B$36*(1+Inputs!$B$37)^(O$7-1)*1</f>
        <v>-1050</v>
      </c>
      <c r="P40" s="67" t="n">
        <f aca="false">-Inputs!$B$36*(1+Inputs!$B$37)^(P$7-1)*1</f>
        <v>-1050</v>
      </c>
      <c r="Q40" s="67" t="n">
        <f aca="false">-Inputs!$B$36*(1+Inputs!$B$37)^(Q$7-1)*1</f>
        <v>-1050</v>
      </c>
      <c r="R40" s="67" t="n">
        <f aca="false">-Inputs!$B$36*(1+Inputs!$B$37)^(R$7-1)*1</f>
        <v>-1050</v>
      </c>
      <c r="S40" s="67" t="n">
        <f aca="false">-Inputs!$B$36*(1+Inputs!$B$37)^(S$7-1)*1</f>
        <v>-1050</v>
      </c>
      <c r="T40" s="67" t="n">
        <f aca="false">-Inputs!$B$36*(1+Inputs!$B$37)^(T$7-1)*1</f>
        <v>-1050</v>
      </c>
      <c r="U40" s="67" t="n">
        <f aca="false">-Inputs!$B$36*(1+Inputs!$B$37)^(U$7-1)*1</f>
        <v>-1050</v>
      </c>
      <c r="V40" s="67" t="n">
        <f aca="false">-Inputs!$B$36*(1+Inputs!$B$37)^(V$7-1)*1</f>
        <v>-1050</v>
      </c>
      <c r="W40" s="67" t="n">
        <f aca="false">-Inputs!$B$36*(1+Inputs!$B$37)^(W$7-1)*1</f>
        <v>-1050</v>
      </c>
      <c r="X40" s="67" t="n">
        <f aca="false">-Inputs!$B$36*(1+Inputs!$B$37)^(X$7-1)*1</f>
        <v>-1050</v>
      </c>
      <c r="Y40" s="67" t="n">
        <f aca="false">-Inputs!$B$36*(1+Inputs!$B$37)^(Y$7-1)*1</f>
        <v>-1050</v>
      </c>
      <c r="Z40" s="67" t="n">
        <f aca="false">-Inputs!$B$36*(1+Inputs!$B$37)^(Z$7-1)*1</f>
        <v>-1050</v>
      </c>
      <c r="AA40" s="67" t="n">
        <f aca="false">-Inputs!$B$36*(1+Inputs!$B$37)^(AA$7-1)*1</f>
        <v>-735</v>
      </c>
      <c r="AB40" s="67" t="n">
        <f aca="false">-Inputs!$B$36*(1+Inputs!$B$37)^(AB$7-1)*1</f>
        <v>-735</v>
      </c>
      <c r="AC40" s="67" t="n">
        <f aca="false">-Inputs!$B$36*(1+Inputs!$B$37)^(AC$7-1)*1</f>
        <v>-735</v>
      </c>
      <c r="AD40" s="67" t="n">
        <f aca="false">-Inputs!$B$36*(1+Inputs!$B$37)^(AD$7-1)*1</f>
        <v>-735</v>
      </c>
      <c r="AE40" s="67" t="n">
        <f aca="false">-Inputs!$B$36*(1+Inputs!$B$37)^(AE$7-1)*1</f>
        <v>-735</v>
      </c>
      <c r="AF40" s="67" t="n">
        <f aca="false">-Inputs!$B$36*(1+Inputs!$B$37)^(AF$7-1)*1</f>
        <v>-735</v>
      </c>
      <c r="AG40" s="67" t="n">
        <f aca="false">-Inputs!$B$36*(1+Inputs!$B$37)^(AG$7-1)*1</f>
        <v>-735</v>
      </c>
      <c r="AH40" s="67" t="n">
        <f aca="false">-Inputs!$B$36*(1+Inputs!$B$37)^(AH$7-1)*1</f>
        <v>-735</v>
      </c>
      <c r="AI40" s="67" t="n">
        <f aca="false">-Inputs!$B$36*(1+Inputs!$B$37)^(AI$7-1)*1</f>
        <v>-735</v>
      </c>
      <c r="AJ40" s="67" t="n">
        <f aca="false">-Inputs!$B$36*(1+Inputs!$B$37)^(AJ$7-1)*1</f>
        <v>-735</v>
      </c>
      <c r="AK40" s="67" t="n">
        <f aca="false">-Inputs!$B$36*(1+Inputs!$B$37)^(AK$7-1)*1</f>
        <v>-735</v>
      </c>
      <c r="AL40" s="67" t="n">
        <f aca="false">-Inputs!$B$36*(1+Inputs!$B$37)^(AL$7-1)*1</f>
        <v>-735</v>
      </c>
      <c r="AM40" s="67" t="n">
        <f aca="false">-Inputs!$B$36*(1+Inputs!$B$37)^(AM$7-1)*1</f>
        <v>-514.5</v>
      </c>
      <c r="AN40" s="67" t="n">
        <f aca="false">-Inputs!$B$36*(1+Inputs!$B$37)^(AN$7-1)*1</f>
        <v>-514.5</v>
      </c>
      <c r="AO40" s="67" t="n">
        <f aca="false">-Inputs!$B$36*(1+Inputs!$B$37)^(AO$7-1)*1</f>
        <v>-514.5</v>
      </c>
      <c r="AP40" s="67" t="n">
        <f aca="false">-Inputs!$B$36*(1+Inputs!$B$37)^(AP$7-1)*1</f>
        <v>-514.5</v>
      </c>
      <c r="AQ40" s="67" t="n">
        <f aca="false">-Inputs!$B$36*(1+Inputs!$B$37)^(AQ$7-1)*1</f>
        <v>-514.5</v>
      </c>
      <c r="AR40" s="67" t="n">
        <f aca="false">-Inputs!$B$36*(1+Inputs!$B$37)^(AR$7-1)*1</f>
        <v>-514.5</v>
      </c>
      <c r="AS40" s="67" t="n">
        <f aca="false">-Inputs!$B$36*(1+Inputs!$B$37)^(AS$7-1)*1</f>
        <v>-514.5</v>
      </c>
      <c r="AT40" s="67" t="n">
        <f aca="false">-Inputs!$B$36*(1+Inputs!$B$37)^(AT$7-1)*1</f>
        <v>-514.5</v>
      </c>
      <c r="AU40" s="67" t="n">
        <f aca="false">-Inputs!$B$36*(1+Inputs!$B$37)^(AU$7-1)*1</f>
        <v>-514.5</v>
      </c>
      <c r="AV40" s="67" t="n">
        <f aca="false">-Inputs!$B$36*(1+Inputs!$B$37)^(AV$7-1)*1</f>
        <v>-514.5</v>
      </c>
      <c r="AW40" s="67" t="n">
        <f aca="false">-Inputs!$B$36*(1+Inputs!$B$37)^(AW$7-1)*1</f>
        <v>-514.5</v>
      </c>
      <c r="AX40" s="67" t="n">
        <f aca="false">-Inputs!$B$36*(1+Inputs!$B$37)^(AX$7-1)*1</f>
        <v>-514.5</v>
      </c>
      <c r="AY40" s="67" t="n">
        <f aca="false">-Inputs!$B$36*(1+Inputs!$B$37)^(AY$7-1)*1</f>
        <v>-360.15</v>
      </c>
      <c r="AZ40" s="67" t="n">
        <f aca="false">-Inputs!$B$36*(1+Inputs!$B$37)^(AZ$7-1)*1</f>
        <v>-360.15</v>
      </c>
      <c r="BA40" s="67" t="n">
        <f aca="false">-Inputs!$B$36*(1+Inputs!$B$37)^(BA$7-1)*1</f>
        <v>-360.15</v>
      </c>
      <c r="BB40" s="67" t="n">
        <f aca="false">-Inputs!$B$36*(1+Inputs!$B$37)^(BB$7-1)*1</f>
        <v>-360.15</v>
      </c>
      <c r="BC40" s="67" t="n">
        <f aca="false">-Inputs!$B$36*(1+Inputs!$B$37)^(BC$7-1)*1</f>
        <v>-360.15</v>
      </c>
      <c r="BD40" s="67" t="n">
        <f aca="false">-Inputs!$B$36*(1+Inputs!$B$37)^(BD$7-1)*1</f>
        <v>-360.15</v>
      </c>
      <c r="BE40" s="67" t="n">
        <f aca="false">-Inputs!$B$36*(1+Inputs!$B$37)^(BE$7-1)*1</f>
        <v>-360.15</v>
      </c>
      <c r="BF40" s="67" t="n">
        <f aca="false">-Inputs!$B$36*(1+Inputs!$B$37)^(BF$7-1)*1</f>
        <v>-360.15</v>
      </c>
      <c r="BG40" s="67" t="n">
        <f aca="false">-Inputs!$B$36*(1+Inputs!$B$37)^(BG$7-1)*1</f>
        <v>-360.15</v>
      </c>
      <c r="BH40" s="67" t="n">
        <f aca="false">-Inputs!$B$36*(1+Inputs!$B$37)^(BH$7-1)*1</f>
        <v>-360.15</v>
      </c>
      <c r="BI40" s="67" t="n">
        <f aca="false">-Inputs!$B$36*(1+Inputs!$B$37)^(BI$7-1)*1</f>
        <v>-360.15</v>
      </c>
      <c r="BJ40" s="67" t="n">
        <f aca="false">-Inputs!$B$36*(1+Inputs!$B$37)^(BJ$7-1)*1</f>
        <v>-360.15</v>
      </c>
    </row>
    <row r="41" customFormat="false" ht="15" hidden="false" customHeight="false" outlineLevel="0" collapsed="false">
      <c r="A41" s="6" t="s">
        <v>335</v>
      </c>
      <c r="C41" s="67" t="n">
        <f aca="false">-Inputs!$B$35*(1+Inputs!$B$39)^(C$7-1)*1</f>
        <v>-1200</v>
      </c>
      <c r="D41" s="67" t="n">
        <f aca="false">-Inputs!$B$35*(1+Inputs!$B$39)^(D$7-1)*1</f>
        <v>-1200</v>
      </c>
      <c r="E41" s="67" t="n">
        <f aca="false">-Inputs!$B$35*(1+Inputs!$B$39)^(E$7-1)*1</f>
        <v>-1200</v>
      </c>
      <c r="F41" s="67" t="n">
        <f aca="false">-Inputs!$B$35*(1+Inputs!$B$39)^(F$7-1)*1</f>
        <v>-1200</v>
      </c>
      <c r="G41" s="67" t="n">
        <f aca="false">-Inputs!$B$35*(1+Inputs!$B$39)^(G$7-1)*1</f>
        <v>-1200</v>
      </c>
      <c r="H41" s="67" t="n">
        <f aca="false">-Inputs!$B$35*(1+Inputs!$B$39)^(H$7-1)*1</f>
        <v>-1200</v>
      </c>
      <c r="I41" s="67" t="n">
        <f aca="false">-Inputs!$B$35*(1+Inputs!$B$39)^(I$7-1)*1</f>
        <v>-1200</v>
      </c>
      <c r="J41" s="67" t="n">
        <f aca="false">-Inputs!$B$35*(1+Inputs!$B$39)^(J$7-1)*1</f>
        <v>-1200</v>
      </c>
      <c r="K41" s="67" t="n">
        <f aca="false">-Inputs!$B$35*(1+Inputs!$B$39)^(K$7-1)*1</f>
        <v>-1200</v>
      </c>
      <c r="L41" s="67" t="n">
        <f aca="false">-Inputs!$B$35*(1+Inputs!$B$39)^(L$7-1)*1</f>
        <v>-1200</v>
      </c>
      <c r="M41" s="67" t="n">
        <f aca="false">-Inputs!$B$35*(1+Inputs!$B$39)^(M$7-1)*1</f>
        <v>-1200</v>
      </c>
      <c r="N41" s="67" t="n">
        <f aca="false">-Inputs!$B$35*(1+Inputs!$B$39)^(N$7-1)*1</f>
        <v>-1200</v>
      </c>
      <c r="O41" s="67" t="n">
        <f aca="false">-Inputs!$B$35*(1+Inputs!$B$39)^(O$7-1)*1</f>
        <v>-1248</v>
      </c>
      <c r="P41" s="67" t="n">
        <f aca="false">-Inputs!$B$35*(1+Inputs!$B$39)^(P$7-1)*1</f>
        <v>-1248</v>
      </c>
      <c r="Q41" s="67" t="n">
        <f aca="false">-Inputs!$B$35*(1+Inputs!$B$39)^(Q$7-1)*1</f>
        <v>-1248</v>
      </c>
      <c r="R41" s="67" t="n">
        <f aca="false">-Inputs!$B$35*(1+Inputs!$B$39)^(R$7-1)*1</f>
        <v>-1248</v>
      </c>
      <c r="S41" s="67" t="n">
        <f aca="false">-Inputs!$B$35*(1+Inputs!$B$39)^(S$7-1)*1</f>
        <v>-1248</v>
      </c>
      <c r="T41" s="67" t="n">
        <f aca="false">-Inputs!$B$35*(1+Inputs!$B$39)^(T$7-1)*1</f>
        <v>-1248</v>
      </c>
      <c r="U41" s="67" t="n">
        <f aca="false">-Inputs!$B$35*(1+Inputs!$B$39)^(U$7-1)*1</f>
        <v>-1248</v>
      </c>
      <c r="V41" s="67" t="n">
        <f aca="false">-Inputs!$B$35*(1+Inputs!$B$39)^(V$7-1)*1</f>
        <v>-1248</v>
      </c>
      <c r="W41" s="67" t="n">
        <f aca="false">-Inputs!$B$35*(1+Inputs!$B$39)^(W$7-1)*1</f>
        <v>-1248</v>
      </c>
      <c r="X41" s="67" t="n">
        <f aca="false">-Inputs!$B$35*(1+Inputs!$B$39)^(X$7-1)*1</f>
        <v>-1248</v>
      </c>
      <c r="Y41" s="67" t="n">
        <f aca="false">-Inputs!$B$35*(1+Inputs!$B$39)^(Y$7-1)*1</f>
        <v>-1248</v>
      </c>
      <c r="Z41" s="67" t="n">
        <f aca="false">-Inputs!$B$35*(1+Inputs!$B$39)^(Z$7-1)*1</f>
        <v>-1248</v>
      </c>
      <c r="AA41" s="67" t="n">
        <f aca="false">-Inputs!$B$35*(1+Inputs!$B$39)^(AA$7-1)*1</f>
        <v>-1297.92</v>
      </c>
      <c r="AB41" s="67" t="n">
        <f aca="false">-Inputs!$B$35*(1+Inputs!$B$39)^(AB$7-1)*1</f>
        <v>-1297.92</v>
      </c>
      <c r="AC41" s="67" t="n">
        <f aca="false">-Inputs!$B$35*(1+Inputs!$B$39)^(AC$7-1)*1</f>
        <v>-1297.92</v>
      </c>
      <c r="AD41" s="67" t="n">
        <f aca="false">-Inputs!$B$35*(1+Inputs!$B$39)^(AD$7-1)*1</f>
        <v>-1297.92</v>
      </c>
      <c r="AE41" s="67" t="n">
        <f aca="false">-Inputs!$B$35*(1+Inputs!$B$39)^(AE$7-1)*1</f>
        <v>-1297.92</v>
      </c>
      <c r="AF41" s="67" t="n">
        <f aca="false">-Inputs!$B$35*(1+Inputs!$B$39)^(AF$7-1)*1</f>
        <v>-1297.92</v>
      </c>
      <c r="AG41" s="67" t="n">
        <f aca="false">-Inputs!$B$35*(1+Inputs!$B$39)^(AG$7-1)*1</f>
        <v>-1297.92</v>
      </c>
      <c r="AH41" s="67" t="n">
        <f aca="false">-Inputs!$B$35*(1+Inputs!$B$39)^(AH$7-1)*1</f>
        <v>-1297.92</v>
      </c>
      <c r="AI41" s="67" t="n">
        <f aca="false">-Inputs!$B$35*(1+Inputs!$B$39)^(AI$7-1)*1</f>
        <v>-1297.92</v>
      </c>
      <c r="AJ41" s="67" t="n">
        <f aca="false">-Inputs!$B$35*(1+Inputs!$B$39)^(AJ$7-1)*1</f>
        <v>-1297.92</v>
      </c>
      <c r="AK41" s="67" t="n">
        <f aca="false">-Inputs!$B$35*(1+Inputs!$B$39)^(AK$7-1)*1</f>
        <v>-1297.92</v>
      </c>
      <c r="AL41" s="67" t="n">
        <f aca="false">-Inputs!$B$35*(1+Inputs!$B$39)^(AL$7-1)*1</f>
        <v>-1297.92</v>
      </c>
      <c r="AM41" s="67" t="n">
        <f aca="false">-Inputs!$B$35*(1+Inputs!$B$39)^(AM$7-1)*1</f>
        <v>-1349.8368</v>
      </c>
      <c r="AN41" s="67" t="n">
        <f aca="false">-Inputs!$B$35*(1+Inputs!$B$39)^(AN$7-1)*1</f>
        <v>-1349.8368</v>
      </c>
      <c r="AO41" s="67" t="n">
        <f aca="false">-Inputs!$B$35*(1+Inputs!$B$39)^(AO$7-1)*1</f>
        <v>-1349.8368</v>
      </c>
      <c r="AP41" s="67" t="n">
        <f aca="false">-Inputs!$B$35*(1+Inputs!$B$39)^(AP$7-1)*1</f>
        <v>-1349.8368</v>
      </c>
      <c r="AQ41" s="67" t="n">
        <f aca="false">-Inputs!$B$35*(1+Inputs!$B$39)^(AQ$7-1)*1</f>
        <v>-1349.8368</v>
      </c>
      <c r="AR41" s="67" t="n">
        <f aca="false">-Inputs!$B$35*(1+Inputs!$B$39)^(AR$7-1)*1</f>
        <v>-1349.8368</v>
      </c>
      <c r="AS41" s="67" t="n">
        <f aca="false">-Inputs!$B$35*(1+Inputs!$B$39)^(AS$7-1)*1</f>
        <v>-1349.8368</v>
      </c>
      <c r="AT41" s="67" t="n">
        <f aca="false">-Inputs!$B$35*(1+Inputs!$B$39)^(AT$7-1)*1</f>
        <v>-1349.8368</v>
      </c>
      <c r="AU41" s="67" t="n">
        <f aca="false">-Inputs!$B$35*(1+Inputs!$B$39)^(AU$7-1)*1</f>
        <v>-1349.8368</v>
      </c>
      <c r="AV41" s="67" t="n">
        <f aca="false">-Inputs!$B$35*(1+Inputs!$B$39)^(AV$7-1)*1</f>
        <v>-1349.8368</v>
      </c>
      <c r="AW41" s="67" t="n">
        <f aca="false">-Inputs!$B$35*(1+Inputs!$B$39)^(AW$7-1)*1</f>
        <v>-1349.8368</v>
      </c>
      <c r="AX41" s="67" t="n">
        <f aca="false">-Inputs!$B$35*(1+Inputs!$B$39)^(AX$7-1)*1</f>
        <v>-1349.8368</v>
      </c>
      <c r="AY41" s="67" t="n">
        <f aca="false">-Inputs!$B$35*(1+Inputs!$B$39)^(AY$7-1)*1</f>
        <v>-1403.830272</v>
      </c>
      <c r="AZ41" s="67" t="n">
        <f aca="false">-Inputs!$B$35*(1+Inputs!$B$39)^(AZ$7-1)*1</f>
        <v>-1403.830272</v>
      </c>
      <c r="BA41" s="67" t="n">
        <f aca="false">-Inputs!$B$35*(1+Inputs!$B$39)^(BA$7-1)*1</f>
        <v>-1403.830272</v>
      </c>
      <c r="BB41" s="67" t="n">
        <f aca="false">-Inputs!$B$35*(1+Inputs!$B$39)^(BB$7-1)*1</f>
        <v>-1403.830272</v>
      </c>
      <c r="BC41" s="67" t="n">
        <f aca="false">-Inputs!$B$35*(1+Inputs!$B$39)^(BC$7-1)*1</f>
        <v>-1403.830272</v>
      </c>
      <c r="BD41" s="67" t="n">
        <f aca="false">-Inputs!$B$35*(1+Inputs!$B$39)^(BD$7-1)*1</f>
        <v>-1403.830272</v>
      </c>
      <c r="BE41" s="67" t="n">
        <f aca="false">-Inputs!$B$35*(1+Inputs!$B$39)^(BE$7-1)*1</f>
        <v>-1403.830272</v>
      </c>
      <c r="BF41" s="67" t="n">
        <f aca="false">-Inputs!$B$35*(1+Inputs!$B$39)^(BF$7-1)*1</f>
        <v>-1403.830272</v>
      </c>
      <c r="BG41" s="67" t="n">
        <f aca="false">-Inputs!$B$35*(1+Inputs!$B$39)^(BG$7-1)*1</f>
        <v>-1403.830272</v>
      </c>
      <c r="BH41" s="67" t="n">
        <f aca="false">-Inputs!$B$35*(1+Inputs!$B$39)^(BH$7-1)*1</f>
        <v>-1403.830272</v>
      </c>
      <c r="BI41" s="67" t="n">
        <f aca="false">-Inputs!$B$35*(1+Inputs!$B$39)^(BI$7-1)*1</f>
        <v>-1403.830272</v>
      </c>
      <c r="BJ41" s="67" t="n">
        <f aca="false">-Inputs!$B$35*(1+Inputs!$B$39)^(BJ$7-1)*1</f>
        <v>-1403.830272</v>
      </c>
    </row>
    <row r="42" customFormat="false" ht="15" hidden="false" customHeight="false" outlineLevel="0" collapsed="false">
      <c r="A42" s="6" t="s">
        <v>336</v>
      </c>
      <c r="C42" s="67" t="n">
        <f aca="false">-C22*Inputs!$B$38</f>
        <v>-180.576</v>
      </c>
      <c r="D42" s="67" t="n">
        <f aca="false">-D22*Inputs!$B$38</f>
        <v>-210.672</v>
      </c>
      <c r="E42" s="67" t="n">
        <f aca="false">-E22*Inputs!$B$38</f>
        <v>-240.768</v>
      </c>
      <c r="F42" s="67" t="n">
        <f aca="false">-F22*Inputs!$B$38</f>
        <v>-270.864</v>
      </c>
      <c r="G42" s="67" t="n">
        <f aca="false">-G22*Inputs!$B$38</f>
        <v>-300.96</v>
      </c>
      <c r="H42" s="67" t="n">
        <f aca="false">-H22*Inputs!$B$38</f>
        <v>-451.44</v>
      </c>
      <c r="I42" s="67" t="n">
        <f aca="false">-I22*Inputs!$B$38</f>
        <v>-492.48</v>
      </c>
      <c r="J42" s="67" t="n">
        <f aca="false">-J22*Inputs!$B$38</f>
        <v>-533.52</v>
      </c>
      <c r="K42" s="67" t="n">
        <f aca="false">-K22*Inputs!$B$38</f>
        <v>-421.344</v>
      </c>
      <c r="L42" s="67" t="n">
        <f aca="false">-L22*Inputs!$B$38</f>
        <v>-451.44</v>
      </c>
      <c r="M42" s="67" t="n">
        <f aca="false">-M22*Inputs!$B$38</f>
        <v>-481.536</v>
      </c>
      <c r="N42" s="67" t="n">
        <f aca="false">-N22*Inputs!$B$38</f>
        <v>-511.632</v>
      </c>
      <c r="O42" s="67" t="n">
        <f aca="false">-O22*Inputs!$B$38</f>
        <v>-547.14528</v>
      </c>
      <c r="P42" s="67" t="n">
        <f aca="false">-P22*Inputs!$B$38</f>
        <v>-577.54224</v>
      </c>
      <c r="Q42" s="67" t="n">
        <f aca="false">-Q22*Inputs!$B$38</f>
        <v>-607.9392</v>
      </c>
      <c r="R42" s="67" t="n">
        <f aca="false">-R22*Inputs!$B$38</f>
        <v>-607.9392</v>
      </c>
      <c r="S42" s="67" t="n">
        <f aca="false">-S22*Inputs!$B$38</f>
        <v>-607.9392</v>
      </c>
      <c r="T42" s="67" t="n">
        <f aca="false">-T22*Inputs!$B$38</f>
        <v>-829.008</v>
      </c>
      <c r="U42" s="67" t="n">
        <f aca="false">-U22*Inputs!$B$38</f>
        <v>-829.008</v>
      </c>
      <c r="V42" s="67" t="n">
        <f aca="false">-V22*Inputs!$B$38</f>
        <v>-829.008</v>
      </c>
      <c r="W42" s="67" t="n">
        <f aca="false">-W22*Inputs!$B$38</f>
        <v>-607.9392</v>
      </c>
      <c r="X42" s="67" t="n">
        <f aca="false">-X22*Inputs!$B$38</f>
        <v>-607.9392</v>
      </c>
      <c r="Y42" s="67" t="n">
        <f aca="false">-Y22*Inputs!$B$38</f>
        <v>-607.9392</v>
      </c>
      <c r="Z42" s="67" t="n">
        <f aca="false">-Z22*Inputs!$B$38</f>
        <v>-607.9392</v>
      </c>
      <c r="AA42" s="67" t="n">
        <f aca="false">-AA22*Inputs!$B$38</f>
        <v>-614.018592</v>
      </c>
      <c r="AB42" s="67" t="n">
        <f aca="false">-AB22*Inputs!$B$38</f>
        <v>-614.018592</v>
      </c>
      <c r="AC42" s="67" t="n">
        <f aca="false">-AC22*Inputs!$B$38</f>
        <v>-614.018592</v>
      </c>
      <c r="AD42" s="67" t="n">
        <f aca="false">-AD22*Inputs!$B$38</f>
        <v>-614.018592</v>
      </c>
      <c r="AE42" s="67" t="n">
        <f aca="false">-AE22*Inputs!$B$38</f>
        <v>-614.018592</v>
      </c>
      <c r="AF42" s="67" t="n">
        <f aca="false">-AF22*Inputs!$B$38</f>
        <v>-837.29808</v>
      </c>
      <c r="AG42" s="67" t="n">
        <f aca="false">-AG22*Inputs!$B$38</f>
        <v>-837.29808</v>
      </c>
      <c r="AH42" s="67" t="n">
        <f aca="false">-AH22*Inputs!$B$38</f>
        <v>-837.29808</v>
      </c>
      <c r="AI42" s="67" t="n">
        <f aca="false">-AI22*Inputs!$B$38</f>
        <v>-614.018592</v>
      </c>
      <c r="AJ42" s="67" t="n">
        <f aca="false">-AJ22*Inputs!$B$38</f>
        <v>-614.018592</v>
      </c>
      <c r="AK42" s="67" t="n">
        <f aca="false">-AK22*Inputs!$B$38</f>
        <v>-614.018592</v>
      </c>
      <c r="AL42" s="67" t="n">
        <f aca="false">-AL22*Inputs!$B$38</f>
        <v>-614.018592</v>
      </c>
      <c r="AM42" s="67" t="n">
        <f aca="false">-AM22*Inputs!$B$38</f>
        <v>-620.15877792</v>
      </c>
      <c r="AN42" s="67" t="n">
        <f aca="false">-AN22*Inputs!$B$38</f>
        <v>-620.15877792</v>
      </c>
      <c r="AO42" s="67" t="n">
        <f aca="false">-AO22*Inputs!$B$38</f>
        <v>-620.15877792</v>
      </c>
      <c r="AP42" s="67" t="n">
        <f aca="false">-AP22*Inputs!$B$38</f>
        <v>-620.15877792</v>
      </c>
      <c r="AQ42" s="67" t="n">
        <f aca="false">-AQ22*Inputs!$B$38</f>
        <v>-620.15877792</v>
      </c>
      <c r="AR42" s="67" t="n">
        <f aca="false">-AR22*Inputs!$B$38</f>
        <v>-845.6710608</v>
      </c>
      <c r="AS42" s="67" t="n">
        <f aca="false">-AS22*Inputs!$B$38</f>
        <v>-845.6710608</v>
      </c>
      <c r="AT42" s="67" t="n">
        <f aca="false">-AT22*Inputs!$B$38</f>
        <v>-845.6710608</v>
      </c>
      <c r="AU42" s="67" t="n">
        <f aca="false">-AU22*Inputs!$B$38</f>
        <v>-620.15877792</v>
      </c>
      <c r="AV42" s="67" t="n">
        <f aca="false">-AV22*Inputs!$B$38</f>
        <v>-620.15877792</v>
      </c>
      <c r="AW42" s="67" t="n">
        <f aca="false">-AW22*Inputs!$B$38</f>
        <v>-620.15877792</v>
      </c>
      <c r="AX42" s="67" t="n">
        <f aca="false">-AX22*Inputs!$B$38</f>
        <v>-620.15877792</v>
      </c>
      <c r="AY42" s="67" t="n">
        <f aca="false">-AY22*Inputs!$B$38</f>
        <v>-626.3603656992</v>
      </c>
      <c r="AZ42" s="67" t="n">
        <f aca="false">-AZ22*Inputs!$B$38</f>
        <v>-626.3603656992</v>
      </c>
      <c r="BA42" s="67" t="n">
        <f aca="false">-BA22*Inputs!$B$38</f>
        <v>-626.3603656992</v>
      </c>
      <c r="BB42" s="67" t="n">
        <f aca="false">-BB22*Inputs!$B$38</f>
        <v>-626.3603656992</v>
      </c>
      <c r="BC42" s="67" t="n">
        <f aca="false">-BC22*Inputs!$B$38</f>
        <v>-626.3603656992</v>
      </c>
      <c r="BD42" s="67" t="n">
        <f aca="false">-BD22*Inputs!$B$38</f>
        <v>-854.127771408</v>
      </c>
      <c r="BE42" s="67" t="n">
        <f aca="false">-BE22*Inputs!$B$38</f>
        <v>-854.127771408</v>
      </c>
      <c r="BF42" s="67" t="n">
        <f aca="false">-BF22*Inputs!$B$38</f>
        <v>-854.127771408</v>
      </c>
      <c r="BG42" s="67" t="n">
        <f aca="false">-BG22*Inputs!$B$38</f>
        <v>-626.3603656992</v>
      </c>
      <c r="BH42" s="67" t="n">
        <f aca="false">-BH22*Inputs!$B$38</f>
        <v>-626.3603656992</v>
      </c>
      <c r="BI42" s="67" t="n">
        <f aca="false">-BI22*Inputs!$B$38</f>
        <v>-626.3603656992</v>
      </c>
      <c r="BJ42" s="67" t="n">
        <f aca="false">-BJ22*Inputs!$B$38</f>
        <v>-626.3603656992</v>
      </c>
    </row>
    <row r="43" customFormat="false" ht="15" hidden="false" customHeight="false" outlineLevel="0" collapsed="false">
      <c r="A43" s="111" t="s">
        <v>77</v>
      </c>
      <c r="C43" s="68" t="n">
        <f aca="false">C34+C35+C36+C37+C38+C39+C40+C41+C42</f>
        <v>-11906.536</v>
      </c>
      <c r="D43" s="68" t="n">
        <f aca="false">D34+D35+D36+D37+D38+D39+D40+D41+D42</f>
        <v>-11986.792</v>
      </c>
      <c r="E43" s="68" t="n">
        <f aca="false">E34+E35+E36+E37+E38+E39+E40+E41+E42</f>
        <v>-12067.048</v>
      </c>
      <c r="F43" s="68" t="n">
        <f aca="false">F34+F35+F36+F37+F38+F39+F40+F41+F42</f>
        <v>-12147.304</v>
      </c>
      <c r="G43" s="68" t="n">
        <f aca="false">G34+G35+G36+G37+G38+G39+G40+G41+G42</f>
        <v>-12227.56</v>
      </c>
      <c r="H43" s="68" t="n">
        <f aca="false">H34+H35+H36+H37+H38+H39+H40+H41+H42</f>
        <v>-12628.84</v>
      </c>
      <c r="I43" s="68" t="n">
        <f aca="false">I34+I35+I36+I37+I38+I39+I40+I41+I42</f>
        <v>-12738.28</v>
      </c>
      <c r="J43" s="68" t="n">
        <f aca="false">J34+J35+J36+J37+J38+J39+J40+J41+J42</f>
        <v>-12847.72</v>
      </c>
      <c r="K43" s="68" t="n">
        <f aca="false">K34+K35+K36+K37+K38+K39+K40+K41+K42</f>
        <v>-12548.584</v>
      </c>
      <c r="L43" s="68" t="n">
        <f aca="false">L34+L35+L36+L37+L38+L39+L40+L41+L42</f>
        <v>-12628.84</v>
      </c>
      <c r="M43" s="68" t="n">
        <f aca="false">M34+M35+M36+M37+M38+M39+M40+M41+M42</f>
        <v>-12709.096</v>
      </c>
      <c r="N43" s="68" t="n">
        <f aca="false">N34+N35+N36+N37+N38+N39+N40+N41+N42</f>
        <v>-12789.352</v>
      </c>
      <c r="O43" s="68" t="n">
        <f aca="false">O34+O35+O36+O37+O38+O39+O40+O41+O42</f>
        <v>-12831.05408</v>
      </c>
      <c r="P43" s="68" t="n">
        <f aca="false">P34+P35+P36+P37+P38+P39+P40+P41+P42</f>
        <v>-12912.11264</v>
      </c>
      <c r="Q43" s="68" t="n">
        <f aca="false">Q34+Q35+Q36+Q37+Q38+Q39+Q40+Q41+Q42</f>
        <v>-12993.1712</v>
      </c>
      <c r="R43" s="68" t="n">
        <f aca="false">R34+R35+R36+R37+R38+R39+R40+R41+R42</f>
        <v>-12993.1712</v>
      </c>
      <c r="S43" s="68" t="n">
        <f aca="false">S34+S35+S36+S37+S38+S39+S40+S41+S42</f>
        <v>-12993.1712</v>
      </c>
      <c r="T43" s="68" t="n">
        <f aca="false">T34+T35+T36+T37+T38+T39+T40+T41+T42</f>
        <v>-13582.688</v>
      </c>
      <c r="U43" s="68" t="n">
        <f aca="false">U34+U35+U36+U37+U38+U39+U40+U41+U42</f>
        <v>-13582.688</v>
      </c>
      <c r="V43" s="68" t="n">
        <f aca="false">V34+V35+V36+V37+V38+V39+V40+V41+V42</f>
        <v>-13582.688</v>
      </c>
      <c r="W43" s="68" t="n">
        <f aca="false">W34+W35+W36+W37+W38+W39+W40+W41+W42</f>
        <v>-12993.1712</v>
      </c>
      <c r="X43" s="68" t="n">
        <f aca="false">X34+X35+X36+X37+X38+X39+X40+X41+X42</f>
        <v>-12993.1712</v>
      </c>
      <c r="Y43" s="68" t="n">
        <f aca="false">Y34+Y35+Y36+Y37+Y38+Y39+Y40+Y41+Y42</f>
        <v>-12993.1712</v>
      </c>
      <c r="Z43" s="68" t="n">
        <f aca="false">Z34+Z35+Z36+Z37+Z38+Z39+Z40+Z41+Z42</f>
        <v>-12993.1712</v>
      </c>
      <c r="AA43" s="68" t="n">
        <f aca="false">AA34+AA35+AA36+AA37+AA38+AA39+AA40+AA41+AA42</f>
        <v>-13107.262912</v>
      </c>
      <c r="AB43" s="68" t="n">
        <f aca="false">AB34+AB35+AB36+AB37+AB38+AB39+AB40+AB41+AB42</f>
        <v>-13107.262912</v>
      </c>
      <c r="AC43" s="68" t="n">
        <f aca="false">AC34+AC35+AC36+AC37+AC38+AC39+AC40+AC41+AC42</f>
        <v>-13107.262912</v>
      </c>
      <c r="AD43" s="68" t="n">
        <f aca="false">AD34+AD35+AD36+AD37+AD38+AD39+AD40+AD41+AD42</f>
        <v>-13107.262912</v>
      </c>
      <c r="AE43" s="68" t="n">
        <f aca="false">AE34+AE35+AE36+AE37+AE38+AE39+AE40+AE41+AE42</f>
        <v>-13107.262912</v>
      </c>
      <c r="AF43" s="68" t="n">
        <f aca="false">AF34+AF35+AF36+AF37+AF38+AF39+AF40+AF41+AF42</f>
        <v>-13702.67488</v>
      </c>
      <c r="AG43" s="68" t="n">
        <f aca="false">AG34+AG35+AG36+AG37+AG38+AG39+AG40+AG41+AG42</f>
        <v>-13702.67488</v>
      </c>
      <c r="AH43" s="68" t="n">
        <f aca="false">AH34+AH35+AH36+AH37+AH38+AH39+AH40+AH41+AH42</f>
        <v>-13702.67488</v>
      </c>
      <c r="AI43" s="68" t="n">
        <f aca="false">AI34+AI35+AI36+AI37+AI38+AI39+AI40+AI41+AI42</f>
        <v>-13107.262912</v>
      </c>
      <c r="AJ43" s="68" t="n">
        <f aca="false">AJ34+AJ35+AJ36+AJ37+AJ38+AJ39+AJ40+AJ41+AJ42</f>
        <v>-13107.262912</v>
      </c>
      <c r="AK43" s="68" t="n">
        <f aca="false">AK34+AK35+AK36+AK37+AK38+AK39+AK40+AK41+AK42</f>
        <v>-13107.262912</v>
      </c>
      <c r="AL43" s="68" t="n">
        <f aca="false">AL34+AL35+AL36+AL37+AL38+AL39+AL40+AL41+AL42</f>
        <v>-13107.262912</v>
      </c>
      <c r="AM43" s="68" t="n">
        <f aca="false">AM34+AM35+AM36+AM37+AM38+AM39+AM40+AM41+AM42</f>
        <v>-13332.53194112</v>
      </c>
      <c r="AN43" s="68" t="n">
        <f aca="false">AN34+AN35+AN36+AN37+AN38+AN39+AN40+AN41+AN42</f>
        <v>-13332.53194112</v>
      </c>
      <c r="AO43" s="68" t="n">
        <f aca="false">AO34+AO35+AO36+AO37+AO38+AO39+AO40+AO41+AO42</f>
        <v>-13332.53194112</v>
      </c>
      <c r="AP43" s="68" t="n">
        <f aca="false">AP34+AP35+AP36+AP37+AP38+AP39+AP40+AP41+AP42</f>
        <v>-13332.53194112</v>
      </c>
      <c r="AQ43" s="68" t="n">
        <f aca="false">AQ34+AQ35+AQ36+AQ37+AQ38+AQ39+AQ40+AQ41+AQ42</f>
        <v>-13332.53194112</v>
      </c>
      <c r="AR43" s="68" t="n">
        <f aca="false">AR34+AR35+AR36+AR37+AR38+AR39+AR40+AR41+AR42</f>
        <v>-13933.8980288</v>
      </c>
      <c r="AS43" s="68" t="n">
        <f aca="false">AS34+AS35+AS36+AS37+AS38+AS39+AS40+AS41+AS42</f>
        <v>-13933.8980288</v>
      </c>
      <c r="AT43" s="68" t="n">
        <f aca="false">AT34+AT35+AT36+AT37+AT38+AT39+AT40+AT41+AT42</f>
        <v>-13933.8980288</v>
      </c>
      <c r="AU43" s="68" t="n">
        <f aca="false">AU34+AU35+AU36+AU37+AU38+AU39+AU40+AU41+AU42</f>
        <v>-13332.53194112</v>
      </c>
      <c r="AV43" s="68" t="n">
        <f aca="false">AV34+AV35+AV36+AV37+AV38+AV39+AV40+AV41+AV42</f>
        <v>-13332.53194112</v>
      </c>
      <c r="AW43" s="68" t="n">
        <f aca="false">AW34+AW35+AW36+AW37+AW38+AW39+AW40+AW41+AW42</f>
        <v>-13332.53194112</v>
      </c>
      <c r="AX43" s="68" t="n">
        <f aca="false">AX34+AX35+AX36+AX37+AX38+AX39+AX40+AX41+AX42</f>
        <v>-13332.53194112</v>
      </c>
      <c r="AY43" s="68" t="n">
        <f aca="false">AY34+AY35+AY36+AY37+AY38+AY39+AY40+AY41+AY42</f>
        <v>-13641.2905165312</v>
      </c>
      <c r="AZ43" s="68" t="n">
        <f aca="false">AZ34+AZ35+AZ36+AZ37+AZ38+AZ39+AZ40+AZ41+AZ42</f>
        <v>-13641.2905165312</v>
      </c>
      <c r="BA43" s="68" t="n">
        <f aca="false">BA34+BA35+BA36+BA37+BA38+BA39+BA40+BA41+BA42</f>
        <v>-13641.2905165312</v>
      </c>
      <c r="BB43" s="68" t="n">
        <f aca="false">BB34+BB35+BB36+BB37+BB38+BB39+BB40+BB41+BB42</f>
        <v>-13641.2905165312</v>
      </c>
      <c r="BC43" s="68" t="n">
        <f aca="false">BC34+BC35+BC36+BC37+BC38+BC39+BC40+BC41+BC42</f>
        <v>-13641.2905165312</v>
      </c>
      <c r="BD43" s="68" t="n">
        <f aca="false">BD34+BD35+BD36+BD37+BD38+BD39+BD40+BD41+BD42</f>
        <v>-14248.670265088</v>
      </c>
      <c r="BE43" s="68" t="n">
        <f aca="false">BE34+BE35+BE36+BE37+BE38+BE39+BE40+BE41+BE42</f>
        <v>-14248.670265088</v>
      </c>
      <c r="BF43" s="68" t="n">
        <f aca="false">BF34+BF35+BF36+BF37+BF38+BF39+BF40+BF41+BF42</f>
        <v>-14248.670265088</v>
      </c>
      <c r="BG43" s="68" t="n">
        <f aca="false">BG34+BG35+BG36+BG37+BG38+BG39+BG40+BG41+BG42</f>
        <v>-13641.2905165312</v>
      </c>
      <c r="BH43" s="68" t="n">
        <f aca="false">BH34+BH35+BH36+BH37+BH38+BH39+BH40+BH41+BH42</f>
        <v>-13641.2905165312</v>
      </c>
      <c r="BI43" s="68" t="n">
        <f aca="false">BI34+BI35+BI36+BI37+BI38+BI39+BI40+BI41+BI42</f>
        <v>-13641.2905165312</v>
      </c>
      <c r="BJ43" s="68" t="n">
        <f aca="false">BJ34+BJ35+BJ36+BJ37+BJ38+BJ39+BJ40+BJ41+BJ42</f>
        <v>-13641.2905165312</v>
      </c>
    </row>
    <row r="44" customFormat="false" ht="15" hidden="false" customHeight="false" outlineLevel="0" collapsed="false">
      <c r="A44" s="111" t="s">
        <v>48</v>
      </c>
      <c r="C44" s="68" t="n">
        <f aca="false">C31+C43</f>
        <v>-12130.5752777778</v>
      </c>
      <c r="D44" s="68" t="n">
        <f aca="false">D31+D43</f>
        <v>-11481.5044907407</v>
      </c>
      <c r="E44" s="68" t="n">
        <f aca="false">E31+E43</f>
        <v>-10832.4337037037</v>
      </c>
      <c r="F44" s="68" t="n">
        <f aca="false">F31+F43</f>
        <v>-10183.3629166667</v>
      </c>
      <c r="G44" s="68" t="n">
        <f aca="false">G31+G43</f>
        <v>-9534.29212962963</v>
      </c>
      <c r="H44" s="68" t="n">
        <f aca="false">H31+H43</f>
        <v>-6288.93819444445</v>
      </c>
      <c r="I44" s="68" t="n">
        <f aca="false">I31+I43</f>
        <v>-5403.84166666666</v>
      </c>
      <c r="J44" s="68" t="n">
        <f aca="false">J31+J43</f>
        <v>-4518.74513888889</v>
      </c>
      <c r="K44" s="68" t="n">
        <f aca="false">K31+K43</f>
        <v>-6938.00898148148</v>
      </c>
      <c r="L44" s="68" t="n">
        <f aca="false">L31+L43</f>
        <v>-6288.93819444444</v>
      </c>
      <c r="M44" s="68" t="n">
        <f aca="false">M31+M43</f>
        <v>-5639.86740740741</v>
      </c>
      <c r="N44" s="68" t="n">
        <f aca="false">N31+N43</f>
        <v>-4990.79662037037</v>
      </c>
      <c r="O44" s="68" t="n">
        <f aca="false">O31+O43</f>
        <v>-4429.04309166667</v>
      </c>
      <c r="P44" s="68" t="n">
        <f aca="false">P31+P43</f>
        <v>-3777.54548564815</v>
      </c>
      <c r="Q44" s="68" t="n">
        <f aca="false">Q31+Q43</f>
        <v>-3126.04787962963</v>
      </c>
      <c r="R44" s="68" t="n">
        <f aca="false">R31+R43</f>
        <v>-3126.04787962963</v>
      </c>
      <c r="S44" s="68" t="n">
        <f aca="false">S31+S43</f>
        <v>-3126.04787962963</v>
      </c>
      <c r="T44" s="68" t="n">
        <f aca="false">T31+T43</f>
        <v>1612.11652777777</v>
      </c>
      <c r="U44" s="68" t="n">
        <f aca="false">U31+U43</f>
        <v>1612.11652777777</v>
      </c>
      <c r="V44" s="68" t="n">
        <f aca="false">V31+V43</f>
        <v>1612.11652777777</v>
      </c>
      <c r="W44" s="68" t="n">
        <f aca="false">W31+W43</f>
        <v>-3126.04787962963</v>
      </c>
      <c r="X44" s="68" t="n">
        <f aca="false">X31+X43</f>
        <v>-3126.04787962963</v>
      </c>
      <c r="Y44" s="68" t="n">
        <f aca="false">Y31+Y43</f>
        <v>-3126.04787962963</v>
      </c>
      <c r="Z44" s="68" t="n">
        <f aca="false">Z31+Z43</f>
        <v>-3126.04787962963</v>
      </c>
      <c r="AA44" s="68" t="n">
        <f aca="false">AA31+AA43</f>
        <v>-3369.51724731482</v>
      </c>
      <c r="AB44" s="68" t="n">
        <f aca="false">AB31+AB43</f>
        <v>-3369.51724731482</v>
      </c>
      <c r="AC44" s="68" t="n">
        <f aca="false">AC31+AC43</f>
        <v>-3369.51724731482</v>
      </c>
      <c r="AD44" s="68" t="n">
        <f aca="false">AD31+AD43</f>
        <v>-3369.51724731482</v>
      </c>
      <c r="AE44" s="68" t="n">
        <f aca="false">AE31+AE43</f>
        <v>-3369.51724731482</v>
      </c>
      <c r="AF44" s="68" t="n">
        <f aca="false">AF31+AF43</f>
        <v>1385.29102638889</v>
      </c>
      <c r="AG44" s="68" t="n">
        <f aca="false">AG31+AG43</f>
        <v>1385.29102638889</v>
      </c>
      <c r="AH44" s="68" t="n">
        <f aca="false">AH31+AH43</f>
        <v>1385.29102638889</v>
      </c>
      <c r="AI44" s="68" t="n">
        <f aca="false">AI31+AI43</f>
        <v>-3369.51724731482</v>
      </c>
      <c r="AJ44" s="68" t="n">
        <f aca="false">AJ31+AJ43</f>
        <v>-3369.51724731482</v>
      </c>
      <c r="AK44" s="68" t="n">
        <f aca="false">AK31+AK43</f>
        <v>-3369.51724731482</v>
      </c>
      <c r="AL44" s="68" t="n">
        <f aca="false">AL31+AL43</f>
        <v>-3369.51724731482</v>
      </c>
      <c r="AM44" s="68" t="n">
        <f aca="false">AM31+AM43</f>
        <v>-3734.5796642324</v>
      </c>
      <c r="AN44" s="68" t="n">
        <f aca="false">AN31+AN43</f>
        <v>-3734.5796642324</v>
      </c>
      <c r="AO44" s="68" t="n">
        <f aca="false">AO31+AO43</f>
        <v>-3734.5796642324</v>
      </c>
      <c r="AP44" s="68" t="n">
        <f aca="false">AP31+AP43</f>
        <v>-3734.5796642324</v>
      </c>
      <c r="AQ44" s="68" t="n">
        <f aca="false">AQ31+AQ43</f>
        <v>-3734.5796642324</v>
      </c>
      <c r="AR44" s="68" t="n">
        <f aca="false">AR31+AR43</f>
        <v>1035.80940331944</v>
      </c>
      <c r="AS44" s="68" t="n">
        <f aca="false">AS31+AS43</f>
        <v>1035.80940331944</v>
      </c>
      <c r="AT44" s="68" t="n">
        <f aca="false">AT31+AT43</f>
        <v>1035.80940331944</v>
      </c>
      <c r="AU44" s="68" t="n">
        <f aca="false">AU31+AU43</f>
        <v>-3734.5796642324</v>
      </c>
      <c r="AV44" s="68" t="n">
        <f aca="false">AV31+AV43</f>
        <v>-3734.5796642324</v>
      </c>
      <c r="AW44" s="68" t="n">
        <f aca="false">AW31+AW43</f>
        <v>-3734.5796642324</v>
      </c>
      <c r="AX44" s="68" t="n">
        <f aca="false">AX31+AX43</f>
        <v>-3734.5796642324</v>
      </c>
      <c r="AY44" s="68" t="n">
        <f aca="false">AY31+AY43</f>
        <v>-4194.01639509695</v>
      </c>
      <c r="AZ44" s="68" t="n">
        <f aca="false">AZ31+AZ43</f>
        <v>-4194.01639509695</v>
      </c>
      <c r="BA44" s="68" t="n">
        <f aca="false">BA31+BA43</f>
        <v>-4194.01639509695</v>
      </c>
      <c r="BB44" s="68" t="n">
        <f aca="false">BB31+BB43</f>
        <v>-4194.01639509695</v>
      </c>
      <c r="BC44" s="68" t="n">
        <f aca="false">BC31+BC43</f>
        <v>-4194.01639509695</v>
      </c>
      <c r="BD44" s="68" t="n">
        <f aca="false">BD31+BD43</f>
        <v>590.830582685972</v>
      </c>
      <c r="BE44" s="68" t="n">
        <f aca="false">BE31+BE43</f>
        <v>590.830582685972</v>
      </c>
      <c r="BF44" s="68" t="n">
        <f aca="false">BF31+BF43</f>
        <v>590.830582685972</v>
      </c>
      <c r="BG44" s="68" t="n">
        <f aca="false">BG31+BG43</f>
        <v>-4194.01639509695</v>
      </c>
      <c r="BH44" s="68" t="n">
        <f aca="false">BH31+BH43</f>
        <v>-4194.01639509695</v>
      </c>
      <c r="BI44" s="68" t="n">
        <f aca="false">BI31+BI43</f>
        <v>-4194.01639509695</v>
      </c>
      <c r="BJ44" s="68" t="n">
        <f aca="false">BJ31+BJ43</f>
        <v>-4194.01639509695</v>
      </c>
    </row>
    <row r="46" customFormat="false" ht="15.75" hidden="false" customHeight="true" outlineLevel="0" collapsed="false">
      <c r="A46" s="7" t="s">
        <v>418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4" t="s">
        <v>79</v>
      </c>
      <c r="C47" s="73" t="n">
        <f aca="false">C44+C64</f>
        <v>-15940.2975</v>
      </c>
      <c r="D47" s="73" t="n">
        <f aca="false">D44+D64</f>
        <v>-15295.3933796296</v>
      </c>
      <c r="E47" s="73" t="n">
        <f aca="false">E44+E64</f>
        <v>-14650.4892592593</v>
      </c>
      <c r="F47" s="73" t="n">
        <f aca="false">F44+F64</f>
        <v>-14005.5851388889</v>
      </c>
      <c r="G47" s="73" t="n">
        <f aca="false">G44+G64</f>
        <v>-13360.6810185185</v>
      </c>
      <c r="H47" s="73" t="n">
        <f aca="false">H44+H64</f>
        <v>-10119.49375</v>
      </c>
      <c r="I47" s="73" t="n">
        <f aca="false">I44+I64</f>
        <v>-9238.56388888889</v>
      </c>
      <c r="J47" s="73" t="n">
        <f aca="false">J44+J64</f>
        <v>-8357.63402777778</v>
      </c>
      <c r="K47" s="73" t="n">
        <f aca="false">K44+K64</f>
        <v>-10781.064537037</v>
      </c>
      <c r="L47" s="73" t="n">
        <f aca="false">L44+L64</f>
        <v>-10136.1604166667</v>
      </c>
      <c r="M47" s="73" t="n">
        <f aca="false">M44+M64</f>
        <v>-9491.2562962963</v>
      </c>
      <c r="N47" s="73" t="n">
        <f aca="false">N44+N64</f>
        <v>-8846.35217592593</v>
      </c>
      <c r="O47" s="73" t="n">
        <f aca="false">O44+O64</f>
        <v>-8288.93198055556</v>
      </c>
      <c r="P47" s="73" t="n">
        <f aca="false">P44+P64</f>
        <v>-7641.76770787038</v>
      </c>
      <c r="Q47" s="73" t="n">
        <f aca="false">Q44+Q64</f>
        <v>-6994.60343518519</v>
      </c>
      <c r="R47" s="73" t="n">
        <f aca="false">R44+R64</f>
        <v>-6998.93676851852</v>
      </c>
      <c r="S47" s="73" t="n">
        <f aca="false">S44+S64</f>
        <v>-7003.27010185186</v>
      </c>
      <c r="T47" s="73" t="n">
        <f aca="false">T44+T64</f>
        <v>-2269.43902777778</v>
      </c>
      <c r="U47" s="73" t="n">
        <f aca="false">U44+U64</f>
        <v>-2273.77236111111</v>
      </c>
      <c r="V47" s="73" t="n">
        <f aca="false">V44+V64</f>
        <v>-2278.10569444445</v>
      </c>
      <c r="W47" s="73" t="n">
        <f aca="false">W44+W64</f>
        <v>-7020.60343518519</v>
      </c>
      <c r="X47" s="73" t="n">
        <f aca="false">X44+X64</f>
        <v>-7024.93676851852</v>
      </c>
      <c r="Y47" s="73" t="n">
        <f aca="false">Y44+Y64</f>
        <v>-7029.27010185186</v>
      </c>
      <c r="Z47" s="73" t="n">
        <f aca="false">Z44+Z64</f>
        <v>-7033.60343518519</v>
      </c>
      <c r="AA47" s="73" t="n">
        <f aca="false">AA44+AA64</f>
        <v>-7281.57946953704</v>
      </c>
      <c r="AB47" s="73" t="n">
        <f aca="false">AB44+AB64</f>
        <v>-7286.08613620371</v>
      </c>
      <c r="AC47" s="73" t="n">
        <f aca="false">AC44+AC64</f>
        <v>-7290.59280287037</v>
      </c>
      <c r="AD47" s="73" t="n">
        <f aca="false">AD44+AD64</f>
        <v>-7295.09946953704</v>
      </c>
      <c r="AE47" s="73" t="n">
        <f aca="false">AE44+AE64</f>
        <v>-7299.60613620371</v>
      </c>
      <c r="AF47" s="73" t="n">
        <f aca="false">AF44+AF64</f>
        <v>-2549.30452916667</v>
      </c>
      <c r="AG47" s="73" t="n">
        <f aca="false">AG44+AG64</f>
        <v>-2553.81119583333</v>
      </c>
      <c r="AH47" s="73" t="n">
        <f aca="false">AH44+AH64</f>
        <v>-2558.3178625</v>
      </c>
      <c r="AI47" s="73" t="n">
        <f aca="false">AI44+AI64</f>
        <v>-7317.63280287037</v>
      </c>
      <c r="AJ47" s="73" t="n">
        <f aca="false">AJ44+AJ64</f>
        <v>-7322.13946953704</v>
      </c>
      <c r="AK47" s="73" t="n">
        <f aca="false">AK44+AK64</f>
        <v>-7326.6461362037</v>
      </c>
      <c r="AL47" s="73" t="n">
        <f aca="false">AL44+AL64</f>
        <v>-7331.15280287037</v>
      </c>
      <c r="AM47" s="73" t="n">
        <f aca="false">AM44+AM64</f>
        <v>-7700.90215312129</v>
      </c>
      <c r="AN47" s="73" t="n">
        <f aca="false">AN44+AN64</f>
        <v>-7705.58908645462</v>
      </c>
      <c r="AO47" s="73" t="n">
        <f aca="false">AO44+AO64</f>
        <v>-7710.27601978796</v>
      </c>
      <c r="AP47" s="73" t="n">
        <f aca="false">AP44+AP64</f>
        <v>-7714.96295312129</v>
      </c>
      <c r="AQ47" s="73" t="n">
        <f aca="false">AQ44+AQ64</f>
        <v>-7719.64988645463</v>
      </c>
      <c r="AR47" s="73" t="n">
        <f aca="false">AR44+AR64</f>
        <v>-2953.94775223611</v>
      </c>
      <c r="AS47" s="73" t="n">
        <f aca="false">AS44+AS64</f>
        <v>-2958.63468556944</v>
      </c>
      <c r="AT47" s="73" t="n">
        <f aca="false">AT44+AT64</f>
        <v>-2963.32161890278</v>
      </c>
      <c r="AU47" s="73" t="n">
        <f aca="false">AU44+AU64</f>
        <v>-7738.39761978796</v>
      </c>
      <c r="AV47" s="73" t="n">
        <f aca="false">AV44+AV64</f>
        <v>-7743.08455312129</v>
      </c>
      <c r="AW47" s="73" t="n">
        <f aca="false">AW44+AW64</f>
        <v>-7747.77148645463</v>
      </c>
      <c r="AX47" s="73" t="n">
        <f aca="false">AX44+AX64</f>
        <v>-7752.45841978796</v>
      </c>
      <c r="AY47" s="73" t="n">
        <f aca="false">AY44+AY64</f>
        <v>-8216.76956131918</v>
      </c>
      <c r="AZ47" s="73" t="n">
        <f aca="false">AZ44+AZ64</f>
        <v>-8221.64397198584</v>
      </c>
      <c r="BA47" s="73" t="n">
        <f aca="false">BA44+BA64</f>
        <v>-8226.51838265251</v>
      </c>
      <c r="BB47" s="73" t="n">
        <f aca="false">BB44+BB64</f>
        <v>-8231.39279331917</v>
      </c>
      <c r="BC47" s="73" t="n">
        <f aca="false">BC44+BC64</f>
        <v>-8236.26720398584</v>
      </c>
      <c r="BD47" s="73" t="n">
        <f aca="false">BD44+BD64</f>
        <v>-3456.29463686958</v>
      </c>
      <c r="BE47" s="73" t="n">
        <f aca="false">BE44+BE64</f>
        <v>-3461.16904753625</v>
      </c>
      <c r="BF47" s="73" t="n">
        <f aca="false">BF44+BF64</f>
        <v>-3466.04345820291</v>
      </c>
      <c r="BG47" s="73" t="n">
        <f aca="false">BG44+BG64</f>
        <v>-8255.76484665251</v>
      </c>
      <c r="BH47" s="73" t="n">
        <f aca="false">BH44+BH64</f>
        <v>-8260.63925731917</v>
      </c>
      <c r="BI47" s="73" t="n">
        <f aca="false">BI44+BI64</f>
        <v>-8265.51366798584</v>
      </c>
      <c r="BJ47" s="73" t="n">
        <f aca="false">BJ44+BJ64</f>
        <v>-8270.3880786525</v>
      </c>
    </row>
    <row r="48" customFormat="false" ht="15" hidden="false" customHeight="false" outlineLevel="0" collapsed="false">
      <c r="A48" s="6" t="s">
        <v>419</v>
      </c>
      <c r="C48" s="67" t="n">
        <f aca="false">-(C69+C70)*Inputs!$B$67/12</f>
        <v>-2916.66666666667</v>
      </c>
      <c r="D48" s="67" t="n">
        <f aca="false">-(D69+D70)*Inputs!$B$67/12</f>
        <v>-2913.0661623017</v>
      </c>
      <c r="E48" s="67" t="n">
        <f aca="false">-(E69+E70)*Inputs!$B$67/12</f>
        <v>-2909.4446549946</v>
      </c>
      <c r="F48" s="67" t="n">
        <f aca="false">-(F69+F70)*Inputs!$B$67/12</f>
        <v>-2905.80202222821</v>
      </c>
      <c r="G48" s="67" t="n">
        <f aca="false">-(G69+G70)*Inputs!$B$67/12</f>
        <v>-2902.13814077069</v>
      </c>
      <c r="H48" s="67" t="n">
        <f aca="false">-(H69+H70)*Inputs!$B$67/12</f>
        <v>-2898.45288667133</v>
      </c>
      <c r="I48" s="67" t="n">
        <f aca="false">-(I69+I70)*Inputs!$B$67/12</f>
        <v>-2894.74613525639</v>
      </c>
      <c r="J48" s="67" t="n">
        <f aca="false">-(J69+J70)*Inputs!$B$67/12</f>
        <v>-2891.01776112486</v>
      </c>
      <c r="K48" s="67" t="n">
        <f aca="false">-(K69+K70)*Inputs!$B$67/12</f>
        <v>-2887.26763814423</v>
      </c>
      <c r="L48" s="67" t="n">
        <f aca="false">-(L69+L70)*Inputs!$B$67/12</f>
        <v>-2883.49563944621</v>
      </c>
      <c r="M48" s="67" t="n">
        <f aca="false">-(M69+M70)*Inputs!$B$67/12</f>
        <v>-2879.70163742246</v>
      </c>
      <c r="N48" s="67" t="n">
        <f aca="false">-(N69+N70)*Inputs!$B$67/12</f>
        <v>-2875.88550372023</v>
      </c>
      <c r="O48" s="67" t="n">
        <f aca="false">-(O69+O70)*Inputs!$B$67/12</f>
        <v>-2872.04710923808</v>
      </c>
      <c r="P48" s="67" t="n">
        <f aca="false">-(P69+P70)*Inputs!$B$67/12</f>
        <v>-2868.18632412144</v>
      </c>
      <c r="Q48" s="67" t="n">
        <f aca="false">-(Q69+Q70)*Inputs!$B$67/12</f>
        <v>-2864.3030177583</v>
      </c>
      <c r="R48" s="67" t="n">
        <f aca="false">-(R69+R70)*Inputs!$B$67/12</f>
        <v>-2860.3970587747</v>
      </c>
      <c r="S48" s="67" t="n">
        <f aca="false">-(S69+S70)*Inputs!$B$67/12</f>
        <v>-2856.46831503036</v>
      </c>
      <c r="T48" s="67" t="n">
        <f aca="false">-(T69+T70)*Inputs!$B$67/12</f>
        <v>-2852.51665361418</v>
      </c>
      <c r="U48" s="67" t="n">
        <f aca="false">-(U69+U70)*Inputs!$B$67/12</f>
        <v>-2848.54194083974</v>
      </c>
      <c r="V48" s="67" t="n">
        <f aca="false">-(V69+V70)*Inputs!$B$67/12</f>
        <v>-2844.54404224078</v>
      </c>
      <c r="W48" s="67" t="n">
        <f aca="false">-(W69+W70)*Inputs!$B$67/12</f>
        <v>-2840.52282256666</v>
      </c>
      <c r="X48" s="67" t="n">
        <f aca="false">-(X69+X70)*Inputs!$B$67/12</f>
        <v>-2836.47814577778</v>
      </c>
      <c r="Y48" s="67" t="n">
        <f aca="false">-(Y69+Y70)*Inputs!$B$67/12</f>
        <v>-2832.40987504096</v>
      </c>
      <c r="Z48" s="67" t="n">
        <f aca="false">-(Z69+Z70)*Inputs!$B$67/12</f>
        <v>-2828.31787272484</v>
      </c>
      <c r="AA48" s="67" t="n">
        <f aca="false">-(AA69+AA70)*Inputs!$B$67/12</f>
        <v>-2824.20200039521</v>
      </c>
      <c r="AB48" s="67" t="n">
        <f aca="false">-(AB69+AB70)*Inputs!$B$67/12</f>
        <v>-2820.06211881032</v>
      </c>
      <c r="AC48" s="67" t="n">
        <f aca="false">-(AC69+AC70)*Inputs!$B$67/12</f>
        <v>-2815.89808791619</v>
      </c>
      <c r="AD48" s="67" t="n">
        <f aca="false">-(AD69+AD70)*Inputs!$B$67/12</f>
        <v>-2811.70976684185</v>
      </c>
      <c r="AE48" s="67" t="n">
        <f aca="false">-(AE69+AE70)*Inputs!$B$67/12</f>
        <v>-2807.49701389457</v>
      </c>
      <c r="AF48" s="67" t="n">
        <f aca="false">-(AF69+AF70)*Inputs!$B$67/12</f>
        <v>-2803.2596865551</v>
      </c>
      <c r="AG48" s="67" t="n">
        <f aca="false">-(AG69+AG70)*Inputs!$B$67/12</f>
        <v>-2798.99764147281</v>
      </c>
      <c r="AH48" s="67" t="n">
        <f aca="false">-(AH69+AH70)*Inputs!$B$67/12</f>
        <v>-2794.71073446088</v>
      </c>
      <c r="AI48" s="67" t="n">
        <f aca="false">-(AI69+AI70)*Inputs!$B$67/12</f>
        <v>-2790.39882049138</v>
      </c>
      <c r="AJ48" s="67" t="n">
        <f aca="false">-(AJ69+AJ70)*Inputs!$B$67/12</f>
        <v>-2786.06175369039</v>
      </c>
      <c r="AK48" s="67" t="n">
        <f aca="false">-(AK69+AK70)*Inputs!$B$67/12</f>
        <v>-2781.69938733306</v>
      </c>
      <c r="AL48" s="67" t="n">
        <f aca="false">-(AL69+AL70)*Inputs!$B$67/12</f>
        <v>-2777.31157383864</v>
      </c>
      <c r="AM48" s="67" t="n">
        <f aca="false">-(AM69+AM70)*Inputs!$B$67/12</f>
        <v>-2772.89816476551</v>
      </c>
      <c r="AN48" s="67" t="n">
        <f aca="false">-(AN69+AN70)*Inputs!$B$67/12</f>
        <v>-2768.45901080612</v>
      </c>
      <c r="AO48" s="67" t="n">
        <f aca="false">-(AO69+AO70)*Inputs!$B$67/12</f>
        <v>-2763.99396178197</v>
      </c>
      <c r="AP48" s="67" t="n">
        <f aca="false">-(AP69+AP70)*Inputs!$B$67/12</f>
        <v>-2759.5028666385</v>
      </c>
      <c r="AQ48" s="67" t="n">
        <f aca="false">-(AQ69+AQ70)*Inputs!$B$67/12</f>
        <v>-2754.98557344004</v>
      </c>
      <c r="AR48" s="67" t="n">
        <f aca="false">-(AR69+AR70)*Inputs!$B$67/12</f>
        <v>-2750.44192936458</v>
      </c>
      <c r="AS48" s="67" t="n">
        <f aca="false">-(AS69+AS70)*Inputs!$B$67/12</f>
        <v>-2745.87178069868</v>
      </c>
      <c r="AT48" s="67" t="n">
        <f aca="false">-(AT69+AT70)*Inputs!$B$67/12</f>
        <v>-2741.27497283224</v>
      </c>
      <c r="AU48" s="67" t="n">
        <f aca="false">-(AU69+AU70)*Inputs!$B$67/12</f>
        <v>-2736.65135025324</v>
      </c>
      <c r="AV48" s="67" t="n">
        <f aca="false">-(AV69+AV70)*Inputs!$B$67/12</f>
        <v>-2732.00075654252</v>
      </c>
      <c r="AW48" s="67" t="n">
        <f aca="false">-(AW69+AW70)*Inputs!$B$67/12</f>
        <v>-2727.3230343685</v>
      </c>
      <c r="AX48" s="67" t="n">
        <f aca="false">-(AX69+AX70)*Inputs!$B$67/12</f>
        <v>-2722.61802548179</v>
      </c>
      <c r="AY48" s="67" t="n">
        <f aca="false">-(AY69+AY70)*Inputs!$B$67/12</f>
        <v>-2717.88557070991</v>
      </c>
      <c r="AZ48" s="67" t="n">
        <f aca="false">-(AZ69+AZ70)*Inputs!$B$67/12</f>
        <v>-2713.12550995186</v>
      </c>
      <c r="BA48" s="67" t="n">
        <f aca="false">-(BA69+BA70)*Inputs!$B$67/12</f>
        <v>-2708.33768217272</v>
      </c>
      <c r="BB48" s="67" t="n">
        <f aca="false">-(BB69+BB70)*Inputs!$B$67/12</f>
        <v>-2703.52192539821</v>
      </c>
      <c r="BC48" s="67" t="n">
        <f aca="false">-(BC69+BC70)*Inputs!$B$67/12</f>
        <v>-2698.67807670917</v>
      </c>
      <c r="BD48" s="67" t="n">
        <f aca="false">-(BD69+BD70)*Inputs!$B$67/12</f>
        <v>-2693.80597223612</v>
      </c>
      <c r="BE48" s="67" t="n">
        <f aca="false">-(BE69+BE70)*Inputs!$B$67/12</f>
        <v>-2688.90544715364</v>
      </c>
      <c r="BF48" s="67" t="n">
        <f aca="false">-(BF69+BF70)*Inputs!$B$67/12</f>
        <v>-2683.97633567485</v>
      </c>
      <c r="BG48" s="67" t="n">
        <f aca="false">-(BG69+BG70)*Inputs!$B$67/12</f>
        <v>-2679.01847104576</v>
      </c>
      <c r="BH48" s="67" t="n">
        <f aca="false">-(BH69+BH70)*Inputs!$B$67/12</f>
        <v>-2674.03168553967</v>
      </c>
      <c r="BI48" s="67" t="n">
        <f aca="false">-(BI69+BI70)*Inputs!$B$67/12</f>
        <v>-2669.01581045146</v>
      </c>
      <c r="BJ48" s="67" t="n">
        <f aca="false">-(BJ69+BJ70)*Inputs!$B$67/12</f>
        <v>-2663.9706760919</v>
      </c>
    </row>
    <row r="49" customFormat="false" ht="15" hidden="false" customHeight="false" outlineLevel="0" collapsed="false">
      <c r="A49" s="111" t="s">
        <v>81</v>
      </c>
      <c r="C49" s="68" t="n">
        <f aca="false">C47+C48</f>
        <v>-18856.9641666667</v>
      </c>
      <c r="D49" s="68" t="n">
        <f aca="false">D47+D48</f>
        <v>-18208.4595419313</v>
      </c>
      <c r="E49" s="68" t="n">
        <f aca="false">E47+E48</f>
        <v>-17559.9339142539</v>
      </c>
      <c r="F49" s="68" t="n">
        <f aca="false">F47+F48</f>
        <v>-16911.3871611171</v>
      </c>
      <c r="G49" s="68" t="n">
        <f aca="false">G47+G48</f>
        <v>-16262.8191592892</v>
      </c>
      <c r="H49" s="68" t="n">
        <f aca="false">H47+H48</f>
        <v>-13017.9466366713</v>
      </c>
      <c r="I49" s="68" t="n">
        <f aca="false">I47+I48</f>
        <v>-12133.3100241453</v>
      </c>
      <c r="J49" s="68" t="n">
        <f aca="false">J47+J48</f>
        <v>-11248.6517889026</v>
      </c>
      <c r="K49" s="68" t="n">
        <f aca="false">K47+K48</f>
        <v>-13668.3321751813</v>
      </c>
      <c r="L49" s="68" t="n">
        <f aca="false">L47+L48</f>
        <v>-13019.6560561129</v>
      </c>
      <c r="M49" s="68" t="n">
        <f aca="false">M47+M48</f>
        <v>-12370.9579337188</v>
      </c>
      <c r="N49" s="68" t="n">
        <f aca="false">N47+N48</f>
        <v>-11722.2376796462</v>
      </c>
      <c r="O49" s="68" t="n">
        <f aca="false">O47+O48</f>
        <v>-11160.9790897936</v>
      </c>
      <c r="P49" s="68" t="n">
        <f aca="false">P47+P48</f>
        <v>-10509.9540319918</v>
      </c>
      <c r="Q49" s="68" t="n">
        <f aca="false">Q47+Q48</f>
        <v>-9858.90645294349</v>
      </c>
      <c r="R49" s="68" t="n">
        <f aca="false">R47+R48</f>
        <v>-9859.33382729322</v>
      </c>
      <c r="S49" s="68" t="n">
        <f aca="false">S47+S48</f>
        <v>-9859.73841688221</v>
      </c>
      <c r="T49" s="68" t="n">
        <f aca="false">T47+T48</f>
        <v>-5121.95568139196</v>
      </c>
      <c r="U49" s="68" t="n">
        <f aca="false">U47+U48</f>
        <v>-5122.31430195085</v>
      </c>
      <c r="V49" s="68" t="n">
        <f aca="false">V47+V48</f>
        <v>-5122.64973668523</v>
      </c>
      <c r="W49" s="68" t="n">
        <f aca="false">W47+W48</f>
        <v>-9861.12625775185</v>
      </c>
      <c r="X49" s="68" t="n">
        <f aca="false">X47+X48</f>
        <v>-9861.4149142963</v>
      </c>
      <c r="Y49" s="68" t="n">
        <f aca="false">Y47+Y48</f>
        <v>-9861.67997689281</v>
      </c>
      <c r="Z49" s="68" t="n">
        <f aca="false">Z47+Z48</f>
        <v>-9861.92130791003</v>
      </c>
      <c r="AA49" s="68" t="n">
        <f aca="false">AA47+AA48</f>
        <v>-10105.7814699322</v>
      </c>
      <c r="AB49" s="68" t="n">
        <f aca="false">AB47+AB48</f>
        <v>-10106.148255014</v>
      </c>
      <c r="AC49" s="68" t="n">
        <f aca="false">AC47+AC48</f>
        <v>-10106.4908907866</v>
      </c>
      <c r="AD49" s="68" t="n">
        <f aca="false">AD47+AD48</f>
        <v>-10106.8092363789</v>
      </c>
      <c r="AE49" s="68" t="n">
        <f aca="false">AE47+AE48</f>
        <v>-10107.1031500983</v>
      </c>
      <c r="AF49" s="68" t="n">
        <f aca="false">AF47+AF48</f>
        <v>-5352.56421572176</v>
      </c>
      <c r="AG49" s="68" t="n">
        <f aca="false">AG47+AG48</f>
        <v>-5352.80883730615</v>
      </c>
      <c r="AH49" s="68" t="n">
        <f aca="false">AH47+AH48</f>
        <v>-5353.02859696088</v>
      </c>
      <c r="AI49" s="68" t="n">
        <f aca="false">AI47+AI48</f>
        <v>-10108.0316233617</v>
      </c>
      <c r="AJ49" s="68" t="n">
        <f aca="false">AJ47+AJ48</f>
        <v>-10108.2012232274</v>
      </c>
      <c r="AK49" s="68" t="n">
        <f aca="false">AK47+AK48</f>
        <v>-10108.3455235368</v>
      </c>
      <c r="AL49" s="68" t="n">
        <f aca="false">AL47+AL48</f>
        <v>-10108.464376709</v>
      </c>
      <c r="AM49" s="68" t="n">
        <f aca="false">AM47+AM48</f>
        <v>-10473.8003178868</v>
      </c>
      <c r="AN49" s="68" t="n">
        <f aca="false">AN47+AN48</f>
        <v>-10474.0480972607</v>
      </c>
      <c r="AO49" s="68" t="n">
        <f aca="false">AO47+AO48</f>
        <v>-10474.2699815699</v>
      </c>
      <c r="AP49" s="68" t="n">
        <f aca="false">AP47+AP48</f>
        <v>-10474.4658197598</v>
      </c>
      <c r="AQ49" s="68" t="n">
        <f aca="false">AQ47+AQ48</f>
        <v>-10474.6354598947</v>
      </c>
      <c r="AR49" s="68" t="n">
        <f aca="false">AR47+AR48</f>
        <v>-5704.38968160069</v>
      </c>
      <c r="AS49" s="68" t="n">
        <f aca="false">AS47+AS48</f>
        <v>-5704.50646626813</v>
      </c>
      <c r="AT49" s="68" t="n">
        <f aca="false">AT47+AT48</f>
        <v>-5704.59659173501</v>
      </c>
      <c r="AU49" s="68" t="n">
        <f aca="false">AU47+AU48</f>
        <v>-10475.0489700412</v>
      </c>
      <c r="AV49" s="68" t="n">
        <f aca="false">AV47+AV48</f>
        <v>-10475.0853096638</v>
      </c>
      <c r="AW49" s="68" t="n">
        <f aca="false">AW47+AW48</f>
        <v>-10475.0945208231</v>
      </c>
      <c r="AX49" s="68" t="n">
        <f aca="false">AX47+AX48</f>
        <v>-10475.0764452698</v>
      </c>
      <c r="AY49" s="68" t="n">
        <f aca="false">AY47+AY48</f>
        <v>-10934.6551320291</v>
      </c>
      <c r="AZ49" s="68" t="n">
        <f aca="false">AZ47+AZ48</f>
        <v>-10934.7694819377</v>
      </c>
      <c r="BA49" s="68" t="n">
        <f aca="false">BA47+BA48</f>
        <v>-10934.8560648252</v>
      </c>
      <c r="BB49" s="68" t="n">
        <f aca="false">BB47+BB48</f>
        <v>-10934.9147187174</v>
      </c>
      <c r="BC49" s="68" t="n">
        <f aca="false">BC47+BC48</f>
        <v>-10934.945280695</v>
      </c>
      <c r="BD49" s="68" t="n">
        <f aca="false">BD47+BD48</f>
        <v>-6150.1006091057</v>
      </c>
      <c r="BE49" s="68" t="n">
        <f aca="false">BE47+BE48</f>
        <v>-6150.07449468989</v>
      </c>
      <c r="BF49" s="68" t="n">
        <f aca="false">BF47+BF48</f>
        <v>-6150.01979387776</v>
      </c>
      <c r="BG49" s="68" t="n">
        <f aca="false">BG47+BG48</f>
        <v>-10934.7833176983</v>
      </c>
      <c r="BH49" s="68" t="n">
        <f aca="false">BH47+BH48</f>
        <v>-10934.6709428588</v>
      </c>
      <c r="BI49" s="68" t="n">
        <f aca="false">BI47+BI48</f>
        <v>-10934.5294784373</v>
      </c>
      <c r="BJ49" s="68" t="n">
        <f aca="false">BJ47+BJ48</f>
        <v>-10934.3587547444</v>
      </c>
    </row>
    <row r="50" customFormat="false" ht="15" hidden="false" customHeight="false" outlineLevel="0" collapsed="false">
      <c r="A50" s="114" t="s">
        <v>420</v>
      </c>
      <c r="C50" s="67" t="n">
        <f aca="false">C49</f>
        <v>-18856.9641666667</v>
      </c>
      <c r="D50" s="67" t="n">
        <f aca="false">C50+D49</f>
        <v>-37065.423708598</v>
      </c>
      <c r="E50" s="67" t="n">
        <f aca="false">D50+E49</f>
        <v>-54625.3576228519</v>
      </c>
      <c r="F50" s="67" t="n">
        <f aca="false">E50+F49</f>
        <v>-71536.744783969</v>
      </c>
      <c r="G50" s="67" t="n">
        <f aca="false">F50+G49</f>
        <v>-87799.5639432582</v>
      </c>
      <c r="H50" s="67" t="n">
        <f aca="false">G50+H49</f>
        <v>-100817.51057993</v>
      </c>
      <c r="I50" s="67" t="n">
        <f aca="false">H50+I49</f>
        <v>-112950.820604075</v>
      </c>
      <c r="J50" s="67" t="n">
        <f aca="false">I50+J49</f>
        <v>-124199.472392977</v>
      </c>
      <c r="K50" s="67" t="n">
        <f aca="false">J50+K49</f>
        <v>-137867.804568159</v>
      </c>
      <c r="L50" s="67" t="n">
        <f aca="false">K50+L49</f>
        <v>-150887.460624272</v>
      </c>
      <c r="M50" s="67" t="n">
        <f aca="false">L50+M49</f>
        <v>-163258.41855799</v>
      </c>
      <c r="N50" s="67" t="n">
        <f aca="false">M50+N49</f>
        <v>-174980.656237636</v>
      </c>
      <c r="O50" s="67" t="n">
        <f aca="false">N50+O49</f>
        <v>-186141.63532743</v>
      </c>
      <c r="P50" s="67" t="n">
        <f aca="false">O50+P49</f>
        <v>-196651.589359422</v>
      </c>
      <c r="Q50" s="67" t="n">
        <f aca="false">P50+Q49</f>
        <v>-206510.495812365</v>
      </c>
      <c r="R50" s="67" t="n">
        <f aca="false">Q50+R49</f>
        <v>-216369.829639659</v>
      </c>
      <c r="S50" s="67" t="n">
        <f aca="false">R50+S49</f>
        <v>-226229.568056541</v>
      </c>
      <c r="T50" s="67" t="n">
        <f aca="false">S50+T49</f>
        <v>-231351.523737933</v>
      </c>
      <c r="U50" s="67" t="n">
        <f aca="false">T50+U49</f>
        <v>-236473.838039884</v>
      </c>
      <c r="V50" s="67" t="n">
        <f aca="false">U50+V49</f>
        <v>-241596.487776569</v>
      </c>
      <c r="W50" s="67" t="n">
        <f aca="false">V50+W49</f>
        <v>-251457.614034321</v>
      </c>
      <c r="X50" s="67" t="n">
        <f aca="false">W50+X49</f>
        <v>-261319.028948617</v>
      </c>
      <c r="Y50" s="67" t="n">
        <f aca="false">X50+Y49</f>
        <v>-271180.70892551</v>
      </c>
      <c r="Z50" s="67" t="n">
        <f aca="false">Y50+Z49</f>
        <v>-281042.63023342</v>
      </c>
      <c r="AA50" s="67" t="n">
        <f aca="false">Z50+AA49</f>
        <v>-291148.411703352</v>
      </c>
      <c r="AB50" s="67" t="n">
        <f aca="false">AA50+AB49</f>
        <v>-301254.559958366</v>
      </c>
      <c r="AC50" s="67" t="n">
        <f aca="false">AB50+AC49</f>
        <v>-311361.050849153</v>
      </c>
      <c r="AD50" s="67" t="n">
        <f aca="false">AC50+AD49</f>
        <v>-321467.860085532</v>
      </c>
      <c r="AE50" s="67" t="n">
        <f aca="false">AD50+AE49</f>
        <v>-331574.96323563</v>
      </c>
      <c r="AF50" s="67" t="n">
        <f aca="false">AE50+AF49</f>
        <v>-336927.527451352</v>
      </c>
      <c r="AG50" s="67" t="n">
        <f aca="false">AF50+AG49</f>
        <v>-342280.336288658</v>
      </c>
      <c r="AH50" s="67" t="n">
        <f aca="false">AG50+AH49</f>
        <v>-347633.364885619</v>
      </c>
      <c r="AI50" s="67" t="n">
        <f aca="false">AH50+AI49</f>
        <v>-357741.39650898</v>
      </c>
      <c r="AJ50" s="67" t="n">
        <f aca="false">AI50+AJ49</f>
        <v>-367849.597732208</v>
      </c>
      <c r="AK50" s="67" t="n">
        <f aca="false">AJ50+AK49</f>
        <v>-377957.943255745</v>
      </c>
      <c r="AL50" s="67" t="n">
        <f aca="false">AK50+AL49</f>
        <v>-388066.407632454</v>
      </c>
      <c r="AM50" s="67" t="n">
        <f aca="false">AL50+AM49</f>
        <v>-398540.20795034</v>
      </c>
      <c r="AN50" s="67" t="n">
        <f aca="false">AM50+AN49</f>
        <v>-409014.256047601</v>
      </c>
      <c r="AO50" s="67" t="n">
        <f aca="false">AN50+AO49</f>
        <v>-419488.526029171</v>
      </c>
      <c r="AP50" s="67" t="n">
        <f aca="false">AO50+AP49</f>
        <v>-429962.991848931</v>
      </c>
      <c r="AQ50" s="67" t="n">
        <f aca="false">AP50+AQ49</f>
        <v>-440437.627308826</v>
      </c>
      <c r="AR50" s="67" t="n">
        <f aca="false">AQ50+AR49</f>
        <v>-446142.016990426</v>
      </c>
      <c r="AS50" s="67" t="n">
        <f aca="false">AR50+AS49</f>
        <v>-451846.523456694</v>
      </c>
      <c r="AT50" s="67" t="n">
        <f aca="false">AS50+AT49</f>
        <v>-457551.120048429</v>
      </c>
      <c r="AU50" s="67" t="n">
        <f aca="false">AT50+AU49</f>
        <v>-468026.169018471</v>
      </c>
      <c r="AV50" s="67" t="n">
        <f aca="false">AU50+AV49</f>
        <v>-478501.254328134</v>
      </c>
      <c r="AW50" s="67" t="n">
        <f aca="false">AV50+AW49</f>
        <v>-488976.348848958</v>
      </c>
      <c r="AX50" s="67" t="n">
        <f aca="false">AW50+AX49</f>
        <v>-499451.425294227</v>
      </c>
      <c r="AY50" s="67" t="n">
        <f aca="false">AX50+AY49</f>
        <v>-510386.080426256</v>
      </c>
      <c r="AZ50" s="67" t="n">
        <f aca="false">AY50+AZ49</f>
        <v>-521320.849908194</v>
      </c>
      <c r="BA50" s="67" t="n">
        <f aca="false">AZ50+BA49</f>
        <v>-532255.705973019</v>
      </c>
      <c r="BB50" s="67" t="n">
        <f aca="false">BA50+BB49</f>
        <v>-543190.620691737</v>
      </c>
      <c r="BC50" s="67" t="n">
        <f aca="false">BB50+BC49</f>
        <v>-554125.565972432</v>
      </c>
      <c r="BD50" s="67" t="n">
        <f aca="false">BC50+BD49</f>
        <v>-560275.666581537</v>
      </c>
      <c r="BE50" s="67" t="n">
        <f aca="false">BD50+BE49</f>
        <v>-566425.741076227</v>
      </c>
      <c r="BF50" s="67" t="n">
        <f aca="false">BE50+BF49</f>
        <v>-572575.760870105</v>
      </c>
      <c r="BG50" s="67" t="n">
        <f aca="false">BF50+BG49</f>
        <v>-583510.544187803</v>
      </c>
      <c r="BH50" s="67" t="n">
        <f aca="false">BG50+BH49</f>
        <v>-594445.215130662</v>
      </c>
      <c r="BI50" s="67" t="n">
        <f aca="false">BH50+BI49</f>
        <v>-605379.744609099</v>
      </c>
      <c r="BJ50" s="67" t="n">
        <f aca="false">BI50+BJ49</f>
        <v>-616314.103363844</v>
      </c>
    </row>
    <row r="51" customFormat="false" ht="15" hidden="false" customHeight="false" outlineLevel="0" collapsed="false">
      <c r="A51" s="114" t="s">
        <v>421</v>
      </c>
      <c r="C51" s="67" t="n">
        <f aca="false">MAX(0,C50)</f>
        <v>0</v>
      </c>
      <c r="D51" s="67" t="n">
        <f aca="false">MAX(C51,D50)</f>
        <v>0</v>
      </c>
      <c r="E51" s="67" t="n">
        <f aca="false">MAX(D51,E50)</f>
        <v>0</v>
      </c>
      <c r="F51" s="67" t="n">
        <f aca="false">MAX(E51,F50)</f>
        <v>0</v>
      </c>
      <c r="G51" s="67" t="n">
        <f aca="false">MAX(F51,G50)</f>
        <v>0</v>
      </c>
      <c r="H51" s="67" t="n">
        <f aca="false">MAX(G51,H50)</f>
        <v>0</v>
      </c>
      <c r="I51" s="67" t="n">
        <f aca="false">MAX(H51,I50)</f>
        <v>0</v>
      </c>
      <c r="J51" s="67" t="n">
        <f aca="false">MAX(I51,J50)</f>
        <v>0</v>
      </c>
      <c r="K51" s="67" t="n">
        <f aca="false">MAX(J51,K50)</f>
        <v>0</v>
      </c>
      <c r="L51" s="67" t="n">
        <f aca="false">MAX(K51,L50)</f>
        <v>0</v>
      </c>
      <c r="M51" s="67" t="n">
        <f aca="false">MAX(L51,M50)</f>
        <v>0</v>
      </c>
      <c r="N51" s="67" t="n">
        <f aca="false">MAX(M51,N50)</f>
        <v>0</v>
      </c>
      <c r="O51" s="67" t="n">
        <f aca="false">MAX(N51,O50)</f>
        <v>0</v>
      </c>
      <c r="P51" s="67" t="n">
        <f aca="false">MAX(O51,P50)</f>
        <v>0</v>
      </c>
      <c r="Q51" s="67" t="n">
        <f aca="false">MAX(P51,Q50)</f>
        <v>0</v>
      </c>
      <c r="R51" s="67" t="n">
        <f aca="false">MAX(Q51,R50)</f>
        <v>0</v>
      </c>
      <c r="S51" s="67" t="n">
        <f aca="false">MAX(R51,S50)</f>
        <v>0</v>
      </c>
      <c r="T51" s="67" t="n">
        <f aca="false">MAX(S51,T50)</f>
        <v>0</v>
      </c>
      <c r="U51" s="67" t="n">
        <f aca="false">MAX(T51,U50)</f>
        <v>0</v>
      </c>
      <c r="V51" s="67" t="n">
        <f aca="false">MAX(U51,V50)</f>
        <v>0</v>
      </c>
      <c r="W51" s="67" t="n">
        <f aca="false">MAX(V51,W50)</f>
        <v>0</v>
      </c>
      <c r="X51" s="67" t="n">
        <f aca="false">MAX(W51,X50)</f>
        <v>0</v>
      </c>
      <c r="Y51" s="67" t="n">
        <f aca="false">MAX(X51,Y50)</f>
        <v>0</v>
      </c>
      <c r="Z51" s="67" t="n">
        <f aca="false">MAX(Y51,Z50)</f>
        <v>0</v>
      </c>
      <c r="AA51" s="67" t="n">
        <f aca="false">MAX(Z51,AA50)</f>
        <v>0</v>
      </c>
      <c r="AB51" s="67" t="n">
        <f aca="false">MAX(AA51,AB50)</f>
        <v>0</v>
      </c>
      <c r="AC51" s="67" t="n">
        <f aca="false">MAX(AB51,AC50)</f>
        <v>0</v>
      </c>
      <c r="AD51" s="67" t="n">
        <f aca="false">MAX(AC51,AD50)</f>
        <v>0</v>
      </c>
      <c r="AE51" s="67" t="n">
        <f aca="false">MAX(AD51,AE50)</f>
        <v>0</v>
      </c>
      <c r="AF51" s="67" t="n">
        <f aca="false">MAX(AE51,AF50)</f>
        <v>0</v>
      </c>
      <c r="AG51" s="67" t="n">
        <f aca="false">MAX(AF51,AG50)</f>
        <v>0</v>
      </c>
      <c r="AH51" s="67" t="n">
        <f aca="false">MAX(AG51,AH50)</f>
        <v>0</v>
      </c>
      <c r="AI51" s="67" t="n">
        <f aca="false">MAX(AH51,AI50)</f>
        <v>0</v>
      </c>
      <c r="AJ51" s="67" t="n">
        <f aca="false">MAX(AI51,AJ50)</f>
        <v>0</v>
      </c>
      <c r="AK51" s="67" t="n">
        <f aca="false">MAX(AJ51,AK50)</f>
        <v>0</v>
      </c>
      <c r="AL51" s="67" t="n">
        <f aca="false">MAX(AK51,AL50)</f>
        <v>0</v>
      </c>
      <c r="AM51" s="67" t="n">
        <f aca="false">MAX(AL51,AM50)</f>
        <v>0</v>
      </c>
      <c r="AN51" s="67" t="n">
        <f aca="false">MAX(AM51,AN50)</f>
        <v>0</v>
      </c>
      <c r="AO51" s="67" t="n">
        <f aca="false">MAX(AN51,AO50)</f>
        <v>0</v>
      </c>
      <c r="AP51" s="67" t="n">
        <f aca="false">MAX(AO51,AP50)</f>
        <v>0</v>
      </c>
      <c r="AQ51" s="67" t="n">
        <f aca="false">MAX(AP51,AQ50)</f>
        <v>0</v>
      </c>
      <c r="AR51" s="67" t="n">
        <f aca="false">MAX(AQ51,AR50)</f>
        <v>0</v>
      </c>
      <c r="AS51" s="67" t="n">
        <f aca="false">MAX(AR51,AS50)</f>
        <v>0</v>
      </c>
      <c r="AT51" s="67" t="n">
        <f aca="false">MAX(AS51,AT50)</f>
        <v>0</v>
      </c>
      <c r="AU51" s="67" t="n">
        <f aca="false">MAX(AT51,AU50)</f>
        <v>0</v>
      </c>
      <c r="AV51" s="67" t="n">
        <f aca="false">MAX(AU51,AV50)</f>
        <v>0</v>
      </c>
      <c r="AW51" s="67" t="n">
        <f aca="false">MAX(AV51,AW50)</f>
        <v>0</v>
      </c>
      <c r="AX51" s="67" t="n">
        <f aca="false">MAX(AW51,AX50)</f>
        <v>0</v>
      </c>
      <c r="AY51" s="67" t="n">
        <f aca="false">MAX(AX51,AY50)</f>
        <v>0</v>
      </c>
      <c r="AZ51" s="67" t="n">
        <f aca="false">MAX(AY51,AZ50)</f>
        <v>0</v>
      </c>
      <c r="BA51" s="67" t="n">
        <f aca="false">MAX(AZ51,BA50)</f>
        <v>0</v>
      </c>
      <c r="BB51" s="67" t="n">
        <f aca="false">MAX(BA51,BB50)</f>
        <v>0</v>
      </c>
      <c r="BC51" s="67" t="n">
        <f aca="false">MAX(BB51,BC50)</f>
        <v>0</v>
      </c>
      <c r="BD51" s="67" t="n">
        <f aca="false">MAX(BC51,BD50)</f>
        <v>0</v>
      </c>
      <c r="BE51" s="67" t="n">
        <f aca="false">MAX(BD51,BE50)</f>
        <v>0</v>
      </c>
      <c r="BF51" s="67" t="n">
        <f aca="false">MAX(BE51,BF50)</f>
        <v>0</v>
      </c>
      <c r="BG51" s="67" t="n">
        <f aca="false">MAX(BF51,BG50)</f>
        <v>0</v>
      </c>
      <c r="BH51" s="67" t="n">
        <f aca="false">MAX(BG51,BH50)</f>
        <v>0</v>
      </c>
      <c r="BI51" s="67" t="n">
        <f aca="false">MAX(BH51,BI50)</f>
        <v>0</v>
      </c>
      <c r="BJ51" s="67" t="n">
        <f aca="false">MAX(BI51,BJ50)</f>
        <v>0</v>
      </c>
    </row>
    <row r="52" customFormat="false" ht="15" hidden="false" customHeight="false" outlineLevel="0" collapsed="false">
      <c r="A52" s="6" t="s">
        <v>82</v>
      </c>
      <c r="C52" s="67" t="n">
        <f aca="false">-C51*Inputs!$B$77</f>
        <v>-0</v>
      </c>
      <c r="D52" s="67" t="n">
        <f aca="false">-(D51-C51)*Inputs!$B$77</f>
        <v>-0</v>
      </c>
      <c r="E52" s="67" t="n">
        <f aca="false">-(E51-D51)*Inputs!$B$77</f>
        <v>-0</v>
      </c>
      <c r="F52" s="67" t="n">
        <f aca="false">-(F51-E51)*Inputs!$B$77</f>
        <v>-0</v>
      </c>
      <c r="G52" s="67" t="n">
        <f aca="false">-(G51-F51)*Inputs!$B$77</f>
        <v>-0</v>
      </c>
      <c r="H52" s="67" t="n">
        <f aca="false">-(H51-G51)*Inputs!$B$77</f>
        <v>-0</v>
      </c>
      <c r="I52" s="67" t="n">
        <f aca="false">-(I51-H51)*Inputs!$B$77</f>
        <v>-0</v>
      </c>
      <c r="J52" s="67" t="n">
        <f aca="false">-(J51-I51)*Inputs!$B$77</f>
        <v>-0</v>
      </c>
      <c r="K52" s="67" t="n">
        <f aca="false">-(K51-J51)*Inputs!$B$77</f>
        <v>-0</v>
      </c>
      <c r="L52" s="67" t="n">
        <f aca="false">-(L51-K51)*Inputs!$B$77</f>
        <v>-0</v>
      </c>
      <c r="M52" s="67" t="n">
        <f aca="false">-(M51-L51)*Inputs!$B$77</f>
        <v>-0</v>
      </c>
      <c r="N52" s="67" t="n">
        <f aca="false">-(N51-M51)*Inputs!$B$77</f>
        <v>-0</v>
      </c>
      <c r="O52" s="67" t="n">
        <f aca="false">-(O51-N51)*Inputs!$B$77</f>
        <v>-0</v>
      </c>
      <c r="P52" s="67" t="n">
        <f aca="false">-(P51-O51)*Inputs!$B$77</f>
        <v>-0</v>
      </c>
      <c r="Q52" s="67" t="n">
        <f aca="false">-(Q51-P51)*Inputs!$B$77</f>
        <v>-0</v>
      </c>
      <c r="R52" s="67" t="n">
        <f aca="false">-(R51-Q51)*Inputs!$B$77</f>
        <v>-0</v>
      </c>
      <c r="S52" s="67" t="n">
        <f aca="false">-(S51-R51)*Inputs!$B$77</f>
        <v>-0</v>
      </c>
      <c r="T52" s="67" t="n">
        <f aca="false">-(T51-S51)*Inputs!$B$77</f>
        <v>-0</v>
      </c>
      <c r="U52" s="67" t="n">
        <f aca="false">-(U51-T51)*Inputs!$B$77</f>
        <v>-0</v>
      </c>
      <c r="V52" s="67" t="n">
        <f aca="false">-(V51-U51)*Inputs!$B$77</f>
        <v>-0</v>
      </c>
      <c r="W52" s="67" t="n">
        <f aca="false">-(W51-V51)*Inputs!$B$77</f>
        <v>-0</v>
      </c>
      <c r="X52" s="67" t="n">
        <f aca="false">-(X51-W51)*Inputs!$B$77</f>
        <v>-0</v>
      </c>
      <c r="Y52" s="67" t="n">
        <f aca="false">-(Y51-X51)*Inputs!$B$77</f>
        <v>-0</v>
      </c>
      <c r="Z52" s="67" t="n">
        <f aca="false">-(Z51-Y51)*Inputs!$B$77</f>
        <v>-0</v>
      </c>
      <c r="AA52" s="67" t="n">
        <f aca="false">-(AA51-Z51)*Inputs!$B$77</f>
        <v>-0</v>
      </c>
      <c r="AB52" s="67" t="n">
        <f aca="false">-(AB51-AA51)*Inputs!$B$77</f>
        <v>-0</v>
      </c>
      <c r="AC52" s="67" t="n">
        <f aca="false">-(AC51-AB51)*Inputs!$B$77</f>
        <v>-0</v>
      </c>
      <c r="AD52" s="67" t="n">
        <f aca="false">-(AD51-AC51)*Inputs!$B$77</f>
        <v>-0</v>
      </c>
      <c r="AE52" s="67" t="n">
        <f aca="false">-(AE51-AD51)*Inputs!$B$77</f>
        <v>-0</v>
      </c>
      <c r="AF52" s="67" t="n">
        <f aca="false">-(AF51-AE51)*Inputs!$B$77</f>
        <v>-0</v>
      </c>
      <c r="AG52" s="67" t="n">
        <f aca="false">-(AG51-AF51)*Inputs!$B$77</f>
        <v>-0</v>
      </c>
      <c r="AH52" s="67" t="n">
        <f aca="false">-(AH51-AG51)*Inputs!$B$77</f>
        <v>-0</v>
      </c>
      <c r="AI52" s="67" t="n">
        <f aca="false">-(AI51-AH51)*Inputs!$B$77</f>
        <v>-0</v>
      </c>
      <c r="AJ52" s="67" t="n">
        <f aca="false">-(AJ51-AI51)*Inputs!$B$77</f>
        <v>-0</v>
      </c>
      <c r="AK52" s="67" t="n">
        <f aca="false">-(AK51-AJ51)*Inputs!$B$77</f>
        <v>-0</v>
      </c>
      <c r="AL52" s="67" t="n">
        <f aca="false">-(AL51-AK51)*Inputs!$B$77</f>
        <v>-0</v>
      </c>
      <c r="AM52" s="67" t="n">
        <f aca="false">-(AM51-AL51)*Inputs!$B$77</f>
        <v>-0</v>
      </c>
      <c r="AN52" s="67" t="n">
        <f aca="false">-(AN51-AM51)*Inputs!$B$77</f>
        <v>-0</v>
      </c>
      <c r="AO52" s="67" t="n">
        <f aca="false">-(AO51-AN51)*Inputs!$B$77</f>
        <v>-0</v>
      </c>
      <c r="AP52" s="67" t="n">
        <f aca="false">-(AP51-AO51)*Inputs!$B$77</f>
        <v>-0</v>
      </c>
      <c r="AQ52" s="67" t="n">
        <f aca="false">-(AQ51-AP51)*Inputs!$B$77</f>
        <v>-0</v>
      </c>
      <c r="AR52" s="67" t="n">
        <f aca="false">-(AR51-AQ51)*Inputs!$B$77</f>
        <v>-0</v>
      </c>
      <c r="AS52" s="67" t="n">
        <f aca="false">-(AS51-AR51)*Inputs!$B$77</f>
        <v>-0</v>
      </c>
      <c r="AT52" s="67" t="n">
        <f aca="false">-(AT51-AS51)*Inputs!$B$77</f>
        <v>-0</v>
      </c>
      <c r="AU52" s="67" t="n">
        <f aca="false">-(AU51-AT51)*Inputs!$B$77</f>
        <v>-0</v>
      </c>
      <c r="AV52" s="67" t="n">
        <f aca="false">-(AV51-AU51)*Inputs!$B$77</f>
        <v>-0</v>
      </c>
      <c r="AW52" s="67" t="n">
        <f aca="false">-(AW51-AV51)*Inputs!$B$77</f>
        <v>-0</v>
      </c>
      <c r="AX52" s="67" t="n">
        <f aca="false">-(AX51-AW51)*Inputs!$B$77</f>
        <v>-0</v>
      </c>
      <c r="AY52" s="67" t="n">
        <f aca="false">-(AY51-AX51)*Inputs!$B$77</f>
        <v>-0</v>
      </c>
      <c r="AZ52" s="67" t="n">
        <f aca="false">-(AZ51-AY51)*Inputs!$B$77</f>
        <v>-0</v>
      </c>
      <c r="BA52" s="67" t="n">
        <f aca="false">-(BA51-AZ51)*Inputs!$B$77</f>
        <v>-0</v>
      </c>
      <c r="BB52" s="67" t="n">
        <f aca="false">-(BB51-BA51)*Inputs!$B$77</f>
        <v>-0</v>
      </c>
      <c r="BC52" s="67" t="n">
        <f aca="false">-(BC51-BB51)*Inputs!$B$77</f>
        <v>-0</v>
      </c>
      <c r="BD52" s="67" t="n">
        <f aca="false">-(BD51-BC51)*Inputs!$B$77</f>
        <v>-0</v>
      </c>
      <c r="BE52" s="67" t="n">
        <f aca="false">-(BE51-BD51)*Inputs!$B$77</f>
        <v>-0</v>
      </c>
      <c r="BF52" s="67" t="n">
        <f aca="false">-(BF51-BE51)*Inputs!$B$77</f>
        <v>-0</v>
      </c>
      <c r="BG52" s="67" t="n">
        <f aca="false">-(BG51-BF51)*Inputs!$B$77</f>
        <v>-0</v>
      </c>
      <c r="BH52" s="67" t="n">
        <f aca="false">-(BH51-BG51)*Inputs!$B$77</f>
        <v>-0</v>
      </c>
      <c r="BI52" s="67" t="n">
        <f aca="false">-(BI51-BH51)*Inputs!$B$77</f>
        <v>-0</v>
      </c>
      <c r="BJ52" s="67" t="n">
        <f aca="false">-(BJ51-BI51)*Inputs!$B$77</f>
        <v>-0</v>
      </c>
    </row>
    <row r="53" customFormat="false" ht="15" hidden="false" customHeight="false" outlineLevel="0" collapsed="false">
      <c r="A53" s="111" t="s">
        <v>50</v>
      </c>
      <c r="C53" s="68" t="n">
        <f aca="false">C49+C52</f>
        <v>-18856.9641666667</v>
      </c>
      <c r="D53" s="68" t="n">
        <f aca="false">D49+D52</f>
        <v>-18208.4595419313</v>
      </c>
      <c r="E53" s="68" t="n">
        <f aca="false">E49+E52</f>
        <v>-17559.9339142539</v>
      </c>
      <c r="F53" s="68" t="n">
        <f aca="false">F49+F52</f>
        <v>-16911.3871611171</v>
      </c>
      <c r="G53" s="68" t="n">
        <f aca="false">G49+G52</f>
        <v>-16262.8191592892</v>
      </c>
      <c r="H53" s="68" t="n">
        <f aca="false">H49+H52</f>
        <v>-13017.9466366713</v>
      </c>
      <c r="I53" s="68" t="n">
        <f aca="false">I49+I52</f>
        <v>-12133.3100241453</v>
      </c>
      <c r="J53" s="68" t="n">
        <f aca="false">J49+J52</f>
        <v>-11248.6517889026</v>
      </c>
      <c r="K53" s="68" t="n">
        <f aca="false">K49+K52</f>
        <v>-13668.3321751813</v>
      </c>
      <c r="L53" s="68" t="n">
        <f aca="false">L49+L52</f>
        <v>-13019.6560561129</v>
      </c>
      <c r="M53" s="68" t="n">
        <f aca="false">M49+M52</f>
        <v>-12370.9579337188</v>
      </c>
      <c r="N53" s="68" t="n">
        <f aca="false">N49+N52</f>
        <v>-11722.2376796462</v>
      </c>
      <c r="O53" s="68" t="n">
        <f aca="false">O49+O52</f>
        <v>-11160.9790897936</v>
      </c>
      <c r="P53" s="68" t="n">
        <f aca="false">P49+P52</f>
        <v>-10509.9540319918</v>
      </c>
      <c r="Q53" s="68" t="n">
        <f aca="false">Q49+Q52</f>
        <v>-9858.90645294349</v>
      </c>
      <c r="R53" s="68" t="n">
        <f aca="false">R49+R52</f>
        <v>-9859.33382729322</v>
      </c>
      <c r="S53" s="68" t="n">
        <f aca="false">S49+S52</f>
        <v>-9859.73841688221</v>
      </c>
      <c r="T53" s="68" t="n">
        <f aca="false">T49+T52</f>
        <v>-5121.95568139196</v>
      </c>
      <c r="U53" s="68" t="n">
        <f aca="false">U49+U52</f>
        <v>-5122.31430195085</v>
      </c>
      <c r="V53" s="68" t="n">
        <f aca="false">V49+V52</f>
        <v>-5122.64973668523</v>
      </c>
      <c r="W53" s="68" t="n">
        <f aca="false">W49+W52</f>
        <v>-9861.12625775185</v>
      </c>
      <c r="X53" s="68" t="n">
        <f aca="false">X49+X52</f>
        <v>-9861.4149142963</v>
      </c>
      <c r="Y53" s="68" t="n">
        <f aca="false">Y49+Y52</f>
        <v>-9861.67997689281</v>
      </c>
      <c r="Z53" s="68" t="n">
        <f aca="false">Z49+Z52</f>
        <v>-9861.92130791003</v>
      </c>
      <c r="AA53" s="68" t="n">
        <f aca="false">AA49+AA52</f>
        <v>-10105.7814699322</v>
      </c>
      <c r="AB53" s="68" t="n">
        <f aca="false">AB49+AB52</f>
        <v>-10106.148255014</v>
      </c>
      <c r="AC53" s="68" t="n">
        <f aca="false">AC49+AC52</f>
        <v>-10106.4908907866</v>
      </c>
      <c r="AD53" s="68" t="n">
        <f aca="false">AD49+AD52</f>
        <v>-10106.8092363789</v>
      </c>
      <c r="AE53" s="68" t="n">
        <f aca="false">AE49+AE52</f>
        <v>-10107.1031500983</v>
      </c>
      <c r="AF53" s="68" t="n">
        <f aca="false">AF49+AF52</f>
        <v>-5352.56421572176</v>
      </c>
      <c r="AG53" s="68" t="n">
        <f aca="false">AG49+AG52</f>
        <v>-5352.80883730615</v>
      </c>
      <c r="AH53" s="68" t="n">
        <f aca="false">AH49+AH52</f>
        <v>-5353.02859696088</v>
      </c>
      <c r="AI53" s="68" t="n">
        <f aca="false">AI49+AI52</f>
        <v>-10108.0316233617</v>
      </c>
      <c r="AJ53" s="68" t="n">
        <f aca="false">AJ49+AJ52</f>
        <v>-10108.2012232274</v>
      </c>
      <c r="AK53" s="68" t="n">
        <f aca="false">AK49+AK52</f>
        <v>-10108.3455235368</v>
      </c>
      <c r="AL53" s="68" t="n">
        <f aca="false">AL49+AL52</f>
        <v>-10108.464376709</v>
      </c>
      <c r="AM53" s="68" t="n">
        <f aca="false">AM49+AM52</f>
        <v>-10473.8003178868</v>
      </c>
      <c r="AN53" s="68" t="n">
        <f aca="false">AN49+AN52</f>
        <v>-10474.0480972607</v>
      </c>
      <c r="AO53" s="68" t="n">
        <f aca="false">AO49+AO52</f>
        <v>-10474.2699815699</v>
      </c>
      <c r="AP53" s="68" t="n">
        <f aca="false">AP49+AP52</f>
        <v>-10474.4658197598</v>
      </c>
      <c r="AQ53" s="68" t="n">
        <f aca="false">AQ49+AQ52</f>
        <v>-10474.6354598947</v>
      </c>
      <c r="AR53" s="68" t="n">
        <f aca="false">AR49+AR52</f>
        <v>-5704.38968160069</v>
      </c>
      <c r="AS53" s="68" t="n">
        <f aca="false">AS49+AS52</f>
        <v>-5704.50646626813</v>
      </c>
      <c r="AT53" s="68" t="n">
        <f aca="false">AT49+AT52</f>
        <v>-5704.59659173501</v>
      </c>
      <c r="AU53" s="68" t="n">
        <f aca="false">AU49+AU52</f>
        <v>-10475.0489700412</v>
      </c>
      <c r="AV53" s="68" t="n">
        <f aca="false">AV49+AV52</f>
        <v>-10475.0853096638</v>
      </c>
      <c r="AW53" s="68" t="n">
        <f aca="false">AW49+AW52</f>
        <v>-10475.0945208231</v>
      </c>
      <c r="AX53" s="68" t="n">
        <f aca="false">AX49+AX52</f>
        <v>-10475.0764452698</v>
      </c>
      <c r="AY53" s="68" t="n">
        <f aca="false">AY49+AY52</f>
        <v>-10934.6551320291</v>
      </c>
      <c r="AZ53" s="68" t="n">
        <f aca="false">AZ49+AZ52</f>
        <v>-10934.7694819377</v>
      </c>
      <c r="BA53" s="68" t="n">
        <f aca="false">BA49+BA52</f>
        <v>-10934.8560648252</v>
      </c>
      <c r="BB53" s="68" t="n">
        <f aca="false">BB49+BB52</f>
        <v>-10934.9147187174</v>
      </c>
      <c r="BC53" s="68" t="n">
        <f aca="false">BC49+BC52</f>
        <v>-10934.945280695</v>
      </c>
      <c r="BD53" s="68" t="n">
        <f aca="false">BD49+BD52</f>
        <v>-6150.1006091057</v>
      </c>
      <c r="BE53" s="68" t="n">
        <f aca="false">BE49+BE52</f>
        <v>-6150.07449468989</v>
      </c>
      <c r="BF53" s="68" t="n">
        <f aca="false">BF49+BF52</f>
        <v>-6150.01979387776</v>
      </c>
      <c r="BG53" s="68" t="n">
        <f aca="false">BG49+BG52</f>
        <v>-10934.7833176983</v>
      </c>
      <c r="BH53" s="68" t="n">
        <f aca="false">BH49+BH52</f>
        <v>-10934.6709428588</v>
      </c>
      <c r="BI53" s="68" t="n">
        <f aca="false">BI49+BI52</f>
        <v>-10934.5294784373</v>
      </c>
      <c r="BJ53" s="68" t="n">
        <f aca="false">BJ49+BJ52</f>
        <v>-10934.3587547444</v>
      </c>
    </row>
    <row r="55" customFormat="false" ht="15.75" hidden="false" customHeight="true" outlineLevel="0" collapsed="false">
      <c r="A55" s="7" t="s">
        <v>422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customFormat="false" ht="15" hidden="false" customHeight="false" outlineLevel="0" collapsed="false">
      <c r="A56" s="6" t="s">
        <v>423</v>
      </c>
      <c r="C56" s="67" t="n">
        <f aca="false">IF(C$6=1,Inputs!$B$42,0)</f>
        <v>720000</v>
      </c>
      <c r="D56" s="67" t="n">
        <f aca="false">IF(D$6=1,Inputs!$B$42,0)</f>
        <v>0</v>
      </c>
      <c r="E56" s="67" t="n">
        <f aca="false">IF(E$6=1,Inputs!$B$42,0)</f>
        <v>0</v>
      </c>
      <c r="F56" s="67" t="n">
        <f aca="false">IF(F$6=1,Inputs!$B$42,0)</f>
        <v>0</v>
      </c>
      <c r="G56" s="67" t="n">
        <f aca="false">IF(G$6=1,Inputs!$B$42,0)</f>
        <v>0</v>
      </c>
      <c r="H56" s="67" t="n">
        <f aca="false">IF(H$6=1,Inputs!$B$42,0)</f>
        <v>0</v>
      </c>
      <c r="I56" s="67" t="n">
        <f aca="false">IF(I$6=1,Inputs!$B$42,0)</f>
        <v>0</v>
      </c>
      <c r="J56" s="67" t="n">
        <f aca="false">IF(J$6=1,Inputs!$B$42,0)</f>
        <v>0</v>
      </c>
      <c r="K56" s="67" t="n">
        <f aca="false">IF(K$6=1,Inputs!$B$42,0)</f>
        <v>0</v>
      </c>
      <c r="L56" s="67" t="n">
        <f aca="false">IF(L$6=1,Inputs!$B$42,0)</f>
        <v>0</v>
      </c>
      <c r="M56" s="67" t="n">
        <f aca="false">IF(M$6=1,Inputs!$B$42,0)</f>
        <v>0</v>
      </c>
      <c r="N56" s="67" t="n">
        <f aca="false">IF(N$6=1,Inputs!$B$42,0)</f>
        <v>0</v>
      </c>
      <c r="O56" s="67" t="n">
        <f aca="false">IF(O$6=1,Inputs!$B$42,0)</f>
        <v>0</v>
      </c>
      <c r="P56" s="67" t="n">
        <f aca="false">IF(P$6=1,Inputs!$B$42,0)</f>
        <v>0</v>
      </c>
      <c r="Q56" s="67" t="n">
        <f aca="false">IF(Q$6=1,Inputs!$B$42,0)</f>
        <v>0</v>
      </c>
      <c r="R56" s="67" t="n">
        <f aca="false">IF(R$6=1,Inputs!$B$42,0)</f>
        <v>0</v>
      </c>
      <c r="S56" s="67" t="n">
        <f aca="false">IF(S$6=1,Inputs!$B$42,0)</f>
        <v>0</v>
      </c>
      <c r="T56" s="67" t="n">
        <f aca="false">IF(T$6=1,Inputs!$B$42,0)</f>
        <v>0</v>
      </c>
      <c r="U56" s="67" t="n">
        <f aca="false">IF(U$6=1,Inputs!$B$42,0)</f>
        <v>0</v>
      </c>
      <c r="V56" s="67" t="n">
        <f aca="false">IF(V$6=1,Inputs!$B$42,0)</f>
        <v>0</v>
      </c>
      <c r="W56" s="67" t="n">
        <f aca="false">IF(W$6=1,Inputs!$B$42,0)</f>
        <v>0</v>
      </c>
      <c r="X56" s="67" t="n">
        <f aca="false">IF(X$6=1,Inputs!$B$42,0)</f>
        <v>0</v>
      </c>
      <c r="Y56" s="67" t="n">
        <f aca="false">IF(Y$6=1,Inputs!$B$42,0)</f>
        <v>0</v>
      </c>
      <c r="Z56" s="67" t="n">
        <f aca="false">IF(Z$6=1,Inputs!$B$42,0)</f>
        <v>0</v>
      </c>
      <c r="AA56" s="67" t="n">
        <f aca="false">IF(AA$6=1,Inputs!$B$42,0)</f>
        <v>0</v>
      </c>
      <c r="AB56" s="67" t="n">
        <f aca="false">IF(AB$6=1,Inputs!$B$42,0)</f>
        <v>0</v>
      </c>
      <c r="AC56" s="67" t="n">
        <f aca="false">IF(AC$6=1,Inputs!$B$42,0)</f>
        <v>0</v>
      </c>
      <c r="AD56" s="67" t="n">
        <f aca="false">IF(AD$6=1,Inputs!$B$42,0)</f>
        <v>0</v>
      </c>
      <c r="AE56" s="67" t="n">
        <f aca="false">IF(AE$6=1,Inputs!$B$42,0)</f>
        <v>0</v>
      </c>
      <c r="AF56" s="67" t="n">
        <f aca="false">IF(AF$6=1,Inputs!$B$42,0)</f>
        <v>0</v>
      </c>
      <c r="AG56" s="67" t="n">
        <f aca="false">IF(AG$6=1,Inputs!$B$42,0)</f>
        <v>0</v>
      </c>
      <c r="AH56" s="67" t="n">
        <f aca="false">IF(AH$6=1,Inputs!$B$42,0)</f>
        <v>0</v>
      </c>
      <c r="AI56" s="67" t="n">
        <f aca="false">IF(AI$6=1,Inputs!$B$42,0)</f>
        <v>0</v>
      </c>
      <c r="AJ56" s="67" t="n">
        <f aca="false">IF(AJ$6=1,Inputs!$B$42,0)</f>
        <v>0</v>
      </c>
      <c r="AK56" s="67" t="n">
        <f aca="false">IF(AK$6=1,Inputs!$B$42,0)</f>
        <v>0</v>
      </c>
      <c r="AL56" s="67" t="n">
        <f aca="false">IF(AL$6=1,Inputs!$B$42,0)</f>
        <v>0</v>
      </c>
      <c r="AM56" s="67" t="n">
        <f aca="false">IF(AM$6=1,Inputs!$B$42,0)</f>
        <v>0</v>
      </c>
      <c r="AN56" s="67" t="n">
        <f aca="false">IF(AN$6=1,Inputs!$B$42,0)</f>
        <v>0</v>
      </c>
      <c r="AO56" s="67" t="n">
        <f aca="false">IF(AO$6=1,Inputs!$B$42,0)</f>
        <v>0</v>
      </c>
      <c r="AP56" s="67" t="n">
        <f aca="false">IF(AP$6=1,Inputs!$B$42,0)</f>
        <v>0</v>
      </c>
      <c r="AQ56" s="67" t="n">
        <f aca="false">IF(AQ$6=1,Inputs!$B$42,0)</f>
        <v>0</v>
      </c>
      <c r="AR56" s="67" t="n">
        <f aca="false">IF(AR$6=1,Inputs!$B$42,0)</f>
        <v>0</v>
      </c>
      <c r="AS56" s="67" t="n">
        <f aca="false">IF(AS$6=1,Inputs!$B$42,0)</f>
        <v>0</v>
      </c>
      <c r="AT56" s="67" t="n">
        <f aca="false">IF(AT$6=1,Inputs!$B$42,0)</f>
        <v>0</v>
      </c>
      <c r="AU56" s="67" t="n">
        <f aca="false">IF(AU$6=1,Inputs!$B$42,0)</f>
        <v>0</v>
      </c>
      <c r="AV56" s="67" t="n">
        <f aca="false">IF(AV$6=1,Inputs!$B$42,0)</f>
        <v>0</v>
      </c>
      <c r="AW56" s="67" t="n">
        <f aca="false">IF(AW$6=1,Inputs!$B$42,0)</f>
        <v>0</v>
      </c>
      <c r="AX56" s="67" t="n">
        <f aca="false">IF(AX$6=1,Inputs!$B$42,0)</f>
        <v>0</v>
      </c>
      <c r="AY56" s="67" t="n">
        <f aca="false">IF(AY$6=1,Inputs!$B$42,0)</f>
        <v>0</v>
      </c>
      <c r="AZ56" s="67" t="n">
        <f aca="false">IF(AZ$6=1,Inputs!$B$42,0)</f>
        <v>0</v>
      </c>
      <c r="BA56" s="67" t="n">
        <f aca="false">IF(BA$6=1,Inputs!$B$42,0)</f>
        <v>0</v>
      </c>
      <c r="BB56" s="67" t="n">
        <f aca="false">IF(BB$6=1,Inputs!$B$42,0)</f>
        <v>0</v>
      </c>
      <c r="BC56" s="67" t="n">
        <f aca="false">IF(BC$6=1,Inputs!$B$42,0)</f>
        <v>0</v>
      </c>
      <c r="BD56" s="67" t="n">
        <f aca="false">IF(BD$6=1,Inputs!$B$42,0)</f>
        <v>0</v>
      </c>
      <c r="BE56" s="67" t="n">
        <f aca="false">IF(BE$6=1,Inputs!$B$42,0)</f>
        <v>0</v>
      </c>
      <c r="BF56" s="67" t="n">
        <f aca="false">IF(BF$6=1,Inputs!$B$42,0)</f>
        <v>0</v>
      </c>
      <c r="BG56" s="67" t="n">
        <f aca="false">IF(BG$6=1,Inputs!$B$42,0)</f>
        <v>0</v>
      </c>
      <c r="BH56" s="67" t="n">
        <f aca="false">IF(BH$6=1,Inputs!$B$42,0)</f>
        <v>0</v>
      </c>
      <c r="BI56" s="67" t="n">
        <f aca="false">IF(BI$6=1,Inputs!$B$42,0)</f>
        <v>0</v>
      </c>
      <c r="BJ56" s="67" t="n">
        <f aca="false">IF(BJ$6=1,Inputs!$B$42,0)</f>
        <v>0</v>
      </c>
    </row>
    <row r="57" customFormat="false" ht="15" hidden="false" customHeight="false" outlineLevel="0" collapsed="false">
      <c r="A57" s="6" t="s">
        <v>424</v>
      </c>
      <c r="C57" s="67" t="n">
        <f aca="false">IF(C$6=1,Inputs!$B$42*Inputs!$B$43,0)</f>
        <v>180000</v>
      </c>
      <c r="D57" s="67" t="n">
        <f aca="false">IF(D$6=1,Inputs!$B$42*Inputs!$B$43,0)</f>
        <v>0</v>
      </c>
      <c r="E57" s="67" t="n">
        <f aca="false">IF(E$6=1,Inputs!$B$42*Inputs!$B$43,0)</f>
        <v>0</v>
      </c>
      <c r="F57" s="67" t="n">
        <f aca="false">IF(F$6=1,Inputs!$B$42*Inputs!$B$43,0)</f>
        <v>0</v>
      </c>
      <c r="G57" s="67" t="n">
        <f aca="false">IF(G$6=1,Inputs!$B$42*Inputs!$B$43,0)</f>
        <v>0</v>
      </c>
      <c r="H57" s="67" t="n">
        <f aca="false">IF(H$6=1,Inputs!$B$42*Inputs!$B$43,0)</f>
        <v>0</v>
      </c>
      <c r="I57" s="67" t="n">
        <f aca="false">IF(I$6=1,Inputs!$B$42*Inputs!$B$43,0)</f>
        <v>0</v>
      </c>
      <c r="J57" s="67" t="n">
        <f aca="false">IF(J$6=1,Inputs!$B$42*Inputs!$B$43,0)</f>
        <v>0</v>
      </c>
      <c r="K57" s="67" t="n">
        <f aca="false">IF(K$6=1,Inputs!$B$42*Inputs!$B$43,0)</f>
        <v>0</v>
      </c>
      <c r="L57" s="67" t="n">
        <f aca="false">IF(L$6=1,Inputs!$B$42*Inputs!$B$43,0)</f>
        <v>0</v>
      </c>
      <c r="M57" s="67" t="n">
        <f aca="false">IF(M$6=1,Inputs!$B$42*Inputs!$B$43,0)</f>
        <v>0</v>
      </c>
      <c r="N57" s="67" t="n">
        <f aca="false">IF(N$6=1,Inputs!$B$42*Inputs!$B$43,0)</f>
        <v>0</v>
      </c>
      <c r="O57" s="67" t="n">
        <f aca="false">IF(O$6=1,Inputs!$B$42*Inputs!$B$43,0)</f>
        <v>0</v>
      </c>
      <c r="P57" s="67" t="n">
        <f aca="false">IF(P$6=1,Inputs!$B$42*Inputs!$B$43,0)</f>
        <v>0</v>
      </c>
      <c r="Q57" s="67" t="n">
        <f aca="false">IF(Q$6=1,Inputs!$B$42*Inputs!$B$43,0)</f>
        <v>0</v>
      </c>
      <c r="R57" s="67" t="n">
        <f aca="false">IF(R$6=1,Inputs!$B$42*Inputs!$B$43,0)</f>
        <v>0</v>
      </c>
      <c r="S57" s="67" t="n">
        <f aca="false">IF(S$6=1,Inputs!$B$42*Inputs!$B$43,0)</f>
        <v>0</v>
      </c>
      <c r="T57" s="67" t="n">
        <f aca="false">IF(T$6=1,Inputs!$B$42*Inputs!$B$43,0)</f>
        <v>0</v>
      </c>
      <c r="U57" s="67" t="n">
        <f aca="false">IF(U$6=1,Inputs!$B$42*Inputs!$B$43,0)</f>
        <v>0</v>
      </c>
      <c r="V57" s="67" t="n">
        <f aca="false">IF(V$6=1,Inputs!$B$42*Inputs!$B$43,0)</f>
        <v>0</v>
      </c>
      <c r="W57" s="67" t="n">
        <f aca="false">IF(W$6=1,Inputs!$B$42*Inputs!$B$43,0)</f>
        <v>0</v>
      </c>
      <c r="X57" s="67" t="n">
        <f aca="false">IF(X$6=1,Inputs!$B$42*Inputs!$B$43,0)</f>
        <v>0</v>
      </c>
      <c r="Y57" s="67" t="n">
        <f aca="false">IF(Y$6=1,Inputs!$B$42*Inputs!$B$43,0)</f>
        <v>0</v>
      </c>
      <c r="Z57" s="67" t="n">
        <f aca="false">IF(Z$6=1,Inputs!$B$42*Inputs!$B$43,0)</f>
        <v>0</v>
      </c>
      <c r="AA57" s="67" t="n">
        <f aca="false">IF(AA$6=1,Inputs!$B$42*Inputs!$B$43,0)</f>
        <v>0</v>
      </c>
      <c r="AB57" s="67" t="n">
        <f aca="false">IF(AB$6=1,Inputs!$B$42*Inputs!$B$43,0)</f>
        <v>0</v>
      </c>
      <c r="AC57" s="67" t="n">
        <f aca="false">IF(AC$6=1,Inputs!$B$42*Inputs!$B$43,0)</f>
        <v>0</v>
      </c>
      <c r="AD57" s="67" t="n">
        <f aca="false">IF(AD$6=1,Inputs!$B$42*Inputs!$B$43,0)</f>
        <v>0</v>
      </c>
      <c r="AE57" s="67" t="n">
        <f aca="false">IF(AE$6=1,Inputs!$B$42*Inputs!$B$43,0)</f>
        <v>0</v>
      </c>
      <c r="AF57" s="67" t="n">
        <f aca="false">IF(AF$6=1,Inputs!$B$42*Inputs!$B$43,0)</f>
        <v>0</v>
      </c>
      <c r="AG57" s="67" t="n">
        <f aca="false">IF(AG$6=1,Inputs!$B$42*Inputs!$B$43,0)</f>
        <v>0</v>
      </c>
      <c r="AH57" s="67" t="n">
        <f aca="false">IF(AH$6=1,Inputs!$B$42*Inputs!$B$43,0)</f>
        <v>0</v>
      </c>
      <c r="AI57" s="67" t="n">
        <f aca="false">IF(AI$6=1,Inputs!$B$42*Inputs!$B$43,0)</f>
        <v>0</v>
      </c>
      <c r="AJ57" s="67" t="n">
        <f aca="false">IF(AJ$6=1,Inputs!$B$42*Inputs!$B$43,0)</f>
        <v>0</v>
      </c>
      <c r="AK57" s="67" t="n">
        <f aca="false">IF(AK$6=1,Inputs!$B$42*Inputs!$B$43,0)</f>
        <v>0</v>
      </c>
      <c r="AL57" s="67" t="n">
        <f aca="false">IF(AL$6=1,Inputs!$B$42*Inputs!$B$43,0)</f>
        <v>0</v>
      </c>
      <c r="AM57" s="67" t="n">
        <f aca="false">IF(AM$6=1,Inputs!$B$42*Inputs!$B$43,0)</f>
        <v>0</v>
      </c>
      <c r="AN57" s="67" t="n">
        <f aca="false">IF(AN$6=1,Inputs!$B$42*Inputs!$B$43,0)</f>
        <v>0</v>
      </c>
      <c r="AO57" s="67" t="n">
        <f aca="false">IF(AO$6=1,Inputs!$B$42*Inputs!$B$43,0)</f>
        <v>0</v>
      </c>
      <c r="AP57" s="67" t="n">
        <f aca="false">IF(AP$6=1,Inputs!$B$42*Inputs!$B$43,0)</f>
        <v>0</v>
      </c>
      <c r="AQ57" s="67" t="n">
        <f aca="false">IF(AQ$6=1,Inputs!$B$42*Inputs!$B$43,0)</f>
        <v>0</v>
      </c>
      <c r="AR57" s="67" t="n">
        <f aca="false">IF(AR$6=1,Inputs!$B$42*Inputs!$B$43,0)</f>
        <v>0</v>
      </c>
      <c r="AS57" s="67" t="n">
        <f aca="false">IF(AS$6=1,Inputs!$B$42*Inputs!$B$43,0)</f>
        <v>0</v>
      </c>
      <c r="AT57" s="67" t="n">
        <f aca="false">IF(AT$6=1,Inputs!$B$42*Inputs!$B$43,0)</f>
        <v>0</v>
      </c>
      <c r="AU57" s="67" t="n">
        <f aca="false">IF(AU$6=1,Inputs!$B$42*Inputs!$B$43,0)</f>
        <v>0</v>
      </c>
      <c r="AV57" s="67" t="n">
        <f aca="false">IF(AV$6=1,Inputs!$B$42*Inputs!$B$43,0)</f>
        <v>0</v>
      </c>
      <c r="AW57" s="67" t="n">
        <f aca="false">IF(AW$6=1,Inputs!$B$42*Inputs!$B$43,0)</f>
        <v>0</v>
      </c>
      <c r="AX57" s="67" t="n">
        <f aca="false">IF(AX$6=1,Inputs!$B$42*Inputs!$B$43,0)</f>
        <v>0</v>
      </c>
      <c r="AY57" s="67" t="n">
        <f aca="false">IF(AY$6=1,Inputs!$B$42*Inputs!$B$43,0)</f>
        <v>0</v>
      </c>
      <c r="AZ57" s="67" t="n">
        <f aca="false">IF(AZ$6=1,Inputs!$B$42*Inputs!$B$43,0)</f>
        <v>0</v>
      </c>
      <c r="BA57" s="67" t="n">
        <f aca="false">IF(BA$6=1,Inputs!$B$42*Inputs!$B$43,0)</f>
        <v>0</v>
      </c>
      <c r="BB57" s="67" t="n">
        <f aca="false">IF(BB$6=1,Inputs!$B$42*Inputs!$B$43,0)</f>
        <v>0</v>
      </c>
      <c r="BC57" s="67" t="n">
        <f aca="false">IF(BC$6=1,Inputs!$B$42*Inputs!$B$43,0)</f>
        <v>0</v>
      </c>
      <c r="BD57" s="67" t="n">
        <f aca="false">IF(BD$6=1,Inputs!$B$42*Inputs!$B$43,0)</f>
        <v>0</v>
      </c>
      <c r="BE57" s="67" t="n">
        <f aca="false">IF(BE$6=1,Inputs!$B$42*Inputs!$B$43,0)</f>
        <v>0</v>
      </c>
      <c r="BF57" s="67" t="n">
        <f aca="false">IF(BF$6=1,Inputs!$B$42*Inputs!$B$43,0)</f>
        <v>0</v>
      </c>
      <c r="BG57" s="67" t="n">
        <f aca="false">IF(BG$6=1,Inputs!$B$42*Inputs!$B$43,0)</f>
        <v>0</v>
      </c>
      <c r="BH57" s="67" t="n">
        <f aca="false">IF(BH$6=1,Inputs!$B$42*Inputs!$B$43,0)</f>
        <v>0</v>
      </c>
      <c r="BI57" s="67" t="n">
        <f aca="false">IF(BI$6=1,Inputs!$B$42*Inputs!$B$43,0)</f>
        <v>0</v>
      </c>
      <c r="BJ57" s="67" t="n">
        <f aca="false">IF(BJ$6=1,Inputs!$B$42*Inputs!$B$43,0)</f>
        <v>0</v>
      </c>
    </row>
    <row r="58" customFormat="false" ht="15" hidden="false" customHeight="false" outlineLevel="0" collapsed="false">
      <c r="A58" s="6" t="s">
        <v>425</v>
      </c>
      <c r="C58" s="67" t="n">
        <f aca="false">IF(C$6=1,Inputs!$B$7*Inputs!$B$44,0)</f>
        <v>75000</v>
      </c>
      <c r="D58" s="67" t="n">
        <f aca="false">IF(D$6=1,Inputs!$B$7*Inputs!$B$44,0)</f>
        <v>0</v>
      </c>
      <c r="E58" s="67" t="n">
        <f aca="false">IF(E$6=1,Inputs!$B$7*Inputs!$B$44,0)</f>
        <v>0</v>
      </c>
      <c r="F58" s="67" t="n">
        <f aca="false">IF(F$6=1,Inputs!$B$7*Inputs!$B$44,0)</f>
        <v>0</v>
      </c>
      <c r="G58" s="67" t="n">
        <f aca="false">IF(G$6=1,Inputs!$B$7*Inputs!$B$44,0)</f>
        <v>0</v>
      </c>
      <c r="H58" s="67" t="n">
        <f aca="false">IF(H$6=1,Inputs!$B$7*Inputs!$B$44,0)</f>
        <v>0</v>
      </c>
      <c r="I58" s="67" t="n">
        <f aca="false">IF(I$6=1,Inputs!$B$7*Inputs!$B$44,0)</f>
        <v>0</v>
      </c>
      <c r="J58" s="67" t="n">
        <f aca="false">IF(J$6=1,Inputs!$B$7*Inputs!$B$44,0)</f>
        <v>0</v>
      </c>
      <c r="K58" s="67" t="n">
        <f aca="false">IF(K$6=1,Inputs!$B$7*Inputs!$B$44,0)</f>
        <v>0</v>
      </c>
      <c r="L58" s="67" t="n">
        <f aca="false">IF(L$6=1,Inputs!$B$7*Inputs!$B$44,0)</f>
        <v>0</v>
      </c>
      <c r="M58" s="67" t="n">
        <f aca="false">IF(M$6=1,Inputs!$B$7*Inputs!$B$44,0)</f>
        <v>0</v>
      </c>
      <c r="N58" s="67" t="n">
        <f aca="false">IF(N$6=1,Inputs!$B$7*Inputs!$B$44,0)</f>
        <v>0</v>
      </c>
      <c r="O58" s="67" t="n">
        <f aca="false">IF(O$6=1,Inputs!$B$7*Inputs!$B$44,0)</f>
        <v>0</v>
      </c>
      <c r="P58" s="67" t="n">
        <f aca="false">IF(P$6=1,Inputs!$B$7*Inputs!$B$44,0)</f>
        <v>0</v>
      </c>
      <c r="Q58" s="67" t="n">
        <f aca="false">IF(Q$6=1,Inputs!$B$7*Inputs!$B$44,0)</f>
        <v>0</v>
      </c>
      <c r="R58" s="67" t="n">
        <f aca="false">IF(R$6=1,Inputs!$B$7*Inputs!$B$44,0)</f>
        <v>0</v>
      </c>
      <c r="S58" s="67" t="n">
        <f aca="false">IF(S$6=1,Inputs!$B$7*Inputs!$B$44,0)</f>
        <v>0</v>
      </c>
      <c r="T58" s="67" t="n">
        <f aca="false">IF(T$6=1,Inputs!$B$7*Inputs!$B$44,0)</f>
        <v>0</v>
      </c>
      <c r="U58" s="67" t="n">
        <f aca="false">IF(U$6=1,Inputs!$B$7*Inputs!$B$44,0)</f>
        <v>0</v>
      </c>
      <c r="V58" s="67" t="n">
        <f aca="false">IF(V$6=1,Inputs!$B$7*Inputs!$B$44,0)</f>
        <v>0</v>
      </c>
      <c r="W58" s="67" t="n">
        <f aca="false">IF(W$6=1,Inputs!$B$7*Inputs!$B$44,0)</f>
        <v>0</v>
      </c>
      <c r="X58" s="67" t="n">
        <f aca="false">IF(X$6=1,Inputs!$B$7*Inputs!$B$44,0)</f>
        <v>0</v>
      </c>
      <c r="Y58" s="67" t="n">
        <f aca="false">IF(Y$6=1,Inputs!$B$7*Inputs!$B$44,0)</f>
        <v>0</v>
      </c>
      <c r="Z58" s="67" t="n">
        <f aca="false">IF(Z$6=1,Inputs!$B$7*Inputs!$B$44,0)</f>
        <v>0</v>
      </c>
      <c r="AA58" s="67" t="n">
        <f aca="false">IF(AA$6=1,Inputs!$B$7*Inputs!$B$44,0)</f>
        <v>0</v>
      </c>
      <c r="AB58" s="67" t="n">
        <f aca="false">IF(AB$6=1,Inputs!$B$7*Inputs!$B$44,0)</f>
        <v>0</v>
      </c>
      <c r="AC58" s="67" t="n">
        <f aca="false">IF(AC$6=1,Inputs!$B$7*Inputs!$B$44,0)</f>
        <v>0</v>
      </c>
      <c r="AD58" s="67" t="n">
        <f aca="false">IF(AD$6=1,Inputs!$B$7*Inputs!$B$44,0)</f>
        <v>0</v>
      </c>
      <c r="AE58" s="67" t="n">
        <f aca="false">IF(AE$6=1,Inputs!$B$7*Inputs!$B$44,0)</f>
        <v>0</v>
      </c>
      <c r="AF58" s="67" t="n">
        <f aca="false">IF(AF$6=1,Inputs!$B$7*Inputs!$B$44,0)</f>
        <v>0</v>
      </c>
      <c r="AG58" s="67" t="n">
        <f aca="false">IF(AG$6=1,Inputs!$B$7*Inputs!$B$44,0)</f>
        <v>0</v>
      </c>
      <c r="AH58" s="67" t="n">
        <f aca="false">IF(AH$6=1,Inputs!$B$7*Inputs!$B$44,0)</f>
        <v>0</v>
      </c>
      <c r="AI58" s="67" t="n">
        <f aca="false">IF(AI$6=1,Inputs!$B$7*Inputs!$B$44,0)</f>
        <v>0</v>
      </c>
      <c r="AJ58" s="67" t="n">
        <f aca="false">IF(AJ$6=1,Inputs!$B$7*Inputs!$B$44,0)</f>
        <v>0</v>
      </c>
      <c r="AK58" s="67" t="n">
        <f aca="false">IF(AK$6=1,Inputs!$B$7*Inputs!$B$44,0)</f>
        <v>0</v>
      </c>
      <c r="AL58" s="67" t="n">
        <f aca="false">IF(AL$6=1,Inputs!$B$7*Inputs!$B$44,0)</f>
        <v>0</v>
      </c>
      <c r="AM58" s="67" t="n">
        <f aca="false">IF(AM$6=1,Inputs!$B$7*Inputs!$B$44,0)</f>
        <v>0</v>
      </c>
      <c r="AN58" s="67" t="n">
        <f aca="false">IF(AN$6=1,Inputs!$B$7*Inputs!$B$44,0)</f>
        <v>0</v>
      </c>
      <c r="AO58" s="67" t="n">
        <f aca="false">IF(AO$6=1,Inputs!$B$7*Inputs!$B$44,0)</f>
        <v>0</v>
      </c>
      <c r="AP58" s="67" t="n">
        <f aca="false">IF(AP$6=1,Inputs!$B$7*Inputs!$B$44,0)</f>
        <v>0</v>
      </c>
      <c r="AQ58" s="67" t="n">
        <f aca="false">IF(AQ$6=1,Inputs!$B$7*Inputs!$B$44,0)</f>
        <v>0</v>
      </c>
      <c r="AR58" s="67" t="n">
        <f aca="false">IF(AR$6=1,Inputs!$B$7*Inputs!$B$44,0)</f>
        <v>0</v>
      </c>
      <c r="AS58" s="67" t="n">
        <f aca="false">IF(AS$6=1,Inputs!$B$7*Inputs!$B$44,0)</f>
        <v>0</v>
      </c>
      <c r="AT58" s="67" t="n">
        <f aca="false">IF(AT$6=1,Inputs!$B$7*Inputs!$B$44,0)</f>
        <v>0</v>
      </c>
      <c r="AU58" s="67" t="n">
        <f aca="false">IF(AU$6=1,Inputs!$B$7*Inputs!$B$44,0)</f>
        <v>0</v>
      </c>
      <c r="AV58" s="67" t="n">
        <f aca="false">IF(AV$6=1,Inputs!$B$7*Inputs!$B$44,0)</f>
        <v>0</v>
      </c>
      <c r="AW58" s="67" t="n">
        <f aca="false">IF(AW$6=1,Inputs!$B$7*Inputs!$B$44,0)</f>
        <v>0</v>
      </c>
      <c r="AX58" s="67" t="n">
        <f aca="false">IF(AX$6=1,Inputs!$B$7*Inputs!$B$44,0)</f>
        <v>0</v>
      </c>
      <c r="AY58" s="67" t="n">
        <f aca="false">IF(AY$6=1,Inputs!$B$7*Inputs!$B$44,0)</f>
        <v>0</v>
      </c>
      <c r="AZ58" s="67" t="n">
        <f aca="false">IF(AZ$6=1,Inputs!$B$7*Inputs!$B$44,0)</f>
        <v>0</v>
      </c>
      <c r="BA58" s="67" t="n">
        <f aca="false">IF(BA$6=1,Inputs!$B$7*Inputs!$B$44,0)</f>
        <v>0</v>
      </c>
      <c r="BB58" s="67" t="n">
        <f aca="false">IF(BB$6=1,Inputs!$B$7*Inputs!$B$44,0)</f>
        <v>0</v>
      </c>
      <c r="BC58" s="67" t="n">
        <f aca="false">IF(BC$6=1,Inputs!$B$7*Inputs!$B$44,0)</f>
        <v>0</v>
      </c>
      <c r="BD58" s="67" t="n">
        <f aca="false">IF(BD$6=1,Inputs!$B$7*Inputs!$B$44,0)</f>
        <v>0</v>
      </c>
      <c r="BE58" s="67" t="n">
        <f aca="false">IF(BE$6=1,Inputs!$B$7*Inputs!$B$44,0)</f>
        <v>0</v>
      </c>
      <c r="BF58" s="67" t="n">
        <f aca="false">IF(BF$6=1,Inputs!$B$7*Inputs!$B$44,0)</f>
        <v>0</v>
      </c>
      <c r="BG58" s="67" t="n">
        <f aca="false">IF(BG$6=1,Inputs!$B$7*Inputs!$B$44,0)</f>
        <v>0</v>
      </c>
      <c r="BH58" s="67" t="n">
        <f aca="false">IF(BH$6=1,Inputs!$B$7*Inputs!$B$44,0)</f>
        <v>0</v>
      </c>
      <c r="BI58" s="67" t="n">
        <f aca="false">IF(BI$6=1,Inputs!$B$7*Inputs!$B$44,0)</f>
        <v>0</v>
      </c>
      <c r="BJ58" s="67" t="n">
        <f aca="false">IF(BJ$6=1,Inputs!$B$7*Inputs!$B$44,0)</f>
        <v>0</v>
      </c>
    </row>
    <row r="59" customFormat="false" ht="15" hidden="false" customHeight="false" outlineLevel="0" collapsed="false">
      <c r="A59" s="6" t="s">
        <v>426</v>
      </c>
      <c r="C59" s="67" t="n">
        <f aca="false">IF(C$6=1,Inputs!$B$45,0)</f>
        <v>70000</v>
      </c>
      <c r="D59" s="67" t="n">
        <f aca="false">IF(D$6=1,Inputs!$B$45,0)</f>
        <v>0</v>
      </c>
      <c r="E59" s="67" t="n">
        <f aca="false">IF(E$6=1,Inputs!$B$45,0)</f>
        <v>0</v>
      </c>
      <c r="F59" s="67" t="n">
        <f aca="false">IF(F$6=1,Inputs!$B$45,0)</f>
        <v>0</v>
      </c>
      <c r="G59" s="67" t="n">
        <f aca="false">IF(G$6=1,Inputs!$B$45,0)</f>
        <v>0</v>
      </c>
      <c r="H59" s="67" t="n">
        <f aca="false">IF(H$6=1,Inputs!$B$45,0)</f>
        <v>0</v>
      </c>
      <c r="I59" s="67" t="n">
        <f aca="false">IF(I$6=1,Inputs!$B$45,0)</f>
        <v>0</v>
      </c>
      <c r="J59" s="67" t="n">
        <f aca="false">IF(J$6=1,Inputs!$B$45,0)</f>
        <v>0</v>
      </c>
      <c r="K59" s="67" t="n">
        <f aca="false">IF(K$6=1,Inputs!$B$45,0)</f>
        <v>0</v>
      </c>
      <c r="L59" s="67" t="n">
        <f aca="false">IF(L$6=1,Inputs!$B$45,0)</f>
        <v>0</v>
      </c>
      <c r="M59" s="67" t="n">
        <f aca="false">IF(M$6=1,Inputs!$B$45,0)</f>
        <v>0</v>
      </c>
      <c r="N59" s="67" t="n">
        <f aca="false">IF(N$6=1,Inputs!$B$45,0)</f>
        <v>0</v>
      </c>
      <c r="O59" s="67" t="n">
        <f aca="false">IF(O$6=1,Inputs!$B$45,0)</f>
        <v>0</v>
      </c>
      <c r="P59" s="67" t="n">
        <f aca="false">IF(P$6=1,Inputs!$B$45,0)</f>
        <v>0</v>
      </c>
      <c r="Q59" s="67" t="n">
        <f aca="false">IF(Q$6=1,Inputs!$B$45,0)</f>
        <v>0</v>
      </c>
      <c r="R59" s="67" t="n">
        <f aca="false">IF(R$6=1,Inputs!$B$45,0)</f>
        <v>0</v>
      </c>
      <c r="S59" s="67" t="n">
        <f aca="false">IF(S$6=1,Inputs!$B$45,0)</f>
        <v>0</v>
      </c>
      <c r="T59" s="67" t="n">
        <f aca="false">IF(T$6=1,Inputs!$B$45,0)</f>
        <v>0</v>
      </c>
      <c r="U59" s="67" t="n">
        <f aca="false">IF(U$6=1,Inputs!$B$45,0)</f>
        <v>0</v>
      </c>
      <c r="V59" s="67" t="n">
        <f aca="false">IF(V$6=1,Inputs!$B$45,0)</f>
        <v>0</v>
      </c>
      <c r="W59" s="67" t="n">
        <f aca="false">IF(W$6=1,Inputs!$B$45,0)</f>
        <v>0</v>
      </c>
      <c r="X59" s="67" t="n">
        <f aca="false">IF(X$6=1,Inputs!$B$45,0)</f>
        <v>0</v>
      </c>
      <c r="Y59" s="67" t="n">
        <f aca="false">IF(Y$6=1,Inputs!$B$45,0)</f>
        <v>0</v>
      </c>
      <c r="Z59" s="67" t="n">
        <f aca="false">IF(Z$6=1,Inputs!$B$45,0)</f>
        <v>0</v>
      </c>
      <c r="AA59" s="67" t="n">
        <f aca="false">IF(AA$6=1,Inputs!$B$45,0)</f>
        <v>0</v>
      </c>
      <c r="AB59" s="67" t="n">
        <f aca="false">IF(AB$6=1,Inputs!$B$45,0)</f>
        <v>0</v>
      </c>
      <c r="AC59" s="67" t="n">
        <f aca="false">IF(AC$6=1,Inputs!$B$45,0)</f>
        <v>0</v>
      </c>
      <c r="AD59" s="67" t="n">
        <f aca="false">IF(AD$6=1,Inputs!$B$45,0)</f>
        <v>0</v>
      </c>
      <c r="AE59" s="67" t="n">
        <f aca="false">IF(AE$6=1,Inputs!$B$45,0)</f>
        <v>0</v>
      </c>
      <c r="AF59" s="67" t="n">
        <f aca="false">IF(AF$6=1,Inputs!$B$45,0)</f>
        <v>0</v>
      </c>
      <c r="AG59" s="67" t="n">
        <f aca="false">IF(AG$6=1,Inputs!$B$45,0)</f>
        <v>0</v>
      </c>
      <c r="AH59" s="67" t="n">
        <f aca="false">IF(AH$6=1,Inputs!$B$45,0)</f>
        <v>0</v>
      </c>
      <c r="AI59" s="67" t="n">
        <f aca="false">IF(AI$6=1,Inputs!$B$45,0)</f>
        <v>0</v>
      </c>
      <c r="AJ59" s="67" t="n">
        <f aca="false">IF(AJ$6=1,Inputs!$B$45,0)</f>
        <v>0</v>
      </c>
      <c r="AK59" s="67" t="n">
        <f aca="false">IF(AK$6=1,Inputs!$B$45,0)</f>
        <v>0</v>
      </c>
      <c r="AL59" s="67" t="n">
        <f aca="false">IF(AL$6=1,Inputs!$B$45,0)</f>
        <v>0</v>
      </c>
      <c r="AM59" s="67" t="n">
        <f aca="false">IF(AM$6=1,Inputs!$B$45,0)</f>
        <v>0</v>
      </c>
      <c r="AN59" s="67" t="n">
        <f aca="false">IF(AN$6=1,Inputs!$B$45,0)</f>
        <v>0</v>
      </c>
      <c r="AO59" s="67" t="n">
        <f aca="false">IF(AO$6=1,Inputs!$B$45,0)</f>
        <v>0</v>
      </c>
      <c r="AP59" s="67" t="n">
        <f aca="false">IF(AP$6=1,Inputs!$B$45,0)</f>
        <v>0</v>
      </c>
      <c r="AQ59" s="67" t="n">
        <f aca="false">IF(AQ$6=1,Inputs!$B$45,0)</f>
        <v>0</v>
      </c>
      <c r="AR59" s="67" t="n">
        <f aca="false">IF(AR$6=1,Inputs!$B$45,0)</f>
        <v>0</v>
      </c>
      <c r="AS59" s="67" t="n">
        <f aca="false">IF(AS$6=1,Inputs!$B$45,0)</f>
        <v>0</v>
      </c>
      <c r="AT59" s="67" t="n">
        <f aca="false">IF(AT$6=1,Inputs!$B$45,0)</f>
        <v>0</v>
      </c>
      <c r="AU59" s="67" t="n">
        <f aca="false">IF(AU$6=1,Inputs!$B$45,0)</f>
        <v>0</v>
      </c>
      <c r="AV59" s="67" t="n">
        <f aca="false">IF(AV$6=1,Inputs!$B$45,0)</f>
        <v>0</v>
      </c>
      <c r="AW59" s="67" t="n">
        <f aca="false">IF(AW$6=1,Inputs!$B$45,0)</f>
        <v>0</v>
      </c>
      <c r="AX59" s="67" t="n">
        <f aca="false">IF(AX$6=1,Inputs!$B$45,0)</f>
        <v>0</v>
      </c>
      <c r="AY59" s="67" t="n">
        <f aca="false">IF(AY$6=1,Inputs!$B$45,0)</f>
        <v>0</v>
      </c>
      <c r="AZ59" s="67" t="n">
        <f aca="false">IF(AZ$6=1,Inputs!$B$45,0)</f>
        <v>0</v>
      </c>
      <c r="BA59" s="67" t="n">
        <f aca="false">IF(BA$6=1,Inputs!$B$45,0)</f>
        <v>0</v>
      </c>
      <c r="BB59" s="67" t="n">
        <f aca="false">IF(BB$6=1,Inputs!$B$45,0)</f>
        <v>0</v>
      </c>
      <c r="BC59" s="67" t="n">
        <f aca="false">IF(BC$6=1,Inputs!$B$45,0)</f>
        <v>0</v>
      </c>
      <c r="BD59" s="67" t="n">
        <f aca="false">IF(BD$6=1,Inputs!$B$45,0)</f>
        <v>0</v>
      </c>
      <c r="BE59" s="67" t="n">
        <f aca="false">IF(BE$6=1,Inputs!$B$45,0)</f>
        <v>0</v>
      </c>
      <c r="BF59" s="67" t="n">
        <f aca="false">IF(BF$6=1,Inputs!$B$45,0)</f>
        <v>0</v>
      </c>
      <c r="BG59" s="67" t="n">
        <f aca="false">IF(BG$6=1,Inputs!$B$45,0)</f>
        <v>0</v>
      </c>
      <c r="BH59" s="67" t="n">
        <f aca="false">IF(BH$6=1,Inputs!$B$45,0)</f>
        <v>0</v>
      </c>
      <c r="BI59" s="67" t="n">
        <f aca="false">IF(BI$6=1,Inputs!$B$45,0)</f>
        <v>0</v>
      </c>
      <c r="BJ59" s="67" t="n">
        <f aca="false">IF(BJ$6=1,Inputs!$B$45,0)</f>
        <v>0</v>
      </c>
    </row>
    <row r="60" customFormat="false" ht="15" hidden="false" customHeight="false" outlineLevel="0" collapsed="false">
      <c r="A60" s="6" t="s">
        <v>427</v>
      </c>
      <c r="C60" s="67" t="n">
        <f aca="false">Inputs!$B$7*Inputs!$B$46/12*(1+Inputs!$B$39)^(C$7-1)*1</f>
        <v>750</v>
      </c>
      <c r="D60" s="67" t="n">
        <f aca="false">Inputs!$B$7*Inputs!$B$46/12*(1+Inputs!$B$39)^(D$7-1)*1</f>
        <v>750</v>
      </c>
      <c r="E60" s="67" t="n">
        <f aca="false">Inputs!$B$7*Inputs!$B$46/12*(1+Inputs!$B$39)^(E$7-1)*1</f>
        <v>750</v>
      </c>
      <c r="F60" s="67" t="n">
        <f aca="false">Inputs!$B$7*Inputs!$B$46/12*(1+Inputs!$B$39)^(F$7-1)*1</f>
        <v>750</v>
      </c>
      <c r="G60" s="67" t="n">
        <f aca="false">Inputs!$B$7*Inputs!$B$46/12*(1+Inputs!$B$39)^(G$7-1)*1</f>
        <v>750</v>
      </c>
      <c r="H60" s="67" t="n">
        <f aca="false">Inputs!$B$7*Inputs!$B$46/12*(1+Inputs!$B$39)^(H$7-1)*1</f>
        <v>750</v>
      </c>
      <c r="I60" s="67" t="n">
        <f aca="false">Inputs!$B$7*Inputs!$B$46/12*(1+Inputs!$B$39)^(I$7-1)*1</f>
        <v>750</v>
      </c>
      <c r="J60" s="67" t="n">
        <f aca="false">Inputs!$B$7*Inputs!$B$46/12*(1+Inputs!$B$39)^(J$7-1)*1</f>
        <v>750</v>
      </c>
      <c r="K60" s="67" t="n">
        <f aca="false">Inputs!$B$7*Inputs!$B$46/12*(1+Inputs!$B$39)^(K$7-1)*1</f>
        <v>750</v>
      </c>
      <c r="L60" s="67" t="n">
        <f aca="false">Inputs!$B$7*Inputs!$B$46/12*(1+Inputs!$B$39)^(L$7-1)*1</f>
        <v>750</v>
      </c>
      <c r="M60" s="67" t="n">
        <f aca="false">Inputs!$B$7*Inputs!$B$46/12*(1+Inputs!$B$39)^(M$7-1)*1</f>
        <v>750</v>
      </c>
      <c r="N60" s="67" t="n">
        <f aca="false">Inputs!$B$7*Inputs!$B$46/12*(1+Inputs!$B$39)^(N$7-1)*1</f>
        <v>750</v>
      </c>
      <c r="O60" s="67" t="n">
        <f aca="false">Inputs!$B$7*Inputs!$B$46/12*(1+Inputs!$B$39)^(O$7-1)*1</f>
        <v>780</v>
      </c>
      <c r="P60" s="67" t="n">
        <f aca="false">Inputs!$B$7*Inputs!$B$46/12*(1+Inputs!$B$39)^(P$7-1)*1</f>
        <v>780</v>
      </c>
      <c r="Q60" s="67" t="n">
        <f aca="false">Inputs!$B$7*Inputs!$B$46/12*(1+Inputs!$B$39)^(Q$7-1)*1</f>
        <v>780</v>
      </c>
      <c r="R60" s="67" t="n">
        <f aca="false">Inputs!$B$7*Inputs!$B$46/12*(1+Inputs!$B$39)^(R$7-1)*1</f>
        <v>780</v>
      </c>
      <c r="S60" s="67" t="n">
        <f aca="false">Inputs!$B$7*Inputs!$B$46/12*(1+Inputs!$B$39)^(S$7-1)*1</f>
        <v>780</v>
      </c>
      <c r="T60" s="67" t="n">
        <f aca="false">Inputs!$B$7*Inputs!$B$46/12*(1+Inputs!$B$39)^(T$7-1)*1</f>
        <v>780</v>
      </c>
      <c r="U60" s="67" t="n">
        <f aca="false">Inputs!$B$7*Inputs!$B$46/12*(1+Inputs!$B$39)^(U$7-1)*1</f>
        <v>780</v>
      </c>
      <c r="V60" s="67" t="n">
        <f aca="false">Inputs!$B$7*Inputs!$B$46/12*(1+Inputs!$B$39)^(V$7-1)*1</f>
        <v>780</v>
      </c>
      <c r="W60" s="67" t="n">
        <f aca="false">Inputs!$B$7*Inputs!$B$46/12*(1+Inputs!$B$39)^(W$7-1)*1</f>
        <v>780</v>
      </c>
      <c r="X60" s="67" t="n">
        <f aca="false">Inputs!$B$7*Inputs!$B$46/12*(1+Inputs!$B$39)^(X$7-1)*1</f>
        <v>780</v>
      </c>
      <c r="Y60" s="67" t="n">
        <f aca="false">Inputs!$B$7*Inputs!$B$46/12*(1+Inputs!$B$39)^(Y$7-1)*1</f>
        <v>780</v>
      </c>
      <c r="Z60" s="67" t="n">
        <f aca="false">Inputs!$B$7*Inputs!$B$46/12*(1+Inputs!$B$39)^(Z$7-1)*1</f>
        <v>780</v>
      </c>
      <c r="AA60" s="67" t="n">
        <f aca="false">Inputs!$B$7*Inputs!$B$46/12*(1+Inputs!$B$39)^(AA$7-1)*1</f>
        <v>811.2</v>
      </c>
      <c r="AB60" s="67" t="n">
        <f aca="false">Inputs!$B$7*Inputs!$B$46/12*(1+Inputs!$B$39)^(AB$7-1)*1</f>
        <v>811.2</v>
      </c>
      <c r="AC60" s="67" t="n">
        <f aca="false">Inputs!$B$7*Inputs!$B$46/12*(1+Inputs!$B$39)^(AC$7-1)*1</f>
        <v>811.2</v>
      </c>
      <c r="AD60" s="67" t="n">
        <f aca="false">Inputs!$B$7*Inputs!$B$46/12*(1+Inputs!$B$39)^(AD$7-1)*1</f>
        <v>811.2</v>
      </c>
      <c r="AE60" s="67" t="n">
        <f aca="false">Inputs!$B$7*Inputs!$B$46/12*(1+Inputs!$B$39)^(AE$7-1)*1</f>
        <v>811.2</v>
      </c>
      <c r="AF60" s="67" t="n">
        <f aca="false">Inputs!$B$7*Inputs!$B$46/12*(1+Inputs!$B$39)^(AF$7-1)*1</f>
        <v>811.2</v>
      </c>
      <c r="AG60" s="67" t="n">
        <f aca="false">Inputs!$B$7*Inputs!$B$46/12*(1+Inputs!$B$39)^(AG$7-1)*1</f>
        <v>811.2</v>
      </c>
      <c r="AH60" s="67" t="n">
        <f aca="false">Inputs!$B$7*Inputs!$B$46/12*(1+Inputs!$B$39)^(AH$7-1)*1</f>
        <v>811.2</v>
      </c>
      <c r="AI60" s="67" t="n">
        <f aca="false">Inputs!$B$7*Inputs!$B$46/12*(1+Inputs!$B$39)^(AI$7-1)*1</f>
        <v>811.2</v>
      </c>
      <c r="AJ60" s="67" t="n">
        <f aca="false">Inputs!$B$7*Inputs!$B$46/12*(1+Inputs!$B$39)^(AJ$7-1)*1</f>
        <v>811.2</v>
      </c>
      <c r="AK60" s="67" t="n">
        <f aca="false">Inputs!$B$7*Inputs!$B$46/12*(1+Inputs!$B$39)^(AK$7-1)*1</f>
        <v>811.2</v>
      </c>
      <c r="AL60" s="67" t="n">
        <f aca="false">Inputs!$B$7*Inputs!$B$46/12*(1+Inputs!$B$39)^(AL$7-1)*1</f>
        <v>811.2</v>
      </c>
      <c r="AM60" s="67" t="n">
        <f aca="false">Inputs!$B$7*Inputs!$B$46/12*(1+Inputs!$B$39)^(AM$7-1)*1</f>
        <v>843.648</v>
      </c>
      <c r="AN60" s="67" t="n">
        <f aca="false">Inputs!$B$7*Inputs!$B$46/12*(1+Inputs!$B$39)^(AN$7-1)*1</f>
        <v>843.648</v>
      </c>
      <c r="AO60" s="67" t="n">
        <f aca="false">Inputs!$B$7*Inputs!$B$46/12*(1+Inputs!$B$39)^(AO$7-1)*1</f>
        <v>843.648</v>
      </c>
      <c r="AP60" s="67" t="n">
        <f aca="false">Inputs!$B$7*Inputs!$B$46/12*(1+Inputs!$B$39)^(AP$7-1)*1</f>
        <v>843.648</v>
      </c>
      <c r="AQ60" s="67" t="n">
        <f aca="false">Inputs!$B$7*Inputs!$B$46/12*(1+Inputs!$B$39)^(AQ$7-1)*1</f>
        <v>843.648</v>
      </c>
      <c r="AR60" s="67" t="n">
        <f aca="false">Inputs!$B$7*Inputs!$B$46/12*(1+Inputs!$B$39)^(AR$7-1)*1</f>
        <v>843.648</v>
      </c>
      <c r="AS60" s="67" t="n">
        <f aca="false">Inputs!$B$7*Inputs!$B$46/12*(1+Inputs!$B$39)^(AS$7-1)*1</f>
        <v>843.648</v>
      </c>
      <c r="AT60" s="67" t="n">
        <f aca="false">Inputs!$B$7*Inputs!$B$46/12*(1+Inputs!$B$39)^(AT$7-1)*1</f>
        <v>843.648</v>
      </c>
      <c r="AU60" s="67" t="n">
        <f aca="false">Inputs!$B$7*Inputs!$B$46/12*(1+Inputs!$B$39)^(AU$7-1)*1</f>
        <v>843.648</v>
      </c>
      <c r="AV60" s="67" t="n">
        <f aca="false">Inputs!$B$7*Inputs!$B$46/12*(1+Inputs!$B$39)^(AV$7-1)*1</f>
        <v>843.648</v>
      </c>
      <c r="AW60" s="67" t="n">
        <f aca="false">Inputs!$B$7*Inputs!$B$46/12*(1+Inputs!$B$39)^(AW$7-1)*1</f>
        <v>843.648</v>
      </c>
      <c r="AX60" s="67" t="n">
        <f aca="false">Inputs!$B$7*Inputs!$B$46/12*(1+Inputs!$B$39)^(AX$7-1)*1</f>
        <v>843.648</v>
      </c>
      <c r="AY60" s="67" t="n">
        <f aca="false">Inputs!$B$7*Inputs!$B$46/12*(1+Inputs!$B$39)^(AY$7-1)*1</f>
        <v>877.39392</v>
      </c>
      <c r="AZ60" s="67" t="n">
        <f aca="false">Inputs!$B$7*Inputs!$B$46/12*(1+Inputs!$B$39)^(AZ$7-1)*1</f>
        <v>877.39392</v>
      </c>
      <c r="BA60" s="67" t="n">
        <f aca="false">Inputs!$B$7*Inputs!$B$46/12*(1+Inputs!$B$39)^(BA$7-1)*1</f>
        <v>877.39392</v>
      </c>
      <c r="BB60" s="67" t="n">
        <f aca="false">Inputs!$B$7*Inputs!$B$46/12*(1+Inputs!$B$39)^(BB$7-1)*1</f>
        <v>877.39392</v>
      </c>
      <c r="BC60" s="67" t="n">
        <f aca="false">Inputs!$B$7*Inputs!$B$46/12*(1+Inputs!$B$39)^(BC$7-1)*1</f>
        <v>877.39392</v>
      </c>
      <c r="BD60" s="67" t="n">
        <f aca="false">Inputs!$B$7*Inputs!$B$46/12*(1+Inputs!$B$39)^(BD$7-1)*1</f>
        <v>877.39392</v>
      </c>
      <c r="BE60" s="67" t="n">
        <f aca="false">Inputs!$B$7*Inputs!$B$46/12*(1+Inputs!$B$39)^(BE$7-1)*1</f>
        <v>877.39392</v>
      </c>
      <c r="BF60" s="67" t="n">
        <f aca="false">Inputs!$B$7*Inputs!$B$46/12*(1+Inputs!$B$39)^(BF$7-1)*1</f>
        <v>877.39392</v>
      </c>
      <c r="BG60" s="67" t="n">
        <f aca="false">Inputs!$B$7*Inputs!$B$46/12*(1+Inputs!$B$39)^(BG$7-1)*1</f>
        <v>877.39392</v>
      </c>
      <c r="BH60" s="67" t="n">
        <f aca="false">Inputs!$B$7*Inputs!$B$46/12*(1+Inputs!$B$39)^(BH$7-1)*1</f>
        <v>877.39392</v>
      </c>
      <c r="BI60" s="67" t="n">
        <f aca="false">Inputs!$B$7*Inputs!$B$46/12*(1+Inputs!$B$39)^(BI$7-1)*1</f>
        <v>877.39392</v>
      </c>
      <c r="BJ60" s="67" t="n">
        <f aca="false">Inputs!$B$7*Inputs!$B$46/12*(1+Inputs!$B$39)^(BJ$7-1)*1</f>
        <v>877.39392</v>
      </c>
    </row>
    <row r="61" customFormat="false" ht="15" hidden="false" customHeight="false" outlineLevel="0" collapsed="false">
      <c r="A61" s="4" t="s">
        <v>84</v>
      </c>
      <c r="C61" s="73" t="n">
        <f aca="false">C56+C58+C59+C60</f>
        <v>865750</v>
      </c>
      <c r="D61" s="73" t="n">
        <f aca="false">D56+D58+D59+D60</f>
        <v>750</v>
      </c>
      <c r="E61" s="73" t="n">
        <f aca="false">E56+E58+E59+E60</f>
        <v>750</v>
      </c>
      <c r="F61" s="73" t="n">
        <f aca="false">F56+F58+F59+F60</f>
        <v>750</v>
      </c>
      <c r="G61" s="73" t="n">
        <f aca="false">G56+G58+G59+G60</f>
        <v>750</v>
      </c>
      <c r="H61" s="73" t="n">
        <f aca="false">H56+H58+H59+H60</f>
        <v>750</v>
      </c>
      <c r="I61" s="73" t="n">
        <f aca="false">I56+I58+I59+I60</f>
        <v>750</v>
      </c>
      <c r="J61" s="73" t="n">
        <f aca="false">J56+J58+J59+J60</f>
        <v>750</v>
      </c>
      <c r="K61" s="73" t="n">
        <f aca="false">K56+K58+K59+K60</f>
        <v>750</v>
      </c>
      <c r="L61" s="73" t="n">
        <f aca="false">L56+L58+L59+L60</f>
        <v>750</v>
      </c>
      <c r="M61" s="73" t="n">
        <f aca="false">M56+M58+M59+M60</f>
        <v>750</v>
      </c>
      <c r="N61" s="73" t="n">
        <f aca="false">N56+N58+N59+N60</f>
        <v>750</v>
      </c>
      <c r="O61" s="73" t="n">
        <f aca="false">O56+O58+O59+O60</f>
        <v>780</v>
      </c>
      <c r="P61" s="73" t="n">
        <f aca="false">P56+P58+P59+P60</f>
        <v>780</v>
      </c>
      <c r="Q61" s="73" t="n">
        <f aca="false">Q56+Q58+Q59+Q60</f>
        <v>780</v>
      </c>
      <c r="R61" s="73" t="n">
        <f aca="false">R56+R58+R59+R60</f>
        <v>780</v>
      </c>
      <c r="S61" s="73" t="n">
        <f aca="false">S56+S58+S59+S60</f>
        <v>780</v>
      </c>
      <c r="T61" s="73" t="n">
        <f aca="false">T56+T58+T59+T60</f>
        <v>780</v>
      </c>
      <c r="U61" s="73" t="n">
        <f aca="false">U56+U58+U59+U60</f>
        <v>780</v>
      </c>
      <c r="V61" s="73" t="n">
        <f aca="false">V56+V58+V59+V60</f>
        <v>780</v>
      </c>
      <c r="W61" s="73" t="n">
        <f aca="false">W56+W58+W59+W60</f>
        <v>780</v>
      </c>
      <c r="X61" s="73" t="n">
        <f aca="false">X56+X58+X59+X60</f>
        <v>780</v>
      </c>
      <c r="Y61" s="73" t="n">
        <f aca="false">Y56+Y58+Y59+Y60</f>
        <v>780</v>
      </c>
      <c r="Z61" s="73" t="n">
        <f aca="false">Z56+Z58+Z59+Z60</f>
        <v>780</v>
      </c>
      <c r="AA61" s="73" t="n">
        <f aca="false">AA56+AA58+AA59+AA60</f>
        <v>811.2</v>
      </c>
      <c r="AB61" s="73" t="n">
        <f aca="false">AB56+AB58+AB59+AB60</f>
        <v>811.2</v>
      </c>
      <c r="AC61" s="73" t="n">
        <f aca="false">AC56+AC58+AC59+AC60</f>
        <v>811.2</v>
      </c>
      <c r="AD61" s="73" t="n">
        <f aca="false">AD56+AD58+AD59+AD60</f>
        <v>811.2</v>
      </c>
      <c r="AE61" s="73" t="n">
        <f aca="false">AE56+AE58+AE59+AE60</f>
        <v>811.2</v>
      </c>
      <c r="AF61" s="73" t="n">
        <f aca="false">AF56+AF58+AF59+AF60</f>
        <v>811.2</v>
      </c>
      <c r="AG61" s="73" t="n">
        <f aca="false">AG56+AG58+AG59+AG60</f>
        <v>811.2</v>
      </c>
      <c r="AH61" s="73" t="n">
        <f aca="false">AH56+AH58+AH59+AH60</f>
        <v>811.2</v>
      </c>
      <c r="AI61" s="73" t="n">
        <f aca="false">AI56+AI58+AI59+AI60</f>
        <v>811.2</v>
      </c>
      <c r="AJ61" s="73" t="n">
        <f aca="false">AJ56+AJ58+AJ59+AJ60</f>
        <v>811.2</v>
      </c>
      <c r="AK61" s="73" t="n">
        <f aca="false">AK56+AK58+AK59+AK60</f>
        <v>811.2</v>
      </c>
      <c r="AL61" s="73" t="n">
        <f aca="false">AL56+AL58+AL59+AL60</f>
        <v>811.2</v>
      </c>
      <c r="AM61" s="73" t="n">
        <f aca="false">AM56+AM58+AM59+AM60</f>
        <v>843.648</v>
      </c>
      <c r="AN61" s="73" t="n">
        <f aca="false">AN56+AN58+AN59+AN60</f>
        <v>843.648</v>
      </c>
      <c r="AO61" s="73" t="n">
        <f aca="false">AO56+AO58+AO59+AO60</f>
        <v>843.648</v>
      </c>
      <c r="AP61" s="73" t="n">
        <f aca="false">AP56+AP58+AP59+AP60</f>
        <v>843.648</v>
      </c>
      <c r="AQ61" s="73" t="n">
        <f aca="false">AQ56+AQ58+AQ59+AQ60</f>
        <v>843.648</v>
      </c>
      <c r="AR61" s="73" t="n">
        <f aca="false">AR56+AR58+AR59+AR60</f>
        <v>843.648</v>
      </c>
      <c r="AS61" s="73" t="n">
        <f aca="false">AS56+AS58+AS59+AS60</f>
        <v>843.648</v>
      </c>
      <c r="AT61" s="73" t="n">
        <f aca="false">AT56+AT58+AT59+AT60</f>
        <v>843.648</v>
      </c>
      <c r="AU61" s="73" t="n">
        <f aca="false">AU56+AU58+AU59+AU60</f>
        <v>843.648</v>
      </c>
      <c r="AV61" s="73" t="n">
        <f aca="false">AV56+AV58+AV59+AV60</f>
        <v>843.648</v>
      </c>
      <c r="AW61" s="73" t="n">
        <f aca="false">AW56+AW58+AW59+AW60</f>
        <v>843.648</v>
      </c>
      <c r="AX61" s="73" t="n">
        <f aca="false">AX56+AX58+AX59+AX60</f>
        <v>843.648</v>
      </c>
      <c r="AY61" s="73" t="n">
        <f aca="false">AY56+AY58+AY59+AY60</f>
        <v>877.39392</v>
      </c>
      <c r="AZ61" s="73" t="n">
        <f aca="false">AZ56+AZ58+AZ59+AZ60</f>
        <v>877.39392</v>
      </c>
      <c r="BA61" s="73" t="n">
        <f aca="false">BA56+BA58+BA59+BA60</f>
        <v>877.39392</v>
      </c>
      <c r="BB61" s="73" t="n">
        <f aca="false">BB56+BB58+BB59+BB60</f>
        <v>877.39392</v>
      </c>
      <c r="BC61" s="73" t="n">
        <f aca="false">BC56+BC58+BC59+BC60</f>
        <v>877.39392</v>
      </c>
      <c r="BD61" s="73" t="n">
        <f aca="false">BD56+BD58+BD59+BD60</f>
        <v>877.39392</v>
      </c>
      <c r="BE61" s="73" t="n">
        <f aca="false">BE56+BE58+BE59+BE60</f>
        <v>877.39392</v>
      </c>
      <c r="BF61" s="73" t="n">
        <f aca="false">BF56+BF58+BF59+BF60</f>
        <v>877.39392</v>
      </c>
      <c r="BG61" s="73" t="n">
        <f aca="false">BG56+BG58+BG59+BG60</f>
        <v>877.39392</v>
      </c>
      <c r="BH61" s="73" t="n">
        <f aca="false">BH56+BH58+BH59+BH60</f>
        <v>877.39392</v>
      </c>
      <c r="BI61" s="73" t="n">
        <f aca="false">BI56+BI58+BI59+BI60</f>
        <v>877.39392</v>
      </c>
      <c r="BJ61" s="73" t="n">
        <f aca="false">BJ56+BJ58+BJ59+BJ60</f>
        <v>877.39392</v>
      </c>
    </row>
    <row r="62" customFormat="false" ht="15" hidden="false" customHeight="false" outlineLevel="0" collapsed="false">
      <c r="A62" s="6" t="s">
        <v>428</v>
      </c>
      <c r="C62" s="67" t="n">
        <f aca="false">C61</f>
        <v>865750</v>
      </c>
      <c r="D62" s="67" t="n">
        <f aca="false">C62+D61</f>
        <v>866500</v>
      </c>
      <c r="E62" s="67" t="n">
        <f aca="false">D62+E61</f>
        <v>867250</v>
      </c>
      <c r="F62" s="67" t="n">
        <f aca="false">E62+F61</f>
        <v>868000</v>
      </c>
      <c r="G62" s="67" t="n">
        <f aca="false">F62+G61</f>
        <v>868750</v>
      </c>
      <c r="H62" s="67" t="n">
        <f aca="false">G62+H61</f>
        <v>869500</v>
      </c>
      <c r="I62" s="67" t="n">
        <f aca="false">H62+I61</f>
        <v>870250</v>
      </c>
      <c r="J62" s="67" t="n">
        <f aca="false">I62+J61</f>
        <v>871000</v>
      </c>
      <c r="K62" s="67" t="n">
        <f aca="false">J62+K61</f>
        <v>871750</v>
      </c>
      <c r="L62" s="67" t="n">
        <f aca="false">K62+L61</f>
        <v>872500</v>
      </c>
      <c r="M62" s="67" t="n">
        <f aca="false">L62+M61</f>
        <v>873250</v>
      </c>
      <c r="N62" s="67" t="n">
        <f aca="false">M62+N61</f>
        <v>874000</v>
      </c>
      <c r="O62" s="67" t="n">
        <f aca="false">N62+O61</f>
        <v>874780</v>
      </c>
      <c r="P62" s="67" t="n">
        <f aca="false">O62+P61</f>
        <v>875560</v>
      </c>
      <c r="Q62" s="67" t="n">
        <f aca="false">P62+Q61</f>
        <v>876340</v>
      </c>
      <c r="R62" s="67" t="n">
        <f aca="false">Q62+R61</f>
        <v>877120</v>
      </c>
      <c r="S62" s="67" t="n">
        <f aca="false">R62+S61</f>
        <v>877900</v>
      </c>
      <c r="T62" s="67" t="n">
        <f aca="false">S62+T61</f>
        <v>878680</v>
      </c>
      <c r="U62" s="67" t="n">
        <f aca="false">T62+U61</f>
        <v>879460</v>
      </c>
      <c r="V62" s="67" t="n">
        <f aca="false">U62+V61</f>
        <v>880240</v>
      </c>
      <c r="W62" s="67" t="n">
        <f aca="false">V62+W61</f>
        <v>881020</v>
      </c>
      <c r="X62" s="67" t="n">
        <f aca="false">W62+X61</f>
        <v>881800</v>
      </c>
      <c r="Y62" s="67" t="n">
        <f aca="false">X62+Y61</f>
        <v>882580</v>
      </c>
      <c r="Z62" s="67" t="n">
        <f aca="false">Y62+Z61</f>
        <v>883360</v>
      </c>
      <c r="AA62" s="67" t="n">
        <f aca="false">Z62+AA61</f>
        <v>884171.2</v>
      </c>
      <c r="AB62" s="67" t="n">
        <f aca="false">AA62+AB61</f>
        <v>884982.4</v>
      </c>
      <c r="AC62" s="67" t="n">
        <f aca="false">AB62+AC61</f>
        <v>885793.6</v>
      </c>
      <c r="AD62" s="67" t="n">
        <f aca="false">AC62+AD61</f>
        <v>886604.8</v>
      </c>
      <c r="AE62" s="67" t="n">
        <f aca="false">AD62+AE61</f>
        <v>887416</v>
      </c>
      <c r="AF62" s="67" t="n">
        <f aca="false">AE62+AF61</f>
        <v>888227.2</v>
      </c>
      <c r="AG62" s="67" t="n">
        <f aca="false">AF62+AG61</f>
        <v>889038.4</v>
      </c>
      <c r="AH62" s="67" t="n">
        <f aca="false">AG62+AH61</f>
        <v>889849.6</v>
      </c>
      <c r="AI62" s="67" t="n">
        <f aca="false">AH62+AI61</f>
        <v>890660.8</v>
      </c>
      <c r="AJ62" s="67" t="n">
        <f aca="false">AI62+AJ61</f>
        <v>891472</v>
      </c>
      <c r="AK62" s="67" t="n">
        <f aca="false">AJ62+AK61</f>
        <v>892283.2</v>
      </c>
      <c r="AL62" s="67" t="n">
        <f aca="false">AK62+AL61</f>
        <v>893094.399999999</v>
      </c>
      <c r="AM62" s="67" t="n">
        <f aca="false">AL62+AM61</f>
        <v>893938.048</v>
      </c>
      <c r="AN62" s="67" t="n">
        <f aca="false">AM62+AN61</f>
        <v>894781.696</v>
      </c>
      <c r="AO62" s="67" t="n">
        <f aca="false">AN62+AO61</f>
        <v>895625.344</v>
      </c>
      <c r="AP62" s="67" t="n">
        <f aca="false">AO62+AP61</f>
        <v>896468.992</v>
      </c>
      <c r="AQ62" s="67" t="n">
        <f aca="false">AP62+AQ61</f>
        <v>897312.64</v>
      </c>
      <c r="AR62" s="67" t="n">
        <f aca="false">AQ62+AR61</f>
        <v>898156.288</v>
      </c>
      <c r="AS62" s="67" t="n">
        <f aca="false">AR62+AS61</f>
        <v>898999.936</v>
      </c>
      <c r="AT62" s="67" t="n">
        <f aca="false">AS62+AT61</f>
        <v>899843.584</v>
      </c>
      <c r="AU62" s="67" t="n">
        <f aca="false">AT62+AU61</f>
        <v>900687.232</v>
      </c>
      <c r="AV62" s="67" t="n">
        <f aca="false">AU62+AV61</f>
        <v>901530.88</v>
      </c>
      <c r="AW62" s="67" t="n">
        <f aca="false">AV62+AW61</f>
        <v>902374.528</v>
      </c>
      <c r="AX62" s="67" t="n">
        <f aca="false">AW62+AX61</f>
        <v>903218.176</v>
      </c>
      <c r="AY62" s="67" t="n">
        <f aca="false">AX62+AY61</f>
        <v>904095.56992</v>
      </c>
      <c r="AZ62" s="67" t="n">
        <f aca="false">AY62+AZ61</f>
        <v>904972.96384</v>
      </c>
      <c r="BA62" s="67" t="n">
        <f aca="false">AZ62+BA61</f>
        <v>905850.35776</v>
      </c>
      <c r="BB62" s="67" t="n">
        <f aca="false">BA62+BB61</f>
        <v>906727.75168</v>
      </c>
      <c r="BC62" s="67" t="n">
        <f aca="false">BB62+BC61</f>
        <v>907605.1456</v>
      </c>
      <c r="BD62" s="67" t="n">
        <f aca="false">BC62+BD61</f>
        <v>908482.53952</v>
      </c>
      <c r="BE62" s="67" t="n">
        <f aca="false">BD62+BE61</f>
        <v>909359.93344</v>
      </c>
      <c r="BF62" s="67" t="n">
        <f aca="false">BE62+BF61</f>
        <v>910237.32736</v>
      </c>
      <c r="BG62" s="67" t="n">
        <f aca="false">BF62+BG61</f>
        <v>911114.72128</v>
      </c>
      <c r="BH62" s="67" t="n">
        <f aca="false">BG62+BH61</f>
        <v>911992.115199999</v>
      </c>
      <c r="BI62" s="67" t="n">
        <f aca="false">BH62+BI61</f>
        <v>912869.509119999</v>
      </c>
      <c r="BJ62" s="67" t="n">
        <f aca="false">BI62+BJ61</f>
        <v>913746.903039999</v>
      </c>
    </row>
    <row r="63" customFormat="false" ht="15" hidden="false" customHeight="false" outlineLevel="0" collapsed="false">
      <c r="A63" s="6" t="s">
        <v>429</v>
      </c>
      <c r="C63" s="67" t="n">
        <f aca="false">C57</f>
        <v>180000</v>
      </c>
      <c r="D63" s="67" t="n">
        <f aca="false">C63+D57</f>
        <v>180000</v>
      </c>
      <c r="E63" s="67" t="n">
        <f aca="false">D63+E57</f>
        <v>180000</v>
      </c>
      <c r="F63" s="67" t="n">
        <f aca="false">E63+F57</f>
        <v>180000</v>
      </c>
      <c r="G63" s="67" t="n">
        <f aca="false">F63+G57</f>
        <v>180000</v>
      </c>
      <c r="H63" s="67" t="n">
        <f aca="false">G63+H57</f>
        <v>180000</v>
      </c>
      <c r="I63" s="67" t="n">
        <f aca="false">H63+I57</f>
        <v>180000</v>
      </c>
      <c r="J63" s="67" t="n">
        <f aca="false">I63+J57</f>
        <v>180000</v>
      </c>
      <c r="K63" s="67" t="n">
        <f aca="false">J63+K57</f>
        <v>180000</v>
      </c>
      <c r="L63" s="67" t="n">
        <f aca="false">K63+L57</f>
        <v>180000</v>
      </c>
      <c r="M63" s="67" t="n">
        <f aca="false">L63+M57</f>
        <v>180000</v>
      </c>
      <c r="N63" s="67" t="n">
        <f aca="false">M63+N57</f>
        <v>180000</v>
      </c>
      <c r="O63" s="67" t="n">
        <f aca="false">N63+O57</f>
        <v>180000</v>
      </c>
      <c r="P63" s="67" t="n">
        <f aca="false">O63+P57</f>
        <v>180000</v>
      </c>
      <c r="Q63" s="67" t="n">
        <f aca="false">P63+Q57</f>
        <v>180000</v>
      </c>
      <c r="R63" s="67" t="n">
        <f aca="false">Q63+R57</f>
        <v>180000</v>
      </c>
      <c r="S63" s="67" t="n">
        <f aca="false">R63+S57</f>
        <v>180000</v>
      </c>
      <c r="T63" s="67" t="n">
        <f aca="false">S63+T57</f>
        <v>180000</v>
      </c>
      <c r="U63" s="67" t="n">
        <f aca="false">T63+U57</f>
        <v>180000</v>
      </c>
      <c r="V63" s="67" t="n">
        <f aca="false">U63+V57</f>
        <v>180000</v>
      </c>
      <c r="W63" s="67" t="n">
        <f aca="false">V63+W57</f>
        <v>180000</v>
      </c>
      <c r="X63" s="67" t="n">
        <f aca="false">W63+X57</f>
        <v>180000</v>
      </c>
      <c r="Y63" s="67" t="n">
        <f aca="false">X63+Y57</f>
        <v>180000</v>
      </c>
      <c r="Z63" s="67" t="n">
        <f aca="false">Y63+Z57</f>
        <v>180000</v>
      </c>
      <c r="AA63" s="67" t="n">
        <f aca="false">Z63+AA57</f>
        <v>180000</v>
      </c>
      <c r="AB63" s="67" t="n">
        <f aca="false">AA63+AB57</f>
        <v>180000</v>
      </c>
      <c r="AC63" s="67" t="n">
        <f aca="false">AB63+AC57</f>
        <v>180000</v>
      </c>
      <c r="AD63" s="67" t="n">
        <f aca="false">AC63+AD57</f>
        <v>180000</v>
      </c>
      <c r="AE63" s="67" t="n">
        <f aca="false">AD63+AE57</f>
        <v>180000</v>
      </c>
      <c r="AF63" s="67" t="n">
        <f aca="false">AE63+AF57</f>
        <v>180000</v>
      </c>
      <c r="AG63" s="67" t="n">
        <f aca="false">AF63+AG57</f>
        <v>180000</v>
      </c>
      <c r="AH63" s="67" t="n">
        <f aca="false">AG63+AH57</f>
        <v>180000</v>
      </c>
      <c r="AI63" s="67" t="n">
        <f aca="false">AH63+AI57</f>
        <v>180000</v>
      </c>
      <c r="AJ63" s="67" t="n">
        <f aca="false">AI63+AJ57</f>
        <v>180000</v>
      </c>
      <c r="AK63" s="67" t="n">
        <f aca="false">AJ63+AK57</f>
        <v>180000</v>
      </c>
      <c r="AL63" s="67" t="n">
        <f aca="false">AK63+AL57</f>
        <v>180000</v>
      </c>
      <c r="AM63" s="67" t="n">
        <f aca="false">AL63+AM57</f>
        <v>180000</v>
      </c>
      <c r="AN63" s="67" t="n">
        <f aca="false">AM63+AN57</f>
        <v>180000</v>
      </c>
      <c r="AO63" s="67" t="n">
        <f aca="false">AN63+AO57</f>
        <v>180000</v>
      </c>
      <c r="AP63" s="67" t="n">
        <f aca="false">AO63+AP57</f>
        <v>180000</v>
      </c>
      <c r="AQ63" s="67" t="n">
        <f aca="false">AP63+AQ57</f>
        <v>180000</v>
      </c>
      <c r="AR63" s="67" t="n">
        <f aca="false">AQ63+AR57</f>
        <v>180000</v>
      </c>
      <c r="AS63" s="67" t="n">
        <f aca="false">AR63+AS57</f>
        <v>180000</v>
      </c>
      <c r="AT63" s="67" t="n">
        <f aca="false">AS63+AT57</f>
        <v>180000</v>
      </c>
      <c r="AU63" s="67" t="n">
        <f aca="false">AT63+AU57</f>
        <v>180000</v>
      </c>
      <c r="AV63" s="67" t="n">
        <f aca="false">AU63+AV57</f>
        <v>180000</v>
      </c>
      <c r="AW63" s="67" t="n">
        <f aca="false">AV63+AW57</f>
        <v>180000</v>
      </c>
      <c r="AX63" s="67" t="n">
        <f aca="false">AW63+AX57</f>
        <v>180000</v>
      </c>
      <c r="AY63" s="67" t="n">
        <f aca="false">AX63+AY57</f>
        <v>180000</v>
      </c>
      <c r="AZ63" s="67" t="n">
        <f aca="false">AY63+AZ57</f>
        <v>180000</v>
      </c>
      <c r="BA63" s="67" t="n">
        <f aca="false">AZ63+BA57</f>
        <v>180000</v>
      </c>
      <c r="BB63" s="67" t="n">
        <f aca="false">BA63+BB57</f>
        <v>180000</v>
      </c>
      <c r="BC63" s="67" t="n">
        <f aca="false">BB63+BC57</f>
        <v>180000</v>
      </c>
      <c r="BD63" s="67" t="n">
        <f aca="false">BC63+BD57</f>
        <v>180000</v>
      </c>
      <c r="BE63" s="67" t="n">
        <f aca="false">BD63+BE57</f>
        <v>180000</v>
      </c>
      <c r="BF63" s="67" t="n">
        <f aca="false">BE63+BF57</f>
        <v>180000</v>
      </c>
      <c r="BG63" s="67" t="n">
        <f aca="false">BF63+BG57</f>
        <v>180000</v>
      </c>
      <c r="BH63" s="67" t="n">
        <f aca="false">BG63+BH57</f>
        <v>180000</v>
      </c>
      <c r="BI63" s="67" t="n">
        <f aca="false">BH63+BI57</f>
        <v>180000</v>
      </c>
      <c r="BJ63" s="67" t="n">
        <f aca="false">BI63+BJ57</f>
        <v>180000</v>
      </c>
    </row>
    <row r="64" customFormat="false" ht="15" hidden="false" customHeight="false" outlineLevel="0" collapsed="false">
      <c r="A64" s="6" t="s">
        <v>78</v>
      </c>
      <c r="C64" s="67" t="n">
        <f aca="false">-MIN((C62-C63)/MAX(1,Inputs!$B$76*12),C61-C63)</f>
        <v>-3809.72222222222</v>
      </c>
      <c r="D64" s="67" t="n">
        <f aca="false">-MIN((D62-D63)/MAX(1,Inputs!$B$76*12),C66+D61-D63)</f>
        <v>-3813.88888888889</v>
      </c>
      <c r="E64" s="67" t="n">
        <f aca="false">-MIN((E62-E63)/MAX(1,Inputs!$B$76*12),D66+E61-E63)</f>
        <v>-3818.05555555556</v>
      </c>
      <c r="F64" s="67" t="n">
        <f aca="false">-MIN((F62-F63)/MAX(1,Inputs!$B$76*12),E66+F61-F63)</f>
        <v>-3822.22222222222</v>
      </c>
      <c r="G64" s="67" t="n">
        <f aca="false">-MIN((G62-G63)/MAX(1,Inputs!$B$76*12),F66+G61-G63)</f>
        <v>-3826.38888888889</v>
      </c>
      <c r="H64" s="67" t="n">
        <f aca="false">-MIN((H62-H63)/MAX(1,Inputs!$B$76*12),G66+H61-H63)</f>
        <v>-3830.55555555556</v>
      </c>
      <c r="I64" s="67" t="n">
        <f aca="false">-MIN((I62-I63)/MAX(1,Inputs!$B$76*12),H66+I61-I63)</f>
        <v>-3834.72222222222</v>
      </c>
      <c r="J64" s="67" t="n">
        <f aca="false">-MIN((J62-J63)/MAX(1,Inputs!$B$76*12),I66+J61-J63)</f>
        <v>-3838.88888888889</v>
      </c>
      <c r="K64" s="67" t="n">
        <f aca="false">-MIN((K62-K63)/MAX(1,Inputs!$B$76*12),J66+K61-K63)</f>
        <v>-3843.05555555556</v>
      </c>
      <c r="L64" s="67" t="n">
        <f aca="false">-MIN((L62-L63)/MAX(1,Inputs!$B$76*12),K66+L61-L63)</f>
        <v>-3847.22222222222</v>
      </c>
      <c r="M64" s="67" t="n">
        <f aca="false">-MIN((M62-M63)/MAX(1,Inputs!$B$76*12),L66+M61-M63)</f>
        <v>-3851.38888888889</v>
      </c>
      <c r="N64" s="67" t="n">
        <f aca="false">-MIN((N62-N63)/MAX(1,Inputs!$B$76*12),M66+N61-N63)</f>
        <v>-3855.55555555556</v>
      </c>
      <c r="O64" s="67" t="n">
        <f aca="false">-MIN((O62-O63)/MAX(1,Inputs!$B$76*12),N66+O61-O63)</f>
        <v>-3859.88888888889</v>
      </c>
      <c r="P64" s="67" t="n">
        <f aca="false">-MIN((P62-P63)/MAX(1,Inputs!$B$76*12),O66+P61-P63)</f>
        <v>-3864.22222222222</v>
      </c>
      <c r="Q64" s="67" t="n">
        <f aca="false">-MIN((Q62-Q63)/MAX(1,Inputs!$B$76*12),P66+Q61-Q63)</f>
        <v>-3868.55555555556</v>
      </c>
      <c r="R64" s="67" t="n">
        <f aca="false">-MIN((R62-R63)/MAX(1,Inputs!$B$76*12),Q66+R61-R63)</f>
        <v>-3872.88888888889</v>
      </c>
      <c r="S64" s="67" t="n">
        <f aca="false">-MIN((S62-S63)/MAX(1,Inputs!$B$76*12),R66+S61-S63)</f>
        <v>-3877.22222222222</v>
      </c>
      <c r="T64" s="67" t="n">
        <f aca="false">-MIN((T62-T63)/MAX(1,Inputs!$B$76*12),S66+T61-T63)</f>
        <v>-3881.55555555556</v>
      </c>
      <c r="U64" s="67" t="n">
        <f aca="false">-MIN((U62-U63)/MAX(1,Inputs!$B$76*12),T66+U61-U63)</f>
        <v>-3885.88888888889</v>
      </c>
      <c r="V64" s="67" t="n">
        <f aca="false">-MIN((V62-V63)/MAX(1,Inputs!$B$76*12),U66+V61-V63)</f>
        <v>-3890.22222222222</v>
      </c>
      <c r="W64" s="67" t="n">
        <f aca="false">-MIN((W62-W63)/MAX(1,Inputs!$B$76*12),V66+W61-W63)</f>
        <v>-3894.55555555556</v>
      </c>
      <c r="X64" s="67" t="n">
        <f aca="false">-MIN((X62-X63)/MAX(1,Inputs!$B$76*12),W66+X61-X63)</f>
        <v>-3898.88888888889</v>
      </c>
      <c r="Y64" s="67" t="n">
        <f aca="false">-MIN((Y62-Y63)/MAX(1,Inputs!$B$76*12),X66+Y61-Y63)</f>
        <v>-3903.22222222222</v>
      </c>
      <c r="Z64" s="67" t="n">
        <f aca="false">-MIN((Z62-Z63)/MAX(1,Inputs!$B$76*12),Y66+Z61-Z63)</f>
        <v>-3907.55555555556</v>
      </c>
      <c r="AA64" s="67" t="n">
        <f aca="false">-MIN((AA62-AA63)/MAX(1,Inputs!$B$76*12),Z66+AA61-AA63)</f>
        <v>-3912.06222222222</v>
      </c>
      <c r="AB64" s="67" t="n">
        <f aca="false">-MIN((AB62-AB63)/MAX(1,Inputs!$B$76*12),AA66+AB61-AB63)</f>
        <v>-3916.56888888889</v>
      </c>
      <c r="AC64" s="67" t="n">
        <f aca="false">-MIN((AC62-AC63)/MAX(1,Inputs!$B$76*12),AB66+AC61-AC63)</f>
        <v>-3921.07555555555</v>
      </c>
      <c r="AD64" s="67" t="n">
        <f aca="false">-MIN((AD62-AD63)/MAX(1,Inputs!$B$76*12),AC66+AD61-AD63)</f>
        <v>-3925.58222222222</v>
      </c>
      <c r="AE64" s="67" t="n">
        <f aca="false">-MIN((AE62-AE63)/MAX(1,Inputs!$B$76*12),AD66+AE61-AE63)</f>
        <v>-3930.08888888889</v>
      </c>
      <c r="AF64" s="67" t="n">
        <f aca="false">-MIN((AF62-AF63)/MAX(1,Inputs!$B$76*12),AE66+AF61-AF63)</f>
        <v>-3934.59555555555</v>
      </c>
      <c r="AG64" s="67" t="n">
        <f aca="false">-MIN((AG62-AG63)/MAX(1,Inputs!$B$76*12),AF66+AG61-AG63)</f>
        <v>-3939.10222222222</v>
      </c>
      <c r="AH64" s="67" t="n">
        <f aca="false">-MIN((AH62-AH63)/MAX(1,Inputs!$B$76*12),AG66+AH61-AH63)</f>
        <v>-3943.60888888889</v>
      </c>
      <c r="AI64" s="67" t="n">
        <f aca="false">-MIN((AI62-AI63)/MAX(1,Inputs!$B$76*12),AH66+AI61-AI63)</f>
        <v>-3948.11555555555</v>
      </c>
      <c r="AJ64" s="67" t="n">
        <f aca="false">-MIN((AJ62-AJ63)/MAX(1,Inputs!$B$76*12),AI66+AJ61-AJ63)</f>
        <v>-3952.62222222222</v>
      </c>
      <c r="AK64" s="67" t="n">
        <f aca="false">-MIN((AK62-AK63)/MAX(1,Inputs!$B$76*12),AJ66+AK61-AK63)</f>
        <v>-3957.12888888889</v>
      </c>
      <c r="AL64" s="67" t="n">
        <f aca="false">-MIN((AL62-AL63)/MAX(1,Inputs!$B$76*12),AK66+AL61-AL63)</f>
        <v>-3961.63555555555</v>
      </c>
      <c r="AM64" s="67" t="n">
        <f aca="false">-MIN((AM62-AM63)/MAX(1,Inputs!$B$76*12),AL66+AM61-AM63)</f>
        <v>-3966.32248888889</v>
      </c>
      <c r="AN64" s="67" t="n">
        <f aca="false">-MIN((AN62-AN63)/MAX(1,Inputs!$B$76*12),AM66+AN61-AN63)</f>
        <v>-3971.00942222222</v>
      </c>
      <c r="AO64" s="67" t="n">
        <f aca="false">-MIN((AO62-AO63)/MAX(1,Inputs!$B$76*12),AN66+AO61-AO63)</f>
        <v>-3975.69635555555</v>
      </c>
      <c r="AP64" s="67" t="n">
        <f aca="false">-MIN((AP62-AP63)/MAX(1,Inputs!$B$76*12),AO66+AP61-AP63)</f>
        <v>-3980.38328888889</v>
      </c>
      <c r="AQ64" s="67" t="n">
        <f aca="false">-MIN((AQ62-AQ63)/MAX(1,Inputs!$B$76*12),AP66+AQ61-AQ63)</f>
        <v>-3985.07022222222</v>
      </c>
      <c r="AR64" s="67" t="n">
        <f aca="false">-MIN((AR62-AR63)/MAX(1,Inputs!$B$76*12),AQ66+AR61-AR63)</f>
        <v>-3989.75715555555</v>
      </c>
      <c r="AS64" s="67" t="n">
        <f aca="false">-MIN((AS62-AS63)/MAX(1,Inputs!$B$76*12),AR66+AS61-AS63)</f>
        <v>-3994.44408888889</v>
      </c>
      <c r="AT64" s="67" t="n">
        <f aca="false">-MIN((AT62-AT63)/MAX(1,Inputs!$B$76*12),AS66+AT61-AT63)</f>
        <v>-3999.13102222222</v>
      </c>
      <c r="AU64" s="67" t="n">
        <f aca="false">-MIN((AU62-AU63)/MAX(1,Inputs!$B$76*12),AT66+AU61-AU63)</f>
        <v>-4003.81795555556</v>
      </c>
      <c r="AV64" s="67" t="n">
        <f aca="false">-MIN((AV62-AV63)/MAX(1,Inputs!$B$76*12),AU66+AV61-AV63)</f>
        <v>-4008.50488888889</v>
      </c>
      <c r="AW64" s="67" t="n">
        <f aca="false">-MIN((AW62-AW63)/MAX(1,Inputs!$B$76*12),AV66+AW61-AW63)</f>
        <v>-4013.19182222222</v>
      </c>
      <c r="AX64" s="67" t="n">
        <f aca="false">-MIN((AX62-AX63)/MAX(1,Inputs!$B$76*12),AW66+AX61-AX63)</f>
        <v>-4017.87875555556</v>
      </c>
      <c r="AY64" s="67" t="n">
        <f aca="false">-MIN((AY62-AY63)/MAX(1,Inputs!$B$76*12),AX66+AY61-AY63)</f>
        <v>-4022.75316622222</v>
      </c>
      <c r="AZ64" s="67" t="n">
        <f aca="false">-MIN((AZ62-AZ63)/MAX(1,Inputs!$B$76*12),AY66+AZ61-AZ63)</f>
        <v>-4027.62757688889</v>
      </c>
      <c r="BA64" s="67" t="n">
        <f aca="false">-MIN((BA62-BA63)/MAX(1,Inputs!$B$76*12),AZ66+BA61-BA63)</f>
        <v>-4032.50198755555</v>
      </c>
      <c r="BB64" s="67" t="n">
        <f aca="false">-MIN((BB62-BB63)/MAX(1,Inputs!$B$76*12),BA66+BB61-BB63)</f>
        <v>-4037.37639822222</v>
      </c>
      <c r="BC64" s="67" t="n">
        <f aca="false">-MIN((BC62-BC63)/MAX(1,Inputs!$B$76*12),BB66+BC61-BC63)</f>
        <v>-4042.25080888889</v>
      </c>
      <c r="BD64" s="67" t="n">
        <f aca="false">-MIN((BD62-BD63)/MAX(1,Inputs!$B$76*12),BC66+BD61-BD63)</f>
        <v>-4047.12521955555</v>
      </c>
      <c r="BE64" s="67" t="n">
        <f aca="false">-MIN((BE62-BE63)/MAX(1,Inputs!$B$76*12),BD66+BE61-BE63)</f>
        <v>-4051.99963022222</v>
      </c>
      <c r="BF64" s="67" t="n">
        <f aca="false">-MIN((BF62-BF63)/MAX(1,Inputs!$B$76*12),BE66+BF61-BF63)</f>
        <v>-4056.87404088889</v>
      </c>
      <c r="BG64" s="67" t="n">
        <f aca="false">-MIN((BG62-BG63)/MAX(1,Inputs!$B$76*12),BF66+BG61-BG63)</f>
        <v>-4061.74845155555</v>
      </c>
      <c r="BH64" s="67" t="n">
        <f aca="false">-MIN((BH62-BH63)/MAX(1,Inputs!$B$76*12),BG66+BH61-BH63)</f>
        <v>-4066.62286222222</v>
      </c>
      <c r="BI64" s="67" t="n">
        <f aca="false">-MIN((BI62-BI63)/MAX(1,Inputs!$B$76*12),BH66+BI61-BI63)</f>
        <v>-4071.49727288889</v>
      </c>
      <c r="BJ64" s="67" t="n">
        <f aca="false">-MIN((BJ62-BJ63)/MAX(1,Inputs!$B$76*12),BI66+BJ61-BJ63)</f>
        <v>-4076.37168355555</v>
      </c>
    </row>
    <row r="65" customFormat="false" ht="15" hidden="false" customHeight="false" outlineLevel="0" collapsed="false">
      <c r="A65" s="6" t="s">
        <v>430</v>
      </c>
      <c r="C65" s="67" t="n">
        <f aca="false">C64</f>
        <v>-3809.72222222222</v>
      </c>
      <c r="D65" s="67" t="n">
        <f aca="false">C65+D64</f>
        <v>-7623.61111111111</v>
      </c>
      <c r="E65" s="67" t="n">
        <f aca="false">D65+E64</f>
        <v>-11441.6666666667</v>
      </c>
      <c r="F65" s="67" t="n">
        <f aca="false">E65+F64</f>
        <v>-15263.8888888889</v>
      </c>
      <c r="G65" s="67" t="n">
        <f aca="false">F65+G64</f>
        <v>-19090.2777777778</v>
      </c>
      <c r="H65" s="67" t="n">
        <f aca="false">G65+H64</f>
        <v>-22920.8333333333</v>
      </c>
      <c r="I65" s="67" t="n">
        <f aca="false">H65+I64</f>
        <v>-26755.5555555556</v>
      </c>
      <c r="J65" s="67" t="n">
        <f aca="false">I65+J64</f>
        <v>-30594.4444444444</v>
      </c>
      <c r="K65" s="67" t="n">
        <f aca="false">J65+K64</f>
        <v>-34437.5</v>
      </c>
      <c r="L65" s="67" t="n">
        <f aca="false">K65+L64</f>
        <v>-38284.7222222222</v>
      </c>
      <c r="M65" s="67" t="n">
        <f aca="false">L65+M64</f>
        <v>-42136.1111111111</v>
      </c>
      <c r="N65" s="67" t="n">
        <f aca="false">M65+N64</f>
        <v>-45991.6666666667</v>
      </c>
      <c r="O65" s="67" t="n">
        <f aca="false">N65+O64</f>
        <v>-49851.5555555556</v>
      </c>
      <c r="P65" s="67" t="n">
        <f aca="false">O65+P64</f>
        <v>-53715.7777777778</v>
      </c>
      <c r="Q65" s="67" t="n">
        <f aca="false">P65+Q64</f>
        <v>-57584.3333333333</v>
      </c>
      <c r="R65" s="67" t="n">
        <f aca="false">Q65+R64</f>
        <v>-61457.2222222222</v>
      </c>
      <c r="S65" s="67" t="n">
        <f aca="false">R65+S64</f>
        <v>-65334.4444444444</v>
      </c>
      <c r="T65" s="67" t="n">
        <f aca="false">S65+T64</f>
        <v>-69216</v>
      </c>
      <c r="U65" s="67" t="n">
        <f aca="false">T65+U64</f>
        <v>-73101.8888888889</v>
      </c>
      <c r="V65" s="67" t="n">
        <f aca="false">U65+V64</f>
        <v>-76992.1111111111</v>
      </c>
      <c r="W65" s="67" t="n">
        <f aca="false">V65+W64</f>
        <v>-80886.6666666667</v>
      </c>
      <c r="X65" s="67" t="n">
        <f aca="false">W65+X64</f>
        <v>-84785.5555555556</v>
      </c>
      <c r="Y65" s="67" t="n">
        <f aca="false">X65+Y64</f>
        <v>-88688.7777777778</v>
      </c>
      <c r="Z65" s="67" t="n">
        <f aca="false">Y65+Z64</f>
        <v>-92596.3333333333</v>
      </c>
      <c r="AA65" s="67" t="n">
        <f aca="false">Z65+AA64</f>
        <v>-96508.3955555556</v>
      </c>
      <c r="AB65" s="67" t="n">
        <f aca="false">AA65+AB64</f>
        <v>-100424.964444444</v>
      </c>
      <c r="AC65" s="67" t="n">
        <f aca="false">AB65+AC64</f>
        <v>-104346.04</v>
      </c>
      <c r="AD65" s="67" t="n">
        <f aca="false">AC65+AD64</f>
        <v>-108271.622222222</v>
      </c>
      <c r="AE65" s="67" t="n">
        <f aca="false">AD65+AE64</f>
        <v>-112201.711111111</v>
      </c>
      <c r="AF65" s="67" t="n">
        <f aca="false">AE65+AF64</f>
        <v>-116136.306666667</v>
      </c>
      <c r="AG65" s="67" t="n">
        <f aca="false">AF65+AG64</f>
        <v>-120075.408888889</v>
      </c>
      <c r="AH65" s="67" t="n">
        <f aca="false">AG65+AH64</f>
        <v>-124019.017777778</v>
      </c>
      <c r="AI65" s="67" t="n">
        <f aca="false">AH65+AI64</f>
        <v>-127967.133333333</v>
      </c>
      <c r="AJ65" s="67" t="n">
        <f aca="false">AI65+AJ64</f>
        <v>-131919.755555556</v>
      </c>
      <c r="AK65" s="67" t="n">
        <f aca="false">AJ65+AK64</f>
        <v>-135876.884444444</v>
      </c>
      <c r="AL65" s="67" t="n">
        <f aca="false">AK65+AL64</f>
        <v>-139838.52</v>
      </c>
      <c r="AM65" s="67" t="n">
        <f aca="false">AL65+AM64</f>
        <v>-143804.842488889</v>
      </c>
      <c r="AN65" s="67" t="n">
        <f aca="false">AM65+AN64</f>
        <v>-147775.851911111</v>
      </c>
      <c r="AO65" s="67" t="n">
        <f aca="false">AN65+AO64</f>
        <v>-151751.548266667</v>
      </c>
      <c r="AP65" s="67" t="n">
        <f aca="false">AO65+AP64</f>
        <v>-155731.931555556</v>
      </c>
      <c r="AQ65" s="67" t="n">
        <f aca="false">AP65+AQ64</f>
        <v>-159717.001777778</v>
      </c>
      <c r="AR65" s="67" t="n">
        <f aca="false">AQ65+AR64</f>
        <v>-163706.758933333</v>
      </c>
      <c r="AS65" s="67" t="n">
        <f aca="false">AR65+AS64</f>
        <v>-167701.203022222</v>
      </c>
      <c r="AT65" s="67" t="n">
        <f aca="false">AS65+AT64</f>
        <v>-171700.334044444</v>
      </c>
      <c r="AU65" s="67" t="n">
        <f aca="false">AT65+AU64</f>
        <v>-175704.152</v>
      </c>
      <c r="AV65" s="67" t="n">
        <f aca="false">AU65+AV64</f>
        <v>-179712.656888889</v>
      </c>
      <c r="AW65" s="67" t="n">
        <f aca="false">AV65+AW64</f>
        <v>-183725.848711111</v>
      </c>
      <c r="AX65" s="67" t="n">
        <f aca="false">AW65+AX64</f>
        <v>-187743.727466667</v>
      </c>
      <c r="AY65" s="67" t="n">
        <f aca="false">AX65+AY64</f>
        <v>-191766.480632889</v>
      </c>
      <c r="AZ65" s="67" t="n">
        <f aca="false">AY65+AZ64</f>
        <v>-195794.108209778</v>
      </c>
      <c r="BA65" s="67" t="n">
        <f aca="false">AZ65+BA64</f>
        <v>-199826.610197333</v>
      </c>
      <c r="BB65" s="67" t="n">
        <f aca="false">BA65+BB64</f>
        <v>-203863.986595556</v>
      </c>
      <c r="BC65" s="67" t="n">
        <f aca="false">BB65+BC64</f>
        <v>-207906.237404444</v>
      </c>
      <c r="BD65" s="67" t="n">
        <f aca="false">BC65+BD64</f>
        <v>-211953.362624</v>
      </c>
      <c r="BE65" s="67" t="n">
        <f aca="false">BD65+BE64</f>
        <v>-216005.362254222</v>
      </c>
      <c r="BF65" s="67" t="n">
        <f aca="false">BE65+BF64</f>
        <v>-220062.236295111</v>
      </c>
      <c r="BG65" s="67" t="n">
        <f aca="false">BF65+BG64</f>
        <v>-224123.984746667</v>
      </c>
      <c r="BH65" s="67" t="n">
        <f aca="false">BG65+BH64</f>
        <v>-228190.607608889</v>
      </c>
      <c r="BI65" s="67" t="n">
        <f aca="false">BH65+BI64</f>
        <v>-232262.104881778</v>
      </c>
      <c r="BJ65" s="67" t="n">
        <f aca="false">BI65+BJ64</f>
        <v>-236338.476565333</v>
      </c>
    </row>
    <row r="66" customFormat="false" ht="15" hidden="false" customHeight="false" outlineLevel="0" collapsed="false">
      <c r="A66" s="4" t="s">
        <v>92</v>
      </c>
      <c r="C66" s="73" t="n">
        <f aca="false">C62+C65</f>
        <v>861940.277777778</v>
      </c>
      <c r="D66" s="73" t="n">
        <f aca="false">D62+D65</f>
        <v>858876.388888889</v>
      </c>
      <c r="E66" s="73" t="n">
        <f aca="false">E62+E65</f>
        <v>855808.333333333</v>
      </c>
      <c r="F66" s="73" t="n">
        <f aca="false">F62+F65</f>
        <v>852736.111111111</v>
      </c>
      <c r="G66" s="73" t="n">
        <f aca="false">G62+G65</f>
        <v>849659.722222222</v>
      </c>
      <c r="H66" s="73" t="n">
        <f aca="false">H62+H65</f>
        <v>846579.166666667</v>
      </c>
      <c r="I66" s="73" t="n">
        <f aca="false">I62+I65</f>
        <v>843494.444444445</v>
      </c>
      <c r="J66" s="73" t="n">
        <f aca="false">J62+J65</f>
        <v>840405.555555556</v>
      </c>
      <c r="K66" s="73" t="n">
        <f aca="false">K62+K65</f>
        <v>837312.5</v>
      </c>
      <c r="L66" s="73" t="n">
        <f aca="false">L62+L65</f>
        <v>834215.277777778</v>
      </c>
      <c r="M66" s="73" t="n">
        <f aca="false">M62+M65</f>
        <v>831113.888888889</v>
      </c>
      <c r="N66" s="73" t="n">
        <f aca="false">N62+N65</f>
        <v>828008.333333333</v>
      </c>
      <c r="O66" s="73" t="n">
        <f aca="false">O62+O65</f>
        <v>824928.444444445</v>
      </c>
      <c r="P66" s="73" t="n">
        <f aca="false">P62+P65</f>
        <v>821844.222222222</v>
      </c>
      <c r="Q66" s="73" t="n">
        <f aca="false">Q62+Q65</f>
        <v>818755.666666667</v>
      </c>
      <c r="R66" s="73" t="n">
        <f aca="false">R62+R65</f>
        <v>815662.777777778</v>
      </c>
      <c r="S66" s="73" t="n">
        <f aca="false">S62+S65</f>
        <v>812565.555555556</v>
      </c>
      <c r="T66" s="73" t="n">
        <f aca="false">T62+T65</f>
        <v>809464</v>
      </c>
      <c r="U66" s="73" t="n">
        <f aca="false">U62+U65</f>
        <v>806358.111111111</v>
      </c>
      <c r="V66" s="73" t="n">
        <f aca="false">V62+V65</f>
        <v>803247.888888889</v>
      </c>
      <c r="W66" s="73" t="n">
        <f aca="false">W62+W65</f>
        <v>800133.333333333</v>
      </c>
      <c r="X66" s="73" t="n">
        <f aca="false">X62+X65</f>
        <v>797014.444444445</v>
      </c>
      <c r="Y66" s="73" t="n">
        <f aca="false">Y62+Y65</f>
        <v>793891.222222222</v>
      </c>
      <c r="Z66" s="73" t="n">
        <f aca="false">Z62+Z65</f>
        <v>790763.666666667</v>
      </c>
      <c r="AA66" s="73" t="n">
        <f aca="false">AA62+AA65</f>
        <v>787662.804444444</v>
      </c>
      <c r="AB66" s="73" t="n">
        <f aca="false">AB62+AB65</f>
        <v>784557.435555556</v>
      </c>
      <c r="AC66" s="73" t="n">
        <f aca="false">AC62+AC65</f>
        <v>781447.56</v>
      </c>
      <c r="AD66" s="73" t="n">
        <f aca="false">AD62+AD65</f>
        <v>778333.177777778</v>
      </c>
      <c r="AE66" s="73" t="n">
        <f aca="false">AE62+AE65</f>
        <v>775214.288888889</v>
      </c>
      <c r="AF66" s="73" t="n">
        <f aca="false">AF62+AF65</f>
        <v>772090.893333333</v>
      </c>
      <c r="AG66" s="73" t="n">
        <f aca="false">AG62+AG65</f>
        <v>768962.991111111</v>
      </c>
      <c r="AH66" s="73" t="n">
        <f aca="false">AH62+AH65</f>
        <v>765830.582222222</v>
      </c>
      <c r="AI66" s="73" t="n">
        <f aca="false">AI62+AI65</f>
        <v>762693.666666666</v>
      </c>
      <c r="AJ66" s="73" t="n">
        <f aca="false">AJ62+AJ65</f>
        <v>759552.244444444</v>
      </c>
      <c r="AK66" s="73" t="n">
        <f aca="false">AK62+AK65</f>
        <v>756406.315555555</v>
      </c>
      <c r="AL66" s="73" t="n">
        <f aca="false">AL62+AL65</f>
        <v>753255.879999999</v>
      </c>
      <c r="AM66" s="73" t="n">
        <f aca="false">AM62+AM65</f>
        <v>750133.205511111</v>
      </c>
      <c r="AN66" s="73" t="n">
        <f aca="false">AN62+AN65</f>
        <v>747005.844088889</v>
      </c>
      <c r="AO66" s="73" t="n">
        <f aca="false">AO62+AO65</f>
        <v>743873.795733333</v>
      </c>
      <c r="AP66" s="73" t="n">
        <f aca="false">AP62+AP65</f>
        <v>740737.060444444</v>
      </c>
      <c r="AQ66" s="73" t="n">
        <f aca="false">AQ62+AQ65</f>
        <v>737595.638222222</v>
      </c>
      <c r="AR66" s="73" t="n">
        <f aca="false">AR62+AR65</f>
        <v>734449.529066666</v>
      </c>
      <c r="AS66" s="73" t="n">
        <f aca="false">AS62+AS65</f>
        <v>731298.732977778</v>
      </c>
      <c r="AT66" s="73" t="n">
        <f aca="false">AT62+AT65</f>
        <v>728143.249955555</v>
      </c>
      <c r="AU66" s="73" t="n">
        <f aca="false">AU62+AU65</f>
        <v>724983.08</v>
      </c>
      <c r="AV66" s="73" t="n">
        <f aca="false">AV62+AV65</f>
        <v>721818.223111111</v>
      </c>
      <c r="AW66" s="73" t="n">
        <f aca="false">AW62+AW65</f>
        <v>718648.679288889</v>
      </c>
      <c r="AX66" s="73" t="n">
        <f aca="false">AX62+AX65</f>
        <v>715474.448533333</v>
      </c>
      <c r="AY66" s="73" t="n">
        <f aca="false">AY62+AY65</f>
        <v>712329.089287111</v>
      </c>
      <c r="AZ66" s="73" t="n">
        <f aca="false">AZ62+AZ65</f>
        <v>709178.855630222</v>
      </c>
      <c r="BA66" s="73" t="n">
        <f aca="false">BA62+BA65</f>
        <v>706023.747562666</v>
      </c>
      <c r="BB66" s="73" t="n">
        <f aca="false">BB62+BB65</f>
        <v>702863.765084444</v>
      </c>
      <c r="BC66" s="73" t="n">
        <f aca="false">BC62+BC65</f>
        <v>699698.908195555</v>
      </c>
      <c r="BD66" s="73" t="n">
        <f aca="false">BD62+BD65</f>
        <v>696529.176896</v>
      </c>
      <c r="BE66" s="73" t="n">
        <f aca="false">BE62+BE65</f>
        <v>693354.571185777</v>
      </c>
      <c r="BF66" s="73" t="n">
        <f aca="false">BF62+BF65</f>
        <v>690175.091064888</v>
      </c>
      <c r="BG66" s="73" t="n">
        <f aca="false">BG62+BG65</f>
        <v>686990.736533333</v>
      </c>
      <c r="BH66" s="73" t="n">
        <f aca="false">BH62+BH65</f>
        <v>683801.507591111</v>
      </c>
      <c r="BI66" s="73" t="n">
        <f aca="false">BI62+BI65</f>
        <v>680607.404238222</v>
      </c>
      <c r="BJ66" s="73" t="n">
        <f aca="false">BJ62+BJ65</f>
        <v>677408.426474666</v>
      </c>
    </row>
    <row r="68" customFormat="false" ht="15.75" hidden="false" customHeight="true" outlineLevel="0" collapsed="false">
      <c r="A68" s="7" t="s">
        <v>431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432</v>
      </c>
      <c r="C69" s="67" t="n">
        <f aca="false">0</f>
        <v>0</v>
      </c>
      <c r="D69" s="67" t="n">
        <f aca="false">C74</f>
        <v>499382.770680291</v>
      </c>
      <c r="E69" s="67" t="n">
        <f aca="false">D74</f>
        <v>498761.940856217</v>
      </c>
      <c r="F69" s="67" t="n">
        <f aca="false">E74</f>
        <v>498137.489524837</v>
      </c>
      <c r="G69" s="67" t="n">
        <f aca="false">F74</f>
        <v>497509.395560689</v>
      </c>
      <c r="H69" s="67" t="n">
        <f aca="false">G74</f>
        <v>496877.637715085</v>
      </c>
      <c r="I69" s="67" t="n">
        <f aca="false">H74</f>
        <v>496242.19461538</v>
      </c>
      <c r="J69" s="67" t="n">
        <f aca="false">I74</f>
        <v>495603.044764261</v>
      </c>
      <c r="K69" s="67" t="n">
        <f aca="false">J74</f>
        <v>494960.166539011</v>
      </c>
      <c r="L69" s="67" t="n">
        <f aca="false">K74</f>
        <v>494313.53819078</v>
      </c>
      <c r="M69" s="67" t="n">
        <f aca="false">L74</f>
        <v>493663.13784385</v>
      </c>
      <c r="N69" s="67" t="n">
        <f aca="false">M74</f>
        <v>493008.943494897</v>
      </c>
      <c r="O69" s="67" t="n">
        <f aca="false">N74</f>
        <v>492350.933012242</v>
      </c>
      <c r="P69" s="67" t="n">
        <f aca="false">O74</f>
        <v>491689.084135105</v>
      </c>
      <c r="Q69" s="67" t="n">
        <f aca="false">P74</f>
        <v>491023.374472851</v>
      </c>
      <c r="R69" s="67" t="n">
        <f aca="false">Q74</f>
        <v>490353.781504234</v>
      </c>
      <c r="S69" s="67" t="n">
        <f aca="false">R74</f>
        <v>489680.282576633</v>
      </c>
      <c r="T69" s="67" t="n">
        <f aca="false">S74</f>
        <v>489002.854905288</v>
      </c>
      <c r="U69" s="67" t="n">
        <f aca="false">T74</f>
        <v>488321.475572526</v>
      </c>
      <c r="V69" s="67" t="n">
        <f aca="false">U74</f>
        <v>487636.121526991</v>
      </c>
      <c r="W69" s="67" t="n">
        <f aca="false">V74</f>
        <v>486946.769582856</v>
      </c>
      <c r="X69" s="67" t="n">
        <f aca="false">W74</f>
        <v>486253.396419047</v>
      </c>
      <c r="Y69" s="67" t="n">
        <f aca="false">X74</f>
        <v>485555.978578449</v>
      </c>
      <c r="Z69" s="67" t="n">
        <f aca="false">Y74</f>
        <v>484854.492467115</v>
      </c>
      <c r="AA69" s="67" t="n">
        <f aca="false">Z74</f>
        <v>484148.914353464</v>
      </c>
      <c r="AB69" s="67" t="n">
        <f aca="false">AA74</f>
        <v>483439.220367484</v>
      </c>
      <c r="AC69" s="67" t="n">
        <f aca="false">AB74</f>
        <v>482725.386499919</v>
      </c>
      <c r="AD69" s="67" t="n">
        <f aca="false">AC74</f>
        <v>482007.38860146</v>
      </c>
      <c r="AE69" s="67" t="n">
        <f aca="false">AD74</f>
        <v>481285.202381926</v>
      </c>
      <c r="AF69" s="67" t="n">
        <f aca="false">AE74</f>
        <v>480558.803409445</v>
      </c>
      <c r="AG69" s="67" t="n">
        <f aca="false">AF74</f>
        <v>479828.167109625</v>
      </c>
      <c r="AH69" s="67" t="n">
        <f aca="false">AG74</f>
        <v>479093.268764722</v>
      </c>
      <c r="AI69" s="67" t="n">
        <f aca="false">AH74</f>
        <v>478354.083512808</v>
      </c>
      <c r="AJ69" s="67" t="n">
        <f aca="false">AI74</f>
        <v>477610.586346923</v>
      </c>
      <c r="AK69" s="67" t="n">
        <f aca="false">AJ74</f>
        <v>476862.752114238</v>
      </c>
      <c r="AL69" s="67" t="n">
        <f aca="false">AK74</f>
        <v>476110.555515196</v>
      </c>
      <c r="AM69" s="67" t="n">
        <f aca="false">AL74</f>
        <v>475353.971102659</v>
      </c>
      <c r="AN69" s="67" t="n">
        <f aca="false">AM74</f>
        <v>474592.973281049</v>
      </c>
      <c r="AO69" s="67" t="n">
        <f aca="false">AN74</f>
        <v>473827.53630548</v>
      </c>
      <c r="AP69" s="67" t="n">
        <f aca="false">AO74</f>
        <v>473057.634280886</v>
      </c>
      <c r="AQ69" s="67" t="n">
        <f aca="false">AP74</f>
        <v>472283.241161149</v>
      </c>
      <c r="AR69" s="67" t="n">
        <f aca="false">AQ74</f>
        <v>471504.330748214</v>
      </c>
      <c r="AS69" s="67" t="n">
        <f aca="false">AR74</f>
        <v>470720.876691203</v>
      </c>
      <c r="AT69" s="67" t="n">
        <f aca="false">AS74</f>
        <v>469932.852485526</v>
      </c>
      <c r="AU69" s="67" t="n">
        <f aca="false">AT74</f>
        <v>469140.231471983</v>
      </c>
      <c r="AV69" s="67" t="n">
        <f aca="false">AU74</f>
        <v>468342.986835861</v>
      </c>
      <c r="AW69" s="67" t="n">
        <f aca="false">AV74</f>
        <v>467541.091606028</v>
      </c>
      <c r="AX69" s="67" t="n">
        <f aca="false">AW74</f>
        <v>466734.518654021</v>
      </c>
      <c r="AY69" s="67" t="n">
        <f aca="false">AX74</f>
        <v>465923.240693127</v>
      </c>
      <c r="AZ69" s="67" t="n">
        <f aca="false">AY74</f>
        <v>465107.230277462</v>
      </c>
      <c r="BA69" s="67" t="n">
        <f aca="false">AZ74</f>
        <v>464286.459801038</v>
      </c>
      <c r="BB69" s="67" t="n">
        <f aca="false">BA74</f>
        <v>463460.901496835</v>
      </c>
      <c r="BC69" s="67" t="n">
        <f aca="false">BB74</f>
        <v>462630.527435858</v>
      </c>
      <c r="BD69" s="67" t="n">
        <f aca="false">BC74</f>
        <v>461795.309526192</v>
      </c>
      <c r="BE69" s="67" t="n">
        <f aca="false">BD74</f>
        <v>460955.219512053</v>
      </c>
      <c r="BF69" s="67" t="n">
        <f aca="false">BE74</f>
        <v>460110.228972831</v>
      </c>
      <c r="BG69" s="67" t="n">
        <f aca="false">BF74</f>
        <v>459260.30932213</v>
      </c>
      <c r="BH69" s="67" t="n">
        <f aca="false">BG74</f>
        <v>458405.4318068</v>
      </c>
      <c r="BI69" s="67" t="n">
        <f aca="false">BH74</f>
        <v>457545.567505965</v>
      </c>
      <c r="BJ69" s="67" t="n">
        <f aca="false">BI74</f>
        <v>456680.687330041</v>
      </c>
    </row>
    <row r="70" customFormat="false" ht="15" hidden="false" customHeight="false" outlineLevel="0" collapsed="false">
      <c r="A70" s="6" t="s">
        <v>85</v>
      </c>
      <c r="C70" s="67" t="n">
        <f aca="false">IF(C$6=1,Inputs!$B$66,0)</f>
        <v>500000</v>
      </c>
      <c r="D70" s="67" t="n">
        <f aca="false">IF(D$6=1,Inputs!$B$66,0)</f>
        <v>0</v>
      </c>
      <c r="E70" s="67" t="n">
        <f aca="false">IF(E$6=1,Inputs!$B$66,0)</f>
        <v>0</v>
      </c>
      <c r="F70" s="67" t="n">
        <f aca="false">IF(F$6=1,Inputs!$B$66,0)</f>
        <v>0</v>
      </c>
      <c r="G70" s="67" t="n">
        <f aca="false">IF(G$6=1,Inputs!$B$66,0)</f>
        <v>0</v>
      </c>
      <c r="H70" s="67" t="n">
        <f aca="false">IF(H$6=1,Inputs!$B$66,0)</f>
        <v>0</v>
      </c>
      <c r="I70" s="67" t="n">
        <f aca="false">IF(I$6=1,Inputs!$B$66,0)</f>
        <v>0</v>
      </c>
      <c r="J70" s="67" t="n">
        <f aca="false">IF(J$6=1,Inputs!$B$66,0)</f>
        <v>0</v>
      </c>
      <c r="K70" s="67" t="n">
        <f aca="false">IF(K$6=1,Inputs!$B$66,0)</f>
        <v>0</v>
      </c>
      <c r="L70" s="67" t="n">
        <f aca="false">IF(L$6=1,Inputs!$B$66,0)</f>
        <v>0</v>
      </c>
      <c r="M70" s="67" t="n">
        <f aca="false">IF(M$6=1,Inputs!$B$66,0)</f>
        <v>0</v>
      </c>
      <c r="N70" s="67" t="n">
        <f aca="false">IF(N$6=1,Inputs!$B$66,0)</f>
        <v>0</v>
      </c>
      <c r="O70" s="67" t="n">
        <f aca="false">IF(O$6=1,Inputs!$B$66,0)</f>
        <v>0</v>
      </c>
      <c r="P70" s="67" t="n">
        <f aca="false">IF(P$6=1,Inputs!$B$66,0)</f>
        <v>0</v>
      </c>
      <c r="Q70" s="67" t="n">
        <f aca="false">IF(Q$6=1,Inputs!$B$66,0)</f>
        <v>0</v>
      </c>
      <c r="R70" s="67" t="n">
        <f aca="false">IF(R$6=1,Inputs!$B$66,0)</f>
        <v>0</v>
      </c>
      <c r="S70" s="67" t="n">
        <f aca="false">IF(S$6=1,Inputs!$B$66,0)</f>
        <v>0</v>
      </c>
      <c r="T70" s="67" t="n">
        <f aca="false">IF(T$6=1,Inputs!$B$66,0)</f>
        <v>0</v>
      </c>
      <c r="U70" s="67" t="n">
        <f aca="false">IF(U$6=1,Inputs!$B$66,0)</f>
        <v>0</v>
      </c>
      <c r="V70" s="67" t="n">
        <f aca="false">IF(V$6=1,Inputs!$B$66,0)</f>
        <v>0</v>
      </c>
      <c r="W70" s="67" t="n">
        <f aca="false">IF(W$6=1,Inputs!$B$66,0)</f>
        <v>0</v>
      </c>
      <c r="X70" s="67" t="n">
        <f aca="false">IF(X$6=1,Inputs!$B$66,0)</f>
        <v>0</v>
      </c>
      <c r="Y70" s="67" t="n">
        <f aca="false">IF(Y$6=1,Inputs!$B$66,0)</f>
        <v>0</v>
      </c>
      <c r="Z70" s="67" t="n">
        <f aca="false">IF(Z$6=1,Inputs!$B$66,0)</f>
        <v>0</v>
      </c>
      <c r="AA70" s="67" t="n">
        <f aca="false">IF(AA$6=1,Inputs!$B$66,0)</f>
        <v>0</v>
      </c>
      <c r="AB70" s="67" t="n">
        <f aca="false">IF(AB$6=1,Inputs!$B$66,0)</f>
        <v>0</v>
      </c>
      <c r="AC70" s="67" t="n">
        <f aca="false">IF(AC$6=1,Inputs!$B$66,0)</f>
        <v>0</v>
      </c>
      <c r="AD70" s="67" t="n">
        <f aca="false">IF(AD$6=1,Inputs!$B$66,0)</f>
        <v>0</v>
      </c>
      <c r="AE70" s="67" t="n">
        <f aca="false">IF(AE$6=1,Inputs!$B$66,0)</f>
        <v>0</v>
      </c>
      <c r="AF70" s="67" t="n">
        <f aca="false">IF(AF$6=1,Inputs!$B$66,0)</f>
        <v>0</v>
      </c>
      <c r="AG70" s="67" t="n">
        <f aca="false">IF(AG$6=1,Inputs!$B$66,0)</f>
        <v>0</v>
      </c>
      <c r="AH70" s="67" t="n">
        <f aca="false">IF(AH$6=1,Inputs!$B$66,0)</f>
        <v>0</v>
      </c>
      <c r="AI70" s="67" t="n">
        <f aca="false">IF(AI$6=1,Inputs!$B$66,0)</f>
        <v>0</v>
      </c>
      <c r="AJ70" s="67" t="n">
        <f aca="false">IF(AJ$6=1,Inputs!$B$66,0)</f>
        <v>0</v>
      </c>
      <c r="AK70" s="67" t="n">
        <f aca="false">IF(AK$6=1,Inputs!$B$66,0)</f>
        <v>0</v>
      </c>
      <c r="AL70" s="67" t="n">
        <f aca="false">IF(AL$6=1,Inputs!$B$66,0)</f>
        <v>0</v>
      </c>
      <c r="AM70" s="67" t="n">
        <f aca="false">IF(AM$6=1,Inputs!$B$66,0)</f>
        <v>0</v>
      </c>
      <c r="AN70" s="67" t="n">
        <f aca="false">IF(AN$6=1,Inputs!$B$66,0)</f>
        <v>0</v>
      </c>
      <c r="AO70" s="67" t="n">
        <f aca="false">IF(AO$6=1,Inputs!$B$66,0)</f>
        <v>0</v>
      </c>
      <c r="AP70" s="67" t="n">
        <f aca="false">IF(AP$6=1,Inputs!$B$66,0)</f>
        <v>0</v>
      </c>
      <c r="AQ70" s="67" t="n">
        <f aca="false">IF(AQ$6=1,Inputs!$B$66,0)</f>
        <v>0</v>
      </c>
      <c r="AR70" s="67" t="n">
        <f aca="false">IF(AR$6=1,Inputs!$B$66,0)</f>
        <v>0</v>
      </c>
      <c r="AS70" s="67" t="n">
        <f aca="false">IF(AS$6=1,Inputs!$B$66,0)</f>
        <v>0</v>
      </c>
      <c r="AT70" s="67" t="n">
        <f aca="false">IF(AT$6=1,Inputs!$B$66,0)</f>
        <v>0</v>
      </c>
      <c r="AU70" s="67" t="n">
        <f aca="false">IF(AU$6=1,Inputs!$B$66,0)</f>
        <v>0</v>
      </c>
      <c r="AV70" s="67" t="n">
        <f aca="false">IF(AV$6=1,Inputs!$B$66,0)</f>
        <v>0</v>
      </c>
      <c r="AW70" s="67" t="n">
        <f aca="false">IF(AW$6=1,Inputs!$B$66,0)</f>
        <v>0</v>
      </c>
      <c r="AX70" s="67" t="n">
        <f aca="false">IF(AX$6=1,Inputs!$B$66,0)</f>
        <v>0</v>
      </c>
      <c r="AY70" s="67" t="n">
        <f aca="false">IF(AY$6=1,Inputs!$B$66,0)</f>
        <v>0</v>
      </c>
      <c r="AZ70" s="67" t="n">
        <f aca="false">IF(AZ$6=1,Inputs!$B$66,0)</f>
        <v>0</v>
      </c>
      <c r="BA70" s="67" t="n">
        <f aca="false">IF(BA$6=1,Inputs!$B$66,0)</f>
        <v>0</v>
      </c>
      <c r="BB70" s="67" t="n">
        <f aca="false">IF(BB$6=1,Inputs!$B$66,0)</f>
        <v>0</v>
      </c>
      <c r="BC70" s="67" t="n">
        <f aca="false">IF(BC$6=1,Inputs!$B$66,0)</f>
        <v>0</v>
      </c>
      <c r="BD70" s="67" t="n">
        <f aca="false">IF(BD$6=1,Inputs!$B$66,0)</f>
        <v>0</v>
      </c>
      <c r="BE70" s="67" t="n">
        <f aca="false">IF(BE$6=1,Inputs!$B$66,0)</f>
        <v>0</v>
      </c>
      <c r="BF70" s="67" t="n">
        <f aca="false">IF(BF$6=1,Inputs!$B$66,0)</f>
        <v>0</v>
      </c>
      <c r="BG70" s="67" t="n">
        <f aca="false">IF(BG$6=1,Inputs!$B$66,0)</f>
        <v>0</v>
      </c>
      <c r="BH70" s="67" t="n">
        <f aca="false">IF(BH$6=1,Inputs!$B$66,0)</f>
        <v>0</v>
      </c>
      <c r="BI70" s="67" t="n">
        <f aca="false">IF(BI$6=1,Inputs!$B$66,0)</f>
        <v>0</v>
      </c>
      <c r="BJ70" s="67" t="n">
        <f aca="false">IF(BJ$6=1,Inputs!$B$66,0)</f>
        <v>0</v>
      </c>
    </row>
    <row r="71" customFormat="false" ht="15" hidden="false" customHeight="false" outlineLevel="0" collapsed="false">
      <c r="A71" s="6" t="s">
        <v>433</v>
      </c>
      <c r="C71" s="67" t="n">
        <f aca="false">-PMT(Inputs!$B$67/12,MAX(1,Inputs!$B$68*12),Inputs!$B$66)</f>
        <v>3533.89598637546</v>
      </c>
      <c r="D71" s="67" t="n">
        <f aca="false">-PMT(Inputs!$B$67/12,MAX(1,Inputs!$B$68*12),Inputs!$B$66)</f>
        <v>3533.89598637546</v>
      </c>
      <c r="E71" s="67" t="n">
        <f aca="false">-PMT(Inputs!$B$67/12,MAX(1,Inputs!$B$68*12),Inputs!$B$66)</f>
        <v>3533.89598637546</v>
      </c>
      <c r="F71" s="67" t="n">
        <f aca="false">-PMT(Inputs!$B$67/12,MAX(1,Inputs!$B$68*12),Inputs!$B$66)</f>
        <v>3533.89598637546</v>
      </c>
      <c r="G71" s="67" t="n">
        <f aca="false">-PMT(Inputs!$B$67/12,MAX(1,Inputs!$B$68*12),Inputs!$B$66)</f>
        <v>3533.89598637546</v>
      </c>
      <c r="H71" s="67" t="n">
        <f aca="false">-PMT(Inputs!$B$67/12,MAX(1,Inputs!$B$68*12),Inputs!$B$66)</f>
        <v>3533.89598637546</v>
      </c>
      <c r="I71" s="67" t="n">
        <f aca="false">-PMT(Inputs!$B$67/12,MAX(1,Inputs!$B$68*12),Inputs!$B$66)</f>
        <v>3533.89598637546</v>
      </c>
      <c r="J71" s="67" t="n">
        <f aca="false">-PMT(Inputs!$B$67/12,MAX(1,Inputs!$B$68*12),Inputs!$B$66)</f>
        <v>3533.89598637546</v>
      </c>
      <c r="K71" s="67" t="n">
        <f aca="false">-PMT(Inputs!$B$67/12,MAX(1,Inputs!$B$68*12),Inputs!$B$66)</f>
        <v>3533.89598637546</v>
      </c>
      <c r="L71" s="67" t="n">
        <f aca="false">-PMT(Inputs!$B$67/12,MAX(1,Inputs!$B$68*12),Inputs!$B$66)</f>
        <v>3533.89598637546</v>
      </c>
      <c r="M71" s="67" t="n">
        <f aca="false">-PMT(Inputs!$B$67/12,MAX(1,Inputs!$B$68*12),Inputs!$B$66)</f>
        <v>3533.89598637546</v>
      </c>
      <c r="N71" s="67" t="n">
        <f aca="false">-PMT(Inputs!$B$67/12,MAX(1,Inputs!$B$68*12),Inputs!$B$66)</f>
        <v>3533.89598637546</v>
      </c>
      <c r="O71" s="67" t="n">
        <f aca="false">-PMT(Inputs!$B$67/12,MAX(1,Inputs!$B$68*12),Inputs!$B$66)</f>
        <v>3533.89598637546</v>
      </c>
      <c r="P71" s="67" t="n">
        <f aca="false">-PMT(Inputs!$B$67/12,MAX(1,Inputs!$B$68*12),Inputs!$B$66)</f>
        <v>3533.89598637546</v>
      </c>
      <c r="Q71" s="67" t="n">
        <f aca="false">-PMT(Inputs!$B$67/12,MAX(1,Inputs!$B$68*12),Inputs!$B$66)</f>
        <v>3533.89598637546</v>
      </c>
      <c r="R71" s="67" t="n">
        <f aca="false">-PMT(Inputs!$B$67/12,MAX(1,Inputs!$B$68*12),Inputs!$B$66)</f>
        <v>3533.89598637546</v>
      </c>
      <c r="S71" s="67" t="n">
        <f aca="false">-PMT(Inputs!$B$67/12,MAX(1,Inputs!$B$68*12),Inputs!$B$66)</f>
        <v>3533.89598637546</v>
      </c>
      <c r="T71" s="67" t="n">
        <f aca="false">-PMT(Inputs!$B$67/12,MAX(1,Inputs!$B$68*12),Inputs!$B$66)</f>
        <v>3533.89598637546</v>
      </c>
      <c r="U71" s="67" t="n">
        <f aca="false">-PMT(Inputs!$B$67/12,MAX(1,Inputs!$B$68*12),Inputs!$B$66)</f>
        <v>3533.89598637546</v>
      </c>
      <c r="V71" s="67" t="n">
        <f aca="false">-PMT(Inputs!$B$67/12,MAX(1,Inputs!$B$68*12),Inputs!$B$66)</f>
        <v>3533.89598637546</v>
      </c>
      <c r="W71" s="67" t="n">
        <f aca="false">-PMT(Inputs!$B$67/12,MAX(1,Inputs!$B$68*12),Inputs!$B$66)</f>
        <v>3533.89598637546</v>
      </c>
      <c r="X71" s="67" t="n">
        <f aca="false">-PMT(Inputs!$B$67/12,MAX(1,Inputs!$B$68*12),Inputs!$B$66)</f>
        <v>3533.89598637546</v>
      </c>
      <c r="Y71" s="67" t="n">
        <f aca="false">-PMT(Inputs!$B$67/12,MAX(1,Inputs!$B$68*12),Inputs!$B$66)</f>
        <v>3533.89598637546</v>
      </c>
      <c r="Z71" s="67" t="n">
        <f aca="false">-PMT(Inputs!$B$67/12,MAX(1,Inputs!$B$68*12),Inputs!$B$66)</f>
        <v>3533.89598637546</v>
      </c>
      <c r="AA71" s="67" t="n">
        <f aca="false">-PMT(Inputs!$B$67/12,MAX(1,Inputs!$B$68*12),Inputs!$B$66)</f>
        <v>3533.89598637546</v>
      </c>
      <c r="AB71" s="67" t="n">
        <f aca="false">-PMT(Inputs!$B$67/12,MAX(1,Inputs!$B$68*12),Inputs!$B$66)</f>
        <v>3533.89598637546</v>
      </c>
      <c r="AC71" s="67" t="n">
        <f aca="false">-PMT(Inputs!$B$67/12,MAX(1,Inputs!$B$68*12),Inputs!$B$66)</f>
        <v>3533.89598637546</v>
      </c>
      <c r="AD71" s="67" t="n">
        <f aca="false">-PMT(Inputs!$B$67/12,MAX(1,Inputs!$B$68*12),Inputs!$B$66)</f>
        <v>3533.89598637546</v>
      </c>
      <c r="AE71" s="67" t="n">
        <f aca="false">-PMT(Inputs!$B$67/12,MAX(1,Inputs!$B$68*12),Inputs!$B$66)</f>
        <v>3533.89598637546</v>
      </c>
      <c r="AF71" s="67" t="n">
        <f aca="false">-PMT(Inputs!$B$67/12,MAX(1,Inputs!$B$68*12),Inputs!$B$66)</f>
        <v>3533.89598637546</v>
      </c>
      <c r="AG71" s="67" t="n">
        <f aca="false">-PMT(Inputs!$B$67/12,MAX(1,Inputs!$B$68*12),Inputs!$B$66)</f>
        <v>3533.89598637546</v>
      </c>
      <c r="AH71" s="67" t="n">
        <f aca="false">-PMT(Inputs!$B$67/12,MAX(1,Inputs!$B$68*12),Inputs!$B$66)</f>
        <v>3533.89598637546</v>
      </c>
      <c r="AI71" s="67" t="n">
        <f aca="false">-PMT(Inputs!$B$67/12,MAX(1,Inputs!$B$68*12),Inputs!$B$66)</f>
        <v>3533.89598637546</v>
      </c>
      <c r="AJ71" s="67" t="n">
        <f aca="false">-PMT(Inputs!$B$67/12,MAX(1,Inputs!$B$68*12),Inputs!$B$66)</f>
        <v>3533.89598637546</v>
      </c>
      <c r="AK71" s="67" t="n">
        <f aca="false">-PMT(Inputs!$B$67/12,MAX(1,Inputs!$B$68*12),Inputs!$B$66)</f>
        <v>3533.89598637546</v>
      </c>
      <c r="AL71" s="67" t="n">
        <f aca="false">-PMT(Inputs!$B$67/12,MAX(1,Inputs!$B$68*12),Inputs!$B$66)</f>
        <v>3533.89598637546</v>
      </c>
      <c r="AM71" s="67" t="n">
        <f aca="false">-PMT(Inputs!$B$67/12,MAX(1,Inputs!$B$68*12),Inputs!$B$66)</f>
        <v>3533.89598637546</v>
      </c>
      <c r="AN71" s="67" t="n">
        <f aca="false">-PMT(Inputs!$B$67/12,MAX(1,Inputs!$B$68*12),Inputs!$B$66)</f>
        <v>3533.89598637546</v>
      </c>
      <c r="AO71" s="67" t="n">
        <f aca="false">-PMT(Inputs!$B$67/12,MAX(1,Inputs!$B$68*12),Inputs!$B$66)</f>
        <v>3533.89598637546</v>
      </c>
      <c r="AP71" s="67" t="n">
        <f aca="false">-PMT(Inputs!$B$67/12,MAX(1,Inputs!$B$68*12),Inputs!$B$66)</f>
        <v>3533.89598637546</v>
      </c>
      <c r="AQ71" s="67" t="n">
        <f aca="false">-PMT(Inputs!$B$67/12,MAX(1,Inputs!$B$68*12),Inputs!$B$66)</f>
        <v>3533.89598637546</v>
      </c>
      <c r="AR71" s="67" t="n">
        <f aca="false">-PMT(Inputs!$B$67/12,MAX(1,Inputs!$B$68*12),Inputs!$B$66)</f>
        <v>3533.89598637546</v>
      </c>
      <c r="AS71" s="67" t="n">
        <f aca="false">-PMT(Inputs!$B$67/12,MAX(1,Inputs!$B$68*12),Inputs!$B$66)</f>
        <v>3533.89598637546</v>
      </c>
      <c r="AT71" s="67" t="n">
        <f aca="false">-PMT(Inputs!$B$67/12,MAX(1,Inputs!$B$68*12),Inputs!$B$66)</f>
        <v>3533.89598637546</v>
      </c>
      <c r="AU71" s="67" t="n">
        <f aca="false">-PMT(Inputs!$B$67/12,MAX(1,Inputs!$B$68*12),Inputs!$B$66)</f>
        <v>3533.89598637546</v>
      </c>
      <c r="AV71" s="67" t="n">
        <f aca="false">-PMT(Inputs!$B$67/12,MAX(1,Inputs!$B$68*12),Inputs!$B$66)</f>
        <v>3533.89598637546</v>
      </c>
      <c r="AW71" s="67" t="n">
        <f aca="false">-PMT(Inputs!$B$67/12,MAX(1,Inputs!$B$68*12),Inputs!$B$66)</f>
        <v>3533.89598637546</v>
      </c>
      <c r="AX71" s="67" t="n">
        <f aca="false">-PMT(Inputs!$B$67/12,MAX(1,Inputs!$B$68*12),Inputs!$B$66)</f>
        <v>3533.89598637546</v>
      </c>
      <c r="AY71" s="67" t="n">
        <f aca="false">-PMT(Inputs!$B$67/12,MAX(1,Inputs!$B$68*12),Inputs!$B$66)</f>
        <v>3533.89598637546</v>
      </c>
      <c r="AZ71" s="67" t="n">
        <f aca="false">-PMT(Inputs!$B$67/12,MAX(1,Inputs!$B$68*12),Inputs!$B$66)</f>
        <v>3533.89598637546</v>
      </c>
      <c r="BA71" s="67" t="n">
        <f aca="false">-PMT(Inputs!$B$67/12,MAX(1,Inputs!$B$68*12),Inputs!$B$66)</f>
        <v>3533.89598637546</v>
      </c>
      <c r="BB71" s="67" t="n">
        <f aca="false">-PMT(Inputs!$B$67/12,MAX(1,Inputs!$B$68*12),Inputs!$B$66)</f>
        <v>3533.89598637546</v>
      </c>
      <c r="BC71" s="67" t="n">
        <f aca="false">-PMT(Inputs!$B$67/12,MAX(1,Inputs!$B$68*12),Inputs!$B$66)</f>
        <v>3533.89598637546</v>
      </c>
      <c r="BD71" s="67" t="n">
        <f aca="false">-PMT(Inputs!$B$67/12,MAX(1,Inputs!$B$68*12),Inputs!$B$66)</f>
        <v>3533.89598637546</v>
      </c>
      <c r="BE71" s="67" t="n">
        <f aca="false">-PMT(Inputs!$B$67/12,MAX(1,Inputs!$B$68*12),Inputs!$B$66)</f>
        <v>3533.89598637546</v>
      </c>
      <c r="BF71" s="67" t="n">
        <f aca="false">-PMT(Inputs!$B$67/12,MAX(1,Inputs!$B$68*12),Inputs!$B$66)</f>
        <v>3533.89598637546</v>
      </c>
      <c r="BG71" s="67" t="n">
        <f aca="false">-PMT(Inputs!$B$67/12,MAX(1,Inputs!$B$68*12),Inputs!$B$66)</f>
        <v>3533.89598637546</v>
      </c>
      <c r="BH71" s="67" t="n">
        <f aca="false">-PMT(Inputs!$B$67/12,MAX(1,Inputs!$B$68*12),Inputs!$B$66)</f>
        <v>3533.89598637546</v>
      </c>
      <c r="BI71" s="67" t="n">
        <f aca="false">-PMT(Inputs!$B$67/12,MAX(1,Inputs!$B$68*12),Inputs!$B$66)</f>
        <v>3533.89598637546</v>
      </c>
      <c r="BJ71" s="67" t="n">
        <f aca="false">-PMT(Inputs!$B$67/12,MAX(1,Inputs!$B$68*12),Inputs!$B$66)</f>
        <v>3533.89598637546</v>
      </c>
    </row>
    <row r="72" customFormat="false" ht="15" hidden="false" customHeight="false" outlineLevel="0" collapsed="false">
      <c r="A72" s="6" t="s">
        <v>434</v>
      </c>
      <c r="C72" s="67" t="n">
        <f aca="false">-MIN(C69+C70,C71+C48)</f>
        <v>-617.229319708792</v>
      </c>
      <c r="D72" s="67" t="n">
        <f aca="false">-MIN(D69+D70,D71+D48)</f>
        <v>-620.82982407376</v>
      </c>
      <c r="E72" s="67" t="n">
        <f aca="false">-MIN(E69+E70,E71+E48)</f>
        <v>-624.451331380857</v>
      </c>
      <c r="F72" s="67" t="n">
        <f aca="false">-MIN(F69+F70,F71+F48)</f>
        <v>-628.093964147245</v>
      </c>
      <c r="G72" s="67" t="n">
        <f aca="false">-MIN(G69+G70,G71+G48)</f>
        <v>-631.757845604771</v>
      </c>
      <c r="H72" s="67" t="n">
        <f aca="false">-MIN(H69+H70,H71+H48)</f>
        <v>-635.443099704132</v>
      </c>
      <c r="I72" s="67" t="n">
        <f aca="false">-MIN(I69+I70,I71+I48)</f>
        <v>-639.149851119073</v>
      </c>
      <c r="J72" s="67" t="n">
        <f aca="false">-MIN(J69+J70,J71+J48)</f>
        <v>-642.878225250601</v>
      </c>
      <c r="K72" s="67" t="n">
        <f aca="false">-MIN(K69+K70,K71+K48)</f>
        <v>-646.62834823123</v>
      </c>
      <c r="L72" s="67" t="n">
        <f aca="false">-MIN(L69+L70,L71+L48)</f>
        <v>-650.400346929245</v>
      </c>
      <c r="M72" s="67" t="n">
        <f aca="false">-MIN(M69+M70,M71+M48)</f>
        <v>-654.194348952999</v>
      </c>
      <c r="N72" s="67" t="n">
        <f aca="false">-MIN(N69+N70,N71+N48)</f>
        <v>-658.010482655225</v>
      </c>
      <c r="O72" s="67" t="n">
        <f aca="false">-MIN(O69+O70,O71+O48)</f>
        <v>-661.84887713738</v>
      </c>
      <c r="P72" s="67" t="n">
        <f aca="false">-MIN(P69+P70,P71+P48)</f>
        <v>-665.709662254014</v>
      </c>
      <c r="Q72" s="67" t="n">
        <f aca="false">-MIN(Q69+Q70,Q71+Q48)</f>
        <v>-669.592968617164</v>
      </c>
      <c r="R72" s="67" t="n">
        <f aca="false">-MIN(R69+R70,R71+R48)</f>
        <v>-673.498927600764</v>
      </c>
      <c r="S72" s="67" t="n">
        <f aca="false">-MIN(S69+S70,S71+S48)</f>
        <v>-677.427671345101</v>
      </c>
      <c r="T72" s="67" t="n">
        <f aca="false">-MIN(T69+T70,T71+T48)</f>
        <v>-681.379332761281</v>
      </c>
      <c r="U72" s="67" t="n">
        <f aca="false">-MIN(U69+U70,U71+U48)</f>
        <v>-685.354045535722</v>
      </c>
      <c r="V72" s="67" t="n">
        <f aca="false">-MIN(V69+V70,V71+V48)</f>
        <v>-689.35194413468</v>
      </c>
      <c r="W72" s="67" t="n">
        <f aca="false">-MIN(W69+W70,W71+W48)</f>
        <v>-693.373163808799</v>
      </c>
      <c r="X72" s="67" t="n">
        <f aca="false">-MIN(X69+X70,X71+X48)</f>
        <v>-697.417840597684</v>
      </c>
      <c r="Y72" s="67" t="n">
        <f aca="false">-MIN(Y69+Y70,Y71+Y48)</f>
        <v>-701.486111334503</v>
      </c>
      <c r="Z72" s="67" t="n">
        <f aca="false">-MIN(Z69+Z70,Z71+Z48)</f>
        <v>-705.578113650622</v>
      </c>
      <c r="AA72" s="67" t="n">
        <f aca="false">-MIN(AA69+AA70,AA71+AA48)</f>
        <v>-709.69398598025</v>
      </c>
      <c r="AB72" s="67" t="n">
        <f aca="false">-MIN(AB69+AB70,AB71+AB48)</f>
        <v>-713.833867565135</v>
      </c>
      <c r="AC72" s="67" t="n">
        <f aca="false">-MIN(AC69+AC70,AC71+AC48)</f>
        <v>-717.997898459265</v>
      </c>
      <c r="AD72" s="67" t="n">
        <f aca="false">-MIN(AD69+AD70,AD71+AD48)</f>
        <v>-722.186219533611</v>
      </c>
      <c r="AE72" s="67" t="n">
        <f aca="false">-MIN(AE69+AE70,AE71+AE48)</f>
        <v>-726.39897248089</v>
      </c>
      <c r="AF72" s="67" t="n">
        <f aca="false">-MIN(AF69+AF70,AF71+AF48)</f>
        <v>-730.636299820362</v>
      </c>
      <c r="AG72" s="67" t="n">
        <f aca="false">-MIN(AG69+AG70,AG71+AG48)</f>
        <v>-734.898344902647</v>
      </c>
      <c r="AH72" s="67" t="n">
        <f aca="false">-MIN(AH69+AH70,AH71+AH48)</f>
        <v>-739.18525191458</v>
      </c>
      <c r="AI72" s="67" t="n">
        <f aca="false">-MIN(AI69+AI70,AI71+AI48)</f>
        <v>-743.497165884082</v>
      </c>
      <c r="AJ72" s="67" t="n">
        <f aca="false">-MIN(AJ69+AJ70,AJ71+AJ48)</f>
        <v>-747.834232685072</v>
      </c>
      <c r="AK72" s="67" t="n">
        <f aca="false">-MIN(AK69+AK70,AK71+AK48)</f>
        <v>-752.196599042402</v>
      </c>
      <c r="AL72" s="67" t="n">
        <f aca="false">-MIN(AL69+AL70,AL71+AL48)</f>
        <v>-756.584412536815</v>
      </c>
      <c r="AM72" s="67" t="n">
        <f aca="false">-MIN(AM69+AM70,AM71+AM48)</f>
        <v>-760.997821609948</v>
      </c>
      <c r="AN72" s="67" t="n">
        <f aca="false">-MIN(AN69+AN70,AN71+AN48)</f>
        <v>-765.436975569339</v>
      </c>
      <c r="AO72" s="67" t="n">
        <f aca="false">-MIN(AO69+AO70,AO71+AO48)</f>
        <v>-769.902024593493</v>
      </c>
      <c r="AP72" s="67" t="n">
        <f aca="false">-MIN(AP69+AP70,AP71+AP48)</f>
        <v>-774.393119736955</v>
      </c>
      <c r="AQ72" s="67" t="n">
        <f aca="false">-MIN(AQ69+AQ70,AQ71+AQ48)</f>
        <v>-778.910412935421</v>
      </c>
      <c r="AR72" s="67" t="n">
        <f aca="false">-MIN(AR69+AR70,AR71+AR48)</f>
        <v>-783.454057010878</v>
      </c>
      <c r="AS72" s="67" t="n">
        <f aca="false">-MIN(AS69+AS70,AS71+AS48)</f>
        <v>-788.024205676774</v>
      </c>
      <c r="AT72" s="67" t="n">
        <f aca="false">-MIN(AT69+AT70,AT71+AT48)</f>
        <v>-792.621013543222</v>
      </c>
      <c r="AU72" s="67" t="n">
        <f aca="false">-MIN(AU69+AU70,AU71+AU48)</f>
        <v>-797.244636122224</v>
      </c>
      <c r="AV72" s="67" t="n">
        <f aca="false">-MIN(AV69+AV70,AV71+AV48)</f>
        <v>-801.895229832937</v>
      </c>
      <c r="AW72" s="67" t="n">
        <f aca="false">-MIN(AW69+AW70,AW71+AW48)</f>
        <v>-806.572952006962</v>
      </c>
      <c r="AX72" s="67" t="n">
        <f aca="false">-MIN(AX69+AX70,AX71+AX48)</f>
        <v>-811.277960893669</v>
      </c>
      <c r="AY72" s="67" t="n">
        <f aca="false">-MIN(AY69+AY70,AY71+AY48)</f>
        <v>-816.010415665549</v>
      </c>
      <c r="AZ72" s="67" t="n">
        <f aca="false">-MIN(AZ69+AZ70,AZ71+AZ48)</f>
        <v>-820.770476423598</v>
      </c>
      <c r="BA72" s="67" t="n">
        <f aca="false">-MIN(BA69+BA70,BA71+BA48)</f>
        <v>-825.558304202736</v>
      </c>
      <c r="BB72" s="67" t="n">
        <f aca="false">-MIN(BB69+BB70,BB71+BB48)</f>
        <v>-830.374060977252</v>
      </c>
      <c r="BC72" s="67" t="n">
        <f aca="false">-MIN(BC69+BC70,BC71+BC48)</f>
        <v>-835.217909666286</v>
      </c>
      <c r="BD72" s="67" t="n">
        <f aca="false">-MIN(BD69+BD70,BD71+BD48)</f>
        <v>-840.09001413934</v>
      </c>
      <c r="BE72" s="67" t="n">
        <f aca="false">-MIN(BE69+BE70,BE71+BE48)</f>
        <v>-844.990539221819</v>
      </c>
      <c r="BF72" s="67" t="n">
        <f aca="false">-MIN(BF69+BF70,BF71+BF48)</f>
        <v>-849.919650700613</v>
      </c>
      <c r="BG72" s="67" t="n">
        <f aca="false">-MIN(BG69+BG70,BG71+BG48)</f>
        <v>-854.8775153297</v>
      </c>
      <c r="BH72" s="67" t="n">
        <f aca="false">-MIN(BH69+BH70,BH71+BH48)</f>
        <v>-859.86430083579</v>
      </c>
      <c r="BI72" s="67" t="n">
        <f aca="false">-MIN(BI69+BI70,BI71+BI48)</f>
        <v>-864.880175923999</v>
      </c>
      <c r="BJ72" s="67" t="n">
        <f aca="false">-MIN(BJ69+BJ70,BJ71+BJ48)</f>
        <v>-869.925310283555</v>
      </c>
    </row>
    <row r="73" customFormat="false" ht="15" hidden="false" customHeight="false" outlineLevel="0" collapsed="false">
      <c r="A73" s="6" t="s">
        <v>435</v>
      </c>
      <c r="C73" s="67" t="n">
        <f aca="false">C48+C72</f>
        <v>-3533.89598637546</v>
      </c>
      <c r="D73" s="67" t="n">
        <f aca="false">D48+D72</f>
        <v>-3533.89598637546</v>
      </c>
      <c r="E73" s="67" t="n">
        <f aca="false">E48+E72</f>
        <v>-3533.89598637546</v>
      </c>
      <c r="F73" s="67" t="n">
        <f aca="false">F48+F72</f>
        <v>-3533.89598637546</v>
      </c>
      <c r="G73" s="67" t="n">
        <f aca="false">G48+G72</f>
        <v>-3533.89598637546</v>
      </c>
      <c r="H73" s="67" t="n">
        <f aca="false">H48+H72</f>
        <v>-3533.89598637546</v>
      </c>
      <c r="I73" s="67" t="n">
        <f aca="false">I48+I72</f>
        <v>-3533.89598637546</v>
      </c>
      <c r="J73" s="67" t="n">
        <f aca="false">J48+J72</f>
        <v>-3533.89598637546</v>
      </c>
      <c r="K73" s="67" t="n">
        <f aca="false">K48+K72</f>
        <v>-3533.89598637546</v>
      </c>
      <c r="L73" s="67" t="n">
        <f aca="false">L48+L72</f>
        <v>-3533.89598637546</v>
      </c>
      <c r="M73" s="67" t="n">
        <f aca="false">M48+M72</f>
        <v>-3533.89598637546</v>
      </c>
      <c r="N73" s="67" t="n">
        <f aca="false">N48+N72</f>
        <v>-3533.89598637546</v>
      </c>
      <c r="O73" s="67" t="n">
        <f aca="false">O48+O72</f>
        <v>-3533.89598637546</v>
      </c>
      <c r="P73" s="67" t="n">
        <f aca="false">P48+P72</f>
        <v>-3533.89598637546</v>
      </c>
      <c r="Q73" s="67" t="n">
        <f aca="false">Q48+Q72</f>
        <v>-3533.89598637546</v>
      </c>
      <c r="R73" s="67" t="n">
        <f aca="false">R48+R72</f>
        <v>-3533.89598637546</v>
      </c>
      <c r="S73" s="67" t="n">
        <f aca="false">S48+S72</f>
        <v>-3533.89598637546</v>
      </c>
      <c r="T73" s="67" t="n">
        <f aca="false">T48+T72</f>
        <v>-3533.89598637546</v>
      </c>
      <c r="U73" s="67" t="n">
        <f aca="false">U48+U72</f>
        <v>-3533.89598637546</v>
      </c>
      <c r="V73" s="67" t="n">
        <f aca="false">V48+V72</f>
        <v>-3533.89598637546</v>
      </c>
      <c r="W73" s="67" t="n">
        <f aca="false">W48+W72</f>
        <v>-3533.89598637546</v>
      </c>
      <c r="X73" s="67" t="n">
        <f aca="false">X48+X72</f>
        <v>-3533.89598637546</v>
      </c>
      <c r="Y73" s="67" t="n">
        <f aca="false">Y48+Y72</f>
        <v>-3533.89598637546</v>
      </c>
      <c r="Z73" s="67" t="n">
        <f aca="false">Z48+Z72</f>
        <v>-3533.89598637546</v>
      </c>
      <c r="AA73" s="67" t="n">
        <f aca="false">AA48+AA72</f>
        <v>-3533.89598637546</v>
      </c>
      <c r="AB73" s="67" t="n">
        <f aca="false">AB48+AB72</f>
        <v>-3533.89598637546</v>
      </c>
      <c r="AC73" s="67" t="n">
        <f aca="false">AC48+AC72</f>
        <v>-3533.89598637546</v>
      </c>
      <c r="AD73" s="67" t="n">
        <f aca="false">AD48+AD72</f>
        <v>-3533.89598637546</v>
      </c>
      <c r="AE73" s="67" t="n">
        <f aca="false">AE48+AE72</f>
        <v>-3533.89598637546</v>
      </c>
      <c r="AF73" s="67" t="n">
        <f aca="false">AF48+AF72</f>
        <v>-3533.89598637546</v>
      </c>
      <c r="AG73" s="67" t="n">
        <f aca="false">AG48+AG72</f>
        <v>-3533.89598637546</v>
      </c>
      <c r="AH73" s="67" t="n">
        <f aca="false">AH48+AH72</f>
        <v>-3533.89598637546</v>
      </c>
      <c r="AI73" s="67" t="n">
        <f aca="false">AI48+AI72</f>
        <v>-3533.89598637546</v>
      </c>
      <c r="AJ73" s="67" t="n">
        <f aca="false">AJ48+AJ72</f>
        <v>-3533.89598637546</v>
      </c>
      <c r="AK73" s="67" t="n">
        <f aca="false">AK48+AK72</f>
        <v>-3533.89598637546</v>
      </c>
      <c r="AL73" s="67" t="n">
        <f aca="false">AL48+AL72</f>
        <v>-3533.89598637546</v>
      </c>
      <c r="AM73" s="67" t="n">
        <f aca="false">AM48+AM72</f>
        <v>-3533.89598637546</v>
      </c>
      <c r="AN73" s="67" t="n">
        <f aca="false">AN48+AN72</f>
        <v>-3533.89598637546</v>
      </c>
      <c r="AO73" s="67" t="n">
        <f aca="false">AO48+AO72</f>
        <v>-3533.89598637546</v>
      </c>
      <c r="AP73" s="67" t="n">
        <f aca="false">AP48+AP72</f>
        <v>-3533.89598637546</v>
      </c>
      <c r="AQ73" s="67" t="n">
        <f aca="false">AQ48+AQ72</f>
        <v>-3533.89598637546</v>
      </c>
      <c r="AR73" s="67" t="n">
        <f aca="false">AR48+AR72</f>
        <v>-3533.89598637546</v>
      </c>
      <c r="AS73" s="67" t="n">
        <f aca="false">AS48+AS72</f>
        <v>-3533.89598637546</v>
      </c>
      <c r="AT73" s="67" t="n">
        <f aca="false">AT48+AT72</f>
        <v>-3533.89598637546</v>
      </c>
      <c r="AU73" s="67" t="n">
        <f aca="false">AU48+AU72</f>
        <v>-3533.89598637546</v>
      </c>
      <c r="AV73" s="67" t="n">
        <f aca="false">AV48+AV72</f>
        <v>-3533.89598637546</v>
      </c>
      <c r="AW73" s="67" t="n">
        <f aca="false">AW48+AW72</f>
        <v>-3533.89598637546</v>
      </c>
      <c r="AX73" s="67" t="n">
        <f aca="false">AX48+AX72</f>
        <v>-3533.89598637546</v>
      </c>
      <c r="AY73" s="67" t="n">
        <f aca="false">AY48+AY72</f>
        <v>-3533.89598637546</v>
      </c>
      <c r="AZ73" s="67" t="n">
        <f aca="false">AZ48+AZ72</f>
        <v>-3533.89598637546</v>
      </c>
      <c r="BA73" s="67" t="n">
        <f aca="false">BA48+BA72</f>
        <v>-3533.89598637546</v>
      </c>
      <c r="BB73" s="67" t="n">
        <f aca="false">BB48+BB72</f>
        <v>-3533.89598637546</v>
      </c>
      <c r="BC73" s="67" t="n">
        <f aca="false">BC48+BC72</f>
        <v>-3533.89598637546</v>
      </c>
      <c r="BD73" s="67" t="n">
        <f aca="false">BD48+BD72</f>
        <v>-3533.89598637546</v>
      </c>
      <c r="BE73" s="67" t="n">
        <f aca="false">BE48+BE72</f>
        <v>-3533.89598637546</v>
      </c>
      <c r="BF73" s="67" t="n">
        <f aca="false">BF48+BF72</f>
        <v>-3533.89598637546</v>
      </c>
      <c r="BG73" s="67" t="n">
        <f aca="false">BG48+BG72</f>
        <v>-3533.89598637546</v>
      </c>
      <c r="BH73" s="67" t="n">
        <f aca="false">BH48+BH72</f>
        <v>-3533.89598637546</v>
      </c>
      <c r="BI73" s="67" t="n">
        <f aca="false">BI48+BI72</f>
        <v>-3533.89598637546</v>
      </c>
      <c r="BJ73" s="67" t="n">
        <f aca="false">BJ48+BJ72</f>
        <v>-3533.89598637546</v>
      </c>
    </row>
    <row r="74" customFormat="false" ht="15" hidden="false" customHeight="false" outlineLevel="0" collapsed="false">
      <c r="A74" s="4" t="s">
        <v>436</v>
      </c>
      <c r="C74" s="73" t="n">
        <f aca="false">C69+C70+C72</f>
        <v>499382.770680291</v>
      </c>
      <c r="D74" s="73" t="n">
        <f aca="false">D69+D70+D72</f>
        <v>498761.940856217</v>
      </c>
      <c r="E74" s="73" t="n">
        <f aca="false">E69+E70+E72</f>
        <v>498137.489524837</v>
      </c>
      <c r="F74" s="73" t="n">
        <f aca="false">F69+F70+F72</f>
        <v>497509.395560689</v>
      </c>
      <c r="G74" s="73" t="n">
        <f aca="false">G69+G70+G72</f>
        <v>496877.637715085</v>
      </c>
      <c r="H74" s="73" t="n">
        <f aca="false">H69+H70+H72</f>
        <v>496242.19461538</v>
      </c>
      <c r="I74" s="73" t="n">
        <f aca="false">I69+I70+I72</f>
        <v>495603.044764261</v>
      </c>
      <c r="J74" s="73" t="n">
        <f aca="false">J69+J70+J72</f>
        <v>494960.166539011</v>
      </c>
      <c r="K74" s="73" t="n">
        <f aca="false">K69+K70+K72</f>
        <v>494313.53819078</v>
      </c>
      <c r="L74" s="73" t="n">
        <f aca="false">L69+L70+L72</f>
        <v>493663.13784385</v>
      </c>
      <c r="M74" s="73" t="n">
        <f aca="false">M69+M70+M72</f>
        <v>493008.943494897</v>
      </c>
      <c r="N74" s="73" t="n">
        <f aca="false">N69+N70+N72</f>
        <v>492350.933012242</v>
      </c>
      <c r="O74" s="73" t="n">
        <f aca="false">O69+O70+O72</f>
        <v>491689.084135105</v>
      </c>
      <c r="P74" s="73" t="n">
        <f aca="false">P69+P70+P72</f>
        <v>491023.374472851</v>
      </c>
      <c r="Q74" s="73" t="n">
        <f aca="false">Q69+Q70+Q72</f>
        <v>490353.781504234</v>
      </c>
      <c r="R74" s="73" t="n">
        <f aca="false">R69+R70+R72</f>
        <v>489680.282576633</v>
      </c>
      <c r="S74" s="73" t="n">
        <f aca="false">S69+S70+S72</f>
        <v>489002.854905288</v>
      </c>
      <c r="T74" s="73" t="n">
        <f aca="false">T69+T70+T72</f>
        <v>488321.475572526</v>
      </c>
      <c r="U74" s="73" t="n">
        <f aca="false">U69+U70+U72</f>
        <v>487636.121526991</v>
      </c>
      <c r="V74" s="73" t="n">
        <f aca="false">V69+V70+V72</f>
        <v>486946.769582856</v>
      </c>
      <c r="W74" s="73" t="n">
        <f aca="false">W69+W70+W72</f>
        <v>486253.396419047</v>
      </c>
      <c r="X74" s="73" t="n">
        <f aca="false">X69+X70+X72</f>
        <v>485555.978578449</v>
      </c>
      <c r="Y74" s="73" t="n">
        <f aca="false">Y69+Y70+Y72</f>
        <v>484854.492467115</v>
      </c>
      <c r="Z74" s="73" t="n">
        <f aca="false">Z69+Z70+Z72</f>
        <v>484148.914353464</v>
      </c>
      <c r="AA74" s="73" t="n">
        <f aca="false">AA69+AA70+AA72</f>
        <v>483439.220367484</v>
      </c>
      <c r="AB74" s="73" t="n">
        <f aca="false">AB69+AB70+AB72</f>
        <v>482725.386499919</v>
      </c>
      <c r="AC74" s="73" t="n">
        <f aca="false">AC69+AC70+AC72</f>
        <v>482007.38860146</v>
      </c>
      <c r="AD74" s="73" t="n">
        <f aca="false">AD69+AD70+AD72</f>
        <v>481285.202381926</v>
      </c>
      <c r="AE74" s="73" t="n">
        <f aca="false">AE69+AE70+AE72</f>
        <v>480558.803409445</v>
      </c>
      <c r="AF74" s="73" t="n">
        <f aca="false">AF69+AF70+AF72</f>
        <v>479828.167109625</v>
      </c>
      <c r="AG74" s="73" t="n">
        <f aca="false">AG69+AG70+AG72</f>
        <v>479093.268764722</v>
      </c>
      <c r="AH74" s="73" t="n">
        <f aca="false">AH69+AH70+AH72</f>
        <v>478354.083512808</v>
      </c>
      <c r="AI74" s="73" t="n">
        <f aca="false">AI69+AI70+AI72</f>
        <v>477610.586346923</v>
      </c>
      <c r="AJ74" s="73" t="n">
        <f aca="false">AJ69+AJ70+AJ72</f>
        <v>476862.752114238</v>
      </c>
      <c r="AK74" s="73" t="n">
        <f aca="false">AK69+AK70+AK72</f>
        <v>476110.555515196</v>
      </c>
      <c r="AL74" s="73" t="n">
        <f aca="false">AL69+AL70+AL72</f>
        <v>475353.971102659</v>
      </c>
      <c r="AM74" s="73" t="n">
        <f aca="false">AM69+AM70+AM72</f>
        <v>474592.973281049</v>
      </c>
      <c r="AN74" s="73" t="n">
        <f aca="false">AN69+AN70+AN72</f>
        <v>473827.53630548</v>
      </c>
      <c r="AO74" s="73" t="n">
        <f aca="false">AO69+AO70+AO72</f>
        <v>473057.634280886</v>
      </c>
      <c r="AP74" s="73" t="n">
        <f aca="false">AP69+AP70+AP72</f>
        <v>472283.241161149</v>
      </c>
      <c r="AQ74" s="73" t="n">
        <f aca="false">AQ69+AQ70+AQ72</f>
        <v>471504.330748214</v>
      </c>
      <c r="AR74" s="73" t="n">
        <f aca="false">AR69+AR70+AR72</f>
        <v>470720.876691203</v>
      </c>
      <c r="AS74" s="73" t="n">
        <f aca="false">AS69+AS70+AS72</f>
        <v>469932.852485526</v>
      </c>
      <c r="AT74" s="73" t="n">
        <f aca="false">AT69+AT70+AT72</f>
        <v>469140.231471983</v>
      </c>
      <c r="AU74" s="73" t="n">
        <f aca="false">AU69+AU70+AU72</f>
        <v>468342.986835861</v>
      </c>
      <c r="AV74" s="73" t="n">
        <f aca="false">AV69+AV70+AV72</f>
        <v>467541.091606028</v>
      </c>
      <c r="AW74" s="73" t="n">
        <f aca="false">AW69+AW70+AW72</f>
        <v>466734.518654021</v>
      </c>
      <c r="AX74" s="73" t="n">
        <f aca="false">AX69+AX70+AX72</f>
        <v>465923.240693127</v>
      </c>
      <c r="AY74" s="73" t="n">
        <f aca="false">AY69+AY70+AY72</f>
        <v>465107.230277462</v>
      </c>
      <c r="AZ74" s="73" t="n">
        <f aca="false">AZ69+AZ70+AZ72</f>
        <v>464286.459801038</v>
      </c>
      <c r="BA74" s="73" t="n">
        <f aca="false">BA69+BA70+BA72</f>
        <v>463460.901496835</v>
      </c>
      <c r="BB74" s="73" t="n">
        <f aca="false">BB69+BB70+BB72</f>
        <v>462630.527435858</v>
      </c>
      <c r="BC74" s="73" t="n">
        <f aca="false">BC69+BC70+BC72</f>
        <v>461795.309526192</v>
      </c>
      <c r="BD74" s="73" t="n">
        <f aca="false">BD69+BD70+BD72</f>
        <v>460955.219512053</v>
      </c>
      <c r="BE74" s="73" t="n">
        <f aca="false">BE69+BE70+BE72</f>
        <v>460110.228972831</v>
      </c>
      <c r="BF74" s="73" t="n">
        <f aca="false">BF69+BF70+BF72</f>
        <v>459260.30932213</v>
      </c>
      <c r="BG74" s="73" t="n">
        <f aca="false">BG69+BG70+BG72</f>
        <v>458405.4318068</v>
      </c>
      <c r="BH74" s="73" t="n">
        <f aca="false">BH69+BH70+BH72</f>
        <v>457545.567505965</v>
      </c>
      <c r="BI74" s="73" t="n">
        <f aca="false">BI69+BI70+BI72</f>
        <v>456680.687330041</v>
      </c>
      <c r="BJ74" s="73" t="n">
        <f aca="false">BJ69+BJ70+BJ72</f>
        <v>455810.762019757</v>
      </c>
    </row>
    <row r="76" customFormat="false" ht="15.75" hidden="false" customHeight="true" outlineLevel="0" collapsed="false">
      <c r="A76" s="7" t="s">
        <v>311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90</v>
      </c>
      <c r="C77" s="67" t="n">
        <f aca="false">C22*Inputs!$B$71/30</f>
        <v>601.92</v>
      </c>
      <c r="D77" s="67" t="n">
        <f aca="false">D22*Inputs!$B$71/30</f>
        <v>702.24</v>
      </c>
      <c r="E77" s="67" t="n">
        <f aca="false">E22*Inputs!$B$71/30</f>
        <v>802.56</v>
      </c>
      <c r="F77" s="67" t="n">
        <f aca="false">F22*Inputs!$B$71/30</f>
        <v>902.88</v>
      </c>
      <c r="G77" s="67" t="n">
        <f aca="false">G22*Inputs!$B$71/30</f>
        <v>1003.2</v>
      </c>
      <c r="H77" s="67" t="n">
        <f aca="false">H22*Inputs!$B$71/30</f>
        <v>1504.8</v>
      </c>
      <c r="I77" s="67" t="n">
        <f aca="false">I22*Inputs!$B$71/30</f>
        <v>1641.6</v>
      </c>
      <c r="J77" s="67" t="n">
        <f aca="false">J22*Inputs!$B$71/30</f>
        <v>1778.4</v>
      </c>
      <c r="K77" s="67" t="n">
        <f aca="false">K22*Inputs!$B$71/30</f>
        <v>1404.48</v>
      </c>
      <c r="L77" s="67" t="n">
        <f aca="false">L22*Inputs!$B$71/30</f>
        <v>1504.8</v>
      </c>
      <c r="M77" s="67" t="n">
        <f aca="false">M22*Inputs!$B$71/30</f>
        <v>1605.12</v>
      </c>
      <c r="N77" s="67" t="n">
        <f aca="false">N22*Inputs!$B$71/30</f>
        <v>1705.44</v>
      </c>
      <c r="O77" s="67" t="n">
        <f aca="false">O22*Inputs!$B$71/30</f>
        <v>1823.8176</v>
      </c>
      <c r="P77" s="67" t="n">
        <f aca="false">P22*Inputs!$B$71/30</f>
        <v>1925.1408</v>
      </c>
      <c r="Q77" s="67" t="n">
        <f aca="false">Q22*Inputs!$B$71/30</f>
        <v>2026.464</v>
      </c>
      <c r="R77" s="67" t="n">
        <f aca="false">R22*Inputs!$B$71/30</f>
        <v>2026.464</v>
      </c>
      <c r="S77" s="67" t="n">
        <f aca="false">S22*Inputs!$B$71/30</f>
        <v>2026.464</v>
      </c>
      <c r="T77" s="67" t="n">
        <f aca="false">T22*Inputs!$B$71/30</f>
        <v>2763.36</v>
      </c>
      <c r="U77" s="67" t="n">
        <f aca="false">U22*Inputs!$B$71/30</f>
        <v>2763.36</v>
      </c>
      <c r="V77" s="67" t="n">
        <f aca="false">V22*Inputs!$B$71/30</f>
        <v>2763.36</v>
      </c>
      <c r="W77" s="67" t="n">
        <f aca="false">W22*Inputs!$B$71/30</f>
        <v>2026.464</v>
      </c>
      <c r="X77" s="67" t="n">
        <f aca="false">X22*Inputs!$B$71/30</f>
        <v>2026.464</v>
      </c>
      <c r="Y77" s="67" t="n">
        <f aca="false">Y22*Inputs!$B$71/30</f>
        <v>2026.464</v>
      </c>
      <c r="Z77" s="67" t="n">
        <f aca="false">Z22*Inputs!$B$71/30</f>
        <v>2026.464</v>
      </c>
      <c r="AA77" s="67" t="n">
        <f aca="false">AA22*Inputs!$B$71/30</f>
        <v>2046.72864</v>
      </c>
      <c r="AB77" s="67" t="n">
        <f aca="false">AB22*Inputs!$B$71/30</f>
        <v>2046.72864</v>
      </c>
      <c r="AC77" s="67" t="n">
        <f aca="false">AC22*Inputs!$B$71/30</f>
        <v>2046.72864</v>
      </c>
      <c r="AD77" s="67" t="n">
        <f aca="false">AD22*Inputs!$B$71/30</f>
        <v>2046.72864</v>
      </c>
      <c r="AE77" s="67" t="n">
        <f aca="false">AE22*Inputs!$B$71/30</f>
        <v>2046.72864</v>
      </c>
      <c r="AF77" s="67" t="n">
        <f aca="false">AF22*Inputs!$B$71/30</f>
        <v>2790.9936</v>
      </c>
      <c r="AG77" s="67" t="n">
        <f aca="false">AG22*Inputs!$B$71/30</f>
        <v>2790.9936</v>
      </c>
      <c r="AH77" s="67" t="n">
        <f aca="false">AH22*Inputs!$B$71/30</f>
        <v>2790.9936</v>
      </c>
      <c r="AI77" s="67" t="n">
        <f aca="false">AI22*Inputs!$B$71/30</f>
        <v>2046.72864</v>
      </c>
      <c r="AJ77" s="67" t="n">
        <f aca="false">AJ22*Inputs!$B$71/30</f>
        <v>2046.72864</v>
      </c>
      <c r="AK77" s="67" t="n">
        <f aca="false">AK22*Inputs!$B$71/30</f>
        <v>2046.72864</v>
      </c>
      <c r="AL77" s="67" t="n">
        <f aca="false">AL22*Inputs!$B$71/30</f>
        <v>2046.72864</v>
      </c>
      <c r="AM77" s="67" t="n">
        <f aca="false">AM22*Inputs!$B$71/30</f>
        <v>2067.1959264</v>
      </c>
      <c r="AN77" s="67" t="n">
        <f aca="false">AN22*Inputs!$B$71/30</f>
        <v>2067.1959264</v>
      </c>
      <c r="AO77" s="67" t="n">
        <f aca="false">AO22*Inputs!$B$71/30</f>
        <v>2067.1959264</v>
      </c>
      <c r="AP77" s="67" t="n">
        <f aca="false">AP22*Inputs!$B$71/30</f>
        <v>2067.1959264</v>
      </c>
      <c r="AQ77" s="67" t="n">
        <f aca="false">AQ22*Inputs!$B$71/30</f>
        <v>2067.1959264</v>
      </c>
      <c r="AR77" s="67" t="n">
        <f aca="false">AR22*Inputs!$B$71/30</f>
        <v>2818.903536</v>
      </c>
      <c r="AS77" s="67" t="n">
        <f aca="false">AS22*Inputs!$B$71/30</f>
        <v>2818.903536</v>
      </c>
      <c r="AT77" s="67" t="n">
        <f aca="false">AT22*Inputs!$B$71/30</f>
        <v>2818.903536</v>
      </c>
      <c r="AU77" s="67" t="n">
        <f aca="false">AU22*Inputs!$B$71/30</f>
        <v>2067.1959264</v>
      </c>
      <c r="AV77" s="67" t="n">
        <f aca="false">AV22*Inputs!$B$71/30</f>
        <v>2067.1959264</v>
      </c>
      <c r="AW77" s="67" t="n">
        <f aca="false">AW22*Inputs!$B$71/30</f>
        <v>2067.1959264</v>
      </c>
      <c r="AX77" s="67" t="n">
        <f aca="false">AX22*Inputs!$B$71/30</f>
        <v>2067.1959264</v>
      </c>
      <c r="AY77" s="67" t="n">
        <f aca="false">AY22*Inputs!$B$71/30</f>
        <v>2087.867885664</v>
      </c>
      <c r="AZ77" s="67" t="n">
        <f aca="false">AZ22*Inputs!$B$71/30</f>
        <v>2087.867885664</v>
      </c>
      <c r="BA77" s="67" t="n">
        <f aca="false">BA22*Inputs!$B$71/30</f>
        <v>2087.867885664</v>
      </c>
      <c r="BB77" s="67" t="n">
        <f aca="false">BB22*Inputs!$B$71/30</f>
        <v>2087.867885664</v>
      </c>
      <c r="BC77" s="67" t="n">
        <f aca="false">BC22*Inputs!$B$71/30</f>
        <v>2087.867885664</v>
      </c>
      <c r="BD77" s="67" t="n">
        <f aca="false">BD22*Inputs!$B$71/30</f>
        <v>2847.09257136</v>
      </c>
      <c r="BE77" s="67" t="n">
        <f aca="false">BE22*Inputs!$B$71/30</f>
        <v>2847.09257136</v>
      </c>
      <c r="BF77" s="67" t="n">
        <f aca="false">BF22*Inputs!$B$71/30</f>
        <v>2847.09257136</v>
      </c>
      <c r="BG77" s="67" t="n">
        <f aca="false">BG22*Inputs!$B$71/30</f>
        <v>2087.867885664</v>
      </c>
      <c r="BH77" s="67" t="n">
        <f aca="false">BH22*Inputs!$B$71/30</f>
        <v>2087.867885664</v>
      </c>
      <c r="BI77" s="67" t="n">
        <f aca="false">BI22*Inputs!$B$71/30</f>
        <v>2087.867885664</v>
      </c>
      <c r="BJ77" s="67" t="n">
        <f aca="false">BJ22*Inputs!$B$71/30</f>
        <v>2087.867885664</v>
      </c>
    </row>
    <row r="78" customFormat="false" ht="15" hidden="false" customHeight="false" outlineLevel="0" collapsed="false">
      <c r="A78" s="6" t="s">
        <v>91</v>
      </c>
      <c r="C78" s="67" t="n">
        <f aca="false">-C30*Inputs!$B$72/30</f>
        <v>624.323927777778</v>
      </c>
      <c r="D78" s="67" t="n">
        <f aca="false">-D30*Inputs!$B$72/30</f>
        <v>651.711249074074</v>
      </c>
      <c r="E78" s="67" t="n">
        <f aca="false">-E30*Inputs!$B$72/30</f>
        <v>679.09857037037</v>
      </c>
      <c r="F78" s="67" t="n">
        <f aca="false">-F30*Inputs!$B$72/30</f>
        <v>706.485891666667</v>
      </c>
      <c r="G78" s="67" t="n">
        <f aca="false">-G30*Inputs!$B$72/30</f>
        <v>733.873212962963</v>
      </c>
      <c r="H78" s="67" t="n">
        <f aca="false">-H30*Inputs!$B$72/30</f>
        <v>870.809819444444</v>
      </c>
      <c r="I78" s="67" t="n">
        <f aca="false">-I30*Inputs!$B$72/30</f>
        <v>908.156166666667</v>
      </c>
      <c r="J78" s="67" t="n">
        <f aca="false">-J30*Inputs!$B$72/30</f>
        <v>945.502513888889</v>
      </c>
      <c r="K78" s="67" t="n">
        <f aca="false">-K30*Inputs!$B$72/30</f>
        <v>843.422498148148</v>
      </c>
      <c r="L78" s="67" t="n">
        <f aca="false">-L30*Inputs!$B$72/30</f>
        <v>870.809819444444</v>
      </c>
      <c r="M78" s="67" t="n">
        <f aca="false">-M30*Inputs!$B$72/30</f>
        <v>898.197140740741</v>
      </c>
      <c r="N78" s="67" t="n">
        <f aca="false">-N30*Inputs!$B$72/30</f>
        <v>925.584462037037</v>
      </c>
      <c r="O78" s="67" t="n">
        <f aca="false">-O30*Inputs!$B$72/30</f>
        <v>983.616501166667</v>
      </c>
      <c r="P78" s="67" t="n">
        <f aca="false">-P30*Inputs!$B$72/30</f>
        <v>1011.68408456481</v>
      </c>
      <c r="Q78" s="67" t="n">
        <f aca="false">-Q30*Inputs!$B$72/30</f>
        <v>1039.75166796296</v>
      </c>
      <c r="R78" s="67" t="n">
        <f aca="false">-R30*Inputs!$B$72/30</f>
        <v>1039.75166796296</v>
      </c>
      <c r="S78" s="67" t="n">
        <f aca="false">-S30*Inputs!$B$72/30</f>
        <v>1039.75166796296</v>
      </c>
      <c r="T78" s="67" t="n">
        <f aca="false">-T30*Inputs!$B$72/30</f>
        <v>1243.87954722222</v>
      </c>
      <c r="U78" s="67" t="n">
        <f aca="false">-U30*Inputs!$B$72/30</f>
        <v>1243.87954722222</v>
      </c>
      <c r="V78" s="67" t="n">
        <f aca="false">-V30*Inputs!$B$72/30</f>
        <v>1243.87954722222</v>
      </c>
      <c r="W78" s="67" t="n">
        <f aca="false">-W30*Inputs!$B$72/30</f>
        <v>1039.75166796296</v>
      </c>
      <c r="X78" s="67" t="n">
        <f aca="false">-X30*Inputs!$B$72/30</f>
        <v>1039.75166796296</v>
      </c>
      <c r="Y78" s="67" t="n">
        <f aca="false">-Y30*Inputs!$B$72/30</f>
        <v>1039.75166796296</v>
      </c>
      <c r="Z78" s="67" t="n">
        <f aca="false">-Z30*Inputs!$B$72/30</f>
        <v>1039.75166796296</v>
      </c>
      <c r="AA78" s="67" t="n">
        <f aca="false">-AA30*Inputs!$B$72/30</f>
        <v>1072.95407353148</v>
      </c>
      <c r="AB78" s="67" t="n">
        <f aca="false">-AB30*Inputs!$B$72/30</f>
        <v>1072.95407353148</v>
      </c>
      <c r="AC78" s="67" t="n">
        <f aca="false">-AC30*Inputs!$B$72/30</f>
        <v>1072.95407353148</v>
      </c>
      <c r="AD78" s="67" t="n">
        <f aca="false">-AD30*Inputs!$B$72/30</f>
        <v>1072.95407353148</v>
      </c>
      <c r="AE78" s="67" t="n">
        <f aca="false">-AE30*Inputs!$B$72/30</f>
        <v>1072.95407353148</v>
      </c>
      <c r="AF78" s="67" t="n">
        <f aca="false">-AF30*Inputs!$B$72/30</f>
        <v>1282.19700936111</v>
      </c>
      <c r="AG78" s="67" t="n">
        <f aca="false">-AG30*Inputs!$B$72/30</f>
        <v>1282.19700936111</v>
      </c>
      <c r="AH78" s="67" t="n">
        <f aca="false">-AH30*Inputs!$B$72/30</f>
        <v>1282.19700936111</v>
      </c>
      <c r="AI78" s="67" t="n">
        <f aca="false">-AI30*Inputs!$B$72/30</f>
        <v>1072.95407353148</v>
      </c>
      <c r="AJ78" s="67" t="n">
        <f aca="false">-AJ30*Inputs!$B$72/30</f>
        <v>1072.95407353148</v>
      </c>
      <c r="AK78" s="67" t="n">
        <f aca="false">-AK30*Inputs!$B$72/30</f>
        <v>1072.95407353148</v>
      </c>
      <c r="AL78" s="67" t="n">
        <f aca="false">-AL30*Inputs!$B$72/30</f>
        <v>1072.95407353148</v>
      </c>
      <c r="AM78" s="67" t="n">
        <f aca="false">-AM30*Inputs!$B$72/30</f>
        <v>1107.40069871124</v>
      </c>
      <c r="AN78" s="67" t="n">
        <f aca="false">-AN30*Inputs!$B$72/30</f>
        <v>1107.40069871124</v>
      </c>
      <c r="AO78" s="67" t="n">
        <f aca="false">-AO30*Inputs!$B$72/30</f>
        <v>1107.40069871124</v>
      </c>
      <c r="AP78" s="67" t="n">
        <f aca="false">-AP30*Inputs!$B$72/30</f>
        <v>1107.40069871124</v>
      </c>
      <c r="AQ78" s="67" t="n">
        <f aca="false">-AQ30*Inputs!$B$72/30</f>
        <v>1107.40069871124</v>
      </c>
      <c r="AR78" s="67" t="n">
        <f aca="false">-AR30*Inputs!$B$72/30</f>
        <v>1321.93279278806</v>
      </c>
      <c r="AS78" s="67" t="n">
        <f aca="false">-AS30*Inputs!$B$72/30</f>
        <v>1321.93279278806</v>
      </c>
      <c r="AT78" s="67" t="n">
        <f aca="false">-AT30*Inputs!$B$72/30</f>
        <v>1321.93279278806</v>
      </c>
      <c r="AU78" s="67" t="n">
        <f aca="false">-AU30*Inputs!$B$72/30</f>
        <v>1107.40069871124</v>
      </c>
      <c r="AV78" s="67" t="n">
        <f aca="false">-AV30*Inputs!$B$72/30</f>
        <v>1107.40069871124</v>
      </c>
      <c r="AW78" s="67" t="n">
        <f aca="false">-AW30*Inputs!$B$72/30</f>
        <v>1107.40069871124</v>
      </c>
      <c r="AX78" s="67" t="n">
        <f aca="false">-AX30*Inputs!$B$72/30</f>
        <v>1107.40069871124</v>
      </c>
      <c r="AY78" s="67" t="n">
        <f aca="false">-AY30*Inputs!$B$72/30</f>
        <v>1143.14047352058</v>
      </c>
      <c r="AZ78" s="67" t="n">
        <f aca="false">-AZ30*Inputs!$B$72/30</f>
        <v>1143.14047352058</v>
      </c>
      <c r="BA78" s="67" t="n">
        <f aca="false">-BA30*Inputs!$B$72/30</f>
        <v>1143.14047352058</v>
      </c>
      <c r="BB78" s="67" t="n">
        <f aca="false">-BB30*Inputs!$B$72/30</f>
        <v>1143.14047352058</v>
      </c>
      <c r="BC78" s="67" t="n">
        <f aca="false">-BC30*Inputs!$B$72/30</f>
        <v>1143.14047352058</v>
      </c>
      <c r="BD78" s="67" t="n">
        <f aca="false">-BD30*Inputs!$B$72/30</f>
        <v>1363.1424865826</v>
      </c>
      <c r="BE78" s="67" t="n">
        <f aca="false">-BE30*Inputs!$B$72/30</f>
        <v>1363.1424865826</v>
      </c>
      <c r="BF78" s="67" t="n">
        <f aca="false">-BF30*Inputs!$B$72/30</f>
        <v>1363.1424865826</v>
      </c>
      <c r="BG78" s="67" t="n">
        <f aca="false">-BG30*Inputs!$B$72/30</f>
        <v>1143.14047352058</v>
      </c>
      <c r="BH78" s="67" t="n">
        <f aca="false">-BH30*Inputs!$B$72/30</f>
        <v>1143.14047352058</v>
      </c>
      <c r="BI78" s="67" t="n">
        <f aca="false">-BI30*Inputs!$B$72/30</f>
        <v>1143.14047352058</v>
      </c>
      <c r="BJ78" s="67" t="n">
        <f aca="false">-BJ30*Inputs!$B$72/30</f>
        <v>1143.14047352058</v>
      </c>
    </row>
    <row r="79" customFormat="false" ht="15" hidden="false" customHeight="false" outlineLevel="0" collapsed="false">
      <c r="A79" s="6" t="s">
        <v>94</v>
      </c>
      <c r="C79" s="67" t="n">
        <f aca="false">-C30*Inputs!$B$73/30</f>
        <v>5202.69939814815</v>
      </c>
      <c r="D79" s="67" t="n">
        <f aca="false">-D30*Inputs!$B$73/30</f>
        <v>5430.92707561728</v>
      </c>
      <c r="E79" s="67" t="n">
        <f aca="false">-E30*Inputs!$B$73/30</f>
        <v>5659.15475308642</v>
      </c>
      <c r="F79" s="67" t="n">
        <f aca="false">-F30*Inputs!$B$73/30</f>
        <v>5887.38243055556</v>
      </c>
      <c r="G79" s="67" t="n">
        <f aca="false">-G30*Inputs!$B$73/30</f>
        <v>6115.61010802469</v>
      </c>
      <c r="H79" s="67" t="n">
        <f aca="false">-H30*Inputs!$B$73/30</f>
        <v>7256.74849537037</v>
      </c>
      <c r="I79" s="67" t="n">
        <f aca="false">-I30*Inputs!$B$73/30</f>
        <v>7567.96805555556</v>
      </c>
      <c r="J79" s="67" t="n">
        <f aca="false">-J30*Inputs!$B$73/30</f>
        <v>7879.18761574074</v>
      </c>
      <c r="K79" s="67" t="n">
        <f aca="false">-K30*Inputs!$B$73/30</f>
        <v>7028.52081790124</v>
      </c>
      <c r="L79" s="67" t="n">
        <f aca="false">-L30*Inputs!$B$73/30</f>
        <v>7256.74849537037</v>
      </c>
      <c r="M79" s="67" t="n">
        <f aca="false">-M30*Inputs!$B$73/30</f>
        <v>7484.97617283951</v>
      </c>
      <c r="N79" s="67" t="n">
        <f aca="false">-N30*Inputs!$B$73/30</f>
        <v>7713.20385030864</v>
      </c>
      <c r="O79" s="67" t="n">
        <f aca="false">-O30*Inputs!$B$73/30</f>
        <v>8196.80417638889</v>
      </c>
      <c r="P79" s="67" t="n">
        <f aca="false">-P30*Inputs!$B$73/30</f>
        <v>8430.70070470679</v>
      </c>
      <c r="Q79" s="67" t="n">
        <f aca="false">-Q30*Inputs!$B$73/30</f>
        <v>8664.59723302469</v>
      </c>
      <c r="R79" s="67" t="n">
        <f aca="false">-R30*Inputs!$B$73/30</f>
        <v>8664.59723302469</v>
      </c>
      <c r="S79" s="67" t="n">
        <f aca="false">-S30*Inputs!$B$73/30</f>
        <v>8664.59723302469</v>
      </c>
      <c r="T79" s="67" t="n">
        <f aca="false">-T30*Inputs!$B$73/30</f>
        <v>10365.6628935185</v>
      </c>
      <c r="U79" s="67" t="n">
        <f aca="false">-U30*Inputs!$B$73/30</f>
        <v>10365.6628935185</v>
      </c>
      <c r="V79" s="67" t="n">
        <f aca="false">-V30*Inputs!$B$73/30</f>
        <v>10365.6628935185</v>
      </c>
      <c r="W79" s="67" t="n">
        <f aca="false">-W30*Inputs!$B$73/30</f>
        <v>8664.59723302469</v>
      </c>
      <c r="X79" s="67" t="n">
        <f aca="false">-X30*Inputs!$B$73/30</f>
        <v>8664.59723302469</v>
      </c>
      <c r="Y79" s="67" t="n">
        <f aca="false">-Y30*Inputs!$B$73/30</f>
        <v>8664.59723302469</v>
      </c>
      <c r="Z79" s="67" t="n">
        <f aca="false">-Z30*Inputs!$B$73/30</f>
        <v>8664.59723302469</v>
      </c>
      <c r="AA79" s="67" t="n">
        <f aca="false">-AA30*Inputs!$B$73/30</f>
        <v>8941.28394609568</v>
      </c>
      <c r="AB79" s="67" t="n">
        <f aca="false">-AB30*Inputs!$B$73/30</f>
        <v>8941.28394609568</v>
      </c>
      <c r="AC79" s="67" t="n">
        <f aca="false">-AC30*Inputs!$B$73/30</f>
        <v>8941.28394609568</v>
      </c>
      <c r="AD79" s="67" t="n">
        <f aca="false">-AD30*Inputs!$B$73/30</f>
        <v>8941.28394609568</v>
      </c>
      <c r="AE79" s="67" t="n">
        <f aca="false">-AE30*Inputs!$B$73/30</f>
        <v>8941.28394609568</v>
      </c>
      <c r="AF79" s="67" t="n">
        <f aca="false">-AF30*Inputs!$B$73/30</f>
        <v>10684.9750780093</v>
      </c>
      <c r="AG79" s="67" t="n">
        <f aca="false">-AG30*Inputs!$B$73/30</f>
        <v>10684.9750780093</v>
      </c>
      <c r="AH79" s="67" t="n">
        <f aca="false">-AH30*Inputs!$B$73/30</f>
        <v>10684.9750780093</v>
      </c>
      <c r="AI79" s="67" t="n">
        <f aca="false">-AI30*Inputs!$B$73/30</f>
        <v>8941.28394609568</v>
      </c>
      <c r="AJ79" s="67" t="n">
        <f aca="false">-AJ30*Inputs!$B$73/30</f>
        <v>8941.28394609568</v>
      </c>
      <c r="AK79" s="67" t="n">
        <f aca="false">-AK30*Inputs!$B$73/30</f>
        <v>8941.28394609568</v>
      </c>
      <c r="AL79" s="67" t="n">
        <f aca="false">-AL30*Inputs!$B$73/30</f>
        <v>8941.28394609568</v>
      </c>
      <c r="AM79" s="67" t="n">
        <f aca="false">-AM30*Inputs!$B$73/30</f>
        <v>9228.33915592701</v>
      </c>
      <c r="AN79" s="67" t="n">
        <f aca="false">-AN30*Inputs!$B$73/30</f>
        <v>9228.33915592701</v>
      </c>
      <c r="AO79" s="67" t="n">
        <f aca="false">-AO30*Inputs!$B$73/30</f>
        <v>9228.33915592701</v>
      </c>
      <c r="AP79" s="67" t="n">
        <f aca="false">-AP30*Inputs!$B$73/30</f>
        <v>9228.33915592701</v>
      </c>
      <c r="AQ79" s="67" t="n">
        <f aca="false">-AQ30*Inputs!$B$73/30</f>
        <v>9228.33915592701</v>
      </c>
      <c r="AR79" s="67" t="n">
        <f aca="false">-AR30*Inputs!$B$73/30</f>
        <v>11016.1066065671</v>
      </c>
      <c r="AS79" s="67" t="n">
        <f aca="false">-AS30*Inputs!$B$73/30</f>
        <v>11016.1066065671</v>
      </c>
      <c r="AT79" s="67" t="n">
        <f aca="false">-AT30*Inputs!$B$73/30</f>
        <v>11016.1066065671</v>
      </c>
      <c r="AU79" s="67" t="n">
        <f aca="false">-AU30*Inputs!$B$73/30</f>
        <v>9228.33915592701</v>
      </c>
      <c r="AV79" s="67" t="n">
        <f aca="false">-AV30*Inputs!$B$73/30</f>
        <v>9228.33915592701</v>
      </c>
      <c r="AW79" s="67" t="n">
        <f aca="false">-AW30*Inputs!$B$73/30</f>
        <v>9228.33915592701</v>
      </c>
      <c r="AX79" s="67" t="n">
        <f aca="false">-AX30*Inputs!$B$73/30</f>
        <v>9228.33915592701</v>
      </c>
      <c r="AY79" s="67" t="n">
        <f aca="false">-AY30*Inputs!$B$73/30</f>
        <v>9526.17061267146</v>
      </c>
      <c r="AZ79" s="67" t="n">
        <f aca="false">-AZ30*Inputs!$B$73/30</f>
        <v>9526.17061267146</v>
      </c>
      <c r="BA79" s="67" t="n">
        <f aca="false">-BA30*Inputs!$B$73/30</f>
        <v>9526.17061267146</v>
      </c>
      <c r="BB79" s="67" t="n">
        <f aca="false">-BB30*Inputs!$B$73/30</f>
        <v>9526.17061267146</v>
      </c>
      <c r="BC79" s="67" t="n">
        <f aca="false">-BC30*Inputs!$B$73/30</f>
        <v>9526.17061267146</v>
      </c>
      <c r="BD79" s="67" t="n">
        <f aca="false">-BD30*Inputs!$B$73/30</f>
        <v>11359.5207215217</v>
      </c>
      <c r="BE79" s="67" t="n">
        <f aca="false">-BE30*Inputs!$B$73/30</f>
        <v>11359.5207215217</v>
      </c>
      <c r="BF79" s="67" t="n">
        <f aca="false">-BF30*Inputs!$B$73/30</f>
        <v>11359.5207215217</v>
      </c>
      <c r="BG79" s="67" t="n">
        <f aca="false">-BG30*Inputs!$B$73/30</f>
        <v>9526.17061267146</v>
      </c>
      <c r="BH79" s="67" t="n">
        <f aca="false">-BH30*Inputs!$B$73/30</f>
        <v>9526.17061267146</v>
      </c>
      <c r="BI79" s="67" t="n">
        <f aca="false">-BI30*Inputs!$B$73/30</f>
        <v>9526.17061267146</v>
      </c>
      <c r="BJ79" s="67" t="n">
        <f aca="false">-BJ30*Inputs!$B$73/30</f>
        <v>9526.17061267146</v>
      </c>
    </row>
    <row r="80" customFormat="false" ht="15" hidden="false" customHeight="false" outlineLevel="0" collapsed="false">
      <c r="A80" s="6" t="s">
        <v>338</v>
      </c>
      <c r="C80" s="67" t="n">
        <f aca="false">-C77</f>
        <v>-601.92</v>
      </c>
      <c r="D80" s="67" t="n">
        <f aca="false">C77-D77</f>
        <v>-100.32</v>
      </c>
      <c r="E80" s="67" t="n">
        <f aca="false">D77-E77</f>
        <v>-100.32</v>
      </c>
      <c r="F80" s="67" t="n">
        <f aca="false">E77-F77</f>
        <v>-100.32</v>
      </c>
      <c r="G80" s="67" t="n">
        <f aca="false">F77-G77</f>
        <v>-100.32</v>
      </c>
      <c r="H80" s="67" t="n">
        <f aca="false">G77-H77</f>
        <v>-501.6</v>
      </c>
      <c r="I80" s="67" t="n">
        <f aca="false">H77-I77</f>
        <v>-136.800000000001</v>
      </c>
      <c r="J80" s="67" t="n">
        <f aca="false">I77-J77</f>
        <v>-136.799999999999</v>
      </c>
      <c r="K80" s="67" t="n">
        <f aca="false">J77-K77</f>
        <v>373.92</v>
      </c>
      <c r="L80" s="67" t="n">
        <f aca="false">K77-L77</f>
        <v>-100.32</v>
      </c>
      <c r="M80" s="67" t="n">
        <f aca="false">L77-M77</f>
        <v>-100.32</v>
      </c>
      <c r="N80" s="67" t="n">
        <f aca="false">M77-N77</f>
        <v>-100.32</v>
      </c>
      <c r="O80" s="67" t="n">
        <f aca="false">N77-O77</f>
        <v>-118.3776</v>
      </c>
      <c r="P80" s="67" t="n">
        <f aca="false">O77-P77</f>
        <v>-101.3232</v>
      </c>
      <c r="Q80" s="67" t="n">
        <f aca="false">P77-Q77</f>
        <v>-101.3232</v>
      </c>
      <c r="R80" s="67" t="n">
        <f aca="false">Q77-R77</f>
        <v>0</v>
      </c>
      <c r="S80" s="67" t="n">
        <f aca="false">R77-S77</f>
        <v>0</v>
      </c>
      <c r="T80" s="67" t="n">
        <f aca="false">S77-T77</f>
        <v>-736.896</v>
      </c>
      <c r="U80" s="67" t="n">
        <f aca="false">T77-U77</f>
        <v>0</v>
      </c>
      <c r="V80" s="67" t="n">
        <f aca="false">U77-V77</f>
        <v>0</v>
      </c>
      <c r="W80" s="67" t="n">
        <f aca="false">V77-W77</f>
        <v>736.896</v>
      </c>
      <c r="X80" s="67" t="n">
        <f aca="false">W77-X77</f>
        <v>0</v>
      </c>
      <c r="Y80" s="67" t="n">
        <f aca="false">X77-Y77</f>
        <v>0</v>
      </c>
      <c r="Z80" s="67" t="n">
        <f aca="false">Y77-Z77</f>
        <v>0</v>
      </c>
      <c r="AA80" s="67" t="n">
        <f aca="false">Z77-AA77</f>
        <v>-20.2646400000003</v>
      </c>
      <c r="AB80" s="67" t="n">
        <f aca="false">AA77-AB77</f>
        <v>0</v>
      </c>
      <c r="AC80" s="67" t="n">
        <f aca="false">AB77-AC77</f>
        <v>0</v>
      </c>
      <c r="AD80" s="67" t="n">
        <f aca="false">AC77-AD77</f>
        <v>0</v>
      </c>
      <c r="AE80" s="67" t="n">
        <f aca="false">AD77-AE77</f>
        <v>0</v>
      </c>
      <c r="AF80" s="67" t="n">
        <f aca="false">AE77-AF77</f>
        <v>-744.26496</v>
      </c>
      <c r="AG80" s="67" t="n">
        <f aca="false">AF77-AG77</f>
        <v>0</v>
      </c>
      <c r="AH80" s="67" t="n">
        <f aca="false">AG77-AH77</f>
        <v>0</v>
      </c>
      <c r="AI80" s="67" t="n">
        <f aca="false">AH77-AI77</f>
        <v>744.26496</v>
      </c>
      <c r="AJ80" s="67" t="n">
        <f aca="false">AI77-AJ77</f>
        <v>0</v>
      </c>
      <c r="AK80" s="67" t="n">
        <f aca="false">AJ77-AK77</f>
        <v>0</v>
      </c>
      <c r="AL80" s="67" t="n">
        <f aca="false">AK77-AL77</f>
        <v>0</v>
      </c>
      <c r="AM80" s="67" t="n">
        <f aca="false">AL77-AM77</f>
        <v>-20.4672864000004</v>
      </c>
      <c r="AN80" s="67" t="n">
        <f aca="false">AM77-AN77</f>
        <v>0</v>
      </c>
      <c r="AO80" s="67" t="n">
        <f aca="false">AN77-AO77</f>
        <v>0</v>
      </c>
      <c r="AP80" s="67" t="n">
        <f aca="false">AO77-AP77</f>
        <v>0</v>
      </c>
      <c r="AQ80" s="67" t="n">
        <f aca="false">AP77-AQ77</f>
        <v>0</v>
      </c>
      <c r="AR80" s="67" t="n">
        <f aca="false">AQ77-AR77</f>
        <v>-751.7076096</v>
      </c>
      <c r="AS80" s="67" t="n">
        <f aca="false">AR77-AS77</f>
        <v>0</v>
      </c>
      <c r="AT80" s="67" t="n">
        <f aca="false">AS77-AT77</f>
        <v>0</v>
      </c>
      <c r="AU80" s="67" t="n">
        <f aca="false">AT77-AU77</f>
        <v>751.7076096</v>
      </c>
      <c r="AV80" s="67" t="n">
        <f aca="false">AU77-AV77</f>
        <v>0</v>
      </c>
      <c r="AW80" s="67" t="n">
        <f aca="false">AV77-AW77</f>
        <v>0</v>
      </c>
      <c r="AX80" s="67" t="n">
        <f aca="false">AW77-AX77</f>
        <v>0</v>
      </c>
      <c r="AY80" s="67" t="n">
        <f aca="false">AX77-AY77</f>
        <v>-20.6719592639997</v>
      </c>
      <c r="AZ80" s="67" t="n">
        <f aca="false">AY77-AZ77</f>
        <v>0</v>
      </c>
      <c r="BA80" s="67" t="n">
        <f aca="false">AZ77-BA77</f>
        <v>0</v>
      </c>
      <c r="BB80" s="67" t="n">
        <f aca="false">BA77-BB77</f>
        <v>0</v>
      </c>
      <c r="BC80" s="67" t="n">
        <f aca="false">BB77-BC77</f>
        <v>0</v>
      </c>
      <c r="BD80" s="67" t="n">
        <f aca="false">BC77-BD77</f>
        <v>-759.224685696001</v>
      </c>
      <c r="BE80" s="67" t="n">
        <f aca="false">BD77-BE77</f>
        <v>0</v>
      </c>
      <c r="BF80" s="67" t="n">
        <f aca="false">BE77-BF77</f>
        <v>0</v>
      </c>
      <c r="BG80" s="67" t="n">
        <f aca="false">BF77-BG77</f>
        <v>759.224685696001</v>
      </c>
      <c r="BH80" s="67" t="n">
        <f aca="false">BG77-BH77</f>
        <v>0</v>
      </c>
      <c r="BI80" s="67" t="n">
        <f aca="false">BH77-BI77</f>
        <v>0</v>
      </c>
      <c r="BJ80" s="67" t="n">
        <f aca="false">BI77-BJ77</f>
        <v>0</v>
      </c>
    </row>
    <row r="81" customFormat="false" ht="15" hidden="false" customHeight="false" outlineLevel="0" collapsed="false">
      <c r="A81" s="6" t="s">
        <v>339</v>
      </c>
      <c r="C81" s="67" t="n">
        <f aca="false">-C78</f>
        <v>-624.323927777778</v>
      </c>
      <c r="D81" s="67" t="n">
        <f aca="false">C78-D78</f>
        <v>-27.3873212962963</v>
      </c>
      <c r="E81" s="67" t="n">
        <f aca="false">D78-E78</f>
        <v>-27.3873212962963</v>
      </c>
      <c r="F81" s="67" t="n">
        <f aca="false">E78-F78</f>
        <v>-27.3873212962964</v>
      </c>
      <c r="G81" s="67" t="n">
        <f aca="false">F78-G78</f>
        <v>-27.3873212962963</v>
      </c>
      <c r="H81" s="67" t="n">
        <f aca="false">G78-H78</f>
        <v>-136.936606481481</v>
      </c>
      <c r="I81" s="67" t="n">
        <f aca="false">H78-I78</f>
        <v>-37.3463472222226</v>
      </c>
      <c r="J81" s="67" t="n">
        <f aca="false">I78-J78</f>
        <v>-37.346347222222</v>
      </c>
      <c r="K81" s="67" t="n">
        <f aca="false">J78-K78</f>
        <v>102.080015740741</v>
      </c>
      <c r="L81" s="67" t="n">
        <f aca="false">K78-L78</f>
        <v>-27.3873212962961</v>
      </c>
      <c r="M81" s="67" t="n">
        <f aca="false">L78-M78</f>
        <v>-27.3873212962964</v>
      </c>
      <c r="N81" s="67" t="n">
        <f aca="false">M78-N78</f>
        <v>-27.3873212962963</v>
      </c>
      <c r="O81" s="67" t="n">
        <f aca="false">N78-O78</f>
        <v>-58.0320391296298</v>
      </c>
      <c r="P81" s="67" t="n">
        <f aca="false">O78-P78</f>
        <v>-28.0675833981481</v>
      </c>
      <c r="Q81" s="67" t="n">
        <f aca="false">P78-Q78</f>
        <v>-28.0675833981481</v>
      </c>
      <c r="R81" s="67" t="n">
        <f aca="false">Q78-R78</f>
        <v>0</v>
      </c>
      <c r="S81" s="67" t="n">
        <f aca="false">R78-S78</f>
        <v>0</v>
      </c>
      <c r="T81" s="67" t="n">
        <f aca="false">S78-T78</f>
        <v>-204.12787925926</v>
      </c>
      <c r="U81" s="67" t="n">
        <f aca="false">T78-U78</f>
        <v>0</v>
      </c>
      <c r="V81" s="67" t="n">
        <f aca="false">U78-V78</f>
        <v>0</v>
      </c>
      <c r="W81" s="67" t="n">
        <f aca="false">V78-W78</f>
        <v>204.12787925926</v>
      </c>
      <c r="X81" s="67" t="n">
        <f aca="false">W78-X78</f>
        <v>0</v>
      </c>
      <c r="Y81" s="67" t="n">
        <f aca="false">X78-Y78</f>
        <v>0</v>
      </c>
      <c r="Z81" s="67" t="n">
        <f aca="false">Y78-Z78</f>
        <v>0</v>
      </c>
      <c r="AA81" s="67" t="n">
        <f aca="false">Z78-AA78</f>
        <v>-33.2024055685185</v>
      </c>
      <c r="AB81" s="67" t="n">
        <f aca="false">AA78-AB78</f>
        <v>0</v>
      </c>
      <c r="AC81" s="67" t="n">
        <f aca="false">AB78-AC78</f>
        <v>0</v>
      </c>
      <c r="AD81" s="67" t="n">
        <f aca="false">AC78-AD78</f>
        <v>0</v>
      </c>
      <c r="AE81" s="67" t="n">
        <f aca="false">AD78-AE78</f>
        <v>0</v>
      </c>
      <c r="AF81" s="67" t="n">
        <f aca="false">AE78-AF78</f>
        <v>-209.24293582963</v>
      </c>
      <c r="AG81" s="67" t="n">
        <f aca="false">AF78-AG78</f>
        <v>0</v>
      </c>
      <c r="AH81" s="67" t="n">
        <f aca="false">AG78-AH78</f>
        <v>0</v>
      </c>
      <c r="AI81" s="67" t="n">
        <f aca="false">AH78-AI78</f>
        <v>209.24293582963</v>
      </c>
      <c r="AJ81" s="67" t="n">
        <f aca="false">AI78-AJ78</f>
        <v>0</v>
      </c>
      <c r="AK81" s="67" t="n">
        <f aca="false">AJ78-AK78</f>
        <v>0</v>
      </c>
      <c r="AL81" s="67" t="n">
        <f aca="false">AK78-AL78</f>
        <v>0</v>
      </c>
      <c r="AM81" s="67" t="n">
        <f aca="false">AL78-AM78</f>
        <v>-34.4466251797592</v>
      </c>
      <c r="AN81" s="67" t="n">
        <f aca="false">AM78-AN78</f>
        <v>0</v>
      </c>
      <c r="AO81" s="67" t="n">
        <f aca="false">AN78-AO78</f>
        <v>0</v>
      </c>
      <c r="AP81" s="67" t="n">
        <f aca="false">AO78-AP78</f>
        <v>0</v>
      </c>
      <c r="AQ81" s="67" t="n">
        <f aca="false">AP78-AQ78</f>
        <v>0</v>
      </c>
      <c r="AR81" s="67" t="n">
        <f aca="false">AQ78-AR78</f>
        <v>-214.532094076815</v>
      </c>
      <c r="AS81" s="67" t="n">
        <f aca="false">AR78-AS78</f>
        <v>0</v>
      </c>
      <c r="AT81" s="67" t="n">
        <f aca="false">AS78-AT78</f>
        <v>0</v>
      </c>
      <c r="AU81" s="67" t="n">
        <f aca="false">AT78-AU78</f>
        <v>214.532094076815</v>
      </c>
      <c r="AV81" s="67" t="n">
        <f aca="false">AU78-AV78</f>
        <v>0</v>
      </c>
      <c r="AW81" s="67" t="n">
        <f aca="false">AV78-AW78</f>
        <v>0</v>
      </c>
      <c r="AX81" s="67" t="n">
        <f aca="false">AW78-AX78</f>
        <v>0</v>
      </c>
      <c r="AY81" s="67" t="n">
        <f aca="false">AX78-AY78</f>
        <v>-35.7397748093347</v>
      </c>
      <c r="AZ81" s="67" t="n">
        <f aca="false">AY78-AZ78</f>
        <v>0</v>
      </c>
      <c r="BA81" s="67" t="n">
        <f aca="false">AZ78-BA78</f>
        <v>0</v>
      </c>
      <c r="BB81" s="67" t="n">
        <f aca="false">BA78-BB78</f>
        <v>0</v>
      </c>
      <c r="BC81" s="67" t="n">
        <f aca="false">BB78-BC78</f>
        <v>0</v>
      </c>
      <c r="BD81" s="67" t="n">
        <f aca="false">BC78-BD78</f>
        <v>-220.002013062028</v>
      </c>
      <c r="BE81" s="67" t="n">
        <f aca="false">BD78-BE78</f>
        <v>0</v>
      </c>
      <c r="BF81" s="67" t="n">
        <f aca="false">BE78-BF78</f>
        <v>0</v>
      </c>
      <c r="BG81" s="67" t="n">
        <f aca="false">BF78-BG78</f>
        <v>220.002013062028</v>
      </c>
      <c r="BH81" s="67" t="n">
        <f aca="false">BG78-BH78</f>
        <v>0</v>
      </c>
      <c r="BI81" s="67" t="n">
        <f aca="false">BH78-BI78</f>
        <v>0</v>
      </c>
      <c r="BJ81" s="67" t="n">
        <f aca="false">BI78-BJ78</f>
        <v>0</v>
      </c>
    </row>
    <row r="82" customFormat="false" ht="15" hidden="false" customHeight="false" outlineLevel="0" collapsed="false">
      <c r="A82" s="6" t="s">
        <v>340</v>
      </c>
      <c r="C82" s="67" t="n">
        <f aca="false">C79</f>
        <v>5202.69939814815</v>
      </c>
      <c r="D82" s="67" t="n">
        <f aca="false">D79-C79</f>
        <v>228.227677469135</v>
      </c>
      <c r="E82" s="67" t="n">
        <f aca="false">E79-D79</f>
        <v>228.227677469136</v>
      </c>
      <c r="F82" s="67" t="n">
        <f aca="false">F79-E79</f>
        <v>228.227677469135</v>
      </c>
      <c r="G82" s="67" t="n">
        <f aca="false">G79-F79</f>
        <v>228.227677469135</v>
      </c>
      <c r="H82" s="67" t="n">
        <f aca="false">H79-G79</f>
        <v>1141.13838734568</v>
      </c>
      <c r="I82" s="67" t="n">
        <f aca="false">I79-H79</f>
        <v>311.219560185188</v>
      </c>
      <c r="J82" s="67" t="n">
        <f aca="false">J79-I79</f>
        <v>311.219560185184</v>
      </c>
      <c r="K82" s="67" t="n">
        <f aca="false">K79-J79</f>
        <v>-850.666797839505</v>
      </c>
      <c r="L82" s="67" t="n">
        <f aca="false">L79-K79</f>
        <v>228.227677469134</v>
      </c>
      <c r="M82" s="67" t="n">
        <f aca="false">M79-L79</f>
        <v>228.227677469137</v>
      </c>
      <c r="N82" s="67" t="n">
        <f aca="false">N79-M79</f>
        <v>228.227677469135</v>
      </c>
      <c r="O82" s="67" t="n">
        <f aca="false">O79-N79</f>
        <v>483.600326080247</v>
      </c>
      <c r="P82" s="67" t="n">
        <f aca="false">P79-O79</f>
        <v>233.896528317902</v>
      </c>
      <c r="Q82" s="67" t="n">
        <f aca="false">Q79-P79</f>
        <v>233.8965283179</v>
      </c>
      <c r="R82" s="67" t="n">
        <f aca="false">R79-Q79</f>
        <v>0</v>
      </c>
      <c r="S82" s="67" t="n">
        <f aca="false">S79-R79</f>
        <v>0</v>
      </c>
      <c r="T82" s="67" t="n">
        <f aca="false">T79-S79</f>
        <v>1701.06566049383</v>
      </c>
      <c r="U82" s="67" t="n">
        <f aca="false">U79-T79</f>
        <v>0</v>
      </c>
      <c r="V82" s="67" t="n">
        <f aca="false">V79-U79</f>
        <v>0</v>
      </c>
      <c r="W82" s="67" t="n">
        <f aca="false">W79-V79</f>
        <v>-1701.06566049383</v>
      </c>
      <c r="X82" s="67" t="n">
        <f aca="false">X79-W79</f>
        <v>0</v>
      </c>
      <c r="Y82" s="67" t="n">
        <f aca="false">Y79-X79</f>
        <v>0</v>
      </c>
      <c r="Z82" s="67" t="n">
        <f aca="false">Z79-Y79</f>
        <v>0</v>
      </c>
      <c r="AA82" s="67" t="n">
        <f aca="false">AA79-Z79</f>
        <v>276.686713070987</v>
      </c>
      <c r="AB82" s="67" t="n">
        <f aca="false">AB79-AA79</f>
        <v>0</v>
      </c>
      <c r="AC82" s="67" t="n">
        <f aca="false">AC79-AB79</f>
        <v>0</v>
      </c>
      <c r="AD82" s="67" t="n">
        <f aca="false">AD79-AC79</f>
        <v>0</v>
      </c>
      <c r="AE82" s="67" t="n">
        <f aca="false">AE79-AD79</f>
        <v>0</v>
      </c>
      <c r="AF82" s="67" t="n">
        <f aca="false">AF79-AE79</f>
        <v>1743.69113191359</v>
      </c>
      <c r="AG82" s="67" t="n">
        <f aca="false">AG79-AF79</f>
        <v>0</v>
      </c>
      <c r="AH82" s="67" t="n">
        <f aca="false">AH79-AG79</f>
        <v>0</v>
      </c>
      <c r="AI82" s="67" t="n">
        <f aca="false">AI79-AH79</f>
        <v>-1743.69113191359</v>
      </c>
      <c r="AJ82" s="67" t="n">
        <f aca="false">AJ79-AI79</f>
        <v>0</v>
      </c>
      <c r="AK82" s="67" t="n">
        <f aca="false">AK79-AJ79</f>
        <v>0</v>
      </c>
      <c r="AL82" s="67" t="n">
        <f aca="false">AL79-AK79</f>
        <v>0</v>
      </c>
      <c r="AM82" s="67" t="n">
        <f aca="false">AM79-AL79</f>
        <v>287.055209831327</v>
      </c>
      <c r="AN82" s="67" t="n">
        <f aca="false">AN79-AM79</f>
        <v>0</v>
      </c>
      <c r="AO82" s="67" t="n">
        <f aca="false">AO79-AN79</f>
        <v>0</v>
      </c>
      <c r="AP82" s="67" t="n">
        <f aca="false">AP79-AO79</f>
        <v>0</v>
      </c>
      <c r="AQ82" s="67" t="n">
        <f aca="false">AQ79-AP79</f>
        <v>0</v>
      </c>
      <c r="AR82" s="67" t="n">
        <f aca="false">AR79-AQ79</f>
        <v>1787.76745064013</v>
      </c>
      <c r="AS82" s="67" t="n">
        <f aca="false">AS79-AR79</f>
        <v>0</v>
      </c>
      <c r="AT82" s="67" t="n">
        <f aca="false">AT79-AS79</f>
        <v>0</v>
      </c>
      <c r="AU82" s="67" t="n">
        <f aca="false">AU79-AT79</f>
        <v>-1787.76745064013</v>
      </c>
      <c r="AV82" s="67" t="n">
        <f aca="false">AV79-AU79</f>
        <v>0</v>
      </c>
      <c r="AW82" s="67" t="n">
        <f aca="false">AW79-AV79</f>
        <v>0</v>
      </c>
      <c r="AX82" s="67" t="n">
        <f aca="false">AX79-AW79</f>
        <v>0</v>
      </c>
      <c r="AY82" s="67" t="n">
        <f aca="false">AY79-AX79</f>
        <v>297.831456744456</v>
      </c>
      <c r="AZ82" s="67" t="n">
        <f aca="false">AZ79-AY79</f>
        <v>0</v>
      </c>
      <c r="BA82" s="67" t="n">
        <f aca="false">BA79-AZ79</f>
        <v>0</v>
      </c>
      <c r="BB82" s="67" t="n">
        <f aca="false">BB79-BA79</f>
        <v>0</v>
      </c>
      <c r="BC82" s="67" t="n">
        <f aca="false">BC79-BB79</f>
        <v>0</v>
      </c>
      <c r="BD82" s="67" t="n">
        <f aca="false">BD79-BC79</f>
        <v>1833.35010885023</v>
      </c>
      <c r="BE82" s="67" t="n">
        <f aca="false">BE79-BD79</f>
        <v>0</v>
      </c>
      <c r="BF82" s="67" t="n">
        <f aca="false">BF79-BE79</f>
        <v>0</v>
      </c>
      <c r="BG82" s="67" t="n">
        <f aca="false">BG79-BF79</f>
        <v>-1833.35010885023</v>
      </c>
      <c r="BH82" s="67" t="n">
        <f aca="false">BH79-BG79</f>
        <v>0</v>
      </c>
      <c r="BI82" s="67" t="n">
        <f aca="false">BI79-BH79</f>
        <v>0</v>
      </c>
      <c r="BJ82" s="67" t="n">
        <f aca="false">BJ79-BI79</f>
        <v>0</v>
      </c>
    </row>
    <row r="84" customFormat="false" ht="15.75" hidden="false" customHeight="true" outlineLevel="0" collapsed="false">
      <c r="A84" s="7" t="s">
        <v>437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4" t="s">
        <v>52</v>
      </c>
      <c r="C85" s="73" t="n">
        <f aca="false">C53-C64+C80+C81+C82</f>
        <v>-11070.7864740741</v>
      </c>
      <c r="D85" s="73" t="n">
        <f aca="false">D53-D64+D80+D81+D82</f>
        <v>-14294.0502968696</v>
      </c>
      <c r="E85" s="73" t="n">
        <f aca="false">E53-E64+E80+E81+E82</f>
        <v>-13641.3580025255</v>
      </c>
      <c r="F85" s="73" t="n">
        <f aca="false">F53-F64+F80+F81+F82</f>
        <v>-12988.644582722</v>
      </c>
      <c r="G85" s="73" t="n">
        <f aca="false">G53-G64+G80+G81+G82</f>
        <v>-12335.9099142275</v>
      </c>
      <c r="H85" s="73" t="n">
        <f aca="false">H53-H64+H80+H81+H82</f>
        <v>-8684.78930025158</v>
      </c>
      <c r="I85" s="73" t="n">
        <f aca="false">I53-I64+I80+I81+I82</f>
        <v>-8161.51458896009</v>
      </c>
      <c r="J85" s="73" t="n">
        <f aca="false">J53-J64+J80+J81+J82</f>
        <v>-7272.68968705079</v>
      </c>
      <c r="K85" s="73" t="n">
        <f aca="false">K53-K64+K80+K81+K82</f>
        <v>-10199.9434017245</v>
      </c>
      <c r="L85" s="73" t="n">
        <f aca="false">L53-L64+L80+L81+L82</f>
        <v>-9071.91347771782</v>
      </c>
      <c r="M85" s="73" t="n">
        <f aca="false">M53-M64+M80+M81+M82</f>
        <v>-8419.04868865703</v>
      </c>
      <c r="N85" s="73" t="n">
        <f aca="false">N53-N64+N80+N81+N82</f>
        <v>-7766.16176791777</v>
      </c>
      <c r="O85" s="73" t="n">
        <f aca="false">O53-O64+O80+O81+O82</f>
        <v>-6993.89951395413</v>
      </c>
      <c r="P85" s="73" t="n">
        <f aca="false">P53-P64+P80+P81+P82</f>
        <v>-6541.22606484985</v>
      </c>
      <c r="Q85" s="73" t="n">
        <f aca="false">Q53-Q64+Q80+Q81+Q82</f>
        <v>-5885.84515246818</v>
      </c>
      <c r="R85" s="73" t="n">
        <f aca="false">R53-R64+R80+R81+R82</f>
        <v>-5986.44493840433</v>
      </c>
      <c r="S85" s="73" t="n">
        <f aca="false">S53-S64+S80+S81+S82</f>
        <v>-5982.51619465999</v>
      </c>
      <c r="T85" s="73" t="n">
        <f aca="false">T53-T64+T80+T81+T82</f>
        <v>-480.358344601835</v>
      </c>
      <c r="U85" s="73" t="n">
        <f aca="false">U53-U64+U80+U81+U82</f>
        <v>-1236.42541306196</v>
      </c>
      <c r="V85" s="73" t="n">
        <f aca="false">V53-V64+V80+V81+V82</f>
        <v>-1232.427514463</v>
      </c>
      <c r="W85" s="73" t="n">
        <f aca="false">W53-W64+W80+W81+W82</f>
        <v>-6726.61248343086</v>
      </c>
      <c r="X85" s="73" t="n">
        <f aca="false">X53-X64+X80+X81+X82</f>
        <v>-5962.52602540741</v>
      </c>
      <c r="Y85" s="73" t="n">
        <f aca="false">Y53-Y64+Y80+Y81+Y82</f>
        <v>-5958.45775467059</v>
      </c>
      <c r="Z85" s="73" t="n">
        <f aca="false">Z53-Z64+Z80+Z81+Z82</f>
        <v>-5954.36575235447</v>
      </c>
      <c r="AA85" s="73" t="n">
        <f aca="false">AA53-AA64+AA80+AA81+AA82</f>
        <v>-5970.49958020756</v>
      </c>
      <c r="AB85" s="73" t="n">
        <f aca="false">AB53-AB64+AB80+AB81+AB82</f>
        <v>-6189.57936612514</v>
      </c>
      <c r="AC85" s="73" t="n">
        <f aca="false">AC53-AC64+AC80+AC81+AC82</f>
        <v>-6185.41533523101</v>
      </c>
      <c r="AD85" s="73" t="n">
        <f aca="false">AD53-AD64+AD80+AD81+AD82</f>
        <v>-6181.22701415667</v>
      </c>
      <c r="AE85" s="73" t="n">
        <f aca="false">AE53-AE64+AE80+AE81+AE82</f>
        <v>-6177.01426120939</v>
      </c>
      <c r="AF85" s="73" t="n">
        <f aca="false">AF53-AF64+AF80+AF81+AF82</f>
        <v>-627.785424082256</v>
      </c>
      <c r="AG85" s="73" t="n">
        <f aca="false">AG53-AG64+AG80+AG81+AG82</f>
        <v>-1413.70661508393</v>
      </c>
      <c r="AH85" s="73" t="n">
        <f aca="false">AH53-AH64+AH80+AH81+AH82</f>
        <v>-1409.41970807199</v>
      </c>
      <c r="AI85" s="73" t="n">
        <f aca="false">AI53-AI64+AI80+AI81+AI82</f>
        <v>-6950.09930389015</v>
      </c>
      <c r="AJ85" s="73" t="n">
        <f aca="false">AJ53-AJ64+AJ80+AJ81+AJ82</f>
        <v>-6155.57900100521</v>
      </c>
      <c r="AK85" s="73" t="n">
        <f aca="false">AK53-AK64+AK80+AK81+AK82</f>
        <v>-6151.21663464788</v>
      </c>
      <c r="AL85" s="73" t="n">
        <f aca="false">AL53-AL64+AL80+AL81+AL82</f>
        <v>-6146.82882115346</v>
      </c>
      <c r="AM85" s="73" t="n">
        <f aca="false">AM53-AM64+AM80+AM81+AM82</f>
        <v>-6275.33653074635</v>
      </c>
      <c r="AN85" s="73" t="n">
        <f aca="false">AN53-AN64+AN80+AN81+AN82</f>
        <v>-6503.03867503852</v>
      </c>
      <c r="AO85" s="73" t="n">
        <f aca="false">AO53-AO64+AO80+AO81+AO82</f>
        <v>-6498.57362601437</v>
      </c>
      <c r="AP85" s="73" t="n">
        <f aca="false">AP53-AP64+AP80+AP81+AP82</f>
        <v>-6494.08253087091</v>
      </c>
      <c r="AQ85" s="73" t="n">
        <f aca="false">AQ53-AQ64+AQ80+AQ81+AQ82</f>
        <v>-6489.56523767244</v>
      </c>
      <c r="AR85" s="73" t="n">
        <f aca="false">AR53-AR64+AR80+AR81+AR82</f>
        <v>-893.104779081824</v>
      </c>
      <c r="AS85" s="73" t="n">
        <f aca="false">AS53-AS64+AS80+AS81+AS82</f>
        <v>-1710.06237737924</v>
      </c>
      <c r="AT85" s="73" t="n">
        <f aca="false">AT53-AT64+AT80+AT81+AT82</f>
        <v>-1705.46556951279</v>
      </c>
      <c r="AU85" s="73" t="n">
        <f aca="false">AU53-AU64+AU80+AU81+AU82</f>
        <v>-7292.75876144895</v>
      </c>
      <c r="AV85" s="73" t="n">
        <f aca="false">AV53-AV64+AV80+AV81+AV82</f>
        <v>-6466.58042077493</v>
      </c>
      <c r="AW85" s="73" t="n">
        <f aca="false">AW53-AW64+AW80+AW81+AW82</f>
        <v>-6461.9026986009</v>
      </c>
      <c r="AX85" s="73" t="n">
        <f aca="false">AX53-AX64+AX80+AX81+AX82</f>
        <v>-6457.19768971419</v>
      </c>
      <c r="AY85" s="73" t="n">
        <f aca="false">AY53-AY64+AY80+AY81+AY82</f>
        <v>-6670.48224313574</v>
      </c>
      <c r="AZ85" s="73" t="n">
        <f aca="false">AZ53-AZ64+AZ80+AZ81+AZ82</f>
        <v>-6907.14190504881</v>
      </c>
      <c r="BA85" s="73" t="n">
        <f aca="false">BA53-BA64+BA80+BA81+BA82</f>
        <v>-6902.35407726968</v>
      </c>
      <c r="BB85" s="73" t="n">
        <f aca="false">BB53-BB64+BB80+BB81+BB82</f>
        <v>-6897.53832049516</v>
      </c>
      <c r="BC85" s="73" t="n">
        <f aca="false">BC53-BC64+BC80+BC81+BC82</f>
        <v>-6892.69447180613</v>
      </c>
      <c r="BD85" s="73" t="n">
        <f aca="false">BD53-BD64+BD80+BD81+BD82</f>
        <v>-1248.85197945794</v>
      </c>
      <c r="BE85" s="73" t="n">
        <f aca="false">BE53-BE64+BE80+BE81+BE82</f>
        <v>-2098.07486446767</v>
      </c>
      <c r="BF85" s="73" t="n">
        <f aca="false">BF53-BF64+BF80+BF81+BF82</f>
        <v>-2093.14575298887</v>
      </c>
      <c r="BG85" s="73" t="n">
        <f aca="false">BG53-BG64+BG80+BG81+BG82</f>
        <v>-7727.15827623491</v>
      </c>
      <c r="BH85" s="73" t="n">
        <f aca="false">BH53-BH64+BH80+BH81+BH82</f>
        <v>-6868.04808063662</v>
      </c>
      <c r="BI85" s="73" t="n">
        <f aca="false">BI53-BI64+BI80+BI81+BI82</f>
        <v>-6863.03220554841</v>
      </c>
      <c r="BJ85" s="73" t="n">
        <f aca="false">BJ53-BJ64+BJ80+BJ81+BJ82</f>
        <v>-6857.98707118886</v>
      </c>
    </row>
    <row r="86" customFormat="false" ht="15" hidden="false" customHeight="false" outlineLevel="0" collapsed="false">
      <c r="A86" s="6" t="s">
        <v>438</v>
      </c>
      <c r="C86" s="67" t="n">
        <f aca="false">-C61</f>
        <v>-865750</v>
      </c>
      <c r="D86" s="67" t="n">
        <f aca="false">-D61</f>
        <v>-750</v>
      </c>
      <c r="E86" s="67" t="n">
        <f aca="false">-E61</f>
        <v>-750</v>
      </c>
      <c r="F86" s="67" t="n">
        <f aca="false">-F61</f>
        <v>-750</v>
      </c>
      <c r="G86" s="67" t="n">
        <f aca="false">-G61</f>
        <v>-750</v>
      </c>
      <c r="H86" s="67" t="n">
        <f aca="false">-H61</f>
        <v>-750</v>
      </c>
      <c r="I86" s="67" t="n">
        <f aca="false">-I61</f>
        <v>-750</v>
      </c>
      <c r="J86" s="67" t="n">
        <f aca="false">-J61</f>
        <v>-750</v>
      </c>
      <c r="K86" s="67" t="n">
        <f aca="false">-K61</f>
        <v>-750</v>
      </c>
      <c r="L86" s="67" t="n">
        <f aca="false">-L61</f>
        <v>-750</v>
      </c>
      <c r="M86" s="67" t="n">
        <f aca="false">-M61</f>
        <v>-750</v>
      </c>
      <c r="N86" s="67" t="n">
        <f aca="false">-N61</f>
        <v>-750</v>
      </c>
      <c r="O86" s="67" t="n">
        <f aca="false">-O61</f>
        <v>-780</v>
      </c>
      <c r="P86" s="67" t="n">
        <f aca="false">-P61</f>
        <v>-780</v>
      </c>
      <c r="Q86" s="67" t="n">
        <f aca="false">-Q61</f>
        <v>-780</v>
      </c>
      <c r="R86" s="67" t="n">
        <f aca="false">-R61</f>
        <v>-780</v>
      </c>
      <c r="S86" s="67" t="n">
        <f aca="false">-S61</f>
        <v>-780</v>
      </c>
      <c r="T86" s="67" t="n">
        <f aca="false">-T61</f>
        <v>-780</v>
      </c>
      <c r="U86" s="67" t="n">
        <f aca="false">-U61</f>
        <v>-780</v>
      </c>
      <c r="V86" s="67" t="n">
        <f aca="false">-V61</f>
        <v>-780</v>
      </c>
      <c r="W86" s="67" t="n">
        <f aca="false">-W61</f>
        <v>-780</v>
      </c>
      <c r="X86" s="67" t="n">
        <f aca="false">-X61</f>
        <v>-780</v>
      </c>
      <c r="Y86" s="67" t="n">
        <f aca="false">-Y61</f>
        <v>-780</v>
      </c>
      <c r="Z86" s="67" t="n">
        <f aca="false">-Z61</f>
        <v>-780</v>
      </c>
      <c r="AA86" s="67" t="n">
        <f aca="false">-AA61</f>
        <v>-811.2</v>
      </c>
      <c r="AB86" s="67" t="n">
        <f aca="false">-AB61</f>
        <v>-811.2</v>
      </c>
      <c r="AC86" s="67" t="n">
        <f aca="false">-AC61</f>
        <v>-811.2</v>
      </c>
      <c r="AD86" s="67" t="n">
        <f aca="false">-AD61</f>
        <v>-811.2</v>
      </c>
      <c r="AE86" s="67" t="n">
        <f aca="false">-AE61</f>
        <v>-811.2</v>
      </c>
      <c r="AF86" s="67" t="n">
        <f aca="false">-AF61</f>
        <v>-811.2</v>
      </c>
      <c r="AG86" s="67" t="n">
        <f aca="false">-AG61</f>
        <v>-811.2</v>
      </c>
      <c r="AH86" s="67" t="n">
        <f aca="false">-AH61</f>
        <v>-811.2</v>
      </c>
      <c r="AI86" s="67" t="n">
        <f aca="false">-AI61</f>
        <v>-811.2</v>
      </c>
      <c r="AJ86" s="67" t="n">
        <f aca="false">-AJ61</f>
        <v>-811.2</v>
      </c>
      <c r="AK86" s="67" t="n">
        <f aca="false">-AK61</f>
        <v>-811.2</v>
      </c>
      <c r="AL86" s="67" t="n">
        <f aca="false">-AL61</f>
        <v>-811.2</v>
      </c>
      <c r="AM86" s="67" t="n">
        <f aca="false">-AM61</f>
        <v>-843.648</v>
      </c>
      <c r="AN86" s="67" t="n">
        <f aca="false">-AN61</f>
        <v>-843.648</v>
      </c>
      <c r="AO86" s="67" t="n">
        <f aca="false">-AO61</f>
        <v>-843.648</v>
      </c>
      <c r="AP86" s="67" t="n">
        <f aca="false">-AP61</f>
        <v>-843.648</v>
      </c>
      <c r="AQ86" s="67" t="n">
        <f aca="false">-AQ61</f>
        <v>-843.648</v>
      </c>
      <c r="AR86" s="67" t="n">
        <f aca="false">-AR61</f>
        <v>-843.648</v>
      </c>
      <c r="AS86" s="67" t="n">
        <f aca="false">-AS61</f>
        <v>-843.648</v>
      </c>
      <c r="AT86" s="67" t="n">
        <f aca="false">-AT61</f>
        <v>-843.648</v>
      </c>
      <c r="AU86" s="67" t="n">
        <f aca="false">-AU61</f>
        <v>-843.648</v>
      </c>
      <c r="AV86" s="67" t="n">
        <f aca="false">-AV61</f>
        <v>-843.648</v>
      </c>
      <c r="AW86" s="67" t="n">
        <f aca="false">-AW61</f>
        <v>-843.648</v>
      </c>
      <c r="AX86" s="67" t="n">
        <f aca="false">-AX61</f>
        <v>-843.648</v>
      </c>
      <c r="AY86" s="67" t="n">
        <f aca="false">-AY61</f>
        <v>-877.39392</v>
      </c>
      <c r="AZ86" s="67" t="n">
        <f aca="false">-AZ61</f>
        <v>-877.39392</v>
      </c>
      <c r="BA86" s="67" t="n">
        <f aca="false">-BA61</f>
        <v>-877.39392</v>
      </c>
      <c r="BB86" s="67" t="n">
        <f aca="false">-BB61</f>
        <v>-877.39392</v>
      </c>
      <c r="BC86" s="67" t="n">
        <f aca="false">-BC61</f>
        <v>-877.39392</v>
      </c>
      <c r="BD86" s="67" t="n">
        <f aca="false">-BD61</f>
        <v>-877.39392</v>
      </c>
      <c r="BE86" s="67" t="n">
        <f aca="false">-BE61</f>
        <v>-877.39392</v>
      </c>
      <c r="BF86" s="67" t="n">
        <f aca="false">-BF61</f>
        <v>-877.39392</v>
      </c>
      <c r="BG86" s="67" t="n">
        <f aca="false">-BG61</f>
        <v>-877.39392</v>
      </c>
      <c r="BH86" s="67" t="n">
        <f aca="false">-BH61</f>
        <v>-877.39392</v>
      </c>
      <c r="BI86" s="67" t="n">
        <f aca="false">-BI61</f>
        <v>-877.39392</v>
      </c>
      <c r="BJ86" s="67" t="n">
        <f aca="false">-BJ61</f>
        <v>-877.39392</v>
      </c>
    </row>
    <row r="87" customFormat="false" ht="15" hidden="false" customHeight="false" outlineLevel="0" collapsed="false">
      <c r="A87" s="6" t="s">
        <v>64</v>
      </c>
      <c r="C87" s="67" t="n">
        <f aca="false">IF(C$6=1,Inputs!$B$65,0)</f>
        <v>430000</v>
      </c>
      <c r="D87" s="67" t="n">
        <f aca="false">IF(D$6=1,Inputs!$B$65,0)</f>
        <v>0</v>
      </c>
      <c r="E87" s="67" t="n">
        <f aca="false">IF(E$6=1,Inputs!$B$65,0)</f>
        <v>0</v>
      </c>
      <c r="F87" s="67" t="n">
        <f aca="false">IF(F$6=1,Inputs!$B$65,0)</f>
        <v>0</v>
      </c>
      <c r="G87" s="67" t="n">
        <f aca="false">IF(G$6=1,Inputs!$B$65,0)</f>
        <v>0</v>
      </c>
      <c r="H87" s="67" t="n">
        <f aca="false">IF(H$6=1,Inputs!$B$65,0)</f>
        <v>0</v>
      </c>
      <c r="I87" s="67" t="n">
        <f aca="false">IF(I$6=1,Inputs!$B$65,0)</f>
        <v>0</v>
      </c>
      <c r="J87" s="67" t="n">
        <f aca="false">IF(J$6=1,Inputs!$B$65,0)</f>
        <v>0</v>
      </c>
      <c r="K87" s="67" t="n">
        <f aca="false">IF(K$6=1,Inputs!$B$65,0)</f>
        <v>0</v>
      </c>
      <c r="L87" s="67" t="n">
        <f aca="false">IF(L$6=1,Inputs!$B$65,0)</f>
        <v>0</v>
      </c>
      <c r="M87" s="67" t="n">
        <f aca="false">IF(M$6=1,Inputs!$B$65,0)</f>
        <v>0</v>
      </c>
      <c r="N87" s="67" t="n">
        <f aca="false">IF(N$6=1,Inputs!$B$65,0)</f>
        <v>0</v>
      </c>
      <c r="O87" s="67" t="n">
        <f aca="false">IF(O$6=1,Inputs!$B$65,0)</f>
        <v>0</v>
      </c>
      <c r="P87" s="67" t="n">
        <f aca="false">IF(P$6=1,Inputs!$B$65,0)</f>
        <v>0</v>
      </c>
      <c r="Q87" s="67" t="n">
        <f aca="false">IF(Q$6=1,Inputs!$B$65,0)</f>
        <v>0</v>
      </c>
      <c r="R87" s="67" t="n">
        <f aca="false">IF(R$6=1,Inputs!$B$65,0)</f>
        <v>0</v>
      </c>
      <c r="S87" s="67" t="n">
        <f aca="false">IF(S$6=1,Inputs!$B$65,0)</f>
        <v>0</v>
      </c>
      <c r="T87" s="67" t="n">
        <f aca="false">IF(T$6=1,Inputs!$B$65,0)</f>
        <v>0</v>
      </c>
      <c r="U87" s="67" t="n">
        <f aca="false">IF(U$6=1,Inputs!$B$65,0)</f>
        <v>0</v>
      </c>
      <c r="V87" s="67" t="n">
        <f aca="false">IF(V$6=1,Inputs!$B$65,0)</f>
        <v>0</v>
      </c>
      <c r="W87" s="67" t="n">
        <f aca="false">IF(W$6=1,Inputs!$B$65,0)</f>
        <v>0</v>
      </c>
      <c r="X87" s="67" t="n">
        <f aca="false">IF(X$6=1,Inputs!$B$65,0)</f>
        <v>0</v>
      </c>
      <c r="Y87" s="67" t="n">
        <f aca="false">IF(Y$6=1,Inputs!$B$65,0)</f>
        <v>0</v>
      </c>
      <c r="Z87" s="67" t="n">
        <f aca="false">IF(Z$6=1,Inputs!$B$65,0)</f>
        <v>0</v>
      </c>
      <c r="AA87" s="67" t="n">
        <f aca="false">IF(AA$6=1,Inputs!$B$65,0)</f>
        <v>0</v>
      </c>
      <c r="AB87" s="67" t="n">
        <f aca="false">IF(AB$6=1,Inputs!$B$65,0)</f>
        <v>0</v>
      </c>
      <c r="AC87" s="67" t="n">
        <f aca="false">IF(AC$6=1,Inputs!$B$65,0)</f>
        <v>0</v>
      </c>
      <c r="AD87" s="67" t="n">
        <f aca="false">IF(AD$6=1,Inputs!$B$65,0)</f>
        <v>0</v>
      </c>
      <c r="AE87" s="67" t="n">
        <f aca="false">IF(AE$6=1,Inputs!$B$65,0)</f>
        <v>0</v>
      </c>
      <c r="AF87" s="67" t="n">
        <f aca="false">IF(AF$6=1,Inputs!$B$65,0)</f>
        <v>0</v>
      </c>
      <c r="AG87" s="67" t="n">
        <f aca="false">IF(AG$6=1,Inputs!$B$65,0)</f>
        <v>0</v>
      </c>
      <c r="AH87" s="67" t="n">
        <f aca="false">IF(AH$6=1,Inputs!$B$65,0)</f>
        <v>0</v>
      </c>
      <c r="AI87" s="67" t="n">
        <f aca="false">IF(AI$6=1,Inputs!$B$65,0)</f>
        <v>0</v>
      </c>
      <c r="AJ87" s="67" t="n">
        <f aca="false">IF(AJ$6=1,Inputs!$B$65,0)</f>
        <v>0</v>
      </c>
      <c r="AK87" s="67" t="n">
        <f aca="false">IF(AK$6=1,Inputs!$B$65,0)</f>
        <v>0</v>
      </c>
      <c r="AL87" s="67" t="n">
        <f aca="false">IF(AL$6=1,Inputs!$B$65,0)</f>
        <v>0</v>
      </c>
      <c r="AM87" s="67" t="n">
        <f aca="false">IF(AM$6=1,Inputs!$B$65,0)</f>
        <v>0</v>
      </c>
      <c r="AN87" s="67" t="n">
        <f aca="false">IF(AN$6=1,Inputs!$B$65,0)</f>
        <v>0</v>
      </c>
      <c r="AO87" s="67" t="n">
        <f aca="false">IF(AO$6=1,Inputs!$B$65,0)</f>
        <v>0</v>
      </c>
      <c r="AP87" s="67" t="n">
        <f aca="false">IF(AP$6=1,Inputs!$B$65,0)</f>
        <v>0</v>
      </c>
      <c r="AQ87" s="67" t="n">
        <f aca="false">IF(AQ$6=1,Inputs!$B$65,0)</f>
        <v>0</v>
      </c>
      <c r="AR87" s="67" t="n">
        <f aca="false">IF(AR$6=1,Inputs!$B$65,0)</f>
        <v>0</v>
      </c>
      <c r="AS87" s="67" t="n">
        <f aca="false">IF(AS$6=1,Inputs!$B$65,0)</f>
        <v>0</v>
      </c>
      <c r="AT87" s="67" t="n">
        <f aca="false">IF(AT$6=1,Inputs!$B$65,0)</f>
        <v>0</v>
      </c>
      <c r="AU87" s="67" t="n">
        <f aca="false">IF(AU$6=1,Inputs!$B$65,0)</f>
        <v>0</v>
      </c>
      <c r="AV87" s="67" t="n">
        <f aca="false">IF(AV$6=1,Inputs!$B$65,0)</f>
        <v>0</v>
      </c>
      <c r="AW87" s="67" t="n">
        <f aca="false">IF(AW$6=1,Inputs!$B$65,0)</f>
        <v>0</v>
      </c>
      <c r="AX87" s="67" t="n">
        <f aca="false">IF(AX$6=1,Inputs!$B$65,0)</f>
        <v>0</v>
      </c>
      <c r="AY87" s="67" t="n">
        <f aca="false">IF(AY$6=1,Inputs!$B$65,0)</f>
        <v>0</v>
      </c>
      <c r="AZ87" s="67" t="n">
        <f aca="false">IF(AZ$6=1,Inputs!$B$65,0)</f>
        <v>0</v>
      </c>
      <c r="BA87" s="67" t="n">
        <f aca="false">IF(BA$6=1,Inputs!$B$65,0)</f>
        <v>0</v>
      </c>
      <c r="BB87" s="67" t="n">
        <f aca="false">IF(BB$6=1,Inputs!$B$65,0)</f>
        <v>0</v>
      </c>
      <c r="BC87" s="67" t="n">
        <f aca="false">IF(BC$6=1,Inputs!$B$65,0)</f>
        <v>0</v>
      </c>
      <c r="BD87" s="67" t="n">
        <f aca="false">IF(BD$6=1,Inputs!$B$65,0)</f>
        <v>0</v>
      </c>
      <c r="BE87" s="67" t="n">
        <f aca="false">IF(BE$6=1,Inputs!$B$65,0)</f>
        <v>0</v>
      </c>
      <c r="BF87" s="67" t="n">
        <f aca="false">IF(BF$6=1,Inputs!$B$65,0)</f>
        <v>0</v>
      </c>
      <c r="BG87" s="67" t="n">
        <f aca="false">IF(BG$6=1,Inputs!$B$65,0)</f>
        <v>0</v>
      </c>
      <c r="BH87" s="67" t="n">
        <f aca="false">IF(BH$6=1,Inputs!$B$65,0)</f>
        <v>0</v>
      </c>
      <c r="BI87" s="67" t="n">
        <f aca="false">IF(BI$6=1,Inputs!$B$65,0)</f>
        <v>0</v>
      </c>
      <c r="BJ87" s="67" t="n">
        <f aca="false">IF(BJ$6=1,Inputs!$B$65,0)</f>
        <v>0</v>
      </c>
    </row>
    <row r="88" customFormat="false" ht="15" hidden="false" customHeight="false" outlineLevel="0" collapsed="false">
      <c r="A88" s="6" t="s">
        <v>54</v>
      </c>
      <c r="C88" s="67" t="n">
        <f aca="false">C87+C70+C72</f>
        <v>929382.770680291</v>
      </c>
      <c r="D88" s="67" t="n">
        <f aca="false">D87+D70+D72</f>
        <v>-620.82982407376</v>
      </c>
      <c r="E88" s="67" t="n">
        <f aca="false">E87+E70+E72</f>
        <v>-624.451331380857</v>
      </c>
      <c r="F88" s="67" t="n">
        <f aca="false">F87+F70+F72</f>
        <v>-628.093964147245</v>
      </c>
      <c r="G88" s="67" t="n">
        <f aca="false">G87+G70+G72</f>
        <v>-631.757845604771</v>
      </c>
      <c r="H88" s="67" t="n">
        <f aca="false">H87+H70+H72</f>
        <v>-635.443099704132</v>
      </c>
      <c r="I88" s="67" t="n">
        <f aca="false">I87+I70+I72</f>
        <v>-639.149851119073</v>
      </c>
      <c r="J88" s="67" t="n">
        <f aca="false">J87+J70+J72</f>
        <v>-642.878225250601</v>
      </c>
      <c r="K88" s="67" t="n">
        <f aca="false">K87+K70+K72</f>
        <v>-646.62834823123</v>
      </c>
      <c r="L88" s="67" t="n">
        <f aca="false">L87+L70+L72</f>
        <v>-650.400346929245</v>
      </c>
      <c r="M88" s="67" t="n">
        <f aca="false">M87+M70+M72</f>
        <v>-654.194348952999</v>
      </c>
      <c r="N88" s="67" t="n">
        <f aca="false">N87+N70+N72</f>
        <v>-658.010482655225</v>
      </c>
      <c r="O88" s="67" t="n">
        <f aca="false">O87+O70+O72</f>
        <v>-661.84887713738</v>
      </c>
      <c r="P88" s="67" t="n">
        <f aca="false">P87+P70+P72</f>
        <v>-665.709662254014</v>
      </c>
      <c r="Q88" s="67" t="n">
        <f aca="false">Q87+Q70+Q72</f>
        <v>-669.592968617164</v>
      </c>
      <c r="R88" s="67" t="n">
        <f aca="false">R87+R70+R72</f>
        <v>-673.498927600764</v>
      </c>
      <c r="S88" s="67" t="n">
        <f aca="false">S87+S70+S72</f>
        <v>-677.427671345101</v>
      </c>
      <c r="T88" s="67" t="n">
        <f aca="false">T87+T70+T72</f>
        <v>-681.379332761281</v>
      </c>
      <c r="U88" s="67" t="n">
        <f aca="false">U87+U70+U72</f>
        <v>-685.354045535722</v>
      </c>
      <c r="V88" s="67" t="n">
        <f aca="false">V87+V70+V72</f>
        <v>-689.35194413468</v>
      </c>
      <c r="W88" s="67" t="n">
        <f aca="false">W87+W70+W72</f>
        <v>-693.373163808799</v>
      </c>
      <c r="X88" s="67" t="n">
        <f aca="false">X87+X70+X72</f>
        <v>-697.417840597684</v>
      </c>
      <c r="Y88" s="67" t="n">
        <f aca="false">Y87+Y70+Y72</f>
        <v>-701.486111334503</v>
      </c>
      <c r="Z88" s="67" t="n">
        <f aca="false">Z87+Z70+Z72</f>
        <v>-705.578113650622</v>
      </c>
      <c r="AA88" s="67" t="n">
        <f aca="false">AA87+AA70+AA72</f>
        <v>-709.69398598025</v>
      </c>
      <c r="AB88" s="67" t="n">
        <f aca="false">AB87+AB70+AB72</f>
        <v>-713.833867565135</v>
      </c>
      <c r="AC88" s="67" t="n">
        <f aca="false">AC87+AC70+AC72</f>
        <v>-717.997898459265</v>
      </c>
      <c r="AD88" s="67" t="n">
        <f aca="false">AD87+AD70+AD72</f>
        <v>-722.186219533611</v>
      </c>
      <c r="AE88" s="67" t="n">
        <f aca="false">AE87+AE70+AE72</f>
        <v>-726.39897248089</v>
      </c>
      <c r="AF88" s="67" t="n">
        <f aca="false">AF87+AF70+AF72</f>
        <v>-730.636299820362</v>
      </c>
      <c r="AG88" s="67" t="n">
        <f aca="false">AG87+AG70+AG72</f>
        <v>-734.898344902647</v>
      </c>
      <c r="AH88" s="67" t="n">
        <f aca="false">AH87+AH70+AH72</f>
        <v>-739.18525191458</v>
      </c>
      <c r="AI88" s="67" t="n">
        <f aca="false">AI87+AI70+AI72</f>
        <v>-743.497165884082</v>
      </c>
      <c r="AJ88" s="67" t="n">
        <f aca="false">AJ87+AJ70+AJ72</f>
        <v>-747.834232685072</v>
      </c>
      <c r="AK88" s="67" t="n">
        <f aca="false">AK87+AK70+AK72</f>
        <v>-752.196599042402</v>
      </c>
      <c r="AL88" s="67" t="n">
        <f aca="false">AL87+AL70+AL72</f>
        <v>-756.584412536815</v>
      </c>
      <c r="AM88" s="67" t="n">
        <f aca="false">AM87+AM70+AM72</f>
        <v>-760.997821609948</v>
      </c>
      <c r="AN88" s="67" t="n">
        <f aca="false">AN87+AN70+AN72</f>
        <v>-765.436975569339</v>
      </c>
      <c r="AO88" s="67" t="n">
        <f aca="false">AO87+AO70+AO72</f>
        <v>-769.902024593493</v>
      </c>
      <c r="AP88" s="67" t="n">
        <f aca="false">AP87+AP70+AP72</f>
        <v>-774.393119736955</v>
      </c>
      <c r="AQ88" s="67" t="n">
        <f aca="false">AQ87+AQ70+AQ72</f>
        <v>-778.910412935421</v>
      </c>
      <c r="AR88" s="67" t="n">
        <f aca="false">AR87+AR70+AR72</f>
        <v>-783.454057010878</v>
      </c>
      <c r="AS88" s="67" t="n">
        <f aca="false">AS87+AS70+AS72</f>
        <v>-788.024205676774</v>
      </c>
      <c r="AT88" s="67" t="n">
        <f aca="false">AT87+AT70+AT72</f>
        <v>-792.621013543222</v>
      </c>
      <c r="AU88" s="67" t="n">
        <f aca="false">AU87+AU70+AU72</f>
        <v>-797.244636122224</v>
      </c>
      <c r="AV88" s="67" t="n">
        <f aca="false">AV87+AV70+AV72</f>
        <v>-801.895229832937</v>
      </c>
      <c r="AW88" s="67" t="n">
        <f aca="false">AW87+AW70+AW72</f>
        <v>-806.572952006962</v>
      </c>
      <c r="AX88" s="67" t="n">
        <f aca="false">AX87+AX70+AX72</f>
        <v>-811.277960893669</v>
      </c>
      <c r="AY88" s="67" t="n">
        <f aca="false">AY87+AY70+AY72</f>
        <v>-816.010415665549</v>
      </c>
      <c r="AZ88" s="67" t="n">
        <f aca="false">AZ87+AZ70+AZ72</f>
        <v>-820.770476423598</v>
      </c>
      <c r="BA88" s="67" t="n">
        <f aca="false">BA87+BA70+BA72</f>
        <v>-825.558304202736</v>
      </c>
      <c r="BB88" s="67" t="n">
        <f aca="false">BB87+BB70+BB72</f>
        <v>-830.374060977252</v>
      </c>
      <c r="BC88" s="67" t="n">
        <f aca="false">BC87+BC70+BC72</f>
        <v>-835.217909666286</v>
      </c>
      <c r="BD88" s="67" t="n">
        <f aca="false">BD87+BD70+BD72</f>
        <v>-840.09001413934</v>
      </c>
      <c r="BE88" s="67" t="n">
        <f aca="false">BE87+BE70+BE72</f>
        <v>-844.990539221819</v>
      </c>
      <c r="BF88" s="67" t="n">
        <f aca="false">BF87+BF70+BF72</f>
        <v>-849.919650700613</v>
      </c>
      <c r="BG88" s="67" t="n">
        <f aca="false">BG87+BG70+BG72</f>
        <v>-854.8775153297</v>
      </c>
      <c r="BH88" s="67" t="n">
        <f aca="false">BH87+BH70+BH72</f>
        <v>-859.86430083579</v>
      </c>
      <c r="BI88" s="67" t="n">
        <f aca="false">BI87+BI70+BI72</f>
        <v>-864.880175923999</v>
      </c>
      <c r="BJ88" s="67" t="n">
        <f aca="false">BJ87+BJ70+BJ72</f>
        <v>-869.925310283555</v>
      </c>
    </row>
    <row r="89" customFormat="false" ht="15" hidden="false" customHeight="false" outlineLevel="0" collapsed="false">
      <c r="A89" s="111" t="s">
        <v>439</v>
      </c>
      <c r="C89" s="68" t="n">
        <f aca="false">C85+C86+C88</f>
        <v>52561.9842062171</v>
      </c>
      <c r="D89" s="68" t="n">
        <f aca="false">D85+D86+D88</f>
        <v>-15664.8801209434</v>
      </c>
      <c r="E89" s="68" t="n">
        <f aca="false">E85+E86+E88</f>
        <v>-15015.8093339063</v>
      </c>
      <c r="F89" s="68" t="n">
        <f aca="false">F85+F86+F88</f>
        <v>-14366.7385468693</v>
      </c>
      <c r="G89" s="68" t="n">
        <f aca="false">G85+G86+G88</f>
        <v>-13717.6677598323</v>
      </c>
      <c r="H89" s="68" t="n">
        <f aca="false">H85+H86+H88</f>
        <v>-10070.2323999557</v>
      </c>
      <c r="I89" s="68" t="n">
        <f aca="false">I85+I86+I88</f>
        <v>-9550.66444007916</v>
      </c>
      <c r="J89" s="68" t="n">
        <f aca="false">J85+J86+J88</f>
        <v>-8665.56791230139</v>
      </c>
      <c r="K89" s="68" t="n">
        <f aca="false">K85+K86+K88</f>
        <v>-11596.5717499557</v>
      </c>
      <c r="L89" s="68" t="n">
        <f aca="false">L85+L86+L88</f>
        <v>-10472.3138246471</v>
      </c>
      <c r="M89" s="68" t="n">
        <f aca="false">M85+M86+M88</f>
        <v>-9823.24303761003</v>
      </c>
      <c r="N89" s="68" t="n">
        <f aca="false">N85+N86+N88</f>
        <v>-9174.17225057299</v>
      </c>
      <c r="O89" s="68" t="n">
        <f aca="false">O85+O86+O88</f>
        <v>-8435.74839109151</v>
      </c>
      <c r="P89" s="68" t="n">
        <f aca="false">P85+P86+P88</f>
        <v>-7986.93572710386</v>
      </c>
      <c r="Q89" s="68" t="n">
        <f aca="false">Q85+Q86+Q88</f>
        <v>-7335.43812108534</v>
      </c>
      <c r="R89" s="68" t="n">
        <f aca="false">R85+R86+R88</f>
        <v>-7439.94386600509</v>
      </c>
      <c r="S89" s="68" t="n">
        <f aca="false">S85+S86+S88</f>
        <v>-7439.94386600509</v>
      </c>
      <c r="T89" s="68" t="n">
        <f aca="false">T85+T86+T88</f>
        <v>-1941.73767736312</v>
      </c>
      <c r="U89" s="68" t="n">
        <f aca="false">U85+U86+U88</f>
        <v>-2701.77945859768</v>
      </c>
      <c r="V89" s="68" t="n">
        <f aca="false">V85+V86+V88</f>
        <v>-2701.77945859768</v>
      </c>
      <c r="W89" s="68" t="n">
        <f aca="false">W85+W86+W88</f>
        <v>-8199.98564723966</v>
      </c>
      <c r="X89" s="68" t="n">
        <f aca="false">X85+X86+X88</f>
        <v>-7439.94386600509</v>
      </c>
      <c r="Y89" s="68" t="n">
        <f aca="false">Y85+Y86+Y88</f>
        <v>-7439.94386600509</v>
      </c>
      <c r="Z89" s="68" t="n">
        <f aca="false">Z85+Z86+Z88</f>
        <v>-7439.94386600509</v>
      </c>
      <c r="AA89" s="68" t="n">
        <f aca="false">AA85+AA86+AA88</f>
        <v>-7491.39356618781</v>
      </c>
      <c r="AB89" s="68" t="n">
        <f aca="false">AB85+AB86+AB88</f>
        <v>-7714.61323369028</v>
      </c>
      <c r="AC89" s="68" t="n">
        <f aca="false">AC85+AC86+AC88</f>
        <v>-7714.61323369028</v>
      </c>
      <c r="AD89" s="68" t="n">
        <f aca="false">AD85+AD86+AD88</f>
        <v>-7714.61323369028</v>
      </c>
      <c r="AE89" s="68" t="n">
        <f aca="false">AE85+AE86+AE88</f>
        <v>-7714.61323369028</v>
      </c>
      <c r="AF89" s="68" t="n">
        <f aca="false">AF85+AF86+AF88</f>
        <v>-2169.62172390262</v>
      </c>
      <c r="AG89" s="68" t="n">
        <f aca="false">AG85+AG86+AG88</f>
        <v>-2959.80495998657</v>
      </c>
      <c r="AH89" s="68" t="n">
        <f aca="false">AH85+AH86+AH88</f>
        <v>-2959.80495998657</v>
      </c>
      <c r="AI89" s="68" t="n">
        <f aca="false">AI85+AI86+AI88</f>
        <v>-8504.79646977423</v>
      </c>
      <c r="AJ89" s="68" t="n">
        <f aca="false">AJ85+AJ86+AJ88</f>
        <v>-7714.61323369028</v>
      </c>
      <c r="AK89" s="68" t="n">
        <f aca="false">AK85+AK86+AK88</f>
        <v>-7714.61323369028</v>
      </c>
      <c r="AL89" s="68" t="n">
        <f aca="false">AL85+AL86+AL88</f>
        <v>-7714.61323369028</v>
      </c>
      <c r="AM89" s="68" t="n">
        <f aca="false">AM85+AM86+AM88</f>
        <v>-7879.9823523563</v>
      </c>
      <c r="AN89" s="68" t="n">
        <f aca="false">AN85+AN86+AN88</f>
        <v>-8112.12365060786</v>
      </c>
      <c r="AO89" s="68" t="n">
        <f aca="false">AO85+AO86+AO88</f>
        <v>-8112.12365060786</v>
      </c>
      <c r="AP89" s="68" t="n">
        <f aca="false">AP85+AP86+AP88</f>
        <v>-8112.12365060786</v>
      </c>
      <c r="AQ89" s="68" t="n">
        <f aca="false">AQ85+AQ86+AQ88</f>
        <v>-8112.12365060786</v>
      </c>
      <c r="AR89" s="68" t="n">
        <f aca="false">AR85+AR86+AR88</f>
        <v>-2520.2068360927</v>
      </c>
      <c r="AS89" s="68" t="n">
        <f aca="false">AS85+AS86+AS88</f>
        <v>-3341.73458305601</v>
      </c>
      <c r="AT89" s="68" t="n">
        <f aca="false">AT85+AT86+AT88</f>
        <v>-3341.73458305601</v>
      </c>
      <c r="AU89" s="68" t="n">
        <f aca="false">AU85+AU86+AU88</f>
        <v>-8933.65139757118</v>
      </c>
      <c r="AV89" s="68" t="n">
        <f aca="false">AV85+AV86+AV88</f>
        <v>-8112.12365060786</v>
      </c>
      <c r="AW89" s="68" t="n">
        <f aca="false">AW85+AW86+AW88</f>
        <v>-8112.12365060786</v>
      </c>
      <c r="AX89" s="68" t="n">
        <f aca="false">AX85+AX86+AX88</f>
        <v>-8112.12365060786</v>
      </c>
      <c r="AY89" s="68" t="n">
        <f aca="false">AY85+AY86+AY88</f>
        <v>-8363.88657880129</v>
      </c>
      <c r="AZ89" s="68" t="n">
        <f aca="false">AZ85+AZ86+AZ88</f>
        <v>-8605.30630147241</v>
      </c>
      <c r="BA89" s="68" t="n">
        <f aca="false">BA85+BA86+BA88</f>
        <v>-8605.30630147241</v>
      </c>
      <c r="BB89" s="68" t="n">
        <f aca="false">BB85+BB86+BB88</f>
        <v>-8605.30630147241</v>
      </c>
      <c r="BC89" s="68" t="n">
        <f aca="false">BC85+BC86+BC88</f>
        <v>-8605.30630147241</v>
      </c>
      <c r="BD89" s="68" t="n">
        <f aca="false">BD85+BD86+BD88</f>
        <v>-2966.33591359728</v>
      </c>
      <c r="BE89" s="68" t="n">
        <f aca="false">BE85+BE86+BE88</f>
        <v>-3820.45932368949</v>
      </c>
      <c r="BF89" s="68" t="n">
        <f aca="false">BF85+BF86+BF88</f>
        <v>-3820.45932368949</v>
      </c>
      <c r="BG89" s="68" t="n">
        <f aca="false">BG85+BG86+BG88</f>
        <v>-9459.42971156462</v>
      </c>
      <c r="BH89" s="68" t="n">
        <f aca="false">BH85+BH86+BH88</f>
        <v>-8605.30630147241</v>
      </c>
      <c r="BI89" s="68" t="n">
        <f aca="false">BI85+BI86+BI88</f>
        <v>-8605.30630147241</v>
      </c>
      <c r="BJ89" s="68" t="n">
        <f aca="false">BJ85+BJ86+BJ88</f>
        <v>-8605.30630147241</v>
      </c>
    </row>
    <row r="90" customFormat="false" ht="15" hidden="false" customHeight="false" outlineLevel="0" collapsed="false">
      <c r="A90" s="6" t="s">
        <v>341</v>
      </c>
      <c r="C90" s="67" t="n">
        <f aca="false">0</f>
        <v>0</v>
      </c>
      <c r="D90" s="67" t="n">
        <f aca="false">C91</f>
        <v>52561.9842062171</v>
      </c>
      <c r="E90" s="67" t="n">
        <f aca="false">D91</f>
        <v>36897.1040852738</v>
      </c>
      <c r="F90" s="67" t="n">
        <f aca="false">E91</f>
        <v>21881.2947513674</v>
      </c>
      <c r="G90" s="67" t="n">
        <f aca="false">F91</f>
        <v>7514.55620449813</v>
      </c>
      <c r="H90" s="67" t="n">
        <f aca="false">G91</f>
        <v>-6203.11155533412</v>
      </c>
      <c r="I90" s="67" t="n">
        <f aca="false">H91</f>
        <v>-16273.3439552898</v>
      </c>
      <c r="J90" s="67" t="n">
        <f aca="false">I91</f>
        <v>-25824.008395369</v>
      </c>
      <c r="K90" s="67" t="n">
        <f aca="false">J91</f>
        <v>-34489.5763076704</v>
      </c>
      <c r="L90" s="67" t="n">
        <f aca="false">K91</f>
        <v>-46086.1480576261</v>
      </c>
      <c r="M90" s="67" t="n">
        <f aca="false">L91</f>
        <v>-56558.4618822731</v>
      </c>
      <c r="N90" s="67" t="n">
        <f aca="false">M91</f>
        <v>-66381.7049198832</v>
      </c>
      <c r="O90" s="67" t="n">
        <f aca="false">N91</f>
        <v>-75555.8771704562</v>
      </c>
      <c r="P90" s="67" t="n">
        <f aca="false">O91</f>
        <v>-83991.6255615477</v>
      </c>
      <c r="Q90" s="67" t="n">
        <f aca="false">P91</f>
        <v>-91978.5612886515</v>
      </c>
      <c r="R90" s="67" t="n">
        <f aca="false">Q91</f>
        <v>-99313.9994097369</v>
      </c>
      <c r="S90" s="67" t="n">
        <f aca="false">R91</f>
        <v>-106753.943275742</v>
      </c>
      <c r="T90" s="67" t="n">
        <f aca="false">S91</f>
        <v>-114193.887141747</v>
      </c>
      <c r="U90" s="67" t="n">
        <f aca="false">T91</f>
        <v>-116135.62481911</v>
      </c>
      <c r="V90" s="67" t="n">
        <f aca="false">U91</f>
        <v>-118837.404277708</v>
      </c>
      <c r="W90" s="67" t="n">
        <f aca="false">V91</f>
        <v>-121539.183736306</v>
      </c>
      <c r="X90" s="67" t="n">
        <f aca="false">W91</f>
        <v>-129739.169383545</v>
      </c>
      <c r="Y90" s="67" t="n">
        <f aca="false">X91</f>
        <v>-137179.11324955</v>
      </c>
      <c r="Z90" s="67" t="n">
        <f aca="false">Y91</f>
        <v>-144619.057115555</v>
      </c>
      <c r="AA90" s="67" t="n">
        <f aca="false">Z91</f>
        <v>-152059.00098156</v>
      </c>
      <c r="AB90" s="67" t="n">
        <f aca="false">AA91</f>
        <v>-159550.394547748</v>
      </c>
      <c r="AC90" s="67" t="n">
        <f aca="false">AB91</f>
        <v>-167265.007781439</v>
      </c>
      <c r="AD90" s="67" t="n">
        <f aca="false">AC91</f>
        <v>-174979.621015129</v>
      </c>
      <c r="AE90" s="67" t="n">
        <f aca="false">AD91</f>
        <v>-182694.234248819</v>
      </c>
      <c r="AF90" s="67" t="n">
        <f aca="false">AE91</f>
        <v>-190408.847482509</v>
      </c>
      <c r="AG90" s="67" t="n">
        <f aca="false">AF91</f>
        <v>-192578.469206412</v>
      </c>
      <c r="AH90" s="67" t="n">
        <f aca="false">AG91</f>
        <v>-195538.274166399</v>
      </c>
      <c r="AI90" s="67" t="n">
        <f aca="false">AH91</f>
        <v>-198498.079126385</v>
      </c>
      <c r="AJ90" s="67" t="n">
        <f aca="false">AI91</f>
        <v>-207002.875596159</v>
      </c>
      <c r="AK90" s="67" t="n">
        <f aca="false">AJ91</f>
        <v>-214717.48882985</v>
      </c>
      <c r="AL90" s="67" t="n">
        <f aca="false">AK91</f>
        <v>-222432.10206354</v>
      </c>
      <c r="AM90" s="67" t="n">
        <f aca="false">AL91</f>
        <v>-230146.71529723</v>
      </c>
      <c r="AN90" s="67" t="n">
        <f aca="false">AM91</f>
        <v>-238026.697649586</v>
      </c>
      <c r="AO90" s="67" t="n">
        <f aca="false">AN91</f>
        <v>-246138.821300194</v>
      </c>
      <c r="AP90" s="67" t="n">
        <f aca="false">AO91</f>
        <v>-254250.944950802</v>
      </c>
      <c r="AQ90" s="67" t="n">
        <f aca="false">AP91</f>
        <v>-262363.06860141</v>
      </c>
      <c r="AR90" s="67" t="n">
        <f aca="false">AQ91</f>
        <v>-270475.192252018</v>
      </c>
      <c r="AS90" s="67" t="n">
        <f aca="false">AR91</f>
        <v>-272995.399088111</v>
      </c>
      <c r="AT90" s="67" t="n">
        <f aca="false">AS91</f>
        <v>-276337.133671167</v>
      </c>
      <c r="AU90" s="67" t="n">
        <f aca="false">AT91</f>
        <v>-279678.868254223</v>
      </c>
      <c r="AV90" s="67" t="n">
        <f aca="false">AU91</f>
        <v>-288612.519651794</v>
      </c>
      <c r="AW90" s="67" t="n">
        <f aca="false">AV91</f>
        <v>-296724.643302402</v>
      </c>
      <c r="AX90" s="67" t="n">
        <f aca="false">AW91</f>
        <v>-304836.76695301</v>
      </c>
      <c r="AY90" s="67" t="n">
        <f aca="false">AX91</f>
        <v>-312948.890603618</v>
      </c>
      <c r="AZ90" s="67" t="n">
        <f aca="false">AY91</f>
        <v>-321312.777182419</v>
      </c>
      <c r="BA90" s="67" t="n">
        <f aca="false">AZ91</f>
        <v>-329918.083483891</v>
      </c>
      <c r="BB90" s="67" t="n">
        <f aca="false">BA91</f>
        <v>-338523.389785364</v>
      </c>
      <c r="BC90" s="67" t="n">
        <f aca="false">BB91</f>
        <v>-347128.696086836</v>
      </c>
      <c r="BD90" s="67" t="n">
        <f aca="false">BC91</f>
        <v>-355734.002388308</v>
      </c>
      <c r="BE90" s="67" t="n">
        <f aca="false">BD91</f>
        <v>-358700.338301906</v>
      </c>
      <c r="BF90" s="67" t="n">
        <f aca="false">BE91</f>
        <v>-362520.797625595</v>
      </c>
      <c r="BG90" s="67" t="n">
        <f aca="false">BF91</f>
        <v>-366341.256949285</v>
      </c>
      <c r="BH90" s="67" t="n">
        <f aca="false">BG91</f>
        <v>-375800.686660849</v>
      </c>
      <c r="BI90" s="67" t="n">
        <f aca="false">BH91</f>
        <v>-384405.992962322</v>
      </c>
      <c r="BJ90" s="67" t="n">
        <f aca="false">BI91</f>
        <v>-393011.299263794</v>
      </c>
    </row>
    <row r="91" customFormat="false" ht="15" hidden="false" customHeight="false" outlineLevel="0" collapsed="false">
      <c r="A91" s="111" t="s">
        <v>87</v>
      </c>
      <c r="C91" s="68" t="n">
        <f aca="false">C90+C89</f>
        <v>52561.9842062171</v>
      </c>
      <c r="D91" s="68" t="n">
        <f aca="false">D90+D89</f>
        <v>36897.1040852738</v>
      </c>
      <c r="E91" s="68" t="n">
        <f aca="false">E90+E89</f>
        <v>21881.2947513674</v>
      </c>
      <c r="F91" s="68" t="n">
        <f aca="false">F90+F89</f>
        <v>7514.55620449813</v>
      </c>
      <c r="G91" s="68" t="n">
        <f aca="false">G90+G89</f>
        <v>-6203.11155533412</v>
      </c>
      <c r="H91" s="68" t="n">
        <f aca="false">H90+H89</f>
        <v>-16273.3439552898</v>
      </c>
      <c r="I91" s="68" t="n">
        <f aca="false">I90+I89</f>
        <v>-25824.008395369</v>
      </c>
      <c r="J91" s="68" t="n">
        <f aca="false">J90+J89</f>
        <v>-34489.5763076704</v>
      </c>
      <c r="K91" s="68" t="n">
        <f aca="false">K90+K89</f>
        <v>-46086.1480576261</v>
      </c>
      <c r="L91" s="68" t="n">
        <f aca="false">L90+L89</f>
        <v>-56558.4618822731</v>
      </c>
      <c r="M91" s="68" t="n">
        <f aca="false">M90+M89</f>
        <v>-66381.7049198832</v>
      </c>
      <c r="N91" s="68" t="n">
        <f aca="false">N90+N89</f>
        <v>-75555.8771704562</v>
      </c>
      <c r="O91" s="68" t="n">
        <f aca="false">O90+O89</f>
        <v>-83991.6255615477</v>
      </c>
      <c r="P91" s="68" t="n">
        <f aca="false">P90+P89</f>
        <v>-91978.5612886515</v>
      </c>
      <c r="Q91" s="68" t="n">
        <f aca="false">Q90+Q89</f>
        <v>-99313.9994097369</v>
      </c>
      <c r="R91" s="68" t="n">
        <f aca="false">R90+R89</f>
        <v>-106753.943275742</v>
      </c>
      <c r="S91" s="68" t="n">
        <f aca="false">S90+S89</f>
        <v>-114193.887141747</v>
      </c>
      <c r="T91" s="68" t="n">
        <f aca="false">T90+T89</f>
        <v>-116135.62481911</v>
      </c>
      <c r="U91" s="68" t="n">
        <f aca="false">U90+U89</f>
        <v>-118837.404277708</v>
      </c>
      <c r="V91" s="68" t="n">
        <f aca="false">V90+V89</f>
        <v>-121539.183736306</v>
      </c>
      <c r="W91" s="68" t="n">
        <f aca="false">W90+W89</f>
        <v>-129739.169383545</v>
      </c>
      <c r="X91" s="68" t="n">
        <f aca="false">X90+X89</f>
        <v>-137179.11324955</v>
      </c>
      <c r="Y91" s="68" t="n">
        <f aca="false">Y90+Y89</f>
        <v>-144619.057115555</v>
      </c>
      <c r="Z91" s="68" t="n">
        <f aca="false">Z90+Z89</f>
        <v>-152059.00098156</v>
      </c>
      <c r="AA91" s="68" t="n">
        <f aca="false">AA90+AA89</f>
        <v>-159550.394547748</v>
      </c>
      <c r="AB91" s="68" t="n">
        <f aca="false">AB90+AB89</f>
        <v>-167265.007781439</v>
      </c>
      <c r="AC91" s="68" t="n">
        <f aca="false">AC90+AC89</f>
        <v>-174979.621015129</v>
      </c>
      <c r="AD91" s="68" t="n">
        <f aca="false">AD90+AD89</f>
        <v>-182694.234248819</v>
      </c>
      <c r="AE91" s="68" t="n">
        <f aca="false">AE90+AE89</f>
        <v>-190408.847482509</v>
      </c>
      <c r="AF91" s="68" t="n">
        <f aca="false">AF90+AF89</f>
        <v>-192578.469206412</v>
      </c>
      <c r="AG91" s="68" t="n">
        <f aca="false">AG90+AG89</f>
        <v>-195538.274166399</v>
      </c>
      <c r="AH91" s="68" t="n">
        <f aca="false">AH90+AH89</f>
        <v>-198498.079126385</v>
      </c>
      <c r="AI91" s="68" t="n">
        <f aca="false">AI90+AI89</f>
        <v>-207002.875596159</v>
      </c>
      <c r="AJ91" s="68" t="n">
        <f aca="false">AJ90+AJ89</f>
        <v>-214717.48882985</v>
      </c>
      <c r="AK91" s="68" t="n">
        <f aca="false">AK90+AK89</f>
        <v>-222432.10206354</v>
      </c>
      <c r="AL91" s="68" t="n">
        <f aca="false">AL90+AL89</f>
        <v>-230146.71529723</v>
      </c>
      <c r="AM91" s="68" t="n">
        <f aca="false">AM90+AM89</f>
        <v>-238026.697649586</v>
      </c>
      <c r="AN91" s="68" t="n">
        <f aca="false">AN90+AN89</f>
        <v>-246138.821300194</v>
      </c>
      <c r="AO91" s="68" t="n">
        <f aca="false">AO90+AO89</f>
        <v>-254250.944950802</v>
      </c>
      <c r="AP91" s="68" t="n">
        <f aca="false">AP90+AP89</f>
        <v>-262363.06860141</v>
      </c>
      <c r="AQ91" s="68" t="n">
        <f aca="false">AQ90+AQ89</f>
        <v>-270475.192252018</v>
      </c>
      <c r="AR91" s="68" t="n">
        <f aca="false">AR90+AR89</f>
        <v>-272995.399088111</v>
      </c>
      <c r="AS91" s="68" t="n">
        <f aca="false">AS90+AS89</f>
        <v>-276337.133671167</v>
      </c>
      <c r="AT91" s="68" t="n">
        <f aca="false">AT90+AT89</f>
        <v>-279678.868254223</v>
      </c>
      <c r="AU91" s="68" t="n">
        <f aca="false">AU90+AU89</f>
        <v>-288612.519651794</v>
      </c>
      <c r="AV91" s="68" t="n">
        <f aca="false">AV90+AV89</f>
        <v>-296724.643302402</v>
      </c>
      <c r="AW91" s="68" t="n">
        <f aca="false">AW90+AW89</f>
        <v>-304836.76695301</v>
      </c>
      <c r="AX91" s="68" t="n">
        <f aca="false">AX90+AX89</f>
        <v>-312948.890603618</v>
      </c>
      <c r="AY91" s="68" t="n">
        <f aca="false">AY90+AY89</f>
        <v>-321312.777182419</v>
      </c>
      <c r="AZ91" s="68" t="n">
        <f aca="false">AZ90+AZ89</f>
        <v>-329918.083483891</v>
      </c>
      <c r="BA91" s="68" t="n">
        <f aca="false">BA90+BA89</f>
        <v>-338523.389785364</v>
      </c>
      <c r="BB91" s="68" t="n">
        <f aca="false">BB90+BB89</f>
        <v>-347128.696086836</v>
      </c>
      <c r="BC91" s="68" t="n">
        <f aca="false">BC90+BC89</f>
        <v>-355734.002388308</v>
      </c>
      <c r="BD91" s="68" t="n">
        <f aca="false">BD90+BD89</f>
        <v>-358700.338301906</v>
      </c>
      <c r="BE91" s="68" t="n">
        <f aca="false">BE90+BE89</f>
        <v>-362520.797625595</v>
      </c>
      <c r="BF91" s="68" t="n">
        <f aca="false">BF90+BF89</f>
        <v>-366341.256949285</v>
      </c>
      <c r="BG91" s="68" t="n">
        <f aca="false">BG90+BG89</f>
        <v>-375800.686660849</v>
      </c>
      <c r="BH91" s="68" t="n">
        <f aca="false">BH90+BH89</f>
        <v>-384405.992962322</v>
      </c>
      <c r="BI91" s="68" t="n">
        <f aca="false">BI90+BI89</f>
        <v>-393011.299263794</v>
      </c>
      <c r="BJ91" s="68" t="n">
        <f aca="false">BJ90+BJ89</f>
        <v>-401616.605565267</v>
      </c>
    </row>
    <row r="92" customFormat="false" ht="15" hidden="false" customHeight="false" outlineLevel="0" collapsed="false">
      <c r="A92" s="114" t="s">
        <v>440</v>
      </c>
      <c r="C92" s="116" t="n">
        <f aca="false">IF(C44&gt;0,1,0)</f>
        <v>0</v>
      </c>
      <c r="D92" s="116" t="n">
        <f aca="false">IF(D44&gt;0,1,0)</f>
        <v>0</v>
      </c>
      <c r="E92" s="116" t="n">
        <f aca="false">IF(E44&gt;0,1,0)</f>
        <v>0</v>
      </c>
      <c r="F92" s="116" t="n">
        <f aca="false">IF(F44&gt;0,1,0)</f>
        <v>0</v>
      </c>
      <c r="G92" s="116" t="n">
        <f aca="false">IF(G44&gt;0,1,0)</f>
        <v>0</v>
      </c>
      <c r="H92" s="116" t="n">
        <f aca="false">IF(H44&gt;0,1,0)</f>
        <v>0</v>
      </c>
      <c r="I92" s="116" t="n">
        <f aca="false">IF(I44&gt;0,1,0)</f>
        <v>0</v>
      </c>
      <c r="J92" s="116" t="n">
        <f aca="false">IF(J44&gt;0,1,0)</f>
        <v>0</v>
      </c>
      <c r="K92" s="116" t="n">
        <f aca="false">IF(K44&gt;0,1,0)</f>
        <v>0</v>
      </c>
      <c r="L92" s="116" t="n">
        <f aca="false">IF(L44&gt;0,1,0)</f>
        <v>0</v>
      </c>
      <c r="M92" s="116" t="n">
        <f aca="false">IF(M44&gt;0,1,0)</f>
        <v>0</v>
      </c>
      <c r="N92" s="116" t="n">
        <f aca="false">IF(N44&gt;0,1,0)</f>
        <v>0</v>
      </c>
      <c r="O92" s="116" t="n">
        <f aca="false">IF(O44&gt;0,1,0)</f>
        <v>0</v>
      </c>
      <c r="P92" s="116" t="n">
        <f aca="false">IF(P44&gt;0,1,0)</f>
        <v>0</v>
      </c>
      <c r="Q92" s="116" t="n">
        <f aca="false">IF(Q44&gt;0,1,0)</f>
        <v>0</v>
      </c>
      <c r="R92" s="116" t="n">
        <f aca="false">IF(R44&gt;0,1,0)</f>
        <v>0</v>
      </c>
      <c r="S92" s="116" t="n">
        <f aca="false">IF(S44&gt;0,1,0)</f>
        <v>0</v>
      </c>
      <c r="T92" s="116" t="n">
        <f aca="false">IF(T44&gt;0,1,0)</f>
        <v>1</v>
      </c>
      <c r="U92" s="116" t="n">
        <f aca="false">IF(U44&gt;0,1,0)</f>
        <v>1</v>
      </c>
      <c r="V92" s="116" t="n">
        <f aca="false">IF(V44&gt;0,1,0)</f>
        <v>1</v>
      </c>
      <c r="W92" s="116" t="n">
        <f aca="false">IF(W44&gt;0,1,0)</f>
        <v>0</v>
      </c>
      <c r="X92" s="116" t="n">
        <f aca="false">IF(X44&gt;0,1,0)</f>
        <v>0</v>
      </c>
      <c r="Y92" s="116" t="n">
        <f aca="false">IF(Y44&gt;0,1,0)</f>
        <v>0</v>
      </c>
      <c r="Z92" s="116" t="n">
        <f aca="false">IF(Z44&gt;0,1,0)</f>
        <v>0</v>
      </c>
      <c r="AA92" s="116" t="n">
        <f aca="false">IF(AA44&gt;0,1,0)</f>
        <v>0</v>
      </c>
      <c r="AB92" s="116" t="n">
        <f aca="false">IF(AB44&gt;0,1,0)</f>
        <v>0</v>
      </c>
      <c r="AC92" s="116" t="n">
        <f aca="false">IF(AC44&gt;0,1,0)</f>
        <v>0</v>
      </c>
      <c r="AD92" s="116" t="n">
        <f aca="false">IF(AD44&gt;0,1,0)</f>
        <v>0</v>
      </c>
      <c r="AE92" s="116" t="n">
        <f aca="false">IF(AE44&gt;0,1,0)</f>
        <v>0</v>
      </c>
      <c r="AF92" s="116" t="n">
        <f aca="false">IF(AF44&gt;0,1,0)</f>
        <v>1</v>
      </c>
      <c r="AG92" s="116" t="n">
        <f aca="false">IF(AG44&gt;0,1,0)</f>
        <v>1</v>
      </c>
      <c r="AH92" s="116" t="n">
        <f aca="false">IF(AH44&gt;0,1,0)</f>
        <v>1</v>
      </c>
      <c r="AI92" s="116" t="n">
        <f aca="false">IF(AI44&gt;0,1,0)</f>
        <v>0</v>
      </c>
      <c r="AJ92" s="116" t="n">
        <f aca="false">IF(AJ44&gt;0,1,0)</f>
        <v>0</v>
      </c>
      <c r="AK92" s="116" t="n">
        <f aca="false">IF(AK44&gt;0,1,0)</f>
        <v>0</v>
      </c>
      <c r="AL92" s="116" t="n">
        <f aca="false">IF(AL44&gt;0,1,0)</f>
        <v>0</v>
      </c>
      <c r="AM92" s="116" t="n">
        <f aca="false">IF(AM44&gt;0,1,0)</f>
        <v>0</v>
      </c>
      <c r="AN92" s="116" t="n">
        <f aca="false">IF(AN44&gt;0,1,0)</f>
        <v>0</v>
      </c>
      <c r="AO92" s="116" t="n">
        <f aca="false">IF(AO44&gt;0,1,0)</f>
        <v>0</v>
      </c>
      <c r="AP92" s="116" t="n">
        <f aca="false">IF(AP44&gt;0,1,0)</f>
        <v>0</v>
      </c>
      <c r="AQ92" s="116" t="n">
        <f aca="false">IF(AQ44&gt;0,1,0)</f>
        <v>0</v>
      </c>
      <c r="AR92" s="116" t="n">
        <f aca="false">IF(AR44&gt;0,1,0)</f>
        <v>1</v>
      </c>
      <c r="AS92" s="116" t="n">
        <f aca="false">IF(AS44&gt;0,1,0)</f>
        <v>1</v>
      </c>
      <c r="AT92" s="116" t="n">
        <f aca="false">IF(AT44&gt;0,1,0)</f>
        <v>1</v>
      </c>
      <c r="AU92" s="116" t="n">
        <f aca="false">IF(AU44&gt;0,1,0)</f>
        <v>0</v>
      </c>
      <c r="AV92" s="116" t="n">
        <f aca="false">IF(AV44&gt;0,1,0)</f>
        <v>0</v>
      </c>
      <c r="AW92" s="116" t="n">
        <f aca="false">IF(AW44&gt;0,1,0)</f>
        <v>0</v>
      </c>
      <c r="AX92" s="116" t="n">
        <f aca="false">IF(AX44&gt;0,1,0)</f>
        <v>0</v>
      </c>
      <c r="AY92" s="116" t="n">
        <f aca="false">IF(AY44&gt;0,1,0)</f>
        <v>0</v>
      </c>
      <c r="AZ92" s="116" t="n">
        <f aca="false">IF(AZ44&gt;0,1,0)</f>
        <v>0</v>
      </c>
      <c r="BA92" s="116" t="n">
        <f aca="false">IF(BA44&gt;0,1,0)</f>
        <v>0</v>
      </c>
      <c r="BB92" s="116" t="n">
        <f aca="false">IF(BB44&gt;0,1,0)</f>
        <v>0</v>
      </c>
      <c r="BC92" s="116" t="n">
        <f aca="false">IF(BC44&gt;0,1,0)</f>
        <v>0</v>
      </c>
      <c r="BD92" s="116" t="n">
        <f aca="false">IF(BD44&gt;0,1,0)</f>
        <v>1</v>
      </c>
      <c r="BE92" s="116" t="n">
        <f aca="false">IF(BE44&gt;0,1,0)</f>
        <v>1</v>
      </c>
      <c r="BF92" s="116" t="n">
        <f aca="false">IF(BF44&gt;0,1,0)</f>
        <v>1</v>
      </c>
      <c r="BG92" s="116" t="n">
        <f aca="false">IF(BG44&gt;0,1,0)</f>
        <v>0</v>
      </c>
      <c r="BH92" s="116" t="n">
        <f aca="false">IF(BH44&gt;0,1,0)</f>
        <v>0</v>
      </c>
      <c r="BI92" s="116" t="n">
        <f aca="false">IF(BI44&gt;0,1,0)</f>
        <v>0</v>
      </c>
      <c r="BJ92" s="116" t="n">
        <f aca="false">IF(BJ44&gt;0,1,0)</f>
        <v>0</v>
      </c>
    </row>
    <row r="94" customFormat="false" ht="15.75" hidden="false" customHeight="true" outlineLevel="0" collapsed="false">
      <c r="A94" s="7" t="s">
        <v>441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customFormat="false" ht="15" hidden="false" customHeight="false" outlineLevel="0" collapsed="false">
      <c r="A95" s="114" t="s">
        <v>442</v>
      </c>
      <c r="C95" s="116" t="n">
        <f aca="false">IF(C53&gt;0,1,0)</f>
        <v>0</v>
      </c>
      <c r="D95" s="116" t="n">
        <f aca="false">IF(D53&gt;0,1,0)</f>
        <v>0</v>
      </c>
      <c r="E95" s="116" t="n">
        <f aca="false">IF(E53&gt;0,1,0)</f>
        <v>0</v>
      </c>
      <c r="F95" s="116" t="n">
        <f aca="false">IF(F53&gt;0,1,0)</f>
        <v>0</v>
      </c>
      <c r="G95" s="116" t="n">
        <f aca="false">IF(G53&gt;0,1,0)</f>
        <v>0</v>
      </c>
      <c r="H95" s="116" t="n">
        <f aca="false">IF(H53&gt;0,1,0)</f>
        <v>0</v>
      </c>
      <c r="I95" s="116" t="n">
        <f aca="false">IF(I53&gt;0,1,0)</f>
        <v>0</v>
      </c>
      <c r="J95" s="116" t="n">
        <f aca="false">IF(J53&gt;0,1,0)</f>
        <v>0</v>
      </c>
      <c r="K95" s="116" t="n">
        <f aca="false">IF(K53&gt;0,1,0)</f>
        <v>0</v>
      </c>
      <c r="L95" s="116" t="n">
        <f aca="false">IF(L53&gt;0,1,0)</f>
        <v>0</v>
      </c>
      <c r="M95" s="116" t="n">
        <f aca="false">IF(M53&gt;0,1,0)</f>
        <v>0</v>
      </c>
      <c r="N95" s="116" t="n">
        <f aca="false">IF(N53&gt;0,1,0)</f>
        <v>0</v>
      </c>
      <c r="O95" s="116" t="n">
        <f aca="false">IF(O53&gt;0,1,0)</f>
        <v>0</v>
      </c>
      <c r="P95" s="116" t="n">
        <f aca="false">IF(P53&gt;0,1,0)</f>
        <v>0</v>
      </c>
      <c r="Q95" s="116" t="n">
        <f aca="false">IF(Q53&gt;0,1,0)</f>
        <v>0</v>
      </c>
      <c r="R95" s="116" t="n">
        <f aca="false">IF(R53&gt;0,1,0)</f>
        <v>0</v>
      </c>
      <c r="S95" s="116" t="n">
        <f aca="false">IF(S53&gt;0,1,0)</f>
        <v>0</v>
      </c>
      <c r="T95" s="116" t="n">
        <f aca="false">IF(T53&gt;0,1,0)</f>
        <v>0</v>
      </c>
      <c r="U95" s="116" t="n">
        <f aca="false">IF(U53&gt;0,1,0)</f>
        <v>0</v>
      </c>
      <c r="V95" s="116" t="n">
        <f aca="false">IF(V53&gt;0,1,0)</f>
        <v>0</v>
      </c>
      <c r="W95" s="116" t="n">
        <f aca="false">IF(W53&gt;0,1,0)</f>
        <v>0</v>
      </c>
      <c r="X95" s="116" t="n">
        <f aca="false">IF(X53&gt;0,1,0)</f>
        <v>0</v>
      </c>
      <c r="Y95" s="116" t="n">
        <f aca="false">IF(Y53&gt;0,1,0)</f>
        <v>0</v>
      </c>
      <c r="Z95" s="116" t="n">
        <f aca="false">IF(Z53&gt;0,1,0)</f>
        <v>0</v>
      </c>
      <c r="AA95" s="116" t="n">
        <f aca="false">IF(AA53&gt;0,1,0)</f>
        <v>0</v>
      </c>
      <c r="AB95" s="116" t="n">
        <f aca="false">IF(AB53&gt;0,1,0)</f>
        <v>0</v>
      </c>
      <c r="AC95" s="116" t="n">
        <f aca="false">IF(AC53&gt;0,1,0)</f>
        <v>0</v>
      </c>
      <c r="AD95" s="116" t="n">
        <f aca="false">IF(AD53&gt;0,1,0)</f>
        <v>0</v>
      </c>
      <c r="AE95" s="116" t="n">
        <f aca="false">IF(AE53&gt;0,1,0)</f>
        <v>0</v>
      </c>
      <c r="AF95" s="116" t="n">
        <f aca="false">IF(AF53&gt;0,1,0)</f>
        <v>0</v>
      </c>
      <c r="AG95" s="116" t="n">
        <f aca="false">IF(AG53&gt;0,1,0)</f>
        <v>0</v>
      </c>
      <c r="AH95" s="116" t="n">
        <f aca="false">IF(AH53&gt;0,1,0)</f>
        <v>0</v>
      </c>
      <c r="AI95" s="116" t="n">
        <f aca="false">IF(AI53&gt;0,1,0)</f>
        <v>0</v>
      </c>
      <c r="AJ95" s="116" t="n">
        <f aca="false">IF(AJ53&gt;0,1,0)</f>
        <v>0</v>
      </c>
      <c r="AK95" s="116" t="n">
        <f aca="false">IF(AK53&gt;0,1,0)</f>
        <v>0</v>
      </c>
      <c r="AL95" s="116" t="n">
        <f aca="false">IF(AL53&gt;0,1,0)</f>
        <v>0</v>
      </c>
      <c r="AM95" s="116" t="n">
        <f aca="false">IF(AM53&gt;0,1,0)</f>
        <v>0</v>
      </c>
      <c r="AN95" s="116" t="n">
        <f aca="false">IF(AN53&gt;0,1,0)</f>
        <v>0</v>
      </c>
      <c r="AO95" s="116" t="n">
        <f aca="false">IF(AO53&gt;0,1,0)</f>
        <v>0</v>
      </c>
      <c r="AP95" s="116" t="n">
        <f aca="false">IF(AP53&gt;0,1,0)</f>
        <v>0</v>
      </c>
      <c r="AQ95" s="116" t="n">
        <f aca="false">IF(AQ53&gt;0,1,0)</f>
        <v>0</v>
      </c>
      <c r="AR95" s="116" t="n">
        <f aca="false">IF(AR53&gt;0,1,0)</f>
        <v>0</v>
      </c>
      <c r="AS95" s="116" t="n">
        <f aca="false">IF(AS53&gt;0,1,0)</f>
        <v>0</v>
      </c>
      <c r="AT95" s="116" t="n">
        <f aca="false">IF(AT53&gt;0,1,0)</f>
        <v>0</v>
      </c>
      <c r="AU95" s="116" t="n">
        <f aca="false">IF(AU53&gt;0,1,0)</f>
        <v>0</v>
      </c>
      <c r="AV95" s="116" t="n">
        <f aca="false">IF(AV53&gt;0,1,0)</f>
        <v>0</v>
      </c>
      <c r="AW95" s="116" t="n">
        <f aca="false">IF(AW53&gt;0,1,0)</f>
        <v>0</v>
      </c>
      <c r="AX95" s="116" t="n">
        <f aca="false">IF(AX53&gt;0,1,0)</f>
        <v>0</v>
      </c>
      <c r="AY95" s="116" t="n">
        <f aca="false">IF(AY53&gt;0,1,0)</f>
        <v>0</v>
      </c>
      <c r="AZ95" s="116" t="n">
        <f aca="false">IF(AZ53&gt;0,1,0)</f>
        <v>0</v>
      </c>
      <c r="BA95" s="116" t="n">
        <f aca="false">IF(BA53&gt;0,1,0)</f>
        <v>0</v>
      </c>
      <c r="BB95" s="116" t="n">
        <f aca="false">IF(BB53&gt;0,1,0)</f>
        <v>0</v>
      </c>
      <c r="BC95" s="116" t="n">
        <f aca="false">IF(BC53&gt;0,1,0)</f>
        <v>0</v>
      </c>
      <c r="BD95" s="116" t="n">
        <f aca="false">IF(BD53&gt;0,1,0)</f>
        <v>0</v>
      </c>
      <c r="BE95" s="116" t="n">
        <f aca="false">IF(BE53&gt;0,1,0)</f>
        <v>0</v>
      </c>
      <c r="BF95" s="116" t="n">
        <f aca="false">IF(BF53&gt;0,1,0)</f>
        <v>0</v>
      </c>
      <c r="BG95" s="116" t="n">
        <f aca="false">IF(BG53&gt;0,1,0)</f>
        <v>0</v>
      </c>
      <c r="BH95" s="116" t="n">
        <f aca="false">IF(BH53&gt;0,1,0)</f>
        <v>0</v>
      </c>
      <c r="BI95" s="116" t="n">
        <f aca="false">IF(BI53&gt;0,1,0)</f>
        <v>0</v>
      </c>
      <c r="BJ95" s="116" t="n">
        <f aca="false">IF(BJ53&gt;0,1,0)</f>
        <v>0</v>
      </c>
    </row>
    <row r="96" customFormat="false" ht="15" hidden="false" customHeight="false" outlineLevel="0" collapsed="false">
      <c r="A96" s="6" t="s">
        <v>443</v>
      </c>
      <c r="C96" s="67" t="n">
        <f aca="false">C85+C86</f>
        <v>-876820.786474074</v>
      </c>
      <c r="D96" s="67" t="n">
        <f aca="false">D85+D86</f>
        <v>-15044.0502968696</v>
      </c>
      <c r="E96" s="67" t="n">
        <f aca="false">E85+E86</f>
        <v>-14391.3580025255</v>
      </c>
      <c r="F96" s="67" t="n">
        <f aca="false">F85+F86</f>
        <v>-13738.644582722</v>
      </c>
      <c r="G96" s="67" t="n">
        <f aca="false">G85+G86</f>
        <v>-13085.9099142275</v>
      </c>
      <c r="H96" s="67" t="n">
        <f aca="false">H85+H86</f>
        <v>-9434.78930025158</v>
      </c>
      <c r="I96" s="67" t="n">
        <f aca="false">I85+I86</f>
        <v>-8911.51458896009</v>
      </c>
      <c r="J96" s="67" t="n">
        <f aca="false">J85+J86</f>
        <v>-8022.68968705079</v>
      </c>
      <c r="K96" s="67" t="n">
        <f aca="false">K85+K86</f>
        <v>-10949.9434017245</v>
      </c>
      <c r="L96" s="67" t="n">
        <f aca="false">L85+L86</f>
        <v>-9821.91347771782</v>
      </c>
      <c r="M96" s="67" t="n">
        <f aca="false">M85+M86</f>
        <v>-9169.04868865703</v>
      </c>
      <c r="N96" s="67" t="n">
        <f aca="false">N85+N86</f>
        <v>-8516.16176791777</v>
      </c>
      <c r="O96" s="67" t="n">
        <f aca="false">O85+O86</f>
        <v>-7773.89951395413</v>
      </c>
      <c r="P96" s="67" t="n">
        <f aca="false">P85+P86</f>
        <v>-7321.22606484985</v>
      </c>
      <c r="Q96" s="67" t="n">
        <f aca="false">Q85+Q86</f>
        <v>-6665.84515246818</v>
      </c>
      <c r="R96" s="67" t="n">
        <f aca="false">R85+R86</f>
        <v>-6766.44493840433</v>
      </c>
      <c r="S96" s="67" t="n">
        <f aca="false">S85+S86</f>
        <v>-6762.51619465999</v>
      </c>
      <c r="T96" s="67" t="n">
        <f aca="false">T85+T86</f>
        <v>-1260.35834460183</v>
      </c>
      <c r="U96" s="67" t="n">
        <f aca="false">U85+U86</f>
        <v>-2016.42541306196</v>
      </c>
      <c r="V96" s="67" t="n">
        <f aca="false">V85+V86</f>
        <v>-2012.427514463</v>
      </c>
      <c r="W96" s="67" t="n">
        <f aca="false">W85+W86</f>
        <v>-7506.61248343086</v>
      </c>
      <c r="X96" s="67" t="n">
        <f aca="false">X85+X86</f>
        <v>-6742.52602540741</v>
      </c>
      <c r="Y96" s="67" t="n">
        <f aca="false">Y85+Y86</f>
        <v>-6738.45775467059</v>
      </c>
      <c r="Z96" s="67" t="n">
        <f aca="false">Z85+Z86</f>
        <v>-6734.36575235447</v>
      </c>
      <c r="AA96" s="67" t="n">
        <f aca="false">AA85+AA86</f>
        <v>-6781.69958020756</v>
      </c>
      <c r="AB96" s="67" t="n">
        <f aca="false">AB85+AB86</f>
        <v>-7000.77936612514</v>
      </c>
      <c r="AC96" s="67" t="n">
        <f aca="false">AC85+AC86</f>
        <v>-6996.61533523101</v>
      </c>
      <c r="AD96" s="67" t="n">
        <f aca="false">AD85+AD86</f>
        <v>-6992.42701415667</v>
      </c>
      <c r="AE96" s="67" t="n">
        <f aca="false">AE85+AE86</f>
        <v>-6988.21426120939</v>
      </c>
      <c r="AF96" s="67" t="n">
        <f aca="false">AF85+AF86</f>
        <v>-1438.98542408226</v>
      </c>
      <c r="AG96" s="67" t="n">
        <f aca="false">AG85+AG86</f>
        <v>-2224.90661508393</v>
      </c>
      <c r="AH96" s="67" t="n">
        <f aca="false">AH85+AH86</f>
        <v>-2220.61970807199</v>
      </c>
      <c r="AI96" s="67" t="n">
        <f aca="false">AI85+AI86</f>
        <v>-7761.29930389015</v>
      </c>
      <c r="AJ96" s="67" t="n">
        <f aca="false">AJ85+AJ86</f>
        <v>-6966.77900100521</v>
      </c>
      <c r="AK96" s="67" t="n">
        <f aca="false">AK85+AK86</f>
        <v>-6962.41663464788</v>
      </c>
      <c r="AL96" s="67" t="n">
        <f aca="false">AL85+AL86</f>
        <v>-6958.02882115346</v>
      </c>
      <c r="AM96" s="67" t="n">
        <f aca="false">AM85+AM86</f>
        <v>-7118.98453074635</v>
      </c>
      <c r="AN96" s="67" t="n">
        <f aca="false">AN85+AN86</f>
        <v>-7346.68667503852</v>
      </c>
      <c r="AO96" s="67" t="n">
        <f aca="false">AO85+AO86</f>
        <v>-7342.22162601437</v>
      </c>
      <c r="AP96" s="67" t="n">
        <f aca="false">AP85+AP86</f>
        <v>-7337.73053087091</v>
      </c>
      <c r="AQ96" s="67" t="n">
        <f aca="false">AQ85+AQ86</f>
        <v>-7333.21323767244</v>
      </c>
      <c r="AR96" s="67" t="n">
        <f aca="false">AR85+AR86</f>
        <v>-1736.75277908182</v>
      </c>
      <c r="AS96" s="67" t="n">
        <f aca="false">AS85+AS86</f>
        <v>-2553.71037737924</v>
      </c>
      <c r="AT96" s="67" t="n">
        <f aca="false">AT85+AT86</f>
        <v>-2549.11356951279</v>
      </c>
      <c r="AU96" s="67" t="n">
        <f aca="false">AU85+AU86</f>
        <v>-8136.40676144895</v>
      </c>
      <c r="AV96" s="67" t="n">
        <f aca="false">AV85+AV86</f>
        <v>-7310.22842077493</v>
      </c>
      <c r="AW96" s="67" t="n">
        <f aca="false">AW85+AW86</f>
        <v>-7305.5506986009</v>
      </c>
      <c r="AX96" s="67" t="n">
        <f aca="false">AX85+AX86</f>
        <v>-7300.84568971419</v>
      </c>
      <c r="AY96" s="67" t="n">
        <f aca="false">AY85+AY86</f>
        <v>-7547.87616313574</v>
      </c>
      <c r="AZ96" s="67" t="n">
        <f aca="false">AZ85+AZ86</f>
        <v>-7784.53582504881</v>
      </c>
      <c r="BA96" s="67" t="n">
        <f aca="false">BA85+BA86</f>
        <v>-7779.74799726968</v>
      </c>
      <c r="BB96" s="67" t="n">
        <f aca="false">BB85+BB86</f>
        <v>-7774.93224049516</v>
      </c>
      <c r="BC96" s="67" t="n">
        <f aca="false">BC85+BC86</f>
        <v>-7770.08839180613</v>
      </c>
      <c r="BD96" s="67" t="n">
        <f aca="false">BD85+BD86</f>
        <v>-2126.24589945794</v>
      </c>
      <c r="BE96" s="67" t="n">
        <f aca="false">BE85+BE86</f>
        <v>-2975.46878446767</v>
      </c>
      <c r="BF96" s="67" t="n">
        <f aca="false">BF85+BF86</f>
        <v>-2970.53967298887</v>
      </c>
      <c r="BG96" s="67" t="n">
        <f aca="false">BG85+BG86</f>
        <v>-8604.55219623491</v>
      </c>
      <c r="BH96" s="67" t="n">
        <f aca="false">BH85+BH86</f>
        <v>-7745.44200063662</v>
      </c>
      <c r="BI96" s="67" t="n">
        <f aca="false">BI85+BI86</f>
        <v>-7740.42612554841</v>
      </c>
      <c r="BJ96" s="67" t="n">
        <f aca="false">BJ85+BJ86</f>
        <v>-7735.38099118886</v>
      </c>
    </row>
    <row r="97" customFormat="false" ht="15" hidden="false" customHeight="false" outlineLevel="0" collapsed="false">
      <c r="A97" s="6" t="s">
        <v>444</v>
      </c>
      <c r="C97" s="67" t="n">
        <f aca="false">C96</f>
        <v>-876820.786474074</v>
      </c>
      <c r="D97" s="67" t="n">
        <f aca="false">C97+D96</f>
        <v>-891864.836770944</v>
      </c>
      <c r="E97" s="67" t="n">
        <f aca="false">D97+E96</f>
        <v>-906256.194773469</v>
      </c>
      <c r="F97" s="67" t="n">
        <f aca="false">E97+F96</f>
        <v>-919994.839356191</v>
      </c>
      <c r="G97" s="67" t="n">
        <f aca="false">F97+G96</f>
        <v>-933080.749270419</v>
      </c>
      <c r="H97" s="67" t="n">
        <f aca="false">G97+H96</f>
        <v>-942515.53857067</v>
      </c>
      <c r="I97" s="67" t="n">
        <f aca="false">H97+I96</f>
        <v>-951427.05315963</v>
      </c>
      <c r="J97" s="67" t="n">
        <f aca="false">I97+J96</f>
        <v>-959449.742846681</v>
      </c>
      <c r="K97" s="67" t="n">
        <f aca="false">J97+K96</f>
        <v>-970399.686248406</v>
      </c>
      <c r="L97" s="67" t="n">
        <f aca="false">K97+L96</f>
        <v>-980221.599726123</v>
      </c>
      <c r="M97" s="67" t="n">
        <f aca="false">L97+M96</f>
        <v>-989390.64841478</v>
      </c>
      <c r="N97" s="67" t="n">
        <f aca="false">M97+N96</f>
        <v>-997906.810182698</v>
      </c>
      <c r="O97" s="67" t="n">
        <f aca="false">N97+O96</f>
        <v>-1005680.70969665</v>
      </c>
      <c r="P97" s="67" t="n">
        <f aca="false">O97+P96</f>
        <v>-1013001.9357615</v>
      </c>
      <c r="Q97" s="67" t="n">
        <f aca="false">P97+Q96</f>
        <v>-1019667.78091397</v>
      </c>
      <c r="R97" s="67" t="n">
        <f aca="false">Q97+R96</f>
        <v>-1026434.22585237</v>
      </c>
      <c r="S97" s="67" t="n">
        <f aca="false">R97+S96</f>
        <v>-1033196.74204703</v>
      </c>
      <c r="T97" s="67" t="n">
        <f aca="false">S97+T96</f>
        <v>-1034457.10039164</v>
      </c>
      <c r="U97" s="67" t="n">
        <f aca="false">T97+U96</f>
        <v>-1036473.5258047</v>
      </c>
      <c r="V97" s="67" t="n">
        <f aca="false">U97+V96</f>
        <v>-1038485.95331916</v>
      </c>
      <c r="W97" s="67" t="n">
        <f aca="false">V97+W96</f>
        <v>-1045992.56580259</v>
      </c>
      <c r="X97" s="67" t="n">
        <f aca="false">W97+X96</f>
        <v>-1052735.091828</v>
      </c>
      <c r="Y97" s="67" t="n">
        <f aca="false">X97+Y96</f>
        <v>-1059473.54958267</v>
      </c>
      <c r="Z97" s="67" t="n">
        <f aca="false">Y97+Z96</f>
        <v>-1066207.91533503</v>
      </c>
      <c r="AA97" s="67" t="n">
        <f aca="false">Z97+AA96</f>
        <v>-1072989.61491523</v>
      </c>
      <c r="AB97" s="67" t="n">
        <f aca="false">AA97+AB96</f>
        <v>-1079990.39428136</v>
      </c>
      <c r="AC97" s="67" t="n">
        <f aca="false">AB97+AC96</f>
        <v>-1086987.00961659</v>
      </c>
      <c r="AD97" s="67" t="n">
        <f aca="false">AC97+AD96</f>
        <v>-1093979.43663075</v>
      </c>
      <c r="AE97" s="67" t="n">
        <f aca="false">AD97+AE96</f>
        <v>-1100967.65089195</v>
      </c>
      <c r="AF97" s="67" t="n">
        <f aca="false">AE97+AF96</f>
        <v>-1102406.63631604</v>
      </c>
      <c r="AG97" s="67" t="n">
        <f aca="false">AF97+AG96</f>
        <v>-1104631.54293112</v>
      </c>
      <c r="AH97" s="67" t="n">
        <f aca="false">AG97+AH96</f>
        <v>-1106852.16263919</v>
      </c>
      <c r="AI97" s="67" t="n">
        <f aca="false">AH97+AI96</f>
        <v>-1114613.46194308</v>
      </c>
      <c r="AJ97" s="67" t="n">
        <f aca="false">AI97+AJ96</f>
        <v>-1121580.24094409</v>
      </c>
      <c r="AK97" s="67" t="n">
        <f aca="false">AJ97+AK96</f>
        <v>-1128542.65757874</v>
      </c>
      <c r="AL97" s="67" t="n">
        <f aca="false">AK97+AL96</f>
        <v>-1135500.68639989</v>
      </c>
      <c r="AM97" s="67" t="n">
        <f aca="false">AL97+AM96</f>
        <v>-1142619.67093064</v>
      </c>
      <c r="AN97" s="67" t="n">
        <f aca="false">AM97+AN96</f>
        <v>-1149966.35760567</v>
      </c>
      <c r="AO97" s="67" t="n">
        <f aca="false">AN97+AO96</f>
        <v>-1157308.57923169</v>
      </c>
      <c r="AP97" s="67" t="n">
        <f aca="false">AO97+AP96</f>
        <v>-1164646.30976256</v>
      </c>
      <c r="AQ97" s="67" t="n">
        <f aca="false">AP97+AQ96</f>
        <v>-1171979.52300023</v>
      </c>
      <c r="AR97" s="67" t="n">
        <f aca="false">AQ97+AR96</f>
        <v>-1173716.27577931</v>
      </c>
      <c r="AS97" s="67" t="n">
        <f aca="false">AR97+AS96</f>
        <v>-1176269.98615669</v>
      </c>
      <c r="AT97" s="67" t="n">
        <f aca="false">AS97+AT96</f>
        <v>-1178819.09972621</v>
      </c>
      <c r="AU97" s="67" t="n">
        <f aca="false">AT97+AU96</f>
        <v>-1186955.50648766</v>
      </c>
      <c r="AV97" s="67" t="n">
        <f aca="false">AU97+AV96</f>
        <v>-1194265.73490843</v>
      </c>
      <c r="AW97" s="67" t="n">
        <f aca="false">AV97+AW96</f>
        <v>-1201571.28560703</v>
      </c>
      <c r="AX97" s="67" t="n">
        <f aca="false">AW97+AX96</f>
        <v>-1208872.13129675</v>
      </c>
      <c r="AY97" s="67" t="n">
        <f aca="false">AX97+AY96</f>
        <v>-1216420.00745988</v>
      </c>
      <c r="AZ97" s="67" t="n">
        <f aca="false">AY97+AZ96</f>
        <v>-1224204.54328493</v>
      </c>
      <c r="BA97" s="67" t="n">
        <f aca="false">AZ97+BA96</f>
        <v>-1231984.2912822</v>
      </c>
      <c r="BB97" s="67" t="n">
        <f aca="false">BA97+BB96</f>
        <v>-1239759.22352269</v>
      </c>
      <c r="BC97" s="67" t="n">
        <f aca="false">BB97+BC96</f>
        <v>-1247529.3119145</v>
      </c>
      <c r="BD97" s="67" t="n">
        <f aca="false">BC97+BD96</f>
        <v>-1249655.55781396</v>
      </c>
      <c r="BE97" s="67" t="n">
        <f aca="false">BD97+BE96</f>
        <v>-1252631.02659843</v>
      </c>
      <c r="BF97" s="67" t="n">
        <f aca="false">BE97+BF96</f>
        <v>-1255601.56627142</v>
      </c>
      <c r="BG97" s="67" t="n">
        <f aca="false">BF97+BG96</f>
        <v>-1264206.11846765</v>
      </c>
      <c r="BH97" s="67" t="n">
        <f aca="false">BG97+BH96</f>
        <v>-1271951.56046829</v>
      </c>
      <c r="BI97" s="67" t="n">
        <f aca="false">BH97+BI96</f>
        <v>-1279691.98659384</v>
      </c>
      <c r="BJ97" s="67" t="n">
        <f aca="false">BI97+BJ96</f>
        <v>-1287427.36758502</v>
      </c>
    </row>
    <row r="98" customFormat="false" ht="15" hidden="false" customHeight="false" outlineLevel="0" collapsed="false">
      <c r="A98" s="114" t="s">
        <v>445</v>
      </c>
      <c r="C98" s="67" t="n">
        <f aca="false">C97</f>
        <v>-876820.786474074</v>
      </c>
      <c r="D98" s="67" t="n">
        <f aca="false">MIN(C98,D97)</f>
        <v>-891864.836770944</v>
      </c>
      <c r="E98" s="67" t="n">
        <f aca="false">MIN(D98,E97)</f>
        <v>-906256.194773469</v>
      </c>
      <c r="F98" s="67" t="n">
        <f aca="false">MIN(E98,F97)</f>
        <v>-919994.839356191</v>
      </c>
      <c r="G98" s="67" t="n">
        <f aca="false">MIN(F98,G97)</f>
        <v>-933080.749270419</v>
      </c>
      <c r="H98" s="67" t="n">
        <f aca="false">MIN(G98,H97)</f>
        <v>-942515.53857067</v>
      </c>
      <c r="I98" s="67" t="n">
        <f aca="false">MIN(H98,I97)</f>
        <v>-951427.05315963</v>
      </c>
      <c r="J98" s="67" t="n">
        <f aca="false">MIN(I98,J97)</f>
        <v>-959449.742846681</v>
      </c>
      <c r="K98" s="67" t="n">
        <f aca="false">MIN(J98,K97)</f>
        <v>-970399.686248406</v>
      </c>
      <c r="L98" s="67" t="n">
        <f aca="false">MIN(K98,L97)</f>
        <v>-980221.599726123</v>
      </c>
      <c r="M98" s="67" t="n">
        <f aca="false">MIN(L98,M97)</f>
        <v>-989390.64841478</v>
      </c>
      <c r="N98" s="67" t="n">
        <f aca="false">MIN(M98,N97)</f>
        <v>-997906.810182698</v>
      </c>
      <c r="O98" s="67" t="n">
        <f aca="false">MIN(N98,O97)</f>
        <v>-1005680.70969665</v>
      </c>
      <c r="P98" s="67" t="n">
        <f aca="false">MIN(O98,P97)</f>
        <v>-1013001.9357615</v>
      </c>
      <c r="Q98" s="67" t="n">
        <f aca="false">MIN(P98,Q97)</f>
        <v>-1019667.78091397</v>
      </c>
      <c r="R98" s="67" t="n">
        <f aca="false">MIN(Q98,R97)</f>
        <v>-1026434.22585237</v>
      </c>
      <c r="S98" s="67" t="n">
        <f aca="false">MIN(R98,S97)</f>
        <v>-1033196.74204703</v>
      </c>
      <c r="T98" s="67" t="n">
        <f aca="false">MIN(S98,T97)</f>
        <v>-1034457.10039164</v>
      </c>
      <c r="U98" s="67" t="n">
        <f aca="false">MIN(T98,U97)</f>
        <v>-1036473.5258047</v>
      </c>
      <c r="V98" s="67" t="n">
        <f aca="false">MIN(U98,V97)</f>
        <v>-1038485.95331916</v>
      </c>
      <c r="W98" s="67" t="n">
        <f aca="false">MIN(V98,W97)</f>
        <v>-1045992.56580259</v>
      </c>
      <c r="X98" s="67" t="n">
        <f aca="false">MIN(W98,X97)</f>
        <v>-1052735.091828</v>
      </c>
      <c r="Y98" s="67" t="n">
        <f aca="false">MIN(X98,Y97)</f>
        <v>-1059473.54958267</v>
      </c>
      <c r="Z98" s="67" t="n">
        <f aca="false">MIN(Y98,Z97)</f>
        <v>-1066207.91533503</v>
      </c>
      <c r="AA98" s="67" t="n">
        <f aca="false">MIN(Z98,AA97)</f>
        <v>-1072989.61491523</v>
      </c>
      <c r="AB98" s="67" t="n">
        <f aca="false">MIN(AA98,AB97)</f>
        <v>-1079990.39428136</v>
      </c>
      <c r="AC98" s="67" t="n">
        <f aca="false">MIN(AB98,AC97)</f>
        <v>-1086987.00961659</v>
      </c>
      <c r="AD98" s="67" t="n">
        <f aca="false">MIN(AC98,AD97)</f>
        <v>-1093979.43663075</v>
      </c>
      <c r="AE98" s="67" t="n">
        <f aca="false">MIN(AD98,AE97)</f>
        <v>-1100967.65089195</v>
      </c>
      <c r="AF98" s="67" t="n">
        <f aca="false">MIN(AE98,AF97)</f>
        <v>-1102406.63631604</v>
      </c>
      <c r="AG98" s="67" t="n">
        <f aca="false">MIN(AF98,AG97)</f>
        <v>-1104631.54293112</v>
      </c>
      <c r="AH98" s="67" t="n">
        <f aca="false">MIN(AG98,AH97)</f>
        <v>-1106852.16263919</v>
      </c>
      <c r="AI98" s="67" t="n">
        <f aca="false">MIN(AH98,AI97)</f>
        <v>-1114613.46194308</v>
      </c>
      <c r="AJ98" s="67" t="n">
        <f aca="false">MIN(AI98,AJ97)</f>
        <v>-1121580.24094409</v>
      </c>
      <c r="AK98" s="67" t="n">
        <f aca="false">MIN(AJ98,AK97)</f>
        <v>-1128542.65757874</v>
      </c>
      <c r="AL98" s="67" t="n">
        <f aca="false">MIN(AK98,AL97)</f>
        <v>-1135500.68639989</v>
      </c>
      <c r="AM98" s="67" t="n">
        <f aca="false">MIN(AL98,AM97)</f>
        <v>-1142619.67093064</v>
      </c>
      <c r="AN98" s="67" t="n">
        <f aca="false">MIN(AM98,AN97)</f>
        <v>-1149966.35760567</v>
      </c>
      <c r="AO98" s="67" t="n">
        <f aca="false">MIN(AN98,AO97)</f>
        <v>-1157308.57923169</v>
      </c>
      <c r="AP98" s="67" t="n">
        <f aca="false">MIN(AO98,AP97)</f>
        <v>-1164646.30976256</v>
      </c>
      <c r="AQ98" s="67" t="n">
        <f aca="false">MIN(AP98,AQ97)</f>
        <v>-1171979.52300023</v>
      </c>
      <c r="AR98" s="67" t="n">
        <f aca="false">MIN(AQ98,AR97)</f>
        <v>-1173716.27577931</v>
      </c>
      <c r="AS98" s="67" t="n">
        <f aca="false">MIN(AR98,AS97)</f>
        <v>-1176269.98615669</v>
      </c>
      <c r="AT98" s="67" t="n">
        <f aca="false">MIN(AS98,AT97)</f>
        <v>-1178819.09972621</v>
      </c>
      <c r="AU98" s="67" t="n">
        <f aca="false">MIN(AT98,AU97)</f>
        <v>-1186955.50648766</v>
      </c>
      <c r="AV98" s="67" t="n">
        <f aca="false">MIN(AU98,AV97)</f>
        <v>-1194265.73490843</v>
      </c>
      <c r="AW98" s="67" t="n">
        <f aca="false">MIN(AV98,AW97)</f>
        <v>-1201571.28560703</v>
      </c>
      <c r="AX98" s="67" t="n">
        <f aca="false">MIN(AW98,AX97)</f>
        <v>-1208872.13129675</v>
      </c>
      <c r="AY98" s="67" t="n">
        <f aca="false">MIN(AX98,AY97)</f>
        <v>-1216420.00745988</v>
      </c>
      <c r="AZ98" s="67" t="n">
        <f aca="false">MIN(AY98,AZ97)</f>
        <v>-1224204.54328493</v>
      </c>
      <c r="BA98" s="67" t="n">
        <f aca="false">MIN(AZ98,BA97)</f>
        <v>-1231984.2912822</v>
      </c>
      <c r="BB98" s="67" t="n">
        <f aca="false">MIN(BA98,BB97)</f>
        <v>-1239759.22352269</v>
      </c>
      <c r="BC98" s="67" t="n">
        <f aca="false">MIN(BB98,BC97)</f>
        <v>-1247529.3119145</v>
      </c>
      <c r="BD98" s="67" t="n">
        <f aca="false">MIN(BC98,BD97)</f>
        <v>-1249655.55781396</v>
      </c>
      <c r="BE98" s="67" t="n">
        <f aca="false">MIN(BD98,BE97)</f>
        <v>-1252631.02659843</v>
      </c>
      <c r="BF98" s="67" t="n">
        <f aca="false">MIN(BE98,BF97)</f>
        <v>-1255601.56627142</v>
      </c>
      <c r="BG98" s="67" t="n">
        <f aca="false">MIN(BF98,BG97)</f>
        <v>-1264206.11846765</v>
      </c>
      <c r="BH98" s="67" t="n">
        <f aca="false">MIN(BG98,BH97)</f>
        <v>-1271951.56046829</v>
      </c>
      <c r="BI98" s="67" t="n">
        <f aca="false">MIN(BH98,BI97)</f>
        <v>-1279691.98659384</v>
      </c>
      <c r="BJ98" s="67" t="n">
        <f aca="false">MIN(BI98,BJ97)</f>
        <v>-1287427.36758502</v>
      </c>
    </row>
    <row r="99" customFormat="false" ht="15" hidden="false" customHeight="false" outlineLevel="0" collapsed="false">
      <c r="A99" s="114" t="s">
        <v>446</v>
      </c>
      <c r="C99" s="116" t="n">
        <f aca="false">IF(AND(C97&gt;=0,C98&lt;0),1,0)</f>
        <v>0</v>
      </c>
      <c r="D99" s="116" t="n">
        <f aca="false">IF(AND(D97&gt;=0,D98&lt;0),1,0)</f>
        <v>0</v>
      </c>
      <c r="E99" s="116" t="n">
        <f aca="false">IF(AND(E97&gt;=0,E98&lt;0),1,0)</f>
        <v>0</v>
      </c>
      <c r="F99" s="116" t="n">
        <f aca="false">IF(AND(F97&gt;=0,F98&lt;0),1,0)</f>
        <v>0</v>
      </c>
      <c r="G99" s="116" t="n">
        <f aca="false">IF(AND(G97&gt;=0,G98&lt;0),1,0)</f>
        <v>0</v>
      </c>
      <c r="H99" s="116" t="n">
        <f aca="false">IF(AND(H97&gt;=0,H98&lt;0),1,0)</f>
        <v>0</v>
      </c>
      <c r="I99" s="116" t="n">
        <f aca="false">IF(AND(I97&gt;=0,I98&lt;0),1,0)</f>
        <v>0</v>
      </c>
      <c r="J99" s="116" t="n">
        <f aca="false">IF(AND(J97&gt;=0,J98&lt;0),1,0)</f>
        <v>0</v>
      </c>
      <c r="K99" s="116" t="n">
        <f aca="false">IF(AND(K97&gt;=0,K98&lt;0),1,0)</f>
        <v>0</v>
      </c>
      <c r="L99" s="116" t="n">
        <f aca="false">IF(AND(L97&gt;=0,L98&lt;0),1,0)</f>
        <v>0</v>
      </c>
      <c r="M99" s="116" t="n">
        <f aca="false">IF(AND(M97&gt;=0,M98&lt;0),1,0)</f>
        <v>0</v>
      </c>
      <c r="N99" s="116" t="n">
        <f aca="false">IF(AND(N97&gt;=0,N98&lt;0),1,0)</f>
        <v>0</v>
      </c>
      <c r="O99" s="116" t="n">
        <f aca="false">IF(AND(O97&gt;=0,O98&lt;0),1,0)</f>
        <v>0</v>
      </c>
      <c r="P99" s="116" t="n">
        <f aca="false">IF(AND(P97&gt;=0,P98&lt;0),1,0)</f>
        <v>0</v>
      </c>
      <c r="Q99" s="116" t="n">
        <f aca="false">IF(AND(Q97&gt;=0,Q98&lt;0),1,0)</f>
        <v>0</v>
      </c>
      <c r="R99" s="116" t="n">
        <f aca="false">IF(AND(R97&gt;=0,R98&lt;0),1,0)</f>
        <v>0</v>
      </c>
      <c r="S99" s="116" t="n">
        <f aca="false">IF(AND(S97&gt;=0,S98&lt;0),1,0)</f>
        <v>0</v>
      </c>
      <c r="T99" s="116" t="n">
        <f aca="false">IF(AND(T97&gt;=0,T98&lt;0),1,0)</f>
        <v>0</v>
      </c>
      <c r="U99" s="116" t="n">
        <f aca="false">IF(AND(U97&gt;=0,U98&lt;0),1,0)</f>
        <v>0</v>
      </c>
      <c r="V99" s="116" t="n">
        <f aca="false">IF(AND(V97&gt;=0,V98&lt;0),1,0)</f>
        <v>0</v>
      </c>
      <c r="W99" s="116" t="n">
        <f aca="false">IF(AND(W97&gt;=0,W98&lt;0),1,0)</f>
        <v>0</v>
      </c>
      <c r="X99" s="116" t="n">
        <f aca="false">IF(AND(X97&gt;=0,X98&lt;0),1,0)</f>
        <v>0</v>
      </c>
      <c r="Y99" s="116" t="n">
        <f aca="false">IF(AND(Y97&gt;=0,Y98&lt;0),1,0)</f>
        <v>0</v>
      </c>
      <c r="Z99" s="116" t="n">
        <f aca="false">IF(AND(Z97&gt;=0,Z98&lt;0),1,0)</f>
        <v>0</v>
      </c>
      <c r="AA99" s="116" t="n">
        <f aca="false">IF(AND(AA97&gt;=0,AA98&lt;0),1,0)</f>
        <v>0</v>
      </c>
      <c r="AB99" s="116" t="n">
        <f aca="false">IF(AND(AB97&gt;=0,AB98&lt;0),1,0)</f>
        <v>0</v>
      </c>
      <c r="AC99" s="116" t="n">
        <f aca="false">IF(AND(AC97&gt;=0,AC98&lt;0),1,0)</f>
        <v>0</v>
      </c>
      <c r="AD99" s="116" t="n">
        <f aca="false">IF(AND(AD97&gt;=0,AD98&lt;0),1,0)</f>
        <v>0</v>
      </c>
      <c r="AE99" s="116" t="n">
        <f aca="false">IF(AND(AE97&gt;=0,AE98&lt;0),1,0)</f>
        <v>0</v>
      </c>
      <c r="AF99" s="116" t="n">
        <f aca="false">IF(AND(AF97&gt;=0,AF98&lt;0),1,0)</f>
        <v>0</v>
      </c>
      <c r="AG99" s="116" t="n">
        <f aca="false">IF(AND(AG97&gt;=0,AG98&lt;0),1,0)</f>
        <v>0</v>
      </c>
      <c r="AH99" s="116" t="n">
        <f aca="false">IF(AND(AH97&gt;=0,AH98&lt;0),1,0)</f>
        <v>0</v>
      </c>
      <c r="AI99" s="116" t="n">
        <f aca="false">IF(AND(AI97&gt;=0,AI98&lt;0),1,0)</f>
        <v>0</v>
      </c>
      <c r="AJ99" s="116" t="n">
        <f aca="false">IF(AND(AJ97&gt;=0,AJ98&lt;0),1,0)</f>
        <v>0</v>
      </c>
      <c r="AK99" s="116" t="n">
        <f aca="false">IF(AND(AK97&gt;=0,AK98&lt;0),1,0)</f>
        <v>0</v>
      </c>
      <c r="AL99" s="116" t="n">
        <f aca="false">IF(AND(AL97&gt;=0,AL98&lt;0),1,0)</f>
        <v>0</v>
      </c>
      <c r="AM99" s="116" t="n">
        <f aca="false">IF(AND(AM97&gt;=0,AM98&lt;0),1,0)</f>
        <v>0</v>
      </c>
      <c r="AN99" s="116" t="n">
        <f aca="false">IF(AND(AN97&gt;=0,AN98&lt;0),1,0)</f>
        <v>0</v>
      </c>
      <c r="AO99" s="116" t="n">
        <f aca="false">IF(AND(AO97&gt;=0,AO98&lt;0),1,0)</f>
        <v>0</v>
      </c>
      <c r="AP99" s="116" t="n">
        <f aca="false">IF(AND(AP97&gt;=0,AP98&lt;0),1,0)</f>
        <v>0</v>
      </c>
      <c r="AQ99" s="116" t="n">
        <f aca="false">IF(AND(AQ97&gt;=0,AQ98&lt;0),1,0)</f>
        <v>0</v>
      </c>
      <c r="AR99" s="116" t="n">
        <f aca="false">IF(AND(AR97&gt;=0,AR98&lt;0),1,0)</f>
        <v>0</v>
      </c>
      <c r="AS99" s="116" t="n">
        <f aca="false">IF(AND(AS97&gt;=0,AS98&lt;0),1,0)</f>
        <v>0</v>
      </c>
      <c r="AT99" s="116" t="n">
        <f aca="false">IF(AND(AT97&gt;=0,AT98&lt;0),1,0)</f>
        <v>0</v>
      </c>
      <c r="AU99" s="116" t="n">
        <f aca="false">IF(AND(AU97&gt;=0,AU98&lt;0),1,0)</f>
        <v>0</v>
      </c>
      <c r="AV99" s="116" t="n">
        <f aca="false">IF(AND(AV97&gt;=0,AV98&lt;0),1,0)</f>
        <v>0</v>
      </c>
      <c r="AW99" s="116" t="n">
        <f aca="false">IF(AND(AW97&gt;=0,AW98&lt;0),1,0)</f>
        <v>0</v>
      </c>
      <c r="AX99" s="116" t="n">
        <f aca="false">IF(AND(AX97&gt;=0,AX98&lt;0),1,0)</f>
        <v>0</v>
      </c>
      <c r="AY99" s="116" t="n">
        <f aca="false">IF(AND(AY97&gt;=0,AY98&lt;0),1,0)</f>
        <v>0</v>
      </c>
      <c r="AZ99" s="116" t="n">
        <f aca="false">IF(AND(AZ97&gt;=0,AZ98&lt;0),1,0)</f>
        <v>0</v>
      </c>
      <c r="BA99" s="116" t="n">
        <f aca="false">IF(AND(BA97&gt;=0,BA98&lt;0),1,0)</f>
        <v>0</v>
      </c>
      <c r="BB99" s="116" t="n">
        <f aca="false">IF(AND(BB97&gt;=0,BB98&lt;0),1,0)</f>
        <v>0</v>
      </c>
      <c r="BC99" s="116" t="n">
        <f aca="false">IF(AND(BC97&gt;=0,BC98&lt;0),1,0)</f>
        <v>0</v>
      </c>
      <c r="BD99" s="116" t="n">
        <f aca="false">IF(AND(BD97&gt;=0,BD98&lt;0),1,0)</f>
        <v>0</v>
      </c>
      <c r="BE99" s="116" t="n">
        <f aca="false">IF(AND(BE97&gt;=0,BE98&lt;0),1,0)</f>
        <v>0</v>
      </c>
      <c r="BF99" s="116" t="n">
        <f aca="false">IF(AND(BF97&gt;=0,BF98&lt;0),1,0)</f>
        <v>0</v>
      </c>
      <c r="BG99" s="116" t="n">
        <f aca="false">IF(AND(BG97&gt;=0,BG98&lt;0),1,0)</f>
        <v>0</v>
      </c>
      <c r="BH99" s="116" t="n">
        <f aca="false">IF(AND(BH97&gt;=0,BH98&lt;0),1,0)</f>
        <v>0</v>
      </c>
      <c r="BI99" s="116" t="n">
        <f aca="false">IF(AND(BI97&gt;=0,BI98&lt;0),1,0)</f>
        <v>0</v>
      </c>
      <c r="BJ99" s="116" t="n">
        <f aca="false">IF(AND(BJ97&gt;=0,BJ98&lt;0),1,0)</f>
        <v>0</v>
      </c>
    </row>
    <row r="100" customFormat="false" ht="15" hidden="false" customHeight="false" outlineLevel="0" collapsed="false">
      <c r="A100" s="6" t="s">
        <v>447</v>
      </c>
      <c r="C100" s="67" t="n">
        <f aca="false">C85-C48*(1-Inputs!$B$77)+C86</f>
        <v>-874516.619807407</v>
      </c>
      <c r="D100" s="67" t="n">
        <f aca="false">D85-D48*(1-Inputs!$B$77)+D86</f>
        <v>-12742.7280286513</v>
      </c>
      <c r="E100" s="67" t="n">
        <f aca="false">E85-E48*(1-Inputs!$B$77)+E86</f>
        <v>-12092.8967250797</v>
      </c>
      <c r="F100" s="67" t="n">
        <f aca="false">F85-F48*(1-Inputs!$B$77)+F86</f>
        <v>-11443.0609851618</v>
      </c>
      <c r="G100" s="67" t="n">
        <f aca="false">G85-G48*(1-Inputs!$B$77)+G86</f>
        <v>-10793.2207830186</v>
      </c>
      <c r="H100" s="67" t="n">
        <f aca="false">H85-H48*(1-Inputs!$B$77)+H86</f>
        <v>-7145.01151978123</v>
      </c>
      <c r="I100" s="67" t="n">
        <f aca="false">I85-I48*(1-Inputs!$B$77)+I86</f>
        <v>-6624.66514210754</v>
      </c>
      <c r="J100" s="67" t="n">
        <f aca="false">J85-J48*(1-Inputs!$B$77)+J86</f>
        <v>-5738.78565576215</v>
      </c>
      <c r="K100" s="67" t="n">
        <f aca="false">K85-K48*(1-Inputs!$B$77)+K86</f>
        <v>-8669.00196759053</v>
      </c>
      <c r="L100" s="67" t="n">
        <f aca="false">L85-L48*(1-Inputs!$B$77)+L86</f>
        <v>-7543.95192255531</v>
      </c>
      <c r="M100" s="67" t="n">
        <f aca="false">M85-M48*(1-Inputs!$B$77)+M86</f>
        <v>-6894.08439509329</v>
      </c>
      <c r="N100" s="67" t="n">
        <f aca="false">N85-N48*(1-Inputs!$B$77)+N86</f>
        <v>-6244.21221997878</v>
      </c>
      <c r="O100" s="67" t="n">
        <f aca="false">O85-O48*(1-Inputs!$B$77)+O86</f>
        <v>-5504.98229765605</v>
      </c>
      <c r="P100" s="67" t="n">
        <f aca="false">P85-P48*(1-Inputs!$B$77)+P86</f>
        <v>-5055.3588687939</v>
      </c>
      <c r="Q100" s="67" t="n">
        <f aca="false">Q85-Q48*(1-Inputs!$B$77)+Q86</f>
        <v>-4403.04576843912</v>
      </c>
      <c r="R100" s="67" t="n">
        <f aca="false">R85-R48*(1-Inputs!$B$77)+R86</f>
        <v>-4506.73126197232</v>
      </c>
      <c r="S100" s="67" t="n">
        <f aca="false">S85-S48*(1-Inputs!$B$77)+S86</f>
        <v>-4505.90622578601</v>
      </c>
      <c r="T100" s="67" t="n">
        <f aca="false">T85-T48*(1-Inputs!$B$77)+T86</f>
        <v>993.129811753366</v>
      </c>
      <c r="U100" s="67" t="n">
        <f aca="false">U85-U48*(1-Inputs!$B$77)+U86</f>
        <v>233.92272020143</v>
      </c>
      <c r="V100" s="67" t="n">
        <f aca="false">V85-V48*(1-Inputs!$B$77)+V86</f>
        <v>234.762278907211</v>
      </c>
      <c r="W100" s="67" t="n">
        <f aca="false">W85-W48*(1-Inputs!$B$77)+W86</f>
        <v>-5262.5994536032</v>
      </c>
      <c r="X100" s="67" t="n">
        <f aca="false">X85-X48*(1-Inputs!$B$77)+X86</f>
        <v>-4501.70829024297</v>
      </c>
      <c r="Y100" s="67" t="n">
        <f aca="false">Y85-Y48*(1-Inputs!$B$77)+Y86</f>
        <v>-4500.85395338823</v>
      </c>
      <c r="Z100" s="67" t="n">
        <f aca="false">Z85-Z48*(1-Inputs!$B$77)+Z86</f>
        <v>-4499.99463290185</v>
      </c>
      <c r="AA100" s="67" t="n">
        <f aca="false">AA85-AA48*(1-Inputs!$B$77)+AA86</f>
        <v>-4550.57999989534</v>
      </c>
      <c r="AB100" s="67" t="n">
        <f aca="false">AB85-AB48*(1-Inputs!$B$77)+AB86</f>
        <v>-4772.93029226499</v>
      </c>
      <c r="AC100" s="67" t="n">
        <f aca="false">AC85-AC48*(1-Inputs!$B$77)+AC86</f>
        <v>-4772.05584577722</v>
      </c>
      <c r="AD100" s="67" t="n">
        <f aca="false">AD85-AD48*(1-Inputs!$B$77)+AD86</f>
        <v>-4771.17629835161</v>
      </c>
      <c r="AE100" s="67" t="n">
        <f aca="false">AE85-AE48*(1-Inputs!$B$77)+AE86</f>
        <v>-4770.29162023268</v>
      </c>
      <c r="AF100" s="67" t="n">
        <f aca="false">AF85-AF48*(1-Inputs!$B$77)+AF86</f>
        <v>775.589728296271</v>
      </c>
      <c r="AG100" s="67" t="n">
        <f aca="false">AG85-AG48*(1-Inputs!$B$77)+AG86</f>
        <v>-13.6984783204036</v>
      </c>
      <c r="AH100" s="67" t="n">
        <f aca="false">AH85-AH48*(1-Inputs!$B$77)+AH86</f>
        <v>-12.7982278478978</v>
      </c>
      <c r="AI100" s="67" t="n">
        <f aca="false">AI85-AI48*(1-Inputs!$B$77)+AI86</f>
        <v>-5556.88423570196</v>
      </c>
      <c r="AJ100" s="67" t="n">
        <f aca="false">AJ85-AJ48*(1-Inputs!$B$77)+AJ86</f>
        <v>-4765.7902155898</v>
      </c>
      <c r="AK100" s="67" t="n">
        <f aca="false">AK85-AK48*(1-Inputs!$B$77)+AK86</f>
        <v>-4764.87411865476</v>
      </c>
      <c r="AL100" s="67" t="n">
        <f aca="false">AL85-AL48*(1-Inputs!$B$77)+AL86</f>
        <v>-4763.95267782093</v>
      </c>
      <c r="AM100" s="67" t="n">
        <f aca="false">AM85-AM48*(1-Inputs!$B$77)+AM86</f>
        <v>-4928.39498058159</v>
      </c>
      <c r="AN100" s="67" t="n">
        <f aca="false">AN85-AN48*(1-Inputs!$B$77)+AN86</f>
        <v>-5159.60405650169</v>
      </c>
      <c r="AO100" s="67" t="n">
        <f aca="false">AO85-AO48*(1-Inputs!$B$77)+AO86</f>
        <v>-5158.66639620662</v>
      </c>
      <c r="AP100" s="67" t="n">
        <f aca="false">AP85-AP48*(1-Inputs!$B$77)+AP86</f>
        <v>-5157.72326622649</v>
      </c>
      <c r="AQ100" s="67" t="n">
        <f aca="false">AQ85-AQ48*(1-Inputs!$B$77)+AQ86</f>
        <v>-5156.77463465481</v>
      </c>
      <c r="AR100" s="67" t="n">
        <f aca="false">AR85-AR48*(1-Inputs!$B$77)+AR86</f>
        <v>436.096345116195</v>
      </c>
      <c r="AS100" s="67" t="n">
        <f aca="false">AS85-AS48*(1-Inputs!$B$77)+AS86</f>
        <v>-384.471670627278</v>
      </c>
      <c r="AT100" s="67" t="n">
        <f aca="false">AT85-AT48*(1-Inputs!$B$77)+AT86</f>
        <v>-383.506340975325</v>
      </c>
      <c r="AU100" s="67" t="n">
        <f aca="false">AU85-AU48*(1-Inputs!$B$77)+AU86</f>
        <v>-5974.4521947489</v>
      </c>
      <c r="AV100" s="67" t="n">
        <f aca="false">AV85-AV48*(1-Inputs!$B$77)+AV86</f>
        <v>-5151.94782310633</v>
      </c>
      <c r="AW100" s="67" t="n">
        <f aca="false">AW85-AW48*(1-Inputs!$B$77)+AW86</f>
        <v>-5150.96550144979</v>
      </c>
      <c r="AX100" s="67" t="n">
        <f aca="false">AX85-AX48*(1-Inputs!$B$77)+AX86</f>
        <v>-5149.97744958358</v>
      </c>
      <c r="AY100" s="67" t="n">
        <f aca="false">AY85-AY48*(1-Inputs!$B$77)+AY86</f>
        <v>-5400.74656227491</v>
      </c>
      <c r="AZ100" s="67" t="n">
        <f aca="false">AZ85-AZ48*(1-Inputs!$B$77)+AZ86</f>
        <v>-5641.16667218684</v>
      </c>
      <c r="BA100" s="67" t="n">
        <f aca="false">BA85-BA48*(1-Inputs!$B$77)+BA86</f>
        <v>-5640.16122835323</v>
      </c>
      <c r="BB100" s="67" t="n">
        <f aca="false">BB85-BB48*(1-Inputs!$B$77)+BB86</f>
        <v>-5639.14991943058</v>
      </c>
      <c r="BC100" s="67" t="n">
        <f aca="false">BC85-BC48*(1-Inputs!$B$77)+BC86</f>
        <v>-5638.13271120588</v>
      </c>
      <c r="BD100" s="67" t="n">
        <f aca="false">BD85-BD48*(1-Inputs!$B$77)+BD86</f>
        <v>1.86081860858963</v>
      </c>
      <c r="BE100" s="67" t="n">
        <f aca="false">BE85-BE48*(1-Inputs!$B$77)+BE86</f>
        <v>-851.233481216292</v>
      </c>
      <c r="BF100" s="67" t="n">
        <f aca="false">BF85-BF48*(1-Inputs!$B$77)+BF86</f>
        <v>-850.198367805746</v>
      </c>
      <c r="BG100" s="67" t="n">
        <f aca="false">BG85-BG48*(1-Inputs!$B$77)+BG86</f>
        <v>-6488.12760410877</v>
      </c>
      <c r="BH100" s="67" t="n">
        <f aca="false">BH85-BH48*(1-Inputs!$B$77)+BH86</f>
        <v>-5632.95696906028</v>
      </c>
      <c r="BI100" s="67" t="n">
        <f aca="false">BI85-BI48*(1-Inputs!$B$77)+BI86</f>
        <v>-5631.90363529176</v>
      </c>
      <c r="BJ100" s="67" t="n">
        <f aca="false">BJ85-BJ48*(1-Inputs!$B$77)+BJ86</f>
        <v>-5630.84415707625</v>
      </c>
    </row>
    <row r="102" customFormat="false" ht="15.75" hidden="false" customHeight="true" outlineLevel="0" collapsed="false">
      <c r="A102" s="7" t="s">
        <v>448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97</v>
      </c>
      <c r="C103" s="67" t="n">
        <f aca="false">C87</f>
        <v>430000</v>
      </c>
      <c r="D103" s="67" t="n">
        <f aca="false">C103+D87</f>
        <v>430000</v>
      </c>
      <c r="E103" s="67" t="n">
        <f aca="false">D103+E87</f>
        <v>430000</v>
      </c>
      <c r="F103" s="67" t="n">
        <f aca="false">E103+F87</f>
        <v>430000</v>
      </c>
      <c r="G103" s="67" t="n">
        <f aca="false">F103+G87</f>
        <v>430000</v>
      </c>
      <c r="H103" s="67" t="n">
        <f aca="false">G103+H87</f>
        <v>430000</v>
      </c>
      <c r="I103" s="67" t="n">
        <f aca="false">H103+I87</f>
        <v>430000</v>
      </c>
      <c r="J103" s="67" t="n">
        <f aca="false">I103+J87</f>
        <v>430000</v>
      </c>
      <c r="K103" s="67" t="n">
        <f aca="false">J103+K87</f>
        <v>430000</v>
      </c>
      <c r="L103" s="67" t="n">
        <f aca="false">K103+L87</f>
        <v>430000</v>
      </c>
      <c r="M103" s="67" t="n">
        <f aca="false">L103+M87</f>
        <v>430000</v>
      </c>
      <c r="N103" s="67" t="n">
        <f aca="false">M103+N87</f>
        <v>430000</v>
      </c>
      <c r="O103" s="67" t="n">
        <f aca="false">N103+O87</f>
        <v>430000</v>
      </c>
      <c r="P103" s="67" t="n">
        <f aca="false">O103+P87</f>
        <v>430000</v>
      </c>
      <c r="Q103" s="67" t="n">
        <f aca="false">P103+Q87</f>
        <v>430000</v>
      </c>
      <c r="R103" s="67" t="n">
        <f aca="false">Q103+R87</f>
        <v>430000</v>
      </c>
      <c r="S103" s="67" t="n">
        <f aca="false">R103+S87</f>
        <v>430000</v>
      </c>
      <c r="T103" s="67" t="n">
        <f aca="false">S103+T87</f>
        <v>430000</v>
      </c>
      <c r="U103" s="67" t="n">
        <f aca="false">T103+U87</f>
        <v>430000</v>
      </c>
      <c r="V103" s="67" t="n">
        <f aca="false">U103+V87</f>
        <v>430000</v>
      </c>
      <c r="W103" s="67" t="n">
        <f aca="false">V103+W87</f>
        <v>430000</v>
      </c>
      <c r="X103" s="67" t="n">
        <f aca="false">W103+X87</f>
        <v>430000</v>
      </c>
      <c r="Y103" s="67" t="n">
        <f aca="false">X103+Y87</f>
        <v>430000</v>
      </c>
      <c r="Z103" s="67" t="n">
        <f aca="false">Y103+Z87</f>
        <v>430000</v>
      </c>
      <c r="AA103" s="67" t="n">
        <f aca="false">Z103+AA87</f>
        <v>430000</v>
      </c>
      <c r="AB103" s="67" t="n">
        <f aca="false">AA103+AB87</f>
        <v>430000</v>
      </c>
      <c r="AC103" s="67" t="n">
        <f aca="false">AB103+AC87</f>
        <v>430000</v>
      </c>
      <c r="AD103" s="67" t="n">
        <f aca="false">AC103+AD87</f>
        <v>430000</v>
      </c>
      <c r="AE103" s="67" t="n">
        <f aca="false">AD103+AE87</f>
        <v>430000</v>
      </c>
      <c r="AF103" s="67" t="n">
        <f aca="false">AE103+AF87</f>
        <v>430000</v>
      </c>
      <c r="AG103" s="67" t="n">
        <f aca="false">AF103+AG87</f>
        <v>430000</v>
      </c>
      <c r="AH103" s="67" t="n">
        <f aca="false">AG103+AH87</f>
        <v>430000</v>
      </c>
      <c r="AI103" s="67" t="n">
        <f aca="false">AH103+AI87</f>
        <v>430000</v>
      </c>
      <c r="AJ103" s="67" t="n">
        <f aca="false">AI103+AJ87</f>
        <v>430000</v>
      </c>
      <c r="AK103" s="67" t="n">
        <f aca="false">AJ103+AK87</f>
        <v>430000</v>
      </c>
      <c r="AL103" s="67" t="n">
        <f aca="false">AK103+AL87</f>
        <v>430000</v>
      </c>
      <c r="AM103" s="67" t="n">
        <f aca="false">AL103+AM87</f>
        <v>430000</v>
      </c>
      <c r="AN103" s="67" t="n">
        <f aca="false">AM103+AN87</f>
        <v>430000</v>
      </c>
      <c r="AO103" s="67" t="n">
        <f aca="false">AN103+AO87</f>
        <v>430000</v>
      </c>
      <c r="AP103" s="67" t="n">
        <f aca="false">AO103+AP87</f>
        <v>430000</v>
      </c>
      <c r="AQ103" s="67" t="n">
        <f aca="false">AP103+AQ87</f>
        <v>430000</v>
      </c>
      <c r="AR103" s="67" t="n">
        <f aca="false">AQ103+AR87</f>
        <v>430000</v>
      </c>
      <c r="AS103" s="67" t="n">
        <f aca="false">AR103+AS87</f>
        <v>430000</v>
      </c>
      <c r="AT103" s="67" t="n">
        <f aca="false">AS103+AT87</f>
        <v>430000</v>
      </c>
      <c r="AU103" s="67" t="n">
        <f aca="false">AT103+AU87</f>
        <v>430000</v>
      </c>
      <c r="AV103" s="67" t="n">
        <f aca="false">AU103+AV87</f>
        <v>430000</v>
      </c>
      <c r="AW103" s="67" t="n">
        <f aca="false">AV103+AW87</f>
        <v>430000</v>
      </c>
      <c r="AX103" s="67" t="n">
        <f aca="false">AW103+AX87</f>
        <v>430000</v>
      </c>
      <c r="AY103" s="67" t="n">
        <f aca="false">AX103+AY87</f>
        <v>430000</v>
      </c>
      <c r="AZ103" s="67" t="n">
        <f aca="false">AY103+AZ87</f>
        <v>430000</v>
      </c>
      <c r="BA103" s="67" t="n">
        <f aca="false">AZ103+BA87</f>
        <v>430000</v>
      </c>
      <c r="BB103" s="67" t="n">
        <f aca="false">BA103+BB87</f>
        <v>430000</v>
      </c>
      <c r="BC103" s="67" t="n">
        <f aca="false">BB103+BC87</f>
        <v>430000</v>
      </c>
      <c r="BD103" s="67" t="n">
        <f aca="false">BC103+BD87</f>
        <v>430000</v>
      </c>
      <c r="BE103" s="67" t="n">
        <f aca="false">BD103+BE87</f>
        <v>430000</v>
      </c>
      <c r="BF103" s="67" t="n">
        <f aca="false">BE103+BF87</f>
        <v>430000</v>
      </c>
      <c r="BG103" s="67" t="n">
        <f aca="false">BF103+BG87</f>
        <v>430000</v>
      </c>
      <c r="BH103" s="67" t="n">
        <f aca="false">BG103+BH87</f>
        <v>430000</v>
      </c>
      <c r="BI103" s="67" t="n">
        <f aca="false">BH103+BI87</f>
        <v>430000</v>
      </c>
      <c r="BJ103" s="67" t="n">
        <f aca="false">BI103+BJ87</f>
        <v>430000</v>
      </c>
    </row>
    <row r="104" customFormat="false" ht="15" hidden="false" customHeight="false" outlineLevel="0" collapsed="false">
      <c r="A104" s="6" t="s">
        <v>98</v>
      </c>
      <c r="C104" s="67" t="n">
        <f aca="false">C53</f>
        <v>-18856.9641666667</v>
      </c>
      <c r="D104" s="67" t="n">
        <f aca="false">C104+D53</f>
        <v>-37065.423708598</v>
      </c>
      <c r="E104" s="67" t="n">
        <f aca="false">D104+E53</f>
        <v>-54625.3576228519</v>
      </c>
      <c r="F104" s="67" t="n">
        <f aca="false">E104+F53</f>
        <v>-71536.744783969</v>
      </c>
      <c r="G104" s="67" t="n">
        <f aca="false">F104+G53</f>
        <v>-87799.5639432582</v>
      </c>
      <c r="H104" s="67" t="n">
        <f aca="false">G104+H53</f>
        <v>-100817.51057993</v>
      </c>
      <c r="I104" s="67" t="n">
        <f aca="false">H104+I53</f>
        <v>-112950.820604075</v>
      </c>
      <c r="J104" s="67" t="n">
        <f aca="false">I104+J53</f>
        <v>-124199.472392977</v>
      </c>
      <c r="K104" s="67" t="n">
        <f aca="false">J104+K53</f>
        <v>-137867.804568159</v>
      </c>
      <c r="L104" s="67" t="n">
        <f aca="false">K104+L53</f>
        <v>-150887.460624272</v>
      </c>
      <c r="M104" s="67" t="n">
        <f aca="false">L104+M53</f>
        <v>-163258.41855799</v>
      </c>
      <c r="N104" s="67" t="n">
        <f aca="false">M104+N53</f>
        <v>-174980.656237636</v>
      </c>
      <c r="O104" s="67" t="n">
        <f aca="false">N104+O53</f>
        <v>-186141.63532743</v>
      </c>
      <c r="P104" s="67" t="n">
        <f aca="false">O104+P53</f>
        <v>-196651.589359422</v>
      </c>
      <c r="Q104" s="67" t="n">
        <f aca="false">P104+Q53</f>
        <v>-206510.495812365</v>
      </c>
      <c r="R104" s="67" t="n">
        <f aca="false">Q104+R53</f>
        <v>-216369.829639659</v>
      </c>
      <c r="S104" s="67" t="n">
        <f aca="false">R104+S53</f>
        <v>-226229.568056541</v>
      </c>
      <c r="T104" s="67" t="n">
        <f aca="false">S104+T53</f>
        <v>-231351.523737933</v>
      </c>
      <c r="U104" s="67" t="n">
        <f aca="false">T104+U53</f>
        <v>-236473.838039884</v>
      </c>
      <c r="V104" s="67" t="n">
        <f aca="false">U104+V53</f>
        <v>-241596.487776569</v>
      </c>
      <c r="W104" s="67" t="n">
        <f aca="false">V104+W53</f>
        <v>-251457.614034321</v>
      </c>
      <c r="X104" s="67" t="n">
        <f aca="false">W104+X53</f>
        <v>-261319.028948617</v>
      </c>
      <c r="Y104" s="67" t="n">
        <f aca="false">X104+Y53</f>
        <v>-271180.70892551</v>
      </c>
      <c r="Z104" s="67" t="n">
        <f aca="false">Y104+Z53</f>
        <v>-281042.63023342</v>
      </c>
      <c r="AA104" s="67" t="n">
        <f aca="false">Z104+AA53</f>
        <v>-291148.411703352</v>
      </c>
      <c r="AB104" s="67" t="n">
        <f aca="false">AA104+AB53</f>
        <v>-301254.559958366</v>
      </c>
      <c r="AC104" s="67" t="n">
        <f aca="false">AB104+AC53</f>
        <v>-311361.050849153</v>
      </c>
      <c r="AD104" s="67" t="n">
        <f aca="false">AC104+AD53</f>
        <v>-321467.860085532</v>
      </c>
      <c r="AE104" s="67" t="n">
        <f aca="false">AD104+AE53</f>
        <v>-331574.96323563</v>
      </c>
      <c r="AF104" s="67" t="n">
        <f aca="false">AE104+AF53</f>
        <v>-336927.527451352</v>
      </c>
      <c r="AG104" s="67" t="n">
        <f aca="false">AF104+AG53</f>
        <v>-342280.336288658</v>
      </c>
      <c r="AH104" s="67" t="n">
        <f aca="false">AG104+AH53</f>
        <v>-347633.364885619</v>
      </c>
      <c r="AI104" s="67" t="n">
        <f aca="false">AH104+AI53</f>
        <v>-357741.39650898</v>
      </c>
      <c r="AJ104" s="67" t="n">
        <f aca="false">AI104+AJ53</f>
        <v>-367849.597732208</v>
      </c>
      <c r="AK104" s="67" t="n">
        <f aca="false">AJ104+AK53</f>
        <v>-377957.943255745</v>
      </c>
      <c r="AL104" s="67" t="n">
        <f aca="false">AK104+AL53</f>
        <v>-388066.407632454</v>
      </c>
      <c r="AM104" s="67" t="n">
        <f aca="false">AL104+AM53</f>
        <v>-398540.20795034</v>
      </c>
      <c r="AN104" s="67" t="n">
        <f aca="false">AM104+AN53</f>
        <v>-409014.256047601</v>
      </c>
      <c r="AO104" s="67" t="n">
        <f aca="false">AN104+AO53</f>
        <v>-419488.526029171</v>
      </c>
      <c r="AP104" s="67" t="n">
        <f aca="false">AO104+AP53</f>
        <v>-429962.991848931</v>
      </c>
      <c r="AQ104" s="67" t="n">
        <f aca="false">AP104+AQ53</f>
        <v>-440437.627308826</v>
      </c>
      <c r="AR104" s="67" t="n">
        <f aca="false">AQ104+AR53</f>
        <v>-446142.016990426</v>
      </c>
      <c r="AS104" s="67" t="n">
        <f aca="false">AR104+AS53</f>
        <v>-451846.523456694</v>
      </c>
      <c r="AT104" s="67" t="n">
        <f aca="false">AS104+AT53</f>
        <v>-457551.120048429</v>
      </c>
      <c r="AU104" s="67" t="n">
        <f aca="false">AT104+AU53</f>
        <v>-468026.169018471</v>
      </c>
      <c r="AV104" s="67" t="n">
        <f aca="false">AU104+AV53</f>
        <v>-478501.254328134</v>
      </c>
      <c r="AW104" s="67" t="n">
        <f aca="false">AV104+AW53</f>
        <v>-488976.348848958</v>
      </c>
      <c r="AX104" s="67" t="n">
        <f aca="false">AW104+AX53</f>
        <v>-499451.425294227</v>
      </c>
      <c r="AY104" s="67" t="n">
        <f aca="false">AX104+AY53</f>
        <v>-510386.080426256</v>
      </c>
      <c r="AZ104" s="67" t="n">
        <f aca="false">AY104+AZ53</f>
        <v>-521320.849908194</v>
      </c>
      <c r="BA104" s="67" t="n">
        <f aca="false">AZ104+BA53</f>
        <v>-532255.705973019</v>
      </c>
      <c r="BB104" s="67" t="n">
        <f aca="false">BA104+BB53</f>
        <v>-543190.620691737</v>
      </c>
      <c r="BC104" s="67" t="n">
        <f aca="false">BB104+BC53</f>
        <v>-554125.565972432</v>
      </c>
      <c r="BD104" s="67" t="n">
        <f aca="false">BC104+BD53</f>
        <v>-560275.666581537</v>
      </c>
      <c r="BE104" s="67" t="n">
        <f aca="false">BD104+BE53</f>
        <v>-566425.741076227</v>
      </c>
      <c r="BF104" s="67" t="n">
        <f aca="false">BE104+BF53</f>
        <v>-572575.760870105</v>
      </c>
      <c r="BG104" s="67" t="n">
        <f aca="false">BF104+BG53</f>
        <v>-583510.544187803</v>
      </c>
      <c r="BH104" s="67" t="n">
        <f aca="false">BG104+BH53</f>
        <v>-594445.215130662</v>
      </c>
      <c r="BI104" s="67" t="n">
        <f aca="false">BH104+BI53</f>
        <v>-605379.744609099</v>
      </c>
      <c r="BJ104" s="67" t="n">
        <f aca="false">BI104+BJ53</f>
        <v>-616314.103363844</v>
      </c>
    </row>
    <row r="105" customFormat="false" ht="15" hidden="false" customHeight="false" outlineLevel="0" collapsed="false">
      <c r="A105" s="4" t="s">
        <v>93</v>
      </c>
      <c r="C105" s="73" t="n">
        <f aca="false">C91+C77+C78+C66</f>
        <v>915728.505911773</v>
      </c>
      <c r="D105" s="73" t="n">
        <f aca="false">D91+D77+D78+D66</f>
        <v>897127.444223237</v>
      </c>
      <c r="E105" s="73" t="n">
        <f aca="false">E91+E77+E78+E66</f>
        <v>879171.286655071</v>
      </c>
      <c r="F105" s="73" t="n">
        <f aca="false">F91+F77+F78+F66</f>
        <v>861860.033207276</v>
      </c>
      <c r="G105" s="73" t="n">
        <f aca="false">G91+G77+G78+G66</f>
        <v>845193.683879851</v>
      </c>
      <c r="H105" s="73" t="n">
        <f aca="false">H91+H77+H78+H66</f>
        <v>832681.432530821</v>
      </c>
      <c r="I105" s="73" t="n">
        <f aca="false">I91+I77+I78+I66</f>
        <v>820220.192215742</v>
      </c>
      <c r="J105" s="73" t="n">
        <f aca="false">J91+J77+J78+J66</f>
        <v>808639.881761774</v>
      </c>
      <c r="K105" s="73" t="n">
        <f aca="false">K91+K77+K78+K66</f>
        <v>793474.254440522</v>
      </c>
      <c r="L105" s="73" t="n">
        <f aca="false">L91+L77+L78+L66</f>
        <v>780032.425714949</v>
      </c>
      <c r="M105" s="73" t="n">
        <f aca="false">M91+M77+M78+M66</f>
        <v>767235.501109746</v>
      </c>
      <c r="N105" s="73" t="n">
        <f aca="false">N91+N77+N78+N66</f>
        <v>755083.480624914</v>
      </c>
      <c r="O105" s="73" t="n">
        <f aca="false">O91+O77+O78+O66</f>
        <v>743744.252984064</v>
      </c>
      <c r="P105" s="73" t="n">
        <f aca="false">P91+P77+P78+P66</f>
        <v>732802.485818136</v>
      </c>
      <c r="Q105" s="73" t="n">
        <f aca="false">Q91+Q77+Q78+Q66</f>
        <v>722507.882924893</v>
      </c>
      <c r="R105" s="73" t="n">
        <f aca="false">R91+R77+R78+R66</f>
        <v>711975.050169999</v>
      </c>
      <c r="S105" s="73" t="n">
        <f aca="false">S91+S77+S78+S66</f>
        <v>701437.884081771</v>
      </c>
      <c r="T105" s="73" t="n">
        <f aca="false">T91+T77+T78+T66</f>
        <v>697335.614728112</v>
      </c>
      <c r="U105" s="73" t="n">
        <f aca="false">U91+U77+U78+U66</f>
        <v>691527.946380626</v>
      </c>
      <c r="V105" s="73" t="n">
        <f aca="false">V91+V77+V78+V66</f>
        <v>685715.944699806</v>
      </c>
      <c r="W105" s="73" t="n">
        <f aca="false">W91+W77+W78+W66</f>
        <v>673460.379617751</v>
      </c>
      <c r="X105" s="73" t="n">
        <f aca="false">X91+X77+X78+X66</f>
        <v>662901.546862857</v>
      </c>
      <c r="Y105" s="73" t="n">
        <f aca="false">Y91+Y77+Y78+Y66</f>
        <v>652338.38077463</v>
      </c>
      <c r="Z105" s="73" t="n">
        <f aca="false">Z91+Z77+Z78+Z66</f>
        <v>641770.881353069</v>
      </c>
      <c r="AA105" s="73" t="n">
        <f aca="false">AA91+AA77+AA78+AA66</f>
        <v>631232.092610228</v>
      </c>
      <c r="AB105" s="73" t="n">
        <f aca="false">AB91+AB77+AB78+AB66</f>
        <v>620412.110487648</v>
      </c>
      <c r="AC105" s="73" t="n">
        <f aca="false">AC91+AC77+AC78+AC66</f>
        <v>609587.621698403</v>
      </c>
      <c r="AD105" s="73" t="n">
        <f aca="false">AD91+AD77+AD78+AD66</f>
        <v>598758.62624249</v>
      </c>
      <c r="AE105" s="73" t="n">
        <f aca="false">AE91+AE77+AE78+AE66</f>
        <v>587925.124119911</v>
      </c>
      <c r="AF105" s="73" t="n">
        <f aca="false">AF91+AF77+AF78+AF66</f>
        <v>583585.614736282</v>
      </c>
      <c r="AG105" s="73" t="n">
        <f aca="false">AG91+AG77+AG78+AG66</f>
        <v>577497.907554073</v>
      </c>
      <c r="AH105" s="73" t="n">
        <f aca="false">AH91+AH77+AH78+AH66</f>
        <v>571405.693705198</v>
      </c>
      <c r="AI105" s="73" t="n">
        <f aca="false">AI91+AI77+AI78+AI66</f>
        <v>558810.473784038</v>
      </c>
      <c r="AJ105" s="73" t="n">
        <f aca="false">AJ91+AJ77+AJ78+AJ66</f>
        <v>547954.438328126</v>
      </c>
      <c r="AK105" s="73" t="n">
        <f aca="false">AK91+AK77+AK78+AK66</f>
        <v>537093.896205547</v>
      </c>
      <c r="AL105" s="73" t="n">
        <f aca="false">AL91+AL77+AL78+AL66</f>
        <v>526228.847416301</v>
      </c>
      <c r="AM105" s="73" t="n">
        <f aca="false">AM91+AM77+AM78+AM66</f>
        <v>515281.104486635</v>
      </c>
      <c r="AN105" s="73" t="n">
        <f aca="false">AN91+AN77+AN78+AN66</f>
        <v>504041.619413805</v>
      </c>
      <c r="AO105" s="73" t="n">
        <f aca="false">AO91+AO77+AO78+AO66</f>
        <v>492797.447407642</v>
      </c>
      <c r="AP105" s="73" t="n">
        <f aca="false">AP91+AP77+AP78+AP66</f>
        <v>481548.588468145</v>
      </c>
      <c r="AQ105" s="73" t="n">
        <f aca="false">AQ91+AQ77+AQ78+AQ66</f>
        <v>470295.042595315</v>
      </c>
      <c r="AR105" s="73" t="n">
        <f aca="false">AR91+AR77+AR78+AR66</f>
        <v>465594.966307344</v>
      </c>
      <c r="AS105" s="73" t="n">
        <f aca="false">AS91+AS77+AS78+AS66</f>
        <v>459102.435635399</v>
      </c>
      <c r="AT105" s="73" t="n">
        <f aca="false">AT91+AT77+AT78+AT66</f>
        <v>452605.218030121</v>
      </c>
      <c r="AU105" s="73" t="n">
        <f aca="false">AU91+AU77+AU78+AU66</f>
        <v>439545.156973317</v>
      </c>
      <c r="AV105" s="73" t="n">
        <f aca="false">AV91+AV77+AV78+AV66</f>
        <v>428268.176433821</v>
      </c>
      <c r="AW105" s="73" t="n">
        <f aca="false">AW91+AW77+AW78+AW66</f>
        <v>416986.50896099</v>
      </c>
      <c r="AX105" s="73" t="n">
        <f aca="false">AX91+AX77+AX78+AX66</f>
        <v>405700.154554827</v>
      </c>
      <c r="AY105" s="73" t="n">
        <f aca="false">AY91+AY77+AY78+AY66</f>
        <v>394247.320463877</v>
      </c>
      <c r="AZ105" s="73" t="n">
        <f aca="false">AZ91+AZ77+AZ78+AZ66</f>
        <v>382491.780505516</v>
      </c>
      <c r="BA105" s="73" t="n">
        <f aca="false">BA91+BA77+BA78+BA66</f>
        <v>370731.366136487</v>
      </c>
      <c r="BB105" s="73" t="n">
        <f aca="false">BB91+BB77+BB78+BB66</f>
        <v>358966.077356793</v>
      </c>
      <c r="BC105" s="73" t="n">
        <f aca="false">BC91+BC77+BC78+BC66</f>
        <v>347195.914166431</v>
      </c>
      <c r="BD105" s="73" t="n">
        <f aca="false">BD91+BD77+BD78+BD66</f>
        <v>342039.073652037</v>
      </c>
      <c r="BE105" s="73" t="n">
        <f aca="false">BE91+BE77+BE78+BE66</f>
        <v>335044.008618125</v>
      </c>
      <c r="BF105" s="73" t="n">
        <f aca="false">BF91+BF77+BF78+BF66</f>
        <v>328044.069173546</v>
      </c>
      <c r="BG105" s="73" t="n">
        <f aca="false">BG91+BG77+BG78+BG66</f>
        <v>314421.058231668</v>
      </c>
      <c r="BH105" s="73" t="n">
        <f aca="false">BH91+BH77+BH78+BH66</f>
        <v>302626.522987973</v>
      </c>
      <c r="BI105" s="73" t="n">
        <f aca="false">BI91+BI77+BI78+BI66</f>
        <v>290827.113333612</v>
      </c>
      <c r="BJ105" s="73" t="n">
        <f aca="false">BJ91+BJ77+BJ78+BJ66</f>
        <v>279022.829268584</v>
      </c>
    </row>
    <row r="106" customFormat="false" ht="15" hidden="false" customHeight="false" outlineLevel="0" collapsed="false">
      <c r="A106" s="6" t="s">
        <v>96</v>
      </c>
      <c r="C106" s="67" t="n">
        <f aca="false">C79+C74</f>
        <v>504585.470078439</v>
      </c>
      <c r="D106" s="67" t="n">
        <f aca="false">D79+D74</f>
        <v>504192.867931835</v>
      </c>
      <c r="E106" s="67" t="n">
        <f aca="false">E79+E74</f>
        <v>503796.644277923</v>
      </c>
      <c r="F106" s="67" t="n">
        <f aca="false">F79+F74</f>
        <v>503396.777991245</v>
      </c>
      <c r="G106" s="67" t="n">
        <f aca="false">G79+G74</f>
        <v>502993.247823109</v>
      </c>
      <c r="H106" s="67" t="n">
        <f aca="false">H79+H74</f>
        <v>503498.943110751</v>
      </c>
      <c r="I106" s="67" t="n">
        <f aca="false">I79+I74</f>
        <v>503171.012819817</v>
      </c>
      <c r="J106" s="67" t="n">
        <f aca="false">J79+J74</f>
        <v>502839.354154752</v>
      </c>
      <c r="K106" s="67" t="n">
        <f aca="false">K79+K74</f>
        <v>501342.059008681</v>
      </c>
      <c r="L106" s="67" t="n">
        <f aca="false">L79+L74</f>
        <v>500919.886339221</v>
      </c>
      <c r="M106" s="67" t="n">
        <f aca="false">M79+M74</f>
        <v>500493.919667737</v>
      </c>
      <c r="N106" s="67" t="n">
        <f aca="false">N79+N74</f>
        <v>500064.136862551</v>
      </c>
      <c r="O106" s="67" t="n">
        <f aca="false">O79+O74</f>
        <v>499885.888311494</v>
      </c>
      <c r="P106" s="67" t="n">
        <f aca="false">P79+P74</f>
        <v>499454.075177557</v>
      </c>
      <c r="Q106" s="67" t="n">
        <f aca="false">Q79+Q74</f>
        <v>499018.378737258</v>
      </c>
      <c r="R106" s="67" t="n">
        <f aca="false">R79+R74</f>
        <v>498344.879809657</v>
      </c>
      <c r="S106" s="67" t="n">
        <f aca="false">S79+S74</f>
        <v>497667.452138312</v>
      </c>
      <c r="T106" s="67" t="n">
        <f aca="false">T79+T74</f>
        <v>498687.138466045</v>
      </c>
      <c r="U106" s="67" t="n">
        <f aca="false">U79+U74</f>
        <v>498001.784420509</v>
      </c>
      <c r="V106" s="67" t="n">
        <f aca="false">V79+V74</f>
        <v>497312.432476374</v>
      </c>
      <c r="W106" s="67" t="n">
        <f aca="false">W79+W74</f>
        <v>494917.993652072</v>
      </c>
      <c r="X106" s="67" t="n">
        <f aca="false">X79+X74</f>
        <v>494220.575811474</v>
      </c>
      <c r="Y106" s="67" t="n">
        <f aca="false">Y79+Y74</f>
        <v>493519.08970014</v>
      </c>
      <c r="Z106" s="67" t="n">
        <f aca="false">Z79+Z74</f>
        <v>492813.511586489</v>
      </c>
      <c r="AA106" s="67" t="n">
        <f aca="false">AA79+AA74</f>
        <v>492380.50431358</v>
      </c>
      <c r="AB106" s="67" t="n">
        <f aca="false">AB79+AB74</f>
        <v>491666.670446015</v>
      </c>
      <c r="AC106" s="67" t="n">
        <f aca="false">AC79+AC74</f>
        <v>490948.672547555</v>
      </c>
      <c r="AD106" s="67" t="n">
        <f aca="false">AD79+AD74</f>
        <v>490226.486328022</v>
      </c>
      <c r="AE106" s="67" t="n">
        <f aca="false">AE79+AE74</f>
        <v>489500.087355541</v>
      </c>
      <c r="AF106" s="67" t="n">
        <f aca="false">AF79+AF74</f>
        <v>490513.142187634</v>
      </c>
      <c r="AG106" s="67" t="n">
        <f aca="false">AG79+AG74</f>
        <v>489778.243842731</v>
      </c>
      <c r="AH106" s="67" t="n">
        <f aca="false">AH79+AH74</f>
        <v>489039.058590817</v>
      </c>
      <c r="AI106" s="67" t="n">
        <f aca="false">AI79+AI74</f>
        <v>486551.870293019</v>
      </c>
      <c r="AJ106" s="67" t="n">
        <f aca="false">AJ79+AJ74</f>
        <v>485804.036060334</v>
      </c>
      <c r="AK106" s="67" t="n">
        <f aca="false">AK79+AK74</f>
        <v>485051.839461292</v>
      </c>
      <c r="AL106" s="67" t="n">
        <f aca="false">AL79+AL74</f>
        <v>484295.255048755</v>
      </c>
      <c r="AM106" s="67" t="n">
        <f aca="false">AM79+AM74</f>
        <v>483821.312436976</v>
      </c>
      <c r="AN106" s="67" t="n">
        <f aca="false">AN79+AN74</f>
        <v>483055.875461407</v>
      </c>
      <c r="AO106" s="67" t="n">
        <f aca="false">AO79+AO74</f>
        <v>482285.973436813</v>
      </c>
      <c r="AP106" s="67" t="n">
        <f aca="false">AP79+AP74</f>
        <v>481511.580317076</v>
      </c>
      <c r="AQ106" s="67" t="n">
        <f aca="false">AQ79+AQ74</f>
        <v>480732.669904141</v>
      </c>
      <c r="AR106" s="67" t="n">
        <f aca="false">AR79+AR74</f>
        <v>481736.98329777</v>
      </c>
      <c r="AS106" s="67" t="n">
        <f aca="false">AS79+AS74</f>
        <v>480948.959092093</v>
      </c>
      <c r="AT106" s="67" t="n">
        <f aca="false">AT79+AT74</f>
        <v>480156.33807855</v>
      </c>
      <c r="AU106" s="67" t="n">
        <f aca="false">AU79+AU74</f>
        <v>477571.325991788</v>
      </c>
      <c r="AV106" s="67" t="n">
        <f aca="false">AV79+AV74</f>
        <v>476769.430761955</v>
      </c>
      <c r="AW106" s="67" t="n">
        <f aca="false">AW79+AW74</f>
        <v>475962.857809948</v>
      </c>
      <c r="AX106" s="67" t="n">
        <f aca="false">AX79+AX74</f>
        <v>475151.579849054</v>
      </c>
      <c r="AY106" s="67" t="n">
        <f aca="false">AY79+AY74</f>
        <v>474633.400890133</v>
      </c>
      <c r="AZ106" s="67" t="n">
        <f aca="false">AZ79+AZ74</f>
        <v>473812.63041371</v>
      </c>
      <c r="BA106" s="67" t="n">
        <f aca="false">BA79+BA74</f>
        <v>472987.072109507</v>
      </c>
      <c r="BB106" s="67" t="n">
        <f aca="false">BB79+BB74</f>
        <v>472156.69804853</v>
      </c>
      <c r="BC106" s="67" t="n">
        <f aca="false">BC79+BC74</f>
        <v>471321.480138863</v>
      </c>
      <c r="BD106" s="67" t="n">
        <f aca="false">BD79+BD74</f>
        <v>472314.740233574</v>
      </c>
      <c r="BE106" s="67" t="n">
        <f aca="false">BE79+BE74</f>
        <v>471469.749694352</v>
      </c>
      <c r="BF106" s="67" t="n">
        <f aca="false">BF79+BF74</f>
        <v>470619.830043652</v>
      </c>
      <c r="BG106" s="67" t="n">
        <f aca="false">BG79+BG74</f>
        <v>467931.602419472</v>
      </c>
      <c r="BH106" s="67" t="n">
        <f aca="false">BH79+BH74</f>
        <v>467071.738118636</v>
      </c>
      <c r="BI106" s="67" t="n">
        <f aca="false">BI79+BI74</f>
        <v>466206.857942712</v>
      </c>
      <c r="BJ106" s="67" t="n">
        <f aca="false">BJ79+BJ74</f>
        <v>465336.932632429</v>
      </c>
    </row>
    <row r="107" customFormat="false" ht="15" hidden="false" customHeight="false" outlineLevel="0" collapsed="false">
      <c r="A107" s="6" t="s">
        <v>99</v>
      </c>
      <c r="C107" s="67" t="n">
        <f aca="false">C103+C104</f>
        <v>411143.035833333</v>
      </c>
      <c r="D107" s="67" t="n">
        <f aca="false">D103+D104</f>
        <v>392934.576291402</v>
      </c>
      <c r="E107" s="67" t="n">
        <f aca="false">E103+E104</f>
        <v>375374.642377148</v>
      </c>
      <c r="F107" s="67" t="n">
        <f aca="false">F103+F104</f>
        <v>358463.255216031</v>
      </c>
      <c r="G107" s="67" t="n">
        <f aca="false">G103+G104</f>
        <v>342200.436056742</v>
      </c>
      <c r="H107" s="67" t="n">
        <f aca="false">H103+H104</f>
        <v>329182.489420071</v>
      </c>
      <c r="I107" s="67" t="n">
        <f aca="false">I103+I104</f>
        <v>317049.179395925</v>
      </c>
      <c r="J107" s="67" t="n">
        <f aca="false">J103+J104</f>
        <v>305800.527607023</v>
      </c>
      <c r="K107" s="67" t="n">
        <f aca="false">K103+K104</f>
        <v>292132.195431841</v>
      </c>
      <c r="L107" s="67" t="n">
        <f aca="false">L103+L104</f>
        <v>279112.539375728</v>
      </c>
      <c r="M107" s="67" t="n">
        <f aca="false">M103+M104</f>
        <v>266741.58144201</v>
      </c>
      <c r="N107" s="67" t="n">
        <f aca="false">N103+N104</f>
        <v>255019.343762364</v>
      </c>
      <c r="O107" s="67" t="n">
        <f aca="false">O103+O104</f>
        <v>243858.36467257</v>
      </c>
      <c r="P107" s="67" t="n">
        <f aca="false">P103+P104</f>
        <v>233348.410640578</v>
      </c>
      <c r="Q107" s="67" t="n">
        <f aca="false">Q103+Q104</f>
        <v>223489.504187635</v>
      </c>
      <c r="R107" s="67" t="n">
        <f aca="false">R103+R104</f>
        <v>213630.170360341</v>
      </c>
      <c r="S107" s="67" t="n">
        <f aca="false">S103+S104</f>
        <v>203770.431943459</v>
      </c>
      <c r="T107" s="67" t="n">
        <f aca="false">T103+T104</f>
        <v>198648.476262067</v>
      </c>
      <c r="U107" s="67" t="n">
        <f aca="false">U103+U104</f>
        <v>193526.161960116</v>
      </c>
      <c r="V107" s="67" t="n">
        <f aca="false">V103+V104</f>
        <v>188403.512223431</v>
      </c>
      <c r="W107" s="67" t="n">
        <f aca="false">W103+W104</f>
        <v>178542.385965679</v>
      </c>
      <c r="X107" s="67" t="n">
        <f aca="false">X103+X104</f>
        <v>168680.971051383</v>
      </c>
      <c r="Y107" s="67" t="n">
        <f aca="false">Y103+Y104</f>
        <v>158819.29107449</v>
      </c>
      <c r="Z107" s="67" t="n">
        <f aca="false">Z103+Z104</f>
        <v>148957.36976658</v>
      </c>
      <c r="AA107" s="67" t="n">
        <f aca="false">AA103+AA104</f>
        <v>138851.588296648</v>
      </c>
      <c r="AB107" s="67" t="n">
        <f aca="false">AB103+AB104</f>
        <v>128745.440041634</v>
      </c>
      <c r="AC107" s="67" t="n">
        <f aca="false">AC103+AC104</f>
        <v>118638.949150847</v>
      </c>
      <c r="AD107" s="67" t="n">
        <f aca="false">AD103+AD104</f>
        <v>108532.139914468</v>
      </c>
      <c r="AE107" s="67" t="n">
        <f aca="false">AE103+AE104</f>
        <v>98425.0367643702</v>
      </c>
      <c r="AF107" s="67" t="n">
        <f aca="false">AF103+AF104</f>
        <v>93072.4725486484</v>
      </c>
      <c r="AG107" s="67" t="n">
        <f aca="false">AG103+AG104</f>
        <v>87719.6637113423</v>
      </c>
      <c r="AH107" s="67" t="n">
        <f aca="false">AH103+AH104</f>
        <v>82366.6351143814</v>
      </c>
      <c r="AI107" s="67" t="n">
        <f aca="false">AI103+AI104</f>
        <v>72258.6034910196</v>
      </c>
      <c r="AJ107" s="67" t="n">
        <f aca="false">AJ103+AJ104</f>
        <v>62150.4022677922</v>
      </c>
      <c r="AK107" s="67" t="n">
        <f aca="false">AK103+AK104</f>
        <v>52042.0567442554</v>
      </c>
      <c r="AL107" s="67" t="n">
        <f aca="false">AL103+AL104</f>
        <v>41933.5923675464</v>
      </c>
      <c r="AM107" s="67" t="n">
        <f aca="false">AM103+AM104</f>
        <v>31459.7920496596</v>
      </c>
      <c r="AN107" s="67" t="n">
        <f aca="false">AN103+AN104</f>
        <v>20985.7439523988</v>
      </c>
      <c r="AO107" s="67" t="n">
        <f aca="false">AO103+AO104</f>
        <v>10511.4739708289</v>
      </c>
      <c r="AP107" s="67" t="n">
        <f aca="false">AP103+AP104</f>
        <v>37.0081510691089</v>
      </c>
      <c r="AQ107" s="67" t="n">
        <f aca="false">AQ103+AQ104</f>
        <v>-10437.6273088256</v>
      </c>
      <c r="AR107" s="67" t="n">
        <f aca="false">AR103+AR104</f>
        <v>-16142.0169904262</v>
      </c>
      <c r="AS107" s="67" t="n">
        <f aca="false">AS103+AS104</f>
        <v>-21846.5234566944</v>
      </c>
      <c r="AT107" s="67" t="n">
        <f aca="false">AT103+AT104</f>
        <v>-27551.1200484294</v>
      </c>
      <c r="AU107" s="67" t="n">
        <f aca="false">AU103+AU104</f>
        <v>-38026.1690184706</v>
      </c>
      <c r="AV107" s="67" t="n">
        <f aca="false">AV103+AV104</f>
        <v>-48501.2543281344</v>
      </c>
      <c r="AW107" s="67" t="n">
        <f aca="false">AW103+AW104</f>
        <v>-58976.3488489575</v>
      </c>
      <c r="AX107" s="67" t="n">
        <f aca="false">AX103+AX104</f>
        <v>-69451.4252942273</v>
      </c>
      <c r="AY107" s="67" t="n">
        <f aca="false">AY103+AY104</f>
        <v>-80386.0804262564</v>
      </c>
      <c r="AZ107" s="67" t="n">
        <f aca="false">AZ103+AZ104</f>
        <v>-91320.849908194</v>
      </c>
      <c r="BA107" s="67" t="n">
        <f aca="false">BA103+BA104</f>
        <v>-102255.705973019</v>
      </c>
      <c r="BB107" s="67" t="n">
        <f aca="false">BB103+BB104</f>
        <v>-113190.620691737</v>
      </c>
      <c r="BC107" s="67" t="n">
        <f aca="false">BC103+BC104</f>
        <v>-124125.565972432</v>
      </c>
      <c r="BD107" s="67" t="n">
        <f aca="false">BD103+BD104</f>
        <v>-130275.666581537</v>
      </c>
      <c r="BE107" s="67" t="n">
        <f aca="false">BE103+BE104</f>
        <v>-136425.741076227</v>
      </c>
      <c r="BF107" s="67" t="n">
        <f aca="false">BF103+BF104</f>
        <v>-142575.760870105</v>
      </c>
      <c r="BG107" s="67" t="n">
        <f aca="false">BG103+BG104</f>
        <v>-153510.544187803</v>
      </c>
      <c r="BH107" s="67" t="n">
        <f aca="false">BH103+BH104</f>
        <v>-164445.215130662</v>
      </c>
      <c r="BI107" s="67" t="n">
        <f aca="false">BI103+BI104</f>
        <v>-175379.744609099</v>
      </c>
      <c r="BJ107" s="67" t="n">
        <f aca="false">BJ103+BJ104</f>
        <v>-186314.103363844</v>
      </c>
    </row>
    <row r="108" customFormat="false" ht="15" hidden="false" customHeight="false" outlineLevel="0" collapsed="false">
      <c r="A108" s="4" t="s">
        <v>100</v>
      </c>
      <c r="C108" s="73" t="n">
        <f aca="false">C106+C107</f>
        <v>915728.505911773</v>
      </c>
      <c r="D108" s="73" t="n">
        <f aca="false">D106+D107</f>
        <v>897127.444223237</v>
      </c>
      <c r="E108" s="73" t="n">
        <f aca="false">E106+E107</f>
        <v>879171.286655071</v>
      </c>
      <c r="F108" s="73" t="n">
        <f aca="false">F106+F107</f>
        <v>861860.033207276</v>
      </c>
      <c r="G108" s="73" t="n">
        <f aca="false">G106+G107</f>
        <v>845193.683879851</v>
      </c>
      <c r="H108" s="73" t="n">
        <f aca="false">H106+H107</f>
        <v>832681.432530821</v>
      </c>
      <c r="I108" s="73" t="n">
        <f aca="false">I106+I107</f>
        <v>820220.192215742</v>
      </c>
      <c r="J108" s="73" t="n">
        <f aca="false">J106+J107</f>
        <v>808639.881761774</v>
      </c>
      <c r="K108" s="73" t="n">
        <f aca="false">K106+K107</f>
        <v>793474.254440522</v>
      </c>
      <c r="L108" s="73" t="n">
        <f aca="false">L106+L107</f>
        <v>780032.425714949</v>
      </c>
      <c r="M108" s="73" t="n">
        <f aca="false">M106+M107</f>
        <v>767235.501109746</v>
      </c>
      <c r="N108" s="73" t="n">
        <f aca="false">N106+N107</f>
        <v>755083.480624914</v>
      </c>
      <c r="O108" s="73" t="n">
        <f aca="false">O106+O107</f>
        <v>743744.252984064</v>
      </c>
      <c r="P108" s="73" t="n">
        <f aca="false">P106+P107</f>
        <v>732802.485818136</v>
      </c>
      <c r="Q108" s="73" t="n">
        <f aca="false">Q106+Q107</f>
        <v>722507.882924893</v>
      </c>
      <c r="R108" s="73" t="n">
        <f aca="false">R106+R107</f>
        <v>711975.050169999</v>
      </c>
      <c r="S108" s="73" t="n">
        <f aca="false">S106+S107</f>
        <v>701437.884081772</v>
      </c>
      <c r="T108" s="73" t="n">
        <f aca="false">T106+T107</f>
        <v>697335.614728112</v>
      </c>
      <c r="U108" s="73" t="n">
        <f aca="false">U106+U107</f>
        <v>691527.946380626</v>
      </c>
      <c r="V108" s="73" t="n">
        <f aca="false">V106+V107</f>
        <v>685715.944699806</v>
      </c>
      <c r="W108" s="73" t="n">
        <f aca="false">W106+W107</f>
        <v>673460.379617751</v>
      </c>
      <c r="X108" s="73" t="n">
        <f aca="false">X106+X107</f>
        <v>662901.546862857</v>
      </c>
      <c r="Y108" s="73" t="n">
        <f aca="false">Y106+Y107</f>
        <v>652338.38077463</v>
      </c>
      <c r="Z108" s="73" t="n">
        <f aca="false">Z106+Z107</f>
        <v>641770.881353069</v>
      </c>
      <c r="AA108" s="73" t="n">
        <f aca="false">AA106+AA107</f>
        <v>631232.092610228</v>
      </c>
      <c r="AB108" s="73" t="n">
        <f aca="false">AB106+AB107</f>
        <v>620412.110487649</v>
      </c>
      <c r="AC108" s="73" t="n">
        <f aca="false">AC106+AC107</f>
        <v>609587.621698403</v>
      </c>
      <c r="AD108" s="73" t="n">
        <f aca="false">AD106+AD107</f>
        <v>598758.62624249</v>
      </c>
      <c r="AE108" s="73" t="n">
        <f aca="false">AE106+AE107</f>
        <v>587925.124119911</v>
      </c>
      <c r="AF108" s="73" t="n">
        <f aca="false">AF106+AF107</f>
        <v>583585.614736283</v>
      </c>
      <c r="AG108" s="73" t="n">
        <f aca="false">AG106+AG107</f>
        <v>577497.907554074</v>
      </c>
      <c r="AH108" s="73" t="n">
        <f aca="false">AH106+AH107</f>
        <v>571405.693705198</v>
      </c>
      <c r="AI108" s="73" t="n">
        <f aca="false">AI106+AI107</f>
        <v>558810.473784039</v>
      </c>
      <c r="AJ108" s="73" t="n">
        <f aca="false">AJ106+AJ107</f>
        <v>547954.438328126</v>
      </c>
      <c r="AK108" s="73" t="n">
        <f aca="false">AK106+AK107</f>
        <v>537093.896205547</v>
      </c>
      <c r="AL108" s="73" t="n">
        <f aca="false">AL106+AL107</f>
        <v>526228.847416301</v>
      </c>
      <c r="AM108" s="73" t="n">
        <f aca="false">AM106+AM107</f>
        <v>515281.104486636</v>
      </c>
      <c r="AN108" s="73" t="n">
        <f aca="false">AN106+AN107</f>
        <v>504041.619413806</v>
      </c>
      <c r="AO108" s="73" t="n">
        <f aca="false">AO106+AO107</f>
        <v>492797.447407642</v>
      </c>
      <c r="AP108" s="73" t="n">
        <f aca="false">AP106+AP107</f>
        <v>481548.588468145</v>
      </c>
      <c r="AQ108" s="73" t="n">
        <f aca="false">AQ106+AQ107</f>
        <v>470295.042595315</v>
      </c>
      <c r="AR108" s="73" t="n">
        <f aca="false">AR106+AR107</f>
        <v>465594.966307344</v>
      </c>
      <c r="AS108" s="73" t="n">
        <f aca="false">AS106+AS107</f>
        <v>459102.435635399</v>
      </c>
      <c r="AT108" s="73" t="n">
        <f aca="false">AT106+AT107</f>
        <v>452605.218030121</v>
      </c>
      <c r="AU108" s="73" t="n">
        <f aca="false">AU106+AU107</f>
        <v>439545.156973317</v>
      </c>
      <c r="AV108" s="73" t="n">
        <f aca="false">AV106+AV107</f>
        <v>428268.176433821</v>
      </c>
      <c r="AW108" s="73" t="n">
        <f aca="false">AW106+AW107</f>
        <v>416986.508960991</v>
      </c>
      <c r="AX108" s="73" t="n">
        <f aca="false">AX106+AX107</f>
        <v>405700.154554827</v>
      </c>
      <c r="AY108" s="73" t="n">
        <f aca="false">AY106+AY107</f>
        <v>394247.320463877</v>
      </c>
      <c r="AZ108" s="73" t="n">
        <f aca="false">AZ106+AZ107</f>
        <v>382491.780505516</v>
      </c>
      <c r="BA108" s="73" t="n">
        <f aca="false">BA106+BA107</f>
        <v>370731.366136488</v>
      </c>
      <c r="BB108" s="73" t="n">
        <f aca="false">BB106+BB107</f>
        <v>358966.077356793</v>
      </c>
      <c r="BC108" s="73" t="n">
        <f aca="false">BC106+BC107</f>
        <v>347195.914166432</v>
      </c>
      <c r="BD108" s="73" t="n">
        <f aca="false">BD106+BD107</f>
        <v>342039.073652037</v>
      </c>
      <c r="BE108" s="73" t="n">
        <f aca="false">BE106+BE107</f>
        <v>335044.008618125</v>
      </c>
      <c r="BF108" s="73" t="n">
        <f aca="false">BF106+BF107</f>
        <v>328044.069173547</v>
      </c>
      <c r="BG108" s="73" t="n">
        <f aca="false">BG106+BG107</f>
        <v>314421.058231669</v>
      </c>
      <c r="BH108" s="73" t="n">
        <f aca="false">BH106+BH107</f>
        <v>302626.522987974</v>
      </c>
      <c r="BI108" s="73" t="n">
        <f aca="false">BI106+BI107</f>
        <v>290827.113333613</v>
      </c>
      <c r="BJ108" s="73" t="n">
        <f aca="false">BJ106+BJ107</f>
        <v>279022.829268585</v>
      </c>
    </row>
    <row r="109" customFormat="false" ht="15" hidden="false" customHeight="false" outlineLevel="0" collapsed="false">
      <c r="A109" s="6" t="s">
        <v>449</v>
      </c>
      <c r="C109" s="67" t="n">
        <f aca="false">C105-C108</f>
        <v>0</v>
      </c>
      <c r="D109" s="67" t="n">
        <f aca="false">D105-D108</f>
        <v>0</v>
      </c>
      <c r="E109" s="67" t="n">
        <f aca="false">E105-E108</f>
        <v>0</v>
      </c>
      <c r="F109" s="67" t="n">
        <f aca="false">F105-F108</f>
        <v>0</v>
      </c>
      <c r="G109" s="67" t="n">
        <f aca="false">G105-G108</f>
        <v>0</v>
      </c>
      <c r="H109" s="67" t="n">
        <f aca="false">H105-H108</f>
        <v>0</v>
      </c>
      <c r="I109" s="67" t="n">
        <f aca="false">I105-I108</f>
        <v>0</v>
      </c>
      <c r="J109" s="67" t="n">
        <f aca="false">J105-J108</f>
        <v>0</v>
      </c>
      <c r="K109" s="67" t="n">
        <f aca="false">K105-K108</f>
        <v>0</v>
      </c>
      <c r="L109" s="67" t="n">
        <f aca="false">L105-L108</f>
        <v>0</v>
      </c>
      <c r="M109" s="67" t="n">
        <f aca="false">M105-M108</f>
        <v>0</v>
      </c>
      <c r="N109" s="67" t="n">
        <f aca="false">N105-N108</f>
        <v>0</v>
      </c>
      <c r="O109" s="67" t="n">
        <f aca="false">O105-O108</f>
        <v>0</v>
      </c>
      <c r="P109" s="67" t="n">
        <f aca="false">P105-P108</f>
        <v>0</v>
      </c>
      <c r="Q109" s="67" t="n">
        <f aca="false">Q105-Q108</f>
        <v>0</v>
      </c>
      <c r="R109" s="67" t="n">
        <f aca="false">R105-R108</f>
        <v>0</v>
      </c>
      <c r="S109" s="67" t="n">
        <f aca="false">S105-S108</f>
        <v>0</v>
      </c>
      <c r="T109" s="67" t="n">
        <f aca="false">T105-T108</f>
        <v>0</v>
      </c>
      <c r="U109" s="67" t="n">
        <f aca="false">U105-U108</f>
        <v>0</v>
      </c>
      <c r="V109" s="67" t="n">
        <f aca="false">V105-V108</f>
        <v>0</v>
      </c>
      <c r="W109" s="67" t="n">
        <f aca="false">W105-W108</f>
        <v>0</v>
      </c>
      <c r="X109" s="67" t="n">
        <f aca="false">X105-X108</f>
        <v>0</v>
      </c>
      <c r="Y109" s="67" t="n">
        <f aca="false">Y105-Y108</f>
        <v>0</v>
      </c>
      <c r="Z109" s="67" t="n">
        <f aca="false">Z105-Z108</f>
        <v>0</v>
      </c>
      <c r="AA109" s="67" t="n">
        <f aca="false">AA105-AA108</f>
        <v>0</v>
      </c>
      <c r="AB109" s="67" t="n">
        <f aca="false">AB105-AB108</f>
        <v>0</v>
      </c>
      <c r="AC109" s="67" t="n">
        <f aca="false">AC105-AC108</f>
        <v>0</v>
      </c>
      <c r="AD109" s="67" t="n">
        <f aca="false">AD105-AD108</f>
        <v>0</v>
      </c>
      <c r="AE109" s="67" t="n">
        <f aca="false">AE105-AE108</f>
        <v>0</v>
      </c>
      <c r="AF109" s="67" t="n">
        <f aca="false">AF105-AF108</f>
        <v>0</v>
      </c>
      <c r="AG109" s="67" t="n">
        <f aca="false">AG105-AG108</f>
        <v>0</v>
      </c>
      <c r="AH109" s="67" t="n">
        <f aca="false">AH105-AH108</f>
        <v>0</v>
      </c>
      <c r="AI109" s="67" t="n">
        <f aca="false">AI105-AI108</f>
        <v>0</v>
      </c>
      <c r="AJ109" s="67" t="n">
        <f aca="false">AJ105-AJ108</f>
        <v>0</v>
      </c>
      <c r="AK109" s="67" t="n">
        <f aca="false">AK105-AK108</f>
        <v>0</v>
      </c>
      <c r="AL109" s="67" t="n">
        <f aca="false">AL105-AL108</f>
        <v>0</v>
      </c>
      <c r="AM109" s="67" t="n">
        <f aca="false">AM105-AM108</f>
        <v>0</v>
      </c>
      <c r="AN109" s="67" t="n">
        <f aca="false">AN105-AN108</f>
        <v>0</v>
      </c>
      <c r="AO109" s="67" t="n">
        <f aca="false">AO105-AO108</f>
        <v>0</v>
      </c>
      <c r="AP109" s="67" t="n">
        <f aca="false">AP105-AP108</f>
        <v>0</v>
      </c>
      <c r="AQ109" s="67" t="n">
        <f aca="false">AQ105-AQ108</f>
        <v>0</v>
      </c>
      <c r="AR109" s="67" t="n">
        <f aca="false">AR105-AR108</f>
        <v>0</v>
      </c>
      <c r="AS109" s="67" t="n">
        <f aca="false">AS105-AS108</f>
        <v>0</v>
      </c>
      <c r="AT109" s="67" t="n">
        <f aca="false">AT105-AT108</f>
        <v>0</v>
      </c>
      <c r="AU109" s="67" t="n">
        <f aca="false">AU105-AU108</f>
        <v>0</v>
      </c>
      <c r="AV109" s="67" t="n">
        <f aca="false">AV105-AV108</f>
        <v>0</v>
      </c>
      <c r="AW109" s="67" t="n">
        <f aca="false">AW105-AW108</f>
        <v>0</v>
      </c>
      <c r="AX109" s="67" t="n">
        <f aca="false">AX105-AX108</f>
        <v>0</v>
      </c>
      <c r="AY109" s="67" t="n">
        <f aca="false">AY105-AY108</f>
        <v>0</v>
      </c>
      <c r="AZ109" s="67" t="n">
        <f aca="false">AZ105-AZ108</f>
        <v>0</v>
      </c>
      <c r="BA109" s="67" t="n">
        <f aca="false">BA105-BA108</f>
        <v>0</v>
      </c>
      <c r="BB109" s="67" t="n">
        <f aca="false">BB105-BB108</f>
        <v>0</v>
      </c>
      <c r="BC109" s="67" t="n">
        <f aca="false">BC105-BC108</f>
        <v>0</v>
      </c>
      <c r="BD109" s="67" t="n">
        <f aca="false">BD105-BD108</f>
        <v>0</v>
      </c>
      <c r="BE109" s="67" t="n">
        <f aca="false">BE105-BE108</f>
        <v>0</v>
      </c>
      <c r="BF109" s="67" t="n">
        <f aca="false">BF105-BF108</f>
        <v>0</v>
      </c>
      <c r="BG109" s="67" t="n">
        <f aca="false">BG105-BG108</f>
        <v>0</v>
      </c>
      <c r="BH109" s="67" t="n">
        <f aca="false">BH105-BH108</f>
        <v>0</v>
      </c>
      <c r="BI109" s="67" t="n">
        <f aca="false">BI105-BI108</f>
        <v>0</v>
      </c>
      <c r="BJ109" s="67" t="n">
        <f aca="false">BJ105-BJ108</f>
        <v>0</v>
      </c>
    </row>
    <row r="111" customFormat="false" ht="15.75" hidden="false" customHeight="true" outlineLevel="0" collapsed="false">
      <c r="A111" s="7" t="s">
        <v>451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customFormat="false" ht="15" hidden="false" customHeight="false" outlineLevel="0" collapsed="false">
      <c r="A112" s="6" t="s">
        <v>452</v>
      </c>
      <c r="C112" s="115" t="n">
        <f aca="false">Inputs!$B$49*(1+Inputs!$B$51)^(C$7-1)*MAX(0,MIN(1,C$6*1-Inputs!$B$52+1))/1</f>
        <v>1.5</v>
      </c>
      <c r="D112" s="115" t="n">
        <f aca="false">Inputs!$B$49*(1+Inputs!$B$51)^(D$7-1)*MAX(0,MIN(1,D$6*1-Inputs!$B$52+1))/1</f>
        <v>1.5</v>
      </c>
      <c r="E112" s="115" t="n">
        <f aca="false">Inputs!$B$49*(1+Inputs!$B$51)^(E$7-1)*MAX(0,MIN(1,E$6*1-Inputs!$B$52+1))/1</f>
        <v>1.5</v>
      </c>
      <c r="F112" s="115" t="n">
        <f aca="false">Inputs!$B$49*(1+Inputs!$B$51)^(F$7-1)*MAX(0,MIN(1,F$6*1-Inputs!$B$52+1))/1</f>
        <v>1.5</v>
      </c>
      <c r="G112" s="115" t="n">
        <f aca="false">Inputs!$B$49*(1+Inputs!$B$51)^(G$7-1)*MAX(0,MIN(1,G$6*1-Inputs!$B$52+1))/1</f>
        <v>1.5</v>
      </c>
      <c r="H112" s="115" t="n">
        <f aca="false">Inputs!$B$49*(1+Inputs!$B$51)^(H$7-1)*MAX(0,MIN(1,H$6*1-Inputs!$B$52+1))/1</f>
        <v>1.5</v>
      </c>
      <c r="I112" s="115" t="n">
        <f aca="false">Inputs!$B$49*(1+Inputs!$B$51)^(I$7-1)*MAX(0,MIN(1,I$6*1-Inputs!$B$52+1))/1</f>
        <v>1.5</v>
      </c>
      <c r="J112" s="115" t="n">
        <f aca="false">Inputs!$B$49*(1+Inputs!$B$51)^(J$7-1)*MAX(0,MIN(1,J$6*1-Inputs!$B$52+1))/1</f>
        <v>1.5</v>
      </c>
      <c r="K112" s="115" t="n">
        <f aca="false">Inputs!$B$49*(1+Inputs!$B$51)^(K$7-1)*MAX(0,MIN(1,K$6*1-Inputs!$B$52+1))/1</f>
        <v>1.5</v>
      </c>
      <c r="L112" s="115" t="n">
        <f aca="false">Inputs!$B$49*(1+Inputs!$B$51)^(L$7-1)*MAX(0,MIN(1,L$6*1-Inputs!$B$52+1))/1</f>
        <v>1.5</v>
      </c>
      <c r="M112" s="115" t="n">
        <f aca="false">Inputs!$B$49*(1+Inputs!$B$51)^(M$7-1)*MAX(0,MIN(1,M$6*1-Inputs!$B$52+1))/1</f>
        <v>1.5</v>
      </c>
      <c r="N112" s="115" t="n">
        <f aca="false">Inputs!$B$49*(1+Inputs!$B$51)^(N$7-1)*MAX(0,MIN(1,N$6*1-Inputs!$B$52+1))/1</f>
        <v>1.5</v>
      </c>
      <c r="O112" s="115" t="n">
        <f aca="false">Inputs!$B$49*(1+Inputs!$B$51)^(O$7-1)*MAX(0,MIN(1,O$6*1-Inputs!$B$52+1))/1</f>
        <v>1.5</v>
      </c>
      <c r="P112" s="115" t="n">
        <f aca="false">Inputs!$B$49*(1+Inputs!$B$51)^(P$7-1)*MAX(0,MIN(1,P$6*1-Inputs!$B$52+1))/1</f>
        <v>1.5</v>
      </c>
      <c r="Q112" s="115" t="n">
        <f aca="false">Inputs!$B$49*(1+Inputs!$B$51)^(Q$7-1)*MAX(0,MIN(1,Q$6*1-Inputs!$B$52+1))/1</f>
        <v>1.5</v>
      </c>
      <c r="R112" s="115" t="n">
        <f aca="false">Inputs!$B$49*(1+Inputs!$B$51)^(R$7-1)*MAX(0,MIN(1,R$6*1-Inputs!$B$52+1))/1</f>
        <v>1.5</v>
      </c>
      <c r="S112" s="115" t="n">
        <f aca="false">Inputs!$B$49*(1+Inputs!$B$51)^(S$7-1)*MAX(0,MIN(1,S$6*1-Inputs!$B$52+1))/1</f>
        <v>1.5</v>
      </c>
      <c r="T112" s="115" t="n">
        <f aca="false">Inputs!$B$49*(1+Inputs!$B$51)^(T$7-1)*MAX(0,MIN(1,T$6*1-Inputs!$B$52+1))/1</f>
        <v>1.5</v>
      </c>
      <c r="U112" s="115" t="n">
        <f aca="false">Inputs!$B$49*(1+Inputs!$B$51)^(U$7-1)*MAX(0,MIN(1,U$6*1-Inputs!$B$52+1))/1</f>
        <v>1.5</v>
      </c>
      <c r="V112" s="115" t="n">
        <f aca="false">Inputs!$B$49*(1+Inputs!$B$51)^(V$7-1)*MAX(0,MIN(1,V$6*1-Inputs!$B$52+1))/1</f>
        <v>1.5</v>
      </c>
      <c r="W112" s="115" t="n">
        <f aca="false">Inputs!$B$49*(1+Inputs!$B$51)^(W$7-1)*MAX(0,MIN(1,W$6*1-Inputs!$B$52+1))/1</f>
        <v>1.5</v>
      </c>
      <c r="X112" s="115" t="n">
        <f aca="false">Inputs!$B$49*(1+Inputs!$B$51)^(X$7-1)*MAX(0,MIN(1,X$6*1-Inputs!$B$52+1))/1</f>
        <v>1.5</v>
      </c>
      <c r="Y112" s="115" t="n">
        <f aca="false">Inputs!$B$49*(1+Inputs!$B$51)^(Y$7-1)*MAX(0,MIN(1,Y$6*1-Inputs!$B$52+1))/1</f>
        <v>1.5</v>
      </c>
      <c r="Z112" s="115" t="n">
        <f aca="false">Inputs!$B$49*(1+Inputs!$B$51)^(Z$7-1)*MAX(0,MIN(1,Z$6*1-Inputs!$B$52+1))/1</f>
        <v>1.5</v>
      </c>
      <c r="AA112" s="115" t="n">
        <f aca="false">Inputs!$B$49*(1+Inputs!$B$51)^(AA$7-1)*MAX(0,MIN(1,AA$6*1-Inputs!$B$52+1))/1</f>
        <v>1.5</v>
      </c>
      <c r="AB112" s="115" t="n">
        <f aca="false">Inputs!$B$49*(1+Inputs!$B$51)^(AB$7-1)*MAX(0,MIN(1,AB$6*1-Inputs!$B$52+1))/1</f>
        <v>1.5</v>
      </c>
      <c r="AC112" s="115" t="n">
        <f aca="false">Inputs!$B$49*(1+Inputs!$B$51)^(AC$7-1)*MAX(0,MIN(1,AC$6*1-Inputs!$B$52+1))/1</f>
        <v>1.5</v>
      </c>
      <c r="AD112" s="115" t="n">
        <f aca="false">Inputs!$B$49*(1+Inputs!$B$51)^(AD$7-1)*MAX(0,MIN(1,AD$6*1-Inputs!$B$52+1))/1</f>
        <v>1.5</v>
      </c>
      <c r="AE112" s="115" t="n">
        <f aca="false">Inputs!$B$49*(1+Inputs!$B$51)^(AE$7-1)*MAX(0,MIN(1,AE$6*1-Inputs!$B$52+1))/1</f>
        <v>1.5</v>
      </c>
      <c r="AF112" s="115" t="n">
        <f aca="false">Inputs!$B$49*(1+Inputs!$B$51)^(AF$7-1)*MAX(0,MIN(1,AF$6*1-Inputs!$B$52+1))/1</f>
        <v>1.5</v>
      </c>
      <c r="AG112" s="115" t="n">
        <f aca="false">Inputs!$B$49*(1+Inputs!$B$51)^(AG$7-1)*MAX(0,MIN(1,AG$6*1-Inputs!$B$52+1))/1</f>
        <v>1.5</v>
      </c>
      <c r="AH112" s="115" t="n">
        <f aca="false">Inputs!$B$49*(1+Inputs!$B$51)^(AH$7-1)*MAX(0,MIN(1,AH$6*1-Inputs!$B$52+1))/1</f>
        <v>1.5</v>
      </c>
      <c r="AI112" s="115" t="n">
        <f aca="false">Inputs!$B$49*(1+Inputs!$B$51)^(AI$7-1)*MAX(0,MIN(1,AI$6*1-Inputs!$B$52+1))/1</f>
        <v>1.5</v>
      </c>
      <c r="AJ112" s="115" t="n">
        <f aca="false">Inputs!$B$49*(1+Inputs!$B$51)^(AJ$7-1)*MAX(0,MIN(1,AJ$6*1-Inputs!$B$52+1))/1</f>
        <v>1.5</v>
      </c>
      <c r="AK112" s="115" t="n">
        <f aca="false">Inputs!$B$49*(1+Inputs!$B$51)^(AK$7-1)*MAX(0,MIN(1,AK$6*1-Inputs!$B$52+1))/1</f>
        <v>1.5</v>
      </c>
      <c r="AL112" s="115" t="n">
        <f aca="false">Inputs!$B$49*(1+Inputs!$B$51)^(AL$7-1)*MAX(0,MIN(1,AL$6*1-Inputs!$B$52+1))/1</f>
        <v>1.5</v>
      </c>
      <c r="AM112" s="115" t="n">
        <f aca="false">Inputs!$B$49*(1+Inputs!$B$51)^(AM$7-1)*MAX(0,MIN(1,AM$6*1-Inputs!$B$52+1))/1</f>
        <v>1.5</v>
      </c>
      <c r="AN112" s="115" t="n">
        <f aca="false">Inputs!$B$49*(1+Inputs!$B$51)^(AN$7-1)*MAX(0,MIN(1,AN$6*1-Inputs!$B$52+1))/1</f>
        <v>1.5</v>
      </c>
      <c r="AO112" s="115" t="n">
        <f aca="false">Inputs!$B$49*(1+Inputs!$B$51)^(AO$7-1)*MAX(0,MIN(1,AO$6*1-Inputs!$B$52+1))/1</f>
        <v>1.5</v>
      </c>
      <c r="AP112" s="115" t="n">
        <f aca="false">Inputs!$B$49*(1+Inputs!$B$51)^(AP$7-1)*MAX(0,MIN(1,AP$6*1-Inputs!$B$52+1))/1</f>
        <v>1.5</v>
      </c>
      <c r="AQ112" s="115" t="n">
        <f aca="false">Inputs!$B$49*(1+Inputs!$B$51)^(AQ$7-1)*MAX(0,MIN(1,AQ$6*1-Inputs!$B$52+1))/1</f>
        <v>1.5</v>
      </c>
      <c r="AR112" s="115" t="n">
        <f aca="false">Inputs!$B$49*(1+Inputs!$B$51)^(AR$7-1)*MAX(0,MIN(1,AR$6*1-Inputs!$B$52+1))/1</f>
        <v>1.5</v>
      </c>
      <c r="AS112" s="115" t="n">
        <f aca="false">Inputs!$B$49*(1+Inputs!$B$51)^(AS$7-1)*MAX(0,MIN(1,AS$6*1-Inputs!$B$52+1))/1</f>
        <v>1.5</v>
      </c>
      <c r="AT112" s="115" t="n">
        <f aca="false">Inputs!$B$49*(1+Inputs!$B$51)^(AT$7-1)*MAX(0,MIN(1,AT$6*1-Inputs!$B$52+1))/1</f>
        <v>1.5</v>
      </c>
      <c r="AU112" s="115" t="n">
        <f aca="false">Inputs!$B$49*(1+Inputs!$B$51)^(AU$7-1)*MAX(0,MIN(1,AU$6*1-Inputs!$B$52+1))/1</f>
        <v>1.5</v>
      </c>
      <c r="AV112" s="115" t="n">
        <f aca="false">Inputs!$B$49*(1+Inputs!$B$51)^(AV$7-1)*MAX(0,MIN(1,AV$6*1-Inputs!$B$52+1))/1</f>
        <v>1.5</v>
      </c>
      <c r="AW112" s="115" t="n">
        <f aca="false">Inputs!$B$49*(1+Inputs!$B$51)^(AW$7-1)*MAX(0,MIN(1,AW$6*1-Inputs!$B$52+1))/1</f>
        <v>1.5</v>
      </c>
      <c r="AX112" s="115" t="n">
        <f aca="false">Inputs!$B$49*(1+Inputs!$B$51)^(AX$7-1)*MAX(0,MIN(1,AX$6*1-Inputs!$B$52+1))/1</f>
        <v>1.5</v>
      </c>
      <c r="AY112" s="115" t="n">
        <f aca="false">Inputs!$B$49*(1+Inputs!$B$51)^(AY$7-1)*MAX(0,MIN(1,AY$6*1-Inputs!$B$52+1))/1</f>
        <v>1.5</v>
      </c>
      <c r="AZ112" s="115" t="n">
        <f aca="false">Inputs!$B$49*(1+Inputs!$B$51)^(AZ$7-1)*MAX(0,MIN(1,AZ$6*1-Inputs!$B$52+1))/1</f>
        <v>1.5</v>
      </c>
      <c r="BA112" s="115" t="n">
        <f aca="false">Inputs!$B$49*(1+Inputs!$B$51)^(BA$7-1)*MAX(0,MIN(1,BA$6*1-Inputs!$B$52+1))/1</f>
        <v>1.5</v>
      </c>
      <c r="BB112" s="115" t="n">
        <f aca="false">Inputs!$B$49*(1+Inputs!$B$51)^(BB$7-1)*MAX(0,MIN(1,BB$6*1-Inputs!$B$52+1))/1</f>
        <v>1.5</v>
      </c>
      <c r="BC112" s="115" t="n">
        <f aca="false">Inputs!$B$49*(1+Inputs!$B$51)^(BC$7-1)*MAX(0,MIN(1,BC$6*1-Inputs!$B$52+1))/1</f>
        <v>1.5</v>
      </c>
      <c r="BD112" s="115" t="n">
        <f aca="false">Inputs!$B$49*(1+Inputs!$B$51)^(BD$7-1)*MAX(0,MIN(1,BD$6*1-Inputs!$B$52+1))/1</f>
        <v>1.5</v>
      </c>
      <c r="BE112" s="115" t="n">
        <f aca="false">Inputs!$B$49*(1+Inputs!$B$51)^(BE$7-1)*MAX(0,MIN(1,BE$6*1-Inputs!$B$52+1))/1</f>
        <v>1.5</v>
      </c>
      <c r="BF112" s="115" t="n">
        <f aca="false">Inputs!$B$49*(1+Inputs!$B$51)^(BF$7-1)*MAX(0,MIN(1,BF$6*1-Inputs!$B$52+1))/1</f>
        <v>1.5</v>
      </c>
      <c r="BG112" s="115" t="n">
        <f aca="false">Inputs!$B$49*(1+Inputs!$B$51)^(BG$7-1)*MAX(0,MIN(1,BG$6*1-Inputs!$B$52+1))/1</f>
        <v>1.5</v>
      </c>
      <c r="BH112" s="115" t="n">
        <f aca="false">Inputs!$B$49*(1+Inputs!$B$51)^(BH$7-1)*MAX(0,MIN(1,BH$6*1-Inputs!$B$52+1))/1</f>
        <v>1.5</v>
      </c>
      <c r="BI112" s="115" t="n">
        <f aca="false">Inputs!$B$49*(1+Inputs!$B$51)^(BI$7-1)*MAX(0,MIN(1,BI$6*1-Inputs!$B$52+1))/1</f>
        <v>1.5</v>
      </c>
      <c r="BJ112" s="115" t="n">
        <f aca="false">Inputs!$B$49*(1+Inputs!$B$51)^(BJ$7-1)*MAX(0,MIN(1,BJ$6*1-Inputs!$B$52+1))/1</f>
        <v>1.5</v>
      </c>
    </row>
    <row r="113" customFormat="false" ht="15" hidden="false" customHeight="false" outlineLevel="0" collapsed="false">
      <c r="A113" s="6" t="s">
        <v>453</v>
      </c>
      <c r="C113" s="115" t="n">
        <f aca="false">Inputs!$B$53*(1+Inputs!$B$55)^(C$7-1)*MAX(0,MIN(1,C$6*1-Inputs!$B$56+1))/1</f>
        <v>1</v>
      </c>
      <c r="D113" s="115" t="n">
        <f aca="false">Inputs!$B$53*(1+Inputs!$B$55)^(D$7-1)*MAX(0,MIN(1,D$6*1-Inputs!$B$56+1))/1</f>
        <v>1</v>
      </c>
      <c r="E113" s="115" t="n">
        <f aca="false">Inputs!$B$53*(1+Inputs!$B$55)^(E$7-1)*MAX(0,MIN(1,E$6*1-Inputs!$B$56+1))/1</f>
        <v>1</v>
      </c>
      <c r="F113" s="115" t="n">
        <f aca="false">Inputs!$B$53*(1+Inputs!$B$55)^(F$7-1)*MAX(0,MIN(1,F$6*1-Inputs!$B$56+1))/1</f>
        <v>1</v>
      </c>
      <c r="G113" s="115" t="n">
        <f aca="false">Inputs!$B$53*(1+Inputs!$B$55)^(G$7-1)*MAX(0,MIN(1,G$6*1-Inputs!$B$56+1))/1</f>
        <v>1</v>
      </c>
      <c r="H113" s="115" t="n">
        <f aca="false">Inputs!$B$53*(1+Inputs!$B$55)^(H$7-1)*MAX(0,MIN(1,H$6*1-Inputs!$B$56+1))/1</f>
        <v>1</v>
      </c>
      <c r="I113" s="115" t="n">
        <f aca="false">Inputs!$B$53*(1+Inputs!$B$55)^(I$7-1)*MAX(0,MIN(1,I$6*1-Inputs!$B$56+1))/1</f>
        <v>1</v>
      </c>
      <c r="J113" s="115" t="n">
        <f aca="false">Inputs!$B$53*(1+Inputs!$B$55)^(J$7-1)*MAX(0,MIN(1,J$6*1-Inputs!$B$56+1))/1</f>
        <v>1</v>
      </c>
      <c r="K113" s="115" t="n">
        <f aca="false">Inputs!$B$53*(1+Inputs!$B$55)^(K$7-1)*MAX(0,MIN(1,K$6*1-Inputs!$B$56+1))/1</f>
        <v>1</v>
      </c>
      <c r="L113" s="115" t="n">
        <f aca="false">Inputs!$B$53*(1+Inputs!$B$55)^(L$7-1)*MAX(0,MIN(1,L$6*1-Inputs!$B$56+1))/1</f>
        <v>1</v>
      </c>
      <c r="M113" s="115" t="n">
        <f aca="false">Inputs!$B$53*(1+Inputs!$B$55)^(M$7-1)*MAX(0,MIN(1,M$6*1-Inputs!$B$56+1))/1</f>
        <v>1</v>
      </c>
      <c r="N113" s="115" t="n">
        <f aca="false">Inputs!$B$53*(1+Inputs!$B$55)^(N$7-1)*MAX(0,MIN(1,N$6*1-Inputs!$B$56+1))/1</f>
        <v>1</v>
      </c>
      <c r="O113" s="115" t="n">
        <f aca="false">Inputs!$B$53*(1+Inputs!$B$55)^(O$7-1)*MAX(0,MIN(1,O$6*1-Inputs!$B$56+1))/1</f>
        <v>1</v>
      </c>
      <c r="P113" s="115" t="n">
        <f aca="false">Inputs!$B$53*(1+Inputs!$B$55)^(P$7-1)*MAX(0,MIN(1,P$6*1-Inputs!$B$56+1))/1</f>
        <v>1</v>
      </c>
      <c r="Q113" s="115" t="n">
        <f aca="false">Inputs!$B$53*(1+Inputs!$B$55)^(Q$7-1)*MAX(0,MIN(1,Q$6*1-Inputs!$B$56+1))/1</f>
        <v>1</v>
      </c>
      <c r="R113" s="115" t="n">
        <f aca="false">Inputs!$B$53*(1+Inputs!$B$55)^(R$7-1)*MAX(0,MIN(1,R$6*1-Inputs!$B$56+1))/1</f>
        <v>1</v>
      </c>
      <c r="S113" s="115" t="n">
        <f aca="false">Inputs!$B$53*(1+Inputs!$B$55)^(S$7-1)*MAX(0,MIN(1,S$6*1-Inputs!$B$56+1))/1</f>
        <v>1</v>
      </c>
      <c r="T113" s="115" t="n">
        <f aca="false">Inputs!$B$53*(1+Inputs!$B$55)^(T$7-1)*MAX(0,MIN(1,T$6*1-Inputs!$B$56+1))/1</f>
        <v>1</v>
      </c>
      <c r="U113" s="115" t="n">
        <f aca="false">Inputs!$B$53*(1+Inputs!$B$55)^(U$7-1)*MAX(0,MIN(1,U$6*1-Inputs!$B$56+1))/1</f>
        <v>1</v>
      </c>
      <c r="V113" s="115" t="n">
        <f aca="false">Inputs!$B$53*(1+Inputs!$B$55)^(V$7-1)*MAX(0,MIN(1,V$6*1-Inputs!$B$56+1))/1</f>
        <v>1</v>
      </c>
      <c r="W113" s="115" t="n">
        <f aca="false">Inputs!$B$53*(1+Inputs!$B$55)^(W$7-1)*MAX(0,MIN(1,W$6*1-Inputs!$B$56+1))/1</f>
        <v>1</v>
      </c>
      <c r="X113" s="115" t="n">
        <f aca="false">Inputs!$B$53*(1+Inputs!$B$55)^(X$7-1)*MAX(0,MIN(1,X$6*1-Inputs!$B$56+1))/1</f>
        <v>1</v>
      </c>
      <c r="Y113" s="115" t="n">
        <f aca="false">Inputs!$B$53*(1+Inputs!$B$55)^(Y$7-1)*MAX(0,MIN(1,Y$6*1-Inputs!$B$56+1))/1</f>
        <v>1</v>
      </c>
      <c r="Z113" s="115" t="n">
        <f aca="false">Inputs!$B$53*(1+Inputs!$B$55)^(Z$7-1)*MAX(0,MIN(1,Z$6*1-Inputs!$B$56+1))/1</f>
        <v>1</v>
      </c>
      <c r="AA113" s="115" t="n">
        <f aca="false">Inputs!$B$53*(1+Inputs!$B$55)^(AA$7-1)*MAX(0,MIN(1,AA$6*1-Inputs!$B$56+1))/1</f>
        <v>1</v>
      </c>
      <c r="AB113" s="115" t="n">
        <f aca="false">Inputs!$B$53*(1+Inputs!$B$55)^(AB$7-1)*MAX(0,MIN(1,AB$6*1-Inputs!$B$56+1))/1</f>
        <v>1</v>
      </c>
      <c r="AC113" s="115" t="n">
        <f aca="false">Inputs!$B$53*(1+Inputs!$B$55)^(AC$7-1)*MAX(0,MIN(1,AC$6*1-Inputs!$B$56+1))/1</f>
        <v>1</v>
      </c>
      <c r="AD113" s="115" t="n">
        <f aca="false">Inputs!$B$53*(1+Inputs!$B$55)^(AD$7-1)*MAX(0,MIN(1,AD$6*1-Inputs!$B$56+1))/1</f>
        <v>1</v>
      </c>
      <c r="AE113" s="115" t="n">
        <f aca="false">Inputs!$B$53*(1+Inputs!$B$55)^(AE$7-1)*MAX(0,MIN(1,AE$6*1-Inputs!$B$56+1))/1</f>
        <v>1</v>
      </c>
      <c r="AF113" s="115" t="n">
        <f aca="false">Inputs!$B$53*(1+Inputs!$B$55)^(AF$7-1)*MAX(0,MIN(1,AF$6*1-Inputs!$B$56+1))/1</f>
        <v>1</v>
      </c>
      <c r="AG113" s="115" t="n">
        <f aca="false">Inputs!$B$53*(1+Inputs!$B$55)^(AG$7-1)*MAX(0,MIN(1,AG$6*1-Inputs!$B$56+1))/1</f>
        <v>1</v>
      </c>
      <c r="AH113" s="115" t="n">
        <f aca="false">Inputs!$B$53*(1+Inputs!$B$55)^(AH$7-1)*MAX(0,MIN(1,AH$6*1-Inputs!$B$56+1))/1</f>
        <v>1</v>
      </c>
      <c r="AI113" s="115" t="n">
        <f aca="false">Inputs!$B$53*(1+Inputs!$B$55)^(AI$7-1)*MAX(0,MIN(1,AI$6*1-Inputs!$B$56+1))/1</f>
        <v>1</v>
      </c>
      <c r="AJ113" s="115" t="n">
        <f aca="false">Inputs!$B$53*(1+Inputs!$B$55)^(AJ$7-1)*MAX(0,MIN(1,AJ$6*1-Inputs!$B$56+1))/1</f>
        <v>1</v>
      </c>
      <c r="AK113" s="115" t="n">
        <f aca="false">Inputs!$B$53*(1+Inputs!$B$55)^(AK$7-1)*MAX(0,MIN(1,AK$6*1-Inputs!$B$56+1))/1</f>
        <v>1</v>
      </c>
      <c r="AL113" s="115" t="n">
        <f aca="false">Inputs!$B$53*(1+Inputs!$B$55)^(AL$7-1)*MAX(0,MIN(1,AL$6*1-Inputs!$B$56+1))/1</f>
        <v>1</v>
      </c>
      <c r="AM113" s="115" t="n">
        <f aca="false">Inputs!$B$53*(1+Inputs!$B$55)^(AM$7-1)*MAX(0,MIN(1,AM$6*1-Inputs!$B$56+1))/1</f>
        <v>1</v>
      </c>
      <c r="AN113" s="115" t="n">
        <f aca="false">Inputs!$B$53*(1+Inputs!$B$55)^(AN$7-1)*MAX(0,MIN(1,AN$6*1-Inputs!$B$56+1))/1</f>
        <v>1</v>
      </c>
      <c r="AO113" s="115" t="n">
        <f aca="false">Inputs!$B$53*(1+Inputs!$B$55)^(AO$7-1)*MAX(0,MIN(1,AO$6*1-Inputs!$B$56+1))/1</f>
        <v>1</v>
      </c>
      <c r="AP113" s="115" t="n">
        <f aca="false">Inputs!$B$53*(1+Inputs!$B$55)^(AP$7-1)*MAX(0,MIN(1,AP$6*1-Inputs!$B$56+1))/1</f>
        <v>1</v>
      </c>
      <c r="AQ113" s="115" t="n">
        <f aca="false">Inputs!$B$53*(1+Inputs!$B$55)^(AQ$7-1)*MAX(0,MIN(1,AQ$6*1-Inputs!$B$56+1))/1</f>
        <v>1</v>
      </c>
      <c r="AR113" s="115" t="n">
        <f aca="false">Inputs!$B$53*(1+Inputs!$B$55)^(AR$7-1)*MAX(0,MIN(1,AR$6*1-Inputs!$B$56+1))/1</f>
        <v>1</v>
      </c>
      <c r="AS113" s="115" t="n">
        <f aca="false">Inputs!$B$53*(1+Inputs!$B$55)^(AS$7-1)*MAX(0,MIN(1,AS$6*1-Inputs!$B$56+1))/1</f>
        <v>1</v>
      </c>
      <c r="AT113" s="115" t="n">
        <f aca="false">Inputs!$B$53*(1+Inputs!$B$55)^(AT$7-1)*MAX(0,MIN(1,AT$6*1-Inputs!$B$56+1))/1</f>
        <v>1</v>
      </c>
      <c r="AU113" s="115" t="n">
        <f aca="false">Inputs!$B$53*(1+Inputs!$B$55)^(AU$7-1)*MAX(0,MIN(1,AU$6*1-Inputs!$B$56+1))/1</f>
        <v>1</v>
      </c>
      <c r="AV113" s="115" t="n">
        <f aca="false">Inputs!$B$53*(1+Inputs!$B$55)^(AV$7-1)*MAX(0,MIN(1,AV$6*1-Inputs!$B$56+1))/1</f>
        <v>1</v>
      </c>
      <c r="AW113" s="115" t="n">
        <f aca="false">Inputs!$B$53*(1+Inputs!$B$55)^(AW$7-1)*MAX(0,MIN(1,AW$6*1-Inputs!$B$56+1))/1</f>
        <v>1</v>
      </c>
      <c r="AX113" s="115" t="n">
        <f aca="false">Inputs!$B$53*(1+Inputs!$B$55)^(AX$7-1)*MAX(0,MIN(1,AX$6*1-Inputs!$B$56+1))/1</f>
        <v>1</v>
      </c>
      <c r="AY113" s="115" t="n">
        <f aca="false">Inputs!$B$53*(1+Inputs!$B$55)^(AY$7-1)*MAX(0,MIN(1,AY$6*1-Inputs!$B$56+1))/1</f>
        <v>1</v>
      </c>
      <c r="AZ113" s="115" t="n">
        <f aca="false">Inputs!$B$53*(1+Inputs!$B$55)^(AZ$7-1)*MAX(0,MIN(1,AZ$6*1-Inputs!$B$56+1))/1</f>
        <v>1</v>
      </c>
      <c r="BA113" s="115" t="n">
        <f aca="false">Inputs!$B$53*(1+Inputs!$B$55)^(BA$7-1)*MAX(0,MIN(1,BA$6*1-Inputs!$B$56+1))/1</f>
        <v>1</v>
      </c>
      <c r="BB113" s="115" t="n">
        <f aca="false">Inputs!$B$53*(1+Inputs!$B$55)^(BB$7-1)*MAX(0,MIN(1,BB$6*1-Inputs!$B$56+1))/1</f>
        <v>1</v>
      </c>
      <c r="BC113" s="115" t="n">
        <f aca="false">Inputs!$B$53*(1+Inputs!$B$55)^(BC$7-1)*MAX(0,MIN(1,BC$6*1-Inputs!$B$56+1))/1</f>
        <v>1</v>
      </c>
      <c r="BD113" s="115" t="n">
        <f aca="false">Inputs!$B$53*(1+Inputs!$B$55)^(BD$7-1)*MAX(0,MIN(1,BD$6*1-Inputs!$B$56+1))/1</f>
        <v>1</v>
      </c>
      <c r="BE113" s="115" t="n">
        <f aca="false">Inputs!$B$53*(1+Inputs!$B$55)^(BE$7-1)*MAX(0,MIN(1,BE$6*1-Inputs!$B$56+1))/1</f>
        <v>1</v>
      </c>
      <c r="BF113" s="115" t="n">
        <f aca="false">Inputs!$B$53*(1+Inputs!$B$55)^(BF$7-1)*MAX(0,MIN(1,BF$6*1-Inputs!$B$56+1))/1</f>
        <v>1</v>
      </c>
      <c r="BG113" s="115" t="n">
        <f aca="false">Inputs!$B$53*(1+Inputs!$B$55)^(BG$7-1)*MAX(0,MIN(1,BG$6*1-Inputs!$B$56+1))/1</f>
        <v>1</v>
      </c>
      <c r="BH113" s="115" t="n">
        <f aca="false">Inputs!$B$53*(1+Inputs!$B$55)^(BH$7-1)*MAX(0,MIN(1,BH$6*1-Inputs!$B$56+1))/1</f>
        <v>1</v>
      </c>
      <c r="BI113" s="115" t="n">
        <f aca="false">Inputs!$B$53*(1+Inputs!$B$55)^(BI$7-1)*MAX(0,MIN(1,BI$6*1-Inputs!$B$56+1))/1</f>
        <v>1</v>
      </c>
      <c r="BJ113" s="115" t="n">
        <f aca="false">Inputs!$B$53*(1+Inputs!$B$55)^(BJ$7-1)*MAX(0,MIN(1,BJ$6*1-Inputs!$B$56+1))/1</f>
        <v>1</v>
      </c>
    </row>
    <row r="114" customFormat="false" ht="15" hidden="false" customHeight="false" outlineLevel="0" collapsed="false">
      <c r="A114" s="6" t="s">
        <v>454</v>
      </c>
      <c r="C114" s="115" t="n">
        <f aca="false">Inputs!$B$57*(1+Inputs!$B$59)^(C$7-1)*MAX(0,MIN(1,C$6*1-Inputs!$B$60+1))/1</f>
        <v>0.6</v>
      </c>
      <c r="D114" s="115" t="n">
        <f aca="false">Inputs!$B$57*(1+Inputs!$B$59)^(D$7-1)*MAX(0,MIN(1,D$6*1-Inputs!$B$60+1))/1</f>
        <v>0.6</v>
      </c>
      <c r="E114" s="115" t="n">
        <f aca="false">Inputs!$B$57*(1+Inputs!$B$59)^(E$7-1)*MAX(0,MIN(1,E$6*1-Inputs!$B$60+1))/1</f>
        <v>0.6</v>
      </c>
      <c r="F114" s="115" t="n">
        <f aca="false">Inputs!$B$57*(1+Inputs!$B$59)^(F$7-1)*MAX(0,MIN(1,F$6*1-Inputs!$B$60+1))/1</f>
        <v>0.6</v>
      </c>
      <c r="G114" s="115" t="n">
        <f aca="false">Inputs!$B$57*(1+Inputs!$B$59)^(G$7-1)*MAX(0,MIN(1,G$6*1-Inputs!$B$60+1))/1</f>
        <v>0.6</v>
      </c>
      <c r="H114" s="115" t="n">
        <f aca="false">Inputs!$B$57*(1+Inputs!$B$59)^(H$7-1)*MAX(0,MIN(1,H$6*1-Inputs!$B$60+1))/1</f>
        <v>0.6</v>
      </c>
      <c r="I114" s="115" t="n">
        <f aca="false">Inputs!$B$57*(1+Inputs!$B$59)^(I$7-1)*MAX(0,MIN(1,I$6*1-Inputs!$B$60+1))/1</f>
        <v>0.6</v>
      </c>
      <c r="J114" s="115" t="n">
        <f aca="false">Inputs!$B$57*(1+Inputs!$B$59)^(J$7-1)*MAX(0,MIN(1,J$6*1-Inputs!$B$60+1))/1</f>
        <v>0.6</v>
      </c>
      <c r="K114" s="115" t="n">
        <f aca="false">Inputs!$B$57*(1+Inputs!$B$59)^(K$7-1)*MAX(0,MIN(1,K$6*1-Inputs!$B$60+1))/1</f>
        <v>0.6</v>
      </c>
      <c r="L114" s="115" t="n">
        <f aca="false">Inputs!$B$57*(1+Inputs!$B$59)^(L$7-1)*MAX(0,MIN(1,L$6*1-Inputs!$B$60+1))/1</f>
        <v>0.6</v>
      </c>
      <c r="M114" s="115" t="n">
        <f aca="false">Inputs!$B$57*(1+Inputs!$B$59)^(M$7-1)*MAX(0,MIN(1,M$6*1-Inputs!$B$60+1))/1</f>
        <v>0.6</v>
      </c>
      <c r="N114" s="115" t="n">
        <f aca="false">Inputs!$B$57*(1+Inputs!$B$59)^(N$7-1)*MAX(0,MIN(1,N$6*1-Inputs!$B$60+1))/1</f>
        <v>0.6</v>
      </c>
      <c r="O114" s="115" t="n">
        <f aca="false">Inputs!$B$57*(1+Inputs!$B$59)^(O$7-1)*MAX(0,MIN(1,O$6*1-Inputs!$B$60+1))/1</f>
        <v>0.6</v>
      </c>
      <c r="P114" s="115" t="n">
        <f aca="false">Inputs!$B$57*(1+Inputs!$B$59)^(P$7-1)*MAX(0,MIN(1,P$6*1-Inputs!$B$60+1))/1</f>
        <v>0.6</v>
      </c>
      <c r="Q114" s="115" t="n">
        <f aca="false">Inputs!$B$57*(1+Inputs!$B$59)^(Q$7-1)*MAX(0,MIN(1,Q$6*1-Inputs!$B$60+1))/1</f>
        <v>0.6</v>
      </c>
      <c r="R114" s="115" t="n">
        <f aca="false">Inputs!$B$57*(1+Inputs!$B$59)^(R$7-1)*MAX(0,MIN(1,R$6*1-Inputs!$B$60+1))/1</f>
        <v>0.6</v>
      </c>
      <c r="S114" s="115" t="n">
        <f aca="false">Inputs!$B$57*(1+Inputs!$B$59)^(S$7-1)*MAX(0,MIN(1,S$6*1-Inputs!$B$60+1))/1</f>
        <v>0.6</v>
      </c>
      <c r="T114" s="115" t="n">
        <f aca="false">Inputs!$B$57*(1+Inputs!$B$59)^(T$7-1)*MAX(0,MIN(1,T$6*1-Inputs!$B$60+1))/1</f>
        <v>0.6</v>
      </c>
      <c r="U114" s="115" t="n">
        <f aca="false">Inputs!$B$57*(1+Inputs!$B$59)^(U$7-1)*MAX(0,MIN(1,U$6*1-Inputs!$B$60+1))/1</f>
        <v>0.6</v>
      </c>
      <c r="V114" s="115" t="n">
        <f aca="false">Inputs!$B$57*(1+Inputs!$B$59)^(V$7-1)*MAX(0,MIN(1,V$6*1-Inputs!$B$60+1))/1</f>
        <v>0.6</v>
      </c>
      <c r="W114" s="115" t="n">
        <f aca="false">Inputs!$B$57*(1+Inputs!$B$59)^(W$7-1)*MAX(0,MIN(1,W$6*1-Inputs!$B$60+1))/1</f>
        <v>0.6</v>
      </c>
      <c r="X114" s="115" t="n">
        <f aca="false">Inputs!$B$57*(1+Inputs!$B$59)^(X$7-1)*MAX(0,MIN(1,X$6*1-Inputs!$B$60+1))/1</f>
        <v>0.6</v>
      </c>
      <c r="Y114" s="115" t="n">
        <f aca="false">Inputs!$B$57*(1+Inputs!$B$59)^(Y$7-1)*MAX(0,MIN(1,Y$6*1-Inputs!$B$60+1))/1</f>
        <v>0.6</v>
      </c>
      <c r="Z114" s="115" t="n">
        <f aca="false">Inputs!$B$57*(1+Inputs!$B$59)^(Z$7-1)*MAX(0,MIN(1,Z$6*1-Inputs!$B$60+1))/1</f>
        <v>0.6</v>
      </c>
      <c r="AA114" s="115" t="n">
        <f aca="false">Inputs!$B$57*(1+Inputs!$B$59)^(AA$7-1)*MAX(0,MIN(1,AA$6*1-Inputs!$B$60+1))/1</f>
        <v>0.6</v>
      </c>
      <c r="AB114" s="115" t="n">
        <f aca="false">Inputs!$B$57*(1+Inputs!$B$59)^(AB$7-1)*MAX(0,MIN(1,AB$6*1-Inputs!$B$60+1))/1</f>
        <v>0.6</v>
      </c>
      <c r="AC114" s="115" t="n">
        <f aca="false">Inputs!$B$57*(1+Inputs!$B$59)^(AC$7-1)*MAX(0,MIN(1,AC$6*1-Inputs!$B$60+1))/1</f>
        <v>0.6</v>
      </c>
      <c r="AD114" s="115" t="n">
        <f aca="false">Inputs!$B$57*(1+Inputs!$B$59)^(AD$7-1)*MAX(0,MIN(1,AD$6*1-Inputs!$B$60+1))/1</f>
        <v>0.6</v>
      </c>
      <c r="AE114" s="115" t="n">
        <f aca="false">Inputs!$B$57*(1+Inputs!$B$59)^(AE$7-1)*MAX(0,MIN(1,AE$6*1-Inputs!$B$60+1))/1</f>
        <v>0.6</v>
      </c>
      <c r="AF114" s="115" t="n">
        <f aca="false">Inputs!$B$57*(1+Inputs!$B$59)^(AF$7-1)*MAX(0,MIN(1,AF$6*1-Inputs!$B$60+1))/1</f>
        <v>0.6</v>
      </c>
      <c r="AG114" s="115" t="n">
        <f aca="false">Inputs!$B$57*(1+Inputs!$B$59)^(AG$7-1)*MAX(0,MIN(1,AG$6*1-Inputs!$B$60+1))/1</f>
        <v>0.6</v>
      </c>
      <c r="AH114" s="115" t="n">
        <f aca="false">Inputs!$B$57*(1+Inputs!$B$59)^(AH$7-1)*MAX(0,MIN(1,AH$6*1-Inputs!$B$60+1))/1</f>
        <v>0.6</v>
      </c>
      <c r="AI114" s="115" t="n">
        <f aca="false">Inputs!$B$57*(1+Inputs!$B$59)^(AI$7-1)*MAX(0,MIN(1,AI$6*1-Inputs!$B$60+1))/1</f>
        <v>0.6</v>
      </c>
      <c r="AJ114" s="115" t="n">
        <f aca="false">Inputs!$B$57*(1+Inputs!$B$59)^(AJ$7-1)*MAX(0,MIN(1,AJ$6*1-Inputs!$B$60+1))/1</f>
        <v>0.6</v>
      </c>
      <c r="AK114" s="115" t="n">
        <f aca="false">Inputs!$B$57*(1+Inputs!$B$59)^(AK$7-1)*MAX(0,MIN(1,AK$6*1-Inputs!$B$60+1))/1</f>
        <v>0.6</v>
      </c>
      <c r="AL114" s="115" t="n">
        <f aca="false">Inputs!$B$57*(1+Inputs!$B$59)^(AL$7-1)*MAX(0,MIN(1,AL$6*1-Inputs!$B$60+1))/1</f>
        <v>0.6</v>
      </c>
      <c r="AM114" s="115" t="n">
        <f aca="false">Inputs!$B$57*(1+Inputs!$B$59)^(AM$7-1)*MAX(0,MIN(1,AM$6*1-Inputs!$B$60+1))/1</f>
        <v>0.6</v>
      </c>
      <c r="AN114" s="115" t="n">
        <f aca="false">Inputs!$B$57*(1+Inputs!$B$59)^(AN$7-1)*MAX(0,MIN(1,AN$6*1-Inputs!$B$60+1))/1</f>
        <v>0.6</v>
      </c>
      <c r="AO114" s="115" t="n">
        <f aca="false">Inputs!$B$57*(1+Inputs!$B$59)^(AO$7-1)*MAX(0,MIN(1,AO$6*1-Inputs!$B$60+1))/1</f>
        <v>0.6</v>
      </c>
      <c r="AP114" s="115" t="n">
        <f aca="false">Inputs!$B$57*(1+Inputs!$B$59)^(AP$7-1)*MAX(0,MIN(1,AP$6*1-Inputs!$B$60+1))/1</f>
        <v>0.6</v>
      </c>
      <c r="AQ114" s="115" t="n">
        <f aca="false">Inputs!$B$57*(1+Inputs!$B$59)^(AQ$7-1)*MAX(0,MIN(1,AQ$6*1-Inputs!$B$60+1))/1</f>
        <v>0.6</v>
      </c>
      <c r="AR114" s="115" t="n">
        <f aca="false">Inputs!$B$57*(1+Inputs!$B$59)^(AR$7-1)*MAX(0,MIN(1,AR$6*1-Inputs!$B$60+1))/1</f>
        <v>0.6</v>
      </c>
      <c r="AS114" s="115" t="n">
        <f aca="false">Inputs!$B$57*(1+Inputs!$B$59)^(AS$7-1)*MAX(0,MIN(1,AS$6*1-Inputs!$B$60+1))/1</f>
        <v>0.6</v>
      </c>
      <c r="AT114" s="115" t="n">
        <f aca="false">Inputs!$B$57*(1+Inputs!$B$59)^(AT$7-1)*MAX(0,MIN(1,AT$6*1-Inputs!$B$60+1))/1</f>
        <v>0.6</v>
      </c>
      <c r="AU114" s="115" t="n">
        <f aca="false">Inputs!$B$57*(1+Inputs!$B$59)^(AU$7-1)*MAX(0,MIN(1,AU$6*1-Inputs!$B$60+1))/1</f>
        <v>0.6</v>
      </c>
      <c r="AV114" s="115" t="n">
        <f aca="false">Inputs!$B$57*(1+Inputs!$B$59)^(AV$7-1)*MAX(0,MIN(1,AV$6*1-Inputs!$B$60+1))/1</f>
        <v>0.6</v>
      </c>
      <c r="AW114" s="115" t="n">
        <f aca="false">Inputs!$B$57*(1+Inputs!$B$59)^(AW$7-1)*MAX(0,MIN(1,AW$6*1-Inputs!$B$60+1))/1</f>
        <v>0.6</v>
      </c>
      <c r="AX114" s="115" t="n">
        <f aca="false">Inputs!$B$57*(1+Inputs!$B$59)^(AX$7-1)*MAX(0,MIN(1,AX$6*1-Inputs!$B$60+1))/1</f>
        <v>0.6</v>
      </c>
      <c r="AY114" s="115" t="n">
        <f aca="false">Inputs!$B$57*(1+Inputs!$B$59)^(AY$7-1)*MAX(0,MIN(1,AY$6*1-Inputs!$B$60+1))/1</f>
        <v>0.6</v>
      </c>
      <c r="AZ114" s="115" t="n">
        <f aca="false">Inputs!$B$57*(1+Inputs!$B$59)^(AZ$7-1)*MAX(0,MIN(1,AZ$6*1-Inputs!$B$60+1))/1</f>
        <v>0.6</v>
      </c>
      <c r="BA114" s="115" t="n">
        <f aca="false">Inputs!$B$57*(1+Inputs!$B$59)^(BA$7-1)*MAX(0,MIN(1,BA$6*1-Inputs!$B$60+1))/1</f>
        <v>0.6</v>
      </c>
      <c r="BB114" s="115" t="n">
        <f aca="false">Inputs!$B$57*(1+Inputs!$B$59)^(BB$7-1)*MAX(0,MIN(1,BB$6*1-Inputs!$B$60+1))/1</f>
        <v>0.6</v>
      </c>
      <c r="BC114" s="115" t="n">
        <f aca="false">Inputs!$B$57*(1+Inputs!$B$59)^(BC$7-1)*MAX(0,MIN(1,BC$6*1-Inputs!$B$60+1))/1</f>
        <v>0.6</v>
      </c>
      <c r="BD114" s="115" t="n">
        <f aca="false">Inputs!$B$57*(1+Inputs!$B$59)^(BD$7-1)*MAX(0,MIN(1,BD$6*1-Inputs!$B$60+1))/1</f>
        <v>0.6</v>
      </c>
      <c r="BE114" s="115" t="n">
        <f aca="false">Inputs!$B$57*(1+Inputs!$B$59)^(BE$7-1)*MAX(0,MIN(1,BE$6*1-Inputs!$B$60+1))/1</f>
        <v>0.6</v>
      </c>
      <c r="BF114" s="115" t="n">
        <f aca="false">Inputs!$B$57*(1+Inputs!$B$59)^(BF$7-1)*MAX(0,MIN(1,BF$6*1-Inputs!$B$60+1))/1</f>
        <v>0.6</v>
      </c>
      <c r="BG114" s="115" t="n">
        <f aca="false">Inputs!$B$57*(1+Inputs!$B$59)^(BG$7-1)*MAX(0,MIN(1,BG$6*1-Inputs!$B$60+1))/1</f>
        <v>0.6</v>
      </c>
      <c r="BH114" s="115" t="n">
        <f aca="false">Inputs!$B$57*(1+Inputs!$B$59)^(BH$7-1)*MAX(0,MIN(1,BH$6*1-Inputs!$B$60+1))/1</f>
        <v>0.6</v>
      </c>
      <c r="BI114" s="115" t="n">
        <f aca="false">Inputs!$B$57*(1+Inputs!$B$59)^(BI$7-1)*MAX(0,MIN(1,BI$6*1-Inputs!$B$60+1))/1</f>
        <v>0.6</v>
      </c>
      <c r="BJ114" s="115" t="n">
        <f aca="false">Inputs!$B$57*(1+Inputs!$B$59)^(BJ$7-1)*MAX(0,MIN(1,BJ$6*1-Inputs!$B$60+1))/1</f>
        <v>0.6</v>
      </c>
    </row>
    <row r="115" customFormat="false" ht="15" hidden="false" customHeight="false" outlineLevel="0" collapsed="false">
      <c r="A115" s="111" t="s">
        <v>455</v>
      </c>
      <c r="C115" s="119" t="n">
        <f aca="false">C112+C113+C114</f>
        <v>3.1</v>
      </c>
      <c r="D115" s="119" t="n">
        <f aca="false">D112+D113+D114</f>
        <v>3.1</v>
      </c>
      <c r="E115" s="119" t="n">
        <f aca="false">E112+E113+E114</f>
        <v>3.1</v>
      </c>
      <c r="F115" s="119" t="n">
        <f aca="false">F112+F113+F114</f>
        <v>3.1</v>
      </c>
      <c r="G115" s="119" t="n">
        <f aca="false">G112+G113+G114</f>
        <v>3.1</v>
      </c>
      <c r="H115" s="119" t="n">
        <f aca="false">H112+H113+H114</f>
        <v>3.1</v>
      </c>
      <c r="I115" s="119" t="n">
        <f aca="false">I112+I113+I114</f>
        <v>3.1</v>
      </c>
      <c r="J115" s="119" t="n">
        <f aca="false">J112+J113+J114</f>
        <v>3.1</v>
      </c>
      <c r="K115" s="119" t="n">
        <f aca="false">K112+K113+K114</f>
        <v>3.1</v>
      </c>
      <c r="L115" s="119" t="n">
        <f aca="false">L112+L113+L114</f>
        <v>3.1</v>
      </c>
      <c r="M115" s="119" t="n">
        <f aca="false">M112+M113+M114</f>
        <v>3.1</v>
      </c>
      <c r="N115" s="119" t="n">
        <f aca="false">N112+N113+N114</f>
        <v>3.1</v>
      </c>
      <c r="O115" s="119" t="n">
        <f aca="false">O112+O113+O114</f>
        <v>3.1</v>
      </c>
      <c r="P115" s="119" t="n">
        <f aca="false">P112+P113+P114</f>
        <v>3.1</v>
      </c>
      <c r="Q115" s="119" t="n">
        <f aca="false">Q112+Q113+Q114</f>
        <v>3.1</v>
      </c>
      <c r="R115" s="119" t="n">
        <f aca="false">R112+R113+R114</f>
        <v>3.1</v>
      </c>
      <c r="S115" s="119" t="n">
        <f aca="false">S112+S113+S114</f>
        <v>3.1</v>
      </c>
      <c r="T115" s="119" t="n">
        <f aca="false">T112+T113+T114</f>
        <v>3.1</v>
      </c>
      <c r="U115" s="119" t="n">
        <f aca="false">U112+U113+U114</f>
        <v>3.1</v>
      </c>
      <c r="V115" s="119" t="n">
        <f aca="false">V112+V113+V114</f>
        <v>3.1</v>
      </c>
      <c r="W115" s="119" t="n">
        <f aca="false">W112+W113+W114</f>
        <v>3.1</v>
      </c>
      <c r="X115" s="119" t="n">
        <f aca="false">X112+X113+X114</f>
        <v>3.1</v>
      </c>
      <c r="Y115" s="119" t="n">
        <f aca="false">Y112+Y113+Y114</f>
        <v>3.1</v>
      </c>
      <c r="Z115" s="119" t="n">
        <f aca="false">Z112+Z113+Z114</f>
        <v>3.1</v>
      </c>
      <c r="AA115" s="119" t="n">
        <f aca="false">AA112+AA113+AA114</f>
        <v>3.1</v>
      </c>
      <c r="AB115" s="119" t="n">
        <f aca="false">AB112+AB113+AB114</f>
        <v>3.1</v>
      </c>
      <c r="AC115" s="119" t="n">
        <f aca="false">AC112+AC113+AC114</f>
        <v>3.1</v>
      </c>
      <c r="AD115" s="119" t="n">
        <f aca="false">AD112+AD113+AD114</f>
        <v>3.1</v>
      </c>
      <c r="AE115" s="119" t="n">
        <f aca="false">AE112+AE113+AE114</f>
        <v>3.1</v>
      </c>
      <c r="AF115" s="119" t="n">
        <f aca="false">AF112+AF113+AF114</f>
        <v>3.1</v>
      </c>
      <c r="AG115" s="119" t="n">
        <f aca="false">AG112+AG113+AG114</f>
        <v>3.1</v>
      </c>
      <c r="AH115" s="119" t="n">
        <f aca="false">AH112+AH113+AH114</f>
        <v>3.1</v>
      </c>
      <c r="AI115" s="119" t="n">
        <f aca="false">AI112+AI113+AI114</f>
        <v>3.1</v>
      </c>
      <c r="AJ115" s="119" t="n">
        <f aca="false">AJ112+AJ113+AJ114</f>
        <v>3.1</v>
      </c>
      <c r="AK115" s="119" t="n">
        <f aca="false">AK112+AK113+AK114</f>
        <v>3.1</v>
      </c>
      <c r="AL115" s="119" t="n">
        <f aca="false">AL112+AL113+AL114</f>
        <v>3.1</v>
      </c>
      <c r="AM115" s="119" t="n">
        <f aca="false">AM112+AM113+AM114</f>
        <v>3.1</v>
      </c>
      <c r="AN115" s="119" t="n">
        <f aca="false">AN112+AN113+AN114</f>
        <v>3.1</v>
      </c>
      <c r="AO115" s="119" t="n">
        <f aca="false">AO112+AO113+AO114</f>
        <v>3.1</v>
      </c>
      <c r="AP115" s="119" t="n">
        <f aca="false">AP112+AP113+AP114</f>
        <v>3.1</v>
      </c>
      <c r="AQ115" s="119" t="n">
        <f aca="false">AQ112+AQ113+AQ114</f>
        <v>3.1</v>
      </c>
      <c r="AR115" s="119" t="n">
        <f aca="false">AR112+AR113+AR114</f>
        <v>3.1</v>
      </c>
      <c r="AS115" s="119" t="n">
        <f aca="false">AS112+AS113+AS114</f>
        <v>3.1</v>
      </c>
      <c r="AT115" s="119" t="n">
        <f aca="false">AT112+AT113+AT114</f>
        <v>3.1</v>
      </c>
      <c r="AU115" s="119" t="n">
        <f aca="false">AU112+AU113+AU114</f>
        <v>3.1</v>
      </c>
      <c r="AV115" s="119" t="n">
        <f aca="false">AV112+AV113+AV114</f>
        <v>3.1</v>
      </c>
      <c r="AW115" s="119" t="n">
        <f aca="false">AW112+AW113+AW114</f>
        <v>3.1</v>
      </c>
      <c r="AX115" s="119" t="n">
        <f aca="false">AX112+AX113+AX114</f>
        <v>3.1</v>
      </c>
      <c r="AY115" s="119" t="n">
        <f aca="false">AY112+AY113+AY114</f>
        <v>3.1</v>
      </c>
      <c r="AZ115" s="119" t="n">
        <f aca="false">AZ112+AZ113+AZ114</f>
        <v>3.1</v>
      </c>
      <c r="BA115" s="119" t="n">
        <f aca="false">BA112+BA113+BA114</f>
        <v>3.1</v>
      </c>
      <c r="BB115" s="119" t="n">
        <f aca="false">BB112+BB113+BB114</f>
        <v>3.1</v>
      </c>
      <c r="BC115" s="119" t="n">
        <f aca="false">BC112+BC113+BC114</f>
        <v>3.1</v>
      </c>
      <c r="BD115" s="119" t="n">
        <f aca="false">BD112+BD113+BD114</f>
        <v>3.1</v>
      </c>
      <c r="BE115" s="119" t="n">
        <f aca="false">BE112+BE113+BE114</f>
        <v>3.1</v>
      </c>
      <c r="BF115" s="119" t="n">
        <f aca="false">BF112+BF113+BF114</f>
        <v>3.1</v>
      </c>
      <c r="BG115" s="119" t="n">
        <f aca="false">BG112+BG113+BG114</f>
        <v>3.1</v>
      </c>
      <c r="BH115" s="119" t="n">
        <f aca="false">BH112+BH113+BH114</f>
        <v>3.1</v>
      </c>
      <c r="BI115" s="119" t="n">
        <f aca="false">BI112+BI113+BI114</f>
        <v>3.1</v>
      </c>
      <c r="BJ115" s="119" t="n">
        <f aca="false">BJ112+BJ113+BJ114</f>
        <v>3.1</v>
      </c>
    </row>
    <row r="117" customFormat="false" ht="15.75" hidden="false" customHeight="true" outlineLevel="0" collapsed="false">
      <c r="A117" s="7" t="s">
        <v>456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457</v>
      </c>
      <c r="C118" s="67" t="n">
        <f aca="false">-C112*Inputs!$B$50/12*1*(1+Inputs!$B$61)*(1+Inputs!$B$62)^(C$7-1)</f>
        <v>-4600</v>
      </c>
      <c r="D118" s="67" t="n">
        <f aca="false">-D112*Inputs!$B$50/12*1*(1+Inputs!$B$61)*(1+Inputs!$B$62)^(D$7-1)</f>
        <v>-4600</v>
      </c>
      <c r="E118" s="67" t="n">
        <f aca="false">-E112*Inputs!$B$50/12*1*(1+Inputs!$B$61)*(1+Inputs!$B$62)^(E$7-1)</f>
        <v>-4600</v>
      </c>
      <c r="F118" s="67" t="n">
        <f aca="false">-F112*Inputs!$B$50/12*1*(1+Inputs!$B$61)*(1+Inputs!$B$62)^(F$7-1)</f>
        <v>-4600</v>
      </c>
      <c r="G118" s="67" t="n">
        <f aca="false">-G112*Inputs!$B$50/12*1*(1+Inputs!$B$61)*(1+Inputs!$B$62)^(G$7-1)</f>
        <v>-4600</v>
      </c>
      <c r="H118" s="67" t="n">
        <f aca="false">-H112*Inputs!$B$50/12*1*(1+Inputs!$B$61)*(1+Inputs!$B$62)^(H$7-1)</f>
        <v>-4600</v>
      </c>
      <c r="I118" s="67" t="n">
        <f aca="false">-I112*Inputs!$B$50/12*1*(1+Inputs!$B$61)*(1+Inputs!$B$62)^(I$7-1)</f>
        <v>-4600</v>
      </c>
      <c r="J118" s="67" t="n">
        <f aca="false">-J112*Inputs!$B$50/12*1*(1+Inputs!$B$61)*(1+Inputs!$B$62)^(J$7-1)</f>
        <v>-4600</v>
      </c>
      <c r="K118" s="67" t="n">
        <f aca="false">-K112*Inputs!$B$50/12*1*(1+Inputs!$B$61)*(1+Inputs!$B$62)^(K$7-1)</f>
        <v>-4600</v>
      </c>
      <c r="L118" s="67" t="n">
        <f aca="false">-L112*Inputs!$B$50/12*1*(1+Inputs!$B$61)*(1+Inputs!$B$62)^(L$7-1)</f>
        <v>-4600</v>
      </c>
      <c r="M118" s="67" t="n">
        <f aca="false">-M112*Inputs!$B$50/12*1*(1+Inputs!$B$61)*(1+Inputs!$B$62)^(M$7-1)</f>
        <v>-4600</v>
      </c>
      <c r="N118" s="67" t="n">
        <f aca="false">-N112*Inputs!$B$50/12*1*(1+Inputs!$B$61)*(1+Inputs!$B$62)^(N$7-1)</f>
        <v>-4600</v>
      </c>
      <c r="O118" s="67" t="n">
        <f aca="false">-O112*Inputs!$B$50/12*1*(1+Inputs!$B$61)*(1+Inputs!$B$62)^(O$7-1)</f>
        <v>-4784</v>
      </c>
      <c r="P118" s="67" t="n">
        <f aca="false">-P112*Inputs!$B$50/12*1*(1+Inputs!$B$61)*(1+Inputs!$B$62)^(P$7-1)</f>
        <v>-4784</v>
      </c>
      <c r="Q118" s="67" t="n">
        <f aca="false">-Q112*Inputs!$B$50/12*1*(1+Inputs!$B$61)*(1+Inputs!$B$62)^(Q$7-1)</f>
        <v>-4784</v>
      </c>
      <c r="R118" s="67" t="n">
        <f aca="false">-R112*Inputs!$B$50/12*1*(1+Inputs!$B$61)*(1+Inputs!$B$62)^(R$7-1)</f>
        <v>-4784</v>
      </c>
      <c r="S118" s="67" t="n">
        <f aca="false">-S112*Inputs!$B$50/12*1*(1+Inputs!$B$61)*(1+Inputs!$B$62)^(S$7-1)</f>
        <v>-4784</v>
      </c>
      <c r="T118" s="67" t="n">
        <f aca="false">-T112*Inputs!$B$50/12*1*(1+Inputs!$B$61)*(1+Inputs!$B$62)^(T$7-1)</f>
        <v>-4784</v>
      </c>
      <c r="U118" s="67" t="n">
        <f aca="false">-U112*Inputs!$B$50/12*1*(1+Inputs!$B$61)*(1+Inputs!$B$62)^(U$7-1)</f>
        <v>-4784</v>
      </c>
      <c r="V118" s="67" t="n">
        <f aca="false">-V112*Inputs!$B$50/12*1*(1+Inputs!$B$61)*(1+Inputs!$B$62)^(V$7-1)</f>
        <v>-4784</v>
      </c>
      <c r="W118" s="67" t="n">
        <f aca="false">-W112*Inputs!$B$50/12*1*(1+Inputs!$B$61)*(1+Inputs!$B$62)^(W$7-1)</f>
        <v>-4784</v>
      </c>
      <c r="X118" s="67" t="n">
        <f aca="false">-X112*Inputs!$B$50/12*1*(1+Inputs!$B$61)*(1+Inputs!$B$62)^(X$7-1)</f>
        <v>-4784</v>
      </c>
      <c r="Y118" s="67" t="n">
        <f aca="false">-Y112*Inputs!$B$50/12*1*(1+Inputs!$B$61)*(1+Inputs!$B$62)^(Y$7-1)</f>
        <v>-4784</v>
      </c>
      <c r="Z118" s="67" t="n">
        <f aca="false">-Z112*Inputs!$B$50/12*1*(1+Inputs!$B$61)*(1+Inputs!$B$62)^(Z$7-1)</f>
        <v>-4784</v>
      </c>
      <c r="AA118" s="67" t="n">
        <f aca="false">-AA112*Inputs!$B$50/12*1*(1+Inputs!$B$61)*(1+Inputs!$B$62)^(AA$7-1)</f>
        <v>-4975.36</v>
      </c>
      <c r="AB118" s="67" t="n">
        <f aca="false">-AB112*Inputs!$B$50/12*1*(1+Inputs!$B$61)*(1+Inputs!$B$62)^(AB$7-1)</f>
        <v>-4975.36</v>
      </c>
      <c r="AC118" s="67" t="n">
        <f aca="false">-AC112*Inputs!$B$50/12*1*(1+Inputs!$B$61)*(1+Inputs!$B$62)^(AC$7-1)</f>
        <v>-4975.36</v>
      </c>
      <c r="AD118" s="67" t="n">
        <f aca="false">-AD112*Inputs!$B$50/12*1*(1+Inputs!$B$61)*(1+Inputs!$B$62)^(AD$7-1)</f>
        <v>-4975.36</v>
      </c>
      <c r="AE118" s="67" t="n">
        <f aca="false">-AE112*Inputs!$B$50/12*1*(1+Inputs!$B$61)*(1+Inputs!$B$62)^(AE$7-1)</f>
        <v>-4975.36</v>
      </c>
      <c r="AF118" s="67" t="n">
        <f aca="false">-AF112*Inputs!$B$50/12*1*(1+Inputs!$B$61)*(1+Inputs!$B$62)^(AF$7-1)</f>
        <v>-4975.36</v>
      </c>
      <c r="AG118" s="67" t="n">
        <f aca="false">-AG112*Inputs!$B$50/12*1*(1+Inputs!$B$61)*(1+Inputs!$B$62)^(AG$7-1)</f>
        <v>-4975.36</v>
      </c>
      <c r="AH118" s="67" t="n">
        <f aca="false">-AH112*Inputs!$B$50/12*1*(1+Inputs!$B$61)*(1+Inputs!$B$62)^(AH$7-1)</f>
        <v>-4975.36</v>
      </c>
      <c r="AI118" s="67" t="n">
        <f aca="false">-AI112*Inputs!$B$50/12*1*(1+Inputs!$B$61)*(1+Inputs!$B$62)^(AI$7-1)</f>
        <v>-4975.36</v>
      </c>
      <c r="AJ118" s="67" t="n">
        <f aca="false">-AJ112*Inputs!$B$50/12*1*(1+Inputs!$B$61)*(1+Inputs!$B$62)^(AJ$7-1)</f>
        <v>-4975.36</v>
      </c>
      <c r="AK118" s="67" t="n">
        <f aca="false">-AK112*Inputs!$B$50/12*1*(1+Inputs!$B$61)*(1+Inputs!$B$62)^(AK$7-1)</f>
        <v>-4975.36</v>
      </c>
      <c r="AL118" s="67" t="n">
        <f aca="false">-AL112*Inputs!$B$50/12*1*(1+Inputs!$B$61)*(1+Inputs!$B$62)^(AL$7-1)</f>
        <v>-4975.36</v>
      </c>
      <c r="AM118" s="67" t="n">
        <f aca="false">-AM112*Inputs!$B$50/12*1*(1+Inputs!$B$61)*(1+Inputs!$B$62)^(AM$7-1)</f>
        <v>-5174.3744</v>
      </c>
      <c r="AN118" s="67" t="n">
        <f aca="false">-AN112*Inputs!$B$50/12*1*(1+Inputs!$B$61)*(1+Inputs!$B$62)^(AN$7-1)</f>
        <v>-5174.3744</v>
      </c>
      <c r="AO118" s="67" t="n">
        <f aca="false">-AO112*Inputs!$B$50/12*1*(1+Inputs!$B$61)*(1+Inputs!$B$62)^(AO$7-1)</f>
        <v>-5174.3744</v>
      </c>
      <c r="AP118" s="67" t="n">
        <f aca="false">-AP112*Inputs!$B$50/12*1*(1+Inputs!$B$61)*(1+Inputs!$B$62)^(AP$7-1)</f>
        <v>-5174.3744</v>
      </c>
      <c r="AQ118" s="67" t="n">
        <f aca="false">-AQ112*Inputs!$B$50/12*1*(1+Inputs!$B$61)*(1+Inputs!$B$62)^(AQ$7-1)</f>
        <v>-5174.3744</v>
      </c>
      <c r="AR118" s="67" t="n">
        <f aca="false">-AR112*Inputs!$B$50/12*1*(1+Inputs!$B$61)*(1+Inputs!$B$62)^(AR$7-1)</f>
        <v>-5174.3744</v>
      </c>
      <c r="AS118" s="67" t="n">
        <f aca="false">-AS112*Inputs!$B$50/12*1*(1+Inputs!$B$61)*(1+Inputs!$B$62)^(AS$7-1)</f>
        <v>-5174.3744</v>
      </c>
      <c r="AT118" s="67" t="n">
        <f aca="false">-AT112*Inputs!$B$50/12*1*(1+Inputs!$B$61)*(1+Inputs!$B$62)^(AT$7-1)</f>
        <v>-5174.3744</v>
      </c>
      <c r="AU118" s="67" t="n">
        <f aca="false">-AU112*Inputs!$B$50/12*1*(1+Inputs!$B$61)*(1+Inputs!$B$62)^(AU$7-1)</f>
        <v>-5174.3744</v>
      </c>
      <c r="AV118" s="67" t="n">
        <f aca="false">-AV112*Inputs!$B$50/12*1*(1+Inputs!$B$61)*(1+Inputs!$B$62)^(AV$7-1)</f>
        <v>-5174.3744</v>
      </c>
      <c r="AW118" s="67" t="n">
        <f aca="false">-AW112*Inputs!$B$50/12*1*(1+Inputs!$B$61)*(1+Inputs!$B$62)^(AW$7-1)</f>
        <v>-5174.3744</v>
      </c>
      <c r="AX118" s="67" t="n">
        <f aca="false">-AX112*Inputs!$B$50/12*1*(1+Inputs!$B$61)*(1+Inputs!$B$62)^(AX$7-1)</f>
        <v>-5174.3744</v>
      </c>
      <c r="AY118" s="67" t="n">
        <f aca="false">-AY112*Inputs!$B$50/12*1*(1+Inputs!$B$61)*(1+Inputs!$B$62)^(AY$7-1)</f>
        <v>-5381.349376</v>
      </c>
      <c r="AZ118" s="67" t="n">
        <f aca="false">-AZ112*Inputs!$B$50/12*1*(1+Inputs!$B$61)*(1+Inputs!$B$62)^(AZ$7-1)</f>
        <v>-5381.349376</v>
      </c>
      <c r="BA118" s="67" t="n">
        <f aca="false">-BA112*Inputs!$B$50/12*1*(1+Inputs!$B$61)*(1+Inputs!$B$62)^(BA$7-1)</f>
        <v>-5381.349376</v>
      </c>
      <c r="BB118" s="67" t="n">
        <f aca="false">-BB112*Inputs!$B$50/12*1*(1+Inputs!$B$61)*(1+Inputs!$B$62)^(BB$7-1)</f>
        <v>-5381.349376</v>
      </c>
      <c r="BC118" s="67" t="n">
        <f aca="false">-BC112*Inputs!$B$50/12*1*(1+Inputs!$B$61)*(1+Inputs!$B$62)^(BC$7-1)</f>
        <v>-5381.349376</v>
      </c>
      <c r="BD118" s="67" t="n">
        <f aca="false">-BD112*Inputs!$B$50/12*1*(1+Inputs!$B$61)*(1+Inputs!$B$62)^(BD$7-1)</f>
        <v>-5381.349376</v>
      </c>
      <c r="BE118" s="67" t="n">
        <f aca="false">-BE112*Inputs!$B$50/12*1*(1+Inputs!$B$61)*(1+Inputs!$B$62)^(BE$7-1)</f>
        <v>-5381.349376</v>
      </c>
      <c r="BF118" s="67" t="n">
        <f aca="false">-BF112*Inputs!$B$50/12*1*(1+Inputs!$B$61)*(1+Inputs!$B$62)^(BF$7-1)</f>
        <v>-5381.349376</v>
      </c>
      <c r="BG118" s="67" t="n">
        <f aca="false">-BG112*Inputs!$B$50/12*1*(1+Inputs!$B$61)*(1+Inputs!$B$62)^(BG$7-1)</f>
        <v>-5381.349376</v>
      </c>
      <c r="BH118" s="67" t="n">
        <f aca="false">-BH112*Inputs!$B$50/12*1*(1+Inputs!$B$61)*(1+Inputs!$B$62)^(BH$7-1)</f>
        <v>-5381.349376</v>
      </c>
      <c r="BI118" s="67" t="n">
        <f aca="false">-BI112*Inputs!$B$50/12*1*(1+Inputs!$B$61)*(1+Inputs!$B$62)^(BI$7-1)</f>
        <v>-5381.349376</v>
      </c>
      <c r="BJ118" s="67" t="n">
        <f aca="false">-BJ112*Inputs!$B$50/12*1*(1+Inputs!$B$61)*(1+Inputs!$B$62)^(BJ$7-1)</f>
        <v>-5381.349376</v>
      </c>
    </row>
    <row r="119" customFormat="false" ht="15" hidden="false" customHeight="false" outlineLevel="0" collapsed="false">
      <c r="A119" s="6" t="s">
        <v>458</v>
      </c>
      <c r="C119" s="67" t="n">
        <f aca="false">-C113*Inputs!$B$54/12*1*(1+Inputs!$B$61)*(1+Inputs!$B$62)^(C$7-1)</f>
        <v>-3833.33333333333</v>
      </c>
      <c r="D119" s="67" t="n">
        <f aca="false">-D113*Inputs!$B$54/12*1*(1+Inputs!$B$61)*(1+Inputs!$B$62)^(D$7-1)</f>
        <v>-3833.33333333333</v>
      </c>
      <c r="E119" s="67" t="n">
        <f aca="false">-E113*Inputs!$B$54/12*1*(1+Inputs!$B$61)*(1+Inputs!$B$62)^(E$7-1)</f>
        <v>-3833.33333333333</v>
      </c>
      <c r="F119" s="67" t="n">
        <f aca="false">-F113*Inputs!$B$54/12*1*(1+Inputs!$B$61)*(1+Inputs!$B$62)^(F$7-1)</f>
        <v>-3833.33333333333</v>
      </c>
      <c r="G119" s="67" t="n">
        <f aca="false">-G113*Inputs!$B$54/12*1*(1+Inputs!$B$61)*(1+Inputs!$B$62)^(G$7-1)</f>
        <v>-3833.33333333333</v>
      </c>
      <c r="H119" s="67" t="n">
        <f aca="false">-H113*Inputs!$B$54/12*1*(1+Inputs!$B$61)*(1+Inputs!$B$62)^(H$7-1)</f>
        <v>-3833.33333333333</v>
      </c>
      <c r="I119" s="67" t="n">
        <f aca="false">-I113*Inputs!$B$54/12*1*(1+Inputs!$B$61)*(1+Inputs!$B$62)^(I$7-1)</f>
        <v>-3833.33333333333</v>
      </c>
      <c r="J119" s="67" t="n">
        <f aca="false">-J113*Inputs!$B$54/12*1*(1+Inputs!$B$61)*(1+Inputs!$B$62)^(J$7-1)</f>
        <v>-3833.33333333333</v>
      </c>
      <c r="K119" s="67" t="n">
        <f aca="false">-K113*Inputs!$B$54/12*1*(1+Inputs!$B$61)*(1+Inputs!$B$62)^(K$7-1)</f>
        <v>-3833.33333333333</v>
      </c>
      <c r="L119" s="67" t="n">
        <f aca="false">-L113*Inputs!$B$54/12*1*(1+Inputs!$B$61)*(1+Inputs!$B$62)^(L$7-1)</f>
        <v>-3833.33333333333</v>
      </c>
      <c r="M119" s="67" t="n">
        <f aca="false">-M113*Inputs!$B$54/12*1*(1+Inputs!$B$61)*(1+Inputs!$B$62)^(M$7-1)</f>
        <v>-3833.33333333333</v>
      </c>
      <c r="N119" s="67" t="n">
        <f aca="false">-N113*Inputs!$B$54/12*1*(1+Inputs!$B$61)*(1+Inputs!$B$62)^(N$7-1)</f>
        <v>-3833.33333333333</v>
      </c>
      <c r="O119" s="67" t="n">
        <f aca="false">-O113*Inputs!$B$54/12*1*(1+Inputs!$B$61)*(1+Inputs!$B$62)^(O$7-1)</f>
        <v>-3986.66666666667</v>
      </c>
      <c r="P119" s="67" t="n">
        <f aca="false">-P113*Inputs!$B$54/12*1*(1+Inputs!$B$61)*(1+Inputs!$B$62)^(P$7-1)</f>
        <v>-3986.66666666667</v>
      </c>
      <c r="Q119" s="67" t="n">
        <f aca="false">-Q113*Inputs!$B$54/12*1*(1+Inputs!$B$61)*(1+Inputs!$B$62)^(Q$7-1)</f>
        <v>-3986.66666666667</v>
      </c>
      <c r="R119" s="67" t="n">
        <f aca="false">-R113*Inputs!$B$54/12*1*(1+Inputs!$B$61)*(1+Inputs!$B$62)^(R$7-1)</f>
        <v>-3986.66666666667</v>
      </c>
      <c r="S119" s="67" t="n">
        <f aca="false">-S113*Inputs!$B$54/12*1*(1+Inputs!$B$61)*(1+Inputs!$B$62)^(S$7-1)</f>
        <v>-3986.66666666667</v>
      </c>
      <c r="T119" s="67" t="n">
        <f aca="false">-T113*Inputs!$B$54/12*1*(1+Inputs!$B$61)*(1+Inputs!$B$62)^(T$7-1)</f>
        <v>-3986.66666666667</v>
      </c>
      <c r="U119" s="67" t="n">
        <f aca="false">-U113*Inputs!$B$54/12*1*(1+Inputs!$B$61)*(1+Inputs!$B$62)^(U$7-1)</f>
        <v>-3986.66666666667</v>
      </c>
      <c r="V119" s="67" t="n">
        <f aca="false">-V113*Inputs!$B$54/12*1*(1+Inputs!$B$61)*(1+Inputs!$B$62)^(V$7-1)</f>
        <v>-3986.66666666667</v>
      </c>
      <c r="W119" s="67" t="n">
        <f aca="false">-W113*Inputs!$B$54/12*1*(1+Inputs!$B$61)*(1+Inputs!$B$62)^(W$7-1)</f>
        <v>-3986.66666666667</v>
      </c>
      <c r="X119" s="67" t="n">
        <f aca="false">-X113*Inputs!$B$54/12*1*(1+Inputs!$B$61)*(1+Inputs!$B$62)^(X$7-1)</f>
        <v>-3986.66666666667</v>
      </c>
      <c r="Y119" s="67" t="n">
        <f aca="false">-Y113*Inputs!$B$54/12*1*(1+Inputs!$B$61)*(1+Inputs!$B$62)^(Y$7-1)</f>
        <v>-3986.66666666667</v>
      </c>
      <c r="Z119" s="67" t="n">
        <f aca="false">-Z113*Inputs!$B$54/12*1*(1+Inputs!$B$61)*(1+Inputs!$B$62)^(Z$7-1)</f>
        <v>-3986.66666666667</v>
      </c>
      <c r="AA119" s="67" t="n">
        <f aca="false">-AA113*Inputs!$B$54/12*1*(1+Inputs!$B$61)*(1+Inputs!$B$62)^(AA$7-1)</f>
        <v>-4146.13333333333</v>
      </c>
      <c r="AB119" s="67" t="n">
        <f aca="false">-AB113*Inputs!$B$54/12*1*(1+Inputs!$B$61)*(1+Inputs!$B$62)^(AB$7-1)</f>
        <v>-4146.13333333333</v>
      </c>
      <c r="AC119" s="67" t="n">
        <f aca="false">-AC113*Inputs!$B$54/12*1*(1+Inputs!$B$61)*(1+Inputs!$B$62)^(AC$7-1)</f>
        <v>-4146.13333333333</v>
      </c>
      <c r="AD119" s="67" t="n">
        <f aca="false">-AD113*Inputs!$B$54/12*1*(1+Inputs!$B$61)*(1+Inputs!$B$62)^(AD$7-1)</f>
        <v>-4146.13333333333</v>
      </c>
      <c r="AE119" s="67" t="n">
        <f aca="false">-AE113*Inputs!$B$54/12*1*(1+Inputs!$B$61)*(1+Inputs!$B$62)^(AE$7-1)</f>
        <v>-4146.13333333333</v>
      </c>
      <c r="AF119" s="67" t="n">
        <f aca="false">-AF113*Inputs!$B$54/12*1*(1+Inputs!$B$61)*(1+Inputs!$B$62)^(AF$7-1)</f>
        <v>-4146.13333333333</v>
      </c>
      <c r="AG119" s="67" t="n">
        <f aca="false">-AG113*Inputs!$B$54/12*1*(1+Inputs!$B$61)*(1+Inputs!$B$62)^(AG$7-1)</f>
        <v>-4146.13333333333</v>
      </c>
      <c r="AH119" s="67" t="n">
        <f aca="false">-AH113*Inputs!$B$54/12*1*(1+Inputs!$B$61)*(1+Inputs!$B$62)^(AH$7-1)</f>
        <v>-4146.13333333333</v>
      </c>
      <c r="AI119" s="67" t="n">
        <f aca="false">-AI113*Inputs!$B$54/12*1*(1+Inputs!$B$61)*(1+Inputs!$B$62)^(AI$7-1)</f>
        <v>-4146.13333333333</v>
      </c>
      <c r="AJ119" s="67" t="n">
        <f aca="false">-AJ113*Inputs!$B$54/12*1*(1+Inputs!$B$61)*(1+Inputs!$B$62)^(AJ$7-1)</f>
        <v>-4146.13333333333</v>
      </c>
      <c r="AK119" s="67" t="n">
        <f aca="false">-AK113*Inputs!$B$54/12*1*(1+Inputs!$B$61)*(1+Inputs!$B$62)^(AK$7-1)</f>
        <v>-4146.13333333333</v>
      </c>
      <c r="AL119" s="67" t="n">
        <f aca="false">-AL113*Inputs!$B$54/12*1*(1+Inputs!$B$61)*(1+Inputs!$B$62)^(AL$7-1)</f>
        <v>-4146.13333333333</v>
      </c>
      <c r="AM119" s="67" t="n">
        <f aca="false">-AM113*Inputs!$B$54/12*1*(1+Inputs!$B$61)*(1+Inputs!$B$62)^(AM$7-1)</f>
        <v>-4311.97866666667</v>
      </c>
      <c r="AN119" s="67" t="n">
        <f aca="false">-AN113*Inputs!$B$54/12*1*(1+Inputs!$B$61)*(1+Inputs!$B$62)^(AN$7-1)</f>
        <v>-4311.97866666667</v>
      </c>
      <c r="AO119" s="67" t="n">
        <f aca="false">-AO113*Inputs!$B$54/12*1*(1+Inputs!$B$61)*(1+Inputs!$B$62)^(AO$7-1)</f>
        <v>-4311.97866666667</v>
      </c>
      <c r="AP119" s="67" t="n">
        <f aca="false">-AP113*Inputs!$B$54/12*1*(1+Inputs!$B$61)*(1+Inputs!$B$62)^(AP$7-1)</f>
        <v>-4311.97866666667</v>
      </c>
      <c r="AQ119" s="67" t="n">
        <f aca="false">-AQ113*Inputs!$B$54/12*1*(1+Inputs!$B$61)*(1+Inputs!$B$62)^(AQ$7-1)</f>
        <v>-4311.97866666667</v>
      </c>
      <c r="AR119" s="67" t="n">
        <f aca="false">-AR113*Inputs!$B$54/12*1*(1+Inputs!$B$61)*(1+Inputs!$B$62)^(AR$7-1)</f>
        <v>-4311.97866666667</v>
      </c>
      <c r="AS119" s="67" t="n">
        <f aca="false">-AS113*Inputs!$B$54/12*1*(1+Inputs!$B$61)*(1+Inputs!$B$62)^(AS$7-1)</f>
        <v>-4311.97866666667</v>
      </c>
      <c r="AT119" s="67" t="n">
        <f aca="false">-AT113*Inputs!$B$54/12*1*(1+Inputs!$B$61)*(1+Inputs!$B$62)^(AT$7-1)</f>
        <v>-4311.97866666667</v>
      </c>
      <c r="AU119" s="67" t="n">
        <f aca="false">-AU113*Inputs!$B$54/12*1*(1+Inputs!$B$61)*(1+Inputs!$B$62)^(AU$7-1)</f>
        <v>-4311.97866666667</v>
      </c>
      <c r="AV119" s="67" t="n">
        <f aca="false">-AV113*Inputs!$B$54/12*1*(1+Inputs!$B$61)*(1+Inputs!$B$62)^(AV$7-1)</f>
        <v>-4311.97866666667</v>
      </c>
      <c r="AW119" s="67" t="n">
        <f aca="false">-AW113*Inputs!$B$54/12*1*(1+Inputs!$B$61)*(1+Inputs!$B$62)^(AW$7-1)</f>
        <v>-4311.97866666667</v>
      </c>
      <c r="AX119" s="67" t="n">
        <f aca="false">-AX113*Inputs!$B$54/12*1*(1+Inputs!$B$61)*(1+Inputs!$B$62)^(AX$7-1)</f>
        <v>-4311.97866666667</v>
      </c>
      <c r="AY119" s="67" t="n">
        <f aca="false">-AY113*Inputs!$B$54/12*1*(1+Inputs!$B$61)*(1+Inputs!$B$62)^(AY$7-1)</f>
        <v>-4484.45781333333</v>
      </c>
      <c r="AZ119" s="67" t="n">
        <f aca="false">-AZ113*Inputs!$B$54/12*1*(1+Inputs!$B$61)*(1+Inputs!$B$62)^(AZ$7-1)</f>
        <v>-4484.45781333333</v>
      </c>
      <c r="BA119" s="67" t="n">
        <f aca="false">-BA113*Inputs!$B$54/12*1*(1+Inputs!$B$61)*(1+Inputs!$B$62)^(BA$7-1)</f>
        <v>-4484.45781333333</v>
      </c>
      <c r="BB119" s="67" t="n">
        <f aca="false">-BB113*Inputs!$B$54/12*1*(1+Inputs!$B$61)*(1+Inputs!$B$62)^(BB$7-1)</f>
        <v>-4484.45781333333</v>
      </c>
      <c r="BC119" s="67" t="n">
        <f aca="false">-BC113*Inputs!$B$54/12*1*(1+Inputs!$B$61)*(1+Inputs!$B$62)^(BC$7-1)</f>
        <v>-4484.45781333333</v>
      </c>
      <c r="BD119" s="67" t="n">
        <f aca="false">-BD113*Inputs!$B$54/12*1*(1+Inputs!$B$61)*(1+Inputs!$B$62)^(BD$7-1)</f>
        <v>-4484.45781333333</v>
      </c>
      <c r="BE119" s="67" t="n">
        <f aca="false">-BE113*Inputs!$B$54/12*1*(1+Inputs!$B$61)*(1+Inputs!$B$62)^(BE$7-1)</f>
        <v>-4484.45781333333</v>
      </c>
      <c r="BF119" s="67" t="n">
        <f aca="false">-BF113*Inputs!$B$54/12*1*(1+Inputs!$B$61)*(1+Inputs!$B$62)^(BF$7-1)</f>
        <v>-4484.45781333333</v>
      </c>
      <c r="BG119" s="67" t="n">
        <f aca="false">-BG113*Inputs!$B$54/12*1*(1+Inputs!$B$61)*(1+Inputs!$B$62)^(BG$7-1)</f>
        <v>-4484.45781333333</v>
      </c>
      <c r="BH119" s="67" t="n">
        <f aca="false">-BH113*Inputs!$B$54/12*1*(1+Inputs!$B$61)*(1+Inputs!$B$62)^(BH$7-1)</f>
        <v>-4484.45781333333</v>
      </c>
      <c r="BI119" s="67" t="n">
        <f aca="false">-BI113*Inputs!$B$54/12*1*(1+Inputs!$B$61)*(1+Inputs!$B$62)^(BI$7-1)</f>
        <v>-4484.45781333333</v>
      </c>
      <c r="BJ119" s="67" t="n">
        <f aca="false">-BJ113*Inputs!$B$54/12*1*(1+Inputs!$B$61)*(1+Inputs!$B$62)^(BJ$7-1)</f>
        <v>-4484.45781333333</v>
      </c>
    </row>
    <row r="120" customFormat="false" ht="15" hidden="false" customHeight="false" outlineLevel="0" collapsed="false">
      <c r="A120" s="6" t="s">
        <v>459</v>
      </c>
      <c r="C120" s="67" t="n">
        <f aca="false">-C114*Inputs!$B$58/12*1*(1+Inputs!$B$61)*(1+Inputs!$B$62)^(C$7-1)</f>
        <v>-1725</v>
      </c>
      <c r="D120" s="67" t="n">
        <f aca="false">-D114*Inputs!$B$58/12*1*(1+Inputs!$B$61)*(1+Inputs!$B$62)^(D$7-1)</f>
        <v>-1725</v>
      </c>
      <c r="E120" s="67" t="n">
        <f aca="false">-E114*Inputs!$B$58/12*1*(1+Inputs!$B$61)*(1+Inputs!$B$62)^(E$7-1)</f>
        <v>-1725</v>
      </c>
      <c r="F120" s="67" t="n">
        <f aca="false">-F114*Inputs!$B$58/12*1*(1+Inputs!$B$61)*(1+Inputs!$B$62)^(F$7-1)</f>
        <v>-1725</v>
      </c>
      <c r="G120" s="67" t="n">
        <f aca="false">-G114*Inputs!$B$58/12*1*(1+Inputs!$B$61)*(1+Inputs!$B$62)^(G$7-1)</f>
        <v>-1725</v>
      </c>
      <c r="H120" s="67" t="n">
        <f aca="false">-H114*Inputs!$B$58/12*1*(1+Inputs!$B$61)*(1+Inputs!$B$62)^(H$7-1)</f>
        <v>-1725</v>
      </c>
      <c r="I120" s="67" t="n">
        <f aca="false">-I114*Inputs!$B$58/12*1*(1+Inputs!$B$61)*(1+Inputs!$B$62)^(I$7-1)</f>
        <v>-1725</v>
      </c>
      <c r="J120" s="67" t="n">
        <f aca="false">-J114*Inputs!$B$58/12*1*(1+Inputs!$B$61)*(1+Inputs!$B$62)^(J$7-1)</f>
        <v>-1725</v>
      </c>
      <c r="K120" s="67" t="n">
        <f aca="false">-K114*Inputs!$B$58/12*1*(1+Inputs!$B$61)*(1+Inputs!$B$62)^(K$7-1)</f>
        <v>-1725</v>
      </c>
      <c r="L120" s="67" t="n">
        <f aca="false">-L114*Inputs!$B$58/12*1*(1+Inputs!$B$61)*(1+Inputs!$B$62)^(L$7-1)</f>
        <v>-1725</v>
      </c>
      <c r="M120" s="67" t="n">
        <f aca="false">-M114*Inputs!$B$58/12*1*(1+Inputs!$B$61)*(1+Inputs!$B$62)^(M$7-1)</f>
        <v>-1725</v>
      </c>
      <c r="N120" s="67" t="n">
        <f aca="false">-N114*Inputs!$B$58/12*1*(1+Inputs!$B$61)*(1+Inputs!$B$62)^(N$7-1)</f>
        <v>-1725</v>
      </c>
      <c r="O120" s="67" t="n">
        <f aca="false">-O114*Inputs!$B$58/12*1*(1+Inputs!$B$61)*(1+Inputs!$B$62)^(O$7-1)</f>
        <v>-1794</v>
      </c>
      <c r="P120" s="67" t="n">
        <f aca="false">-P114*Inputs!$B$58/12*1*(1+Inputs!$B$61)*(1+Inputs!$B$62)^(P$7-1)</f>
        <v>-1794</v>
      </c>
      <c r="Q120" s="67" t="n">
        <f aca="false">-Q114*Inputs!$B$58/12*1*(1+Inputs!$B$61)*(1+Inputs!$B$62)^(Q$7-1)</f>
        <v>-1794</v>
      </c>
      <c r="R120" s="67" t="n">
        <f aca="false">-R114*Inputs!$B$58/12*1*(1+Inputs!$B$61)*(1+Inputs!$B$62)^(R$7-1)</f>
        <v>-1794</v>
      </c>
      <c r="S120" s="67" t="n">
        <f aca="false">-S114*Inputs!$B$58/12*1*(1+Inputs!$B$61)*(1+Inputs!$B$62)^(S$7-1)</f>
        <v>-1794</v>
      </c>
      <c r="T120" s="67" t="n">
        <f aca="false">-T114*Inputs!$B$58/12*1*(1+Inputs!$B$61)*(1+Inputs!$B$62)^(T$7-1)</f>
        <v>-1794</v>
      </c>
      <c r="U120" s="67" t="n">
        <f aca="false">-U114*Inputs!$B$58/12*1*(1+Inputs!$B$61)*(1+Inputs!$B$62)^(U$7-1)</f>
        <v>-1794</v>
      </c>
      <c r="V120" s="67" t="n">
        <f aca="false">-V114*Inputs!$B$58/12*1*(1+Inputs!$B$61)*(1+Inputs!$B$62)^(V$7-1)</f>
        <v>-1794</v>
      </c>
      <c r="W120" s="67" t="n">
        <f aca="false">-W114*Inputs!$B$58/12*1*(1+Inputs!$B$61)*(1+Inputs!$B$62)^(W$7-1)</f>
        <v>-1794</v>
      </c>
      <c r="X120" s="67" t="n">
        <f aca="false">-X114*Inputs!$B$58/12*1*(1+Inputs!$B$61)*(1+Inputs!$B$62)^(X$7-1)</f>
        <v>-1794</v>
      </c>
      <c r="Y120" s="67" t="n">
        <f aca="false">-Y114*Inputs!$B$58/12*1*(1+Inputs!$B$61)*(1+Inputs!$B$62)^(Y$7-1)</f>
        <v>-1794</v>
      </c>
      <c r="Z120" s="67" t="n">
        <f aca="false">-Z114*Inputs!$B$58/12*1*(1+Inputs!$B$61)*(1+Inputs!$B$62)^(Z$7-1)</f>
        <v>-1794</v>
      </c>
      <c r="AA120" s="67" t="n">
        <f aca="false">-AA114*Inputs!$B$58/12*1*(1+Inputs!$B$61)*(1+Inputs!$B$62)^(AA$7-1)</f>
        <v>-1865.76</v>
      </c>
      <c r="AB120" s="67" t="n">
        <f aca="false">-AB114*Inputs!$B$58/12*1*(1+Inputs!$B$61)*(1+Inputs!$B$62)^(AB$7-1)</f>
        <v>-1865.76</v>
      </c>
      <c r="AC120" s="67" t="n">
        <f aca="false">-AC114*Inputs!$B$58/12*1*(1+Inputs!$B$61)*(1+Inputs!$B$62)^(AC$7-1)</f>
        <v>-1865.76</v>
      </c>
      <c r="AD120" s="67" t="n">
        <f aca="false">-AD114*Inputs!$B$58/12*1*(1+Inputs!$B$61)*(1+Inputs!$B$62)^(AD$7-1)</f>
        <v>-1865.76</v>
      </c>
      <c r="AE120" s="67" t="n">
        <f aca="false">-AE114*Inputs!$B$58/12*1*(1+Inputs!$B$61)*(1+Inputs!$B$62)^(AE$7-1)</f>
        <v>-1865.76</v>
      </c>
      <c r="AF120" s="67" t="n">
        <f aca="false">-AF114*Inputs!$B$58/12*1*(1+Inputs!$B$61)*(1+Inputs!$B$62)^(AF$7-1)</f>
        <v>-1865.76</v>
      </c>
      <c r="AG120" s="67" t="n">
        <f aca="false">-AG114*Inputs!$B$58/12*1*(1+Inputs!$B$61)*(1+Inputs!$B$62)^(AG$7-1)</f>
        <v>-1865.76</v>
      </c>
      <c r="AH120" s="67" t="n">
        <f aca="false">-AH114*Inputs!$B$58/12*1*(1+Inputs!$B$61)*(1+Inputs!$B$62)^(AH$7-1)</f>
        <v>-1865.76</v>
      </c>
      <c r="AI120" s="67" t="n">
        <f aca="false">-AI114*Inputs!$B$58/12*1*(1+Inputs!$B$61)*(1+Inputs!$B$62)^(AI$7-1)</f>
        <v>-1865.76</v>
      </c>
      <c r="AJ120" s="67" t="n">
        <f aca="false">-AJ114*Inputs!$B$58/12*1*(1+Inputs!$B$61)*(1+Inputs!$B$62)^(AJ$7-1)</f>
        <v>-1865.76</v>
      </c>
      <c r="AK120" s="67" t="n">
        <f aca="false">-AK114*Inputs!$B$58/12*1*(1+Inputs!$B$61)*(1+Inputs!$B$62)^(AK$7-1)</f>
        <v>-1865.76</v>
      </c>
      <c r="AL120" s="67" t="n">
        <f aca="false">-AL114*Inputs!$B$58/12*1*(1+Inputs!$B$61)*(1+Inputs!$B$62)^(AL$7-1)</f>
        <v>-1865.76</v>
      </c>
      <c r="AM120" s="67" t="n">
        <f aca="false">-AM114*Inputs!$B$58/12*1*(1+Inputs!$B$61)*(1+Inputs!$B$62)^(AM$7-1)</f>
        <v>-1940.3904</v>
      </c>
      <c r="AN120" s="67" t="n">
        <f aca="false">-AN114*Inputs!$B$58/12*1*(1+Inputs!$B$61)*(1+Inputs!$B$62)^(AN$7-1)</f>
        <v>-1940.3904</v>
      </c>
      <c r="AO120" s="67" t="n">
        <f aca="false">-AO114*Inputs!$B$58/12*1*(1+Inputs!$B$61)*(1+Inputs!$B$62)^(AO$7-1)</f>
        <v>-1940.3904</v>
      </c>
      <c r="AP120" s="67" t="n">
        <f aca="false">-AP114*Inputs!$B$58/12*1*(1+Inputs!$B$61)*(1+Inputs!$B$62)^(AP$7-1)</f>
        <v>-1940.3904</v>
      </c>
      <c r="AQ120" s="67" t="n">
        <f aca="false">-AQ114*Inputs!$B$58/12*1*(1+Inputs!$B$61)*(1+Inputs!$B$62)^(AQ$7-1)</f>
        <v>-1940.3904</v>
      </c>
      <c r="AR120" s="67" t="n">
        <f aca="false">-AR114*Inputs!$B$58/12*1*(1+Inputs!$B$61)*(1+Inputs!$B$62)^(AR$7-1)</f>
        <v>-1940.3904</v>
      </c>
      <c r="AS120" s="67" t="n">
        <f aca="false">-AS114*Inputs!$B$58/12*1*(1+Inputs!$B$61)*(1+Inputs!$B$62)^(AS$7-1)</f>
        <v>-1940.3904</v>
      </c>
      <c r="AT120" s="67" t="n">
        <f aca="false">-AT114*Inputs!$B$58/12*1*(1+Inputs!$B$61)*(1+Inputs!$B$62)^(AT$7-1)</f>
        <v>-1940.3904</v>
      </c>
      <c r="AU120" s="67" t="n">
        <f aca="false">-AU114*Inputs!$B$58/12*1*(1+Inputs!$B$61)*(1+Inputs!$B$62)^(AU$7-1)</f>
        <v>-1940.3904</v>
      </c>
      <c r="AV120" s="67" t="n">
        <f aca="false">-AV114*Inputs!$B$58/12*1*(1+Inputs!$B$61)*(1+Inputs!$B$62)^(AV$7-1)</f>
        <v>-1940.3904</v>
      </c>
      <c r="AW120" s="67" t="n">
        <f aca="false">-AW114*Inputs!$B$58/12*1*(1+Inputs!$B$61)*(1+Inputs!$B$62)^(AW$7-1)</f>
        <v>-1940.3904</v>
      </c>
      <c r="AX120" s="67" t="n">
        <f aca="false">-AX114*Inputs!$B$58/12*1*(1+Inputs!$B$61)*(1+Inputs!$B$62)^(AX$7-1)</f>
        <v>-1940.3904</v>
      </c>
      <c r="AY120" s="67" t="n">
        <f aca="false">-AY114*Inputs!$B$58/12*1*(1+Inputs!$B$61)*(1+Inputs!$B$62)^(AY$7-1)</f>
        <v>-2018.006016</v>
      </c>
      <c r="AZ120" s="67" t="n">
        <f aca="false">-AZ114*Inputs!$B$58/12*1*(1+Inputs!$B$61)*(1+Inputs!$B$62)^(AZ$7-1)</f>
        <v>-2018.006016</v>
      </c>
      <c r="BA120" s="67" t="n">
        <f aca="false">-BA114*Inputs!$B$58/12*1*(1+Inputs!$B$61)*(1+Inputs!$B$62)^(BA$7-1)</f>
        <v>-2018.006016</v>
      </c>
      <c r="BB120" s="67" t="n">
        <f aca="false">-BB114*Inputs!$B$58/12*1*(1+Inputs!$B$61)*(1+Inputs!$B$62)^(BB$7-1)</f>
        <v>-2018.006016</v>
      </c>
      <c r="BC120" s="67" t="n">
        <f aca="false">-BC114*Inputs!$B$58/12*1*(1+Inputs!$B$61)*(1+Inputs!$B$62)^(BC$7-1)</f>
        <v>-2018.006016</v>
      </c>
      <c r="BD120" s="67" t="n">
        <f aca="false">-BD114*Inputs!$B$58/12*1*(1+Inputs!$B$61)*(1+Inputs!$B$62)^(BD$7-1)</f>
        <v>-2018.006016</v>
      </c>
      <c r="BE120" s="67" t="n">
        <f aca="false">-BE114*Inputs!$B$58/12*1*(1+Inputs!$B$61)*(1+Inputs!$B$62)^(BE$7-1)</f>
        <v>-2018.006016</v>
      </c>
      <c r="BF120" s="67" t="n">
        <f aca="false">-BF114*Inputs!$B$58/12*1*(1+Inputs!$B$61)*(1+Inputs!$B$62)^(BF$7-1)</f>
        <v>-2018.006016</v>
      </c>
      <c r="BG120" s="67" t="n">
        <f aca="false">-BG114*Inputs!$B$58/12*1*(1+Inputs!$B$61)*(1+Inputs!$B$62)^(BG$7-1)</f>
        <v>-2018.006016</v>
      </c>
      <c r="BH120" s="67" t="n">
        <f aca="false">-BH114*Inputs!$B$58/12*1*(1+Inputs!$B$61)*(1+Inputs!$B$62)^(BH$7-1)</f>
        <v>-2018.006016</v>
      </c>
      <c r="BI120" s="67" t="n">
        <f aca="false">-BI114*Inputs!$B$58/12*1*(1+Inputs!$B$61)*(1+Inputs!$B$62)^(BI$7-1)</f>
        <v>-2018.006016</v>
      </c>
      <c r="BJ120" s="67" t="n">
        <f aca="false">-BJ114*Inputs!$B$58/12*1*(1+Inputs!$B$61)*(1+Inputs!$B$62)^(BJ$7-1)</f>
        <v>-2018.006016</v>
      </c>
    </row>
    <row r="121" customFormat="false" ht="15" hidden="false" customHeight="false" outlineLevel="0" collapsed="false">
      <c r="A121" s="111" t="s">
        <v>460</v>
      </c>
      <c r="C121" s="68" t="n">
        <f aca="false">C118+C119+C120</f>
        <v>-10158.3333333333</v>
      </c>
      <c r="D121" s="68" t="n">
        <f aca="false">D118+D119+D120</f>
        <v>-10158.3333333333</v>
      </c>
      <c r="E121" s="68" t="n">
        <f aca="false">E118+E119+E120</f>
        <v>-10158.3333333333</v>
      </c>
      <c r="F121" s="68" t="n">
        <f aca="false">F118+F119+F120</f>
        <v>-10158.3333333333</v>
      </c>
      <c r="G121" s="68" t="n">
        <f aca="false">G118+G119+G120</f>
        <v>-10158.3333333333</v>
      </c>
      <c r="H121" s="68" t="n">
        <f aca="false">H118+H119+H120</f>
        <v>-10158.3333333333</v>
      </c>
      <c r="I121" s="68" t="n">
        <f aca="false">I118+I119+I120</f>
        <v>-10158.3333333333</v>
      </c>
      <c r="J121" s="68" t="n">
        <f aca="false">J118+J119+J120</f>
        <v>-10158.3333333333</v>
      </c>
      <c r="K121" s="68" t="n">
        <f aca="false">K118+K119+K120</f>
        <v>-10158.3333333333</v>
      </c>
      <c r="L121" s="68" t="n">
        <f aca="false">L118+L119+L120</f>
        <v>-10158.3333333333</v>
      </c>
      <c r="M121" s="68" t="n">
        <f aca="false">M118+M119+M120</f>
        <v>-10158.3333333333</v>
      </c>
      <c r="N121" s="68" t="n">
        <f aca="false">N118+N119+N120</f>
        <v>-10158.3333333333</v>
      </c>
      <c r="O121" s="68" t="n">
        <f aca="false">O118+O119+O120</f>
        <v>-10564.6666666667</v>
      </c>
      <c r="P121" s="68" t="n">
        <f aca="false">P118+P119+P120</f>
        <v>-10564.6666666667</v>
      </c>
      <c r="Q121" s="68" t="n">
        <f aca="false">Q118+Q119+Q120</f>
        <v>-10564.6666666667</v>
      </c>
      <c r="R121" s="68" t="n">
        <f aca="false">R118+R119+R120</f>
        <v>-10564.6666666667</v>
      </c>
      <c r="S121" s="68" t="n">
        <f aca="false">S118+S119+S120</f>
        <v>-10564.6666666667</v>
      </c>
      <c r="T121" s="68" t="n">
        <f aca="false">T118+T119+T120</f>
        <v>-10564.6666666667</v>
      </c>
      <c r="U121" s="68" t="n">
        <f aca="false">U118+U119+U120</f>
        <v>-10564.6666666667</v>
      </c>
      <c r="V121" s="68" t="n">
        <f aca="false">V118+V119+V120</f>
        <v>-10564.6666666667</v>
      </c>
      <c r="W121" s="68" t="n">
        <f aca="false">W118+W119+W120</f>
        <v>-10564.6666666667</v>
      </c>
      <c r="X121" s="68" t="n">
        <f aca="false">X118+X119+X120</f>
        <v>-10564.6666666667</v>
      </c>
      <c r="Y121" s="68" t="n">
        <f aca="false">Y118+Y119+Y120</f>
        <v>-10564.6666666667</v>
      </c>
      <c r="Z121" s="68" t="n">
        <f aca="false">Z118+Z119+Z120</f>
        <v>-10564.6666666667</v>
      </c>
      <c r="AA121" s="68" t="n">
        <f aca="false">AA118+AA119+AA120</f>
        <v>-10987.2533333333</v>
      </c>
      <c r="AB121" s="68" t="n">
        <f aca="false">AB118+AB119+AB120</f>
        <v>-10987.2533333333</v>
      </c>
      <c r="AC121" s="68" t="n">
        <f aca="false">AC118+AC119+AC120</f>
        <v>-10987.2533333333</v>
      </c>
      <c r="AD121" s="68" t="n">
        <f aca="false">AD118+AD119+AD120</f>
        <v>-10987.2533333333</v>
      </c>
      <c r="AE121" s="68" t="n">
        <f aca="false">AE118+AE119+AE120</f>
        <v>-10987.2533333333</v>
      </c>
      <c r="AF121" s="68" t="n">
        <f aca="false">AF118+AF119+AF120</f>
        <v>-10987.2533333333</v>
      </c>
      <c r="AG121" s="68" t="n">
        <f aca="false">AG118+AG119+AG120</f>
        <v>-10987.2533333333</v>
      </c>
      <c r="AH121" s="68" t="n">
        <f aca="false">AH118+AH119+AH120</f>
        <v>-10987.2533333333</v>
      </c>
      <c r="AI121" s="68" t="n">
        <f aca="false">AI118+AI119+AI120</f>
        <v>-10987.2533333333</v>
      </c>
      <c r="AJ121" s="68" t="n">
        <f aca="false">AJ118+AJ119+AJ120</f>
        <v>-10987.2533333333</v>
      </c>
      <c r="AK121" s="68" t="n">
        <f aca="false">AK118+AK119+AK120</f>
        <v>-10987.2533333333</v>
      </c>
      <c r="AL121" s="68" t="n">
        <f aca="false">AL118+AL119+AL120</f>
        <v>-10987.2533333333</v>
      </c>
      <c r="AM121" s="68" t="n">
        <f aca="false">AM118+AM119+AM120</f>
        <v>-11426.7434666667</v>
      </c>
      <c r="AN121" s="68" t="n">
        <f aca="false">AN118+AN119+AN120</f>
        <v>-11426.7434666667</v>
      </c>
      <c r="AO121" s="68" t="n">
        <f aca="false">AO118+AO119+AO120</f>
        <v>-11426.7434666667</v>
      </c>
      <c r="AP121" s="68" t="n">
        <f aca="false">AP118+AP119+AP120</f>
        <v>-11426.7434666667</v>
      </c>
      <c r="AQ121" s="68" t="n">
        <f aca="false">AQ118+AQ119+AQ120</f>
        <v>-11426.7434666667</v>
      </c>
      <c r="AR121" s="68" t="n">
        <f aca="false">AR118+AR119+AR120</f>
        <v>-11426.7434666667</v>
      </c>
      <c r="AS121" s="68" t="n">
        <f aca="false">AS118+AS119+AS120</f>
        <v>-11426.7434666667</v>
      </c>
      <c r="AT121" s="68" t="n">
        <f aca="false">AT118+AT119+AT120</f>
        <v>-11426.7434666667</v>
      </c>
      <c r="AU121" s="68" t="n">
        <f aca="false">AU118+AU119+AU120</f>
        <v>-11426.7434666667</v>
      </c>
      <c r="AV121" s="68" t="n">
        <f aca="false">AV118+AV119+AV120</f>
        <v>-11426.7434666667</v>
      </c>
      <c r="AW121" s="68" t="n">
        <f aca="false">AW118+AW119+AW120</f>
        <v>-11426.7434666667</v>
      </c>
      <c r="AX121" s="68" t="n">
        <f aca="false">AX118+AX119+AX120</f>
        <v>-11426.7434666667</v>
      </c>
      <c r="AY121" s="68" t="n">
        <f aca="false">AY118+AY119+AY120</f>
        <v>-11883.8132053333</v>
      </c>
      <c r="AZ121" s="68" t="n">
        <f aca="false">AZ118+AZ119+AZ120</f>
        <v>-11883.8132053333</v>
      </c>
      <c r="BA121" s="68" t="n">
        <f aca="false">BA118+BA119+BA120</f>
        <v>-11883.8132053333</v>
      </c>
      <c r="BB121" s="68" t="n">
        <f aca="false">BB118+BB119+BB120</f>
        <v>-11883.8132053333</v>
      </c>
      <c r="BC121" s="68" t="n">
        <f aca="false">BC118+BC119+BC120</f>
        <v>-11883.8132053333</v>
      </c>
      <c r="BD121" s="68" t="n">
        <f aca="false">BD118+BD119+BD120</f>
        <v>-11883.8132053333</v>
      </c>
      <c r="BE121" s="68" t="n">
        <f aca="false">BE118+BE119+BE120</f>
        <v>-11883.8132053333</v>
      </c>
      <c r="BF121" s="68" t="n">
        <f aca="false">BF118+BF119+BF120</f>
        <v>-11883.8132053333</v>
      </c>
      <c r="BG121" s="68" t="n">
        <f aca="false">BG118+BG119+BG120</f>
        <v>-11883.8132053333</v>
      </c>
      <c r="BH121" s="68" t="n">
        <f aca="false">BH118+BH119+BH120</f>
        <v>-11883.8132053333</v>
      </c>
      <c r="BI121" s="68" t="n">
        <f aca="false">BI118+BI119+BI120</f>
        <v>-11883.8132053333</v>
      </c>
      <c r="BJ121" s="68" t="n">
        <f aca="false">BJ118+BJ119+BJ120</f>
        <v>-11883.8132053333</v>
      </c>
    </row>
    <row r="124" customFormat="false" ht="15.75" hidden="false" customHeight="true" outlineLevel="0" collapsed="false">
      <c r="A124" s="7" t="s">
        <v>464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customFormat="false" ht="15" hidden="false" customHeight="false" outlineLevel="0" collapsed="false">
      <c r="A125" s="33" t="s">
        <v>345</v>
      </c>
      <c r="C125" s="52" t="s">
        <v>346</v>
      </c>
      <c r="D125" s="52" t="s">
        <v>347</v>
      </c>
      <c r="E125" s="52" t="s">
        <v>348</v>
      </c>
      <c r="F125" s="52" t="s">
        <v>349</v>
      </c>
      <c r="G125" s="52" t="s">
        <v>350</v>
      </c>
      <c r="H125" s="52" t="s">
        <v>351</v>
      </c>
      <c r="I125" s="52" t="s">
        <v>352</v>
      </c>
      <c r="J125" s="52" t="s">
        <v>353</v>
      </c>
      <c r="K125" s="52" t="s">
        <v>354</v>
      </c>
      <c r="L125" s="52" t="s">
        <v>355</v>
      </c>
      <c r="M125" s="52" t="s">
        <v>356</v>
      </c>
      <c r="N125" s="52" t="s">
        <v>357</v>
      </c>
      <c r="O125" s="52" t="s">
        <v>358</v>
      </c>
      <c r="P125" s="52" t="s">
        <v>359</v>
      </c>
      <c r="Q125" s="52" t="s">
        <v>360</v>
      </c>
      <c r="R125" s="52" t="s">
        <v>361</v>
      </c>
      <c r="S125" s="52" t="s">
        <v>362</v>
      </c>
      <c r="T125" s="52" t="s">
        <v>363</v>
      </c>
      <c r="U125" s="52" t="s">
        <v>364</v>
      </c>
      <c r="V125" s="52" t="s">
        <v>365</v>
      </c>
      <c r="W125" s="52" t="s">
        <v>366</v>
      </c>
      <c r="X125" s="52" t="s">
        <v>367</v>
      </c>
      <c r="Y125" s="52" t="s">
        <v>368</v>
      </c>
      <c r="Z125" s="52" t="s">
        <v>369</v>
      </c>
      <c r="AA125" s="52" t="s">
        <v>370</v>
      </c>
      <c r="AB125" s="52" t="s">
        <v>371</v>
      </c>
      <c r="AC125" s="52" t="s">
        <v>372</v>
      </c>
      <c r="AD125" s="52" t="s">
        <v>373</v>
      </c>
      <c r="AE125" s="52" t="s">
        <v>374</v>
      </c>
      <c r="AF125" s="52" t="s">
        <v>375</v>
      </c>
      <c r="AG125" s="52" t="s">
        <v>376</v>
      </c>
      <c r="AH125" s="52" t="s">
        <v>377</v>
      </c>
      <c r="AI125" s="52" t="s">
        <v>378</v>
      </c>
      <c r="AJ125" s="52" t="s">
        <v>379</v>
      </c>
      <c r="AK125" s="52" t="s">
        <v>380</v>
      </c>
      <c r="AL125" s="52" t="s">
        <v>381</v>
      </c>
      <c r="AM125" s="52" t="s">
        <v>382</v>
      </c>
      <c r="AN125" s="52" t="s">
        <v>383</v>
      </c>
      <c r="AO125" s="52" t="s">
        <v>384</v>
      </c>
      <c r="AP125" s="52" t="s">
        <v>385</v>
      </c>
      <c r="AQ125" s="52" t="s">
        <v>386</v>
      </c>
      <c r="AR125" s="52" t="s">
        <v>387</v>
      </c>
      <c r="AS125" s="52" t="s">
        <v>388</v>
      </c>
      <c r="AT125" s="52" t="s">
        <v>389</v>
      </c>
      <c r="AU125" s="52" t="s">
        <v>390</v>
      </c>
      <c r="AV125" s="52" t="s">
        <v>391</v>
      </c>
      <c r="AW125" s="52" t="s">
        <v>392</v>
      </c>
      <c r="AX125" s="52" t="s">
        <v>393</v>
      </c>
      <c r="AY125" s="52" t="s">
        <v>394</v>
      </c>
      <c r="AZ125" s="52" t="s">
        <v>395</v>
      </c>
      <c r="BA125" s="52" t="s">
        <v>396</v>
      </c>
      <c r="BB125" s="52" t="s">
        <v>397</v>
      </c>
      <c r="BC125" s="52" t="s">
        <v>398</v>
      </c>
      <c r="BD125" s="52" t="s">
        <v>399</v>
      </c>
      <c r="BE125" s="52" t="s">
        <v>400</v>
      </c>
      <c r="BF125" s="52" t="s">
        <v>401</v>
      </c>
      <c r="BG125" s="52" t="s">
        <v>402</v>
      </c>
      <c r="BH125" s="52" t="s">
        <v>403</v>
      </c>
      <c r="BI125" s="52" t="s">
        <v>404</v>
      </c>
      <c r="BJ125" s="52" t="s">
        <v>405</v>
      </c>
    </row>
    <row r="126" customFormat="false" ht="15" hidden="false" customHeight="false" outlineLevel="0" collapsed="false">
      <c r="A126" s="72" t="s">
        <v>406</v>
      </c>
      <c r="C126" s="72" t="n">
        <v>1</v>
      </c>
      <c r="D126" s="72" t="n">
        <v>2</v>
      </c>
      <c r="E126" s="72" t="n">
        <v>3</v>
      </c>
      <c r="F126" s="72" t="n">
        <v>4</v>
      </c>
      <c r="G126" s="72" t="n">
        <v>5</v>
      </c>
      <c r="H126" s="72" t="n">
        <v>6</v>
      </c>
      <c r="I126" s="72" t="n">
        <v>7</v>
      </c>
      <c r="J126" s="72" t="n">
        <v>8</v>
      </c>
      <c r="K126" s="72" t="n">
        <v>9</v>
      </c>
      <c r="L126" s="72" t="n">
        <v>10</v>
      </c>
      <c r="M126" s="72" t="n">
        <v>11</v>
      </c>
      <c r="N126" s="72" t="n">
        <v>12</v>
      </c>
      <c r="O126" s="72" t="n">
        <v>13</v>
      </c>
      <c r="P126" s="72" t="n">
        <v>14</v>
      </c>
      <c r="Q126" s="72" t="n">
        <v>15</v>
      </c>
      <c r="R126" s="72" t="n">
        <v>16</v>
      </c>
      <c r="S126" s="72" t="n">
        <v>17</v>
      </c>
      <c r="T126" s="72" t="n">
        <v>18</v>
      </c>
      <c r="U126" s="72" t="n">
        <v>19</v>
      </c>
      <c r="V126" s="72" t="n">
        <v>20</v>
      </c>
      <c r="W126" s="72" t="n">
        <v>21</v>
      </c>
      <c r="X126" s="72" t="n">
        <v>22</v>
      </c>
      <c r="Y126" s="72" t="n">
        <v>23</v>
      </c>
      <c r="Z126" s="72" t="n">
        <v>24</v>
      </c>
      <c r="AA126" s="72" t="n">
        <v>25</v>
      </c>
      <c r="AB126" s="72" t="n">
        <v>26</v>
      </c>
      <c r="AC126" s="72" t="n">
        <v>27</v>
      </c>
      <c r="AD126" s="72" t="n">
        <v>28</v>
      </c>
      <c r="AE126" s="72" t="n">
        <v>29</v>
      </c>
      <c r="AF126" s="72" t="n">
        <v>30</v>
      </c>
      <c r="AG126" s="72" t="n">
        <v>31</v>
      </c>
      <c r="AH126" s="72" t="n">
        <v>32</v>
      </c>
      <c r="AI126" s="72" t="n">
        <v>33</v>
      </c>
      <c r="AJ126" s="72" t="n">
        <v>34</v>
      </c>
      <c r="AK126" s="72" t="n">
        <v>35</v>
      </c>
      <c r="AL126" s="72" t="n">
        <v>36</v>
      </c>
      <c r="AM126" s="72" t="n">
        <v>37</v>
      </c>
      <c r="AN126" s="72" t="n">
        <v>38</v>
      </c>
      <c r="AO126" s="72" t="n">
        <v>39</v>
      </c>
      <c r="AP126" s="72" t="n">
        <v>40</v>
      </c>
      <c r="AQ126" s="72" t="n">
        <v>41</v>
      </c>
      <c r="AR126" s="72" t="n">
        <v>42</v>
      </c>
      <c r="AS126" s="72" t="n">
        <v>43</v>
      </c>
      <c r="AT126" s="72" t="n">
        <v>44</v>
      </c>
      <c r="AU126" s="72" t="n">
        <v>45</v>
      </c>
      <c r="AV126" s="72" t="n">
        <v>46</v>
      </c>
      <c r="AW126" s="72" t="n">
        <v>47</v>
      </c>
      <c r="AX126" s="72" t="n">
        <v>48</v>
      </c>
      <c r="AY126" s="72" t="n">
        <v>49</v>
      </c>
      <c r="AZ126" s="72" t="n">
        <v>50</v>
      </c>
      <c r="BA126" s="72" t="n">
        <v>51</v>
      </c>
      <c r="BB126" s="72" t="n">
        <v>52</v>
      </c>
      <c r="BC126" s="72" t="n">
        <v>53</v>
      </c>
      <c r="BD126" s="72" t="n">
        <v>54</v>
      </c>
      <c r="BE126" s="72" t="n">
        <v>55</v>
      </c>
      <c r="BF126" s="72" t="n">
        <v>56</v>
      </c>
      <c r="BG126" s="72" t="n">
        <v>57</v>
      </c>
      <c r="BH126" s="72" t="n">
        <v>58</v>
      </c>
      <c r="BI126" s="72" t="n">
        <v>59</v>
      </c>
      <c r="BJ126" s="72" t="n">
        <v>60</v>
      </c>
    </row>
    <row r="127" customFormat="false" ht="15" hidden="false" customHeight="false" outlineLevel="0" collapsed="false">
      <c r="A127" s="72" t="s">
        <v>154</v>
      </c>
      <c r="C127" s="72" t="n">
        <f aca="false">ROUNDUP(C126*1/12,0)</f>
        <v>1</v>
      </c>
      <c r="D127" s="72" t="n">
        <f aca="false">ROUNDUP(D126*1/12,0)</f>
        <v>1</v>
      </c>
      <c r="E127" s="72" t="n">
        <f aca="false">ROUNDUP(E126*1/12,0)</f>
        <v>1</v>
      </c>
      <c r="F127" s="72" t="n">
        <f aca="false">ROUNDUP(F126*1/12,0)</f>
        <v>1</v>
      </c>
      <c r="G127" s="72" t="n">
        <f aca="false">ROUNDUP(G126*1/12,0)</f>
        <v>1</v>
      </c>
      <c r="H127" s="72" t="n">
        <f aca="false">ROUNDUP(H126*1/12,0)</f>
        <v>1</v>
      </c>
      <c r="I127" s="72" t="n">
        <f aca="false">ROUNDUP(I126*1/12,0)</f>
        <v>1</v>
      </c>
      <c r="J127" s="72" t="n">
        <f aca="false">ROUNDUP(J126*1/12,0)</f>
        <v>1</v>
      </c>
      <c r="K127" s="72" t="n">
        <f aca="false">ROUNDUP(K126*1/12,0)</f>
        <v>1</v>
      </c>
      <c r="L127" s="72" t="n">
        <f aca="false">ROUNDUP(L126*1/12,0)</f>
        <v>1</v>
      </c>
      <c r="M127" s="72" t="n">
        <f aca="false">ROUNDUP(M126*1/12,0)</f>
        <v>1</v>
      </c>
      <c r="N127" s="72" t="n">
        <f aca="false">ROUNDUP(N126*1/12,0)</f>
        <v>1</v>
      </c>
      <c r="O127" s="72" t="n">
        <f aca="false">ROUNDUP(O126*1/12,0)</f>
        <v>2</v>
      </c>
      <c r="P127" s="72" t="n">
        <f aca="false">ROUNDUP(P126*1/12,0)</f>
        <v>2</v>
      </c>
      <c r="Q127" s="72" t="n">
        <f aca="false">ROUNDUP(Q126*1/12,0)</f>
        <v>2</v>
      </c>
      <c r="R127" s="72" t="n">
        <f aca="false">ROUNDUP(R126*1/12,0)</f>
        <v>2</v>
      </c>
      <c r="S127" s="72" t="n">
        <f aca="false">ROUNDUP(S126*1/12,0)</f>
        <v>2</v>
      </c>
      <c r="T127" s="72" t="n">
        <f aca="false">ROUNDUP(T126*1/12,0)</f>
        <v>2</v>
      </c>
      <c r="U127" s="72" t="n">
        <f aca="false">ROUNDUP(U126*1/12,0)</f>
        <v>2</v>
      </c>
      <c r="V127" s="72" t="n">
        <f aca="false">ROUNDUP(V126*1/12,0)</f>
        <v>2</v>
      </c>
      <c r="W127" s="72" t="n">
        <f aca="false">ROUNDUP(W126*1/12,0)</f>
        <v>2</v>
      </c>
      <c r="X127" s="72" t="n">
        <f aca="false">ROUNDUP(X126*1/12,0)</f>
        <v>2</v>
      </c>
      <c r="Y127" s="72" t="n">
        <f aca="false">ROUNDUP(Y126*1/12,0)</f>
        <v>2</v>
      </c>
      <c r="Z127" s="72" t="n">
        <f aca="false">ROUNDUP(Z126*1/12,0)</f>
        <v>2</v>
      </c>
      <c r="AA127" s="72" t="n">
        <f aca="false">ROUNDUP(AA126*1/12,0)</f>
        <v>3</v>
      </c>
      <c r="AB127" s="72" t="n">
        <f aca="false">ROUNDUP(AB126*1/12,0)</f>
        <v>3</v>
      </c>
      <c r="AC127" s="72" t="n">
        <f aca="false">ROUNDUP(AC126*1/12,0)</f>
        <v>3</v>
      </c>
      <c r="AD127" s="72" t="n">
        <f aca="false">ROUNDUP(AD126*1/12,0)</f>
        <v>3</v>
      </c>
      <c r="AE127" s="72" t="n">
        <f aca="false">ROUNDUP(AE126*1/12,0)</f>
        <v>3</v>
      </c>
      <c r="AF127" s="72" t="n">
        <f aca="false">ROUNDUP(AF126*1/12,0)</f>
        <v>3</v>
      </c>
      <c r="AG127" s="72" t="n">
        <f aca="false">ROUNDUP(AG126*1/12,0)</f>
        <v>3</v>
      </c>
      <c r="AH127" s="72" t="n">
        <f aca="false">ROUNDUP(AH126*1/12,0)</f>
        <v>3</v>
      </c>
      <c r="AI127" s="72" t="n">
        <f aca="false">ROUNDUP(AI126*1/12,0)</f>
        <v>3</v>
      </c>
      <c r="AJ127" s="72" t="n">
        <f aca="false">ROUNDUP(AJ126*1/12,0)</f>
        <v>3</v>
      </c>
      <c r="AK127" s="72" t="n">
        <f aca="false">ROUNDUP(AK126*1/12,0)</f>
        <v>3</v>
      </c>
      <c r="AL127" s="72" t="n">
        <f aca="false">ROUNDUP(AL126*1/12,0)</f>
        <v>3</v>
      </c>
      <c r="AM127" s="72" t="n">
        <f aca="false">ROUNDUP(AM126*1/12,0)</f>
        <v>4</v>
      </c>
      <c r="AN127" s="72" t="n">
        <f aca="false">ROUNDUP(AN126*1/12,0)</f>
        <v>4</v>
      </c>
      <c r="AO127" s="72" t="n">
        <f aca="false">ROUNDUP(AO126*1/12,0)</f>
        <v>4</v>
      </c>
      <c r="AP127" s="72" t="n">
        <f aca="false">ROUNDUP(AP126*1/12,0)</f>
        <v>4</v>
      </c>
      <c r="AQ127" s="72" t="n">
        <f aca="false">ROUNDUP(AQ126*1/12,0)</f>
        <v>4</v>
      </c>
      <c r="AR127" s="72" t="n">
        <f aca="false">ROUNDUP(AR126*1/12,0)</f>
        <v>4</v>
      </c>
      <c r="AS127" s="72" t="n">
        <f aca="false">ROUNDUP(AS126*1/12,0)</f>
        <v>4</v>
      </c>
      <c r="AT127" s="72" t="n">
        <f aca="false">ROUNDUP(AT126*1/12,0)</f>
        <v>4</v>
      </c>
      <c r="AU127" s="72" t="n">
        <f aca="false">ROUNDUP(AU126*1/12,0)</f>
        <v>4</v>
      </c>
      <c r="AV127" s="72" t="n">
        <f aca="false">ROUNDUP(AV126*1/12,0)</f>
        <v>4</v>
      </c>
      <c r="AW127" s="72" t="n">
        <f aca="false">ROUNDUP(AW126*1/12,0)</f>
        <v>4</v>
      </c>
      <c r="AX127" s="72" t="n">
        <f aca="false">ROUNDUP(AX126*1/12,0)</f>
        <v>4</v>
      </c>
      <c r="AY127" s="72" t="n">
        <f aca="false">ROUNDUP(AY126*1/12,0)</f>
        <v>5</v>
      </c>
      <c r="AZ127" s="72" t="n">
        <f aca="false">ROUNDUP(AZ126*1/12,0)</f>
        <v>5</v>
      </c>
      <c r="BA127" s="72" t="n">
        <f aca="false">ROUNDUP(BA126*1/12,0)</f>
        <v>5</v>
      </c>
      <c r="BB127" s="72" t="n">
        <f aca="false">ROUNDUP(BB126*1/12,0)</f>
        <v>5</v>
      </c>
      <c r="BC127" s="72" t="n">
        <f aca="false">ROUNDUP(BC126*1/12,0)</f>
        <v>5</v>
      </c>
      <c r="BD127" s="72" t="n">
        <f aca="false">ROUNDUP(BD126*1/12,0)</f>
        <v>5</v>
      </c>
      <c r="BE127" s="72" t="n">
        <f aca="false">ROUNDUP(BE126*1/12,0)</f>
        <v>5</v>
      </c>
      <c r="BF127" s="72" t="n">
        <f aca="false">ROUNDUP(BF126*1/12,0)</f>
        <v>5</v>
      </c>
      <c r="BG127" s="72" t="n">
        <f aca="false">ROUNDUP(BG126*1/12,0)</f>
        <v>5</v>
      </c>
      <c r="BH127" s="72" t="n">
        <f aca="false">ROUNDUP(BH126*1/12,0)</f>
        <v>5</v>
      </c>
      <c r="BI127" s="72" t="n">
        <f aca="false">ROUNDUP(BI126*1/12,0)</f>
        <v>5</v>
      </c>
      <c r="BJ127" s="72" t="n">
        <f aca="false">ROUNDUP(BJ126*1/12,0)</f>
        <v>5</v>
      </c>
    </row>
    <row r="129" customFormat="false" ht="15.75" hidden="false" customHeight="true" outlineLevel="0" collapsed="false">
      <c r="A129" s="7" t="s">
        <v>246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customFormat="false" ht="15" hidden="false" customHeight="false" outlineLevel="0" collapsed="false">
      <c r="A130" s="114" t="s">
        <v>407</v>
      </c>
      <c r="C130" s="115" t="n">
        <f aca="false">MAX(0,MIN(1,Inputs!$C$10-(C$126-1)*1))</f>
        <v>1</v>
      </c>
      <c r="D130" s="115" t="n">
        <f aca="false">MAX(0,MIN(1,Inputs!$C$10-(D$126-1)*1))</f>
        <v>1</v>
      </c>
      <c r="E130" s="115" t="n">
        <f aca="false">MAX(0,MIN(1,Inputs!$C$10-(E$126-1)*1))</f>
        <v>1</v>
      </c>
      <c r="F130" s="115" t="n">
        <f aca="false">MAX(0,MIN(1,Inputs!$C$10-(F$126-1)*1))</f>
        <v>1</v>
      </c>
      <c r="G130" s="115" t="n">
        <f aca="false">MAX(0,MIN(1,Inputs!$C$10-(G$126-1)*1))</f>
        <v>1</v>
      </c>
      <c r="H130" s="115" t="n">
        <f aca="false">MAX(0,MIN(1,Inputs!$C$10-(H$126-1)*1))</f>
        <v>1</v>
      </c>
      <c r="I130" s="115" t="n">
        <f aca="false">MAX(0,MIN(1,Inputs!$C$10-(I$126-1)*1))</f>
        <v>1</v>
      </c>
      <c r="J130" s="115" t="n">
        <f aca="false">MAX(0,MIN(1,Inputs!$C$10-(J$126-1)*1))</f>
        <v>1</v>
      </c>
      <c r="K130" s="115" t="n">
        <f aca="false">MAX(0,MIN(1,Inputs!$C$10-(K$126-1)*1))</f>
        <v>1</v>
      </c>
      <c r="L130" s="115" t="n">
        <f aca="false">MAX(0,MIN(1,Inputs!$C$10-(L$126-1)*1))</f>
        <v>1</v>
      </c>
      <c r="M130" s="115" t="n">
        <f aca="false">MAX(0,MIN(1,Inputs!$C$10-(M$126-1)*1))</f>
        <v>0</v>
      </c>
      <c r="N130" s="115" t="n">
        <f aca="false">MAX(0,MIN(1,Inputs!$C$10-(N$126-1)*1))</f>
        <v>0</v>
      </c>
      <c r="O130" s="115" t="n">
        <f aca="false">MAX(0,MIN(1,Inputs!$C$10-(O$126-1)*1))</f>
        <v>0</v>
      </c>
      <c r="P130" s="115" t="n">
        <f aca="false">MAX(0,MIN(1,Inputs!$C$10-(P$126-1)*1))</f>
        <v>0</v>
      </c>
      <c r="Q130" s="115" t="n">
        <f aca="false">MAX(0,MIN(1,Inputs!$C$10-(Q$126-1)*1))</f>
        <v>0</v>
      </c>
      <c r="R130" s="115" t="n">
        <f aca="false">MAX(0,MIN(1,Inputs!$C$10-(R$126-1)*1))</f>
        <v>0</v>
      </c>
      <c r="S130" s="115" t="n">
        <f aca="false">MAX(0,MIN(1,Inputs!$C$10-(S$126-1)*1))</f>
        <v>0</v>
      </c>
      <c r="T130" s="115" t="n">
        <f aca="false">MAX(0,MIN(1,Inputs!$C$10-(T$126-1)*1))</f>
        <v>0</v>
      </c>
      <c r="U130" s="115" t="n">
        <f aca="false">MAX(0,MIN(1,Inputs!$C$10-(U$126-1)*1))</f>
        <v>0</v>
      </c>
      <c r="V130" s="115" t="n">
        <f aca="false">MAX(0,MIN(1,Inputs!$C$10-(V$126-1)*1))</f>
        <v>0</v>
      </c>
      <c r="W130" s="115" t="n">
        <f aca="false">MAX(0,MIN(1,Inputs!$C$10-(W$126-1)*1))</f>
        <v>0</v>
      </c>
      <c r="X130" s="115" t="n">
        <f aca="false">MAX(0,MIN(1,Inputs!$C$10-(X$126-1)*1))</f>
        <v>0</v>
      </c>
      <c r="Y130" s="115" t="n">
        <f aca="false">MAX(0,MIN(1,Inputs!$C$10-(Y$126-1)*1))</f>
        <v>0</v>
      </c>
      <c r="Z130" s="115" t="n">
        <f aca="false">MAX(0,MIN(1,Inputs!$C$10-(Z$126-1)*1))</f>
        <v>0</v>
      </c>
      <c r="AA130" s="115" t="n">
        <f aca="false">MAX(0,MIN(1,Inputs!$C$10-(AA$126-1)*1))</f>
        <v>0</v>
      </c>
      <c r="AB130" s="115" t="n">
        <f aca="false">MAX(0,MIN(1,Inputs!$C$10-(AB$126-1)*1))</f>
        <v>0</v>
      </c>
      <c r="AC130" s="115" t="n">
        <f aca="false">MAX(0,MIN(1,Inputs!$C$10-(AC$126-1)*1))</f>
        <v>0</v>
      </c>
      <c r="AD130" s="115" t="n">
        <f aca="false">MAX(0,MIN(1,Inputs!$C$10-(AD$126-1)*1))</f>
        <v>0</v>
      </c>
      <c r="AE130" s="115" t="n">
        <f aca="false">MAX(0,MIN(1,Inputs!$C$10-(AE$126-1)*1))</f>
        <v>0</v>
      </c>
      <c r="AF130" s="115" t="n">
        <f aca="false">MAX(0,MIN(1,Inputs!$C$10-(AF$126-1)*1))</f>
        <v>0</v>
      </c>
      <c r="AG130" s="115" t="n">
        <f aca="false">MAX(0,MIN(1,Inputs!$C$10-(AG$126-1)*1))</f>
        <v>0</v>
      </c>
      <c r="AH130" s="115" t="n">
        <f aca="false">MAX(0,MIN(1,Inputs!$C$10-(AH$126-1)*1))</f>
        <v>0</v>
      </c>
      <c r="AI130" s="115" t="n">
        <f aca="false">MAX(0,MIN(1,Inputs!$C$10-(AI$126-1)*1))</f>
        <v>0</v>
      </c>
      <c r="AJ130" s="115" t="n">
        <f aca="false">MAX(0,MIN(1,Inputs!$C$10-(AJ$126-1)*1))</f>
        <v>0</v>
      </c>
      <c r="AK130" s="115" t="n">
        <f aca="false">MAX(0,MIN(1,Inputs!$C$10-(AK$126-1)*1))</f>
        <v>0</v>
      </c>
      <c r="AL130" s="115" t="n">
        <f aca="false">MAX(0,MIN(1,Inputs!$C$10-(AL$126-1)*1))</f>
        <v>0</v>
      </c>
      <c r="AM130" s="115" t="n">
        <f aca="false">MAX(0,MIN(1,Inputs!$C$10-(AM$126-1)*1))</f>
        <v>0</v>
      </c>
      <c r="AN130" s="115" t="n">
        <f aca="false">MAX(0,MIN(1,Inputs!$C$10-(AN$126-1)*1))</f>
        <v>0</v>
      </c>
      <c r="AO130" s="115" t="n">
        <f aca="false">MAX(0,MIN(1,Inputs!$C$10-(AO$126-1)*1))</f>
        <v>0</v>
      </c>
      <c r="AP130" s="115" t="n">
        <f aca="false">MAX(0,MIN(1,Inputs!$C$10-(AP$126-1)*1))</f>
        <v>0</v>
      </c>
      <c r="AQ130" s="115" t="n">
        <f aca="false">MAX(0,MIN(1,Inputs!$C$10-(AQ$126-1)*1))</f>
        <v>0</v>
      </c>
      <c r="AR130" s="115" t="n">
        <f aca="false">MAX(0,MIN(1,Inputs!$C$10-(AR$126-1)*1))</f>
        <v>0</v>
      </c>
      <c r="AS130" s="115" t="n">
        <f aca="false">MAX(0,MIN(1,Inputs!$C$10-(AS$126-1)*1))</f>
        <v>0</v>
      </c>
      <c r="AT130" s="115" t="n">
        <f aca="false">MAX(0,MIN(1,Inputs!$C$10-(AT$126-1)*1))</f>
        <v>0</v>
      </c>
      <c r="AU130" s="115" t="n">
        <f aca="false">MAX(0,MIN(1,Inputs!$C$10-(AU$126-1)*1))</f>
        <v>0</v>
      </c>
      <c r="AV130" s="115" t="n">
        <f aca="false">MAX(0,MIN(1,Inputs!$C$10-(AV$126-1)*1))</f>
        <v>0</v>
      </c>
      <c r="AW130" s="115" t="n">
        <f aca="false">MAX(0,MIN(1,Inputs!$C$10-(AW$126-1)*1))</f>
        <v>0</v>
      </c>
      <c r="AX130" s="115" t="n">
        <f aca="false">MAX(0,MIN(1,Inputs!$C$10-(AX$126-1)*1))</f>
        <v>0</v>
      </c>
      <c r="AY130" s="115" t="n">
        <f aca="false">MAX(0,MIN(1,Inputs!$C$10-(AY$126-1)*1))</f>
        <v>0</v>
      </c>
      <c r="AZ130" s="115" t="n">
        <f aca="false">MAX(0,MIN(1,Inputs!$C$10-(AZ$126-1)*1))</f>
        <v>0</v>
      </c>
      <c r="BA130" s="115" t="n">
        <f aca="false">MAX(0,MIN(1,Inputs!$C$10-(BA$126-1)*1))</f>
        <v>0</v>
      </c>
      <c r="BB130" s="115" t="n">
        <f aca="false">MAX(0,MIN(1,Inputs!$C$10-(BB$126-1)*1))</f>
        <v>0</v>
      </c>
      <c r="BC130" s="115" t="n">
        <f aca="false">MAX(0,MIN(1,Inputs!$C$10-(BC$126-1)*1))</f>
        <v>0</v>
      </c>
      <c r="BD130" s="115" t="n">
        <f aca="false">MAX(0,MIN(1,Inputs!$C$10-(BD$126-1)*1))</f>
        <v>0</v>
      </c>
      <c r="BE130" s="115" t="n">
        <f aca="false">MAX(0,MIN(1,Inputs!$C$10-(BE$126-1)*1))</f>
        <v>0</v>
      </c>
      <c r="BF130" s="115" t="n">
        <f aca="false">MAX(0,MIN(1,Inputs!$C$10-(BF$126-1)*1))</f>
        <v>0</v>
      </c>
      <c r="BG130" s="115" t="n">
        <f aca="false">MAX(0,MIN(1,Inputs!$C$10-(BG$126-1)*1))</f>
        <v>0</v>
      </c>
      <c r="BH130" s="115" t="n">
        <f aca="false">MAX(0,MIN(1,Inputs!$C$10-(BH$126-1)*1))</f>
        <v>0</v>
      </c>
      <c r="BI130" s="115" t="n">
        <f aca="false">MAX(0,MIN(1,Inputs!$C$10-(BI$126-1)*1))</f>
        <v>0</v>
      </c>
      <c r="BJ130" s="115" t="n">
        <f aca="false">MAX(0,MIN(1,Inputs!$C$10-(BJ$126-1)*1))</f>
        <v>0</v>
      </c>
    </row>
    <row r="131" customFormat="false" ht="15" hidden="false" customHeight="false" outlineLevel="0" collapsed="false">
      <c r="A131" s="38" t="s">
        <v>408</v>
      </c>
      <c r="C131" s="74" t="n">
        <f aca="false">IF(Inputs!$C$10&lt;=0,1,(C130*Inputs!$C$11+(1-Inputs!$C$11)/MAX(1,Inputs!$C$10)*(C130*(C$126-1)*1+C130*(C130-1)/2)+1-C130)/1)</f>
        <v>0.4</v>
      </c>
      <c r="D131" s="74" t="n">
        <f aca="false">IF(Inputs!$C$10&lt;=0,1,(D130*Inputs!$C$11+(1-Inputs!$C$11)/MAX(1,Inputs!$C$10)*(D130*(D$126-1)*1+D130*(D130-1)/2)+1-D130)/1)</f>
        <v>0.46</v>
      </c>
      <c r="E131" s="74" t="n">
        <f aca="false">IF(Inputs!$C$10&lt;=0,1,(E130*Inputs!$C$11+(1-Inputs!$C$11)/MAX(1,Inputs!$C$10)*(E130*(E$126-1)*1+E130*(E130-1)/2)+1-E130)/1)</f>
        <v>0.52</v>
      </c>
      <c r="F131" s="74" t="n">
        <f aca="false">IF(Inputs!$C$10&lt;=0,1,(F130*Inputs!$C$11+(1-Inputs!$C$11)/MAX(1,Inputs!$C$10)*(F130*(F$126-1)*1+F130*(F130-1)/2)+1-F130)/1)</f>
        <v>0.58</v>
      </c>
      <c r="G131" s="74" t="n">
        <f aca="false">IF(Inputs!$C$10&lt;=0,1,(G130*Inputs!$C$11+(1-Inputs!$C$11)/MAX(1,Inputs!$C$10)*(G130*(G$126-1)*1+G130*(G130-1)/2)+1-G130)/1)</f>
        <v>0.64</v>
      </c>
      <c r="H131" s="74" t="n">
        <f aca="false">IF(Inputs!$C$10&lt;=0,1,(H130*Inputs!$C$11+(1-Inputs!$C$11)/MAX(1,Inputs!$C$10)*(H130*(H$126-1)*1+H130*(H130-1)/2)+1-H130)/1)</f>
        <v>0.7</v>
      </c>
      <c r="I131" s="74" t="n">
        <f aca="false">IF(Inputs!$C$10&lt;=0,1,(I130*Inputs!$C$11+(1-Inputs!$C$11)/MAX(1,Inputs!$C$10)*(I130*(I$126-1)*1+I130*(I130-1)/2)+1-I130)/1)</f>
        <v>0.76</v>
      </c>
      <c r="J131" s="74" t="n">
        <f aca="false">IF(Inputs!$C$10&lt;=0,1,(J130*Inputs!$C$11+(1-Inputs!$C$11)/MAX(1,Inputs!$C$10)*(J130*(J$126-1)*1+J130*(J130-1)/2)+1-J130)/1)</f>
        <v>0.82</v>
      </c>
      <c r="K131" s="74" t="n">
        <f aca="false">IF(Inputs!$C$10&lt;=0,1,(K130*Inputs!$C$11+(1-Inputs!$C$11)/MAX(1,Inputs!$C$10)*(K130*(K$126-1)*1+K130*(K130-1)/2)+1-K130)/1)</f>
        <v>0.88</v>
      </c>
      <c r="L131" s="74" t="n">
        <f aca="false">IF(Inputs!$C$10&lt;=0,1,(L130*Inputs!$C$11+(1-Inputs!$C$11)/MAX(1,Inputs!$C$10)*(L130*(L$126-1)*1+L130*(L130-1)/2)+1-L130)/1)</f>
        <v>0.94</v>
      </c>
      <c r="M131" s="74" t="n">
        <f aca="false">IF(Inputs!$C$10&lt;=0,1,(M130*Inputs!$C$11+(1-Inputs!$C$11)/MAX(1,Inputs!$C$10)*(M130*(M$126-1)*1+M130*(M130-1)/2)+1-M130)/1)</f>
        <v>1</v>
      </c>
      <c r="N131" s="74" t="n">
        <f aca="false">IF(Inputs!$C$10&lt;=0,1,(N130*Inputs!$C$11+(1-Inputs!$C$11)/MAX(1,Inputs!$C$10)*(N130*(N$126-1)*1+N130*(N130-1)/2)+1-N130)/1)</f>
        <v>1</v>
      </c>
      <c r="O131" s="74" t="n">
        <f aca="false">IF(Inputs!$C$10&lt;=0,1,(O130*Inputs!$C$11+(1-Inputs!$C$11)/MAX(1,Inputs!$C$10)*(O130*(O$126-1)*1+O130*(O130-1)/2)+1-O130)/1)</f>
        <v>1</v>
      </c>
      <c r="P131" s="74" t="n">
        <f aca="false">IF(Inputs!$C$10&lt;=0,1,(P130*Inputs!$C$11+(1-Inputs!$C$11)/MAX(1,Inputs!$C$10)*(P130*(P$126-1)*1+P130*(P130-1)/2)+1-P130)/1)</f>
        <v>1</v>
      </c>
      <c r="Q131" s="74" t="n">
        <f aca="false">IF(Inputs!$C$10&lt;=0,1,(Q130*Inputs!$C$11+(1-Inputs!$C$11)/MAX(1,Inputs!$C$10)*(Q130*(Q$126-1)*1+Q130*(Q130-1)/2)+1-Q130)/1)</f>
        <v>1</v>
      </c>
      <c r="R131" s="74" t="n">
        <f aca="false">IF(Inputs!$C$10&lt;=0,1,(R130*Inputs!$C$11+(1-Inputs!$C$11)/MAX(1,Inputs!$C$10)*(R130*(R$126-1)*1+R130*(R130-1)/2)+1-R130)/1)</f>
        <v>1</v>
      </c>
      <c r="S131" s="74" t="n">
        <f aca="false">IF(Inputs!$C$10&lt;=0,1,(S130*Inputs!$C$11+(1-Inputs!$C$11)/MAX(1,Inputs!$C$10)*(S130*(S$126-1)*1+S130*(S130-1)/2)+1-S130)/1)</f>
        <v>1</v>
      </c>
      <c r="T131" s="74" t="n">
        <f aca="false">IF(Inputs!$C$10&lt;=0,1,(T130*Inputs!$C$11+(1-Inputs!$C$11)/MAX(1,Inputs!$C$10)*(T130*(T$126-1)*1+T130*(T130-1)/2)+1-T130)/1)</f>
        <v>1</v>
      </c>
      <c r="U131" s="74" t="n">
        <f aca="false">IF(Inputs!$C$10&lt;=0,1,(U130*Inputs!$C$11+(1-Inputs!$C$11)/MAX(1,Inputs!$C$10)*(U130*(U$126-1)*1+U130*(U130-1)/2)+1-U130)/1)</f>
        <v>1</v>
      </c>
      <c r="V131" s="74" t="n">
        <f aca="false">IF(Inputs!$C$10&lt;=0,1,(V130*Inputs!$C$11+(1-Inputs!$C$11)/MAX(1,Inputs!$C$10)*(V130*(V$126-1)*1+V130*(V130-1)/2)+1-V130)/1)</f>
        <v>1</v>
      </c>
      <c r="W131" s="74" t="n">
        <f aca="false">IF(Inputs!$C$10&lt;=0,1,(W130*Inputs!$C$11+(1-Inputs!$C$11)/MAX(1,Inputs!$C$10)*(W130*(W$126-1)*1+W130*(W130-1)/2)+1-W130)/1)</f>
        <v>1</v>
      </c>
      <c r="X131" s="74" t="n">
        <f aca="false">IF(Inputs!$C$10&lt;=0,1,(X130*Inputs!$C$11+(1-Inputs!$C$11)/MAX(1,Inputs!$C$10)*(X130*(X$126-1)*1+X130*(X130-1)/2)+1-X130)/1)</f>
        <v>1</v>
      </c>
      <c r="Y131" s="74" t="n">
        <f aca="false">IF(Inputs!$C$10&lt;=0,1,(Y130*Inputs!$C$11+(1-Inputs!$C$11)/MAX(1,Inputs!$C$10)*(Y130*(Y$126-1)*1+Y130*(Y130-1)/2)+1-Y130)/1)</f>
        <v>1</v>
      </c>
      <c r="Z131" s="74" t="n">
        <f aca="false">IF(Inputs!$C$10&lt;=0,1,(Z130*Inputs!$C$11+(1-Inputs!$C$11)/MAX(1,Inputs!$C$10)*(Z130*(Z$126-1)*1+Z130*(Z130-1)/2)+1-Z130)/1)</f>
        <v>1</v>
      </c>
      <c r="AA131" s="74" t="n">
        <f aca="false">IF(Inputs!$C$10&lt;=0,1,(AA130*Inputs!$C$11+(1-Inputs!$C$11)/MAX(1,Inputs!$C$10)*(AA130*(AA$126-1)*1+AA130*(AA130-1)/2)+1-AA130)/1)</f>
        <v>1</v>
      </c>
      <c r="AB131" s="74" t="n">
        <f aca="false">IF(Inputs!$C$10&lt;=0,1,(AB130*Inputs!$C$11+(1-Inputs!$C$11)/MAX(1,Inputs!$C$10)*(AB130*(AB$126-1)*1+AB130*(AB130-1)/2)+1-AB130)/1)</f>
        <v>1</v>
      </c>
      <c r="AC131" s="74" t="n">
        <f aca="false">IF(Inputs!$C$10&lt;=0,1,(AC130*Inputs!$C$11+(1-Inputs!$C$11)/MAX(1,Inputs!$C$10)*(AC130*(AC$126-1)*1+AC130*(AC130-1)/2)+1-AC130)/1)</f>
        <v>1</v>
      </c>
      <c r="AD131" s="74" t="n">
        <f aca="false">IF(Inputs!$C$10&lt;=0,1,(AD130*Inputs!$C$11+(1-Inputs!$C$11)/MAX(1,Inputs!$C$10)*(AD130*(AD$126-1)*1+AD130*(AD130-1)/2)+1-AD130)/1)</f>
        <v>1</v>
      </c>
      <c r="AE131" s="74" t="n">
        <f aca="false">IF(Inputs!$C$10&lt;=0,1,(AE130*Inputs!$C$11+(1-Inputs!$C$11)/MAX(1,Inputs!$C$10)*(AE130*(AE$126-1)*1+AE130*(AE130-1)/2)+1-AE130)/1)</f>
        <v>1</v>
      </c>
      <c r="AF131" s="74" t="n">
        <f aca="false">IF(Inputs!$C$10&lt;=0,1,(AF130*Inputs!$C$11+(1-Inputs!$C$11)/MAX(1,Inputs!$C$10)*(AF130*(AF$126-1)*1+AF130*(AF130-1)/2)+1-AF130)/1)</f>
        <v>1</v>
      </c>
      <c r="AG131" s="74" t="n">
        <f aca="false">IF(Inputs!$C$10&lt;=0,1,(AG130*Inputs!$C$11+(1-Inputs!$C$11)/MAX(1,Inputs!$C$10)*(AG130*(AG$126-1)*1+AG130*(AG130-1)/2)+1-AG130)/1)</f>
        <v>1</v>
      </c>
      <c r="AH131" s="74" t="n">
        <f aca="false">IF(Inputs!$C$10&lt;=0,1,(AH130*Inputs!$C$11+(1-Inputs!$C$11)/MAX(1,Inputs!$C$10)*(AH130*(AH$126-1)*1+AH130*(AH130-1)/2)+1-AH130)/1)</f>
        <v>1</v>
      </c>
      <c r="AI131" s="74" t="n">
        <f aca="false">IF(Inputs!$C$10&lt;=0,1,(AI130*Inputs!$C$11+(1-Inputs!$C$11)/MAX(1,Inputs!$C$10)*(AI130*(AI$126-1)*1+AI130*(AI130-1)/2)+1-AI130)/1)</f>
        <v>1</v>
      </c>
      <c r="AJ131" s="74" t="n">
        <f aca="false">IF(Inputs!$C$10&lt;=0,1,(AJ130*Inputs!$C$11+(1-Inputs!$C$11)/MAX(1,Inputs!$C$10)*(AJ130*(AJ$126-1)*1+AJ130*(AJ130-1)/2)+1-AJ130)/1)</f>
        <v>1</v>
      </c>
      <c r="AK131" s="74" t="n">
        <f aca="false">IF(Inputs!$C$10&lt;=0,1,(AK130*Inputs!$C$11+(1-Inputs!$C$11)/MAX(1,Inputs!$C$10)*(AK130*(AK$126-1)*1+AK130*(AK130-1)/2)+1-AK130)/1)</f>
        <v>1</v>
      </c>
      <c r="AL131" s="74" t="n">
        <f aca="false">IF(Inputs!$C$10&lt;=0,1,(AL130*Inputs!$C$11+(1-Inputs!$C$11)/MAX(1,Inputs!$C$10)*(AL130*(AL$126-1)*1+AL130*(AL130-1)/2)+1-AL130)/1)</f>
        <v>1</v>
      </c>
      <c r="AM131" s="74" t="n">
        <f aca="false">IF(Inputs!$C$10&lt;=0,1,(AM130*Inputs!$C$11+(1-Inputs!$C$11)/MAX(1,Inputs!$C$10)*(AM130*(AM$126-1)*1+AM130*(AM130-1)/2)+1-AM130)/1)</f>
        <v>1</v>
      </c>
      <c r="AN131" s="74" t="n">
        <f aca="false">IF(Inputs!$C$10&lt;=0,1,(AN130*Inputs!$C$11+(1-Inputs!$C$11)/MAX(1,Inputs!$C$10)*(AN130*(AN$126-1)*1+AN130*(AN130-1)/2)+1-AN130)/1)</f>
        <v>1</v>
      </c>
      <c r="AO131" s="74" t="n">
        <f aca="false">IF(Inputs!$C$10&lt;=0,1,(AO130*Inputs!$C$11+(1-Inputs!$C$11)/MAX(1,Inputs!$C$10)*(AO130*(AO$126-1)*1+AO130*(AO130-1)/2)+1-AO130)/1)</f>
        <v>1</v>
      </c>
      <c r="AP131" s="74" t="n">
        <f aca="false">IF(Inputs!$C$10&lt;=0,1,(AP130*Inputs!$C$11+(1-Inputs!$C$11)/MAX(1,Inputs!$C$10)*(AP130*(AP$126-1)*1+AP130*(AP130-1)/2)+1-AP130)/1)</f>
        <v>1</v>
      </c>
      <c r="AQ131" s="74" t="n">
        <f aca="false">IF(Inputs!$C$10&lt;=0,1,(AQ130*Inputs!$C$11+(1-Inputs!$C$11)/MAX(1,Inputs!$C$10)*(AQ130*(AQ$126-1)*1+AQ130*(AQ130-1)/2)+1-AQ130)/1)</f>
        <v>1</v>
      </c>
      <c r="AR131" s="74" t="n">
        <f aca="false">IF(Inputs!$C$10&lt;=0,1,(AR130*Inputs!$C$11+(1-Inputs!$C$11)/MAX(1,Inputs!$C$10)*(AR130*(AR$126-1)*1+AR130*(AR130-1)/2)+1-AR130)/1)</f>
        <v>1</v>
      </c>
      <c r="AS131" s="74" t="n">
        <f aca="false">IF(Inputs!$C$10&lt;=0,1,(AS130*Inputs!$C$11+(1-Inputs!$C$11)/MAX(1,Inputs!$C$10)*(AS130*(AS$126-1)*1+AS130*(AS130-1)/2)+1-AS130)/1)</f>
        <v>1</v>
      </c>
      <c r="AT131" s="74" t="n">
        <f aca="false">IF(Inputs!$C$10&lt;=0,1,(AT130*Inputs!$C$11+(1-Inputs!$C$11)/MAX(1,Inputs!$C$10)*(AT130*(AT$126-1)*1+AT130*(AT130-1)/2)+1-AT130)/1)</f>
        <v>1</v>
      </c>
      <c r="AU131" s="74" t="n">
        <f aca="false">IF(Inputs!$C$10&lt;=0,1,(AU130*Inputs!$C$11+(1-Inputs!$C$11)/MAX(1,Inputs!$C$10)*(AU130*(AU$126-1)*1+AU130*(AU130-1)/2)+1-AU130)/1)</f>
        <v>1</v>
      </c>
      <c r="AV131" s="74" t="n">
        <f aca="false">IF(Inputs!$C$10&lt;=0,1,(AV130*Inputs!$C$11+(1-Inputs!$C$11)/MAX(1,Inputs!$C$10)*(AV130*(AV$126-1)*1+AV130*(AV130-1)/2)+1-AV130)/1)</f>
        <v>1</v>
      </c>
      <c r="AW131" s="74" t="n">
        <f aca="false">IF(Inputs!$C$10&lt;=0,1,(AW130*Inputs!$C$11+(1-Inputs!$C$11)/MAX(1,Inputs!$C$10)*(AW130*(AW$126-1)*1+AW130*(AW130-1)/2)+1-AW130)/1)</f>
        <v>1</v>
      </c>
      <c r="AX131" s="74" t="n">
        <f aca="false">IF(Inputs!$C$10&lt;=0,1,(AX130*Inputs!$C$11+(1-Inputs!$C$11)/MAX(1,Inputs!$C$10)*(AX130*(AX$126-1)*1+AX130*(AX130-1)/2)+1-AX130)/1)</f>
        <v>1</v>
      </c>
      <c r="AY131" s="74" t="n">
        <f aca="false">IF(Inputs!$C$10&lt;=0,1,(AY130*Inputs!$C$11+(1-Inputs!$C$11)/MAX(1,Inputs!$C$10)*(AY130*(AY$126-1)*1+AY130*(AY130-1)/2)+1-AY130)/1)</f>
        <v>1</v>
      </c>
      <c r="AZ131" s="74" t="n">
        <f aca="false">IF(Inputs!$C$10&lt;=0,1,(AZ130*Inputs!$C$11+(1-Inputs!$C$11)/MAX(1,Inputs!$C$10)*(AZ130*(AZ$126-1)*1+AZ130*(AZ130-1)/2)+1-AZ130)/1)</f>
        <v>1</v>
      </c>
      <c r="BA131" s="74" t="n">
        <f aca="false">IF(Inputs!$C$10&lt;=0,1,(BA130*Inputs!$C$11+(1-Inputs!$C$11)/MAX(1,Inputs!$C$10)*(BA130*(BA$126-1)*1+BA130*(BA130-1)/2)+1-BA130)/1)</f>
        <v>1</v>
      </c>
      <c r="BB131" s="74" t="n">
        <f aca="false">IF(Inputs!$C$10&lt;=0,1,(BB130*Inputs!$C$11+(1-Inputs!$C$11)/MAX(1,Inputs!$C$10)*(BB130*(BB$126-1)*1+BB130*(BB130-1)/2)+1-BB130)/1)</f>
        <v>1</v>
      </c>
      <c r="BC131" s="74" t="n">
        <f aca="false">IF(Inputs!$C$10&lt;=0,1,(BC130*Inputs!$C$11+(1-Inputs!$C$11)/MAX(1,Inputs!$C$10)*(BC130*(BC$126-1)*1+BC130*(BC130-1)/2)+1-BC130)/1)</f>
        <v>1</v>
      </c>
      <c r="BD131" s="74" t="n">
        <f aca="false">IF(Inputs!$C$10&lt;=0,1,(BD130*Inputs!$C$11+(1-Inputs!$C$11)/MAX(1,Inputs!$C$10)*(BD130*(BD$126-1)*1+BD130*(BD130-1)/2)+1-BD130)/1)</f>
        <v>1</v>
      </c>
      <c r="BE131" s="74" t="n">
        <f aca="false">IF(Inputs!$C$10&lt;=0,1,(BE130*Inputs!$C$11+(1-Inputs!$C$11)/MAX(1,Inputs!$C$10)*(BE130*(BE$126-1)*1+BE130*(BE130-1)/2)+1-BE130)/1)</f>
        <v>1</v>
      </c>
      <c r="BF131" s="74" t="n">
        <f aca="false">IF(Inputs!$C$10&lt;=0,1,(BF130*Inputs!$C$11+(1-Inputs!$C$11)/MAX(1,Inputs!$C$10)*(BF130*(BF$126-1)*1+BF130*(BF130-1)/2)+1-BF130)/1)</f>
        <v>1</v>
      </c>
      <c r="BG131" s="74" t="n">
        <f aca="false">IF(Inputs!$C$10&lt;=0,1,(BG130*Inputs!$C$11+(1-Inputs!$C$11)/MAX(1,Inputs!$C$10)*(BG130*(BG$126-1)*1+BG130*(BG130-1)/2)+1-BG130)/1)</f>
        <v>1</v>
      </c>
      <c r="BH131" s="74" t="n">
        <f aca="false">IF(Inputs!$C$10&lt;=0,1,(BH130*Inputs!$C$11+(1-Inputs!$C$11)/MAX(1,Inputs!$C$10)*(BH130*(BH$126-1)*1+BH130*(BH130-1)/2)+1-BH130)/1)</f>
        <v>1</v>
      </c>
      <c r="BI131" s="74" t="n">
        <f aca="false">IF(Inputs!$C$10&lt;=0,1,(BI130*Inputs!$C$11+(1-Inputs!$C$11)/MAX(1,Inputs!$C$10)*(BI130*(BI$126-1)*1+BI130*(BI130-1)/2)+1-BI130)/1)</f>
        <v>1</v>
      </c>
      <c r="BJ131" s="74" t="n">
        <f aca="false">IF(Inputs!$C$10&lt;=0,1,(BJ130*Inputs!$C$11+(1-Inputs!$C$11)/MAX(1,Inputs!$C$10)*(BJ130*(BJ$126-1)*1+BJ130*(BJ130-1)/2)+1-BJ130)/1)</f>
        <v>1</v>
      </c>
    </row>
    <row r="132" customFormat="false" ht="15" hidden="false" customHeight="false" outlineLevel="0" collapsed="false">
      <c r="A132" s="6" t="s">
        <v>409</v>
      </c>
      <c r="C132" s="77" t="n">
        <f aca="false">IF(AND(MOD(C$126-1,12)&gt;=5,MOD(C$126-1,12)&lt;=7),1+Inputs!$C$12,1-Inputs!$C$12/3)</f>
        <v>0.916666666666667</v>
      </c>
      <c r="D132" s="77" t="n">
        <f aca="false">IF(AND(MOD(D$126-1,12)&gt;=5,MOD(D$126-1,12)&lt;=7),1+Inputs!$C$12,1-Inputs!$C$12/3)</f>
        <v>0.916666666666667</v>
      </c>
      <c r="E132" s="77" t="n">
        <f aca="false">IF(AND(MOD(E$126-1,12)&gt;=5,MOD(E$126-1,12)&lt;=7),1+Inputs!$C$12,1-Inputs!$C$12/3)</f>
        <v>0.916666666666667</v>
      </c>
      <c r="F132" s="77" t="n">
        <f aca="false">IF(AND(MOD(F$126-1,12)&gt;=5,MOD(F$126-1,12)&lt;=7),1+Inputs!$C$12,1-Inputs!$C$12/3)</f>
        <v>0.916666666666667</v>
      </c>
      <c r="G132" s="77" t="n">
        <f aca="false">IF(AND(MOD(G$126-1,12)&gt;=5,MOD(G$126-1,12)&lt;=7),1+Inputs!$C$12,1-Inputs!$C$12/3)</f>
        <v>0.916666666666667</v>
      </c>
      <c r="H132" s="77" t="n">
        <f aca="false">IF(AND(MOD(H$126-1,12)&gt;=5,MOD(H$126-1,12)&lt;=7),1+Inputs!$C$12,1-Inputs!$C$12/3)</f>
        <v>1.25</v>
      </c>
      <c r="I132" s="77" t="n">
        <f aca="false">IF(AND(MOD(I$126-1,12)&gt;=5,MOD(I$126-1,12)&lt;=7),1+Inputs!$C$12,1-Inputs!$C$12/3)</f>
        <v>1.25</v>
      </c>
      <c r="J132" s="77" t="n">
        <f aca="false">IF(AND(MOD(J$126-1,12)&gt;=5,MOD(J$126-1,12)&lt;=7),1+Inputs!$C$12,1-Inputs!$C$12/3)</f>
        <v>1.25</v>
      </c>
      <c r="K132" s="77" t="n">
        <f aca="false">IF(AND(MOD(K$126-1,12)&gt;=5,MOD(K$126-1,12)&lt;=7),1+Inputs!$C$12,1-Inputs!$C$12/3)</f>
        <v>0.916666666666667</v>
      </c>
      <c r="L132" s="77" t="n">
        <f aca="false">IF(AND(MOD(L$126-1,12)&gt;=5,MOD(L$126-1,12)&lt;=7),1+Inputs!$C$12,1-Inputs!$C$12/3)</f>
        <v>0.916666666666667</v>
      </c>
      <c r="M132" s="77" t="n">
        <f aca="false">IF(AND(MOD(M$126-1,12)&gt;=5,MOD(M$126-1,12)&lt;=7),1+Inputs!$C$12,1-Inputs!$C$12/3)</f>
        <v>0.916666666666667</v>
      </c>
      <c r="N132" s="77" t="n">
        <f aca="false">IF(AND(MOD(N$126-1,12)&gt;=5,MOD(N$126-1,12)&lt;=7),1+Inputs!$C$12,1-Inputs!$C$12/3)</f>
        <v>0.916666666666667</v>
      </c>
      <c r="O132" s="77" t="n">
        <f aca="false">IF(AND(MOD(O$126-1,12)&gt;=5,MOD(O$126-1,12)&lt;=7),1+Inputs!$C$12,1-Inputs!$C$12/3)</f>
        <v>0.916666666666667</v>
      </c>
      <c r="P132" s="77" t="n">
        <f aca="false">IF(AND(MOD(P$126-1,12)&gt;=5,MOD(P$126-1,12)&lt;=7),1+Inputs!$C$12,1-Inputs!$C$12/3)</f>
        <v>0.916666666666667</v>
      </c>
      <c r="Q132" s="77" t="n">
        <f aca="false">IF(AND(MOD(Q$126-1,12)&gt;=5,MOD(Q$126-1,12)&lt;=7),1+Inputs!$C$12,1-Inputs!$C$12/3)</f>
        <v>0.916666666666667</v>
      </c>
      <c r="R132" s="77" t="n">
        <f aca="false">IF(AND(MOD(R$126-1,12)&gt;=5,MOD(R$126-1,12)&lt;=7),1+Inputs!$C$12,1-Inputs!$C$12/3)</f>
        <v>0.916666666666667</v>
      </c>
      <c r="S132" s="77" t="n">
        <f aca="false">IF(AND(MOD(S$126-1,12)&gt;=5,MOD(S$126-1,12)&lt;=7),1+Inputs!$C$12,1-Inputs!$C$12/3)</f>
        <v>0.916666666666667</v>
      </c>
      <c r="T132" s="77" t="n">
        <f aca="false">IF(AND(MOD(T$126-1,12)&gt;=5,MOD(T$126-1,12)&lt;=7),1+Inputs!$C$12,1-Inputs!$C$12/3)</f>
        <v>1.25</v>
      </c>
      <c r="U132" s="77" t="n">
        <f aca="false">IF(AND(MOD(U$126-1,12)&gt;=5,MOD(U$126-1,12)&lt;=7),1+Inputs!$C$12,1-Inputs!$C$12/3)</f>
        <v>1.25</v>
      </c>
      <c r="V132" s="77" t="n">
        <f aca="false">IF(AND(MOD(V$126-1,12)&gt;=5,MOD(V$126-1,12)&lt;=7),1+Inputs!$C$12,1-Inputs!$C$12/3)</f>
        <v>1.25</v>
      </c>
      <c r="W132" s="77" t="n">
        <f aca="false">IF(AND(MOD(W$126-1,12)&gt;=5,MOD(W$126-1,12)&lt;=7),1+Inputs!$C$12,1-Inputs!$C$12/3)</f>
        <v>0.916666666666667</v>
      </c>
      <c r="X132" s="77" t="n">
        <f aca="false">IF(AND(MOD(X$126-1,12)&gt;=5,MOD(X$126-1,12)&lt;=7),1+Inputs!$C$12,1-Inputs!$C$12/3)</f>
        <v>0.916666666666667</v>
      </c>
      <c r="Y132" s="77" t="n">
        <f aca="false">IF(AND(MOD(Y$126-1,12)&gt;=5,MOD(Y$126-1,12)&lt;=7),1+Inputs!$C$12,1-Inputs!$C$12/3)</f>
        <v>0.916666666666667</v>
      </c>
      <c r="Z132" s="77" t="n">
        <f aca="false">IF(AND(MOD(Z$126-1,12)&gt;=5,MOD(Z$126-1,12)&lt;=7),1+Inputs!$C$12,1-Inputs!$C$12/3)</f>
        <v>0.916666666666667</v>
      </c>
      <c r="AA132" s="77" t="n">
        <f aca="false">IF(AND(MOD(AA$126-1,12)&gt;=5,MOD(AA$126-1,12)&lt;=7),1+Inputs!$C$12,1-Inputs!$C$12/3)</f>
        <v>0.916666666666667</v>
      </c>
      <c r="AB132" s="77" t="n">
        <f aca="false">IF(AND(MOD(AB$126-1,12)&gt;=5,MOD(AB$126-1,12)&lt;=7),1+Inputs!$C$12,1-Inputs!$C$12/3)</f>
        <v>0.916666666666667</v>
      </c>
      <c r="AC132" s="77" t="n">
        <f aca="false">IF(AND(MOD(AC$126-1,12)&gt;=5,MOD(AC$126-1,12)&lt;=7),1+Inputs!$C$12,1-Inputs!$C$12/3)</f>
        <v>0.916666666666667</v>
      </c>
      <c r="AD132" s="77" t="n">
        <f aca="false">IF(AND(MOD(AD$126-1,12)&gt;=5,MOD(AD$126-1,12)&lt;=7),1+Inputs!$C$12,1-Inputs!$C$12/3)</f>
        <v>0.916666666666667</v>
      </c>
      <c r="AE132" s="77" t="n">
        <f aca="false">IF(AND(MOD(AE$126-1,12)&gt;=5,MOD(AE$126-1,12)&lt;=7),1+Inputs!$C$12,1-Inputs!$C$12/3)</f>
        <v>0.916666666666667</v>
      </c>
      <c r="AF132" s="77" t="n">
        <f aca="false">IF(AND(MOD(AF$126-1,12)&gt;=5,MOD(AF$126-1,12)&lt;=7),1+Inputs!$C$12,1-Inputs!$C$12/3)</f>
        <v>1.25</v>
      </c>
      <c r="AG132" s="77" t="n">
        <f aca="false">IF(AND(MOD(AG$126-1,12)&gt;=5,MOD(AG$126-1,12)&lt;=7),1+Inputs!$C$12,1-Inputs!$C$12/3)</f>
        <v>1.25</v>
      </c>
      <c r="AH132" s="77" t="n">
        <f aca="false">IF(AND(MOD(AH$126-1,12)&gt;=5,MOD(AH$126-1,12)&lt;=7),1+Inputs!$C$12,1-Inputs!$C$12/3)</f>
        <v>1.25</v>
      </c>
      <c r="AI132" s="77" t="n">
        <f aca="false">IF(AND(MOD(AI$126-1,12)&gt;=5,MOD(AI$126-1,12)&lt;=7),1+Inputs!$C$12,1-Inputs!$C$12/3)</f>
        <v>0.916666666666667</v>
      </c>
      <c r="AJ132" s="77" t="n">
        <f aca="false">IF(AND(MOD(AJ$126-1,12)&gt;=5,MOD(AJ$126-1,12)&lt;=7),1+Inputs!$C$12,1-Inputs!$C$12/3)</f>
        <v>0.916666666666667</v>
      </c>
      <c r="AK132" s="77" t="n">
        <f aca="false">IF(AND(MOD(AK$126-1,12)&gt;=5,MOD(AK$126-1,12)&lt;=7),1+Inputs!$C$12,1-Inputs!$C$12/3)</f>
        <v>0.916666666666667</v>
      </c>
      <c r="AL132" s="77" t="n">
        <f aca="false">IF(AND(MOD(AL$126-1,12)&gt;=5,MOD(AL$126-1,12)&lt;=7),1+Inputs!$C$12,1-Inputs!$C$12/3)</f>
        <v>0.916666666666667</v>
      </c>
      <c r="AM132" s="77" t="n">
        <f aca="false">IF(AND(MOD(AM$126-1,12)&gt;=5,MOD(AM$126-1,12)&lt;=7),1+Inputs!$C$12,1-Inputs!$C$12/3)</f>
        <v>0.916666666666667</v>
      </c>
      <c r="AN132" s="77" t="n">
        <f aca="false">IF(AND(MOD(AN$126-1,12)&gt;=5,MOD(AN$126-1,12)&lt;=7),1+Inputs!$C$12,1-Inputs!$C$12/3)</f>
        <v>0.916666666666667</v>
      </c>
      <c r="AO132" s="77" t="n">
        <f aca="false">IF(AND(MOD(AO$126-1,12)&gt;=5,MOD(AO$126-1,12)&lt;=7),1+Inputs!$C$12,1-Inputs!$C$12/3)</f>
        <v>0.916666666666667</v>
      </c>
      <c r="AP132" s="77" t="n">
        <f aca="false">IF(AND(MOD(AP$126-1,12)&gt;=5,MOD(AP$126-1,12)&lt;=7),1+Inputs!$C$12,1-Inputs!$C$12/3)</f>
        <v>0.916666666666667</v>
      </c>
      <c r="AQ132" s="77" t="n">
        <f aca="false">IF(AND(MOD(AQ$126-1,12)&gt;=5,MOD(AQ$126-1,12)&lt;=7),1+Inputs!$C$12,1-Inputs!$C$12/3)</f>
        <v>0.916666666666667</v>
      </c>
      <c r="AR132" s="77" t="n">
        <f aca="false">IF(AND(MOD(AR$126-1,12)&gt;=5,MOD(AR$126-1,12)&lt;=7),1+Inputs!$C$12,1-Inputs!$C$12/3)</f>
        <v>1.25</v>
      </c>
      <c r="AS132" s="77" t="n">
        <f aca="false">IF(AND(MOD(AS$126-1,12)&gt;=5,MOD(AS$126-1,12)&lt;=7),1+Inputs!$C$12,1-Inputs!$C$12/3)</f>
        <v>1.25</v>
      </c>
      <c r="AT132" s="77" t="n">
        <f aca="false">IF(AND(MOD(AT$126-1,12)&gt;=5,MOD(AT$126-1,12)&lt;=7),1+Inputs!$C$12,1-Inputs!$C$12/3)</f>
        <v>1.25</v>
      </c>
      <c r="AU132" s="77" t="n">
        <f aca="false">IF(AND(MOD(AU$126-1,12)&gt;=5,MOD(AU$126-1,12)&lt;=7),1+Inputs!$C$12,1-Inputs!$C$12/3)</f>
        <v>0.916666666666667</v>
      </c>
      <c r="AV132" s="77" t="n">
        <f aca="false">IF(AND(MOD(AV$126-1,12)&gt;=5,MOD(AV$126-1,12)&lt;=7),1+Inputs!$C$12,1-Inputs!$C$12/3)</f>
        <v>0.916666666666667</v>
      </c>
      <c r="AW132" s="77" t="n">
        <f aca="false">IF(AND(MOD(AW$126-1,12)&gt;=5,MOD(AW$126-1,12)&lt;=7),1+Inputs!$C$12,1-Inputs!$C$12/3)</f>
        <v>0.916666666666667</v>
      </c>
      <c r="AX132" s="77" t="n">
        <f aca="false">IF(AND(MOD(AX$126-1,12)&gt;=5,MOD(AX$126-1,12)&lt;=7),1+Inputs!$C$12,1-Inputs!$C$12/3)</f>
        <v>0.916666666666667</v>
      </c>
      <c r="AY132" s="77" t="n">
        <f aca="false">IF(AND(MOD(AY$126-1,12)&gt;=5,MOD(AY$126-1,12)&lt;=7),1+Inputs!$C$12,1-Inputs!$C$12/3)</f>
        <v>0.916666666666667</v>
      </c>
      <c r="AZ132" s="77" t="n">
        <f aca="false">IF(AND(MOD(AZ$126-1,12)&gt;=5,MOD(AZ$126-1,12)&lt;=7),1+Inputs!$C$12,1-Inputs!$C$12/3)</f>
        <v>0.916666666666667</v>
      </c>
      <c r="BA132" s="77" t="n">
        <f aca="false">IF(AND(MOD(BA$126-1,12)&gt;=5,MOD(BA$126-1,12)&lt;=7),1+Inputs!$C$12,1-Inputs!$C$12/3)</f>
        <v>0.916666666666667</v>
      </c>
      <c r="BB132" s="77" t="n">
        <f aca="false">IF(AND(MOD(BB$126-1,12)&gt;=5,MOD(BB$126-1,12)&lt;=7),1+Inputs!$C$12,1-Inputs!$C$12/3)</f>
        <v>0.916666666666667</v>
      </c>
      <c r="BC132" s="77" t="n">
        <f aca="false">IF(AND(MOD(BC$126-1,12)&gt;=5,MOD(BC$126-1,12)&lt;=7),1+Inputs!$C$12,1-Inputs!$C$12/3)</f>
        <v>0.916666666666667</v>
      </c>
      <c r="BD132" s="77" t="n">
        <f aca="false">IF(AND(MOD(BD$126-1,12)&gt;=5,MOD(BD$126-1,12)&lt;=7),1+Inputs!$C$12,1-Inputs!$C$12/3)</f>
        <v>1.25</v>
      </c>
      <c r="BE132" s="77" t="n">
        <f aca="false">IF(AND(MOD(BE$126-1,12)&gt;=5,MOD(BE$126-1,12)&lt;=7),1+Inputs!$C$12,1-Inputs!$C$12/3)</f>
        <v>1.25</v>
      </c>
      <c r="BF132" s="77" t="n">
        <f aca="false">IF(AND(MOD(BF$126-1,12)&gt;=5,MOD(BF$126-1,12)&lt;=7),1+Inputs!$C$12,1-Inputs!$C$12/3)</f>
        <v>1.25</v>
      </c>
      <c r="BG132" s="77" t="n">
        <f aca="false">IF(AND(MOD(BG$126-1,12)&gt;=5,MOD(BG$126-1,12)&lt;=7),1+Inputs!$C$12,1-Inputs!$C$12/3)</f>
        <v>0.916666666666667</v>
      </c>
      <c r="BH132" s="77" t="n">
        <f aca="false">IF(AND(MOD(BH$126-1,12)&gt;=5,MOD(BH$126-1,12)&lt;=7),1+Inputs!$C$12,1-Inputs!$C$12/3)</f>
        <v>0.916666666666667</v>
      </c>
      <c r="BI132" s="77" t="n">
        <f aca="false">IF(AND(MOD(BI$126-1,12)&gt;=5,MOD(BI$126-1,12)&lt;=7),1+Inputs!$C$12,1-Inputs!$C$12/3)</f>
        <v>0.916666666666667</v>
      </c>
      <c r="BJ132" s="77" t="n">
        <f aca="false">IF(AND(MOD(BJ$126-1,12)&gt;=5,MOD(BJ$126-1,12)&lt;=7),1+Inputs!$C$12,1-Inputs!$C$12/3)</f>
        <v>0.916666666666667</v>
      </c>
    </row>
    <row r="133" customFormat="false" ht="15" hidden="false" customHeight="false" outlineLevel="0" collapsed="false">
      <c r="A133" s="6" t="s">
        <v>410</v>
      </c>
      <c r="C133" s="116" t="n">
        <f aca="false">Inputs!$C$7*Inputs!$C$13*1</f>
        <v>304</v>
      </c>
      <c r="D133" s="116" t="n">
        <f aca="false">Inputs!$C$7*Inputs!$C$13*1</f>
        <v>304</v>
      </c>
      <c r="E133" s="116" t="n">
        <f aca="false">Inputs!$C$7*Inputs!$C$13*1</f>
        <v>304</v>
      </c>
      <c r="F133" s="116" t="n">
        <f aca="false">Inputs!$C$7*Inputs!$C$13*1</f>
        <v>304</v>
      </c>
      <c r="G133" s="116" t="n">
        <f aca="false">Inputs!$C$7*Inputs!$C$13*1</f>
        <v>304</v>
      </c>
      <c r="H133" s="116" t="n">
        <f aca="false">Inputs!$C$7*Inputs!$C$13*1</f>
        <v>304</v>
      </c>
      <c r="I133" s="116" t="n">
        <f aca="false">Inputs!$C$7*Inputs!$C$13*1</f>
        <v>304</v>
      </c>
      <c r="J133" s="116" t="n">
        <f aca="false">Inputs!$C$7*Inputs!$C$13*1</f>
        <v>304</v>
      </c>
      <c r="K133" s="116" t="n">
        <f aca="false">Inputs!$C$7*Inputs!$C$13*1</f>
        <v>304</v>
      </c>
      <c r="L133" s="116" t="n">
        <f aca="false">Inputs!$C$7*Inputs!$C$13*1</f>
        <v>304</v>
      </c>
      <c r="M133" s="116" t="n">
        <f aca="false">Inputs!$C$7*Inputs!$C$13*1</f>
        <v>304</v>
      </c>
      <c r="N133" s="116" t="n">
        <f aca="false">Inputs!$C$7*Inputs!$C$13*1</f>
        <v>304</v>
      </c>
      <c r="O133" s="116" t="n">
        <f aca="false">Inputs!$C$7*Inputs!$C$13*1</f>
        <v>304</v>
      </c>
      <c r="P133" s="116" t="n">
        <f aca="false">Inputs!$C$7*Inputs!$C$13*1</f>
        <v>304</v>
      </c>
      <c r="Q133" s="116" t="n">
        <f aca="false">Inputs!$C$7*Inputs!$C$13*1</f>
        <v>304</v>
      </c>
      <c r="R133" s="116" t="n">
        <f aca="false">Inputs!$C$7*Inputs!$C$13*1</f>
        <v>304</v>
      </c>
      <c r="S133" s="116" t="n">
        <f aca="false">Inputs!$C$7*Inputs!$C$13*1</f>
        <v>304</v>
      </c>
      <c r="T133" s="116" t="n">
        <f aca="false">Inputs!$C$7*Inputs!$C$13*1</f>
        <v>304</v>
      </c>
      <c r="U133" s="116" t="n">
        <f aca="false">Inputs!$C$7*Inputs!$C$13*1</f>
        <v>304</v>
      </c>
      <c r="V133" s="116" t="n">
        <f aca="false">Inputs!$C$7*Inputs!$C$13*1</f>
        <v>304</v>
      </c>
      <c r="W133" s="116" t="n">
        <f aca="false">Inputs!$C$7*Inputs!$C$13*1</f>
        <v>304</v>
      </c>
      <c r="X133" s="116" t="n">
        <f aca="false">Inputs!$C$7*Inputs!$C$13*1</f>
        <v>304</v>
      </c>
      <c r="Y133" s="116" t="n">
        <f aca="false">Inputs!$C$7*Inputs!$C$13*1</f>
        <v>304</v>
      </c>
      <c r="Z133" s="116" t="n">
        <f aca="false">Inputs!$C$7*Inputs!$C$13*1</f>
        <v>304</v>
      </c>
      <c r="AA133" s="116" t="n">
        <f aca="false">Inputs!$C$7*Inputs!$C$13*1</f>
        <v>304</v>
      </c>
      <c r="AB133" s="116" t="n">
        <f aca="false">Inputs!$C$7*Inputs!$C$13*1</f>
        <v>304</v>
      </c>
      <c r="AC133" s="116" t="n">
        <f aca="false">Inputs!$C$7*Inputs!$C$13*1</f>
        <v>304</v>
      </c>
      <c r="AD133" s="116" t="n">
        <f aca="false">Inputs!$C$7*Inputs!$C$13*1</f>
        <v>304</v>
      </c>
      <c r="AE133" s="116" t="n">
        <f aca="false">Inputs!$C$7*Inputs!$C$13*1</f>
        <v>304</v>
      </c>
      <c r="AF133" s="116" t="n">
        <f aca="false">Inputs!$C$7*Inputs!$C$13*1</f>
        <v>304</v>
      </c>
      <c r="AG133" s="116" t="n">
        <f aca="false">Inputs!$C$7*Inputs!$C$13*1</f>
        <v>304</v>
      </c>
      <c r="AH133" s="116" t="n">
        <f aca="false">Inputs!$C$7*Inputs!$C$13*1</f>
        <v>304</v>
      </c>
      <c r="AI133" s="116" t="n">
        <f aca="false">Inputs!$C$7*Inputs!$C$13*1</f>
        <v>304</v>
      </c>
      <c r="AJ133" s="116" t="n">
        <f aca="false">Inputs!$C$7*Inputs!$C$13*1</f>
        <v>304</v>
      </c>
      <c r="AK133" s="116" t="n">
        <f aca="false">Inputs!$C$7*Inputs!$C$13*1</f>
        <v>304</v>
      </c>
      <c r="AL133" s="116" t="n">
        <f aca="false">Inputs!$C$7*Inputs!$C$13*1</f>
        <v>304</v>
      </c>
      <c r="AM133" s="116" t="n">
        <f aca="false">Inputs!$C$7*Inputs!$C$13*1</f>
        <v>304</v>
      </c>
      <c r="AN133" s="116" t="n">
        <f aca="false">Inputs!$C$7*Inputs!$C$13*1</f>
        <v>304</v>
      </c>
      <c r="AO133" s="116" t="n">
        <f aca="false">Inputs!$C$7*Inputs!$C$13*1</f>
        <v>304</v>
      </c>
      <c r="AP133" s="116" t="n">
        <f aca="false">Inputs!$C$7*Inputs!$C$13*1</f>
        <v>304</v>
      </c>
      <c r="AQ133" s="116" t="n">
        <f aca="false">Inputs!$C$7*Inputs!$C$13*1</f>
        <v>304</v>
      </c>
      <c r="AR133" s="116" t="n">
        <f aca="false">Inputs!$C$7*Inputs!$C$13*1</f>
        <v>304</v>
      </c>
      <c r="AS133" s="116" t="n">
        <f aca="false">Inputs!$C$7*Inputs!$C$13*1</f>
        <v>304</v>
      </c>
      <c r="AT133" s="116" t="n">
        <f aca="false">Inputs!$C$7*Inputs!$C$13*1</f>
        <v>304</v>
      </c>
      <c r="AU133" s="116" t="n">
        <f aca="false">Inputs!$C$7*Inputs!$C$13*1</f>
        <v>304</v>
      </c>
      <c r="AV133" s="116" t="n">
        <f aca="false">Inputs!$C$7*Inputs!$C$13*1</f>
        <v>304</v>
      </c>
      <c r="AW133" s="116" t="n">
        <f aca="false">Inputs!$C$7*Inputs!$C$13*1</f>
        <v>304</v>
      </c>
      <c r="AX133" s="116" t="n">
        <f aca="false">Inputs!$C$7*Inputs!$C$13*1</f>
        <v>304</v>
      </c>
      <c r="AY133" s="116" t="n">
        <f aca="false">Inputs!$C$7*Inputs!$C$13*1</f>
        <v>304</v>
      </c>
      <c r="AZ133" s="116" t="n">
        <f aca="false">Inputs!$C$7*Inputs!$C$13*1</f>
        <v>304</v>
      </c>
      <c r="BA133" s="116" t="n">
        <f aca="false">Inputs!$C$7*Inputs!$C$13*1</f>
        <v>304</v>
      </c>
      <c r="BB133" s="116" t="n">
        <f aca="false">Inputs!$C$7*Inputs!$C$13*1</f>
        <v>304</v>
      </c>
      <c r="BC133" s="116" t="n">
        <f aca="false">Inputs!$C$7*Inputs!$C$13*1</f>
        <v>304</v>
      </c>
      <c r="BD133" s="116" t="n">
        <f aca="false">Inputs!$C$7*Inputs!$C$13*1</f>
        <v>304</v>
      </c>
      <c r="BE133" s="116" t="n">
        <f aca="false">Inputs!$C$7*Inputs!$C$13*1</f>
        <v>304</v>
      </c>
      <c r="BF133" s="116" t="n">
        <f aca="false">Inputs!$C$7*Inputs!$C$13*1</f>
        <v>304</v>
      </c>
      <c r="BG133" s="116" t="n">
        <f aca="false">Inputs!$C$7*Inputs!$C$13*1</f>
        <v>304</v>
      </c>
      <c r="BH133" s="116" t="n">
        <f aca="false">Inputs!$C$7*Inputs!$C$13*1</f>
        <v>304</v>
      </c>
      <c r="BI133" s="116" t="n">
        <f aca="false">Inputs!$C$7*Inputs!$C$13*1</f>
        <v>304</v>
      </c>
      <c r="BJ133" s="116" t="n">
        <f aca="false">Inputs!$C$7*Inputs!$C$13*1</f>
        <v>304</v>
      </c>
    </row>
    <row r="134" customFormat="false" ht="15" hidden="false" customHeight="false" outlineLevel="0" collapsed="false">
      <c r="A134" s="38" t="s">
        <v>411</v>
      </c>
      <c r="C134" s="74" t="n">
        <f aca="false">MIN(1,Inputs!$C$8*(1+Inputs!$C$9)^(C$127-1)*C131*C132)</f>
        <v>0.227333333333333</v>
      </c>
      <c r="D134" s="74" t="n">
        <f aca="false">MIN(1,Inputs!$C$8*(1+Inputs!$C$9)^(D$127-1)*D131*D132)</f>
        <v>0.261433333333333</v>
      </c>
      <c r="E134" s="74" t="n">
        <f aca="false">MIN(1,Inputs!$C$8*(1+Inputs!$C$9)^(E$127-1)*E131*E132)</f>
        <v>0.295533333333333</v>
      </c>
      <c r="F134" s="74" t="n">
        <f aca="false">MIN(1,Inputs!$C$8*(1+Inputs!$C$9)^(F$127-1)*F131*F132)</f>
        <v>0.329633333333333</v>
      </c>
      <c r="G134" s="74" t="n">
        <f aca="false">MIN(1,Inputs!$C$8*(1+Inputs!$C$9)^(G$127-1)*G131*G132)</f>
        <v>0.363733333333333</v>
      </c>
      <c r="H134" s="74" t="n">
        <f aca="false">MIN(1,Inputs!$C$8*(1+Inputs!$C$9)^(H$127-1)*H131*H132)</f>
        <v>0.5425</v>
      </c>
      <c r="I134" s="74" t="n">
        <f aca="false">MIN(1,Inputs!$C$8*(1+Inputs!$C$9)^(I$127-1)*I131*I132)</f>
        <v>0.589</v>
      </c>
      <c r="J134" s="74" t="n">
        <f aca="false">MIN(1,Inputs!$C$8*(1+Inputs!$C$9)^(J$127-1)*J131*J132)</f>
        <v>0.6355</v>
      </c>
      <c r="K134" s="74" t="n">
        <f aca="false">MIN(1,Inputs!$C$8*(1+Inputs!$C$9)^(K$127-1)*K131*K132)</f>
        <v>0.500133333333333</v>
      </c>
      <c r="L134" s="74" t="n">
        <f aca="false">MIN(1,Inputs!$C$8*(1+Inputs!$C$9)^(L$127-1)*L131*L132)</f>
        <v>0.534233333333333</v>
      </c>
      <c r="M134" s="74" t="n">
        <f aca="false">MIN(1,Inputs!$C$8*(1+Inputs!$C$9)^(M$127-1)*M131*M132)</f>
        <v>0.568333333333333</v>
      </c>
      <c r="N134" s="74" t="n">
        <f aca="false">MIN(1,Inputs!$C$8*(1+Inputs!$C$9)^(N$127-1)*N131*N132)</f>
        <v>0.568333333333333</v>
      </c>
      <c r="O134" s="74" t="n">
        <f aca="false">MIN(1,Inputs!$C$8*(1+Inputs!$C$9)^(O$127-1)*O131*O132)</f>
        <v>0.5797</v>
      </c>
      <c r="P134" s="74" t="n">
        <f aca="false">MIN(1,Inputs!$C$8*(1+Inputs!$C$9)^(P$127-1)*P131*P132)</f>
        <v>0.5797</v>
      </c>
      <c r="Q134" s="74" t="n">
        <f aca="false">MIN(1,Inputs!$C$8*(1+Inputs!$C$9)^(Q$127-1)*Q131*Q132)</f>
        <v>0.5797</v>
      </c>
      <c r="R134" s="74" t="n">
        <f aca="false">MIN(1,Inputs!$C$8*(1+Inputs!$C$9)^(R$127-1)*R131*R132)</f>
        <v>0.5797</v>
      </c>
      <c r="S134" s="74" t="n">
        <f aca="false">MIN(1,Inputs!$C$8*(1+Inputs!$C$9)^(S$127-1)*S131*S132)</f>
        <v>0.5797</v>
      </c>
      <c r="T134" s="74" t="n">
        <f aca="false">MIN(1,Inputs!$C$8*(1+Inputs!$C$9)^(T$127-1)*T131*T132)</f>
        <v>0.7905</v>
      </c>
      <c r="U134" s="74" t="n">
        <f aca="false">MIN(1,Inputs!$C$8*(1+Inputs!$C$9)^(U$127-1)*U131*U132)</f>
        <v>0.7905</v>
      </c>
      <c r="V134" s="74" t="n">
        <f aca="false">MIN(1,Inputs!$C$8*(1+Inputs!$C$9)^(V$127-1)*V131*V132)</f>
        <v>0.7905</v>
      </c>
      <c r="W134" s="74" t="n">
        <f aca="false">MIN(1,Inputs!$C$8*(1+Inputs!$C$9)^(W$127-1)*W131*W132)</f>
        <v>0.5797</v>
      </c>
      <c r="X134" s="74" t="n">
        <f aca="false">MIN(1,Inputs!$C$8*(1+Inputs!$C$9)^(X$127-1)*X131*X132)</f>
        <v>0.5797</v>
      </c>
      <c r="Y134" s="74" t="n">
        <f aca="false">MIN(1,Inputs!$C$8*(1+Inputs!$C$9)^(Y$127-1)*Y131*Y132)</f>
        <v>0.5797</v>
      </c>
      <c r="Z134" s="74" t="n">
        <f aca="false">MIN(1,Inputs!$C$8*(1+Inputs!$C$9)^(Z$127-1)*Z131*Z132)</f>
        <v>0.5797</v>
      </c>
      <c r="AA134" s="74" t="n">
        <f aca="false">MIN(1,Inputs!$C$8*(1+Inputs!$C$9)^(AA$127-1)*AA131*AA132)</f>
        <v>0.591294</v>
      </c>
      <c r="AB134" s="74" t="n">
        <f aca="false">MIN(1,Inputs!$C$8*(1+Inputs!$C$9)^(AB$127-1)*AB131*AB132)</f>
        <v>0.591294</v>
      </c>
      <c r="AC134" s="74" t="n">
        <f aca="false">MIN(1,Inputs!$C$8*(1+Inputs!$C$9)^(AC$127-1)*AC131*AC132)</f>
        <v>0.591294</v>
      </c>
      <c r="AD134" s="74" t="n">
        <f aca="false">MIN(1,Inputs!$C$8*(1+Inputs!$C$9)^(AD$127-1)*AD131*AD132)</f>
        <v>0.591294</v>
      </c>
      <c r="AE134" s="74" t="n">
        <f aca="false">MIN(1,Inputs!$C$8*(1+Inputs!$C$9)^(AE$127-1)*AE131*AE132)</f>
        <v>0.591294</v>
      </c>
      <c r="AF134" s="74" t="n">
        <f aca="false">MIN(1,Inputs!$C$8*(1+Inputs!$C$9)^(AF$127-1)*AF131*AF132)</f>
        <v>0.80631</v>
      </c>
      <c r="AG134" s="74" t="n">
        <f aca="false">MIN(1,Inputs!$C$8*(1+Inputs!$C$9)^(AG$127-1)*AG131*AG132)</f>
        <v>0.80631</v>
      </c>
      <c r="AH134" s="74" t="n">
        <f aca="false">MIN(1,Inputs!$C$8*(1+Inputs!$C$9)^(AH$127-1)*AH131*AH132)</f>
        <v>0.80631</v>
      </c>
      <c r="AI134" s="74" t="n">
        <f aca="false">MIN(1,Inputs!$C$8*(1+Inputs!$C$9)^(AI$127-1)*AI131*AI132)</f>
        <v>0.591294</v>
      </c>
      <c r="AJ134" s="74" t="n">
        <f aca="false">MIN(1,Inputs!$C$8*(1+Inputs!$C$9)^(AJ$127-1)*AJ131*AJ132)</f>
        <v>0.591294</v>
      </c>
      <c r="AK134" s="74" t="n">
        <f aca="false">MIN(1,Inputs!$C$8*(1+Inputs!$C$9)^(AK$127-1)*AK131*AK132)</f>
        <v>0.591294</v>
      </c>
      <c r="AL134" s="74" t="n">
        <f aca="false">MIN(1,Inputs!$C$8*(1+Inputs!$C$9)^(AL$127-1)*AL131*AL132)</f>
        <v>0.591294</v>
      </c>
      <c r="AM134" s="74" t="n">
        <f aca="false">MIN(1,Inputs!$C$8*(1+Inputs!$C$9)^(AM$127-1)*AM131*AM132)</f>
        <v>0.60311988</v>
      </c>
      <c r="AN134" s="74" t="n">
        <f aca="false">MIN(1,Inputs!$C$8*(1+Inputs!$C$9)^(AN$127-1)*AN131*AN132)</f>
        <v>0.60311988</v>
      </c>
      <c r="AO134" s="74" t="n">
        <f aca="false">MIN(1,Inputs!$C$8*(1+Inputs!$C$9)^(AO$127-1)*AO131*AO132)</f>
        <v>0.60311988</v>
      </c>
      <c r="AP134" s="74" t="n">
        <f aca="false">MIN(1,Inputs!$C$8*(1+Inputs!$C$9)^(AP$127-1)*AP131*AP132)</f>
        <v>0.60311988</v>
      </c>
      <c r="AQ134" s="74" t="n">
        <f aca="false">MIN(1,Inputs!$C$8*(1+Inputs!$C$9)^(AQ$127-1)*AQ131*AQ132)</f>
        <v>0.60311988</v>
      </c>
      <c r="AR134" s="74" t="n">
        <f aca="false">MIN(1,Inputs!$C$8*(1+Inputs!$C$9)^(AR$127-1)*AR131*AR132)</f>
        <v>0.8224362</v>
      </c>
      <c r="AS134" s="74" t="n">
        <f aca="false">MIN(1,Inputs!$C$8*(1+Inputs!$C$9)^(AS$127-1)*AS131*AS132)</f>
        <v>0.8224362</v>
      </c>
      <c r="AT134" s="74" t="n">
        <f aca="false">MIN(1,Inputs!$C$8*(1+Inputs!$C$9)^(AT$127-1)*AT131*AT132)</f>
        <v>0.8224362</v>
      </c>
      <c r="AU134" s="74" t="n">
        <f aca="false">MIN(1,Inputs!$C$8*(1+Inputs!$C$9)^(AU$127-1)*AU131*AU132)</f>
        <v>0.60311988</v>
      </c>
      <c r="AV134" s="74" t="n">
        <f aca="false">MIN(1,Inputs!$C$8*(1+Inputs!$C$9)^(AV$127-1)*AV131*AV132)</f>
        <v>0.60311988</v>
      </c>
      <c r="AW134" s="74" t="n">
        <f aca="false">MIN(1,Inputs!$C$8*(1+Inputs!$C$9)^(AW$127-1)*AW131*AW132)</f>
        <v>0.60311988</v>
      </c>
      <c r="AX134" s="74" t="n">
        <f aca="false">MIN(1,Inputs!$C$8*(1+Inputs!$C$9)^(AX$127-1)*AX131*AX132)</f>
        <v>0.60311988</v>
      </c>
      <c r="AY134" s="74" t="n">
        <f aca="false">MIN(1,Inputs!$C$8*(1+Inputs!$C$9)^(AY$127-1)*AY131*AY132)</f>
        <v>0.6151822776</v>
      </c>
      <c r="AZ134" s="74" t="n">
        <f aca="false">MIN(1,Inputs!$C$8*(1+Inputs!$C$9)^(AZ$127-1)*AZ131*AZ132)</f>
        <v>0.6151822776</v>
      </c>
      <c r="BA134" s="74" t="n">
        <f aca="false">MIN(1,Inputs!$C$8*(1+Inputs!$C$9)^(BA$127-1)*BA131*BA132)</f>
        <v>0.6151822776</v>
      </c>
      <c r="BB134" s="74" t="n">
        <f aca="false">MIN(1,Inputs!$C$8*(1+Inputs!$C$9)^(BB$127-1)*BB131*BB132)</f>
        <v>0.6151822776</v>
      </c>
      <c r="BC134" s="74" t="n">
        <f aca="false">MIN(1,Inputs!$C$8*(1+Inputs!$C$9)^(BC$127-1)*BC131*BC132)</f>
        <v>0.6151822776</v>
      </c>
      <c r="BD134" s="74" t="n">
        <f aca="false">MIN(1,Inputs!$C$8*(1+Inputs!$C$9)^(BD$127-1)*BD131*BD132)</f>
        <v>0.838884924</v>
      </c>
      <c r="BE134" s="74" t="n">
        <f aca="false">MIN(1,Inputs!$C$8*(1+Inputs!$C$9)^(BE$127-1)*BE131*BE132)</f>
        <v>0.838884924</v>
      </c>
      <c r="BF134" s="74" t="n">
        <f aca="false">MIN(1,Inputs!$C$8*(1+Inputs!$C$9)^(BF$127-1)*BF131*BF132)</f>
        <v>0.838884924</v>
      </c>
      <c r="BG134" s="74" t="n">
        <f aca="false">MIN(1,Inputs!$C$8*(1+Inputs!$C$9)^(BG$127-1)*BG131*BG132)</f>
        <v>0.6151822776</v>
      </c>
      <c r="BH134" s="74" t="n">
        <f aca="false">MIN(1,Inputs!$C$8*(1+Inputs!$C$9)^(BH$127-1)*BH131*BH132)</f>
        <v>0.6151822776</v>
      </c>
      <c r="BI134" s="74" t="n">
        <f aca="false">MIN(1,Inputs!$C$8*(1+Inputs!$C$9)^(BI$127-1)*BI131*BI132)</f>
        <v>0.6151822776</v>
      </c>
      <c r="BJ134" s="74" t="n">
        <f aca="false">MIN(1,Inputs!$C$8*(1+Inputs!$C$9)^(BJ$127-1)*BJ131*BJ132)</f>
        <v>0.6151822776</v>
      </c>
    </row>
    <row r="135" customFormat="false" ht="15" hidden="false" customHeight="false" outlineLevel="0" collapsed="false">
      <c r="A135" s="4" t="s">
        <v>234</v>
      </c>
      <c r="C135" s="117" t="n">
        <f aca="false">C133*C134</f>
        <v>69.1093333333333</v>
      </c>
      <c r="D135" s="117" t="n">
        <f aca="false">D133*D134</f>
        <v>79.4757333333333</v>
      </c>
      <c r="E135" s="117" t="n">
        <f aca="false">E133*E134</f>
        <v>89.8421333333333</v>
      </c>
      <c r="F135" s="117" t="n">
        <f aca="false">F133*F134</f>
        <v>100.208533333333</v>
      </c>
      <c r="G135" s="117" t="n">
        <f aca="false">G133*G134</f>
        <v>110.574933333333</v>
      </c>
      <c r="H135" s="117" t="n">
        <f aca="false">H133*H134</f>
        <v>164.92</v>
      </c>
      <c r="I135" s="117" t="n">
        <f aca="false">I133*I134</f>
        <v>179.056</v>
      </c>
      <c r="J135" s="117" t="n">
        <f aca="false">J133*J134</f>
        <v>193.192</v>
      </c>
      <c r="K135" s="117" t="n">
        <f aca="false">K133*K134</f>
        <v>152.040533333333</v>
      </c>
      <c r="L135" s="117" t="n">
        <f aca="false">L133*L134</f>
        <v>162.406933333333</v>
      </c>
      <c r="M135" s="117" t="n">
        <f aca="false">M133*M134</f>
        <v>172.773333333333</v>
      </c>
      <c r="N135" s="117" t="n">
        <f aca="false">N133*N134</f>
        <v>172.773333333333</v>
      </c>
      <c r="O135" s="117" t="n">
        <f aca="false">O133*O134</f>
        <v>176.2288</v>
      </c>
      <c r="P135" s="117" t="n">
        <f aca="false">P133*P134</f>
        <v>176.2288</v>
      </c>
      <c r="Q135" s="117" t="n">
        <f aca="false">Q133*Q134</f>
        <v>176.2288</v>
      </c>
      <c r="R135" s="117" t="n">
        <f aca="false">R133*R134</f>
        <v>176.2288</v>
      </c>
      <c r="S135" s="117" t="n">
        <f aca="false">S133*S134</f>
        <v>176.2288</v>
      </c>
      <c r="T135" s="117" t="n">
        <f aca="false">T133*T134</f>
        <v>240.312</v>
      </c>
      <c r="U135" s="117" t="n">
        <f aca="false">U133*U134</f>
        <v>240.312</v>
      </c>
      <c r="V135" s="117" t="n">
        <f aca="false">V133*V134</f>
        <v>240.312</v>
      </c>
      <c r="W135" s="117" t="n">
        <f aca="false">W133*W134</f>
        <v>176.2288</v>
      </c>
      <c r="X135" s="117" t="n">
        <f aca="false">X133*X134</f>
        <v>176.2288</v>
      </c>
      <c r="Y135" s="117" t="n">
        <f aca="false">Y133*Y134</f>
        <v>176.2288</v>
      </c>
      <c r="Z135" s="117" t="n">
        <f aca="false">Z133*Z134</f>
        <v>176.2288</v>
      </c>
      <c r="AA135" s="117" t="n">
        <f aca="false">AA133*AA134</f>
        <v>179.753376</v>
      </c>
      <c r="AB135" s="117" t="n">
        <f aca="false">AB133*AB134</f>
        <v>179.753376</v>
      </c>
      <c r="AC135" s="117" t="n">
        <f aca="false">AC133*AC134</f>
        <v>179.753376</v>
      </c>
      <c r="AD135" s="117" t="n">
        <f aca="false">AD133*AD134</f>
        <v>179.753376</v>
      </c>
      <c r="AE135" s="117" t="n">
        <f aca="false">AE133*AE134</f>
        <v>179.753376</v>
      </c>
      <c r="AF135" s="117" t="n">
        <f aca="false">AF133*AF134</f>
        <v>245.11824</v>
      </c>
      <c r="AG135" s="117" t="n">
        <f aca="false">AG133*AG134</f>
        <v>245.11824</v>
      </c>
      <c r="AH135" s="117" t="n">
        <f aca="false">AH133*AH134</f>
        <v>245.11824</v>
      </c>
      <c r="AI135" s="117" t="n">
        <f aca="false">AI133*AI134</f>
        <v>179.753376</v>
      </c>
      <c r="AJ135" s="117" t="n">
        <f aca="false">AJ133*AJ134</f>
        <v>179.753376</v>
      </c>
      <c r="AK135" s="117" t="n">
        <f aca="false">AK133*AK134</f>
        <v>179.753376</v>
      </c>
      <c r="AL135" s="117" t="n">
        <f aca="false">AL133*AL134</f>
        <v>179.753376</v>
      </c>
      <c r="AM135" s="117" t="n">
        <f aca="false">AM133*AM134</f>
        <v>183.34844352</v>
      </c>
      <c r="AN135" s="117" t="n">
        <f aca="false">AN133*AN134</f>
        <v>183.34844352</v>
      </c>
      <c r="AO135" s="117" t="n">
        <f aca="false">AO133*AO134</f>
        <v>183.34844352</v>
      </c>
      <c r="AP135" s="117" t="n">
        <f aca="false">AP133*AP134</f>
        <v>183.34844352</v>
      </c>
      <c r="AQ135" s="117" t="n">
        <f aca="false">AQ133*AQ134</f>
        <v>183.34844352</v>
      </c>
      <c r="AR135" s="117" t="n">
        <f aca="false">AR133*AR134</f>
        <v>250.0206048</v>
      </c>
      <c r="AS135" s="117" t="n">
        <f aca="false">AS133*AS134</f>
        <v>250.0206048</v>
      </c>
      <c r="AT135" s="117" t="n">
        <f aca="false">AT133*AT134</f>
        <v>250.0206048</v>
      </c>
      <c r="AU135" s="117" t="n">
        <f aca="false">AU133*AU134</f>
        <v>183.34844352</v>
      </c>
      <c r="AV135" s="117" t="n">
        <f aca="false">AV133*AV134</f>
        <v>183.34844352</v>
      </c>
      <c r="AW135" s="117" t="n">
        <f aca="false">AW133*AW134</f>
        <v>183.34844352</v>
      </c>
      <c r="AX135" s="117" t="n">
        <f aca="false">AX133*AX134</f>
        <v>183.34844352</v>
      </c>
      <c r="AY135" s="117" t="n">
        <f aca="false">AY133*AY134</f>
        <v>187.0154123904</v>
      </c>
      <c r="AZ135" s="117" t="n">
        <f aca="false">AZ133*AZ134</f>
        <v>187.0154123904</v>
      </c>
      <c r="BA135" s="117" t="n">
        <f aca="false">BA133*BA134</f>
        <v>187.0154123904</v>
      </c>
      <c r="BB135" s="117" t="n">
        <f aca="false">BB133*BB134</f>
        <v>187.0154123904</v>
      </c>
      <c r="BC135" s="117" t="n">
        <f aca="false">BC133*BC134</f>
        <v>187.0154123904</v>
      </c>
      <c r="BD135" s="117" t="n">
        <f aca="false">BD133*BD134</f>
        <v>255.021016896</v>
      </c>
      <c r="BE135" s="117" t="n">
        <f aca="false">BE133*BE134</f>
        <v>255.021016896</v>
      </c>
      <c r="BF135" s="117" t="n">
        <f aca="false">BF133*BF134</f>
        <v>255.021016896</v>
      </c>
      <c r="BG135" s="117" t="n">
        <f aca="false">BG133*BG134</f>
        <v>187.0154123904</v>
      </c>
      <c r="BH135" s="117" t="n">
        <f aca="false">BH133*BH134</f>
        <v>187.0154123904</v>
      </c>
      <c r="BI135" s="117" t="n">
        <f aca="false">BI133*BI134</f>
        <v>187.0154123904</v>
      </c>
      <c r="BJ135" s="117" t="n">
        <f aca="false">BJ133*BJ134</f>
        <v>187.0154123904</v>
      </c>
    </row>
    <row r="136" customFormat="false" ht="15" hidden="false" customHeight="false" outlineLevel="0" collapsed="false">
      <c r="A136" s="6" t="s">
        <v>412</v>
      </c>
      <c r="C136" s="116" t="n">
        <f aca="false">IF(Inputs!$C$14&lt;=0,0,C135/Inputs!$C$14)</f>
        <v>31.4133333333333</v>
      </c>
      <c r="D136" s="116" t="n">
        <f aca="false">IF(Inputs!$C$14&lt;=0,0,D135/Inputs!$C$14)</f>
        <v>36.1253333333333</v>
      </c>
      <c r="E136" s="116" t="n">
        <f aca="false">IF(Inputs!$C$14&lt;=0,0,E135/Inputs!$C$14)</f>
        <v>40.8373333333333</v>
      </c>
      <c r="F136" s="116" t="n">
        <f aca="false">IF(Inputs!$C$14&lt;=0,0,F135/Inputs!$C$14)</f>
        <v>45.5493333333333</v>
      </c>
      <c r="G136" s="116" t="n">
        <f aca="false">IF(Inputs!$C$14&lt;=0,0,G135/Inputs!$C$14)</f>
        <v>50.2613333333333</v>
      </c>
      <c r="H136" s="116" t="n">
        <f aca="false">IF(Inputs!$C$14&lt;=0,0,H135/Inputs!$C$14)</f>
        <v>74.9636363636364</v>
      </c>
      <c r="I136" s="116" t="n">
        <f aca="false">IF(Inputs!$C$14&lt;=0,0,I135/Inputs!$C$14)</f>
        <v>81.3890909090909</v>
      </c>
      <c r="J136" s="116" t="n">
        <f aca="false">IF(Inputs!$C$14&lt;=0,0,J135/Inputs!$C$14)</f>
        <v>87.8145454545455</v>
      </c>
      <c r="K136" s="116" t="n">
        <f aca="false">IF(Inputs!$C$14&lt;=0,0,K135/Inputs!$C$14)</f>
        <v>69.1093333333333</v>
      </c>
      <c r="L136" s="116" t="n">
        <f aca="false">IF(Inputs!$C$14&lt;=0,0,L135/Inputs!$C$14)</f>
        <v>73.8213333333333</v>
      </c>
      <c r="M136" s="116" t="n">
        <f aca="false">IF(Inputs!$C$14&lt;=0,0,M135/Inputs!$C$14)</f>
        <v>78.5333333333333</v>
      </c>
      <c r="N136" s="116" t="n">
        <f aca="false">IF(Inputs!$C$14&lt;=0,0,N135/Inputs!$C$14)</f>
        <v>78.5333333333333</v>
      </c>
      <c r="O136" s="116" t="n">
        <f aca="false">IF(Inputs!$C$14&lt;=0,0,O135/Inputs!$C$14)</f>
        <v>80.104</v>
      </c>
      <c r="P136" s="116" t="n">
        <f aca="false">IF(Inputs!$C$14&lt;=0,0,P135/Inputs!$C$14)</f>
        <v>80.104</v>
      </c>
      <c r="Q136" s="116" t="n">
        <f aca="false">IF(Inputs!$C$14&lt;=0,0,Q135/Inputs!$C$14)</f>
        <v>80.104</v>
      </c>
      <c r="R136" s="116" t="n">
        <f aca="false">IF(Inputs!$C$14&lt;=0,0,R135/Inputs!$C$14)</f>
        <v>80.104</v>
      </c>
      <c r="S136" s="116" t="n">
        <f aca="false">IF(Inputs!$C$14&lt;=0,0,S135/Inputs!$C$14)</f>
        <v>80.104</v>
      </c>
      <c r="T136" s="116" t="n">
        <f aca="false">IF(Inputs!$C$14&lt;=0,0,T135/Inputs!$C$14)</f>
        <v>109.232727272727</v>
      </c>
      <c r="U136" s="116" t="n">
        <f aca="false">IF(Inputs!$C$14&lt;=0,0,U135/Inputs!$C$14)</f>
        <v>109.232727272727</v>
      </c>
      <c r="V136" s="116" t="n">
        <f aca="false">IF(Inputs!$C$14&lt;=0,0,V135/Inputs!$C$14)</f>
        <v>109.232727272727</v>
      </c>
      <c r="W136" s="116" t="n">
        <f aca="false">IF(Inputs!$C$14&lt;=0,0,W135/Inputs!$C$14)</f>
        <v>80.104</v>
      </c>
      <c r="X136" s="116" t="n">
        <f aca="false">IF(Inputs!$C$14&lt;=0,0,X135/Inputs!$C$14)</f>
        <v>80.104</v>
      </c>
      <c r="Y136" s="116" t="n">
        <f aca="false">IF(Inputs!$C$14&lt;=0,0,Y135/Inputs!$C$14)</f>
        <v>80.104</v>
      </c>
      <c r="Z136" s="116" t="n">
        <f aca="false">IF(Inputs!$C$14&lt;=0,0,Z135/Inputs!$C$14)</f>
        <v>80.104</v>
      </c>
      <c r="AA136" s="116" t="n">
        <f aca="false">IF(Inputs!$C$14&lt;=0,0,AA135/Inputs!$C$14)</f>
        <v>81.70608</v>
      </c>
      <c r="AB136" s="116" t="n">
        <f aca="false">IF(Inputs!$C$14&lt;=0,0,AB135/Inputs!$C$14)</f>
        <v>81.70608</v>
      </c>
      <c r="AC136" s="116" t="n">
        <f aca="false">IF(Inputs!$C$14&lt;=0,0,AC135/Inputs!$C$14)</f>
        <v>81.70608</v>
      </c>
      <c r="AD136" s="116" t="n">
        <f aca="false">IF(Inputs!$C$14&lt;=0,0,AD135/Inputs!$C$14)</f>
        <v>81.70608</v>
      </c>
      <c r="AE136" s="116" t="n">
        <f aca="false">IF(Inputs!$C$14&lt;=0,0,AE135/Inputs!$C$14)</f>
        <v>81.70608</v>
      </c>
      <c r="AF136" s="116" t="n">
        <f aca="false">IF(Inputs!$C$14&lt;=0,0,AF135/Inputs!$C$14)</f>
        <v>111.417381818182</v>
      </c>
      <c r="AG136" s="116" t="n">
        <f aca="false">IF(Inputs!$C$14&lt;=0,0,AG135/Inputs!$C$14)</f>
        <v>111.417381818182</v>
      </c>
      <c r="AH136" s="116" t="n">
        <f aca="false">IF(Inputs!$C$14&lt;=0,0,AH135/Inputs!$C$14)</f>
        <v>111.417381818182</v>
      </c>
      <c r="AI136" s="116" t="n">
        <f aca="false">IF(Inputs!$C$14&lt;=0,0,AI135/Inputs!$C$14)</f>
        <v>81.70608</v>
      </c>
      <c r="AJ136" s="116" t="n">
        <f aca="false">IF(Inputs!$C$14&lt;=0,0,AJ135/Inputs!$C$14)</f>
        <v>81.70608</v>
      </c>
      <c r="AK136" s="116" t="n">
        <f aca="false">IF(Inputs!$C$14&lt;=0,0,AK135/Inputs!$C$14)</f>
        <v>81.70608</v>
      </c>
      <c r="AL136" s="116" t="n">
        <f aca="false">IF(Inputs!$C$14&lt;=0,0,AL135/Inputs!$C$14)</f>
        <v>81.70608</v>
      </c>
      <c r="AM136" s="116" t="n">
        <f aca="false">IF(Inputs!$C$14&lt;=0,0,AM135/Inputs!$C$14)</f>
        <v>83.3402016</v>
      </c>
      <c r="AN136" s="116" t="n">
        <f aca="false">IF(Inputs!$C$14&lt;=0,0,AN135/Inputs!$C$14)</f>
        <v>83.3402016</v>
      </c>
      <c r="AO136" s="116" t="n">
        <f aca="false">IF(Inputs!$C$14&lt;=0,0,AO135/Inputs!$C$14)</f>
        <v>83.3402016</v>
      </c>
      <c r="AP136" s="116" t="n">
        <f aca="false">IF(Inputs!$C$14&lt;=0,0,AP135/Inputs!$C$14)</f>
        <v>83.3402016</v>
      </c>
      <c r="AQ136" s="116" t="n">
        <f aca="false">IF(Inputs!$C$14&lt;=0,0,AQ135/Inputs!$C$14)</f>
        <v>83.3402016</v>
      </c>
      <c r="AR136" s="116" t="n">
        <f aca="false">IF(Inputs!$C$14&lt;=0,0,AR135/Inputs!$C$14)</f>
        <v>113.645729454545</v>
      </c>
      <c r="AS136" s="116" t="n">
        <f aca="false">IF(Inputs!$C$14&lt;=0,0,AS135/Inputs!$C$14)</f>
        <v>113.645729454545</v>
      </c>
      <c r="AT136" s="116" t="n">
        <f aca="false">IF(Inputs!$C$14&lt;=0,0,AT135/Inputs!$C$14)</f>
        <v>113.645729454545</v>
      </c>
      <c r="AU136" s="116" t="n">
        <f aca="false">IF(Inputs!$C$14&lt;=0,0,AU135/Inputs!$C$14)</f>
        <v>83.3402016</v>
      </c>
      <c r="AV136" s="116" t="n">
        <f aca="false">IF(Inputs!$C$14&lt;=0,0,AV135/Inputs!$C$14)</f>
        <v>83.3402016</v>
      </c>
      <c r="AW136" s="116" t="n">
        <f aca="false">IF(Inputs!$C$14&lt;=0,0,AW135/Inputs!$C$14)</f>
        <v>83.3402016</v>
      </c>
      <c r="AX136" s="116" t="n">
        <f aca="false">IF(Inputs!$C$14&lt;=0,0,AX135/Inputs!$C$14)</f>
        <v>83.3402016</v>
      </c>
      <c r="AY136" s="116" t="n">
        <f aca="false">IF(Inputs!$C$14&lt;=0,0,AY135/Inputs!$C$14)</f>
        <v>85.007005632</v>
      </c>
      <c r="AZ136" s="116" t="n">
        <f aca="false">IF(Inputs!$C$14&lt;=0,0,AZ135/Inputs!$C$14)</f>
        <v>85.007005632</v>
      </c>
      <c r="BA136" s="116" t="n">
        <f aca="false">IF(Inputs!$C$14&lt;=0,0,BA135/Inputs!$C$14)</f>
        <v>85.007005632</v>
      </c>
      <c r="BB136" s="116" t="n">
        <f aca="false">IF(Inputs!$C$14&lt;=0,0,BB135/Inputs!$C$14)</f>
        <v>85.007005632</v>
      </c>
      <c r="BC136" s="116" t="n">
        <f aca="false">IF(Inputs!$C$14&lt;=0,0,BC135/Inputs!$C$14)</f>
        <v>85.007005632</v>
      </c>
      <c r="BD136" s="116" t="n">
        <f aca="false">IF(Inputs!$C$14&lt;=0,0,BD135/Inputs!$C$14)</f>
        <v>115.918644043636</v>
      </c>
      <c r="BE136" s="116" t="n">
        <f aca="false">IF(Inputs!$C$14&lt;=0,0,BE135/Inputs!$C$14)</f>
        <v>115.918644043636</v>
      </c>
      <c r="BF136" s="116" t="n">
        <f aca="false">IF(Inputs!$C$14&lt;=0,0,BF135/Inputs!$C$14)</f>
        <v>115.918644043636</v>
      </c>
      <c r="BG136" s="116" t="n">
        <f aca="false">IF(Inputs!$C$14&lt;=0,0,BG135/Inputs!$C$14)</f>
        <v>85.007005632</v>
      </c>
      <c r="BH136" s="116" t="n">
        <f aca="false">IF(Inputs!$C$14&lt;=0,0,BH135/Inputs!$C$14)</f>
        <v>85.007005632</v>
      </c>
      <c r="BI136" s="116" t="n">
        <f aca="false">IF(Inputs!$C$14&lt;=0,0,BI135/Inputs!$C$14)</f>
        <v>85.007005632</v>
      </c>
      <c r="BJ136" s="116" t="n">
        <f aca="false">IF(Inputs!$C$14&lt;=0,0,BJ135/Inputs!$C$14)</f>
        <v>85.007005632</v>
      </c>
    </row>
    <row r="138" customFormat="false" ht="15.75" hidden="false" customHeight="true" outlineLevel="0" collapsed="false">
      <c r="A138" s="7" t="s">
        <v>44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customFormat="false" ht="15" hidden="false" customHeight="false" outlineLevel="0" collapsed="false">
      <c r="A139" s="6" t="s">
        <v>59</v>
      </c>
      <c r="C139" s="118" t="n">
        <f aca="false">Inputs!$C$17*(1+Inputs!$C$18)^(C$127-1)</f>
        <v>155</v>
      </c>
      <c r="D139" s="118" t="n">
        <f aca="false">Inputs!$C$17*(1+Inputs!$C$18)^(D$127-1)</f>
        <v>155</v>
      </c>
      <c r="E139" s="118" t="n">
        <f aca="false">Inputs!$C$17*(1+Inputs!$C$18)^(E$127-1)</f>
        <v>155</v>
      </c>
      <c r="F139" s="118" t="n">
        <f aca="false">Inputs!$C$17*(1+Inputs!$C$18)^(F$127-1)</f>
        <v>155</v>
      </c>
      <c r="G139" s="118" t="n">
        <f aca="false">Inputs!$C$17*(1+Inputs!$C$18)^(G$127-1)</f>
        <v>155</v>
      </c>
      <c r="H139" s="118" t="n">
        <f aca="false">Inputs!$C$17*(1+Inputs!$C$18)^(H$127-1)</f>
        <v>155</v>
      </c>
      <c r="I139" s="118" t="n">
        <f aca="false">Inputs!$C$17*(1+Inputs!$C$18)^(I$127-1)</f>
        <v>155</v>
      </c>
      <c r="J139" s="118" t="n">
        <f aca="false">Inputs!$C$17*(1+Inputs!$C$18)^(J$127-1)</f>
        <v>155</v>
      </c>
      <c r="K139" s="118" t="n">
        <f aca="false">Inputs!$C$17*(1+Inputs!$C$18)^(K$127-1)</f>
        <v>155</v>
      </c>
      <c r="L139" s="118" t="n">
        <f aca="false">Inputs!$C$17*(1+Inputs!$C$18)^(L$127-1)</f>
        <v>155</v>
      </c>
      <c r="M139" s="118" t="n">
        <f aca="false">Inputs!$C$17*(1+Inputs!$C$18)^(M$127-1)</f>
        <v>155</v>
      </c>
      <c r="N139" s="118" t="n">
        <f aca="false">Inputs!$C$17*(1+Inputs!$C$18)^(N$127-1)</f>
        <v>155</v>
      </c>
      <c r="O139" s="118" t="n">
        <f aca="false">Inputs!$C$17*(1+Inputs!$C$18)^(O$127-1)</f>
        <v>159.65</v>
      </c>
      <c r="P139" s="118" t="n">
        <f aca="false">Inputs!$C$17*(1+Inputs!$C$18)^(P$127-1)</f>
        <v>159.65</v>
      </c>
      <c r="Q139" s="118" t="n">
        <f aca="false">Inputs!$C$17*(1+Inputs!$C$18)^(Q$127-1)</f>
        <v>159.65</v>
      </c>
      <c r="R139" s="118" t="n">
        <f aca="false">Inputs!$C$17*(1+Inputs!$C$18)^(R$127-1)</f>
        <v>159.65</v>
      </c>
      <c r="S139" s="118" t="n">
        <f aca="false">Inputs!$C$17*(1+Inputs!$C$18)^(S$127-1)</f>
        <v>159.65</v>
      </c>
      <c r="T139" s="118" t="n">
        <f aca="false">Inputs!$C$17*(1+Inputs!$C$18)^(T$127-1)</f>
        <v>159.65</v>
      </c>
      <c r="U139" s="118" t="n">
        <f aca="false">Inputs!$C$17*(1+Inputs!$C$18)^(U$127-1)</f>
        <v>159.65</v>
      </c>
      <c r="V139" s="118" t="n">
        <f aca="false">Inputs!$C$17*(1+Inputs!$C$18)^(V$127-1)</f>
        <v>159.65</v>
      </c>
      <c r="W139" s="118" t="n">
        <f aca="false">Inputs!$C$17*(1+Inputs!$C$18)^(W$127-1)</f>
        <v>159.65</v>
      </c>
      <c r="X139" s="118" t="n">
        <f aca="false">Inputs!$C$17*(1+Inputs!$C$18)^(X$127-1)</f>
        <v>159.65</v>
      </c>
      <c r="Y139" s="118" t="n">
        <f aca="false">Inputs!$C$17*(1+Inputs!$C$18)^(Y$127-1)</f>
        <v>159.65</v>
      </c>
      <c r="Z139" s="118" t="n">
        <f aca="false">Inputs!$C$17*(1+Inputs!$C$18)^(Z$127-1)</f>
        <v>159.65</v>
      </c>
      <c r="AA139" s="118" t="n">
        <f aca="false">Inputs!$C$17*(1+Inputs!$C$18)^(AA$127-1)</f>
        <v>164.4395</v>
      </c>
      <c r="AB139" s="118" t="n">
        <f aca="false">Inputs!$C$17*(1+Inputs!$C$18)^(AB$127-1)</f>
        <v>164.4395</v>
      </c>
      <c r="AC139" s="118" t="n">
        <f aca="false">Inputs!$C$17*(1+Inputs!$C$18)^(AC$127-1)</f>
        <v>164.4395</v>
      </c>
      <c r="AD139" s="118" t="n">
        <f aca="false">Inputs!$C$17*(1+Inputs!$C$18)^(AD$127-1)</f>
        <v>164.4395</v>
      </c>
      <c r="AE139" s="118" t="n">
        <f aca="false">Inputs!$C$17*(1+Inputs!$C$18)^(AE$127-1)</f>
        <v>164.4395</v>
      </c>
      <c r="AF139" s="118" t="n">
        <f aca="false">Inputs!$C$17*(1+Inputs!$C$18)^(AF$127-1)</f>
        <v>164.4395</v>
      </c>
      <c r="AG139" s="118" t="n">
        <f aca="false">Inputs!$C$17*(1+Inputs!$C$18)^(AG$127-1)</f>
        <v>164.4395</v>
      </c>
      <c r="AH139" s="118" t="n">
        <f aca="false">Inputs!$C$17*(1+Inputs!$C$18)^(AH$127-1)</f>
        <v>164.4395</v>
      </c>
      <c r="AI139" s="118" t="n">
        <f aca="false">Inputs!$C$17*(1+Inputs!$C$18)^(AI$127-1)</f>
        <v>164.4395</v>
      </c>
      <c r="AJ139" s="118" t="n">
        <f aca="false">Inputs!$C$17*(1+Inputs!$C$18)^(AJ$127-1)</f>
        <v>164.4395</v>
      </c>
      <c r="AK139" s="118" t="n">
        <f aca="false">Inputs!$C$17*(1+Inputs!$C$18)^(AK$127-1)</f>
        <v>164.4395</v>
      </c>
      <c r="AL139" s="118" t="n">
        <f aca="false">Inputs!$C$17*(1+Inputs!$C$18)^(AL$127-1)</f>
        <v>164.4395</v>
      </c>
      <c r="AM139" s="118" t="n">
        <f aca="false">Inputs!$C$17*(1+Inputs!$C$18)^(AM$127-1)</f>
        <v>169.372685</v>
      </c>
      <c r="AN139" s="118" t="n">
        <f aca="false">Inputs!$C$17*(1+Inputs!$C$18)^(AN$127-1)</f>
        <v>169.372685</v>
      </c>
      <c r="AO139" s="118" t="n">
        <f aca="false">Inputs!$C$17*(1+Inputs!$C$18)^(AO$127-1)</f>
        <v>169.372685</v>
      </c>
      <c r="AP139" s="118" t="n">
        <f aca="false">Inputs!$C$17*(1+Inputs!$C$18)^(AP$127-1)</f>
        <v>169.372685</v>
      </c>
      <c r="AQ139" s="118" t="n">
        <f aca="false">Inputs!$C$17*(1+Inputs!$C$18)^(AQ$127-1)</f>
        <v>169.372685</v>
      </c>
      <c r="AR139" s="118" t="n">
        <f aca="false">Inputs!$C$17*(1+Inputs!$C$18)^(AR$127-1)</f>
        <v>169.372685</v>
      </c>
      <c r="AS139" s="118" t="n">
        <f aca="false">Inputs!$C$17*(1+Inputs!$C$18)^(AS$127-1)</f>
        <v>169.372685</v>
      </c>
      <c r="AT139" s="118" t="n">
        <f aca="false">Inputs!$C$17*(1+Inputs!$C$18)^(AT$127-1)</f>
        <v>169.372685</v>
      </c>
      <c r="AU139" s="118" t="n">
        <f aca="false">Inputs!$C$17*(1+Inputs!$C$18)^(AU$127-1)</f>
        <v>169.372685</v>
      </c>
      <c r="AV139" s="118" t="n">
        <f aca="false">Inputs!$C$17*(1+Inputs!$C$18)^(AV$127-1)</f>
        <v>169.372685</v>
      </c>
      <c r="AW139" s="118" t="n">
        <f aca="false">Inputs!$C$17*(1+Inputs!$C$18)^(AW$127-1)</f>
        <v>169.372685</v>
      </c>
      <c r="AX139" s="118" t="n">
        <f aca="false">Inputs!$C$17*(1+Inputs!$C$18)^(AX$127-1)</f>
        <v>169.372685</v>
      </c>
      <c r="AY139" s="118" t="n">
        <f aca="false">Inputs!$C$17*(1+Inputs!$C$18)^(AY$127-1)</f>
        <v>174.45386555</v>
      </c>
      <c r="AZ139" s="118" t="n">
        <f aca="false">Inputs!$C$17*(1+Inputs!$C$18)^(AZ$127-1)</f>
        <v>174.45386555</v>
      </c>
      <c r="BA139" s="118" t="n">
        <f aca="false">Inputs!$C$17*(1+Inputs!$C$18)^(BA$127-1)</f>
        <v>174.45386555</v>
      </c>
      <c r="BB139" s="118" t="n">
        <f aca="false">Inputs!$C$17*(1+Inputs!$C$18)^(BB$127-1)</f>
        <v>174.45386555</v>
      </c>
      <c r="BC139" s="118" t="n">
        <f aca="false">Inputs!$C$17*(1+Inputs!$C$18)^(BC$127-1)</f>
        <v>174.45386555</v>
      </c>
      <c r="BD139" s="118" t="n">
        <f aca="false">Inputs!$C$17*(1+Inputs!$C$18)^(BD$127-1)</f>
        <v>174.45386555</v>
      </c>
      <c r="BE139" s="118" t="n">
        <f aca="false">Inputs!$C$17*(1+Inputs!$C$18)^(BE$127-1)</f>
        <v>174.45386555</v>
      </c>
      <c r="BF139" s="118" t="n">
        <f aca="false">Inputs!$C$17*(1+Inputs!$C$18)^(BF$127-1)</f>
        <v>174.45386555</v>
      </c>
      <c r="BG139" s="118" t="n">
        <f aca="false">Inputs!$C$17*(1+Inputs!$C$18)^(BG$127-1)</f>
        <v>174.45386555</v>
      </c>
      <c r="BH139" s="118" t="n">
        <f aca="false">Inputs!$C$17*(1+Inputs!$C$18)^(BH$127-1)</f>
        <v>174.45386555</v>
      </c>
      <c r="BI139" s="118" t="n">
        <f aca="false">Inputs!$C$17*(1+Inputs!$C$18)^(BI$127-1)</f>
        <v>174.45386555</v>
      </c>
      <c r="BJ139" s="118" t="n">
        <f aca="false">Inputs!$C$17*(1+Inputs!$C$18)^(BJ$127-1)</f>
        <v>174.45386555</v>
      </c>
    </row>
    <row r="140" customFormat="false" ht="15" hidden="false" customHeight="false" outlineLevel="0" collapsed="false">
      <c r="A140" s="6" t="s">
        <v>235</v>
      </c>
      <c r="C140" s="67" t="n">
        <f aca="false">C135*C139</f>
        <v>10711.9466666667</v>
      </c>
      <c r="D140" s="67" t="n">
        <f aca="false">D135*D139</f>
        <v>12318.7386666667</v>
      </c>
      <c r="E140" s="67" t="n">
        <f aca="false">E135*E139</f>
        <v>13925.5306666667</v>
      </c>
      <c r="F140" s="67" t="n">
        <f aca="false">F135*F139</f>
        <v>15532.3226666667</v>
      </c>
      <c r="G140" s="67" t="n">
        <f aca="false">G135*G139</f>
        <v>17139.1146666667</v>
      </c>
      <c r="H140" s="67" t="n">
        <f aca="false">H135*H139</f>
        <v>25562.6</v>
      </c>
      <c r="I140" s="67" t="n">
        <f aca="false">I135*I139</f>
        <v>27753.68</v>
      </c>
      <c r="J140" s="67" t="n">
        <f aca="false">J135*J139</f>
        <v>29944.76</v>
      </c>
      <c r="K140" s="67" t="n">
        <f aca="false">K135*K139</f>
        <v>23566.2826666667</v>
      </c>
      <c r="L140" s="67" t="n">
        <f aca="false">L135*L139</f>
        <v>25173.0746666667</v>
      </c>
      <c r="M140" s="67" t="n">
        <f aca="false">M135*M139</f>
        <v>26779.8666666667</v>
      </c>
      <c r="N140" s="67" t="n">
        <f aca="false">N135*N139</f>
        <v>26779.8666666667</v>
      </c>
      <c r="O140" s="67" t="n">
        <f aca="false">O135*O139</f>
        <v>28134.92792</v>
      </c>
      <c r="P140" s="67" t="n">
        <f aca="false">P135*P139</f>
        <v>28134.92792</v>
      </c>
      <c r="Q140" s="67" t="n">
        <f aca="false">Q135*Q139</f>
        <v>28134.92792</v>
      </c>
      <c r="R140" s="67" t="n">
        <f aca="false">R135*R139</f>
        <v>28134.92792</v>
      </c>
      <c r="S140" s="67" t="n">
        <f aca="false">S135*S139</f>
        <v>28134.92792</v>
      </c>
      <c r="T140" s="67" t="n">
        <f aca="false">T135*T139</f>
        <v>38365.8108</v>
      </c>
      <c r="U140" s="67" t="n">
        <f aca="false">U135*U139</f>
        <v>38365.8108</v>
      </c>
      <c r="V140" s="67" t="n">
        <f aca="false">V135*V139</f>
        <v>38365.8108</v>
      </c>
      <c r="W140" s="67" t="n">
        <f aca="false">W135*W139</f>
        <v>28134.92792</v>
      </c>
      <c r="X140" s="67" t="n">
        <f aca="false">X135*X139</f>
        <v>28134.92792</v>
      </c>
      <c r="Y140" s="67" t="n">
        <f aca="false">Y135*Y139</f>
        <v>28134.92792</v>
      </c>
      <c r="Z140" s="67" t="n">
        <f aca="false">Z135*Z139</f>
        <v>28134.92792</v>
      </c>
      <c r="AA140" s="67" t="n">
        <f aca="false">AA135*AA139</f>
        <v>29558.555272752</v>
      </c>
      <c r="AB140" s="67" t="n">
        <f aca="false">AB135*AB139</f>
        <v>29558.555272752</v>
      </c>
      <c r="AC140" s="67" t="n">
        <f aca="false">AC135*AC139</f>
        <v>29558.555272752</v>
      </c>
      <c r="AD140" s="67" t="n">
        <f aca="false">AD135*AD139</f>
        <v>29558.555272752</v>
      </c>
      <c r="AE140" s="67" t="n">
        <f aca="false">AE135*AE139</f>
        <v>29558.555272752</v>
      </c>
      <c r="AF140" s="67" t="n">
        <f aca="false">AF135*AF139</f>
        <v>40307.12082648</v>
      </c>
      <c r="AG140" s="67" t="n">
        <f aca="false">AG135*AG139</f>
        <v>40307.12082648</v>
      </c>
      <c r="AH140" s="67" t="n">
        <f aca="false">AH135*AH139</f>
        <v>40307.12082648</v>
      </c>
      <c r="AI140" s="67" t="n">
        <f aca="false">AI135*AI139</f>
        <v>29558.555272752</v>
      </c>
      <c r="AJ140" s="67" t="n">
        <f aca="false">AJ135*AJ139</f>
        <v>29558.555272752</v>
      </c>
      <c r="AK140" s="67" t="n">
        <f aca="false">AK135*AK139</f>
        <v>29558.555272752</v>
      </c>
      <c r="AL140" s="67" t="n">
        <f aca="false">AL135*AL139</f>
        <v>29558.555272752</v>
      </c>
      <c r="AM140" s="67" t="n">
        <f aca="false">AM135*AM139</f>
        <v>31054.2181695533</v>
      </c>
      <c r="AN140" s="67" t="n">
        <f aca="false">AN135*AN139</f>
        <v>31054.2181695533</v>
      </c>
      <c r="AO140" s="67" t="n">
        <f aca="false">AO135*AO139</f>
        <v>31054.2181695533</v>
      </c>
      <c r="AP140" s="67" t="n">
        <f aca="false">AP135*AP139</f>
        <v>31054.2181695533</v>
      </c>
      <c r="AQ140" s="67" t="n">
        <f aca="false">AQ135*AQ139</f>
        <v>31054.2181695533</v>
      </c>
      <c r="AR140" s="67" t="n">
        <f aca="false">AR135*AR139</f>
        <v>42346.6611402999</v>
      </c>
      <c r="AS140" s="67" t="n">
        <f aca="false">AS135*AS139</f>
        <v>42346.6611402999</v>
      </c>
      <c r="AT140" s="67" t="n">
        <f aca="false">AT135*AT139</f>
        <v>42346.6611402999</v>
      </c>
      <c r="AU140" s="67" t="n">
        <f aca="false">AU135*AU139</f>
        <v>31054.2181695533</v>
      </c>
      <c r="AV140" s="67" t="n">
        <f aca="false">AV135*AV139</f>
        <v>31054.2181695533</v>
      </c>
      <c r="AW140" s="67" t="n">
        <f aca="false">AW135*AW139</f>
        <v>31054.2181695533</v>
      </c>
      <c r="AX140" s="67" t="n">
        <f aca="false">AX135*AX139</f>
        <v>31054.2181695533</v>
      </c>
      <c r="AY140" s="67" t="n">
        <f aca="false">AY135*AY139</f>
        <v>32625.5616089327</v>
      </c>
      <c r="AZ140" s="67" t="n">
        <f aca="false">AZ135*AZ139</f>
        <v>32625.5616089327</v>
      </c>
      <c r="BA140" s="67" t="n">
        <f aca="false">BA135*BA139</f>
        <v>32625.5616089327</v>
      </c>
      <c r="BB140" s="67" t="n">
        <f aca="false">BB135*BB139</f>
        <v>32625.5616089327</v>
      </c>
      <c r="BC140" s="67" t="n">
        <f aca="false">BC135*BC139</f>
        <v>32625.5616089327</v>
      </c>
      <c r="BD140" s="67" t="n">
        <f aca="false">BD135*BD139</f>
        <v>44489.4021939991</v>
      </c>
      <c r="BE140" s="67" t="n">
        <f aca="false">BE135*BE139</f>
        <v>44489.4021939991</v>
      </c>
      <c r="BF140" s="67" t="n">
        <f aca="false">BF135*BF139</f>
        <v>44489.4021939991</v>
      </c>
      <c r="BG140" s="67" t="n">
        <f aca="false">BG135*BG139</f>
        <v>32625.5616089327</v>
      </c>
      <c r="BH140" s="67" t="n">
        <f aca="false">BH135*BH139</f>
        <v>32625.5616089327</v>
      </c>
      <c r="BI140" s="67" t="n">
        <f aca="false">BI135*BI139</f>
        <v>32625.5616089327</v>
      </c>
      <c r="BJ140" s="67" t="n">
        <f aca="false">BJ135*BJ139</f>
        <v>32625.5616089327</v>
      </c>
    </row>
    <row r="141" customFormat="false" ht="15" hidden="false" customHeight="false" outlineLevel="0" collapsed="false">
      <c r="A141" s="6" t="s">
        <v>236</v>
      </c>
      <c r="C141" s="67" t="n">
        <f aca="false">C135*Inputs!$C$19*(1+Inputs!$C$18)^(C$127-1)</f>
        <v>829.312</v>
      </c>
      <c r="D141" s="67" t="n">
        <f aca="false">D135*Inputs!$C$19*(1+Inputs!$C$18)^(D$127-1)</f>
        <v>953.7088</v>
      </c>
      <c r="E141" s="67" t="n">
        <f aca="false">E135*Inputs!$C$19*(1+Inputs!$C$18)^(E$127-1)</f>
        <v>1078.1056</v>
      </c>
      <c r="F141" s="67" t="n">
        <f aca="false">F135*Inputs!$C$19*(1+Inputs!$C$18)^(F$127-1)</f>
        <v>1202.5024</v>
      </c>
      <c r="G141" s="67" t="n">
        <f aca="false">G135*Inputs!$C$19*(1+Inputs!$C$18)^(G$127-1)</f>
        <v>1326.8992</v>
      </c>
      <c r="H141" s="67" t="n">
        <f aca="false">H135*Inputs!$C$19*(1+Inputs!$C$18)^(H$127-1)</f>
        <v>1979.04</v>
      </c>
      <c r="I141" s="67" t="n">
        <f aca="false">I135*Inputs!$C$19*(1+Inputs!$C$18)^(I$127-1)</f>
        <v>2148.672</v>
      </c>
      <c r="J141" s="67" t="n">
        <f aca="false">J135*Inputs!$C$19*(1+Inputs!$C$18)^(J$127-1)</f>
        <v>2318.304</v>
      </c>
      <c r="K141" s="67" t="n">
        <f aca="false">K135*Inputs!$C$19*(1+Inputs!$C$18)^(K$127-1)</f>
        <v>1824.4864</v>
      </c>
      <c r="L141" s="67" t="n">
        <f aca="false">L135*Inputs!$C$19*(1+Inputs!$C$18)^(L$127-1)</f>
        <v>1948.8832</v>
      </c>
      <c r="M141" s="67" t="n">
        <f aca="false">M135*Inputs!$C$19*(1+Inputs!$C$18)^(M$127-1)</f>
        <v>2073.28</v>
      </c>
      <c r="N141" s="67" t="n">
        <f aca="false">N135*Inputs!$C$19*(1+Inputs!$C$18)^(N$127-1)</f>
        <v>2073.28</v>
      </c>
      <c r="O141" s="67" t="n">
        <f aca="false">O135*Inputs!$C$19*(1+Inputs!$C$18)^(O$127-1)</f>
        <v>2178.187968</v>
      </c>
      <c r="P141" s="67" t="n">
        <f aca="false">P135*Inputs!$C$19*(1+Inputs!$C$18)^(P$127-1)</f>
        <v>2178.187968</v>
      </c>
      <c r="Q141" s="67" t="n">
        <f aca="false">Q135*Inputs!$C$19*(1+Inputs!$C$18)^(Q$127-1)</f>
        <v>2178.187968</v>
      </c>
      <c r="R141" s="67" t="n">
        <f aca="false">R135*Inputs!$C$19*(1+Inputs!$C$18)^(R$127-1)</f>
        <v>2178.187968</v>
      </c>
      <c r="S141" s="67" t="n">
        <f aca="false">S135*Inputs!$C$19*(1+Inputs!$C$18)^(S$127-1)</f>
        <v>2178.187968</v>
      </c>
      <c r="T141" s="67" t="n">
        <f aca="false">T135*Inputs!$C$19*(1+Inputs!$C$18)^(T$127-1)</f>
        <v>2970.25632</v>
      </c>
      <c r="U141" s="67" t="n">
        <f aca="false">U135*Inputs!$C$19*(1+Inputs!$C$18)^(U$127-1)</f>
        <v>2970.25632</v>
      </c>
      <c r="V141" s="67" t="n">
        <f aca="false">V135*Inputs!$C$19*(1+Inputs!$C$18)^(V$127-1)</f>
        <v>2970.25632</v>
      </c>
      <c r="W141" s="67" t="n">
        <f aca="false">W135*Inputs!$C$19*(1+Inputs!$C$18)^(W$127-1)</f>
        <v>2178.187968</v>
      </c>
      <c r="X141" s="67" t="n">
        <f aca="false">X135*Inputs!$C$19*(1+Inputs!$C$18)^(X$127-1)</f>
        <v>2178.187968</v>
      </c>
      <c r="Y141" s="67" t="n">
        <f aca="false">Y135*Inputs!$C$19*(1+Inputs!$C$18)^(Y$127-1)</f>
        <v>2178.187968</v>
      </c>
      <c r="Z141" s="67" t="n">
        <f aca="false">Z135*Inputs!$C$19*(1+Inputs!$C$18)^(Z$127-1)</f>
        <v>2178.187968</v>
      </c>
      <c r="AA141" s="67" t="n">
        <f aca="false">AA135*Inputs!$C$19*(1+Inputs!$C$18)^(AA$127-1)</f>
        <v>2288.4042791808</v>
      </c>
      <c r="AB141" s="67" t="n">
        <f aca="false">AB135*Inputs!$C$19*(1+Inputs!$C$18)^(AB$127-1)</f>
        <v>2288.4042791808</v>
      </c>
      <c r="AC141" s="67" t="n">
        <f aca="false">AC135*Inputs!$C$19*(1+Inputs!$C$18)^(AC$127-1)</f>
        <v>2288.4042791808</v>
      </c>
      <c r="AD141" s="67" t="n">
        <f aca="false">AD135*Inputs!$C$19*(1+Inputs!$C$18)^(AD$127-1)</f>
        <v>2288.4042791808</v>
      </c>
      <c r="AE141" s="67" t="n">
        <f aca="false">AE135*Inputs!$C$19*(1+Inputs!$C$18)^(AE$127-1)</f>
        <v>2288.4042791808</v>
      </c>
      <c r="AF141" s="67" t="n">
        <f aca="false">AF135*Inputs!$C$19*(1+Inputs!$C$18)^(AF$127-1)</f>
        <v>3120.551289792</v>
      </c>
      <c r="AG141" s="67" t="n">
        <f aca="false">AG135*Inputs!$C$19*(1+Inputs!$C$18)^(AG$127-1)</f>
        <v>3120.551289792</v>
      </c>
      <c r="AH141" s="67" t="n">
        <f aca="false">AH135*Inputs!$C$19*(1+Inputs!$C$18)^(AH$127-1)</f>
        <v>3120.551289792</v>
      </c>
      <c r="AI141" s="67" t="n">
        <f aca="false">AI135*Inputs!$C$19*(1+Inputs!$C$18)^(AI$127-1)</f>
        <v>2288.4042791808</v>
      </c>
      <c r="AJ141" s="67" t="n">
        <f aca="false">AJ135*Inputs!$C$19*(1+Inputs!$C$18)^(AJ$127-1)</f>
        <v>2288.4042791808</v>
      </c>
      <c r="AK141" s="67" t="n">
        <f aca="false">AK135*Inputs!$C$19*(1+Inputs!$C$18)^(AK$127-1)</f>
        <v>2288.4042791808</v>
      </c>
      <c r="AL141" s="67" t="n">
        <f aca="false">AL135*Inputs!$C$19*(1+Inputs!$C$18)^(AL$127-1)</f>
        <v>2288.4042791808</v>
      </c>
      <c r="AM141" s="67" t="n">
        <f aca="false">AM135*Inputs!$C$19*(1+Inputs!$C$18)^(AM$127-1)</f>
        <v>2404.19753570735</v>
      </c>
      <c r="AN141" s="67" t="n">
        <f aca="false">AN135*Inputs!$C$19*(1+Inputs!$C$18)^(AN$127-1)</f>
        <v>2404.19753570735</v>
      </c>
      <c r="AO141" s="67" t="n">
        <f aca="false">AO135*Inputs!$C$19*(1+Inputs!$C$18)^(AO$127-1)</f>
        <v>2404.19753570735</v>
      </c>
      <c r="AP141" s="67" t="n">
        <f aca="false">AP135*Inputs!$C$19*(1+Inputs!$C$18)^(AP$127-1)</f>
        <v>2404.19753570735</v>
      </c>
      <c r="AQ141" s="67" t="n">
        <f aca="false">AQ135*Inputs!$C$19*(1+Inputs!$C$18)^(AQ$127-1)</f>
        <v>2404.19753570735</v>
      </c>
      <c r="AR141" s="67" t="n">
        <f aca="false">AR135*Inputs!$C$19*(1+Inputs!$C$18)^(AR$127-1)</f>
        <v>3278.45118505548</v>
      </c>
      <c r="AS141" s="67" t="n">
        <f aca="false">AS135*Inputs!$C$19*(1+Inputs!$C$18)^(AS$127-1)</f>
        <v>3278.45118505548</v>
      </c>
      <c r="AT141" s="67" t="n">
        <f aca="false">AT135*Inputs!$C$19*(1+Inputs!$C$18)^(AT$127-1)</f>
        <v>3278.45118505548</v>
      </c>
      <c r="AU141" s="67" t="n">
        <f aca="false">AU135*Inputs!$C$19*(1+Inputs!$C$18)^(AU$127-1)</f>
        <v>2404.19753570735</v>
      </c>
      <c r="AV141" s="67" t="n">
        <f aca="false">AV135*Inputs!$C$19*(1+Inputs!$C$18)^(AV$127-1)</f>
        <v>2404.19753570735</v>
      </c>
      <c r="AW141" s="67" t="n">
        <f aca="false">AW135*Inputs!$C$19*(1+Inputs!$C$18)^(AW$127-1)</f>
        <v>2404.19753570735</v>
      </c>
      <c r="AX141" s="67" t="n">
        <f aca="false">AX135*Inputs!$C$19*(1+Inputs!$C$18)^(AX$127-1)</f>
        <v>2404.19753570735</v>
      </c>
      <c r="AY141" s="67" t="n">
        <f aca="false">AY135*Inputs!$C$19*(1+Inputs!$C$18)^(AY$127-1)</f>
        <v>2525.84993101414</v>
      </c>
      <c r="AZ141" s="67" t="n">
        <f aca="false">AZ135*Inputs!$C$19*(1+Inputs!$C$18)^(AZ$127-1)</f>
        <v>2525.84993101414</v>
      </c>
      <c r="BA141" s="67" t="n">
        <f aca="false">BA135*Inputs!$C$19*(1+Inputs!$C$18)^(BA$127-1)</f>
        <v>2525.84993101414</v>
      </c>
      <c r="BB141" s="67" t="n">
        <f aca="false">BB135*Inputs!$C$19*(1+Inputs!$C$18)^(BB$127-1)</f>
        <v>2525.84993101414</v>
      </c>
      <c r="BC141" s="67" t="n">
        <f aca="false">BC135*Inputs!$C$19*(1+Inputs!$C$18)^(BC$127-1)</f>
        <v>2525.84993101414</v>
      </c>
      <c r="BD141" s="67" t="n">
        <f aca="false">BD135*Inputs!$C$19*(1+Inputs!$C$18)^(BD$127-1)</f>
        <v>3444.34081501928</v>
      </c>
      <c r="BE141" s="67" t="n">
        <f aca="false">BE135*Inputs!$C$19*(1+Inputs!$C$18)^(BE$127-1)</f>
        <v>3444.34081501928</v>
      </c>
      <c r="BF141" s="67" t="n">
        <f aca="false">BF135*Inputs!$C$19*(1+Inputs!$C$18)^(BF$127-1)</f>
        <v>3444.34081501928</v>
      </c>
      <c r="BG141" s="67" t="n">
        <f aca="false">BG135*Inputs!$C$19*(1+Inputs!$C$18)^(BG$127-1)</f>
        <v>2525.84993101414</v>
      </c>
      <c r="BH141" s="67" t="n">
        <f aca="false">BH135*Inputs!$C$19*(1+Inputs!$C$18)^(BH$127-1)</f>
        <v>2525.84993101414</v>
      </c>
      <c r="BI141" s="67" t="n">
        <f aca="false">BI135*Inputs!$C$19*(1+Inputs!$C$18)^(BI$127-1)</f>
        <v>2525.84993101414</v>
      </c>
      <c r="BJ141" s="67" t="n">
        <f aca="false">BJ135*Inputs!$C$19*(1+Inputs!$C$18)^(BJ$127-1)</f>
        <v>2525.84993101414</v>
      </c>
    </row>
    <row r="142" customFormat="false" ht="15" hidden="false" customHeight="false" outlineLevel="0" collapsed="false">
      <c r="A142" s="111" t="s">
        <v>44</v>
      </c>
      <c r="C142" s="68" t="n">
        <f aca="false">C140+C141</f>
        <v>11541.2586666667</v>
      </c>
      <c r="D142" s="68" t="n">
        <f aca="false">D140+D141</f>
        <v>13272.4474666667</v>
      </c>
      <c r="E142" s="68" t="n">
        <f aca="false">E140+E141</f>
        <v>15003.6362666667</v>
      </c>
      <c r="F142" s="68" t="n">
        <f aca="false">F140+F141</f>
        <v>16734.8250666667</v>
      </c>
      <c r="G142" s="68" t="n">
        <f aca="false">G140+G141</f>
        <v>18466.0138666667</v>
      </c>
      <c r="H142" s="68" t="n">
        <f aca="false">H140+H141</f>
        <v>27541.64</v>
      </c>
      <c r="I142" s="68" t="n">
        <f aca="false">I140+I141</f>
        <v>29902.352</v>
      </c>
      <c r="J142" s="68" t="n">
        <f aca="false">J140+J141</f>
        <v>32263.064</v>
      </c>
      <c r="K142" s="68" t="n">
        <f aca="false">K140+K141</f>
        <v>25390.7690666667</v>
      </c>
      <c r="L142" s="68" t="n">
        <f aca="false">L140+L141</f>
        <v>27121.9578666667</v>
      </c>
      <c r="M142" s="68" t="n">
        <f aca="false">M140+M141</f>
        <v>28853.1466666667</v>
      </c>
      <c r="N142" s="68" t="n">
        <f aca="false">N140+N141</f>
        <v>28853.1466666667</v>
      </c>
      <c r="O142" s="68" t="n">
        <f aca="false">O140+O141</f>
        <v>30313.115888</v>
      </c>
      <c r="P142" s="68" t="n">
        <f aca="false">P140+P141</f>
        <v>30313.115888</v>
      </c>
      <c r="Q142" s="68" t="n">
        <f aca="false">Q140+Q141</f>
        <v>30313.115888</v>
      </c>
      <c r="R142" s="68" t="n">
        <f aca="false">R140+R141</f>
        <v>30313.115888</v>
      </c>
      <c r="S142" s="68" t="n">
        <f aca="false">S140+S141</f>
        <v>30313.115888</v>
      </c>
      <c r="T142" s="68" t="n">
        <f aca="false">T140+T141</f>
        <v>41336.06712</v>
      </c>
      <c r="U142" s="68" t="n">
        <f aca="false">U140+U141</f>
        <v>41336.06712</v>
      </c>
      <c r="V142" s="68" t="n">
        <f aca="false">V140+V141</f>
        <v>41336.06712</v>
      </c>
      <c r="W142" s="68" t="n">
        <f aca="false">W140+W141</f>
        <v>30313.115888</v>
      </c>
      <c r="X142" s="68" t="n">
        <f aca="false">X140+X141</f>
        <v>30313.115888</v>
      </c>
      <c r="Y142" s="68" t="n">
        <f aca="false">Y140+Y141</f>
        <v>30313.115888</v>
      </c>
      <c r="Z142" s="68" t="n">
        <f aca="false">Z140+Z141</f>
        <v>30313.115888</v>
      </c>
      <c r="AA142" s="68" t="n">
        <f aca="false">AA140+AA141</f>
        <v>31846.9595519328</v>
      </c>
      <c r="AB142" s="68" t="n">
        <f aca="false">AB140+AB141</f>
        <v>31846.9595519328</v>
      </c>
      <c r="AC142" s="68" t="n">
        <f aca="false">AC140+AC141</f>
        <v>31846.9595519328</v>
      </c>
      <c r="AD142" s="68" t="n">
        <f aca="false">AD140+AD141</f>
        <v>31846.9595519328</v>
      </c>
      <c r="AE142" s="68" t="n">
        <f aca="false">AE140+AE141</f>
        <v>31846.9595519328</v>
      </c>
      <c r="AF142" s="68" t="n">
        <f aca="false">AF140+AF141</f>
        <v>43427.672116272</v>
      </c>
      <c r="AG142" s="68" t="n">
        <f aca="false">AG140+AG141</f>
        <v>43427.672116272</v>
      </c>
      <c r="AH142" s="68" t="n">
        <f aca="false">AH140+AH141</f>
        <v>43427.672116272</v>
      </c>
      <c r="AI142" s="68" t="n">
        <f aca="false">AI140+AI141</f>
        <v>31846.9595519328</v>
      </c>
      <c r="AJ142" s="68" t="n">
        <f aca="false">AJ140+AJ141</f>
        <v>31846.9595519328</v>
      </c>
      <c r="AK142" s="68" t="n">
        <f aca="false">AK140+AK141</f>
        <v>31846.9595519328</v>
      </c>
      <c r="AL142" s="68" t="n">
        <f aca="false">AL140+AL141</f>
        <v>31846.9595519328</v>
      </c>
      <c r="AM142" s="68" t="n">
        <f aca="false">AM140+AM141</f>
        <v>33458.4157052606</v>
      </c>
      <c r="AN142" s="68" t="n">
        <f aca="false">AN140+AN141</f>
        <v>33458.4157052606</v>
      </c>
      <c r="AO142" s="68" t="n">
        <f aca="false">AO140+AO141</f>
        <v>33458.4157052606</v>
      </c>
      <c r="AP142" s="68" t="n">
        <f aca="false">AP140+AP141</f>
        <v>33458.4157052606</v>
      </c>
      <c r="AQ142" s="68" t="n">
        <f aca="false">AQ140+AQ141</f>
        <v>33458.4157052606</v>
      </c>
      <c r="AR142" s="68" t="n">
        <f aca="false">AR140+AR141</f>
        <v>45625.1123253554</v>
      </c>
      <c r="AS142" s="68" t="n">
        <f aca="false">AS140+AS141</f>
        <v>45625.1123253554</v>
      </c>
      <c r="AT142" s="68" t="n">
        <f aca="false">AT140+AT141</f>
        <v>45625.1123253554</v>
      </c>
      <c r="AU142" s="68" t="n">
        <f aca="false">AU140+AU141</f>
        <v>33458.4157052606</v>
      </c>
      <c r="AV142" s="68" t="n">
        <f aca="false">AV140+AV141</f>
        <v>33458.4157052606</v>
      </c>
      <c r="AW142" s="68" t="n">
        <f aca="false">AW140+AW141</f>
        <v>33458.4157052606</v>
      </c>
      <c r="AX142" s="68" t="n">
        <f aca="false">AX140+AX141</f>
        <v>33458.4157052606</v>
      </c>
      <c r="AY142" s="68" t="n">
        <f aca="false">AY140+AY141</f>
        <v>35151.4115399468</v>
      </c>
      <c r="AZ142" s="68" t="n">
        <f aca="false">AZ140+AZ141</f>
        <v>35151.4115399468</v>
      </c>
      <c r="BA142" s="68" t="n">
        <f aca="false">BA140+BA141</f>
        <v>35151.4115399468</v>
      </c>
      <c r="BB142" s="68" t="n">
        <f aca="false">BB140+BB141</f>
        <v>35151.4115399468</v>
      </c>
      <c r="BC142" s="68" t="n">
        <f aca="false">BC140+BC141</f>
        <v>35151.4115399468</v>
      </c>
      <c r="BD142" s="68" t="n">
        <f aca="false">BD140+BD141</f>
        <v>47933.7430090184</v>
      </c>
      <c r="BE142" s="68" t="n">
        <f aca="false">BE140+BE141</f>
        <v>47933.7430090184</v>
      </c>
      <c r="BF142" s="68" t="n">
        <f aca="false">BF140+BF141</f>
        <v>47933.7430090184</v>
      </c>
      <c r="BG142" s="68" t="n">
        <f aca="false">BG140+BG141</f>
        <v>35151.4115399468</v>
      </c>
      <c r="BH142" s="68" t="n">
        <f aca="false">BH140+BH141</f>
        <v>35151.4115399468</v>
      </c>
      <c r="BI142" s="68" t="n">
        <f aca="false">BI140+BI141</f>
        <v>35151.4115399468</v>
      </c>
      <c r="BJ142" s="68" t="n">
        <f aca="false">BJ140+BJ141</f>
        <v>35151.4115399468</v>
      </c>
    </row>
    <row r="144" customFormat="false" ht="15.75" hidden="false" customHeight="true" outlineLevel="0" collapsed="false">
      <c r="A144" s="7" t="s">
        <v>76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customFormat="false" ht="15" hidden="false" customHeight="false" outlineLevel="0" collapsed="false">
      <c r="A145" s="6" t="s">
        <v>413</v>
      </c>
      <c r="C145" s="67" t="n">
        <f aca="false">C238</f>
        <v>-4600</v>
      </c>
      <c r="D145" s="67" t="n">
        <f aca="false">D238</f>
        <v>-4600</v>
      </c>
      <c r="E145" s="67" t="n">
        <f aca="false">E238</f>
        <v>-4600</v>
      </c>
      <c r="F145" s="67" t="n">
        <f aca="false">F238</f>
        <v>-4600</v>
      </c>
      <c r="G145" s="67" t="n">
        <f aca="false">G238</f>
        <v>-4600</v>
      </c>
      <c r="H145" s="67" t="n">
        <f aca="false">H238</f>
        <v>-4600</v>
      </c>
      <c r="I145" s="67" t="n">
        <f aca="false">I238</f>
        <v>-4600</v>
      </c>
      <c r="J145" s="67" t="n">
        <f aca="false">J238</f>
        <v>-4600</v>
      </c>
      <c r="K145" s="67" t="n">
        <f aca="false">K238</f>
        <v>-4600</v>
      </c>
      <c r="L145" s="67" t="n">
        <f aca="false">L238</f>
        <v>-4600</v>
      </c>
      <c r="M145" s="67" t="n">
        <f aca="false">M238</f>
        <v>-4600</v>
      </c>
      <c r="N145" s="67" t="n">
        <f aca="false">N238</f>
        <v>-4600</v>
      </c>
      <c r="O145" s="67" t="n">
        <f aca="false">O238</f>
        <v>-4738</v>
      </c>
      <c r="P145" s="67" t="n">
        <f aca="false">P238</f>
        <v>-4738</v>
      </c>
      <c r="Q145" s="67" t="n">
        <f aca="false">Q238</f>
        <v>-4738</v>
      </c>
      <c r="R145" s="67" t="n">
        <f aca="false">R238</f>
        <v>-4738</v>
      </c>
      <c r="S145" s="67" t="n">
        <f aca="false">S238</f>
        <v>-4738</v>
      </c>
      <c r="T145" s="67" t="n">
        <f aca="false">T238</f>
        <v>-4738</v>
      </c>
      <c r="U145" s="67" t="n">
        <f aca="false">U238</f>
        <v>-4738</v>
      </c>
      <c r="V145" s="67" t="n">
        <f aca="false">V238</f>
        <v>-4738</v>
      </c>
      <c r="W145" s="67" t="n">
        <f aca="false">W238</f>
        <v>-4738</v>
      </c>
      <c r="X145" s="67" t="n">
        <f aca="false">X238</f>
        <v>-4738</v>
      </c>
      <c r="Y145" s="67" t="n">
        <f aca="false">Y238</f>
        <v>-4738</v>
      </c>
      <c r="Z145" s="67" t="n">
        <f aca="false">Z238</f>
        <v>-4738</v>
      </c>
      <c r="AA145" s="67" t="n">
        <f aca="false">AA238</f>
        <v>-4880.14</v>
      </c>
      <c r="AB145" s="67" t="n">
        <f aca="false">AB238</f>
        <v>-4880.14</v>
      </c>
      <c r="AC145" s="67" t="n">
        <f aca="false">AC238</f>
        <v>-4880.14</v>
      </c>
      <c r="AD145" s="67" t="n">
        <f aca="false">AD238</f>
        <v>-4880.14</v>
      </c>
      <c r="AE145" s="67" t="n">
        <f aca="false">AE238</f>
        <v>-4880.14</v>
      </c>
      <c r="AF145" s="67" t="n">
        <f aca="false">AF238</f>
        <v>-4880.14</v>
      </c>
      <c r="AG145" s="67" t="n">
        <f aca="false">AG238</f>
        <v>-4880.14</v>
      </c>
      <c r="AH145" s="67" t="n">
        <f aca="false">AH238</f>
        <v>-4880.14</v>
      </c>
      <c r="AI145" s="67" t="n">
        <f aca="false">AI238</f>
        <v>-4880.14</v>
      </c>
      <c r="AJ145" s="67" t="n">
        <f aca="false">AJ238</f>
        <v>-4880.14</v>
      </c>
      <c r="AK145" s="67" t="n">
        <f aca="false">AK238</f>
        <v>-4880.14</v>
      </c>
      <c r="AL145" s="67" t="n">
        <f aca="false">AL238</f>
        <v>-4880.14</v>
      </c>
      <c r="AM145" s="67" t="n">
        <f aca="false">AM238</f>
        <v>-5026.5442</v>
      </c>
      <c r="AN145" s="67" t="n">
        <f aca="false">AN238</f>
        <v>-5026.5442</v>
      </c>
      <c r="AO145" s="67" t="n">
        <f aca="false">AO238</f>
        <v>-5026.5442</v>
      </c>
      <c r="AP145" s="67" t="n">
        <f aca="false">AP238</f>
        <v>-5026.5442</v>
      </c>
      <c r="AQ145" s="67" t="n">
        <f aca="false">AQ238</f>
        <v>-5026.5442</v>
      </c>
      <c r="AR145" s="67" t="n">
        <f aca="false">AR238</f>
        <v>-5026.5442</v>
      </c>
      <c r="AS145" s="67" t="n">
        <f aca="false">AS238</f>
        <v>-5026.5442</v>
      </c>
      <c r="AT145" s="67" t="n">
        <f aca="false">AT238</f>
        <v>-5026.5442</v>
      </c>
      <c r="AU145" s="67" t="n">
        <f aca="false">AU238</f>
        <v>-5026.5442</v>
      </c>
      <c r="AV145" s="67" t="n">
        <f aca="false">AV238</f>
        <v>-5026.5442</v>
      </c>
      <c r="AW145" s="67" t="n">
        <f aca="false">AW238</f>
        <v>-5026.5442</v>
      </c>
      <c r="AX145" s="67" t="n">
        <f aca="false">AX238</f>
        <v>-5026.5442</v>
      </c>
      <c r="AY145" s="67" t="n">
        <f aca="false">AY238</f>
        <v>-5177.340526</v>
      </c>
      <c r="AZ145" s="67" t="n">
        <f aca="false">AZ238</f>
        <v>-5177.340526</v>
      </c>
      <c r="BA145" s="67" t="n">
        <f aca="false">BA238</f>
        <v>-5177.340526</v>
      </c>
      <c r="BB145" s="67" t="n">
        <f aca="false">BB238</f>
        <v>-5177.340526</v>
      </c>
      <c r="BC145" s="67" t="n">
        <f aca="false">BC238</f>
        <v>-5177.340526</v>
      </c>
      <c r="BD145" s="67" t="n">
        <f aca="false">BD238</f>
        <v>-5177.340526</v>
      </c>
      <c r="BE145" s="67" t="n">
        <f aca="false">BE238</f>
        <v>-5177.340526</v>
      </c>
      <c r="BF145" s="67" t="n">
        <f aca="false">BF238</f>
        <v>-5177.340526</v>
      </c>
      <c r="BG145" s="67" t="n">
        <f aca="false">BG238</f>
        <v>-5177.340526</v>
      </c>
      <c r="BH145" s="67" t="n">
        <f aca="false">BH238</f>
        <v>-5177.340526</v>
      </c>
      <c r="BI145" s="67" t="n">
        <f aca="false">BI238</f>
        <v>-5177.340526</v>
      </c>
      <c r="BJ145" s="67" t="n">
        <f aca="false">BJ238</f>
        <v>-5177.340526</v>
      </c>
    </row>
    <row r="146" customFormat="false" ht="15" hidden="false" customHeight="false" outlineLevel="0" collapsed="false">
      <c r="A146" s="6" t="s">
        <v>414</v>
      </c>
      <c r="C146" s="67" t="n">
        <f aca="false">-C140*Inputs!$C$25*Inputs!$C$26</f>
        <v>-883.7356</v>
      </c>
      <c r="D146" s="67" t="n">
        <f aca="false">-D140*Inputs!$C$25*Inputs!$C$26</f>
        <v>-1016.29594</v>
      </c>
      <c r="E146" s="67" t="n">
        <f aca="false">-E140*Inputs!$C$25*Inputs!$C$26</f>
        <v>-1148.85628</v>
      </c>
      <c r="F146" s="67" t="n">
        <f aca="false">-F140*Inputs!$C$25*Inputs!$C$26</f>
        <v>-1281.41662</v>
      </c>
      <c r="G146" s="67" t="n">
        <f aca="false">-G140*Inputs!$C$25*Inputs!$C$26</f>
        <v>-1413.97696</v>
      </c>
      <c r="H146" s="67" t="n">
        <f aca="false">-H140*Inputs!$C$25*Inputs!$C$26</f>
        <v>-2108.9145</v>
      </c>
      <c r="I146" s="67" t="n">
        <f aca="false">-I140*Inputs!$C$25*Inputs!$C$26</f>
        <v>-2289.6786</v>
      </c>
      <c r="J146" s="67" t="n">
        <f aca="false">-J140*Inputs!$C$25*Inputs!$C$26</f>
        <v>-2470.4427</v>
      </c>
      <c r="K146" s="67" t="n">
        <f aca="false">-K140*Inputs!$C$25*Inputs!$C$26</f>
        <v>-1944.21832</v>
      </c>
      <c r="L146" s="67" t="n">
        <f aca="false">-L140*Inputs!$C$25*Inputs!$C$26</f>
        <v>-2076.77866</v>
      </c>
      <c r="M146" s="67" t="n">
        <f aca="false">-M140*Inputs!$C$25*Inputs!$C$26</f>
        <v>-2209.339</v>
      </c>
      <c r="N146" s="67" t="n">
        <f aca="false">-N140*Inputs!$C$25*Inputs!$C$26</f>
        <v>-2209.339</v>
      </c>
      <c r="O146" s="67" t="n">
        <f aca="false">-O140*Inputs!$C$25*Inputs!$C$26</f>
        <v>-2321.1315534</v>
      </c>
      <c r="P146" s="67" t="n">
        <f aca="false">-P140*Inputs!$C$25*Inputs!$C$26</f>
        <v>-2321.1315534</v>
      </c>
      <c r="Q146" s="67" t="n">
        <f aca="false">-Q140*Inputs!$C$25*Inputs!$C$26</f>
        <v>-2321.1315534</v>
      </c>
      <c r="R146" s="67" t="n">
        <f aca="false">-R140*Inputs!$C$25*Inputs!$C$26</f>
        <v>-2321.1315534</v>
      </c>
      <c r="S146" s="67" t="n">
        <f aca="false">-S140*Inputs!$C$25*Inputs!$C$26</f>
        <v>-2321.1315534</v>
      </c>
      <c r="T146" s="67" t="n">
        <f aca="false">-T140*Inputs!$C$25*Inputs!$C$26</f>
        <v>-3165.179391</v>
      </c>
      <c r="U146" s="67" t="n">
        <f aca="false">-U140*Inputs!$C$25*Inputs!$C$26</f>
        <v>-3165.179391</v>
      </c>
      <c r="V146" s="67" t="n">
        <f aca="false">-V140*Inputs!$C$25*Inputs!$C$26</f>
        <v>-3165.179391</v>
      </c>
      <c r="W146" s="67" t="n">
        <f aca="false">-W140*Inputs!$C$25*Inputs!$C$26</f>
        <v>-2321.1315534</v>
      </c>
      <c r="X146" s="67" t="n">
        <f aca="false">-X140*Inputs!$C$25*Inputs!$C$26</f>
        <v>-2321.1315534</v>
      </c>
      <c r="Y146" s="67" t="n">
        <f aca="false">-Y140*Inputs!$C$25*Inputs!$C$26</f>
        <v>-2321.1315534</v>
      </c>
      <c r="Z146" s="67" t="n">
        <f aca="false">-Z140*Inputs!$C$25*Inputs!$C$26</f>
        <v>-2321.1315534</v>
      </c>
      <c r="AA146" s="67" t="n">
        <f aca="false">-AA140*Inputs!$C$25*Inputs!$C$26</f>
        <v>-2438.58081000204</v>
      </c>
      <c r="AB146" s="67" t="n">
        <f aca="false">-AB140*Inputs!$C$25*Inputs!$C$26</f>
        <v>-2438.58081000204</v>
      </c>
      <c r="AC146" s="67" t="n">
        <f aca="false">-AC140*Inputs!$C$25*Inputs!$C$26</f>
        <v>-2438.58081000204</v>
      </c>
      <c r="AD146" s="67" t="n">
        <f aca="false">-AD140*Inputs!$C$25*Inputs!$C$26</f>
        <v>-2438.58081000204</v>
      </c>
      <c r="AE146" s="67" t="n">
        <f aca="false">-AE140*Inputs!$C$25*Inputs!$C$26</f>
        <v>-2438.58081000204</v>
      </c>
      <c r="AF146" s="67" t="n">
        <f aca="false">-AF140*Inputs!$C$25*Inputs!$C$26</f>
        <v>-3325.3374681846</v>
      </c>
      <c r="AG146" s="67" t="n">
        <f aca="false">-AG140*Inputs!$C$25*Inputs!$C$26</f>
        <v>-3325.3374681846</v>
      </c>
      <c r="AH146" s="67" t="n">
        <f aca="false">-AH140*Inputs!$C$25*Inputs!$C$26</f>
        <v>-3325.3374681846</v>
      </c>
      <c r="AI146" s="67" t="n">
        <f aca="false">-AI140*Inputs!$C$25*Inputs!$C$26</f>
        <v>-2438.58081000204</v>
      </c>
      <c r="AJ146" s="67" t="n">
        <f aca="false">-AJ140*Inputs!$C$25*Inputs!$C$26</f>
        <v>-2438.58081000204</v>
      </c>
      <c r="AK146" s="67" t="n">
        <f aca="false">-AK140*Inputs!$C$25*Inputs!$C$26</f>
        <v>-2438.58081000204</v>
      </c>
      <c r="AL146" s="67" t="n">
        <f aca="false">-AL140*Inputs!$C$25*Inputs!$C$26</f>
        <v>-2438.58081000204</v>
      </c>
      <c r="AM146" s="67" t="n">
        <f aca="false">-AM140*Inputs!$C$25*Inputs!$C$26</f>
        <v>-2561.97299898814</v>
      </c>
      <c r="AN146" s="67" t="n">
        <f aca="false">-AN140*Inputs!$C$25*Inputs!$C$26</f>
        <v>-2561.97299898814</v>
      </c>
      <c r="AO146" s="67" t="n">
        <f aca="false">-AO140*Inputs!$C$25*Inputs!$C$26</f>
        <v>-2561.97299898814</v>
      </c>
      <c r="AP146" s="67" t="n">
        <f aca="false">-AP140*Inputs!$C$25*Inputs!$C$26</f>
        <v>-2561.97299898814</v>
      </c>
      <c r="AQ146" s="67" t="n">
        <f aca="false">-AQ140*Inputs!$C$25*Inputs!$C$26</f>
        <v>-2561.97299898814</v>
      </c>
      <c r="AR146" s="67" t="n">
        <f aca="false">-AR140*Inputs!$C$25*Inputs!$C$26</f>
        <v>-3493.59954407474</v>
      </c>
      <c r="AS146" s="67" t="n">
        <f aca="false">-AS140*Inputs!$C$25*Inputs!$C$26</f>
        <v>-3493.59954407474</v>
      </c>
      <c r="AT146" s="67" t="n">
        <f aca="false">-AT140*Inputs!$C$25*Inputs!$C$26</f>
        <v>-3493.59954407474</v>
      </c>
      <c r="AU146" s="67" t="n">
        <f aca="false">-AU140*Inputs!$C$25*Inputs!$C$26</f>
        <v>-2561.97299898814</v>
      </c>
      <c r="AV146" s="67" t="n">
        <f aca="false">-AV140*Inputs!$C$25*Inputs!$C$26</f>
        <v>-2561.97299898814</v>
      </c>
      <c r="AW146" s="67" t="n">
        <f aca="false">-AW140*Inputs!$C$25*Inputs!$C$26</f>
        <v>-2561.97299898814</v>
      </c>
      <c r="AX146" s="67" t="n">
        <f aca="false">-AX140*Inputs!$C$25*Inputs!$C$26</f>
        <v>-2561.97299898814</v>
      </c>
      <c r="AY146" s="67" t="n">
        <f aca="false">-AY140*Inputs!$C$25*Inputs!$C$26</f>
        <v>-2691.60883273694</v>
      </c>
      <c r="AZ146" s="67" t="n">
        <f aca="false">-AZ140*Inputs!$C$25*Inputs!$C$26</f>
        <v>-2691.60883273694</v>
      </c>
      <c r="BA146" s="67" t="n">
        <f aca="false">-BA140*Inputs!$C$25*Inputs!$C$26</f>
        <v>-2691.60883273694</v>
      </c>
      <c r="BB146" s="67" t="n">
        <f aca="false">-BB140*Inputs!$C$25*Inputs!$C$26</f>
        <v>-2691.60883273694</v>
      </c>
      <c r="BC146" s="67" t="n">
        <f aca="false">-BC140*Inputs!$C$25*Inputs!$C$26</f>
        <v>-2691.60883273694</v>
      </c>
      <c r="BD146" s="67" t="n">
        <f aca="false">-BD140*Inputs!$C$25*Inputs!$C$26</f>
        <v>-3670.37568100492</v>
      </c>
      <c r="BE146" s="67" t="n">
        <f aca="false">-BE140*Inputs!$C$25*Inputs!$C$26</f>
        <v>-3670.37568100492</v>
      </c>
      <c r="BF146" s="67" t="n">
        <f aca="false">-BF140*Inputs!$C$25*Inputs!$C$26</f>
        <v>-3670.37568100492</v>
      </c>
      <c r="BG146" s="67" t="n">
        <f aca="false">-BG140*Inputs!$C$25*Inputs!$C$26</f>
        <v>-2691.60883273694</v>
      </c>
      <c r="BH146" s="67" t="n">
        <f aca="false">-BH140*Inputs!$C$25*Inputs!$C$26</f>
        <v>-2691.60883273694</v>
      </c>
      <c r="BI146" s="67" t="n">
        <f aca="false">-BI140*Inputs!$C$25*Inputs!$C$26</f>
        <v>-2691.60883273694</v>
      </c>
      <c r="BJ146" s="67" t="n">
        <f aca="false">-BJ140*Inputs!$C$25*Inputs!$C$26</f>
        <v>-2691.60883273694</v>
      </c>
    </row>
    <row r="147" customFormat="false" ht="15" hidden="false" customHeight="false" outlineLevel="0" collapsed="false">
      <c r="A147" s="6" t="s">
        <v>415</v>
      </c>
      <c r="C147" s="67" t="n">
        <f aca="false">-C141*Inputs!$C$22</f>
        <v>-414.656</v>
      </c>
      <c r="D147" s="67" t="n">
        <f aca="false">-D141*Inputs!$C$22</f>
        <v>-476.8544</v>
      </c>
      <c r="E147" s="67" t="n">
        <f aca="false">-E141*Inputs!$C$22</f>
        <v>-539.0528</v>
      </c>
      <c r="F147" s="67" t="n">
        <f aca="false">-F141*Inputs!$C$22</f>
        <v>-601.2512</v>
      </c>
      <c r="G147" s="67" t="n">
        <f aca="false">-G141*Inputs!$C$22</f>
        <v>-663.4496</v>
      </c>
      <c r="H147" s="67" t="n">
        <f aca="false">-H141*Inputs!$C$22</f>
        <v>-989.52</v>
      </c>
      <c r="I147" s="67" t="n">
        <f aca="false">-I141*Inputs!$C$22</f>
        <v>-1074.336</v>
      </c>
      <c r="J147" s="67" t="n">
        <f aca="false">-J141*Inputs!$C$22</f>
        <v>-1159.152</v>
      </c>
      <c r="K147" s="67" t="n">
        <f aca="false">-K141*Inputs!$C$22</f>
        <v>-912.2432</v>
      </c>
      <c r="L147" s="67" t="n">
        <f aca="false">-L141*Inputs!$C$22</f>
        <v>-974.4416</v>
      </c>
      <c r="M147" s="67" t="n">
        <f aca="false">-M141*Inputs!$C$22</f>
        <v>-1036.64</v>
      </c>
      <c r="N147" s="67" t="n">
        <f aca="false">-N141*Inputs!$C$22</f>
        <v>-1036.64</v>
      </c>
      <c r="O147" s="67" t="n">
        <f aca="false">-O141*Inputs!$C$22</f>
        <v>-1089.093984</v>
      </c>
      <c r="P147" s="67" t="n">
        <f aca="false">-P141*Inputs!$C$22</f>
        <v>-1089.093984</v>
      </c>
      <c r="Q147" s="67" t="n">
        <f aca="false">-Q141*Inputs!$C$22</f>
        <v>-1089.093984</v>
      </c>
      <c r="R147" s="67" t="n">
        <f aca="false">-R141*Inputs!$C$22</f>
        <v>-1089.093984</v>
      </c>
      <c r="S147" s="67" t="n">
        <f aca="false">-S141*Inputs!$C$22</f>
        <v>-1089.093984</v>
      </c>
      <c r="T147" s="67" t="n">
        <f aca="false">-T141*Inputs!$C$22</f>
        <v>-1485.12816</v>
      </c>
      <c r="U147" s="67" t="n">
        <f aca="false">-U141*Inputs!$C$22</f>
        <v>-1485.12816</v>
      </c>
      <c r="V147" s="67" t="n">
        <f aca="false">-V141*Inputs!$C$22</f>
        <v>-1485.12816</v>
      </c>
      <c r="W147" s="67" t="n">
        <f aca="false">-W141*Inputs!$C$22</f>
        <v>-1089.093984</v>
      </c>
      <c r="X147" s="67" t="n">
        <f aca="false">-X141*Inputs!$C$22</f>
        <v>-1089.093984</v>
      </c>
      <c r="Y147" s="67" t="n">
        <f aca="false">-Y141*Inputs!$C$22</f>
        <v>-1089.093984</v>
      </c>
      <c r="Z147" s="67" t="n">
        <f aca="false">-Z141*Inputs!$C$22</f>
        <v>-1089.093984</v>
      </c>
      <c r="AA147" s="67" t="n">
        <f aca="false">-AA141*Inputs!$C$22</f>
        <v>-1144.2021395904</v>
      </c>
      <c r="AB147" s="67" t="n">
        <f aca="false">-AB141*Inputs!$C$22</f>
        <v>-1144.2021395904</v>
      </c>
      <c r="AC147" s="67" t="n">
        <f aca="false">-AC141*Inputs!$C$22</f>
        <v>-1144.2021395904</v>
      </c>
      <c r="AD147" s="67" t="n">
        <f aca="false">-AD141*Inputs!$C$22</f>
        <v>-1144.2021395904</v>
      </c>
      <c r="AE147" s="67" t="n">
        <f aca="false">-AE141*Inputs!$C$22</f>
        <v>-1144.2021395904</v>
      </c>
      <c r="AF147" s="67" t="n">
        <f aca="false">-AF141*Inputs!$C$22</f>
        <v>-1560.275644896</v>
      </c>
      <c r="AG147" s="67" t="n">
        <f aca="false">-AG141*Inputs!$C$22</f>
        <v>-1560.275644896</v>
      </c>
      <c r="AH147" s="67" t="n">
        <f aca="false">-AH141*Inputs!$C$22</f>
        <v>-1560.275644896</v>
      </c>
      <c r="AI147" s="67" t="n">
        <f aca="false">-AI141*Inputs!$C$22</f>
        <v>-1144.2021395904</v>
      </c>
      <c r="AJ147" s="67" t="n">
        <f aca="false">-AJ141*Inputs!$C$22</f>
        <v>-1144.2021395904</v>
      </c>
      <c r="AK147" s="67" t="n">
        <f aca="false">-AK141*Inputs!$C$22</f>
        <v>-1144.2021395904</v>
      </c>
      <c r="AL147" s="67" t="n">
        <f aca="false">-AL141*Inputs!$C$22</f>
        <v>-1144.2021395904</v>
      </c>
      <c r="AM147" s="67" t="n">
        <f aca="false">-AM141*Inputs!$C$22</f>
        <v>-1202.09876785367</v>
      </c>
      <c r="AN147" s="67" t="n">
        <f aca="false">-AN141*Inputs!$C$22</f>
        <v>-1202.09876785367</v>
      </c>
      <c r="AO147" s="67" t="n">
        <f aca="false">-AO141*Inputs!$C$22</f>
        <v>-1202.09876785367</v>
      </c>
      <c r="AP147" s="67" t="n">
        <f aca="false">-AP141*Inputs!$C$22</f>
        <v>-1202.09876785367</v>
      </c>
      <c r="AQ147" s="67" t="n">
        <f aca="false">-AQ141*Inputs!$C$22</f>
        <v>-1202.09876785367</v>
      </c>
      <c r="AR147" s="67" t="n">
        <f aca="false">-AR141*Inputs!$C$22</f>
        <v>-1639.22559252774</v>
      </c>
      <c r="AS147" s="67" t="n">
        <f aca="false">-AS141*Inputs!$C$22</f>
        <v>-1639.22559252774</v>
      </c>
      <c r="AT147" s="67" t="n">
        <f aca="false">-AT141*Inputs!$C$22</f>
        <v>-1639.22559252774</v>
      </c>
      <c r="AU147" s="67" t="n">
        <f aca="false">-AU141*Inputs!$C$22</f>
        <v>-1202.09876785367</v>
      </c>
      <c r="AV147" s="67" t="n">
        <f aca="false">-AV141*Inputs!$C$22</f>
        <v>-1202.09876785367</v>
      </c>
      <c r="AW147" s="67" t="n">
        <f aca="false">-AW141*Inputs!$C$22</f>
        <v>-1202.09876785367</v>
      </c>
      <c r="AX147" s="67" t="n">
        <f aca="false">-AX141*Inputs!$C$22</f>
        <v>-1202.09876785367</v>
      </c>
      <c r="AY147" s="67" t="n">
        <f aca="false">-AY141*Inputs!$C$22</f>
        <v>-1262.92496550707</v>
      </c>
      <c r="AZ147" s="67" t="n">
        <f aca="false">-AZ141*Inputs!$C$22</f>
        <v>-1262.92496550707</v>
      </c>
      <c r="BA147" s="67" t="n">
        <f aca="false">-BA141*Inputs!$C$22</f>
        <v>-1262.92496550707</v>
      </c>
      <c r="BB147" s="67" t="n">
        <f aca="false">-BB141*Inputs!$C$22</f>
        <v>-1262.92496550707</v>
      </c>
      <c r="BC147" s="67" t="n">
        <f aca="false">-BC141*Inputs!$C$22</f>
        <v>-1262.92496550707</v>
      </c>
      <c r="BD147" s="67" t="n">
        <f aca="false">-BD141*Inputs!$C$22</f>
        <v>-1722.17040750964</v>
      </c>
      <c r="BE147" s="67" t="n">
        <f aca="false">-BE141*Inputs!$C$22</f>
        <v>-1722.17040750964</v>
      </c>
      <c r="BF147" s="67" t="n">
        <f aca="false">-BF141*Inputs!$C$22</f>
        <v>-1722.17040750964</v>
      </c>
      <c r="BG147" s="67" t="n">
        <f aca="false">-BG141*Inputs!$C$22</f>
        <v>-1262.92496550707</v>
      </c>
      <c r="BH147" s="67" t="n">
        <f aca="false">-BH141*Inputs!$C$22</f>
        <v>-1262.92496550707</v>
      </c>
      <c r="BI147" s="67" t="n">
        <f aca="false">-BI141*Inputs!$C$22</f>
        <v>-1262.92496550707</v>
      </c>
      <c r="BJ147" s="67" t="n">
        <f aca="false">-BJ141*Inputs!$C$22</f>
        <v>-1262.92496550707</v>
      </c>
    </row>
    <row r="148" customFormat="false" ht="15" hidden="false" customHeight="false" outlineLevel="0" collapsed="false">
      <c r="A148" s="6" t="s">
        <v>416</v>
      </c>
      <c r="C148" s="67" t="n">
        <f aca="false">-C136*Inputs!$C$23*(1+Inputs!$C$39)^(C$127-1)</f>
        <v>-691.093333333333</v>
      </c>
      <c r="D148" s="67" t="n">
        <f aca="false">-D136*Inputs!$C$23*(1+Inputs!$C$39)^(D$127-1)</f>
        <v>-794.757333333333</v>
      </c>
      <c r="E148" s="67" t="n">
        <f aca="false">-E136*Inputs!$C$23*(1+Inputs!$C$39)^(E$127-1)</f>
        <v>-898.421333333333</v>
      </c>
      <c r="F148" s="67" t="n">
        <f aca="false">-F136*Inputs!$C$23*(1+Inputs!$C$39)^(F$127-1)</f>
        <v>-1002.08533333333</v>
      </c>
      <c r="G148" s="67" t="n">
        <f aca="false">-G136*Inputs!$C$23*(1+Inputs!$C$39)^(G$127-1)</f>
        <v>-1105.74933333333</v>
      </c>
      <c r="H148" s="67" t="n">
        <f aca="false">-H136*Inputs!$C$23*(1+Inputs!$C$39)^(H$127-1)</f>
        <v>-1649.2</v>
      </c>
      <c r="I148" s="67" t="n">
        <f aca="false">-I136*Inputs!$C$23*(1+Inputs!$C$39)^(I$127-1)</f>
        <v>-1790.56</v>
      </c>
      <c r="J148" s="67" t="n">
        <f aca="false">-J136*Inputs!$C$23*(1+Inputs!$C$39)^(J$127-1)</f>
        <v>-1931.92</v>
      </c>
      <c r="K148" s="67" t="n">
        <f aca="false">-K136*Inputs!$C$23*(1+Inputs!$C$39)^(K$127-1)</f>
        <v>-1520.40533333333</v>
      </c>
      <c r="L148" s="67" t="n">
        <f aca="false">-L136*Inputs!$C$23*(1+Inputs!$C$39)^(L$127-1)</f>
        <v>-1624.06933333333</v>
      </c>
      <c r="M148" s="67" t="n">
        <f aca="false">-M136*Inputs!$C$23*(1+Inputs!$C$39)^(M$127-1)</f>
        <v>-1727.73333333333</v>
      </c>
      <c r="N148" s="67" t="n">
        <f aca="false">-N136*Inputs!$C$23*(1+Inputs!$C$39)^(N$127-1)</f>
        <v>-1727.73333333333</v>
      </c>
      <c r="O148" s="67" t="n">
        <f aca="false">-O136*Inputs!$C$23*(1+Inputs!$C$39)^(O$127-1)</f>
        <v>-1815.15664</v>
      </c>
      <c r="P148" s="67" t="n">
        <f aca="false">-P136*Inputs!$C$23*(1+Inputs!$C$39)^(P$127-1)</f>
        <v>-1815.15664</v>
      </c>
      <c r="Q148" s="67" t="n">
        <f aca="false">-Q136*Inputs!$C$23*(1+Inputs!$C$39)^(Q$127-1)</f>
        <v>-1815.15664</v>
      </c>
      <c r="R148" s="67" t="n">
        <f aca="false">-R136*Inputs!$C$23*(1+Inputs!$C$39)^(R$127-1)</f>
        <v>-1815.15664</v>
      </c>
      <c r="S148" s="67" t="n">
        <f aca="false">-S136*Inputs!$C$23*(1+Inputs!$C$39)^(S$127-1)</f>
        <v>-1815.15664</v>
      </c>
      <c r="T148" s="67" t="n">
        <f aca="false">-T136*Inputs!$C$23*(1+Inputs!$C$39)^(T$127-1)</f>
        <v>-2475.2136</v>
      </c>
      <c r="U148" s="67" t="n">
        <f aca="false">-U136*Inputs!$C$23*(1+Inputs!$C$39)^(U$127-1)</f>
        <v>-2475.2136</v>
      </c>
      <c r="V148" s="67" t="n">
        <f aca="false">-V136*Inputs!$C$23*(1+Inputs!$C$39)^(V$127-1)</f>
        <v>-2475.2136</v>
      </c>
      <c r="W148" s="67" t="n">
        <f aca="false">-W136*Inputs!$C$23*(1+Inputs!$C$39)^(W$127-1)</f>
        <v>-1815.15664</v>
      </c>
      <c r="X148" s="67" t="n">
        <f aca="false">-X136*Inputs!$C$23*(1+Inputs!$C$39)^(X$127-1)</f>
        <v>-1815.15664</v>
      </c>
      <c r="Y148" s="67" t="n">
        <f aca="false">-Y136*Inputs!$C$23*(1+Inputs!$C$39)^(Y$127-1)</f>
        <v>-1815.15664</v>
      </c>
      <c r="Z148" s="67" t="n">
        <f aca="false">-Z136*Inputs!$C$23*(1+Inputs!$C$39)^(Z$127-1)</f>
        <v>-1815.15664</v>
      </c>
      <c r="AA148" s="67" t="n">
        <f aca="false">-AA136*Inputs!$C$23*(1+Inputs!$C$39)^(AA$127-1)</f>
        <v>-1907.003565984</v>
      </c>
      <c r="AB148" s="67" t="n">
        <f aca="false">-AB136*Inputs!$C$23*(1+Inputs!$C$39)^(AB$127-1)</f>
        <v>-1907.003565984</v>
      </c>
      <c r="AC148" s="67" t="n">
        <f aca="false">-AC136*Inputs!$C$23*(1+Inputs!$C$39)^(AC$127-1)</f>
        <v>-1907.003565984</v>
      </c>
      <c r="AD148" s="67" t="n">
        <f aca="false">-AD136*Inputs!$C$23*(1+Inputs!$C$39)^(AD$127-1)</f>
        <v>-1907.003565984</v>
      </c>
      <c r="AE148" s="67" t="n">
        <f aca="false">-AE136*Inputs!$C$23*(1+Inputs!$C$39)^(AE$127-1)</f>
        <v>-1907.003565984</v>
      </c>
      <c r="AF148" s="67" t="n">
        <f aca="false">-AF136*Inputs!$C$23*(1+Inputs!$C$39)^(AF$127-1)</f>
        <v>-2600.45940816</v>
      </c>
      <c r="AG148" s="67" t="n">
        <f aca="false">-AG136*Inputs!$C$23*(1+Inputs!$C$39)^(AG$127-1)</f>
        <v>-2600.45940816</v>
      </c>
      <c r="AH148" s="67" t="n">
        <f aca="false">-AH136*Inputs!$C$23*(1+Inputs!$C$39)^(AH$127-1)</f>
        <v>-2600.45940816</v>
      </c>
      <c r="AI148" s="67" t="n">
        <f aca="false">-AI136*Inputs!$C$23*(1+Inputs!$C$39)^(AI$127-1)</f>
        <v>-1907.003565984</v>
      </c>
      <c r="AJ148" s="67" t="n">
        <f aca="false">-AJ136*Inputs!$C$23*(1+Inputs!$C$39)^(AJ$127-1)</f>
        <v>-1907.003565984</v>
      </c>
      <c r="AK148" s="67" t="n">
        <f aca="false">-AK136*Inputs!$C$23*(1+Inputs!$C$39)^(AK$127-1)</f>
        <v>-1907.003565984</v>
      </c>
      <c r="AL148" s="67" t="n">
        <f aca="false">-AL136*Inputs!$C$23*(1+Inputs!$C$39)^(AL$127-1)</f>
        <v>-1907.003565984</v>
      </c>
      <c r="AM148" s="67" t="n">
        <f aca="false">-AM136*Inputs!$C$23*(1+Inputs!$C$39)^(AM$127-1)</f>
        <v>-2003.49794642279</v>
      </c>
      <c r="AN148" s="67" t="n">
        <f aca="false">-AN136*Inputs!$C$23*(1+Inputs!$C$39)^(AN$127-1)</f>
        <v>-2003.49794642279</v>
      </c>
      <c r="AO148" s="67" t="n">
        <f aca="false">-AO136*Inputs!$C$23*(1+Inputs!$C$39)^(AO$127-1)</f>
        <v>-2003.49794642279</v>
      </c>
      <c r="AP148" s="67" t="n">
        <f aca="false">-AP136*Inputs!$C$23*(1+Inputs!$C$39)^(AP$127-1)</f>
        <v>-2003.49794642279</v>
      </c>
      <c r="AQ148" s="67" t="n">
        <f aca="false">-AQ136*Inputs!$C$23*(1+Inputs!$C$39)^(AQ$127-1)</f>
        <v>-2003.49794642279</v>
      </c>
      <c r="AR148" s="67" t="n">
        <f aca="false">-AR136*Inputs!$C$23*(1+Inputs!$C$39)^(AR$127-1)</f>
        <v>-2732.0426542129</v>
      </c>
      <c r="AS148" s="67" t="n">
        <f aca="false">-AS136*Inputs!$C$23*(1+Inputs!$C$39)^(AS$127-1)</f>
        <v>-2732.0426542129</v>
      </c>
      <c r="AT148" s="67" t="n">
        <f aca="false">-AT136*Inputs!$C$23*(1+Inputs!$C$39)^(AT$127-1)</f>
        <v>-2732.0426542129</v>
      </c>
      <c r="AU148" s="67" t="n">
        <f aca="false">-AU136*Inputs!$C$23*(1+Inputs!$C$39)^(AU$127-1)</f>
        <v>-2003.49794642279</v>
      </c>
      <c r="AV148" s="67" t="n">
        <f aca="false">-AV136*Inputs!$C$23*(1+Inputs!$C$39)^(AV$127-1)</f>
        <v>-2003.49794642279</v>
      </c>
      <c r="AW148" s="67" t="n">
        <f aca="false">-AW136*Inputs!$C$23*(1+Inputs!$C$39)^(AW$127-1)</f>
        <v>-2003.49794642279</v>
      </c>
      <c r="AX148" s="67" t="n">
        <f aca="false">-AX136*Inputs!$C$23*(1+Inputs!$C$39)^(AX$127-1)</f>
        <v>-2003.49794642279</v>
      </c>
      <c r="AY148" s="67" t="n">
        <f aca="false">-AY136*Inputs!$C$23*(1+Inputs!$C$39)^(AY$127-1)</f>
        <v>-2104.87494251178</v>
      </c>
      <c r="AZ148" s="67" t="n">
        <f aca="false">-AZ136*Inputs!$C$23*(1+Inputs!$C$39)^(AZ$127-1)</f>
        <v>-2104.87494251178</v>
      </c>
      <c r="BA148" s="67" t="n">
        <f aca="false">-BA136*Inputs!$C$23*(1+Inputs!$C$39)^(BA$127-1)</f>
        <v>-2104.87494251178</v>
      </c>
      <c r="BB148" s="67" t="n">
        <f aca="false">-BB136*Inputs!$C$23*(1+Inputs!$C$39)^(BB$127-1)</f>
        <v>-2104.87494251178</v>
      </c>
      <c r="BC148" s="67" t="n">
        <f aca="false">-BC136*Inputs!$C$23*(1+Inputs!$C$39)^(BC$127-1)</f>
        <v>-2104.87494251178</v>
      </c>
      <c r="BD148" s="67" t="n">
        <f aca="false">-BD136*Inputs!$C$23*(1+Inputs!$C$39)^(BD$127-1)</f>
        <v>-2870.28401251607</v>
      </c>
      <c r="BE148" s="67" t="n">
        <f aca="false">-BE136*Inputs!$C$23*(1+Inputs!$C$39)^(BE$127-1)</f>
        <v>-2870.28401251607</v>
      </c>
      <c r="BF148" s="67" t="n">
        <f aca="false">-BF136*Inputs!$C$23*(1+Inputs!$C$39)^(BF$127-1)</f>
        <v>-2870.28401251607</v>
      </c>
      <c r="BG148" s="67" t="n">
        <f aca="false">-BG136*Inputs!$C$23*(1+Inputs!$C$39)^(BG$127-1)</f>
        <v>-2104.87494251178</v>
      </c>
      <c r="BH148" s="67" t="n">
        <f aca="false">-BH136*Inputs!$C$23*(1+Inputs!$C$39)^(BH$127-1)</f>
        <v>-2104.87494251178</v>
      </c>
      <c r="BI148" s="67" t="n">
        <f aca="false">-BI136*Inputs!$C$23*(1+Inputs!$C$39)^(BI$127-1)</f>
        <v>-2104.87494251178</v>
      </c>
      <c r="BJ148" s="67" t="n">
        <f aca="false">-BJ136*Inputs!$C$23*(1+Inputs!$C$39)^(BJ$127-1)</f>
        <v>-2104.87494251178</v>
      </c>
    </row>
    <row r="149" customFormat="false" ht="15" hidden="false" customHeight="false" outlineLevel="0" collapsed="false">
      <c r="A149" s="6" t="s">
        <v>417</v>
      </c>
      <c r="C149" s="67" t="n">
        <f aca="false">-C135*Inputs!$C$24*(1+Inputs!$C$39)^(C$127-1)</f>
        <v>-276.437333333333</v>
      </c>
      <c r="D149" s="67" t="n">
        <f aca="false">-D135*Inputs!$C$24*(1+Inputs!$C$39)^(D$127-1)</f>
        <v>-317.902933333333</v>
      </c>
      <c r="E149" s="67" t="n">
        <f aca="false">-E135*Inputs!$C$24*(1+Inputs!$C$39)^(E$127-1)</f>
        <v>-359.368533333333</v>
      </c>
      <c r="F149" s="67" t="n">
        <f aca="false">-F135*Inputs!$C$24*(1+Inputs!$C$39)^(F$127-1)</f>
        <v>-400.834133333333</v>
      </c>
      <c r="G149" s="67" t="n">
        <f aca="false">-G135*Inputs!$C$24*(1+Inputs!$C$39)^(G$127-1)</f>
        <v>-442.299733333333</v>
      </c>
      <c r="H149" s="67" t="n">
        <f aca="false">-H135*Inputs!$C$24*(1+Inputs!$C$39)^(H$127-1)</f>
        <v>-659.68</v>
      </c>
      <c r="I149" s="67" t="n">
        <f aca="false">-I135*Inputs!$C$24*(1+Inputs!$C$39)^(I$127-1)</f>
        <v>-716.224</v>
      </c>
      <c r="J149" s="67" t="n">
        <f aca="false">-J135*Inputs!$C$24*(1+Inputs!$C$39)^(J$127-1)</f>
        <v>-772.768</v>
      </c>
      <c r="K149" s="67" t="n">
        <f aca="false">-K135*Inputs!$C$24*(1+Inputs!$C$39)^(K$127-1)</f>
        <v>-608.162133333333</v>
      </c>
      <c r="L149" s="67" t="n">
        <f aca="false">-L135*Inputs!$C$24*(1+Inputs!$C$39)^(L$127-1)</f>
        <v>-649.627733333333</v>
      </c>
      <c r="M149" s="67" t="n">
        <f aca="false">-M135*Inputs!$C$24*(1+Inputs!$C$39)^(M$127-1)</f>
        <v>-691.093333333333</v>
      </c>
      <c r="N149" s="67" t="n">
        <f aca="false">-N135*Inputs!$C$24*(1+Inputs!$C$39)^(N$127-1)</f>
        <v>-691.093333333333</v>
      </c>
      <c r="O149" s="67" t="n">
        <f aca="false">-O135*Inputs!$C$24*(1+Inputs!$C$39)^(O$127-1)</f>
        <v>-726.062656</v>
      </c>
      <c r="P149" s="67" t="n">
        <f aca="false">-P135*Inputs!$C$24*(1+Inputs!$C$39)^(P$127-1)</f>
        <v>-726.062656</v>
      </c>
      <c r="Q149" s="67" t="n">
        <f aca="false">-Q135*Inputs!$C$24*(1+Inputs!$C$39)^(Q$127-1)</f>
        <v>-726.062656</v>
      </c>
      <c r="R149" s="67" t="n">
        <f aca="false">-R135*Inputs!$C$24*(1+Inputs!$C$39)^(R$127-1)</f>
        <v>-726.062656</v>
      </c>
      <c r="S149" s="67" t="n">
        <f aca="false">-S135*Inputs!$C$24*(1+Inputs!$C$39)^(S$127-1)</f>
        <v>-726.062656</v>
      </c>
      <c r="T149" s="67" t="n">
        <f aca="false">-T135*Inputs!$C$24*(1+Inputs!$C$39)^(T$127-1)</f>
        <v>-990.08544</v>
      </c>
      <c r="U149" s="67" t="n">
        <f aca="false">-U135*Inputs!$C$24*(1+Inputs!$C$39)^(U$127-1)</f>
        <v>-990.08544</v>
      </c>
      <c r="V149" s="67" t="n">
        <f aca="false">-V135*Inputs!$C$24*(1+Inputs!$C$39)^(V$127-1)</f>
        <v>-990.08544</v>
      </c>
      <c r="W149" s="67" t="n">
        <f aca="false">-W135*Inputs!$C$24*(1+Inputs!$C$39)^(W$127-1)</f>
        <v>-726.062656</v>
      </c>
      <c r="X149" s="67" t="n">
        <f aca="false">-X135*Inputs!$C$24*(1+Inputs!$C$39)^(X$127-1)</f>
        <v>-726.062656</v>
      </c>
      <c r="Y149" s="67" t="n">
        <f aca="false">-Y135*Inputs!$C$24*(1+Inputs!$C$39)^(Y$127-1)</f>
        <v>-726.062656</v>
      </c>
      <c r="Z149" s="67" t="n">
        <f aca="false">-Z135*Inputs!$C$24*(1+Inputs!$C$39)^(Z$127-1)</f>
        <v>-726.062656</v>
      </c>
      <c r="AA149" s="67" t="n">
        <f aca="false">-AA135*Inputs!$C$24*(1+Inputs!$C$39)^(AA$127-1)</f>
        <v>-762.8014263936</v>
      </c>
      <c r="AB149" s="67" t="n">
        <f aca="false">-AB135*Inputs!$C$24*(1+Inputs!$C$39)^(AB$127-1)</f>
        <v>-762.8014263936</v>
      </c>
      <c r="AC149" s="67" t="n">
        <f aca="false">-AC135*Inputs!$C$24*(1+Inputs!$C$39)^(AC$127-1)</f>
        <v>-762.8014263936</v>
      </c>
      <c r="AD149" s="67" t="n">
        <f aca="false">-AD135*Inputs!$C$24*(1+Inputs!$C$39)^(AD$127-1)</f>
        <v>-762.8014263936</v>
      </c>
      <c r="AE149" s="67" t="n">
        <f aca="false">-AE135*Inputs!$C$24*(1+Inputs!$C$39)^(AE$127-1)</f>
        <v>-762.8014263936</v>
      </c>
      <c r="AF149" s="67" t="n">
        <f aca="false">-AF135*Inputs!$C$24*(1+Inputs!$C$39)^(AF$127-1)</f>
        <v>-1040.183763264</v>
      </c>
      <c r="AG149" s="67" t="n">
        <f aca="false">-AG135*Inputs!$C$24*(1+Inputs!$C$39)^(AG$127-1)</f>
        <v>-1040.183763264</v>
      </c>
      <c r="AH149" s="67" t="n">
        <f aca="false">-AH135*Inputs!$C$24*(1+Inputs!$C$39)^(AH$127-1)</f>
        <v>-1040.183763264</v>
      </c>
      <c r="AI149" s="67" t="n">
        <f aca="false">-AI135*Inputs!$C$24*(1+Inputs!$C$39)^(AI$127-1)</f>
        <v>-762.8014263936</v>
      </c>
      <c r="AJ149" s="67" t="n">
        <f aca="false">-AJ135*Inputs!$C$24*(1+Inputs!$C$39)^(AJ$127-1)</f>
        <v>-762.8014263936</v>
      </c>
      <c r="AK149" s="67" t="n">
        <f aca="false">-AK135*Inputs!$C$24*(1+Inputs!$C$39)^(AK$127-1)</f>
        <v>-762.8014263936</v>
      </c>
      <c r="AL149" s="67" t="n">
        <f aca="false">-AL135*Inputs!$C$24*(1+Inputs!$C$39)^(AL$127-1)</f>
        <v>-762.8014263936</v>
      </c>
      <c r="AM149" s="67" t="n">
        <f aca="false">-AM135*Inputs!$C$24*(1+Inputs!$C$39)^(AM$127-1)</f>
        <v>-801.399178569116</v>
      </c>
      <c r="AN149" s="67" t="n">
        <f aca="false">-AN135*Inputs!$C$24*(1+Inputs!$C$39)^(AN$127-1)</f>
        <v>-801.399178569116</v>
      </c>
      <c r="AO149" s="67" t="n">
        <f aca="false">-AO135*Inputs!$C$24*(1+Inputs!$C$39)^(AO$127-1)</f>
        <v>-801.399178569116</v>
      </c>
      <c r="AP149" s="67" t="n">
        <f aca="false">-AP135*Inputs!$C$24*(1+Inputs!$C$39)^(AP$127-1)</f>
        <v>-801.399178569116</v>
      </c>
      <c r="AQ149" s="67" t="n">
        <f aca="false">-AQ135*Inputs!$C$24*(1+Inputs!$C$39)^(AQ$127-1)</f>
        <v>-801.399178569116</v>
      </c>
      <c r="AR149" s="67" t="n">
        <f aca="false">-AR135*Inputs!$C$24*(1+Inputs!$C$39)^(AR$127-1)</f>
        <v>-1092.81706168516</v>
      </c>
      <c r="AS149" s="67" t="n">
        <f aca="false">-AS135*Inputs!$C$24*(1+Inputs!$C$39)^(AS$127-1)</f>
        <v>-1092.81706168516</v>
      </c>
      <c r="AT149" s="67" t="n">
        <f aca="false">-AT135*Inputs!$C$24*(1+Inputs!$C$39)^(AT$127-1)</f>
        <v>-1092.81706168516</v>
      </c>
      <c r="AU149" s="67" t="n">
        <f aca="false">-AU135*Inputs!$C$24*(1+Inputs!$C$39)^(AU$127-1)</f>
        <v>-801.399178569116</v>
      </c>
      <c r="AV149" s="67" t="n">
        <f aca="false">-AV135*Inputs!$C$24*(1+Inputs!$C$39)^(AV$127-1)</f>
        <v>-801.399178569116</v>
      </c>
      <c r="AW149" s="67" t="n">
        <f aca="false">-AW135*Inputs!$C$24*(1+Inputs!$C$39)^(AW$127-1)</f>
        <v>-801.399178569116</v>
      </c>
      <c r="AX149" s="67" t="n">
        <f aca="false">-AX135*Inputs!$C$24*(1+Inputs!$C$39)^(AX$127-1)</f>
        <v>-801.399178569116</v>
      </c>
      <c r="AY149" s="67" t="n">
        <f aca="false">-AY135*Inputs!$C$24*(1+Inputs!$C$39)^(AY$127-1)</f>
        <v>-841.949977004714</v>
      </c>
      <c r="AZ149" s="67" t="n">
        <f aca="false">-AZ135*Inputs!$C$24*(1+Inputs!$C$39)^(AZ$127-1)</f>
        <v>-841.949977004714</v>
      </c>
      <c r="BA149" s="67" t="n">
        <f aca="false">-BA135*Inputs!$C$24*(1+Inputs!$C$39)^(BA$127-1)</f>
        <v>-841.949977004714</v>
      </c>
      <c r="BB149" s="67" t="n">
        <f aca="false">-BB135*Inputs!$C$24*(1+Inputs!$C$39)^(BB$127-1)</f>
        <v>-841.949977004714</v>
      </c>
      <c r="BC149" s="67" t="n">
        <f aca="false">-BC135*Inputs!$C$24*(1+Inputs!$C$39)^(BC$127-1)</f>
        <v>-841.949977004714</v>
      </c>
      <c r="BD149" s="67" t="n">
        <f aca="false">-BD135*Inputs!$C$24*(1+Inputs!$C$39)^(BD$127-1)</f>
        <v>-1148.11360500643</v>
      </c>
      <c r="BE149" s="67" t="n">
        <f aca="false">-BE135*Inputs!$C$24*(1+Inputs!$C$39)^(BE$127-1)</f>
        <v>-1148.11360500643</v>
      </c>
      <c r="BF149" s="67" t="n">
        <f aca="false">-BF135*Inputs!$C$24*(1+Inputs!$C$39)^(BF$127-1)</f>
        <v>-1148.11360500643</v>
      </c>
      <c r="BG149" s="67" t="n">
        <f aca="false">-BG135*Inputs!$C$24*(1+Inputs!$C$39)^(BG$127-1)</f>
        <v>-841.949977004714</v>
      </c>
      <c r="BH149" s="67" t="n">
        <f aca="false">-BH135*Inputs!$C$24*(1+Inputs!$C$39)^(BH$127-1)</f>
        <v>-841.949977004714</v>
      </c>
      <c r="BI149" s="67" t="n">
        <f aca="false">-BI135*Inputs!$C$24*(1+Inputs!$C$39)^(BI$127-1)</f>
        <v>-841.949977004714</v>
      </c>
      <c r="BJ149" s="67" t="n">
        <f aca="false">-BJ135*Inputs!$C$24*(1+Inputs!$C$39)^(BJ$127-1)</f>
        <v>-841.949977004714</v>
      </c>
    </row>
    <row r="150" customFormat="false" ht="15" hidden="false" customHeight="false" outlineLevel="0" collapsed="false">
      <c r="A150" s="4" t="s">
        <v>76</v>
      </c>
      <c r="C150" s="73" t="n">
        <f aca="false">C145+C146+C147+C148+C149</f>
        <v>-6865.92226666667</v>
      </c>
      <c r="D150" s="73" t="n">
        <f aca="false">D145+D146+D147+D148+D149</f>
        <v>-7205.81060666667</v>
      </c>
      <c r="E150" s="73" t="n">
        <f aca="false">E145+E146+E147+E148+E149</f>
        <v>-7545.69894666667</v>
      </c>
      <c r="F150" s="73" t="n">
        <f aca="false">F145+F146+F147+F148+F149</f>
        <v>-7885.58728666667</v>
      </c>
      <c r="G150" s="73" t="n">
        <f aca="false">G145+G146+G147+G148+G149</f>
        <v>-8225.47562666667</v>
      </c>
      <c r="H150" s="73" t="n">
        <f aca="false">H145+H146+H147+H148+H149</f>
        <v>-10007.3145</v>
      </c>
      <c r="I150" s="73" t="n">
        <f aca="false">I145+I146+I147+I148+I149</f>
        <v>-10470.7986</v>
      </c>
      <c r="J150" s="73" t="n">
        <f aca="false">J145+J146+J147+J148+J149</f>
        <v>-10934.2827</v>
      </c>
      <c r="K150" s="73" t="n">
        <f aca="false">K145+K146+K147+K148+K149</f>
        <v>-9585.02898666667</v>
      </c>
      <c r="L150" s="73" t="n">
        <f aca="false">L145+L146+L147+L148+L149</f>
        <v>-9924.91732666667</v>
      </c>
      <c r="M150" s="73" t="n">
        <f aca="false">M145+M146+M147+M148+M149</f>
        <v>-10264.8056666667</v>
      </c>
      <c r="N150" s="73" t="n">
        <f aca="false">N145+N146+N147+N148+N149</f>
        <v>-10264.8056666667</v>
      </c>
      <c r="O150" s="73" t="n">
        <f aca="false">O145+O146+O147+O148+O149</f>
        <v>-10689.4448334</v>
      </c>
      <c r="P150" s="73" t="n">
        <f aca="false">P145+P146+P147+P148+P149</f>
        <v>-10689.4448334</v>
      </c>
      <c r="Q150" s="73" t="n">
        <f aca="false">Q145+Q146+Q147+Q148+Q149</f>
        <v>-10689.4448334</v>
      </c>
      <c r="R150" s="73" t="n">
        <f aca="false">R145+R146+R147+R148+R149</f>
        <v>-10689.4448334</v>
      </c>
      <c r="S150" s="73" t="n">
        <f aca="false">S145+S146+S147+S148+S149</f>
        <v>-10689.4448334</v>
      </c>
      <c r="T150" s="73" t="n">
        <f aca="false">T145+T146+T147+T148+T149</f>
        <v>-12853.606591</v>
      </c>
      <c r="U150" s="73" t="n">
        <f aca="false">U145+U146+U147+U148+U149</f>
        <v>-12853.606591</v>
      </c>
      <c r="V150" s="73" t="n">
        <f aca="false">V145+V146+V147+V148+V149</f>
        <v>-12853.606591</v>
      </c>
      <c r="W150" s="73" t="n">
        <f aca="false">W145+W146+W147+W148+W149</f>
        <v>-10689.4448334</v>
      </c>
      <c r="X150" s="73" t="n">
        <f aca="false">X145+X146+X147+X148+X149</f>
        <v>-10689.4448334</v>
      </c>
      <c r="Y150" s="73" t="n">
        <f aca="false">Y145+Y146+Y147+Y148+Y149</f>
        <v>-10689.4448334</v>
      </c>
      <c r="Z150" s="73" t="n">
        <f aca="false">Z145+Z146+Z147+Z148+Z149</f>
        <v>-10689.4448334</v>
      </c>
      <c r="AA150" s="73" t="n">
        <f aca="false">AA145+AA146+AA147+AA148+AA149</f>
        <v>-11132.72794197</v>
      </c>
      <c r="AB150" s="73" t="n">
        <f aca="false">AB145+AB146+AB147+AB148+AB149</f>
        <v>-11132.72794197</v>
      </c>
      <c r="AC150" s="73" t="n">
        <f aca="false">AC145+AC146+AC147+AC148+AC149</f>
        <v>-11132.72794197</v>
      </c>
      <c r="AD150" s="73" t="n">
        <f aca="false">AD145+AD146+AD147+AD148+AD149</f>
        <v>-11132.72794197</v>
      </c>
      <c r="AE150" s="73" t="n">
        <f aca="false">AE145+AE146+AE147+AE148+AE149</f>
        <v>-11132.72794197</v>
      </c>
      <c r="AF150" s="73" t="n">
        <f aca="false">AF145+AF146+AF147+AF148+AF149</f>
        <v>-13406.3962845046</v>
      </c>
      <c r="AG150" s="73" t="n">
        <f aca="false">AG145+AG146+AG147+AG148+AG149</f>
        <v>-13406.3962845046</v>
      </c>
      <c r="AH150" s="73" t="n">
        <f aca="false">AH145+AH146+AH147+AH148+AH149</f>
        <v>-13406.3962845046</v>
      </c>
      <c r="AI150" s="73" t="n">
        <f aca="false">AI145+AI146+AI147+AI148+AI149</f>
        <v>-11132.72794197</v>
      </c>
      <c r="AJ150" s="73" t="n">
        <f aca="false">AJ145+AJ146+AJ147+AJ148+AJ149</f>
        <v>-11132.72794197</v>
      </c>
      <c r="AK150" s="73" t="n">
        <f aca="false">AK145+AK146+AK147+AK148+AK149</f>
        <v>-11132.72794197</v>
      </c>
      <c r="AL150" s="73" t="n">
        <f aca="false">AL145+AL146+AL147+AL148+AL149</f>
        <v>-11132.72794197</v>
      </c>
      <c r="AM150" s="73" t="n">
        <f aca="false">AM145+AM146+AM147+AM148+AM149</f>
        <v>-11595.5130918337</v>
      </c>
      <c r="AN150" s="73" t="n">
        <f aca="false">AN145+AN146+AN147+AN148+AN149</f>
        <v>-11595.5130918337</v>
      </c>
      <c r="AO150" s="73" t="n">
        <f aca="false">AO145+AO146+AO147+AO148+AO149</f>
        <v>-11595.5130918337</v>
      </c>
      <c r="AP150" s="73" t="n">
        <f aca="false">AP145+AP146+AP147+AP148+AP149</f>
        <v>-11595.5130918337</v>
      </c>
      <c r="AQ150" s="73" t="n">
        <f aca="false">AQ145+AQ146+AQ147+AQ148+AQ149</f>
        <v>-11595.5130918337</v>
      </c>
      <c r="AR150" s="73" t="n">
        <f aca="false">AR145+AR146+AR147+AR148+AR149</f>
        <v>-13984.2290525005</v>
      </c>
      <c r="AS150" s="73" t="n">
        <f aca="false">AS145+AS146+AS147+AS148+AS149</f>
        <v>-13984.2290525005</v>
      </c>
      <c r="AT150" s="73" t="n">
        <f aca="false">AT145+AT146+AT147+AT148+AT149</f>
        <v>-13984.2290525005</v>
      </c>
      <c r="AU150" s="73" t="n">
        <f aca="false">AU145+AU146+AU147+AU148+AU149</f>
        <v>-11595.5130918337</v>
      </c>
      <c r="AV150" s="73" t="n">
        <f aca="false">AV145+AV146+AV147+AV148+AV149</f>
        <v>-11595.5130918337</v>
      </c>
      <c r="AW150" s="73" t="n">
        <f aca="false">AW145+AW146+AW147+AW148+AW149</f>
        <v>-11595.5130918337</v>
      </c>
      <c r="AX150" s="73" t="n">
        <f aca="false">AX145+AX146+AX147+AX148+AX149</f>
        <v>-11595.5130918337</v>
      </c>
      <c r="AY150" s="73" t="n">
        <f aca="false">AY145+AY146+AY147+AY148+AY149</f>
        <v>-12078.6992437605</v>
      </c>
      <c r="AZ150" s="73" t="n">
        <f aca="false">AZ145+AZ146+AZ147+AZ148+AZ149</f>
        <v>-12078.6992437605</v>
      </c>
      <c r="BA150" s="73" t="n">
        <f aca="false">BA145+BA146+BA147+BA148+BA149</f>
        <v>-12078.6992437605</v>
      </c>
      <c r="BB150" s="73" t="n">
        <f aca="false">BB145+BB146+BB147+BB148+BB149</f>
        <v>-12078.6992437605</v>
      </c>
      <c r="BC150" s="73" t="n">
        <f aca="false">BC145+BC146+BC147+BC148+BC149</f>
        <v>-12078.6992437605</v>
      </c>
      <c r="BD150" s="73" t="n">
        <f aca="false">BD145+BD146+BD147+BD148+BD149</f>
        <v>-14588.2842320371</v>
      </c>
      <c r="BE150" s="73" t="n">
        <f aca="false">BE145+BE146+BE147+BE148+BE149</f>
        <v>-14588.2842320371</v>
      </c>
      <c r="BF150" s="73" t="n">
        <f aca="false">BF145+BF146+BF147+BF148+BF149</f>
        <v>-14588.2842320371</v>
      </c>
      <c r="BG150" s="73" t="n">
        <f aca="false">BG145+BG146+BG147+BG148+BG149</f>
        <v>-12078.6992437605</v>
      </c>
      <c r="BH150" s="73" t="n">
        <f aca="false">BH145+BH146+BH147+BH148+BH149</f>
        <v>-12078.6992437605</v>
      </c>
      <c r="BI150" s="73" t="n">
        <f aca="false">BI145+BI146+BI147+BI148+BI149</f>
        <v>-12078.6992437605</v>
      </c>
      <c r="BJ150" s="73" t="n">
        <f aca="false">BJ145+BJ146+BJ147+BJ148+BJ149</f>
        <v>-12078.6992437605</v>
      </c>
    </row>
    <row r="151" customFormat="false" ht="15" hidden="false" customHeight="false" outlineLevel="0" collapsed="false">
      <c r="A151" s="111" t="s">
        <v>45</v>
      </c>
      <c r="C151" s="68" t="n">
        <f aca="false">C142+C150</f>
        <v>4675.3364</v>
      </c>
      <c r="D151" s="68" t="n">
        <f aca="false">D142+D150</f>
        <v>6066.63686</v>
      </c>
      <c r="E151" s="68" t="n">
        <f aca="false">E142+E150</f>
        <v>7457.93732</v>
      </c>
      <c r="F151" s="68" t="n">
        <f aca="false">F142+F150</f>
        <v>8849.23778</v>
      </c>
      <c r="G151" s="68" t="n">
        <f aca="false">G142+G150</f>
        <v>10240.53824</v>
      </c>
      <c r="H151" s="68" t="n">
        <f aca="false">H142+H150</f>
        <v>17534.3255</v>
      </c>
      <c r="I151" s="68" t="n">
        <f aca="false">I142+I150</f>
        <v>19431.5534</v>
      </c>
      <c r="J151" s="68" t="n">
        <f aca="false">J142+J150</f>
        <v>21328.7813</v>
      </c>
      <c r="K151" s="68" t="n">
        <f aca="false">K142+K150</f>
        <v>15805.74008</v>
      </c>
      <c r="L151" s="68" t="n">
        <f aca="false">L142+L150</f>
        <v>17197.04054</v>
      </c>
      <c r="M151" s="68" t="n">
        <f aca="false">M142+M150</f>
        <v>18588.341</v>
      </c>
      <c r="N151" s="68" t="n">
        <f aca="false">N142+N150</f>
        <v>18588.341</v>
      </c>
      <c r="O151" s="68" t="n">
        <f aca="false">O142+O150</f>
        <v>19623.6710546</v>
      </c>
      <c r="P151" s="68" t="n">
        <f aca="false">P142+P150</f>
        <v>19623.6710546</v>
      </c>
      <c r="Q151" s="68" t="n">
        <f aca="false">Q142+Q150</f>
        <v>19623.6710546</v>
      </c>
      <c r="R151" s="68" t="n">
        <f aca="false">R142+R150</f>
        <v>19623.6710546</v>
      </c>
      <c r="S151" s="68" t="n">
        <f aca="false">S142+S150</f>
        <v>19623.6710546</v>
      </c>
      <c r="T151" s="68" t="n">
        <f aca="false">T142+T150</f>
        <v>28482.460529</v>
      </c>
      <c r="U151" s="68" t="n">
        <f aca="false">U142+U150</f>
        <v>28482.460529</v>
      </c>
      <c r="V151" s="68" t="n">
        <f aca="false">V142+V150</f>
        <v>28482.460529</v>
      </c>
      <c r="W151" s="68" t="n">
        <f aca="false">W142+W150</f>
        <v>19623.6710546</v>
      </c>
      <c r="X151" s="68" t="n">
        <f aca="false">X142+X150</f>
        <v>19623.6710546</v>
      </c>
      <c r="Y151" s="68" t="n">
        <f aca="false">Y142+Y150</f>
        <v>19623.6710546</v>
      </c>
      <c r="Z151" s="68" t="n">
        <f aca="false">Z142+Z150</f>
        <v>19623.6710546</v>
      </c>
      <c r="AA151" s="68" t="n">
        <f aca="false">AA142+AA150</f>
        <v>20714.2316099628</v>
      </c>
      <c r="AB151" s="68" t="n">
        <f aca="false">AB142+AB150</f>
        <v>20714.2316099628</v>
      </c>
      <c r="AC151" s="68" t="n">
        <f aca="false">AC142+AC150</f>
        <v>20714.2316099628</v>
      </c>
      <c r="AD151" s="68" t="n">
        <f aca="false">AD142+AD150</f>
        <v>20714.2316099628</v>
      </c>
      <c r="AE151" s="68" t="n">
        <f aca="false">AE142+AE150</f>
        <v>20714.2316099628</v>
      </c>
      <c r="AF151" s="68" t="n">
        <f aca="false">AF142+AF150</f>
        <v>30021.2758317674</v>
      </c>
      <c r="AG151" s="68" t="n">
        <f aca="false">AG142+AG150</f>
        <v>30021.2758317674</v>
      </c>
      <c r="AH151" s="68" t="n">
        <f aca="false">AH142+AH150</f>
        <v>30021.2758317674</v>
      </c>
      <c r="AI151" s="68" t="n">
        <f aca="false">AI142+AI150</f>
        <v>20714.2316099628</v>
      </c>
      <c r="AJ151" s="68" t="n">
        <f aca="false">AJ142+AJ150</f>
        <v>20714.2316099628</v>
      </c>
      <c r="AK151" s="68" t="n">
        <f aca="false">AK142+AK150</f>
        <v>20714.2316099628</v>
      </c>
      <c r="AL151" s="68" t="n">
        <f aca="false">AL142+AL150</f>
        <v>20714.2316099628</v>
      </c>
      <c r="AM151" s="68" t="n">
        <f aca="false">AM142+AM150</f>
        <v>21862.9026134269</v>
      </c>
      <c r="AN151" s="68" t="n">
        <f aca="false">AN142+AN150</f>
        <v>21862.9026134269</v>
      </c>
      <c r="AO151" s="68" t="n">
        <f aca="false">AO142+AO150</f>
        <v>21862.9026134269</v>
      </c>
      <c r="AP151" s="68" t="n">
        <f aca="false">AP142+AP150</f>
        <v>21862.9026134269</v>
      </c>
      <c r="AQ151" s="68" t="n">
        <f aca="false">AQ142+AQ150</f>
        <v>21862.9026134269</v>
      </c>
      <c r="AR151" s="68" t="n">
        <f aca="false">AR142+AR150</f>
        <v>31640.8832728548</v>
      </c>
      <c r="AS151" s="68" t="n">
        <f aca="false">AS142+AS150</f>
        <v>31640.8832728548</v>
      </c>
      <c r="AT151" s="68" t="n">
        <f aca="false">AT142+AT150</f>
        <v>31640.8832728548</v>
      </c>
      <c r="AU151" s="68" t="n">
        <f aca="false">AU142+AU150</f>
        <v>21862.9026134269</v>
      </c>
      <c r="AV151" s="68" t="n">
        <f aca="false">AV142+AV150</f>
        <v>21862.9026134269</v>
      </c>
      <c r="AW151" s="68" t="n">
        <f aca="false">AW142+AW150</f>
        <v>21862.9026134269</v>
      </c>
      <c r="AX151" s="68" t="n">
        <f aca="false">AX142+AX150</f>
        <v>21862.9026134269</v>
      </c>
      <c r="AY151" s="68" t="n">
        <f aca="false">AY142+AY150</f>
        <v>23072.7122961863</v>
      </c>
      <c r="AZ151" s="68" t="n">
        <f aca="false">AZ142+AZ150</f>
        <v>23072.7122961863</v>
      </c>
      <c r="BA151" s="68" t="n">
        <f aca="false">BA142+BA150</f>
        <v>23072.7122961863</v>
      </c>
      <c r="BB151" s="68" t="n">
        <f aca="false">BB142+BB150</f>
        <v>23072.7122961863</v>
      </c>
      <c r="BC151" s="68" t="n">
        <f aca="false">BC142+BC150</f>
        <v>23072.7122961863</v>
      </c>
      <c r="BD151" s="68" t="n">
        <f aca="false">BD142+BD150</f>
        <v>33345.4587769813</v>
      </c>
      <c r="BE151" s="68" t="n">
        <f aca="false">BE142+BE150</f>
        <v>33345.4587769813</v>
      </c>
      <c r="BF151" s="68" t="n">
        <f aca="false">BF142+BF150</f>
        <v>33345.4587769813</v>
      </c>
      <c r="BG151" s="68" t="n">
        <f aca="false">BG142+BG150</f>
        <v>23072.7122961863</v>
      </c>
      <c r="BH151" s="68" t="n">
        <f aca="false">BH142+BH150</f>
        <v>23072.7122961863</v>
      </c>
      <c r="BI151" s="68" t="n">
        <f aca="false">BI142+BI150</f>
        <v>23072.7122961863</v>
      </c>
      <c r="BJ151" s="68" t="n">
        <f aca="false">BJ142+BJ150</f>
        <v>23072.7122961863</v>
      </c>
    </row>
    <row r="153" customFormat="false" ht="15.75" hidden="false" customHeight="true" outlineLevel="0" collapsed="false">
      <c r="A153" s="7" t="s">
        <v>47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customFormat="false" ht="15" hidden="false" customHeight="false" outlineLevel="0" collapsed="false">
      <c r="A154" s="6" t="s">
        <v>328</v>
      </c>
      <c r="C154" s="67" t="n">
        <f aca="false">C241-C238</f>
        <v>-5558.33333333333</v>
      </c>
      <c r="D154" s="67" t="n">
        <f aca="false">D241-D238</f>
        <v>-5558.33333333333</v>
      </c>
      <c r="E154" s="67" t="n">
        <f aca="false">E241-E238</f>
        <v>-5558.33333333333</v>
      </c>
      <c r="F154" s="67" t="n">
        <f aca="false">F241-F238</f>
        <v>-5558.33333333333</v>
      </c>
      <c r="G154" s="67" t="n">
        <f aca="false">G241-G238</f>
        <v>-5558.33333333333</v>
      </c>
      <c r="H154" s="67" t="n">
        <f aca="false">H241-H238</f>
        <v>-5558.33333333333</v>
      </c>
      <c r="I154" s="67" t="n">
        <f aca="false">I241-I238</f>
        <v>-5558.33333333333</v>
      </c>
      <c r="J154" s="67" t="n">
        <f aca="false">J241-J238</f>
        <v>-5558.33333333333</v>
      </c>
      <c r="K154" s="67" t="n">
        <f aca="false">K241-K238</f>
        <v>-5558.33333333333</v>
      </c>
      <c r="L154" s="67" t="n">
        <f aca="false">L241-L238</f>
        <v>-5558.33333333333</v>
      </c>
      <c r="M154" s="67" t="n">
        <f aca="false">M241-M238</f>
        <v>-5558.33333333333</v>
      </c>
      <c r="N154" s="67" t="n">
        <f aca="false">N241-N238</f>
        <v>-5558.33333333333</v>
      </c>
      <c r="O154" s="67" t="n">
        <f aca="false">O241-O238</f>
        <v>-5725.08333333333</v>
      </c>
      <c r="P154" s="67" t="n">
        <f aca="false">P241-P238</f>
        <v>-5725.08333333333</v>
      </c>
      <c r="Q154" s="67" t="n">
        <f aca="false">Q241-Q238</f>
        <v>-5725.08333333333</v>
      </c>
      <c r="R154" s="67" t="n">
        <f aca="false">R241-R238</f>
        <v>-5725.08333333333</v>
      </c>
      <c r="S154" s="67" t="n">
        <f aca="false">S241-S238</f>
        <v>-5725.08333333333</v>
      </c>
      <c r="T154" s="67" t="n">
        <f aca="false">T241-T238</f>
        <v>-5725.08333333333</v>
      </c>
      <c r="U154" s="67" t="n">
        <f aca="false">U241-U238</f>
        <v>-5725.08333333333</v>
      </c>
      <c r="V154" s="67" t="n">
        <f aca="false">V241-V238</f>
        <v>-5725.08333333333</v>
      </c>
      <c r="W154" s="67" t="n">
        <f aca="false">W241-W238</f>
        <v>-5725.08333333333</v>
      </c>
      <c r="X154" s="67" t="n">
        <f aca="false">X241-X238</f>
        <v>-5725.08333333333</v>
      </c>
      <c r="Y154" s="67" t="n">
        <f aca="false">Y241-Y238</f>
        <v>-5725.08333333333</v>
      </c>
      <c r="Z154" s="67" t="n">
        <f aca="false">Z241-Z238</f>
        <v>-5725.08333333333</v>
      </c>
      <c r="AA154" s="67" t="n">
        <f aca="false">AA241-AA238</f>
        <v>-5896.83583333333</v>
      </c>
      <c r="AB154" s="67" t="n">
        <f aca="false">AB241-AB238</f>
        <v>-5896.83583333333</v>
      </c>
      <c r="AC154" s="67" t="n">
        <f aca="false">AC241-AC238</f>
        <v>-5896.83583333333</v>
      </c>
      <c r="AD154" s="67" t="n">
        <f aca="false">AD241-AD238</f>
        <v>-5896.83583333333</v>
      </c>
      <c r="AE154" s="67" t="n">
        <f aca="false">AE241-AE238</f>
        <v>-5896.83583333333</v>
      </c>
      <c r="AF154" s="67" t="n">
        <f aca="false">AF241-AF238</f>
        <v>-5896.83583333333</v>
      </c>
      <c r="AG154" s="67" t="n">
        <f aca="false">AG241-AG238</f>
        <v>-5896.83583333333</v>
      </c>
      <c r="AH154" s="67" t="n">
        <f aca="false">AH241-AH238</f>
        <v>-5896.83583333333</v>
      </c>
      <c r="AI154" s="67" t="n">
        <f aca="false">AI241-AI238</f>
        <v>-5896.83583333333</v>
      </c>
      <c r="AJ154" s="67" t="n">
        <f aca="false">AJ241-AJ238</f>
        <v>-5896.83583333333</v>
      </c>
      <c r="AK154" s="67" t="n">
        <f aca="false">AK241-AK238</f>
        <v>-5896.83583333333</v>
      </c>
      <c r="AL154" s="67" t="n">
        <f aca="false">AL241-AL238</f>
        <v>-5896.83583333333</v>
      </c>
      <c r="AM154" s="67" t="n">
        <f aca="false">AM241-AM238</f>
        <v>-6073.74090833333</v>
      </c>
      <c r="AN154" s="67" t="n">
        <f aca="false">AN241-AN238</f>
        <v>-6073.74090833333</v>
      </c>
      <c r="AO154" s="67" t="n">
        <f aca="false">AO241-AO238</f>
        <v>-6073.74090833333</v>
      </c>
      <c r="AP154" s="67" t="n">
        <f aca="false">AP241-AP238</f>
        <v>-6073.74090833333</v>
      </c>
      <c r="AQ154" s="67" t="n">
        <f aca="false">AQ241-AQ238</f>
        <v>-6073.74090833333</v>
      </c>
      <c r="AR154" s="67" t="n">
        <f aca="false">AR241-AR238</f>
        <v>-6073.74090833333</v>
      </c>
      <c r="AS154" s="67" t="n">
        <f aca="false">AS241-AS238</f>
        <v>-6073.74090833333</v>
      </c>
      <c r="AT154" s="67" t="n">
        <f aca="false">AT241-AT238</f>
        <v>-6073.74090833333</v>
      </c>
      <c r="AU154" s="67" t="n">
        <f aca="false">AU241-AU238</f>
        <v>-6073.74090833333</v>
      </c>
      <c r="AV154" s="67" t="n">
        <f aca="false">AV241-AV238</f>
        <v>-6073.74090833333</v>
      </c>
      <c r="AW154" s="67" t="n">
        <f aca="false">AW241-AW238</f>
        <v>-6073.74090833333</v>
      </c>
      <c r="AX154" s="67" t="n">
        <f aca="false">AX241-AX238</f>
        <v>-6073.74090833333</v>
      </c>
      <c r="AY154" s="67" t="n">
        <f aca="false">AY241-AY238</f>
        <v>-6255.95313558333</v>
      </c>
      <c r="AZ154" s="67" t="n">
        <f aca="false">AZ241-AZ238</f>
        <v>-6255.95313558333</v>
      </c>
      <c r="BA154" s="67" t="n">
        <f aca="false">BA241-BA238</f>
        <v>-6255.95313558333</v>
      </c>
      <c r="BB154" s="67" t="n">
        <f aca="false">BB241-BB238</f>
        <v>-6255.95313558333</v>
      </c>
      <c r="BC154" s="67" t="n">
        <f aca="false">BC241-BC238</f>
        <v>-6255.95313558333</v>
      </c>
      <c r="BD154" s="67" t="n">
        <f aca="false">BD241-BD238</f>
        <v>-6255.95313558333</v>
      </c>
      <c r="BE154" s="67" t="n">
        <f aca="false">BE241-BE238</f>
        <v>-6255.95313558333</v>
      </c>
      <c r="BF154" s="67" t="n">
        <f aca="false">BF241-BF238</f>
        <v>-6255.95313558333</v>
      </c>
      <c r="BG154" s="67" t="n">
        <f aca="false">BG241-BG238</f>
        <v>-6255.95313558333</v>
      </c>
      <c r="BH154" s="67" t="n">
        <f aca="false">BH241-BH238</f>
        <v>-6255.95313558333</v>
      </c>
      <c r="BI154" s="67" t="n">
        <f aca="false">BI241-BI238</f>
        <v>-6255.95313558333</v>
      </c>
      <c r="BJ154" s="67" t="n">
        <f aca="false">BJ241-BJ238</f>
        <v>-6255.95313558333</v>
      </c>
    </row>
    <row r="155" customFormat="false" ht="15" hidden="false" customHeight="false" outlineLevel="0" collapsed="false">
      <c r="A155" s="6" t="s">
        <v>329</v>
      </c>
      <c r="C155" s="67" t="n">
        <f aca="false">-Inputs!$C$29*(1+Inputs!$C$30)^(C$127-1)*1</f>
        <v>-0</v>
      </c>
      <c r="D155" s="67" t="n">
        <f aca="false">-Inputs!$C$29*(1+Inputs!$C$30)^(D$127-1)*1</f>
        <v>-0</v>
      </c>
      <c r="E155" s="67" t="n">
        <f aca="false">-Inputs!$C$29*(1+Inputs!$C$30)^(E$127-1)*1</f>
        <v>-0</v>
      </c>
      <c r="F155" s="67" t="n">
        <f aca="false">-Inputs!$C$29*(1+Inputs!$C$30)^(F$127-1)*1</f>
        <v>-0</v>
      </c>
      <c r="G155" s="67" t="n">
        <f aca="false">-Inputs!$C$29*(1+Inputs!$C$30)^(G$127-1)*1</f>
        <v>-0</v>
      </c>
      <c r="H155" s="67" t="n">
        <f aca="false">-Inputs!$C$29*(1+Inputs!$C$30)^(H$127-1)*1</f>
        <v>-0</v>
      </c>
      <c r="I155" s="67" t="n">
        <f aca="false">-Inputs!$C$29*(1+Inputs!$C$30)^(I$127-1)*1</f>
        <v>-0</v>
      </c>
      <c r="J155" s="67" t="n">
        <f aca="false">-Inputs!$C$29*(1+Inputs!$C$30)^(J$127-1)*1</f>
        <v>-0</v>
      </c>
      <c r="K155" s="67" t="n">
        <f aca="false">-Inputs!$C$29*(1+Inputs!$C$30)^(K$127-1)*1</f>
        <v>-0</v>
      </c>
      <c r="L155" s="67" t="n">
        <f aca="false">-Inputs!$C$29*(1+Inputs!$C$30)^(L$127-1)*1</f>
        <v>-0</v>
      </c>
      <c r="M155" s="67" t="n">
        <f aca="false">-Inputs!$C$29*(1+Inputs!$C$30)^(M$127-1)*1</f>
        <v>-0</v>
      </c>
      <c r="N155" s="67" t="n">
        <f aca="false">-Inputs!$C$29*(1+Inputs!$C$30)^(N$127-1)*1</f>
        <v>-0</v>
      </c>
      <c r="O155" s="67" t="n">
        <f aca="false">-Inputs!$C$29*(1+Inputs!$C$30)^(O$127-1)*1</f>
        <v>-0</v>
      </c>
      <c r="P155" s="67" t="n">
        <f aca="false">-Inputs!$C$29*(1+Inputs!$C$30)^(P$127-1)*1</f>
        <v>-0</v>
      </c>
      <c r="Q155" s="67" t="n">
        <f aca="false">-Inputs!$C$29*(1+Inputs!$C$30)^(Q$127-1)*1</f>
        <v>-0</v>
      </c>
      <c r="R155" s="67" t="n">
        <f aca="false">-Inputs!$C$29*(1+Inputs!$C$30)^(R$127-1)*1</f>
        <v>-0</v>
      </c>
      <c r="S155" s="67" t="n">
        <f aca="false">-Inputs!$C$29*(1+Inputs!$C$30)^(S$127-1)*1</f>
        <v>-0</v>
      </c>
      <c r="T155" s="67" t="n">
        <f aca="false">-Inputs!$C$29*(1+Inputs!$C$30)^(T$127-1)*1</f>
        <v>-0</v>
      </c>
      <c r="U155" s="67" t="n">
        <f aca="false">-Inputs!$C$29*(1+Inputs!$C$30)^(U$127-1)*1</f>
        <v>-0</v>
      </c>
      <c r="V155" s="67" t="n">
        <f aca="false">-Inputs!$C$29*(1+Inputs!$C$30)^(V$127-1)*1</f>
        <v>-0</v>
      </c>
      <c r="W155" s="67" t="n">
        <f aca="false">-Inputs!$C$29*(1+Inputs!$C$30)^(W$127-1)*1</f>
        <v>-0</v>
      </c>
      <c r="X155" s="67" t="n">
        <f aca="false">-Inputs!$C$29*(1+Inputs!$C$30)^(X$127-1)*1</f>
        <v>-0</v>
      </c>
      <c r="Y155" s="67" t="n">
        <f aca="false">-Inputs!$C$29*(1+Inputs!$C$30)^(Y$127-1)*1</f>
        <v>-0</v>
      </c>
      <c r="Z155" s="67" t="n">
        <f aca="false">-Inputs!$C$29*(1+Inputs!$C$30)^(Z$127-1)*1</f>
        <v>-0</v>
      </c>
      <c r="AA155" s="67" t="n">
        <f aca="false">-Inputs!$C$29*(1+Inputs!$C$30)^(AA$127-1)*1</f>
        <v>-0</v>
      </c>
      <c r="AB155" s="67" t="n">
        <f aca="false">-Inputs!$C$29*(1+Inputs!$C$30)^(AB$127-1)*1</f>
        <v>-0</v>
      </c>
      <c r="AC155" s="67" t="n">
        <f aca="false">-Inputs!$C$29*(1+Inputs!$C$30)^(AC$127-1)*1</f>
        <v>-0</v>
      </c>
      <c r="AD155" s="67" t="n">
        <f aca="false">-Inputs!$C$29*(1+Inputs!$C$30)^(AD$127-1)*1</f>
        <v>-0</v>
      </c>
      <c r="AE155" s="67" t="n">
        <f aca="false">-Inputs!$C$29*(1+Inputs!$C$30)^(AE$127-1)*1</f>
        <v>-0</v>
      </c>
      <c r="AF155" s="67" t="n">
        <f aca="false">-Inputs!$C$29*(1+Inputs!$C$30)^(AF$127-1)*1</f>
        <v>-0</v>
      </c>
      <c r="AG155" s="67" t="n">
        <f aca="false">-Inputs!$C$29*(1+Inputs!$C$30)^(AG$127-1)*1</f>
        <v>-0</v>
      </c>
      <c r="AH155" s="67" t="n">
        <f aca="false">-Inputs!$C$29*(1+Inputs!$C$30)^(AH$127-1)*1</f>
        <v>-0</v>
      </c>
      <c r="AI155" s="67" t="n">
        <f aca="false">-Inputs!$C$29*(1+Inputs!$C$30)^(AI$127-1)*1</f>
        <v>-0</v>
      </c>
      <c r="AJ155" s="67" t="n">
        <f aca="false">-Inputs!$C$29*(1+Inputs!$C$30)^(AJ$127-1)*1</f>
        <v>-0</v>
      </c>
      <c r="AK155" s="67" t="n">
        <f aca="false">-Inputs!$C$29*(1+Inputs!$C$30)^(AK$127-1)*1</f>
        <v>-0</v>
      </c>
      <c r="AL155" s="67" t="n">
        <f aca="false">-Inputs!$C$29*(1+Inputs!$C$30)^(AL$127-1)*1</f>
        <v>-0</v>
      </c>
      <c r="AM155" s="67" t="n">
        <f aca="false">-Inputs!$C$29*(1+Inputs!$C$30)^(AM$127-1)*1</f>
        <v>-0</v>
      </c>
      <c r="AN155" s="67" t="n">
        <f aca="false">-Inputs!$C$29*(1+Inputs!$C$30)^(AN$127-1)*1</f>
        <v>-0</v>
      </c>
      <c r="AO155" s="67" t="n">
        <f aca="false">-Inputs!$C$29*(1+Inputs!$C$30)^(AO$127-1)*1</f>
        <v>-0</v>
      </c>
      <c r="AP155" s="67" t="n">
        <f aca="false">-Inputs!$C$29*(1+Inputs!$C$30)^(AP$127-1)*1</f>
        <v>-0</v>
      </c>
      <c r="AQ155" s="67" t="n">
        <f aca="false">-Inputs!$C$29*(1+Inputs!$C$30)^(AQ$127-1)*1</f>
        <v>-0</v>
      </c>
      <c r="AR155" s="67" t="n">
        <f aca="false">-Inputs!$C$29*(1+Inputs!$C$30)^(AR$127-1)*1</f>
        <v>-0</v>
      </c>
      <c r="AS155" s="67" t="n">
        <f aca="false">-Inputs!$C$29*(1+Inputs!$C$30)^(AS$127-1)*1</f>
        <v>-0</v>
      </c>
      <c r="AT155" s="67" t="n">
        <f aca="false">-Inputs!$C$29*(1+Inputs!$C$30)^(AT$127-1)*1</f>
        <v>-0</v>
      </c>
      <c r="AU155" s="67" t="n">
        <f aca="false">-Inputs!$C$29*(1+Inputs!$C$30)^(AU$127-1)*1</f>
        <v>-0</v>
      </c>
      <c r="AV155" s="67" t="n">
        <f aca="false">-Inputs!$C$29*(1+Inputs!$C$30)^(AV$127-1)*1</f>
        <v>-0</v>
      </c>
      <c r="AW155" s="67" t="n">
        <f aca="false">-Inputs!$C$29*(1+Inputs!$C$30)^(AW$127-1)*1</f>
        <v>-0</v>
      </c>
      <c r="AX155" s="67" t="n">
        <f aca="false">-Inputs!$C$29*(1+Inputs!$C$30)^(AX$127-1)*1</f>
        <v>-0</v>
      </c>
      <c r="AY155" s="67" t="n">
        <f aca="false">-Inputs!$C$29*(1+Inputs!$C$30)^(AY$127-1)*1</f>
        <v>-0</v>
      </c>
      <c r="AZ155" s="67" t="n">
        <f aca="false">-Inputs!$C$29*(1+Inputs!$C$30)^(AZ$127-1)*1</f>
        <v>-0</v>
      </c>
      <c r="BA155" s="67" t="n">
        <f aca="false">-Inputs!$C$29*(1+Inputs!$C$30)^(BA$127-1)*1</f>
        <v>-0</v>
      </c>
      <c r="BB155" s="67" t="n">
        <f aca="false">-Inputs!$C$29*(1+Inputs!$C$30)^(BB$127-1)*1</f>
        <v>-0</v>
      </c>
      <c r="BC155" s="67" t="n">
        <f aca="false">-Inputs!$C$29*(1+Inputs!$C$30)^(BC$127-1)*1</f>
        <v>-0</v>
      </c>
      <c r="BD155" s="67" t="n">
        <f aca="false">-Inputs!$C$29*(1+Inputs!$C$30)^(BD$127-1)*1</f>
        <v>-0</v>
      </c>
      <c r="BE155" s="67" t="n">
        <f aca="false">-Inputs!$C$29*(1+Inputs!$C$30)^(BE$127-1)*1</f>
        <v>-0</v>
      </c>
      <c r="BF155" s="67" t="n">
        <f aca="false">-Inputs!$C$29*(1+Inputs!$C$30)^(BF$127-1)*1</f>
        <v>-0</v>
      </c>
      <c r="BG155" s="67" t="n">
        <f aca="false">-Inputs!$C$29*(1+Inputs!$C$30)^(BG$127-1)*1</f>
        <v>-0</v>
      </c>
      <c r="BH155" s="67" t="n">
        <f aca="false">-Inputs!$C$29*(1+Inputs!$C$30)^(BH$127-1)*1</f>
        <v>-0</v>
      </c>
      <c r="BI155" s="67" t="n">
        <f aca="false">-Inputs!$C$29*(1+Inputs!$C$30)^(BI$127-1)*1</f>
        <v>-0</v>
      </c>
      <c r="BJ155" s="67" t="n">
        <f aca="false">-Inputs!$C$29*(1+Inputs!$C$30)^(BJ$127-1)*1</f>
        <v>-0</v>
      </c>
    </row>
    <row r="156" customFormat="false" ht="15" hidden="false" customHeight="false" outlineLevel="0" collapsed="false">
      <c r="A156" s="6" t="s">
        <v>330</v>
      </c>
      <c r="C156" s="67" t="n">
        <f aca="false">-Inputs!$C$31/12*(1+Inputs!$C$39)^(C$127-1)*1</f>
        <v>-666.666666666667</v>
      </c>
      <c r="D156" s="67" t="n">
        <f aca="false">-Inputs!$C$31/12*(1+Inputs!$C$39)^(D$127-1)*1</f>
        <v>-666.666666666667</v>
      </c>
      <c r="E156" s="67" t="n">
        <f aca="false">-Inputs!$C$31/12*(1+Inputs!$C$39)^(E$127-1)*1</f>
        <v>-666.666666666667</v>
      </c>
      <c r="F156" s="67" t="n">
        <f aca="false">-Inputs!$C$31/12*(1+Inputs!$C$39)^(F$127-1)*1</f>
        <v>-666.666666666667</v>
      </c>
      <c r="G156" s="67" t="n">
        <f aca="false">-Inputs!$C$31/12*(1+Inputs!$C$39)^(G$127-1)*1</f>
        <v>-666.666666666667</v>
      </c>
      <c r="H156" s="67" t="n">
        <f aca="false">-Inputs!$C$31/12*(1+Inputs!$C$39)^(H$127-1)*1</f>
        <v>-666.666666666667</v>
      </c>
      <c r="I156" s="67" t="n">
        <f aca="false">-Inputs!$C$31/12*(1+Inputs!$C$39)^(I$127-1)*1</f>
        <v>-666.666666666667</v>
      </c>
      <c r="J156" s="67" t="n">
        <f aca="false">-Inputs!$C$31/12*(1+Inputs!$C$39)^(J$127-1)*1</f>
        <v>-666.666666666667</v>
      </c>
      <c r="K156" s="67" t="n">
        <f aca="false">-Inputs!$C$31/12*(1+Inputs!$C$39)^(K$127-1)*1</f>
        <v>-666.666666666667</v>
      </c>
      <c r="L156" s="67" t="n">
        <f aca="false">-Inputs!$C$31/12*(1+Inputs!$C$39)^(L$127-1)*1</f>
        <v>-666.666666666667</v>
      </c>
      <c r="M156" s="67" t="n">
        <f aca="false">-Inputs!$C$31/12*(1+Inputs!$C$39)^(M$127-1)*1</f>
        <v>-666.666666666667</v>
      </c>
      <c r="N156" s="67" t="n">
        <f aca="false">-Inputs!$C$31/12*(1+Inputs!$C$39)^(N$127-1)*1</f>
        <v>-666.666666666667</v>
      </c>
      <c r="O156" s="67" t="n">
        <f aca="false">-Inputs!$C$31/12*(1+Inputs!$C$39)^(O$127-1)*1</f>
        <v>-686.666666666667</v>
      </c>
      <c r="P156" s="67" t="n">
        <f aca="false">-Inputs!$C$31/12*(1+Inputs!$C$39)^(P$127-1)*1</f>
        <v>-686.666666666667</v>
      </c>
      <c r="Q156" s="67" t="n">
        <f aca="false">-Inputs!$C$31/12*(1+Inputs!$C$39)^(Q$127-1)*1</f>
        <v>-686.666666666667</v>
      </c>
      <c r="R156" s="67" t="n">
        <f aca="false">-Inputs!$C$31/12*(1+Inputs!$C$39)^(R$127-1)*1</f>
        <v>-686.666666666667</v>
      </c>
      <c r="S156" s="67" t="n">
        <f aca="false">-Inputs!$C$31/12*(1+Inputs!$C$39)^(S$127-1)*1</f>
        <v>-686.666666666667</v>
      </c>
      <c r="T156" s="67" t="n">
        <f aca="false">-Inputs!$C$31/12*(1+Inputs!$C$39)^(T$127-1)*1</f>
        <v>-686.666666666667</v>
      </c>
      <c r="U156" s="67" t="n">
        <f aca="false">-Inputs!$C$31/12*(1+Inputs!$C$39)^(U$127-1)*1</f>
        <v>-686.666666666667</v>
      </c>
      <c r="V156" s="67" t="n">
        <f aca="false">-Inputs!$C$31/12*(1+Inputs!$C$39)^(V$127-1)*1</f>
        <v>-686.666666666667</v>
      </c>
      <c r="W156" s="67" t="n">
        <f aca="false">-Inputs!$C$31/12*(1+Inputs!$C$39)^(W$127-1)*1</f>
        <v>-686.666666666667</v>
      </c>
      <c r="X156" s="67" t="n">
        <f aca="false">-Inputs!$C$31/12*(1+Inputs!$C$39)^(X$127-1)*1</f>
        <v>-686.666666666667</v>
      </c>
      <c r="Y156" s="67" t="n">
        <f aca="false">-Inputs!$C$31/12*(1+Inputs!$C$39)^(Y$127-1)*1</f>
        <v>-686.666666666667</v>
      </c>
      <c r="Z156" s="67" t="n">
        <f aca="false">-Inputs!$C$31/12*(1+Inputs!$C$39)^(Z$127-1)*1</f>
        <v>-686.666666666667</v>
      </c>
      <c r="AA156" s="67" t="n">
        <f aca="false">-Inputs!$C$31/12*(1+Inputs!$C$39)^(AA$127-1)*1</f>
        <v>-707.266666666667</v>
      </c>
      <c r="AB156" s="67" t="n">
        <f aca="false">-Inputs!$C$31/12*(1+Inputs!$C$39)^(AB$127-1)*1</f>
        <v>-707.266666666667</v>
      </c>
      <c r="AC156" s="67" t="n">
        <f aca="false">-Inputs!$C$31/12*(1+Inputs!$C$39)^(AC$127-1)*1</f>
        <v>-707.266666666667</v>
      </c>
      <c r="AD156" s="67" t="n">
        <f aca="false">-Inputs!$C$31/12*(1+Inputs!$C$39)^(AD$127-1)*1</f>
        <v>-707.266666666667</v>
      </c>
      <c r="AE156" s="67" t="n">
        <f aca="false">-Inputs!$C$31/12*(1+Inputs!$C$39)^(AE$127-1)*1</f>
        <v>-707.266666666667</v>
      </c>
      <c r="AF156" s="67" t="n">
        <f aca="false">-Inputs!$C$31/12*(1+Inputs!$C$39)^(AF$127-1)*1</f>
        <v>-707.266666666667</v>
      </c>
      <c r="AG156" s="67" t="n">
        <f aca="false">-Inputs!$C$31/12*(1+Inputs!$C$39)^(AG$127-1)*1</f>
        <v>-707.266666666667</v>
      </c>
      <c r="AH156" s="67" t="n">
        <f aca="false">-Inputs!$C$31/12*(1+Inputs!$C$39)^(AH$127-1)*1</f>
        <v>-707.266666666667</v>
      </c>
      <c r="AI156" s="67" t="n">
        <f aca="false">-Inputs!$C$31/12*(1+Inputs!$C$39)^(AI$127-1)*1</f>
        <v>-707.266666666667</v>
      </c>
      <c r="AJ156" s="67" t="n">
        <f aca="false">-Inputs!$C$31/12*(1+Inputs!$C$39)^(AJ$127-1)*1</f>
        <v>-707.266666666667</v>
      </c>
      <c r="AK156" s="67" t="n">
        <f aca="false">-Inputs!$C$31/12*(1+Inputs!$C$39)^(AK$127-1)*1</f>
        <v>-707.266666666667</v>
      </c>
      <c r="AL156" s="67" t="n">
        <f aca="false">-Inputs!$C$31/12*(1+Inputs!$C$39)^(AL$127-1)*1</f>
        <v>-707.266666666667</v>
      </c>
      <c r="AM156" s="67" t="n">
        <f aca="false">-Inputs!$C$31/12*(1+Inputs!$C$39)^(AM$127-1)*1</f>
        <v>-728.484666666667</v>
      </c>
      <c r="AN156" s="67" t="n">
        <f aca="false">-Inputs!$C$31/12*(1+Inputs!$C$39)^(AN$127-1)*1</f>
        <v>-728.484666666667</v>
      </c>
      <c r="AO156" s="67" t="n">
        <f aca="false">-Inputs!$C$31/12*(1+Inputs!$C$39)^(AO$127-1)*1</f>
        <v>-728.484666666667</v>
      </c>
      <c r="AP156" s="67" t="n">
        <f aca="false">-Inputs!$C$31/12*(1+Inputs!$C$39)^(AP$127-1)*1</f>
        <v>-728.484666666667</v>
      </c>
      <c r="AQ156" s="67" t="n">
        <f aca="false">-Inputs!$C$31/12*(1+Inputs!$C$39)^(AQ$127-1)*1</f>
        <v>-728.484666666667</v>
      </c>
      <c r="AR156" s="67" t="n">
        <f aca="false">-Inputs!$C$31/12*(1+Inputs!$C$39)^(AR$127-1)*1</f>
        <v>-728.484666666667</v>
      </c>
      <c r="AS156" s="67" t="n">
        <f aca="false">-Inputs!$C$31/12*(1+Inputs!$C$39)^(AS$127-1)*1</f>
        <v>-728.484666666667</v>
      </c>
      <c r="AT156" s="67" t="n">
        <f aca="false">-Inputs!$C$31/12*(1+Inputs!$C$39)^(AT$127-1)*1</f>
        <v>-728.484666666667</v>
      </c>
      <c r="AU156" s="67" t="n">
        <f aca="false">-Inputs!$C$31/12*(1+Inputs!$C$39)^(AU$127-1)*1</f>
        <v>-728.484666666667</v>
      </c>
      <c r="AV156" s="67" t="n">
        <f aca="false">-Inputs!$C$31/12*(1+Inputs!$C$39)^(AV$127-1)*1</f>
        <v>-728.484666666667</v>
      </c>
      <c r="AW156" s="67" t="n">
        <f aca="false">-Inputs!$C$31/12*(1+Inputs!$C$39)^(AW$127-1)*1</f>
        <v>-728.484666666667</v>
      </c>
      <c r="AX156" s="67" t="n">
        <f aca="false">-Inputs!$C$31/12*(1+Inputs!$C$39)^(AX$127-1)*1</f>
        <v>-728.484666666667</v>
      </c>
      <c r="AY156" s="67" t="n">
        <f aca="false">-Inputs!$C$31/12*(1+Inputs!$C$39)^(AY$127-1)*1</f>
        <v>-750.339206666667</v>
      </c>
      <c r="AZ156" s="67" t="n">
        <f aca="false">-Inputs!$C$31/12*(1+Inputs!$C$39)^(AZ$127-1)*1</f>
        <v>-750.339206666667</v>
      </c>
      <c r="BA156" s="67" t="n">
        <f aca="false">-Inputs!$C$31/12*(1+Inputs!$C$39)^(BA$127-1)*1</f>
        <v>-750.339206666667</v>
      </c>
      <c r="BB156" s="67" t="n">
        <f aca="false">-Inputs!$C$31/12*(1+Inputs!$C$39)^(BB$127-1)*1</f>
        <v>-750.339206666667</v>
      </c>
      <c r="BC156" s="67" t="n">
        <f aca="false">-Inputs!$C$31/12*(1+Inputs!$C$39)^(BC$127-1)*1</f>
        <v>-750.339206666667</v>
      </c>
      <c r="BD156" s="67" t="n">
        <f aca="false">-Inputs!$C$31/12*(1+Inputs!$C$39)^(BD$127-1)*1</f>
        <v>-750.339206666667</v>
      </c>
      <c r="BE156" s="67" t="n">
        <f aca="false">-Inputs!$C$31/12*(1+Inputs!$C$39)^(BE$127-1)*1</f>
        <v>-750.339206666667</v>
      </c>
      <c r="BF156" s="67" t="n">
        <f aca="false">-Inputs!$C$31/12*(1+Inputs!$C$39)^(BF$127-1)*1</f>
        <v>-750.339206666667</v>
      </c>
      <c r="BG156" s="67" t="n">
        <f aca="false">-Inputs!$C$31/12*(1+Inputs!$C$39)^(BG$127-1)*1</f>
        <v>-750.339206666667</v>
      </c>
      <c r="BH156" s="67" t="n">
        <f aca="false">-Inputs!$C$31/12*(1+Inputs!$C$39)^(BH$127-1)*1</f>
        <v>-750.339206666667</v>
      </c>
      <c r="BI156" s="67" t="n">
        <f aca="false">-Inputs!$C$31/12*(1+Inputs!$C$39)^(BI$127-1)*1</f>
        <v>-750.339206666667</v>
      </c>
      <c r="BJ156" s="67" t="n">
        <f aca="false">-Inputs!$C$31/12*(1+Inputs!$C$39)^(BJ$127-1)*1</f>
        <v>-750.339206666667</v>
      </c>
    </row>
    <row r="157" customFormat="false" ht="15" hidden="false" customHeight="false" outlineLevel="0" collapsed="false">
      <c r="A157" s="6" t="s">
        <v>331</v>
      </c>
      <c r="C157" s="67" t="n">
        <f aca="false">-Inputs!$C$32*(1+Inputs!$C$39)^(C$127-1)*1</f>
        <v>-700</v>
      </c>
      <c r="D157" s="67" t="n">
        <f aca="false">-Inputs!$C$32*(1+Inputs!$C$39)^(D$127-1)*1</f>
        <v>-700</v>
      </c>
      <c r="E157" s="67" t="n">
        <f aca="false">-Inputs!$C$32*(1+Inputs!$C$39)^(E$127-1)*1</f>
        <v>-700</v>
      </c>
      <c r="F157" s="67" t="n">
        <f aca="false">-Inputs!$C$32*(1+Inputs!$C$39)^(F$127-1)*1</f>
        <v>-700</v>
      </c>
      <c r="G157" s="67" t="n">
        <f aca="false">-Inputs!$C$32*(1+Inputs!$C$39)^(G$127-1)*1</f>
        <v>-700</v>
      </c>
      <c r="H157" s="67" t="n">
        <f aca="false">-Inputs!$C$32*(1+Inputs!$C$39)^(H$127-1)*1</f>
        <v>-700</v>
      </c>
      <c r="I157" s="67" t="n">
        <f aca="false">-Inputs!$C$32*(1+Inputs!$C$39)^(I$127-1)*1</f>
        <v>-700</v>
      </c>
      <c r="J157" s="67" t="n">
        <f aca="false">-Inputs!$C$32*(1+Inputs!$C$39)^(J$127-1)*1</f>
        <v>-700</v>
      </c>
      <c r="K157" s="67" t="n">
        <f aca="false">-Inputs!$C$32*(1+Inputs!$C$39)^(K$127-1)*1</f>
        <v>-700</v>
      </c>
      <c r="L157" s="67" t="n">
        <f aca="false">-Inputs!$C$32*(1+Inputs!$C$39)^(L$127-1)*1</f>
        <v>-700</v>
      </c>
      <c r="M157" s="67" t="n">
        <f aca="false">-Inputs!$C$32*(1+Inputs!$C$39)^(M$127-1)*1</f>
        <v>-700</v>
      </c>
      <c r="N157" s="67" t="n">
        <f aca="false">-Inputs!$C$32*(1+Inputs!$C$39)^(N$127-1)*1</f>
        <v>-700</v>
      </c>
      <c r="O157" s="67" t="n">
        <f aca="false">-Inputs!$C$32*(1+Inputs!$C$39)^(O$127-1)*1</f>
        <v>-721</v>
      </c>
      <c r="P157" s="67" t="n">
        <f aca="false">-Inputs!$C$32*(1+Inputs!$C$39)^(P$127-1)*1</f>
        <v>-721</v>
      </c>
      <c r="Q157" s="67" t="n">
        <f aca="false">-Inputs!$C$32*(1+Inputs!$C$39)^(Q$127-1)*1</f>
        <v>-721</v>
      </c>
      <c r="R157" s="67" t="n">
        <f aca="false">-Inputs!$C$32*(1+Inputs!$C$39)^(R$127-1)*1</f>
        <v>-721</v>
      </c>
      <c r="S157" s="67" t="n">
        <f aca="false">-Inputs!$C$32*(1+Inputs!$C$39)^(S$127-1)*1</f>
        <v>-721</v>
      </c>
      <c r="T157" s="67" t="n">
        <f aca="false">-Inputs!$C$32*(1+Inputs!$C$39)^(T$127-1)*1</f>
        <v>-721</v>
      </c>
      <c r="U157" s="67" t="n">
        <f aca="false">-Inputs!$C$32*(1+Inputs!$C$39)^(U$127-1)*1</f>
        <v>-721</v>
      </c>
      <c r="V157" s="67" t="n">
        <f aca="false">-Inputs!$C$32*(1+Inputs!$C$39)^(V$127-1)*1</f>
        <v>-721</v>
      </c>
      <c r="W157" s="67" t="n">
        <f aca="false">-Inputs!$C$32*(1+Inputs!$C$39)^(W$127-1)*1</f>
        <v>-721</v>
      </c>
      <c r="X157" s="67" t="n">
        <f aca="false">-Inputs!$C$32*(1+Inputs!$C$39)^(X$127-1)*1</f>
        <v>-721</v>
      </c>
      <c r="Y157" s="67" t="n">
        <f aca="false">-Inputs!$C$32*(1+Inputs!$C$39)^(Y$127-1)*1</f>
        <v>-721</v>
      </c>
      <c r="Z157" s="67" t="n">
        <f aca="false">-Inputs!$C$32*(1+Inputs!$C$39)^(Z$127-1)*1</f>
        <v>-721</v>
      </c>
      <c r="AA157" s="67" t="n">
        <f aca="false">-Inputs!$C$32*(1+Inputs!$C$39)^(AA$127-1)*1</f>
        <v>-742.63</v>
      </c>
      <c r="AB157" s="67" t="n">
        <f aca="false">-Inputs!$C$32*(1+Inputs!$C$39)^(AB$127-1)*1</f>
        <v>-742.63</v>
      </c>
      <c r="AC157" s="67" t="n">
        <f aca="false">-Inputs!$C$32*(1+Inputs!$C$39)^(AC$127-1)*1</f>
        <v>-742.63</v>
      </c>
      <c r="AD157" s="67" t="n">
        <f aca="false">-Inputs!$C$32*(1+Inputs!$C$39)^(AD$127-1)*1</f>
        <v>-742.63</v>
      </c>
      <c r="AE157" s="67" t="n">
        <f aca="false">-Inputs!$C$32*(1+Inputs!$C$39)^(AE$127-1)*1</f>
        <v>-742.63</v>
      </c>
      <c r="AF157" s="67" t="n">
        <f aca="false">-Inputs!$C$32*(1+Inputs!$C$39)^(AF$127-1)*1</f>
        <v>-742.63</v>
      </c>
      <c r="AG157" s="67" t="n">
        <f aca="false">-Inputs!$C$32*(1+Inputs!$C$39)^(AG$127-1)*1</f>
        <v>-742.63</v>
      </c>
      <c r="AH157" s="67" t="n">
        <f aca="false">-Inputs!$C$32*(1+Inputs!$C$39)^(AH$127-1)*1</f>
        <v>-742.63</v>
      </c>
      <c r="AI157" s="67" t="n">
        <f aca="false">-Inputs!$C$32*(1+Inputs!$C$39)^(AI$127-1)*1</f>
        <v>-742.63</v>
      </c>
      <c r="AJ157" s="67" t="n">
        <f aca="false">-Inputs!$C$32*(1+Inputs!$C$39)^(AJ$127-1)*1</f>
        <v>-742.63</v>
      </c>
      <c r="AK157" s="67" t="n">
        <f aca="false">-Inputs!$C$32*(1+Inputs!$C$39)^(AK$127-1)*1</f>
        <v>-742.63</v>
      </c>
      <c r="AL157" s="67" t="n">
        <f aca="false">-Inputs!$C$32*(1+Inputs!$C$39)^(AL$127-1)*1</f>
        <v>-742.63</v>
      </c>
      <c r="AM157" s="67" t="n">
        <f aca="false">-Inputs!$C$32*(1+Inputs!$C$39)^(AM$127-1)*1</f>
        <v>-764.9089</v>
      </c>
      <c r="AN157" s="67" t="n">
        <f aca="false">-Inputs!$C$32*(1+Inputs!$C$39)^(AN$127-1)*1</f>
        <v>-764.9089</v>
      </c>
      <c r="AO157" s="67" t="n">
        <f aca="false">-Inputs!$C$32*(1+Inputs!$C$39)^(AO$127-1)*1</f>
        <v>-764.9089</v>
      </c>
      <c r="AP157" s="67" t="n">
        <f aca="false">-Inputs!$C$32*(1+Inputs!$C$39)^(AP$127-1)*1</f>
        <v>-764.9089</v>
      </c>
      <c r="AQ157" s="67" t="n">
        <f aca="false">-Inputs!$C$32*(1+Inputs!$C$39)^(AQ$127-1)*1</f>
        <v>-764.9089</v>
      </c>
      <c r="AR157" s="67" t="n">
        <f aca="false">-Inputs!$C$32*(1+Inputs!$C$39)^(AR$127-1)*1</f>
        <v>-764.9089</v>
      </c>
      <c r="AS157" s="67" t="n">
        <f aca="false">-Inputs!$C$32*(1+Inputs!$C$39)^(AS$127-1)*1</f>
        <v>-764.9089</v>
      </c>
      <c r="AT157" s="67" t="n">
        <f aca="false">-Inputs!$C$32*(1+Inputs!$C$39)^(AT$127-1)*1</f>
        <v>-764.9089</v>
      </c>
      <c r="AU157" s="67" t="n">
        <f aca="false">-Inputs!$C$32*(1+Inputs!$C$39)^(AU$127-1)*1</f>
        <v>-764.9089</v>
      </c>
      <c r="AV157" s="67" t="n">
        <f aca="false">-Inputs!$C$32*(1+Inputs!$C$39)^(AV$127-1)*1</f>
        <v>-764.9089</v>
      </c>
      <c r="AW157" s="67" t="n">
        <f aca="false">-Inputs!$C$32*(1+Inputs!$C$39)^(AW$127-1)*1</f>
        <v>-764.9089</v>
      </c>
      <c r="AX157" s="67" t="n">
        <f aca="false">-Inputs!$C$32*(1+Inputs!$C$39)^(AX$127-1)*1</f>
        <v>-764.9089</v>
      </c>
      <c r="AY157" s="67" t="n">
        <f aca="false">-Inputs!$C$32*(1+Inputs!$C$39)^(AY$127-1)*1</f>
        <v>-787.856167</v>
      </c>
      <c r="AZ157" s="67" t="n">
        <f aca="false">-Inputs!$C$32*(1+Inputs!$C$39)^(AZ$127-1)*1</f>
        <v>-787.856167</v>
      </c>
      <c r="BA157" s="67" t="n">
        <f aca="false">-Inputs!$C$32*(1+Inputs!$C$39)^(BA$127-1)*1</f>
        <v>-787.856167</v>
      </c>
      <c r="BB157" s="67" t="n">
        <f aca="false">-Inputs!$C$32*(1+Inputs!$C$39)^(BB$127-1)*1</f>
        <v>-787.856167</v>
      </c>
      <c r="BC157" s="67" t="n">
        <f aca="false">-Inputs!$C$32*(1+Inputs!$C$39)^(BC$127-1)*1</f>
        <v>-787.856167</v>
      </c>
      <c r="BD157" s="67" t="n">
        <f aca="false">-Inputs!$C$32*(1+Inputs!$C$39)^(BD$127-1)*1</f>
        <v>-787.856167</v>
      </c>
      <c r="BE157" s="67" t="n">
        <f aca="false">-Inputs!$C$32*(1+Inputs!$C$39)^(BE$127-1)*1</f>
        <v>-787.856167</v>
      </c>
      <c r="BF157" s="67" t="n">
        <f aca="false">-Inputs!$C$32*(1+Inputs!$C$39)^(BF$127-1)*1</f>
        <v>-787.856167</v>
      </c>
      <c r="BG157" s="67" t="n">
        <f aca="false">-Inputs!$C$32*(1+Inputs!$C$39)^(BG$127-1)*1</f>
        <v>-787.856167</v>
      </c>
      <c r="BH157" s="67" t="n">
        <f aca="false">-Inputs!$C$32*(1+Inputs!$C$39)^(BH$127-1)*1</f>
        <v>-787.856167</v>
      </c>
      <c r="BI157" s="67" t="n">
        <f aca="false">-Inputs!$C$32*(1+Inputs!$C$39)^(BI$127-1)*1</f>
        <v>-787.856167</v>
      </c>
      <c r="BJ157" s="67" t="n">
        <f aca="false">-Inputs!$C$32*(1+Inputs!$C$39)^(BJ$127-1)*1</f>
        <v>-787.856167</v>
      </c>
    </row>
    <row r="158" customFormat="false" ht="15" hidden="false" customHeight="false" outlineLevel="0" collapsed="false">
      <c r="A158" s="6" t="s">
        <v>332</v>
      </c>
      <c r="C158" s="67" t="n">
        <f aca="false">-Inputs!$C$33*(1+Inputs!$C$39)^(C$127-1)*1</f>
        <v>-1800</v>
      </c>
      <c r="D158" s="67" t="n">
        <f aca="false">-Inputs!$C$33*(1+Inputs!$C$39)^(D$127-1)*1</f>
        <v>-1800</v>
      </c>
      <c r="E158" s="67" t="n">
        <f aca="false">-Inputs!$C$33*(1+Inputs!$C$39)^(E$127-1)*1</f>
        <v>-1800</v>
      </c>
      <c r="F158" s="67" t="n">
        <f aca="false">-Inputs!$C$33*(1+Inputs!$C$39)^(F$127-1)*1</f>
        <v>-1800</v>
      </c>
      <c r="G158" s="67" t="n">
        <f aca="false">-Inputs!$C$33*(1+Inputs!$C$39)^(G$127-1)*1</f>
        <v>-1800</v>
      </c>
      <c r="H158" s="67" t="n">
        <f aca="false">-Inputs!$C$33*(1+Inputs!$C$39)^(H$127-1)*1</f>
        <v>-1800</v>
      </c>
      <c r="I158" s="67" t="n">
        <f aca="false">-Inputs!$C$33*(1+Inputs!$C$39)^(I$127-1)*1</f>
        <v>-1800</v>
      </c>
      <c r="J158" s="67" t="n">
        <f aca="false">-Inputs!$C$33*(1+Inputs!$C$39)^(J$127-1)*1</f>
        <v>-1800</v>
      </c>
      <c r="K158" s="67" t="n">
        <f aca="false">-Inputs!$C$33*(1+Inputs!$C$39)^(K$127-1)*1</f>
        <v>-1800</v>
      </c>
      <c r="L158" s="67" t="n">
        <f aca="false">-Inputs!$C$33*(1+Inputs!$C$39)^(L$127-1)*1</f>
        <v>-1800</v>
      </c>
      <c r="M158" s="67" t="n">
        <f aca="false">-Inputs!$C$33*(1+Inputs!$C$39)^(M$127-1)*1</f>
        <v>-1800</v>
      </c>
      <c r="N158" s="67" t="n">
        <f aca="false">-Inputs!$C$33*(1+Inputs!$C$39)^(N$127-1)*1</f>
        <v>-1800</v>
      </c>
      <c r="O158" s="67" t="n">
        <f aca="false">-Inputs!$C$33*(1+Inputs!$C$39)^(O$127-1)*1</f>
        <v>-1854</v>
      </c>
      <c r="P158" s="67" t="n">
        <f aca="false">-Inputs!$C$33*(1+Inputs!$C$39)^(P$127-1)*1</f>
        <v>-1854</v>
      </c>
      <c r="Q158" s="67" t="n">
        <f aca="false">-Inputs!$C$33*(1+Inputs!$C$39)^(Q$127-1)*1</f>
        <v>-1854</v>
      </c>
      <c r="R158" s="67" t="n">
        <f aca="false">-Inputs!$C$33*(1+Inputs!$C$39)^(R$127-1)*1</f>
        <v>-1854</v>
      </c>
      <c r="S158" s="67" t="n">
        <f aca="false">-Inputs!$C$33*(1+Inputs!$C$39)^(S$127-1)*1</f>
        <v>-1854</v>
      </c>
      <c r="T158" s="67" t="n">
        <f aca="false">-Inputs!$C$33*(1+Inputs!$C$39)^(T$127-1)*1</f>
        <v>-1854</v>
      </c>
      <c r="U158" s="67" t="n">
        <f aca="false">-Inputs!$C$33*(1+Inputs!$C$39)^(U$127-1)*1</f>
        <v>-1854</v>
      </c>
      <c r="V158" s="67" t="n">
        <f aca="false">-Inputs!$C$33*(1+Inputs!$C$39)^(V$127-1)*1</f>
        <v>-1854</v>
      </c>
      <c r="W158" s="67" t="n">
        <f aca="false">-Inputs!$C$33*(1+Inputs!$C$39)^(W$127-1)*1</f>
        <v>-1854</v>
      </c>
      <c r="X158" s="67" t="n">
        <f aca="false">-Inputs!$C$33*(1+Inputs!$C$39)^(X$127-1)*1</f>
        <v>-1854</v>
      </c>
      <c r="Y158" s="67" t="n">
        <f aca="false">-Inputs!$C$33*(1+Inputs!$C$39)^(Y$127-1)*1</f>
        <v>-1854</v>
      </c>
      <c r="Z158" s="67" t="n">
        <f aca="false">-Inputs!$C$33*(1+Inputs!$C$39)^(Z$127-1)*1</f>
        <v>-1854</v>
      </c>
      <c r="AA158" s="67" t="n">
        <f aca="false">-Inputs!$C$33*(1+Inputs!$C$39)^(AA$127-1)*1</f>
        <v>-1909.62</v>
      </c>
      <c r="AB158" s="67" t="n">
        <f aca="false">-Inputs!$C$33*(1+Inputs!$C$39)^(AB$127-1)*1</f>
        <v>-1909.62</v>
      </c>
      <c r="AC158" s="67" t="n">
        <f aca="false">-Inputs!$C$33*(1+Inputs!$C$39)^(AC$127-1)*1</f>
        <v>-1909.62</v>
      </c>
      <c r="AD158" s="67" t="n">
        <f aca="false">-Inputs!$C$33*(1+Inputs!$C$39)^(AD$127-1)*1</f>
        <v>-1909.62</v>
      </c>
      <c r="AE158" s="67" t="n">
        <f aca="false">-Inputs!$C$33*(1+Inputs!$C$39)^(AE$127-1)*1</f>
        <v>-1909.62</v>
      </c>
      <c r="AF158" s="67" t="n">
        <f aca="false">-Inputs!$C$33*(1+Inputs!$C$39)^(AF$127-1)*1</f>
        <v>-1909.62</v>
      </c>
      <c r="AG158" s="67" t="n">
        <f aca="false">-Inputs!$C$33*(1+Inputs!$C$39)^(AG$127-1)*1</f>
        <v>-1909.62</v>
      </c>
      <c r="AH158" s="67" t="n">
        <f aca="false">-Inputs!$C$33*(1+Inputs!$C$39)^(AH$127-1)*1</f>
        <v>-1909.62</v>
      </c>
      <c r="AI158" s="67" t="n">
        <f aca="false">-Inputs!$C$33*(1+Inputs!$C$39)^(AI$127-1)*1</f>
        <v>-1909.62</v>
      </c>
      <c r="AJ158" s="67" t="n">
        <f aca="false">-Inputs!$C$33*(1+Inputs!$C$39)^(AJ$127-1)*1</f>
        <v>-1909.62</v>
      </c>
      <c r="AK158" s="67" t="n">
        <f aca="false">-Inputs!$C$33*(1+Inputs!$C$39)^(AK$127-1)*1</f>
        <v>-1909.62</v>
      </c>
      <c r="AL158" s="67" t="n">
        <f aca="false">-Inputs!$C$33*(1+Inputs!$C$39)^(AL$127-1)*1</f>
        <v>-1909.62</v>
      </c>
      <c r="AM158" s="67" t="n">
        <f aca="false">-Inputs!$C$33*(1+Inputs!$C$39)^(AM$127-1)*1</f>
        <v>-1966.9086</v>
      </c>
      <c r="AN158" s="67" t="n">
        <f aca="false">-Inputs!$C$33*(1+Inputs!$C$39)^(AN$127-1)*1</f>
        <v>-1966.9086</v>
      </c>
      <c r="AO158" s="67" t="n">
        <f aca="false">-Inputs!$C$33*(1+Inputs!$C$39)^(AO$127-1)*1</f>
        <v>-1966.9086</v>
      </c>
      <c r="AP158" s="67" t="n">
        <f aca="false">-Inputs!$C$33*(1+Inputs!$C$39)^(AP$127-1)*1</f>
        <v>-1966.9086</v>
      </c>
      <c r="AQ158" s="67" t="n">
        <f aca="false">-Inputs!$C$33*(1+Inputs!$C$39)^(AQ$127-1)*1</f>
        <v>-1966.9086</v>
      </c>
      <c r="AR158" s="67" t="n">
        <f aca="false">-Inputs!$C$33*(1+Inputs!$C$39)^(AR$127-1)*1</f>
        <v>-1966.9086</v>
      </c>
      <c r="AS158" s="67" t="n">
        <f aca="false">-Inputs!$C$33*(1+Inputs!$C$39)^(AS$127-1)*1</f>
        <v>-1966.9086</v>
      </c>
      <c r="AT158" s="67" t="n">
        <f aca="false">-Inputs!$C$33*(1+Inputs!$C$39)^(AT$127-1)*1</f>
        <v>-1966.9086</v>
      </c>
      <c r="AU158" s="67" t="n">
        <f aca="false">-Inputs!$C$33*(1+Inputs!$C$39)^(AU$127-1)*1</f>
        <v>-1966.9086</v>
      </c>
      <c r="AV158" s="67" t="n">
        <f aca="false">-Inputs!$C$33*(1+Inputs!$C$39)^(AV$127-1)*1</f>
        <v>-1966.9086</v>
      </c>
      <c r="AW158" s="67" t="n">
        <f aca="false">-Inputs!$C$33*(1+Inputs!$C$39)^(AW$127-1)*1</f>
        <v>-1966.9086</v>
      </c>
      <c r="AX158" s="67" t="n">
        <f aca="false">-Inputs!$C$33*(1+Inputs!$C$39)^(AX$127-1)*1</f>
        <v>-1966.9086</v>
      </c>
      <c r="AY158" s="67" t="n">
        <f aca="false">-Inputs!$C$33*(1+Inputs!$C$39)^(AY$127-1)*1</f>
        <v>-2025.915858</v>
      </c>
      <c r="AZ158" s="67" t="n">
        <f aca="false">-Inputs!$C$33*(1+Inputs!$C$39)^(AZ$127-1)*1</f>
        <v>-2025.915858</v>
      </c>
      <c r="BA158" s="67" t="n">
        <f aca="false">-Inputs!$C$33*(1+Inputs!$C$39)^(BA$127-1)*1</f>
        <v>-2025.915858</v>
      </c>
      <c r="BB158" s="67" t="n">
        <f aca="false">-Inputs!$C$33*(1+Inputs!$C$39)^(BB$127-1)*1</f>
        <v>-2025.915858</v>
      </c>
      <c r="BC158" s="67" t="n">
        <f aca="false">-Inputs!$C$33*(1+Inputs!$C$39)^(BC$127-1)*1</f>
        <v>-2025.915858</v>
      </c>
      <c r="BD158" s="67" t="n">
        <f aca="false">-Inputs!$C$33*(1+Inputs!$C$39)^(BD$127-1)*1</f>
        <v>-2025.915858</v>
      </c>
      <c r="BE158" s="67" t="n">
        <f aca="false">-Inputs!$C$33*(1+Inputs!$C$39)^(BE$127-1)*1</f>
        <v>-2025.915858</v>
      </c>
      <c r="BF158" s="67" t="n">
        <f aca="false">-Inputs!$C$33*(1+Inputs!$C$39)^(BF$127-1)*1</f>
        <v>-2025.915858</v>
      </c>
      <c r="BG158" s="67" t="n">
        <f aca="false">-Inputs!$C$33*(1+Inputs!$C$39)^(BG$127-1)*1</f>
        <v>-2025.915858</v>
      </c>
      <c r="BH158" s="67" t="n">
        <f aca="false">-Inputs!$C$33*(1+Inputs!$C$39)^(BH$127-1)*1</f>
        <v>-2025.915858</v>
      </c>
      <c r="BI158" s="67" t="n">
        <f aca="false">-Inputs!$C$33*(1+Inputs!$C$39)^(BI$127-1)*1</f>
        <v>-2025.915858</v>
      </c>
      <c r="BJ158" s="67" t="n">
        <f aca="false">-Inputs!$C$33*(1+Inputs!$C$39)^(BJ$127-1)*1</f>
        <v>-2025.915858</v>
      </c>
    </row>
    <row r="159" customFormat="false" ht="15" hidden="false" customHeight="false" outlineLevel="0" collapsed="false">
      <c r="A159" s="6" t="s">
        <v>333</v>
      </c>
      <c r="C159" s="67" t="n">
        <f aca="false">-C142*Inputs!$C$34</f>
        <v>-461.650346666667</v>
      </c>
      <c r="D159" s="67" t="n">
        <f aca="false">-D142*Inputs!$C$34</f>
        <v>-530.897898666667</v>
      </c>
      <c r="E159" s="67" t="n">
        <f aca="false">-E142*Inputs!$C$34</f>
        <v>-600.145450666667</v>
      </c>
      <c r="F159" s="67" t="n">
        <f aca="false">-F142*Inputs!$C$34</f>
        <v>-669.393002666667</v>
      </c>
      <c r="G159" s="67" t="n">
        <f aca="false">-G142*Inputs!$C$34</f>
        <v>-738.640554666667</v>
      </c>
      <c r="H159" s="67" t="n">
        <f aca="false">-H142*Inputs!$C$34</f>
        <v>-1101.6656</v>
      </c>
      <c r="I159" s="67" t="n">
        <f aca="false">-I142*Inputs!$C$34</f>
        <v>-1196.09408</v>
      </c>
      <c r="J159" s="67" t="n">
        <f aca="false">-J142*Inputs!$C$34</f>
        <v>-1290.52256</v>
      </c>
      <c r="K159" s="67" t="n">
        <f aca="false">-K142*Inputs!$C$34</f>
        <v>-1015.63076266667</v>
      </c>
      <c r="L159" s="67" t="n">
        <f aca="false">-L142*Inputs!$C$34</f>
        <v>-1084.87831466667</v>
      </c>
      <c r="M159" s="67" t="n">
        <f aca="false">-M142*Inputs!$C$34</f>
        <v>-1154.12586666667</v>
      </c>
      <c r="N159" s="67" t="n">
        <f aca="false">-N142*Inputs!$C$34</f>
        <v>-1154.12586666667</v>
      </c>
      <c r="O159" s="67" t="n">
        <f aca="false">-O142*Inputs!$C$34</f>
        <v>-1212.52463552</v>
      </c>
      <c r="P159" s="67" t="n">
        <f aca="false">-P142*Inputs!$C$34</f>
        <v>-1212.52463552</v>
      </c>
      <c r="Q159" s="67" t="n">
        <f aca="false">-Q142*Inputs!$C$34</f>
        <v>-1212.52463552</v>
      </c>
      <c r="R159" s="67" t="n">
        <f aca="false">-R142*Inputs!$C$34</f>
        <v>-1212.52463552</v>
      </c>
      <c r="S159" s="67" t="n">
        <f aca="false">-S142*Inputs!$C$34</f>
        <v>-1212.52463552</v>
      </c>
      <c r="T159" s="67" t="n">
        <f aca="false">-T142*Inputs!$C$34</f>
        <v>-1653.4426848</v>
      </c>
      <c r="U159" s="67" t="n">
        <f aca="false">-U142*Inputs!$C$34</f>
        <v>-1653.4426848</v>
      </c>
      <c r="V159" s="67" t="n">
        <f aca="false">-V142*Inputs!$C$34</f>
        <v>-1653.4426848</v>
      </c>
      <c r="W159" s="67" t="n">
        <f aca="false">-W142*Inputs!$C$34</f>
        <v>-1212.52463552</v>
      </c>
      <c r="X159" s="67" t="n">
        <f aca="false">-X142*Inputs!$C$34</f>
        <v>-1212.52463552</v>
      </c>
      <c r="Y159" s="67" t="n">
        <f aca="false">-Y142*Inputs!$C$34</f>
        <v>-1212.52463552</v>
      </c>
      <c r="Z159" s="67" t="n">
        <f aca="false">-Z142*Inputs!$C$34</f>
        <v>-1212.52463552</v>
      </c>
      <c r="AA159" s="67" t="n">
        <f aca="false">-AA142*Inputs!$C$34</f>
        <v>-1273.87838207731</v>
      </c>
      <c r="AB159" s="67" t="n">
        <f aca="false">-AB142*Inputs!$C$34</f>
        <v>-1273.87838207731</v>
      </c>
      <c r="AC159" s="67" t="n">
        <f aca="false">-AC142*Inputs!$C$34</f>
        <v>-1273.87838207731</v>
      </c>
      <c r="AD159" s="67" t="n">
        <f aca="false">-AD142*Inputs!$C$34</f>
        <v>-1273.87838207731</v>
      </c>
      <c r="AE159" s="67" t="n">
        <f aca="false">-AE142*Inputs!$C$34</f>
        <v>-1273.87838207731</v>
      </c>
      <c r="AF159" s="67" t="n">
        <f aca="false">-AF142*Inputs!$C$34</f>
        <v>-1737.10688465088</v>
      </c>
      <c r="AG159" s="67" t="n">
        <f aca="false">-AG142*Inputs!$C$34</f>
        <v>-1737.10688465088</v>
      </c>
      <c r="AH159" s="67" t="n">
        <f aca="false">-AH142*Inputs!$C$34</f>
        <v>-1737.10688465088</v>
      </c>
      <c r="AI159" s="67" t="n">
        <f aca="false">-AI142*Inputs!$C$34</f>
        <v>-1273.87838207731</v>
      </c>
      <c r="AJ159" s="67" t="n">
        <f aca="false">-AJ142*Inputs!$C$34</f>
        <v>-1273.87838207731</v>
      </c>
      <c r="AK159" s="67" t="n">
        <f aca="false">-AK142*Inputs!$C$34</f>
        <v>-1273.87838207731</v>
      </c>
      <c r="AL159" s="67" t="n">
        <f aca="false">-AL142*Inputs!$C$34</f>
        <v>-1273.87838207731</v>
      </c>
      <c r="AM159" s="67" t="n">
        <f aca="false">-AM142*Inputs!$C$34</f>
        <v>-1338.33662821042</v>
      </c>
      <c r="AN159" s="67" t="n">
        <f aca="false">-AN142*Inputs!$C$34</f>
        <v>-1338.33662821042</v>
      </c>
      <c r="AO159" s="67" t="n">
        <f aca="false">-AO142*Inputs!$C$34</f>
        <v>-1338.33662821042</v>
      </c>
      <c r="AP159" s="67" t="n">
        <f aca="false">-AP142*Inputs!$C$34</f>
        <v>-1338.33662821042</v>
      </c>
      <c r="AQ159" s="67" t="n">
        <f aca="false">-AQ142*Inputs!$C$34</f>
        <v>-1338.33662821042</v>
      </c>
      <c r="AR159" s="67" t="n">
        <f aca="false">-AR142*Inputs!$C$34</f>
        <v>-1825.00449301422</v>
      </c>
      <c r="AS159" s="67" t="n">
        <f aca="false">-AS142*Inputs!$C$34</f>
        <v>-1825.00449301422</v>
      </c>
      <c r="AT159" s="67" t="n">
        <f aca="false">-AT142*Inputs!$C$34</f>
        <v>-1825.00449301422</v>
      </c>
      <c r="AU159" s="67" t="n">
        <f aca="false">-AU142*Inputs!$C$34</f>
        <v>-1338.33662821042</v>
      </c>
      <c r="AV159" s="67" t="n">
        <f aca="false">-AV142*Inputs!$C$34</f>
        <v>-1338.33662821042</v>
      </c>
      <c r="AW159" s="67" t="n">
        <f aca="false">-AW142*Inputs!$C$34</f>
        <v>-1338.33662821042</v>
      </c>
      <c r="AX159" s="67" t="n">
        <f aca="false">-AX142*Inputs!$C$34</f>
        <v>-1338.33662821042</v>
      </c>
      <c r="AY159" s="67" t="n">
        <f aca="false">-AY142*Inputs!$C$34</f>
        <v>-1406.05646159787</v>
      </c>
      <c r="AZ159" s="67" t="n">
        <f aca="false">-AZ142*Inputs!$C$34</f>
        <v>-1406.05646159787</v>
      </c>
      <c r="BA159" s="67" t="n">
        <f aca="false">-BA142*Inputs!$C$34</f>
        <v>-1406.05646159787</v>
      </c>
      <c r="BB159" s="67" t="n">
        <f aca="false">-BB142*Inputs!$C$34</f>
        <v>-1406.05646159787</v>
      </c>
      <c r="BC159" s="67" t="n">
        <f aca="false">-BC142*Inputs!$C$34</f>
        <v>-1406.05646159787</v>
      </c>
      <c r="BD159" s="67" t="n">
        <f aca="false">-BD142*Inputs!$C$34</f>
        <v>-1917.34972036073</v>
      </c>
      <c r="BE159" s="67" t="n">
        <f aca="false">-BE142*Inputs!$C$34</f>
        <v>-1917.34972036073</v>
      </c>
      <c r="BF159" s="67" t="n">
        <f aca="false">-BF142*Inputs!$C$34</f>
        <v>-1917.34972036073</v>
      </c>
      <c r="BG159" s="67" t="n">
        <f aca="false">-BG142*Inputs!$C$34</f>
        <v>-1406.05646159787</v>
      </c>
      <c r="BH159" s="67" t="n">
        <f aca="false">-BH142*Inputs!$C$34</f>
        <v>-1406.05646159787</v>
      </c>
      <c r="BI159" s="67" t="n">
        <f aca="false">-BI142*Inputs!$C$34</f>
        <v>-1406.05646159787</v>
      </c>
      <c r="BJ159" s="67" t="n">
        <f aca="false">-BJ142*Inputs!$C$34</f>
        <v>-1406.05646159787</v>
      </c>
    </row>
    <row r="160" customFormat="false" ht="15" hidden="false" customHeight="false" outlineLevel="0" collapsed="false">
      <c r="A160" s="6" t="s">
        <v>334</v>
      </c>
      <c r="C160" s="67" t="n">
        <f aca="false">-Inputs!$C$36*(1+Inputs!$C$37)^(C$127-1)*1</f>
        <v>-1500</v>
      </c>
      <c r="D160" s="67" t="n">
        <f aca="false">-Inputs!$C$36*(1+Inputs!$C$37)^(D$127-1)*1</f>
        <v>-1500</v>
      </c>
      <c r="E160" s="67" t="n">
        <f aca="false">-Inputs!$C$36*(1+Inputs!$C$37)^(E$127-1)*1</f>
        <v>-1500</v>
      </c>
      <c r="F160" s="67" t="n">
        <f aca="false">-Inputs!$C$36*(1+Inputs!$C$37)^(F$127-1)*1</f>
        <v>-1500</v>
      </c>
      <c r="G160" s="67" t="n">
        <f aca="false">-Inputs!$C$36*(1+Inputs!$C$37)^(G$127-1)*1</f>
        <v>-1500</v>
      </c>
      <c r="H160" s="67" t="n">
        <f aca="false">-Inputs!$C$36*(1+Inputs!$C$37)^(H$127-1)*1</f>
        <v>-1500</v>
      </c>
      <c r="I160" s="67" t="n">
        <f aca="false">-Inputs!$C$36*(1+Inputs!$C$37)^(I$127-1)*1</f>
        <v>-1500</v>
      </c>
      <c r="J160" s="67" t="n">
        <f aca="false">-Inputs!$C$36*(1+Inputs!$C$37)^(J$127-1)*1</f>
        <v>-1500</v>
      </c>
      <c r="K160" s="67" t="n">
        <f aca="false">-Inputs!$C$36*(1+Inputs!$C$37)^(K$127-1)*1</f>
        <v>-1500</v>
      </c>
      <c r="L160" s="67" t="n">
        <f aca="false">-Inputs!$C$36*(1+Inputs!$C$37)^(L$127-1)*1</f>
        <v>-1500</v>
      </c>
      <c r="M160" s="67" t="n">
        <f aca="false">-Inputs!$C$36*(1+Inputs!$C$37)^(M$127-1)*1</f>
        <v>-1500</v>
      </c>
      <c r="N160" s="67" t="n">
        <f aca="false">-Inputs!$C$36*(1+Inputs!$C$37)^(N$127-1)*1</f>
        <v>-1500</v>
      </c>
      <c r="O160" s="67" t="n">
        <f aca="false">-Inputs!$C$36*(1+Inputs!$C$37)^(O$127-1)*1</f>
        <v>-1200</v>
      </c>
      <c r="P160" s="67" t="n">
        <f aca="false">-Inputs!$C$36*(1+Inputs!$C$37)^(P$127-1)*1</f>
        <v>-1200</v>
      </c>
      <c r="Q160" s="67" t="n">
        <f aca="false">-Inputs!$C$36*(1+Inputs!$C$37)^(Q$127-1)*1</f>
        <v>-1200</v>
      </c>
      <c r="R160" s="67" t="n">
        <f aca="false">-Inputs!$C$36*(1+Inputs!$C$37)^(R$127-1)*1</f>
        <v>-1200</v>
      </c>
      <c r="S160" s="67" t="n">
        <f aca="false">-Inputs!$C$36*(1+Inputs!$C$37)^(S$127-1)*1</f>
        <v>-1200</v>
      </c>
      <c r="T160" s="67" t="n">
        <f aca="false">-Inputs!$C$36*(1+Inputs!$C$37)^(T$127-1)*1</f>
        <v>-1200</v>
      </c>
      <c r="U160" s="67" t="n">
        <f aca="false">-Inputs!$C$36*(1+Inputs!$C$37)^(U$127-1)*1</f>
        <v>-1200</v>
      </c>
      <c r="V160" s="67" t="n">
        <f aca="false">-Inputs!$C$36*(1+Inputs!$C$37)^(V$127-1)*1</f>
        <v>-1200</v>
      </c>
      <c r="W160" s="67" t="n">
        <f aca="false">-Inputs!$C$36*(1+Inputs!$C$37)^(W$127-1)*1</f>
        <v>-1200</v>
      </c>
      <c r="X160" s="67" t="n">
        <f aca="false">-Inputs!$C$36*(1+Inputs!$C$37)^(X$127-1)*1</f>
        <v>-1200</v>
      </c>
      <c r="Y160" s="67" t="n">
        <f aca="false">-Inputs!$C$36*(1+Inputs!$C$37)^(Y$127-1)*1</f>
        <v>-1200</v>
      </c>
      <c r="Z160" s="67" t="n">
        <f aca="false">-Inputs!$C$36*(1+Inputs!$C$37)^(Z$127-1)*1</f>
        <v>-1200</v>
      </c>
      <c r="AA160" s="67" t="n">
        <f aca="false">-Inputs!$C$36*(1+Inputs!$C$37)^(AA$127-1)*1</f>
        <v>-960</v>
      </c>
      <c r="AB160" s="67" t="n">
        <f aca="false">-Inputs!$C$36*(1+Inputs!$C$37)^(AB$127-1)*1</f>
        <v>-960</v>
      </c>
      <c r="AC160" s="67" t="n">
        <f aca="false">-Inputs!$C$36*(1+Inputs!$C$37)^(AC$127-1)*1</f>
        <v>-960</v>
      </c>
      <c r="AD160" s="67" t="n">
        <f aca="false">-Inputs!$C$36*(1+Inputs!$C$37)^(AD$127-1)*1</f>
        <v>-960</v>
      </c>
      <c r="AE160" s="67" t="n">
        <f aca="false">-Inputs!$C$36*(1+Inputs!$C$37)^(AE$127-1)*1</f>
        <v>-960</v>
      </c>
      <c r="AF160" s="67" t="n">
        <f aca="false">-Inputs!$C$36*(1+Inputs!$C$37)^(AF$127-1)*1</f>
        <v>-960</v>
      </c>
      <c r="AG160" s="67" t="n">
        <f aca="false">-Inputs!$C$36*(1+Inputs!$C$37)^(AG$127-1)*1</f>
        <v>-960</v>
      </c>
      <c r="AH160" s="67" t="n">
        <f aca="false">-Inputs!$C$36*(1+Inputs!$C$37)^(AH$127-1)*1</f>
        <v>-960</v>
      </c>
      <c r="AI160" s="67" t="n">
        <f aca="false">-Inputs!$C$36*(1+Inputs!$C$37)^(AI$127-1)*1</f>
        <v>-960</v>
      </c>
      <c r="AJ160" s="67" t="n">
        <f aca="false">-Inputs!$C$36*(1+Inputs!$C$37)^(AJ$127-1)*1</f>
        <v>-960</v>
      </c>
      <c r="AK160" s="67" t="n">
        <f aca="false">-Inputs!$C$36*(1+Inputs!$C$37)^(AK$127-1)*1</f>
        <v>-960</v>
      </c>
      <c r="AL160" s="67" t="n">
        <f aca="false">-Inputs!$C$36*(1+Inputs!$C$37)^(AL$127-1)*1</f>
        <v>-960</v>
      </c>
      <c r="AM160" s="67" t="n">
        <f aca="false">-Inputs!$C$36*(1+Inputs!$C$37)^(AM$127-1)*1</f>
        <v>-768</v>
      </c>
      <c r="AN160" s="67" t="n">
        <f aca="false">-Inputs!$C$36*(1+Inputs!$C$37)^(AN$127-1)*1</f>
        <v>-768</v>
      </c>
      <c r="AO160" s="67" t="n">
        <f aca="false">-Inputs!$C$36*(1+Inputs!$C$37)^(AO$127-1)*1</f>
        <v>-768</v>
      </c>
      <c r="AP160" s="67" t="n">
        <f aca="false">-Inputs!$C$36*(1+Inputs!$C$37)^(AP$127-1)*1</f>
        <v>-768</v>
      </c>
      <c r="AQ160" s="67" t="n">
        <f aca="false">-Inputs!$C$36*(1+Inputs!$C$37)^(AQ$127-1)*1</f>
        <v>-768</v>
      </c>
      <c r="AR160" s="67" t="n">
        <f aca="false">-Inputs!$C$36*(1+Inputs!$C$37)^(AR$127-1)*1</f>
        <v>-768</v>
      </c>
      <c r="AS160" s="67" t="n">
        <f aca="false">-Inputs!$C$36*(1+Inputs!$C$37)^(AS$127-1)*1</f>
        <v>-768</v>
      </c>
      <c r="AT160" s="67" t="n">
        <f aca="false">-Inputs!$C$36*(1+Inputs!$C$37)^(AT$127-1)*1</f>
        <v>-768</v>
      </c>
      <c r="AU160" s="67" t="n">
        <f aca="false">-Inputs!$C$36*(1+Inputs!$C$37)^(AU$127-1)*1</f>
        <v>-768</v>
      </c>
      <c r="AV160" s="67" t="n">
        <f aca="false">-Inputs!$C$36*(1+Inputs!$C$37)^(AV$127-1)*1</f>
        <v>-768</v>
      </c>
      <c r="AW160" s="67" t="n">
        <f aca="false">-Inputs!$C$36*(1+Inputs!$C$37)^(AW$127-1)*1</f>
        <v>-768</v>
      </c>
      <c r="AX160" s="67" t="n">
        <f aca="false">-Inputs!$C$36*(1+Inputs!$C$37)^(AX$127-1)*1</f>
        <v>-768</v>
      </c>
      <c r="AY160" s="67" t="n">
        <f aca="false">-Inputs!$C$36*(1+Inputs!$C$37)^(AY$127-1)*1</f>
        <v>-614.4</v>
      </c>
      <c r="AZ160" s="67" t="n">
        <f aca="false">-Inputs!$C$36*(1+Inputs!$C$37)^(AZ$127-1)*1</f>
        <v>-614.4</v>
      </c>
      <c r="BA160" s="67" t="n">
        <f aca="false">-Inputs!$C$36*(1+Inputs!$C$37)^(BA$127-1)*1</f>
        <v>-614.4</v>
      </c>
      <c r="BB160" s="67" t="n">
        <f aca="false">-Inputs!$C$36*(1+Inputs!$C$37)^(BB$127-1)*1</f>
        <v>-614.4</v>
      </c>
      <c r="BC160" s="67" t="n">
        <f aca="false">-Inputs!$C$36*(1+Inputs!$C$37)^(BC$127-1)*1</f>
        <v>-614.4</v>
      </c>
      <c r="BD160" s="67" t="n">
        <f aca="false">-Inputs!$C$36*(1+Inputs!$C$37)^(BD$127-1)*1</f>
        <v>-614.4</v>
      </c>
      <c r="BE160" s="67" t="n">
        <f aca="false">-Inputs!$C$36*(1+Inputs!$C$37)^(BE$127-1)*1</f>
        <v>-614.4</v>
      </c>
      <c r="BF160" s="67" t="n">
        <f aca="false">-Inputs!$C$36*(1+Inputs!$C$37)^(BF$127-1)*1</f>
        <v>-614.4</v>
      </c>
      <c r="BG160" s="67" t="n">
        <f aca="false">-Inputs!$C$36*(1+Inputs!$C$37)^(BG$127-1)*1</f>
        <v>-614.4</v>
      </c>
      <c r="BH160" s="67" t="n">
        <f aca="false">-Inputs!$C$36*(1+Inputs!$C$37)^(BH$127-1)*1</f>
        <v>-614.4</v>
      </c>
      <c r="BI160" s="67" t="n">
        <f aca="false">-Inputs!$C$36*(1+Inputs!$C$37)^(BI$127-1)*1</f>
        <v>-614.4</v>
      </c>
      <c r="BJ160" s="67" t="n">
        <f aca="false">-Inputs!$C$36*(1+Inputs!$C$37)^(BJ$127-1)*1</f>
        <v>-614.4</v>
      </c>
    </row>
    <row r="161" customFormat="false" ht="15" hidden="false" customHeight="false" outlineLevel="0" collapsed="false">
      <c r="A161" s="6" t="s">
        <v>335</v>
      </c>
      <c r="C161" s="67" t="n">
        <f aca="false">-Inputs!$C$35*(1+Inputs!$C$39)^(C$127-1)*1</f>
        <v>-1200</v>
      </c>
      <c r="D161" s="67" t="n">
        <f aca="false">-Inputs!$C$35*(1+Inputs!$C$39)^(D$127-1)*1</f>
        <v>-1200</v>
      </c>
      <c r="E161" s="67" t="n">
        <f aca="false">-Inputs!$C$35*(1+Inputs!$C$39)^(E$127-1)*1</f>
        <v>-1200</v>
      </c>
      <c r="F161" s="67" t="n">
        <f aca="false">-Inputs!$C$35*(1+Inputs!$C$39)^(F$127-1)*1</f>
        <v>-1200</v>
      </c>
      <c r="G161" s="67" t="n">
        <f aca="false">-Inputs!$C$35*(1+Inputs!$C$39)^(G$127-1)*1</f>
        <v>-1200</v>
      </c>
      <c r="H161" s="67" t="n">
        <f aca="false">-Inputs!$C$35*(1+Inputs!$C$39)^(H$127-1)*1</f>
        <v>-1200</v>
      </c>
      <c r="I161" s="67" t="n">
        <f aca="false">-Inputs!$C$35*(1+Inputs!$C$39)^(I$127-1)*1</f>
        <v>-1200</v>
      </c>
      <c r="J161" s="67" t="n">
        <f aca="false">-Inputs!$C$35*(1+Inputs!$C$39)^(J$127-1)*1</f>
        <v>-1200</v>
      </c>
      <c r="K161" s="67" t="n">
        <f aca="false">-Inputs!$C$35*(1+Inputs!$C$39)^(K$127-1)*1</f>
        <v>-1200</v>
      </c>
      <c r="L161" s="67" t="n">
        <f aca="false">-Inputs!$C$35*(1+Inputs!$C$39)^(L$127-1)*1</f>
        <v>-1200</v>
      </c>
      <c r="M161" s="67" t="n">
        <f aca="false">-Inputs!$C$35*(1+Inputs!$C$39)^(M$127-1)*1</f>
        <v>-1200</v>
      </c>
      <c r="N161" s="67" t="n">
        <f aca="false">-Inputs!$C$35*(1+Inputs!$C$39)^(N$127-1)*1</f>
        <v>-1200</v>
      </c>
      <c r="O161" s="67" t="n">
        <f aca="false">-Inputs!$C$35*(1+Inputs!$C$39)^(O$127-1)*1</f>
        <v>-1236</v>
      </c>
      <c r="P161" s="67" t="n">
        <f aca="false">-Inputs!$C$35*(1+Inputs!$C$39)^(P$127-1)*1</f>
        <v>-1236</v>
      </c>
      <c r="Q161" s="67" t="n">
        <f aca="false">-Inputs!$C$35*(1+Inputs!$C$39)^(Q$127-1)*1</f>
        <v>-1236</v>
      </c>
      <c r="R161" s="67" t="n">
        <f aca="false">-Inputs!$C$35*(1+Inputs!$C$39)^(R$127-1)*1</f>
        <v>-1236</v>
      </c>
      <c r="S161" s="67" t="n">
        <f aca="false">-Inputs!$C$35*(1+Inputs!$C$39)^(S$127-1)*1</f>
        <v>-1236</v>
      </c>
      <c r="T161" s="67" t="n">
        <f aca="false">-Inputs!$C$35*(1+Inputs!$C$39)^(T$127-1)*1</f>
        <v>-1236</v>
      </c>
      <c r="U161" s="67" t="n">
        <f aca="false">-Inputs!$C$35*(1+Inputs!$C$39)^(U$127-1)*1</f>
        <v>-1236</v>
      </c>
      <c r="V161" s="67" t="n">
        <f aca="false">-Inputs!$C$35*(1+Inputs!$C$39)^(V$127-1)*1</f>
        <v>-1236</v>
      </c>
      <c r="W161" s="67" t="n">
        <f aca="false">-Inputs!$C$35*(1+Inputs!$C$39)^(W$127-1)*1</f>
        <v>-1236</v>
      </c>
      <c r="X161" s="67" t="n">
        <f aca="false">-Inputs!$C$35*(1+Inputs!$C$39)^(X$127-1)*1</f>
        <v>-1236</v>
      </c>
      <c r="Y161" s="67" t="n">
        <f aca="false">-Inputs!$C$35*(1+Inputs!$C$39)^(Y$127-1)*1</f>
        <v>-1236</v>
      </c>
      <c r="Z161" s="67" t="n">
        <f aca="false">-Inputs!$C$35*(1+Inputs!$C$39)^(Z$127-1)*1</f>
        <v>-1236</v>
      </c>
      <c r="AA161" s="67" t="n">
        <f aca="false">-Inputs!$C$35*(1+Inputs!$C$39)^(AA$127-1)*1</f>
        <v>-1273.08</v>
      </c>
      <c r="AB161" s="67" t="n">
        <f aca="false">-Inputs!$C$35*(1+Inputs!$C$39)^(AB$127-1)*1</f>
        <v>-1273.08</v>
      </c>
      <c r="AC161" s="67" t="n">
        <f aca="false">-Inputs!$C$35*(1+Inputs!$C$39)^(AC$127-1)*1</f>
        <v>-1273.08</v>
      </c>
      <c r="AD161" s="67" t="n">
        <f aca="false">-Inputs!$C$35*(1+Inputs!$C$39)^(AD$127-1)*1</f>
        <v>-1273.08</v>
      </c>
      <c r="AE161" s="67" t="n">
        <f aca="false">-Inputs!$C$35*(1+Inputs!$C$39)^(AE$127-1)*1</f>
        <v>-1273.08</v>
      </c>
      <c r="AF161" s="67" t="n">
        <f aca="false">-Inputs!$C$35*(1+Inputs!$C$39)^(AF$127-1)*1</f>
        <v>-1273.08</v>
      </c>
      <c r="AG161" s="67" t="n">
        <f aca="false">-Inputs!$C$35*(1+Inputs!$C$39)^(AG$127-1)*1</f>
        <v>-1273.08</v>
      </c>
      <c r="AH161" s="67" t="n">
        <f aca="false">-Inputs!$C$35*(1+Inputs!$C$39)^(AH$127-1)*1</f>
        <v>-1273.08</v>
      </c>
      <c r="AI161" s="67" t="n">
        <f aca="false">-Inputs!$C$35*(1+Inputs!$C$39)^(AI$127-1)*1</f>
        <v>-1273.08</v>
      </c>
      <c r="AJ161" s="67" t="n">
        <f aca="false">-Inputs!$C$35*(1+Inputs!$C$39)^(AJ$127-1)*1</f>
        <v>-1273.08</v>
      </c>
      <c r="AK161" s="67" t="n">
        <f aca="false">-Inputs!$C$35*(1+Inputs!$C$39)^(AK$127-1)*1</f>
        <v>-1273.08</v>
      </c>
      <c r="AL161" s="67" t="n">
        <f aca="false">-Inputs!$C$35*(1+Inputs!$C$39)^(AL$127-1)*1</f>
        <v>-1273.08</v>
      </c>
      <c r="AM161" s="67" t="n">
        <f aca="false">-Inputs!$C$35*(1+Inputs!$C$39)^(AM$127-1)*1</f>
        <v>-1311.2724</v>
      </c>
      <c r="AN161" s="67" t="n">
        <f aca="false">-Inputs!$C$35*(1+Inputs!$C$39)^(AN$127-1)*1</f>
        <v>-1311.2724</v>
      </c>
      <c r="AO161" s="67" t="n">
        <f aca="false">-Inputs!$C$35*(1+Inputs!$C$39)^(AO$127-1)*1</f>
        <v>-1311.2724</v>
      </c>
      <c r="AP161" s="67" t="n">
        <f aca="false">-Inputs!$C$35*(1+Inputs!$C$39)^(AP$127-1)*1</f>
        <v>-1311.2724</v>
      </c>
      <c r="AQ161" s="67" t="n">
        <f aca="false">-Inputs!$C$35*(1+Inputs!$C$39)^(AQ$127-1)*1</f>
        <v>-1311.2724</v>
      </c>
      <c r="AR161" s="67" t="n">
        <f aca="false">-Inputs!$C$35*(1+Inputs!$C$39)^(AR$127-1)*1</f>
        <v>-1311.2724</v>
      </c>
      <c r="AS161" s="67" t="n">
        <f aca="false">-Inputs!$C$35*(1+Inputs!$C$39)^(AS$127-1)*1</f>
        <v>-1311.2724</v>
      </c>
      <c r="AT161" s="67" t="n">
        <f aca="false">-Inputs!$C$35*(1+Inputs!$C$39)^(AT$127-1)*1</f>
        <v>-1311.2724</v>
      </c>
      <c r="AU161" s="67" t="n">
        <f aca="false">-Inputs!$C$35*(1+Inputs!$C$39)^(AU$127-1)*1</f>
        <v>-1311.2724</v>
      </c>
      <c r="AV161" s="67" t="n">
        <f aca="false">-Inputs!$C$35*(1+Inputs!$C$39)^(AV$127-1)*1</f>
        <v>-1311.2724</v>
      </c>
      <c r="AW161" s="67" t="n">
        <f aca="false">-Inputs!$C$35*(1+Inputs!$C$39)^(AW$127-1)*1</f>
        <v>-1311.2724</v>
      </c>
      <c r="AX161" s="67" t="n">
        <f aca="false">-Inputs!$C$35*(1+Inputs!$C$39)^(AX$127-1)*1</f>
        <v>-1311.2724</v>
      </c>
      <c r="AY161" s="67" t="n">
        <f aca="false">-Inputs!$C$35*(1+Inputs!$C$39)^(AY$127-1)*1</f>
        <v>-1350.610572</v>
      </c>
      <c r="AZ161" s="67" t="n">
        <f aca="false">-Inputs!$C$35*(1+Inputs!$C$39)^(AZ$127-1)*1</f>
        <v>-1350.610572</v>
      </c>
      <c r="BA161" s="67" t="n">
        <f aca="false">-Inputs!$C$35*(1+Inputs!$C$39)^(BA$127-1)*1</f>
        <v>-1350.610572</v>
      </c>
      <c r="BB161" s="67" t="n">
        <f aca="false">-Inputs!$C$35*(1+Inputs!$C$39)^(BB$127-1)*1</f>
        <v>-1350.610572</v>
      </c>
      <c r="BC161" s="67" t="n">
        <f aca="false">-Inputs!$C$35*(1+Inputs!$C$39)^(BC$127-1)*1</f>
        <v>-1350.610572</v>
      </c>
      <c r="BD161" s="67" t="n">
        <f aca="false">-Inputs!$C$35*(1+Inputs!$C$39)^(BD$127-1)*1</f>
        <v>-1350.610572</v>
      </c>
      <c r="BE161" s="67" t="n">
        <f aca="false">-Inputs!$C$35*(1+Inputs!$C$39)^(BE$127-1)*1</f>
        <v>-1350.610572</v>
      </c>
      <c r="BF161" s="67" t="n">
        <f aca="false">-Inputs!$C$35*(1+Inputs!$C$39)^(BF$127-1)*1</f>
        <v>-1350.610572</v>
      </c>
      <c r="BG161" s="67" t="n">
        <f aca="false">-Inputs!$C$35*(1+Inputs!$C$39)^(BG$127-1)*1</f>
        <v>-1350.610572</v>
      </c>
      <c r="BH161" s="67" t="n">
        <f aca="false">-Inputs!$C$35*(1+Inputs!$C$39)^(BH$127-1)*1</f>
        <v>-1350.610572</v>
      </c>
      <c r="BI161" s="67" t="n">
        <f aca="false">-Inputs!$C$35*(1+Inputs!$C$39)^(BI$127-1)*1</f>
        <v>-1350.610572</v>
      </c>
      <c r="BJ161" s="67" t="n">
        <f aca="false">-Inputs!$C$35*(1+Inputs!$C$39)^(BJ$127-1)*1</f>
        <v>-1350.610572</v>
      </c>
    </row>
    <row r="162" customFormat="false" ht="15" hidden="false" customHeight="false" outlineLevel="0" collapsed="false">
      <c r="A162" s="6" t="s">
        <v>336</v>
      </c>
      <c r="C162" s="67" t="n">
        <f aca="false">-C142*Inputs!$C$38</f>
        <v>-311.613984</v>
      </c>
      <c r="D162" s="67" t="n">
        <f aca="false">-D142*Inputs!$C$38</f>
        <v>-358.3560816</v>
      </c>
      <c r="E162" s="67" t="n">
        <f aca="false">-E142*Inputs!$C$38</f>
        <v>-405.0981792</v>
      </c>
      <c r="F162" s="67" t="n">
        <f aca="false">-F142*Inputs!$C$38</f>
        <v>-451.8402768</v>
      </c>
      <c r="G162" s="67" t="n">
        <f aca="false">-G142*Inputs!$C$38</f>
        <v>-498.5823744</v>
      </c>
      <c r="H162" s="67" t="n">
        <f aca="false">-H142*Inputs!$C$38</f>
        <v>-743.62428</v>
      </c>
      <c r="I162" s="67" t="n">
        <f aca="false">-I142*Inputs!$C$38</f>
        <v>-807.363504</v>
      </c>
      <c r="J162" s="67" t="n">
        <f aca="false">-J142*Inputs!$C$38</f>
        <v>-871.102728</v>
      </c>
      <c r="K162" s="67" t="n">
        <f aca="false">-K142*Inputs!$C$38</f>
        <v>-685.5507648</v>
      </c>
      <c r="L162" s="67" t="n">
        <f aca="false">-L142*Inputs!$C$38</f>
        <v>-732.2928624</v>
      </c>
      <c r="M162" s="67" t="n">
        <f aca="false">-M142*Inputs!$C$38</f>
        <v>-779.03496</v>
      </c>
      <c r="N162" s="67" t="n">
        <f aca="false">-N142*Inputs!$C$38</f>
        <v>-779.03496</v>
      </c>
      <c r="O162" s="67" t="n">
        <f aca="false">-O142*Inputs!$C$38</f>
        <v>-818.454128976</v>
      </c>
      <c r="P162" s="67" t="n">
        <f aca="false">-P142*Inputs!$C$38</f>
        <v>-818.454128976</v>
      </c>
      <c r="Q162" s="67" t="n">
        <f aca="false">-Q142*Inputs!$C$38</f>
        <v>-818.454128976</v>
      </c>
      <c r="R162" s="67" t="n">
        <f aca="false">-R142*Inputs!$C$38</f>
        <v>-818.454128976</v>
      </c>
      <c r="S162" s="67" t="n">
        <f aca="false">-S142*Inputs!$C$38</f>
        <v>-818.454128976</v>
      </c>
      <c r="T162" s="67" t="n">
        <f aca="false">-T142*Inputs!$C$38</f>
        <v>-1116.07381224</v>
      </c>
      <c r="U162" s="67" t="n">
        <f aca="false">-U142*Inputs!$C$38</f>
        <v>-1116.07381224</v>
      </c>
      <c r="V162" s="67" t="n">
        <f aca="false">-V142*Inputs!$C$38</f>
        <v>-1116.07381224</v>
      </c>
      <c r="W162" s="67" t="n">
        <f aca="false">-W142*Inputs!$C$38</f>
        <v>-818.454128976</v>
      </c>
      <c r="X162" s="67" t="n">
        <f aca="false">-X142*Inputs!$C$38</f>
        <v>-818.454128976</v>
      </c>
      <c r="Y162" s="67" t="n">
        <f aca="false">-Y142*Inputs!$C$38</f>
        <v>-818.454128976</v>
      </c>
      <c r="Z162" s="67" t="n">
        <f aca="false">-Z142*Inputs!$C$38</f>
        <v>-818.454128976</v>
      </c>
      <c r="AA162" s="67" t="n">
        <f aca="false">-AA142*Inputs!$C$38</f>
        <v>-859.867907902186</v>
      </c>
      <c r="AB162" s="67" t="n">
        <f aca="false">-AB142*Inputs!$C$38</f>
        <v>-859.867907902186</v>
      </c>
      <c r="AC162" s="67" t="n">
        <f aca="false">-AC142*Inputs!$C$38</f>
        <v>-859.867907902186</v>
      </c>
      <c r="AD162" s="67" t="n">
        <f aca="false">-AD142*Inputs!$C$38</f>
        <v>-859.867907902186</v>
      </c>
      <c r="AE162" s="67" t="n">
        <f aca="false">-AE142*Inputs!$C$38</f>
        <v>-859.867907902186</v>
      </c>
      <c r="AF162" s="67" t="n">
        <f aca="false">-AF142*Inputs!$C$38</f>
        <v>-1172.54714713934</v>
      </c>
      <c r="AG162" s="67" t="n">
        <f aca="false">-AG142*Inputs!$C$38</f>
        <v>-1172.54714713934</v>
      </c>
      <c r="AH162" s="67" t="n">
        <f aca="false">-AH142*Inputs!$C$38</f>
        <v>-1172.54714713934</v>
      </c>
      <c r="AI162" s="67" t="n">
        <f aca="false">-AI142*Inputs!$C$38</f>
        <v>-859.867907902186</v>
      </c>
      <c r="AJ162" s="67" t="n">
        <f aca="false">-AJ142*Inputs!$C$38</f>
        <v>-859.867907902186</v>
      </c>
      <c r="AK162" s="67" t="n">
        <f aca="false">-AK142*Inputs!$C$38</f>
        <v>-859.867907902186</v>
      </c>
      <c r="AL162" s="67" t="n">
        <f aca="false">-AL142*Inputs!$C$38</f>
        <v>-859.867907902186</v>
      </c>
      <c r="AM162" s="67" t="n">
        <f aca="false">-AM142*Inputs!$C$38</f>
        <v>-903.377224042036</v>
      </c>
      <c r="AN162" s="67" t="n">
        <f aca="false">-AN142*Inputs!$C$38</f>
        <v>-903.377224042036</v>
      </c>
      <c r="AO162" s="67" t="n">
        <f aca="false">-AO142*Inputs!$C$38</f>
        <v>-903.377224042036</v>
      </c>
      <c r="AP162" s="67" t="n">
        <f aca="false">-AP142*Inputs!$C$38</f>
        <v>-903.377224042036</v>
      </c>
      <c r="AQ162" s="67" t="n">
        <f aca="false">-AQ142*Inputs!$C$38</f>
        <v>-903.377224042036</v>
      </c>
      <c r="AR162" s="67" t="n">
        <f aca="false">-AR142*Inputs!$C$38</f>
        <v>-1231.8780327846</v>
      </c>
      <c r="AS162" s="67" t="n">
        <f aca="false">-AS142*Inputs!$C$38</f>
        <v>-1231.8780327846</v>
      </c>
      <c r="AT162" s="67" t="n">
        <f aca="false">-AT142*Inputs!$C$38</f>
        <v>-1231.8780327846</v>
      </c>
      <c r="AU162" s="67" t="n">
        <f aca="false">-AU142*Inputs!$C$38</f>
        <v>-903.377224042036</v>
      </c>
      <c r="AV162" s="67" t="n">
        <f aca="false">-AV142*Inputs!$C$38</f>
        <v>-903.377224042036</v>
      </c>
      <c r="AW162" s="67" t="n">
        <f aca="false">-AW142*Inputs!$C$38</f>
        <v>-903.377224042036</v>
      </c>
      <c r="AX162" s="67" t="n">
        <f aca="false">-AX142*Inputs!$C$38</f>
        <v>-903.377224042036</v>
      </c>
      <c r="AY162" s="67" t="n">
        <f aca="false">-AY142*Inputs!$C$38</f>
        <v>-949.088111578563</v>
      </c>
      <c r="AZ162" s="67" t="n">
        <f aca="false">-AZ142*Inputs!$C$38</f>
        <v>-949.088111578563</v>
      </c>
      <c r="BA162" s="67" t="n">
        <f aca="false">-BA142*Inputs!$C$38</f>
        <v>-949.088111578563</v>
      </c>
      <c r="BB162" s="67" t="n">
        <f aca="false">-BB142*Inputs!$C$38</f>
        <v>-949.088111578563</v>
      </c>
      <c r="BC162" s="67" t="n">
        <f aca="false">-BC142*Inputs!$C$38</f>
        <v>-949.088111578563</v>
      </c>
      <c r="BD162" s="67" t="n">
        <f aca="false">-BD142*Inputs!$C$38</f>
        <v>-1294.2110612435</v>
      </c>
      <c r="BE162" s="67" t="n">
        <f aca="false">-BE142*Inputs!$C$38</f>
        <v>-1294.2110612435</v>
      </c>
      <c r="BF162" s="67" t="n">
        <f aca="false">-BF142*Inputs!$C$38</f>
        <v>-1294.2110612435</v>
      </c>
      <c r="BG162" s="67" t="n">
        <f aca="false">-BG142*Inputs!$C$38</f>
        <v>-949.088111578563</v>
      </c>
      <c r="BH162" s="67" t="n">
        <f aca="false">-BH142*Inputs!$C$38</f>
        <v>-949.088111578563</v>
      </c>
      <c r="BI162" s="67" t="n">
        <f aca="false">-BI142*Inputs!$C$38</f>
        <v>-949.088111578563</v>
      </c>
      <c r="BJ162" s="67" t="n">
        <f aca="false">-BJ142*Inputs!$C$38</f>
        <v>-949.088111578563</v>
      </c>
    </row>
    <row r="163" customFormat="false" ht="15" hidden="false" customHeight="false" outlineLevel="0" collapsed="false">
      <c r="A163" s="111" t="s">
        <v>77</v>
      </c>
      <c r="C163" s="68" t="n">
        <f aca="false">C154+C155+C156+C157+C158+C159+C160+C161+C162</f>
        <v>-12198.2643306667</v>
      </c>
      <c r="D163" s="68" t="n">
        <f aca="false">D154+D155+D156+D157+D158+D159+D160+D161+D162</f>
        <v>-12314.2539802667</v>
      </c>
      <c r="E163" s="68" t="n">
        <f aca="false">E154+E155+E156+E157+E158+E159+E160+E161+E162</f>
        <v>-12430.2436298667</v>
      </c>
      <c r="F163" s="68" t="n">
        <f aca="false">F154+F155+F156+F157+F158+F159+F160+F161+F162</f>
        <v>-12546.2332794667</v>
      </c>
      <c r="G163" s="68" t="n">
        <f aca="false">G154+G155+G156+G157+G158+G159+G160+G161+G162</f>
        <v>-12662.2229290667</v>
      </c>
      <c r="H163" s="68" t="n">
        <f aca="false">H154+H155+H156+H157+H158+H159+H160+H161+H162</f>
        <v>-13270.28988</v>
      </c>
      <c r="I163" s="68" t="n">
        <f aca="false">I154+I155+I156+I157+I158+I159+I160+I161+I162</f>
        <v>-13428.457584</v>
      </c>
      <c r="J163" s="68" t="n">
        <f aca="false">J154+J155+J156+J157+J158+J159+J160+J161+J162</f>
        <v>-13586.625288</v>
      </c>
      <c r="K163" s="68" t="n">
        <f aca="false">K154+K155+K156+K157+K158+K159+K160+K161+K162</f>
        <v>-13126.1815274667</v>
      </c>
      <c r="L163" s="68" t="n">
        <f aca="false">L154+L155+L156+L157+L158+L159+L160+L161+L162</f>
        <v>-13242.1711770667</v>
      </c>
      <c r="M163" s="68" t="n">
        <f aca="false">M154+M155+M156+M157+M158+M159+M160+M161+M162</f>
        <v>-13358.1608266667</v>
      </c>
      <c r="N163" s="68" t="n">
        <f aca="false">N154+N155+N156+N157+N158+N159+N160+N161+N162</f>
        <v>-13358.1608266667</v>
      </c>
      <c r="O163" s="68" t="n">
        <f aca="false">O154+O155+O156+O157+O158+O159+O160+O161+O162</f>
        <v>-13453.728764496</v>
      </c>
      <c r="P163" s="68" t="n">
        <f aca="false">P154+P155+P156+P157+P158+P159+P160+P161+P162</f>
        <v>-13453.728764496</v>
      </c>
      <c r="Q163" s="68" t="n">
        <f aca="false">Q154+Q155+Q156+Q157+Q158+Q159+Q160+Q161+Q162</f>
        <v>-13453.728764496</v>
      </c>
      <c r="R163" s="68" t="n">
        <f aca="false">R154+R155+R156+R157+R158+R159+R160+R161+R162</f>
        <v>-13453.728764496</v>
      </c>
      <c r="S163" s="68" t="n">
        <f aca="false">S154+S155+S156+S157+S158+S159+S160+S161+S162</f>
        <v>-13453.728764496</v>
      </c>
      <c r="T163" s="68" t="n">
        <f aca="false">T154+T155+T156+T157+T158+T159+T160+T161+T162</f>
        <v>-14192.26649704</v>
      </c>
      <c r="U163" s="68" t="n">
        <f aca="false">U154+U155+U156+U157+U158+U159+U160+U161+U162</f>
        <v>-14192.26649704</v>
      </c>
      <c r="V163" s="68" t="n">
        <f aca="false">V154+V155+V156+V157+V158+V159+V160+V161+V162</f>
        <v>-14192.26649704</v>
      </c>
      <c r="W163" s="68" t="n">
        <f aca="false">W154+W155+W156+W157+W158+W159+W160+W161+W162</f>
        <v>-13453.728764496</v>
      </c>
      <c r="X163" s="68" t="n">
        <f aca="false">X154+X155+X156+X157+X158+X159+X160+X161+X162</f>
        <v>-13453.728764496</v>
      </c>
      <c r="Y163" s="68" t="n">
        <f aca="false">Y154+Y155+Y156+Y157+Y158+Y159+Y160+Y161+Y162</f>
        <v>-13453.728764496</v>
      </c>
      <c r="Z163" s="68" t="n">
        <f aca="false">Z154+Z155+Z156+Z157+Z158+Z159+Z160+Z161+Z162</f>
        <v>-13453.728764496</v>
      </c>
      <c r="AA163" s="68" t="n">
        <f aca="false">AA154+AA155+AA156+AA157+AA158+AA159+AA160+AA161+AA162</f>
        <v>-13623.1787899795</v>
      </c>
      <c r="AB163" s="68" t="n">
        <f aca="false">AB154+AB155+AB156+AB157+AB158+AB159+AB160+AB161+AB162</f>
        <v>-13623.1787899795</v>
      </c>
      <c r="AC163" s="68" t="n">
        <f aca="false">AC154+AC155+AC156+AC157+AC158+AC159+AC160+AC161+AC162</f>
        <v>-13623.1787899795</v>
      </c>
      <c r="AD163" s="68" t="n">
        <f aca="false">AD154+AD155+AD156+AD157+AD158+AD159+AD160+AD161+AD162</f>
        <v>-13623.1787899795</v>
      </c>
      <c r="AE163" s="68" t="n">
        <f aca="false">AE154+AE155+AE156+AE157+AE158+AE159+AE160+AE161+AE162</f>
        <v>-13623.1787899795</v>
      </c>
      <c r="AF163" s="68" t="n">
        <f aca="false">AF154+AF155+AF156+AF157+AF158+AF159+AF160+AF161+AF162</f>
        <v>-14399.0865317902</v>
      </c>
      <c r="AG163" s="68" t="n">
        <f aca="false">AG154+AG155+AG156+AG157+AG158+AG159+AG160+AG161+AG162</f>
        <v>-14399.0865317902</v>
      </c>
      <c r="AH163" s="68" t="n">
        <f aca="false">AH154+AH155+AH156+AH157+AH158+AH159+AH160+AH161+AH162</f>
        <v>-14399.0865317902</v>
      </c>
      <c r="AI163" s="68" t="n">
        <f aca="false">AI154+AI155+AI156+AI157+AI158+AI159+AI160+AI161+AI162</f>
        <v>-13623.1787899795</v>
      </c>
      <c r="AJ163" s="68" t="n">
        <f aca="false">AJ154+AJ155+AJ156+AJ157+AJ158+AJ159+AJ160+AJ161+AJ162</f>
        <v>-13623.1787899795</v>
      </c>
      <c r="AK163" s="68" t="n">
        <f aca="false">AK154+AK155+AK156+AK157+AK158+AK159+AK160+AK161+AK162</f>
        <v>-13623.1787899795</v>
      </c>
      <c r="AL163" s="68" t="n">
        <f aca="false">AL154+AL155+AL156+AL157+AL158+AL159+AL160+AL161+AL162</f>
        <v>-13623.1787899795</v>
      </c>
      <c r="AM163" s="68" t="n">
        <f aca="false">AM154+AM155+AM156+AM157+AM158+AM159+AM160+AM161+AM162</f>
        <v>-13855.0293272525</v>
      </c>
      <c r="AN163" s="68" t="n">
        <f aca="false">AN154+AN155+AN156+AN157+AN158+AN159+AN160+AN161+AN162</f>
        <v>-13855.0293272525</v>
      </c>
      <c r="AO163" s="68" t="n">
        <f aca="false">AO154+AO155+AO156+AO157+AO158+AO159+AO160+AO161+AO162</f>
        <v>-13855.0293272525</v>
      </c>
      <c r="AP163" s="68" t="n">
        <f aca="false">AP154+AP155+AP156+AP157+AP158+AP159+AP160+AP161+AP162</f>
        <v>-13855.0293272525</v>
      </c>
      <c r="AQ163" s="68" t="n">
        <f aca="false">AQ154+AQ155+AQ156+AQ157+AQ158+AQ159+AQ160+AQ161+AQ162</f>
        <v>-13855.0293272525</v>
      </c>
      <c r="AR163" s="68" t="n">
        <f aca="false">AR154+AR155+AR156+AR157+AR158+AR159+AR160+AR161+AR162</f>
        <v>-14670.1980007988</v>
      </c>
      <c r="AS163" s="68" t="n">
        <f aca="false">AS154+AS155+AS156+AS157+AS158+AS159+AS160+AS161+AS162</f>
        <v>-14670.1980007988</v>
      </c>
      <c r="AT163" s="68" t="n">
        <f aca="false">AT154+AT155+AT156+AT157+AT158+AT159+AT160+AT161+AT162</f>
        <v>-14670.1980007988</v>
      </c>
      <c r="AU163" s="68" t="n">
        <f aca="false">AU154+AU155+AU156+AU157+AU158+AU159+AU160+AU161+AU162</f>
        <v>-13855.0293272525</v>
      </c>
      <c r="AV163" s="68" t="n">
        <f aca="false">AV154+AV155+AV156+AV157+AV158+AV159+AV160+AV161+AV162</f>
        <v>-13855.0293272525</v>
      </c>
      <c r="AW163" s="68" t="n">
        <f aca="false">AW154+AW155+AW156+AW157+AW158+AW159+AW160+AW161+AW162</f>
        <v>-13855.0293272525</v>
      </c>
      <c r="AX163" s="68" t="n">
        <f aca="false">AX154+AX155+AX156+AX157+AX158+AX159+AX160+AX161+AX162</f>
        <v>-13855.0293272525</v>
      </c>
      <c r="AY163" s="68" t="n">
        <f aca="false">AY154+AY155+AY156+AY157+AY158+AY159+AY160+AY161+AY162</f>
        <v>-14140.2195124264</v>
      </c>
      <c r="AZ163" s="68" t="n">
        <f aca="false">AZ154+AZ155+AZ156+AZ157+AZ158+AZ159+AZ160+AZ161+AZ162</f>
        <v>-14140.2195124264</v>
      </c>
      <c r="BA163" s="68" t="n">
        <f aca="false">BA154+BA155+BA156+BA157+BA158+BA159+BA160+BA161+BA162</f>
        <v>-14140.2195124264</v>
      </c>
      <c r="BB163" s="68" t="n">
        <f aca="false">BB154+BB155+BB156+BB157+BB158+BB159+BB160+BB161+BB162</f>
        <v>-14140.2195124264</v>
      </c>
      <c r="BC163" s="68" t="n">
        <f aca="false">BC154+BC155+BC156+BC157+BC158+BC159+BC160+BC161+BC162</f>
        <v>-14140.2195124264</v>
      </c>
      <c r="BD163" s="68" t="n">
        <f aca="false">BD154+BD155+BD156+BD157+BD158+BD159+BD160+BD161+BD162</f>
        <v>-14996.6357208542</v>
      </c>
      <c r="BE163" s="68" t="n">
        <f aca="false">BE154+BE155+BE156+BE157+BE158+BE159+BE160+BE161+BE162</f>
        <v>-14996.6357208542</v>
      </c>
      <c r="BF163" s="68" t="n">
        <f aca="false">BF154+BF155+BF156+BF157+BF158+BF159+BF160+BF161+BF162</f>
        <v>-14996.6357208542</v>
      </c>
      <c r="BG163" s="68" t="n">
        <f aca="false">BG154+BG155+BG156+BG157+BG158+BG159+BG160+BG161+BG162</f>
        <v>-14140.2195124264</v>
      </c>
      <c r="BH163" s="68" t="n">
        <f aca="false">BH154+BH155+BH156+BH157+BH158+BH159+BH160+BH161+BH162</f>
        <v>-14140.2195124264</v>
      </c>
      <c r="BI163" s="68" t="n">
        <f aca="false">BI154+BI155+BI156+BI157+BI158+BI159+BI160+BI161+BI162</f>
        <v>-14140.2195124264</v>
      </c>
      <c r="BJ163" s="68" t="n">
        <f aca="false">BJ154+BJ155+BJ156+BJ157+BJ158+BJ159+BJ160+BJ161+BJ162</f>
        <v>-14140.2195124264</v>
      </c>
    </row>
    <row r="164" customFormat="false" ht="15" hidden="false" customHeight="false" outlineLevel="0" collapsed="false">
      <c r="A164" s="111" t="s">
        <v>48</v>
      </c>
      <c r="C164" s="68" t="n">
        <f aca="false">C151+C163</f>
        <v>-7522.92793066667</v>
      </c>
      <c r="D164" s="68" t="n">
        <f aca="false">D151+D163</f>
        <v>-6247.61712026667</v>
      </c>
      <c r="E164" s="68" t="n">
        <f aca="false">E151+E163</f>
        <v>-4972.30630986667</v>
      </c>
      <c r="F164" s="68" t="n">
        <f aca="false">F151+F163</f>
        <v>-3696.99549946667</v>
      </c>
      <c r="G164" s="68" t="n">
        <f aca="false">G151+G163</f>
        <v>-2421.68468906666</v>
      </c>
      <c r="H164" s="68" t="n">
        <f aca="false">H151+H163</f>
        <v>4264.03562</v>
      </c>
      <c r="I164" s="68" t="n">
        <f aca="false">I151+I163</f>
        <v>6003.095816</v>
      </c>
      <c r="J164" s="68" t="n">
        <f aca="false">J151+J163</f>
        <v>7742.156012</v>
      </c>
      <c r="K164" s="68" t="n">
        <f aca="false">K151+K163</f>
        <v>2679.55855253333</v>
      </c>
      <c r="L164" s="68" t="n">
        <f aca="false">L151+L163</f>
        <v>3954.86936293334</v>
      </c>
      <c r="M164" s="68" t="n">
        <f aca="false">M151+M163</f>
        <v>5230.18017333333</v>
      </c>
      <c r="N164" s="68" t="n">
        <f aca="false">N151+N163</f>
        <v>5230.18017333333</v>
      </c>
      <c r="O164" s="68" t="n">
        <f aca="false">O151+O163</f>
        <v>6169.942290104</v>
      </c>
      <c r="P164" s="68" t="n">
        <f aca="false">P151+P163</f>
        <v>6169.942290104</v>
      </c>
      <c r="Q164" s="68" t="n">
        <f aca="false">Q151+Q163</f>
        <v>6169.942290104</v>
      </c>
      <c r="R164" s="68" t="n">
        <f aca="false">R151+R163</f>
        <v>6169.942290104</v>
      </c>
      <c r="S164" s="68" t="n">
        <f aca="false">S151+S163</f>
        <v>6169.942290104</v>
      </c>
      <c r="T164" s="68" t="n">
        <f aca="false">T151+T163</f>
        <v>14290.19403196</v>
      </c>
      <c r="U164" s="68" t="n">
        <f aca="false">U151+U163</f>
        <v>14290.19403196</v>
      </c>
      <c r="V164" s="68" t="n">
        <f aca="false">V151+V163</f>
        <v>14290.19403196</v>
      </c>
      <c r="W164" s="68" t="n">
        <f aca="false">W151+W163</f>
        <v>6169.942290104</v>
      </c>
      <c r="X164" s="68" t="n">
        <f aca="false">X151+X163</f>
        <v>6169.942290104</v>
      </c>
      <c r="Y164" s="68" t="n">
        <f aca="false">Y151+Y163</f>
        <v>6169.942290104</v>
      </c>
      <c r="Z164" s="68" t="n">
        <f aca="false">Z151+Z163</f>
        <v>6169.942290104</v>
      </c>
      <c r="AA164" s="68" t="n">
        <f aca="false">AA151+AA163</f>
        <v>7091.05281998326</v>
      </c>
      <c r="AB164" s="68" t="n">
        <f aca="false">AB151+AB163</f>
        <v>7091.05281998326</v>
      </c>
      <c r="AC164" s="68" t="n">
        <f aca="false">AC151+AC163</f>
        <v>7091.05281998326</v>
      </c>
      <c r="AD164" s="68" t="n">
        <f aca="false">AD151+AD163</f>
        <v>7091.05281998326</v>
      </c>
      <c r="AE164" s="68" t="n">
        <f aca="false">AE151+AE163</f>
        <v>7091.05281998326</v>
      </c>
      <c r="AF164" s="68" t="n">
        <f aca="false">AF151+AF163</f>
        <v>15622.1892999772</v>
      </c>
      <c r="AG164" s="68" t="n">
        <f aca="false">AG151+AG163</f>
        <v>15622.1892999772</v>
      </c>
      <c r="AH164" s="68" t="n">
        <f aca="false">AH151+AH163</f>
        <v>15622.1892999772</v>
      </c>
      <c r="AI164" s="68" t="n">
        <f aca="false">AI151+AI163</f>
        <v>7091.05281998326</v>
      </c>
      <c r="AJ164" s="68" t="n">
        <f aca="false">AJ151+AJ163</f>
        <v>7091.05281998326</v>
      </c>
      <c r="AK164" s="68" t="n">
        <f aca="false">AK151+AK163</f>
        <v>7091.05281998326</v>
      </c>
      <c r="AL164" s="68" t="n">
        <f aca="false">AL151+AL163</f>
        <v>7091.05281998326</v>
      </c>
      <c r="AM164" s="68" t="n">
        <f aca="false">AM151+AM163</f>
        <v>8007.87328617442</v>
      </c>
      <c r="AN164" s="68" t="n">
        <f aca="false">AN151+AN163</f>
        <v>8007.87328617442</v>
      </c>
      <c r="AO164" s="68" t="n">
        <f aca="false">AO151+AO163</f>
        <v>8007.87328617442</v>
      </c>
      <c r="AP164" s="68" t="n">
        <f aca="false">AP151+AP163</f>
        <v>8007.87328617442</v>
      </c>
      <c r="AQ164" s="68" t="n">
        <f aca="false">AQ151+AQ163</f>
        <v>8007.87328617442</v>
      </c>
      <c r="AR164" s="68" t="n">
        <f aca="false">AR151+AR163</f>
        <v>16970.685272056</v>
      </c>
      <c r="AS164" s="68" t="n">
        <f aca="false">AS151+AS163</f>
        <v>16970.685272056</v>
      </c>
      <c r="AT164" s="68" t="n">
        <f aca="false">AT151+AT163</f>
        <v>16970.685272056</v>
      </c>
      <c r="AU164" s="68" t="n">
        <f aca="false">AU151+AU163</f>
        <v>8007.87328617442</v>
      </c>
      <c r="AV164" s="68" t="n">
        <f aca="false">AV151+AV163</f>
        <v>8007.87328617442</v>
      </c>
      <c r="AW164" s="68" t="n">
        <f aca="false">AW151+AW163</f>
        <v>8007.87328617442</v>
      </c>
      <c r="AX164" s="68" t="n">
        <f aca="false">AX151+AX163</f>
        <v>8007.87328617442</v>
      </c>
      <c r="AY164" s="68" t="n">
        <f aca="false">AY151+AY163</f>
        <v>8932.49278375984</v>
      </c>
      <c r="AZ164" s="68" t="n">
        <f aca="false">AZ151+AZ163</f>
        <v>8932.49278375984</v>
      </c>
      <c r="BA164" s="68" t="n">
        <f aca="false">BA151+BA163</f>
        <v>8932.49278375984</v>
      </c>
      <c r="BB164" s="68" t="n">
        <f aca="false">BB151+BB163</f>
        <v>8932.49278375984</v>
      </c>
      <c r="BC164" s="68" t="n">
        <f aca="false">BC151+BC163</f>
        <v>8932.49278375984</v>
      </c>
      <c r="BD164" s="68" t="n">
        <f aca="false">BD151+BD163</f>
        <v>18348.8230561271</v>
      </c>
      <c r="BE164" s="68" t="n">
        <f aca="false">BE151+BE163</f>
        <v>18348.8230561271</v>
      </c>
      <c r="BF164" s="68" t="n">
        <f aca="false">BF151+BF163</f>
        <v>18348.8230561271</v>
      </c>
      <c r="BG164" s="68" t="n">
        <f aca="false">BG151+BG163</f>
        <v>8932.49278375984</v>
      </c>
      <c r="BH164" s="68" t="n">
        <f aca="false">BH151+BH163</f>
        <v>8932.49278375984</v>
      </c>
      <c r="BI164" s="68" t="n">
        <f aca="false">BI151+BI163</f>
        <v>8932.49278375984</v>
      </c>
      <c r="BJ164" s="68" t="n">
        <f aca="false">BJ151+BJ163</f>
        <v>8932.49278375984</v>
      </c>
    </row>
    <row r="166" customFormat="false" ht="15.75" hidden="false" customHeight="true" outlineLevel="0" collapsed="false">
      <c r="A166" s="7" t="s">
        <v>418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customFormat="false" ht="15" hidden="false" customHeight="false" outlineLevel="0" collapsed="false">
      <c r="A167" s="4" t="s">
        <v>79</v>
      </c>
      <c r="C167" s="73" t="n">
        <f aca="false">C164+C184</f>
        <v>-11332.6501528889</v>
      </c>
      <c r="D167" s="73" t="n">
        <f aca="false">D164+D184</f>
        <v>-10061.5060091556</v>
      </c>
      <c r="E167" s="73" t="n">
        <f aca="false">E164+E184</f>
        <v>-8790.36186542223</v>
      </c>
      <c r="F167" s="73" t="n">
        <f aca="false">F164+F184</f>
        <v>-7519.21772168889</v>
      </c>
      <c r="G167" s="73" t="n">
        <f aca="false">G164+G184</f>
        <v>-6248.07357795555</v>
      </c>
      <c r="H167" s="73" t="n">
        <f aca="false">H164+H184</f>
        <v>433.480064444443</v>
      </c>
      <c r="I167" s="73" t="n">
        <f aca="false">I164+I184</f>
        <v>2168.37359377778</v>
      </c>
      <c r="J167" s="73" t="n">
        <f aca="false">J164+J184</f>
        <v>3903.26712311111</v>
      </c>
      <c r="K167" s="73" t="n">
        <f aca="false">K164+K184</f>
        <v>-1163.49700302223</v>
      </c>
      <c r="L167" s="73" t="n">
        <f aca="false">L164+L184</f>
        <v>107.647140711113</v>
      </c>
      <c r="M167" s="73" t="n">
        <f aca="false">M164+M184</f>
        <v>1378.79128444445</v>
      </c>
      <c r="N167" s="73" t="n">
        <f aca="false">N164+N184</f>
        <v>1374.62461777778</v>
      </c>
      <c r="O167" s="73" t="n">
        <f aca="false">O164+O184</f>
        <v>2310.09506788178</v>
      </c>
      <c r="P167" s="73" t="n">
        <f aca="false">P164+P184</f>
        <v>2305.80340121511</v>
      </c>
      <c r="Q167" s="73" t="n">
        <f aca="false">Q164+Q184</f>
        <v>2301.51173454844</v>
      </c>
      <c r="R167" s="73" t="n">
        <f aca="false">R164+R184</f>
        <v>2297.22006788178</v>
      </c>
      <c r="S167" s="73" t="n">
        <f aca="false">S164+S184</f>
        <v>2292.92840121511</v>
      </c>
      <c r="T167" s="73" t="n">
        <f aca="false">T164+T184</f>
        <v>10408.8884764044</v>
      </c>
      <c r="U167" s="73" t="n">
        <f aca="false">U164+U184</f>
        <v>10404.5968097378</v>
      </c>
      <c r="V167" s="73" t="n">
        <f aca="false">V164+V184</f>
        <v>10400.3051430711</v>
      </c>
      <c r="W167" s="73" t="n">
        <f aca="false">W164+W184</f>
        <v>2275.76173454844</v>
      </c>
      <c r="X167" s="73" t="n">
        <f aca="false">X164+X184</f>
        <v>2271.47006788178</v>
      </c>
      <c r="Y167" s="73" t="n">
        <f aca="false">Y164+Y184</f>
        <v>2267.17840121511</v>
      </c>
      <c r="Z167" s="73" t="n">
        <f aca="false">Z164+Z184</f>
        <v>2262.88673454844</v>
      </c>
      <c r="AA167" s="73" t="n">
        <f aca="false">AA164+AA184</f>
        <v>3179.57684776104</v>
      </c>
      <c r="AB167" s="73" t="n">
        <f aca="false">AB164+AB184</f>
        <v>3175.15643109437</v>
      </c>
      <c r="AC167" s="73" t="n">
        <f aca="false">AC164+AC184</f>
        <v>3170.7360144277</v>
      </c>
      <c r="AD167" s="73" t="n">
        <f aca="false">AD164+AD184</f>
        <v>3166.31559776104</v>
      </c>
      <c r="AE167" s="73" t="n">
        <f aca="false">AE164+AE184</f>
        <v>3161.89518109437</v>
      </c>
      <c r="AF167" s="73" t="n">
        <f aca="false">AF164+AF184</f>
        <v>11688.6112444216</v>
      </c>
      <c r="AG167" s="73" t="n">
        <f aca="false">AG164+AG184</f>
        <v>11684.1908277549</v>
      </c>
      <c r="AH167" s="73" t="n">
        <f aca="false">AH164+AH184</f>
        <v>11679.7704110883</v>
      </c>
      <c r="AI167" s="73" t="n">
        <f aca="false">AI164+AI184</f>
        <v>3144.2135144277</v>
      </c>
      <c r="AJ167" s="73" t="n">
        <f aca="false">AJ164+AJ184</f>
        <v>3139.79309776104</v>
      </c>
      <c r="AK167" s="73" t="n">
        <f aca="false">AK164+AK184</f>
        <v>3135.37268109437</v>
      </c>
      <c r="AL167" s="73" t="n">
        <f aca="false">AL164+AL184</f>
        <v>3130.9522644277</v>
      </c>
      <c r="AM167" s="73" t="n">
        <f aca="false">AM164+AM184</f>
        <v>4043.2197014522</v>
      </c>
      <c r="AN167" s="73" t="n">
        <f aca="false">AN164+AN184</f>
        <v>4038.66667228553</v>
      </c>
      <c r="AO167" s="73" t="n">
        <f aca="false">AO164+AO184</f>
        <v>4034.11364311886</v>
      </c>
      <c r="AP167" s="73" t="n">
        <f aca="false">AP164+AP184</f>
        <v>4029.5606139522</v>
      </c>
      <c r="AQ167" s="73" t="n">
        <f aca="false">AQ164+AQ184</f>
        <v>4025.00758478553</v>
      </c>
      <c r="AR167" s="73" t="n">
        <f aca="false">AR164+AR184</f>
        <v>12983.2665415005</v>
      </c>
      <c r="AS167" s="73" t="n">
        <f aca="false">AS164+AS184</f>
        <v>12978.7135123338</v>
      </c>
      <c r="AT167" s="73" t="n">
        <f aca="false">AT164+AT184</f>
        <v>12974.1604831671</v>
      </c>
      <c r="AU167" s="73" t="n">
        <f aca="false">AU164+AU184</f>
        <v>4006.79546811886</v>
      </c>
      <c r="AV167" s="73" t="n">
        <f aca="false">AV164+AV184</f>
        <v>4002.2424389522</v>
      </c>
      <c r="AW167" s="73" t="n">
        <f aca="false">AW164+AW184</f>
        <v>3997.68940978553</v>
      </c>
      <c r="AX167" s="73" t="n">
        <f aca="false">AX164+AX184</f>
        <v>3993.13638061886</v>
      </c>
      <c r="AY167" s="73" t="n">
        <f aca="false">AY164+AY184</f>
        <v>4913.06625816262</v>
      </c>
      <c r="AZ167" s="73" t="n">
        <f aca="false">AZ164+AZ184</f>
        <v>4908.37663812095</v>
      </c>
      <c r="BA167" s="73" t="n">
        <f aca="false">BA164+BA184</f>
        <v>4903.68701807929</v>
      </c>
      <c r="BB167" s="73" t="n">
        <f aca="false">BB164+BB184</f>
        <v>4898.99739803762</v>
      </c>
      <c r="BC167" s="73" t="n">
        <f aca="false">BC164+BC184</f>
        <v>4894.30777799595</v>
      </c>
      <c r="BD167" s="73" t="n">
        <f aca="false">BD164+BD184</f>
        <v>14305.9484303215</v>
      </c>
      <c r="BE167" s="73" t="n">
        <f aca="false">BE164+BE184</f>
        <v>14301.2588102798</v>
      </c>
      <c r="BF167" s="73" t="n">
        <f aca="false">BF164+BF184</f>
        <v>14296.5691902382</v>
      </c>
      <c r="BG167" s="73" t="n">
        <f aca="false">BG164+BG184</f>
        <v>4875.54929782929</v>
      </c>
      <c r="BH167" s="73" t="n">
        <f aca="false">BH164+BH184</f>
        <v>4870.85967778762</v>
      </c>
      <c r="BI167" s="73" t="n">
        <f aca="false">BI164+BI184</f>
        <v>4866.17005774595</v>
      </c>
      <c r="BJ167" s="73" t="n">
        <f aca="false">BJ164+BJ184</f>
        <v>4861.48043770429</v>
      </c>
    </row>
    <row r="168" customFormat="false" ht="15" hidden="false" customHeight="false" outlineLevel="0" collapsed="false">
      <c r="A168" s="6" t="s">
        <v>419</v>
      </c>
      <c r="C168" s="67" t="n">
        <f aca="false">-(C189+C190)*Inputs!$C$67/12</f>
        <v>-2916.66666666667</v>
      </c>
      <c r="D168" s="67" t="n">
        <f aca="false">-(D189+D190)*Inputs!$C$67/12</f>
        <v>-2913.0661623017</v>
      </c>
      <c r="E168" s="67" t="n">
        <f aca="false">-(E189+E190)*Inputs!$C$67/12</f>
        <v>-2909.4446549946</v>
      </c>
      <c r="F168" s="67" t="n">
        <f aca="false">-(F189+F190)*Inputs!$C$67/12</f>
        <v>-2905.80202222821</v>
      </c>
      <c r="G168" s="67" t="n">
        <f aca="false">-(G189+G190)*Inputs!$C$67/12</f>
        <v>-2902.13814077069</v>
      </c>
      <c r="H168" s="67" t="n">
        <f aca="false">-(H189+H190)*Inputs!$C$67/12</f>
        <v>-2898.45288667133</v>
      </c>
      <c r="I168" s="67" t="n">
        <f aca="false">-(I189+I190)*Inputs!$C$67/12</f>
        <v>-2894.74613525639</v>
      </c>
      <c r="J168" s="67" t="n">
        <f aca="false">-(J189+J190)*Inputs!$C$67/12</f>
        <v>-2891.01776112486</v>
      </c>
      <c r="K168" s="67" t="n">
        <f aca="false">-(K189+K190)*Inputs!$C$67/12</f>
        <v>-2887.26763814423</v>
      </c>
      <c r="L168" s="67" t="n">
        <f aca="false">-(L189+L190)*Inputs!$C$67/12</f>
        <v>-2883.49563944621</v>
      </c>
      <c r="M168" s="67" t="n">
        <f aca="false">-(M189+M190)*Inputs!$C$67/12</f>
        <v>-2879.70163742246</v>
      </c>
      <c r="N168" s="67" t="n">
        <f aca="false">-(N189+N190)*Inputs!$C$67/12</f>
        <v>-2875.88550372023</v>
      </c>
      <c r="O168" s="67" t="n">
        <f aca="false">-(O189+O190)*Inputs!$C$67/12</f>
        <v>-2872.04710923808</v>
      </c>
      <c r="P168" s="67" t="n">
        <f aca="false">-(P189+P190)*Inputs!$C$67/12</f>
        <v>-2868.18632412144</v>
      </c>
      <c r="Q168" s="67" t="n">
        <f aca="false">-(Q189+Q190)*Inputs!$C$67/12</f>
        <v>-2864.3030177583</v>
      </c>
      <c r="R168" s="67" t="n">
        <f aca="false">-(R189+R190)*Inputs!$C$67/12</f>
        <v>-2860.3970587747</v>
      </c>
      <c r="S168" s="67" t="n">
        <f aca="false">-(S189+S190)*Inputs!$C$67/12</f>
        <v>-2856.46831503036</v>
      </c>
      <c r="T168" s="67" t="n">
        <f aca="false">-(T189+T190)*Inputs!$C$67/12</f>
        <v>-2852.51665361418</v>
      </c>
      <c r="U168" s="67" t="n">
        <f aca="false">-(U189+U190)*Inputs!$C$67/12</f>
        <v>-2848.54194083974</v>
      </c>
      <c r="V168" s="67" t="n">
        <f aca="false">-(V189+V190)*Inputs!$C$67/12</f>
        <v>-2844.54404224078</v>
      </c>
      <c r="W168" s="67" t="n">
        <f aca="false">-(W189+W190)*Inputs!$C$67/12</f>
        <v>-2840.52282256666</v>
      </c>
      <c r="X168" s="67" t="n">
        <f aca="false">-(X189+X190)*Inputs!$C$67/12</f>
        <v>-2836.47814577778</v>
      </c>
      <c r="Y168" s="67" t="n">
        <f aca="false">-(Y189+Y190)*Inputs!$C$67/12</f>
        <v>-2832.40987504096</v>
      </c>
      <c r="Z168" s="67" t="n">
        <f aca="false">-(Z189+Z190)*Inputs!$C$67/12</f>
        <v>-2828.31787272484</v>
      </c>
      <c r="AA168" s="67" t="n">
        <f aca="false">-(AA189+AA190)*Inputs!$C$67/12</f>
        <v>-2824.20200039521</v>
      </c>
      <c r="AB168" s="67" t="n">
        <f aca="false">-(AB189+AB190)*Inputs!$C$67/12</f>
        <v>-2820.06211881032</v>
      </c>
      <c r="AC168" s="67" t="n">
        <f aca="false">-(AC189+AC190)*Inputs!$C$67/12</f>
        <v>-2815.89808791619</v>
      </c>
      <c r="AD168" s="67" t="n">
        <f aca="false">-(AD189+AD190)*Inputs!$C$67/12</f>
        <v>-2811.70976684185</v>
      </c>
      <c r="AE168" s="67" t="n">
        <f aca="false">-(AE189+AE190)*Inputs!$C$67/12</f>
        <v>-2807.49701389457</v>
      </c>
      <c r="AF168" s="67" t="n">
        <f aca="false">-(AF189+AF190)*Inputs!$C$67/12</f>
        <v>-2803.2596865551</v>
      </c>
      <c r="AG168" s="67" t="n">
        <f aca="false">-(AG189+AG190)*Inputs!$C$67/12</f>
        <v>-2798.99764147281</v>
      </c>
      <c r="AH168" s="67" t="n">
        <f aca="false">-(AH189+AH190)*Inputs!$C$67/12</f>
        <v>-2794.71073446088</v>
      </c>
      <c r="AI168" s="67" t="n">
        <f aca="false">-(AI189+AI190)*Inputs!$C$67/12</f>
        <v>-2790.39882049138</v>
      </c>
      <c r="AJ168" s="67" t="n">
        <f aca="false">-(AJ189+AJ190)*Inputs!$C$67/12</f>
        <v>-2786.06175369039</v>
      </c>
      <c r="AK168" s="67" t="n">
        <f aca="false">-(AK189+AK190)*Inputs!$C$67/12</f>
        <v>-2781.69938733306</v>
      </c>
      <c r="AL168" s="67" t="n">
        <f aca="false">-(AL189+AL190)*Inputs!$C$67/12</f>
        <v>-2777.31157383864</v>
      </c>
      <c r="AM168" s="67" t="n">
        <f aca="false">-(AM189+AM190)*Inputs!$C$67/12</f>
        <v>-2772.89816476551</v>
      </c>
      <c r="AN168" s="67" t="n">
        <f aca="false">-(AN189+AN190)*Inputs!$C$67/12</f>
        <v>-2768.45901080612</v>
      </c>
      <c r="AO168" s="67" t="n">
        <f aca="false">-(AO189+AO190)*Inputs!$C$67/12</f>
        <v>-2763.99396178197</v>
      </c>
      <c r="AP168" s="67" t="n">
        <f aca="false">-(AP189+AP190)*Inputs!$C$67/12</f>
        <v>-2759.5028666385</v>
      </c>
      <c r="AQ168" s="67" t="n">
        <f aca="false">-(AQ189+AQ190)*Inputs!$C$67/12</f>
        <v>-2754.98557344004</v>
      </c>
      <c r="AR168" s="67" t="n">
        <f aca="false">-(AR189+AR190)*Inputs!$C$67/12</f>
        <v>-2750.44192936458</v>
      </c>
      <c r="AS168" s="67" t="n">
        <f aca="false">-(AS189+AS190)*Inputs!$C$67/12</f>
        <v>-2745.87178069868</v>
      </c>
      <c r="AT168" s="67" t="n">
        <f aca="false">-(AT189+AT190)*Inputs!$C$67/12</f>
        <v>-2741.27497283224</v>
      </c>
      <c r="AU168" s="67" t="n">
        <f aca="false">-(AU189+AU190)*Inputs!$C$67/12</f>
        <v>-2736.65135025324</v>
      </c>
      <c r="AV168" s="67" t="n">
        <f aca="false">-(AV189+AV190)*Inputs!$C$67/12</f>
        <v>-2732.00075654252</v>
      </c>
      <c r="AW168" s="67" t="n">
        <f aca="false">-(AW189+AW190)*Inputs!$C$67/12</f>
        <v>-2727.3230343685</v>
      </c>
      <c r="AX168" s="67" t="n">
        <f aca="false">-(AX189+AX190)*Inputs!$C$67/12</f>
        <v>-2722.61802548179</v>
      </c>
      <c r="AY168" s="67" t="n">
        <f aca="false">-(AY189+AY190)*Inputs!$C$67/12</f>
        <v>-2717.88557070991</v>
      </c>
      <c r="AZ168" s="67" t="n">
        <f aca="false">-(AZ189+AZ190)*Inputs!$C$67/12</f>
        <v>-2713.12550995186</v>
      </c>
      <c r="BA168" s="67" t="n">
        <f aca="false">-(BA189+BA190)*Inputs!$C$67/12</f>
        <v>-2708.33768217272</v>
      </c>
      <c r="BB168" s="67" t="n">
        <f aca="false">-(BB189+BB190)*Inputs!$C$67/12</f>
        <v>-2703.52192539821</v>
      </c>
      <c r="BC168" s="67" t="n">
        <f aca="false">-(BC189+BC190)*Inputs!$C$67/12</f>
        <v>-2698.67807670917</v>
      </c>
      <c r="BD168" s="67" t="n">
        <f aca="false">-(BD189+BD190)*Inputs!$C$67/12</f>
        <v>-2693.80597223612</v>
      </c>
      <c r="BE168" s="67" t="n">
        <f aca="false">-(BE189+BE190)*Inputs!$C$67/12</f>
        <v>-2688.90544715364</v>
      </c>
      <c r="BF168" s="67" t="n">
        <f aca="false">-(BF189+BF190)*Inputs!$C$67/12</f>
        <v>-2683.97633567485</v>
      </c>
      <c r="BG168" s="67" t="n">
        <f aca="false">-(BG189+BG190)*Inputs!$C$67/12</f>
        <v>-2679.01847104576</v>
      </c>
      <c r="BH168" s="67" t="n">
        <f aca="false">-(BH189+BH190)*Inputs!$C$67/12</f>
        <v>-2674.03168553967</v>
      </c>
      <c r="BI168" s="67" t="n">
        <f aca="false">-(BI189+BI190)*Inputs!$C$67/12</f>
        <v>-2669.01581045146</v>
      </c>
      <c r="BJ168" s="67" t="n">
        <f aca="false">-(BJ189+BJ190)*Inputs!$C$67/12</f>
        <v>-2663.9706760919</v>
      </c>
    </row>
    <row r="169" customFormat="false" ht="15" hidden="false" customHeight="false" outlineLevel="0" collapsed="false">
      <c r="A169" s="111" t="s">
        <v>81</v>
      </c>
      <c r="C169" s="68" t="n">
        <f aca="false">C167+C168</f>
        <v>-14249.3168195556</v>
      </c>
      <c r="D169" s="68" t="n">
        <f aca="false">D167+D168</f>
        <v>-12974.5721714573</v>
      </c>
      <c r="E169" s="68" t="n">
        <f aca="false">E167+E168</f>
        <v>-11699.8065204168</v>
      </c>
      <c r="F169" s="68" t="n">
        <f aca="false">F167+F168</f>
        <v>-10425.0197439171</v>
      </c>
      <c r="G169" s="68" t="n">
        <f aca="false">G167+G168</f>
        <v>-9150.21171872624</v>
      </c>
      <c r="H169" s="68" t="n">
        <f aca="false">H167+H168</f>
        <v>-2464.97282222688</v>
      </c>
      <c r="I169" s="68" t="n">
        <f aca="false">I167+I168</f>
        <v>-726.372541478611</v>
      </c>
      <c r="J169" s="68" t="n">
        <f aca="false">J167+J168</f>
        <v>1012.24936198626</v>
      </c>
      <c r="K169" s="68" t="n">
        <f aca="false">K167+K168</f>
        <v>-4050.76464116646</v>
      </c>
      <c r="L169" s="68" t="n">
        <f aca="false">L167+L168</f>
        <v>-2775.8484987351</v>
      </c>
      <c r="M169" s="68" t="n">
        <f aca="false">M167+M168</f>
        <v>-1500.91035297801</v>
      </c>
      <c r="N169" s="68" t="n">
        <f aca="false">N167+N168</f>
        <v>-1501.26088594246</v>
      </c>
      <c r="O169" s="68" t="n">
        <f aca="false">O167+O168</f>
        <v>-561.952041356301</v>
      </c>
      <c r="P169" s="68" t="n">
        <f aca="false">P167+P168</f>
        <v>-562.382922906334</v>
      </c>
      <c r="Q169" s="68" t="n">
        <f aca="false">Q167+Q168</f>
        <v>-562.791283209851</v>
      </c>
      <c r="R169" s="68" t="n">
        <f aca="false">R167+R168</f>
        <v>-563.176990892918</v>
      </c>
      <c r="S169" s="68" t="n">
        <f aca="false">S167+S168</f>
        <v>-563.539913815247</v>
      </c>
      <c r="T169" s="68" t="n">
        <f aca="false">T167+T168</f>
        <v>7556.37182279026</v>
      </c>
      <c r="U169" s="68" t="n">
        <f aca="false">U167+U168</f>
        <v>7556.05486889804</v>
      </c>
      <c r="V169" s="68" t="n">
        <f aca="false">V167+V168</f>
        <v>7555.76110083033</v>
      </c>
      <c r="W169" s="68" t="n">
        <f aca="false">W167+W168</f>
        <v>-564.761088018216</v>
      </c>
      <c r="X169" s="68" t="n">
        <f aca="false">X167+X168</f>
        <v>-565.008077895998</v>
      </c>
      <c r="Y169" s="68" t="n">
        <f aca="false">Y167+Y168</f>
        <v>-565.231473825845</v>
      </c>
      <c r="Z169" s="68" t="n">
        <f aca="false">Z167+Z168</f>
        <v>-565.431138176393</v>
      </c>
      <c r="AA169" s="68" t="n">
        <f aca="false">AA167+AA168</f>
        <v>355.374847365829</v>
      </c>
      <c r="AB169" s="68" t="n">
        <f aca="false">AB167+AB168</f>
        <v>355.094312284048</v>
      </c>
      <c r="AC169" s="68" t="n">
        <f aca="false">AC167+AC168</f>
        <v>354.83792651151</v>
      </c>
      <c r="AD169" s="68" t="n">
        <f aca="false">AD167+AD168</f>
        <v>354.605830919189</v>
      </c>
      <c r="AE169" s="68" t="n">
        <f aca="false">AE167+AE168</f>
        <v>354.398167199802</v>
      </c>
      <c r="AF169" s="68" t="n">
        <f aca="false">AF167+AF168</f>
        <v>8885.35155786652</v>
      </c>
      <c r="AG169" s="68" t="n">
        <f aca="false">AG167+AG168</f>
        <v>8885.19318628214</v>
      </c>
      <c r="AH169" s="68" t="n">
        <f aca="false">AH167+AH168</f>
        <v>8885.0596766274</v>
      </c>
      <c r="AI169" s="68" t="n">
        <f aca="false">AI167+AI168</f>
        <v>353.814693936326</v>
      </c>
      <c r="AJ169" s="68" t="n">
        <f aca="false">AJ167+AJ168</f>
        <v>353.731344070649</v>
      </c>
      <c r="AK169" s="68" t="n">
        <f aca="false">AK167+AK168</f>
        <v>353.673293761312</v>
      </c>
      <c r="AL169" s="68" t="n">
        <f aca="false">AL167+AL168</f>
        <v>353.640690589059</v>
      </c>
      <c r="AM169" s="68" t="n">
        <f aca="false">AM167+AM168</f>
        <v>1270.32153668668</v>
      </c>
      <c r="AN169" s="68" t="n">
        <f aca="false">AN167+AN168</f>
        <v>1270.20766147941</v>
      </c>
      <c r="AO169" s="68" t="n">
        <f aca="false">AO167+AO168</f>
        <v>1270.1196813369</v>
      </c>
      <c r="AP169" s="68" t="n">
        <f aca="false">AP167+AP168</f>
        <v>1270.05774731369</v>
      </c>
      <c r="AQ169" s="68" t="n">
        <f aca="false">AQ167+AQ168</f>
        <v>1270.02201134549</v>
      </c>
      <c r="AR169" s="68" t="n">
        <f aca="false">AR167+AR168</f>
        <v>10232.8246121359</v>
      </c>
      <c r="AS169" s="68" t="n">
        <f aca="false">AS167+AS168</f>
        <v>10232.8417316351</v>
      </c>
      <c r="AT169" s="68" t="n">
        <f aca="false">AT167+AT168</f>
        <v>10232.8855103349</v>
      </c>
      <c r="AU169" s="68" t="n">
        <f aca="false">AU167+AU168</f>
        <v>1270.14411786563</v>
      </c>
      <c r="AV169" s="68" t="n">
        <f aca="false">AV167+AV168</f>
        <v>1270.24168240968</v>
      </c>
      <c r="AW169" s="68" t="n">
        <f aca="false">AW167+AW168</f>
        <v>1270.36637541703</v>
      </c>
      <c r="AX169" s="68" t="n">
        <f aca="false">AX167+AX168</f>
        <v>1270.51835513708</v>
      </c>
      <c r="AY169" s="68" t="n">
        <f aca="false">AY167+AY168</f>
        <v>2195.18068745271</v>
      </c>
      <c r="AZ169" s="68" t="n">
        <f aca="false">AZ167+AZ168</f>
        <v>2195.25112816909</v>
      </c>
      <c r="BA169" s="68" t="n">
        <f aca="false">BA167+BA168</f>
        <v>2195.34933590656</v>
      </c>
      <c r="BB169" s="68" t="n">
        <f aca="false">BB167+BB168</f>
        <v>2195.47547263941</v>
      </c>
      <c r="BC169" s="68" t="n">
        <f aca="false">BC167+BC168</f>
        <v>2195.62970128678</v>
      </c>
      <c r="BD169" s="68" t="n">
        <f aca="false">BD167+BD168</f>
        <v>11612.1424580854</v>
      </c>
      <c r="BE169" s="68" t="n">
        <f aca="false">BE167+BE168</f>
        <v>11612.3533631262</v>
      </c>
      <c r="BF169" s="68" t="n">
        <f aca="false">BF167+BF168</f>
        <v>11612.5928545633</v>
      </c>
      <c r="BG169" s="68" t="n">
        <f aca="false">BG167+BG168</f>
        <v>2196.53082678353</v>
      </c>
      <c r="BH169" s="68" t="n">
        <f aca="false">BH167+BH168</f>
        <v>2196.82799224795</v>
      </c>
      <c r="BI169" s="68" t="n">
        <f aca="false">BI167+BI168</f>
        <v>2197.15424729449</v>
      </c>
      <c r="BJ169" s="68" t="n">
        <f aca="false">BJ167+BJ168</f>
        <v>2197.50976161238</v>
      </c>
    </row>
    <row r="170" customFormat="false" ht="15" hidden="false" customHeight="false" outlineLevel="0" collapsed="false">
      <c r="A170" s="114" t="s">
        <v>420</v>
      </c>
      <c r="C170" s="67" t="n">
        <f aca="false">C169</f>
        <v>-14249.3168195556</v>
      </c>
      <c r="D170" s="67" t="n">
        <f aca="false">C170+D169</f>
        <v>-27223.8889910128</v>
      </c>
      <c r="E170" s="67" t="n">
        <f aca="false">D170+E169</f>
        <v>-38923.6955114296</v>
      </c>
      <c r="F170" s="67" t="n">
        <f aca="false">E170+F169</f>
        <v>-49348.7152553467</v>
      </c>
      <c r="G170" s="67" t="n">
        <f aca="false">F170+G169</f>
        <v>-58498.926974073</v>
      </c>
      <c r="H170" s="67" t="n">
        <f aca="false">G170+H169</f>
        <v>-60963.8997962999</v>
      </c>
      <c r="I170" s="67" t="n">
        <f aca="false">H170+I169</f>
        <v>-61690.2723377785</v>
      </c>
      <c r="J170" s="67" t="n">
        <f aca="false">I170+J169</f>
        <v>-60678.0229757922</v>
      </c>
      <c r="K170" s="67" t="n">
        <f aca="false">J170+K169</f>
        <v>-64728.7876169587</v>
      </c>
      <c r="L170" s="67" t="n">
        <f aca="false">K170+L169</f>
        <v>-67504.6361156938</v>
      </c>
      <c r="M170" s="67" t="n">
        <f aca="false">L170+M169</f>
        <v>-69005.5464686718</v>
      </c>
      <c r="N170" s="67" t="n">
        <f aca="false">M170+N169</f>
        <v>-70506.8073546142</v>
      </c>
      <c r="O170" s="67" t="n">
        <f aca="false">N170+O169</f>
        <v>-71068.7593959705</v>
      </c>
      <c r="P170" s="67" t="n">
        <f aca="false">O170+P169</f>
        <v>-71631.1423188769</v>
      </c>
      <c r="Q170" s="67" t="n">
        <f aca="false">P170+Q169</f>
        <v>-72193.9336020867</v>
      </c>
      <c r="R170" s="67" t="n">
        <f aca="false">Q170+R169</f>
        <v>-72757.1105929796</v>
      </c>
      <c r="S170" s="67" t="n">
        <f aca="false">R170+S169</f>
        <v>-73320.6505067949</v>
      </c>
      <c r="T170" s="67" t="n">
        <f aca="false">S170+T169</f>
        <v>-65764.2786840046</v>
      </c>
      <c r="U170" s="67" t="n">
        <f aca="false">T170+U169</f>
        <v>-58208.2238151066</v>
      </c>
      <c r="V170" s="67" t="n">
        <f aca="false">U170+V169</f>
        <v>-50652.4627142763</v>
      </c>
      <c r="W170" s="67" t="n">
        <f aca="false">V170+W169</f>
        <v>-51217.2238022945</v>
      </c>
      <c r="X170" s="67" t="n">
        <f aca="false">W170+X169</f>
        <v>-51782.2318801905</v>
      </c>
      <c r="Y170" s="67" t="n">
        <f aca="false">X170+Y169</f>
        <v>-52347.4633540163</v>
      </c>
      <c r="Z170" s="67" t="n">
        <f aca="false">Y170+Z169</f>
        <v>-52912.8944921927</v>
      </c>
      <c r="AA170" s="67" t="n">
        <f aca="false">Z170+AA169</f>
        <v>-52557.5196448269</v>
      </c>
      <c r="AB170" s="67" t="n">
        <f aca="false">AA170+AB169</f>
        <v>-52202.4253325428</v>
      </c>
      <c r="AC170" s="67" t="n">
        <f aca="false">AB170+AC169</f>
        <v>-51847.5874060313</v>
      </c>
      <c r="AD170" s="67" t="n">
        <f aca="false">AC170+AD169</f>
        <v>-51492.9815751121</v>
      </c>
      <c r="AE170" s="67" t="n">
        <f aca="false">AD170+AE169</f>
        <v>-51138.5834079123</v>
      </c>
      <c r="AF170" s="67" t="n">
        <f aca="false">AE170+AF169</f>
        <v>-42253.2318500458</v>
      </c>
      <c r="AG170" s="67" t="n">
        <f aca="false">AF170+AG169</f>
        <v>-33368.0386637637</v>
      </c>
      <c r="AH170" s="67" t="n">
        <f aca="false">AG170+AH169</f>
        <v>-24482.9789871363</v>
      </c>
      <c r="AI170" s="67" t="n">
        <f aca="false">AH170+AI169</f>
        <v>-24129.1642932</v>
      </c>
      <c r="AJ170" s="67" t="n">
        <f aca="false">AI170+AJ169</f>
        <v>-23775.4329491293</v>
      </c>
      <c r="AK170" s="67" t="n">
        <f aca="false">AJ170+AK169</f>
        <v>-23421.759655368</v>
      </c>
      <c r="AL170" s="67" t="n">
        <f aca="false">AK170+AL169</f>
        <v>-23068.1189647789</v>
      </c>
      <c r="AM170" s="67" t="n">
        <f aca="false">AL170+AM169</f>
        <v>-21797.7974280922</v>
      </c>
      <c r="AN170" s="67" t="n">
        <f aca="false">AM170+AN169</f>
        <v>-20527.5897666128</v>
      </c>
      <c r="AO170" s="67" t="n">
        <f aca="false">AN170+AO169</f>
        <v>-19257.4700852759</v>
      </c>
      <c r="AP170" s="67" t="n">
        <f aca="false">AO170+AP169</f>
        <v>-17987.4123379622</v>
      </c>
      <c r="AQ170" s="67" t="n">
        <f aca="false">AP170+AQ169</f>
        <v>-16717.3903266167</v>
      </c>
      <c r="AR170" s="67" t="n">
        <f aca="false">AQ170+AR169</f>
        <v>-6484.56571448086</v>
      </c>
      <c r="AS170" s="67" t="n">
        <f aca="false">AR170+AS169</f>
        <v>3748.27601715426</v>
      </c>
      <c r="AT170" s="67" t="n">
        <f aca="false">AS170+AT169</f>
        <v>13981.1615274892</v>
      </c>
      <c r="AU170" s="67" t="n">
        <f aca="false">AT170+AU169</f>
        <v>15251.3056453548</v>
      </c>
      <c r="AV170" s="67" t="n">
        <f aca="false">AU170+AV169</f>
        <v>16521.5473277645</v>
      </c>
      <c r="AW170" s="67" t="n">
        <f aca="false">AV170+AW169</f>
        <v>17791.9137031815</v>
      </c>
      <c r="AX170" s="67" t="n">
        <f aca="false">AW170+AX169</f>
        <v>19062.4320583186</v>
      </c>
      <c r="AY170" s="67" t="n">
        <f aca="false">AX170+AY169</f>
        <v>21257.6127457713</v>
      </c>
      <c r="AZ170" s="67" t="n">
        <f aca="false">AY170+AZ169</f>
        <v>23452.8638739404</v>
      </c>
      <c r="BA170" s="67" t="n">
        <f aca="false">AZ170+BA169</f>
        <v>25648.2132098469</v>
      </c>
      <c r="BB170" s="67" t="n">
        <f aca="false">BA170+BB169</f>
        <v>27843.6886824864</v>
      </c>
      <c r="BC170" s="67" t="n">
        <f aca="false">BB170+BC169</f>
        <v>30039.3183837731</v>
      </c>
      <c r="BD170" s="67" t="n">
        <f aca="false">BC170+BD169</f>
        <v>41651.4608418585</v>
      </c>
      <c r="BE170" s="67" t="n">
        <f aca="false">BD170+BE169</f>
        <v>53263.8142049847</v>
      </c>
      <c r="BF170" s="67" t="n">
        <f aca="false">BE170+BF169</f>
        <v>64876.4070595481</v>
      </c>
      <c r="BG170" s="67" t="n">
        <f aca="false">BF170+BG169</f>
        <v>67072.9378863316</v>
      </c>
      <c r="BH170" s="67" t="n">
        <f aca="false">BG170+BH169</f>
        <v>69269.7658785795</v>
      </c>
      <c r="BI170" s="67" t="n">
        <f aca="false">BH170+BI169</f>
        <v>71466.920125874</v>
      </c>
      <c r="BJ170" s="67" t="n">
        <f aca="false">BI170+BJ169</f>
        <v>73664.4298874864</v>
      </c>
    </row>
    <row r="171" customFormat="false" ht="15" hidden="false" customHeight="false" outlineLevel="0" collapsed="false">
      <c r="A171" s="114" t="s">
        <v>421</v>
      </c>
      <c r="C171" s="67" t="n">
        <f aca="false">MAX(0,C170)</f>
        <v>0</v>
      </c>
      <c r="D171" s="67" t="n">
        <f aca="false">MAX(C171,D170)</f>
        <v>0</v>
      </c>
      <c r="E171" s="67" t="n">
        <f aca="false">MAX(D171,E170)</f>
        <v>0</v>
      </c>
      <c r="F171" s="67" t="n">
        <f aca="false">MAX(E171,F170)</f>
        <v>0</v>
      </c>
      <c r="G171" s="67" t="n">
        <f aca="false">MAX(F171,G170)</f>
        <v>0</v>
      </c>
      <c r="H171" s="67" t="n">
        <f aca="false">MAX(G171,H170)</f>
        <v>0</v>
      </c>
      <c r="I171" s="67" t="n">
        <f aca="false">MAX(H171,I170)</f>
        <v>0</v>
      </c>
      <c r="J171" s="67" t="n">
        <f aca="false">MAX(I171,J170)</f>
        <v>0</v>
      </c>
      <c r="K171" s="67" t="n">
        <f aca="false">MAX(J171,K170)</f>
        <v>0</v>
      </c>
      <c r="L171" s="67" t="n">
        <f aca="false">MAX(K171,L170)</f>
        <v>0</v>
      </c>
      <c r="M171" s="67" t="n">
        <f aca="false">MAX(L171,M170)</f>
        <v>0</v>
      </c>
      <c r="N171" s="67" t="n">
        <f aca="false">MAX(M171,N170)</f>
        <v>0</v>
      </c>
      <c r="O171" s="67" t="n">
        <f aca="false">MAX(N171,O170)</f>
        <v>0</v>
      </c>
      <c r="P171" s="67" t="n">
        <f aca="false">MAX(O171,P170)</f>
        <v>0</v>
      </c>
      <c r="Q171" s="67" t="n">
        <f aca="false">MAX(P171,Q170)</f>
        <v>0</v>
      </c>
      <c r="R171" s="67" t="n">
        <f aca="false">MAX(Q171,R170)</f>
        <v>0</v>
      </c>
      <c r="S171" s="67" t="n">
        <f aca="false">MAX(R171,S170)</f>
        <v>0</v>
      </c>
      <c r="T171" s="67" t="n">
        <f aca="false">MAX(S171,T170)</f>
        <v>0</v>
      </c>
      <c r="U171" s="67" t="n">
        <f aca="false">MAX(T171,U170)</f>
        <v>0</v>
      </c>
      <c r="V171" s="67" t="n">
        <f aca="false">MAX(U171,V170)</f>
        <v>0</v>
      </c>
      <c r="W171" s="67" t="n">
        <f aca="false">MAX(V171,W170)</f>
        <v>0</v>
      </c>
      <c r="X171" s="67" t="n">
        <f aca="false">MAX(W171,X170)</f>
        <v>0</v>
      </c>
      <c r="Y171" s="67" t="n">
        <f aca="false">MAX(X171,Y170)</f>
        <v>0</v>
      </c>
      <c r="Z171" s="67" t="n">
        <f aca="false">MAX(Y171,Z170)</f>
        <v>0</v>
      </c>
      <c r="AA171" s="67" t="n">
        <f aca="false">MAX(Z171,AA170)</f>
        <v>0</v>
      </c>
      <c r="AB171" s="67" t="n">
        <f aca="false">MAX(AA171,AB170)</f>
        <v>0</v>
      </c>
      <c r="AC171" s="67" t="n">
        <f aca="false">MAX(AB171,AC170)</f>
        <v>0</v>
      </c>
      <c r="AD171" s="67" t="n">
        <f aca="false">MAX(AC171,AD170)</f>
        <v>0</v>
      </c>
      <c r="AE171" s="67" t="n">
        <f aca="false">MAX(AD171,AE170)</f>
        <v>0</v>
      </c>
      <c r="AF171" s="67" t="n">
        <f aca="false">MAX(AE171,AF170)</f>
        <v>0</v>
      </c>
      <c r="AG171" s="67" t="n">
        <f aca="false">MAX(AF171,AG170)</f>
        <v>0</v>
      </c>
      <c r="AH171" s="67" t="n">
        <f aca="false">MAX(AG171,AH170)</f>
        <v>0</v>
      </c>
      <c r="AI171" s="67" t="n">
        <f aca="false">MAX(AH171,AI170)</f>
        <v>0</v>
      </c>
      <c r="AJ171" s="67" t="n">
        <f aca="false">MAX(AI171,AJ170)</f>
        <v>0</v>
      </c>
      <c r="AK171" s="67" t="n">
        <f aca="false">MAX(AJ171,AK170)</f>
        <v>0</v>
      </c>
      <c r="AL171" s="67" t="n">
        <f aca="false">MAX(AK171,AL170)</f>
        <v>0</v>
      </c>
      <c r="AM171" s="67" t="n">
        <f aca="false">MAX(AL171,AM170)</f>
        <v>0</v>
      </c>
      <c r="AN171" s="67" t="n">
        <f aca="false">MAX(AM171,AN170)</f>
        <v>0</v>
      </c>
      <c r="AO171" s="67" t="n">
        <f aca="false">MAX(AN171,AO170)</f>
        <v>0</v>
      </c>
      <c r="AP171" s="67" t="n">
        <f aca="false">MAX(AO171,AP170)</f>
        <v>0</v>
      </c>
      <c r="AQ171" s="67" t="n">
        <f aca="false">MAX(AP171,AQ170)</f>
        <v>0</v>
      </c>
      <c r="AR171" s="67" t="n">
        <f aca="false">MAX(AQ171,AR170)</f>
        <v>0</v>
      </c>
      <c r="AS171" s="67" t="n">
        <f aca="false">MAX(AR171,AS170)</f>
        <v>3748.27601715426</v>
      </c>
      <c r="AT171" s="67" t="n">
        <f aca="false">MAX(AS171,AT170)</f>
        <v>13981.1615274892</v>
      </c>
      <c r="AU171" s="67" t="n">
        <f aca="false">MAX(AT171,AU170)</f>
        <v>15251.3056453548</v>
      </c>
      <c r="AV171" s="67" t="n">
        <f aca="false">MAX(AU171,AV170)</f>
        <v>16521.5473277645</v>
      </c>
      <c r="AW171" s="67" t="n">
        <f aca="false">MAX(AV171,AW170)</f>
        <v>17791.9137031815</v>
      </c>
      <c r="AX171" s="67" t="n">
        <f aca="false">MAX(AW171,AX170)</f>
        <v>19062.4320583186</v>
      </c>
      <c r="AY171" s="67" t="n">
        <f aca="false">MAX(AX171,AY170)</f>
        <v>21257.6127457713</v>
      </c>
      <c r="AZ171" s="67" t="n">
        <f aca="false">MAX(AY171,AZ170)</f>
        <v>23452.8638739404</v>
      </c>
      <c r="BA171" s="67" t="n">
        <f aca="false">MAX(AZ171,BA170)</f>
        <v>25648.2132098469</v>
      </c>
      <c r="BB171" s="67" t="n">
        <f aca="false">MAX(BA171,BB170)</f>
        <v>27843.6886824864</v>
      </c>
      <c r="BC171" s="67" t="n">
        <f aca="false">MAX(BB171,BC170)</f>
        <v>30039.3183837731</v>
      </c>
      <c r="BD171" s="67" t="n">
        <f aca="false">MAX(BC171,BD170)</f>
        <v>41651.4608418585</v>
      </c>
      <c r="BE171" s="67" t="n">
        <f aca="false">MAX(BD171,BE170)</f>
        <v>53263.8142049847</v>
      </c>
      <c r="BF171" s="67" t="n">
        <f aca="false">MAX(BE171,BF170)</f>
        <v>64876.4070595481</v>
      </c>
      <c r="BG171" s="67" t="n">
        <f aca="false">MAX(BF171,BG170)</f>
        <v>67072.9378863316</v>
      </c>
      <c r="BH171" s="67" t="n">
        <f aca="false">MAX(BG171,BH170)</f>
        <v>69269.7658785795</v>
      </c>
      <c r="BI171" s="67" t="n">
        <f aca="false">MAX(BH171,BI170)</f>
        <v>71466.920125874</v>
      </c>
      <c r="BJ171" s="67" t="n">
        <f aca="false">MAX(BI171,BJ170)</f>
        <v>73664.4298874864</v>
      </c>
    </row>
    <row r="172" customFormat="false" ht="15" hidden="false" customHeight="false" outlineLevel="0" collapsed="false">
      <c r="A172" s="6" t="s">
        <v>82</v>
      </c>
      <c r="C172" s="67" t="n">
        <f aca="false">-C171*Inputs!$C$77</f>
        <v>-0</v>
      </c>
      <c r="D172" s="67" t="n">
        <f aca="false">-(D171-C171)*Inputs!$C$77</f>
        <v>-0</v>
      </c>
      <c r="E172" s="67" t="n">
        <f aca="false">-(E171-D171)*Inputs!$C$77</f>
        <v>-0</v>
      </c>
      <c r="F172" s="67" t="n">
        <f aca="false">-(F171-E171)*Inputs!$C$77</f>
        <v>-0</v>
      </c>
      <c r="G172" s="67" t="n">
        <f aca="false">-(G171-F171)*Inputs!$C$77</f>
        <v>-0</v>
      </c>
      <c r="H172" s="67" t="n">
        <f aca="false">-(H171-G171)*Inputs!$C$77</f>
        <v>-0</v>
      </c>
      <c r="I172" s="67" t="n">
        <f aca="false">-(I171-H171)*Inputs!$C$77</f>
        <v>-0</v>
      </c>
      <c r="J172" s="67" t="n">
        <f aca="false">-(J171-I171)*Inputs!$C$77</f>
        <v>-0</v>
      </c>
      <c r="K172" s="67" t="n">
        <f aca="false">-(K171-J171)*Inputs!$C$77</f>
        <v>-0</v>
      </c>
      <c r="L172" s="67" t="n">
        <f aca="false">-(L171-K171)*Inputs!$C$77</f>
        <v>-0</v>
      </c>
      <c r="M172" s="67" t="n">
        <f aca="false">-(M171-L171)*Inputs!$C$77</f>
        <v>-0</v>
      </c>
      <c r="N172" s="67" t="n">
        <f aca="false">-(N171-M171)*Inputs!$C$77</f>
        <v>-0</v>
      </c>
      <c r="O172" s="67" t="n">
        <f aca="false">-(O171-N171)*Inputs!$C$77</f>
        <v>-0</v>
      </c>
      <c r="P172" s="67" t="n">
        <f aca="false">-(P171-O171)*Inputs!$C$77</f>
        <v>-0</v>
      </c>
      <c r="Q172" s="67" t="n">
        <f aca="false">-(Q171-P171)*Inputs!$C$77</f>
        <v>-0</v>
      </c>
      <c r="R172" s="67" t="n">
        <f aca="false">-(R171-Q171)*Inputs!$C$77</f>
        <v>-0</v>
      </c>
      <c r="S172" s="67" t="n">
        <f aca="false">-(S171-R171)*Inputs!$C$77</f>
        <v>-0</v>
      </c>
      <c r="T172" s="67" t="n">
        <f aca="false">-(T171-S171)*Inputs!$C$77</f>
        <v>-0</v>
      </c>
      <c r="U172" s="67" t="n">
        <f aca="false">-(U171-T171)*Inputs!$C$77</f>
        <v>-0</v>
      </c>
      <c r="V172" s="67" t="n">
        <f aca="false">-(V171-U171)*Inputs!$C$77</f>
        <v>-0</v>
      </c>
      <c r="W172" s="67" t="n">
        <f aca="false">-(W171-V171)*Inputs!$C$77</f>
        <v>-0</v>
      </c>
      <c r="X172" s="67" t="n">
        <f aca="false">-(X171-W171)*Inputs!$C$77</f>
        <v>-0</v>
      </c>
      <c r="Y172" s="67" t="n">
        <f aca="false">-(Y171-X171)*Inputs!$C$77</f>
        <v>-0</v>
      </c>
      <c r="Z172" s="67" t="n">
        <f aca="false">-(Z171-Y171)*Inputs!$C$77</f>
        <v>-0</v>
      </c>
      <c r="AA172" s="67" t="n">
        <f aca="false">-(AA171-Z171)*Inputs!$C$77</f>
        <v>-0</v>
      </c>
      <c r="AB172" s="67" t="n">
        <f aca="false">-(AB171-AA171)*Inputs!$C$77</f>
        <v>-0</v>
      </c>
      <c r="AC172" s="67" t="n">
        <f aca="false">-(AC171-AB171)*Inputs!$C$77</f>
        <v>-0</v>
      </c>
      <c r="AD172" s="67" t="n">
        <f aca="false">-(AD171-AC171)*Inputs!$C$77</f>
        <v>-0</v>
      </c>
      <c r="AE172" s="67" t="n">
        <f aca="false">-(AE171-AD171)*Inputs!$C$77</f>
        <v>-0</v>
      </c>
      <c r="AF172" s="67" t="n">
        <f aca="false">-(AF171-AE171)*Inputs!$C$77</f>
        <v>-0</v>
      </c>
      <c r="AG172" s="67" t="n">
        <f aca="false">-(AG171-AF171)*Inputs!$C$77</f>
        <v>-0</v>
      </c>
      <c r="AH172" s="67" t="n">
        <f aca="false">-(AH171-AG171)*Inputs!$C$77</f>
        <v>-0</v>
      </c>
      <c r="AI172" s="67" t="n">
        <f aca="false">-(AI171-AH171)*Inputs!$C$77</f>
        <v>-0</v>
      </c>
      <c r="AJ172" s="67" t="n">
        <f aca="false">-(AJ171-AI171)*Inputs!$C$77</f>
        <v>-0</v>
      </c>
      <c r="AK172" s="67" t="n">
        <f aca="false">-(AK171-AJ171)*Inputs!$C$77</f>
        <v>-0</v>
      </c>
      <c r="AL172" s="67" t="n">
        <f aca="false">-(AL171-AK171)*Inputs!$C$77</f>
        <v>-0</v>
      </c>
      <c r="AM172" s="67" t="n">
        <f aca="false">-(AM171-AL171)*Inputs!$C$77</f>
        <v>-0</v>
      </c>
      <c r="AN172" s="67" t="n">
        <f aca="false">-(AN171-AM171)*Inputs!$C$77</f>
        <v>-0</v>
      </c>
      <c r="AO172" s="67" t="n">
        <f aca="false">-(AO171-AN171)*Inputs!$C$77</f>
        <v>-0</v>
      </c>
      <c r="AP172" s="67" t="n">
        <f aca="false">-(AP171-AO171)*Inputs!$C$77</f>
        <v>-0</v>
      </c>
      <c r="AQ172" s="67" t="n">
        <f aca="false">-(AQ171-AP171)*Inputs!$C$77</f>
        <v>-0</v>
      </c>
      <c r="AR172" s="67" t="n">
        <f aca="false">-(AR171-AQ171)*Inputs!$C$77</f>
        <v>-0</v>
      </c>
      <c r="AS172" s="67" t="n">
        <f aca="false">-(AS171-AR171)*Inputs!$C$77</f>
        <v>-787.137963602395</v>
      </c>
      <c r="AT172" s="67" t="n">
        <f aca="false">-(AT171-AS171)*Inputs!$C$77</f>
        <v>-2148.90595717033</v>
      </c>
      <c r="AU172" s="67" t="n">
        <f aca="false">-(AU171-AT171)*Inputs!$C$77</f>
        <v>-266.730264751782</v>
      </c>
      <c r="AV172" s="67" t="n">
        <f aca="false">-(AV171-AU171)*Inputs!$C$77</f>
        <v>-266.750753306032</v>
      </c>
      <c r="AW172" s="67" t="n">
        <f aca="false">-(AW171-AV171)*Inputs!$C$77</f>
        <v>-266.776938837577</v>
      </c>
      <c r="AX172" s="67" t="n">
        <f aca="false">-(AX171-AW171)*Inputs!$C$77</f>
        <v>-266.808854578786</v>
      </c>
      <c r="AY172" s="67" t="n">
        <f aca="false">-(AY171-AX171)*Inputs!$C$77</f>
        <v>-460.987944365069</v>
      </c>
      <c r="AZ172" s="67" t="n">
        <f aca="false">-(AZ171-AY171)*Inputs!$C$77</f>
        <v>-461.00273691551</v>
      </c>
      <c r="BA172" s="67" t="n">
        <f aca="false">-(BA171-AZ171)*Inputs!$C$77</f>
        <v>-461.023360540379</v>
      </c>
      <c r="BB172" s="67" t="n">
        <f aca="false">-(BB171-BA171)*Inputs!$C$77</f>
        <v>-461.049849254277</v>
      </c>
      <c r="BC172" s="67" t="n">
        <f aca="false">-(BC171-BB171)*Inputs!$C$77</f>
        <v>-461.082237270224</v>
      </c>
      <c r="BD172" s="67" t="n">
        <f aca="false">-(BD171-BC171)*Inputs!$C$77</f>
        <v>-2438.54991619793</v>
      </c>
      <c r="BE172" s="67" t="n">
        <f aca="false">-(BE171-BD171)*Inputs!$C$77</f>
        <v>-2438.5942062565</v>
      </c>
      <c r="BF172" s="67" t="n">
        <f aca="false">-(BF171-BE171)*Inputs!$C$77</f>
        <v>-2438.6444994583</v>
      </c>
      <c r="BG172" s="67" t="n">
        <f aca="false">-(BG171-BF171)*Inputs!$C$77</f>
        <v>-461.271473624541</v>
      </c>
      <c r="BH172" s="67" t="n">
        <f aca="false">-(BH171-BG171)*Inputs!$C$77</f>
        <v>-461.333878372071</v>
      </c>
      <c r="BI172" s="67" t="n">
        <f aca="false">-(BI171-BH171)*Inputs!$C$77</f>
        <v>-461.402391931842</v>
      </c>
      <c r="BJ172" s="67" t="n">
        <f aca="false">-(BJ171-BI171)*Inputs!$C$77</f>
        <v>-461.4770499386</v>
      </c>
    </row>
    <row r="173" customFormat="false" ht="15" hidden="false" customHeight="false" outlineLevel="0" collapsed="false">
      <c r="A173" s="111" t="s">
        <v>50</v>
      </c>
      <c r="C173" s="68" t="n">
        <f aca="false">C169+C172</f>
        <v>-14249.3168195556</v>
      </c>
      <c r="D173" s="68" t="n">
        <f aca="false">D169+D172</f>
        <v>-12974.5721714573</v>
      </c>
      <c r="E173" s="68" t="n">
        <f aca="false">E169+E172</f>
        <v>-11699.8065204168</v>
      </c>
      <c r="F173" s="68" t="n">
        <f aca="false">F169+F172</f>
        <v>-10425.0197439171</v>
      </c>
      <c r="G173" s="68" t="n">
        <f aca="false">G169+G172</f>
        <v>-9150.21171872624</v>
      </c>
      <c r="H173" s="68" t="n">
        <f aca="false">H169+H172</f>
        <v>-2464.97282222688</v>
      </c>
      <c r="I173" s="68" t="n">
        <f aca="false">I169+I172</f>
        <v>-726.372541478611</v>
      </c>
      <c r="J173" s="68" t="n">
        <f aca="false">J169+J172</f>
        <v>1012.24936198626</v>
      </c>
      <c r="K173" s="68" t="n">
        <f aca="false">K169+K172</f>
        <v>-4050.76464116646</v>
      </c>
      <c r="L173" s="68" t="n">
        <f aca="false">L169+L172</f>
        <v>-2775.8484987351</v>
      </c>
      <c r="M173" s="68" t="n">
        <f aca="false">M169+M172</f>
        <v>-1500.91035297801</v>
      </c>
      <c r="N173" s="68" t="n">
        <f aca="false">N169+N172</f>
        <v>-1501.26088594246</v>
      </c>
      <c r="O173" s="68" t="n">
        <f aca="false">O169+O172</f>
        <v>-561.952041356301</v>
      </c>
      <c r="P173" s="68" t="n">
        <f aca="false">P169+P172</f>
        <v>-562.382922906334</v>
      </c>
      <c r="Q173" s="68" t="n">
        <f aca="false">Q169+Q172</f>
        <v>-562.791283209851</v>
      </c>
      <c r="R173" s="68" t="n">
        <f aca="false">R169+R172</f>
        <v>-563.176990892918</v>
      </c>
      <c r="S173" s="68" t="n">
        <f aca="false">S169+S172</f>
        <v>-563.539913815247</v>
      </c>
      <c r="T173" s="68" t="n">
        <f aca="false">T169+T172</f>
        <v>7556.37182279026</v>
      </c>
      <c r="U173" s="68" t="n">
        <f aca="false">U169+U172</f>
        <v>7556.05486889804</v>
      </c>
      <c r="V173" s="68" t="n">
        <f aca="false">V169+V172</f>
        <v>7555.76110083033</v>
      </c>
      <c r="W173" s="68" t="n">
        <f aca="false">W169+W172</f>
        <v>-564.761088018216</v>
      </c>
      <c r="X173" s="68" t="n">
        <f aca="false">X169+X172</f>
        <v>-565.008077895998</v>
      </c>
      <c r="Y173" s="68" t="n">
        <f aca="false">Y169+Y172</f>
        <v>-565.231473825845</v>
      </c>
      <c r="Z173" s="68" t="n">
        <f aca="false">Z169+Z172</f>
        <v>-565.431138176393</v>
      </c>
      <c r="AA173" s="68" t="n">
        <f aca="false">AA169+AA172</f>
        <v>355.374847365829</v>
      </c>
      <c r="AB173" s="68" t="n">
        <f aca="false">AB169+AB172</f>
        <v>355.094312284048</v>
      </c>
      <c r="AC173" s="68" t="n">
        <f aca="false">AC169+AC172</f>
        <v>354.83792651151</v>
      </c>
      <c r="AD173" s="68" t="n">
        <f aca="false">AD169+AD172</f>
        <v>354.605830919189</v>
      </c>
      <c r="AE173" s="68" t="n">
        <f aca="false">AE169+AE172</f>
        <v>354.398167199802</v>
      </c>
      <c r="AF173" s="68" t="n">
        <f aca="false">AF169+AF172</f>
        <v>8885.35155786652</v>
      </c>
      <c r="AG173" s="68" t="n">
        <f aca="false">AG169+AG172</f>
        <v>8885.19318628214</v>
      </c>
      <c r="AH173" s="68" t="n">
        <f aca="false">AH169+AH172</f>
        <v>8885.0596766274</v>
      </c>
      <c r="AI173" s="68" t="n">
        <f aca="false">AI169+AI172</f>
        <v>353.814693936326</v>
      </c>
      <c r="AJ173" s="68" t="n">
        <f aca="false">AJ169+AJ172</f>
        <v>353.731344070649</v>
      </c>
      <c r="AK173" s="68" t="n">
        <f aca="false">AK169+AK172</f>
        <v>353.673293761312</v>
      </c>
      <c r="AL173" s="68" t="n">
        <f aca="false">AL169+AL172</f>
        <v>353.640690589059</v>
      </c>
      <c r="AM173" s="68" t="n">
        <f aca="false">AM169+AM172</f>
        <v>1270.32153668668</v>
      </c>
      <c r="AN173" s="68" t="n">
        <f aca="false">AN169+AN172</f>
        <v>1270.20766147941</v>
      </c>
      <c r="AO173" s="68" t="n">
        <f aca="false">AO169+AO172</f>
        <v>1270.1196813369</v>
      </c>
      <c r="AP173" s="68" t="n">
        <f aca="false">AP169+AP172</f>
        <v>1270.05774731369</v>
      </c>
      <c r="AQ173" s="68" t="n">
        <f aca="false">AQ169+AQ172</f>
        <v>1270.02201134549</v>
      </c>
      <c r="AR173" s="68" t="n">
        <f aca="false">AR169+AR172</f>
        <v>10232.8246121359</v>
      </c>
      <c r="AS173" s="68" t="n">
        <f aca="false">AS169+AS172</f>
        <v>9445.70376803272</v>
      </c>
      <c r="AT173" s="68" t="n">
        <f aca="false">AT169+AT172</f>
        <v>8083.97955316457</v>
      </c>
      <c r="AU173" s="68" t="n">
        <f aca="false">AU169+AU172</f>
        <v>1003.41385311385</v>
      </c>
      <c r="AV173" s="68" t="n">
        <f aca="false">AV169+AV172</f>
        <v>1003.49092910364</v>
      </c>
      <c r="AW173" s="68" t="n">
        <f aca="false">AW169+AW172</f>
        <v>1003.58943657946</v>
      </c>
      <c r="AX173" s="68" t="n">
        <f aca="false">AX169+AX172</f>
        <v>1003.70950055829</v>
      </c>
      <c r="AY173" s="68" t="n">
        <f aca="false">AY169+AY172</f>
        <v>1734.19274308764</v>
      </c>
      <c r="AZ173" s="68" t="n">
        <f aca="false">AZ169+AZ172</f>
        <v>1734.24839125358</v>
      </c>
      <c r="BA173" s="68" t="n">
        <f aca="false">BA169+BA172</f>
        <v>1734.32597536619</v>
      </c>
      <c r="BB173" s="68" t="n">
        <f aca="false">BB169+BB172</f>
        <v>1734.42562338514</v>
      </c>
      <c r="BC173" s="68" t="n">
        <f aca="false">BC169+BC172</f>
        <v>1734.54746401656</v>
      </c>
      <c r="BD173" s="68" t="n">
        <f aca="false">BD169+BD172</f>
        <v>9173.59254188746</v>
      </c>
      <c r="BE173" s="68" t="n">
        <f aca="false">BE169+BE172</f>
        <v>9173.7591568697</v>
      </c>
      <c r="BF173" s="68" t="n">
        <f aca="false">BF169+BF172</f>
        <v>9173.94835510503</v>
      </c>
      <c r="BG173" s="68" t="n">
        <f aca="false">BG169+BG172</f>
        <v>1735.25935315899</v>
      </c>
      <c r="BH173" s="68" t="n">
        <f aca="false">BH169+BH172</f>
        <v>1735.49411387588</v>
      </c>
      <c r="BI173" s="68" t="n">
        <f aca="false">BI169+BI172</f>
        <v>1735.75185536265</v>
      </c>
      <c r="BJ173" s="68" t="n">
        <f aca="false">BJ169+BJ172</f>
        <v>1736.03271167378</v>
      </c>
    </row>
    <row r="175" customFormat="false" ht="15.75" hidden="false" customHeight="true" outlineLevel="0" collapsed="false">
      <c r="A175" s="7" t="s">
        <v>422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customFormat="false" ht="15" hidden="false" customHeight="false" outlineLevel="0" collapsed="false">
      <c r="A176" s="6" t="s">
        <v>423</v>
      </c>
      <c r="C176" s="67" t="n">
        <f aca="false">IF(C$126=1,Inputs!$C$42,0)</f>
        <v>720000</v>
      </c>
      <c r="D176" s="67" t="n">
        <f aca="false">IF(D$126=1,Inputs!$C$42,0)</f>
        <v>0</v>
      </c>
      <c r="E176" s="67" t="n">
        <f aca="false">IF(E$126=1,Inputs!$C$42,0)</f>
        <v>0</v>
      </c>
      <c r="F176" s="67" t="n">
        <f aca="false">IF(F$126=1,Inputs!$C$42,0)</f>
        <v>0</v>
      </c>
      <c r="G176" s="67" t="n">
        <f aca="false">IF(G$126=1,Inputs!$C$42,0)</f>
        <v>0</v>
      </c>
      <c r="H176" s="67" t="n">
        <f aca="false">IF(H$126=1,Inputs!$C$42,0)</f>
        <v>0</v>
      </c>
      <c r="I176" s="67" t="n">
        <f aca="false">IF(I$126=1,Inputs!$C$42,0)</f>
        <v>0</v>
      </c>
      <c r="J176" s="67" t="n">
        <f aca="false">IF(J$126=1,Inputs!$C$42,0)</f>
        <v>0</v>
      </c>
      <c r="K176" s="67" t="n">
        <f aca="false">IF(K$126=1,Inputs!$C$42,0)</f>
        <v>0</v>
      </c>
      <c r="L176" s="67" t="n">
        <f aca="false">IF(L$126=1,Inputs!$C$42,0)</f>
        <v>0</v>
      </c>
      <c r="M176" s="67" t="n">
        <f aca="false">IF(M$126=1,Inputs!$C$42,0)</f>
        <v>0</v>
      </c>
      <c r="N176" s="67" t="n">
        <f aca="false">IF(N$126=1,Inputs!$C$42,0)</f>
        <v>0</v>
      </c>
      <c r="O176" s="67" t="n">
        <f aca="false">IF(O$126=1,Inputs!$C$42,0)</f>
        <v>0</v>
      </c>
      <c r="P176" s="67" t="n">
        <f aca="false">IF(P$126=1,Inputs!$C$42,0)</f>
        <v>0</v>
      </c>
      <c r="Q176" s="67" t="n">
        <f aca="false">IF(Q$126=1,Inputs!$C$42,0)</f>
        <v>0</v>
      </c>
      <c r="R176" s="67" t="n">
        <f aca="false">IF(R$126=1,Inputs!$C$42,0)</f>
        <v>0</v>
      </c>
      <c r="S176" s="67" t="n">
        <f aca="false">IF(S$126=1,Inputs!$C$42,0)</f>
        <v>0</v>
      </c>
      <c r="T176" s="67" t="n">
        <f aca="false">IF(T$126=1,Inputs!$C$42,0)</f>
        <v>0</v>
      </c>
      <c r="U176" s="67" t="n">
        <f aca="false">IF(U$126=1,Inputs!$C$42,0)</f>
        <v>0</v>
      </c>
      <c r="V176" s="67" t="n">
        <f aca="false">IF(V$126=1,Inputs!$C$42,0)</f>
        <v>0</v>
      </c>
      <c r="W176" s="67" t="n">
        <f aca="false">IF(W$126=1,Inputs!$C$42,0)</f>
        <v>0</v>
      </c>
      <c r="X176" s="67" t="n">
        <f aca="false">IF(X$126=1,Inputs!$C$42,0)</f>
        <v>0</v>
      </c>
      <c r="Y176" s="67" t="n">
        <f aca="false">IF(Y$126=1,Inputs!$C$42,0)</f>
        <v>0</v>
      </c>
      <c r="Z176" s="67" t="n">
        <f aca="false">IF(Z$126=1,Inputs!$C$42,0)</f>
        <v>0</v>
      </c>
      <c r="AA176" s="67" t="n">
        <f aca="false">IF(AA$126=1,Inputs!$C$42,0)</f>
        <v>0</v>
      </c>
      <c r="AB176" s="67" t="n">
        <f aca="false">IF(AB$126=1,Inputs!$C$42,0)</f>
        <v>0</v>
      </c>
      <c r="AC176" s="67" t="n">
        <f aca="false">IF(AC$126=1,Inputs!$C$42,0)</f>
        <v>0</v>
      </c>
      <c r="AD176" s="67" t="n">
        <f aca="false">IF(AD$126=1,Inputs!$C$42,0)</f>
        <v>0</v>
      </c>
      <c r="AE176" s="67" t="n">
        <f aca="false">IF(AE$126=1,Inputs!$C$42,0)</f>
        <v>0</v>
      </c>
      <c r="AF176" s="67" t="n">
        <f aca="false">IF(AF$126=1,Inputs!$C$42,0)</f>
        <v>0</v>
      </c>
      <c r="AG176" s="67" t="n">
        <f aca="false">IF(AG$126=1,Inputs!$C$42,0)</f>
        <v>0</v>
      </c>
      <c r="AH176" s="67" t="n">
        <f aca="false">IF(AH$126=1,Inputs!$C$42,0)</f>
        <v>0</v>
      </c>
      <c r="AI176" s="67" t="n">
        <f aca="false">IF(AI$126=1,Inputs!$C$42,0)</f>
        <v>0</v>
      </c>
      <c r="AJ176" s="67" t="n">
        <f aca="false">IF(AJ$126=1,Inputs!$C$42,0)</f>
        <v>0</v>
      </c>
      <c r="AK176" s="67" t="n">
        <f aca="false">IF(AK$126=1,Inputs!$C$42,0)</f>
        <v>0</v>
      </c>
      <c r="AL176" s="67" t="n">
        <f aca="false">IF(AL$126=1,Inputs!$C$42,0)</f>
        <v>0</v>
      </c>
      <c r="AM176" s="67" t="n">
        <f aca="false">IF(AM$126=1,Inputs!$C$42,0)</f>
        <v>0</v>
      </c>
      <c r="AN176" s="67" t="n">
        <f aca="false">IF(AN$126=1,Inputs!$C$42,0)</f>
        <v>0</v>
      </c>
      <c r="AO176" s="67" t="n">
        <f aca="false">IF(AO$126=1,Inputs!$C$42,0)</f>
        <v>0</v>
      </c>
      <c r="AP176" s="67" t="n">
        <f aca="false">IF(AP$126=1,Inputs!$C$42,0)</f>
        <v>0</v>
      </c>
      <c r="AQ176" s="67" t="n">
        <f aca="false">IF(AQ$126=1,Inputs!$C$42,0)</f>
        <v>0</v>
      </c>
      <c r="AR176" s="67" t="n">
        <f aca="false">IF(AR$126=1,Inputs!$C$42,0)</f>
        <v>0</v>
      </c>
      <c r="AS176" s="67" t="n">
        <f aca="false">IF(AS$126=1,Inputs!$C$42,0)</f>
        <v>0</v>
      </c>
      <c r="AT176" s="67" t="n">
        <f aca="false">IF(AT$126=1,Inputs!$C$42,0)</f>
        <v>0</v>
      </c>
      <c r="AU176" s="67" t="n">
        <f aca="false">IF(AU$126=1,Inputs!$C$42,0)</f>
        <v>0</v>
      </c>
      <c r="AV176" s="67" t="n">
        <f aca="false">IF(AV$126=1,Inputs!$C$42,0)</f>
        <v>0</v>
      </c>
      <c r="AW176" s="67" t="n">
        <f aca="false">IF(AW$126=1,Inputs!$C$42,0)</f>
        <v>0</v>
      </c>
      <c r="AX176" s="67" t="n">
        <f aca="false">IF(AX$126=1,Inputs!$C$42,0)</f>
        <v>0</v>
      </c>
      <c r="AY176" s="67" t="n">
        <f aca="false">IF(AY$126=1,Inputs!$C$42,0)</f>
        <v>0</v>
      </c>
      <c r="AZ176" s="67" t="n">
        <f aca="false">IF(AZ$126=1,Inputs!$C$42,0)</f>
        <v>0</v>
      </c>
      <c r="BA176" s="67" t="n">
        <f aca="false">IF(BA$126=1,Inputs!$C$42,0)</f>
        <v>0</v>
      </c>
      <c r="BB176" s="67" t="n">
        <f aca="false">IF(BB$126=1,Inputs!$C$42,0)</f>
        <v>0</v>
      </c>
      <c r="BC176" s="67" t="n">
        <f aca="false">IF(BC$126=1,Inputs!$C$42,0)</f>
        <v>0</v>
      </c>
      <c r="BD176" s="67" t="n">
        <f aca="false">IF(BD$126=1,Inputs!$C$42,0)</f>
        <v>0</v>
      </c>
      <c r="BE176" s="67" t="n">
        <f aca="false">IF(BE$126=1,Inputs!$C$42,0)</f>
        <v>0</v>
      </c>
      <c r="BF176" s="67" t="n">
        <f aca="false">IF(BF$126=1,Inputs!$C$42,0)</f>
        <v>0</v>
      </c>
      <c r="BG176" s="67" t="n">
        <f aca="false">IF(BG$126=1,Inputs!$C$42,0)</f>
        <v>0</v>
      </c>
      <c r="BH176" s="67" t="n">
        <f aca="false">IF(BH$126=1,Inputs!$C$42,0)</f>
        <v>0</v>
      </c>
      <c r="BI176" s="67" t="n">
        <f aca="false">IF(BI$126=1,Inputs!$C$42,0)</f>
        <v>0</v>
      </c>
      <c r="BJ176" s="67" t="n">
        <f aca="false">IF(BJ$126=1,Inputs!$C$42,0)</f>
        <v>0</v>
      </c>
    </row>
    <row r="177" customFormat="false" ht="15" hidden="false" customHeight="false" outlineLevel="0" collapsed="false">
      <c r="A177" s="6" t="s">
        <v>424</v>
      </c>
      <c r="C177" s="67" t="n">
        <f aca="false">IF(C$126=1,Inputs!$C$42*Inputs!$C$43,0)</f>
        <v>180000</v>
      </c>
      <c r="D177" s="67" t="n">
        <f aca="false">IF(D$126=1,Inputs!$C$42*Inputs!$C$43,0)</f>
        <v>0</v>
      </c>
      <c r="E177" s="67" t="n">
        <f aca="false">IF(E$126=1,Inputs!$C$42*Inputs!$C$43,0)</f>
        <v>0</v>
      </c>
      <c r="F177" s="67" t="n">
        <f aca="false">IF(F$126=1,Inputs!$C$42*Inputs!$C$43,0)</f>
        <v>0</v>
      </c>
      <c r="G177" s="67" t="n">
        <f aca="false">IF(G$126=1,Inputs!$C$42*Inputs!$C$43,0)</f>
        <v>0</v>
      </c>
      <c r="H177" s="67" t="n">
        <f aca="false">IF(H$126=1,Inputs!$C$42*Inputs!$C$43,0)</f>
        <v>0</v>
      </c>
      <c r="I177" s="67" t="n">
        <f aca="false">IF(I$126=1,Inputs!$C$42*Inputs!$C$43,0)</f>
        <v>0</v>
      </c>
      <c r="J177" s="67" t="n">
        <f aca="false">IF(J$126=1,Inputs!$C$42*Inputs!$C$43,0)</f>
        <v>0</v>
      </c>
      <c r="K177" s="67" t="n">
        <f aca="false">IF(K$126=1,Inputs!$C$42*Inputs!$C$43,0)</f>
        <v>0</v>
      </c>
      <c r="L177" s="67" t="n">
        <f aca="false">IF(L$126=1,Inputs!$C$42*Inputs!$C$43,0)</f>
        <v>0</v>
      </c>
      <c r="M177" s="67" t="n">
        <f aca="false">IF(M$126=1,Inputs!$C$42*Inputs!$C$43,0)</f>
        <v>0</v>
      </c>
      <c r="N177" s="67" t="n">
        <f aca="false">IF(N$126=1,Inputs!$C$42*Inputs!$C$43,0)</f>
        <v>0</v>
      </c>
      <c r="O177" s="67" t="n">
        <f aca="false">IF(O$126=1,Inputs!$C$42*Inputs!$C$43,0)</f>
        <v>0</v>
      </c>
      <c r="P177" s="67" t="n">
        <f aca="false">IF(P$126=1,Inputs!$C$42*Inputs!$C$43,0)</f>
        <v>0</v>
      </c>
      <c r="Q177" s="67" t="n">
        <f aca="false">IF(Q$126=1,Inputs!$C$42*Inputs!$C$43,0)</f>
        <v>0</v>
      </c>
      <c r="R177" s="67" t="n">
        <f aca="false">IF(R$126=1,Inputs!$C$42*Inputs!$C$43,0)</f>
        <v>0</v>
      </c>
      <c r="S177" s="67" t="n">
        <f aca="false">IF(S$126=1,Inputs!$C$42*Inputs!$C$43,0)</f>
        <v>0</v>
      </c>
      <c r="T177" s="67" t="n">
        <f aca="false">IF(T$126=1,Inputs!$C$42*Inputs!$C$43,0)</f>
        <v>0</v>
      </c>
      <c r="U177" s="67" t="n">
        <f aca="false">IF(U$126=1,Inputs!$C$42*Inputs!$C$43,0)</f>
        <v>0</v>
      </c>
      <c r="V177" s="67" t="n">
        <f aca="false">IF(V$126=1,Inputs!$C$42*Inputs!$C$43,0)</f>
        <v>0</v>
      </c>
      <c r="W177" s="67" t="n">
        <f aca="false">IF(W$126=1,Inputs!$C$42*Inputs!$C$43,0)</f>
        <v>0</v>
      </c>
      <c r="X177" s="67" t="n">
        <f aca="false">IF(X$126=1,Inputs!$C$42*Inputs!$C$43,0)</f>
        <v>0</v>
      </c>
      <c r="Y177" s="67" t="n">
        <f aca="false">IF(Y$126=1,Inputs!$C$42*Inputs!$C$43,0)</f>
        <v>0</v>
      </c>
      <c r="Z177" s="67" t="n">
        <f aca="false">IF(Z$126=1,Inputs!$C$42*Inputs!$C$43,0)</f>
        <v>0</v>
      </c>
      <c r="AA177" s="67" t="n">
        <f aca="false">IF(AA$126=1,Inputs!$C$42*Inputs!$C$43,0)</f>
        <v>0</v>
      </c>
      <c r="AB177" s="67" t="n">
        <f aca="false">IF(AB$126=1,Inputs!$C$42*Inputs!$C$43,0)</f>
        <v>0</v>
      </c>
      <c r="AC177" s="67" t="n">
        <f aca="false">IF(AC$126=1,Inputs!$C$42*Inputs!$C$43,0)</f>
        <v>0</v>
      </c>
      <c r="AD177" s="67" t="n">
        <f aca="false">IF(AD$126=1,Inputs!$C$42*Inputs!$C$43,0)</f>
        <v>0</v>
      </c>
      <c r="AE177" s="67" t="n">
        <f aca="false">IF(AE$126=1,Inputs!$C$42*Inputs!$C$43,0)</f>
        <v>0</v>
      </c>
      <c r="AF177" s="67" t="n">
        <f aca="false">IF(AF$126=1,Inputs!$C$42*Inputs!$C$43,0)</f>
        <v>0</v>
      </c>
      <c r="AG177" s="67" t="n">
        <f aca="false">IF(AG$126=1,Inputs!$C$42*Inputs!$C$43,0)</f>
        <v>0</v>
      </c>
      <c r="AH177" s="67" t="n">
        <f aca="false">IF(AH$126=1,Inputs!$C$42*Inputs!$C$43,0)</f>
        <v>0</v>
      </c>
      <c r="AI177" s="67" t="n">
        <f aca="false">IF(AI$126=1,Inputs!$C$42*Inputs!$C$43,0)</f>
        <v>0</v>
      </c>
      <c r="AJ177" s="67" t="n">
        <f aca="false">IF(AJ$126=1,Inputs!$C$42*Inputs!$C$43,0)</f>
        <v>0</v>
      </c>
      <c r="AK177" s="67" t="n">
        <f aca="false">IF(AK$126=1,Inputs!$C$42*Inputs!$C$43,0)</f>
        <v>0</v>
      </c>
      <c r="AL177" s="67" t="n">
        <f aca="false">IF(AL$126=1,Inputs!$C$42*Inputs!$C$43,0)</f>
        <v>0</v>
      </c>
      <c r="AM177" s="67" t="n">
        <f aca="false">IF(AM$126=1,Inputs!$C$42*Inputs!$C$43,0)</f>
        <v>0</v>
      </c>
      <c r="AN177" s="67" t="n">
        <f aca="false">IF(AN$126=1,Inputs!$C$42*Inputs!$C$43,0)</f>
        <v>0</v>
      </c>
      <c r="AO177" s="67" t="n">
        <f aca="false">IF(AO$126=1,Inputs!$C$42*Inputs!$C$43,0)</f>
        <v>0</v>
      </c>
      <c r="AP177" s="67" t="n">
        <f aca="false">IF(AP$126=1,Inputs!$C$42*Inputs!$C$43,0)</f>
        <v>0</v>
      </c>
      <c r="AQ177" s="67" t="n">
        <f aca="false">IF(AQ$126=1,Inputs!$C$42*Inputs!$C$43,0)</f>
        <v>0</v>
      </c>
      <c r="AR177" s="67" t="n">
        <f aca="false">IF(AR$126=1,Inputs!$C$42*Inputs!$C$43,0)</f>
        <v>0</v>
      </c>
      <c r="AS177" s="67" t="n">
        <f aca="false">IF(AS$126=1,Inputs!$C$42*Inputs!$C$43,0)</f>
        <v>0</v>
      </c>
      <c r="AT177" s="67" t="n">
        <f aca="false">IF(AT$126=1,Inputs!$C$42*Inputs!$C$43,0)</f>
        <v>0</v>
      </c>
      <c r="AU177" s="67" t="n">
        <f aca="false">IF(AU$126=1,Inputs!$C$42*Inputs!$C$43,0)</f>
        <v>0</v>
      </c>
      <c r="AV177" s="67" t="n">
        <f aca="false">IF(AV$126=1,Inputs!$C$42*Inputs!$C$43,0)</f>
        <v>0</v>
      </c>
      <c r="AW177" s="67" t="n">
        <f aca="false">IF(AW$126=1,Inputs!$C$42*Inputs!$C$43,0)</f>
        <v>0</v>
      </c>
      <c r="AX177" s="67" t="n">
        <f aca="false">IF(AX$126=1,Inputs!$C$42*Inputs!$C$43,0)</f>
        <v>0</v>
      </c>
      <c r="AY177" s="67" t="n">
        <f aca="false">IF(AY$126=1,Inputs!$C$42*Inputs!$C$43,0)</f>
        <v>0</v>
      </c>
      <c r="AZ177" s="67" t="n">
        <f aca="false">IF(AZ$126=1,Inputs!$C$42*Inputs!$C$43,0)</f>
        <v>0</v>
      </c>
      <c r="BA177" s="67" t="n">
        <f aca="false">IF(BA$126=1,Inputs!$C$42*Inputs!$C$43,0)</f>
        <v>0</v>
      </c>
      <c r="BB177" s="67" t="n">
        <f aca="false">IF(BB$126=1,Inputs!$C$42*Inputs!$C$43,0)</f>
        <v>0</v>
      </c>
      <c r="BC177" s="67" t="n">
        <f aca="false">IF(BC$126=1,Inputs!$C$42*Inputs!$C$43,0)</f>
        <v>0</v>
      </c>
      <c r="BD177" s="67" t="n">
        <f aca="false">IF(BD$126=1,Inputs!$C$42*Inputs!$C$43,0)</f>
        <v>0</v>
      </c>
      <c r="BE177" s="67" t="n">
        <f aca="false">IF(BE$126=1,Inputs!$C$42*Inputs!$C$43,0)</f>
        <v>0</v>
      </c>
      <c r="BF177" s="67" t="n">
        <f aca="false">IF(BF$126=1,Inputs!$C$42*Inputs!$C$43,0)</f>
        <v>0</v>
      </c>
      <c r="BG177" s="67" t="n">
        <f aca="false">IF(BG$126=1,Inputs!$C$42*Inputs!$C$43,0)</f>
        <v>0</v>
      </c>
      <c r="BH177" s="67" t="n">
        <f aca="false">IF(BH$126=1,Inputs!$C$42*Inputs!$C$43,0)</f>
        <v>0</v>
      </c>
      <c r="BI177" s="67" t="n">
        <f aca="false">IF(BI$126=1,Inputs!$C$42*Inputs!$C$43,0)</f>
        <v>0</v>
      </c>
      <c r="BJ177" s="67" t="n">
        <f aca="false">IF(BJ$126=1,Inputs!$C$42*Inputs!$C$43,0)</f>
        <v>0</v>
      </c>
    </row>
    <row r="178" customFormat="false" ht="15" hidden="false" customHeight="false" outlineLevel="0" collapsed="false">
      <c r="A178" s="6" t="s">
        <v>425</v>
      </c>
      <c r="C178" s="67" t="n">
        <f aca="false">IF(C$126=1,Inputs!$C$7*Inputs!$C$44,0)</f>
        <v>75000</v>
      </c>
      <c r="D178" s="67" t="n">
        <f aca="false">IF(D$126=1,Inputs!$C$7*Inputs!$C$44,0)</f>
        <v>0</v>
      </c>
      <c r="E178" s="67" t="n">
        <f aca="false">IF(E$126=1,Inputs!$C$7*Inputs!$C$44,0)</f>
        <v>0</v>
      </c>
      <c r="F178" s="67" t="n">
        <f aca="false">IF(F$126=1,Inputs!$C$7*Inputs!$C$44,0)</f>
        <v>0</v>
      </c>
      <c r="G178" s="67" t="n">
        <f aca="false">IF(G$126=1,Inputs!$C$7*Inputs!$C$44,0)</f>
        <v>0</v>
      </c>
      <c r="H178" s="67" t="n">
        <f aca="false">IF(H$126=1,Inputs!$C$7*Inputs!$C$44,0)</f>
        <v>0</v>
      </c>
      <c r="I178" s="67" t="n">
        <f aca="false">IF(I$126=1,Inputs!$C$7*Inputs!$C$44,0)</f>
        <v>0</v>
      </c>
      <c r="J178" s="67" t="n">
        <f aca="false">IF(J$126=1,Inputs!$C$7*Inputs!$C$44,0)</f>
        <v>0</v>
      </c>
      <c r="K178" s="67" t="n">
        <f aca="false">IF(K$126=1,Inputs!$C$7*Inputs!$C$44,0)</f>
        <v>0</v>
      </c>
      <c r="L178" s="67" t="n">
        <f aca="false">IF(L$126=1,Inputs!$C$7*Inputs!$C$44,0)</f>
        <v>0</v>
      </c>
      <c r="M178" s="67" t="n">
        <f aca="false">IF(M$126=1,Inputs!$C$7*Inputs!$C$44,0)</f>
        <v>0</v>
      </c>
      <c r="N178" s="67" t="n">
        <f aca="false">IF(N$126=1,Inputs!$C$7*Inputs!$C$44,0)</f>
        <v>0</v>
      </c>
      <c r="O178" s="67" t="n">
        <f aca="false">IF(O$126=1,Inputs!$C$7*Inputs!$C$44,0)</f>
        <v>0</v>
      </c>
      <c r="P178" s="67" t="n">
        <f aca="false">IF(P$126=1,Inputs!$C$7*Inputs!$C$44,0)</f>
        <v>0</v>
      </c>
      <c r="Q178" s="67" t="n">
        <f aca="false">IF(Q$126=1,Inputs!$C$7*Inputs!$C$44,0)</f>
        <v>0</v>
      </c>
      <c r="R178" s="67" t="n">
        <f aca="false">IF(R$126=1,Inputs!$C$7*Inputs!$C$44,0)</f>
        <v>0</v>
      </c>
      <c r="S178" s="67" t="n">
        <f aca="false">IF(S$126=1,Inputs!$C$7*Inputs!$C$44,0)</f>
        <v>0</v>
      </c>
      <c r="T178" s="67" t="n">
        <f aca="false">IF(T$126=1,Inputs!$C$7*Inputs!$C$44,0)</f>
        <v>0</v>
      </c>
      <c r="U178" s="67" t="n">
        <f aca="false">IF(U$126=1,Inputs!$C$7*Inputs!$C$44,0)</f>
        <v>0</v>
      </c>
      <c r="V178" s="67" t="n">
        <f aca="false">IF(V$126=1,Inputs!$C$7*Inputs!$C$44,0)</f>
        <v>0</v>
      </c>
      <c r="W178" s="67" t="n">
        <f aca="false">IF(W$126=1,Inputs!$C$7*Inputs!$C$44,0)</f>
        <v>0</v>
      </c>
      <c r="X178" s="67" t="n">
        <f aca="false">IF(X$126=1,Inputs!$C$7*Inputs!$C$44,0)</f>
        <v>0</v>
      </c>
      <c r="Y178" s="67" t="n">
        <f aca="false">IF(Y$126=1,Inputs!$C$7*Inputs!$C$44,0)</f>
        <v>0</v>
      </c>
      <c r="Z178" s="67" t="n">
        <f aca="false">IF(Z$126=1,Inputs!$C$7*Inputs!$C$44,0)</f>
        <v>0</v>
      </c>
      <c r="AA178" s="67" t="n">
        <f aca="false">IF(AA$126=1,Inputs!$C$7*Inputs!$C$44,0)</f>
        <v>0</v>
      </c>
      <c r="AB178" s="67" t="n">
        <f aca="false">IF(AB$126=1,Inputs!$C$7*Inputs!$C$44,0)</f>
        <v>0</v>
      </c>
      <c r="AC178" s="67" t="n">
        <f aca="false">IF(AC$126=1,Inputs!$C$7*Inputs!$C$44,0)</f>
        <v>0</v>
      </c>
      <c r="AD178" s="67" t="n">
        <f aca="false">IF(AD$126=1,Inputs!$C$7*Inputs!$C$44,0)</f>
        <v>0</v>
      </c>
      <c r="AE178" s="67" t="n">
        <f aca="false">IF(AE$126=1,Inputs!$C$7*Inputs!$C$44,0)</f>
        <v>0</v>
      </c>
      <c r="AF178" s="67" t="n">
        <f aca="false">IF(AF$126=1,Inputs!$C$7*Inputs!$C$44,0)</f>
        <v>0</v>
      </c>
      <c r="AG178" s="67" t="n">
        <f aca="false">IF(AG$126=1,Inputs!$C$7*Inputs!$C$44,0)</f>
        <v>0</v>
      </c>
      <c r="AH178" s="67" t="n">
        <f aca="false">IF(AH$126=1,Inputs!$C$7*Inputs!$C$44,0)</f>
        <v>0</v>
      </c>
      <c r="AI178" s="67" t="n">
        <f aca="false">IF(AI$126=1,Inputs!$C$7*Inputs!$C$44,0)</f>
        <v>0</v>
      </c>
      <c r="AJ178" s="67" t="n">
        <f aca="false">IF(AJ$126=1,Inputs!$C$7*Inputs!$C$44,0)</f>
        <v>0</v>
      </c>
      <c r="AK178" s="67" t="n">
        <f aca="false">IF(AK$126=1,Inputs!$C$7*Inputs!$C$44,0)</f>
        <v>0</v>
      </c>
      <c r="AL178" s="67" t="n">
        <f aca="false">IF(AL$126=1,Inputs!$C$7*Inputs!$C$44,0)</f>
        <v>0</v>
      </c>
      <c r="AM178" s="67" t="n">
        <f aca="false">IF(AM$126=1,Inputs!$C$7*Inputs!$C$44,0)</f>
        <v>0</v>
      </c>
      <c r="AN178" s="67" t="n">
        <f aca="false">IF(AN$126=1,Inputs!$C$7*Inputs!$C$44,0)</f>
        <v>0</v>
      </c>
      <c r="AO178" s="67" t="n">
        <f aca="false">IF(AO$126=1,Inputs!$C$7*Inputs!$C$44,0)</f>
        <v>0</v>
      </c>
      <c r="AP178" s="67" t="n">
        <f aca="false">IF(AP$126=1,Inputs!$C$7*Inputs!$C$44,0)</f>
        <v>0</v>
      </c>
      <c r="AQ178" s="67" t="n">
        <f aca="false">IF(AQ$126=1,Inputs!$C$7*Inputs!$C$44,0)</f>
        <v>0</v>
      </c>
      <c r="AR178" s="67" t="n">
        <f aca="false">IF(AR$126=1,Inputs!$C$7*Inputs!$C$44,0)</f>
        <v>0</v>
      </c>
      <c r="AS178" s="67" t="n">
        <f aca="false">IF(AS$126=1,Inputs!$C$7*Inputs!$C$44,0)</f>
        <v>0</v>
      </c>
      <c r="AT178" s="67" t="n">
        <f aca="false">IF(AT$126=1,Inputs!$C$7*Inputs!$C$44,0)</f>
        <v>0</v>
      </c>
      <c r="AU178" s="67" t="n">
        <f aca="false">IF(AU$126=1,Inputs!$C$7*Inputs!$C$44,0)</f>
        <v>0</v>
      </c>
      <c r="AV178" s="67" t="n">
        <f aca="false">IF(AV$126=1,Inputs!$C$7*Inputs!$C$44,0)</f>
        <v>0</v>
      </c>
      <c r="AW178" s="67" t="n">
        <f aca="false">IF(AW$126=1,Inputs!$C$7*Inputs!$C$44,0)</f>
        <v>0</v>
      </c>
      <c r="AX178" s="67" t="n">
        <f aca="false">IF(AX$126=1,Inputs!$C$7*Inputs!$C$44,0)</f>
        <v>0</v>
      </c>
      <c r="AY178" s="67" t="n">
        <f aca="false">IF(AY$126=1,Inputs!$C$7*Inputs!$C$44,0)</f>
        <v>0</v>
      </c>
      <c r="AZ178" s="67" t="n">
        <f aca="false">IF(AZ$126=1,Inputs!$C$7*Inputs!$C$44,0)</f>
        <v>0</v>
      </c>
      <c r="BA178" s="67" t="n">
        <f aca="false">IF(BA$126=1,Inputs!$C$7*Inputs!$C$44,0)</f>
        <v>0</v>
      </c>
      <c r="BB178" s="67" t="n">
        <f aca="false">IF(BB$126=1,Inputs!$C$7*Inputs!$C$44,0)</f>
        <v>0</v>
      </c>
      <c r="BC178" s="67" t="n">
        <f aca="false">IF(BC$126=1,Inputs!$C$7*Inputs!$C$44,0)</f>
        <v>0</v>
      </c>
      <c r="BD178" s="67" t="n">
        <f aca="false">IF(BD$126=1,Inputs!$C$7*Inputs!$C$44,0)</f>
        <v>0</v>
      </c>
      <c r="BE178" s="67" t="n">
        <f aca="false">IF(BE$126=1,Inputs!$C$7*Inputs!$C$44,0)</f>
        <v>0</v>
      </c>
      <c r="BF178" s="67" t="n">
        <f aca="false">IF(BF$126=1,Inputs!$C$7*Inputs!$C$44,0)</f>
        <v>0</v>
      </c>
      <c r="BG178" s="67" t="n">
        <f aca="false">IF(BG$126=1,Inputs!$C$7*Inputs!$C$44,0)</f>
        <v>0</v>
      </c>
      <c r="BH178" s="67" t="n">
        <f aca="false">IF(BH$126=1,Inputs!$C$7*Inputs!$C$44,0)</f>
        <v>0</v>
      </c>
      <c r="BI178" s="67" t="n">
        <f aca="false">IF(BI$126=1,Inputs!$C$7*Inputs!$C$44,0)</f>
        <v>0</v>
      </c>
      <c r="BJ178" s="67" t="n">
        <f aca="false">IF(BJ$126=1,Inputs!$C$7*Inputs!$C$44,0)</f>
        <v>0</v>
      </c>
    </row>
    <row r="179" customFormat="false" ht="15" hidden="false" customHeight="false" outlineLevel="0" collapsed="false">
      <c r="A179" s="6" t="s">
        <v>426</v>
      </c>
      <c r="C179" s="67" t="n">
        <f aca="false">IF(C$126=1,Inputs!$C$45,0)</f>
        <v>70000</v>
      </c>
      <c r="D179" s="67" t="n">
        <f aca="false">IF(D$126=1,Inputs!$C$45,0)</f>
        <v>0</v>
      </c>
      <c r="E179" s="67" t="n">
        <f aca="false">IF(E$126=1,Inputs!$C$45,0)</f>
        <v>0</v>
      </c>
      <c r="F179" s="67" t="n">
        <f aca="false">IF(F$126=1,Inputs!$C$45,0)</f>
        <v>0</v>
      </c>
      <c r="G179" s="67" t="n">
        <f aca="false">IF(G$126=1,Inputs!$C$45,0)</f>
        <v>0</v>
      </c>
      <c r="H179" s="67" t="n">
        <f aca="false">IF(H$126=1,Inputs!$C$45,0)</f>
        <v>0</v>
      </c>
      <c r="I179" s="67" t="n">
        <f aca="false">IF(I$126=1,Inputs!$C$45,0)</f>
        <v>0</v>
      </c>
      <c r="J179" s="67" t="n">
        <f aca="false">IF(J$126=1,Inputs!$C$45,0)</f>
        <v>0</v>
      </c>
      <c r="K179" s="67" t="n">
        <f aca="false">IF(K$126=1,Inputs!$C$45,0)</f>
        <v>0</v>
      </c>
      <c r="L179" s="67" t="n">
        <f aca="false">IF(L$126=1,Inputs!$C$45,0)</f>
        <v>0</v>
      </c>
      <c r="M179" s="67" t="n">
        <f aca="false">IF(M$126=1,Inputs!$C$45,0)</f>
        <v>0</v>
      </c>
      <c r="N179" s="67" t="n">
        <f aca="false">IF(N$126=1,Inputs!$C$45,0)</f>
        <v>0</v>
      </c>
      <c r="O179" s="67" t="n">
        <f aca="false">IF(O$126=1,Inputs!$C$45,0)</f>
        <v>0</v>
      </c>
      <c r="P179" s="67" t="n">
        <f aca="false">IF(P$126=1,Inputs!$C$45,0)</f>
        <v>0</v>
      </c>
      <c r="Q179" s="67" t="n">
        <f aca="false">IF(Q$126=1,Inputs!$C$45,0)</f>
        <v>0</v>
      </c>
      <c r="R179" s="67" t="n">
        <f aca="false">IF(R$126=1,Inputs!$C$45,0)</f>
        <v>0</v>
      </c>
      <c r="S179" s="67" t="n">
        <f aca="false">IF(S$126=1,Inputs!$C$45,0)</f>
        <v>0</v>
      </c>
      <c r="T179" s="67" t="n">
        <f aca="false">IF(T$126=1,Inputs!$C$45,0)</f>
        <v>0</v>
      </c>
      <c r="U179" s="67" t="n">
        <f aca="false">IF(U$126=1,Inputs!$C$45,0)</f>
        <v>0</v>
      </c>
      <c r="V179" s="67" t="n">
        <f aca="false">IF(V$126=1,Inputs!$C$45,0)</f>
        <v>0</v>
      </c>
      <c r="W179" s="67" t="n">
        <f aca="false">IF(W$126=1,Inputs!$C$45,0)</f>
        <v>0</v>
      </c>
      <c r="X179" s="67" t="n">
        <f aca="false">IF(X$126=1,Inputs!$C$45,0)</f>
        <v>0</v>
      </c>
      <c r="Y179" s="67" t="n">
        <f aca="false">IF(Y$126=1,Inputs!$C$45,0)</f>
        <v>0</v>
      </c>
      <c r="Z179" s="67" t="n">
        <f aca="false">IF(Z$126=1,Inputs!$C$45,0)</f>
        <v>0</v>
      </c>
      <c r="AA179" s="67" t="n">
        <f aca="false">IF(AA$126=1,Inputs!$C$45,0)</f>
        <v>0</v>
      </c>
      <c r="AB179" s="67" t="n">
        <f aca="false">IF(AB$126=1,Inputs!$C$45,0)</f>
        <v>0</v>
      </c>
      <c r="AC179" s="67" t="n">
        <f aca="false">IF(AC$126=1,Inputs!$C$45,0)</f>
        <v>0</v>
      </c>
      <c r="AD179" s="67" t="n">
        <f aca="false">IF(AD$126=1,Inputs!$C$45,0)</f>
        <v>0</v>
      </c>
      <c r="AE179" s="67" t="n">
        <f aca="false">IF(AE$126=1,Inputs!$C$45,0)</f>
        <v>0</v>
      </c>
      <c r="AF179" s="67" t="n">
        <f aca="false">IF(AF$126=1,Inputs!$C$45,0)</f>
        <v>0</v>
      </c>
      <c r="AG179" s="67" t="n">
        <f aca="false">IF(AG$126=1,Inputs!$C$45,0)</f>
        <v>0</v>
      </c>
      <c r="AH179" s="67" t="n">
        <f aca="false">IF(AH$126=1,Inputs!$C$45,0)</f>
        <v>0</v>
      </c>
      <c r="AI179" s="67" t="n">
        <f aca="false">IF(AI$126=1,Inputs!$C$45,0)</f>
        <v>0</v>
      </c>
      <c r="AJ179" s="67" t="n">
        <f aca="false">IF(AJ$126=1,Inputs!$C$45,0)</f>
        <v>0</v>
      </c>
      <c r="AK179" s="67" t="n">
        <f aca="false">IF(AK$126=1,Inputs!$C$45,0)</f>
        <v>0</v>
      </c>
      <c r="AL179" s="67" t="n">
        <f aca="false">IF(AL$126=1,Inputs!$C$45,0)</f>
        <v>0</v>
      </c>
      <c r="AM179" s="67" t="n">
        <f aca="false">IF(AM$126=1,Inputs!$C$45,0)</f>
        <v>0</v>
      </c>
      <c r="AN179" s="67" t="n">
        <f aca="false">IF(AN$126=1,Inputs!$C$45,0)</f>
        <v>0</v>
      </c>
      <c r="AO179" s="67" t="n">
        <f aca="false">IF(AO$126=1,Inputs!$C$45,0)</f>
        <v>0</v>
      </c>
      <c r="AP179" s="67" t="n">
        <f aca="false">IF(AP$126=1,Inputs!$C$45,0)</f>
        <v>0</v>
      </c>
      <c r="AQ179" s="67" t="n">
        <f aca="false">IF(AQ$126=1,Inputs!$C$45,0)</f>
        <v>0</v>
      </c>
      <c r="AR179" s="67" t="n">
        <f aca="false">IF(AR$126=1,Inputs!$C$45,0)</f>
        <v>0</v>
      </c>
      <c r="AS179" s="67" t="n">
        <f aca="false">IF(AS$126=1,Inputs!$C$45,0)</f>
        <v>0</v>
      </c>
      <c r="AT179" s="67" t="n">
        <f aca="false">IF(AT$126=1,Inputs!$C$45,0)</f>
        <v>0</v>
      </c>
      <c r="AU179" s="67" t="n">
        <f aca="false">IF(AU$126=1,Inputs!$C$45,0)</f>
        <v>0</v>
      </c>
      <c r="AV179" s="67" t="n">
        <f aca="false">IF(AV$126=1,Inputs!$C$45,0)</f>
        <v>0</v>
      </c>
      <c r="AW179" s="67" t="n">
        <f aca="false">IF(AW$126=1,Inputs!$C$45,0)</f>
        <v>0</v>
      </c>
      <c r="AX179" s="67" t="n">
        <f aca="false">IF(AX$126=1,Inputs!$C$45,0)</f>
        <v>0</v>
      </c>
      <c r="AY179" s="67" t="n">
        <f aca="false">IF(AY$126=1,Inputs!$C$45,0)</f>
        <v>0</v>
      </c>
      <c r="AZ179" s="67" t="n">
        <f aca="false">IF(AZ$126=1,Inputs!$C$45,0)</f>
        <v>0</v>
      </c>
      <c r="BA179" s="67" t="n">
        <f aca="false">IF(BA$126=1,Inputs!$C$45,0)</f>
        <v>0</v>
      </c>
      <c r="BB179" s="67" t="n">
        <f aca="false">IF(BB$126=1,Inputs!$C$45,0)</f>
        <v>0</v>
      </c>
      <c r="BC179" s="67" t="n">
        <f aca="false">IF(BC$126=1,Inputs!$C$45,0)</f>
        <v>0</v>
      </c>
      <c r="BD179" s="67" t="n">
        <f aca="false">IF(BD$126=1,Inputs!$C$45,0)</f>
        <v>0</v>
      </c>
      <c r="BE179" s="67" t="n">
        <f aca="false">IF(BE$126=1,Inputs!$C$45,0)</f>
        <v>0</v>
      </c>
      <c r="BF179" s="67" t="n">
        <f aca="false">IF(BF$126=1,Inputs!$C$45,0)</f>
        <v>0</v>
      </c>
      <c r="BG179" s="67" t="n">
        <f aca="false">IF(BG$126=1,Inputs!$C$45,0)</f>
        <v>0</v>
      </c>
      <c r="BH179" s="67" t="n">
        <f aca="false">IF(BH$126=1,Inputs!$C$45,0)</f>
        <v>0</v>
      </c>
      <c r="BI179" s="67" t="n">
        <f aca="false">IF(BI$126=1,Inputs!$C$45,0)</f>
        <v>0</v>
      </c>
      <c r="BJ179" s="67" t="n">
        <f aca="false">IF(BJ$126=1,Inputs!$C$45,0)</f>
        <v>0</v>
      </c>
    </row>
    <row r="180" customFormat="false" ht="15" hidden="false" customHeight="false" outlineLevel="0" collapsed="false">
      <c r="A180" s="6" t="s">
        <v>427</v>
      </c>
      <c r="C180" s="67" t="n">
        <f aca="false">Inputs!$C$7*Inputs!$C$46/12*(1+Inputs!$C$39)^(C$127-1)*1</f>
        <v>750</v>
      </c>
      <c r="D180" s="67" t="n">
        <f aca="false">Inputs!$C$7*Inputs!$C$46/12*(1+Inputs!$C$39)^(D$127-1)*1</f>
        <v>750</v>
      </c>
      <c r="E180" s="67" t="n">
        <f aca="false">Inputs!$C$7*Inputs!$C$46/12*(1+Inputs!$C$39)^(E$127-1)*1</f>
        <v>750</v>
      </c>
      <c r="F180" s="67" t="n">
        <f aca="false">Inputs!$C$7*Inputs!$C$46/12*(1+Inputs!$C$39)^(F$127-1)*1</f>
        <v>750</v>
      </c>
      <c r="G180" s="67" t="n">
        <f aca="false">Inputs!$C$7*Inputs!$C$46/12*(1+Inputs!$C$39)^(G$127-1)*1</f>
        <v>750</v>
      </c>
      <c r="H180" s="67" t="n">
        <f aca="false">Inputs!$C$7*Inputs!$C$46/12*(1+Inputs!$C$39)^(H$127-1)*1</f>
        <v>750</v>
      </c>
      <c r="I180" s="67" t="n">
        <f aca="false">Inputs!$C$7*Inputs!$C$46/12*(1+Inputs!$C$39)^(I$127-1)*1</f>
        <v>750</v>
      </c>
      <c r="J180" s="67" t="n">
        <f aca="false">Inputs!$C$7*Inputs!$C$46/12*(1+Inputs!$C$39)^(J$127-1)*1</f>
        <v>750</v>
      </c>
      <c r="K180" s="67" t="n">
        <f aca="false">Inputs!$C$7*Inputs!$C$46/12*(1+Inputs!$C$39)^(K$127-1)*1</f>
        <v>750</v>
      </c>
      <c r="L180" s="67" t="n">
        <f aca="false">Inputs!$C$7*Inputs!$C$46/12*(1+Inputs!$C$39)^(L$127-1)*1</f>
        <v>750</v>
      </c>
      <c r="M180" s="67" t="n">
        <f aca="false">Inputs!$C$7*Inputs!$C$46/12*(1+Inputs!$C$39)^(M$127-1)*1</f>
        <v>750</v>
      </c>
      <c r="N180" s="67" t="n">
        <f aca="false">Inputs!$C$7*Inputs!$C$46/12*(1+Inputs!$C$39)^(N$127-1)*1</f>
        <v>750</v>
      </c>
      <c r="O180" s="67" t="n">
        <f aca="false">Inputs!$C$7*Inputs!$C$46/12*(1+Inputs!$C$39)^(O$127-1)*1</f>
        <v>772.5</v>
      </c>
      <c r="P180" s="67" t="n">
        <f aca="false">Inputs!$C$7*Inputs!$C$46/12*(1+Inputs!$C$39)^(P$127-1)*1</f>
        <v>772.5</v>
      </c>
      <c r="Q180" s="67" t="n">
        <f aca="false">Inputs!$C$7*Inputs!$C$46/12*(1+Inputs!$C$39)^(Q$127-1)*1</f>
        <v>772.5</v>
      </c>
      <c r="R180" s="67" t="n">
        <f aca="false">Inputs!$C$7*Inputs!$C$46/12*(1+Inputs!$C$39)^(R$127-1)*1</f>
        <v>772.5</v>
      </c>
      <c r="S180" s="67" t="n">
        <f aca="false">Inputs!$C$7*Inputs!$C$46/12*(1+Inputs!$C$39)^(S$127-1)*1</f>
        <v>772.5</v>
      </c>
      <c r="T180" s="67" t="n">
        <f aca="false">Inputs!$C$7*Inputs!$C$46/12*(1+Inputs!$C$39)^(T$127-1)*1</f>
        <v>772.5</v>
      </c>
      <c r="U180" s="67" t="n">
        <f aca="false">Inputs!$C$7*Inputs!$C$46/12*(1+Inputs!$C$39)^(U$127-1)*1</f>
        <v>772.5</v>
      </c>
      <c r="V180" s="67" t="n">
        <f aca="false">Inputs!$C$7*Inputs!$C$46/12*(1+Inputs!$C$39)^(V$127-1)*1</f>
        <v>772.5</v>
      </c>
      <c r="W180" s="67" t="n">
        <f aca="false">Inputs!$C$7*Inputs!$C$46/12*(1+Inputs!$C$39)^(W$127-1)*1</f>
        <v>772.5</v>
      </c>
      <c r="X180" s="67" t="n">
        <f aca="false">Inputs!$C$7*Inputs!$C$46/12*(1+Inputs!$C$39)^(X$127-1)*1</f>
        <v>772.5</v>
      </c>
      <c r="Y180" s="67" t="n">
        <f aca="false">Inputs!$C$7*Inputs!$C$46/12*(1+Inputs!$C$39)^(Y$127-1)*1</f>
        <v>772.5</v>
      </c>
      <c r="Z180" s="67" t="n">
        <f aca="false">Inputs!$C$7*Inputs!$C$46/12*(1+Inputs!$C$39)^(Z$127-1)*1</f>
        <v>772.5</v>
      </c>
      <c r="AA180" s="67" t="n">
        <f aca="false">Inputs!$C$7*Inputs!$C$46/12*(1+Inputs!$C$39)^(AA$127-1)*1</f>
        <v>795.675</v>
      </c>
      <c r="AB180" s="67" t="n">
        <f aca="false">Inputs!$C$7*Inputs!$C$46/12*(1+Inputs!$C$39)^(AB$127-1)*1</f>
        <v>795.675</v>
      </c>
      <c r="AC180" s="67" t="n">
        <f aca="false">Inputs!$C$7*Inputs!$C$46/12*(1+Inputs!$C$39)^(AC$127-1)*1</f>
        <v>795.675</v>
      </c>
      <c r="AD180" s="67" t="n">
        <f aca="false">Inputs!$C$7*Inputs!$C$46/12*(1+Inputs!$C$39)^(AD$127-1)*1</f>
        <v>795.675</v>
      </c>
      <c r="AE180" s="67" t="n">
        <f aca="false">Inputs!$C$7*Inputs!$C$46/12*(1+Inputs!$C$39)^(AE$127-1)*1</f>
        <v>795.675</v>
      </c>
      <c r="AF180" s="67" t="n">
        <f aca="false">Inputs!$C$7*Inputs!$C$46/12*(1+Inputs!$C$39)^(AF$127-1)*1</f>
        <v>795.675</v>
      </c>
      <c r="AG180" s="67" t="n">
        <f aca="false">Inputs!$C$7*Inputs!$C$46/12*(1+Inputs!$C$39)^(AG$127-1)*1</f>
        <v>795.675</v>
      </c>
      <c r="AH180" s="67" t="n">
        <f aca="false">Inputs!$C$7*Inputs!$C$46/12*(1+Inputs!$C$39)^(AH$127-1)*1</f>
        <v>795.675</v>
      </c>
      <c r="AI180" s="67" t="n">
        <f aca="false">Inputs!$C$7*Inputs!$C$46/12*(1+Inputs!$C$39)^(AI$127-1)*1</f>
        <v>795.675</v>
      </c>
      <c r="AJ180" s="67" t="n">
        <f aca="false">Inputs!$C$7*Inputs!$C$46/12*(1+Inputs!$C$39)^(AJ$127-1)*1</f>
        <v>795.675</v>
      </c>
      <c r="AK180" s="67" t="n">
        <f aca="false">Inputs!$C$7*Inputs!$C$46/12*(1+Inputs!$C$39)^(AK$127-1)*1</f>
        <v>795.675</v>
      </c>
      <c r="AL180" s="67" t="n">
        <f aca="false">Inputs!$C$7*Inputs!$C$46/12*(1+Inputs!$C$39)^(AL$127-1)*1</f>
        <v>795.675</v>
      </c>
      <c r="AM180" s="67" t="n">
        <f aca="false">Inputs!$C$7*Inputs!$C$46/12*(1+Inputs!$C$39)^(AM$127-1)*1</f>
        <v>819.54525</v>
      </c>
      <c r="AN180" s="67" t="n">
        <f aca="false">Inputs!$C$7*Inputs!$C$46/12*(1+Inputs!$C$39)^(AN$127-1)*1</f>
        <v>819.54525</v>
      </c>
      <c r="AO180" s="67" t="n">
        <f aca="false">Inputs!$C$7*Inputs!$C$46/12*(1+Inputs!$C$39)^(AO$127-1)*1</f>
        <v>819.54525</v>
      </c>
      <c r="AP180" s="67" t="n">
        <f aca="false">Inputs!$C$7*Inputs!$C$46/12*(1+Inputs!$C$39)^(AP$127-1)*1</f>
        <v>819.54525</v>
      </c>
      <c r="AQ180" s="67" t="n">
        <f aca="false">Inputs!$C$7*Inputs!$C$46/12*(1+Inputs!$C$39)^(AQ$127-1)*1</f>
        <v>819.54525</v>
      </c>
      <c r="AR180" s="67" t="n">
        <f aca="false">Inputs!$C$7*Inputs!$C$46/12*(1+Inputs!$C$39)^(AR$127-1)*1</f>
        <v>819.54525</v>
      </c>
      <c r="AS180" s="67" t="n">
        <f aca="false">Inputs!$C$7*Inputs!$C$46/12*(1+Inputs!$C$39)^(AS$127-1)*1</f>
        <v>819.54525</v>
      </c>
      <c r="AT180" s="67" t="n">
        <f aca="false">Inputs!$C$7*Inputs!$C$46/12*(1+Inputs!$C$39)^(AT$127-1)*1</f>
        <v>819.54525</v>
      </c>
      <c r="AU180" s="67" t="n">
        <f aca="false">Inputs!$C$7*Inputs!$C$46/12*(1+Inputs!$C$39)^(AU$127-1)*1</f>
        <v>819.54525</v>
      </c>
      <c r="AV180" s="67" t="n">
        <f aca="false">Inputs!$C$7*Inputs!$C$46/12*(1+Inputs!$C$39)^(AV$127-1)*1</f>
        <v>819.54525</v>
      </c>
      <c r="AW180" s="67" t="n">
        <f aca="false">Inputs!$C$7*Inputs!$C$46/12*(1+Inputs!$C$39)^(AW$127-1)*1</f>
        <v>819.54525</v>
      </c>
      <c r="AX180" s="67" t="n">
        <f aca="false">Inputs!$C$7*Inputs!$C$46/12*(1+Inputs!$C$39)^(AX$127-1)*1</f>
        <v>819.54525</v>
      </c>
      <c r="AY180" s="67" t="n">
        <f aca="false">Inputs!$C$7*Inputs!$C$46/12*(1+Inputs!$C$39)^(AY$127-1)*1</f>
        <v>844.1316075</v>
      </c>
      <c r="AZ180" s="67" t="n">
        <f aca="false">Inputs!$C$7*Inputs!$C$46/12*(1+Inputs!$C$39)^(AZ$127-1)*1</f>
        <v>844.1316075</v>
      </c>
      <c r="BA180" s="67" t="n">
        <f aca="false">Inputs!$C$7*Inputs!$C$46/12*(1+Inputs!$C$39)^(BA$127-1)*1</f>
        <v>844.1316075</v>
      </c>
      <c r="BB180" s="67" t="n">
        <f aca="false">Inputs!$C$7*Inputs!$C$46/12*(1+Inputs!$C$39)^(BB$127-1)*1</f>
        <v>844.1316075</v>
      </c>
      <c r="BC180" s="67" t="n">
        <f aca="false">Inputs!$C$7*Inputs!$C$46/12*(1+Inputs!$C$39)^(BC$127-1)*1</f>
        <v>844.1316075</v>
      </c>
      <c r="BD180" s="67" t="n">
        <f aca="false">Inputs!$C$7*Inputs!$C$46/12*(1+Inputs!$C$39)^(BD$127-1)*1</f>
        <v>844.1316075</v>
      </c>
      <c r="BE180" s="67" t="n">
        <f aca="false">Inputs!$C$7*Inputs!$C$46/12*(1+Inputs!$C$39)^(BE$127-1)*1</f>
        <v>844.1316075</v>
      </c>
      <c r="BF180" s="67" t="n">
        <f aca="false">Inputs!$C$7*Inputs!$C$46/12*(1+Inputs!$C$39)^(BF$127-1)*1</f>
        <v>844.1316075</v>
      </c>
      <c r="BG180" s="67" t="n">
        <f aca="false">Inputs!$C$7*Inputs!$C$46/12*(1+Inputs!$C$39)^(BG$127-1)*1</f>
        <v>844.1316075</v>
      </c>
      <c r="BH180" s="67" t="n">
        <f aca="false">Inputs!$C$7*Inputs!$C$46/12*(1+Inputs!$C$39)^(BH$127-1)*1</f>
        <v>844.1316075</v>
      </c>
      <c r="BI180" s="67" t="n">
        <f aca="false">Inputs!$C$7*Inputs!$C$46/12*(1+Inputs!$C$39)^(BI$127-1)*1</f>
        <v>844.1316075</v>
      </c>
      <c r="BJ180" s="67" t="n">
        <f aca="false">Inputs!$C$7*Inputs!$C$46/12*(1+Inputs!$C$39)^(BJ$127-1)*1</f>
        <v>844.1316075</v>
      </c>
    </row>
    <row r="181" customFormat="false" ht="15" hidden="false" customHeight="false" outlineLevel="0" collapsed="false">
      <c r="A181" s="4" t="s">
        <v>84</v>
      </c>
      <c r="C181" s="73" t="n">
        <f aca="false">C176+C178+C179+C180</f>
        <v>865750</v>
      </c>
      <c r="D181" s="73" t="n">
        <f aca="false">D176+D178+D179+D180</f>
        <v>750</v>
      </c>
      <c r="E181" s="73" t="n">
        <f aca="false">E176+E178+E179+E180</f>
        <v>750</v>
      </c>
      <c r="F181" s="73" t="n">
        <f aca="false">F176+F178+F179+F180</f>
        <v>750</v>
      </c>
      <c r="G181" s="73" t="n">
        <f aca="false">G176+G178+G179+G180</f>
        <v>750</v>
      </c>
      <c r="H181" s="73" t="n">
        <f aca="false">H176+H178+H179+H180</f>
        <v>750</v>
      </c>
      <c r="I181" s="73" t="n">
        <f aca="false">I176+I178+I179+I180</f>
        <v>750</v>
      </c>
      <c r="J181" s="73" t="n">
        <f aca="false">J176+J178+J179+J180</f>
        <v>750</v>
      </c>
      <c r="K181" s="73" t="n">
        <f aca="false">K176+K178+K179+K180</f>
        <v>750</v>
      </c>
      <c r="L181" s="73" t="n">
        <f aca="false">L176+L178+L179+L180</f>
        <v>750</v>
      </c>
      <c r="M181" s="73" t="n">
        <f aca="false">M176+M178+M179+M180</f>
        <v>750</v>
      </c>
      <c r="N181" s="73" t="n">
        <f aca="false">N176+N178+N179+N180</f>
        <v>750</v>
      </c>
      <c r="O181" s="73" t="n">
        <f aca="false">O176+O178+O179+O180</f>
        <v>772.5</v>
      </c>
      <c r="P181" s="73" t="n">
        <f aca="false">P176+P178+P179+P180</f>
        <v>772.5</v>
      </c>
      <c r="Q181" s="73" t="n">
        <f aca="false">Q176+Q178+Q179+Q180</f>
        <v>772.5</v>
      </c>
      <c r="R181" s="73" t="n">
        <f aca="false">R176+R178+R179+R180</f>
        <v>772.5</v>
      </c>
      <c r="S181" s="73" t="n">
        <f aca="false">S176+S178+S179+S180</f>
        <v>772.5</v>
      </c>
      <c r="T181" s="73" t="n">
        <f aca="false">T176+T178+T179+T180</f>
        <v>772.5</v>
      </c>
      <c r="U181" s="73" t="n">
        <f aca="false">U176+U178+U179+U180</f>
        <v>772.5</v>
      </c>
      <c r="V181" s="73" t="n">
        <f aca="false">V176+V178+V179+V180</f>
        <v>772.5</v>
      </c>
      <c r="W181" s="73" t="n">
        <f aca="false">W176+W178+W179+W180</f>
        <v>772.5</v>
      </c>
      <c r="X181" s="73" t="n">
        <f aca="false">X176+X178+X179+X180</f>
        <v>772.5</v>
      </c>
      <c r="Y181" s="73" t="n">
        <f aca="false">Y176+Y178+Y179+Y180</f>
        <v>772.5</v>
      </c>
      <c r="Z181" s="73" t="n">
        <f aca="false">Z176+Z178+Z179+Z180</f>
        <v>772.5</v>
      </c>
      <c r="AA181" s="73" t="n">
        <f aca="false">AA176+AA178+AA179+AA180</f>
        <v>795.675</v>
      </c>
      <c r="AB181" s="73" t="n">
        <f aca="false">AB176+AB178+AB179+AB180</f>
        <v>795.675</v>
      </c>
      <c r="AC181" s="73" t="n">
        <f aca="false">AC176+AC178+AC179+AC180</f>
        <v>795.675</v>
      </c>
      <c r="AD181" s="73" t="n">
        <f aca="false">AD176+AD178+AD179+AD180</f>
        <v>795.675</v>
      </c>
      <c r="AE181" s="73" t="n">
        <f aca="false">AE176+AE178+AE179+AE180</f>
        <v>795.675</v>
      </c>
      <c r="AF181" s="73" t="n">
        <f aca="false">AF176+AF178+AF179+AF180</f>
        <v>795.675</v>
      </c>
      <c r="AG181" s="73" t="n">
        <f aca="false">AG176+AG178+AG179+AG180</f>
        <v>795.675</v>
      </c>
      <c r="AH181" s="73" t="n">
        <f aca="false">AH176+AH178+AH179+AH180</f>
        <v>795.675</v>
      </c>
      <c r="AI181" s="73" t="n">
        <f aca="false">AI176+AI178+AI179+AI180</f>
        <v>795.675</v>
      </c>
      <c r="AJ181" s="73" t="n">
        <f aca="false">AJ176+AJ178+AJ179+AJ180</f>
        <v>795.675</v>
      </c>
      <c r="AK181" s="73" t="n">
        <f aca="false">AK176+AK178+AK179+AK180</f>
        <v>795.675</v>
      </c>
      <c r="AL181" s="73" t="n">
        <f aca="false">AL176+AL178+AL179+AL180</f>
        <v>795.675</v>
      </c>
      <c r="AM181" s="73" t="n">
        <f aca="false">AM176+AM178+AM179+AM180</f>
        <v>819.54525</v>
      </c>
      <c r="AN181" s="73" t="n">
        <f aca="false">AN176+AN178+AN179+AN180</f>
        <v>819.54525</v>
      </c>
      <c r="AO181" s="73" t="n">
        <f aca="false">AO176+AO178+AO179+AO180</f>
        <v>819.54525</v>
      </c>
      <c r="AP181" s="73" t="n">
        <f aca="false">AP176+AP178+AP179+AP180</f>
        <v>819.54525</v>
      </c>
      <c r="AQ181" s="73" t="n">
        <f aca="false">AQ176+AQ178+AQ179+AQ180</f>
        <v>819.54525</v>
      </c>
      <c r="AR181" s="73" t="n">
        <f aca="false">AR176+AR178+AR179+AR180</f>
        <v>819.54525</v>
      </c>
      <c r="AS181" s="73" t="n">
        <f aca="false">AS176+AS178+AS179+AS180</f>
        <v>819.54525</v>
      </c>
      <c r="AT181" s="73" t="n">
        <f aca="false">AT176+AT178+AT179+AT180</f>
        <v>819.54525</v>
      </c>
      <c r="AU181" s="73" t="n">
        <f aca="false">AU176+AU178+AU179+AU180</f>
        <v>819.54525</v>
      </c>
      <c r="AV181" s="73" t="n">
        <f aca="false">AV176+AV178+AV179+AV180</f>
        <v>819.54525</v>
      </c>
      <c r="AW181" s="73" t="n">
        <f aca="false">AW176+AW178+AW179+AW180</f>
        <v>819.54525</v>
      </c>
      <c r="AX181" s="73" t="n">
        <f aca="false">AX176+AX178+AX179+AX180</f>
        <v>819.54525</v>
      </c>
      <c r="AY181" s="73" t="n">
        <f aca="false">AY176+AY178+AY179+AY180</f>
        <v>844.1316075</v>
      </c>
      <c r="AZ181" s="73" t="n">
        <f aca="false">AZ176+AZ178+AZ179+AZ180</f>
        <v>844.1316075</v>
      </c>
      <c r="BA181" s="73" t="n">
        <f aca="false">BA176+BA178+BA179+BA180</f>
        <v>844.1316075</v>
      </c>
      <c r="BB181" s="73" t="n">
        <f aca="false">BB176+BB178+BB179+BB180</f>
        <v>844.1316075</v>
      </c>
      <c r="BC181" s="73" t="n">
        <f aca="false">BC176+BC178+BC179+BC180</f>
        <v>844.1316075</v>
      </c>
      <c r="BD181" s="73" t="n">
        <f aca="false">BD176+BD178+BD179+BD180</f>
        <v>844.1316075</v>
      </c>
      <c r="BE181" s="73" t="n">
        <f aca="false">BE176+BE178+BE179+BE180</f>
        <v>844.1316075</v>
      </c>
      <c r="BF181" s="73" t="n">
        <f aca="false">BF176+BF178+BF179+BF180</f>
        <v>844.1316075</v>
      </c>
      <c r="BG181" s="73" t="n">
        <f aca="false">BG176+BG178+BG179+BG180</f>
        <v>844.1316075</v>
      </c>
      <c r="BH181" s="73" t="n">
        <f aca="false">BH176+BH178+BH179+BH180</f>
        <v>844.1316075</v>
      </c>
      <c r="BI181" s="73" t="n">
        <f aca="false">BI176+BI178+BI179+BI180</f>
        <v>844.1316075</v>
      </c>
      <c r="BJ181" s="73" t="n">
        <f aca="false">BJ176+BJ178+BJ179+BJ180</f>
        <v>844.1316075</v>
      </c>
    </row>
    <row r="182" customFormat="false" ht="15" hidden="false" customHeight="false" outlineLevel="0" collapsed="false">
      <c r="A182" s="6" t="s">
        <v>428</v>
      </c>
      <c r="C182" s="67" t="n">
        <f aca="false">C181</f>
        <v>865750</v>
      </c>
      <c r="D182" s="67" t="n">
        <f aca="false">C182+D181</f>
        <v>866500</v>
      </c>
      <c r="E182" s="67" t="n">
        <f aca="false">D182+E181</f>
        <v>867250</v>
      </c>
      <c r="F182" s="67" t="n">
        <f aca="false">E182+F181</f>
        <v>868000</v>
      </c>
      <c r="G182" s="67" t="n">
        <f aca="false">F182+G181</f>
        <v>868750</v>
      </c>
      <c r="H182" s="67" t="n">
        <f aca="false">G182+H181</f>
        <v>869500</v>
      </c>
      <c r="I182" s="67" t="n">
        <f aca="false">H182+I181</f>
        <v>870250</v>
      </c>
      <c r="J182" s="67" t="n">
        <f aca="false">I182+J181</f>
        <v>871000</v>
      </c>
      <c r="K182" s="67" t="n">
        <f aca="false">J182+K181</f>
        <v>871750</v>
      </c>
      <c r="L182" s="67" t="n">
        <f aca="false">K182+L181</f>
        <v>872500</v>
      </c>
      <c r="M182" s="67" t="n">
        <f aca="false">L182+M181</f>
        <v>873250</v>
      </c>
      <c r="N182" s="67" t="n">
        <f aca="false">M182+N181</f>
        <v>874000</v>
      </c>
      <c r="O182" s="67" t="n">
        <f aca="false">N182+O181</f>
        <v>874772.5</v>
      </c>
      <c r="P182" s="67" t="n">
        <f aca="false">O182+P181</f>
        <v>875545</v>
      </c>
      <c r="Q182" s="67" t="n">
        <f aca="false">P182+Q181</f>
        <v>876317.5</v>
      </c>
      <c r="R182" s="67" t="n">
        <f aca="false">Q182+R181</f>
        <v>877090</v>
      </c>
      <c r="S182" s="67" t="n">
        <f aca="false">R182+S181</f>
        <v>877862.5</v>
      </c>
      <c r="T182" s="67" t="n">
        <f aca="false">S182+T181</f>
        <v>878635</v>
      </c>
      <c r="U182" s="67" t="n">
        <f aca="false">T182+U181</f>
        <v>879407.5</v>
      </c>
      <c r="V182" s="67" t="n">
        <f aca="false">U182+V181</f>
        <v>880180</v>
      </c>
      <c r="W182" s="67" t="n">
        <f aca="false">V182+W181</f>
        <v>880952.5</v>
      </c>
      <c r="X182" s="67" t="n">
        <f aca="false">W182+X181</f>
        <v>881725</v>
      </c>
      <c r="Y182" s="67" t="n">
        <f aca="false">X182+Y181</f>
        <v>882497.5</v>
      </c>
      <c r="Z182" s="67" t="n">
        <f aca="false">Y182+Z181</f>
        <v>883270</v>
      </c>
      <c r="AA182" s="67" t="n">
        <f aca="false">Z182+AA181</f>
        <v>884065.675</v>
      </c>
      <c r="AB182" s="67" t="n">
        <f aca="false">AA182+AB181</f>
        <v>884861.35</v>
      </c>
      <c r="AC182" s="67" t="n">
        <f aca="false">AB182+AC181</f>
        <v>885657.025</v>
      </c>
      <c r="AD182" s="67" t="n">
        <f aca="false">AC182+AD181</f>
        <v>886452.7</v>
      </c>
      <c r="AE182" s="67" t="n">
        <f aca="false">AD182+AE181</f>
        <v>887248.375</v>
      </c>
      <c r="AF182" s="67" t="n">
        <f aca="false">AE182+AF181</f>
        <v>888044.05</v>
      </c>
      <c r="AG182" s="67" t="n">
        <f aca="false">AF182+AG181</f>
        <v>888839.725</v>
      </c>
      <c r="AH182" s="67" t="n">
        <f aca="false">AG182+AH181</f>
        <v>889635.4</v>
      </c>
      <c r="AI182" s="67" t="n">
        <f aca="false">AH182+AI181</f>
        <v>890431.075</v>
      </c>
      <c r="AJ182" s="67" t="n">
        <f aca="false">AI182+AJ181</f>
        <v>891226.750000001</v>
      </c>
      <c r="AK182" s="67" t="n">
        <f aca="false">AJ182+AK181</f>
        <v>892022.425000001</v>
      </c>
      <c r="AL182" s="67" t="n">
        <f aca="false">AK182+AL181</f>
        <v>892818.100000001</v>
      </c>
      <c r="AM182" s="67" t="n">
        <f aca="false">AL182+AM181</f>
        <v>893637.645250001</v>
      </c>
      <c r="AN182" s="67" t="n">
        <f aca="false">AM182+AN181</f>
        <v>894457.190500001</v>
      </c>
      <c r="AO182" s="67" t="n">
        <f aca="false">AN182+AO181</f>
        <v>895276.735750001</v>
      </c>
      <c r="AP182" s="67" t="n">
        <f aca="false">AO182+AP181</f>
        <v>896096.281</v>
      </c>
      <c r="AQ182" s="67" t="n">
        <f aca="false">AP182+AQ181</f>
        <v>896915.82625</v>
      </c>
      <c r="AR182" s="67" t="n">
        <f aca="false">AQ182+AR181</f>
        <v>897735.3715</v>
      </c>
      <c r="AS182" s="67" t="n">
        <f aca="false">AR182+AS181</f>
        <v>898554.91675</v>
      </c>
      <c r="AT182" s="67" t="n">
        <f aca="false">AS182+AT181</f>
        <v>899374.462</v>
      </c>
      <c r="AU182" s="67" t="n">
        <f aca="false">AT182+AU181</f>
        <v>900194.00725</v>
      </c>
      <c r="AV182" s="67" t="n">
        <f aca="false">AU182+AV181</f>
        <v>901013.5525</v>
      </c>
      <c r="AW182" s="67" t="n">
        <f aca="false">AV182+AW181</f>
        <v>901833.09775</v>
      </c>
      <c r="AX182" s="67" t="n">
        <f aca="false">AW182+AX181</f>
        <v>902652.643</v>
      </c>
      <c r="AY182" s="67" t="n">
        <f aca="false">AX182+AY181</f>
        <v>903496.7746075</v>
      </c>
      <c r="AZ182" s="67" t="n">
        <f aca="false">AY182+AZ181</f>
        <v>904340.906215</v>
      </c>
      <c r="BA182" s="67" t="n">
        <f aca="false">AZ182+BA181</f>
        <v>905185.0378225</v>
      </c>
      <c r="BB182" s="67" t="n">
        <f aca="false">BA182+BB181</f>
        <v>906029.16943</v>
      </c>
      <c r="BC182" s="67" t="n">
        <f aca="false">BB182+BC181</f>
        <v>906873.3010375</v>
      </c>
      <c r="BD182" s="67" t="n">
        <f aca="false">BC182+BD181</f>
        <v>907717.432645</v>
      </c>
      <c r="BE182" s="67" t="n">
        <f aca="false">BD182+BE181</f>
        <v>908561.5642525</v>
      </c>
      <c r="BF182" s="67" t="n">
        <f aca="false">BE182+BF181</f>
        <v>909405.69586</v>
      </c>
      <c r="BG182" s="67" t="n">
        <f aca="false">BF182+BG181</f>
        <v>910249.8274675</v>
      </c>
      <c r="BH182" s="67" t="n">
        <f aca="false">BG182+BH181</f>
        <v>911093.959075</v>
      </c>
      <c r="BI182" s="67" t="n">
        <f aca="false">BH182+BI181</f>
        <v>911938.0906825</v>
      </c>
      <c r="BJ182" s="67" t="n">
        <f aca="false">BI182+BJ181</f>
        <v>912782.22229</v>
      </c>
    </row>
    <row r="183" customFormat="false" ht="15" hidden="false" customHeight="false" outlineLevel="0" collapsed="false">
      <c r="A183" s="6" t="s">
        <v>429</v>
      </c>
      <c r="C183" s="67" t="n">
        <f aca="false">C177</f>
        <v>180000</v>
      </c>
      <c r="D183" s="67" t="n">
        <f aca="false">C183+D177</f>
        <v>180000</v>
      </c>
      <c r="E183" s="67" t="n">
        <f aca="false">D183+E177</f>
        <v>180000</v>
      </c>
      <c r="F183" s="67" t="n">
        <f aca="false">E183+F177</f>
        <v>180000</v>
      </c>
      <c r="G183" s="67" t="n">
        <f aca="false">F183+G177</f>
        <v>180000</v>
      </c>
      <c r="H183" s="67" t="n">
        <f aca="false">G183+H177</f>
        <v>180000</v>
      </c>
      <c r="I183" s="67" t="n">
        <f aca="false">H183+I177</f>
        <v>180000</v>
      </c>
      <c r="J183" s="67" t="n">
        <f aca="false">I183+J177</f>
        <v>180000</v>
      </c>
      <c r="K183" s="67" t="n">
        <f aca="false">J183+K177</f>
        <v>180000</v>
      </c>
      <c r="L183" s="67" t="n">
        <f aca="false">K183+L177</f>
        <v>180000</v>
      </c>
      <c r="M183" s="67" t="n">
        <f aca="false">L183+M177</f>
        <v>180000</v>
      </c>
      <c r="N183" s="67" t="n">
        <f aca="false">M183+N177</f>
        <v>180000</v>
      </c>
      <c r="O183" s="67" t="n">
        <f aca="false">N183+O177</f>
        <v>180000</v>
      </c>
      <c r="P183" s="67" t="n">
        <f aca="false">O183+P177</f>
        <v>180000</v>
      </c>
      <c r="Q183" s="67" t="n">
        <f aca="false">P183+Q177</f>
        <v>180000</v>
      </c>
      <c r="R183" s="67" t="n">
        <f aca="false">Q183+R177</f>
        <v>180000</v>
      </c>
      <c r="S183" s="67" t="n">
        <f aca="false">R183+S177</f>
        <v>180000</v>
      </c>
      <c r="T183" s="67" t="n">
        <f aca="false">S183+T177</f>
        <v>180000</v>
      </c>
      <c r="U183" s="67" t="n">
        <f aca="false">T183+U177</f>
        <v>180000</v>
      </c>
      <c r="V183" s="67" t="n">
        <f aca="false">U183+V177</f>
        <v>180000</v>
      </c>
      <c r="W183" s="67" t="n">
        <f aca="false">V183+W177</f>
        <v>180000</v>
      </c>
      <c r="X183" s="67" t="n">
        <f aca="false">W183+X177</f>
        <v>180000</v>
      </c>
      <c r="Y183" s="67" t="n">
        <f aca="false">X183+Y177</f>
        <v>180000</v>
      </c>
      <c r="Z183" s="67" t="n">
        <f aca="false">Y183+Z177</f>
        <v>180000</v>
      </c>
      <c r="AA183" s="67" t="n">
        <f aca="false">Z183+AA177</f>
        <v>180000</v>
      </c>
      <c r="AB183" s="67" t="n">
        <f aca="false">AA183+AB177</f>
        <v>180000</v>
      </c>
      <c r="AC183" s="67" t="n">
        <f aca="false">AB183+AC177</f>
        <v>180000</v>
      </c>
      <c r="AD183" s="67" t="n">
        <f aca="false">AC183+AD177</f>
        <v>180000</v>
      </c>
      <c r="AE183" s="67" t="n">
        <f aca="false">AD183+AE177</f>
        <v>180000</v>
      </c>
      <c r="AF183" s="67" t="n">
        <f aca="false">AE183+AF177</f>
        <v>180000</v>
      </c>
      <c r="AG183" s="67" t="n">
        <f aca="false">AF183+AG177</f>
        <v>180000</v>
      </c>
      <c r="AH183" s="67" t="n">
        <f aca="false">AG183+AH177</f>
        <v>180000</v>
      </c>
      <c r="AI183" s="67" t="n">
        <f aca="false">AH183+AI177</f>
        <v>180000</v>
      </c>
      <c r="AJ183" s="67" t="n">
        <f aca="false">AI183+AJ177</f>
        <v>180000</v>
      </c>
      <c r="AK183" s="67" t="n">
        <f aca="false">AJ183+AK177</f>
        <v>180000</v>
      </c>
      <c r="AL183" s="67" t="n">
        <f aca="false">AK183+AL177</f>
        <v>180000</v>
      </c>
      <c r="AM183" s="67" t="n">
        <f aca="false">AL183+AM177</f>
        <v>180000</v>
      </c>
      <c r="AN183" s="67" t="n">
        <f aca="false">AM183+AN177</f>
        <v>180000</v>
      </c>
      <c r="AO183" s="67" t="n">
        <f aca="false">AN183+AO177</f>
        <v>180000</v>
      </c>
      <c r="AP183" s="67" t="n">
        <f aca="false">AO183+AP177</f>
        <v>180000</v>
      </c>
      <c r="AQ183" s="67" t="n">
        <f aca="false">AP183+AQ177</f>
        <v>180000</v>
      </c>
      <c r="AR183" s="67" t="n">
        <f aca="false">AQ183+AR177</f>
        <v>180000</v>
      </c>
      <c r="AS183" s="67" t="n">
        <f aca="false">AR183+AS177</f>
        <v>180000</v>
      </c>
      <c r="AT183" s="67" t="n">
        <f aca="false">AS183+AT177</f>
        <v>180000</v>
      </c>
      <c r="AU183" s="67" t="n">
        <f aca="false">AT183+AU177</f>
        <v>180000</v>
      </c>
      <c r="AV183" s="67" t="n">
        <f aca="false">AU183+AV177</f>
        <v>180000</v>
      </c>
      <c r="AW183" s="67" t="n">
        <f aca="false">AV183+AW177</f>
        <v>180000</v>
      </c>
      <c r="AX183" s="67" t="n">
        <f aca="false">AW183+AX177</f>
        <v>180000</v>
      </c>
      <c r="AY183" s="67" t="n">
        <f aca="false">AX183+AY177</f>
        <v>180000</v>
      </c>
      <c r="AZ183" s="67" t="n">
        <f aca="false">AY183+AZ177</f>
        <v>180000</v>
      </c>
      <c r="BA183" s="67" t="n">
        <f aca="false">AZ183+BA177</f>
        <v>180000</v>
      </c>
      <c r="BB183" s="67" t="n">
        <f aca="false">BA183+BB177</f>
        <v>180000</v>
      </c>
      <c r="BC183" s="67" t="n">
        <f aca="false">BB183+BC177</f>
        <v>180000</v>
      </c>
      <c r="BD183" s="67" t="n">
        <f aca="false">BC183+BD177</f>
        <v>180000</v>
      </c>
      <c r="BE183" s="67" t="n">
        <f aca="false">BD183+BE177</f>
        <v>180000</v>
      </c>
      <c r="BF183" s="67" t="n">
        <f aca="false">BE183+BF177</f>
        <v>180000</v>
      </c>
      <c r="BG183" s="67" t="n">
        <f aca="false">BF183+BG177</f>
        <v>180000</v>
      </c>
      <c r="BH183" s="67" t="n">
        <f aca="false">BG183+BH177</f>
        <v>180000</v>
      </c>
      <c r="BI183" s="67" t="n">
        <f aca="false">BH183+BI177</f>
        <v>180000</v>
      </c>
      <c r="BJ183" s="67" t="n">
        <f aca="false">BI183+BJ177</f>
        <v>180000</v>
      </c>
    </row>
    <row r="184" customFormat="false" ht="15" hidden="false" customHeight="false" outlineLevel="0" collapsed="false">
      <c r="A184" s="6" t="s">
        <v>78</v>
      </c>
      <c r="C184" s="67" t="n">
        <f aca="false">-MIN((C182-C183)/MAX(1,Inputs!$C$76*12),C181-C183)</f>
        <v>-3809.72222222222</v>
      </c>
      <c r="D184" s="67" t="n">
        <f aca="false">-MIN((D182-D183)/MAX(1,Inputs!$C$76*12),C186+D181-D183)</f>
        <v>-3813.88888888889</v>
      </c>
      <c r="E184" s="67" t="n">
        <f aca="false">-MIN((E182-E183)/MAX(1,Inputs!$C$76*12),D186+E181-E183)</f>
        <v>-3818.05555555556</v>
      </c>
      <c r="F184" s="67" t="n">
        <f aca="false">-MIN((F182-F183)/MAX(1,Inputs!$C$76*12),E186+F181-F183)</f>
        <v>-3822.22222222222</v>
      </c>
      <c r="G184" s="67" t="n">
        <f aca="false">-MIN((G182-G183)/MAX(1,Inputs!$C$76*12),F186+G181-G183)</f>
        <v>-3826.38888888889</v>
      </c>
      <c r="H184" s="67" t="n">
        <f aca="false">-MIN((H182-H183)/MAX(1,Inputs!$C$76*12),G186+H181-H183)</f>
        <v>-3830.55555555556</v>
      </c>
      <c r="I184" s="67" t="n">
        <f aca="false">-MIN((I182-I183)/MAX(1,Inputs!$C$76*12),H186+I181-I183)</f>
        <v>-3834.72222222222</v>
      </c>
      <c r="J184" s="67" t="n">
        <f aca="false">-MIN((J182-J183)/MAX(1,Inputs!$C$76*12),I186+J181-J183)</f>
        <v>-3838.88888888889</v>
      </c>
      <c r="K184" s="67" t="n">
        <f aca="false">-MIN((K182-K183)/MAX(1,Inputs!$C$76*12),J186+K181-K183)</f>
        <v>-3843.05555555556</v>
      </c>
      <c r="L184" s="67" t="n">
        <f aca="false">-MIN((L182-L183)/MAX(1,Inputs!$C$76*12),K186+L181-L183)</f>
        <v>-3847.22222222222</v>
      </c>
      <c r="M184" s="67" t="n">
        <f aca="false">-MIN((M182-M183)/MAX(1,Inputs!$C$76*12),L186+M181-M183)</f>
        <v>-3851.38888888889</v>
      </c>
      <c r="N184" s="67" t="n">
        <f aca="false">-MIN((N182-N183)/MAX(1,Inputs!$C$76*12),M186+N181-N183)</f>
        <v>-3855.55555555556</v>
      </c>
      <c r="O184" s="67" t="n">
        <f aca="false">-MIN((O182-O183)/MAX(1,Inputs!$C$76*12),N186+O181-O183)</f>
        <v>-3859.84722222222</v>
      </c>
      <c r="P184" s="67" t="n">
        <f aca="false">-MIN((P182-P183)/MAX(1,Inputs!$C$76*12),O186+P181-P183)</f>
        <v>-3864.13888888889</v>
      </c>
      <c r="Q184" s="67" t="n">
        <f aca="false">-MIN((Q182-Q183)/MAX(1,Inputs!$C$76*12),P186+Q181-Q183)</f>
        <v>-3868.43055555556</v>
      </c>
      <c r="R184" s="67" t="n">
        <f aca="false">-MIN((R182-R183)/MAX(1,Inputs!$C$76*12),Q186+R181-R183)</f>
        <v>-3872.72222222222</v>
      </c>
      <c r="S184" s="67" t="n">
        <f aca="false">-MIN((S182-S183)/MAX(1,Inputs!$C$76*12),R186+S181-S183)</f>
        <v>-3877.01388888889</v>
      </c>
      <c r="T184" s="67" t="n">
        <f aca="false">-MIN((T182-T183)/MAX(1,Inputs!$C$76*12),S186+T181-T183)</f>
        <v>-3881.30555555556</v>
      </c>
      <c r="U184" s="67" t="n">
        <f aca="false">-MIN((U182-U183)/MAX(1,Inputs!$C$76*12),T186+U181-U183)</f>
        <v>-3885.59722222222</v>
      </c>
      <c r="V184" s="67" t="n">
        <f aca="false">-MIN((V182-V183)/MAX(1,Inputs!$C$76*12),U186+V181-V183)</f>
        <v>-3889.88888888889</v>
      </c>
      <c r="W184" s="67" t="n">
        <f aca="false">-MIN((W182-W183)/MAX(1,Inputs!$C$76*12),V186+W181-W183)</f>
        <v>-3894.18055555556</v>
      </c>
      <c r="X184" s="67" t="n">
        <f aca="false">-MIN((X182-X183)/MAX(1,Inputs!$C$76*12),W186+X181-X183)</f>
        <v>-3898.47222222222</v>
      </c>
      <c r="Y184" s="67" t="n">
        <f aca="false">-MIN((Y182-Y183)/MAX(1,Inputs!$C$76*12),X186+Y181-Y183)</f>
        <v>-3902.76388888889</v>
      </c>
      <c r="Z184" s="67" t="n">
        <f aca="false">-MIN((Z182-Z183)/MAX(1,Inputs!$C$76*12),Y186+Z181-Z183)</f>
        <v>-3907.05555555556</v>
      </c>
      <c r="AA184" s="67" t="n">
        <f aca="false">-MIN((AA182-AA183)/MAX(1,Inputs!$C$76*12),Z186+AA181-AA183)</f>
        <v>-3911.47597222222</v>
      </c>
      <c r="AB184" s="67" t="n">
        <f aca="false">-MIN((AB182-AB183)/MAX(1,Inputs!$C$76*12),AA186+AB181-AB183)</f>
        <v>-3915.89638888889</v>
      </c>
      <c r="AC184" s="67" t="n">
        <f aca="false">-MIN((AC182-AC183)/MAX(1,Inputs!$C$76*12),AB186+AC181-AC183)</f>
        <v>-3920.31680555556</v>
      </c>
      <c r="AD184" s="67" t="n">
        <f aca="false">-MIN((AD182-AD183)/MAX(1,Inputs!$C$76*12),AC186+AD181-AD183)</f>
        <v>-3924.73722222222</v>
      </c>
      <c r="AE184" s="67" t="n">
        <f aca="false">-MIN((AE182-AE183)/MAX(1,Inputs!$C$76*12),AD186+AE181-AE183)</f>
        <v>-3929.15763888889</v>
      </c>
      <c r="AF184" s="67" t="n">
        <f aca="false">-MIN((AF182-AF183)/MAX(1,Inputs!$C$76*12),AE186+AF181-AF183)</f>
        <v>-3933.57805555556</v>
      </c>
      <c r="AG184" s="67" t="n">
        <f aca="false">-MIN((AG182-AG183)/MAX(1,Inputs!$C$76*12),AF186+AG181-AG183)</f>
        <v>-3937.99847222222</v>
      </c>
      <c r="AH184" s="67" t="n">
        <f aca="false">-MIN((AH182-AH183)/MAX(1,Inputs!$C$76*12),AG186+AH181-AH183)</f>
        <v>-3942.41888888889</v>
      </c>
      <c r="AI184" s="67" t="n">
        <f aca="false">-MIN((AI182-AI183)/MAX(1,Inputs!$C$76*12),AH186+AI181-AI183)</f>
        <v>-3946.83930555556</v>
      </c>
      <c r="AJ184" s="67" t="n">
        <f aca="false">-MIN((AJ182-AJ183)/MAX(1,Inputs!$C$76*12),AI186+AJ181-AJ183)</f>
        <v>-3951.25972222223</v>
      </c>
      <c r="AK184" s="67" t="n">
        <f aca="false">-MIN((AK182-AK183)/MAX(1,Inputs!$C$76*12),AJ186+AK181-AK183)</f>
        <v>-3955.68013888889</v>
      </c>
      <c r="AL184" s="67" t="n">
        <f aca="false">-MIN((AL182-AL183)/MAX(1,Inputs!$C$76*12),AK186+AL181-AL183)</f>
        <v>-3960.10055555556</v>
      </c>
      <c r="AM184" s="67" t="n">
        <f aca="false">-MIN((AM182-AM183)/MAX(1,Inputs!$C$76*12),AL186+AM181-AM183)</f>
        <v>-3964.65358472223</v>
      </c>
      <c r="AN184" s="67" t="n">
        <f aca="false">-MIN((AN182-AN183)/MAX(1,Inputs!$C$76*12),AM186+AN181-AN183)</f>
        <v>-3969.20661388889</v>
      </c>
      <c r="AO184" s="67" t="n">
        <f aca="false">-MIN((AO182-AO183)/MAX(1,Inputs!$C$76*12),AN186+AO181-AO183)</f>
        <v>-3973.75964305556</v>
      </c>
      <c r="AP184" s="67" t="n">
        <f aca="false">-MIN((AP182-AP183)/MAX(1,Inputs!$C$76*12),AO186+AP181-AP183)</f>
        <v>-3978.31267222222</v>
      </c>
      <c r="AQ184" s="67" t="n">
        <f aca="false">-MIN((AQ182-AQ183)/MAX(1,Inputs!$C$76*12),AP186+AQ181-AQ183)</f>
        <v>-3982.86570138889</v>
      </c>
      <c r="AR184" s="67" t="n">
        <f aca="false">-MIN((AR182-AR183)/MAX(1,Inputs!$C$76*12),AQ186+AR181-AR183)</f>
        <v>-3987.41873055556</v>
      </c>
      <c r="AS184" s="67" t="n">
        <f aca="false">-MIN((AS182-AS183)/MAX(1,Inputs!$C$76*12),AR186+AS181-AS183)</f>
        <v>-3991.97175972222</v>
      </c>
      <c r="AT184" s="67" t="n">
        <f aca="false">-MIN((AT182-AT183)/MAX(1,Inputs!$C$76*12),AS186+AT181-AT183)</f>
        <v>-3996.52478888889</v>
      </c>
      <c r="AU184" s="67" t="n">
        <f aca="false">-MIN((AU182-AU183)/MAX(1,Inputs!$C$76*12),AT186+AU181-AU183)</f>
        <v>-4001.07781805556</v>
      </c>
      <c r="AV184" s="67" t="n">
        <f aca="false">-MIN((AV182-AV183)/MAX(1,Inputs!$C$76*12),AU186+AV181-AV183)</f>
        <v>-4005.63084722222</v>
      </c>
      <c r="AW184" s="67" t="n">
        <f aca="false">-MIN((AW182-AW183)/MAX(1,Inputs!$C$76*12),AV186+AW181-AW183)</f>
        <v>-4010.18387638889</v>
      </c>
      <c r="AX184" s="67" t="n">
        <f aca="false">-MIN((AX182-AX183)/MAX(1,Inputs!$C$76*12),AW186+AX181-AX183)</f>
        <v>-4014.73690555556</v>
      </c>
      <c r="AY184" s="67" t="n">
        <f aca="false">-MIN((AY182-AY183)/MAX(1,Inputs!$C$76*12),AX186+AY181-AY183)</f>
        <v>-4019.42652559722</v>
      </c>
      <c r="AZ184" s="67" t="n">
        <f aca="false">-MIN((AZ182-AZ183)/MAX(1,Inputs!$C$76*12),AY186+AZ181-AZ183)</f>
        <v>-4024.11614563889</v>
      </c>
      <c r="BA184" s="67" t="n">
        <f aca="false">-MIN((BA182-BA183)/MAX(1,Inputs!$C$76*12),AZ186+BA181-BA183)</f>
        <v>-4028.80576568056</v>
      </c>
      <c r="BB184" s="67" t="n">
        <f aca="false">-MIN((BB182-BB183)/MAX(1,Inputs!$C$76*12),BA186+BB181-BB183)</f>
        <v>-4033.49538572222</v>
      </c>
      <c r="BC184" s="67" t="n">
        <f aca="false">-MIN((BC182-BC183)/MAX(1,Inputs!$C$76*12),BB186+BC181-BC183)</f>
        <v>-4038.18500576389</v>
      </c>
      <c r="BD184" s="67" t="n">
        <f aca="false">-MIN((BD182-BD183)/MAX(1,Inputs!$C$76*12),BC186+BD181-BD183)</f>
        <v>-4042.87462580556</v>
      </c>
      <c r="BE184" s="67" t="n">
        <f aca="false">-MIN((BE182-BE183)/MAX(1,Inputs!$C$76*12),BD186+BE181-BE183)</f>
        <v>-4047.56424584722</v>
      </c>
      <c r="BF184" s="67" t="n">
        <f aca="false">-MIN((BF182-BF183)/MAX(1,Inputs!$C$76*12),BE186+BF181-BF183)</f>
        <v>-4052.25386588889</v>
      </c>
      <c r="BG184" s="67" t="n">
        <f aca="false">-MIN((BG182-BG183)/MAX(1,Inputs!$C$76*12),BF186+BG181-BG183)</f>
        <v>-4056.94348593056</v>
      </c>
      <c r="BH184" s="67" t="n">
        <f aca="false">-MIN((BH182-BH183)/MAX(1,Inputs!$C$76*12),BG186+BH181-BH183)</f>
        <v>-4061.63310597222</v>
      </c>
      <c r="BI184" s="67" t="n">
        <f aca="false">-MIN((BI182-BI183)/MAX(1,Inputs!$C$76*12),BH186+BI181-BI183)</f>
        <v>-4066.32272601389</v>
      </c>
      <c r="BJ184" s="67" t="n">
        <f aca="false">-MIN((BJ182-BJ183)/MAX(1,Inputs!$C$76*12),BI186+BJ181-BJ183)</f>
        <v>-4071.01234605556</v>
      </c>
    </row>
    <row r="185" customFormat="false" ht="15" hidden="false" customHeight="false" outlineLevel="0" collapsed="false">
      <c r="A185" s="6" t="s">
        <v>430</v>
      </c>
      <c r="C185" s="67" t="n">
        <f aca="false">C184</f>
        <v>-3809.72222222222</v>
      </c>
      <c r="D185" s="67" t="n">
        <f aca="false">C185+D184</f>
        <v>-7623.61111111111</v>
      </c>
      <c r="E185" s="67" t="n">
        <f aca="false">D185+E184</f>
        <v>-11441.6666666667</v>
      </c>
      <c r="F185" s="67" t="n">
        <f aca="false">E185+F184</f>
        <v>-15263.8888888889</v>
      </c>
      <c r="G185" s="67" t="n">
        <f aca="false">F185+G184</f>
        <v>-19090.2777777778</v>
      </c>
      <c r="H185" s="67" t="n">
        <f aca="false">G185+H184</f>
        <v>-22920.8333333333</v>
      </c>
      <c r="I185" s="67" t="n">
        <f aca="false">H185+I184</f>
        <v>-26755.5555555556</v>
      </c>
      <c r="J185" s="67" t="n">
        <f aca="false">I185+J184</f>
        <v>-30594.4444444444</v>
      </c>
      <c r="K185" s="67" t="n">
        <f aca="false">J185+K184</f>
        <v>-34437.5</v>
      </c>
      <c r="L185" s="67" t="n">
        <f aca="false">K185+L184</f>
        <v>-38284.7222222222</v>
      </c>
      <c r="M185" s="67" t="n">
        <f aca="false">L185+M184</f>
        <v>-42136.1111111111</v>
      </c>
      <c r="N185" s="67" t="n">
        <f aca="false">M185+N184</f>
        <v>-45991.6666666667</v>
      </c>
      <c r="O185" s="67" t="n">
        <f aca="false">N185+O184</f>
        <v>-49851.5138888889</v>
      </c>
      <c r="P185" s="67" t="n">
        <f aca="false">O185+P184</f>
        <v>-53715.6527777778</v>
      </c>
      <c r="Q185" s="67" t="n">
        <f aca="false">P185+Q184</f>
        <v>-57584.0833333333</v>
      </c>
      <c r="R185" s="67" t="n">
        <f aca="false">Q185+R184</f>
        <v>-61456.8055555556</v>
      </c>
      <c r="S185" s="67" t="n">
        <f aca="false">R185+S184</f>
        <v>-65333.8194444444</v>
      </c>
      <c r="T185" s="67" t="n">
        <f aca="false">S185+T184</f>
        <v>-69215.125</v>
      </c>
      <c r="U185" s="67" t="n">
        <f aca="false">T185+U184</f>
        <v>-73100.7222222222</v>
      </c>
      <c r="V185" s="67" t="n">
        <f aca="false">U185+V184</f>
        <v>-76990.6111111111</v>
      </c>
      <c r="W185" s="67" t="n">
        <f aca="false">V185+W184</f>
        <v>-80884.7916666667</v>
      </c>
      <c r="X185" s="67" t="n">
        <f aca="false">W185+X184</f>
        <v>-84783.2638888889</v>
      </c>
      <c r="Y185" s="67" t="n">
        <f aca="false">X185+Y184</f>
        <v>-88686.0277777778</v>
      </c>
      <c r="Z185" s="67" t="n">
        <f aca="false">Y185+Z184</f>
        <v>-92593.0833333333</v>
      </c>
      <c r="AA185" s="67" t="n">
        <f aca="false">Z185+AA184</f>
        <v>-96504.5593055556</v>
      </c>
      <c r="AB185" s="67" t="n">
        <f aca="false">AA185+AB184</f>
        <v>-100420.455694444</v>
      </c>
      <c r="AC185" s="67" t="n">
        <f aca="false">AB185+AC184</f>
        <v>-104340.7725</v>
      </c>
      <c r="AD185" s="67" t="n">
        <f aca="false">AC185+AD184</f>
        <v>-108265.509722222</v>
      </c>
      <c r="AE185" s="67" t="n">
        <f aca="false">AD185+AE184</f>
        <v>-112194.667361111</v>
      </c>
      <c r="AF185" s="67" t="n">
        <f aca="false">AE185+AF184</f>
        <v>-116128.245416667</v>
      </c>
      <c r="AG185" s="67" t="n">
        <f aca="false">AF185+AG184</f>
        <v>-120066.243888889</v>
      </c>
      <c r="AH185" s="67" t="n">
        <f aca="false">AG185+AH184</f>
        <v>-124008.662777778</v>
      </c>
      <c r="AI185" s="67" t="n">
        <f aca="false">AH185+AI184</f>
        <v>-127955.502083333</v>
      </c>
      <c r="AJ185" s="67" t="n">
        <f aca="false">AI185+AJ184</f>
        <v>-131906.761805556</v>
      </c>
      <c r="AK185" s="67" t="n">
        <f aca="false">AJ185+AK184</f>
        <v>-135862.441944444</v>
      </c>
      <c r="AL185" s="67" t="n">
        <f aca="false">AK185+AL184</f>
        <v>-139822.5425</v>
      </c>
      <c r="AM185" s="67" t="n">
        <f aca="false">AL185+AM184</f>
        <v>-143787.196084722</v>
      </c>
      <c r="AN185" s="67" t="n">
        <f aca="false">AM185+AN184</f>
        <v>-147756.402698611</v>
      </c>
      <c r="AO185" s="67" t="n">
        <f aca="false">AN185+AO184</f>
        <v>-151730.162341667</v>
      </c>
      <c r="AP185" s="67" t="n">
        <f aca="false">AO185+AP184</f>
        <v>-155708.475013889</v>
      </c>
      <c r="AQ185" s="67" t="n">
        <f aca="false">AP185+AQ184</f>
        <v>-159691.340715278</v>
      </c>
      <c r="AR185" s="67" t="n">
        <f aca="false">AQ185+AR184</f>
        <v>-163678.759445833</v>
      </c>
      <c r="AS185" s="67" t="n">
        <f aca="false">AR185+AS184</f>
        <v>-167670.731205556</v>
      </c>
      <c r="AT185" s="67" t="n">
        <f aca="false">AS185+AT184</f>
        <v>-171667.255994445</v>
      </c>
      <c r="AU185" s="67" t="n">
        <f aca="false">AT185+AU184</f>
        <v>-175668.3338125</v>
      </c>
      <c r="AV185" s="67" t="n">
        <f aca="false">AU185+AV184</f>
        <v>-179673.964659722</v>
      </c>
      <c r="AW185" s="67" t="n">
        <f aca="false">AV185+AW184</f>
        <v>-183684.148536111</v>
      </c>
      <c r="AX185" s="67" t="n">
        <f aca="false">AW185+AX184</f>
        <v>-187698.885441667</v>
      </c>
      <c r="AY185" s="67" t="n">
        <f aca="false">AX185+AY184</f>
        <v>-191718.311967264</v>
      </c>
      <c r="AZ185" s="67" t="n">
        <f aca="false">AY185+AZ184</f>
        <v>-195742.428112903</v>
      </c>
      <c r="BA185" s="67" t="n">
        <f aca="false">AZ185+BA184</f>
        <v>-199771.233878583</v>
      </c>
      <c r="BB185" s="67" t="n">
        <f aca="false">BA185+BB184</f>
        <v>-203804.729264306</v>
      </c>
      <c r="BC185" s="67" t="n">
        <f aca="false">BB185+BC184</f>
        <v>-207842.91427007</v>
      </c>
      <c r="BD185" s="67" t="n">
        <f aca="false">BC185+BD184</f>
        <v>-211885.788895875</v>
      </c>
      <c r="BE185" s="67" t="n">
        <f aca="false">BD185+BE184</f>
        <v>-215933.353141722</v>
      </c>
      <c r="BF185" s="67" t="n">
        <f aca="false">BE185+BF184</f>
        <v>-219985.607007611</v>
      </c>
      <c r="BG185" s="67" t="n">
        <f aca="false">BF185+BG184</f>
        <v>-224042.550493542</v>
      </c>
      <c r="BH185" s="67" t="n">
        <f aca="false">BG185+BH184</f>
        <v>-228104.183599514</v>
      </c>
      <c r="BI185" s="67" t="n">
        <f aca="false">BH185+BI184</f>
        <v>-232170.506325528</v>
      </c>
      <c r="BJ185" s="67" t="n">
        <f aca="false">BI185+BJ184</f>
        <v>-236241.518671583</v>
      </c>
    </row>
    <row r="186" customFormat="false" ht="15" hidden="false" customHeight="false" outlineLevel="0" collapsed="false">
      <c r="A186" s="4" t="s">
        <v>92</v>
      </c>
      <c r="C186" s="73" t="n">
        <f aca="false">C182+C185</f>
        <v>861940.277777778</v>
      </c>
      <c r="D186" s="73" t="n">
        <f aca="false">D182+D185</f>
        <v>858876.388888889</v>
      </c>
      <c r="E186" s="73" t="n">
        <f aca="false">E182+E185</f>
        <v>855808.333333333</v>
      </c>
      <c r="F186" s="73" t="n">
        <f aca="false">F182+F185</f>
        <v>852736.111111111</v>
      </c>
      <c r="G186" s="73" t="n">
        <f aca="false">G182+G185</f>
        <v>849659.722222222</v>
      </c>
      <c r="H186" s="73" t="n">
        <f aca="false">H182+H185</f>
        <v>846579.166666667</v>
      </c>
      <c r="I186" s="73" t="n">
        <f aca="false">I182+I185</f>
        <v>843494.444444445</v>
      </c>
      <c r="J186" s="73" t="n">
        <f aca="false">J182+J185</f>
        <v>840405.555555556</v>
      </c>
      <c r="K186" s="73" t="n">
        <f aca="false">K182+K185</f>
        <v>837312.5</v>
      </c>
      <c r="L186" s="73" t="n">
        <f aca="false">L182+L185</f>
        <v>834215.277777778</v>
      </c>
      <c r="M186" s="73" t="n">
        <f aca="false">M182+M185</f>
        <v>831113.888888889</v>
      </c>
      <c r="N186" s="73" t="n">
        <f aca="false">N182+N185</f>
        <v>828008.333333333</v>
      </c>
      <c r="O186" s="73" t="n">
        <f aca="false">O182+O185</f>
        <v>824920.986111111</v>
      </c>
      <c r="P186" s="73" t="n">
        <f aca="false">P182+P185</f>
        <v>821829.347222222</v>
      </c>
      <c r="Q186" s="73" t="n">
        <f aca="false">Q182+Q185</f>
        <v>818733.416666667</v>
      </c>
      <c r="R186" s="73" t="n">
        <f aca="false">R182+R185</f>
        <v>815633.194444445</v>
      </c>
      <c r="S186" s="73" t="n">
        <f aca="false">S182+S185</f>
        <v>812528.680555556</v>
      </c>
      <c r="T186" s="73" t="n">
        <f aca="false">T182+T185</f>
        <v>809419.875</v>
      </c>
      <c r="U186" s="73" t="n">
        <f aca="false">U182+U185</f>
        <v>806306.777777778</v>
      </c>
      <c r="V186" s="73" t="n">
        <f aca="false">V182+V185</f>
        <v>803189.388888889</v>
      </c>
      <c r="W186" s="73" t="n">
        <f aca="false">W182+W185</f>
        <v>800067.708333333</v>
      </c>
      <c r="X186" s="73" t="n">
        <f aca="false">X182+X185</f>
        <v>796941.736111111</v>
      </c>
      <c r="Y186" s="73" t="n">
        <f aca="false">Y182+Y185</f>
        <v>793811.472222222</v>
      </c>
      <c r="Z186" s="73" t="n">
        <f aca="false">Z182+Z185</f>
        <v>790676.916666667</v>
      </c>
      <c r="AA186" s="73" t="n">
        <f aca="false">AA182+AA185</f>
        <v>787561.115694445</v>
      </c>
      <c r="AB186" s="73" t="n">
        <f aca="false">AB182+AB185</f>
        <v>784440.894305556</v>
      </c>
      <c r="AC186" s="73" t="n">
        <f aca="false">AC182+AC185</f>
        <v>781316.2525</v>
      </c>
      <c r="AD186" s="73" t="n">
        <f aca="false">AD182+AD185</f>
        <v>778187.190277778</v>
      </c>
      <c r="AE186" s="73" t="n">
        <f aca="false">AE182+AE185</f>
        <v>775053.707638889</v>
      </c>
      <c r="AF186" s="73" t="n">
        <f aca="false">AF182+AF185</f>
        <v>771915.804583334</v>
      </c>
      <c r="AG186" s="73" t="n">
        <f aca="false">AG182+AG185</f>
        <v>768773.481111112</v>
      </c>
      <c r="AH186" s="73" t="n">
        <f aca="false">AH182+AH185</f>
        <v>765626.737222223</v>
      </c>
      <c r="AI186" s="73" t="n">
        <f aca="false">AI182+AI185</f>
        <v>762475.572916667</v>
      </c>
      <c r="AJ186" s="73" t="n">
        <f aca="false">AJ182+AJ185</f>
        <v>759319.988194445</v>
      </c>
      <c r="AK186" s="73" t="n">
        <f aca="false">AK182+AK185</f>
        <v>756159.983055556</v>
      </c>
      <c r="AL186" s="73" t="n">
        <f aca="false">AL182+AL185</f>
        <v>752995.557500001</v>
      </c>
      <c r="AM186" s="73" t="n">
        <f aca="false">AM182+AM185</f>
        <v>749850.449165278</v>
      </c>
      <c r="AN186" s="73" t="n">
        <f aca="false">AN182+AN185</f>
        <v>746700.787801389</v>
      </c>
      <c r="AO186" s="73" t="n">
        <f aca="false">AO182+AO185</f>
        <v>743546.573408334</v>
      </c>
      <c r="AP186" s="73" t="n">
        <f aca="false">AP182+AP185</f>
        <v>740387.805986112</v>
      </c>
      <c r="AQ186" s="73" t="n">
        <f aca="false">AQ182+AQ185</f>
        <v>737224.485534723</v>
      </c>
      <c r="AR186" s="73" t="n">
        <f aca="false">AR182+AR185</f>
        <v>734056.612054167</v>
      </c>
      <c r="AS186" s="73" t="n">
        <f aca="false">AS182+AS185</f>
        <v>730884.185544445</v>
      </c>
      <c r="AT186" s="73" t="n">
        <f aca="false">AT182+AT185</f>
        <v>727707.206005556</v>
      </c>
      <c r="AU186" s="73" t="n">
        <f aca="false">AU182+AU185</f>
        <v>724525.6734375</v>
      </c>
      <c r="AV186" s="73" t="n">
        <f aca="false">AV182+AV185</f>
        <v>721339.587840278</v>
      </c>
      <c r="AW186" s="73" t="n">
        <f aca="false">AW182+AW185</f>
        <v>718148.949213889</v>
      </c>
      <c r="AX186" s="73" t="n">
        <f aca="false">AX182+AX185</f>
        <v>714953.757558334</v>
      </c>
      <c r="AY186" s="73" t="n">
        <f aca="false">AY182+AY185</f>
        <v>711778.462640236</v>
      </c>
      <c r="AZ186" s="73" t="n">
        <f aca="false">AZ182+AZ185</f>
        <v>708598.478102097</v>
      </c>
      <c r="BA186" s="73" t="n">
        <f aca="false">BA182+BA185</f>
        <v>705413.803943917</v>
      </c>
      <c r="BB186" s="73" t="n">
        <f aca="false">BB182+BB185</f>
        <v>702224.440165695</v>
      </c>
      <c r="BC186" s="73" t="n">
        <f aca="false">BC182+BC185</f>
        <v>699030.386767431</v>
      </c>
      <c r="BD186" s="73" t="n">
        <f aca="false">BD182+BD185</f>
        <v>695831.643749125</v>
      </c>
      <c r="BE186" s="73" t="n">
        <f aca="false">BE182+BE185</f>
        <v>692628.211110778</v>
      </c>
      <c r="BF186" s="73" t="n">
        <f aca="false">BF182+BF185</f>
        <v>689420.088852389</v>
      </c>
      <c r="BG186" s="73" t="n">
        <f aca="false">BG182+BG185</f>
        <v>686207.276973959</v>
      </c>
      <c r="BH186" s="73" t="n">
        <f aca="false">BH182+BH185</f>
        <v>682989.775475486</v>
      </c>
      <c r="BI186" s="73" t="n">
        <f aca="false">BI182+BI185</f>
        <v>679767.584356973</v>
      </c>
      <c r="BJ186" s="73" t="n">
        <f aca="false">BJ182+BJ185</f>
        <v>676540.703618417</v>
      </c>
    </row>
    <row r="188" customFormat="false" ht="15.75" hidden="false" customHeight="true" outlineLevel="0" collapsed="false">
      <c r="A188" s="7" t="s">
        <v>431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customFormat="false" ht="15" hidden="false" customHeight="false" outlineLevel="0" collapsed="false">
      <c r="A189" s="6" t="s">
        <v>432</v>
      </c>
      <c r="C189" s="67" t="n">
        <f aca="false">0</f>
        <v>0</v>
      </c>
      <c r="D189" s="67" t="n">
        <f aca="false">C194</f>
        <v>499382.770680291</v>
      </c>
      <c r="E189" s="67" t="n">
        <f aca="false">D194</f>
        <v>498761.940856217</v>
      </c>
      <c r="F189" s="67" t="n">
        <f aca="false">E194</f>
        <v>498137.489524837</v>
      </c>
      <c r="G189" s="67" t="n">
        <f aca="false">F194</f>
        <v>497509.395560689</v>
      </c>
      <c r="H189" s="67" t="n">
        <f aca="false">G194</f>
        <v>496877.637715085</v>
      </c>
      <c r="I189" s="67" t="n">
        <f aca="false">H194</f>
        <v>496242.19461538</v>
      </c>
      <c r="J189" s="67" t="n">
        <f aca="false">I194</f>
        <v>495603.044764261</v>
      </c>
      <c r="K189" s="67" t="n">
        <f aca="false">J194</f>
        <v>494960.166539011</v>
      </c>
      <c r="L189" s="67" t="n">
        <f aca="false">K194</f>
        <v>494313.53819078</v>
      </c>
      <c r="M189" s="67" t="n">
        <f aca="false">L194</f>
        <v>493663.13784385</v>
      </c>
      <c r="N189" s="67" t="n">
        <f aca="false">M194</f>
        <v>493008.943494897</v>
      </c>
      <c r="O189" s="67" t="n">
        <f aca="false">N194</f>
        <v>492350.933012242</v>
      </c>
      <c r="P189" s="67" t="n">
        <f aca="false">O194</f>
        <v>491689.084135105</v>
      </c>
      <c r="Q189" s="67" t="n">
        <f aca="false">P194</f>
        <v>491023.374472851</v>
      </c>
      <c r="R189" s="67" t="n">
        <f aca="false">Q194</f>
        <v>490353.781504234</v>
      </c>
      <c r="S189" s="67" t="n">
        <f aca="false">R194</f>
        <v>489680.282576633</v>
      </c>
      <c r="T189" s="67" t="n">
        <f aca="false">S194</f>
        <v>489002.854905288</v>
      </c>
      <c r="U189" s="67" t="n">
        <f aca="false">T194</f>
        <v>488321.475572526</v>
      </c>
      <c r="V189" s="67" t="n">
        <f aca="false">U194</f>
        <v>487636.121526991</v>
      </c>
      <c r="W189" s="67" t="n">
        <f aca="false">V194</f>
        <v>486946.769582856</v>
      </c>
      <c r="X189" s="67" t="n">
        <f aca="false">W194</f>
        <v>486253.396419047</v>
      </c>
      <c r="Y189" s="67" t="n">
        <f aca="false">X194</f>
        <v>485555.978578449</v>
      </c>
      <c r="Z189" s="67" t="n">
        <f aca="false">Y194</f>
        <v>484854.492467115</v>
      </c>
      <c r="AA189" s="67" t="n">
        <f aca="false">Z194</f>
        <v>484148.914353464</v>
      </c>
      <c r="AB189" s="67" t="n">
        <f aca="false">AA194</f>
        <v>483439.220367484</v>
      </c>
      <c r="AC189" s="67" t="n">
        <f aca="false">AB194</f>
        <v>482725.386499919</v>
      </c>
      <c r="AD189" s="67" t="n">
        <f aca="false">AC194</f>
        <v>482007.38860146</v>
      </c>
      <c r="AE189" s="67" t="n">
        <f aca="false">AD194</f>
        <v>481285.202381926</v>
      </c>
      <c r="AF189" s="67" t="n">
        <f aca="false">AE194</f>
        <v>480558.803409445</v>
      </c>
      <c r="AG189" s="67" t="n">
        <f aca="false">AF194</f>
        <v>479828.167109625</v>
      </c>
      <c r="AH189" s="67" t="n">
        <f aca="false">AG194</f>
        <v>479093.268764722</v>
      </c>
      <c r="AI189" s="67" t="n">
        <f aca="false">AH194</f>
        <v>478354.083512808</v>
      </c>
      <c r="AJ189" s="67" t="n">
        <f aca="false">AI194</f>
        <v>477610.586346923</v>
      </c>
      <c r="AK189" s="67" t="n">
        <f aca="false">AJ194</f>
        <v>476862.752114238</v>
      </c>
      <c r="AL189" s="67" t="n">
        <f aca="false">AK194</f>
        <v>476110.555515196</v>
      </c>
      <c r="AM189" s="67" t="n">
        <f aca="false">AL194</f>
        <v>475353.971102659</v>
      </c>
      <c r="AN189" s="67" t="n">
        <f aca="false">AM194</f>
        <v>474592.973281049</v>
      </c>
      <c r="AO189" s="67" t="n">
        <f aca="false">AN194</f>
        <v>473827.53630548</v>
      </c>
      <c r="AP189" s="67" t="n">
        <f aca="false">AO194</f>
        <v>473057.634280886</v>
      </c>
      <c r="AQ189" s="67" t="n">
        <f aca="false">AP194</f>
        <v>472283.241161149</v>
      </c>
      <c r="AR189" s="67" t="n">
        <f aca="false">AQ194</f>
        <v>471504.330748214</v>
      </c>
      <c r="AS189" s="67" t="n">
        <f aca="false">AR194</f>
        <v>470720.876691203</v>
      </c>
      <c r="AT189" s="67" t="n">
        <f aca="false">AS194</f>
        <v>469932.852485526</v>
      </c>
      <c r="AU189" s="67" t="n">
        <f aca="false">AT194</f>
        <v>469140.231471983</v>
      </c>
      <c r="AV189" s="67" t="n">
        <f aca="false">AU194</f>
        <v>468342.986835861</v>
      </c>
      <c r="AW189" s="67" t="n">
        <f aca="false">AV194</f>
        <v>467541.091606028</v>
      </c>
      <c r="AX189" s="67" t="n">
        <f aca="false">AW194</f>
        <v>466734.518654021</v>
      </c>
      <c r="AY189" s="67" t="n">
        <f aca="false">AX194</f>
        <v>465923.240693127</v>
      </c>
      <c r="AZ189" s="67" t="n">
        <f aca="false">AY194</f>
        <v>465107.230277462</v>
      </c>
      <c r="BA189" s="67" t="n">
        <f aca="false">AZ194</f>
        <v>464286.459801038</v>
      </c>
      <c r="BB189" s="67" t="n">
        <f aca="false">BA194</f>
        <v>463460.901496835</v>
      </c>
      <c r="BC189" s="67" t="n">
        <f aca="false">BB194</f>
        <v>462630.527435858</v>
      </c>
      <c r="BD189" s="67" t="n">
        <f aca="false">BC194</f>
        <v>461795.309526192</v>
      </c>
      <c r="BE189" s="67" t="n">
        <f aca="false">BD194</f>
        <v>460955.219512053</v>
      </c>
      <c r="BF189" s="67" t="n">
        <f aca="false">BE194</f>
        <v>460110.228972831</v>
      </c>
      <c r="BG189" s="67" t="n">
        <f aca="false">BF194</f>
        <v>459260.30932213</v>
      </c>
      <c r="BH189" s="67" t="n">
        <f aca="false">BG194</f>
        <v>458405.4318068</v>
      </c>
      <c r="BI189" s="67" t="n">
        <f aca="false">BH194</f>
        <v>457545.567505965</v>
      </c>
      <c r="BJ189" s="67" t="n">
        <f aca="false">BI194</f>
        <v>456680.687330041</v>
      </c>
    </row>
    <row r="190" customFormat="false" ht="15" hidden="false" customHeight="false" outlineLevel="0" collapsed="false">
      <c r="A190" s="6" t="s">
        <v>85</v>
      </c>
      <c r="C190" s="67" t="n">
        <f aca="false">IF(C$126=1,Inputs!$C$66,0)</f>
        <v>500000</v>
      </c>
      <c r="D190" s="67" t="n">
        <f aca="false">IF(D$126=1,Inputs!$C$66,0)</f>
        <v>0</v>
      </c>
      <c r="E190" s="67" t="n">
        <f aca="false">IF(E$126=1,Inputs!$C$66,0)</f>
        <v>0</v>
      </c>
      <c r="F190" s="67" t="n">
        <f aca="false">IF(F$126=1,Inputs!$C$66,0)</f>
        <v>0</v>
      </c>
      <c r="G190" s="67" t="n">
        <f aca="false">IF(G$126=1,Inputs!$C$66,0)</f>
        <v>0</v>
      </c>
      <c r="H190" s="67" t="n">
        <f aca="false">IF(H$126=1,Inputs!$C$66,0)</f>
        <v>0</v>
      </c>
      <c r="I190" s="67" t="n">
        <f aca="false">IF(I$126=1,Inputs!$C$66,0)</f>
        <v>0</v>
      </c>
      <c r="J190" s="67" t="n">
        <f aca="false">IF(J$126=1,Inputs!$C$66,0)</f>
        <v>0</v>
      </c>
      <c r="K190" s="67" t="n">
        <f aca="false">IF(K$126=1,Inputs!$C$66,0)</f>
        <v>0</v>
      </c>
      <c r="L190" s="67" t="n">
        <f aca="false">IF(L$126=1,Inputs!$C$66,0)</f>
        <v>0</v>
      </c>
      <c r="M190" s="67" t="n">
        <f aca="false">IF(M$126=1,Inputs!$C$66,0)</f>
        <v>0</v>
      </c>
      <c r="N190" s="67" t="n">
        <f aca="false">IF(N$126=1,Inputs!$C$66,0)</f>
        <v>0</v>
      </c>
      <c r="O190" s="67" t="n">
        <f aca="false">IF(O$126=1,Inputs!$C$66,0)</f>
        <v>0</v>
      </c>
      <c r="P190" s="67" t="n">
        <f aca="false">IF(P$126=1,Inputs!$C$66,0)</f>
        <v>0</v>
      </c>
      <c r="Q190" s="67" t="n">
        <f aca="false">IF(Q$126=1,Inputs!$C$66,0)</f>
        <v>0</v>
      </c>
      <c r="R190" s="67" t="n">
        <f aca="false">IF(R$126=1,Inputs!$C$66,0)</f>
        <v>0</v>
      </c>
      <c r="S190" s="67" t="n">
        <f aca="false">IF(S$126=1,Inputs!$C$66,0)</f>
        <v>0</v>
      </c>
      <c r="T190" s="67" t="n">
        <f aca="false">IF(T$126=1,Inputs!$C$66,0)</f>
        <v>0</v>
      </c>
      <c r="U190" s="67" t="n">
        <f aca="false">IF(U$126=1,Inputs!$C$66,0)</f>
        <v>0</v>
      </c>
      <c r="V190" s="67" t="n">
        <f aca="false">IF(V$126=1,Inputs!$C$66,0)</f>
        <v>0</v>
      </c>
      <c r="W190" s="67" t="n">
        <f aca="false">IF(W$126=1,Inputs!$C$66,0)</f>
        <v>0</v>
      </c>
      <c r="X190" s="67" t="n">
        <f aca="false">IF(X$126=1,Inputs!$C$66,0)</f>
        <v>0</v>
      </c>
      <c r="Y190" s="67" t="n">
        <f aca="false">IF(Y$126=1,Inputs!$C$66,0)</f>
        <v>0</v>
      </c>
      <c r="Z190" s="67" t="n">
        <f aca="false">IF(Z$126=1,Inputs!$C$66,0)</f>
        <v>0</v>
      </c>
      <c r="AA190" s="67" t="n">
        <f aca="false">IF(AA$126=1,Inputs!$C$66,0)</f>
        <v>0</v>
      </c>
      <c r="AB190" s="67" t="n">
        <f aca="false">IF(AB$126=1,Inputs!$C$66,0)</f>
        <v>0</v>
      </c>
      <c r="AC190" s="67" t="n">
        <f aca="false">IF(AC$126=1,Inputs!$C$66,0)</f>
        <v>0</v>
      </c>
      <c r="AD190" s="67" t="n">
        <f aca="false">IF(AD$126=1,Inputs!$C$66,0)</f>
        <v>0</v>
      </c>
      <c r="AE190" s="67" t="n">
        <f aca="false">IF(AE$126=1,Inputs!$C$66,0)</f>
        <v>0</v>
      </c>
      <c r="AF190" s="67" t="n">
        <f aca="false">IF(AF$126=1,Inputs!$C$66,0)</f>
        <v>0</v>
      </c>
      <c r="AG190" s="67" t="n">
        <f aca="false">IF(AG$126=1,Inputs!$C$66,0)</f>
        <v>0</v>
      </c>
      <c r="AH190" s="67" t="n">
        <f aca="false">IF(AH$126=1,Inputs!$C$66,0)</f>
        <v>0</v>
      </c>
      <c r="AI190" s="67" t="n">
        <f aca="false">IF(AI$126=1,Inputs!$C$66,0)</f>
        <v>0</v>
      </c>
      <c r="AJ190" s="67" t="n">
        <f aca="false">IF(AJ$126=1,Inputs!$C$66,0)</f>
        <v>0</v>
      </c>
      <c r="AK190" s="67" t="n">
        <f aca="false">IF(AK$126=1,Inputs!$C$66,0)</f>
        <v>0</v>
      </c>
      <c r="AL190" s="67" t="n">
        <f aca="false">IF(AL$126=1,Inputs!$C$66,0)</f>
        <v>0</v>
      </c>
      <c r="AM190" s="67" t="n">
        <f aca="false">IF(AM$126=1,Inputs!$C$66,0)</f>
        <v>0</v>
      </c>
      <c r="AN190" s="67" t="n">
        <f aca="false">IF(AN$126=1,Inputs!$C$66,0)</f>
        <v>0</v>
      </c>
      <c r="AO190" s="67" t="n">
        <f aca="false">IF(AO$126=1,Inputs!$C$66,0)</f>
        <v>0</v>
      </c>
      <c r="AP190" s="67" t="n">
        <f aca="false">IF(AP$126=1,Inputs!$C$66,0)</f>
        <v>0</v>
      </c>
      <c r="AQ190" s="67" t="n">
        <f aca="false">IF(AQ$126=1,Inputs!$C$66,0)</f>
        <v>0</v>
      </c>
      <c r="AR190" s="67" t="n">
        <f aca="false">IF(AR$126=1,Inputs!$C$66,0)</f>
        <v>0</v>
      </c>
      <c r="AS190" s="67" t="n">
        <f aca="false">IF(AS$126=1,Inputs!$C$66,0)</f>
        <v>0</v>
      </c>
      <c r="AT190" s="67" t="n">
        <f aca="false">IF(AT$126=1,Inputs!$C$66,0)</f>
        <v>0</v>
      </c>
      <c r="AU190" s="67" t="n">
        <f aca="false">IF(AU$126=1,Inputs!$C$66,0)</f>
        <v>0</v>
      </c>
      <c r="AV190" s="67" t="n">
        <f aca="false">IF(AV$126=1,Inputs!$C$66,0)</f>
        <v>0</v>
      </c>
      <c r="AW190" s="67" t="n">
        <f aca="false">IF(AW$126=1,Inputs!$C$66,0)</f>
        <v>0</v>
      </c>
      <c r="AX190" s="67" t="n">
        <f aca="false">IF(AX$126=1,Inputs!$C$66,0)</f>
        <v>0</v>
      </c>
      <c r="AY190" s="67" t="n">
        <f aca="false">IF(AY$126=1,Inputs!$C$66,0)</f>
        <v>0</v>
      </c>
      <c r="AZ190" s="67" t="n">
        <f aca="false">IF(AZ$126=1,Inputs!$C$66,0)</f>
        <v>0</v>
      </c>
      <c r="BA190" s="67" t="n">
        <f aca="false">IF(BA$126=1,Inputs!$C$66,0)</f>
        <v>0</v>
      </c>
      <c r="BB190" s="67" t="n">
        <f aca="false">IF(BB$126=1,Inputs!$C$66,0)</f>
        <v>0</v>
      </c>
      <c r="BC190" s="67" t="n">
        <f aca="false">IF(BC$126=1,Inputs!$C$66,0)</f>
        <v>0</v>
      </c>
      <c r="BD190" s="67" t="n">
        <f aca="false">IF(BD$126=1,Inputs!$C$66,0)</f>
        <v>0</v>
      </c>
      <c r="BE190" s="67" t="n">
        <f aca="false">IF(BE$126=1,Inputs!$C$66,0)</f>
        <v>0</v>
      </c>
      <c r="BF190" s="67" t="n">
        <f aca="false">IF(BF$126=1,Inputs!$C$66,0)</f>
        <v>0</v>
      </c>
      <c r="BG190" s="67" t="n">
        <f aca="false">IF(BG$126=1,Inputs!$C$66,0)</f>
        <v>0</v>
      </c>
      <c r="BH190" s="67" t="n">
        <f aca="false">IF(BH$126=1,Inputs!$C$66,0)</f>
        <v>0</v>
      </c>
      <c r="BI190" s="67" t="n">
        <f aca="false">IF(BI$126=1,Inputs!$C$66,0)</f>
        <v>0</v>
      </c>
      <c r="BJ190" s="67" t="n">
        <f aca="false">IF(BJ$126=1,Inputs!$C$66,0)</f>
        <v>0</v>
      </c>
    </row>
    <row r="191" customFormat="false" ht="15" hidden="false" customHeight="false" outlineLevel="0" collapsed="false">
      <c r="A191" s="6" t="s">
        <v>433</v>
      </c>
      <c r="C191" s="67" t="n">
        <f aca="false">-PMT(Inputs!$C$67/12,MAX(1,Inputs!$C$68*12),Inputs!$C$66)</f>
        <v>3533.89598637546</v>
      </c>
      <c r="D191" s="67" t="n">
        <f aca="false">-PMT(Inputs!$C$67/12,MAX(1,Inputs!$C$68*12),Inputs!$C$66)</f>
        <v>3533.89598637546</v>
      </c>
      <c r="E191" s="67" t="n">
        <f aca="false">-PMT(Inputs!$C$67/12,MAX(1,Inputs!$C$68*12),Inputs!$C$66)</f>
        <v>3533.89598637546</v>
      </c>
      <c r="F191" s="67" t="n">
        <f aca="false">-PMT(Inputs!$C$67/12,MAX(1,Inputs!$C$68*12),Inputs!$C$66)</f>
        <v>3533.89598637546</v>
      </c>
      <c r="G191" s="67" t="n">
        <f aca="false">-PMT(Inputs!$C$67/12,MAX(1,Inputs!$C$68*12),Inputs!$C$66)</f>
        <v>3533.89598637546</v>
      </c>
      <c r="H191" s="67" t="n">
        <f aca="false">-PMT(Inputs!$C$67/12,MAX(1,Inputs!$C$68*12),Inputs!$C$66)</f>
        <v>3533.89598637546</v>
      </c>
      <c r="I191" s="67" t="n">
        <f aca="false">-PMT(Inputs!$C$67/12,MAX(1,Inputs!$C$68*12),Inputs!$C$66)</f>
        <v>3533.89598637546</v>
      </c>
      <c r="J191" s="67" t="n">
        <f aca="false">-PMT(Inputs!$C$67/12,MAX(1,Inputs!$C$68*12),Inputs!$C$66)</f>
        <v>3533.89598637546</v>
      </c>
      <c r="K191" s="67" t="n">
        <f aca="false">-PMT(Inputs!$C$67/12,MAX(1,Inputs!$C$68*12),Inputs!$C$66)</f>
        <v>3533.89598637546</v>
      </c>
      <c r="L191" s="67" t="n">
        <f aca="false">-PMT(Inputs!$C$67/12,MAX(1,Inputs!$C$68*12),Inputs!$C$66)</f>
        <v>3533.89598637546</v>
      </c>
      <c r="M191" s="67" t="n">
        <f aca="false">-PMT(Inputs!$C$67/12,MAX(1,Inputs!$C$68*12),Inputs!$C$66)</f>
        <v>3533.89598637546</v>
      </c>
      <c r="N191" s="67" t="n">
        <f aca="false">-PMT(Inputs!$C$67/12,MAX(1,Inputs!$C$68*12),Inputs!$C$66)</f>
        <v>3533.89598637546</v>
      </c>
      <c r="O191" s="67" t="n">
        <f aca="false">-PMT(Inputs!$C$67/12,MAX(1,Inputs!$C$68*12),Inputs!$C$66)</f>
        <v>3533.89598637546</v>
      </c>
      <c r="P191" s="67" t="n">
        <f aca="false">-PMT(Inputs!$C$67/12,MAX(1,Inputs!$C$68*12),Inputs!$C$66)</f>
        <v>3533.89598637546</v>
      </c>
      <c r="Q191" s="67" t="n">
        <f aca="false">-PMT(Inputs!$C$67/12,MAX(1,Inputs!$C$68*12),Inputs!$C$66)</f>
        <v>3533.89598637546</v>
      </c>
      <c r="R191" s="67" t="n">
        <f aca="false">-PMT(Inputs!$C$67/12,MAX(1,Inputs!$C$68*12),Inputs!$C$66)</f>
        <v>3533.89598637546</v>
      </c>
      <c r="S191" s="67" t="n">
        <f aca="false">-PMT(Inputs!$C$67/12,MAX(1,Inputs!$C$68*12),Inputs!$C$66)</f>
        <v>3533.89598637546</v>
      </c>
      <c r="T191" s="67" t="n">
        <f aca="false">-PMT(Inputs!$C$67/12,MAX(1,Inputs!$C$68*12),Inputs!$C$66)</f>
        <v>3533.89598637546</v>
      </c>
      <c r="U191" s="67" t="n">
        <f aca="false">-PMT(Inputs!$C$67/12,MAX(1,Inputs!$C$68*12),Inputs!$C$66)</f>
        <v>3533.89598637546</v>
      </c>
      <c r="V191" s="67" t="n">
        <f aca="false">-PMT(Inputs!$C$67/12,MAX(1,Inputs!$C$68*12),Inputs!$C$66)</f>
        <v>3533.89598637546</v>
      </c>
      <c r="W191" s="67" t="n">
        <f aca="false">-PMT(Inputs!$C$67/12,MAX(1,Inputs!$C$68*12),Inputs!$C$66)</f>
        <v>3533.89598637546</v>
      </c>
      <c r="X191" s="67" t="n">
        <f aca="false">-PMT(Inputs!$C$67/12,MAX(1,Inputs!$C$68*12),Inputs!$C$66)</f>
        <v>3533.89598637546</v>
      </c>
      <c r="Y191" s="67" t="n">
        <f aca="false">-PMT(Inputs!$C$67/12,MAX(1,Inputs!$C$68*12),Inputs!$C$66)</f>
        <v>3533.89598637546</v>
      </c>
      <c r="Z191" s="67" t="n">
        <f aca="false">-PMT(Inputs!$C$67/12,MAX(1,Inputs!$C$68*12),Inputs!$C$66)</f>
        <v>3533.89598637546</v>
      </c>
      <c r="AA191" s="67" t="n">
        <f aca="false">-PMT(Inputs!$C$67/12,MAX(1,Inputs!$C$68*12),Inputs!$C$66)</f>
        <v>3533.89598637546</v>
      </c>
      <c r="AB191" s="67" t="n">
        <f aca="false">-PMT(Inputs!$C$67/12,MAX(1,Inputs!$C$68*12),Inputs!$C$66)</f>
        <v>3533.89598637546</v>
      </c>
      <c r="AC191" s="67" t="n">
        <f aca="false">-PMT(Inputs!$C$67/12,MAX(1,Inputs!$C$68*12),Inputs!$C$66)</f>
        <v>3533.89598637546</v>
      </c>
      <c r="AD191" s="67" t="n">
        <f aca="false">-PMT(Inputs!$C$67/12,MAX(1,Inputs!$C$68*12),Inputs!$C$66)</f>
        <v>3533.89598637546</v>
      </c>
      <c r="AE191" s="67" t="n">
        <f aca="false">-PMT(Inputs!$C$67/12,MAX(1,Inputs!$C$68*12),Inputs!$C$66)</f>
        <v>3533.89598637546</v>
      </c>
      <c r="AF191" s="67" t="n">
        <f aca="false">-PMT(Inputs!$C$67/12,MAX(1,Inputs!$C$68*12),Inputs!$C$66)</f>
        <v>3533.89598637546</v>
      </c>
      <c r="AG191" s="67" t="n">
        <f aca="false">-PMT(Inputs!$C$67/12,MAX(1,Inputs!$C$68*12),Inputs!$C$66)</f>
        <v>3533.89598637546</v>
      </c>
      <c r="AH191" s="67" t="n">
        <f aca="false">-PMT(Inputs!$C$67/12,MAX(1,Inputs!$C$68*12),Inputs!$C$66)</f>
        <v>3533.89598637546</v>
      </c>
      <c r="AI191" s="67" t="n">
        <f aca="false">-PMT(Inputs!$C$67/12,MAX(1,Inputs!$C$68*12),Inputs!$C$66)</f>
        <v>3533.89598637546</v>
      </c>
      <c r="AJ191" s="67" t="n">
        <f aca="false">-PMT(Inputs!$C$67/12,MAX(1,Inputs!$C$68*12),Inputs!$C$66)</f>
        <v>3533.89598637546</v>
      </c>
      <c r="AK191" s="67" t="n">
        <f aca="false">-PMT(Inputs!$C$67/12,MAX(1,Inputs!$C$68*12),Inputs!$C$66)</f>
        <v>3533.89598637546</v>
      </c>
      <c r="AL191" s="67" t="n">
        <f aca="false">-PMT(Inputs!$C$67/12,MAX(1,Inputs!$C$68*12),Inputs!$C$66)</f>
        <v>3533.89598637546</v>
      </c>
      <c r="AM191" s="67" t="n">
        <f aca="false">-PMT(Inputs!$C$67/12,MAX(1,Inputs!$C$68*12),Inputs!$C$66)</f>
        <v>3533.89598637546</v>
      </c>
      <c r="AN191" s="67" t="n">
        <f aca="false">-PMT(Inputs!$C$67/12,MAX(1,Inputs!$C$68*12),Inputs!$C$66)</f>
        <v>3533.89598637546</v>
      </c>
      <c r="AO191" s="67" t="n">
        <f aca="false">-PMT(Inputs!$C$67/12,MAX(1,Inputs!$C$68*12),Inputs!$C$66)</f>
        <v>3533.89598637546</v>
      </c>
      <c r="AP191" s="67" t="n">
        <f aca="false">-PMT(Inputs!$C$67/12,MAX(1,Inputs!$C$68*12),Inputs!$C$66)</f>
        <v>3533.89598637546</v>
      </c>
      <c r="AQ191" s="67" t="n">
        <f aca="false">-PMT(Inputs!$C$67/12,MAX(1,Inputs!$C$68*12),Inputs!$C$66)</f>
        <v>3533.89598637546</v>
      </c>
      <c r="AR191" s="67" t="n">
        <f aca="false">-PMT(Inputs!$C$67/12,MAX(1,Inputs!$C$68*12),Inputs!$C$66)</f>
        <v>3533.89598637546</v>
      </c>
      <c r="AS191" s="67" t="n">
        <f aca="false">-PMT(Inputs!$C$67/12,MAX(1,Inputs!$C$68*12),Inputs!$C$66)</f>
        <v>3533.89598637546</v>
      </c>
      <c r="AT191" s="67" t="n">
        <f aca="false">-PMT(Inputs!$C$67/12,MAX(1,Inputs!$C$68*12),Inputs!$C$66)</f>
        <v>3533.89598637546</v>
      </c>
      <c r="AU191" s="67" t="n">
        <f aca="false">-PMT(Inputs!$C$67/12,MAX(1,Inputs!$C$68*12),Inputs!$C$66)</f>
        <v>3533.89598637546</v>
      </c>
      <c r="AV191" s="67" t="n">
        <f aca="false">-PMT(Inputs!$C$67/12,MAX(1,Inputs!$C$68*12),Inputs!$C$66)</f>
        <v>3533.89598637546</v>
      </c>
      <c r="AW191" s="67" t="n">
        <f aca="false">-PMT(Inputs!$C$67/12,MAX(1,Inputs!$C$68*12),Inputs!$C$66)</f>
        <v>3533.89598637546</v>
      </c>
      <c r="AX191" s="67" t="n">
        <f aca="false">-PMT(Inputs!$C$67/12,MAX(1,Inputs!$C$68*12),Inputs!$C$66)</f>
        <v>3533.89598637546</v>
      </c>
      <c r="AY191" s="67" t="n">
        <f aca="false">-PMT(Inputs!$C$67/12,MAX(1,Inputs!$C$68*12),Inputs!$C$66)</f>
        <v>3533.89598637546</v>
      </c>
      <c r="AZ191" s="67" t="n">
        <f aca="false">-PMT(Inputs!$C$67/12,MAX(1,Inputs!$C$68*12),Inputs!$C$66)</f>
        <v>3533.89598637546</v>
      </c>
      <c r="BA191" s="67" t="n">
        <f aca="false">-PMT(Inputs!$C$67/12,MAX(1,Inputs!$C$68*12),Inputs!$C$66)</f>
        <v>3533.89598637546</v>
      </c>
      <c r="BB191" s="67" t="n">
        <f aca="false">-PMT(Inputs!$C$67/12,MAX(1,Inputs!$C$68*12),Inputs!$C$66)</f>
        <v>3533.89598637546</v>
      </c>
      <c r="BC191" s="67" t="n">
        <f aca="false">-PMT(Inputs!$C$67/12,MAX(1,Inputs!$C$68*12),Inputs!$C$66)</f>
        <v>3533.89598637546</v>
      </c>
      <c r="BD191" s="67" t="n">
        <f aca="false">-PMT(Inputs!$C$67/12,MAX(1,Inputs!$C$68*12),Inputs!$C$66)</f>
        <v>3533.89598637546</v>
      </c>
      <c r="BE191" s="67" t="n">
        <f aca="false">-PMT(Inputs!$C$67/12,MAX(1,Inputs!$C$68*12),Inputs!$C$66)</f>
        <v>3533.89598637546</v>
      </c>
      <c r="BF191" s="67" t="n">
        <f aca="false">-PMT(Inputs!$C$67/12,MAX(1,Inputs!$C$68*12),Inputs!$C$66)</f>
        <v>3533.89598637546</v>
      </c>
      <c r="BG191" s="67" t="n">
        <f aca="false">-PMT(Inputs!$C$67/12,MAX(1,Inputs!$C$68*12),Inputs!$C$66)</f>
        <v>3533.89598637546</v>
      </c>
      <c r="BH191" s="67" t="n">
        <f aca="false">-PMT(Inputs!$C$67/12,MAX(1,Inputs!$C$68*12),Inputs!$C$66)</f>
        <v>3533.89598637546</v>
      </c>
      <c r="BI191" s="67" t="n">
        <f aca="false">-PMT(Inputs!$C$67/12,MAX(1,Inputs!$C$68*12),Inputs!$C$66)</f>
        <v>3533.89598637546</v>
      </c>
      <c r="BJ191" s="67" t="n">
        <f aca="false">-PMT(Inputs!$C$67/12,MAX(1,Inputs!$C$68*12),Inputs!$C$66)</f>
        <v>3533.89598637546</v>
      </c>
    </row>
    <row r="192" customFormat="false" ht="15" hidden="false" customHeight="false" outlineLevel="0" collapsed="false">
      <c r="A192" s="6" t="s">
        <v>434</v>
      </c>
      <c r="C192" s="67" t="n">
        <f aca="false">-MIN(C189+C190,C191+C168)</f>
        <v>-617.229319708792</v>
      </c>
      <c r="D192" s="67" t="n">
        <f aca="false">-MIN(D189+D190,D191+D168)</f>
        <v>-620.82982407376</v>
      </c>
      <c r="E192" s="67" t="n">
        <f aca="false">-MIN(E189+E190,E191+E168)</f>
        <v>-624.451331380857</v>
      </c>
      <c r="F192" s="67" t="n">
        <f aca="false">-MIN(F189+F190,F191+F168)</f>
        <v>-628.093964147245</v>
      </c>
      <c r="G192" s="67" t="n">
        <f aca="false">-MIN(G189+G190,G191+G168)</f>
        <v>-631.757845604771</v>
      </c>
      <c r="H192" s="67" t="n">
        <f aca="false">-MIN(H189+H190,H191+H168)</f>
        <v>-635.443099704132</v>
      </c>
      <c r="I192" s="67" t="n">
        <f aca="false">-MIN(I189+I190,I191+I168)</f>
        <v>-639.149851119073</v>
      </c>
      <c r="J192" s="67" t="n">
        <f aca="false">-MIN(J189+J190,J191+J168)</f>
        <v>-642.878225250601</v>
      </c>
      <c r="K192" s="67" t="n">
        <f aca="false">-MIN(K189+K190,K191+K168)</f>
        <v>-646.62834823123</v>
      </c>
      <c r="L192" s="67" t="n">
        <f aca="false">-MIN(L189+L190,L191+L168)</f>
        <v>-650.400346929245</v>
      </c>
      <c r="M192" s="67" t="n">
        <f aca="false">-MIN(M189+M190,M191+M168)</f>
        <v>-654.194348952999</v>
      </c>
      <c r="N192" s="67" t="n">
        <f aca="false">-MIN(N189+N190,N191+N168)</f>
        <v>-658.010482655225</v>
      </c>
      <c r="O192" s="67" t="n">
        <f aca="false">-MIN(O189+O190,O191+O168)</f>
        <v>-661.84887713738</v>
      </c>
      <c r="P192" s="67" t="n">
        <f aca="false">-MIN(P189+P190,P191+P168)</f>
        <v>-665.709662254014</v>
      </c>
      <c r="Q192" s="67" t="n">
        <f aca="false">-MIN(Q189+Q190,Q191+Q168)</f>
        <v>-669.592968617164</v>
      </c>
      <c r="R192" s="67" t="n">
        <f aca="false">-MIN(R189+R190,R191+R168)</f>
        <v>-673.498927600764</v>
      </c>
      <c r="S192" s="67" t="n">
        <f aca="false">-MIN(S189+S190,S191+S168)</f>
        <v>-677.427671345101</v>
      </c>
      <c r="T192" s="67" t="n">
        <f aca="false">-MIN(T189+T190,T191+T168)</f>
        <v>-681.379332761281</v>
      </c>
      <c r="U192" s="67" t="n">
        <f aca="false">-MIN(U189+U190,U191+U168)</f>
        <v>-685.354045535722</v>
      </c>
      <c r="V192" s="67" t="n">
        <f aca="false">-MIN(V189+V190,V191+V168)</f>
        <v>-689.35194413468</v>
      </c>
      <c r="W192" s="67" t="n">
        <f aca="false">-MIN(W189+W190,W191+W168)</f>
        <v>-693.373163808799</v>
      </c>
      <c r="X192" s="67" t="n">
        <f aca="false">-MIN(X189+X190,X191+X168)</f>
        <v>-697.417840597684</v>
      </c>
      <c r="Y192" s="67" t="n">
        <f aca="false">-MIN(Y189+Y190,Y191+Y168)</f>
        <v>-701.486111334503</v>
      </c>
      <c r="Z192" s="67" t="n">
        <f aca="false">-MIN(Z189+Z190,Z191+Z168)</f>
        <v>-705.578113650622</v>
      </c>
      <c r="AA192" s="67" t="n">
        <f aca="false">-MIN(AA189+AA190,AA191+AA168)</f>
        <v>-709.69398598025</v>
      </c>
      <c r="AB192" s="67" t="n">
        <f aca="false">-MIN(AB189+AB190,AB191+AB168)</f>
        <v>-713.833867565135</v>
      </c>
      <c r="AC192" s="67" t="n">
        <f aca="false">-MIN(AC189+AC190,AC191+AC168)</f>
        <v>-717.997898459265</v>
      </c>
      <c r="AD192" s="67" t="n">
        <f aca="false">-MIN(AD189+AD190,AD191+AD168)</f>
        <v>-722.186219533611</v>
      </c>
      <c r="AE192" s="67" t="n">
        <f aca="false">-MIN(AE189+AE190,AE191+AE168)</f>
        <v>-726.39897248089</v>
      </c>
      <c r="AF192" s="67" t="n">
        <f aca="false">-MIN(AF189+AF190,AF191+AF168)</f>
        <v>-730.636299820362</v>
      </c>
      <c r="AG192" s="67" t="n">
        <f aca="false">-MIN(AG189+AG190,AG191+AG168)</f>
        <v>-734.898344902647</v>
      </c>
      <c r="AH192" s="67" t="n">
        <f aca="false">-MIN(AH189+AH190,AH191+AH168)</f>
        <v>-739.18525191458</v>
      </c>
      <c r="AI192" s="67" t="n">
        <f aca="false">-MIN(AI189+AI190,AI191+AI168)</f>
        <v>-743.497165884082</v>
      </c>
      <c r="AJ192" s="67" t="n">
        <f aca="false">-MIN(AJ189+AJ190,AJ191+AJ168)</f>
        <v>-747.834232685072</v>
      </c>
      <c r="AK192" s="67" t="n">
        <f aca="false">-MIN(AK189+AK190,AK191+AK168)</f>
        <v>-752.196599042402</v>
      </c>
      <c r="AL192" s="67" t="n">
        <f aca="false">-MIN(AL189+AL190,AL191+AL168)</f>
        <v>-756.584412536815</v>
      </c>
      <c r="AM192" s="67" t="n">
        <f aca="false">-MIN(AM189+AM190,AM191+AM168)</f>
        <v>-760.997821609948</v>
      </c>
      <c r="AN192" s="67" t="n">
        <f aca="false">-MIN(AN189+AN190,AN191+AN168)</f>
        <v>-765.436975569339</v>
      </c>
      <c r="AO192" s="67" t="n">
        <f aca="false">-MIN(AO189+AO190,AO191+AO168)</f>
        <v>-769.902024593493</v>
      </c>
      <c r="AP192" s="67" t="n">
        <f aca="false">-MIN(AP189+AP190,AP191+AP168)</f>
        <v>-774.393119736955</v>
      </c>
      <c r="AQ192" s="67" t="n">
        <f aca="false">-MIN(AQ189+AQ190,AQ191+AQ168)</f>
        <v>-778.910412935421</v>
      </c>
      <c r="AR192" s="67" t="n">
        <f aca="false">-MIN(AR189+AR190,AR191+AR168)</f>
        <v>-783.454057010878</v>
      </c>
      <c r="AS192" s="67" t="n">
        <f aca="false">-MIN(AS189+AS190,AS191+AS168)</f>
        <v>-788.024205676774</v>
      </c>
      <c r="AT192" s="67" t="n">
        <f aca="false">-MIN(AT189+AT190,AT191+AT168)</f>
        <v>-792.621013543222</v>
      </c>
      <c r="AU192" s="67" t="n">
        <f aca="false">-MIN(AU189+AU190,AU191+AU168)</f>
        <v>-797.244636122224</v>
      </c>
      <c r="AV192" s="67" t="n">
        <f aca="false">-MIN(AV189+AV190,AV191+AV168)</f>
        <v>-801.895229832937</v>
      </c>
      <c r="AW192" s="67" t="n">
        <f aca="false">-MIN(AW189+AW190,AW191+AW168)</f>
        <v>-806.572952006962</v>
      </c>
      <c r="AX192" s="67" t="n">
        <f aca="false">-MIN(AX189+AX190,AX191+AX168)</f>
        <v>-811.277960893669</v>
      </c>
      <c r="AY192" s="67" t="n">
        <f aca="false">-MIN(AY189+AY190,AY191+AY168)</f>
        <v>-816.010415665549</v>
      </c>
      <c r="AZ192" s="67" t="n">
        <f aca="false">-MIN(AZ189+AZ190,AZ191+AZ168)</f>
        <v>-820.770476423598</v>
      </c>
      <c r="BA192" s="67" t="n">
        <f aca="false">-MIN(BA189+BA190,BA191+BA168)</f>
        <v>-825.558304202736</v>
      </c>
      <c r="BB192" s="67" t="n">
        <f aca="false">-MIN(BB189+BB190,BB191+BB168)</f>
        <v>-830.374060977252</v>
      </c>
      <c r="BC192" s="67" t="n">
        <f aca="false">-MIN(BC189+BC190,BC191+BC168)</f>
        <v>-835.217909666286</v>
      </c>
      <c r="BD192" s="67" t="n">
        <f aca="false">-MIN(BD189+BD190,BD191+BD168)</f>
        <v>-840.09001413934</v>
      </c>
      <c r="BE192" s="67" t="n">
        <f aca="false">-MIN(BE189+BE190,BE191+BE168)</f>
        <v>-844.990539221819</v>
      </c>
      <c r="BF192" s="67" t="n">
        <f aca="false">-MIN(BF189+BF190,BF191+BF168)</f>
        <v>-849.919650700613</v>
      </c>
      <c r="BG192" s="67" t="n">
        <f aca="false">-MIN(BG189+BG190,BG191+BG168)</f>
        <v>-854.8775153297</v>
      </c>
      <c r="BH192" s="67" t="n">
        <f aca="false">-MIN(BH189+BH190,BH191+BH168)</f>
        <v>-859.86430083579</v>
      </c>
      <c r="BI192" s="67" t="n">
        <f aca="false">-MIN(BI189+BI190,BI191+BI168)</f>
        <v>-864.880175923999</v>
      </c>
      <c r="BJ192" s="67" t="n">
        <f aca="false">-MIN(BJ189+BJ190,BJ191+BJ168)</f>
        <v>-869.925310283555</v>
      </c>
    </row>
    <row r="193" customFormat="false" ht="15" hidden="false" customHeight="false" outlineLevel="0" collapsed="false">
      <c r="A193" s="6" t="s">
        <v>435</v>
      </c>
      <c r="C193" s="67" t="n">
        <f aca="false">C168+C192</f>
        <v>-3533.89598637546</v>
      </c>
      <c r="D193" s="67" t="n">
        <f aca="false">D168+D192</f>
        <v>-3533.89598637546</v>
      </c>
      <c r="E193" s="67" t="n">
        <f aca="false">E168+E192</f>
        <v>-3533.89598637546</v>
      </c>
      <c r="F193" s="67" t="n">
        <f aca="false">F168+F192</f>
        <v>-3533.89598637546</v>
      </c>
      <c r="G193" s="67" t="n">
        <f aca="false">G168+G192</f>
        <v>-3533.89598637546</v>
      </c>
      <c r="H193" s="67" t="n">
        <f aca="false">H168+H192</f>
        <v>-3533.89598637546</v>
      </c>
      <c r="I193" s="67" t="n">
        <f aca="false">I168+I192</f>
        <v>-3533.89598637546</v>
      </c>
      <c r="J193" s="67" t="n">
        <f aca="false">J168+J192</f>
        <v>-3533.89598637546</v>
      </c>
      <c r="K193" s="67" t="n">
        <f aca="false">K168+K192</f>
        <v>-3533.89598637546</v>
      </c>
      <c r="L193" s="67" t="n">
        <f aca="false">L168+L192</f>
        <v>-3533.89598637546</v>
      </c>
      <c r="M193" s="67" t="n">
        <f aca="false">M168+M192</f>
        <v>-3533.89598637546</v>
      </c>
      <c r="N193" s="67" t="n">
        <f aca="false">N168+N192</f>
        <v>-3533.89598637546</v>
      </c>
      <c r="O193" s="67" t="n">
        <f aca="false">O168+O192</f>
        <v>-3533.89598637546</v>
      </c>
      <c r="P193" s="67" t="n">
        <f aca="false">P168+P192</f>
        <v>-3533.89598637546</v>
      </c>
      <c r="Q193" s="67" t="n">
        <f aca="false">Q168+Q192</f>
        <v>-3533.89598637546</v>
      </c>
      <c r="R193" s="67" t="n">
        <f aca="false">R168+R192</f>
        <v>-3533.89598637546</v>
      </c>
      <c r="S193" s="67" t="n">
        <f aca="false">S168+S192</f>
        <v>-3533.89598637546</v>
      </c>
      <c r="T193" s="67" t="n">
        <f aca="false">T168+T192</f>
        <v>-3533.89598637546</v>
      </c>
      <c r="U193" s="67" t="n">
        <f aca="false">U168+U192</f>
        <v>-3533.89598637546</v>
      </c>
      <c r="V193" s="67" t="n">
        <f aca="false">V168+V192</f>
        <v>-3533.89598637546</v>
      </c>
      <c r="W193" s="67" t="n">
        <f aca="false">W168+W192</f>
        <v>-3533.89598637546</v>
      </c>
      <c r="X193" s="67" t="n">
        <f aca="false">X168+X192</f>
        <v>-3533.89598637546</v>
      </c>
      <c r="Y193" s="67" t="n">
        <f aca="false">Y168+Y192</f>
        <v>-3533.89598637546</v>
      </c>
      <c r="Z193" s="67" t="n">
        <f aca="false">Z168+Z192</f>
        <v>-3533.89598637546</v>
      </c>
      <c r="AA193" s="67" t="n">
        <f aca="false">AA168+AA192</f>
        <v>-3533.89598637546</v>
      </c>
      <c r="AB193" s="67" t="n">
        <f aca="false">AB168+AB192</f>
        <v>-3533.89598637546</v>
      </c>
      <c r="AC193" s="67" t="n">
        <f aca="false">AC168+AC192</f>
        <v>-3533.89598637546</v>
      </c>
      <c r="AD193" s="67" t="n">
        <f aca="false">AD168+AD192</f>
        <v>-3533.89598637546</v>
      </c>
      <c r="AE193" s="67" t="n">
        <f aca="false">AE168+AE192</f>
        <v>-3533.89598637546</v>
      </c>
      <c r="AF193" s="67" t="n">
        <f aca="false">AF168+AF192</f>
        <v>-3533.89598637546</v>
      </c>
      <c r="AG193" s="67" t="n">
        <f aca="false">AG168+AG192</f>
        <v>-3533.89598637546</v>
      </c>
      <c r="AH193" s="67" t="n">
        <f aca="false">AH168+AH192</f>
        <v>-3533.89598637546</v>
      </c>
      <c r="AI193" s="67" t="n">
        <f aca="false">AI168+AI192</f>
        <v>-3533.89598637546</v>
      </c>
      <c r="AJ193" s="67" t="n">
        <f aca="false">AJ168+AJ192</f>
        <v>-3533.89598637546</v>
      </c>
      <c r="AK193" s="67" t="n">
        <f aca="false">AK168+AK192</f>
        <v>-3533.89598637546</v>
      </c>
      <c r="AL193" s="67" t="n">
        <f aca="false">AL168+AL192</f>
        <v>-3533.89598637546</v>
      </c>
      <c r="AM193" s="67" t="n">
        <f aca="false">AM168+AM192</f>
        <v>-3533.89598637546</v>
      </c>
      <c r="AN193" s="67" t="n">
        <f aca="false">AN168+AN192</f>
        <v>-3533.89598637546</v>
      </c>
      <c r="AO193" s="67" t="n">
        <f aca="false">AO168+AO192</f>
        <v>-3533.89598637546</v>
      </c>
      <c r="AP193" s="67" t="n">
        <f aca="false">AP168+AP192</f>
        <v>-3533.89598637546</v>
      </c>
      <c r="AQ193" s="67" t="n">
        <f aca="false">AQ168+AQ192</f>
        <v>-3533.89598637546</v>
      </c>
      <c r="AR193" s="67" t="n">
        <f aca="false">AR168+AR192</f>
        <v>-3533.89598637546</v>
      </c>
      <c r="AS193" s="67" t="n">
        <f aca="false">AS168+AS192</f>
        <v>-3533.89598637546</v>
      </c>
      <c r="AT193" s="67" t="n">
        <f aca="false">AT168+AT192</f>
        <v>-3533.89598637546</v>
      </c>
      <c r="AU193" s="67" t="n">
        <f aca="false">AU168+AU192</f>
        <v>-3533.89598637546</v>
      </c>
      <c r="AV193" s="67" t="n">
        <f aca="false">AV168+AV192</f>
        <v>-3533.89598637546</v>
      </c>
      <c r="AW193" s="67" t="n">
        <f aca="false">AW168+AW192</f>
        <v>-3533.89598637546</v>
      </c>
      <c r="AX193" s="67" t="n">
        <f aca="false">AX168+AX192</f>
        <v>-3533.89598637546</v>
      </c>
      <c r="AY193" s="67" t="n">
        <f aca="false">AY168+AY192</f>
        <v>-3533.89598637546</v>
      </c>
      <c r="AZ193" s="67" t="n">
        <f aca="false">AZ168+AZ192</f>
        <v>-3533.89598637546</v>
      </c>
      <c r="BA193" s="67" t="n">
        <f aca="false">BA168+BA192</f>
        <v>-3533.89598637546</v>
      </c>
      <c r="BB193" s="67" t="n">
        <f aca="false">BB168+BB192</f>
        <v>-3533.89598637546</v>
      </c>
      <c r="BC193" s="67" t="n">
        <f aca="false">BC168+BC192</f>
        <v>-3533.89598637546</v>
      </c>
      <c r="BD193" s="67" t="n">
        <f aca="false">BD168+BD192</f>
        <v>-3533.89598637546</v>
      </c>
      <c r="BE193" s="67" t="n">
        <f aca="false">BE168+BE192</f>
        <v>-3533.89598637546</v>
      </c>
      <c r="BF193" s="67" t="n">
        <f aca="false">BF168+BF192</f>
        <v>-3533.89598637546</v>
      </c>
      <c r="BG193" s="67" t="n">
        <f aca="false">BG168+BG192</f>
        <v>-3533.89598637546</v>
      </c>
      <c r="BH193" s="67" t="n">
        <f aca="false">BH168+BH192</f>
        <v>-3533.89598637546</v>
      </c>
      <c r="BI193" s="67" t="n">
        <f aca="false">BI168+BI192</f>
        <v>-3533.89598637546</v>
      </c>
      <c r="BJ193" s="67" t="n">
        <f aca="false">BJ168+BJ192</f>
        <v>-3533.89598637546</v>
      </c>
    </row>
    <row r="194" customFormat="false" ht="15" hidden="false" customHeight="false" outlineLevel="0" collapsed="false">
      <c r="A194" s="4" t="s">
        <v>436</v>
      </c>
      <c r="C194" s="73" t="n">
        <f aca="false">C189+C190+C192</f>
        <v>499382.770680291</v>
      </c>
      <c r="D194" s="73" t="n">
        <f aca="false">D189+D190+D192</f>
        <v>498761.940856217</v>
      </c>
      <c r="E194" s="73" t="n">
        <f aca="false">E189+E190+E192</f>
        <v>498137.489524837</v>
      </c>
      <c r="F194" s="73" t="n">
        <f aca="false">F189+F190+F192</f>
        <v>497509.395560689</v>
      </c>
      <c r="G194" s="73" t="n">
        <f aca="false">G189+G190+G192</f>
        <v>496877.637715085</v>
      </c>
      <c r="H194" s="73" t="n">
        <f aca="false">H189+H190+H192</f>
        <v>496242.19461538</v>
      </c>
      <c r="I194" s="73" t="n">
        <f aca="false">I189+I190+I192</f>
        <v>495603.044764261</v>
      </c>
      <c r="J194" s="73" t="n">
        <f aca="false">J189+J190+J192</f>
        <v>494960.166539011</v>
      </c>
      <c r="K194" s="73" t="n">
        <f aca="false">K189+K190+K192</f>
        <v>494313.53819078</v>
      </c>
      <c r="L194" s="73" t="n">
        <f aca="false">L189+L190+L192</f>
        <v>493663.13784385</v>
      </c>
      <c r="M194" s="73" t="n">
        <f aca="false">M189+M190+M192</f>
        <v>493008.943494897</v>
      </c>
      <c r="N194" s="73" t="n">
        <f aca="false">N189+N190+N192</f>
        <v>492350.933012242</v>
      </c>
      <c r="O194" s="73" t="n">
        <f aca="false">O189+O190+O192</f>
        <v>491689.084135105</v>
      </c>
      <c r="P194" s="73" t="n">
        <f aca="false">P189+P190+P192</f>
        <v>491023.374472851</v>
      </c>
      <c r="Q194" s="73" t="n">
        <f aca="false">Q189+Q190+Q192</f>
        <v>490353.781504234</v>
      </c>
      <c r="R194" s="73" t="n">
        <f aca="false">R189+R190+R192</f>
        <v>489680.282576633</v>
      </c>
      <c r="S194" s="73" t="n">
        <f aca="false">S189+S190+S192</f>
        <v>489002.854905288</v>
      </c>
      <c r="T194" s="73" t="n">
        <f aca="false">T189+T190+T192</f>
        <v>488321.475572526</v>
      </c>
      <c r="U194" s="73" t="n">
        <f aca="false">U189+U190+U192</f>
        <v>487636.121526991</v>
      </c>
      <c r="V194" s="73" t="n">
        <f aca="false">V189+V190+V192</f>
        <v>486946.769582856</v>
      </c>
      <c r="W194" s="73" t="n">
        <f aca="false">W189+W190+W192</f>
        <v>486253.396419047</v>
      </c>
      <c r="X194" s="73" t="n">
        <f aca="false">X189+X190+X192</f>
        <v>485555.978578449</v>
      </c>
      <c r="Y194" s="73" t="n">
        <f aca="false">Y189+Y190+Y192</f>
        <v>484854.492467115</v>
      </c>
      <c r="Z194" s="73" t="n">
        <f aca="false">Z189+Z190+Z192</f>
        <v>484148.914353464</v>
      </c>
      <c r="AA194" s="73" t="n">
        <f aca="false">AA189+AA190+AA192</f>
        <v>483439.220367484</v>
      </c>
      <c r="AB194" s="73" t="n">
        <f aca="false">AB189+AB190+AB192</f>
        <v>482725.386499919</v>
      </c>
      <c r="AC194" s="73" t="n">
        <f aca="false">AC189+AC190+AC192</f>
        <v>482007.38860146</v>
      </c>
      <c r="AD194" s="73" t="n">
        <f aca="false">AD189+AD190+AD192</f>
        <v>481285.202381926</v>
      </c>
      <c r="AE194" s="73" t="n">
        <f aca="false">AE189+AE190+AE192</f>
        <v>480558.803409445</v>
      </c>
      <c r="AF194" s="73" t="n">
        <f aca="false">AF189+AF190+AF192</f>
        <v>479828.167109625</v>
      </c>
      <c r="AG194" s="73" t="n">
        <f aca="false">AG189+AG190+AG192</f>
        <v>479093.268764722</v>
      </c>
      <c r="AH194" s="73" t="n">
        <f aca="false">AH189+AH190+AH192</f>
        <v>478354.083512808</v>
      </c>
      <c r="AI194" s="73" t="n">
        <f aca="false">AI189+AI190+AI192</f>
        <v>477610.586346923</v>
      </c>
      <c r="AJ194" s="73" t="n">
        <f aca="false">AJ189+AJ190+AJ192</f>
        <v>476862.752114238</v>
      </c>
      <c r="AK194" s="73" t="n">
        <f aca="false">AK189+AK190+AK192</f>
        <v>476110.555515196</v>
      </c>
      <c r="AL194" s="73" t="n">
        <f aca="false">AL189+AL190+AL192</f>
        <v>475353.971102659</v>
      </c>
      <c r="AM194" s="73" t="n">
        <f aca="false">AM189+AM190+AM192</f>
        <v>474592.973281049</v>
      </c>
      <c r="AN194" s="73" t="n">
        <f aca="false">AN189+AN190+AN192</f>
        <v>473827.53630548</v>
      </c>
      <c r="AO194" s="73" t="n">
        <f aca="false">AO189+AO190+AO192</f>
        <v>473057.634280886</v>
      </c>
      <c r="AP194" s="73" t="n">
        <f aca="false">AP189+AP190+AP192</f>
        <v>472283.241161149</v>
      </c>
      <c r="AQ194" s="73" t="n">
        <f aca="false">AQ189+AQ190+AQ192</f>
        <v>471504.330748214</v>
      </c>
      <c r="AR194" s="73" t="n">
        <f aca="false">AR189+AR190+AR192</f>
        <v>470720.876691203</v>
      </c>
      <c r="AS194" s="73" t="n">
        <f aca="false">AS189+AS190+AS192</f>
        <v>469932.852485526</v>
      </c>
      <c r="AT194" s="73" t="n">
        <f aca="false">AT189+AT190+AT192</f>
        <v>469140.231471983</v>
      </c>
      <c r="AU194" s="73" t="n">
        <f aca="false">AU189+AU190+AU192</f>
        <v>468342.986835861</v>
      </c>
      <c r="AV194" s="73" t="n">
        <f aca="false">AV189+AV190+AV192</f>
        <v>467541.091606028</v>
      </c>
      <c r="AW194" s="73" t="n">
        <f aca="false">AW189+AW190+AW192</f>
        <v>466734.518654021</v>
      </c>
      <c r="AX194" s="73" t="n">
        <f aca="false">AX189+AX190+AX192</f>
        <v>465923.240693127</v>
      </c>
      <c r="AY194" s="73" t="n">
        <f aca="false">AY189+AY190+AY192</f>
        <v>465107.230277462</v>
      </c>
      <c r="AZ194" s="73" t="n">
        <f aca="false">AZ189+AZ190+AZ192</f>
        <v>464286.459801038</v>
      </c>
      <c r="BA194" s="73" t="n">
        <f aca="false">BA189+BA190+BA192</f>
        <v>463460.901496835</v>
      </c>
      <c r="BB194" s="73" t="n">
        <f aca="false">BB189+BB190+BB192</f>
        <v>462630.527435858</v>
      </c>
      <c r="BC194" s="73" t="n">
        <f aca="false">BC189+BC190+BC192</f>
        <v>461795.309526192</v>
      </c>
      <c r="BD194" s="73" t="n">
        <f aca="false">BD189+BD190+BD192</f>
        <v>460955.219512053</v>
      </c>
      <c r="BE194" s="73" t="n">
        <f aca="false">BE189+BE190+BE192</f>
        <v>460110.228972831</v>
      </c>
      <c r="BF194" s="73" t="n">
        <f aca="false">BF189+BF190+BF192</f>
        <v>459260.30932213</v>
      </c>
      <c r="BG194" s="73" t="n">
        <f aca="false">BG189+BG190+BG192</f>
        <v>458405.4318068</v>
      </c>
      <c r="BH194" s="73" t="n">
        <f aca="false">BH189+BH190+BH192</f>
        <v>457545.567505965</v>
      </c>
      <c r="BI194" s="73" t="n">
        <f aca="false">BI189+BI190+BI192</f>
        <v>456680.687330041</v>
      </c>
      <c r="BJ194" s="73" t="n">
        <f aca="false">BJ189+BJ190+BJ192</f>
        <v>455810.762019757</v>
      </c>
    </row>
    <row r="196" customFormat="false" ht="15.75" hidden="false" customHeight="true" outlineLevel="0" collapsed="false">
      <c r="A196" s="7" t="s">
        <v>311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6" t="s">
        <v>90</v>
      </c>
      <c r="C197" s="67" t="n">
        <f aca="false">C142*Inputs!$C$71/30</f>
        <v>1154.12586666667</v>
      </c>
      <c r="D197" s="67" t="n">
        <f aca="false">D142*Inputs!$C$71/30</f>
        <v>1327.24474666667</v>
      </c>
      <c r="E197" s="67" t="n">
        <f aca="false">E142*Inputs!$C$71/30</f>
        <v>1500.36362666667</v>
      </c>
      <c r="F197" s="67" t="n">
        <f aca="false">F142*Inputs!$C$71/30</f>
        <v>1673.48250666667</v>
      </c>
      <c r="G197" s="67" t="n">
        <f aca="false">G142*Inputs!$C$71/30</f>
        <v>1846.60138666667</v>
      </c>
      <c r="H197" s="67" t="n">
        <f aca="false">H142*Inputs!$C$71/30</f>
        <v>2754.164</v>
      </c>
      <c r="I197" s="67" t="n">
        <f aca="false">I142*Inputs!$C$71/30</f>
        <v>2990.2352</v>
      </c>
      <c r="J197" s="67" t="n">
        <f aca="false">J142*Inputs!$C$71/30</f>
        <v>3226.3064</v>
      </c>
      <c r="K197" s="67" t="n">
        <f aca="false">K142*Inputs!$C$71/30</f>
        <v>2539.07690666667</v>
      </c>
      <c r="L197" s="67" t="n">
        <f aca="false">L142*Inputs!$C$71/30</f>
        <v>2712.19578666667</v>
      </c>
      <c r="M197" s="67" t="n">
        <f aca="false">M142*Inputs!$C$71/30</f>
        <v>2885.31466666667</v>
      </c>
      <c r="N197" s="67" t="n">
        <f aca="false">N142*Inputs!$C$71/30</f>
        <v>2885.31466666667</v>
      </c>
      <c r="O197" s="67" t="n">
        <f aca="false">O142*Inputs!$C$71/30</f>
        <v>3031.3115888</v>
      </c>
      <c r="P197" s="67" t="n">
        <f aca="false">P142*Inputs!$C$71/30</f>
        <v>3031.3115888</v>
      </c>
      <c r="Q197" s="67" t="n">
        <f aca="false">Q142*Inputs!$C$71/30</f>
        <v>3031.3115888</v>
      </c>
      <c r="R197" s="67" t="n">
        <f aca="false">R142*Inputs!$C$71/30</f>
        <v>3031.3115888</v>
      </c>
      <c r="S197" s="67" t="n">
        <f aca="false">S142*Inputs!$C$71/30</f>
        <v>3031.3115888</v>
      </c>
      <c r="T197" s="67" t="n">
        <f aca="false">T142*Inputs!$C$71/30</f>
        <v>4133.606712</v>
      </c>
      <c r="U197" s="67" t="n">
        <f aca="false">U142*Inputs!$C$71/30</f>
        <v>4133.606712</v>
      </c>
      <c r="V197" s="67" t="n">
        <f aca="false">V142*Inputs!$C$71/30</f>
        <v>4133.606712</v>
      </c>
      <c r="W197" s="67" t="n">
        <f aca="false">W142*Inputs!$C$71/30</f>
        <v>3031.3115888</v>
      </c>
      <c r="X197" s="67" t="n">
        <f aca="false">X142*Inputs!$C$71/30</f>
        <v>3031.3115888</v>
      </c>
      <c r="Y197" s="67" t="n">
        <f aca="false">Y142*Inputs!$C$71/30</f>
        <v>3031.3115888</v>
      </c>
      <c r="Z197" s="67" t="n">
        <f aca="false">Z142*Inputs!$C$71/30</f>
        <v>3031.3115888</v>
      </c>
      <c r="AA197" s="67" t="n">
        <f aca="false">AA142*Inputs!$C$71/30</f>
        <v>3184.69595519328</v>
      </c>
      <c r="AB197" s="67" t="n">
        <f aca="false">AB142*Inputs!$C$71/30</f>
        <v>3184.69595519328</v>
      </c>
      <c r="AC197" s="67" t="n">
        <f aca="false">AC142*Inputs!$C$71/30</f>
        <v>3184.69595519328</v>
      </c>
      <c r="AD197" s="67" t="n">
        <f aca="false">AD142*Inputs!$C$71/30</f>
        <v>3184.69595519328</v>
      </c>
      <c r="AE197" s="67" t="n">
        <f aca="false">AE142*Inputs!$C$71/30</f>
        <v>3184.69595519328</v>
      </c>
      <c r="AF197" s="67" t="n">
        <f aca="false">AF142*Inputs!$C$71/30</f>
        <v>4342.7672116272</v>
      </c>
      <c r="AG197" s="67" t="n">
        <f aca="false">AG142*Inputs!$C$71/30</f>
        <v>4342.7672116272</v>
      </c>
      <c r="AH197" s="67" t="n">
        <f aca="false">AH142*Inputs!$C$71/30</f>
        <v>4342.7672116272</v>
      </c>
      <c r="AI197" s="67" t="n">
        <f aca="false">AI142*Inputs!$C$71/30</f>
        <v>3184.69595519328</v>
      </c>
      <c r="AJ197" s="67" t="n">
        <f aca="false">AJ142*Inputs!$C$71/30</f>
        <v>3184.69595519328</v>
      </c>
      <c r="AK197" s="67" t="n">
        <f aca="false">AK142*Inputs!$C$71/30</f>
        <v>3184.69595519328</v>
      </c>
      <c r="AL197" s="67" t="n">
        <f aca="false">AL142*Inputs!$C$71/30</f>
        <v>3184.69595519328</v>
      </c>
      <c r="AM197" s="67" t="n">
        <f aca="false">AM142*Inputs!$C$71/30</f>
        <v>3345.84157052606</v>
      </c>
      <c r="AN197" s="67" t="n">
        <f aca="false">AN142*Inputs!$C$71/30</f>
        <v>3345.84157052606</v>
      </c>
      <c r="AO197" s="67" t="n">
        <f aca="false">AO142*Inputs!$C$71/30</f>
        <v>3345.84157052606</v>
      </c>
      <c r="AP197" s="67" t="n">
        <f aca="false">AP142*Inputs!$C$71/30</f>
        <v>3345.84157052606</v>
      </c>
      <c r="AQ197" s="67" t="n">
        <f aca="false">AQ142*Inputs!$C$71/30</f>
        <v>3345.84157052606</v>
      </c>
      <c r="AR197" s="67" t="n">
        <f aca="false">AR142*Inputs!$C$71/30</f>
        <v>4562.51123253554</v>
      </c>
      <c r="AS197" s="67" t="n">
        <f aca="false">AS142*Inputs!$C$71/30</f>
        <v>4562.51123253554</v>
      </c>
      <c r="AT197" s="67" t="n">
        <f aca="false">AT142*Inputs!$C$71/30</f>
        <v>4562.51123253554</v>
      </c>
      <c r="AU197" s="67" t="n">
        <f aca="false">AU142*Inputs!$C$71/30</f>
        <v>3345.84157052606</v>
      </c>
      <c r="AV197" s="67" t="n">
        <f aca="false">AV142*Inputs!$C$71/30</f>
        <v>3345.84157052606</v>
      </c>
      <c r="AW197" s="67" t="n">
        <f aca="false">AW142*Inputs!$C$71/30</f>
        <v>3345.84157052606</v>
      </c>
      <c r="AX197" s="67" t="n">
        <f aca="false">AX142*Inputs!$C$71/30</f>
        <v>3345.84157052606</v>
      </c>
      <c r="AY197" s="67" t="n">
        <f aca="false">AY142*Inputs!$C$71/30</f>
        <v>3515.14115399468</v>
      </c>
      <c r="AZ197" s="67" t="n">
        <f aca="false">AZ142*Inputs!$C$71/30</f>
        <v>3515.14115399468</v>
      </c>
      <c r="BA197" s="67" t="n">
        <f aca="false">BA142*Inputs!$C$71/30</f>
        <v>3515.14115399468</v>
      </c>
      <c r="BB197" s="67" t="n">
        <f aca="false">BB142*Inputs!$C$71/30</f>
        <v>3515.14115399468</v>
      </c>
      <c r="BC197" s="67" t="n">
        <f aca="false">BC142*Inputs!$C$71/30</f>
        <v>3515.14115399468</v>
      </c>
      <c r="BD197" s="67" t="n">
        <f aca="false">BD142*Inputs!$C$71/30</f>
        <v>4793.37430090184</v>
      </c>
      <c r="BE197" s="67" t="n">
        <f aca="false">BE142*Inputs!$C$71/30</f>
        <v>4793.37430090184</v>
      </c>
      <c r="BF197" s="67" t="n">
        <f aca="false">BF142*Inputs!$C$71/30</f>
        <v>4793.37430090184</v>
      </c>
      <c r="BG197" s="67" t="n">
        <f aca="false">BG142*Inputs!$C$71/30</f>
        <v>3515.14115399468</v>
      </c>
      <c r="BH197" s="67" t="n">
        <f aca="false">BH142*Inputs!$C$71/30</f>
        <v>3515.14115399468</v>
      </c>
      <c r="BI197" s="67" t="n">
        <f aca="false">BI142*Inputs!$C$71/30</f>
        <v>3515.14115399468</v>
      </c>
      <c r="BJ197" s="67" t="n">
        <f aca="false">BJ142*Inputs!$C$71/30</f>
        <v>3515.14115399468</v>
      </c>
    </row>
    <row r="198" customFormat="false" ht="15" hidden="false" customHeight="false" outlineLevel="0" collapsed="false">
      <c r="A198" s="6" t="s">
        <v>91</v>
      </c>
      <c r="C198" s="67" t="n">
        <f aca="false">-C150*Inputs!$C$72/30</f>
        <v>686.592226666667</v>
      </c>
      <c r="D198" s="67" t="n">
        <f aca="false">-D150*Inputs!$C$72/30</f>
        <v>720.581060666667</v>
      </c>
      <c r="E198" s="67" t="n">
        <f aca="false">-E150*Inputs!$C$72/30</f>
        <v>754.569894666667</v>
      </c>
      <c r="F198" s="67" t="n">
        <f aca="false">-F150*Inputs!$C$72/30</f>
        <v>788.558728666667</v>
      </c>
      <c r="G198" s="67" t="n">
        <f aca="false">-G150*Inputs!$C$72/30</f>
        <v>822.547562666667</v>
      </c>
      <c r="H198" s="67" t="n">
        <f aca="false">-H150*Inputs!$C$72/30</f>
        <v>1000.73145</v>
      </c>
      <c r="I198" s="67" t="n">
        <f aca="false">-I150*Inputs!$C$72/30</f>
        <v>1047.07986</v>
      </c>
      <c r="J198" s="67" t="n">
        <f aca="false">-J150*Inputs!$C$72/30</f>
        <v>1093.42827</v>
      </c>
      <c r="K198" s="67" t="n">
        <f aca="false">-K150*Inputs!$C$72/30</f>
        <v>958.502898666667</v>
      </c>
      <c r="L198" s="67" t="n">
        <f aca="false">-L150*Inputs!$C$72/30</f>
        <v>992.491732666667</v>
      </c>
      <c r="M198" s="67" t="n">
        <f aca="false">-M150*Inputs!$C$72/30</f>
        <v>1026.48056666667</v>
      </c>
      <c r="N198" s="67" t="n">
        <f aca="false">-N150*Inputs!$C$72/30</f>
        <v>1026.48056666667</v>
      </c>
      <c r="O198" s="67" t="n">
        <f aca="false">-O150*Inputs!$C$72/30</f>
        <v>1068.94448334</v>
      </c>
      <c r="P198" s="67" t="n">
        <f aca="false">-P150*Inputs!$C$72/30</f>
        <v>1068.94448334</v>
      </c>
      <c r="Q198" s="67" t="n">
        <f aca="false">-Q150*Inputs!$C$72/30</f>
        <v>1068.94448334</v>
      </c>
      <c r="R198" s="67" t="n">
        <f aca="false">-R150*Inputs!$C$72/30</f>
        <v>1068.94448334</v>
      </c>
      <c r="S198" s="67" t="n">
        <f aca="false">-S150*Inputs!$C$72/30</f>
        <v>1068.94448334</v>
      </c>
      <c r="T198" s="67" t="n">
        <f aca="false">-T150*Inputs!$C$72/30</f>
        <v>1285.3606591</v>
      </c>
      <c r="U198" s="67" t="n">
        <f aca="false">-U150*Inputs!$C$72/30</f>
        <v>1285.3606591</v>
      </c>
      <c r="V198" s="67" t="n">
        <f aca="false">-V150*Inputs!$C$72/30</f>
        <v>1285.3606591</v>
      </c>
      <c r="W198" s="67" t="n">
        <f aca="false">-W150*Inputs!$C$72/30</f>
        <v>1068.94448334</v>
      </c>
      <c r="X198" s="67" t="n">
        <f aca="false">-X150*Inputs!$C$72/30</f>
        <v>1068.94448334</v>
      </c>
      <c r="Y198" s="67" t="n">
        <f aca="false">-Y150*Inputs!$C$72/30</f>
        <v>1068.94448334</v>
      </c>
      <c r="Z198" s="67" t="n">
        <f aca="false">-Z150*Inputs!$C$72/30</f>
        <v>1068.94448334</v>
      </c>
      <c r="AA198" s="67" t="n">
        <f aca="false">-AA150*Inputs!$C$72/30</f>
        <v>1113.272794197</v>
      </c>
      <c r="AB198" s="67" t="n">
        <f aca="false">-AB150*Inputs!$C$72/30</f>
        <v>1113.272794197</v>
      </c>
      <c r="AC198" s="67" t="n">
        <f aca="false">-AC150*Inputs!$C$72/30</f>
        <v>1113.272794197</v>
      </c>
      <c r="AD198" s="67" t="n">
        <f aca="false">-AD150*Inputs!$C$72/30</f>
        <v>1113.272794197</v>
      </c>
      <c r="AE198" s="67" t="n">
        <f aca="false">-AE150*Inputs!$C$72/30</f>
        <v>1113.272794197</v>
      </c>
      <c r="AF198" s="67" t="n">
        <f aca="false">-AF150*Inputs!$C$72/30</f>
        <v>1340.63962845046</v>
      </c>
      <c r="AG198" s="67" t="n">
        <f aca="false">-AG150*Inputs!$C$72/30</f>
        <v>1340.63962845046</v>
      </c>
      <c r="AH198" s="67" t="n">
        <f aca="false">-AH150*Inputs!$C$72/30</f>
        <v>1340.63962845046</v>
      </c>
      <c r="AI198" s="67" t="n">
        <f aca="false">-AI150*Inputs!$C$72/30</f>
        <v>1113.272794197</v>
      </c>
      <c r="AJ198" s="67" t="n">
        <f aca="false">-AJ150*Inputs!$C$72/30</f>
        <v>1113.272794197</v>
      </c>
      <c r="AK198" s="67" t="n">
        <f aca="false">-AK150*Inputs!$C$72/30</f>
        <v>1113.272794197</v>
      </c>
      <c r="AL198" s="67" t="n">
        <f aca="false">-AL150*Inputs!$C$72/30</f>
        <v>1113.272794197</v>
      </c>
      <c r="AM198" s="67" t="n">
        <f aca="false">-AM150*Inputs!$C$72/30</f>
        <v>1159.55130918337</v>
      </c>
      <c r="AN198" s="67" t="n">
        <f aca="false">-AN150*Inputs!$C$72/30</f>
        <v>1159.55130918337</v>
      </c>
      <c r="AO198" s="67" t="n">
        <f aca="false">-AO150*Inputs!$C$72/30</f>
        <v>1159.55130918337</v>
      </c>
      <c r="AP198" s="67" t="n">
        <f aca="false">-AP150*Inputs!$C$72/30</f>
        <v>1159.55130918337</v>
      </c>
      <c r="AQ198" s="67" t="n">
        <f aca="false">-AQ150*Inputs!$C$72/30</f>
        <v>1159.55130918337</v>
      </c>
      <c r="AR198" s="67" t="n">
        <f aca="false">-AR150*Inputs!$C$72/30</f>
        <v>1398.42290525005</v>
      </c>
      <c r="AS198" s="67" t="n">
        <f aca="false">-AS150*Inputs!$C$72/30</f>
        <v>1398.42290525005</v>
      </c>
      <c r="AT198" s="67" t="n">
        <f aca="false">-AT150*Inputs!$C$72/30</f>
        <v>1398.42290525005</v>
      </c>
      <c r="AU198" s="67" t="n">
        <f aca="false">-AU150*Inputs!$C$72/30</f>
        <v>1159.55130918337</v>
      </c>
      <c r="AV198" s="67" t="n">
        <f aca="false">-AV150*Inputs!$C$72/30</f>
        <v>1159.55130918337</v>
      </c>
      <c r="AW198" s="67" t="n">
        <f aca="false">-AW150*Inputs!$C$72/30</f>
        <v>1159.55130918337</v>
      </c>
      <c r="AX198" s="67" t="n">
        <f aca="false">-AX150*Inputs!$C$72/30</f>
        <v>1159.55130918337</v>
      </c>
      <c r="AY198" s="67" t="n">
        <f aca="false">-AY150*Inputs!$C$72/30</f>
        <v>1207.86992437605</v>
      </c>
      <c r="AZ198" s="67" t="n">
        <f aca="false">-AZ150*Inputs!$C$72/30</f>
        <v>1207.86992437605</v>
      </c>
      <c r="BA198" s="67" t="n">
        <f aca="false">-BA150*Inputs!$C$72/30</f>
        <v>1207.86992437605</v>
      </c>
      <c r="BB198" s="67" t="n">
        <f aca="false">-BB150*Inputs!$C$72/30</f>
        <v>1207.86992437605</v>
      </c>
      <c r="BC198" s="67" t="n">
        <f aca="false">-BC150*Inputs!$C$72/30</f>
        <v>1207.86992437605</v>
      </c>
      <c r="BD198" s="67" t="n">
        <f aca="false">-BD150*Inputs!$C$72/30</f>
        <v>1458.82842320371</v>
      </c>
      <c r="BE198" s="67" t="n">
        <f aca="false">-BE150*Inputs!$C$72/30</f>
        <v>1458.82842320371</v>
      </c>
      <c r="BF198" s="67" t="n">
        <f aca="false">-BF150*Inputs!$C$72/30</f>
        <v>1458.82842320371</v>
      </c>
      <c r="BG198" s="67" t="n">
        <f aca="false">-BG150*Inputs!$C$72/30</f>
        <v>1207.86992437605</v>
      </c>
      <c r="BH198" s="67" t="n">
        <f aca="false">-BH150*Inputs!$C$72/30</f>
        <v>1207.86992437605</v>
      </c>
      <c r="BI198" s="67" t="n">
        <f aca="false">-BI150*Inputs!$C$72/30</f>
        <v>1207.86992437605</v>
      </c>
      <c r="BJ198" s="67" t="n">
        <f aca="false">-BJ150*Inputs!$C$72/30</f>
        <v>1207.86992437605</v>
      </c>
    </row>
    <row r="199" customFormat="false" ht="15" hidden="false" customHeight="false" outlineLevel="0" collapsed="false">
      <c r="A199" s="6" t="s">
        <v>94</v>
      </c>
      <c r="C199" s="67" t="n">
        <f aca="false">-C150*Inputs!$C$73/30</f>
        <v>5721.60188888889</v>
      </c>
      <c r="D199" s="67" t="n">
        <f aca="false">-D150*Inputs!$C$73/30</f>
        <v>6004.84217222222</v>
      </c>
      <c r="E199" s="67" t="n">
        <f aca="false">-E150*Inputs!$C$73/30</f>
        <v>6288.08245555556</v>
      </c>
      <c r="F199" s="67" t="n">
        <f aca="false">-F150*Inputs!$C$73/30</f>
        <v>6571.32273888889</v>
      </c>
      <c r="G199" s="67" t="n">
        <f aca="false">-G150*Inputs!$C$73/30</f>
        <v>6854.56302222222</v>
      </c>
      <c r="H199" s="67" t="n">
        <f aca="false">-H150*Inputs!$C$73/30</f>
        <v>8339.42875</v>
      </c>
      <c r="I199" s="67" t="n">
        <f aca="false">-I150*Inputs!$C$73/30</f>
        <v>8725.6655</v>
      </c>
      <c r="J199" s="67" t="n">
        <f aca="false">-J150*Inputs!$C$73/30</f>
        <v>9111.90225</v>
      </c>
      <c r="K199" s="67" t="n">
        <f aca="false">-K150*Inputs!$C$73/30</f>
        <v>7987.52415555556</v>
      </c>
      <c r="L199" s="67" t="n">
        <f aca="false">-L150*Inputs!$C$73/30</f>
        <v>8270.76443888889</v>
      </c>
      <c r="M199" s="67" t="n">
        <f aca="false">-M150*Inputs!$C$73/30</f>
        <v>8554.00472222222</v>
      </c>
      <c r="N199" s="67" t="n">
        <f aca="false">-N150*Inputs!$C$73/30</f>
        <v>8554.00472222222</v>
      </c>
      <c r="O199" s="67" t="n">
        <f aca="false">-O150*Inputs!$C$73/30</f>
        <v>8907.8706945</v>
      </c>
      <c r="P199" s="67" t="n">
        <f aca="false">-P150*Inputs!$C$73/30</f>
        <v>8907.8706945</v>
      </c>
      <c r="Q199" s="67" t="n">
        <f aca="false">-Q150*Inputs!$C$73/30</f>
        <v>8907.8706945</v>
      </c>
      <c r="R199" s="67" t="n">
        <f aca="false">-R150*Inputs!$C$73/30</f>
        <v>8907.8706945</v>
      </c>
      <c r="S199" s="67" t="n">
        <f aca="false">-S150*Inputs!$C$73/30</f>
        <v>8907.8706945</v>
      </c>
      <c r="T199" s="67" t="n">
        <f aca="false">-T150*Inputs!$C$73/30</f>
        <v>10711.3388258333</v>
      </c>
      <c r="U199" s="67" t="n">
        <f aca="false">-U150*Inputs!$C$73/30</f>
        <v>10711.3388258333</v>
      </c>
      <c r="V199" s="67" t="n">
        <f aca="false">-V150*Inputs!$C$73/30</f>
        <v>10711.3388258333</v>
      </c>
      <c r="W199" s="67" t="n">
        <f aca="false">-W150*Inputs!$C$73/30</f>
        <v>8907.8706945</v>
      </c>
      <c r="X199" s="67" t="n">
        <f aca="false">-X150*Inputs!$C$73/30</f>
        <v>8907.8706945</v>
      </c>
      <c r="Y199" s="67" t="n">
        <f aca="false">-Y150*Inputs!$C$73/30</f>
        <v>8907.8706945</v>
      </c>
      <c r="Z199" s="67" t="n">
        <f aca="false">-Z150*Inputs!$C$73/30</f>
        <v>8907.8706945</v>
      </c>
      <c r="AA199" s="67" t="n">
        <f aca="false">-AA150*Inputs!$C$73/30</f>
        <v>9277.27328497503</v>
      </c>
      <c r="AB199" s="67" t="n">
        <f aca="false">-AB150*Inputs!$C$73/30</f>
        <v>9277.27328497503</v>
      </c>
      <c r="AC199" s="67" t="n">
        <f aca="false">-AC150*Inputs!$C$73/30</f>
        <v>9277.27328497503</v>
      </c>
      <c r="AD199" s="67" t="n">
        <f aca="false">-AD150*Inputs!$C$73/30</f>
        <v>9277.27328497503</v>
      </c>
      <c r="AE199" s="67" t="n">
        <f aca="false">-AE150*Inputs!$C$73/30</f>
        <v>9277.27328497503</v>
      </c>
      <c r="AF199" s="67" t="n">
        <f aca="false">-AF150*Inputs!$C$73/30</f>
        <v>11171.9969037538</v>
      </c>
      <c r="AG199" s="67" t="n">
        <f aca="false">-AG150*Inputs!$C$73/30</f>
        <v>11171.9969037538</v>
      </c>
      <c r="AH199" s="67" t="n">
        <f aca="false">-AH150*Inputs!$C$73/30</f>
        <v>11171.9969037538</v>
      </c>
      <c r="AI199" s="67" t="n">
        <f aca="false">-AI150*Inputs!$C$73/30</f>
        <v>9277.27328497503</v>
      </c>
      <c r="AJ199" s="67" t="n">
        <f aca="false">-AJ150*Inputs!$C$73/30</f>
        <v>9277.27328497503</v>
      </c>
      <c r="AK199" s="67" t="n">
        <f aca="false">-AK150*Inputs!$C$73/30</f>
        <v>9277.27328497503</v>
      </c>
      <c r="AL199" s="67" t="n">
        <f aca="false">-AL150*Inputs!$C$73/30</f>
        <v>9277.27328497503</v>
      </c>
      <c r="AM199" s="67" t="n">
        <f aca="false">-AM150*Inputs!$C$73/30</f>
        <v>9662.92757652811</v>
      </c>
      <c r="AN199" s="67" t="n">
        <f aca="false">-AN150*Inputs!$C$73/30</f>
        <v>9662.92757652811</v>
      </c>
      <c r="AO199" s="67" t="n">
        <f aca="false">-AO150*Inputs!$C$73/30</f>
        <v>9662.92757652811</v>
      </c>
      <c r="AP199" s="67" t="n">
        <f aca="false">-AP150*Inputs!$C$73/30</f>
        <v>9662.92757652811</v>
      </c>
      <c r="AQ199" s="67" t="n">
        <f aca="false">-AQ150*Inputs!$C$73/30</f>
        <v>9662.92757652811</v>
      </c>
      <c r="AR199" s="67" t="n">
        <f aca="false">-AR150*Inputs!$C$73/30</f>
        <v>11653.5242104171</v>
      </c>
      <c r="AS199" s="67" t="n">
        <f aca="false">-AS150*Inputs!$C$73/30</f>
        <v>11653.5242104171</v>
      </c>
      <c r="AT199" s="67" t="n">
        <f aca="false">-AT150*Inputs!$C$73/30</f>
        <v>11653.5242104171</v>
      </c>
      <c r="AU199" s="67" t="n">
        <f aca="false">-AU150*Inputs!$C$73/30</f>
        <v>9662.92757652811</v>
      </c>
      <c r="AV199" s="67" t="n">
        <f aca="false">-AV150*Inputs!$C$73/30</f>
        <v>9662.92757652811</v>
      </c>
      <c r="AW199" s="67" t="n">
        <f aca="false">-AW150*Inputs!$C$73/30</f>
        <v>9662.92757652811</v>
      </c>
      <c r="AX199" s="67" t="n">
        <f aca="false">-AX150*Inputs!$C$73/30</f>
        <v>9662.92757652811</v>
      </c>
      <c r="AY199" s="67" t="n">
        <f aca="false">-AY150*Inputs!$C$73/30</f>
        <v>10065.5827031338</v>
      </c>
      <c r="AZ199" s="67" t="n">
        <f aca="false">-AZ150*Inputs!$C$73/30</f>
        <v>10065.5827031338</v>
      </c>
      <c r="BA199" s="67" t="n">
        <f aca="false">-BA150*Inputs!$C$73/30</f>
        <v>10065.5827031338</v>
      </c>
      <c r="BB199" s="67" t="n">
        <f aca="false">-BB150*Inputs!$C$73/30</f>
        <v>10065.5827031338</v>
      </c>
      <c r="BC199" s="67" t="n">
        <f aca="false">-BC150*Inputs!$C$73/30</f>
        <v>10065.5827031338</v>
      </c>
      <c r="BD199" s="67" t="n">
        <f aca="false">-BD150*Inputs!$C$73/30</f>
        <v>12156.9035266976</v>
      </c>
      <c r="BE199" s="67" t="n">
        <f aca="false">-BE150*Inputs!$C$73/30</f>
        <v>12156.9035266976</v>
      </c>
      <c r="BF199" s="67" t="n">
        <f aca="false">-BF150*Inputs!$C$73/30</f>
        <v>12156.9035266976</v>
      </c>
      <c r="BG199" s="67" t="n">
        <f aca="false">-BG150*Inputs!$C$73/30</f>
        <v>10065.5827031338</v>
      </c>
      <c r="BH199" s="67" t="n">
        <f aca="false">-BH150*Inputs!$C$73/30</f>
        <v>10065.5827031338</v>
      </c>
      <c r="BI199" s="67" t="n">
        <f aca="false">-BI150*Inputs!$C$73/30</f>
        <v>10065.5827031338</v>
      </c>
      <c r="BJ199" s="67" t="n">
        <f aca="false">-BJ150*Inputs!$C$73/30</f>
        <v>10065.5827031338</v>
      </c>
    </row>
    <row r="200" customFormat="false" ht="15" hidden="false" customHeight="false" outlineLevel="0" collapsed="false">
      <c r="A200" s="6" t="s">
        <v>338</v>
      </c>
      <c r="C200" s="67" t="n">
        <f aca="false">-C197</f>
        <v>-1154.12586666667</v>
      </c>
      <c r="D200" s="67" t="n">
        <f aca="false">C197-D197</f>
        <v>-173.11888</v>
      </c>
      <c r="E200" s="67" t="n">
        <f aca="false">D197-E197</f>
        <v>-173.11888</v>
      </c>
      <c r="F200" s="67" t="n">
        <f aca="false">E197-F197</f>
        <v>-173.11888</v>
      </c>
      <c r="G200" s="67" t="n">
        <f aca="false">F197-G197</f>
        <v>-173.11888</v>
      </c>
      <c r="H200" s="67" t="n">
        <f aca="false">G197-H197</f>
        <v>-907.562613333333</v>
      </c>
      <c r="I200" s="67" t="n">
        <f aca="false">H197-I197</f>
        <v>-236.0712</v>
      </c>
      <c r="J200" s="67" t="n">
        <f aca="false">I197-J197</f>
        <v>-236.071200000001</v>
      </c>
      <c r="K200" s="67" t="n">
        <f aca="false">J197-K197</f>
        <v>687.229493333334</v>
      </c>
      <c r="L200" s="67" t="n">
        <f aca="false">K197-L197</f>
        <v>-173.11888</v>
      </c>
      <c r="M200" s="67" t="n">
        <f aca="false">L197-M197</f>
        <v>-173.11888</v>
      </c>
      <c r="N200" s="67" t="n">
        <f aca="false">M197-N197</f>
        <v>0</v>
      </c>
      <c r="O200" s="67" t="n">
        <f aca="false">N197-O197</f>
        <v>-145.996922133334</v>
      </c>
      <c r="P200" s="67" t="n">
        <f aca="false">O197-P197</f>
        <v>0</v>
      </c>
      <c r="Q200" s="67" t="n">
        <f aca="false">P197-Q197</f>
        <v>0</v>
      </c>
      <c r="R200" s="67" t="n">
        <f aca="false">Q197-R197</f>
        <v>0</v>
      </c>
      <c r="S200" s="67" t="n">
        <f aca="false">R197-S197</f>
        <v>0</v>
      </c>
      <c r="T200" s="67" t="n">
        <f aca="false">S197-T197</f>
        <v>-1102.2951232</v>
      </c>
      <c r="U200" s="67" t="n">
        <f aca="false">T197-U197</f>
        <v>0</v>
      </c>
      <c r="V200" s="67" t="n">
        <f aca="false">U197-V197</f>
        <v>0</v>
      </c>
      <c r="W200" s="67" t="n">
        <f aca="false">V197-W197</f>
        <v>1102.2951232</v>
      </c>
      <c r="X200" s="67" t="n">
        <f aca="false">W197-X197</f>
        <v>0</v>
      </c>
      <c r="Y200" s="67" t="n">
        <f aca="false">X197-Y197</f>
        <v>0</v>
      </c>
      <c r="Z200" s="67" t="n">
        <f aca="false">Y197-Z197</f>
        <v>0</v>
      </c>
      <c r="AA200" s="67" t="n">
        <f aca="false">Z197-AA197</f>
        <v>-153.384366393279</v>
      </c>
      <c r="AB200" s="67" t="n">
        <f aca="false">AA197-AB197</f>
        <v>0</v>
      </c>
      <c r="AC200" s="67" t="n">
        <f aca="false">AB197-AC197</f>
        <v>0</v>
      </c>
      <c r="AD200" s="67" t="n">
        <f aca="false">AC197-AD197</f>
        <v>0</v>
      </c>
      <c r="AE200" s="67" t="n">
        <f aca="false">AD197-AE197</f>
        <v>0</v>
      </c>
      <c r="AF200" s="67" t="n">
        <f aca="false">AE197-AF197</f>
        <v>-1158.07125643392</v>
      </c>
      <c r="AG200" s="67" t="n">
        <f aca="false">AF197-AG197</f>
        <v>0</v>
      </c>
      <c r="AH200" s="67" t="n">
        <f aca="false">AG197-AH197</f>
        <v>0</v>
      </c>
      <c r="AI200" s="67" t="n">
        <f aca="false">AH197-AI197</f>
        <v>1158.07125643392</v>
      </c>
      <c r="AJ200" s="67" t="n">
        <f aca="false">AI197-AJ197</f>
        <v>0</v>
      </c>
      <c r="AK200" s="67" t="n">
        <f aca="false">AJ197-AK197</f>
        <v>0</v>
      </c>
      <c r="AL200" s="67" t="n">
        <f aca="false">AK197-AL197</f>
        <v>0</v>
      </c>
      <c r="AM200" s="67" t="n">
        <f aca="false">AL197-AM197</f>
        <v>-161.145615332781</v>
      </c>
      <c r="AN200" s="67" t="n">
        <f aca="false">AM197-AN197</f>
        <v>0</v>
      </c>
      <c r="AO200" s="67" t="n">
        <f aca="false">AN197-AO197</f>
        <v>0</v>
      </c>
      <c r="AP200" s="67" t="n">
        <f aca="false">AO197-AP197</f>
        <v>0</v>
      </c>
      <c r="AQ200" s="67" t="n">
        <f aca="false">AP197-AQ197</f>
        <v>0</v>
      </c>
      <c r="AR200" s="67" t="n">
        <f aca="false">AQ197-AR197</f>
        <v>-1216.66966200948</v>
      </c>
      <c r="AS200" s="67" t="n">
        <f aca="false">AR197-AS197</f>
        <v>0</v>
      </c>
      <c r="AT200" s="67" t="n">
        <f aca="false">AS197-AT197</f>
        <v>0</v>
      </c>
      <c r="AU200" s="67" t="n">
        <f aca="false">AT197-AU197</f>
        <v>1216.66966200948</v>
      </c>
      <c r="AV200" s="67" t="n">
        <f aca="false">AU197-AV197</f>
        <v>0</v>
      </c>
      <c r="AW200" s="67" t="n">
        <f aca="false">AV197-AW197</f>
        <v>0</v>
      </c>
      <c r="AX200" s="67" t="n">
        <f aca="false">AW197-AX197</f>
        <v>0</v>
      </c>
      <c r="AY200" s="67" t="n">
        <f aca="false">AX197-AY197</f>
        <v>-169.299583468619</v>
      </c>
      <c r="AZ200" s="67" t="n">
        <f aca="false">AY197-AZ197</f>
        <v>0</v>
      </c>
      <c r="BA200" s="67" t="n">
        <f aca="false">AZ197-BA197</f>
        <v>0</v>
      </c>
      <c r="BB200" s="67" t="n">
        <f aca="false">BA197-BB197</f>
        <v>0</v>
      </c>
      <c r="BC200" s="67" t="n">
        <f aca="false">BB197-BC197</f>
        <v>0</v>
      </c>
      <c r="BD200" s="67" t="n">
        <f aca="false">BC197-BD197</f>
        <v>-1278.23314690716</v>
      </c>
      <c r="BE200" s="67" t="n">
        <f aca="false">BD197-BE197</f>
        <v>0</v>
      </c>
      <c r="BF200" s="67" t="n">
        <f aca="false">BE197-BF197</f>
        <v>0</v>
      </c>
      <c r="BG200" s="67" t="n">
        <f aca="false">BF197-BG197</f>
        <v>1278.23314690716</v>
      </c>
      <c r="BH200" s="67" t="n">
        <f aca="false">BG197-BH197</f>
        <v>0</v>
      </c>
      <c r="BI200" s="67" t="n">
        <f aca="false">BH197-BI197</f>
        <v>0</v>
      </c>
      <c r="BJ200" s="67" t="n">
        <f aca="false">BI197-BJ197</f>
        <v>0</v>
      </c>
    </row>
    <row r="201" customFormat="false" ht="15" hidden="false" customHeight="false" outlineLevel="0" collapsed="false">
      <c r="A201" s="6" t="s">
        <v>339</v>
      </c>
      <c r="C201" s="67" t="n">
        <f aca="false">-C198</f>
        <v>-686.592226666667</v>
      </c>
      <c r="D201" s="67" t="n">
        <f aca="false">C198-D198</f>
        <v>-33.9888340000001</v>
      </c>
      <c r="E201" s="67" t="n">
        <f aca="false">D198-E198</f>
        <v>-33.988834</v>
      </c>
      <c r="F201" s="67" t="n">
        <f aca="false">E198-F198</f>
        <v>-33.988834</v>
      </c>
      <c r="G201" s="67" t="n">
        <f aca="false">F198-G198</f>
        <v>-33.988834</v>
      </c>
      <c r="H201" s="67" t="n">
        <f aca="false">G198-H198</f>
        <v>-178.183887333333</v>
      </c>
      <c r="I201" s="67" t="n">
        <f aca="false">H198-I198</f>
        <v>-46.3484099999998</v>
      </c>
      <c r="J201" s="67" t="n">
        <f aca="false">I198-J198</f>
        <v>-46.3484100000003</v>
      </c>
      <c r="K201" s="67" t="n">
        <f aca="false">J198-K198</f>
        <v>134.925371333333</v>
      </c>
      <c r="L201" s="67" t="n">
        <f aca="false">K198-L198</f>
        <v>-33.9888339999999</v>
      </c>
      <c r="M201" s="67" t="n">
        <f aca="false">L198-M198</f>
        <v>-33.988834</v>
      </c>
      <c r="N201" s="67" t="n">
        <f aca="false">M198-N198</f>
        <v>0</v>
      </c>
      <c r="O201" s="67" t="n">
        <f aca="false">N198-O198</f>
        <v>-42.4639166733334</v>
      </c>
      <c r="P201" s="67" t="n">
        <f aca="false">O198-P198</f>
        <v>0</v>
      </c>
      <c r="Q201" s="67" t="n">
        <f aca="false">P198-Q198</f>
        <v>0</v>
      </c>
      <c r="R201" s="67" t="n">
        <f aca="false">Q198-R198</f>
        <v>0</v>
      </c>
      <c r="S201" s="67" t="n">
        <f aca="false">R198-S198</f>
        <v>0</v>
      </c>
      <c r="T201" s="67" t="n">
        <f aca="false">S198-T198</f>
        <v>-216.41617576</v>
      </c>
      <c r="U201" s="67" t="n">
        <f aca="false">T198-U198</f>
        <v>0</v>
      </c>
      <c r="V201" s="67" t="n">
        <f aca="false">U198-V198</f>
        <v>0</v>
      </c>
      <c r="W201" s="67" t="n">
        <f aca="false">V198-W198</f>
        <v>216.41617576</v>
      </c>
      <c r="X201" s="67" t="n">
        <f aca="false">W198-X198</f>
        <v>0</v>
      </c>
      <c r="Y201" s="67" t="n">
        <f aca="false">X198-Y198</f>
        <v>0</v>
      </c>
      <c r="Z201" s="67" t="n">
        <f aca="false">Y198-Z198</f>
        <v>0</v>
      </c>
      <c r="AA201" s="67" t="n">
        <f aca="false">Z198-AA198</f>
        <v>-44.328310857004</v>
      </c>
      <c r="AB201" s="67" t="n">
        <f aca="false">AA198-AB198</f>
        <v>0</v>
      </c>
      <c r="AC201" s="67" t="n">
        <f aca="false">AB198-AC198</f>
        <v>0</v>
      </c>
      <c r="AD201" s="67" t="n">
        <f aca="false">AC198-AD198</f>
        <v>0</v>
      </c>
      <c r="AE201" s="67" t="n">
        <f aca="false">AD198-AE198</f>
        <v>0</v>
      </c>
      <c r="AF201" s="67" t="n">
        <f aca="false">AE198-AF198</f>
        <v>-227.366834253456</v>
      </c>
      <c r="AG201" s="67" t="n">
        <f aca="false">AF198-AG198</f>
        <v>0</v>
      </c>
      <c r="AH201" s="67" t="n">
        <f aca="false">AG198-AH198</f>
        <v>0</v>
      </c>
      <c r="AI201" s="67" t="n">
        <f aca="false">AH198-AI198</f>
        <v>227.366834253456</v>
      </c>
      <c r="AJ201" s="67" t="n">
        <f aca="false">AI198-AJ198</f>
        <v>0</v>
      </c>
      <c r="AK201" s="67" t="n">
        <f aca="false">AJ198-AK198</f>
        <v>0</v>
      </c>
      <c r="AL201" s="67" t="n">
        <f aca="false">AK198-AL198</f>
        <v>0</v>
      </c>
      <c r="AM201" s="67" t="n">
        <f aca="false">AL198-AM198</f>
        <v>-46.2785149863685</v>
      </c>
      <c r="AN201" s="67" t="n">
        <f aca="false">AM198-AN198</f>
        <v>0</v>
      </c>
      <c r="AO201" s="67" t="n">
        <f aca="false">AN198-AO198</f>
        <v>0</v>
      </c>
      <c r="AP201" s="67" t="n">
        <f aca="false">AO198-AP198</f>
        <v>0</v>
      </c>
      <c r="AQ201" s="67" t="n">
        <f aca="false">AP198-AQ198</f>
        <v>0</v>
      </c>
      <c r="AR201" s="67" t="n">
        <f aca="false">AQ198-AR198</f>
        <v>-238.871596066681</v>
      </c>
      <c r="AS201" s="67" t="n">
        <f aca="false">AR198-AS198</f>
        <v>0</v>
      </c>
      <c r="AT201" s="67" t="n">
        <f aca="false">AS198-AT198</f>
        <v>0</v>
      </c>
      <c r="AU201" s="67" t="n">
        <f aca="false">AT198-AU198</f>
        <v>238.871596066681</v>
      </c>
      <c r="AV201" s="67" t="n">
        <f aca="false">AU198-AV198</f>
        <v>0</v>
      </c>
      <c r="AW201" s="67" t="n">
        <f aca="false">AV198-AW198</f>
        <v>0</v>
      </c>
      <c r="AX201" s="67" t="n">
        <f aca="false">AW198-AX198</f>
        <v>0</v>
      </c>
      <c r="AY201" s="67" t="n">
        <f aca="false">AX198-AY198</f>
        <v>-48.3186151926789</v>
      </c>
      <c r="AZ201" s="67" t="n">
        <f aca="false">AY198-AZ198</f>
        <v>0</v>
      </c>
      <c r="BA201" s="67" t="n">
        <f aca="false">AZ198-BA198</f>
        <v>0</v>
      </c>
      <c r="BB201" s="67" t="n">
        <f aca="false">BA198-BB198</f>
        <v>0</v>
      </c>
      <c r="BC201" s="67" t="n">
        <f aca="false">BB198-BC198</f>
        <v>0</v>
      </c>
      <c r="BD201" s="67" t="n">
        <f aca="false">BC198-BD198</f>
        <v>-250.958498827655</v>
      </c>
      <c r="BE201" s="67" t="n">
        <f aca="false">BD198-BE198</f>
        <v>0</v>
      </c>
      <c r="BF201" s="67" t="n">
        <f aca="false">BE198-BF198</f>
        <v>0</v>
      </c>
      <c r="BG201" s="67" t="n">
        <f aca="false">BF198-BG198</f>
        <v>250.958498827655</v>
      </c>
      <c r="BH201" s="67" t="n">
        <f aca="false">BG198-BH198</f>
        <v>0</v>
      </c>
      <c r="BI201" s="67" t="n">
        <f aca="false">BH198-BI198</f>
        <v>0</v>
      </c>
      <c r="BJ201" s="67" t="n">
        <f aca="false">BI198-BJ198</f>
        <v>0</v>
      </c>
    </row>
    <row r="202" customFormat="false" ht="15" hidden="false" customHeight="false" outlineLevel="0" collapsed="false">
      <c r="A202" s="6" t="s">
        <v>340</v>
      </c>
      <c r="C202" s="67" t="n">
        <f aca="false">C199</f>
        <v>5721.60188888889</v>
      </c>
      <c r="D202" s="67" t="n">
        <f aca="false">D199-C199</f>
        <v>283.240283333333</v>
      </c>
      <c r="E202" s="67" t="n">
        <f aca="false">E199-D199</f>
        <v>283.240283333334</v>
      </c>
      <c r="F202" s="67" t="n">
        <f aca="false">F199-E199</f>
        <v>283.240283333334</v>
      </c>
      <c r="G202" s="67" t="n">
        <f aca="false">G199-F199</f>
        <v>283.240283333334</v>
      </c>
      <c r="H202" s="67" t="n">
        <f aca="false">H199-G199</f>
        <v>1484.86572777778</v>
      </c>
      <c r="I202" s="67" t="n">
        <f aca="false">I199-H199</f>
        <v>386.236749999998</v>
      </c>
      <c r="J202" s="67" t="n">
        <f aca="false">J199-I199</f>
        <v>386.236750000002</v>
      </c>
      <c r="K202" s="67" t="n">
        <f aca="false">K199-J199</f>
        <v>-1124.37809444445</v>
      </c>
      <c r="L202" s="67" t="n">
        <f aca="false">L199-K199</f>
        <v>283.240283333334</v>
      </c>
      <c r="M202" s="67" t="n">
        <f aca="false">M199-L199</f>
        <v>283.240283333333</v>
      </c>
      <c r="N202" s="67" t="n">
        <f aca="false">N199-M199</f>
        <v>0</v>
      </c>
      <c r="O202" s="67" t="n">
        <f aca="false">O199-N199</f>
        <v>353.865972277778</v>
      </c>
      <c r="P202" s="67" t="n">
        <f aca="false">P199-O199</f>
        <v>0</v>
      </c>
      <c r="Q202" s="67" t="n">
        <f aca="false">Q199-P199</f>
        <v>0</v>
      </c>
      <c r="R202" s="67" t="n">
        <f aca="false">R199-Q199</f>
        <v>0</v>
      </c>
      <c r="S202" s="67" t="n">
        <f aca="false">S199-R199</f>
        <v>0</v>
      </c>
      <c r="T202" s="67" t="n">
        <f aca="false">T199-S199</f>
        <v>1803.46813133334</v>
      </c>
      <c r="U202" s="67" t="n">
        <f aca="false">U199-T199</f>
        <v>0</v>
      </c>
      <c r="V202" s="67" t="n">
        <f aca="false">V199-U199</f>
        <v>0</v>
      </c>
      <c r="W202" s="67" t="n">
        <f aca="false">W199-V199</f>
        <v>-1803.46813133334</v>
      </c>
      <c r="X202" s="67" t="n">
        <f aca="false">X199-W199</f>
        <v>0</v>
      </c>
      <c r="Y202" s="67" t="n">
        <f aca="false">Y199-X199</f>
        <v>0</v>
      </c>
      <c r="Z202" s="67" t="n">
        <f aca="false">Z199-Y199</f>
        <v>0</v>
      </c>
      <c r="AA202" s="67" t="n">
        <f aca="false">AA199-Z199</f>
        <v>369.402590475032</v>
      </c>
      <c r="AB202" s="67" t="n">
        <f aca="false">AB199-AA199</f>
        <v>0</v>
      </c>
      <c r="AC202" s="67" t="n">
        <f aca="false">AC199-AB199</f>
        <v>0</v>
      </c>
      <c r="AD202" s="67" t="n">
        <f aca="false">AD199-AC199</f>
        <v>0</v>
      </c>
      <c r="AE202" s="67" t="n">
        <f aca="false">AE199-AD199</f>
        <v>0</v>
      </c>
      <c r="AF202" s="67" t="n">
        <f aca="false">AF199-AE199</f>
        <v>1894.7236187788</v>
      </c>
      <c r="AG202" s="67" t="n">
        <f aca="false">AG199-AF199</f>
        <v>0</v>
      </c>
      <c r="AH202" s="67" t="n">
        <f aca="false">AH199-AG199</f>
        <v>0</v>
      </c>
      <c r="AI202" s="67" t="n">
        <f aca="false">AI199-AH199</f>
        <v>-1894.7236187788</v>
      </c>
      <c r="AJ202" s="67" t="n">
        <f aca="false">AJ199-AI199</f>
        <v>0</v>
      </c>
      <c r="AK202" s="67" t="n">
        <f aca="false">AK199-AJ199</f>
        <v>0</v>
      </c>
      <c r="AL202" s="67" t="n">
        <f aca="false">AL199-AK199</f>
        <v>0</v>
      </c>
      <c r="AM202" s="67" t="n">
        <f aca="false">AM199-AL199</f>
        <v>385.654291553074</v>
      </c>
      <c r="AN202" s="67" t="n">
        <f aca="false">AN199-AM199</f>
        <v>0</v>
      </c>
      <c r="AO202" s="67" t="n">
        <f aca="false">AO199-AN199</f>
        <v>0</v>
      </c>
      <c r="AP202" s="67" t="n">
        <f aca="false">AP199-AO199</f>
        <v>0</v>
      </c>
      <c r="AQ202" s="67" t="n">
        <f aca="false">AQ199-AP199</f>
        <v>0</v>
      </c>
      <c r="AR202" s="67" t="n">
        <f aca="false">AR199-AQ199</f>
        <v>1990.59663388901</v>
      </c>
      <c r="AS202" s="67" t="n">
        <f aca="false">AS199-AR199</f>
        <v>0</v>
      </c>
      <c r="AT202" s="67" t="n">
        <f aca="false">AT199-AS199</f>
        <v>0</v>
      </c>
      <c r="AU202" s="67" t="n">
        <f aca="false">AU199-AT199</f>
        <v>-1990.59663388901</v>
      </c>
      <c r="AV202" s="67" t="n">
        <f aca="false">AV199-AU199</f>
        <v>0</v>
      </c>
      <c r="AW202" s="67" t="n">
        <f aca="false">AW199-AV199</f>
        <v>0</v>
      </c>
      <c r="AX202" s="67" t="n">
        <f aca="false">AX199-AW199</f>
        <v>0</v>
      </c>
      <c r="AY202" s="67" t="n">
        <f aca="false">AY199-AX199</f>
        <v>402.655126605656</v>
      </c>
      <c r="AZ202" s="67" t="n">
        <f aca="false">AZ199-AY199</f>
        <v>0</v>
      </c>
      <c r="BA202" s="67" t="n">
        <f aca="false">BA199-AZ199</f>
        <v>0</v>
      </c>
      <c r="BB202" s="67" t="n">
        <f aca="false">BB199-BA199</f>
        <v>0</v>
      </c>
      <c r="BC202" s="67" t="n">
        <f aca="false">BC199-BB199</f>
        <v>0</v>
      </c>
      <c r="BD202" s="67" t="n">
        <f aca="false">BD199-BC199</f>
        <v>2091.32082356379</v>
      </c>
      <c r="BE202" s="67" t="n">
        <f aca="false">BE199-BD199</f>
        <v>0</v>
      </c>
      <c r="BF202" s="67" t="n">
        <f aca="false">BF199-BE199</f>
        <v>0</v>
      </c>
      <c r="BG202" s="67" t="n">
        <f aca="false">BG199-BF199</f>
        <v>-2091.32082356379</v>
      </c>
      <c r="BH202" s="67" t="n">
        <f aca="false">BH199-BG199</f>
        <v>0</v>
      </c>
      <c r="BI202" s="67" t="n">
        <f aca="false">BI199-BH199</f>
        <v>0</v>
      </c>
      <c r="BJ202" s="67" t="n">
        <f aca="false">BJ199-BI199</f>
        <v>0</v>
      </c>
    </row>
    <row r="204" customFormat="false" ht="15.75" hidden="false" customHeight="true" outlineLevel="0" collapsed="false">
      <c r="A204" s="7" t="s">
        <v>437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customFormat="false" ht="15" hidden="false" customHeight="false" outlineLevel="0" collapsed="false">
      <c r="A205" s="4" t="s">
        <v>52</v>
      </c>
      <c r="C205" s="73" t="n">
        <f aca="false">C173-C184+C200+C201+C202</f>
        <v>-6558.71080177778</v>
      </c>
      <c r="D205" s="73" t="n">
        <f aca="false">D173-D184+D200+D201+D202</f>
        <v>-9084.55071323503</v>
      </c>
      <c r="E205" s="73" t="n">
        <f aca="false">E173-E184+E200+E201+E202</f>
        <v>-7805.61839552794</v>
      </c>
      <c r="F205" s="73" t="n">
        <f aca="false">F173-F184+F200+F201+F202</f>
        <v>-6526.66495236155</v>
      </c>
      <c r="G205" s="73" t="n">
        <f aca="false">G173-G184+G200+G201+G202</f>
        <v>-5247.69026050402</v>
      </c>
      <c r="H205" s="73" t="n">
        <f aca="false">H173-H184+H200+H201+H202</f>
        <v>1764.70196043978</v>
      </c>
      <c r="I205" s="73" t="n">
        <f aca="false">I173-I184+I200+I201+I202</f>
        <v>3212.16682074361</v>
      </c>
      <c r="J205" s="73" t="n">
        <f aca="false">J173-J184+J200+J201+J202</f>
        <v>4954.95539087515</v>
      </c>
      <c r="K205" s="73" t="n">
        <f aca="false">K173-K184+K200+K201+K202</f>
        <v>-509.93231538868</v>
      </c>
      <c r="L205" s="73" t="n">
        <f aca="false">L173-L184+L200+L201+L202</f>
        <v>1147.50629282046</v>
      </c>
      <c r="M205" s="73" t="n">
        <f aca="false">M173-M184+M200+M201+M202</f>
        <v>2426.61110524421</v>
      </c>
      <c r="N205" s="73" t="n">
        <f aca="false">N173-N184+N200+N201+N202</f>
        <v>2354.2946696131</v>
      </c>
      <c r="O205" s="73" t="n">
        <f aca="false">O173-O184+O200+O201+O202</f>
        <v>3463.30031433703</v>
      </c>
      <c r="P205" s="73" t="n">
        <f aca="false">P173-P184+P200+P201+P202</f>
        <v>3301.75596598256</v>
      </c>
      <c r="Q205" s="73" t="n">
        <f aca="false">Q173-Q184+Q200+Q201+Q202</f>
        <v>3305.6392723457</v>
      </c>
      <c r="R205" s="73" t="n">
        <f aca="false">R173-R184+R200+R201+R202</f>
        <v>3309.5452313293</v>
      </c>
      <c r="S205" s="73" t="n">
        <f aca="false">S173-S184+S200+S201+S202</f>
        <v>3313.47397507364</v>
      </c>
      <c r="T205" s="73" t="n">
        <f aca="false">T173-T184+T200+T201+T202</f>
        <v>11922.4342107192</v>
      </c>
      <c r="U205" s="73" t="n">
        <f aca="false">U173-U184+U200+U201+U202</f>
        <v>11441.6520911203</v>
      </c>
      <c r="V205" s="73" t="n">
        <f aca="false">V173-V184+V200+V201+V202</f>
        <v>11445.6499897192</v>
      </c>
      <c r="W205" s="73" t="n">
        <f aca="false">W173-W184+W200+W201+W202</f>
        <v>2844.662635164</v>
      </c>
      <c r="X205" s="73" t="n">
        <f aca="false">X173-X184+X200+X201+X202</f>
        <v>3333.46414432622</v>
      </c>
      <c r="Y205" s="73" t="n">
        <f aca="false">Y173-Y184+Y200+Y201+Y202</f>
        <v>3337.53241506304</v>
      </c>
      <c r="Z205" s="73" t="n">
        <f aca="false">Z173-Z184+Z200+Z201+Z202</f>
        <v>3341.62441737916</v>
      </c>
      <c r="AA205" s="73" t="n">
        <f aca="false">AA173-AA184+AA200+AA201+AA202</f>
        <v>4438.5407328128</v>
      </c>
      <c r="AB205" s="73" t="n">
        <f aca="false">AB173-AB184+AB200+AB201+AB202</f>
        <v>4270.99070117294</v>
      </c>
      <c r="AC205" s="73" t="n">
        <f aca="false">AC173-AC184+AC200+AC201+AC202</f>
        <v>4275.15473206707</v>
      </c>
      <c r="AD205" s="73" t="n">
        <f aca="false">AD173-AD184+AD200+AD201+AD202</f>
        <v>4279.34305314141</v>
      </c>
      <c r="AE205" s="73" t="n">
        <f aca="false">AE173-AE184+AE200+AE201+AE202</f>
        <v>4283.55580608869</v>
      </c>
      <c r="AF205" s="73" t="n">
        <f aca="false">AF173-AF184+AF200+AF201+AF202</f>
        <v>13328.2151415135</v>
      </c>
      <c r="AG205" s="73" t="n">
        <f aca="false">AG173-AG184+AG200+AG201+AG202</f>
        <v>12823.1916585044</v>
      </c>
      <c r="AH205" s="73" t="n">
        <f aca="false">AH173-AH184+AH200+AH201+AH202</f>
        <v>12827.4785655163</v>
      </c>
      <c r="AI205" s="73" t="n">
        <f aca="false">AI173-AI184+AI200+AI201+AI202</f>
        <v>3791.36847140046</v>
      </c>
      <c r="AJ205" s="73" t="n">
        <f aca="false">AJ173-AJ184+AJ200+AJ201+AJ202</f>
        <v>4304.99106629287</v>
      </c>
      <c r="AK205" s="73" t="n">
        <f aca="false">AK173-AK184+AK200+AK201+AK202</f>
        <v>4309.3534326502</v>
      </c>
      <c r="AL205" s="73" t="n">
        <f aca="false">AL173-AL184+AL200+AL201+AL202</f>
        <v>4313.74124614462</v>
      </c>
      <c r="AM205" s="73" t="n">
        <f aca="false">AM173-AM184+AM200+AM201+AM202</f>
        <v>5413.20528264283</v>
      </c>
      <c r="AN205" s="73" t="n">
        <f aca="false">AN173-AN184+AN200+AN201+AN202</f>
        <v>5239.4142753683</v>
      </c>
      <c r="AO205" s="73" t="n">
        <f aca="false">AO173-AO184+AO200+AO201+AO202</f>
        <v>5243.87932439246</v>
      </c>
      <c r="AP205" s="73" t="n">
        <f aca="false">AP173-AP184+AP200+AP201+AP202</f>
        <v>5248.37041953592</v>
      </c>
      <c r="AQ205" s="73" t="n">
        <f aca="false">AQ173-AQ184+AQ200+AQ201+AQ202</f>
        <v>5252.88771273438</v>
      </c>
      <c r="AR205" s="73" t="n">
        <f aca="false">AR173-AR184+AR200+AR201+AR202</f>
        <v>14755.2987185043</v>
      </c>
      <c r="AS205" s="73" t="n">
        <f aca="false">AS173-AS184+AS200+AS201+AS202</f>
        <v>13437.6755277549</v>
      </c>
      <c r="AT205" s="73" t="n">
        <f aca="false">AT173-AT184+AT200+AT201+AT202</f>
        <v>12080.5043420535</v>
      </c>
      <c r="AU205" s="73" t="n">
        <f aca="false">AU173-AU184+AU200+AU201+AU202</f>
        <v>4469.43629535655</v>
      </c>
      <c r="AV205" s="73" t="n">
        <f aca="false">AV173-AV184+AV200+AV201+AV202</f>
        <v>5009.12177632587</v>
      </c>
      <c r="AW205" s="73" t="n">
        <f aca="false">AW173-AW184+AW200+AW201+AW202</f>
        <v>5013.77331296835</v>
      </c>
      <c r="AX205" s="73" t="n">
        <f aca="false">AX173-AX184+AX200+AX201+AX202</f>
        <v>5018.44640611385</v>
      </c>
      <c r="AY205" s="73" t="n">
        <f aca="false">AY173-AY184+AY200+AY201+AY202</f>
        <v>5938.65619662923</v>
      </c>
      <c r="AZ205" s="73" t="n">
        <f aca="false">AZ173-AZ184+AZ200+AZ201+AZ202</f>
        <v>5758.36453689247</v>
      </c>
      <c r="BA205" s="73" t="n">
        <f aca="false">BA173-BA184+BA200+BA201+BA202</f>
        <v>5763.13174104674</v>
      </c>
      <c r="BB205" s="73" t="n">
        <f aca="false">BB173-BB184+BB200+BB201+BB202</f>
        <v>5767.92100910736</v>
      </c>
      <c r="BC205" s="73" t="n">
        <f aca="false">BC173-BC184+BC200+BC201+BC202</f>
        <v>5772.73246978045</v>
      </c>
      <c r="BD205" s="73" t="n">
        <f aca="false">BD173-BD184+BD200+BD201+BD202</f>
        <v>13778.596345522</v>
      </c>
      <c r="BE205" s="73" t="n">
        <f aca="false">BE173-BE184+BE200+BE201+BE202</f>
        <v>13221.3234027169</v>
      </c>
      <c r="BF205" s="73" t="n">
        <f aca="false">BF173-BF184+BF200+BF201+BF202</f>
        <v>13226.2022209939</v>
      </c>
      <c r="BG205" s="73" t="n">
        <f aca="false">BG173-BG184+BG200+BG201+BG202</f>
        <v>5230.07366126057</v>
      </c>
      <c r="BH205" s="73" t="n">
        <f aca="false">BH173-BH184+BH200+BH201+BH202</f>
        <v>5797.12721984811</v>
      </c>
      <c r="BI205" s="73" t="n">
        <f aca="false">BI173-BI184+BI200+BI201+BI202</f>
        <v>5802.07458137654</v>
      </c>
      <c r="BJ205" s="73" t="n">
        <f aca="false">BJ173-BJ184+BJ200+BJ201+BJ202</f>
        <v>5807.04505772934</v>
      </c>
    </row>
    <row r="206" customFormat="false" ht="15" hidden="false" customHeight="false" outlineLevel="0" collapsed="false">
      <c r="A206" s="6" t="s">
        <v>438</v>
      </c>
      <c r="C206" s="67" t="n">
        <f aca="false">-C181</f>
        <v>-865750</v>
      </c>
      <c r="D206" s="67" t="n">
        <f aca="false">-D181</f>
        <v>-750</v>
      </c>
      <c r="E206" s="67" t="n">
        <f aca="false">-E181</f>
        <v>-750</v>
      </c>
      <c r="F206" s="67" t="n">
        <f aca="false">-F181</f>
        <v>-750</v>
      </c>
      <c r="G206" s="67" t="n">
        <f aca="false">-G181</f>
        <v>-750</v>
      </c>
      <c r="H206" s="67" t="n">
        <f aca="false">-H181</f>
        <v>-750</v>
      </c>
      <c r="I206" s="67" t="n">
        <f aca="false">-I181</f>
        <v>-750</v>
      </c>
      <c r="J206" s="67" t="n">
        <f aca="false">-J181</f>
        <v>-750</v>
      </c>
      <c r="K206" s="67" t="n">
        <f aca="false">-K181</f>
        <v>-750</v>
      </c>
      <c r="L206" s="67" t="n">
        <f aca="false">-L181</f>
        <v>-750</v>
      </c>
      <c r="M206" s="67" t="n">
        <f aca="false">-M181</f>
        <v>-750</v>
      </c>
      <c r="N206" s="67" t="n">
        <f aca="false">-N181</f>
        <v>-750</v>
      </c>
      <c r="O206" s="67" t="n">
        <f aca="false">-O181</f>
        <v>-772.5</v>
      </c>
      <c r="P206" s="67" t="n">
        <f aca="false">-P181</f>
        <v>-772.5</v>
      </c>
      <c r="Q206" s="67" t="n">
        <f aca="false">-Q181</f>
        <v>-772.5</v>
      </c>
      <c r="R206" s="67" t="n">
        <f aca="false">-R181</f>
        <v>-772.5</v>
      </c>
      <c r="S206" s="67" t="n">
        <f aca="false">-S181</f>
        <v>-772.5</v>
      </c>
      <c r="T206" s="67" t="n">
        <f aca="false">-T181</f>
        <v>-772.5</v>
      </c>
      <c r="U206" s="67" t="n">
        <f aca="false">-U181</f>
        <v>-772.5</v>
      </c>
      <c r="V206" s="67" t="n">
        <f aca="false">-V181</f>
        <v>-772.5</v>
      </c>
      <c r="W206" s="67" t="n">
        <f aca="false">-W181</f>
        <v>-772.5</v>
      </c>
      <c r="X206" s="67" t="n">
        <f aca="false">-X181</f>
        <v>-772.5</v>
      </c>
      <c r="Y206" s="67" t="n">
        <f aca="false">-Y181</f>
        <v>-772.5</v>
      </c>
      <c r="Z206" s="67" t="n">
        <f aca="false">-Z181</f>
        <v>-772.5</v>
      </c>
      <c r="AA206" s="67" t="n">
        <f aca="false">-AA181</f>
        <v>-795.675</v>
      </c>
      <c r="AB206" s="67" t="n">
        <f aca="false">-AB181</f>
        <v>-795.675</v>
      </c>
      <c r="AC206" s="67" t="n">
        <f aca="false">-AC181</f>
        <v>-795.675</v>
      </c>
      <c r="AD206" s="67" t="n">
        <f aca="false">-AD181</f>
        <v>-795.675</v>
      </c>
      <c r="AE206" s="67" t="n">
        <f aca="false">-AE181</f>
        <v>-795.675</v>
      </c>
      <c r="AF206" s="67" t="n">
        <f aca="false">-AF181</f>
        <v>-795.675</v>
      </c>
      <c r="AG206" s="67" t="n">
        <f aca="false">-AG181</f>
        <v>-795.675</v>
      </c>
      <c r="AH206" s="67" t="n">
        <f aca="false">-AH181</f>
        <v>-795.675</v>
      </c>
      <c r="AI206" s="67" t="n">
        <f aca="false">-AI181</f>
        <v>-795.675</v>
      </c>
      <c r="AJ206" s="67" t="n">
        <f aca="false">-AJ181</f>
        <v>-795.675</v>
      </c>
      <c r="AK206" s="67" t="n">
        <f aca="false">-AK181</f>
        <v>-795.675</v>
      </c>
      <c r="AL206" s="67" t="n">
        <f aca="false">-AL181</f>
        <v>-795.675</v>
      </c>
      <c r="AM206" s="67" t="n">
        <f aca="false">-AM181</f>
        <v>-819.54525</v>
      </c>
      <c r="AN206" s="67" t="n">
        <f aca="false">-AN181</f>
        <v>-819.54525</v>
      </c>
      <c r="AO206" s="67" t="n">
        <f aca="false">-AO181</f>
        <v>-819.54525</v>
      </c>
      <c r="AP206" s="67" t="n">
        <f aca="false">-AP181</f>
        <v>-819.54525</v>
      </c>
      <c r="AQ206" s="67" t="n">
        <f aca="false">-AQ181</f>
        <v>-819.54525</v>
      </c>
      <c r="AR206" s="67" t="n">
        <f aca="false">-AR181</f>
        <v>-819.54525</v>
      </c>
      <c r="AS206" s="67" t="n">
        <f aca="false">-AS181</f>
        <v>-819.54525</v>
      </c>
      <c r="AT206" s="67" t="n">
        <f aca="false">-AT181</f>
        <v>-819.54525</v>
      </c>
      <c r="AU206" s="67" t="n">
        <f aca="false">-AU181</f>
        <v>-819.54525</v>
      </c>
      <c r="AV206" s="67" t="n">
        <f aca="false">-AV181</f>
        <v>-819.54525</v>
      </c>
      <c r="AW206" s="67" t="n">
        <f aca="false">-AW181</f>
        <v>-819.54525</v>
      </c>
      <c r="AX206" s="67" t="n">
        <f aca="false">-AX181</f>
        <v>-819.54525</v>
      </c>
      <c r="AY206" s="67" t="n">
        <f aca="false">-AY181</f>
        <v>-844.1316075</v>
      </c>
      <c r="AZ206" s="67" t="n">
        <f aca="false">-AZ181</f>
        <v>-844.1316075</v>
      </c>
      <c r="BA206" s="67" t="n">
        <f aca="false">-BA181</f>
        <v>-844.1316075</v>
      </c>
      <c r="BB206" s="67" t="n">
        <f aca="false">-BB181</f>
        <v>-844.1316075</v>
      </c>
      <c r="BC206" s="67" t="n">
        <f aca="false">-BC181</f>
        <v>-844.1316075</v>
      </c>
      <c r="BD206" s="67" t="n">
        <f aca="false">-BD181</f>
        <v>-844.1316075</v>
      </c>
      <c r="BE206" s="67" t="n">
        <f aca="false">-BE181</f>
        <v>-844.1316075</v>
      </c>
      <c r="BF206" s="67" t="n">
        <f aca="false">-BF181</f>
        <v>-844.1316075</v>
      </c>
      <c r="BG206" s="67" t="n">
        <f aca="false">-BG181</f>
        <v>-844.1316075</v>
      </c>
      <c r="BH206" s="67" t="n">
        <f aca="false">-BH181</f>
        <v>-844.1316075</v>
      </c>
      <c r="BI206" s="67" t="n">
        <f aca="false">-BI181</f>
        <v>-844.1316075</v>
      </c>
      <c r="BJ206" s="67" t="n">
        <f aca="false">-BJ181</f>
        <v>-844.1316075</v>
      </c>
    </row>
    <row r="207" customFormat="false" ht="15" hidden="false" customHeight="false" outlineLevel="0" collapsed="false">
      <c r="A207" s="6" t="s">
        <v>64</v>
      </c>
      <c r="C207" s="67" t="n">
        <f aca="false">IF(C$126=1,Inputs!$C$65,0)</f>
        <v>430000</v>
      </c>
      <c r="D207" s="67" t="n">
        <f aca="false">IF(D$126=1,Inputs!$C$65,0)</f>
        <v>0</v>
      </c>
      <c r="E207" s="67" t="n">
        <f aca="false">IF(E$126=1,Inputs!$C$65,0)</f>
        <v>0</v>
      </c>
      <c r="F207" s="67" t="n">
        <f aca="false">IF(F$126=1,Inputs!$C$65,0)</f>
        <v>0</v>
      </c>
      <c r="G207" s="67" t="n">
        <f aca="false">IF(G$126=1,Inputs!$C$65,0)</f>
        <v>0</v>
      </c>
      <c r="H207" s="67" t="n">
        <f aca="false">IF(H$126=1,Inputs!$C$65,0)</f>
        <v>0</v>
      </c>
      <c r="I207" s="67" t="n">
        <f aca="false">IF(I$126=1,Inputs!$C$65,0)</f>
        <v>0</v>
      </c>
      <c r="J207" s="67" t="n">
        <f aca="false">IF(J$126=1,Inputs!$C$65,0)</f>
        <v>0</v>
      </c>
      <c r="K207" s="67" t="n">
        <f aca="false">IF(K$126=1,Inputs!$C$65,0)</f>
        <v>0</v>
      </c>
      <c r="L207" s="67" t="n">
        <f aca="false">IF(L$126=1,Inputs!$C$65,0)</f>
        <v>0</v>
      </c>
      <c r="M207" s="67" t="n">
        <f aca="false">IF(M$126=1,Inputs!$C$65,0)</f>
        <v>0</v>
      </c>
      <c r="N207" s="67" t="n">
        <f aca="false">IF(N$126=1,Inputs!$C$65,0)</f>
        <v>0</v>
      </c>
      <c r="O207" s="67" t="n">
        <f aca="false">IF(O$126=1,Inputs!$C$65,0)</f>
        <v>0</v>
      </c>
      <c r="P207" s="67" t="n">
        <f aca="false">IF(P$126=1,Inputs!$C$65,0)</f>
        <v>0</v>
      </c>
      <c r="Q207" s="67" t="n">
        <f aca="false">IF(Q$126=1,Inputs!$C$65,0)</f>
        <v>0</v>
      </c>
      <c r="R207" s="67" t="n">
        <f aca="false">IF(R$126=1,Inputs!$C$65,0)</f>
        <v>0</v>
      </c>
      <c r="S207" s="67" t="n">
        <f aca="false">IF(S$126=1,Inputs!$C$65,0)</f>
        <v>0</v>
      </c>
      <c r="T207" s="67" t="n">
        <f aca="false">IF(T$126=1,Inputs!$C$65,0)</f>
        <v>0</v>
      </c>
      <c r="U207" s="67" t="n">
        <f aca="false">IF(U$126=1,Inputs!$C$65,0)</f>
        <v>0</v>
      </c>
      <c r="V207" s="67" t="n">
        <f aca="false">IF(V$126=1,Inputs!$C$65,0)</f>
        <v>0</v>
      </c>
      <c r="W207" s="67" t="n">
        <f aca="false">IF(W$126=1,Inputs!$C$65,0)</f>
        <v>0</v>
      </c>
      <c r="X207" s="67" t="n">
        <f aca="false">IF(X$126=1,Inputs!$C$65,0)</f>
        <v>0</v>
      </c>
      <c r="Y207" s="67" t="n">
        <f aca="false">IF(Y$126=1,Inputs!$C$65,0)</f>
        <v>0</v>
      </c>
      <c r="Z207" s="67" t="n">
        <f aca="false">IF(Z$126=1,Inputs!$C$65,0)</f>
        <v>0</v>
      </c>
      <c r="AA207" s="67" t="n">
        <f aca="false">IF(AA$126=1,Inputs!$C$65,0)</f>
        <v>0</v>
      </c>
      <c r="AB207" s="67" t="n">
        <f aca="false">IF(AB$126=1,Inputs!$C$65,0)</f>
        <v>0</v>
      </c>
      <c r="AC207" s="67" t="n">
        <f aca="false">IF(AC$126=1,Inputs!$C$65,0)</f>
        <v>0</v>
      </c>
      <c r="AD207" s="67" t="n">
        <f aca="false">IF(AD$126=1,Inputs!$C$65,0)</f>
        <v>0</v>
      </c>
      <c r="AE207" s="67" t="n">
        <f aca="false">IF(AE$126=1,Inputs!$C$65,0)</f>
        <v>0</v>
      </c>
      <c r="AF207" s="67" t="n">
        <f aca="false">IF(AF$126=1,Inputs!$C$65,0)</f>
        <v>0</v>
      </c>
      <c r="AG207" s="67" t="n">
        <f aca="false">IF(AG$126=1,Inputs!$C$65,0)</f>
        <v>0</v>
      </c>
      <c r="AH207" s="67" t="n">
        <f aca="false">IF(AH$126=1,Inputs!$C$65,0)</f>
        <v>0</v>
      </c>
      <c r="AI207" s="67" t="n">
        <f aca="false">IF(AI$126=1,Inputs!$C$65,0)</f>
        <v>0</v>
      </c>
      <c r="AJ207" s="67" t="n">
        <f aca="false">IF(AJ$126=1,Inputs!$C$65,0)</f>
        <v>0</v>
      </c>
      <c r="AK207" s="67" t="n">
        <f aca="false">IF(AK$126=1,Inputs!$C$65,0)</f>
        <v>0</v>
      </c>
      <c r="AL207" s="67" t="n">
        <f aca="false">IF(AL$126=1,Inputs!$C$65,0)</f>
        <v>0</v>
      </c>
      <c r="AM207" s="67" t="n">
        <f aca="false">IF(AM$126=1,Inputs!$C$65,0)</f>
        <v>0</v>
      </c>
      <c r="AN207" s="67" t="n">
        <f aca="false">IF(AN$126=1,Inputs!$C$65,0)</f>
        <v>0</v>
      </c>
      <c r="AO207" s="67" t="n">
        <f aca="false">IF(AO$126=1,Inputs!$C$65,0)</f>
        <v>0</v>
      </c>
      <c r="AP207" s="67" t="n">
        <f aca="false">IF(AP$126=1,Inputs!$C$65,0)</f>
        <v>0</v>
      </c>
      <c r="AQ207" s="67" t="n">
        <f aca="false">IF(AQ$126=1,Inputs!$C$65,0)</f>
        <v>0</v>
      </c>
      <c r="AR207" s="67" t="n">
        <f aca="false">IF(AR$126=1,Inputs!$C$65,0)</f>
        <v>0</v>
      </c>
      <c r="AS207" s="67" t="n">
        <f aca="false">IF(AS$126=1,Inputs!$C$65,0)</f>
        <v>0</v>
      </c>
      <c r="AT207" s="67" t="n">
        <f aca="false">IF(AT$126=1,Inputs!$C$65,0)</f>
        <v>0</v>
      </c>
      <c r="AU207" s="67" t="n">
        <f aca="false">IF(AU$126=1,Inputs!$C$65,0)</f>
        <v>0</v>
      </c>
      <c r="AV207" s="67" t="n">
        <f aca="false">IF(AV$126=1,Inputs!$C$65,0)</f>
        <v>0</v>
      </c>
      <c r="AW207" s="67" t="n">
        <f aca="false">IF(AW$126=1,Inputs!$C$65,0)</f>
        <v>0</v>
      </c>
      <c r="AX207" s="67" t="n">
        <f aca="false">IF(AX$126=1,Inputs!$C$65,0)</f>
        <v>0</v>
      </c>
      <c r="AY207" s="67" t="n">
        <f aca="false">IF(AY$126=1,Inputs!$C$65,0)</f>
        <v>0</v>
      </c>
      <c r="AZ207" s="67" t="n">
        <f aca="false">IF(AZ$126=1,Inputs!$C$65,0)</f>
        <v>0</v>
      </c>
      <c r="BA207" s="67" t="n">
        <f aca="false">IF(BA$126=1,Inputs!$C$65,0)</f>
        <v>0</v>
      </c>
      <c r="BB207" s="67" t="n">
        <f aca="false">IF(BB$126=1,Inputs!$C$65,0)</f>
        <v>0</v>
      </c>
      <c r="BC207" s="67" t="n">
        <f aca="false">IF(BC$126=1,Inputs!$C$65,0)</f>
        <v>0</v>
      </c>
      <c r="BD207" s="67" t="n">
        <f aca="false">IF(BD$126=1,Inputs!$C$65,0)</f>
        <v>0</v>
      </c>
      <c r="BE207" s="67" t="n">
        <f aca="false">IF(BE$126=1,Inputs!$C$65,0)</f>
        <v>0</v>
      </c>
      <c r="BF207" s="67" t="n">
        <f aca="false">IF(BF$126=1,Inputs!$C$65,0)</f>
        <v>0</v>
      </c>
      <c r="BG207" s="67" t="n">
        <f aca="false">IF(BG$126=1,Inputs!$C$65,0)</f>
        <v>0</v>
      </c>
      <c r="BH207" s="67" t="n">
        <f aca="false">IF(BH$126=1,Inputs!$C$65,0)</f>
        <v>0</v>
      </c>
      <c r="BI207" s="67" t="n">
        <f aca="false">IF(BI$126=1,Inputs!$C$65,0)</f>
        <v>0</v>
      </c>
      <c r="BJ207" s="67" t="n">
        <f aca="false">IF(BJ$126=1,Inputs!$C$65,0)</f>
        <v>0</v>
      </c>
    </row>
    <row r="208" customFormat="false" ht="15" hidden="false" customHeight="false" outlineLevel="0" collapsed="false">
      <c r="A208" s="6" t="s">
        <v>54</v>
      </c>
      <c r="C208" s="67" t="n">
        <f aca="false">C207+C190+C192</f>
        <v>929382.770680291</v>
      </c>
      <c r="D208" s="67" t="n">
        <f aca="false">D207+D190+D192</f>
        <v>-620.82982407376</v>
      </c>
      <c r="E208" s="67" t="n">
        <f aca="false">E207+E190+E192</f>
        <v>-624.451331380857</v>
      </c>
      <c r="F208" s="67" t="n">
        <f aca="false">F207+F190+F192</f>
        <v>-628.093964147245</v>
      </c>
      <c r="G208" s="67" t="n">
        <f aca="false">G207+G190+G192</f>
        <v>-631.757845604771</v>
      </c>
      <c r="H208" s="67" t="n">
        <f aca="false">H207+H190+H192</f>
        <v>-635.443099704132</v>
      </c>
      <c r="I208" s="67" t="n">
        <f aca="false">I207+I190+I192</f>
        <v>-639.149851119073</v>
      </c>
      <c r="J208" s="67" t="n">
        <f aca="false">J207+J190+J192</f>
        <v>-642.878225250601</v>
      </c>
      <c r="K208" s="67" t="n">
        <f aca="false">K207+K190+K192</f>
        <v>-646.62834823123</v>
      </c>
      <c r="L208" s="67" t="n">
        <f aca="false">L207+L190+L192</f>
        <v>-650.400346929245</v>
      </c>
      <c r="M208" s="67" t="n">
        <f aca="false">M207+M190+M192</f>
        <v>-654.194348952999</v>
      </c>
      <c r="N208" s="67" t="n">
        <f aca="false">N207+N190+N192</f>
        <v>-658.010482655225</v>
      </c>
      <c r="O208" s="67" t="n">
        <f aca="false">O207+O190+O192</f>
        <v>-661.84887713738</v>
      </c>
      <c r="P208" s="67" t="n">
        <f aca="false">P207+P190+P192</f>
        <v>-665.709662254014</v>
      </c>
      <c r="Q208" s="67" t="n">
        <f aca="false">Q207+Q190+Q192</f>
        <v>-669.592968617164</v>
      </c>
      <c r="R208" s="67" t="n">
        <f aca="false">R207+R190+R192</f>
        <v>-673.498927600764</v>
      </c>
      <c r="S208" s="67" t="n">
        <f aca="false">S207+S190+S192</f>
        <v>-677.427671345101</v>
      </c>
      <c r="T208" s="67" t="n">
        <f aca="false">T207+T190+T192</f>
        <v>-681.379332761281</v>
      </c>
      <c r="U208" s="67" t="n">
        <f aca="false">U207+U190+U192</f>
        <v>-685.354045535722</v>
      </c>
      <c r="V208" s="67" t="n">
        <f aca="false">V207+V190+V192</f>
        <v>-689.35194413468</v>
      </c>
      <c r="W208" s="67" t="n">
        <f aca="false">W207+W190+W192</f>
        <v>-693.373163808799</v>
      </c>
      <c r="X208" s="67" t="n">
        <f aca="false">X207+X190+X192</f>
        <v>-697.417840597684</v>
      </c>
      <c r="Y208" s="67" t="n">
        <f aca="false">Y207+Y190+Y192</f>
        <v>-701.486111334503</v>
      </c>
      <c r="Z208" s="67" t="n">
        <f aca="false">Z207+Z190+Z192</f>
        <v>-705.578113650622</v>
      </c>
      <c r="AA208" s="67" t="n">
        <f aca="false">AA207+AA190+AA192</f>
        <v>-709.69398598025</v>
      </c>
      <c r="AB208" s="67" t="n">
        <f aca="false">AB207+AB190+AB192</f>
        <v>-713.833867565135</v>
      </c>
      <c r="AC208" s="67" t="n">
        <f aca="false">AC207+AC190+AC192</f>
        <v>-717.997898459265</v>
      </c>
      <c r="AD208" s="67" t="n">
        <f aca="false">AD207+AD190+AD192</f>
        <v>-722.186219533611</v>
      </c>
      <c r="AE208" s="67" t="n">
        <f aca="false">AE207+AE190+AE192</f>
        <v>-726.39897248089</v>
      </c>
      <c r="AF208" s="67" t="n">
        <f aca="false">AF207+AF190+AF192</f>
        <v>-730.636299820362</v>
      </c>
      <c r="AG208" s="67" t="n">
        <f aca="false">AG207+AG190+AG192</f>
        <v>-734.898344902647</v>
      </c>
      <c r="AH208" s="67" t="n">
        <f aca="false">AH207+AH190+AH192</f>
        <v>-739.18525191458</v>
      </c>
      <c r="AI208" s="67" t="n">
        <f aca="false">AI207+AI190+AI192</f>
        <v>-743.497165884082</v>
      </c>
      <c r="AJ208" s="67" t="n">
        <f aca="false">AJ207+AJ190+AJ192</f>
        <v>-747.834232685072</v>
      </c>
      <c r="AK208" s="67" t="n">
        <f aca="false">AK207+AK190+AK192</f>
        <v>-752.196599042402</v>
      </c>
      <c r="AL208" s="67" t="n">
        <f aca="false">AL207+AL190+AL192</f>
        <v>-756.584412536815</v>
      </c>
      <c r="AM208" s="67" t="n">
        <f aca="false">AM207+AM190+AM192</f>
        <v>-760.997821609948</v>
      </c>
      <c r="AN208" s="67" t="n">
        <f aca="false">AN207+AN190+AN192</f>
        <v>-765.436975569339</v>
      </c>
      <c r="AO208" s="67" t="n">
        <f aca="false">AO207+AO190+AO192</f>
        <v>-769.902024593493</v>
      </c>
      <c r="AP208" s="67" t="n">
        <f aca="false">AP207+AP190+AP192</f>
        <v>-774.393119736955</v>
      </c>
      <c r="AQ208" s="67" t="n">
        <f aca="false">AQ207+AQ190+AQ192</f>
        <v>-778.910412935421</v>
      </c>
      <c r="AR208" s="67" t="n">
        <f aca="false">AR207+AR190+AR192</f>
        <v>-783.454057010878</v>
      </c>
      <c r="AS208" s="67" t="n">
        <f aca="false">AS207+AS190+AS192</f>
        <v>-788.024205676774</v>
      </c>
      <c r="AT208" s="67" t="n">
        <f aca="false">AT207+AT190+AT192</f>
        <v>-792.621013543222</v>
      </c>
      <c r="AU208" s="67" t="n">
        <f aca="false">AU207+AU190+AU192</f>
        <v>-797.244636122224</v>
      </c>
      <c r="AV208" s="67" t="n">
        <f aca="false">AV207+AV190+AV192</f>
        <v>-801.895229832937</v>
      </c>
      <c r="AW208" s="67" t="n">
        <f aca="false">AW207+AW190+AW192</f>
        <v>-806.572952006962</v>
      </c>
      <c r="AX208" s="67" t="n">
        <f aca="false">AX207+AX190+AX192</f>
        <v>-811.277960893669</v>
      </c>
      <c r="AY208" s="67" t="n">
        <f aca="false">AY207+AY190+AY192</f>
        <v>-816.010415665549</v>
      </c>
      <c r="AZ208" s="67" t="n">
        <f aca="false">AZ207+AZ190+AZ192</f>
        <v>-820.770476423598</v>
      </c>
      <c r="BA208" s="67" t="n">
        <f aca="false">BA207+BA190+BA192</f>
        <v>-825.558304202736</v>
      </c>
      <c r="BB208" s="67" t="n">
        <f aca="false">BB207+BB190+BB192</f>
        <v>-830.374060977252</v>
      </c>
      <c r="BC208" s="67" t="n">
        <f aca="false">BC207+BC190+BC192</f>
        <v>-835.217909666286</v>
      </c>
      <c r="BD208" s="67" t="n">
        <f aca="false">BD207+BD190+BD192</f>
        <v>-840.09001413934</v>
      </c>
      <c r="BE208" s="67" t="n">
        <f aca="false">BE207+BE190+BE192</f>
        <v>-844.990539221819</v>
      </c>
      <c r="BF208" s="67" t="n">
        <f aca="false">BF207+BF190+BF192</f>
        <v>-849.919650700613</v>
      </c>
      <c r="BG208" s="67" t="n">
        <f aca="false">BG207+BG190+BG192</f>
        <v>-854.8775153297</v>
      </c>
      <c r="BH208" s="67" t="n">
        <f aca="false">BH207+BH190+BH192</f>
        <v>-859.86430083579</v>
      </c>
      <c r="BI208" s="67" t="n">
        <f aca="false">BI207+BI190+BI192</f>
        <v>-864.880175923999</v>
      </c>
      <c r="BJ208" s="67" t="n">
        <f aca="false">BJ207+BJ190+BJ192</f>
        <v>-869.925310283555</v>
      </c>
    </row>
    <row r="209" customFormat="false" ht="15" hidden="false" customHeight="false" outlineLevel="0" collapsed="false">
      <c r="A209" s="111" t="s">
        <v>439</v>
      </c>
      <c r="C209" s="68" t="n">
        <f aca="false">C205+C206+C208</f>
        <v>57074.0598785135</v>
      </c>
      <c r="D209" s="68" t="n">
        <f aca="false">D205+D206+D208</f>
        <v>-10455.3805373088</v>
      </c>
      <c r="E209" s="68" t="n">
        <f aca="false">E205+E206+E208</f>
        <v>-9180.06972690879</v>
      </c>
      <c r="F209" s="68" t="n">
        <f aca="false">F205+F206+F208</f>
        <v>-7904.75891650879</v>
      </c>
      <c r="G209" s="68" t="n">
        <f aca="false">G205+G206+G208</f>
        <v>-6629.44810610879</v>
      </c>
      <c r="H209" s="68" t="n">
        <f aca="false">H205+H206+H208</f>
        <v>379.258860735652</v>
      </c>
      <c r="I209" s="68" t="n">
        <f aca="false">I205+I206+I208</f>
        <v>1823.01696962454</v>
      </c>
      <c r="J209" s="68" t="n">
        <f aca="false">J205+J206+J208</f>
        <v>3562.07716562455</v>
      </c>
      <c r="K209" s="68" t="n">
        <f aca="false">K205+K206+K208</f>
        <v>-1906.56066361991</v>
      </c>
      <c r="L209" s="68" t="n">
        <f aca="false">L205+L206+L208</f>
        <v>-252.894054108789</v>
      </c>
      <c r="M209" s="68" t="n">
        <f aca="false">M205+M206+M208</f>
        <v>1022.41675629121</v>
      </c>
      <c r="N209" s="68" t="n">
        <f aca="false">N205+N206+N208</f>
        <v>946.284186957875</v>
      </c>
      <c r="O209" s="68" t="n">
        <f aca="false">O205+O206+O208</f>
        <v>2028.95143719965</v>
      </c>
      <c r="P209" s="68" t="n">
        <f aca="false">P205+P206+P208</f>
        <v>1863.54630372854</v>
      </c>
      <c r="Q209" s="68" t="n">
        <f aca="false">Q205+Q206+Q208</f>
        <v>1863.54630372854</v>
      </c>
      <c r="R209" s="68" t="n">
        <f aca="false">R205+R206+R208</f>
        <v>1863.54630372854</v>
      </c>
      <c r="S209" s="68" t="n">
        <f aca="false">S205+S206+S208</f>
        <v>1863.54630372854</v>
      </c>
      <c r="T209" s="68" t="n">
        <f aca="false">T205+T206+T208</f>
        <v>10468.5548779579</v>
      </c>
      <c r="U209" s="68" t="n">
        <f aca="false">U205+U206+U208</f>
        <v>9983.79804558454</v>
      </c>
      <c r="V209" s="68" t="n">
        <f aca="false">V205+V206+V208</f>
        <v>9983.79804558454</v>
      </c>
      <c r="W209" s="68" t="n">
        <f aca="false">W205+W206+W208</f>
        <v>1378.78947135521</v>
      </c>
      <c r="X209" s="68" t="n">
        <f aca="false">X205+X206+X208</f>
        <v>1863.54630372854</v>
      </c>
      <c r="Y209" s="68" t="n">
        <f aca="false">Y205+Y206+Y208</f>
        <v>1863.54630372854</v>
      </c>
      <c r="Z209" s="68" t="n">
        <f aca="false">Z205+Z206+Z208</f>
        <v>1863.54630372854</v>
      </c>
      <c r="AA209" s="68" t="n">
        <f aca="false">AA205+AA206+AA208</f>
        <v>2933.17174683255</v>
      </c>
      <c r="AB209" s="68" t="n">
        <f aca="false">AB205+AB206+AB208</f>
        <v>2761.4818336078</v>
      </c>
      <c r="AC209" s="68" t="n">
        <f aca="false">AC205+AC206+AC208</f>
        <v>2761.4818336078</v>
      </c>
      <c r="AD209" s="68" t="n">
        <f aca="false">AD205+AD206+AD208</f>
        <v>2761.4818336078</v>
      </c>
      <c r="AE209" s="68" t="n">
        <f aca="false">AE205+AE206+AE208</f>
        <v>2761.4818336078</v>
      </c>
      <c r="AF209" s="68" t="n">
        <f aca="false">AF205+AF206+AF208</f>
        <v>11801.9038416931</v>
      </c>
      <c r="AG209" s="68" t="n">
        <f aca="false">AG205+AG206+AG208</f>
        <v>11292.6183136017</v>
      </c>
      <c r="AH209" s="68" t="n">
        <f aca="false">AH205+AH206+AH208</f>
        <v>11292.6183136017</v>
      </c>
      <c r="AI209" s="68" t="n">
        <f aca="false">AI205+AI206+AI208</f>
        <v>2252.19630551638</v>
      </c>
      <c r="AJ209" s="68" t="n">
        <f aca="false">AJ205+AJ206+AJ208</f>
        <v>2761.4818336078</v>
      </c>
      <c r="AK209" s="68" t="n">
        <f aca="false">AK205+AK206+AK208</f>
        <v>2761.4818336078</v>
      </c>
      <c r="AL209" s="68" t="n">
        <f aca="false">AL205+AL206+AL208</f>
        <v>2761.4818336078</v>
      </c>
      <c r="AM209" s="68" t="n">
        <f aca="false">AM205+AM206+AM208</f>
        <v>3832.66221103289</v>
      </c>
      <c r="AN209" s="68" t="n">
        <f aca="false">AN205+AN206+AN208</f>
        <v>3654.43204979896</v>
      </c>
      <c r="AO209" s="68" t="n">
        <f aca="false">AO205+AO206+AO208</f>
        <v>3654.43204979896</v>
      </c>
      <c r="AP209" s="68" t="n">
        <f aca="false">AP205+AP206+AP208</f>
        <v>3654.43204979896</v>
      </c>
      <c r="AQ209" s="68" t="n">
        <f aca="false">AQ205+AQ206+AQ208</f>
        <v>3654.43204979896</v>
      </c>
      <c r="AR209" s="68" t="n">
        <f aca="false">AR205+AR206+AR208</f>
        <v>13152.2994114934</v>
      </c>
      <c r="AS209" s="68" t="n">
        <f aca="false">AS205+AS206+AS208</f>
        <v>11830.1060720782</v>
      </c>
      <c r="AT209" s="68" t="n">
        <f aca="false">AT205+AT206+AT208</f>
        <v>10468.3380785102</v>
      </c>
      <c r="AU209" s="68" t="n">
        <f aca="false">AU205+AU206+AU208</f>
        <v>2852.64640923433</v>
      </c>
      <c r="AV209" s="68" t="n">
        <f aca="false">AV205+AV206+AV208</f>
        <v>3387.68129649293</v>
      </c>
      <c r="AW209" s="68" t="n">
        <f aca="false">AW205+AW206+AW208</f>
        <v>3387.65511096139</v>
      </c>
      <c r="AX209" s="68" t="n">
        <f aca="false">AX205+AX206+AX208</f>
        <v>3387.62319522018</v>
      </c>
      <c r="AY209" s="68" t="n">
        <f aca="false">AY205+AY206+AY208</f>
        <v>4278.51417346367</v>
      </c>
      <c r="AZ209" s="68" t="n">
        <f aca="false">AZ205+AZ206+AZ208</f>
        <v>4093.46245296888</v>
      </c>
      <c r="BA209" s="68" t="n">
        <f aca="false">BA205+BA206+BA208</f>
        <v>4093.44182934401</v>
      </c>
      <c r="BB209" s="68" t="n">
        <f aca="false">BB205+BB206+BB208</f>
        <v>4093.41534063011</v>
      </c>
      <c r="BC209" s="68" t="n">
        <f aca="false">BC205+BC206+BC208</f>
        <v>4093.38295261416</v>
      </c>
      <c r="BD209" s="68" t="n">
        <f aca="false">BD205+BD206+BD208</f>
        <v>12094.3747238827</v>
      </c>
      <c r="BE209" s="68" t="n">
        <f aca="false">BE205+BE206+BE208</f>
        <v>11532.2012559951</v>
      </c>
      <c r="BF209" s="68" t="n">
        <f aca="false">BF205+BF206+BF208</f>
        <v>11532.1509627933</v>
      </c>
      <c r="BG209" s="68" t="n">
        <f aca="false">BG205+BG206+BG208</f>
        <v>3531.06453843086</v>
      </c>
      <c r="BH209" s="68" t="n">
        <f aca="false">BH205+BH206+BH208</f>
        <v>4093.13131151231</v>
      </c>
      <c r="BI209" s="68" t="n">
        <f aca="false">BI205+BI206+BI208</f>
        <v>4093.06279795254</v>
      </c>
      <c r="BJ209" s="68" t="n">
        <f aca="false">BJ205+BJ206+BJ208</f>
        <v>4092.98813994579</v>
      </c>
    </row>
    <row r="210" customFormat="false" ht="15" hidden="false" customHeight="false" outlineLevel="0" collapsed="false">
      <c r="A210" s="6" t="s">
        <v>341</v>
      </c>
      <c r="C210" s="67" t="n">
        <f aca="false">0</f>
        <v>0</v>
      </c>
      <c r="D210" s="67" t="n">
        <f aca="false">C211</f>
        <v>57074.0598785135</v>
      </c>
      <c r="E210" s="67" t="n">
        <f aca="false">D211</f>
        <v>46618.6793412047</v>
      </c>
      <c r="F210" s="67" t="n">
        <f aca="false">E211</f>
        <v>37438.6096142959</v>
      </c>
      <c r="G210" s="67" t="n">
        <f aca="false">F211</f>
        <v>29533.8506977871</v>
      </c>
      <c r="H210" s="67" t="n">
        <f aca="false">G211</f>
        <v>22904.4025916783</v>
      </c>
      <c r="I210" s="67" t="n">
        <f aca="false">H211</f>
        <v>23283.6614524139</v>
      </c>
      <c r="J210" s="67" t="n">
        <f aca="false">I211</f>
        <v>25106.6784220385</v>
      </c>
      <c r="K210" s="67" t="n">
        <f aca="false">J211</f>
        <v>28668.755587663</v>
      </c>
      <c r="L210" s="67" t="n">
        <f aca="false">K211</f>
        <v>26762.1949240431</v>
      </c>
      <c r="M210" s="67" t="n">
        <f aca="false">L211</f>
        <v>26509.3008699343</v>
      </c>
      <c r="N210" s="67" t="n">
        <f aca="false">M211</f>
        <v>27531.7176262255</v>
      </c>
      <c r="O210" s="67" t="n">
        <f aca="false">N211</f>
        <v>28478.0018131834</v>
      </c>
      <c r="P210" s="67" t="n">
        <f aca="false">O211</f>
        <v>30506.953250383</v>
      </c>
      <c r="Q210" s="67" t="n">
        <f aca="false">P211</f>
        <v>32370.4995541116</v>
      </c>
      <c r="R210" s="67" t="n">
        <f aca="false">Q211</f>
        <v>34234.0458578401</v>
      </c>
      <c r="S210" s="67" t="n">
        <f aca="false">R211</f>
        <v>36097.5921615687</v>
      </c>
      <c r="T210" s="67" t="n">
        <f aca="false">S211</f>
        <v>37961.1384652972</v>
      </c>
      <c r="U210" s="67" t="n">
        <f aca="false">T211</f>
        <v>48429.6933432551</v>
      </c>
      <c r="V210" s="67" t="n">
        <f aca="false">U211</f>
        <v>58413.4913888396</v>
      </c>
      <c r="W210" s="67" t="n">
        <f aca="false">V211</f>
        <v>68397.2894344242</v>
      </c>
      <c r="X210" s="67" t="n">
        <f aca="false">W211</f>
        <v>69776.0789057794</v>
      </c>
      <c r="Y210" s="67" t="n">
        <f aca="false">X211</f>
        <v>71639.6252095079</v>
      </c>
      <c r="Z210" s="67" t="n">
        <f aca="false">Y211</f>
        <v>73503.1715132364</v>
      </c>
      <c r="AA210" s="67" t="n">
        <f aca="false">Z211</f>
        <v>75366.717816965</v>
      </c>
      <c r="AB210" s="67" t="n">
        <f aca="false">AA211</f>
        <v>78299.8895637975</v>
      </c>
      <c r="AC210" s="67" t="n">
        <f aca="false">AB211</f>
        <v>81061.3713974053</v>
      </c>
      <c r="AD210" s="67" t="n">
        <f aca="false">AC211</f>
        <v>83822.8532310131</v>
      </c>
      <c r="AE210" s="67" t="n">
        <f aca="false">AD211</f>
        <v>86584.3350646209</v>
      </c>
      <c r="AF210" s="67" t="n">
        <f aca="false">AE211</f>
        <v>89345.8168982287</v>
      </c>
      <c r="AG210" s="67" t="n">
        <f aca="false">AF211</f>
        <v>101147.720739922</v>
      </c>
      <c r="AH210" s="67" t="n">
        <f aca="false">AG211</f>
        <v>112440.339053524</v>
      </c>
      <c r="AI210" s="67" t="n">
        <f aca="false">AH211</f>
        <v>123732.957367125</v>
      </c>
      <c r="AJ210" s="67" t="n">
        <f aca="false">AI211</f>
        <v>125985.153672642</v>
      </c>
      <c r="AK210" s="67" t="n">
        <f aca="false">AJ211</f>
        <v>128746.635506249</v>
      </c>
      <c r="AL210" s="67" t="n">
        <f aca="false">AK211</f>
        <v>131508.117339857</v>
      </c>
      <c r="AM210" s="67" t="n">
        <f aca="false">AL211</f>
        <v>134269.599173465</v>
      </c>
      <c r="AN210" s="67" t="n">
        <f aca="false">AM211</f>
        <v>138102.261384498</v>
      </c>
      <c r="AO210" s="67" t="n">
        <f aca="false">AN211</f>
        <v>141756.693434297</v>
      </c>
      <c r="AP210" s="67" t="n">
        <f aca="false">AO211</f>
        <v>145411.125484096</v>
      </c>
      <c r="AQ210" s="67" t="n">
        <f aca="false">AP211</f>
        <v>149065.557533895</v>
      </c>
      <c r="AR210" s="67" t="n">
        <f aca="false">AQ211</f>
        <v>152719.989583694</v>
      </c>
      <c r="AS210" s="67" t="n">
        <f aca="false">AR211</f>
        <v>165872.288995187</v>
      </c>
      <c r="AT210" s="67" t="n">
        <f aca="false">AS211</f>
        <v>177702.395067265</v>
      </c>
      <c r="AU210" s="67" t="n">
        <f aca="false">AT211</f>
        <v>188170.733145776</v>
      </c>
      <c r="AV210" s="67" t="n">
        <f aca="false">AU211</f>
        <v>191023.37955501</v>
      </c>
      <c r="AW210" s="67" t="n">
        <f aca="false">AV211</f>
        <v>194411.060851503</v>
      </c>
      <c r="AX210" s="67" t="n">
        <f aca="false">AW211</f>
        <v>197798.715962464</v>
      </c>
      <c r="AY210" s="67" t="n">
        <f aca="false">AX211</f>
        <v>201186.339157684</v>
      </c>
      <c r="AZ210" s="67" t="n">
        <f aca="false">AY211</f>
        <v>205464.853331148</v>
      </c>
      <c r="BA210" s="67" t="n">
        <f aca="false">AZ211</f>
        <v>209558.315784117</v>
      </c>
      <c r="BB210" s="67" t="n">
        <f aca="false">BA211</f>
        <v>213651.757613461</v>
      </c>
      <c r="BC210" s="67" t="n">
        <f aca="false">BB211</f>
        <v>217745.172954091</v>
      </c>
      <c r="BD210" s="67" t="n">
        <f aca="false">BC211</f>
        <v>221838.555906705</v>
      </c>
      <c r="BE210" s="67" t="n">
        <f aca="false">BD211</f>
        <v>233932.930630588</v>
      </c>
      <c r="BF210" s="67" t="n">
        <f aca="false">BE211</f>
        <v>245465.131886583</v>
      </c>
      <c r="BG210" s="67" t="n">
        <f aca="false">BF211</f>
        <v>256997.282849376</v>
      </c>
      <c r="BH210" s="67" t="n">
        <f aca="false">BG211</f>
        <v>260528.347387807</v>
      </c>
      <c r="BI210" s="67" t="n">
        <f aca="false">BH211</f>
        <v>264621.478699319</v>
      </c>
      <c r="BJ210" s="67" t="n">
        <f aca="false">BI211</f>
        <v>268714.541497272</v>
      </c>
    </row>
    <row r="211" customFormat="false" ht="15" hidden="false" customHeight="false" outlineLevel="0" collapsed="false">
      <c r="A211" s="111" t="s">
        <v>87</v>
      </c>
      <c r="C211" s="68" t="n">
        <f aca="false">C210+C209</f>
        <v>57074.0598785135</v>
      </c>
      <c r="D211" s="68" t="n">
        <f aca="false">D210+D209</f>
        <v>46618.6793412047</v>
      </c>
      <c r="E211" s="68" t="n">
        <f aca="false">E210+E209</f>
        <v>37438.6096142959</v>
      </c>
      <c r="F211" s="68" t="n">
        <f aca="false">F210+F209</f>
        <v>29533.8506977871</v>
      </c>
      <c r="G211" s="68" t="n">
        <f aca="false">G210+G209</f>
        <v>22904.4025916783</v>
      </c>
      <c r="H211" s="68" t="n">
        <f aca="false">H210+H209</f>
        <v>23283.6614524139</v>
      </c>
      <c r="I211" s="68" t="n">
        <f aca="false">I210+I209</f>
        <v>25106.6784220385</v>
      </c>
      <c r="J211" s="68" t="n">
        <f aca="false">J210+J209</f>
        <v>28668.755587663</v>
      </c>
      <c r="K211" s="68" t="n">
        <f aca="false">K210+K209</f>
        <v>26762.1949240431</v>
      </c>
      <c r="L211" s="68" t="n">
        <f aca="false">L210+L209</f>
        <v>26509.3008699343</v>
      </c>
      <c r="M211" s="68" t="n">
        <f aca="false">M210+M209</f>
        <v>27531.7176262255</v>
      </c>
      <c r="N211" s="68" t="n">
        <f aca="false">N210+N209</f>
        <v>28478.0018131834</v>
      </c>
      <c r="O211" s="68" t="n">
        <f aca="false">O210+O209</f>
        <v>30506.953250383</v>
      </c>
      <c r="P211" s="68" t="n">
        <f aca="false">P210+P209</f>
        <v>32370.4995541116</v>
      </c>
      <c r="Q211" s="68" t="n">
        <f aca="false">Q210+Q209</f>
        <v>34234.0458578401</v>
      </c>
      <c r="R211" s="68" t="n">
        <f aca="false">R210+R209</f>
        <v>36097.5921615687</v>
      </c>
      <c r="S211" s="68" t="n">
        <f aca="false">S210+S209</f>
        <v>37961.1384652972</v>
      </c>
      <c r="T211" s="68" t="n">
        <f aca="false">T210+T209</f>
        <v>48429.6933432551</v>
      </c>
      <c r="U211" s="68" t="n">
        <f aca="false">U210+U209</f>
        <v>58413.4913888396</v>
      </c>
      <c r="V211" s="68" t="n">
        <f aca="false">V210+V209</f>
        <v>68397.2894344242</v>
      </c>
      <c r="W211" s="68" t="n">
        <f aca="false">W210+W209</f>
        <v>69776.0789057794</v>
      </c>
      <c r="X211" s="68" t="n">
        <f aca="false">X210+X209</f>
        <v>71639.6252095079</v>
      </c>
      <c r="Y211" s="68" t="n">
        <f aca="false">Y210+Y209</f>
        <v>73503.1715132364</v>
      </c>
      <c r="Z211" s="68" t="n">
        <f aca="false">Z210+Z209</f>
        <v>75366.717816965</v>
      </c>
      <c r="AA211" s="68" t="n">
        <f aca="false">AA210+AA209</f>
        <v>78299.8895637975</v>
      </c>
      <c r="AB211" s="68" t="n">
        <f aca="false">AB210+AB209</f>
        <v>81061.3713974053</v>
      </c>
      <c r="AC211" s="68" t="n">
        <f aca="false">AC210+AC209</f>
        <v>83822.8532310131</v>
      </c>
      <c r="AD211" s="68" t="n">
        <f aca="false">AD210+AD209</f>
        <v>86584.3350646209</v>
      </c>
      <c r="AE211" s="68" t="n">
        <f aca="false">AE210+AE209</f>
        <v>89345.8168982287</v>
      </c>
      <c r="AF211" s="68" t="n">
        <f aca="false">AF210+AF209</f>
        <v>101147.720739922</v>
      </c>
      <c r="AG211" s="68" t="n">
        <f aca="false">AG210+AG209</f>
        <v>112440.339053524</v>
      </c>
      <c r="AH211" s="68" t="n">
        <f aca="false">AH210+AH209</f>
        <v>123732.957367125</v>
      </c>
      <c r="AI211" s="68" t="n">
        <f aca="false">AI210+AI209</f>
        <v>125985.153672642</v>
      </c>
      <c r="AJ211" s="68" t="n">
        <f aca="false">AJ210+AJ209</f>
        <v>128746.635506249</v>
      </c>
      <c r="AK211" s="68" t="n">
        <f aca="false">AK210+AK209</f>
        <v>131508.117339857</v>
      </c>
      <c r="AL211" s="68" t="n">
        <f aca="false">AL210+AL209</f>
        <v>134269.599173465</v>
      </c>
      <c r="AM211" s="68" t="n">
        <f aca="false">AM210+AM209</f>
        <v>138102.261384498</v>
      </c>
      <c r="AN211" s="68" t="n">
        <f aca="false">AN210+AN209</f>
        <v>141756.693434297</v>
      </c>
      <c r="AO211" s="68" t="n">
        <f aca="false">AO210+AO209</f>
        <v>145411.125484096</v>
      </c>
      <c r="AP211" s="68" t="n">
        <f aca="false">AP210+AP209</f>
        <v>149065.557533895</v>
      </c>
      <c r="AQ211" s="68" t="n">
        <f aca="false">AQ210+AQ209</f>
        <v>152719.989583694</v>
      </c>
      <c r="AR211" s="68" t="n">
        <f aca="false">AR210+AR209</f>
        <v>165872.288995187</v>
      </c>
      <c r="AS211" s="68" t="n">
        <f aca="false">AS210+AS209</f>
        <v>177702.395067265</v>
      </c>
      <c r="AT211" s="68" t="n">
        <f aca="false">AT210+AT209</f>
        <v>188170.733145776</v>
      </c>
      <c r="AU211" s="68" t="n">
        <f aca="false">AU210+AU209</f>
        <v>191023.37955501</v>
      </c>
      <c r="AV211" s="68" t="n">
        <f aca="false">AV210+AV209</f>
        <v>194411.060851503</v>
      </c>
      <c r="AW211" s="68" t="n">
        <f aca="false">AW210+AW209</f>
        <v>197798.715962464</v>
      </c>
      <c r="AX211" s="68" t="n">
        <f aca="false">AX210+AX209</f>
        <v>201186.339157684</v>
      </c>
      <c r="AY211" s="68" t="n">
        <f aca="false">AY210+AY209</f>
        <v>205464.853331148</v>
      </c>
      <c r="AZ211" s="68" t="n">
        <f aca="false">AZ210+AZ209</f>
        <v>209558.315784117</v>
      </c>
      <c r="BA211" s="68" t="n">
        <f aca="false">BA210+BA209</f>
        <v>213651.757613461</v>
      </c>
      <c r="BB211" s="68" t="n">
        <f aca="false">BB210+BB209</f>
        <v>217745.172954091</v>
      </c>
      <c r="BC211" s="68" t="n">
        <f aca="false">BC210+BC209</f>
        <v>221838.555906705</v>
      </c>
      <c r="BD211" s="68" t="n">
        <f aca="false">BD210+BD209</f>
        <v>233932.930630588</v>
      </c>
      <c r="BE211" s="68" t="n">
        <f aca="false">BE210+BE209</f>
        <v>245465.131886583</v>
      </c>
      <c r="BF211" s="68" t="n">
        <f aca="false">BF210+BF209</f>
        <v>256997.282849376</v>
      </c>
      <c r="BG211" s="68" t="n">
        <f aca="false">BG210+BG209</f>
        <v>260528.347387807</v>
      </c>
      <c r="BH211" s="68" t="n">
        <f aca="false">BH210+BH209</f>
        <v>264621.478699319</v>
      </c>
      <c r="BI211" s="68" t="n">
        <f aca="false">BI210+BI209</f>
        <v>268714.541497272</v>
      </c>
      <c r="BJ211" s="68" t="n">
        <f aca="false">BJ210+BJ209</f>
        <v>272807.529637218</v>
      </c>
    </row>
    <row r="212" customFormat="false" ht="15" hidden="false" customHeight="false" outlineLevel="0" collapsed="false">
      <c r="A212" s="114" t="s">
        <v>440</v>
      </c>
      <c r="C212" s="116" t="n">
        <f aca="false">IF(C164&gt;0,1,0)</f>
        <v>0</v>
      </c>
      <c r="D212" s="116" t="n">
        <f aca="false">IF(D164&gt;0,1,0)</f>
        <v>0</v>
      </c>
      <c r="E212" s="116" t="n">
        <f aca="false">IF(E164&gt;0,1,0)</f>
        <v>0</v>
      </c>
      <c r="F212" s="116" t="n">
        <f aca="false">IF(F164&gt;0,1,0)</f>
        <v>0</v>
      </c>
      <c r="G212" s="116" t="n">
        <f aca="false">IF(G164&gt;0,1,0)</f>
        <v>0</v>
      </c>
      <c r="H212" s="116" t="n">
        <f aca="false">IF(H164&gt;0,1,0)</f>
        <v>1</v>
      </c>
      <c r="I212" s="116" t="n">
        <f aca="false">IF(I164&gt;0,1,0)</f>
        <v>1</v>
      </c>
      <c r="J212" s="116" t="n">
        <f aca="false">IF(J164&gt;0,1,0)</f>
        <v>1</v>
      </c>
      <c r="K212" s="116" t="n">
        <f aca="false">IF(K164&gt;0,1,0)</f>
        <v>1</v>
      </c>
      <c r="L212" s="116" t="n">
        <f aca="false">IF(L164&gt;0,1,0)</f>
        <v>1</v>
      </c>
      <c r="M212" s="116" t="n">
        <f aca="false">IF(M164&gt;0,1,0)</f>
        <v>1</v>
      </c>
      <c r="N212" s="116" t="n">
        <f aca="false">IF(N164&gt;0,1,0)</f>
        <v>1</v>
      </c>
      <c r="O212" s="116" t="n">
        <f aca="false">IF(O164&gt;0,1,0)</f>
        <v>1</v>
      </c>
      <c r="P212" s="116" t="n">
        <f aca="false">IF(P164&gt;0,1,0)</f>
        <v>1</v>
      </c>
      <c r="Q212" s="116" t="n">
        <f aca="false">IF(Q164&gt;0,1,0)</f>
        <v>1</v>
      </c>
      <c r="R212" s="116" t="n">
        <f aca="false">IF(R164&gt;0,1,0)</f>
        <v>1</v>
      </c>
      <c r="S212" s="116" t="n">
        <f aca="false">IF(S164&gt;0,1,0)</f>
        <v>1</v>
      </c>
      <c r="T212" s="116" t="n">
        <f aca="false">IF(T164&gt;0,1,0)</f>
        <v>1</v>
      </c>
      <c r="U212" s="116" t="n">
        <f aca="false">IF(U164&gt;0,1,0)</f>
        <v>1</v>
      </c>
      <c r="V212" s="116" t="n">
        <f aca="false">IF(V164&gt;0,1,0)</f>
        <v>1</v>
      </c>
      <c r="W212" s="116" t="n">
        <f aca="false">IF(W164&gt;0,1,0)</f>
        <v>1</v>
      </c>
      <c r="X212" s="116" t="n">
        <f aca="false">IF(X164&gt;0,1,0)</f>
        <v>1</v>
      </c>
      <c r="Y212" s="116" t="n">
        <f aca="false">IF(Y164&gt;0,1,0)</f>
        <v>1</v>
      </c>
      <c r="Z212" s="116" t="n">
        <f aca="false">IF(Z164&gt;0,1,0)</f>
        <v>1</v>
      </c>
      <c r="AA212" s="116" t="n">
        <f aca="false">IF(AA164&gt;0,1,0)</f>
        <v>1</v>
      </c>
      <c r="AB212" s="116" t="n">
        <f aca="false">IF(AB164&gt;0,1,0)</f>
        <v>1</v>
      </c>
      <c r="AC212" s="116" t="n">
        <f aca="false">IF(AC164&gt;0,1,0)</f>
        <v>1</v>
      </c>
      <c r="AD212" s="116" t="n">
        <f aca="false">IF(AD164&gt;0,1,0)</f>
        <v>1</v>
      </c>
      <c r="AE212" s="116" t="n">
        <f aca="false">IF(AE164&gt;0,1,0)</f>
        <v>1</v>
      </c>
      <c r="AF212" s="116" t="n">
        <f aca="false">IF(AF164&gt;0,1,0)</f>
        <v>1</v>
      </c>
      <c r="AG212" s="116" t="n">
        <f aca="false">IF(AG164&gt;0,1,0)</f>
        <v>1</v>
      </c>
      <c r="AH212" s="116" t="n">
        <f aca="false">IF(AH164&gt;0,1,0)</f>
        <v>1</v>
      </c>
      <c r="AI212" s="116" t="n">
        <f aca="false">IF(AI164&gt;0,1,0)</f>
        <v>1</v>
      </c>
      <c r="AJ212" s="116" t="n">
        <f aca="false">IF(AJ164&gt;0,1,0)</f>
        <v>1</v>
      </c>
      <c r="AK212" s="116" t="n">
        <f aca="false">IF(AK164&gt;0,1,0)</f>
        <v>1</v>
      </c>
      <c r="AL212" s="116" t="n">
        <f aca="false">IF(AL164&gt;0,1,0)</f>
        <v>1</v>
      </c>
      <c r="AM212" s="116" t="n">
        <f aca="false">IF(AM164&gt;0,1,0)</f>
        <v>1</v>
      </c>
      <c r="AN212" s="116" t="n">
        <f aca="false">IF(AN164&gt;0,1,0)</f>
        <v>1</v>
      </c>
      <c r="AO212" s="116" t="n">
        <f aca="false">IF(AO164&gt;0,1,0)</f>
        <v>1</v>
      </c>
      <c r="AP212" s="116" t="n">
        <f aca="false">IF(AP164&gt;0,1,0)</f>
        <v>1</v>
      </c>
      <c r="AQ212" s="116" t="n">
        <f aca="false">IF(AQ164&gt;0,1,0)</f>
        <v>1</v>
      </c>
      <c r="AR212" s="116" t="n">
        <f aca="false">IF(AR164&gt;0,1,0)</f>
        <v>1</v>
      </c>
      <c r="AS212" s="116" t="n">
        <f aca="false">IF(AS164&gt;0,1,0)</f>
        <v>1</v>
      </c>
      <c r="AT212" s="116" t="n">
        <f aca="false">IF(AT164&gt;0,1,0)</f>
        <v>1</v>
      </c>
      <c r="AU212" s="116" t="n">
        <f aca="false">IF(AU164&gt;0,1,0)</f>
        <v>1</v>
      </c>
      <c r="AV212" s="116" t="n">
        <f aca="false">IF(AV164&gt;0,1,0)</f>
        <v>1</v>
      </c>
      <c r="AW212" s="116" t="n">
        <f aca="false">IF(AW164&gt;0,1,0)</f>
        <v>1</v>
      </c>
      <c r="AX212" s="116" t="n">
        <f aca="false">IF(AX164&gt;0,1,0)</f>
        <v>1</v>
      </c>
      <c r="AY212" s="116" t="n">
        <f aca="false">IF(AY164&gt;0,1,0)</f>
        <v>1</v>
      </c>
      <c r="AZ212" s="116" t="n">
        <f aca="false">IF(AZ164&gt;0,1,0)</f>
        <v>1</v>
      </c>
      <c r="BA212" s="116" t="n">
        <f aca="false">IF(BA164&gt;0,1,0)</f>
        <v>1</v>
      </c>
      <c r="BB212" s="116" t="n">
        <f aca="false">IF(BB164&gt;0,1,0)</f>
        <v>1</v>
      </c>
      <c r="BC212" s="116" t="n">
        <f aca="false">IF(BC164&gt;0,1,0)</f>
        <v>1</v>
      </c>
      <c r="BD212" s="116" t="n">
        <f aca="false">IF(BD164&gt;0,1,0)</f>
        <v>1</v>
      </c>
      <c r="BE212" s="116" t="n">
        <f aca="false">IF(BE164&gt;0,1,0)</f>
        <v>1</v>
      </c>
      <c r="BF212" s="116" t="n">
        <f aca="false">IF(BF164&gt;0,1,0)</f>
        <v>1</v>
      </c>
      <c r="BG212" s="116" t="n">
        <f aca="false">IF(BG164&gt;0,1,0)</f>
        <v>1</v>
      </c>
      <c r="BH212" s="116" t="n">
        <f aca="false">IF(BH164&gt;0,1,0)</f>
        <v>1</v>
      </c>
      <c r="BI212" s="116" t="n">
        <f aca="false">IF(BI164&gt;0,1,0)</f>
        <v>1</v>
      </c>
      <c r="BJ212" s="116" t="n">
        <f aca="false">IF(BJ164&gt;0,1,0)</f>
        <v>1</v>
      </c>
    </row>
    <row r="214" customFormat="false" ht="15.75" hidden="false" customHeight="true" outlineLevel="0" collapsed="false">
      <c r="A214" s="7" t="s">
        <v>441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customFormat="false" ht="15" hidden="false" customHeight="false" outlineLevel="0" collapsed="false">
      <c r="A215" s="114" t="s">
        <v>442</v>
      </c>
      <c r="C215" s="116" t="n">
        <f aca="false">IF(C173&gt;0,1,0)</f>
        <v>0</v>
      </c>
      <c r="D215" s="116" t="n">
        <f aca="false">IF(D173&gt;0,1,0)</f>
        <v>0</v>
      </c>
      <c r="E215" s="116" t="n">
        <f aca="false">IF(E173&gt;0,1,0)</f>
        <v>0</v>
      </c>
      <c r="F215" s="116" t="n">
        <f aca="false">IF(F173&gt;0,1,0)</f>
        <v>0</v>
      </c>
      <c r="G215" s="116" t="n">
        <f aca="false">IF(G173&gt;0,1,0)</f>
        <v>0</v>
      </c>
      <c r="H215" s="116" t="n">
        <f aca="false">IF(H173&gt;0,1,0)</f>
        <v>0</v>
      </c>
      <c r="I215" s="116" t="n">
        <f aca="false">IF(I173&gt;0,1,0)</f>
        <v>0</v>
      </c>
      <c r="J215" s="116" t="n">
        <f aca="false">IF(J173&gt;0,1,0)</f>
        <v>1</v>
      </c>
      <c r="K215" s="116" t="n">
        <f aca="false">IF(K173&gt;0,1,0)</f>
        <v>0</v>
      </c>
      <c r="L215" s="116" t="n">
        <f aca="false">IF(L173&gt;0,1,0)</f>
        <v>0</v>
      </c>
      <c r="M215" s="116" t="n">
        <f aca="false">IF(M173&gt;0,1,0)</f>
        <v>0</v>
      </c>
      <c r="N215" s="116" t="n">
        <f aca="false">IF(N173&gt;0,1,0)</f>
        <v>0</v>
      </c>
      <c r="O215" s="116" t="n">
        <f aca="false">IF(O173&gt;0,1,0)</f>
        <v>0</v>
      </c>
      <c r="P215" s="116" t="n">
        <f aca="false">IF(P173&gt;0,1,0)</f>
        <v>0</v>
      </c>
      <c r="Q215" s="116" t="n">
        <f aca="false">IF(Q173&gt;0,1,0)</f>
        <v>0</v>
      </c>
      <c r="R215" s="116" t="n">
        <f aca="false">IF(R173&gt;0,1,0)</f>
        <v>0</v>
      </c>
      <c r="S215" s="116" t="n">
        <f aca="false">IF(S173&gt;0,1,0)</f>
        <v>0</v>
      </c>
      <c r="T215" s="116" t="n">
        <f aca="false">IF(T173&gt;0,1,0)</f>
        <v>1</v>
      </c>
      <c r="U215" s="116" t="n">
        <f aca="false">IF(U173&gt;0,1,0)</f>
        <v>1</v>
      </c>
      <c r="V215" s="116" t="n">
        <f aca="false">IF(V173&gt;0,1,0)</f>
        <v>1</v>
      </c>
      <c r="W215" s="116" t="n">
        <f aca="false">IF(W173&gt;0,1,0)</f>
        <v>0</v>
      </c>
      <c r="X215" s="116" t="n">
        <f aca="false">IF(X173&gt;0,1,0)</f>
        <v>0</v>
      </c>
      <c r="Y215" s="116" t="n">
        <f aca="false">IF(Y173&gt;0,1,0)</f>
        <v>0</v>
      </c>
      <c r="Z215" s="116" t="n">
        <f aca="false">IF(Z173&gt;0,1,0)</f>
        <v>0</v>
      </c>
      <c r="AA215" s="116" t="n">
        <f aca="false">IF(AA173&gt;0,1,0)</f>
        <v>1</v>
      </c>
      <c r="AB215" s="116" t="n">
        <f aca="false">IF(AB173&gt;0,1,0)</f>
        <v>1</v>
      </c>
      <c r="AC215" s="116" t="n">
        <f aca="false">IF(AC173&gt;0,1,0)</f>
        <v>1</v>
      </c>
      <c r="AD215" s="116" t="n">
        <f aca="false">IF(AD173&gt;0,1,0)</f>
        <v>1</v>
      </c>
      <c r="AE215" s="116" t="n">
        <f aca="false">IF(AE173&gt;0,1,0)</f>
        <v>1</v>
      </c>
      <c r="AF215" s="116" t="n">
        <f aca="false">IF(AF173&gt;0,1,0)</f>
        <v>1</v>
      </c>
      <c r="AG215" s="116" t="n">
        <f aca="false">IF(AG173&gt;0,1,0)</f>
        <v>1</v>
      </c>
      <c r="AH215" s="116" t="n">
        <f aca="false">IF(AH173&gt;0,1,0)</f>
        <v>1</v>
      </c>
      <c r="AI215" s="116" t="n">
        <f aca="false">IF(AI173&gt;0,1,0)</f>
        <v>1</v>
      </c>
      <c r="AJ215" s="116" t="n">
        <f aca="false">IF(AJ173&gt;0,1,0)</f>
        <v>1</v>
      </c>
      <c r="AK215" s="116" t="n">
        <f aca="false">IF(AK173&gt;0,1,0)</f>
        <v>1</v>
      </c>
      <c r="AL215" s="116" t="n">
        <f aca="false">IF(AL173&gt;0,1,0)</f>
        <v>1</v>
      </c>
      <c r="AM215" s="116" t="n">
        <f aca="false">IF(AM173&gt;0,1,0)</f>
        <v>1</v>
      </c>
      <c r="AN215" s="116" t="n">
        <f aca="false">IF(AN173&gt;0,1,0)</f>
        <v>1</v>
      </c>
      <c r="AO215" s="116" t="n">
        <f aca="false">IF(AO173&gt;0,1,0)</f>
        <v>1</v>
      </c>
      <c r="AP215" s="116" t="n">
        <f aca="false">IF(AP173&gt;0,1,0)</f>
        <v>1</v>
      </c>
      <c r="AQ215" s="116" t="n">
        <f aca="false">IF(AQ173&gt;0,1,0)</f>
        <v>1</v>
      </c>
      <c r="AR215" s="116" t="n">
        <f aca="false">IF(AR173&gt;0,1,0)</f>
        <v>1</v>
      </c>
      <c r="AS215" s="116" t="n">
        <f aca="false">IF(AS173&gt;0,1,0)</f>
        <v>1</v>
      </c>
      <c r="AT215" s="116" t="n">
        <f aca="false">IF(AT173&gt;0,1,0)</f>
        <v>1</v>
      </c>
      <c r="AU215" s="116" t="n">
        <f aca="false">IF(AU173&gt;0,1,0)</f>
        <v>1</v>
      </c>
      <c r="AV215" s="116" t="n">
        <f aca="false">IF(AV173&gt;0,1,0)</f>
        <v>1</v>
      </c>
      <c r="AW215" s="116" t="n">
        <f aca="false">IF(AW173&gt;0,1,0)</f>
        <v>1</v>
      </c>
      <c r="AX215" s="116" t="n">
        <f aca="false">IF(AX173&gt;0,1,0)</f>
        <v>1</v>
      </c>
      <c r="AY215" s="116" t="n">
        <f aca="false">IF(AY173&gt;0,1,0)</f>
        <v>1</v>
      </c>
      <c r="AZ215" s="116" t="n">
        <f aca="false">IF(AZ173&gt;0,1,0)</f>
        <v>1</v>
      </c>
      <c r="BA215" s="116" t="n">
        <f aca="false">IF(BA173&gt;0,1,0)</f>
        <v>1</v>
      </c>
      <c r="BB215" s="116" t="n">
        <f aca="false">IF(BB173&gt;0,1,0)</f>
        <v>1</v>
      </c>
      <c r="BC215" s="116" t="n">
        <f aca="false">IF(BC173&gt;0,1,0)</f>
        <v>1</v>
      </c>
      <c r="BD215" s="116" t="n">
        <f aca="false">IF(BD173&gt;0,1,0)</f>
        <v>1</v>
      </c>
      <c r="BE215" s="116" t="n">
        <f aca="false">IF(BE173&gt;0,1,0)</f>
        <v>1</v>
      </c>
      <c r="BF215" s="116" t="n">
        <f aca="false">IF(BF173&gt;0,1,0)</f>
        <v>1</v>
      </c>
      <c r="BG215" s="116" t="n">
        <f aca="false">IF(BG173&gt;0,1,0)</f>
        <v>1</v>
      </c>
      <c r="BH215" s="116" t="n">
        <f aca="false">IF(BH173&gt;0,1,0)</f>
        <v>1</v>
      </c>
      <c r="BI215" s="116" t="n">
        <f aca="false">IF(BI173&gt;0,1,0)</f>
        <v>1</v>
      </c>
      <c r="BJ215" s="116" t="n">
        <f aca="false">IF(BJ173&gt;0,1,0)</f>
        <v>1</v>
      </c>
    </row>
    <row r="216" customFormat="false" ht="15" hidden="false" customHeight="false" outlineLevel="0" collapsed="false">
      <c r="A216" s="6" t="s">
        <v>443</v>
      </c>
      <c r="C216" s="67" t="n">
        <f aca="false">C205+C206</f>
        <v>-872308.710801778</v>
      </c>
      <c r="D216" s="67" t="n">
        <f aca="false">D205+D206</f>
        <v>-9834.55071323503</v>
      </c>
      <c r="E216" s="67" t="n">
        <f aca="false">E205+E206</f>
        <v>-8555.61839552794</v>
      </c>
      <c r="F216" s="67" t="n">
        <f aca="false">F205+F206</f>
        <v>-7276.66495236155</v>
      </c>
      <c r="G216" s="67" t="n">
        <f aca="false">G205+G206</f>
        <v>-5997.69026050402</v>
      </c>
      <c r="H216" s="67" t="n">
        <f aca="false">H205+H206</f>
        <v>1014.70196043978</v>
      </c>
      <c r="I216" s="67" t="n">
        <f aca="false">I205+I206</f>
        <v>2462.16682074361</v>
      </c>
      <c r="J216" s="67" t="n">
        <f aca="false">J205+J206</f>
        <v>4204.95539087515</v>
      </c>
      <c r="K216" s="67" t="n">
        <f aca="false">K205+K206</f>
        <v>-1259.93231538868</v>
      </c>
      <c r="L216" s="67" t="n">
        <f aca="false">L205+L206</f>
        <v>397.506292820456</v>
      </c>
      <c r="M216" s="67" t="n">
        <f aca="false">M205+M206</f>
        <v>1676.61110524421</v>
      </c>
      <c r="N216" s="67" t="n">
        <f aca="false">N205+N206</f>
        <v>1604.2946696131</v>
      </c>
      <c r="O216" s="67" t="n">
        <f aca="false">O205+O206</f>
        <v>2690.80031433703</v>
      </c>
      <c r="P216" s="67" t="n">
        <f aca="false">P205+P206</f>
        <v>2529.25596598256</v>
      </c>
      <c r="Q216" s="67" t="n">
        <f aca="false">Q205+Q206</f>
        <v>2533.1392723457</v>
      </c>
      <c r="R216" s="67" t="n">
        <f aca="false">R205+R206</f>
        <v>2537.0452313293</v>
      </c>
      <c r="S216" s="67" t="n">
        <f aca="false">S205+S206</f>
        <v>2540.97397507364</v>
      </c>
      <c r="T216" s="67" t="n">
        <f aca="false">T205+T206</f>
        <v>11149.9342107192</v>
      </c>
      <c r="U216" s="67" t="n">
        <f aca="false">U205+U206</f>
        <v>10669.1520911203</v>
      </c>
      <c r="V216" s="67" t="n">
        <f aca="false">V205+V206</f>
        <v>10673.1499897192</v>
      </c>
      <c r="W216" s="67" t="n">
        <f aca="false">W205+W206</f>
        <v>2072.162635164</v>
      </c>
      <c r="X216" s="67" t="n">
        <f aca="false">X205+X206</f>
        <v>2560.96414432622</v>
      </c>
      <c r="Y216" s="67" t="n">
        <f aca="false">Y205+Y206</f>
        <v>2565.03241506304</v>
      </c>
      <c r="Z216" s="67" t="n">
        <f aca="false">Z205+Z206</f>
        <v>2569.12441737916</v>
      </c>
      <c r="AA216" s="67" t="n">
        <f aca="false">AA205+AA206</f>
        <v>3642.8657328128</v>
      </c>
      <c r="AB216" s="67" t="n">
        <f aca="false">AB205+AB206</f>
        <v>3475.31570117294</v>
      </c>
      <c r="AC216" s="67" t="n">
        <f aca="false">AC205+AC206</f>
        <v>3479.47973206707</v>
      </c>
      <c r="AD216" s="67" t="n">
        <f aca="false">AD205+AD206</f>
        <v>3483.66805314141</v>
      </c>
      <c r="AE216" s="67" t="n">
        <f aca="false">AE205+AE206</f>
        <v>3487.88080608869</v>
      </c>
      <c r="AF216" s="67" t="n">
        <f aca="false">AF205+AF206</f>
        <v>12532.5401415135</v>
      </c>
      <c r="AG216" s="67" t="n">
        <f aca="false">AG205+AG206</f>
        <v>12027.5166585044</v>
      </c>
      <c r="AH216" s="67" t="n">
        <f aca="false">AH205+AH206</f>
        <v>12031.8035655163</v>
      </c>
      <c r="AI216" s="67" t="n">
        <f aca="false">AI205+AI206</f>
        <v>2995.69347140046</v>
      </c>
      <c r="AJ216" s="67" t="n">
        <f aca="false">AJ205+AJ206</f>
        <v>3509.31606629287</v>
      </c>
      <c r="AK216" s="67" t="n">
        <f aca="false">AK205+AK206</f>
        <v>3513.6784326502</v>
      </c>
      <c r="AL216" s="67" t="n">
        <f aca="false">AL205+AL206</f>
        <v>3518.06624614462</v>
      </c>
      <c r="AM216" s="67" t="n">
        <f aca="false">AM205+AM206</f>
        <v>4593.66003264283</v>
      </c>
      <c r="AN216" s="67" t="n">
        <f aca="false">AN205+AN206</f>
        <v>4419.8690253683</v>
      </c>
      <c r="AO216" s="67" t="n">
        <f aca="false">AO205+AO206</f>
        <v>4424.33407439246</v>
      </c>
      <c r="AP216" s="67" t="n">
        <f aca="false">AP205+AP206</f>
        <v>4428.82516953592</v>
      </c>
      <c r="AQ216" s="67" t="n">
        <f aca="false">AQ205+AQ206</f>
        <v>4433.34246273438</v>
      </c>
      <c r="AR216" s="67" t="n">
        <f aca="false">AR205+AR206</f>
        <v>13935.7534685043</v>
      </c>
      <c r="AS216" s="67" t="n">
        <f aca="false">AS205+AS206</f>
        <v>12618.1302777549</v>
      </c>
      <c r="AT216" s="67" t="n">
        <f aca="false">AT205+AT206</f>
        <v>11260.9590920535</v>
      </c>
      <c r="AU216" s="67" t="n">
        <f aca="false">AU205+AU206</f>
        <v>3649.89104535655</v>
      </c>
      <c r="AV216" s="67" t="n">
        <f aca="false">AV205+AV206</f>
        <v>4189.57652632587</v>
      </c>
      <c r="AW216" s="67" t="n">
        <f aca="false">AW205+AW206</f>
        <v>4194.22806296835</v>
      </c>
      <c r="AX216" s="67" t="n">
        <f aca="false">AX205+AX206</f>
        <v>4198.90115611385</v>
      </c>
      <c r="AY216" s="67" t="n">
        <f aca="false">AY205+AY206</f>
        <v>5094.52458912922</v>
      </c>
      <c r="AZ216" s="67" t="n">
        <f aca="false">AZ205+AZ206</f>
        <v>4914.23292939247</v>
      </c>
      <c r="BA216" s="67" t="n">
        <f aca="false">BA205+BA206</f>
        <v>4919.00013354674</v>
      </c>
      <c r="BB216" s="67" t="n">
        <f aca="false">BB205+BB206</f>
        <v>4923.78940160736</v>
      </c>
      <c r="BC216" s="67" t="n">
        <f aca="false">BC205+BC206</f>
        <v>4928.60086228045</v>
      </c>
      <c r="BD216" s="67" t="n">
        <f aca="false">BD205+BD206</f>
        <v>12934.464738022</v>
      </c>
      <c r="BE216" s="67" t="n">
        <f aca="false">BE205+BE206</f>
        <v>12377.1917952169</v>
      </c>
      <c r="BF216" s="67" t="n">
        <f aca="false">BF205+BF206</f>
        <v>12382.0706134939</v>
      </c>
      <c r="BG216" s="67" t="n">
        <f aca="false">BG205+BG206</f>
        <v>4385.94205376057</v>
      </c>
      <c r="BH216" s="67" t="n">
        <f aca="false">BH205+BH206</f>
        <v>4952.9956123481</v>
      </c>
      <c r="BI216" s="67" t="n">
        <f aca="false">BI205+BI206</f>
        <v>4957.94297387654</v>
      </c>
      <c r="BJ216" s="67" t="n">
        <f aca="false">BJ205+BJ206</f>
        <v>4962.91345022934</v>
      </c>
    </row>
    <row r="217" customFormat="false" ht="15" hidden="false" customHeight="false" outlineLevel="0" collapsed="false">
      <c r="A217" s="6" t="s">
        <v>444</v>
      </c>
      <c r="C217" s="67" t="n">
        <f aca="false">C216</f>
        <v>-872308.710801778</v>
      </c>
      <c r="D217" s="67" t="n">
        <f aca="false">C217+D216</f>
        <v>-882143.261515013</v>
      </c>
      <c r="E217" s="67" t="n">
        <f aca="false">D217+E216</f>
        <v>-890698.879910541</v>
      </c>
      <c r="F217" s="67" t="n">
        <f aca="false">E217+F216</f>
        <v>-897975.544862902</v>
      </c>
      <c r="G217" s="67" t="n">
        <f aca="false">F217+G216</f>
        <v>-903973.235123406</v>
      </c>
      <c r="H217" s="67" t="n">
        <f aca="false">G217+H216</f>
        <v>-902958.533162967</v>
      </c>
      <c r="I217" s="67" t="n">
        <f aca="false">H217+I216</f>
        <v>-900496.366342223</v>
      </c>
      <c r="J217" s="67" t="n">
        <f aca="false">I217+J216</f>
        <v>-896291.410951348</v>
      </c>
      <c r="K217" s="67" t="n">
        <f aca="false">J217+K216</f>
        <v>-897551.343266737</v>
      </c>
      <c r="L217" s="67" t="n">
        <f aca="false">K217+L216</f>
        <v>-897153.836973916</v>
      </c>
      <c r="M217" s="67" t="n">
        <f aca="false">L217+M216</f>
        <v>-895477.225868672</v>
      </c>
      <c r="N217" s="67" t="n">
        <f aca="false">M217+N216</f>
        <v>-893872.931199059</v>
      </c>
      <c r="O217" s="67" t="n">
        <f aca="false">N217+O216</f>
        <v>-891182.130884722</v>
      </c>
      <c r="P217" s="67" t="n">
        <f aca="false">O217+P216</f>
        <v>-888652.874918739</v>
      </c>
      <c r="Q217" s="67" t="n">
        <f aca="false">P217+Q216</f>
        <v>-886119.735646393</v>
      </c>
      <c r="R217" s="67" t="n">
        <f aca="false">Q217+R216</f>
        <v>-883582.690415064</v>
      </c>
      <c r="S217" s="67" t="n">
        <f aca="false">R217+S216</f>
        <v>-881041.71643999</v>
      </c>
      <c r="T217" s="67" t="n">
        <f aca="false">S217+T216</f>
        <v>-869891.782229271</v>
      </c>
      <c r="U217" s="67" t="n">
        <f aca="false">T217+U216</f>
        <v>-859222.630138151</v>
      </c>
      <c r="V217" s="67" t="n">
        <f aca="false">U217+V216</f>
        <v>-848549.480148432</v>
      </c>
      <c r="W217" s="67" t="n">
        <f aca="false">V217+W216</f>
        <v>-846477.317513268</v>
      </c>
      <c r="X217" s="67" t="n">
        <f aca="false">W217+X216</f>
        <v>-843916.353368942</v>
      </c>
      <c r="Y217" s="67" t="n">
        <f aca="false">X217+Y216</f>
        <v>-841351.320953879</v>
      </c>
      <c r="Z217" s="67" t="n">
        <f aca="false">Y217+Z216</f>
        <v>-838782.196536499</v>
      </c>
      <c r="AA217" s="67" t="n">
        <f aca="false">Z217+AA216</f>
        <v>-835139.330803687</v>
      </c>
      <c r="AB217" s="67" t="n">
        <f aca="false">AA217+AB216</f>
        <v>-831664.015102514</v>
      </c>
      <c r="AC217" s="67" t="n">
        <f aca="false">AB217+AC216</f>
        <v>-828184.535370447</v>
      </c>
      <c r="AD217" s="67" t="n">
        <f aca="false">AC217+AD216</f>
        <v>-824700.867317305</v>
      </c>
      <c r="AE217" s="67" t="n">
        <f aca="false">AD217+AE216</f>
        <v>-821212.986511216</v>
      </c>
      <c r="AF217" s="67" t="n">
        <f aca="false">AE217+AF216</f>
        <v>-808680.446369703</v>
      </c>
      <c r="AG217" s="67" t="n">
        <f aca="false">AF217+AG216</f>
        <v>-796652.929711199</v>
      </c>
      <c r="AH217" s="67" t="n">
        <f aca="false">AG217+AH216</f>
        <v>-784621.126145682</v>
      </c>
      <c r="AI217" s="67" t="n">
        <f aca="false">AH217+AI216</f>
        <v>-781625.432674282</v>
      </c>
      <c r="AJ217" s="67" t="n">
        <f aca="false">AI217+AJ216</f>
        <v>-778116.116607989</v>
      </c>
      <c r="AK217" s="67" t="n">
        <f aca="false">AJ217+AK216</f>
        <v>-774602.438175339</v>
      </c>
      <c r="AL217" s="67" t="n">
        <f aca="false">AK217+AL216</f>
        <v>-771084.371929194</v>
      </c>
      <c r="AM217" s="67" t="n">
        <f aca="false">AL217+AM216</f>
        <v>-766490.711896551</v>
      </c>
      <c r="AN217" s="67" t="n">
        <f aca="false">AM217+AN216</f>
        <v>-762070.842871183</v>
      </c>
      <c r="AO217" s="67" t="n">
        <f aca="false">AN217+AO216</f>
        <v>-757646.508796791</v>
      </c>
      <c r="AP217" s="67" t="n">
        <f aca="false">AO217+AP216</f>
        <v>-753217.683627255</v>
      </c>
      <c r="AQ217" s="67" t="n">
        <f aca="false">AP217+AQ216</f>
        <v>-748784.34116452</v>
      </c>
      <c r="AR217" s="67" t="n">
        <f aca="false">AQ217+AR216</f>
        <v>-734848.587696016</v>
      </c>
      <c r="AS217" s="67" t="n">
        <f aca="false">AR217+AS216</f>
        <v>-722230.457418261</v>
      </c>
      <c r="AT217" s="67" t="n">
        <f aca="false">AS217+AT216</f>
        <v>-710969.498326208</v>
      </c>
      <c r="AU217" s="67" t="n">
        <f aca="false">AT217+AU216</f>
        <v>-707319.607280851</v>
      </c>
      <c r="AV217" s="67" t="n">
        <f aca="false">AU217+AV216</f>
        <v>-703130.030754525</v>
      </c>
      <c r="AW217" s="67" t="n">
        <f aca="false">AV217+AW216</f>
        <v>-698935.802691557</v>
      </c>
      <c r="AX217" s="67" t="n">
        <f aca="false">AW217+AX216</f>
        <v>-694736.901535443</v>
      </c>
      <c r="AY217" s="67" t="n">
        <f aca="false">AX217+AY216</f>
        <v>-689642.376946314</v>
      </c>
      <c r="AZ217" s="67" t="n">
        <f aca="false">AY217+AZ216</f>
        <v>-684728.144016921</v>
      </c>
      <c r="BA217" s="67" t="n">
        <f aca="false">AZ217+BA216</f>
        <v>-679809.143883374</v>
      </c>
      <c r="BB217" s="67" t="n">
        <f aca="false">BA217+BB216</f>
        <v>-674885.354481767</v>
      </c>
      <c r="BC217" s="67" t="n">
        <f aca="false">BB217+BC216</f>
        <v>-669956.753619487</v>
      </c>
      <c r="BD217" s="67" t="n">
        <f aca="false">BC217+BD216</f>
        <v>-657022.288881465</v>
      </c>
      <c r="BE217" s="67" t="n">
        <f aca="false">BD217+BE216</f>
        <v>-644645.097086248</v>
      </c>
      <c r="BF217" s="67" t="n">
        <f aca="false">BE217+BF216</f>
        <v>-632263.026472754</v>
      </c>
      <c r="BG217" s="67" t="n">
        <f aca="false">BF217+BG216</f>
        <v>-627877.084418993</v>
      </c>
      <c r="BH217" s="67" t="n">
        <f aca="false">BG217+BH216</f>
        <v>-622924.088806645</v>
      </c>
      <c r="BI217" s="67" t="n">
        <f aca="false">BH217+BI216</f>
        <v>-617966.145832769</v>
      </c>
      <c r="BJ217" s="67" t="n">
        <f aca="false">BI217+BJ216</f>
        <v>-613003.232382539</v>
      </c>
    </row>
    <row r="218" customFormat="false" ht="15" hidden="false" customHeight="false" outlineLevel="0" collapsed="false">
      <c r="A218" s="114" t="s">
        <v>445</v>
      </c>
      <c r="C218" s="67" t="n">
        <f aca="false">C217</f>
        <v>-872308.710801778</v>
      </c>
      <c r="D218" s="67" t="n">
        <f aca="false">MIN(C218,D217)</f>
        <v>-882143.261515013</v>
      </c>
      <c r="E218" s="67" t="n">
        <f aca="false">MIN(D218,E217)</f>
        <v>-890698.879910541</v>
      </c>
      <c r="F218" s="67" t="n">
        <f aca="false">MIN(E218,F217)</f>
        <v>-897975.544862902</v>
      </c>
      <c r="G218" s="67" t="n">
        <f aca="false">MIN(F218,G217)</f>
        <v>-903973.235123406</v>
      </c>
      <c r="H218" s="67" t="n">
        <f aca="false">MIN(G218,H217)</f>
        <v>-903973.235123406</v>
      </c>
      <c r="I218" s="67" t="n">
        <f aca="false">MIN(H218,I217)</f>
        <v>-903973.235123406</v>
      </c>
      <c r="J218" s="67" t="n">
        <f aca="false">MIN(I218,J217)</f>
        <v>-903973.235123406</v>
      </c>
      <c r="K218" s="67" t="n">
        <f aca="false">MIN(J218,K217)</f>
        <v>-903973.235123406</v>
      </c>
      <c r="L218" s="67" t="n">
        <f aca="false">MIN(K218,L217)</f>
        <v>-903973.235123406</v>
      </c>
      <c r="M218" s="67" t="n">
        <f aca="false">MIN(L218,M217)</f>
        <v>-903973.235123406</v>
      </c>
      <c r="N218" s="67" t="n">
        <f aca="false">MIN(M218,N217)</f>
        <v>-903973.235123406</v>
      </c>
      <c r="O218" s="67" t="n">
        <f aca="false">MIN(N218,O217)</f>
        <v>-903973.235123406</v>
      </c>
      <c r="P218" s="67" t="n">
        <f aca="false">MIN(O218,P217)</f>
        <v>-903973.235123406</v>
      </c>
      <c r="Q218" s="67" t="n">
        <f aca="false">MIN(P218,Q217)</f>
        <v>-903973.235123406</v>
      </c>
      <c r="R218" s="67" t="n">
        <f aca="false">MIN(Q218,R217)</f>
        <v>-903973.235123406</v>
      </c>
      <c r="S218" s="67" t="n">
        <f aca="false">MIN(R218,S217)</f>
        <v>-903973.235123406</v>
      </c>
      <c r="T218" s="67" t="n">
        <f aca="false">MIN(S218,T217)</f>
        <v>-903973.235123406</v>
      </c>
      <c r="U218" s="67" t="n">
        <f aca="false">MIN(T218,U217)</f>
        <v>-903973.235123406</v>
      </c>
      <c r="V218" s="67" t="n">
        <f aca="false">MIN(U218,V217)</f>
        <v>-903973.235123406</v>
      </c>
      <c r="W218" s="67" t="n">
        <f aca="false">MIN(V218,W217)</f>
        <v>-903973.235123406</v>
      </c>
      <c r="X218" s="67" t="n">
        <f aca="false">MIN(W218,X217)</f>
        <v>-903973.235123406</v>
      </c>
      <c r="Y218" s="67" t="n">
        <f aca="false">MIN(X218,Y217)</f>
        <v>-903973.235123406</v>
      </c>
      <c r="Z218" s="67" t="n">
        <f aca="false">MIN(Y218,Z217)</f>
        <v>-903973.235123406</v>
      </c>
      <c r="AA218" s="67" t="n">
        <f aca="false">MIN(Z218,AA217)</f>
        <v>-903973.235123406</v>
      </c>
      <c r="AB218" s="67" t="n">
        <f aca="false">MIN(AA218,AB217)</f>
        <v>-903973.235123406</v>
      </c>
      <c r="AC218" s="67" t="n">
        <f aca="false">MIN(AB218,AC217)</f>
        <v>-903973.235123406</v>
      </c>
      <c r="AD218" s="67" t="n">
        <f aca="false">MIN(AC218,AD217)</f>
        <v>-903973.235123406</v>
      </c>
      <c r="AE218" s="67" t="n">
        <f aca="false">MIN(AD218,AE217)</f>
        <v>-903973.235123406</v>
      </c>
      <c r="AF218" s="67" t="n">
        <f aca="false">MIN(AE218,AF217)</f>
        <v>-903973.235123406</v>
      </c>
      <c r="AG218" s="67" t="n">
        <f aca="false">MIN(AF218,AG217)</f>
        <v>-903973.235123406</v>
      </c>
      <c r="AH218" s="67" t="n">
        <f aca="false">MIN(AG218,AH217)</f>
        <v>-903973.235123406</v>
      </c>
      <c r="AI218" s="67" t="n">
        <f aca="false">MIN(AH218,AI217)</f>
        <v>-903973.235123406</v>
      </c>
      <c r="AJ218" s="67" t="n">
        <f aca="false">MIN(AI218,AJ217)</f>
        <v>-903973.235123406</v>
      </c>
      <c r="AK218" s="67" t="n">
        <f aca="false">MIN(AJ218,AK217)</f>
        <v>-903973.235123406</v>
      </c>
      <c r="AL218" s="67" t="n">
        <f aca="false">MIN(AK218,AL217)</f>
        <v>-903973.235123406</v>
      </c>
      <c r="AM218" s="67" t="n">
        <f aca="false">MIN(AL218,AM217)</f>
        <v>-903973.235123406</v>
      </c>
      <c r="AN218" s="67" t="n">
        <f aca="false">MIN(AM218,AN217)</f>
        <v>-903973.235123406</v>
      </c>
      <c r="AO218" s="67" t="n">
        <f aca="false">MIN(AN218,AO217)</f>
        <v>-903973.235123406</v>
      </c>
      <c r="AP218" s="67" t="n">
        <f aca="false">MIN(AO218,AP217)</f>
        <v>-903973.235123406</v>
      </c>
      <c r="AQ218" s="67" t="n">
        <f aca="false">MIN(AP218,AQ217)</f>
        <v>-903973.235123406</v>
      </c>
      <c r="AR218" s="67" t="n">
        <f aca="false">MIN(AQ218,AR217)</f>
        <v>-903973.235123406</v>
      </c>
      <c r="AS218" s="67" t="n">
        <f aca="false">MIN(AR218,AS217)</f>
        <v>-903973.235123406</v>
      </c>
      <c r="AT218" s="67" t="n">
        <f aca="false">MIN(AS218,AT217)</f>
        <v>-903973.235123406</v>
      </c>
      <c r="AU218" s="67" t="n">
        <f aca="false">MIN(AT218,AU217)</f>
        <v>-903973.235123406</v>
      </c>
      <c r="AV218" s="67" t="n">
        <f aca="false">MIN(AU218,AV217)</f>
        <v>-903973.235123406</v>
      </c>
      <c r="AW218" s="67" t="n">
        <f aca="false">MIN(AV218,AW217)</f>
        <v>-903973.235123406</v>
      </c>
      <c r="AX218" s="67" t="n">
        <f aca="false">MIN(AW218,AX217)</f>
        <v>-903973.235123406</v>
      </c>
      <c r="AY218" s="67" t="n">
        <f aca="false">MIN(AX218,AY217)</f>
        <v>-903973.235123406</v>
      </c>
      <c r="AZ218" s="67" t="n">
        <f aca="false">MIN(AY218,AZ217)</f>
        <v>-903973.235123406</v>
      </c>
      <c r="BA218" s="67" t="n">
        <f aca="false">MIN(AZ218,BA217)</f>
        <v>-903973.235123406</v>
      </c>
      <c r="BB218" s="67" t="n">
        <f aca="false">MIN(BA218,BB217)</f>
        <v>-903973.235123406</v>
      </c>
      <c r="BC218" s="67" t="n">
        <f aca="false">MIN(BB218,BC217)</f>
        <v>-903973.235123406</v>
      </c>
      <c r="BD218" s="67" t="n">
        <f aca="false">MIN(BC218,BD217)</f>
        <v>-903973.235123406</v>
      </c>
      <c r="BE218" s="67" t="n">
        <f aca="false">MIN(BD218,BE217)</f>
        <v>-903973.235123406</v>
      </c>
      <c r="BF218" s="67" t="n">
        <f aca="false">MIN(BE218,BF217)</f>
        <v>-903973.235123406</v>
      </c>
      <c r="BG218" s="67" t="n">
        <f aca="false">MIN(BF218,BG217)</f>
        <v>-903973.235123406</v>
      </c>
      <c r="BH218" s="67" t="n">
        <f aca="false">MIN(BG218,BH217)</f>
        <v>-903973.235123406</v>
      </c>
      <c r="BI218" s="67" t="n">
        <f aca="false">MIN(BH218,BI217)</f>
        <v>-903973.235123406</v>
      </c>
      <c r="BJ218" s="67" t="n">
        <f aca="false">MIN(BI218,BJ217)</f>
        <v>-903973.235123406</v>
      </c>
    </row>
    <row r="219" customFormat="false" ht="15" hidden="false" customHeight="false" outlineLevel="0" collapsed="false">
      <c r="A219" s="114" t="s">
        <v>446</v>
      </c>
      <c r="C219" s="116" t="n">
        <f aca="false">IF(AND(C217&gt;=0,C218&lt;0),1,0)</f>
        <v>0</v>
      </c>
      <c r="D219" s="116" t="n">
        <f aca="false">IF(AND(D217&gt;=0,D218&lt;0),1,0)</f>
        <v>0</v>
      </c>
      <c r="E219" s="116" t="n">
        <f aca="false">IF(AND(E217&gt;=0,E218&lt;0),1,0)</f>
        <v>0</v>
      </c>
      <c r="F219" s="116" t="n">
        <f aca="false">IF(AND(F217&gt;=0,F218&lt;0),1,0)</f>
        <v>0</v>
      </c>
      <c r="G219" s="116" t="n">
        <f aca="false">IF(AND(G217&gt;=0,G218&lt;0),1,0)</f>
        <v>0</v>
      </c>
      <c r="H219" s="116" t="n">
        <f aca="false">IF(AND(H217&gt;=0,H218&lt;0),1,0)</f>
        <v>0</v>
      </c>
      <c r="I219" s="116" t="n">
        <f aca="false">IF(AND(I217&gt;=0,I218&lt;0),1,0)</f>
        <v>0</v>
      </c>
      <c r="J219" s="116" t="n">
        <f aca="false">IF(AND(J217&gt;=0,J218&lt;0),1,0)</f>
        <v>0</v>
      </c>
      <c r="K219" s="116" t="n">
        <f aca="false">IF(AND(K217&gt;=0,K218&lt;0),1,0)</f>
        <v>0</v>
      </c>
      <c r="L219" s="116" t="n">
        <f aca="false">IF(AND(L217&gt;=0,L218&lt;0),1,0)</f>
        <v>0</v>
      </c>
      <c r="M219" s="116" t="n">
        <f aca="false">IF(AND(M217&gt;=0,M218&lt;0),1,0)</f>
        <v>0</v>
      </c>
      <c r="N219" s="116" t="n">
        <f aca="false">IF(AND(N217&gt;=0,N218&lt;0),1,0)</f>
        <v>0</v>
      </c>
      <c r="O219" s="116" t="n">
        <f aca="false">IF(AND(O217&gt;=0,O218&lt;0),1,0)</f>
        <v>0</v>
      </c>
      <c r="P219" s="116" t="n">
        <f aca="false">IF(AND(P217&gt;=0,P218&lt;0),1,0)</f>
        <v>0</v>
      </c>
      <c r="Q219" s="116" t="n">
        <f aca="false">IF(AND(Q217&gt;=0,Q218&lt;0),1,0)</f>
        <v>0</v>
      </c>
      <c r="R219" s="116" t="n">
        <f aca="false">IF(AND(R217&gt;=0,R218&lt;0),1,0)</f>
        <v>0</v>
      </c>
      <c r="S219" s="116" t="n">
        <f aca="false">IF(AND(S217&gt;=0,S218&lt;0),1,0)</f>
        <v>0</v>
      </c>
      <c r="T219" s="116" t="n">
        <f aca="false">IF(AND(T217&gt;=0,T218&lt;0),1,0)</f>
        <v>0</v>
      </c>
      <c r="U219" s="116" t="n">
        <f aca="false">IF(AND(U217&gt;=0,U218&lt;0),1,0)</f>
        <v>0</v>
      </c>
      <c r="V219" s="116" t="n">
        <f aca="false">IF(AND(V217&gt;=0,V218&lt;0),1,0)</f>
        <v>0</v>
      </c>
      <c r="W219" s="116" t="n">
        <f aca="false">IF(AND(W217&gt;=0,W218&lt;0),1,0)</f>
        <v>0</v>
      </c>
      <c r="X219" s="116" t="n">
        <f aca="false">IF(AND(X217&gt;=0,X218&lt;0),1,0)</f>
        <v>0</v>
      </c>
      <c r="Y219" s="116" t="n">
        <f aca="false">IF(AND(Y217&gt;=0,Y218&lt;0),1,0)</f>
        <v>0</v>
      </c>
      <c r="Z219" s="116" t="n">
        <f aca="false">IF(AND(Z217&gt;=0,Z218&lt;0),1,0)</f>
        <v>0</v>
      </c>
      <c r="AA219" s="116" t="n">
        <f aca="false">IF(AND(AA217&gt;=0,AA218&lt;0),1,0)</f>
        <v>0</v>
      </c>
      <c r="AB219" s="116" t="n">
        <f aca="false">IF(AND(AB217&gt;=0,AB218&lt;0),1,0)</f>
        <v>0</v>
      </c>
      <c r="AC219" s="116" t="n">
        <f aca="false">IF(AND(AC217&gt;=0,AC218&lt;0),1,0)</f>
        <v>0</v>
      </c>
      <c r="AD219" s="116" t="n">
        <f aca="false">IF(AND(AD217&gt;=0,AD218&lt;0),1,0)</f>
        <v>0</v>
      </c>
      <c r="AE219" s="116" t="n">
        <f aca="false">IF(AND(AE217&gt;=0,AE218&lt;0),1,0)</f>
        <v>0</v>
      </c>
      <c r="AF219" s="116" t="n">
        <f aca="false">IF(AND(AF217&gt;=0,AF218&lt;0),1,0)</f>
        <v>0</v>
      </c>
      <c r="AG219" s="116" t="n">
        <f aca="false">IF(AND(AG217&gt;=0,AG218&lt;0),1,0)</f>
        <v>0</v>
      </c>
      <c r="AH219" s="116" t="n">
        <f aca="false">IF(AND(AH217&gt;=0,AH218&lt;0),1,0)</f>
        <v>0</v>
      </c>
      <c r="AI219" s="116" t="n">
        <f aca="false">IF(AND(AI217&gt;=0,AI218&lt;0),1,0)</f>
        <v>0</v>
      </c>
      <c r="AJ219" s="116" t="n">
        <f aca="false">IF(AND(AJ217&gt;=0,AJ218&lt;0),1,0)</f>
        <v>0</v>
      </c>
      <c r="AK219" s="116" t="n">
        <f aca="false">IF(AND(AK217&gt;=0,AK218&lt;0),1,0)</f>
        <v>0</v>
      </c>
      <c r="AL219" s="116" t="n">
        <f aca="false">IF(AND(AL217&gt;=0,AL218&lt;0),1,0)</f>
        <v>0</v>
      </c>
      <c r="AM219" s="116" t="n">
        <f aca="false">IF(AND(AM217&gt;=0,AM218&lt;0),1,0)</f>
        <v>0</v>
      </c>
      <c r="AN219" s="116" t="n">
        <f aca="false">IF(AND(AN217&gt;=0,AN218&lt;0),1,0)</f>
        <v>0</v>
      </c>
      <c r="AO219" s="116" t="n">
        <f aca="false">IF(AND(AO217&gt;=0,AO218&lt;0),1,0)</f>
        <v>0</v>
      </c>
      <c r="AP219" s="116" t="n">
        <f aca="false">IF(AND(AP217&gt;=0,AP218&lt;0),1,0)</f>
        <v>0</v>
      </c>
      <c r="AQ219" s="116" t="n">
        <f aca="false">IF(AND(AQ217&gt;=0,AQ218&lt;0),1,0)</f>
        <v>0</v>
      </c>
      <c r="AR219" s="116" t="n">
        <f aca="false">IF(AND(AR217&gt;=0,AR218&lt;0),1,0)</f>
        <v>0</v>
      </c>
      <c r="AS219" s="116" t="n">
        <f aca="false">IF(AND(AS217&gt;=0,AS218&lt;0),1,0)</f>
        <v>0</v>
      </c>
      <c r="AT219" s="116" t="n">
        <f aca="false">IF(AND(AT217&gt;=0,AT218&lt;0),1,0)</f>
        <v>0</v>
      </c>
      <c r="AU219" s="116" t="n">
        <f aca="false">IF(AND(AU217&gt;=0,AU218&lt;0),1,0)</f>
        <v>0</v>
      </c>
      <c r="AV219" s="116" t="n">
        <f aca="false">IF(AND(AV217&gt;=0,AV218&lt;0),1,0)</f>
        <v>0</v>
      </c>
      <c r="AW219" s="116" t="n">
        <f aca="false">IF(AND(AW217&gt;=0,AW218&lt;0),1,0)</f>
        <v>0</v>
      </c>
      <c r="AX219" s="116" t="n">
        <f aca="false">IF(AND(AX217&gt;=0,AX218&lt;0),1,0)</f>
        <v>0</v>
      </c>
      <c r="AY219" s="116" t="n">
        <f aca="false">IF(AND(AY217&gt;=0,AY218&lt;0),1,0)</f>
        <v>0</v>
      </c>
      <c r="AZ219" s="116" t="n">
        <f aca="false">IF(AND(AZ217&gt;=0,AZ218&lt;0),1,0)</f>
        <v>0</v>
      </c>
      <c r="BA219" s="116" t="n">
        <f aca="false">IF(AND(BA217&gt;=0,BA218&lt;0),1,0)</f>
        <v>0</v>
      </c>
      <c r="BB219" s="116" t="n">
        <f aca="false">IF(AND(BB217&gt;=0,BB218&lt;0),1,0)</f>
        <v>0</v>
      </c>
      <c r="BC219" s="116" t="n">
        <f aca="false">IF(AND(BC217&gt;=0,BC218&lt;0),1,0)</f>
        <v>0</v>
      </c>
      <c r="BD219" s="116" t="n">
        <f aca="false">IF(AND(BD217&gt;=0,BD218&lt;0),1,0)</f>
        <v>0</v>
      </c>
      <c r="BE219" s="116" t="n">
        <f aca="false">IF(AND(BE217&gt;=0,BE218&lt;0),1,0)</f>
        <v>0</v>
      </c>
      <c r="BF219" s="116" t="n">
        <f aca="false">IF(AND(BF217&gt;=0,BF218&lt;0),1,0)</f>
        <v>0</v>
      </c>
      <c r="BG219" s="116" t="n">
        <f aca="false">IF(AND(BG217&gt;=0,BG218&lt;0),1,0)</f>
        <v>0</v>
      </c>
      <c r="BH219" s="116" t="n">
        <f aca="false">IF(AND(BH217&gt;=0,BH218&lt;0),1,0)</f>
        <v>0</v>
      </c>
      <c r="BI219" s="116" t="n">
        <f aca="false">IF(AND(BI217&gt;=0,BI218&lt;0),1,0)</f>
        <v>0</v>
      </c>
      <c r="BJ219" s="116" t="n">
        <f aca="false">IF(AND(BJ217&gt;=0,BJ218&lt;0),1,0)</f>
        <v>0</v>
      </c>
    </row>
    <row r="220" customFormat="false" ht="15" hidden="false" customHeight="false" outlineLevel="0" collapsed="false">
      <c r="A220" s="6" t="s">
        <v>447</v>
      </c>
      <c r="C220" s="67" t="n">
        <f aca="false">C205-C168*(1-Inputs!$C$77)+C206</f>
        <v>-870004.544135111</v>
      </c>
      <c r="D220" s="67" t="n">
        <f aca="false">D205-D168*(1-Inputs!$C$77)+D206</f>
        <v>-7533.22844501669</v>
      </c>
      <c r="E220" s="67" t="n">
        <f aca="false">E205-E168*(1-Inputs!$C$77)+E206</f>
        <v>-6257.1571180822</v>
      </c>
      <c r="F220" s="67" t="n">
        <f aca="false">F205-F168*(1-Inputs!$C$77)+F206</f>
        <v>-4981.08135480126</v>
      </c>
      <c r="G220" s="67" t="n">
        <f aca="false">G205-G168*(1-Inputs!$C$77)+G206</f>
        <v>-3705.00112929517</v>
      </c>
      <c r="H220" s="67" t="n">
        <f aca="false">H205-H168*(1-Inputs!$C$77)+H206</f>
        <v>3304.47974091013</v>
      </c>
      <c r="I220" s="67" t="n">
        <f aca="false">I205-I168*(1-Inputs!$C$77)+I206</f>
        <v>4749.01626759616</v>
      </c>
      <c r="J220" s="67" t="n">
        <f aca="false">J205-J168*(1-Inputs!$C$77)+J206</f>
        <v>6488.85942216378</v>
      </c>
      <c r="K220" s="67" t="n">
        <f aca="false">K205-K168*(1-Inputs!$C$77)+K206</f>
        <v>1021.00911874526</v>
      </c>
      <c r="L220" s="67" t="n">
        <f aca="false">L205-L168*(1-Inputs!$C$77)+L206</f>
        <v>2675.46784798297</v>
      </c>
      <c r="M220" s="67" t="n">
        <f aca="false">M205-M168*(1-Inputs!$C$77)+M206</f>
        <v>3951.57539880795</v>
      </c>
      <c r="N220" s="67" t="n">
        <f aca="false">N205-N168*(1-Inputs!$C$77)+N206</f>
        <v>3876.24421755208</v>
      </c>
      <c r="O220" s="67" t="n">
        <f aca="false">O205-O168*(1-Inputs!$C$77)+O206</f>
        <v>4959.71753063512</v>
      </c>
      <c r="P220" s="67" t="n">
        <f aca="false">P205-P168*(1-Inputs!$C$77)+P206</f>
        <v>4795.1231620385</v>
      </c>
      <c r="Q220" s="67" t="n">
        <f aca="false">Q205-Q168*(1-Inputs!$C$77)+Q206</f>
        <v>4795.93865637476</v>
      </c>
      <c r="R220" s="67" t="n">
        <f aca="false">R205-R168*(1-Inputs!$C$77)+R206</f>
        <v>4796.75890776131</v>
      </c>
      <c r="S220" s="67" t="n">
        <f aca="false">S205-S168*(1-Inputs!$C$77)+S206</f>
        <v>4797.58394394763</v>
      </c>
      <c r="T220" s="67" t="n">
        <f aca="false">T205-T168*(1-Inputs!$C$77)+T206</f>
        <v>13403.4223670744</v>
      </c>
      <c r="U220" s="67" t="n">
        <f aca="false">U205-U168*(1-Inputs!$C$77)+U206</f>
        <v>12919.5002243837</v>
      </c>
      <c r="V220" s="67" t="n">
        <f aca="false">V205-V168*(1-Inputs!$C$77)+V206</f>
        <v>12920.3397830894</v>
      </c>
      <c r="W220" s="67" t="n">
        <f aca="false">W205-W168*(1-Inputs!$C$77)+W206</f>
        <v>4316.17566499167</v>
      </c>
      <c r="X220" s="67" t="n">
        <f aca="false">X205-X168*(1-Inputs!$C$77)+X206</f>
        <v>4801.78187949067</v>
      </c>
      <c r="Y220" s="67" t="n">
        <f aca="false">Y205-Y168*(1-Inputs!$C$77)+Y206</f>
        <v>4802.6362163454</v>
      </c>
      <c r="Z220" s="67" t="n">
        <f aca="false">Z205-Z168*(1-Inputs!$C$77)+Z206</f>
        <v>4803.49553683178</v>
      </c>
      <c r="AA220" s="67" t="n">
        <f aca="false">AA205-AA168*(1-Inputs!$C$77)+AA206</f>
        <v>5873.98531312502</v>
      </c>
      <c r="AB220" s="67" t="n">
        <f aca="false">AB205-AB168*(1-Inputs!$C$77)+AB206</f>
        <v>5703.16477503309</v>
      </c>
      <c r="AC220" s="67" t="n">
        <f aca="false">AC205-AC168*(1-Inputs!$C$77)+AC206</f>
        <v>5704.03922152086</v>
      </c>
      <c r="AD220" s="67" t="n">
        <f aca="false">AD205-AD168*(1-Inputs!$C$77)+AD206</f>
        <v>5704.91876894647</v>
      </c>
      <c r="AE220" s="67" t="n">
        <f aca="false">AE205-AE168*(1-Inputs!$C$77)+AE206</f>
        <v>5705.8034470654</v>
      </c>
      <c r="AF220" s="67" t="n">
        <f aca="false">AF205-AF168*(1-Inputs!$C$77)+AF206</f>
        <v>14747.115293892</v>
      </c>
      <c r="AG220" s="67" t="n">
        <f aca="false">AG205-AG168*(1-Inputs!$C$77)+AG206</f>
        <v>14238.7247952679</v>
      </c>
      <c r="AH220" s="67" t="n">
        <f aca="false">AH205-AH168*(1-Inputs!$C$77)+AH206</f>
        <v>14239.6250457404</v>
      </c>
      <c r="AI220" s="67" t="n">
        <f aca="false">AI205-AI168*(1-Inputs!$C$77)+AI206</f>
        <v>5200.10853958865</v>
      </c>
      <c r="AJ220" s="67" t="n">
        <f aca="false">AJ205-AJ168*(1-Inputs!$C$77)+AJ206</f>
        <v>5710.30485170828</v>
      </c>
      <c r="AK220" s="67" t="n">
        <f aca="false">AK205-AK168*(1-Inputs!$C$77)+AK206</f>
        <v>5711.22094864332</v>
      </c>
      <c r="AL220" s="67" t="n">
        <f aca="false">AL205-AL168*(1-Inputs!$C$77)+AL206</f>
        <v>5712.14238947715</v>
      </c>
      <c r="AM220" s="67" t="n">
        <f aca="false">AM205-AM168*(1-Inputs!$C$77)+AM206</f>
        <v>6784.24958280759</v>
      </c>
      <c r="AN220" s="67" t="n">
        <f aca="false">AN205-AN168*(1-Inputs!$C$77)+AN206</f>
        <v>6606.95164390514</v>
      </c>
      <c r="AO220" s="67" t="n">
        <f aca="false">AO205-AO168*(1-Inputs!$C$77)+AO206</f>
        <v>6607.88930420021</v>
      </c>
      <c r="AP220" s="67" t="n">
        <f aca="false">AP205-AP168*(1-Inputs!$C$77)+AP206</f>
        <v>6608.83243418034</v>
      </c>
      <c r="AQ220" s="67" t="n">
        <f aca="false">AQ205-AQ168*(1-Inputs!$C$77)+AQ206</f>
        <v>6609.78106575201</v>
      </c>
      <c r="AR220" s="67" t="n">
        <f aca="false">AR205-AR168*(1-Inputs!$C$77)+AR206</f>
        <v>16108.6025927023</v>
      </c>
      <c r="AS220" s="67" t="n">
        <f aca="false">AS205-AS168*(1-Inputs!$C$77)+AS206</f>
        <v>14787.3689845069</v>
      </c>
      <c r="AT220" s="67" t="n">
        <f aca="false">AT205-AT168*(1-Inputs!$C$77)+AT206</f>
        <v>13426.5663205909</v>
      </c>
      <c r="AU220" s="67" t="n">
        <f aca="false">AU205-AU168*(1-Inputs!$C$77)+AU206</f>
        <v>5811.84561205661</v>
      </c>
      <c r="AV220" s="67" t="n">
        <f aca="false">AV205-AV168*(1-Inputs!$C$77)+AV206</f>
        <v>6347.85712399446</v>
      </c>
      <c r="AW220" s="67" t="n">
        <f aca="false">AW205-AW168*(1-Inputs!$C$77)+AW206</f>
        <v>6348.81326011946</v>
      </c>
      <c r="AX220" s="67" t="n">
        <f aca="false">AX205-AX168*(1-Inputs!$C$77)+AX206</f>
        <v>6349.76939624446</v>
      </c>
      <c r="AY220" s="67" t="n">
        <f aca="false">AY205-AY168*(1-Inputs!$C$77)+AY206</f>
        <v>7241.65418999005</v>
      </c>
      <c r="AZ220" s="67" t="n">
        <f aca="false">AZ205-AZ168*(1-Inputs!$C$77)+AZ206</f>
        <v>7057.60208225444</v>
      </c>
      <c r="BA220" s="67" t="n">
        <f aca="false">BA205-BA168*(1-Inputs!$C$77)+BA206</f>
        <v>7058.58690246319</v>
      </c>
      <c r="BB220" s="67" t="n">
        <f aca="false">BB205-BB168*(1-Inputs!$C$77)+BB206</f>
        <v>7059.57172267194</v>
      </c>
      <c r="BC220" s="67" t="n">
        <f aca="false">BC205-BC168*(1-Inputs!$C$77)+BC206</f>
        <v>7060.55654288069</v>
      </c>
      <c r="BD220" s="67" t="n">
        <f aca="false">BD205-BD168*(1-Inputs!$C$77)+BD206</f>
        <v>15062.5714560885</v>
      </c>
      <c r="BE220" s="67" t="n">
        <f aca="false">BE205-BE168*(1-Inputs!$C$77)+BE206</f>
        <v>14501.4270984683</v>
      </c>
      <c r="BF220" s="67" t="n">
        <f aca="false">BF205-BF168*(1-Inputs!$C$77)+BF206</f>
        <v>14502.4119186771</v>
      </c>
      <c r="BG220" s="67" t="n">
        <f aca="false">BG205-BG168*(1-Inputs!$C$77)+BG206</f>
        <v>6502.36664588672</v>
      </c>
      <c r="BH220" s="67" t="n">
        <f aca="false">BH205-BH168*(1-Inputs!$C$77)+BH206</f>
        <v>7065.48064392444</v>
      </c>
      <c r="BI220" s="67" t="n">
        <f aca="false">BI205-BI168*(1-Inputs!$C$77)+BI206</f>
        <v>7066.4654641332</v>
      </c>
      <c r="BJ220" s="67" t="n">
        <f aca="false">BJ205-BJ168*(1-Inputs!$C$77)+BJ206</f>
        <v>7067.45028434194</v>
      </c>
    </row>
    <row r="222" customFormat="false" ht="15.75" hidden="false" customHeight="true" outlineLevel="0" collapsed="false">
      <c r="A222" s="7" t="s">
        <v>448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customFormat="false" ht="15" hidden="false" customHeight="false" outlineLevel="0" collapsed="false">
      <c r="A223" s="6" t="s">
        <v>97</v>
      </c>
      <c r="C223" s="67" t="n">
        <f aca="false">C207</f>
        <v>430000</v>
      </c>
      <c r="D223" s="67" t="n">
        <f aca="false">C223+D207</f>
        <v>430000</v>
      </c>
      <c r="E223" s="67" t="n">
        <f aca="false">D223+E207</f>
        <v>430000</v>
      </c>
      <c r="F223" s="67" t="n">
        <f aca="false">E223+F207</f>
        <v>430000</v>
      </c>
      <c r="G223" s="67" t="n">
        <f aca="false">F223+G207</f>
        <v>430000</v>
      </c>
      <c r="H223" s="67" t="n">
        <f aca="false">G223+H207</f>
        <v>430000</v>
      </c>
      <c r="I223" s="67" t="n">
        <f aca="false">H223+I207</f>
        <v>430000</v>
      </c>
      <c r="J223" s="67" t="n">
        <f aca="false">I223+J207</f>
        <v>430000</v>
      </c>
      <c r="K223" s="67" t="n">
        <f aca="false">J223+K207</f>
        <v>430000</v>
      </c>
      <c r="L223" s="67" t="n">
        <f aca="false">K223+L207</f>
        <v>430000</v>
      </c>
      <c r="M223" s="67" t="n">
        <f aca="false">L223+M207</f>
        <v>430000</v>
      </c>
      <c r="N223" s="67" t="n">
        <f aca="false">M223+N207</f>
        <v>430000</v>
      </c>
      <c r="O223" s="67" t="n">
        <f aca="false">N223+O207</f>
        <v>430000</v>
      </c>
      <c r="P223" s="67" t="n">
        <f aca="false">O223+P207</f>
        <v>430000</v>
      </c>
      <c r="Q223" s="67" t="n">
        <f aca="false">P223+Q207</f>
        <v>430000</v>
      </c>
      <c r="R223" s="67" t="n">
        <f aca="false">Q223+R207</f>
        <v>430000</v>
      </c>
      <c r="S223" s="67" t="n">
        <f aca="false">R223+S207</f>
        <v>430000</v>
      </c>
      <c r="T223" s="67" t="n">
        <f aca="false">S223+T207</f>
        <v>430000</v>
      </c>
      <c r="U223" s="67" t="n">
        <f aca="false">T223+U207</f>
        <v>430000</v>
      </c>
      <c r="V223" s="67" t="n">
        <f aca="false">U223+V207</f>
        <v>430000</v>
      </c>
      <c r="W223" s="67" t="n">
        <f aca="false">V223+W207</f>
        <v>430000</v>
      </c>
      <c r="X223" s="67" t="n">
        <f aca="false">W223+X207</f>
        <v>430000</v>
      </c>
      <c r="Y223" s="67" t="n">
        <f aca="false">X223+Y207</f>
        <v>430000</v>
      </c>
      <c r="Z223" s="67" t="n">
        <f aca="false">Y223+Z207</f>
        <v>430000</v>
      </c>
      <c r="AA223" s="67" t="n">
        <f aca="false">Z223+AA207</f>
        <v>430000</v>
      </c>
      <c r="AB223" s="67" t="n">
        <f aca="false">AA223+AB207</f>
        <v>430000</v>
      </c>
      <c r="AC223" s="67" t="n">
        <f aca="false">AB223+AC207</f>
        <v>430000</v>
      </c>
      <c r="AD223" s="67" t="n">
        <f aca="false">AC223+AD207</f>
        <v>430000</v>
      </c>
      <c r="AE223" s="67" t="n">
        <f aca="false">AD223+AE207</f>
        <v>430000</v>
      </c>
      <c r="AF223" s="67" t="n">
        <f aca="false">AE223+AF207</f>
        <v>430000</v>
      </c>
      <c r="AG223" s="67" t="n">
        <f aca="false">AF223+AG207</f>
        <v>430000</v>
      </c>
      <c r="AH223" s="67" t="n">
        <f aca="false">AG223+AH207</f>
        <v>430000</v>
      </c>
      <c r="AI223" s="67" t="n">
        <f aca="false">AH223+AI207</f>
        <v>430000</v>
      </c>
      <c r="AJ223" s="67" t="n">
        <f aca="false">AI223+AJ207</f>
        <v>430000</v>
      </c>
      <c r="AK223" s="67" t="n">
        <f aca="false">AJ223+AK207</f>
        <v>430000</v>
      </c>
      <c r="AL223" s="67" t="n">
        <f aca="false">AK223+AL207</f>
        <v>430000</v>
      </c>
      <c r="AM223" s="67" t="n">
        <f aca="false">AL223+AM207</f>
        <v>430000</v>
      </c>
      <c r="AN223" s="67" t="n">
        <f aca="false">AM223+AN207</f>
        <v>430000</v>
      </c>
      <c r="AO223" s="67" t="n">
        <f aca="false">AN223+AO207</f>
        <v>430000</v>
      </c>
      <c r="AP223" s="67" t="n">
        <f aca="false">AO223+AP207</f>
        <v>430000</v>
      </c>
      <c r="AQ223" s="67" t="n">
        <f aca="false">AP223+AQ207</f>
        <v>430000</v>
      </c>
      <c r="AR223" s="67" t="n">
        <f aca="false">AQ223+AR207</f>
        <v>430000</v>
      </c>
      <c r="AS223" s="67" t="n">
        <f aca="false">AR223+AS207</f>
        <v>430000</v>
      </c>
      <c r="AT223" s="67" t="n">
        <f aca="false">AS223+AT207</f>
        <v>430000</v>
      </c>
      <c r="AU223" s="67" t="n">
        <f aca="false">AT223+AU207</f>
        <v>430000</v>
      </c>
      <c r="AV223" s="67" t="n">
        <f aca="false">AU223+AV207</f>
        <v>430000</v>
      </c>
      <c r="AW223" s="67" t="n">
        <f aca="false">AV223+AW207</f>
        <v>430000</v>
      </c>
      <c r="AX223" s="67" t="n">
        <f aca="false">AW223+AX207</f>
        <v>430000</v>
      </c>
      <c r="AY223" s="67" t="n">
        <f aca="false">AX223+AY207</f>
        <v>430000</v>
      </c>
      <c r="AZ223" s="67" t="n">
        <f aca="false">AY223+AZ207</f>
        <v>430000</v>
      </c>
      <c r="BA223" s="67" t="n">
        <f aca="false">AZ223+BA207</f>
        <v>430000</v>
      </c>
      <c r="BB223" s="67" t="n">
        <f aca="false">BA223+BB207</f>
        <v>430000</v>
      </c>
      <c r="BC223" s="67" t="n">
        <f aca="false">BB223+BC207</f>
        <v>430000</v>
      </c>
      <c r="BD223" s="67" t="n">
        <f aca="false">BC223+BD207</f>
        <v>430000</v>
      </c>
      <c r="BE223" s="67" t="n">
        <f aca="false">BD223+BE207</f>
        <v>430000</v>
      </c>
      <c r="BF223" s="67" t="n">
        <f aca="false">BE223+BF207</f>
        <v>430000</v>
      </c>
      <c r="BG223" s="67" t="n">
        <f aca="false">BF223+BG207</f>
        <v>430000</v>
      </c>
      <c r="BH223" s="67" t="n">
        <f aca="false">BG223+BH207</f>
        <v>430000</v>
      </c>
      <c r="BI223" s="67" t="n">
        <f aca="false">BH223+BI207</f>
        <v>430000</v>
      </c>
      <c r="BJ223" s="67" t="n">
        <f aca="false">BI223+BJ207</f>
        <v>430000</v>
      </c>
    </row>
    <row r="224" customFormat="false" ht="15" hidden="false" customHeight="false" outlineLevel="0" collapsed="false">
      <c r="A224" s="6" t="s">
        <v>98</v>
      </c>
      <c r="C224" s="67" t="n">
        <f aca="false">C173</f>
        <v>-14249.3168195556</v>
      </c>
      <c r="D224" s="67" t="n">
        <f aca="false">C224+D173</f>
        <v>-27223.8889910128</v>
      </c>
      <c r="E224" s="67" t="n">
        <f aca="false">D224+E173</f>
        <v>-38923.6955114296</v>
      </c>
      <c r="F224" s="67" t="n">
        <f aca="false">E224+F173</f>
        <v>-49348.7152553467</v>
      </c>
      <c r="G224" s="67" t="n">
        <f aca="false">F224+G173</f>
        <v>-58498.926974073</v>
      </c>
      <c r="H224" s="67" t="n">
        <f aca="false">G224+H173</f>
        <v>-60963.8997962999</v>
      </c>
      <c r="I224" s="67" t="n">
        <f aca="false">H224+I173</f>
        <v>-61690.2723377785</v>
      </c>
      <c r="J224" s="67" t="n">
        <f aca="false">I224+J173</f>
        <v>-60678.0229757922</v>
      </c>
      <c r="K224" s="67" t="n">
        <f aca="false">J224+K173</f>
        <v>-64728.7876169587</v>
      </c>
      <c r="L224" s="67" t="n">
        <f aca="false">K224+L173</f>
        <v>-67504.6361156938</v>
      </c>
      <c r="M224" s="67" t="n">
        <f aca="false">L224+M173</f>
        <v>-69005.5464686718</v>
      </c>
      <c r="N224" s="67" t="n">
        <f aca="false">M224+N173</f>
        <v>-70506.8073546142</v>
      </c>
      <c r="O224" s="67" t="n">
        <f aca="false">N224+O173</f>
        <v>-71068.7593959705</v>
      </c>
      <c r="P224" s="67" t="n">
        <f aca="false">O224+P173</f>
        <v>-71631.1423188769</v>
      </c>
      <c r="Q224" s="67" t="n">
        <f aca="false">P224+Q173</f>
        <v>-72193.9336020867</v>
      </c>
      <c r="R224" s="67" t="n">
        <f aca="false">Q224+R173</f>
        <v>-72757.1105929796</v>
      </c>
      <c r="S224" s="67" t="n">
        <f aca="false">R224+S173</f>
        <v>-73320.6505067949</v>
      </c>
      <c r="T224" s="67" t="n">
        <f aca="false">S224+T173</f>
        <v>-65764.2786840046</v>
      </c>
      <c r="U224" s="67" t="n">
        <f aca="false">T224+U173</f>
        <v>-58208.2238151066</v>
      </c>
      <c r="V224" s="67" t="n">
        <f aca="false">U224+V173</f>
        <v>-50652.4627142763</v>
      </c>
      <c r="W224" s="67" t="n">
        <f aca="false">V224+W173</f>
        <v>-51217.2238022945</v>
      </c>
      <c r="X224" s="67" t="n">
        <f aca="false">W224+X173</f>
        <v>-51782.2318801905</v>
      </c>
      <c r="Y224" s="67" t="n">
        <f aca="false">X224+Y173</f>
        <v>-52347.4633540163</v>
      </c>
      <c r="Z224" s="67" t="n">
        <f aca="false">Y224+Z173</f>
        <v>-52912.8944921927</v>
      </c>
      <c r="AA224" s="67" t="n">
        <f aca="false">Z224+AA173</f>
        <v>-52557.5196448269</v>
      </c>
      <c r="AB224" s="67" t="n">
        <f aca="false">AA224+AB173</f>
        <v>-52202.4253325428</v>
      </c>
      <c r="AC224" s="67" t="n">
        <f aca="false">AB224+AC173</f>
        <v>-51847.5874060313</v>
      </c>
      <c r="AD224" s="67" t="n">
        <f aca="false">AC224+AD173</f>
        <v>-51492.9815751121</v>
      </c>
      <c r="AE224" s="67" t="n">
        <f aca="false">AD224+AE173</f>
        <v>-51138.5834079123</v>
      </c>
      <c r="AF224" s="67" t="n">
        <f aca="false">AE224+AF173</f>
        <v>-42253.2318500458</v>
      </c>
      <c r="AG224" s="67" t="n">
        <f aca="false">AF224+AG173</f>
        <v>-33368.0386637637</v>
      </c>
      <c r="AH224" s="67" t="n">
        <f aca="false">AG224+AH173</f>
        <v>-24482.9789871363</v>
      </c>
      <c r="AI224" s="67" t="n">
        <f aca="false">AH224+AI173</f>
        <v>-24129.1642932</v>
      </c>
      <c r="AJ224" s="67" t="n">
        <f aca="false">AI224+AJ173</f>
        <v>-23775.4329491293</v>
      </c>
      <c r="AK224" s="67" t="n">
        <f aca="false">AJ224+AK173</f>
        <v>-23421.759655368</v>
      </c>
      <c r="AL224" s="67" t="n">
        <f aca="false">AK224+AL173</f>
        <v>-23068.1189647789</v>
      </c>
      <c r="AM224" s="67" t="n">
        <f aca="false">AL224+AM173</f>
        <v>-21797.7974280922</v>
      </c>
      <c r="AN224" s="67" t="n">
        <f aca="false">AM224+AN173</f>
        <v>-20527.5897666128</v>
      </c>
      <c r="AO224" s="67" t="n">
        <f aca="false">AN224+AO173</f>
        <v>-19257.4700852759</v>
      </c>
      <c r="AP224" s="67" t="n">
        <f aca="false">AO224+AP173</f>
        <v>-17987.4123379622</v>
      </c>
      <c r="AQ224" s="67" t="n">
        <f aca="false">AP224+AQ173</f>
        <v>-16717.3903266167</v>
      </c>
      <c r="AR224" s="67" t="n">
        <f aca="false">AQ224+AR173</f>
        <v>-6484.56571448086</v>
      </c>
      <c r="AS224" s="67" t="n">
        <f aca="false">AR224+AS173</f>
        <v>2961.13805355187</v>
      </c>
      <c r="AT224" s="67" t="n">
        <f aca="false">AS224+AT173</f>
        <v>11045.1176067164</v>
      </c>
      <c r="AU224" s="67" t="n">
        <f aca="false">AT224+AU173</f>
        <v>12048.5314598303</v>
      </c>
      <c r="AV224" s="67" t="n">
        <f aca="false">AU224+AV173</f>
        <v>13052.0223889339</v>
      </c>
      <c r="AW224" s="67" t="n">
        <f aca="false">AV224+AW173</f>
        <v>14055.6118255134</v>
      </c>
      <c r="AX224" s="67" t="n">
        <f aca="false">AW224+AX173</f>
        <v>15059.3213260717</v>
      </c>
      <c r="AY224" s="67" t="n">
        <f aca="false">AX224+AY173</f>
        <v>16793.5140691593</v>
      </c>
      <c r="AZ224" s="67" t="n">
        <f aca="false">AY224+AZ173</f>
        <v>18527.7624604129</v>
      </c>
      <c r="BA224" s="67" t="n">
        <f aca="false">AZ224+BA173</f>
        <v>20262.0884357791</v>
      </c>
      <c r="BB224" s="67" t="n">
        <f aca="false">BA224+BB173</f>
        <v>21996.5140591642</v>
      </c>
      <c r="BC224" s="67" t="n">
        <f aca="false">BB224+BC173</f>
        <v>23731.0615231808</v>
      </c>
      <c r="BD224" s="67" t="n">
        <f aca="false">BC224+BD173</f>
        <v>32904.6540650682</v>
      </c>
      <c r="BE224" s="67" t="n">
        <f aca="false">BD224+BE173</f>
        <v>42078.4132219379</v>
      </c>
      <c r="BF224" s="67" t="n">
        <f aca="false">BE224+BF173</f>
        <v>51252.361577043</v>
      </c>
      <c r="BG224" s="67" t="n">
        <f aca="false">BF224+BG173</f>
        <v>52987.620930202</v>
      </c>
      <c r="BH224" s="67" t="n">
        <f aca="false">BG224+BH173</f>
        <v>54723.1150440778</v>
      </c>
      <c r="BI224" s="67" t="n">
        <f aca="false">BH224+BI173</f>
        <v>56458.8668994405</v>
      </c>
      <c r="BJ224" s="67" t="n">
        <f aca="false">BI224+BJ173</f>
        <v>58194.8996111143</v>
      </c>
    </row>
    <row r="225" customFormat="false" ht="15" hidden="false" customHeight="false" outlineLevel="0" collapsed="false">
      <c r="A225" s="4" t="s">
        <v>93</v>
      </c>
      <c r="C225" s="73" t="n">
        <f aca="false">C211+C197+C198+C186</f>
        <v>920855.055749625</v>
      </c>
      <c r="D225" s="73" t="n">
        <f aca="false">D211+D197+D198+D186</f>
        <v>907542.894037427</v>
      </c>
      <c r="E225" s="73" t="n">
        <f aca="false">E211+E197+E198+E186</f>
        <v>895501.876468963</v>
      </c>
      <c r="F225" s="73" t="n">
        <f aca="false">F211+F197+F198+F186</f>
        <v>884732.003044232</v>
      </c>
      <c r="G225" s="73" t="n">
        <f aca="false">G211+G197+G198+G186</f>
        <v>875233.273763234</v>
      </c>
      <c r="H225" s="73" t="n">
        <f aca="false">H211+H197+H198+H186</f>
        <v>873617.723569081</v>
      </c>
      <c r="I225" s="73" t="n">
        <f aca="false">I211+I197+I198+I186</f>
        <v>872638.437926483</v>
      </c>
      <c r="J225" s="73" t="n">
        <f aca="false">J211+J197+J198+J186</f>
        <v>873394.045813219</v>
      </c>
      <c r="K225" s="73" t="n">
        <f aca="false">K211+K197+K198+K186</f>
        <v>867572.274729376</v>
      </c>
      <c r="L225" s="73" t="n">
        <f aca="false">L211+L197+L198+L186</f>
        <v>864429.266167045</v>
      </c>
      <c r="M225" s="73" t="n">
        <f aca="false">M211+M197+M198+M186</f>
        <v>862557.401748448</v>
      </c>
      <c r="N225" s="73" t="n">
        <f aca="false">N211+N197+N198+N186</f>
        <v>860398.13037985</v>
      </c>
      <c r="O225" s="73" t="n">
        <f aca="false">O211+O197+O198+O186</f>
        <v>859528.195433634</v>
      </c>
      <c r="P225" s="73" t="n">
        <f aca="false">P211+P197+P198+P186</f>
        <v>858300.102848474</v>
      </c>
      <c r="Q225" s="73" t="n">
        <f aca="false">Q211+Q197+Q198+Q186</f>
        <v>857067.718596647</v>
      </c>
      <c r="R225" s="73" t="n">
        <f aca="false">R211+R197+R198+R186</f>
        <v>855831.042678153</v>
      </c>
      <c r="S225" s="73" t="n">
        <f aca="false">S211+S197+S198+S186</f>
        <v>854590.075092993</v>
      </c>
      <c r="T225" s="73" t="n">
        <f aca="false">T211+T197+T198+T186</f>
        <v>863268.535714355</v>
      </c>
      <c r="U225" s="73" t="n">
        <f aca="false">U211+U197+U198+U186</f>
        <v>870139.236537717</v>
      </c>
      <c r="V225" s="73" t="n">
        <f aca="false">V211+V197+V198+V186</f>
        <v>877005.645694413</v>
      </c>
      <c r="W225" s="73" t="n">
        <f aca="false">W211+W197+W198+W186</f>
        <v>873944.043311253</v>
      </c>
      <c r="X225" s="73" t="n">
        <f aca="false">X211+X197+X198+X186</f>
        <v>872681.617392759</v>
      </c>
      <c r="Y225" s="73" t="n">
        <f aca="false">Y211+Y197+Y198+Y186</f>
        <v>871414.899807599</v>
      </c>
      <c r="Z225" s="73" t="n">
        <f aca="false">Z211+Z197+Z198+Z186</f>
        <v>870143.890555772</v>
      </c>
      <c r="AA225" s="73" t="n">
        <f aca="false">AA211+AA197+AA198+AA186</f>
        <v>870158.974007632</v>
      </c>
      <c r="AB225" s="73" t="n">
        <f aca="false">AB211+AB197+AB198+AB186</f>
        <v>869800.234452351</v>
      </c>
      <c r="AC225" s="73" t="n">
        <f aca="false">AC211+AC197+AC198+AC186</f>
        <v>869437.074480404</v>
      </c>
      <c r="AD225" s="73" t="n">
        <f aca="false">AD211+AD197+AD198+AD186</f>
        <v>869069.494091789</v>
      </c>
      <c r="AE225" s="73" t="n">
        <f aca="false">AE211+AE197+AE198+AE186</f>
        <v>868697.493286508</v>
      </c>
      <c r="AF225" s="73" t="n">
        <f aca="false">AF211+AF197+AF198+AF186</f>
        <v>878746.932163333</v>
      </c>
      <c r="AG225" s="73" t="n">
        <f aca="false">AG211+AG197+AG198+AG186</f>
        <v>886897.227004713</v>
      </c>
      <c r="AH225" s="73" t="n">
        <f aca="false">AH211+AH197+AH198+AH186</f>
        <v>895043.101429426</v>
      </c>
      <c r="AI225" s="73" t="n">
        <f aca="false">AI211+AI197+AI198+AI186</f>
        <v>892758.695338699</v>
      </c>
      <c r="AJ225" s="73" t="n">
        <f aca="false">AJ211+AJ197+AJ198+AJ186</f>
        <v>892364.592450085</v>
      </c>
      <c r="AK225" s="73" t="n">
        <f aca="false">AK211+AK197+AK198+AK186</f>
        <v>891966.069144804</v>
      </c>
      <c r="AL225" s="73" t="n">
        <f aca="false">AL211+AL197+AL198+AL186</f>
        <v>891563.125422856</v>
      </c>
      <c r="AM225" s="73" t="n">
        <f aca="false">AM211+AM197+AM198+AM186</f>
        <v>892458.103429486</v>
      </c>
      <c r="AN225" s="73" t="n">
        <f aca="false">AN211+AN197+AN198+AN186</f>
        <v>892962.874115396</v>
      </c>
      <c r="AO225" s="73" t="n">
        <f aca="false">AO211+AO197+AO198+AO186</f>
        <v>893463.091772139</v>
      </c>
      <c r="AP225" s="73" t="n">
        <f aca="false">AP211+AP197+AP198+AP186</f>
        <v>893958.756399716</v>
      </c>
      <c r="AQ225" s="73" t="n">
        <f aca="false">AQ211+AQ197+AQ198+AQ186</f>
        <v>894449.867998126</v>
      </c>
      <c r="AR225" s="73" t="n">
        <f aca="false">AR211+AR197+AR198+AR186</f>
        <v>905889.83518714</v>
      </c>
      <c r="AS225" s="73" t="n">
        <f aca="false">AS211+AS197+AS198+AS186</f>
        <v>914547.514749496</v>
      </c>
      <c r="AT225" s="73" t="n">
        <f aca="false">AT211+AT197+AT198+AT186</f>
        <v>921838.873289117</v>
      </c>
      <c r="AU225" s="73" t="n">
        <f aca="false">AU211+AU197+AU198+AU186</f>
        <v>920054.44587222</v>
      </c>
      <c r="AV225" s="73" t="n">
        <f aca="false">AV211+AV197+AV198+AV186</f>
        <v>920256.04157149</v>
      </c>
      <c r="AW225" s="73" t="n">
        <f aca="false">AW211+AW197+AW198+AW186</f>
        <v>920453.058056063</v>
      </c>
      <c r="AX225" s="73" t="n">
        <f aca="false">AX211+AX197+AX198+AX186</f>
        <v>920645.489595727</v>
      </c>
      <c r="AY225" s="73" t="n">
        <f aca="false">AY211+AY197+AY198+AY186</f>
        <v>921966.327049755</v>
      </c>
      <c r="AZ225" s="73" t="n">
        <f aca="false">AZ211+AZ197+AZ198+AZ186</f>
        <v>922879.804964585</v>
      </c>
      <c r="BA225" s="73" t="n">
        <f aca="false">BA211+BA197+BA198+BA186</f>
        <v>923788.572635748</v>
      </c>
      <c r="BB225" s="73" t="n">
        <f aca="false">BB211+BB197+BB198+BB186</f>
        <v>924692.624198156</v>
      </c>
      <c r="BC225" s="73" t="n">
        <f aca="false">BC211+BC197+BC198+BC186</f>
        <v>925591.953752507</v>
      </c>
      <c r="BD225" s="73" t="n">
        <f aca="false">BD211+BD197+BD198+BD186</f>
        <v>936016.777103819</v>
      </c>
      <c r="BE225" s="73" t="n">
        <f aca="false">BE211+BE197+BE198+BE186</f>
        <v>944345.545721466</v>
      </c>
      <c r="BF225" s="73" t="n">
        <f aca="false">BF211+BF197+BF198+BF186</f>
        <v>952669.574425871</v>
      </c>
      <c r="BG225" s="73" t="n">
        <f aca="false">BG211+BG197+BG198+BG186</f>
        <v>951458.635440137</v>
      </c>
      <c r="BH225" s="73" t="n">
        <f aca="false">BH211+BH197+BH198+BH186</f>
        <v>952334.265253177</v>
      </c>
      <c r="BI225" s="73" t="n">
        <f aca="false">BI211+BI197+BI198+BI186</f>
        <v>953205.136932615</v>
      </c>
      <c r="BJ225" s="73" t="n">
        <f aca="false">BJ211+BJ197+BJ198+BJ186</f>
        <v>954071.244334005</v>
      </c>
    </row>
    <row r="226" customFormat="false" ht="15" hidden="false" customHeight="false" outlineLevel="0" collapsed="false">
      <c r="A226" s="6" t="s">
        <v>96</v>
      </c>
      <c r="C226" s="67" t="n">
        <f aca="false">C199+C194</f>
        <v>505104.37256918</v>
      </c>
      <c r="D226" s="67" t="n">
        <f aca="false">D199+D194</f>
        <v>504766.78302844</v>
      </c>
      <c r="E226" s="67" t="n">
        <f aca="false">E199+E194</f>
        <v>504425.571980392</v>
      </c>
      <c r="F226" s="67" t="n">
        <f aca="false">F199+F194</f>
        <v>504080.718299578</v>
      </c>
      <c r="G226" s="67" t="n">
        <f aca="false">G199+G194</f>
        <v>503732.200737307</v>
      </c>
      <c r="H226" s="67" t="n">
        <f aca="false">H199+H194</f>
        <v>504581.62336538</v>
      </c>
      <c r="I226" s="67" t="n">
        <f aca="false">I199+I194</f>
        <v>504328.710264261</v>
      </c>
      <c r="J226" s="67" t="n">
        <f aca="false">J199+J194</f>
        <v>504072.068789011</v>
      </c>
      <c r="K226" s="67" t="n">
        <f aca="false">K199+K194</f>
        <v>502301.062346335</v>
      </c>
      <c r="L226" s="67" t="n">
        <f aca="false">L199+L194</f>
        <v>501933.902282739</v>
      </c>
      <c r="M226" s="67" t="n">
        <f aca="false">M199+M194</f>
        <v>501562.948217119</v>
      </c>
      <c r="N226" s="67" t="n">
        <f aca="false">N199+N194</f>
        <v>500904.937734464</v>
      </c>
      <c r="O226" s="67" t="n">
        <f aca="false">O199+O194</f>
        <v>500596.954829605</v>
      </c>
      <c r="P226" s="67" t="n">
        <f aca="false">P199+P194</f>
        <v>499931.245167351</v>
      </c>
      <c r="Q226" s="67" t="n">
        <f aca="false">Q199+Q194</f>
        <v>499261.652198733</v>
      </c>
      <c r="R226" s="67" t="n">
        <f aca="false">R199+R194</f>
        <v>498588.153271133</v>
      </c>
      <c r="S226" s="67" t="n">
        <f aca="false">S199+S194</f>
        <v>497910.725599788</v>
      </c>
      <c r="T226" s="67" t="n">
        <f aca="false">T199+T194</f>
        <v>499032.81439836</v>
      </c>
      <c r="U226" s="67" t="n">
        <f aca="false">U199+U194</f>
        <v>498347.460352824</v>
      </c>
      <c r="V226" s="67" t="n">
        <f aca="false">V199+V194</f>
        <v>497658.108408689</v>
      </c>
      <c r="W226" s="67" t="n">
        <f aca="false">W199+W194</f>
        <v>495161.267113547</v>
      </c>
      <c r="X226" s="67" t="n">
        <f aca="false">X199+X194</f>
        <v>494463.849272949</v>
      </c>
      <c r="Y226" s="67" t="n">
        <f aca="false">Y199+Y194</f>
        <v>493762.363161615</v>
      </c>
      <c r="Z226" s="67" t="n">
        <f aca="false">Z199+Z194</f>
        <v>493056.785047964</v>
      </c>
      <c r="AA226" s="67" t="n">
        <f aca="false">AA199+AA194</f>
        <v>492716.493652459</v>
      </c>
      <c r="AB226" s="67" t="n">
        <f aca="false">AB199+AB194</f>
        <v>492002.659784894</v>
      </c>
      <c r="AC226" s="67" t="n">
        <f aca="false">AC199+AC194</f>
        <v>491284.661886435</v>
      </c>
      <c r="AD226" s="67" t="n">
        <f aca="false">AD199+AD194</f>
        <v>490562.475666901</v>
      </c>
      <c r="AE226" s="67" t="n">
        <f aca="false">AE199+AE194</f>
        <v>489836.07669442</v>
      </c>
      <c r="AF226" s="67" t="n">
        <f aca="false">AF199+AF194</f>
        <v>491000.164013379</v>
      </c>
      <c r="AG226" s="67" t="n">
        <f aca="false">AG199+AG194</f>
        <v>490265.265668476</v>
      </c>
      <c r="AH226" s="67" t="n">
        <f aca="false">AH199+AH194</f>
        <v>489526.080416561</v>
      </c>
      <c r="AI226" s="67" t="n">
        <f aca="false">AI199+AI194</f>
        <v>486887.859631898</v>
      </c>
      <c r="AJ226" s="67" t="n">
        <f aca="false">AJ199+AJ194</f>
        <v>486140.025399213</v>
      </c>
      <c r="AK226" s="67" t="n">
        <f aca="false">AK199+AK194</f>
        <v>485387.828800171</v>
      </c>
      <c r="AL226" s="67" t="n">
        <f aca="false">AL199+AL194</f>
        <v>484631.244387634</v>
      </c>
      <c r="AM226" s="67" t="n">
        <f aca="false">AM199+AM194</f>
        <v>484255.900857577</v>
      </c>
      <c r="AN226" s="67" t="n">
        <f aca="false">AN199+AN194</f>
        <v>483490.463882008</v>
      </c>
      <c r="AO226" s="67" t="n">
        <f aca="false">AO199+AO194</f>
        <v>482720.561857414</v>
      </c>
      <c r="AP226" s="67" t="n">
        <f aca="false">AP199+AP194</f>
        <v>481946.168737677</v>
      </c>
      <c r="AQ226" s="67" t="n">
        <f aca="false">AQ199+AQ194</f>
        <v>481167.258324742</v>
      </c>
      <c r="AR226" s="67" t="n">
        <f aca="false">AR199+AR194</f>
        <v>482374.40090162</v>
      </c>
      <c r="AS226" s="67" t="n">
        <f aca="false">AS199+AS194</f>
        <v>481586.376695943</v>
      </c>
      <c r="AT226" s="67" t="n">
        <f aca="false">AT199+AT194</f>
        <v>480793.7556824</v>
      </c>
      <c r="AU226" s="67" t="n">
        <f aca="false">AU199+AU194</f>
        <v>478005.914412389</v>
      </c>
      <c r="AV226" s="67" t="n">
        <f aca="false">AV199+AV194</f>
        <v>477204.019182556</v>
      </c>
      <c r="AW226" s="67" t="n">
        <f aca="false">AW199+AW194</f>
        <v>476397.446230549</v>
      </c>
      <c r="AX226" s="67" t="n">
        <f aca="false">AX199+AX194</f>
        <v>475586.168269655</v>
      </c>
      <c r="AY226" s="67" t="n">
        <f aca="false">AY199+AY194</f>
        <v>475172.812980596</v>
      </c>
      <c r="AZ226" s="67" t="n">
        <f aca="false">AZ199+AZ194</f>
        <v>474352.042504172</v>
      </c>
      <c r="BA226" s="67" t="n">
        <f aca="false">BA199+BA194</f>
        <v>473526.484199969</v>
      </c>
      <c r="BB226" s="67" t="n">
        <f aca="false">BB199+BB194</f>
        <v>472696.110138992</v>
      </c>
      <c r="BC226" s="67" t="n">
        <f aca="false">BC199+BC194</f>
        <v>471860.892229326</v>
      </c>
      <c r="BD226" s="67" t="n">
        <f aca="false">BD199+BD194</f>
        <v>473112.12303875</v>
      </c>
      <c r="BE226" s="67" t="n">
        <f aca="false">BE199+BE194</f>
        <v>472267.132499528</v>
      </c>
      <c r="BF226" s="67" t="n">
        <f aca="false">BF199+BF194</f>
        <v>471417.212848828</v>
      </c>
      <c r="BG226" s="67" t="n">
        <f aca="false">BG199+BG194</f>
        <v>468471.014509934</v>
      </c>
      <c r="BH226" s="67" t="n">
        <f aca="false">BH199+BH194</f>
        <v>467611.150209098</v>
      </c>
      <c r="BI226" s="67" t="n">
        <f aca="false">BI199+BI194</f>
        <v>466746.270033174</v>
      </c>
      <c r="BJ226" s="67" t="n">
        <f aca="false">BJ199+BJ194</f>
        <v>465876.344722891</v>
      </c>
    </row>
    <row r="227" customFormat="false" ht="15" hidden="false" customHeight="false" outlineLevel="0" collapsed="false">
      <c r="A227" s="6" t="s">
        <v>99</v>
      </c>
      <c r="C227" s="67" t="n">
        <f aca="false">C223+C224</f>
        <v>415750.683180444</v>
      </c>
      <c r="D227" s="67" t="n">
        <f aca="false">D223+D224</f>
        <v>402776.111008987</v>
      </c>
      <c r="E227" s="67" t="n">
        <f aca="false">E223+E224</f>
        <v>391076.30448857</v>
      </c>
      <c r="F227" s="67" t="n">
        <f aca="false">F223+F224</f>
        <v>380651.284744653</v>
      </c>
      <c r="G227" s="67" t="n">
        <f aca="false">G223+G224</f>
        <v>371501.073025927</v>
      </c>
      <c r="H227" s="67" t="n">
        <f aca="false">H223+H224</f>
        <v>369036.1002037</v>
      </c>
      <c r="I227" s="67" t="n">
        <f aca="false">I223+I224</f>
        <v>368309.727662222</v>
      </c>
      <c r="J227" s="67" t="n">
        <f aca="false">J223+J224</f>
        <v>369321.977024208</v>
      </c>
      <c r="K227" s="67" t="n">
        <f aca="false">K223+K224</f>
        <v>365271.212383041</v>
      </c>
      <c r="L227" s="67" t="n">
        <f aca="false">L223+L224</f>
        <v>362495.363884306</v>
      </c>
      <c r="M227" s="67" t="n">
        <f aca="false">M223+M224</f>
        <v>360994.453531328</v>
      </c>
      <c r="N227" s="67" t="n">
        <f aca="false">N223+N224</f>
        <v>359493.192645386</v>
      </c>
      <c r="O227" s="67" t="n">
        <f aca="false">O223+O224</f>
        <v>358931.240604029</v>
      </c>
      <c r="P227" s="67" t="n">
        <f aca="false">P223+P224</f>
        <v>358368.857681123</v>
      </c>
      <c r="Q227" s="67" t="n">
        <f aca="false">Q223+Q224</f>
        <v>357806.066397913</v>
      </c>
      <c r="R227" s="67" t="n">
        <f aca="false">R223+R224</f>
        <v>357242.88940702</v>
      </c>
      <c r="S227" s="67" t="n">
        <f aca="false">S223+S224</f>
        <v>356679.349493205</v>
      </c>
      <c r="T227" s="67" t="n">
        <f aca="false">T223+T224</f>
        <v>364235.721315995</v>
      </c>
      <c r="U227" s="67" t="n">
        <f aca="false">U223+U224</f>
        <v>371791.776184893</v>
      </c>
      <c r="V227" s="67" t="n">
        <f aca="false">V223+V224</f>
        <v>379347.537285724</v>
      </c>
      <c r="W227" s="67" t="n">
        <f aca="false">W223+W224</f>
        <v>378782.776197706</v>
      </c>
      <c r="X227" s="67" t="n">
        <f aca="false">X223+X224</f>
        <v>378217.76811981</v>
      </c>
      <c r="Y227" s="67" t="n">
        <f aca="false">Y223+Y224</f>
        <v>377652.536645984</v>
      </c>
      <c r="Z227" s="67" t="n">
        <f aca="false">Z223+Z224</f>
        <v>377087.105507807</v>
      </c>
      <c r="AA227" s="67" t="n">
        <f aca="false">AA223+AA224</f>
        <v>377442.480355173</v>
      </c>
      <c r="AB227" s="67" t="n">
        <f aca="false">AB223+AB224</f>
        <v>377797.574667457</v>
      </c>
      <c r="AC227" s="67" t="n">
        <f aca="false">AC223+AC224</f>
        <v>378152.412593969</v>
      </c>
      <c r="AD227" s="67" t="n">
        <f aca="false">AD223+AD224</f>
        <v>378507.018424888</v>
      </c>
      <c r="AE227" s="67" t="n">
        <f aca="false">AE223+AE224</f>
        <v>378861.416592088</v>
      </c>
      <c r="AF227" s="67" t="n">
        <f aca="false">AF223+AF224</f>
        <v>387746.768149954</v>
      </c>
      <c r="AG227" s="67" t="n">
        <f aca="false">AG223+AG224</f>
        <v>396631.961336236</v>
      </c>
      <c r="AH227" s="67" t="n">
        <f aca="false">AH223+AH224</f>
        <v>405517.021012864</v>
      </c>
      <c r="AI227" s="67" t="n">
        <f aca="false">AI223+AI224</f>
        <v>405870.8357068</v>
      </c>
      <c r="AJ227" s="67" t="n">
        <f aca="false">AJ223+AJ224</f>
        <v>406224.567050871</v>
      </c>
      <c r="AK227" s="67" t="n">
        <f aca="false">AK223+AK224</f>
        <v>406578.240344632</v>
      </c>
      <c r="AL227" s="67" t="n">
        <f aca="false">AL223+AL224</f>
        <v>406931.881035221</v>
      </c>
      <c r="AM227" s="67" t="n">
        <f aca="false">AM223+AM224</f>
        <v>408202.202571908</v>
      </c>
      <c r="AN227" s="67" t="n">
        <f aca="false">AN223+AN224</f>
        <v>409472.410233387</v>
      </c>
      <c r="AO227" s="67" t="n">
        <f aca="false">AO223+AO224</f>
        <v>410742.529914724</v>
      </c>
      <c r="AP227" s="67" t="n">
        <f aca="false">AP223+AP224</f>
        <v>412012.587662038</v>
      </c>
      <c r="AQ227" s="67" t="n">
        <f aca="false">AQ223+AQ224</f>
        <v>413282.609673383</v>
      </c>
      <c r="AR227" s="67" t="n">
        <f aca="false">AR223+AR224</f>
        <v>423515.434285519</v>
      </c>
      <c r="AS227" s="67" t="n">
        <f aca="false">AS223+AS224</f>
        <v>432961.138053552</v>
      </c>
      <c r="AT227" s="67" t="n">
        <f aca="false">AT223+AT224</f>
        <v>441045.117606716</v>
      </c>
      <c r="AU227" s="67" t="n">
        <f aca="false">AU223+AU224</f>
        <v>442048.53145983</v>
      </c>
      <c r="AV227" s="67" t="n">
        <f aca="false">AV223+AV224</f>
        <v>443052.022388934</v>
      </c>
      <c r="AW227" s="67" t="n">
        <f aca="false">AW223+AW224</f>
        <v>444055.611825513</v>
      </c>
      <c r="AX227" s="67" t="n">
        <f aca="false">AX223+AX224</f>
        <v>445059.321326072</v>
      </c>
      <c r="AY227" s="67" t="n">
        <f aca="false">AY223+AY224</f>
        <v>446793.514069159</v>
      </c>
      <c r="AZ227" s="67" t="n">
        <f aca="false">AZ223+AZ224</f>
        <v>448527.762460413</v>
      </c>
      <c r="BA227" s="67" t="n">
        <f aca="false">BA223+BA224</f>
        <v>450262.088435779</v>
      </c>
      <c r="BB227" s="67" t="n">
        <f aca="false">BB223+BB224</f>
        <v>451996.514059164</v>
      </c>
      <c r="BC227" s="67" t="n">
        <f aca="false">BC223+BC224</f>
        <v>453731.061523181</v>
      </c>
      <c r="BD227" s="67" t="n">
        <f aca="false">BD223+BD224</f>
        <v>462904.654065068</v>
      </c>
      <c r="BE227" s="67" t="n">
        <f aca="false">BE223+BE224</f>
        <v>472078.413221938</v>
      </c>
      <c r="BF227" s="67" t="n">
        <f aca="false">BF223+BF224</f>
        <v>481252.361577043</v>
      </c>
      <c r="BG227" s="67" t="n">
        <f aca="false">BG223+BG224</f>
        <v>482987.620930202</v>
      </c>
      <c r="BH227" s="67" t="n">
        <f aca="false">BH223+BH224</f>
        <v>484723.115044078</v>
      </c>
      <c r="BI227" s="67" t="n">
        <f aca="false">BI223+BI224</f>
        <v>486458.866899441</v>
      </c>
      <c r="BJ227" s="67" t="n">
        <f aca="false">BJ223+BJ224</f>
        <v>488194.899611114</v>
      </c>
    </row>
    <row r="228" customFormat="false" ht="15" hidden="false" customHeight="false" outlineLevel="0" collapsed="false">
      <c r="A228" s="4" t="s">
        <v>100</v>
      </c>
      <c r="C228" s="73" t="n">
        <f aca="false">C226+C227</f>
        <v>920855.055749625</v>
      </c>
      <c r="D228" s="73" t="n">
        <f aca="false">D226+D227</f>
        <v>907542.894037427</v>
      </c>
      <c r="E228" s="73" t="n">
        <f aca="false">E226+E227</f>
        <v>895501.876468963</v>
      </c>
      <c r="F228" s="73" t="n">
        <f aca="false">F226+F227</f>
        <v>884732.003044232</v>
      </c>
      <c r="G228" s="73" t="n">
        <f aca="false">G226+G227</f>
        <v>875233.273763234</v>
      </c>
      <c r="H228" s="73" t="n">
        <f aca="false">H226+H227</f>
        <v>873617.723569081</v>
      </c>
      <c r="I228" s="73" t="n">
        <f aca="false">I226+I227</f>
        <v>872638.437926483</v>
      </c>
      <c r="J228" s="73" t="n">
        <f aca="false">J226+J227</f>
        <v>873394.045813219</v>
      </c>
      <c r="K228" s="73" t="n">
        <f aca="false">K226+K227</f>
        <v>867572.274729376</v>
      </c>
      <c r="L228" s="73" t="n">
        <f aca="false">L226+L227</f>
        <v>864429.266167045</v>
      </c>
      <c r="M228" s="73" t="n">
        <f aca="false">M226+M227</f>
        <v>862557.401748448</v>
      </c>
      <c r="N228" s="73" t="n">
        <f aca="false">N226+N227</f>
        <v>860398.13037985</v>
      </c>
      <c r="O228" s="73" t="n">
        <f aca="false">O226+O227</f>
        <v>859528.195433634</v>
      </c>
      <c r="P228" s="73" t="n">
        <f aca="false">P226+P227</f>
        <v>858300.102848474</v>
      </c>
      <c r="Q228" s="73" t="n">
        <f aca="false">Q226+Q227</f>
        <v>857067.718596647</v>
      </c>
      <c r="R228" s="73" t="n">
        <f aca="false">R226+R227</f>
        <v>855831.042678153</v>
      </c>
      <c r="S228" s="73" t="n">
        <f aca="false">S226+S227</f>
        <v>854590.075092993</v>
      </c>
      <c r="T228" s="73" t="n">
        <f aca="false">T226+T227</f>
        <v>863268.535714355</v>
      </c>
      <c r="U228" s="73" t="n">
        <f aca="false">U226+U227</f>
        <v>870139.236537717</v>
      </c>
      <c r="V228" s="73" t="n">
        <f aca="false">V226+V227</f>
        <v>877005.645694413</v>
      </c>
      <c r="W228" s="73" t="n">
        <f aca="false">W226+W227</f>
        <v>873944.043311253</v>
      </c>
      <c r="X228" s="73" t="n">
        <f aca="false">X226+X227</f>
        <v>872681.617392759</v>
      </c>
      <c r="Y228" s="73" t="n">
        <f aca="false">Y226+Y227</f>
        <v>871414.899807599</v>
      </c>
      <c r="Z228" s="73" t="n">
        <f aca="false">Z226+Z227</f>
        <v>870143.890555772</v>
      </c>
      <c r="AA228" s="73" t="n">
        <f aca="false">AA226+AA227</f>
        <v>870158.974007632</v>
      </c>
      <c r="AB228" s="73" t="n">
        <f aca="false">AB226+AB227</f>
        <v>869800.234452351</v>
      </c>
      <c r="AC228" s="73" t="n">
        <f aca="false">AC226+AC227</f>
        <v>869437.074480403</v>
      </c>
      <c r="AD228" s="73" t="n">
        <f aca="false">AD226+AD227</f>
        <v>869069.494091789</v>
      </c>
      <c r="AE228" s="73" t="n">
        <f aca="false">AE226+AE227</f>
        <v>868697.493286508</v>
      </c>
      <c r="AF228" s="73" t="n">
        <f aca="false">AF226+AF227</f>
        <v>878746.932163333</v>
      </c>
      <c r="AG228" s="73" t="n">
        <f aca="false">AG226+AG227</f>
        <v>886897.227004712</v>
      </c>
      <c r="AH228" s="73" t="n">
        <f aca="false">AH226+AH227</f>
        <v>895043.101429425</v>
      </c>
      <c r="AI228" s="73" t="n">
        <f aca="false">AI226+AI227</f>
        <v>892758.695338699</v>
      </c>
      <c r="AJ228" s="73" t="n">
        <f aca="false">AJ226+AJ227</f>
        <v>892364.592450084</v>
      </c>
      <c r="AK228" s="73" t="n">
        <f aca="false">AK226+AK227</f>
        <v>891966.069144803</v>
      </c>
      <c r="AL228" s="73" t="n">
        <f aca="false">AL226+AL227</f>
        <v>891563.125422855</v>
      </c>
      <c r="AM228" s="73" t="n">
        <f aca="false">AM226+AM227</f>
        <v>892458.103429485</v>
      </c>
      <c r="AN228" s="73" t="n">
        <f aca="false">AN226+AN227</f>
        <v>892962.874115395</v>
      </c>
      <c r="AO228" s="73" t="n">
        <f aca="false">AO226+AO227</f>
        <v>893463.091772139</v>
      </c>
      <c r="AP228" s="73" t="n">
        <f aca="false">AP226+AP227</f>
        <v>893958.756399715</v>
      </c>
      <c r="AQ228" s="73" t="n">
        <f aca="false">AQ226+AQ227</f>
        <v>894449.867998125</v>
      </c>
      <c r="AR228" s="73" t="n">
        <f aca="false">AR226+AR227</f>
        <v>905889.835187139</v>
      </c>
      <c r="AS228" s="73" t="n">
        <f aca="false">AS226+AS227</f>
        <v>914547.514749495</v>
      </c>
      <c r="AT228" s="73" t="n">
        <f aca="false">AT226+AT227</f>
        <v>921838.873289117</v>
      </c>
      <c r="AU228" s="73" t="n">
        <f aca="false">AU226+AU227</f>
        <v>920054.445872219</v>
      </c>
      <c r="AV228" s="73" t="n">
        <f aca="false">AV226+AV227</f>
        <v>920256.04157149</v>
      </c>
      <c r="AW228" s="73" t="n">
        <f aca="false">AW226+AW227</f>
        <v>920453.058056063</v>
      </c>
      <c r="AX228" s="73" t="n">
        <f aca="false">AX226+AX227</f>
        <v>920645.489595727</v>
      </c>
      <c r="AY228" s="73" t="n">
        <f aca="false">AY226+AY227</f>
        <v>921966.327049755</v>
      </c>
      <c r="AZ228" s="73" t="n">
        <f aca="false">AZ226+AZ227</f>
        <v>922879.804964585</v>
      </c>
      <c r="BA228" s="73" t="n">
        <f aca="false">BA226+BA227</f>
        <v>923788.572635748</v>
      </c>
      <c r="BB228" s="73" t="n">
        <f aca="false">BB226+BB227</f>
        <v>924692.624198156</v>
      </c>
      <c r="BC228" s="73" t="n">
        <f aca="false">BC226+BC227</f>
        <v>925591.953752506</v>
      </c>
      <c r="BD228" s="73" t="n">
        <f aca="false">BD226+BD227</f>
        <v>936016.777103818</v>
      </c>
      <c r="BE228" s="73" t="n">
        <f aca="false">BE226+BE227</f>
        <v>944345.545721466</v>
      </c>
      <c r="BF228" s="73" t="n">
        <f aca="false">BF226+BF227</f>
        <v>952669.574425871</v>
      </c>
      <c r="BG228" s="73" t="n">
        <f aca="false">BG226+BG227</f>
        <v>951458.635440136</v>
      </c>
      <c r="BH228" s="73" t="n">
        <f aca="false">BH226+BH227</f>
        <v>952334.265253176</v>
      </c>
      <c r="BI228" s="73" t="n">
        <f aca="false">BI226+BI227</f>
        <v>953205.136932615</v>
      </c>
      <c r="BJ228" s="73" t="n">
        <f aca="false">BJ226+BJ227</f>
        <v>954071.244334005</v>
      </c>
    </row>
    <row r="229" customFormat="false" ht="15" hidden="false" customHeight="false" outlineLevel="0" collapsed="false">
      <c r="A229" s="6" t="s">
        <v>449</v>
      </c>
      <c r="C229" s="67" t="n">
        <f aca="false">C225-C228</f>
        <v>0</v>
      </c>
      <c r="D229" s="67" t="n">
        <f aca="false">D225-D228</f>
        <v>0</v>
      </c>
      <c r="E229" s="67" t="n">
        <f aca="false">E225-E228</f>
        <v>0</v>
      </c>
      <c r="F229" s="67" t="n">
        <f aca="false">F225-F228</f>
        <v>0</v>
      </c>
      <c r="G229" s="67" t="n">
        <f aca="false">G225-G228</f>
        <v>0</v>
      </c>
      <c r="H229" s="67" t="n">
        <f aca="false">H225-H228</f>
        <v>0</v>
      </c>
      <c r="I229" s="67" t="n">
        <f aca="false">I225-I228</f>
        <v>0</v>
      </c>
      <c r="J229" s="67" t="n">
        <f aca="false">J225-J228</f>
        <v>0</v>
      </c>
      <c r="K229" s="67" t="n">
        <f aca="false">K225-K228</f>
        <v>0</v>
      </c>
      <c r="L229" s="67" t="n">
        <f aca="false">L225-L228</f>
        <v>0</v>
      </c>
      <c r="M229" s="67" t="n">
        <f aca="false">M225-M228</f>
        <v>0</v>
      </c>
      <c r="N229" s="67" t="n">
        <f aca="false">N225-N228</f>
        <v>0</v>
      </c>
      <c r="O229" s="67" t="n">
        <f aca="false">O225-O228</f>
        <v>0</v>
      </c>
      <c r="P229" s="67" t="n">
        <f aca="false">P225-P228</f>
        <v>0</v>
      </c>
      <c r="Q229" s="67" t="n">
        <f aca="false">Q225-Q228</f>
        <v>0</v>
      </c>
      <c r="R229" s="67" t="n">
        <f aca="false">R225-R228</f>
        <v>0</v>
      </c>
      <c r="S229" s="67" t="n">
        <f aca="false">S225-S228</f>
        <v>0</v>
      </c>
      <c r="T229" s="67" t="n">
        <f aca="false">T225-T228</f>
        <v>0</v>
      </c>
      <c r="U229" s="67" t="n">
        <f aca="false">U225-U228</f>
        <v>0</v>
      </c>
      <c r="V229" s="67" t="n">
        <f aca="false">V225-V228</f>
        <v>0</v>
      </c>
      <c r="W229" s="67" t="n">
        <f aca="false">W225-W228</f>
        <v>0</v>
      </c>
      <c r="X229" s="67" t="n">
        <f aca="false">X225-X228</f>
        <v>0</v>
      </c>
      <c r="Y229" s="67" t="n">
        <f aca="false">Y225-Y228</f>
        <v>0</v>
      </c>
      <c r="Z229" s="67" t="n">
        <f aca="false">Z225-Z228</f>
        <v>0</v>
      </c>
      <c r="AA229" s="67" t="n">
        <f aca="false">AA225-AA228</f>
        <v>0</v>
      </c>
      <c r="AB229" s="67" t="n">
        <f aca="false">AB225-AB228</f>
        <v>0</v>
      </c>
      <c r="AC229" s="67" t="n">
        <f aca="false">AC225-AC228</f>
        <v>0</v>
      </c>
      <c r="AD229" s="67" t="n">
        <f aca="false">AD225-AD228</f>
        <v>0</v>
      </c>
      <c r="AE229" s="67" t="n">
        <f aca="false">AE225-AE228</f>
        <v>0</v>
      </c>
      <c r="AF229" s="67" t="n">
        <f aca="false">AF225-AF228</f>
        <v>0</v>
      </c>
      <c r="AG229" s="67" t="n">
        <f aca="false">AG225-AG228</f>
        <v>0</v>
      </c>
      <c r="AH229" s="67" t="n">
        <f aca="false">AH225-AH228</f>
        <v>0</v>
      </c>
      <c r="AI229" s="67" t="n">
        <f aca="false">AI225-AI228</f>
        <v>0</v>
      </c>
      <c r="AJ229" s="67" t="n">
        <f aca="false">AJ225-AJ228</f>
        <v>0</v>
      </c>
      <c r="AK229" s="67" t="n">
        <f aca="false">AK225-AK228</f>
        <v>0</v>
      </c>
      <c r="AL229" s="67" t="n">
        <f aca="false">AL225-AL228</f>
        <v>0</v>
      </c>
      <c r="AM229" s="67" t="n">
        <f aca="false">AM225-AM228</f>
        <v>0</v>
      </c>
      <c r="AN229" s="67" t="n">
        <f aca="false">AN225-AN228</f>
        <v>0</v>
      </c>
      <c r="AO229" s="67" t="n">
        <f aca="false">AO225-AO228</f>
        <v>0</v>
      </c>
      <c r="AP229" s="67" t="n">
        <f aca="false">AP225-AP228</f>
        <v>0</v>
      </c>
      <c r="AQ229" s="67" t="n">
        <f aca="false">AQ225-AQ228</f>
        <v>0</v>
      </c>
      <c r="AR229" s="67" t="n">
        <f aca="false">AR225-AR228</f>
        <v>0</v>
      </c>
      <c r="AS229" s="67" t="n">
        <f aca="false">AS225-AS228</f>
        <v>0</v>
      </c>
      <c r="AT229" s="67" t="n">
        <f aca="false">AT225-AT228</f>
        <v>0</v>
      </c>
      <c r="AU229" s="67" t="n">
        <f aca="false">AU225-AU228</f>
        <v>0</v>
      </c>
      <c r="AV229" s="67" t="n">
        <f aca="false">AV225-AV228</f>
        <v>0</v>
      </c>
      <c r="AW229" s="67" t="n">
        <f aca="false">AW225-AW228</f>
        <v>0</v>
      </c>
      <c r="AX229" s="67" t="n">
        <f aca="false">AX225-AX228</f>
        <v>0</v>
      </c>
      <c r="AY229" s="67" t="n">
        <f aca="false">AY225-AY228</f>
        <v>0</v>
      </c>
      <c r="AZ229" s="67" t="n">
        <f aca="false">AZ225-AZ228</f>
        <v>0</v>
      </c>
      <c r="BA229" s="67" t="n">
        <f aca="false">BA225-BA228</f>
        <v>0</v>
      </c>
      <c r="BB229" s="67" t="n">
        <f aca="false">BB225-BB228</f>
        <v>0</v>
      </c>
      <c r="BC229" s="67" t="n">
        <f aca="false">BC225-BC228</f>
        <v>0</v>
      </c>
      <c r="BD229" s="67" t="n">
        <f aca="false">BD225-BD228</f>
        <v>0</v>
      </c>
      <c r="BE229" s="67" t="n">
        <f aca="false">BE225-BE228</f>
        <v>0</v>
      </c>
      <c r="BF229" s="67" t="n">
        <f aca="false">BF225-BF228</f>
        <v>0</v>
      </c>
      <c r="BG229" s="67" t="n">
        <f aca="false">BG225-BG228</f>
        <v>0</v>
      </c>
      <c r="BH229" s="67" t="n">
        <f aca="false">BH225-BH228</f>
        <v>0</v>
      </c>
      <c r="BI229" s="67" t="n">
        <f aca="false">BI225-BI228</f>
        <v>0</v>
      </c>
      <c r="BJ229" s="67" t="n">
        <f aca="false">BJ225-BJ228</f>
        <v>0</v>
      </c>
    </row>
    <row r="231" customFormat="false" ht="15.75" hidden="false" customHeight="true" outlineLevel="0" collapsed="false">
      <c r="A231" s="7" t="s">
        <v>451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customFormat="false" ht="15" hidden="false" customHeight="false" outlineLevel="0" collapsed="false">
      <c r="A232" s="6" t="s">
        <v>452</v>
      </c>
      <c r="C232" s="115" t="n">
        <f aca="false">Inputs!$C$49*(1+Inputs!$C$51)^(C$127-1)*MAX(0,MIN(1,C$126*1-Inputs!$C$52+1))/1</f>
        <v>1.5</v>
      </c>
      <c r="D232" s="115" t="n">
        <f aca="false">Inputs!$C$49*(1+Inputs!$C$51)^(D$127-1)*MAX(0,MIN(1,D$126*1-Inputs!$C$52+1))/1</f>
        <v>1.5</v>
      </c>
      <c r="E232" s="115" t="n">
        <f aca="false">Inputs!$C$49*(1+Inputs!$C$51)^(E$127-1)*MAX(0,MIN(1,E$126*1-Inputs!$C$52+1))/1</f>
        <v>1.5</v>
      </c>
      <c r="F232" s="115" t="n">
        <f aca="false">Inputs!$C$49*(1+Inputs!$C$51)^(F$127-1)*MAX(0,MIN(1,F$126*1-Inputs!$C$52+1))/1</f>
        <v>1.5</v>
      </c>
      <c r="G232" s="115" t="n">
        <f aca="false">Inputs!$C$49*(1+Inputs!$C$51)^(G$127-1)*MAX(0,MIN(1,G$126*1-Inputs!$C$52+1))/1</f>
        <v>1.5</v>
      </c>
      <c r="H232" s="115" t="n">
        <f aca="false">Inputs!$C$49*(1+Inputs!$C$51)^(H$127-1)*MAX(0,MIN(1,H$126*1-Inputs!$C$52+1))/1</f>
        <v>1.5</v>
      </c>
      <c r="I232" s="115" t="n">
        <f aca="false">Inputs!$C$49*(1+Inputs!$C$51)^(I$127-1)*MAX(0,MIN(1,I$126*1-Inputs!$C$52+1))/1</f>
        <v>1.5</v>
      </c>
      <c r="J232" s="115" t="n">
        <f aca="false">Inputs!$C$49*(1+Inputs!$C$51)^(J$127-1)*MAX(0,MIN(1,J$126*1-Inputs!$C$52+1))/1</f>
        <v>1.5</v>
      </c>
      <c r="K232" s="115" t="n">
        <f aca="false">Inputs!$C$49*(1+Inputs!$C$51)^(K$127-1)*MAX(0,MIN(1,K$126*1-Inputs!$C$52+1))/1</f>
        <v>1.5</v>
      </c>
      <c r="L232" s="115" t="n">
        <f aca="false">Inputs!$C$49*(1+Inputs!$C$51)^(L$127-1)*MAX(0,MIN(1,L$126*1-Inputs!$C$52+1))/1</f>
        <v>1.5</v>
      </c>
      <c r="M232" s="115" t="n">
        <f aca="false">Inputs!$C$49*(1+Inputs!$C$51)^(M$127-1)*MAX(0,MIN(1,M$126*1-Inputs!$C$52+1))/1</f>
        <v>1.5</v>
      </c>
      <c r="N232" s="115" t="n">
        <f aca="false">Inputs!$C$49*(1+Inputs!$C$51)^(N$127-1)*MAX(0,MIN(1,N$126*1-Inputs!$C$52+1))/1</f>
        <v>1.5</v>
      </c>
      <c r="O232" s="115" t="n">
        <f aca="false">Inputs!$C$49*(1+Inputs!$C$51)^(O$127-1)*MAX(0,MIN(1,O$126*1-Inputs!$C$52+1))/1</f>
        <v>1.5</v>
      </c>
      <c r="P232" s="115" t="n">
        <f aca="false">Inputs!$C$49*(1+Inputs!$C$51)^(P$127-1)*MAX(0,MIN(1,P$126*1-Inputs!$C$52+1))/1</f>
        <v>1.5</v>
      </c>
      <c r="Q232" s="115" t="n">
        <f aca="false">Inputs!$C$49*(1+Inputs!$C$51)^(Q$127-1)*MAX(0,MIN(1,Q$126*1-Inputs!$C$52+1))/1</f>
        <v>1.5</v>
      </c>
      <c r="R232" s="115" t="n">
        <f aca="false">Inputs!$C$49*(1+Inputs!$C$51)^(R$127-1)*MAX(0,MIN(1,R$126*1-Inputs!$C$52+1))/1</f>
        <v>1.5</v>
      </c>
      <c r="S232" s="115" t="n">
        <f aca="false">Inputs!$C$49*(1+Inputs!$C$51)^(S$127-1)*MAX(0,MIN(1,S$126*1-Inputs!$C$52+1))/1</f>
        <v>1.5</v>
      </c>
      <c r="T232" s="115" t="n">
        <f aca="false">Inputs!$C$49*(1+Inputs!$C$51)^(T$127-1)*MAX(0,MIN(1,T$126*1-Inputs!$C$52+1))/1</f>
        <v>1.5</v>
      </c>
      <c r="U232" s="115" t="n">
        <f aca="false">Inputs!$C$49*(1+Inputs!$C$51)^(U$127-1)*MAX(0,MIN(1,U$126*1-Inputs!$C$52+1))/1</f>
        <v>1.5</v>
      </c>
      <c r="V232" s="115" t="n">
        <f aca="false">Inputs!$C$49*(1+Inputs!$C$51)^(V$127-1)*MAX(0,MIN(1,V$126*1-Inputs!$C$52+1))/1</f>
        <v>1.5</v>
      </c>
      <c r="W232" s="115" t="n">
        <f aca="false">Inputs!$C$49*(1+Inputs!$C$51)^(W$127-1)*MAX(0,MIN(1,W$126*1-Inputs!$C$52+1))/1</f>
        <v>1.5</v>
      </c>
      <c r="X232" s="115" t="n">
        <f aca="false">Inputs!$C$49*(1+Inputs!$C$51)^(X$127-1)*MAX(0,MIN(1,X$126*1-Inputs!$C$52+1))/1</f>
        <v>1.5</v>
      </c>
      <c r="Y232" s="115" t="n">
        <f aca="false">Inputs!$C$49*(1+Inputs!$C$51)^(Y$127-1)*MAX(0,MIN(1,Y$126*1-Inputs!$C$52+1))/1</f>
        <v>1.5</v>
      </c>
      <c r="Z232" s="115" t="n">
        <f aca="false">Inputs!$C$49*(1+Inputs!$C$51)^(Z$127-1)*MAX(0,MIN(1,Z$126*1-Inputs!$C$52+1))/1</f>
        <v>1.5</v>
      </c>
      <c r="AA232" s="115" t="n">
        <f aca="false">Inputs!$C$49*(1+Inputs!$C$51)^(AA$127-1)*MAX(0,MIN(1,AA$126*1-Inputs!$C$52+1))/1</f>
        <v>1.5</v>
      </c>
      <c r="AB232" s="115" t="n">
        <f aca="false">Inputs!$C$49*(1+Inputs!$C$51)^(AB$127-1)*MAX(0,MIN(1,AB$126*1-Inputs!$C$52+1))/1</f>
        <v>1.5</v>
      </c>
      <c r="AC232" s="115" t="n">
        <f aca="false">Inputs!$C$49*(1+Inputs!$C$51)^(AC$127-1)*MAX(0,MIN(1,AC$126*1-Inputs!$C$52+1))/1</f>
        <v>1.5</v>
      </c>
      <c r="AD232" s="115" t="n">
        <f aca="false">Inputs!$C$49*(1+Inputs!$C$51)^(AD$127-1)*MAX(0,MIN(1,AD$126*1-Inputs!$C$52+1))/1</f>
        <v>1.5</v>
      </c>
      <c r="AE232" s="115" t="n">
        <f aca="false">Inputs!$C$49*(1+Inputs!$C$51)^(AE$127-1)*MAX(0,MIN(1,AE$126*1-Inputs!$C$52+1))/1</f>
        <v>1.5</v>
      </c>
      <c r="AF232" s="115" t="n">
        <f aca="false">Inputs!$C$49*(1+Inputs!$C$51)^(AF$127-1)*MAX(0,MIN(1,AF$126*1-Inputs!$C$52+1))/1</f>
        <v>1.5</v>
      </c>
      <c r="AG232" s="115" t="n">
        <f aca="false">Inputs!$C$49*(1+Inputs!$C$51)^(AG$127-1)*MAX(0,MIN(1,AG$126*1-Inputs!$C$52+1))/1</f>
        <v>1.5</v>
      </c>
      <c r="AH232" s="115" t="n">
        <f aca="false">Inputs!$C$49*(1+Inputs!$C$51)^(AH$127-1)*MAX(0,MIN(1,AH$126*1-Inputs!$C$52+1))/1</f>
        <v>1.5</v>
      </c>
      <c r="AI232" s="115" t="n">
        <f aca="false">Inputs!$C$49*(1+Inputs!$C$51)^(AI$127-1)*MAX(0,MIN(1,AI$126*1-Inputs!$C$52+1))/1</f>
        <v>1.5</v>
      </c>
      <c r="AJ232" s="115" t="n">
        <f aca="false">Inputs!$C$49*(1+Inputs!$C$51)^(AJ$127-1)*MAX(0,MIN(1,AJ$126*1-Inputs!$C$52+1))/1</f>
        <v>1.5</v>
      </c>
      <c r="AK232" s="115" t="n">
        <f aca="false">Inputs!$C$49*(1+Inputs!$C$51)^(AK$127-1)*MAX(0,MIN(1,AK$126*1-Inputs!$C$52+1))/1</f>
        <v>1.5</v>
      </c>
      <c r="AL232" s="115" t="n">
        <f aca="false">Inputs!$C$49*(1+Inputs!$C$51)^(AL$127-1)*MAX(0,MIN(1,AL$126*1-Inputs!$C$52+1))/1</f>
        <v>1.5</v>
      </c>
      <c r="AM232" s="115" t="n">
        <f aca="false">Inputs!$C$49*(1+Inputs!$C$51)^(AM$127-1)*MAX(0,MIN(1,AM$126*1-Inputs!$C$52+1))/1</f>
        <v>1.5</v>
      </c>
      <c r="AN232" s="115" t="n">
        <f aca="false">Inputs!$C$49*(1+Inputs!$C$51)^(AN$127-1)*MAX(0,MIN(1,AN$126*1-Inputs!$C$52+1))/1</f>
        <v>1.5</v>
      </c>
      <c r="AO232" s="115" t="n">
        <f aca="false">Inputs!$C$49*(1+Inputs!$C$51)^(AO$127-1)*MAX(0,MIN(1,AO$126*1-Inputs!$C$52+1))/1</f>
        <v>1.5</v>
      </c>
      <c r="AP232" s="115" t="n">
        <f aca="false">Inputs!$C$49*(1+Inputs!$C$51)^(AP$127-1)*MAX(0,MIN(1,AP$126*1-Inputs!$C$52+1))/1</f>
        <v>1.5</v>
      </c>
      <c r="AQ232" s="115" t="n">
        <f aca="false">Inputs!$C$49*(1+Inputs!$C$51)^(AQ$127-1)*MAX(0,MIN(1,AQ$126*1-Inputs!$C$52+1))/1</f>
        <v>1.5</v>
      </c>
      <c r="AR232" s="115" t="n">
        <f aca="false">Inputs!$C$49*(1+Inputs!$C$51)^(AR$127-1)*MAX(0,MIN(1,AR$126*1-Inputs!$C$52+1))/1</f>
        <v>1.5</v>
      </c>
      <c r="AS232" s="115" t="n">
        <f aca="false">Inputs!$C$49*(1+Inputs!$C$51)^(AS$127-1)*MAX(0,MIN(1,AS$126*1-Inputs!$C$52+1))/1</f>
        <v>1.5</v>
      </c>
      <c r="AT232" s="115" t="n">
        <f aca="false">Inputs!$C$49*(1+Inputs!$C$51)^(AT$127-1)*MAX(0,MIN(1,AT$126*1-Inputs!$C$52+1))/1</f>
        <v>1.5</v>
      </c>
      <c r="AU232" s="115" t="n">
        <f aca="false">Inputs!$C$49*(1+Inputs!$C$51)^(AU$127-1)*MAX(0,MIN(1,AU$126*1-Inputs!$C$52+1))/1</f>
        <v>1.5</v>
      </c>
      <c r="AV232" s="115" t="n">
        <f aca="false">Inputs!$C$49*(1+Inputs!$C$51)^(AV$127-1)*MAX(0,MIN(1,AV$126*1-Inputs!$C$52+1))/1</f>
        <v>1.5</v>
      </c>
      <c r="AW232" s="115" t="n">
        <f aca="false">Inputs!$C$49*(1+Inputs!$C$51)^(AW$127-1)*MAX(0,MIN(1,AW$126*1-Inputs!$C$52+1))/1</f>
        <v>1.5</v>
      </c>
      <c r="AX232" s="115" t="n">
        <f aca="false">Inputs!$C$49*(1+Inputs!$C$51)^(AX$127-1)*MAX(0,MIN(1,AX$126*1-Inputs!$C$52+1))/1</f>
        <v>1.5</v>
      </c>
      <c r="AY232" s="115" t="n">
        <f aca="false">Inputs!$C$49*(1+Inputs!$C$51)^(AY$127-1)*MAX(0,MIN(1,AY$126*1-Inputs!$C$52+1))/1</f>
        <v>1.5</v>
      </c>
      <c r="AZ232" s="115" t="n">
        <f aca="false">Inputs!$C$49*(1+Inputs!$C$51)^(AZ$127-1)*MAX(0,MIN(1,AZ$126*1-Inputs!$C$52+1))/1</f>
        <v>1.5</v>
      </c>
      <c r="BA232" s="115" t="n">
        <f aca="false">Inputs!$C$49*(1+Inputs!$C$51)^(BA$127-1)*MAX(0,MIN(1,BA$126*1-Inputs!$C$52+1))/1</f>
        <v>1.5</v>
      </c>
      <c r="BB232" s="115" t="n">
        <f aca="false">Inputs!$C$49*(1+Inputs!$C$51)^(BB$127-1)*MAX(0,MIN(1,BB$126*1-Inputs!$C$52+1))/1</f>
        <v>1.5</v>
      </c>
      <c r="BC232" s="115" t="n">
        <f aca="false">Inputs!$C$49*(1+Inputs!$C$51)^(BC$127-1)*MAX(0,MIN(1,BC$126*1-Inputs!$C$52+1))/1</f>
        <v>1.5</v>
      </c>
      <c r="BD232" s="115" t="n">
        <f aca="false">Inputs!$C$49*(1+Inputs!$C$51)^(BD$127-1)*MAX(0,MIN(1,BD$126*1-Inputs!$C$52+1))/1</f>
        <v>1.5</v>
      </c>
      <c r="BE232" s="115" t="n">
        <f aca="false">Inputs!$C$49*(1+Inputs!$C$51)^(BE$127-1)*MAX(0,MIN(1,BE$126*1-Inputs!$C$52+1))/1</f>
        <v>1.5</v>
      </c>
      <c r="BF232" s="115" t="n">
        <f aca="false">Inputs!$C$49*(1+Inputs!$C$51)^(BF$127-1)*MAX(0,MIN(1,BF$126*1-Inputs!$C$52+1))/1</f>
        <v>1.5</v>
      </c>
      <c r="BG232" s="115" t="n">
        <f aca="false">Inputs!$C$49*(1+Inputs!$C$51)^(BG$127-1)*MAX(0,MIN(1,BG$126*1-Inputs!$C$52+1))/1</f>
        <v>1.5</v>
      </c>
      <c r="BH232" s="115" t="n">
        <f aca="false">Inputs!$C$49*(1+Inputs!$C$51)^(BH$127-1)*MAX(0,MIN(1,BH$126*1-Inputs!$C$52+1))/1</f>
        <v>1.5</v>
      </c>
      <c r="BI232" s="115" t="n">
        <f aca="false">Inputs!$C$49*(1+Inputs!$C$51)^(BI$127-1)*MAX(0,MIN(1,BI$126*1-Inputs!$C$52+1))/1</f>
        <v>1.5</v>
      </c>
      <c r="BJ232" s="115" t="n">
        <f aca="false">Inputs!$C$49*(1+Inputs!$C$51)^(BJ$127-1)*MAX(0,MIN(1,BJ$126*1-Inputs!$C$52+1))/1</f>
        <v>1.5</v>
      </c>
    </row>
    <row r="233" customFormat="false" ht="15" hidden="false" customHeight="false" outlineLevel="0" collapsed="false">
      <c r="A233" s="6" t="s">
        <v>453</v>
      </c>
      <c r="C233" s="115" t="n">
        <f aca="false">Inputs!$C$53*(1+Inputs!$C$55)^(C$127-1)*MAX(0,MIN(1,C$126*1-Inputs!$C$56+1))/1</f>
        <v>1</v>
      </c>
      <c r="D233" s="115" t="n">
        <f aca="false">Inputs!$C$53*(1+Inputs!$C$55)^(D$127-1)*MAX(0,MIN(1,D$126*1-Inputs!$C$56+1))/1</f>
        <v>1</v>
      </c>
      <c r="E233" s="115" t="n">
        <f aca="false">Inputs!$C$53*(1+Inputs!$C$55)^(E$127-1)*MAX(0,MIN(1,E$126*1-Inputs!$C$56+1))/1</f>
        <v>1</v>
      </c>
      <c r="F233" s="115" t="n">
        <f aca="false">Inputs!$C$53*(1+Inputs!$C$55)^(F$127-1)*MAX(0,MIN(1,F$126*1-Inputs!$C$56+1))/1</f>
        <v>1</v>
      </c>
      <c r="G233" s="115" t="n">
        <f aca="false">Inputs!$C$53*(1+Inputs!$C$55)^(G$127-1)*MAX(0,MIN(1,G$126*1-Inputs!$C$56+1))/1</f>
        <v>1</v>
      </c>
      <c r="H233" s="115" t="n">
        <f aca="false">Inputs!$C$53*(1+Inputs!$C$55)^(H$127-1)*MAX(0,MIN(1,H$126*1-Inputs!$C$56+1))/1</f>
        <v>1</v>
      </c>
      <c r="I233" s="115" t="n">
        <f aca="false">Inputs!$C$53*(1+Inputs!$C$55)^(I$127-1)*MAX(0,MIN(1,I$126*1-Inputs!$C$56+1))/1</f>
        <v>1</v>
      </c>
      <c r="J233" s="115" t="n">
        <f aca="false">Inputs!$C$53*(1+Inputs!$C$55)^(J$127-1)*MAX(0,MIN(1,J$126*1-Inputs!$C$56+1))/1</f>
        <v>1</v>
      </c>
      <c r="K233" s="115" t="n">
        <f aca="false">Inputs!$C$53*(1+Inputs!$C$55)^(K$127-1)*MAX(0,MIN(1,K$126*1-Inputs!$C$56+1))/1</f>
        <v>1</v>
      </c>
      <c r="L233" s="115" t="n">
        <f aca="false">Inputs!$C$53*(1+Inputs!$C$55)^(L$127-1)*MAX(0,MIN(1,L$126*1-Inputs!$C$56+1))/1</f>
        <v>1</v>
      </c>
      <c r="M233" s="115" t="n">
        <f aca="false">Inputs!$C$53*(1+Inputs!$C$55)^(M$127-1)*MAX(0,MIN(1,M$126*1-Inputs!$C$56+1))/1</f>
        <v>1</v>
      </c>
      <c r="N233" s="115" t="n">
        <f aca="false">Inputs!$C$53*(1+Inputs!$C$55)^(N$127-1)*MAX(0,MIN(1,N$126*1-Inputs!$C$56+1))/1</f>
        <v>1</v>
      </c>
      <c r="O233" s="115" t="n">
        <f aca="false">Inputs!$C$53*(1+Inputs!$C$55)^(O$127-1)*MAX(0,MIN(1,O$126*1-Inputs!$C$56+1))/1</f>
        <v>1</v>
      </c>
      <c r="P233" s="115" t="n">
        <f aca="false">Inputs!$C$53*(1+Inputs!$C$55)^(P$127-1)*MAX(0,MIN(1,P$126*1-Inputs!$C$56+1))/1</f>
        <v>1</v>
      </c>
      <c r="Q233" s="115" t="n">
        <f aca="false">Inputs!$C$53*(1+Inputs!$C$55)^(Q$127-1)*MAX(0,MIN(1,Q$126*1-Inputs!$C$56+1))/1</f>
        <v>1</v>
      </c>
      <c r="R233" s="115" t="n">
        <f aca="false">Inputs!$C$53*(1+Inputs!$C$55)^(R$127-1)*MAX(0,MIN(1,R$126*1-Inputs!$C$56+1))/1</f>
        <v>1</v>
      </c>
      <c r="S233" s="115" t="n">
        <f aca="false">Inputs!$C$53*(1+Inputs!$C$55)^(S$127-1)*MAX(0,MIN(1,S$126*1-Inputs!$C$56+1))/1</f>
        <v>1</v>
      </c>
      <c r="T233" s="115" t="n">
        <f aca="false">Inputs!$C$53*(1+Inputs!$C$55)^(T$127-1)*MAX(0,MIN(1,T$126*1-Inputs!$C$56+1))/1</f>
        <v>1</v>
      </c>
      <c r="U233" s="115" t="n">
        <f aca="false">Inputs!$C$53*(1+Inputs!$C$55)^(U$127-1)*MAX(0,MIN(1,U$126*1-Inputs!$C$56+1))/1</f>
        <v>1</v>
      </c>
      <c r="V233" s="115" t="n">
        <f aca="false">Inputs!$C$53*(1+Inputs!$C$55)^(V$127-1)*MAX(0,MIN(1,V$126*1-Inputs!$C$56+1))/1</f>
        <v>1</v>
      </c>
      <c r="W233" s="115" t="n">
        <f aca="false">Inputs!$C$53*(1+Inputs!$C$55)^(W$127-1)*MAX(0,MIN(1,W$126*1-Inputs!$C$56+1))/1</f>
        <v>1</v>
      </c>
      <c r="X233" s="115" t="n">
        <f aca="false">Inputs!$C$53*(1+Inputs!$C$55)^(X$127-1)*MAX(0,MIN(1,X$126*1-Inputs!$C$56+1))/1</f>
        <v>1</v>
      </c>
      <c r="Y233" s="115" t="n">
        <f aca="false">Inputs!$C$53*(1+Inputs!$C$55)^(Y$127-1)*MAX(0,MIN(1,Y$126*1-Inputs!$C$56+1))/1</f>
        <v>1</v>
      </c>
      <c r="Z233" s="115" t="n">
        <f aca="false">Inputs!$C$53*(1+Inputs!$C$55)^(Z$127-1)*MAX(0,MIN(1,Z$126*1-Inputs!$C$56+1))/1</f>
        <v>1</v>
      </c>
      <c r="AA233" s="115" t="n">
        <f aca="false">Inputs!$C$53*(1+Inputs!$C$55)^(AA$127-1)*MAX(0,MIN(1,AA$126*1-Inputs!$C$56+1))/1</f>
        <v>1</v>
      </c>
      <c r="AB233" s="115" t="n">
        <f aca="false">Inputs!$C$53*(1+Inputs!$C$55)^(AB$127-1)*MAX(0,MIN(1,AB$126*1-Inputs!$C$56+1))/1</f>
        <v>1</v>
      </c>
      <c r="AC233" s="115" t="n">
        <f aca="false">Inputs!$C$53*(1+Inputs!$C$55)^(AC$127-1)*MAX(0,MIN(1,AC$126*1-Inputs!$C$56+1))/1</f>
        <v>1</v>
      </c>
      <c r="AD233" s="115" t="n">
        <f aca="false">Inputs!$C$53*(1+Inputs!$C$55)^(AD$127-1)*MAX(0,MIN(1,AD$126*1-Inputs!$C$56+1))/1</f>
        <v>1</v>
      </c>
      <c r="AE233" s="115" t="n">
        <f aca="false">Inputs!$C$53*(1+Inputs!$C$55)^(AE$127-1)*MAX(0,MIN(1,AE$126*1-Inputs!$C$56+1))/1</f>
        <v>1</v>
      </c>
      <c r="AF233" s="115" t="n">
        <f aca="false">Inputs!$C$53*(1+Inputs!$C$55)^(AF$127-1)*MAX(0,MIN(1,AF$126*1-Inputs!$C$56+1))/1</f>
        <v>1</v>
      </c>
      <c r="AG233" s="115" t="n">
        <f aca="false">Inputs!$C$53*(1+Inputs!$C$55)^(AG$127-1)*MAX(0,MIN(1,AG$126*1-Inputs!$C$56+1))/1</f>
        <v>1</v>
      </c>
      <c r="AH233" s="115" t="n">
        <f aca="false">Inputs!$C$53*(1+Inputs!$C$55)^(AH$127-1)*MAX(0,MIN(1,AH$126*1-Inputs!$C$56+1))/1</f>
        <v>1</v>
      </c>
      <c r="AI233" s="115" t="n">
        <f aca="false">Inputs!$C$53*(1+Inputs!$C$55)^(AI$127-1)*MAX(0,MIN(1,AI$126*1-Inputs!$C$56+1))/1</f>
        <v>1</v>
      </c>
      <c r="AJ233" s="115" t="n">
        <f aca="false">Inputs!$C$53*(1+Inputs!$C$55)^(AJ$127-1)*MAX(0,MIN(1,AJ$126*1-Inputs!$C$56+1))/1</f>
        <v>1</v>
      </c>
      <c r="AK233" s="115" t="n">
        <f aca="false">Inputs!$C$53*(1+Inputs!$C$55)^(AK$127-1)*MAX(0,MIN(1,AK$126*1-Inputs!$C$56+1))/1</f>
        <v>1</v>
      </c>
      <c r="AL233" s="115" t="n">
        <f aca="false">Inputs!$C$53*(1+Inputs!$C$55)^(AL$127-1)*MAX(0,MIN(1,AL$126*1-Inputs!$C$56+1))/1</f>
        <v>1</v>
      </c>
      <c r="AM233" s="115" t="n">
        <f aca="false">Inputs!$C$53*(1+Inputs!$C$55)^(AM$127-1)*MAX(0,MIN(1,AM$126*1-Inputs!$C$56+1))/1</f>
        <v>1</v>
      </c>
      <c r="AN233" s="115" t="n">
        <f aca="false">Inputs!$C$53*(1+Inputs!$C$55)^(AN$127-1)*MAX(0,MIN(1,AN$126*1-Inputs!$C$56+1))/1</f>
        <v>1</v>
      </c>
      <c r="AO233" s="115" t="n">
        <f aca="false">Inputs!$C$53*(1+Inputs!$C$55)^(AO$127-1)*MAX(0,MIN(1,AO$126*1-Inputs!$C$56+1))/1</f>
        <v>1</v>
      </c>
      <c r="AP233" s="115" t="n">
        <f aca="false">Inputs!$C$53*(1+Inputs!$C$55)^(AP$127-1)*MAX(0,MIN(1,AP$126*1-Inputs!$C$56+1))/1</f>
        <v>1</v>
      </c>
      <c r="AQ233" s="115" t="n">
        <f aca="false">Inputs!$C$53*(1+Inputs!$C$55)^(AQ$127-1)*MAX(0,MIN(1,AQ$126*1-Inputs!$C$56+1))/1</f>
        <v>1</v>
      </c>
      <c r="AR233" s="115" t="n">
        <f aca="false">Inputs!$C$53*(1+Inputs!$C$55)^(AR$127-1)*MAX(0,MIN(1,AR$126*1-Inputs!$C$56+1))/1</f>
        <v>1</v>
      </c>
      <c r="AS233" s="115" t="n">
        <f aca="false">Inputs!$C$53*(1+Inputs!$C$55)^(AS$127-1)*MAX(0,MIN(1,AS$126*1-Inputs!$C$56+1))/1</f>
        <v>1</v>
      </c>
      <c r="AT233" s="115" t="n">
        <f aca="false">Inputs!$C$53*(1+Inputs!$C$55)^(AT$127-1)*MAX(0,MIN(1,AT$126*1-Inputs!$C$56+1))/1</f>
        <v>1</v>
      </c>
      <c r="AU233" s="115" t="n">
        <f aca="false">Inputs!$C$53*(1+Inputs!$C$55)^(AU$127-1)*MAX(0,MIN(1,AU$126*1-Inputs!$C$56+1))/1</f>
        <v>1</v>
      </c>
      <c r="AV233" s="115" t="n">
        <f aca="false">Inputs!$C$53*(1+Inputs!$C$55)^(AV$127-1)*MAX(0,MIN(1,AV$126*1-Inputs!$C$56+1))/1</f>
        <v>1</v>
      </c>
      <c r="AW233" s="115" t="n">
        <f aca="false">Inputs!$C$53*(1+Inputs!$C$55)^(AW$127-1)*MAX(0,MIN(1,AW$126*1-Inputs!$C$56+1))/1</f>
        <v>1</v>
      </c>
      <c r="AX233" s="115" t="n">
        <f aca="false">Inputs!$C$53*(1+Inputs!$C$55)^(AX$127-1)*MAX(0,MIN(1,AX$126*1-Inputs!$C$56+1))/1</f>
        <v>1</v>
      </c>
      <c r="AY233" s="115" t="n">
        <f aca="false">Inputs!$C$53*(1+Inputs!$C$55)^(AY$127-1)*MAX(0,MIN(1,AY$126*1-Inputs!$C$56+1))/1</f>
        <v>1</v>
      </c>
      <c r="AZ233" s="115" t="n">
        <f aca="false">Inputs!$C$53*(1+Inputs!$C$55)^(AZ$127-1)*MAX(0,MIN(1,AZ$126*1-Inputs!$C$56+1))/1</f>
        <v>1</v>
      </c>
      <c r="BA233" s="115" t="n">
        <f aca="false">Inputs!$C$53*(1+Inputs!$C$55)^(BA$127-1)*MAX(0,MIN(1,BA$126*1-Inputs!$C$56+1))/1</f>
        <v>1</v>
      </c>
      <c r="BB233" s="115" t="n">
        <f aca="false">Inputs!$C$53*(1+Inputs!$C$55)^(BB$127-1)*MAX(0,MIN(1,BB$126*1-Inputs!$C$56+1))/1</f>
        <v>1</v>
      </c>
      <c r="BC233" s="115" t="n">
        <f aca="false">Inputs!$C$53*(1+Inputs!$C$55)^(BC$127-1)*MAX(0,MIN(1,BC$126*1-Inputs!$C$56+1))/1</f>
        <v>1</v>
      </c>
      <c r="BD233" s="115" t="n">
        <f aca="false">Inputs!$C$53*(1+Inputs!$C$55)^(BD$127-1)*MAX(0,MIN(1,BD$126*1-Inputs!$C$56+1))/1</f>
        <v>1</v>
      </c>
      <c r="BE233" s="115" t="n">
        <f aca="false">Inputs!$C$53*(1+Inputs!$C$55)^(BE$127-1)*MAX(0,MIN(1,BE$126*1-Inputs!$C$56+1))/1</f>
        <v>1</v>
      </c>
      <c r="BF233" s="115" t="n">
        <f aca="false">Inputs!$C$53*(1+Inputs!$C$55)^(BF$127-1)*MAX(0,MIN(1,BF$126*1-Inputs!$C$56+1))/1</f>
        <v>1</v>
      </c>
      <c r="BG233" s="115" t="n">
        <f aca="false">Inputs!$C$53*(1+Inputs!$C$55)^(BG$127-1)*MAX(0,MIN(1,BG$126*1-Inputs!$C$56+1))/1</f>
        <v>1</v>
      </c>
      <c r="BH233" s="115" t="n">
        <f aca="false">Inputs!$C$53*(1+Inputs!$C$55)^(BH$127-1)*MAX(0,MIN(1,BH$126*1-Inputs!$C$56+1))/1</f>
        <v>1</v>
      </c>
      <c r="BI233" s="115" t="n">
        <f aca="false">Inputs!$C$53*(1+Inputs!$C$55)^(BI$127-1)*MAX(0,MIN(1,BI$126*1-Inputs!$C$56+1))/1</f>
        <v>1</v>
      </c>
      <c r="BJ233" s="115" t="n">
        <f aca="false">Inputs!$C$53*(1+Inputs!$C$55)^(BJ$127-1)*MAX(0,MIN(1,BJ$126*1-Inputs!$C$56+1))/1</f>
        <v>1</v>
      </c>
    </row>
    <row r="234" customFormat="false" ht="15" hidden="false" customHeight="false" outlineLevel="0" collapsed="false">
      <c r="A234" s="6" t="s">
        <v>454</v>
      </c>
      <c r="C234" s="115" t="n">
        <f aca="false">Inputs!$C$57*(1+Inputs!$C$59)^(C$127-1)*MAX(0,MIN(1,C$126*1-Inputs!$C$60+1))/1</f>
        <v>0.6</v>
      </c>
      <c r="D234" s="115" t="n">
        <f aca="false">Inputs!$C$57*(1+Inputs!$C$59)^(D$127-1)*MAX(0,MIN(1,D$126*1-Inputs!$C$60+1))/1</f>
        <v>0.6</v>
      </c>
      <c r="E234" s="115" t="n">
        <f aca="false">Inputs!$C$57*(1+Inputs!$C$59)^(E$127-1)*MAX(0,MIN(1,E$126*1-Inputs!$C$60+1))/1</f>
        <v>0.6</v>
      </c>
      <c r="F234" s="115" t="n">
        <f aca="false">Inputs!$C$57*(1+Inputs!$C$59)^(F$127-1)*MAX(0,MIN(1,F$126*1-Inputs!$C$60+1))/1</f>
        <v>0.6</v>
      </c>
      <c r="G234" s="115" t="n">
        <f aca="false">Inputs!$C$57*(1+Inputs!$C$59)^(G$127-1)*MAX(0,MIN(1,G$126*1-Inputs!$C$60+1))/1</f>
        <v>0.6</v>
      </c>
      <c r="H234" s="115" t="n">
        <f aca="false">Inputs!$C$57*(1+Inputs!$C$59)^(H$127-1)*MAX(0,MIN(1,H$126*1-Inputs!$C$60+1))/1</f>
        <v>0.6</v>
      </c>
      <c r="I234" s="115" t="n">
        <f aca="false">Inputs!$C$57*(1+Inputs!$C$59)^(I$127-1)*MAX(0,MIN(1,I$126*1-Inputs!$C$60+1))/1</f>
        <v>0.6</v>
      </c>
      <c r="J234" s="115" t="n">
        <f aca="false">Inputs!$C$57*(1+Inputs!$C$59)^(J$127-1)*MAX(0,MIN(1,J$126*1-Inputs!$C$60+1))/1</f>
        <v>0.6</v>
      </c>
      <c r="K234" s="115" t="n">
        <f aca="false">Inputs!$C$57*(1+Inputs!$C$59)^(K$127-1)*MAX(0,MIN(1,K$126*1-Inputs!$C$60+1))/1</f>
        <v>0.6</v>
      </c>
      <c r="L234" s="115" t="n">
        <f aca="false">Inputs!$C$57*(1+Inputs!$C$59)^(L$127-1)*MAX(0,MIN(1,L$126*1-Inputs!$C$60+1))/1</f>
        <v>0.6</v>
      </c>
      <c r="M234" s="115" t="n">
        <f aca="false">Inputs!$C$57*(1+Inputs!$C$59)^(M$127-1)*MAX(0,MIN(1,M$126*1-Inputs!$C$60+1))/1</f>
        <v>0.6</v>
      </c>
      <c r="N234" s="115" t="n">
        <f aca="false">Inputs!$C$57*(1+Inputs!$C$59)^(N$127-1)*MAX(0,MIN(1,N$126*1-Inputs!$C$60+1))/1</f>
        <v>0.6</v>
      </c>
      <c r="O234" s="115" t="n">
        <f aca="false">Inputs!$C$57*(1+Inputs!$C$59)^(O$127-1)*MAX(0,MIN(1,O$126*1-Inputs!$C$60+1))/1</f>
        <v>0.6</v>
      </c>
      <c r="P234" s="115" t="n">
        <f aca="false">Inputs!$C$57*(1+Inputs!$C$59)^(P$127-1)*MAX(0,MIN(1,P$126*1-Inputs!$C$60+1))/1</f>
        <v>0.6</v>
      </c>
      <c r="Q234" s="115" t="n">
        <f aca="false">Inputs!$C$57*(1+Inputs!$C$59)^(Q$127-1)*MAX(0,MIN(1,Q$126*1-Inputs!$C$60+1))/1</f>
        <v>0.6</v>
      </c>
      <c r="R234" s="115" t="n">
        <f aca="false">Inputs!$C$57*(1+Inputs!$C$59)^(R$127-1)*MAX(0,MIN(1,R$126*1-Inputs!$C$60+1))/1</f>
        <v>0.6</v>
      </c>
      <c r="S234" s="115" t="n">
        <f aca="false">Inputs!$C$57*(1+Inputs!$C$59)^(S$127-1)*MAX(0,MIN(1,S$126*1-Inputs!$C$60+1))/1</f>
        <v>0.6</v>
      </c>
      <c r="T234" s="115" t="n">
        <f aca="false">Inputs!$C$57*(1+Inputs!$C$59)^(T$127-1)*MAX(0,MIN(1,T$126*1-Inputs!$C$60+1))/1</f>
        <v>0.6</v>
      </c>
      <c r="U234" s="115" t="n">
        <f aca="false">Inputs!$C$57*(1+Inputs!$C$59)^(U$127-1)*MAX(0,MIN(1,U$126*1-Inputs!$C$60+1))/1</f>
        <v>0.6</v>
      </c>
      <c r="V234" s="115" t="n">
        <f aca="false">Inputs!$C$57*(1+Inputs!$C$59)^(V$127-1)*MAX(0,MIN(1,V$126*1-Inputs!$C$60+1))/1</f>
        <v>0.6</v>
      </c>
      <c r="W234" s="115" t="n">
        <f aca="false">Inputs!$C$57*(1+Inputs!$C$59)^(W$127-1)*MAX(0,MIN(1,W$126*1-Inputs!$C$60+1))/1</f>
        <v>0.6</v>
      </c>
      <c r="X234" s="115" t="n">
        <f aca="false">Inputs!$C$57*(1+Inputs!$C$59)^(X$127-1)*MAX(0,MIN(1,X$126*1-Inputs!$C$60+1))/1</f>
        <v>0.6</v>
      </c>
      <c r="Y234" s="115" t="n">
        <f aca="false">Inputs!$C$57*(1+Inputs!$C$59)^(Y$127-1)*MAX(0,MIN(1,Y$126*1-Inputs!$C$60+1))/1</f>
        <v>0.6</v>
      </c>
      <c r="Z234" s="115" t="n">
        <f aca="false">Inputs!$C$57*(1+Inputs!$C$59)^(Z$127-1)*MAX(0,MIN(1,Z$126*1-Inputs!$C$60+1))/1</f>
        <v>0.6</v>
      </c>
      <c r="AA234" s="115" t="n">
        <f aca="false">Inputs!$C$57*(1+Inputs!$C$59)^(AA$127-1)*MAX(0,MIN(1,AA$126*1-Inputs!$C$60+1))/1</f>
        <v>0.6</v>
      </c>
      <c r="AB234" s="115" t="n">
        <f aca="false">Inputs!$C$57*(1+Inputs!$C$59)^(AB$127-1)*MAX(0,MIN(1,AB$126*1-Inputs!$C$60+1))/1</f>
        <v>0.6</v>
      </c>
      <c r="AC234" s="115" t="n">
        <f aca="false">Inputs!$C$57*(1+Inputs!$C$59)^(AC$127-1)*MAX(0,MIN(1,AC$126*1-Inputs!$C$60+1))/1</f>
        <v>0.6</v>
      </c>
      <c r="AD234" s="115" t="n">
        <f aca="false">Inputs!$C$57*(1+Inputs!$C$59)^(AD$127-1)*MAX(0,MIN(1,AD$126*1-Inputs!$C$60+1))/1</f>
        <v>0.6</v>
      </c>
      <c r="AE234" s="115" t="n">
        <f aca="false">Inputs!$C$57*(1+Inputs!$C$59)^(AE$127-1)*MAX(0,MIN(1,AE$126*1-Inputs!$C$60+1))/1</f>
        <v>0.6</v>
      </c>
      <c r="AF234" s="115" t="n">
        <f aca="false">Inputs!$C$57*(1+Inputs!$C$59)^(AF$127-1)*MAX(0,MIN(1,AF$126*1-Inputs!$C$60+1))/1</f>
        <v>0.6</v>
      </c>
      <c r="AG234" s="115" t="n">
        <f aca="false">Inputs!$C$57*(1+Inputs!$C$59)^(AG$127-1)*MAX(0,MIN(1,AG$126*1-Inputs!$C$60+1))/1</f>
        <v>0.6</v>
      </c>
      <c r="AH234" s="115" t="n">
        <f aca="false">Inputs!$C$57*(1+Inputs!$C$59)^(AH$127-1)*MAX(0,MIN(1,AH$126*1-Inputs!$C$60+1))/1</f>
        <v>0.6</v>
      </c>
      <c r="AI234" s="115" t="n">
        <f aca="false">Inputs!$C$57*(1+Inputs!$C$59)^(AI$127-1)*MAX(0,MIN(1,AI$126*1-Inputs!$C$60+1))/1</f>
        <v>0.6</v>
      </c>
      <c r="AJ234" s="115" t="n">
        <f aca="false">Inputs!$C$57*(1+Inputs!$C$59)^(AJ$127-1)*MAX(0,MIN(1,AJ$126*1-Inputs!$C$60+1))/1</f>
        <v>0.6</v>
      </c>
      <c r="AK234" s="115" t="n">
        <f aca="false">Inputs!$C$57*(1+Inputs!$C$59)^(AK$127-1)*MAX(0,MIN(1,AK$126*1-Inputs!$C$60+1))/1</f>
        <v>0.6</v>
      </c>
      <c r="AL234" s="115" t="n">
        <f aca="false">Inputs!$C$57*(1+Inputs!$C$59)^(AL$127-1)*MAX(0,MIN(1,AL$126*1-Inputs!$C$60+1))/1</f>
        <v>0.6</v>
      </c>
      <c r="AM234" s="115" t="n">
        <f aca="false">Inputs!$C$57*(1+Inputs!$C$59)^(AM$127-1)*MAX(0,MIN(1,AM$126*1-Inputs!$C$60+1))/1</f>
        <v>0.6</v>
      </c>
      <c r="AN234" s="115" t="n">
        <f aca="false">Inputs!$C$57*(1+Inputs!$C$59)^(AN$127-1)*MAX(0,MIN(1,AN$126*1-Inputs!$C$60+1))/1</f>
        <v>0.6</v>
      </c>
      <c r="AO234" s="115" t="n">
        <f aca="false">Inputs!$C$57*(1+Inputs!$C$59)^(AO$127-1)*MAX(0,MIN(1,AO$126*1-Inputs!$C$60+1))/1</f>
        <v>0.6</v>
      </c>
      <c r="AP234" s="115" t="n">
        <f aca="false">Inputs!$C$57*(1+Inputs!$C$59)^(AP$127-1)*MAX(0,MIN(1,AP$126*1-Inputs!$C$60+1))/1</f>
        <v>0.6</v>
      </c>
      <c r="AQ234" s="115" t="n">
        <f aca="false">Inputs!$C$57*(1+Inputs!$C$59)^(AQ$127-1)*MAX(0,MIN(1,AQ$126*1-Inputs!$C$60+1))/1</f>
        <v>0.6</v>
      </c>
      <c r="AR234" s="115" t="n">
        <f aca="false">Inputs!$C$57*(1+Inputs!$C$59)^(AR$127-1)*MAX(0,MIN(1,AR$126*1-Inputs!$C$60+1))/1</f>
        <v>0.6</v>
      </c>
      <c r="AS234" s="115" t="n">
        <f aca="false">Inputs!$C$57*(1+Inputs!$C$59)^(AS$127-1)*MAX(0,MIN(1,AS$126*1-Inputs!$C$60+1))/1</f>
        <v>0.6</v>
      </c>
      <c r="AT234" s="115" t="n">
        <f aca="false">Inputs!$C$57*(1+Inputs!$C$59)^(AT$127-1)*MAX(0,MIN(1,AT$126*1-Inputs!$C$60+1))/1</f>
        <v>0.6</v>
      </c>
      <c r="AU234" s="115" t="n">
        <f aca="false">Inputs!$C$57*(1+Inputs!$C$59)^(AU$127-1)*MAX(0,MIN(1,AU$126*1-Inputs!$C$60+1))/1</f>
        <v>0.6</v>
      </c>
      <c r="AV234" s="115" t="n">
        <f aca="false">Inputs!$C$57*(1+Inputs!$C$59)^(AV$127-1)*MAX(0,MIN(1,AV$126*1-Inputs!$C$60+1))/1</f>
        <v>0.6</v>
      </c>
      <c r="AW234" s="115" t="n">
        <f aca="false">Inputs!$C$57*(1+Inputs!$C$59)^(AW$127-1)*MAX(0,MIN(1,AW$126*1-Inputs!$C$60+1))/1</f>
        <v>0.6</v>
      </c>
      <c r="AX234" s="115" t="n">
        <f aca="false">Inputs!$C$57*(1+Inputs!$C$59)^(AX$127-1)*MAX(0,MIN(1,AX$126*1-Inputs!$C$60+1))/1</f>
        <v>0.6</v>
      </c>
      <c r="AY234" s="115" t="n">
        <f aca="false">Inputs!$C$57*(1+Inputs!$C$59)^(AY$127-1)*MAX(0,MIN(1,AY$126*1-Inputs!$C$60+1))/1</f>
        <v>0.6</v>
      </c>
      <c r="AZ234" s="115" t="n">
        <f aca="false">Inputs!$C$57*(1+Inputs!$C$59)^(AZ$127-1)*MAX(0,MIN(1,AZ$126*1-Inputs!$C$60+1))/1</f>
        <v>0.6</v>
      </c>
      <c r="BA234" s="115" t="n">
        <f aca="false">Inputs!$C$57*(1+Inputs!$C$59)^(BA$127-1)*MAX(0,MIN(1,BA$126*1-Inputs!$C$60+1))/1</f>
        <v>0.6</v>
      </c>
      <c r="BB234" s="115" t="n">
        <f aca="false">Inputs!$C$57*(1+Inputs!$C$59)^(BB$127-1)*MAX(0,MIN(1,BB$126*1-Inputs!$C$60+1))/1</f>
        <v>0.6</v>
      </c>
      <c r="BC234" s="115" t="n">
        <f aca="false">Inputs!$C$57*(1+Inputs!$C$59)^(BC$127-1)*MAX(0,MIN(1,BC$126*1-Inputs!$C$60+1))/1</f>
        <v>0.6</v>
      </c>
      <c r="BD234" s="115" t="n">
        <f aca="false">Inputs!$C$57*(1+Inputs!$C$59)^(BD$127-1)*MAX(0,MIN(1,BD$126*1-Inputs!$C$60+1))/1</f>
        <v>0.6</v>
      </c>
      <c r="BE234" s="115" t="n">
        <f aca="false">Inputs!$C$57*(1+Inputs!$C$59)^(BE$127-1)*MAX(0,MIN(1,BE$126*1-Inputs!$C$60+1))/1</f>
        <v>0.6</v>
      </c>
      <c r="BF234" s="115" t="n">
        <f aca="false">Inputs!$C$57*(1+Inputs!$C$59)^(BF$127-1)*MAX(0,MIN(1,BF$126*1-Inputs!$C$60+1))/1</f>
        <v>0.6</v>
      </c>
      <c r="BG234" s="115" t="n">
        <f aca="false">Inputs!$C$57*(1+Inputs!$C$59)^(BG$127-1)*MAX(0,MIN(1,BG$126*1-Inputs!$C$60+1))/1</f>
        <v>0.6</v>
      </c>
      <c r="BH234" s="115" t="n">
        <f aca="false">Inputs!$C$57*(1+Inputs!$C$59)^(BH$127-1)*MAX(0,MIN(1,BH$126*1-Inputs!$C$60+1))/1</f>
        <v>0.6</v>
      </c>
      <c r="BI234" s="115" t="n">
        <f aca="false">Inputs!$C$57*(1+Inputs!$C$59)^(BI$127-1)*MAX(0,MIN(1,BI$126*1-Inputs!$C$60+1))/1</f>
        <v>0.6</v>
      </c>
      <c r="BJ234" s="115" t="n">
        <f aca="false">Inputs!$C$57*(1+Inputs!$C$59)^(BJ$127-1)*MAX(0,MIN(1,BJ$126*1-Inputs!$C$60+1))/1</f>
        <v>0.6</v>
      </c>
    </row>
    <row r="235" customFormat="false" ht="15" hidden="false" customHeight="false" outlineLevel="0" collapsed="false">
      <c r="A235" s="111" t="s">
        <v>455</v>
      </c>
      <c r="C235" s="119" t="n">
        <f aca="false">C232+C233+C234</f>
        <v>3.1</v>
      </c>
      <c r="D235" s="119" t="n">
        <f aca="false">D232+D233+D234</f>
        <v>3.1</v>
      </c>
      <c r="E235" s="119" t="n">
        <f aca="false">E232+E233+E234</f>
        <v>3.1</v>
      </c>
      <c r="F235" s="119" t="n">
        <f aca="false">F232+F233+F234</f>
        <v>3.1</v>
      </c>
      <c r="G235" s="119" t="n">
        <f aca="false">G232+G233+G234</f>
        <v>3.1</v>
      </c>
      <c r="H235" s="119" t="n">
        <f aca="false">H232+H233+H234</f>
        <v>3.1</v>
      </c>
      <c r="I235" s="119" t="n">
        <f aca="false">I232+I233+I234</f>
        <v>3.1</v>
      </c>
      <c r="J235" s="119" t="n">
        <f aca="false">J232+J233+J234</f>
        <v>3.1</v>
      </c>
      <c r="K235" s="119" t="n">
        <f aca="false">K232+K233+K234</f>
        <v>3.1</v>
      </c>
      <c r="L235" s="119" t="n">
        <f aca="false">L232+L233+L234</f>
        <v>3.1</v>
      </c>
      <c r="M235" s="119" t="n">
        <f aca="false">M232+M233+M234</f>
        <v>3.1</v>
      </c>
      <c r="N235" s="119" t="n">
        <f aca="false">N232+N233+N234</f>
        <v>3.1</v>
      </c>
      <c r="O235" s="119" t="n">
        <f aca="false">O232+O233+O234</f>
        <v>3.1</v>
      </c>
      <c r="P235" s="119" t="n">
        <f aca="false">P232+P233+P234</f>
        <v>3.1</v>
      </c>
      <c r="Q235" s="119" t="n">
        <f aca="false">Q232+Q233+Q234</f>
        <v>3.1</v>
      </c>
      <c r="R235" s="119" t="n">
        <f aca="false">R232+R233+R234</f>
        <v>3.1</v>
      </c>
      <c r="S235" s="119" t="n">
        <f aca="false">S232+S233+S234</f>
        <v>3.1</v>
      </c>
      <c r="T235" s="119" t="n">
        <f aca="false">T232+T233+T234</f>
        <v>3.1</v>
      </c>
      <c r="U235" s="119" t="n">
        <f aca="false">U232+U233+U234</f>
        <v>3.1</v>
      </c>
      <c r="V235" s="119" t="n">
        <f aca="false">V232+V233+V234</f>
        <v>3.1</v>
      </c>
      <c r="W235" s="119" t="n">
        <f aca="false">W232+W233+W234</f>
        <v>3.1</v>
      </c>
      <c r="X235" s="119" t="n">
        <f aca="false">X232+X233+X234</f>
        <v>3.1</v>
      </c>
      <c r="Y235" s="119" t="n">
        <f aca="false">Y232+Y233+Y234</f>
        <v>3.1</v>
      </c>
      <c r="Z235" s="119" t="n">
        <f aca="false">Z232+Z233+Z234</f>
        <v>3.1</v>
      </c>
      <c r="AA235" s="119" t="n">
        <f aca="false">AA232+AA233+AA234</f>
        <v>3.1</v>
      </c>
      <c r="AB235" s="119" t="n">
        <f aca="false">AB232+AB233+AB234</f>
        <v>3.1</v>
      </c>
      <c r="AC235" s="119" t="n">
        <f aca="false">AC232+AC233+AC234</f>
        <v>3.1</v>
      </c>
      <c r="AD235" s="119" t="n">
        <f aca="false">AD232+AD233+AD234</f>
        <v>3.1</v>
      </c>
      <c r="AE235" s="119" t="n">
        <f aca="false">AE232+AE233+AE234</f>
        <v>3.1</v>
      </c>
      <c r="AF235" s="119" t="n">
        <f aca="false">AF232+AF233+AF234</f>
        <v>3.1</v>
      </c>
      <c r="AG235" s="119" t="n">
        <f aca="false">AG232+AG233+AG234</f>
        <v>3.1</v>
      </c>
      <c r="AH235" s="119" t="n">
        <f aca="false">AH232+AH233+AH234</f>
        <v>3.1</v>
      </c>
      <c r="AI235" s="119" t="n">
        <f aca="false">AI232+AI233+AI234</f>
        <v>3.1</v>
      </c>
      <c r="AJ235" s="119" t="n">
        <f aca="false">AJ232+AJ233+AJ234</f>
        <v>3.1</v>
      </c>
      <c r="AK235" s="119" t="n">
        <f aca="false">AK232+AK233+AK234</f>
        <v>3.1</v>
      </c>
      <c r="AL235" s="119" t="n">
        <f aca="false">AL232+AL233+AL234</f>
        <v>3.1</v>
      </c>
      <c r="AM235" s="119" t="n">
        <f aca="false">AM232+AM233+AM234</f>
        <v>3.1</v>
      </c>
      <c r="AN235" s="119" t="n">
        <f aca="false">AN232+AN233+AN234</f>
        <v>3.1</v>
      </c>
      <c r="AO235" s="119" t="n">
        <f aca="false">AO232+AO233+AO234</f>
        <v>3.1</v>
      </c>
      <c r="AP235" s="119" t="n">
        <f aca="false">AP232+AP233+AP234</f>
        <v>3.1</v>
      </c>
      <c r="AQ235" s="119" t="n">
        <f aca="false">AQ232+AQ233+AQ234</f>
        <v>3.1</v>
      </c>
      <c r="AR235" s="119" t="n">
        <f aca="false">AR232+AR233+AR234</f>
        <v>3.1</v>
      </c>
      <c r="AS235" s="119" t="n">
        <f aca="false">AS232+AS233+AS234</f>
        <v>3.1</v>
      </c>
      <c r="AT235" s="119" t="n">
        <f aca="false">AT232+AT233+AT234</f>
        <v>3.1</v>
      </c>
      <c r="AU235" s="119" t="n">
        <f aca="false">AU232+AU233+AU234</f>
        <v>3.1</v>
      </c>
      <c r="AV235" s="119" t="n">
        <f aca="false">AV232+AV233+AV234</f>
        <v>3.1</v>
      </c>
      <c r="AW235" s="119" t="n">
        <f aca="false">AW232+AW233+AW234</f>
        <v>3.1</v>
      </c>
      <c r="AX235" s="119" t="n">
        <f aca="false">AX232+AX233+AX234</f>
        <v>3.1</v>
      </c>
      <c r="AY235" s="119" t="n">
        <f aca="false">AY232+AY233+AY234</f>
        <v>3.1</v>
      </c>
      <c r="AZ235" s="119" t="n">
        <f aca="false">AZ232+AZ233+AZ234</f>
        <v>3.1</v>
      </c>
      <c r="BA235" s="119" t="n">
        <f aca="false">BA232+BA233+BA234</f>
        <v>3.1</v>
      </c>
      <c r="BB235" s="119" t="n">
        <f aca="false">BB232+BB233+BB234</f>
        <v>3.1</v>
      </c>
      <c r="BC235" s="119" t="n">
        <f aca="false">BC232+BC233+BC234</f>
        <v>3.1</v>
      </c>
      <c r="BD235" s="119" t="n">
        <f aca="false">BD232+BD233+BD234</f>
        <v>3.1</v>
      </c>
      <c r="BE235" s="119" t="n">
        <f aca="false">BE232+BE233+BE234</f>
        <v>3.1</v>
      </c>
      <c r="BF235" s="119" t="n">
        <f aca="false">BF232+BF233+BF234</f>
        <v>3.1</v>
      </c>
      <c r="BG235" s="119" t="n">
        <f aca="false">BG232+BG233+BG234</f>
        <v>3.1</v>
      </c>
      <c r="BH235" s="119" t="n">
        <f aca="false">BH232+BH233+BH234</f>
        <v>3.1</v>
      </c>
      <c r="BI235" s="119" t="n">
        <f aca="false">BI232+BI233+BI234</f>
        <v>3.1</v>
      </c>
      <c r="BJ235" s="119" t="n">
        <f aca="false">BJ232+BJ233+BJ234</f>
        <v>3.1</v>
      </c>
    </row>
    <row r="237" customFormat="false" ht="15.75" hidden="false" customHeight="true" outlineLevel="0" collapsed="false">
      <c r="A237" s="7" t="s">
        <v>456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457</v>
      </c>
      <c r="C238" s="67" t="n">
        <f aca="false">-C232*Inputs!$C$50/12*1*(1+Inputs!$C$61)*(1+Inputs!$C$62)^(C$127-1)</f>
        <v>-4600</v>
      </c>
      <c r="D238" s="67" t="n">
        <f aca="false">-D232*Inputs!$C$50/12*1*(1+Inputs!$C$61)*(1+Inputs!$C$62)^(D$127-1)</f>
        <v>-4600</v>
      </c>
      <c r="E238" s="67" t="n">
        <f aca="false">-E232*Inputs!$C$50/12*1*(1+Inputs!$C$61)*(1+Inputs!$C$62)^(E$127-1)</f>
        <v>-4600</v>
      </c>
      <c r="F238" s="67" t="n">
        <f aca="false">-F232*Inputs!$C$50/12*1*(1+Inputs!$C$61)*(1+Inputs!$C$62)^(F$127-1)</f>
        <v>-4600</v>
      </c>
      <c r="G238" s="67" t="n">
        <f aca="false">-G232*Inputs!$C$50/12*1*(1+Inputs!$C$61)*(1+Inputs!$C$62)^(G$127-1)</f>
        <v>-4600</v>
      </c>
      <c r="H238" s="67" t="n">
        <f aca="false">-H232*Inputs!$C$50/12*1*(1+Inputs!$C$61)*(1+Inputs!$C$62)^(H$127-1)</f>
        <v>-4600</v>
      </c>
      <c r="I238" s="67" t="n">
        <f aca="false">-I232*Inputs!$C$50/12*1*(1+Inputs!$C$61)*(1+Inputs!$C$62)^(I$127-1)</f>
        <v>-4600</v>
      </c>
      <c r="J238" s="67" t="n">
        <f aca="false">-J232*Inputs!$C$50/12*1*(1+Inputs!$C$61)*(1+Inputs!$C$62)^(J$127-1)</f>
        <v>-4600</v>
      </c>
      <c r="K238" s="67" t="n">
        <f aca="false">-K232*Inputs!$C$50/12*1*(1+Inputs!$C$61)*(1+Inputs!$C$62)^(K$127-1)</f>
        <v>-4600</v>
      </c>
      <c r="L238" s="67" t="n">
        <f aca="false">-L232*Inputs!$C$50/12*1*(1+Inputs!$C$61)*(1+Inputs!$C$62)^(L$127-1)</f>
        <v>-4600</v>
      </c>
      <c r="M238" s="67" t="n">
        <f aca="false">-M232*Inputs!$C$50/12*1*(1+Inputs!$C$61)*(1+Inputs!$C$62)^(M$127-1)</f>
        <v>-4600</v>
      </c>
      <c r="N238" s="67" t="n">
        <f aca="false">-N232*Inputs!$C$50/12*1*(1+Inputs!$C$61)*(1+Inputs!$C$62)^(N$127-1)</f>
        <v>-4600</v>
      </c>
      <c r="O238" s="67" t="n">
        <f aca="false">-O232*Inputs!$C$50/12*1*(1+Inputs!$C$61)*(1+Inputs!$C$62)^(O$127-1)</f>
        <v>-4738</v>
      </c>
      <c r="P238" s="67" t="n">
        <f aca="false">-P232*Inputs!$C$50/12*1*(1+Inputs!$C$61)*(1+Inputs!$C$62)^(P$127-1)</f>
        <v>-4738</v>
      </c>
      <c r="Q238" s="67" t="n">
        <f aca="false">-Q232*Inputs!$C$50/12*1*(1+Inputs!$C$61)*(1+Inputs!$C$62)^(Q$127-1)</f>
        <v>-4738</v>
      </c>
      <c r="R238" s="67" t="n">
        <f aca="false">-R232*Inputs!$C$50/12*1*(1+Inputs!$C$61)*(1+Inputs!$C$62)^(R$127-1)</f>
        <v>-4738</v>
      </c>
      <c r="S238" s="67" t="n">
        <f aca="false">-S232*Inputs!$C$50/12*1*(1+Inputs!$C$61)*(1+Inputs!$C$62)^(S$127-1)</f>
        <v>-4738</v>
      </c>
      <c r="T238" s="67" t="n">
        <f aca="false">-T232*Inputs!$C$50/12*1*(1+Inputs!$C$61)*(1+Inputs!$C$62)^(T$127-1)</f>
        <v>-4738</v>
      </c>
      <c r="U238" s="67" t="n">
        <f aca="false">-U232*Inputs!$C$50/12*1*(1+Inputs!$C$61)*(1+Inputs!$C$62)^(U$127-1)</f>
        <v>-4738</v>
      </c>
      <c r="V238" s="67" t="n">
        <f aca="false">-V232*Inputs!$C$50/12*1*(1+Inputs!$C$61)*(1+Inputs!$C$62)^(V$127-1)</f>
        <v>-4738</v>
      </c>
      <c r="W238" s="67" t="n">
        <f aca="false">-W232*Inputs!$C$50/12*1*(1+Inputs!$C$61)*(1+Inputs!$C$62)^(W$127-1)</f>
        <v>-4738</v>
      </c>
      <c r="X238" s="67" t="n">
        <f aca="false">-X232*Inputs!$C$50/12*1*(1+Inputs!$C$61)*(1+Inputs!$C$62)^(X$127-1)</f>
        <v>-4738</v>
      </c>
      <c r="Y238" s="67" t="n">
        <f aca="false">-Y232*Inputs!$C$50/12*1*(1+Inputs!$C$61)*(1+Inputs!$C$62)^(Y$127-1)</f>
        <v>-4738</v>
      </c>
      <c r="Z238" s="67" t="n">
        <f aca="false">-Z232*Inputs!$C$50/12*1*(1+Inputs!$C$61)*(1+Inputs!$C$62)^(Z$127-1)</f>
        <v>-4738</v>
      </c>
      <c r="AA238" s="67" t="n">
        <f aca="false">-AA232*Inputs!$C$50/12*1*(1+Inputs!$C$61)*(1+Inputs!$C$62)^(AA$127-1)</f>
        <v>-4880.14</v>
      </c>
      <c r="AB238" s="67" t="n">
        <f aca="false">-AB232*Inputs!$C$50/12*1*(1+Inputs!$C$61)*(1+Inputs!$C$62)^(AB$127-1)</f>
        <v>-4880.14</v>
      </c>
      <c r="AC238" s="67" t="n">
        <f aca="false">-AC232*Inputs!$C$50/12*1*(1+Inputs!$C$61)*(1+Inputs!$C$62)^(AC$127-1)</f>
        <v>-4880.14</v>
      </c>
      <c r="AD238" s="67" t="n">
        <f aca="false">-AD232*Inputs!$C$50/12*1*(1+Inputs!$C$61)*(1+Inputs!$C$62)^(AD$127-1)</f>
        <v>-4880.14</v>
      </c>
      <c r="AE238" s="67" t="n">
        <f aca="false">-AE232*Inputs!$C$50/12*1*(1+Inputs!$C$61)*(1+Inputs!$C$62)^(AE$127-1)</f>
        <v>-4880.14</v>
      </c>
      <c r="AF238" s="67" t="n">
        <f aca="false">-AF232*Inputs!$C$50/12*1*(1+Inputs!$C$61)*(1+Inputs!$C$62)^(AF$127-1)</f>
        <v>-4880.14</v>
      </c>
      <c r="AG238" s="67" t="n">
        <f aca="false">-AG232*Inputs!$C$50/12*1*(1+Inputs!$C$61)*(1+Inputs!$C$62)^(AG$127-1)</f>
        <v>-4880.14</v>
      </c>
      <c r="AH238" s="67" t="n">
        <f aca="false">-AH232*Inputs!$C$50/12*1*(1+Inputs!$C$61)*(1+Inputs!$C$62)^(AH$127-1)</f>
        <v>-4880.14</v>
      </c>
      <c r="AI238" s="67" t="n">
        <f aca="false">-AI232*Inputs!$C$50/12*1*(1+Inputs!$C$61)*(1+Inputs!$C$62)^(AI$127-1)</f>
        <v>-4880.14</v>
      </c>
      <c r="AJ238" s="67" t="n">
        <f aca="false">-AJ232*Inputs!$C$50/12*1*(1+Inputs!$C$61)*(1+Inputs!$C$62)^(AJ$127-1)</f>
        <v>-4880.14</v>
      </c>
      <c r="AK238" s="67" t="n">
        <f aca="false">-AK232*Inputs!$C$50/12*1*(1+Inputs!$C$61)*(1+Inputs!$C$62)^(AK$127-1)</f>
        <v>-4880.14</v>
      </c>
      <c r="AL238" s="67" t="n">
        <f aca="false">-AL232*Inputs!$C$50/12*1*(1+Inputs!$C$61)*(1+Inputs!$C$62)^(AL$127-1)</f>
        <v>-4880.14</v>
      </c>
      <c r="AM238" s="67" t="n">
        <f aca="false">-AM232*Inputs!$C$50/12*1*(1+Inputs!$C$61)*(1+Inputs!$C$62)^(AM$127-1)</f>
        <v>-5026.5442</v>
      </c>
      <c r="AN238" s="67" t="n">
        <f aca="false">-AN232*Inputs!$C$50/12*1*(1+Inputs!$C$61)*(1+Inputs!$C$62)^(AN$127-1)</f>
        <v>-5026.5442</v>
      </c>
      <c r="AO238" s="67" t="n">
        <f aca="false">-AO232*Inputs!$C$50/12*1*(1+Inputs!$C$61)*(1+Inputs!$C$62)^(AO$127-1)</f>
        <v>-5026.5442</v>
      </c>
      <c r="AP238" s="67" t="n">
        <f aca="false">-AP232*Inputs!$C$50/12*1*(1+Inputs!$C$61)*(1+Inputs!$C$62)^(AP$127-1)</f>
        <v>-5026.5442</v>
      </c>
      <c r="AQ238" s="67" t="n">
        <f aca="false">-AQ232*Inputs!$C$50/12*1*(1+Inputs!$C$61)*(1+Inputs!$C$62)^(AQ$127-1)</f>
        <v>-5026.5442</v>
      </c>
      <c r="AR238" s="67" t="n">
        <f aca="false">-AR232*Inputs!$C$50/12*1*(1+Inputs!$C$61)*(1+Inputs!$C$62)^(AR$127-1)</f>
        <v>-5026.5442</v>
      </c>
      <c r="AS238" s="67" t="n">
        <f aca="false">-AS232*Inputs!$C$50/12*1*(1+Inputs!$C$61)*(1+Inputs!$C$62)^(AS$127-1)</f>
        <v>-5026.5442</v>
      </c>
      <c r="AT238" s="67" t="n">
        <f aca="false">-AT232*Inputs!$C$50/12*1*(1+Inputs!$C$61)*(1+Inputs!$C$62)^(AT$127-1)</f>
        <v>-5026.5442</v>
      </c>
      <c r="AU238" s="67" t="n">
        <f aca="false">-AU232*Inputs!$C$50/12*1*(1+Inputs!$C$61)*(1+Inputs!$C$62)^(AU$127-1)</f>
        <v>-5026.5442</v>
      </c>
      <c r="AV238" s="67" t="n">
        <f aca="false">-AV232*Inputs!$C$50/12*1*(1+Inputs!$C$61)*(1+Inputs!$C$62)^(AV$127-1)</f>
        <v>-5026.5442</v>
      </c>
      <c r="AW238" s="67" t="n">
        <f aca="false">-AW232*Inputs!$C$50/12*1*(1+Inputs!$C$61)*(1+Inputs!$C$62)^(AW$127-1)</f>
        <v>-5026.5442</v>
      </c>
      <c r="AX238" s="67" t="n">
        <f aca="false">-AX232*Inputs!$C$50/12*1*(1+Inputs!$C$61)*(1+Inputs!$C$62)^(AX$127-1)</f>
        <v>-5026.5442</v>
      </c>
      <c r="AY238" s="67" t="n">
        <f aca="false">-AY232*Inputs!$C$50/12*1*(1+Inputs!$C$61)*(1+Inputs!$C$62)^(AY$127-1)</f>
        <v>-5177.340526</v>
      </c>
      <c r="AZ238" s="67" t="n">
        <f aca="false">-AZ232*Inputs!$C$50/12*1*(1+Inputs!$C$61)*(1+Inputs!$C$62)^(AZ$127-1)</f>
        <v>-5177.340526</v>
      </c>
      <c r="BA238" s="67" t="n">
        <f aca="false">-BA232*Inputs!$C$50/12*1*(1+Inputs!$C$61)*(1+Inputs!$C$62)^(BA$127-1)</f>
        <v>-5177.340526</v>
      </c>
      <c r="BB238" s="67" t="n">
        <f aca="false">-BB232*Inputs!$C$50/12*1*(1+Inputs!$C$61)*(1+Inputs!$C$62)^(BB$127-1)</f>
        <v>-5177.340526</v>
      </c>
      <c r="BC238" s="67" t="n">
        <f aca="false">-BC232*Inputs!$C$50/12*1*(1+Inputs!$C$61)*(1+Inputs!$C$62)^(BC$127-1)</f>
        <v>-5177.340526</v>
      </c>
      <c r="BD238" s="67" t="n">
        <f aca="false">-BD232*Inputs!$C$50/12*1*(1+Inputs!$C$61)*(1+Inputs!$C$62)^(BD$127-1)</f>
        <v>-5177.340526</v>
      </c>
      <c r="BE238" s="67" t="n">
        <f aca="false">-BE232*Inputs!$C$50/12*1*(1+Inputs!$C$61)*(1+Inputs!$C$62)^(BE$127-1)</f>
        <v>-5177.340526</v>
      </c>
      <c r="BF238" s="67" t="n">
        <f aca="false">-BF232*Inputs!$C$50/12*1*(1+Inputs!$C$61)*(1+Inputs!$C$62)^(BF$127-1)</f>
        <v>-5177.340526</v>
      </c>
      <c r="BG238" s="67" t="n">
        <f aca="false">-BG232*Inputs!$C$50/12*1*(1+Inputs!$C$61)*(1+Inputs!$C$62)^(BG$127-1)</f>
        <v>-5177.340526</v>
      </c>
      <c r="BH238" s="67" t="n">
        <f aca="false">-BH232*Inputs!$C$50/12*1*(1+Inputs!$C$61)*(1+Inputs!$C$62)^(BH$127-1)</f>
        <v>-5177.340526</v>
      </c>
      <c r="BI238" s="67" t="n">
        <f aca="false">-BI232*Inputs!$C$50/12*1*(1+Inputs!$C$61)*(1+Inputs!$C$62)^(BI$127-1)</f>
        <v>-5177.340526</v>
      </c>
      <c r="BJ238" s="67" t="n">
        <f aca="false">-BJ232*Inputs!$C$50/12*1*(1+Inputs!$C$61)*(1+Inputs!$C$62)^(BJ$127-1)</f>
        <v>-5177.340526</v>
      </c>
    </row>
    <row r="239" customFormat="false" ht="15" hidden="false" customHeight="false" outlineLevel="0" collapsed="false">
      <c r="A239" s="6" t="s">
        <v>458</v>
      </c>
      <c r="C239" s="67" t="n">
        <f aca="false">-C233*Inputs!$C$54/12*1*(1+Inputs!$C$61)*(1+Inputs!$C$62)^(C$127-1)</f>
        <v>-3833.33333333333</v>
      </c>
      <c r="D239" s="67" t="n">
        <f aca="false">-D233*Inputs!$C$54/12*1*(1+Inputs!$C$61)*(1+Inputs!$C$62)^(D$127-1)</f>
        <v>-3833.33333333333</v>
      </c>
      <c r="E239" s="67" t="n">
        <f aca="false">-E233*Inputs!$C$54/12*1*(1+Inputs!$C$61)*(1+Inputs!$C$62)^(E$127-1)</f>
        <v>-3833.33333333333</v>
      </c>
      <c r="F239" s="67" t="n">
        <f aca="false">-F233*Inputs!$C$54/12*1*(1+Inputs!$C$61)*(1+Inputs!$C$62)^(F$127-1)</f>
        <v>-3833.33333333333</v>
      </c>
      <c r="G239" s="67" t="n">
        <f aca="false">-G233*Inputs!$C$54/12*1*(1+Inputs!$C$61)*(1+Inputs!$C$62)^(G$127-1)</f>
        <v>-3833.33333333333</v>
      </c>
      <c r="H239" s="67" t="n">
        <f aca="false">-H233*Inputs!$C$54/12*1*(1+Inputs!$C$61)*(1+Inputs!$C$62)^(H$127-1)</f>
        <v>-3833.33333333333</v>
      </c>
      <c r="I239" s="67" t="n">
        <f aca="false">-I233*Inputs!$C$54/12*1*(1+Inputs!$C$61)*(1+Inputs!$C$62)^(I$127-1)</f>
        <v>-3833.33333333333</v>
      </c>
      <c r="J239" s="67" t="n">
        <f aca="false">-J233*Inputs!$C$54/12*1*(1+Inputs!$C$61)*(1+Inputs!$C$62)^(J$127-1)</f>
        <v>-3833.33333333333</v>
      </c>
      <c r="K239" s="67" t="n">
        <f aca="false">-K233*Inputs!$C$54/12*1*(1+Inputs!$C$61)*(1+Inputs!$C$62)^(K$127-1)</f>
        <v>-3833.33333333333</v>
      </c>
      <c r="L239" s="67" t="n">
        <f aca="false">-L233*Inputs!$C$54/12*1*(1+Inputs!$C$61)*(1+Inputs!$C$62)^(L$127-1)</f>
        <v>-3833.33333333333</v>
      </c>
      <c r="M239" s="67" t="n">
        <f aca="false">-M233*Inputs!$C$54/12*1*(1+Inputs!$C$61)*(1+Inputs!$C$62)^(M$127-1)</f>
        <v>-3833.33333333333</v>
      </c>
      <c r="N239" s="67" t="n">
        <f aca="false">-N233*Inputs!$C$54/12*1*(1+Inputs!$C$61)*(1+Inputs!$C$62)^(N$127-1)</f>
        <v>-3833.33333333333</v>
      </c>
      <c r="O239" s="67" t="n">
        <f aca="false">-O233*Inputs!$C$54/12*1*(1+Inputs!$C$61)*(1+Inputs!$C$62)^(O$127-1)</f>
        <v>-3948.33333333333</v>
      </c>
      <c r="P239" s="67" t="n">
        <f aca="false">-P233*Inputs!$C$54/12*1*(1+Inputs!$C$61)*(1+Inputs!$C$62)^(P$127-1)</f>
        <v>-3948.33333333333</v>
      </c>
      <c r="Q239" s="67" t="n">
        <f aca="false">-Q233*Inputs!$C$54/12*1*(1+Inputs!$C$61)*(1+Inputs!$C$62)^(Q$127-1)</f>
        <v>-3948.33333333333</v>
      </c>
      <c r="R239" s="67" t="n">
        <f aca="false">-R233*Inputs!$C$54/12*1*(1+Inputs!$C$61)*(1+Inputs!$C$62)^(R$127-1)</f>
        <v>-3948.33333333333</v>
      </c>
      <c r="S239" s="67" t="n">
        <f aca="false">-S233*Inputs!$C$54/12*1*(1+Inputs!$C$61)*(1+Inputs!$C$62)^(S$127-1)</f>
        <v>-3948.33333333333</v>
      </c>
      <c r="T239" s="67" t="n">
        <f aca="false">-T233*Inputs!$C$54/12*1*(1+Inputs!$C$61)*(1+Inputs!$C$62)^(T$127-1)</f>
        <v>-3948.33333333333</v>
      </c>
      <c r="U239" s="67" t="n">
        <f aca="false">-U233*Inputs!$C$54/12*1*(1+Inputs!$C$61)*(1+Inputs!$C$62)^(U$127-1)</f>
        <v>-3948.33333333333</v>
      </c>
      <c r="V239" s="67" t="n">
        <f aca="false">-V233*Inputs!$C$54/12*1*(1+Inputs!$C$61)*(1+Inputs!$C$62)^(V$127-1)</f>
        <v>-3948.33333333333</v>
      </c>
      <c r="W239" s="67" t="n">
        <f aca="false">-W233*Inputs!$C$54/12*1*(1+Inputs!$C$61)*(1+Inputs!$C$62)^(W$127-1)</f>
        <v>-3948.33333333333</v>
      </c>
      <c r="X239" s="67" t="n">
        <f aca="false">-X233*Inputs!$C$54/12*1*(1+Inputs!$C$61)*(1+Inputs!$C$62)^(X$127-1)</f>
        <v>-3948.33333333333</v>
      </c>
      <c r="Y239" s="67" t="n">
        <f aca="false">-Y233*Inputs!$C$54/12*1*(1+Inputs!$C$61)*(1+Inputs!$C$62)^(Y$127-1)</f>
        <v>-3948.33333333333</v>
      </c>
      <c r="Z239" s="67" t="n">
        <f aca="false">-Z233*Inputs!$C$54/12*1*(1+Inputs!$C$61)*(1+Inputs!$C$62)^(Z$127-1)</f>
        <v>-3948.33333333333</v>
      </c>
      <c r="AA239" s="67" t="n">
        <f aca="false">-AA233*Inputs!$C$54/12*1*(1+Inputs!$C$61)*(1+Inputs!$C$62)^(AA$127-1)</f>
        <v>-4066.78333333333</v>
      </c>
      <c r="AB239" s="67" t="n">
        <f aca="false">-AB233*Inputs!$C$54/12*1*(1+Inputs!$C$61)*(1+Inputs!$C$62)^(AB$127-1)</f>
        <v>-4066.78333333333</v>
      </c>
      <c r="AC239" s="67" t="n">
        <f aca="false">-AC233*Inputs!$C$54/12*1*(1+Inputs!$C$61)*(1+Inputs!$C$62)^(AC$127-1)</f>
        <v>-4066.78333333333</v>
      </c>
      <c r="AD239" s="67" t="n">
        <f aca="false">-AD233*Inputs!$C$54/12*1*(1+Inputs!$C$61)*(1+Inputs!$C$62)^(AD$127-1)</f>
        <v>-4066.78333333333</v>
      </c>
      <c r="AE239" s="67" t="n">
        <f aca="false">-AE233*Inputs!$C$54/12*1*(1+Inputs!$C$61)*(1+Inputs!$C$62)^(AE$127-1)</f>
        <v>-4066.78333333333</v>
      </c>
      <c r="AF239" s="67" t="n">
        <f aca="false">-AF233*Inputs!$C$54/12*1*(1+Inputs!$C$61)*(1+Inputs!$C$62)^(AF$127-1)</f>
        <v>-4066.78333333333</v>
      </c>
      <c r="AG239" s="67" t="n">
        <f aca="false">-AG233*Inputs!$C$54/12*1*(1+Inputs!$C$61)*(1+Inputs!$C$62)^(AG$127-1)</f>
        <v>-4066.78333333333</v>
      </c>
      <c r="AH239" s="67" t="n">
        <f aca="false">-AH233*Inputs!$C$54/12*1*(1+Inputs!$C$61)*(1+Inputs!$C$62)^(AH$127-1)</f>
        <v>-4066.78333333333</v>
      </c>
      <c r="AI239" s="67" t="n">
        <f aca="false">-AI233*Inputs!$C$54/12*1*(1+Inputs!$C$61)*(1+Inputs!$C$62)^(AI$127-1)</f>
        <v>-4066.78333333333</v>
      </c>
      <c r="AJ239" s="67" t="n">
        <f aca="false">-AJ233*Inputs!$C$54/12*1*(1+Inputs!$C$61)*(1+Inputs!$C$62)^(AJ$127-1)</f>
        <v>-4066.78333333333</v>
      </c>
      <c r="AK239" s="67" t="n">
        <f aca="false">-AK233*Inputs!$C$54/12*1*(1+Inputs!$C$61)*(1+Inputs!$C$62)^(AK$127-1)</f>
        <v>-4066.78333333333</v>
      </c>
      <c r="AL239" s="67" t="n">
        <f aca="false">-AL233*Inputs!$C$54/12*1*(1+Inputs!$C$61)*(1+Inputs!$C$62)^(AL$127-1)</f>
        <v>-4066.78333333333</v>
      </c>
      <c r="AM239" s="67" t="n">
        <f aca="false">-AM233*Inputs!$C$54/12*1*(1+Inputs!$C$61)*(1+Inputs!$C$62)^(AM$127-1)</f>
        <v>-4188.78683333333</v>
      </c>
      <c r="AN239" s="67" t="n">
        <f aca="false">-AN233*Inputs!$C$54/12*1*(1+Inputs!$C$61)*(1+Inputs!$C$62)^(AN$127-1)</f>
        <v>-4188.78683333333</v>
      </c>
      <c r="AO239" s="67" t="n">
        <f aca="false">-AO233*Inputs!$C$54/12*1*(1+Inputs!$C$61)*(1+Inputs!$C$62)^(AO$127-1)</f>
        <v>-4188.78683333333</v>
      </c>
      <c r="AP239" s="67" t="n">
        <f aca="false">-AP233*Inputs!$C$54/12*1*(1+Inputs!$C$61)*(1+Inputs!$C$62)^(AP$127-1)</f>
        <v>-4188.78683333333</v>
      </c>
      <c r="AQ239" s="67" t="n">
        <f aca="false">-AQ233*Inputs!$C$54/12*1*(1+Inputs!$C$61)*(1+Inputs!$C$62)^(AQ$127-1)</f>
        <v>-4188.78683333333</v>
      </c>
      <c r="AR239" s="67" t="n">
        <f aca="false">-AR233*Inputs!$C$54/12*1*(1+Inputs!$C$61)*(1+Inputs!$C$62)^(AR$127-1)</f>
        <v>-4188.78683333333</v>
      </c>
      <c r="AS239" s="67" t="n">
        <f aca="false">-AS233*Inputs!$C$54/12*1*(1+Inputs!$C$61)*(1+Inputs!$C$62)^(AS$127-1)</f>
        <v>-4188.78683333333</v>
      </c>
      <c r="AT239" s="67" t="n">
        <f aca="false">-AT233*Inputs!$C$54/12*1*(1+Inputs!$C$61)*(1+Inputs!$C$62)^(AT$127-1)</f>
        <v>-4188.78683333333</v>
      </c>
      <c r="AU239" s="67" t="n">
        <f aca="false">-AU233*Inputs!$C$54/12*1*(1+Inputs!$C$61)*(1+Inputs!$C$62)^(AU$127-1)</f>
        <v>-4188.78683333333</v>
      </c>
      <c r="AV239" s="67" t="n">
        <f aca="false">-AV233*Inputs!$C$54/12*1*(1+Inputs!$C$61)*(1+Inputs!$C$62)^(AV$127-1)</f>
        <v>-4188.78683333333</v>
      </c>
      <c r="AW239" s="67" t="n">
        <f aca="false">-AW233*Inputs!$C$54/12*1*(1+Inputs!$C$61)*(1+Inputs!$C$62)^(AW$127-1)</f>
        <v>-4188.78683333333</v>
      </c>
      <c r="AX239" s="67" t="n">
        <f aca="false">-AX233*Inputs!$C$54/12*1*(1+Inputs!$C$61)*(1+Inputs!$C$62)^(AX$127-1)</f>
        <v>-4188.78683333333</v>
      </c>
      <c r="AY239" s="67" t="n">
        <f aca="false">-AY233*Inputs!$C$54/12*1*(1+Inputs!$C$61)*(1+Inputs!$C$62)^(AY$127-1)</f>
        <v>-4314.45043833333</v>
      </c>
      <c r="AZ239" s="67" t="n">
        <f aca="false">-AZ233*Inputs!$C$54/12*1*(1+Inputs!$C$61)*(1+Inputs!$C$62)^(AZ$127-1)</f>
        <v>-4314.45043833333</v>
      </c>
      <c r="BA239" s="67" t="n">
        <f aca="false">-BA233*Inputs!$C$54/12*1*(1+Inputs!$C$61)*(1+Inputs!$C$62)^(BA$127-1)</f>
        <v>-4314.45043833333</v>
      </c>
      <c r="BB239" s="67" t="n">
        <f aca="false">-BB233*Inputs!$C$54/12*1*(1+Inputs!$C$61)*(1+Inputs!$C$62)^(BB$127-1)</f>
        <v>-4314.45043833333</v>
      </c>
      <c r="BC239" s="67" t="n">
        <f aca="false">-BC233*Inputs!$C$54/12*1*(1+Inputs!$C$61)*(1+Inputs!$C$62)^(BC$127-1)</f>
        <v>-4314.45043833333</v>
      </c>
      <c r="BD239" s="67" t="n">
        <f aca="false">-BD233*Inputs!$C$54/12*1*(1+Inputs!$C$61)*(1+Inputs!$C$62)^(BD$127-1)</f>
        <v>-4314.45043833333</v>
      </c>
      <c r="BE239" s="67" t="n">
        <f aca="false">-BE233*Inputs!$C$54/12*1*(1+Inputs!$C$61)*(1+Inputs!$C$62)^(BE$127-1)</f>
        <v>-4314.45043833333</v>
      </c>
      <c r="BF239" s="67" t="n">
        <f aca="false">-BF233*Inputs!$C$54/12*1*(1+Inputs!$C$61)*(1+Inputs!$C$62)^(BF$127-1)</f>
        <v>-4314.45043833333</v>
      </c>
      <c r="BG239" s="67" t="n">
        <f aca="false">-BG233*Inputs!$C$54/12*1*(1+Inputs!$C$61)*(1+Inputs!$C$62)^(BG$127-1)</f>
        <v>-4314.45043833333</v>
      </c>
      <c r="BH239" s="67" t="n">
        <f aca="false">-BH233*Inputs!$C$54/12*1*(1+Inputs!$C$61)*(1+Inputs!$C$62)^(BH$127-1)</f>
        <v>-4314.45043833333</v>
      </c>
      <c r="BI239" s="67" t="n">
        <f aca="false">-BI233*Inputs!$C$54/12*1*(1+Inputs!$C$61)*(1+Inputs!$C$62)^(BI$127-1)</f>
        <v>-4314.45043833333</v>
      </c>
      <c r="BJ239" s="67" t="n">
        <f aca="false">-BJ233*Inputs!$C$54/12*1*(1+Inputs!$C$61)*(1+Inputs!$C$62)^(BJ$127-1)</f>
        <v>-4314.45043833333</v>
      </c>
    </row>
    <row r="240" customFormat="false" ht="15" hidden="false" customHeight="false" outlineLevel="0" collapsed="false">
      <c r="A240" s="6" t="s">
        <v>459</v>
      </c>
      <c r="C240" s="67" t="n">
        <f aca="false">-C234*Inputs!$C$58/12*1*(1+Inputs!$C$61)*(1+Inputs!$C$62)^(C$127-1)</f>
        <v>-1725</v>
      </c>
      <c r="D240" s="67" t="n">
        <f aca="false">-D234*Inputs!$C$58/12*1*(1+Inputs!$C$61)*(1+Inputs!$C$62)^(D$127-1)</f>
        <v>-1725</v>
      </c>
      <c r="E240" s="67" t="n">
        <f aca="false">-E234*Inputs!$C$58/12*1*(1+Inputs!$C$61)*(1+Inputs!$C$62)^(E$127-1)</f>
        <v>-1725</v>
      </c>
      <c r="F240" s="67" t="n">
        <f aca="false">-F234*Inputs!$C$58/12*1*(1+Inputs!$C$61)*(1+Inputs!$C$62)^(F$127-1)</f>
        <v>-1725</v>
      </c>
      <c r="G240" s="67" t="n">
        <f aca="false">-G234*Inputs!$C$58/12*1*(1+Inputs!$C$61)*(1+Inputs!$C$62)^(G$127-1)</f>
        <v>-1725</v>
      </c>
      <c r="H240" s="67" t="n">
        <f aca="false">-H234*Inputs!$C$58/12*1*(1+Inputs!$C$61)*(1+Inputs!$C$62)^(H$127-1)</f>
        <v>-1725</v>
      </c>
      <c r="I240" s="67" t="n">
        <f aca="false">-I234*Inputs!$C$58/12*1*(1+Inputs!$C$61)*(1+Inputs!$C$62)^(I$127-1)</f>
        <v>-1725</v>
      </c>
      <c r="J240" s="67" t="n">
        <f aca="false">-J234*Inputs!$C$58/12*1*(1+Inputs!$C$61)*(1+Inputs!$C$62)^(J$127-1)</f>
        <v>-1725</v>
      </c>
      <c r="K240" s="67" t="n">
        <f aca="false">-K234*Inputs!$C$58/12*1*(1+Inputs!$C$61)*(1+Inputs!$C$62)^(K$127-1)</f>
        <v>-1725</v>
      </c>
      <c r="L240" s="67" t="n">
        <f aca="false">-L234*Inputs!$C$58/12*1*(1+Inputs!$C$61)*(1+Inputs!$C$62)^(L$127-1)</f>
        <v>-1725</v>
      </c>
      <c r="M240" s="67" t="n">
        <f aca="false">-M234*Inputs!$C$58/12*1*(1+Inputs!$C$61)*(1+Inputs!$C$62)^(M$127-1)</f>
        <v>-1725</v>
      </c>
      <c r="N240" s="67" t="n">
        <f aca="false">-N234*Inputs!$C$58/12*1*(1+Inputs!$C$61)*(1+Inputs!$C$62)^(N$127-1)</f>
        <v>-1725</v>
      </c>
      <c r="O240" s="67" t="n">
        <f aca="false">-O234*Inputs!$C$58/12*1*(1+Inputs!$C$61)*(1+Inputs!$C$62)^(O$127-1)</f>
        <v>-1776.75</v>
      </c>
      <c r="P240" s="67" t="n">
        <f aca="false">-P234*Inputs!$C$58/12*1*(1+Inputs!$C$61)*(1+Inputs!$C$62)^(P$127-1)</f>
        <v>-1776.75</v>
      </c>
      <c r="Q240" s="67" t="n">
        <f aca="false">-Q234*Inputs!$C$58/12*1*(1+Inputs!$C$61)*(1+Inputs!$C$62)^(Q$127-1)</f>
        <v>-1776.75</v>
      </c>
      <c r="R240" s="67" t="n">
        <f aca="false">-R234*Inputs!$C$58/12*1*(1+Inputs!$C$61)*(1+Inputs!$C$62)^(R$127-1)</f>
        <v>-1776.75</v>
      </c>
      <c r="S240" s="67" t="n">
        <f aca="false">-S234*Inputs!$C$58/12*1*(1+Inputs!$C$61)*(1+Inputs!$C$62)^(S$127-1)</f>
        <v>-1776.75</v>
      </c>
      <c r="T240" s="67" t="n">
        <f aca="false">-T234*Inputs!$C$58/12*1*(1+Inputs!$C$61)*(1+Inputs!$C$62)^(T$127-1)</f>
        <v>-1776.75</v>
      </c>
      <c r="U240" s="67" t="n">
        <f aca="false">-U234*Inputs!$C$58/12*1*(1+Inputs!$C$61)*(1+Inputs!$C$62)^(U$127-1)</f>
        <v>-1776.75</v>
      </c>
      <c r="V240" s="67" t="n">
        <f aca="false">-V234*Inputs!$C$58/12*1*(1+Inputs!$C$61)*(1+Inputs!$C$62)^(V$127-1)</f>
        <v>-1776.75</v>
      </c>
      <c r="W240" s="67" t="n">
        <f aca="false">-W234*Inputs!$C$58/12*1*(1+Inputs!$C$61)*(1+Inputs!$C$62)^(W$127-1)</f>
        <v>-1776.75</v>
      </c>
      <c r="X240" s="67" t="n">
        <f aca="false">-X234*Inputs!$C$58/12*1*(1+Inputs!$C$61)*(1+Inputs!$C$62)^(X$127-1)</f>
        <v>-1776.75</v>
      </c>
      <c r="Y240" s="67" t="n">
        <f aca="false">-Y234*Inputs!$C$58/12*1*(1+Inputs!$C$61)*(1+Inputs!$C$62)^(Y$127-1)</f>
        <v>-1776.75</v>
      </c>
      <c r="Z240" s="67" t="n">
        <f aca="false">-Z234*Inputs!$C$58/12*1*(1+Inputs!$C$61)*(1+Inputs!$C$62)^(Z$127-1)</f>
        <v>-1776.75</v>
      </c>
      <c r="AA240" s="67" t="n">
        <f aca="false">-AA234*Inputs!$C$58/12*1*(1+Inputs!$C$61)*(1+Inputs!$C$62)^(AA$127-1)</f>
        <v>-1830.0525</v>
      </c>
      <c r="AB240" s="67" t="n">
        <f aca="false">-AB234*Inputs!$C$58/12*1*(1+Inputs!$C$61)*(1+Inputs!$C$62)^(AB$127-1)</f>
        <v>-1830.0525</v>
      </c>
      <c r="AC240" s="67" t="n">
        <f aca="false">-AC234*Inputs!$C$58/12*1*(1+Inputs!$C$61)*(1+Inputs!$C$62)^(AC$127-1)</f>
        <v>-1830.0525</v>
      </c>
      <c r="AD240" s="67" t="n">
        <f aca="false">-AD234*Inputs!$C$58/12*1*(1+Inputs!$C$61)*(1+Inputs!$C$62)^(AD$127-1)</f>
        <v>-1830.0525</v>
      </c>
      <c r="AE240" s="67" t="n">
        <f aca="false">-AE234*Inputs!$C$58/12*1*(1+Inputs!$C$61)*(1+Inputs!$C$62)^(AE$127-1)</f>
        <v>-1830.0525</v>
      </c>
      <c r="AF240" s="67" t="n">
        <f aca="false">-AF234*Inputs!$C$58/12*1*(1+Inputs!$C$61)*(1+Inputs!$C$62)^(AF$127-1)</f>
        <v>-1830.0525</v>
      </c>
      <c r="AG240" s="67" t="n">
        <f aca="false">-AG234*Inputs!$C$58/12*1*(1+Inputs!$C$61)*(1+Inputs!$C$62)^(AG$127-1)</f>
        <v>-1830.0525</v>
      </c>
      <c r="AH240" s="67" t="n">
        <f aca="false">-AH234*Inputs!$C$58/12*1*(1+Inputs!$C$61)*(1+Inputs!$C$62)^(AH$127-1)</f>
        <v>-1830.0525</v>
      </c>
      <c r="AI240" s="67" t="n">
        <f aca="false">-AI234*Inputs!$C$58/12*1*(1+Inputs!$C$61)*(1+Inputs!$C$62)^(AI$127-1)</f>
        <v>-1830.0525</v>
      </c>
      <c r="AJ240" s="67" t="n">
        <f aca="false">-AJ234*Inputs!$C$58/12*1*(1+Inputs!$C$61)*(1+Inputs!$C$62)^(AJ$127-1)</f>
        <v>-1830.0525</v>
      </c>
      <c r="AK240" s="67" t="n">
        <f aca="false">-AK234*Inputs!$C$58/12*1*(1+Inputs!$C$61)*(1+Inputs!$C$62)^(AK$127-1)</f>
        <v>-1830.0525</v>
      </c>
      <c r="AL240" s="67" t="n">
        <f aca="false">-AL234*Inputs!$C$58/12*1*(1+Inputs!$C$61)*(1+Inputs!$C$62)^(AL$127-1)</f>
        <v>-1830.0525</v>
      </c>
      <c r="AM240" s="67" t="n">
        <f aca="false">-AM234*Inputs!$C$58/12*1*(1+Inputs!$C$61)*(1+Inputs!$C$62)^(AM$127-1)</f>
        <v>-1884.954075</v>
      </c>
      <c r="AN240" s="67" t="n">
        <f aca="false">-AN234*Inputs!$C$58/12*1*(1+Inputs!$C$61)*(1+Inputs!$C$62)^(AN$127-1)</f>
        <v>-1884.954075</v>
      </c>
      <c r="AO240" s="67" t="n">
        <f aca="false">-AO234*Inputs!$C$58/12*1*(1+Inputs!$C$61)*(1+Inputs!$C$62)^(AO$127-1)</f>
        <v>-1884.954075</v>
      </c>
      <c r="AP240" s="67" t="n">
        <f aca="false">-AP234*Inputs!$C$58/12*1*(1+Inputs!$C$61)*(1+Inputs!$C$62)^(AP$127-1)</f>
        <v>-1884.954075</v>
      </c>
      <c r="AQ240" s="67" t="n">
        <f aca="false">-AQ234*Inputs!$C$58/12*1*(1+Inputs!$C$61)*(1+Inputs!$C$62)^(AQ$127-1)</f>
        <v>-1884.954075</v>
      </c>
      <c r="AR240" s="67" t="n">
        <f aca="false">-AR234*Inputs!$C$58/12*1*(1+Inputs!$C$61)*(1+Inputs!$C$62)^(AR$127-1)</f>
        <v>-1884.954075</v>
      </c>
      <c r="AS240" s="67" t="n">
        <f aca="false">-AS234*Inputs!$C$58/12*1*(1+Inputs!$C$61)*(1+Inputs!$C$62)^(AS$127-1)</f>
        <v>-1884.954075</v>
      </c>
      <c r="AT240" s="67" t="n">
        <f aca="false">-AT234*Inputs!$C$58/12*1*(1+Inputs!$C$61)*(1+Inputs!$C$62)^(AT$127-1)</f>
        <v>-1884.954075</v>
      </c>
      <c r="AU240" s="67" t="n">
        <f aca="false">-AU234*Inputs!$C$58/12*1*(1+Inputs!$C$61)*(1+Inputs!$C$62)^(AU$127-1)</f>
        <v>-1884.954075</v>
      </c>
      <c r="AV240" s="67" t="n">
        <f aca="false">-AV234*Inputs!$C$58/12*1*(1+Inputs!$C$61)*(1+Inputs!$C$62)^(AV$127-1)</f>
        <v>-1884.954075</v>
      </c>
      <c r="AW240" s="67" t="n">
        <f aca="false">-AW234*Inputs!$C$58/12*1*(1+Inputs!$C$61)*(1+Inputs!$C$62)^(AW$127-1)</f>
        <v>-1884.954075</v>
      </c>
      <c r="AX240" s="67" t="n">
        <f aca="false">-AX234*Inputs!$C$58/12*1*(1+Inputs!$C$61)*(1+Inputs!$C$62)^(AX$127-1)</f>
        <v>-1884.954075</v>
      </c>
      <c r="AY240" s="67" t="n">
        <f aca="false">-AY234*Inputs!$C$58/12*1*(1+Inputs!$C$61)*(1+Inputs!$C$62)^(AY$127-1)</f>
        <v>-1941.50269725</v>
      </c>
      <c r="AZ240" s="67" t="n">
        <f aca="false">-AZ234*Inputs!$C$58/12*1*(1+Inputs!$C$61)*(1+Inputs!$C$62)^(AZ$127-1)</f>
        <v>-1941.50269725</v>
      </c>
      <c r="BA240" s="67" t="n">
        <f aca="false">-BA234*Inputs!$C$58/12*1*(1+Inputs!$C$61)*(1+Inputs!$C$62)^(BA$127-1)</f>
        <v>-1941.50269725</v>
      </c>
      <c r="BB240" s="67" t="n">
        <f aca="false">-BB234*Inputs!$C$58/12*1*(1+Inputs!$C$61)*(1+Inputs!$C$62)^(BB$127-1)</f>
        <v>-1941.50269725</v>
      </c>
      <c r="BC240" s="67" t="n">
        <f aca="false">-BC234*Inputs!$C$58/12*1*(1+Inputs!$C$61)*(1+Inputs!$C$62)^(BC$127-1)</f>
        <v>-1941.50269725</v>
      </c>
      <c r="BD240" s="67" t="n">
        <f aca="false">-BD234*Inputs!$C$58/12*1*(1+Inputs!$C$61)*(1+Inputs!$C$62)^(BD$127-1)</f>
        <v>-1941.50269725</v>
      </c>
      <c r="BE240" s="67" t="n">
        <f aca="false">-BE234*Inputs!$C$58/12*1*(1+Inputs!$C$61)*(1+Inputs!$C$62)^(BE$127-1)</f>
        <v>-1941.50269725</v>
      </c>
      <c r="BF240" s="67" t="n">
        <f aca="false">-BF234*Inputs!$C$58/12*1*(1+Inputs!$C$61)*(1+Inputs!$C$62)^(BF$127-1)</f>
        <v>-1941.50269725</v>
      </c>
      <c r="BG240" s="67" t="n">
        <f aca="false">-BG234*Inputs!$C$58/12*1*(1+Inputs!$C$61)*(1+Inputs!$C$62)^(BG$127-1)</f>
        <v>-1941.50269725</v>
      </c>
      <c r="BH240" s="67" t="n">
        <f aca="false">-BH234*Inputs!$C$58/12*1*(1+Inputs!$C$61)*(1+Inputs!$C$62)^(BH$127-1)</f>
        <v>-1941.50269725</v>
      </c>
      <c r="BI240" s="67" t="n">
        <f aca="false">-BI234*Inputs!$C$58/12*1*(1+Inputs!$C$61)*(1+Inputs!$C$62)^(BI$127-1)</f>
        <v>-1941.50269725</v>
      </c>
      <c r="BJ240" s="67" t="n">
        <f aca="false">-BJ234*Inputs!$C$58/12*1*(1+Inputs!$C$61)*(1+Inputs!$C$62)^(BJ$127-1)</f>
        <v>-1941.50269725</v>
      </c>
    </row>
    <row r="241" customFormat="false" ht="15" hidden="false" customHeight="false" outlineLevel="0" collapsed="false">
      <c r="A241" s="111" t="s">
        <v>460</v>
      </c>
      <c r="C241" s="68" t="n">
        <f aca="false">C238+C239+C240</f>
        <v>-10158.3333333333</v>
      </c>
      <c r="D241" s="68" t="n">
        <f aca="false">D238+D239+D240</f>
        <v>-10158.3333333333</v>
      </c>
      <c r="E241" s="68" t="n">
        <f aca="false">E238+E239+E240</f>
        <v>-10158.3333333333</v>
      </c>
      <c r="F241" s="68" t="n">
        <f aca="false">F238+F239+F240</f>
        <v>-10158.3333333333</v>
      </c>
      <c r="G241" s="68" t="n">
        <f aca="false">G238+G239+G240</f>
        <v>-10158.3333333333</v>
      </c>
      <c r="H241" s="68" t="n">
        <f aca="false">H238+H239+H240</f>
        <v>-10158.3333333333</v>
      </c>
      <c r="I241" s="68" t="n">
        <f aca="false">I238+I239+I240</f>
        <v>-10158.3333333333</v>
      </c>
      <c r="J241" s="68" t="n">
        <f aca="false">J238+J239+J240</f>
        <v>-10158.3333333333</v>
      </c>
      <c r="K241" s="68" t="n">
        <f aca="false">K238+K239+K240</f>
        <v>-10158.3333333333</v>
      </c>
      <c r="L241" s="68" t="n">
        <f aca="false">L238+L239+L240</f>
        <v>-10158.3333333333</v>
      </c>
      <c r="M241" s="68" t="n">
        <f aca="false">M238+M239+M240</f>
        <v>-10158.3333333333</v>
      </c>
      <c r="N241" s="68" t="n">
        <f aca="false">N238+N239+N240</f>
        <v>-10158.3333333333</v>
      </c>
      <c r="O241" s="68" t="n">
        <f aca="false">O238+O239+O240</f>
        <v>-10463.0833333333</v>
      </c>
      <c r="P241" s="68" t="n">
        <f aca="false">P238+P239+P240</f>
        <v>-10463.0833333333</v>
      </c>
      <c r="Q241" s="68" t="n">
        <f aca="false">Q238+Q239+Q240</f>
        <v>-10463.0833333333</v>
      </c>
      <c r="R241" s="68" t="n">
        <f aca="false">R238+R239+R240</f>
        <v>-10463.0833333333</v>
      </c>
      <c r="S241" s="68" t="n">
        <f aca="false">S238+S239+S240</f>
        <v>-10463.0833333333</v>
      </c>
      <c r="T241" s="68" t="n">
        <f aca="false">T238+T239+T240</f>
        <v>-10463.0833333333</v>
      </c>
      <c r="U241" s="68" t="n">
        <f aca="false">U238+U239+U240</f>
        <v>-10463.0833333333</v>
      </c>
      <c r="V241" s="68" t="n">
        <f aca="false">V238+V239+V240</f>
        <v>-10463.0833333333</v>
      </c>
      <c r="W241" s="68" t="n">
        <f aca="false">W238+W239+W240</f>
        <v>-10463.0833333333</v>
      </c>
      <c r="X241" s="68" t="n">
        <f aca="false">X238+X239+X240</f>
        <v>-10463.0833333333</v>
      </c>
      <c r="Y241" s="68" t="n">
        <f aca="false">Y238+Y239+Y240</f>
        <v>-10463.0833333333</v>
      </c>
      <c r="Z241" s="68" t="n">
        <f aca="false">Z238+Z239+Z240</f>
        <v>-10463.0833333333</v>
      </c>
      <c r="AA241" s="68" t="n">
        <f aca="false">AA238+AA239+AA240</f>
        <v>-10776.9758333333</v>
      </c>
      <c r="AB241" s="68" t="n">
        <f aca="false">AB238+AB239+AB240</f>
        <v>-10776.9758333333</v>
      </c>
      <c r="AC241" s="68" t="n">
        <f aca="false">AC238+AC239+AC240</f>
        <v>-10776.9758333333</v>
      </c>
      <c r="AD241" s="68" t="n">
        <f aca="false">AD238+AD239+AD240</f>
        <v>-10776.9758333333</v>
      </c>
      <c r="AE241" s="68" t="n">
        <f aca="false">AE238+AE239+AE240</f>
        <v>-10776.9758333333</v>
      </c>
      <c r="AF241" s="68" t="n">
        <f aca="false">AF238+AF239+AF240</f>
        <v>-10776.9758333333</v>
      </c>
      <c r="AG241" s="68" t="n">
        <f aca="false">AG238+AG239+AG240</f>
        <v>-10776.9758333333</v>
      </c>
      <c r="AH241" s="68" t="n">
        <f aca="false">AH238+AH239+AH240</f>
        <v>-10776.9758333333</v>
      </c>
      <c r="AI241" s="68" t="n">
        <f aca="false">AI238+AI239+AI240</f>
        <v>-10776.9758333333</v>
      </c>
      <c r="AJ241" s="68" t="n">
        <f aca="false">AJ238+AJ239+AJ240</f>
        <v>-10776.9758333333</v>
      </c>
      <c r="AK241" s="68" t="n">
        <f aca="false">AK238+AK239+AK240</f>
        <v>-10776.9758333333</v>
      </c>
      <c r="AL241" s="68" t="n">
        <f aca="false">AL238+AL239+AL240</f>
        <v>-10776.9758333333</v>
      </c>
      <c r="AM241" s="68" t="n">
        <f aca="false">AM238+AM239+AM240</f>
        <v>-11100.2851083333</v>
      </c>
      <c r="AN241" s="68" t="n">
        <f aca="false">AN238+AN239+AN240</f>
        <v>-11100.2851083333</v>
      </c>
      <c r="AO241" s="68" t="n">
        <f aca="false">AO238+AO239+AO240</f>
        <v>-11100.2851083333</v>
      </c>
      <c r="AP241" s="68" t="n">
        <f aca="false">AP238+AP239+AP240</f>
        <v>-11100.2851083333</v>
      </c>
      <c r="AQ241" s="68" t="n">
        <f aca="false">AQ238+AQ239+AQ240</f>
        <v>-11100.2851083333</v>
      </c>
      <c r="AR241" s="68" t="n">
        <f aca="false">AR238+AR239+AR240</f>
        <v>-11100.2851083333</v>
      </c>
      <c r="AS241" s="68" t="n">
        <f aca="false">AS238+AS239+AS240</f>
        <v>-11100.2851083333</v>
      </c>
      <c r="AT241" s="68" t="n">
        <f aca="false">AT238+AT239+AT240</f>
        <v>-11100.2851083333</v>
      </c>
      <c r="AU241" s="68" t="n">
        <f aca="false">AU238+AU239+AU240</f>
        <v>-11100.2851083333</v>
      </c>
      <c r="AV241" s="68" t="n">
        <f aca="false">AV238+AV239+AV240</f>
        <v>-11100.2851083333</v>
      </c>
      <c r="AW241" s="68" t="n">
        <f aca="false">AW238+AW239+AW240</f>
        <v>-11100.2851083333</v>
      </c>
      <c r="AX241" s="68" t="n">
        <f aca="false">AX238+AX239+AX240</f>
        <v>-11100.2851083333</v>
      </c>
      <c r="AY241" s="68" t="n">
        <f aca="false">AY238+AY239+AY240</f>
        <v>-11433.2936615833</v>
      </c>
      <c r="AZ241" s="68" t="n">
        <f aca="false">AZ238+AZ239+AZ240</f>
        <v>-11433.2936615833</v>
      </c>
      <c r="BA241" s="68" t="n">
        <f aca="false">BA238+BA239+BA240</f>
        <v>-11433.2936615833</v>
      </c>
      <c r="BB241" s="68" t="n">
        <f aca="false">BB238+BB239+BB240</f>
        <v>-11433.2936615833</v>
      </c>
      <c r="BC241" s="68" t="n">
        <f aca="false">BC238+BC239+BC240</f>
        <v>-11433.2936615833</v>
      </c>
      <c r="BD241" s="68" t="n">
        <f aca="false">BD238+BD239+BD240</f>
        <v>-11433.2936615833</v>
      </c>
      <c r="BE241" s="68" t="n">
        <f aca="false">BE238+BE239+BE240</f>
        <v>-11433.2936615833</v>
      </c>
      <c r="BF241" s="68" t="n">
        <f aca="false">BF238+BF239+BF240</f>
        <v>-11433.2936615833</v>
      </c>
      <c r="BG241" s="68" t="n">
        <f aca="false">BG238+BG239+BG240</f>
        <v>-11433.2936615833</v>
      </c>
      <c r="BH241" s="68" t="n">
        <f aca="false">BH238+BH239+BH240</f>
        <v>-11433.2936615833</v>
      </c>
      <c r="BI241" s="68" t="n">
        <f aca="false">BI238+BI239+BI240</f>
        <v>-11433.2936615833</v>
      </c>
      <c r="BJ241" s="68" t="n">
        <f aca="false">BJ238+BJ239+BJ240</f>
        <v>-11433.2936615833</v>
      </c>
    </row>
    <row r="244" customFormat="false" ht="15.75" hidden="false" customHeight="true" outlineLevel="0" collapsed="false">
      <c r="A244" s="7" t="s">
        <v>465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customFormat="false" ht="15" hidden="false" customHeight="false" outlineLevel="0" collapsed="false">
      <c r="A245" s="33" t="s">
        <v>345</v>
      </c>
      <c r="C245" s="52" t="s">
        <v>346</v>
      </c>
      <c r="D245" s="52" t="s">
        <v>347</v>
      </c>
      <c r="E245" s="52" t="s">
        <v>348</v>
      </c>
      <c r="F245" s="52" t="s">
        <v>349</v>
      </c>
      <c r="G245" s="52" t="s">
        <v>350</v>
      </c>
      <c r="H245" s="52" t="s">
        <v>351</v>
      </c>
      <c r="I245" s="52" t="s">
        <v>352</v>
      </c>
      <c r="J245" s="52" t="s">
        <v>353</v>
      </c>
      <c r="K245" s="52" t="s">
        <v>354</v>
      </c>
      <c r="L245" s="52" t="s">
        <v>355</v>
      </c>
      <c r="M245" s="52" t="s">
        <v>356</v>
      </c>
      <c r="N245" s="52" t="s">
        <v>357</v>
      </c>
      <c r="O245" s="52" t="s">
        <v>358</v>
      </c>
      <c r="P245" s="52" t="s">
        <v>359</v>
      </c>
      <c r="Q245" s="52" t="s">
        <v>360</v>
      </c>
      <c r="R245" s="52" t="s">
        <v>361</v>
      </c>
      <c r="S245" s="52" t="s">
        <v>362</v>
      </c>
      <c r="T245" s="52" t="s">
        <v>363</v>
      </c>
      <c r="U245" s="52" t="s">
        <v>364</v>
      </c>
      <c r="V245" s="52" t="s">
        <v>365</v>
      </c>
      <c r="W245" s="52" t="s">
        <v>366</v>
      </c>
      <c r="X245" s="52" t="s">
        <v>367</v>
      </c>
      <c r="Y245" s="52" t="s">
        <v>368</v>
      </c>
      <c r="Z245" s="52" t="s">
        <v>369</v>
      </c>
      <c r="AA245" s="52" t="s">
        <v>370</v>
      </c>
      <c r="AB245" s="52" t="s">
        <v>371</v>
      </c>
      <c r="AC245" s="52" t="s">
        <v>372</v>
      </c>
      <c r="AD245" s="52" t="s">
        <v>373</v>
      </c>
      <c r="AE245" s="52" t="s">
        <v>374</v>
      </c>
      <c r="AF245" s="52" t="s">
        <v>375</v>
      </c>
      <c r="AG245" s="52" t="s">
        <v>376</v>
      </c>
      <c r="AH245" s="52" t="s">
        <v>377</v>
      </c>
      <c r="AI245" s="52" t="s">
        <v>378</v>
      </c>
      <c r="AJ245" s="52" t="s">
        <v>379</v>
      </c>
      <c r="AK245" s="52" t="s">
        <v>380</v>
      </c>
      <c r="AL245" s="52" t="s">
        <v>381</v>
      </c>
      <c r="AM245" s="52" t="s">
        <v>382</v>
      </c>
      <c r="AN245" s="52" t="s">
        <v>383</v>
      </c>
      <c r="AO245" s="52" t="s">
        <v>384</v>
      </c>
      <c r="AP245" s="52" t="s">
        <v>385</v>
      </c>
      <c r="AQ245" s="52" t="s">
        <v>386</v>
      </c>
      <c r="AR245" s="52" t="s">
        <v>387</v>
      </c>
      <c r="AS245" s="52" t="s">
        <v>388</v>
      </c>
      <c r="AT245" s="52" t="s">
        <v>389</v>
      </c>
      <c r="AU245" s="52" t="s">
        <v>390</v>
      </c>
      <c r="AV245" s="52" t="s">
        <v>391</v>
      </c>
      <c r="AW245" s="52" t="s">
        <v>392</v>
      </c>
      <c r="AX245" s="52" t="s">
        <v>393</v>
      </c>
      <c r="AY245" s="52" t="s">
        <v>394</v>
      </c>
      <c r="AZ245" s="52" t="s">
        <v>395</v>
      </c>
      <c r="BA245" s="52" t="s">
        <v>396</v>
      </c>
      <c r="BB245" s="52" t="s">
        <v>397</v>
      </c>
      <c r="BC245" s="52" t="s">
        <v>398</v>
      </c>
      <c r="BD245" s="52" t="s">
        <v>399</v>
      </c>
      <c r="BE245" s="52" t="s">
        <v>400</v>
      </c>
      <c r="BF245" s="52" t="s">
        <v>401</v>
      </c>
      <c r="BG245" s="52" t="s">
        <v>402</v>
      </c>
      <c r="BH245" s="52" t="s">
        <v>403</v>
      </c>
      <c r="BI245" s="52" t="s">
        <v>404</v>
      </c>
      <c r="BJ245" s="52" t="s">
        <v>405</v>
      </c>
    </row>
    <row r="246" customFormat="false" ht="15" hidden="false" customHeight="false" outlineLevel="0" collapsed="false">
      <c r="A246" s="72" t="s">
        <v>406</v>
      </c>
      <c r="C246" s="72" t="n">
        <v>1</v>
      </c>
      <c r="D246" s="72" t="n">
        <v>2</v>
      </c>
      <c r="E246" s="72" t="n">
        <v>3</v>
      </c>
      <c r="F246" s="72" t="n">
        <v>4</v>
      </c>
      <c r="G246" s="72" t="n">
        <v>5</v>
      </c>
      <c r="H246" s="72" t="n">
        <v>6</v>
      </c>
      <c r="I246" s="72" t="n">
        <v>7</v>
      </c>
      <c r="J246" s="72" t="n">
        <v>8</v>
      </c>
      <c r="K246" s="72" t="n">
        <v>9</v>
      </c>
      <c r="L246" s="72" t="n">
        <v>10</v>
      </c>
      <c r="M246" s="72" t="n">
        <v>11</v>
      </c>
      <c r="N246" s="72" t="n">
        <v>12</v>
      </c>
      <c r="O246" s="72" t="n">
        <v>13</v>
      </c>
      <c r="P246" s="72" t="n">
        <v>14</v>
      </c>
      <c r="Q246" s="72" t="n">
        <v>15</v>
      </c>
      <c r="R246" s="72" t="n">
        <v>16</v>
      </c>
      <c r="S246" s="72" t="n">
        <v>17</v>
      </c>
      <c r="T246" s="72" t="n">
        <v>18</v>
      </c>
      <c r="U246" s="72" t="n">
        <v>19</v>
      </c>
      <c r="V246" s="72" t="n">
        <v>20</v>
      </c>
      <c r="W246" s="72" t="n">
        <v>21</v>
      </c>
      <c r="X246" s="72" t="n">
        <v>22</v>
      </c>
      <c r="Y246" s="72" t="n">
        <v>23</v>
      </c>
      <c r="Z246" s="72" t="n">
        <v>24</v>
      </c>
      <c r="AA246" s="72" t="n">
        <v>25</v>
      </c>
      <c r="AB246" s="72" t="n">
        <v>26</v>
      </c>
      <c r="AC246" s="72" t="n">
        <v>27</v>
      </c>
      <c r="AD246" s="72" t="n">
        <v>28</v>
      </c>
      <c r="AE246" s="72" t="n">
        <v>29</v>
      </c>
      <c r="AF246" s="72" t="n">
        <v>30</v>
      </c>
      <c r="AG246" s="72" t="n">
        <v>31</v>
      </c>
      <c r="AH246" s="72" t="n">
        <v>32</v>
      </c>
      <c r="AI246" s="72" t="n">
        <v>33</v>
      </c>
      <c r="AJ246" s="72" t="n">
        <v>34</v>
      </c>
      <c r="AK246" s="72" t="n">
        <v>35</v>
      </c>
      <c r="AL246" s="72" t="n">
        <v>36</v>
      </c>
      <c r="AM246" s="72" t="n">
        <v>37</v>
      </c>
      <c r="AN246" s="72" t="n">
        <v>38</v>
      </c>
      <c r="AO246" s="72" t="n">
        <v>39</v>
      </c>
      <c r="AP246" s="72" t="n">
        <v>40</v>
      </c>
      <c r="AQ246" s="72" t="n">
        <v>41</v>
      </c>
      <c r="AR246" s="72" t="n">
        <v>42</v>
      </c>
      <c r="AS246" s="72" t="n">
        <v>43</v>
      </c>
      <c r="AT246" s="72" t="n">
        <v>44</v>
      </c>
      <c r="AU246" s="72" t="n">
        <v>45</v>
      </c>
      <c r="AV246" s="72" t="n">
        <v>46</v>
      </c>
      <c r="AW246" s="72" t="n">
        <v>47</v>
      </c>
      <c r="AX246" s="72" t="n">
        <v>48</v>
      </c>
      <c r="AY246" s="72" t="n">
        <v>49</v>
      </c>
      <c r="AZ246" s="72" t="n">
        <v>50</v>
      </c>
      <c r="BA246" s="72" t="n">
        <v>51</v>
      </c>
      <c r="BB246" s="72" t="n">
        <v>52</v>
      </c>
      <c r="BC246" s="72" t="n">
        <v>53</v>
      </c>
      <c r="BD246" s="72" t="n">
        <v>54</v>
      </c>
      <c r="BE246" s="72" t="n">
        <v>55</v>
      </c>
      <c r="BF246" s="72" t="n">
        <v>56</v>
      </c>
      <c r="BG246" s="72" t="n">
        <v>57</v>
      </c>
      <c r="BH246" s="72" t="n">
        <v>58</v>
      </c>
      <c r="BI246" s="72" t="n">
        <v>59</v>
      </c>
      <c r="BJ246" s="72" t="n">
        <v>60</v>
      </c>
    </row>
    <row r="247" customFormat="false" ht="15" hidden="false" customHeight="false" outlineLevel="0" collapsed="false">
      <c r="A247" s="72" t="s">
        <v>154</v>
      </c>
      <c r="C247" s="72" t="n">
        <f aca="false">ROUNDUP(C246*1/12,0)</f>
        <v>1</v>
      </c>
      <c r="D247" s="72" t="n">
        <f aca="false">ROUNDUP(D246*1/12,0)</f>
        <v>1</v>
      </c>
      <c r="E247" s="72" t="n">
        <f aca="false">ROUNDUP(E246*1/12,0)</f>
        <v>1</v>
      </c>
      <c r="F247" s="72" t="n">
        <f aca="false">ROUNDUP(F246*1/12,0)</f>
        <v>1</v>
      </c>
      <c r="G247" s="72" t="n">
        <f aca="false">ROUNDUP(G246*1/12,0)</f>
        <v>1</v>
      </c>
      <c r="H247" s="72" t="n">
        <f aca="false">ROUNDUP(H246*1/12,0)</f>
        <v>1</v>
      </c>
      <c r="I247" s="72" t="n">
        <f aca="false">ROUNDUP(I246*1/12,0)</f>
        <v>1</v>
      </c>
      <c r="J247" s="72" t="n">
        <f aca="false">ROUNDUP(J246*1/12,0)</f>
        <v>1</v>
      </c>
      <c r="K247" s="72" t="n">
        <f aca="false">ROUNDUP(K246*1/12,0)</f>
        <v>1</v>
      </c>
      <c r="L247" s="72" t="n">
        <f aca="false">ROUNDUP(L246*1/12,0)</f>
        <v>1</v>
      </c>
      <c r="M247" s="72" t="n">
        <f aca="false">ROUNDUP(M246*1/12,0)</f>
        <v>1</v>
      </c>
      <c r="N247" s="72" t="n">
        <f aca="false">ROUNDUP(N246*1/12,0)</f>
        <v>1</v>
      </c>
      <c r="O247" s="72" t="n">
        <f aca="false">ROUNDUP(O246*1/12,0)</f>
        <v>2</v>
      </c>
      <c r="P247" s="72" t="n">
        <f aca="false">ROUNDUP(P246*1/12,0)</f>
        <v>2</v>
      </c>
      <c r="Q247" s="72" t="n">
        <f aca="false">ROUNDUP(Q246*1/12,0)</f>
        <v>2</v>
      </c>
      <c r="R247" s="72" t="n">
        <f aca="false">ROUNDUP(R246*1/12,0)</f>
        <v>2</v>
      </c>
      <c r="S247" s="72" t="n">
        <f aca="false">ROUNDUP(S246*1/12,0)</f>
        <v>2</v>
      </c>
      <c r="T247" s="72" t="n">
        <f aca="false">ROUNDUP(T246*1/12,0)</f>
        <v>2</v>
      </c>
      <c r="U247" s="72" t="n">
        <f aca="false">ROUNDUP(U246*1/12,0)</f>
        <v>2</v>
      </c>
      <c r="V247" s="72" t="n">
        <f aca="false">ROUNDUP(V246*1/12,0)</f>
        <v>2</v>
      </c>
      <c r="W247" s="72" t="n">
        <f aca="false">ROUNDUP(W246*1/12,0)</f>
        <v>2</v>
      </c>
      <c r="X247" s="72" t="n">
        <f aca="false">ROUNDUP(X246*1/12,0)</f>
        <v>2</v>
      </c>
      <c r="Y247" s="72" t="n">
        <f aca="false">ROUNDUP(Y246*1/12,0)</f>
        <v>2</v>
      </c>
      <c r="Z247" s="72" t="n">
        <f aca="false">ROUNDUP(Z246*1/12,0)</f>
        <v>2</v>
      </c>
      <c r="AA247" s="72" t="n">
        <f aca="false">ROUNDUP(AA246*1/12,0)</f>
        <v>3</v>
      </c>
      <c r="AB247" s="72" t="n">
        <f aca="false">ROUNDUP(AB246*1/12,0)</f>
        <v>3</v>
      </c>
      <c r="AC247" s="72" t="n">
        <f aca="false">ROUNDUP(AC246*1/12,0)</f>
        <v>3</v>
      </c>
      <c r="AD247" s="72" t="n">
        <f aca="false">ROUNDUP(AD246*1/12,0)</f>
        <v>3</v>
      </c>
      <c r="AE247" s="72" t="n">
        <f aca="false">ROUNDUP(AE246*1/12,0)</f>
        <v>3</v>
      </c>
      <c r="AF247" s="72" t="n">
        <f aca="false">ROUNDUP(AF246*1/12,0)</f>
        <v>3</v>
      </c>
      <c r="AG247" s="72" t="n">
        <f aca="false">ROUNDUP(AG246*1/12,0)</f>
        <v>3</v>
      </c>
      <c r="AH247" s="72" t="n">
        <f aca="false">ROUNDUP(AH246*1/12,0)</f>
        <v>3</v>
      </c>
      <c r="AI247" s="72" t="n">
        <f aca="false">ROUNDUP(AI246*1/12,0)</f>
        <v>3</v>
      </c>
      <c r="AJ247" s="72" t="n">
        <f aca="false">ROUNDUP(AJ246*1/12,0)</f>
        <v>3</v>
      </c>
      <c r="AK247" s="72" t="n">
        <f aca="false">ROUNDUP(AK246*1/12,0)</f>
        <v>3</v>
      </c>
      <c r="AL247" s="72" t="n">
        <f aca="false">ROUNDUP(AL246*1/12,0)</f>
        <v>3</v>
      </c>
      <c r="AM247" s="72" t="n">
        <f aca="false">ROUNDUP(AM246*1/12,0)</f>
        <v>4</v>
      </c>
      <c r="AN247" s="72" t="n">
        <f aca="false">ROUNDUP(AN246*1/12,0)</f>
        <v>4</v>
      </c>
      <c r="AO247" s="72" t="n">
        <f aca="false">ROUNDUP(AO246*1/12,0)</f>
        <v>4</v>
      </c>
      <c r="AP247" s="72" t="n">
        <f aca="false">ROUNDUP(AP246*1/12,0)</f>
        <v>4</v>
      </c>
      <c r="AQ247" s="72" t="n">
        <f aca="false">ROUNDUP(AQ246*1/12,0)</f>
        <v>4</v>
      </c>
      <c r="AR247" s="72" t="n">
        <f aca="false">ROUNDUP(AR246*1/12,0)</f>
        <v>4</v>
      </c>
      <c r="AS247" s="72" t="n">
        <f aca="false">ROUNDUP(AS246*1/12,0)</f>
        <v>4</v>
      </c>
      <c r="AT247" s="72" t="n">
        <f aca="false">ROUNDUP(AT246*1/12,0)</f>
        <v>4</v>
      </c>
      <c r="AU247" s="72" t="n">
        <f aca="false">ROUNDUP(AU246*1/12,0)</f>
        <v>4</v>
      </c>
      <c r="AV247" s="72" t="n">
        <f aca="false">ROUNDUP(AV246*1/12,0)</f>
        <v>4</v>
      </c>
      <c r="AW247" s="72" t="n">
        <f aca="false">ROUNDUP(AW246*1/12,0)</f>
        <v>4</v>
      </c>
      <c r="AX247" s="72" t="n">
        <f aca="false">ROUNDUP(AX246*1/12,0)</f>
        <v>4</v>
      </c>
      <c r="AY247" s="72" t="n">
        <f aca="false">ROUNDUP(AY246*1/12,0)</f>
        <v>5</v>
      </c>
      <c r="AZ247" s="72" t="n">
        <f aca="false">ROUNDUP(AZ246*1/12,0)</f>
        <v>5</v>
      </c>
      <c r="BA247" s="72" t="n">
        <f aca="false">ROUNDUP(BA246*1/12,0)</f>
        <v>5</v>
      </c>
      <c r="BB247" s="72" t="n">
        <f aca="false">ROUNDUP(BB246*1/12,0)</f>
        <v>5</v>
      </c>
      <c r="BC247" s="72" t="n">
        <f aca="false">ROUNDUP(BC246*1/12,0)</f>
        <v>5</v>
      </c>
      <c r="BD247" s="72" t="n">
        <f aca="false">ROUNDUP(BD246*1/12,0)</f>
        <v>5</v>
      </c>
      <c r="BE247" s="72" t="n">
        <f aca="false">ROUNDUP(BE246*1/12,0)</f>
        <v>5</v>
      </c>
      <c r="BF247" s="72" t="n">
        <f aca="false">ROUNDUP(BF246*1/12,0)</f>
        <v>5</v>
      </c>
      <c r="BG247" s="72" t="n">
        <f aca="false">ROUNDUP(BG246*1/12,0)</f>
        <v>5</v>
      </c>
      <c r="BH247" s="72" t="n">
        <f aca="false">ROUNDUP(BH246*1/12,0)</f>
        <v>5</v>
      </c>
      <c r="BI247" s="72" t="n">
        <f aca="false">ROUNDUP(BI246*1/12,0)</f>
        <v>5</v>
      </c>
      <c r="BJ247" s="72" t="n">
        <f aca="false">ROUNDUP(BJ246*1/12,0)</f>
        <v>5</v>
      </c>
    </row>
    <row r="249" customFormat="false" ht="15.75" hidden="false" customHeight="true" outlineLevel="0" collapsed="false">
      <c r="A249" s="7" t="s">
        <v>246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114" t="s">
        <v>407</v>
      </c>
      <c r="C250" s="115" t="n">
        <f aca="false">MAX(0,MIN(1,Inputs!$D$10-(C$246-1)*1))</f>
        <v>1</v>
      </c>
      <c r="D250" s="115" t="n">
        <f aca="false">MAX(0,MIN(1,Inputs!$D$10-(D$246-1)*1))</f>
        <v>1</v>
      </c>
      <c r="E250" s="115" t="n">
        <f aca="false">MAX(0,MIN(1,Inputs!$D$10-(E$246-1)*1))</f>
        <v>1</v>
      </c>
      <c r="F250" s="115" t="n">
        <f aca="false">MAX(0,MIN(1,Inputs!$D$10-(F$246-1)*1))</f>
        <v>1</v>
      </c>
      <c r="G250" s="115" t="n">
        <f aca="false">MAX(0,MIN(1,Inputs!$D$10-(G$246-1)*1))</f>
        <v>1</v>
      </c>
      <c r="H250" s="115" t="n">
        <f aca="false">MAX(0,MIN(1,Inputs!$D$10-(H$246-1)*1))</f>
        <v>1</v>
      </c>
      <c r="I250" s="115" t="n">
        <f aca="false">MAX(0,MIN(1,Inputs!$D$10-(I$246-1)*1))</f>
        <v>1</v>
      </c>
      <c r="J250" s="115" t="n">
        <f aca="false">MAX(0,MIN(1,Inputs!$D$10-(J$246-1)*1))</f>
        <v>1</v>
      </c>
      <c r="K250" s="115" t="n">
        <f aca="false">MAX(0,MIN(1,Inputs!$D$10-(K$246-1)*1))</f>
        <v>0</v>
      </c>
      <c r="L250" s="115" t="n">
        <f aca="false">MAX(0,MIN(1,Inputs!$D$10-(L$246-1)*1))</f>
        <v>0</v>
      </c>
      <c r="M250" s="115" t="n">
        <f aca="false">MAX(0,MIN(1,Inputs!$D$10-(M$246-1)*1))</f>
        <v>0</v>
      </c>
      <c r="N250" s="115" t="n">
        <f aca="false">MAX(0,MIN(1,Inputs!$D$10-(N$246-1)*1))</f>
        <v>0</v>
      </c>
      <c r="O250" s="115" t="n">
        <f aca="false">MAX(0,MIN(1,Inputs!$D$10-(O$246-1)*1))</f>
        <v>0</v>
      </c>
      <c r="P250" s="115" t="n">
        <f aca="false">MAX(0,MIN(1,Inputs!$D$10-(P$246-1)*1))</f>
        <v>0</v>
      </c>
      <c r="Q250" s="115" t="n">
        <f aca="false">MAX(0,MIN(1,Inputs!$D$10-(Q$246-1)*1))</f>
        <v>0</v>
      </c>
      <c r="R250" s="115" t="n">
        <f aca="false">MAX(0,MIN(1,Inputs!$D$10-(R$246-1)*1))</f>
        <v>0</v>
      </c>
      <c r="S250" s="115" t="n">
        <f aca="false">MAX(0,MIN(1,Inputs!$D$10-(S$246-1)*1))</f>
        <v>0</v>
      </c>
      <c r="T250" s="115" t="n">
        <f aca="false">MAX(0,MIN(1,Inputs!$D$10-(T$246-1)*1))</f>
        <v>0</v>
      </c>
      <c r="U250" s="115" t="n">
        <f aca="false">MAX(0,MIN(1,Inputs!$D$10-(U$246-1)*1))</f>
        <v>0</v>
      </c>
      <c r="V250" s="115" t="n">
        <f aca="false">MAX(0,MIN(1,Inputs!$D$10-(V$246-1)*1))</f>
        <v>0</v>
      </c>
      <c r="W250" s="115" t="n">
        <f aca="false">MAX(0,MIN(1,Inputs!$D$10-(W$246-1)*1))</f>
        <v>0</v>
      </c>
      <c r="X250" s="115" t="n">
        <f aca="false">MAX(0,MIN(1,Inputs!$D$10-(X$246-1)*1))</f>
        <v>0</v>
      </c>
      <c r="Y250" s="115" t="n">
        <f aca="false">MAX(0,MIN(1,Inputs!$D$10-(Y$246-1)*1))</f>
        <v>0</v>
      </c>
      <c r="Z250" s="115" t="n">
        <f aca="false">MAX(0,MIN(1,Inputs!$D$10-(Z$246-1)*1))</f>
        <v>0</v>
      </c>
      <c r="AA250" s="115" t="n">
        <f aca="false">MAX(0,MIN(1,Inputs!$D$10-(AA$246-1)*1))</f>
        <v>0</v>
      </c>
      <c r="AB250" s="115" t="n">
        <f aca="false">MAX(0,MIN(1,Inputs!$D$10-(AB$246-1)*1))</f>
        <v>0</v>
      </c>
      <c r="AC250" s="115" t="n">
        <f aca="false">MAX(0,MIN(1,Inputs!$D$10-(AC$246-1)*1))</f>
        <v>0</v>
      </c>
      <c r="AD250" s="115" t="n">
        <f aca="false">MAX(0,MIN(1,Inputs!$D$10-(AD$246-1)*1))</f>
        <v>0</v>
      </c>
      <c r="AE250" s="115" t="n">
        <f aca="false">MAX(0,MIN(1,Inputs!$D$10-(AE$246-1)*1))</f>
        <v>0</v>
      </c>
      <c r="AF250" s="115" t="n">
        <f aca="false">MAX(0,MIN(1,Inputs!$D$10-(AF$246-1)*1))</f>
        <v>0</v>
      </c>
      <c r="AG250" s="115" t="n">
        <f aca="false">MAX(0,MIN(1,Inputs!$D$10-(AG$246-1)*1))</f>
        <v>0</v>
      </c>
      <c r="AH250" s="115" t="n">
        <f aca="false">MAX(0,MIN(1,Inputs!$D$10-(AH$246-1)*1))</f>
        <v>0</v>
      </c>
      <c r="AI250" s="115" t="n">
        <f aca="false">MAX(0,MIN(1,Inputs!$D$10-(AI$246-1)*1))</f>
        <v>0</v>
      </c>
      <c r="AJ250" s="115" t="n">
        <f aca="false">MAX(0,MIN(1,Inputs!$D$10-(AJ$246-1)*1))</f>
        <v>0</v>
      </c>
      <c r="AK250" s="115" t="n">
        <f aca="false">MAX(0,MIN(1,Inputs!$D$10-(AK$246-1)*1))</f>
        <v>0</v>
      </c>
      <c r="AL250" s="115" t="n">
        <f aca="false">MAX(0,MIN(1,Inputs!$D$10-(AL$246-1)*1))</f>
        <v>0</v>
      </c>
      <c r="AM250" s="115" t="n">
        <f aca="false">MAX(0,MIN(1,Inputs!$D$10-(AM$246-1)*1))</f>
        <v>0</v>
      </c>
      <c r="AN250" s="115" t="n">
        <f aca="false">MAX(0,MIN(1,Inputs!$D$10-(AN$246-1)*1))</f>
        <v>0</v>
      </c>
      <c r="AO250" s="115" t="n">
        <f aca="false">MAX(0,MIN(1,Inputs!$D$10-(AO$246-1)*1))</f>
        <v>0</v>
      </c>
      <c r="AP250" s="115" t="n">
        <f aca="false">MAX(0,MIN(1,Inputs!$D$10-(AP$246-1)*1))</f>
        <v>0</v>
      </c>
      <c r="AQ250" s="115" t="n">
        <f aca="false">MAX(0,MIN(1,Inputs!$D$10-(AQ$246-1)*1))</f>
        <v>0</v>
      </c>
      <c r="AR250" s="115" t="n">
        <f aca="false">MAX(0,MIN(1,Inputs!$D$10-(AR$246-1)*1))</f>
        <v>0</v>
      </c>
      <c r="AS250" s="115" t="n">
        <f aca="false">MAX(0,MIN(1,Inputs!$D$10-(AS$246-1)*1))</f>
        <v>0</v>
      </c>
      <c r="AT250" s="115" t="n">
        <f aca="false">MAX(0,MIN(1,Inputs!$D$10-(AT$246-1)*1))</f>
        <v>0</v>
      </c>
      <c r="AU250" s="115" t="n">
        <f aca="false">MAX(0,MIN(1,Inputs!$D$10-(AU$246-1)*1))</f>
        <v>0</v>
      </c>
      <c r="AV250" s="115" t="n">
        <f aca="false">MAX(0,MIN(1,Inputs!$D$10-(AV$246-1)*1))</f>
        <v>0</v>
      </c>
      <c r="AW250" s="115" t="n">
        <f aca="false">MAX(0,MIN(1,Inputs!$D$10-(AW$246-1)*1))</f>
        <v>0</v>
      </c>
      <c r="AX250" s="115" t="n">
        <f aca="false">MAX(0,MIN(1,Inputs!$D$10-(AX$246-1)*1))</f>
        <v>0</v>
      </c>
      <c r="AY250" s="115" t="n">
        <f aca="false">MAX(0,MIN(1,Inputs!$D$10-(AY$246-1)*1))</f>
        <v>0</v>
      </c>
      <c r="AZ250" s="115" t="n">
        <f aca="false">MAX(0,MIN(1,Inputs!$D$10-(AZ$246-1)*1))</f>
        <v>0</v>
      </c>
      <c r="BA250" s="115" t="n">
        <f aca="false">MAX(0,MIN(1,Inputs!$D$10-(BA$246-1)*1))</f>
        <v>0</v>
      </c>
      <c r="BB250" s="115" t="n">
        <f aca="false">MAX(0,MIN(1,Inputs!$D$10-(BB$246-1)*1))</f>
        <v>0</v>
      </c>
      <c r="BC250" s="115" t="n">
        <f aca="false">MAX(0,MIN(1,Inputs!$D$10-(BC$246-1)*1))</f>
        <v>0</v>
      </c>
      <c r="BD250" s="115" t="n">
        <f aca="false">MAX(0,MIN(1,Inputs!$D$10-(BD$246-1)*1))</f>
        <v>0</v>
      </c>
      <c r="BE250" s="115" t="n">
        <f aca="false">MAX(0,MIN(1,Inputs!$D$10-(BE$246-1)*1))</f>
        <v>0</v>
      </c>
      <c r="BF250" s="115" t="n">
        <f aca="false">MAX(0,MIN(1,Inputs!$D$10-(BF$246-1)*1))</f>
        <v>0</v>
      </c>
      <c r="BG250" s="115" t="n">
        <f aca="false">MAX(0,MIN(1,Inputs!$D$10-(BG$246-1)*1))</f>
        <v>0</v>
      </c>
      <c r="BH250" s="115" t="n">
        <f aca="false">MAX(0,MIN(1,Inputs!$D$10-(BH$246-1)*1))</f>
        <v>0</v>
      </c>
      <c r="BI250" s="115" t="n">
        <f aca="false">MAX(0,MIN(1,Inputs!$D$10-(BI$246-1)*1))</f>
        <v>0</v>
      </c>
      <c r="BJ250" s="115" t="n">
        <f aca="false">MAX(0,MIN(1,Inputs!$D$10-(BJ$246-1)*1))</f>
        <v>0</v>
      </c>
    </row>
    <row r="251" customFormat="false" ht="15" hidden="false" customHeight="false" outlineLevel="0" collapsed="false">
      <c r="A251" s="38" t="s">
        <v>408</v>
      </c>
      <c r="C251" s="74" t="n">
        <f aca="false">IF(Inputs!$D$10&lt;=0,1,(C250*Inputs!$D$11+(1-Inputs!$D$11)/MAX(1,Inputs!$D$10)*(C250*(C$246-1)*1+C250*(C250-1)/2)+1-C250)/1)</f>
        <v>0.5</v>
      </c>
      <c r="D251" s="74" t="n">
        <f aca="false">IF(Inputs!$D$10&lt;=0,1,(D250*Inputs!$D$11+(1-Inputs!$D$11)/MAX(1,Inputs!$D$10)*(D250*(D$246-1)*1+D250*(D250-1)/2)+1-D250)/1)</f>
        <v>0.5625</v>
      </c>
      <c r="E251" s="74" t="n">
        <f aca="false">IF(Inputs!$D$10&lt;=0,1,(E250*Inputs!$D$11+(1-Inputs!$D$11)/MAX(1,Inputs!$D$10)*(E250*(E$246-1)*1+E250*(E250-1)/2)+1-E250)/1)</f>
        <v>0.625</v>
      </c>
      <c r="F251" s="74" t="n">
        <f aca="false">IF(Inputs!$D$10&lt;=0,1,(F250*Inputs!$D$11+(1-Inputs!$D$11)/MAX(1,Inputs!$D$10)*(F250*(F$246-1)*1+F250*(F250-1)/2)+1-F250)/1)</f>
        <v>0.6875</v>
      </c>
      <c r="G251" s="74" t="n">
        <f aca="false">IF(Inputs!$D$10&lt;=0,1,(G250*Inputs!$D$11+(1-Inputs!$D$11)/MAX(1,Inputs!$D$10)*(G250*(G$246-1)*1+G250*(G250-1)/2)+1-G250)/1)</f>
        <v>0.75</v>
      </c>
      <c r="H251" s="74" t="n">
        <f aca="false">IF(Inputs!$D$10&lt;=0,1,(H250*Inputs!$D$11+(1-Inputs!$D$11)/MAX(1,Inputs!$D$10)*(H250*(H$246-1)*1+H250*(H250-1)/2)+1-H250)/1)</f>
        <v>0.8125</v>
      </c>
      <c r="I251" s="74" t="n">
        <f aca="false">IF(Inputs!$D$10&lt;=0,1,(I250*Inputs!$D$11+(1-Inputs!$D$11)/MAX(1,Inputs!$D$10)*(I250*(I$246-1)*1+I250*(I250-1)/2)+1-I250)/1)</f>
        <v>0.875</v>
      </c>
      <c r="J251" s="74" t="n">
        <f aca="false">IF(Inputs!$D$10&lt;=0,1,(J250*Inputs!$D$11+(1-Inputs!$D$11)/MAX(1,Inputs!$D$10)*(J250*(J$246-1)*1+J250*(J250-1)/2)+1-J250)/1)</f>
        <v>0.9375</v>
      </c>
      <c r="K251" s="74" t="n">
        <f aca="false">IF(Inputs!$D$10&lt;=0,1,(K250*Inputs!$D$11+(1-Inputs!$D$11)/MAX(1,Inputs!$D$10)*(K250*(K$246-1)*1+K250*(K250-1)/2)+1-K250)/1)</f>
        <v>1</v>
      </c>
      <c r="L251" s="74" t="n">
        <f aca="false">IF(Inputs!$D$10&lt;=0,1,(L250*Inputs!$D$11+(1-Inputs!$D$11)/MAX(1,Inputs!$D$10)*(L250*(L$246-1)*1+L250*(L250-1)/2)+1-L250)/1)</f>
        <v>1</v>
      </c>
      <c r="M251" s="74" t="n">
        <f aca="false">IF(Inputs!$D$10&lt;=0,1,(M250*Inputs!$D$11+(1-Inputs!$D$11)/MAX(1,Inputs!$D$10)*(M250*(M$246-1)*1+M250*(M250-1)/2)+1-M250)/1)</f>
        <v>1</v>
      </c>
      <c r="N251" s="74" t="n">
        <f aca="false">IF(Inputs!$D$10&lt;=0,1,(N250*Inputs!$D$11+(1-Inputs!$D$11)/MAX(1,Inputs!$D$10)*(N250*(N$246-1)*1+N250*(N250-1)/2)+1-N250)/1)</f>
        <v>1</v>
      </c>
      <c r="O251" s="74" t="n">
        <f aca="false">IF(Inputs!$D$10&lt;=0,1,(O250*Inputs!$D$11+(1-Inputs!$D$11)/MAX(1,Inputs!$D$10)*(O250*(O$246-1)*1+O250*(O250-1)/2)+1-O250)/1)</f>
        <v>1</v>
      </c>
      <c r="P251" s="74" t="n">
        <f aca="false">IF(Inputs!$D$10&lt;=0,1,(P250*Inputs!$D$11+(1-Inputs!$D$11)/MAX(1,Inputs!$D$10)*(P250*(P$246-1)*1+P250*(P250-1)/2)+1-P250)/1)</f>
        <v>1</v>
      </c>
      <c r="Q251" s="74" t="n">
        <f aca="false">IF(Inputs!$D$10&lt;=0,1,(Q250*Inputs!$D$11+(1-Inputs!$D$11)/MAX(1,Inputs!$D$10)*(Q250*(Q$246-1)*1+Q250*(Q250-1)/2)+1-Q250)/1)</f>
        <v>1</v>
      </c>
      <c r="R251" s="74" t="n">
        <f aca="false">IF(Inputs!$D$10&lt;=0,1,(R250*Inputs!$D$11+(1-Inputs!$D$11)/MAX(1,Inputs!$D$10)*(R250*(R$246-1)*1+R250*(R250-1)/2)+1-R250)/1)</f>
        <v>1</v>
      </c>
      <c r="S251" s="74" t="n">
        <f aca="false">IF(Inputs!$D$10&lt;=0,1,(S250*Inputs!$D$11+(1-Inputs!$D$11)/MAX(1,Inputs!$D$10)*(S250*(S$246-1)*1+S250*(S250-1)/2)+1-S250)/1)</f>
        <v>1</v>
      </c>
      <c r="T251" s="74" t="n">
        <f aca="false">IF(Inputs!$D$10&lt;=0,1,(T250*Inputs!$D$11+(1-Inputs!$D$11)/MAX(1,Inputs!$D$10)*(T250*(T$246-1)*1+T250*(T250-1)/2)+1-T250)/1)</f>
        <v>1</v>
      </c>
      <c r="U251" s="74" t="n">
        <f aca="false">IF(Inputs!$D$10&lt;=0,1,(U250*Inputs!$D$11+(1-Inputs!$D$11)/MAX(1,Inputs!$D$10)*(U250*(U$246-1)*1+U250*(U250-1)/2)+1-U250)/1)</f>
        <v>1</v>
      </c>
      <c r="V251" s="74" t="n">
        <f aca="false">IF(Inputs!$D$10&lt;=0,1,(V250*Inputs!$D$11+(1-Inputs!$D$11)/MAX(1,Inputs!$D$10)*(V250*(V$246-1)*1+V250*(V250-1)/2)+1-V250)/1)</f>
        <v>1</v>
      </c>
      <c r="W251" s="74" t="n">
        <f aca="false">IF(Inputs!$D$10&lt;=0,1,(W250*Inputs!$D$11+(1-Inputs!$D$11)/MAX(1,Inputs!$D$10)*(W250*(W$246-1)*1+W250*(W250-1)/2)+1-W250)/1)</f>
        <v>1</v>
      </c>
      <c r="X251" s="74" t="n">
        <f aca="false">IF(Inputs!$D$10&lt;=0,1,(X250*Inputs!$D$11+(1-Inputs!$D$11)/MAX(1,Inputs!$D$10)*(X250*(X$246-1)*1+X250*(X250-1)/2)+1-X250)/1)</f>
        <v>1</v>
      </c>
      <c r="Y251" s="74" t="n">
        <f aca="false">IF(Inputs!$D$10&lt;=0,1,(Y250*Inputs!$D$11+(1-Inputs!$D$11)/MAX(1,Inputs!$D$10)*(Y250*(Y$246-1)*1+Y250*(Y250-1)/2)+1-Y250)/1)</f>
        <v>1</v>
      </c>
      <c r="Z251" s="74" t="n">
        <f aca="false">IF(Inputs!$D$10&lt;=0,1,(Z250*Inputs!$D$11+(1-Inputs!$D$11)/MAX(1,Inputs!$D$10)*(Z250*(Z$246-1)*1+Z250*(Z250-1)/2)+1-Z250)/1)</f>
        <v>1</v>
      </c>
      <c r="AA251" s="74" t="n">
        <f aca="false">IF(Inputs!$D$10&lt;=0,1,(AA250*Inputs!$D$11+(1-Inputs!$D$11)/MAX(1,Inputs!$D$10)*(AA250*(AA$246-1)*1+AA250*(AA250-1)/2)+1-AA250)/1)</f>
        <v>1</v>
      </c>
      <c r="AB251" s="74" t="n">
        <f aca="false">IF(Inputs!$D$10&lt;=0,1,(AB250*Inputs!$D$11+(1-Inputs!$D$11)/MAX(1,Inputs!$D$10)*(AB250*(AB$246-1)*1+AB250*(AB250-1)/2)+1-AB250)/1)</f>
        <v>1</v>
      </c>
      <c r="AC251" s="74" t="n">
        <f aca="false">IF(Inputs!$D$10&lt;=0,1,(AC250*Inputs!$D$11+(1-Inputs!$D$11)/MAX(1,Inputs!$D$10)*(AC250*(AC$246-1)*1+AC250*(AC250-1)/2)+1-AC250)/1)</f>
        <v>1</v>
      </c>
      <c r="AD251" s="74" t="n">
        <f aca="false">IF(Inputs!$D$10&lt;=0,1,(AD250*Inputs!$D$11+(1-Inputs!$D$11)/MAX(1,Inputs!$D$10)*(AD250*(AD$246-1)*1+AD250*(AD250-1)/2)+1-AD250)/1)</f>
        <v>1</v>
      </c>
      <c r="AE251" s="74" t="n">
        <f aca="false">IF(Inputs!$D$10&lt;=0,1,(AE250*Inputs!$D$11+(1-Inputs!$D$11)/MAX(1,Inputs!$D$10)*(AE250*(AE$246-1)*1+AE250*(AE250-1)/2)+1-AE250)/1)</f>
        <v>1</v>
      </c>
      <c r="AF251" s="74" t="n">
        <f aca="false">IF(Inputs!$D$10&lt;=0,1,(AF250*Inputs!$D$11+(1-Inputs!$D$11)/MAX(1,Inputs!$D$10)*(AF250*(AF$246-1)*1+AF250*(AF250-1)/2)+1-AF250)/1)</f>
        <v>1</v>
      </c>
      <c r="AG251" s="74" t="n">
        <f aca="false">IF(Inputs!$D$10&lt;=0,1,(AG250*Inputs!$D$11+(1-Inputs!$D$11)/MAX(1,Inputs!$D$10)*(AG250*(AG$246-1)*1+AG250*(AG250-1)/2)+1-AG250)/1)</f>
        <v>1</v>
      </c>
      <c r="AH251" s="74" t="n">
        <f aca="false">IF(Inputs!$D$10&lt;=0,1,(AH250*Inputs!$D$11+(1-Inputs!$D$11)/MAX(1,Inputs!$D$10)*(AH250*(AH$246-1)*1+AH250*(AH250-1)/2)+1-AH250)/1)</f>
        <v>1</v>
      </c>
      <c r="AI251" s="74" t="n">
        <f aca="false">IF(Inputs!$D$10&lt;=0,1,(AI250*Inputs!$D$11+(1-Inputs!$D$11)/MAX(1,Inputs!$D$10)*(AI250*(AI$246-1)*1+AI250*(AI250-1)/2)+1-AI250)/1)</f>
        <v>1</v>
      </c>
      <c r="AJ251" s="74" t="n">
        <f aca="false">IF(Inputs!$D$10&lt;=0,1,(AJ250*Inputs!$D$11+(1-Inputs!$D$11)/MAX(1,Inputs!$D$10)*(AJ250*(AJ$246-1)*1+AJ250*(AJ250-1)/2)+1-AJ250)/1)</f>
        <v>1</v>
      </c>
      <c r="AK251" s="74" t="n">
        <f aca="false">IF(Inputs!$D$10&lt;=0,1,(AK250*Inputs!$D$11+(1-Inputs!$D$11)/MAX(1,Inputs!$D$10)*(AK250*(AK$246-1)*1+AK250*(AK250-1)/2)+1-AK250)/1)</f>
        <v>1</v>
      </c>
      <c r="AL251" s="74" t="n">
        <f aca="false">IF(Inputs!$D$10&lt;=0,1,(AL250*Inputs!$D$11+(1-Inputs!$D$11)/MAX(1,Inputs!$D$10)*(AL250*(AL$246-1)*1+AL250*(AL250-1)/2)+1-AL250)/1)</f>
        <v>1</v>
      </c>
      <c r="AM251" s="74" t="n">
        <f aca="false">IF(Inputs!$D$10&lt;=0,1,(AM250*Inputs!$D$11+(1-Inputs!$D$11)/MAX(1,Inputs!$D$10)*(AM250*(AM$246-1)*1+AM250*(AM250-1)/2)+1-AM250)/1)</f>
        <v>1</v>
      </c>
      <c r="AN251" s="74" t="n">
        <f aca="false">IF(Inputs!$D$10&lt;=0,1,(AN250*Inputs!$D$11+(1-Inputs!$D$11)/MAX(1,Inputs!$D$10)*(AN250*(AN$246-1)*1+AN250*(AN250-1)/2)+1-AN250)/1)</f>
        <v>1</v>
      </c>
      <c r="AO251" s="74" t="n">
        <f aca="false">IF(Inputs!$D$10&lt;=0,1,(AO250*Inputs!$D$11+(1-Inputs!$D$11)/MAX(1,Inputs!$D$10)*(AO250*(AO$246-1)*1+AO250*(AO250-1)/2)+1-AO250)/1)</f>
        <v>1</v>
      </c>
      <c r="AP251" s="74" t="n">
        <f aca="false">IF(Inputs!$D$10&lt;=0,1,(AP250*Inputs!$D$11+(1-Inputs!$D$11)/MAX(1,Inputs!$D$10)*(AP250*(AP$246-1)*1+AP250*(AP250-1)/2)+1-AP250)/1)</f>
        <v>1</v>
      </c>
      <c r="AQ251" s="74" t="n">
        <f aca="false">IF(Inputs!$D$10&lt;=0,1,(AQ250*Inputs!$D$11+(1-Inputs!$D$11)/MAX(1,Inputs!$D$10)*(AQ250*(AQ$246-1)*1+AQ250*(AQ250-1)/2)+1-AQ250)/1)</f>
        <v>1</v>
      </c>
      <c r="AR251" s="74" t="n">
        <f aca="false">IF(Inputs!$D$10&lt;=0,1,(AR250*Inputs!$D$11+(1-Inputs!$D$11)/MAX(1,Inputs!$D$10)*(AR250*(AR$246-1)*1+AR250*(AR250-1)/2)+1-AR250)/1)</f>
        <v>1</v>
      </c>
      <c r="AS251" s="74" t="n">
        <f aca="false">IF(Inputs!$D$10&lt;=0,1,(AS250*Inputs!$D$11+(1-Inputs!$D$11)/MAX(1,Inputs!$D$10)*(AS250*(AS$246-1)*1+AS250*(AS250-1)/2)+1-AS250)/1)</f>
        <v>1</v>
      </c>
      <c r="AT251" s="74" t="n">
        <f aca="false">IF(Inputs!$D$10&lt;=0,1,(AT250*Inputs!$D$11+(1-Inputs!$D$11)/MAX(1,Inputs!$D$10)*(AT250*(AT$246-1)*1+AT250*(AT250-1)/2)+1-AT250)/1)</f>
        <v>1</v>
      </c>
      <c r="AU251" s="74" t="n">
        <f aca="false">IF(Inputs!$D$10&lt;=0,1,(AU250*Inputs!$D$11+(1-Inputs!$D$11)/MAX(1,Inputs!$D$10)*(AU250*(AU$246-1)*1+AU250*(AU250-1)/2)+1-AU250)/1)</f>
        <v>1</v>
      </c>
      <c r="AV251" s="74" t="n">
        <f aca="false">IF(Inputs!$D$10&lt;=0,1,(AV250*Inputs!$D$11+(1-Inputs!$D$11)/MAX(1,Inputs!$D$10)*(AV250*(AV$246-1)*1+AV250*(AV250-1)/2)+1-AV250)/1)</f>
        <v>1</v>
      </c>
      <c r="AW251" s="74" t="n">
        <f aca="false">IF(Inputs!$D$10&lt;=0,1,(AW250*Inputs!$D$11+(1-Inputs!$D$11)/MAX(1,Inputs!$D$10)*(AW250*(AW$246-1)*1+AW250*(AW250-1)/2)+1-AW250)/1)</f>
        <v>1</v>
      </c>
      <c r="AX251" s="74" t="n">
        <f aca="false">IF(Inputs!$D$10&lt;=0,1,(AX250*Inputs!$D$11+(1-Inputs!$D$11)/MAX(1,Inputs!$D$10)*(AX250*(AX$246-1)*1+AX250*(AX250-1)/2)+1-AX250)/1)</f>
        <v>1</v>
      </c>
      <c r="AY251" s="74" t="n">
        <f aca="false">IF(Inputs!$D$10&lt;=0,1,(AY250*Inputs!$D$11+(1-Inputs!$D$11)/MAX(1,Inputs!$D$10)*(AY250*(AY$246-1)*1+AY250*(AY250-1)/2)+1-AY250)/1)</f>
        <v>1</v>
      </c>
      <c r="AZ251" s="74" t="n">
        <f aca="false">IF(Inputs!$D$10&lt;=0,1,(AZ250*Inputs!$D$11+(1-Inputs!$D$11)/MAX(1,Inputs!$D$10)*(AZ250*(AZ$246-1)*1+AZ250*(AZ250-1)/2)+1-AZ250)/1)</f>
        <v>1</v>
      </c>
      <c r="BA251" s="74" t="n">
        <f aca="false">IF(Inputs!$D$10&lt;=0,1,(BA250*Inputs!$D$11+(1-Inputs!$D$11)/MAX(1,Inputs!$D$10)*(BA250*(BA$246-1)*1+BA250*(BA250-1)/2)+1-BA250)/1)</f>
        <v>1</v>
      </c>
      <c r="BB251" s="74" t="n">
        <f aca="false">IF(Inputs!$D$10&lt;=0,1,(BB250*Inputs!$D$11+(1-Inputs!$D$11)/MAX(1,Inputs!$D$10)*(BB250*(BB$246-1)*1+BB250*(BB250-1)/2)+1-BB250)/1)</f>
        <v>1</v>
      </c>
      <c r="BC251" s="74" t="n">
        <f aca="false">IF(Inputs!$D$10&lt;=0,1,(BC250*Inputs!$D$11+(1-Inputs!$D$11)/MAX(1,Inputs!$D$10)*(BC250*(BC$246-1)*1+BC250*(BC250-1)/2)+1-BC250)/1)</f>
        <v>1</v>
      </c>
      <c r="BD251" s="74" t="n">
        <f aca="false">IF(Inputs!$D$10&lt;=0,1,(BD250*Inputs!$D$11+(1-Inputs!$D$11)/MAX(1,Inputs!$D$10)*(BD250*(BD$246-1)*1+BD250*(BD250-1)/2)+1-BD250)/1)</f>
        <v>1</v>
      </c>
      <c r="BE251" s="74" t="n">
        <f aca="false">IF(Inputs!$D$10&lt;=0,1,(BE250*Inputs!$D$11+(1-Inputs!$D$11)/MAX(1,Inputs!$D$10)*(BE250*(BE$246-1)*1+BE250*(BE250-1)/2)+1-BE250)/1)</f>
        <v>1</v>
      </c>
      <c r="BF251" s="74" t="n">
        <f aca="false">IF(Inputs!$D$10&lt;=0,1,(BF250*Inputs!$D$11+(1-Inputs!$D$11)/MAX(1,Inputs!$D$10)*(BF250*(BF$246-1)*1+BF250*(BF250-1)/2)+1-BF250)/1)</f>
        <v>1</v>
      </c>
      <c r="BG251" s="74" t="n">
        <f aca="false">IF(Inputs!$D$10&lt;=0,1,(BG250*Inputs!$D$11+(1-Inputs!$D$11)/MAX(1,Inputs!$D$10)*(BG250*(BG$246-1)*1+BG250*(BG250-1)/2)+1-BG250)/1)</f>
        <v>1</v>
      </c>
      <c r="BH251" s="74" t="n">
        <f aca="false">IF(Inputs!$D$10&lt;=0,1,(BH250*Inputs!$D$11+(1-Inputs!$D$11)/MAX(1,Inputs!$D$10)*(BH250*(BH$246-1)*1+BH250*(BH250-1)/2)+1-BH250)/1)</f>
        <v>1</v>
      </c>
      <c r="BI251" s="74" t="n">
        <f aca="false">IF(Inputs!$D$10&lt;=0,1,(BI250*Inputs!$D$11+(1-Inputs!$D$11)/MAX(1,Inputs!$D$10)*(BI250*(BI$246-1)*1+BI250*(BI250-1)/2)+1-BI250)/1)</f>
        <v>1</v>
      </c>
      <c r="BJ251" s="74" t="n">
        <f aca="false">IF(Inputs!$D$10&lt;=0,1,(BJ250*Inputs!$D$11+(1-Inputs!$D$11)/MAX(1,Inputs!$D$10)*(BJ250*(BJ$246-1)*1+BJ250*(BJ250-1)/2)+1-BJ250)/1)</f>
        <v>1</v>
      </c>
    </row>
    <row r="252" customFormat="false" ht="15" hidden="false" customHeight="false" outlineLevel="0" collapsed="false">
      <c r="A252" s="6" t="s">
        <v>409</v>
      </c>
      <c r="C252" s="77" t="n">
        <f aca="false">IF(AND(MOD(C$246-1,12)&gt;=5,MOD(C$246-1,12)&lt;=7),1+Inputs!$D$12,1-Inputs!$D$12/3)</f>
        <v>0.916666666666667</v>
      </c>
      <c r="D252" s="77" t="n">
        <f aca="false">IF(AND(MOD(D$246-1,12)&gt;=5,MOD(D$246-1,12)&lt;=7),1+Inputs!$D$12,1-Inputs!$D$12/3)</f>
        <v>0.916666666666667</v>
      </c>
      <c r="E252" s="77" t="n">
        <f aca="false">IF(AND(MOD(E$246-1,12)&gt;=5,MOD(E$246-1,12)&lt;=7),1+Inputs!$D$12,1-Inputs!$D$12/3)</f>
        <v>0.916666666666667</v>
      </c>
      <c r="F252" s="77" t="n">
        <f aca="false">IF(AND(MOD(F$246-1,12)&gt;=5,MOD(F$246-1,12)&lt;=7),1+Inputs!$D$12,1-Inputs!$D$12/3)</f>
        <v>0.916666666666667</v>
      </c>
      <c r="G252" s="77" t="n">
        <f aca="false">IF(AND(MOD(G$246-1,12)&gt;=5,MOD(G$246-1,12)&lt;=7),1+Inputs!$D$12,1-Inputs!$D$12/3)</f>
        <v>0.916666666666667</v>
      </c>
      <c r="H252" s="77" t="n">
        <f aca="false">IF(AND(MOD(H$246-1,12)&gt;=5,MOD(H$246-1,12)&lt;=7),1+Inputs!$D$12,1-Inputs!$D$12/3)</f>
        <v>1.25</v>
      </c>
      <c r="I252" s="77" t="n">
        <f aca="false">IF(AND(MOD(I$246-1,12)&gt;=5,MOD(I$246-1,12)&lt;=7),1+Inputs!$D$12,1-Inputs!$D$12/3)</f>
        <v>1.25</v>
      </c>
      <c r="J252" s="77" t="n">
        <f aca="false">IF(AND(MOD(J$246-1,12)&gt;=5,MOD(J$246-1,12)&lt;=7),1+Inputs!$D$12,1-Inputs!$D$12/3)</f>
        <v>1.25</v>
      </c>
      <c r="K252" s="77" t="n">
        <f aca="false">IF(AND(MOD(K$246-1,12)&gt;=5,MOD(K$246-1,12)&lt;=7),1+Inputs!$D$12,1-Inputs!$D$12/3)</f>
        <v>0.916666666666667</v>
      </c>
      <c r="L252" s="77" t="n">
        <f aca="false">IF(AND(MOD(L$246-1,12)&gt;=5,MOD(L$246-1,12)&lt;=7),1+Inputs!$D$12,1-Inputs!$D$12/3)</f>
        <v>0.916666666666667</v>
      </c>
      <c r="M252" s="77" t="n">
        <f aca="false">IF(AND(MOD(M$246-1,12)&gt;=5,MOD(M$246-1,12)&lt;=7),1+Inputs!$D$12,1-Inputs!$D$12/3)</f>
        <v>0.916666666666667</v>
      </c>
      <c r="N252" s="77" t="n">
        <f aca="false">IF(AND(MOD(N$246-1,12)&gt;=5,MOD(N$246-1,12)&lt;=7),1+Inputs!$D$12,1-Inputs!$D$12/3)</f>
        <v>0.916666666666667</v>
      </c>
      <c r="O252" s="77" t="n">
        <f aca="false">IF(AND(MOD(O$246-1,12)&gt;=5,MOD(O$246-1,12)&lt;=7),1+Inputs!$D$12,1-Inputs!$D$12/3)</f>
        <v>0.916666666666667</v>
      </c>
      <c r="P252" s="77" t="n">
        <f aca="false">IF(AND(MOD(P$246-1,12)&gt;=5,MOD(P$246-1,12)&lt;=7),1+Inputs!$D$12,1-Inputs!$D$12/3)</f>
        <v>0.916666666666667</v>
      </c>
      <c r="Q252" s="77" t="n">
        <f aca="false">IF(AND(MOD(Q$246-1,12)&gt;=5,MOD(Q$246-1,12)&lt;=7),1+Inputs!$D$12,1-Inputs!$D$12/3)</f>
        <v>0.916666666666667</v>
      </c>
      <c r="R252" s="77" t="n">
        <f aca="false">IF(AND(MOD(R$246-1,12)&gt;=5,MOD(R$246-1,12)&lt;=7),1+Inputs!$D$12,1-Inputs!$D$12/3)</f>
        <v>0.916666666666667</v>
      </c>
      <c r="S252" s="77" t="n">
        <f aca="false">IF(AND(MOD(S$246-1,12)&gt;=5,MOD(S$246-1,12)&lt;=7),1+Inputs!$D$12,1-Inputs!$D$12/3)</f>
        <v>0.916666666666667</v>
      </c>
      <c r="T252" s="77" t="n">
        <f aca="false">IF(AND(MOD(T$246-1,12)&gt;=5,MOD(T$246-1,12)&lt;=7),1+Inputs!$D$12,1-Inputs!$D$12/3)</f>
        <v>1.25</v>
      </c>
      <c r="U252" s="77" t="n">
        <f aca="false">IF(AND(MOD(U$246-1,12)&gt;=5,MOD(U$246-1,12)&lt;=7),1+Inputs!$D$12,1-Inputs!$D$12/3)</f>
        <v>1.25</v>
      </c>
      <c r="V252" s="77" t="n">
        <f aca="false">IF(AND(MOD(V$246-1,12)&gt;=5,MOD(V$246-1,12)&lt;=7),1+Inputs!$D$12,1-Inputs!$D$12/3)</f>
        <v>1.25</v>
      </c>
      <c r="W252" s="77" t="n">
        <f aca="false">IF(AND(MOD(W$246-1,12)&gt;=5,MOD(W$246-1,12)&lt;=7),1+Inputs!$D$12,1-Inputs!$D$12/3)</f>
        <v>0.916666666666667</v>
      </c>
      <c r="X252" s="77" t="n">
        <f aca="false">IF(AND(MOD(X$246-1,12)&gt;=5,MOD(X$246-1,12)&lt;=7),1+Inputs!$D$12,1-Inputs!$D$12/3)</f>
        <v>0.916666666666667</v>
      </c>
      <c r="Y252" s="77" t="n">
        <f aca="false">IF(AND(MOD(Y$246-1,12)&gt;=5,MOD(Y$246-1,12)&lt;=7),1+Inputs!$D$12,1-Inputs!$D$12/3)</f>
        <v>0.916666666666667</v>
      </c>
      <c r="Z252" s="77" t="n">
        <f aca="false">IF(AND(MOD(Z$246-1,12)&gt;=5,MOD(Z$246-1,12)&lt;=7),1+Inputs!$D$12,1-Inputs!$D$12/3)</f>
        <v>0.916666666666667</v>
      </c>
      <c r="AA252" s="77" t="n">
        <f aca="false">IF(AND(MOD(AA$246-1,12)&gt;=5,MOD(AA$246-1,12)&lt;=7),1+Inputs!$D$12,1-Inputs!$D$12/3)</f>
        <v>0.916666666666667</v>
      </c>
      <c r="AB252" s="77" t="n">
        <f aca="false">IF(AND(MOD(AB$246-1,12)&gt;=5,MOD(AB$246-1,12)&lt;=7),1+Inputs!$D$12,1-Inputs!$D$12/3)</f>
        <v>0.916666666666667</v>
      </c>
      <c r="AC252" s="77" t="n">
        <f aca="false">IF(AND(MOD(AC$246-1,12)&gt;=5,MOD(AC$246-1,12)&lt;=7),1+Inputs!$D$12,1-Inputs!$D$12/3)</f>
        <v>0.916666666666667</v>
      </c>
      <c r="AD252" s="77" t="n">
        <f aca="false">IF(AND(MOD(AD$246-1,12)&gt;=5,MOD(AD$246-1,12)&lt;=7),1+Inputs!$D$12,1-Inputs!$D$12/3)</f>
        <v>0.916666666666667</v>
      </c>
      <c r="AE252" s="77" t="n">
        <f aca="false">IF(AND(MOD(AE$246-1,12)&gt;=5,MOD(AE$246-1,12)&lt;=7),1+Inputs!$D$12,1-Inputs!$D$12/3)</f>
        <v>0.916666666666667</v>
      </c>
      <c r="AF252" s="77" t="n">
        <f aca="false">IF(AND(MOD(AF$246-1,12)&gt;=5,MOD(AF$246-1,12)&lt;=7),1+Inputs!$D$12,1-Inputs!$D$12/3)</f>
        <v>1.25</v>
      </c>
      <c r="AG252" s="77" t="n">
        <f aca="false">IF(AND(MOD(AG$246-1,12)&gt;=5,MOD(AG$246-1,12)&lt;=7),1+Inputs!$D$12,1-Inputs!$D$12/3)</f>
        <v>1.25</v>
      </c>
      <c r="AH252" s="77" t="n">
        <f aca="false">IF(AND(MOD(AH$246-1,12)&gt;=5,MOD(AH$246-1,12)&lt;=7),1+Inputs!$D$12,1-Inputs!$D$12/3)</f>
        <v>1.25</v>
      </c>
      <c r="AI252" s="77" t="n">
        <f aca="false">IF(AND(MOD(AI$246-1,12)&gt;=5,MOD(AI$246-1,12)&lt;=7),1+Inputs!$D$12,1-Inputs!$D$12/3)</f>
        <v>0.916666666666667</v>
      </c>
      <c r="AJ252" s="77" t="n">
        <f aca="false">IF(AND(MOD(AJ$246-1,12)&gt;=5,MOD(AJ$246-1,12)&lt;=7),1+Inputs!$D$12,1-Inputs!$D$12/3)</f>
        <v>0.916666666666667</v>
      </c>
      <c r="AK252" s="77" t="n">
        <f aca="false">IF(AND(MOD(AK$246-1,12)&gt;=5,MOD(AK$246-1,12)&lt;=7),1+Inputs!$D$12,1-Inputs!$D$12/3)</f>
        <v>0.916666666666667</v>
      </c>
      <c r="AL252" s="77" t="n">
        <f aca="false">IF(AND(MOD(AL$246-1,12)&gt;=5,MOD(AL$246-1,12)&lt;=7),1+Inputs!$D$12,1-Inputs!$D$12/3)</f>
        <v>0.916666666666667</v>
      </c>
      <c r="AM252" s="77" t="n">
        <f aca="false">IF(AND(MOD(AM$246-1,12)&gt;=5,MOD(AM$246-1,12)&lt;=7),1+Inputs!$D$12,1-Inputs!$D$12/3)</f>
        <v>0.916666666666667</v>
      </c>
      <c r="AN252" s="77" t="n">
        <f aca="false">IF(AND(MOD(AN$246-1,12)&gt;=5,MOD(AN$246-1,12)&lt;=7),1+Inputs!$D$12,1-Inputs!$D$12/3)</f>
        <v>0.916666666666667</v>
      </c>
      <c r="AO252" s="77" t="n">
        <f aca="false">IF(AND(MOD(AO$246-1,12)&gt;=5,MOD(AO$246-1,12)&lt;=7),1+Inputs!$D$12,1-Inputs!$D$12/3)</f>
        <v>0.916666666666667</v>
      </c>
      <c r="AP252" s="77" t="n">
        <f aca="false">IF(AND(MOD(AP$246-1,12)&gt;=5,MOD(AP$246-1,12)&lt;=7),1+Inputs!$D$12,1-Inputs!$D$12/3)</f>
        <v>0.916666666666667</v>
      </c>
      <c r="AQ252" s="77" t="n">
        <f aca="false">IF(AND(MOD(AQ$246-1,12)&gt;=5,MOD(AQ$246-1,12)&lt;=7),1+Inputs!$D$12,1-Inputs!$D$12/3)</f>
        <v>0.916666666666667</v>
      </c>
      <c r="AR252" s="77" t="n">
        <f aca="false">IF(AND(MOD(AR$246-1,12)&gt;=5,MOD(AR$246-1,12)&lt;=7),1+Inputs!$D$12,1-Inputs!$D$12/3)</f>
        <v>1.25</v>
      </c>
      <c r="AS252" s="77" t="n">
        <f aca="false">IF(AND(MOD(AS$246-1,12)&gt;=5,MOD(AS$246-1,12)&lt;=7),1+Inputs!$D$12,1-Inputs!$D$12/3)</f>
        <v>1.25</v>
      </c>
      <c r="AT252" s="77" t="n">
        <f aca="false">IF(AND(MOD(AT$246-1,12)&gt;=5,MOD(AT$246-1,12)&lt;=7),1+Inputs!$D$12,1-Inputs!$D$12/3)</f>
        <v>1.25</v>
      </c>
      <c r="AU252" s="77" t="n">
        <f aca="false">IF(AND(MOD(AU$246-1,12)&gt;=5,MOD(AU$246-1,12)&lt;=7),1+Inputs!$D$12,1-Inputs!$D$12/3)</f>
        <v>0.916666666666667</v>
      </c>
      <c r="AV252" s="77" t="n">
        <f aca="false">IF(AND(MOD(AV$246-1,12)&gt;=5,MOD(AV$246-1,12)&lt;=7),1+Inputs!$D$12,1-Inputs!$D$12/3)</f>
        <v>0.916666666666667</v>
      </c>
      <c r="AW252" s="77" t="n">
        <f aca="false">IF(AND(MOD(AW$246-1,12)&gt;=5,MOD(AW$246-1,12)&lt;=7),1+Inputs!$D$12,1-Inputs!$D$12/3)</f>
        <v>0.916666666666667</v>
      </c>
      <c r="AX252" s="77" t="n">
        <f aca="false">IF(AND(MOD(AX$246-1,12)&gt;=5,MOD(AX$246-1,12)&lt;=7),1+Inputs!$D$12,1-Inputs!$D$12/3)</f>
        <v>0.916666666666667</v>
      </c>
      <c r="AY252" s="77" t="n">
        <f aca="false">IF(AND(MOD(AY$246-1,12)&gt;=5,MOD(AY$246-1,12)&lt;=7),1+Inputs!$D$12,1-Inputs!$D$12/3)</f>
        <v>0.916666666666667</v>
      </c>
      <c r="AZ252" s="77" t="n">
        <f aca="false">IF(AND(MOD(AZ$246-1,12)&gt;=5,MOD(AZ$246-1,12)&lt;=7),1+Inputs!$D$12,1-Inputs!$D$12/3)</f>
        <v>0.916666666666667</v>
      </c>
      <c r="BA252" s="77" t="n">
        <f aca="false">IF(AND(MOD(BA$246-1,12)&gt;=5,MOD(BA$246-1,12)&lt;=7),1+Inputs!$D$12,1-Inputs!$D$12/3)</f>
        <v>0.916666666666667</v>
      </c>
      <c r="BB252" s="77" t="n">
        <f aca="false">IF(AND(MOD(BB$246-1,12)&gt;=5,MOD(BB$246-1,12)&lt;=7),1+Inputs!$D$12,1-Inputs!$D$12/3)</f>
        <v>0.916666666666667</v>
      </c>
      <c r="BC252" s="77" t="n">
        <f aca="false">IF(AND(MOD(BC$246-1,12)&gt;=5,MOD(BC$246-1,12)&lt;=7),1+Inputs!$D$12,1-Inputs!$D$12/3)</f>
        <v>0.916666666666667</v>
      </c>
      <c r="BD252" s="77" t="n">
        <f aca="false">IF(AND(MOD(BD$246-1,12)&gt;=5,MOD(BD$246-1,12)&lt;=7),1+Inputs!$D$12,1-Inputs!$D$12/3)</f>
        <v>1.25</v>
      </c>
      <c r="BE252" s="77" t="n">
        <f aca="false">IF(AND(MOD(BE$246-1,12)&gt;=5,MOD(BE$246-1,12)&lt;=7),1+Inputs!$D$12,1-Inputs!$D$12/3)</f>
        <v>1.25</v>
      </c>
      <c r="BF252" s="77" t="n">
        <f aca="false">IF(AND(MOD(BF$246-1,12)&gt;=5,MOD(BF$246-1,12)&lt;=7),1+Inputs!$D$12,1-Inputs!$D$12/3)</f>
        <v>1.25</v>
      </c>
      <c r="BG252" s="77" t="n">
        <f aca="false">IF(AND(MOD(BG$246-1,12)&gt;=5,MOD(BG$246-1,12)&lt;=7),1+Inputs!$D$12,1-Inputs!$D$12/3)</f>
        <v>0.916666666666667</v>
      </c>
      <c r="BH252" s="77" t="n">
        <f aca="false">IF(AND(MOD(BH$246-1,12)&gt;=5,MOD(BH$246-1,12)&lt;=7),1+Inputs!$D$12,1-Inputs!$D$12/3)</f>
        <v>0.916666666666667</v>
      </c>
      <c r="BI252" s="77" t="n">
        <f aca="false">IF(AND(MOD(BI$246-1,12)&gt;=5,MOD(BI$246-1,12)&lt;=7),1+Inputs!$D$12,1-Inputs!$D$12/3)</f>
        <v>0.916666666666667</v>
      </c>
      <c r="BJ252" s="77" t="n">
        <f aca="false">IF(AND(MOD(BJ$246-1,12)&gt;=5,MOD(BJ$246-1,12)&lt;=7),1+Inputs!$D$12,1-Inputs!$D$12/3)</f>
        <v>0.916666666666667</v>
      </c>
    </row>
    <row r="253" customFormat="false" ht="15" hidden="false" customHeight="false" outlineLevel="0" collapsed="false">
      <c r="A253" s="6" t="s">
        <v>410</v>
      </c>
      <c r="C253" s="116" t="n">
        <f aca="false">Inputs!$D$7*Inputs!$D$13*1</f>
        <v>304</v>
      </c>
      <c r="D253" s="116" t="n">
        <f aca="false">Inputs!$D$7*Inputs!$D$13*1</f>
        <v>304</v>
      </c>
      <c r="E253" s="116" t="n">
        <f aca="false">Inputs!$D$7*Inputs!$D$13*1</f>
        <v>304</v>
      </c>
      <c r="F253" s="116" t="n">
        <f aca="false">Inputs!$D$7*Inputs!$D$13*1</f>
        <v>304</v>
      </c>
      <c r="G253" s="116" t="n">
        <f aca="false">Inputs!$D$7*Inputs!$D$13*1</f>
        <v>304</v>
      </c>
      <c r="H253" s="116" t="n">
        <f aca="false">Inputs!$D$7*Inputs!$D$13*1</f>
        <v>304</v>
      </c>
      <c r="I253" s="116" t="n">
        <f aca="false">Inputs!$D$7*Inputs!$D$13*1</f>
        <v>304</v>
      </c>
      <c r="J253" s="116" t="n">
        <f aca="false">Inputs!$D$7*Inputs!$D$13*1</f>
        <v>304</v>
      </c>
      <c r="K253" s="116" t="n">
        <f aca="false">Inputs!$D$7*Inputs!$D$13*1</f>
        <v>304</v>
      </c>
      <c r="L253" s="116" t="n">
        <f aca="false">Inputs!$D$7*Inputs!$D$13*1</f>
        <v>304</v>
      </c>
      <c r="M253" s="116" t="n">
        <f aca="false">Inputs!$D$7*Inputs!$D$13*1</f>
        <v>304</v>
      </c>
      <c r="N253" s="116" t="n">
        <f aca="false">Inputs!$D$7*Inputs!$D$13*1</f>
        <v>304</v>
      </c>
      <c r="O253" s="116" t="n">
        <f aca="false">Inputs!$D$7*Inputs!$D$13*1</f>
        <v>304</v>
      </c>
      <c r="P253" s="116" t="n">
        <f aca="false">Inputs!$D$7*Inputs!$D$13*1</f>
        <v>304</v>
      </c>
      <c r="Q253" s="116" t="n">
        <f aca="false">Inputs!$D$7*Inputs!$D$13*1</f>
        <v>304</v>
      </c>
      <c r="R253" s="116" t="n">
        <f aca="false">Inputs!$D$7*Inputs!$D$13*1</f>
        <v>304</v>
      </c>
      <c r="S253" s="116" t="n">
        <f aca="false">Inputs!$D$7*Inputs!$D$13*1</f>
        <v>304</v>
      </c>
      <c r="T253" s="116" t="n">
        <f aca="false">Inputs!$D$7*Inputs!$D$13*1</f>
        <v>304</v>
      </c>
      <c r="U253" s="116" t="n">
        <f aca="false">Inputs!$D$7*Inputs!$D$13*1</f>
        <v>304</v>
      </c>
      <c r="V253" s="116" t="n">
        <f aca="false">Inputs!$D$7*Inputs!$D$13*1</f>
        <v>304</v>
      </c>
      <c r="W253" s="116" t="n">
        <f aca="false">Inputs!$D$7*Inputs!$D$13*1</f>
        <v>304</v>
      </c>
      <c r="X253" s="116" t="n">
        <f aca="false">Inputs!$D$7*Inputs!$D$13*1</f>
        <v>304</v>
      </c>
      <c r="Y253" s="116" t="n">
        <f aca="false">Inputs!$D$7*Inputs!$D$13*1</f>
        <v>304</v>
      </c>
      <c r="Z253" s="116" t="n">
        <f aca="false">Inputs!$D$7*Inputs!$D$13*1</f>
        <v>304</v>
      </c>
      <c r="AA253" s="116" t="n">
        <f aca="false">Inputs!$D$7*Inputs!$D$13*1</f>
        <v>304</v>
      </c>
      <c r="AB253" s="116" t="n">
        <f aca="false">Inputs!$D$7*Inputs!$D$13*1</f>
        <v>304</v>
      </c>
      <c r="AC253" s="116" t="n">
        <f aca="false">Inputs!$D$7*Inputs!$D$13*1</f>
        <v>304</v>
      </c>
      <c r="AD253" s="116" t="n">
        <f aca="false">Inputs!$D$7*Inputs!$D$13*1</f>
        <v>304</v>
      </c>
      <c r="AE253" s="116" t="n">
        <f aca="false">Inputs!$D$7*Inputs!$D$13*1</f>
        <v>304</v>
      </c>
      <c r="AF253" s="116" t="n">
        <f aca="false">Inputs!$D$7*Inputs!$D$13*1</f>
        <v>304</v>
      </c>
      <c r="AG253" s="116" t="n">
        <f aca="false">Inputs!$D$7*Inputs!$D$13*1</f>
        <v>304</v>
      </c>
      <c r="AH253" s="116" t="n">
        <f aca="false">Inputs!$D$7*Inputs!$D$13*1</f>
        <v>304</v>
      </c>
      <c r="AI253" s="116" t="n">
        <f aca="false">Inputs!$D$7*Inputs!$D$13*1</f>
        <v>304</v>
      </c>
      <c r="AJ253" s="116" t="n">
        <f aca="false">Inputs!$D$7*Inputs!$D$13*1</f>
        <v>304</v>
      </c>
      <c r="AK253" s="116" t="n">
        <f aca="false">Inputs!$D$7*Inputs!$D$13*1</f>
        <v>304</v>
      </c>
      <c r="AL253" s="116" t="n">
        <f aca="false">Inputs!$D$7*Inputs!$D$13*1</f>
        <v>304</v>
      </c>
      <c r="AM253" s="116" t="n">
        <f aca="false">Inputs!$D$7*Inputs!$D$13*1</f>
        <v>304</v>
      </c>
      <c r="AN253" s="116" t="n">
        <f aca="false">Inputs!$D$7*Inputs!$D$13*1</f>
        <v>304</v>
      </c>
      <c r="AO253" s="116" t="n">
        <f aca="false">Inputs!$D$7*Inputs!$D$13*1</f>
        <v>304</v>
      </c>
      <c r="AP253" s="116" t="n">
        <f aca="false">Inputs!$D$7*Inputs!$D$13*1</f>
        <v>304</v>
      </c>
      <c r="AQ253" s="116" t="n">
        <f aca="false">Inputs!$D$7*Inputs!$D$13*1</f>
        <v>304</v>
      </c>
      <c r="AR253" s="116" t="n">
        <f aca="false">Inputs!$D$7*Inputs!$D$13*1</f>
        <v>304</v>
      </c>
      <c r="AS253" s="116" t="n">
        <f aca="false">Inputs!$D$7*Inputs!$D$13*1</f>
        <v>304</v>
      </c>
      <c r="AT253" s="116" t="n">
        <f aca="false">Inputs!$D$7*Inputs!$D$13*1</f>
        <v>304</v>
      </c>
      <c r="AU253" s="116" t="n">
        <f aca="false">Inputs!$D$7*Inputs!$D$13*1</f>
        <v>304</v>
      </c>
      <c r="AV253" s="116" t="n">
        <f aca="false">Inputs!$D$7*Inputs!$D$13*1</f>
        <v>304</v>
      </c>
      <c r="AW253" s="116" t="n">
        <f aca="false">Inputs!$D$7*Inputs!$D$13*1</f>
        <v>304</v>
      </c>
      <c r="AX253" s="116" t="n">
        <f aca="false">Inputs!$D$7*Inputs!$D$13*1</f>
        <v>304</v>
      </c>
      <c r="AY253" s="116" t="n">
        <f aca="false">Inputs!$D$7*Inputs!$D$13*1</f>
        <v>304</v>
      </c>
      <c r="AZ253" s="116" t="n">
        <f aca="false">Inputs!$D$7*Inputs!$D$13*1</f>
        <v>304</v>
      </c>
      <c r="BA253" s="116" t="n">
        <f aca="false">Inputs!$D$7*Inputs!$D$13*1</f>
        <v>304</v>
      </c>
      <c r="BB253" s="116" t="n">
        <f aca="false">Inputs!$D$7*Inputs!$D$13*1</f>
        <v>304</v>
      </c>
      <c r="BC253" s="116" t="n">
        <f aca="false">Inputs!$D$7*Inputs!$D$13*1</f>
        <v>304</v>
      </c>
      <c r="BD253" s="116" t="n">
        <f aca="false">Inputs!$D$7*Inputs!$D$13*1</f>
        <v>304</v>
      </c>
      <c r="BE253" s="116" t="n">
        <f aca="false">Inputs!$D$7*Inputs!$D$13*1</f>
        <v>304</v>
      </c>
      <c r="BF253" s="116" t="n">
        <f aca="false">Inputs!$D$7*Inputs!$D$13*1</f>
        <v>304</v>
      </c>
      <c r="BG253" s="116" t="n">
        <f aca="false">Inputs!$D$7*Inputs!$D$13*1</f>
        <v>304</v>
      </c>
      <c r="BH253" s="116" t="n">
        <f aca="false">Inputs!$D$7*Inputs!$D$13*1</f>
        <v>304</v>
      </c>
      <c r="BI253" s="116" t="n">
        <f aca="false">Inputs!$D$7*Inputs!$D$13*1</f>
        <v>304</v>
      </c>
      <c r="BJ253" s="116" t="n">
        <f aca="false">Inputs!$D$7*Inputs!$D$13*1</f>
        <v>304</v>
      </c>
    </row>
    <row r="254" customFormat="false" ht="15" hidden="false" customHeight="false" outlineLevel="0" collapsed="false">
      <c r="A254" s="38" t="s">
        <v>411</v>
      </c>
      <c r="C254" s="74" t="n">
        <f aca="false">MIN(1,Inputs!$D$8*(1+Inputs!$D$9)^(C$247-1)*C251*C252)</f>
        <v>0.320833333333333</v>
      </c>
      <c r="D254" s="74" t="n">
        <f aca="false">MIN(1,Inputs!$D$8*(1+Inputs!$D$9)^(D$247-1)*D251*D252)</f>
        <v>0.3609375</v>
      </c>
      <c r="E254" s="74" t="n">
        <f aca="false">MIN(1,Inputs!$D$8*(1+Inputs!$D$9)^(E$247-1)*E251*E252)</f>
        <v>0.401041666666667</v>
      </c>
      <c r="F254" s="74" t="n">
        <f aca="false">MIN(1,Inputs!$D$8*(1+Inputs!$D$9)^(F$247-1)*F251*F252)</f>
        <v>0.441145833333333</v>
      </c>
      <c r="G254" s="74" t="n">
        <f aca="false">MIN(1,Inputs!$D$8*(1+Inputs!$D$9)^(G$247-1)*G251*G252)</f>
        <v>0.48125</v>
      </c>
      <c r="H254" s="74" t="n">
        <f aca="false">MIN(1,Inputs!$D$8*(1+Inputs!$D$9)^(H$247-1)*H251*H252)</f>
        <v>0.7109375</v>
      </c>
      <c r="I254" s="74" t="n">
        <f aca="false">MIN(1,Inputs!$D$8*(1+Inputs!$D$9)^(I$247-1)*I251*I252)</f>
        <v>0.765625</v>
      </c>
      <c r="J254" s="74" t="n">
        <f aca="false">MIN(1,Inputs!$D$8*(1+Inputs!$D$9)^(J$247-1)*J251*J252)</f>
        <v>0.8203125</v>
      </c>
      <c r="K254" s="74" t="n">
        <f aca="false">MIN(1,Inputs!$D$8*(1+Inputs!$D$9)^(K$247-1)*K251*K252)</f>
        <v>0.641666666666667</v>
      </c>
      <c r="L254" s="74" t="n">
        <f aca="false">MIN(1,Inputs!$D$8*(1+Inputs!$D$9)^(L$247-1)*L251*L252)</f>
        <v>0.641666666666667</v>
      </c>
      <c r="M254" s="74" t="n">
        <f aca="false">MIN(1,Inputs!$D$8*(1+Inputs!$D$9)^(M$247-1)*M251*M252)</f>
        <v>0.641666666666667</v>
      </c>
      <c r="N254" s="74" t="n">
        <f aca="false">MIN(1,Inputs!$D$8*(1+Inputs!$D$9)^(N$247-1)*N251*N252)</f>
        <v>0.641666666666667</v>
      </c>
      <c r="O254" s="74" t="n">
        <f aca="false">MIN(1,Inputs!$D$8*(1+Inputs!$D$9)^(O$247-1)*O251*O252)</f>
        <v>0.660916666666667</v>
      </c>
      <c r="P254" s="74" t="n">
        <f aca="false">MIN(1,Inputs!$D$8*(1+Inputs!$D$9)^(P$247-1)*P251*P252)</f>
        <v>0.660916666666667</v>
      </c>
      <c r="Q254" s="74" t="n">
        <f aca="false">MIN(1,Inputs!$D$8*(1+Inputs!$D$9)^(Q$247-1)*Q251*Q252)</f>
        <v>0.660916666666667</v>
      </c>
      <c r="R254" s="74" t="n">
        <f aca="false">MIN(1,Inputs!$D$8*(1+Inputs!$D$9)^(R$247-1)*R251*R252)</f>
        <v>0.660916666666667</v>
      </c>
      <c r="S254" s="74" t="n">
        <f aca="false">MIN(1,Inputs!$D$8*(1+Inputs!$D$9)^(S$247-1)*S251*S252)</f>
        <v>0.660916666666667</v>
      </c>
      <c r="T254" s="74" t="n">
        <f aca="false">MIN(1,Inputs!$D$8*(1+Inputs!$D$9)^(T$247-1)*T251*T252)</f>
        <v>0.90125</v>
      </c>
      <c r="U254" s="74" t="n">
        <f aca="false">MIN(1,Inputs!$D$8*(1+Inputs!$D$9)^(U$247-1)*U251*U252)</f>
        <v>0.90125</v>
      </c>
      <c r="V254" s="74" t="n">
        <f aca="false">MIN(1,Inputs!$D$8*(1+Inputs!$D$9)^(V$247-1)*V251*V252)</f>
        <v>0.90125</v>
      </c>
      <c r="W254" s="74" t="n">
        <f aca="false">MIN(1,Inputs!$D$8*(1+Inputs!$D$9)^(W$247-1)*W251*W252)</f>
        <v>0.660916666666667</v>
      </c>
      <c r="X254" s="74" t="n">
        <f aca="false">MIN(1,Inputs!$D$8*(1+Inputs!$D$9)^(X$247-1)*X251*X252)</f>
        <v>0.660916666666667</v>
      </c>
      <c r="Y254" s="74" t="n">
        <f aca="false">MIN(1,Inputs!$D$8*(1+Inputs!$D$9)^(Y$247-1)*Y251*Y252)</f>
        <v>0.660916666666667</v>
      </c>
      <c r="Z254" s="74" t="n">
        <f aca="false">MIN(1,Inputs!$D$8*(1+Inputs!$D$9)^(Z$247-1)*Z251*Z252)</f>
        <v>0.660916666666667</v>
      </c>
      <c r="AA254" s="74" t="n">
        <f aca="false">MIN(1,Inputs!$D$8*(1+Inputs!$D$9)^(AA$247-1)*AA251*AA252)</f>
        <v>0.680744166666667</v>
      </c>
      <c r="AB254" s="74" t="n">
        <f aca="false">MIN(1,Inputs!$D$8*(1+Inputs!$D$9)^(AB$247-1)*AB251*AB252)</f>
        <v>0.680744166666667</v>
      </c>
      <c r="AC254" s="74" t="n">
        <f aca="false">MIN(1,Inputs!$D$8*(1+Inputs!$D$9)^(AC$247-1)*AC251*AC252)</f>
        <v>0.680744166666667</v>
      </c>
      <c r="AD254" s="74" t="n">
        <f aca="false">MIN(1,Inputs!$D$8*(1+Inputs!$D$9)^(AD$247-1)*AD251*AD252)</f>
        <v>0.680744166666667</v>
      </c>
      <c r="AE254" s="74" t="n">
        <f aca="false">MIN(1,Inputs!$D$8*(1+Inputs!$D$9)^(AE$247-1)*AE251*AE252)</f>
        <v>0.680744166666667</v>
      </c>
      <c r="AF254" s="74" t="n">
        <f aca="false">MIN(1,Inputs!$D$8*(1+Inputs!$D$9)^(AF$247-1)*AF251*AF252)</f>
        <v>0.9282875</v>
      </c>
      <c r="AG254" s="74" t="n">
        <f aca="false">MIN(1,Inputs!$D$8*(1+Inputs!$D$9)^(AG$247-1)*AG251*AG252)</f>
        <v>0.9282875</v>
      </c>
      <c r="AH254" s="74" t="n">
        <f aca="false">MIN(1,Inputs!$D$8*(1+Inputs!$D$9)^(AH$247-1)*AH251*AH252)</f>
        <v>0.9282875</v>
      </c>
      <c r="AI254" s="74" t="n">
        <f aca="false">MIN(1,Inputs!$D$8*(1+Inputs!$D$9)^(AI$247-1)*AI251*AI252)</f>
        <v>0.680744166666667</v>
      </c>
      <c r="AJ254" s="74" t="n">
        <f aca="false">MIN(1,Inputs!$D$8*(1+Inputs!$D$9)^(AJ$247-1)*AJ251*AJ252)</f>
        <v>0.680744166666667</v>
      </c>
      <c r="AK254" s="74" t="n">
        <f aca="false">MIN(1,Inputs!$D$8*(1+Inputs!$D$9)^(AK$247-1)*AK251*AK252)</f>
        <v>0.680744166666667</v>
      </c>
      <c r="AL254" s="74" t="n">
        <f aca="false">MIN(1,Inputs!$D$8*(1+Inputs!$D$9)^(AL$247-1)*AL251*AL252)</f>
        <v>0.680744166666667</v>
      </c>
      <c r="AM254" s="74" t="n">
        <f aca="false">MIN(1,Inputs!$D$8*(1+Inputs!$D$9)^(AM$247-1)*AM251*AM252)</f>
        <v>0.701166491666667</v>
      </c>
      <c r="AN254" s="74" t="n">
        <f aca="false">MIN(1,Inputs!$D$8*(1+Inputs!$D$9)^(AN$247-1)*AN251*AN252)</f>
        <v>0.701166491666667</v>
      </c>
      <c r="AO254" s="74" t="n">
        <f aca="false">MIN(1,Inputs!$D$8*(1+Inputs!$D$9)^(AO$247-1)*AO251*AO252)</f>
        <v>0.701166491666667</v>
      </c>
      <c r="AP254" s="74" t="n">
        <f aca="false">MIN(1,Inputs!$D$8*(1+Inputs!$D$9)^(AP$247-1)*AP251*AP252)</f>
        <v>0.701166491666667</v>
      </c>
      <c r="AQ254" s="74" t="n">
        <f aca="false">MIN(1,Inputs!$D$8*(1+Inputs!$D$9)^(AQ$247-1)*AQ251*AQ252)</f>
        <v>0.701166491666667</v>
      </c>
      <c r="AR254" s="74" t="n">
        <f aca="false">MIN(1,Inputs!$D$8*(1+Inputs!$D$9)^(AR$247-1)*AR251*AR252)</f>
        <v>0.956136125</v>
      </c>
      <c r="AS254" s="74" t="n">
        <f aca="false">MIN(1,Inputs!$D$8*(1+Inputs!$D$9)^(AS$247-1)*AS251*AS252)</f>
        <v>0.956136125</v>
      </c>
      <c r="AT254" s="74" t="n">
        <f aca="false">MIN(1,Inputs!$D$8*(1+Inputs!$D$9)^(AT$247-1)*AT251*AT252)</f>
        <v>0.956136125</v>
      </c>
      <c r="AU254" s="74" t="n">
        <f aca="false">MIN(1,Inputs!$D$8*(1+Inputs!$D$9)^(AU$247-1)*AU251*AU252)</f>
        <v>0.701166491666667</v>
      </c>
      <c r="AV254" s="74" t="n">
        <f aca="false">MIN(1,Inputs!$D$8*(1+Inputs!$D$9)^(AV$247-1)*AV251*AV252)</f>
        <v>0.701166491666667</v>
      </c>
      <c r="AW254" s="74" t="n">
        <f aca="false">MIN(1,Inputs!$D$8*(1+Inputs!$D$9)^(AW$247-1)*AW251*AW252)</f>
        <v>0.701166491666667</v>
      </c>
      <c r="AX254" s="74" t="n">
        <f aca="false">MIN(1,Inputs!$D$8*(1+Inputs!$D$9)^(AX$247-1)*AX251*AX252)</f>
        <v>0.701166491666667</v>
      </c>
      <c r="AY254" s="74" t="n">
        <f aca="false">MIN(1,Inputs!$D$8*(1+Inputs!$D$9)^(AY$247-1)*AY251*AY252)</f>
        <v>0.722201486416667</v>
      </c>
      <c r="AZ254" s="74" t="n">
        <f aca="false">MIN(1,Inputs!$D$8*(1+Inputs!$D$9)^(AZ$247-1)*AZ251*AZ252)</f>
        <v>0.722201486416667</v>
      </c>
      <c r="BA254" s="74" t="n">
        <f aca="false">MIN(1,Inputs!$D$8*(1+Inputs!$D$9)^(BA$247-1)*BA251*BA252)</f>
        <v>0.722201486416667</v>
      </c>
      <c r="BB254" s="74" t="n">
        <f aca="false">MIN(1,Inputs!$D$8*(1+Inputs!$D$9)^(BB$247-1)*BB251*BB252)</f>
        <v>0.722201486416667</v>
      </c>
      <c r="BC254" s="74" t="n">
        <f aca="false">MIN(1,Inputs!$D$8*(1+Inputs!$D$9)^(BC$247-1)*BC251*BC252)</f>
        <v>0.722201486416667</v>
      </c>
      <c r="BD254" s="74" t="n">
        <f aca="false">MIN(1,Inputs!$D$8*(1+Inputs!$D$9)^(BD$247-1)*BD251*BD252)</f>
        <v>0.98482020875</v>
      </c>
      <c r="BE254" s="74" t="n">
        <f aca="false">MIN(1,Inputs!$D$8*(1+Inputs!$D$9)^(BE$247-1)*BE251*BE252)</f>
        <v>0.98482020875</v>
      </c>
      <c r="BF254" s="74" t="n">
        <f aca="false">MIN(1,Inputs!$D$8*(1+Inputs!$D$9)^(BF$247-1)*BF251*BF252)</f>
        <v>0.98482020875</v>
      </c>
      <c r="BG254" s="74" t="n">
        <f aca="false">MIN(1,Inputs!$D$8*(1+Inputs!$D$9)^(BG$247-1)*BG251*BG252)</f>
        <v>0.722201486416667</v>
      </c>
      <c r="BH254" s="74" t="n">
        <f aca="false">MIN(1,Inputs!$D$8*(1+Inputs!$D$9)^(BH$247-1)*BH251*BH252)</f>
        <v>0.722201486416667</v>
      </c>
      <c r="BI254" s="74" t="n">
        <f aca="false">MIN(1,Inputs!$D$8*(1+Inputs!$D$9)^(BI$247-1)*BI251*BI252)</f>
        <v>0.722201486416667</v>
      </c>
      <c r="BJ254" s="74" t="n">
        <f aca="false">MIN(1,Inputs!$D$8*(1+Inputs!$D$9)^(BJ$247-1)*BJ251*BJ252)</f>
        <v>0.722201486416667</v>
      </c>
    </row>
    <row r="255" customFormat="false" ht="15" hidden="false" customHeight="false" outlineLevel="0" collapsed="false">
      <c r="A255" s="4" t="s">
        <v>234</v>
      </c>
      <c r="C255" s="117" t="n">
        <f aca="false">C253*C254</f>
        <v>97.5333333333333</v>
      </c>
      <c r="D255" s="117" t="n">
        <f aca="false">D253*D254</f>
        <v>109.725</v>
      </c>
      <c r="E255" s="117" t="n">
        <f aca="false">E253*E254</f>
        <v>121.916666666667</v>
      </c>
      <c r="F255" s="117" t="n">
        <f aca="false">F253*F254</f>
        <v>134.108333333333</v>
      </c>
      <c r="G255" s="117" t="n">
        <f aca="false">G253*G254</f>
        <v>146.3</v>
      </c>
      <c r="H255" s="117" t="n">
        <f aca="false">H253*H254</f>
        <v>216.125</v>
      </c>
      <c r="I255" s="117" t="n">
        <f aca="false">I253*I254</f>
        <v>232.75</v>
      </c>
      <c r="J255" s="117" t="n">
        <f aca="false">J253*J254</f>
        <v>249.375</v>
      </c>
      <c r="K255" s="117" t="n">
        <f aca="false">K253*K254</f>
        <v>195.066666666667</v>
      </c>
      <c r="L255" s="117" t="n">
        <f aca="false">L253*L254</f>
        <v>195.066666666667</v>
      </c>
      <c r="M255" s="117" t="n">
        <f aca="false">M253*M254</f>
        <v>195.066666666667</v>
      </c>
      <c r="N255" s="117" t="n">
        <f aca="false">N253*N254</f>
        <v>195.066666666667</v>
      </c>
      <c r="O255" s="117" t="n">
        <f aca="false">O253*O254</f>
        <v>200.918666666667</v>
      </c>
      <c r="P255" s="117" t="n">
        <f aca="false">P253*P254</f>
        <v>200.918666666667</v>
      </c>
      <c r="Q255" s="117" t="n">
        <f aca="false">Q253*Q254</f>
        <v>200.918666666667</v>
      </c>
      <c r="R255" s="117" t="n">
        <f aca="false">R253*R254</f>
        <v>200.918666666667</v>
      </c>
      <c r="S255" s="117" t="n">
        <f aca="false">S253*S254</f>
        <v>200.918666666667</v>
      </c>
      <c r="T255" s="117" t="n">
        <f aca="false">T253*T254</f>
        <v>273.98</v>
      </c>
      <c r="U255" s="117" t="n">
        <f aca="false">U253*U254</f>
        <v>273.98</v>
      </c>
      <c r="V255" s="117" t="n">
        <f aca="false">V253*V254</f>
        <v>273.98</v>
      </c>
      <c r="W255" s="117" t="n">
        <f aca="false">W253*W254</f>
        <v>200.918666666667</v>
      </c>
      <c r="X255" s="117" t="n">
        <f aca="false">X253*X254</f>
        <v>200.918666666667</v>
      </c>
      <c r="Y255" s="117" t="n">
        <f aca="false">Y253*Y254</f>
        <v>200.918666666667</v>
      </c>
      <c r="Z255" s="117" t="n">
        <f aca="false">Z253*Z254</f>
        <v>200.918666666667</v>
      </c>
      <c r="AA255" s="117" t="n">
        <f aca="false">AA253*AA254</f>
        <v>206.946226666667</v>
      </c>
      <c r="AB255" s="117" t="n">
        <f aca="false">AB253*AB254</f>
        <v>206.946226666667</v>
      </c>
      <c r="AC255" s="117" t="n">
        <f aca="false">AC253*AC254</f>
        <v>206.946226666667</v>
      </c>
      <c r="AD255" s="117" t="n">
        <f aca="false">AD253*AD254</f>
        <v>206.946226666667</v>
      </c>
      <c r="AE255" s="117" t="n">
        <f aca="false">AE253*AE254</f>
        <v>206.946226666667</v>
      </c>
      <c r="AF255" s="117" t="n">
        <f aca="false">AF253*AF254</f>
        <v>282.1994</v>
      </c>
      <c r="AG255" s="117" t="n">
        <f aca="false">AG253*AG254</f>
        <v>282.1994</v>
      </c>
      <c r="AH255" s="117" t="n">
        <f aca="false">AH253*AH254</f>
        <v>282.1994</v>
      </c>
      <c r="AI255" s="117" t="n">
        <f aca="false">AI253*AI254</f>
        <v>206.946226666667</v>
      </c>
      <c r="AJ255" s="117" t="n">
        <f aca="false">AJ253*AJ254</f>
        <v>206.946226666667</v>
      </c>
      <c r="AK255" s="117" t="n">
        <f aca="false">AK253*AK254</f>
        <v>206.946226666667</v>
      </c>
      <c r="AL255" s="117" t="n">
        <f aca="false">AL253*AL254</f>
        <v>206.946226666667</v>
      </c>
      <c r="AM255" s="117" t="n">
        <f aca="false">AM253*AM254</f>
        <v>213.154613466667</v>
      </c>
      <c r="AN255" s="117" t="n">
        <f aca="false">AN253*AN254</f>
        <v>213.154613466667</v>
      </c>
      <c r="AO255" s="117" t="n">
        <f aca="false">AO253*AO254</f>
        <v>213.154613466667</v>
      </c>
      <c r="AP255" s="117" t="n">
        <f aca="false">AP253*AP254</f>
        <v>213.154613466667</v>
      </c>
      <c r="AQ255" s="117" t="n">
        <f aca="false">AQ253*AQ254</f>
        <v>213.154613466667</v>
      </c>
      <c r="AR255" s="117" t="n">
        <f aca="false">AR253*AR254</f>
        <v>290.665382</v>
      </c>
      <c r="AS255" s="117" t="n">
        <f aca="false">AS253*AS254</f>
        <v>290.665382</v>
      </c>
      <c r="AT255" s="117" t="n">
        <f aca="false">AT253*AT254</f>
        <v>290.665382</v>
      </c>
      <c r="AU255" s="117" t="n">
        <f aca="false">AU253*AU254</f>
        <v>213.154613466667</v>
      </c>
      <c r="AV255" s="117" t="n">
        <f aca="false">AV253*AV254</f>
        <v>213.154613466667</v>
      </c>
      <c r="AW255" s="117" t="n">
        <f aca="false">AW253*AW254</f>
        <v>213.154613466667</v>
      </c>
      <c r="AX255" s="117" t="n">
        <f aca="false">AX253*AX254</f>
        <v>213.154613466667</v>
      </c>
      <c r="AY255" s="117" t="n">
        <f aca="false">AY253*AY254</f>
        <v>219.549251870667</v>
      </c>
      <c r="AZ255" s="117" t="n">
        <f aca="false">AZ253*AZ254</f>
        <v>219.549251870667</v>
      </c>
      <c r="BA255" s="117" t="n">
        <f aca="false">BA253*BA254</f>
        <v>219.549251870667</v>
      </c>
      <c r="BB255" s="117" t="n">
        <f aca="false">BB253*BB254</f>
        <v>219.549251870667</v>
      </c>
      <c r="BC255" s="117" t="n">
        <f aca="false">BC253*BC254</f>
        <v>219.549251870667</v>
      </c>
      <c r="BD255" s="117" t="n">
        <f aca="false">BD253*BD254</f>
        <v>299.38534346</v>
      </c>
      <c r="BE255" s="117" t="n">
        <f aca="false">BE253*BE254</f>
        <v>299.38534346</v>
      </c>
      <c r="BF255" s="117" t="n">
        <f aca="false">BF253*BF254</f>
        <v>299.38534346</v>
      </c>
      <c r="BG255" s="117" t="n">
        <f aca="false">BG253*BG254</f>
        <v>219.549251870667</v>
      </c>
      <c r="BH255" s="117" t="n">
        <f aca="false">BH253*BH254</f>
        <v>219.549251870667</v>
      </c>
      <c r="BI255" s="117" t="n">
        <f aca="false">BI253*BI254</f>
        <v>219.549251870667</v>
      </c>
      <c r="BJ255" s="117" t="n">
        <f aca="false">BJ253*BJ254</f>
        <v>219.549251870667</v>
      </c>
    </row>
    <row r="256" customFormat="false" ht="15" hidden="false" customHeight="false" outlineLevel="0" collapsed="false">
      <c r="A256" s="6" t="s">
        <v>412</v>
      </c>
      <c r="C256" s="116" t="n">
        <f aca="false">IF(Inputs!$D$14&lt;=0,0,C255/Inputs!$D$14)</f>
        <v>37.5128205128205</v>
      </c>
      <c r="D256" s="116" t="n">
        <f aca="false">IF(Inputs!$D$14&lt;=0,0,D255/Inputs!$D$14)</f>
        <v>42.2019230769231</v>
      </c>
      <c r="E256" s="116" t="n">
        <f aca="false">IF(Inputs!$D$14&lt;=0,0,E255/Inputs!$D$14)</f>
        <v>46.8910256410256</v>
      </c>
      <c r="F256" s="116" t="n">
        <f aca="false">IF(Inputs!$D$14&lt;=0,0,F255/Inputs!$D$14)</f>
        <v>51.5801282051282</v>
      </c>
      <c r="G256" s="116" t="n">
        <f aca="false">IF(Inputs!$D$14&lt;=0,0,G255/Inputs!$D$14)</f>
        <v>56.2692307692308</v>
      </c>
      <c r="H256" s="116" t="n">
        <f aca="false">IF(Inputs!$D$14&lt;=0,0,H255/Inputs!$D$14)</f>
        <v>83.125</v>
      </c>
      <c r="I256" s="116" t="n">
        <f aca="false">IF(Inputs!$D$14&lt;=0,0,I255/Inputs!$D$14)</f>
        <v>89.5192307692308</v>
      </c>
      <c r="J256" s="116" t="n">
        <f aca="false">IF(Inputs!$D$14&lt;=0,0,J255/Inputs!$D$14)</f>
        <v>95.9134615384615</v>
      </c>
      <c r="K256" s="116" t="n">
        <f aca="false">IF(Inputs!$D$14&lt;=0,0,K255/Inputs!$D$14)</f>
        <v>75.025641025641</v>
      </c>
      <c r="L256" s="116" t="n">
        <f aca="false">IF(Inputs!$D$14&lt;=0,0,L255/Inputs!$D$14)</f>
        <v>75.025641025641</v>
      </c>
      <c r="M256" s="116" t="n">
        <f aca="false">IF(Inputs!$D$14&lt;=0,0,M255/Inputs!$D$14)</f>
        <v>75.025641025641</v>
      </c>
      <c r="N256" s="116" t="n">
        <f aca="false">IF(Inputs!$D$14&lt;=0,0,N255/Inputs!$D$14)</f>
        <v>75.025641025641</v>
      </c>
      <c r="O256" s="116" t="n">
        <f aca="false">IF(Inputs!$D$14&lt;=0,0,O255/Inputs!$D$14)</f>
        <v>77.2764102564102</v>
      </c>
      <c r="P256" s="116" t="n">
        <f aca="false">IF(Inputs!$D$14&lt;=0,0,P255/Inputs!$D$14)</f>
        <v>77.2764102564102</v>
      </c>
      <c r="Q256" s="116" t="n">
        <f aca="false">IF(Inputs!$D$14&lt;=0,0,Q255/Inputs!$D$14)</f>
        <v>77.2764102564102</v>
      </c>
      <c r="R256" s="116" t="n">
        <f aca="false">IF(Inputs!$D$14&lt;=0,0,R255/Inputs!$D$14)</f>
        <v>77.2764102564102</v>
      </c>
      <c r="S256" s="116" t="n">
        <f aca="false">IF(Inputs!$D$14&lt;=0,0,S255/Inputs!$D$14)</f>
        <v>77.2764102564102</v>
      </c>
      <c r="T256" s="116" t="n">
        <f aca="false">IF(Inputs!$D$14&lt;=0,0,T255/Inputs!$D$14)</f>
        <v>105.376923076923</v>
      </c>
      <c r="U256" s="116" t="n">
        <f aca="false">IF(Inputs!$D$14&lt;=0,0,U255/Inputs!$D$14)</f>
        <v>105.376923076923</v>
      </c>
      <c r="V256" s="116" t="n">
        <f aca="false">IF(Inputs!$D$14&lt;=0,0,V255/Inputs!$D$14)</f>
        <v>105.376923076923</v>
      </c>
      <c r="W256" s="116" t="n">
        <f aca="false">IF(Inputs!$D$14&lt;=0,0,W255/Inputs!$D$14)</f>
        <v>77.2764102564102</v>
      </c>
      <c r="X256" s="116" t="n">
        <f aca="false">IF(Inputs!$D$14&lt;=0,0,X255/Inputs!$D$14)</f>
        <v>77.2764102564102</v>
      </c>
      <c r="Y256" s="116" t="n">
        <f aca="false">IF(Inputs!$D$14&lt;=0,0,Y255/Inputs!$D$14)</f>
        <v>77.2764102564102</v>
      </c>
      <c r="Z256" s="116" t="n">
        <f aca="false">IF(Inputs!$D$14&lt;=0,0,Z255/Inputs!$D$14)</f>
        <v>77.2764102564102</v>
      </c>
      <c r="AA256" s="116" t="n">
        <f aca="false">IF(Inputs!$D$14&lt;=0,0,AA255/Inputs!$D$14)</f>
        <v>79.5947025641026</v>
      </c>
      <c r="AB256" s="116" t="n">
        <f aca="false">IF(Inputs!$D$14&lt;=0,0,AB255/Inputs!$D$14)</f>
        <v>79.5947025641026</v>
      </c>
      <c r="AC256" s="116" t="n">
        <f aca="false">IF(Inputs!$D$14&lt;=0,0,AC255/Inputs!$D$14)</f>
        <v>79.5947025641026</v>
      </c>
      <c r="AD256" s="116" t="n">
        <f aca="false">IF(Inputs!$D$14&lt;=0,0,AD255/Inputs!$D$14)</f>
        <v>79.5947025641026</v>
      </c>
      <c r="AE256" s="116" t="n">
        <f aca="false">IF(Inputs!$D$14&lt;=0,0,AE255/Inputs!$D$14)</f>
        <v>79.5947025641026</v>
      </c>
      <c r="AF256" s="116" t="n">
        <f aca="false">IF(Inputs!$D$14&lt;=0,0,AF255/Inputs!$D$14)</f>
        <v>108.538230769231</v>
      </c>
      <c r="AG256" s="116" t="n">
        <f aca="false">IF(Inputs!$D$14&lt;=0,0,AG255/Inputs!$D$14)</f>
        <v>108.538230769231</v>
      </c>
      <c r="AH256" s="116" t="n">
        <f aca="false">IF(Inputs!$D$14&lt;=0,0,AH255/Inputs!$D$14)</f>
        <v>108.538230769231</v>
      </c>
      <c r="AI256" s="116" t="n">
        <f aca="false">IF(Inputs!$D$14&lt;=0,0,AI255/Inputs!$D$14)</f>
        <v>79.5947025641026</v>
      </c>
      <c r="AJ256" s="116" t="n">
        <f aca="false">IF(Inputs!$D$14&lt;=0,0,AJ255/Inputs!$D$14)</f>
        <v>79.5947025641026</v>
      </c>
      <c r="AK256" s="116" t="n">
        <f aca="false">IF(Inputs!$D$14&lt;=0,0,AK255/Inputs!$D$14)</f>
        <v>79.5947025641026</v>
      </c>
      <c r="AL256" s="116" t="n">
        <f aca="false">IF(Inputs!$D$14&lt;=0,0,AL255/Inputs!$D$14)</f>
        <v>79.5947025641026</v>
      </c>
      <c r="AM256" s="116" t="n">
        <f aca="false">IF(Inputs!$D$14&lt;=0,0,AM255/Inputs!$D$14)</f>
        <v>81.9825436410256</v>
      </c>
      <c r="AN256" s="116" t="n">
        <f aca="false">IF(Inputs!$D$14&lt;=0,0,AN255/Inputs!$D$14)</f>
        <v>81.9825436410256</v>
      </c>
      <c r="AO256" s="116" t="n">
        <f aca="false">IF(Inputs!$D$14&lt;=0,0,AO255/Inputs!$D$14)</f>
        <v>81.9825436410256</v>
      </c>
      <c r="AP256" s="116" t="n">
        <f aca="false">IF(Inputs!$D$14&lt;=0,0,AP255/Inputs!$D$14)</f>
        <v>81.9825436410256</v>
      </c>
      <c r="AQ256" s="116" t="n">
        <f aca="false">IF(Inputs!$D$14&lt;=0,0,AQ255/Inputs!$D$14)</f>
        <v>81.9825436410256</v>
      </c>
      <c r="AR256" s="116" t="n">
        <f aca="false">IF(Inputs!$D$14&lt;=0,0,AR255/Inputs!$D$14)</f>
        <v>111.794377692308</v>
      </c>
      <c r="AS256" s="116" t="n">
        <f aca="false">IF(Inputs!$D$14&lt;=0,0,AS255/Inputs!$D$14)</f>
        <v>111.794377692308</v>
      </c>
      <c r="AT256" s="116" t="n">
        <f aca="false">IF(Inputs!$D$14&lt;=0,0,AT255/Inputs!$D$14)</f>
        <v>111.794377692308</v>
      </c>
      <c r="AU256" s="116" t="n">
        <f aca="false">IF(Inputs!$D$14&lt;=0,0,AU255/Inputs!$D$14)</f>
        <v>81.9825436410256</v>
      </c>
      <c r="AV256" s="116" t="n">
        <f aca="false">IF(Inputs!$D$14&lt;=0,0,AV255/Inputs!$D$14)</f>
        <v>81.9825436410256</v>
      </c>
      <c r="AW256" s="116" t="n">
        <f aca="false">IF(Inputs!$D$14&lt;=0,0,AW255/Inputs!$D$14)</f>
        <v>81.9825436410256</v>
      </c>
      <c r="AX256" s="116" t="n">
        <f aca="false">IF(Inputs!$D$14&lt;=0,0,AX255/Inputs!$D$14)</f>
        <v>81.9825436410256</v>
      </c>
      <c r="AY256" s="116" t="n">
        <f aca="false">IF(Inputs!$D$14&lt;=0,0,AY255/Inputs!$D$14)</f>
        <v>84.4420199502564</v>
      </c>
      <c r="AZ256" s="116" t="n">
        <f aca="false">IF(Inputs!$D$14&lt;=0,0,AZ255/Inputs!$D$14)</f>
        <v>84.4420199502564</v>
      </c>
      <c r="BA256" s="116" t="n">
        <f aca="false">IF(Inputs!$D$14&lt;=0,0,BA255/Inputs!$D$14)</f>
        <v>84.4420199502564</v>
      </c>
      <c r="BB256" s="116" t="n">
        <f aca="false">IF(Inputs!$D$14&lt;=0,0,BB255/Inputs!$D$14)</f>
        <v>84.4420199502564</v>
      </c>
      <c r="BC256" s="116" t="n">
        <f aca="false">IF(Inputs!$D$14&lt;=0,0,BC255/Inputs!$D$14)</f>
        <v>84.4420199502564</v>
      </c>
      <c r="BD256" s="116" t="n">
        <f aca="false">IF(Inputs!$D$14&lt;=0,0,BD255/Inputs!$D$14)</f>
        <v>115.148209023077</v>
      </c>
      <c r="BE256" s="116" t="n">
        <f aca="false">IF(Inputs!$D$14&lt;=0,0,BE255/Inputs!$D$14)</f>
        <v>115.148209023077</v>
      </c>
      <c r="BF256" s="116" t="n">
        <f aca="false">IF(Inputs!$D$14&lt;=0,0,BF255/Inputs!$D$14)</f>
        <v>115.148209023077</v>
      </c>
      <c r="BG256" s="116" t="n">
        <f aca="false">IF(Inputs!$D$14&lt;=0,0,BG255/Inputs!$D$14)</f>
        <v>84.4420199502564</v>
      </c>
      <c r="BH256" s="116" t="n">
        <f aca="false">IF(Inputs!$D$14&lt;=0,0,BH255/Inputs!$D$14)</f>
        <v>84.4420199502564</v>
      </c>
      <c r="BI256" s="116" t="n">
        <f aca="false">IF(Inputs!$D$14&lt;=0,0,BI255/Inputs!$D$14)</f>
        <v>84.4420199502564</v>
      </c>
      <c r="BJ256" s="116" t="n">
        <f aca="false">IF(Inputs!$D$14&lt;=0,0,BJ255/Inputs!$D$14)</f>
        <v>84.4420199502564</v>
      </c>
    </row>
    <row r="258" customFormat="false" ht="15.75" hidden="false" customHeight="true" outlineLevel="0" collapsed="false">
      <c r="A258" s="7" t="s">
        <v>44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customFormat="false" ht="15" hidden="false" customHeight="false" outlineLevel="0" collapsed="false">
      <c r="A259" s="6" t="s">
        <v>59</v>
      </c>
      <c r="C259" s="118" t="n">
        <f aca="false">Inputs!$D$17*(1+Inputs!$D$18)^(C$247-1)</f>
        <v>170</v>
      </c>
      <c r="D259" s="118" t="n">
        <f aca="false">Inputs!$D$17*(1+Inputs!$D$18)^(D$247-1)</f>
        <v>170</v>
      </c>
      <c r="E259" s="118" t="n">
        <f aca="false">Inputs!$D$17*(1+Inputs!$D$18)^(E$247-1)</f>
        <v>170</v>
      </c>
      <c r="F259" s="118" t="n">
        <f aca="false">Inputs!$D$17*(1+Inputs!$D$18)^(F$247-1)</f>
        <v>170</v>
      </c>
      <c r="G259" s="118" t="n">
        <f aca="false">Inputs!$D$17*(1+Inputs!$D$18)^(G$247-1)</f>
        <v>170</v>
      </c>
      <c r="H259" s="118" t="n">
        <f aca="false">Inputs!$D$17*(1+Inputs!$D$18)^(H$247-1)</f>
        <v>170</v>
      </c>
      <c r="I259" s="118" t="n">
        <f aca="false">Inputs!$D$17*(1+Inputs!$D$18)^(I$247-1)</f>
        <v>170</v>
      </c>
      <c r="J259" s="118" t="n">
        <f aca="false">Inputs!$D$17*(1+Inputs!$D$18)^(J$247-1)</f>
        <v>170</v>
      </c>
      <c r="K259" s="118" t="n">
        <f aca="false">Inputs!$D$17*(1+Inputs!$D$18)^(K$247-1)</f>
        <v>170</v>
      </c>
      <c r="L259" s="118" t="n">
        <f aca="false">Inputs!$D$17*(1+Inputs!$D$18)^(L$247-1)</f>
        <v>170</v>
      </c>
      <c r="M259" s="118" t="n">
        <f aca="false">Inputs!$D$17*(1+Inputs!$D$18)^(M$247-1)</f>
        <v>170</v>
      </c>
      <c r="N259" s="118" t="n">
        <f aca="false">Inputs!$D$17*(1+Inputs!$D$18)^(N$247-1)</f>
        <v>170</v>
      </c>
      <c r="O259" s="118" t="n">
        <f aca="false">Inputs!$D$17*(1+Inputs!$D$18)^(O$247-1)</f>
        <v>176.8</v>
      </c>
      <c r="P259" s="118" t="n">
        <f aca="false">Inputs!$D$17*(1+Inputs!$D$18)^(P$247-1)</f>
        <v>176.8</v>
      </c>
      <c r="Q259" s="118" t="n">
        <f aca="false">Inputs!$D$17*(1+Inputs!$D$18)^(Q$247-1)</f>
        <v>176.8</v>
      </c>
      <c r="R259" s="118" t="n">
        <f aca="false">Inputs!$D$17*(1+Inputs!$D$18)^(R$247-1)</f>
        <v>176.8</v>
      </c>
      <c r="S259" s="118" t="n">
        <f aca="false">Inputs!$D$17*(1+Inputs!$D$18)^(S$247-1)</f>
        <v>176.8</v>
      </c>
      <c r="T259" s="118" t="n">
        <f aca="false">Inputs!$D$17*(1+Inputs!$D$18)^(T$247-1)</f>
        <v>176.8</v>
      </c>
      <c r="U259" s="118" t="n">
        <f aca="false">Inputs!$D$17*(1+Inputs!$D$18)^(U$247-1)</f>
        <v>176.8</v>
      </c>
      <c r="V259" s="118" t="n">
        <f aca="false">Inputs!$D$17*(1+Inputs!$D$18)^(V$247-1)</f>
        <v>176.8</v>
      </c>
      <c r="W259" s="118" t="n">
        <f aca="false">Inputs!$D$17*(1+Inputs!$D$18)^(W$247-1)</f>
        <v>176.8</v>
      </c>
      <c r="X259" s="118" t="n">
        <f aca="false">Inputs!$D$17*(1+Inputs!$D$18)^(X$247-1)</f>
        <v>176.8</v>
      </c>
      <c r="Y259" s="118" t="n">
        <f aca="false">Inputs!$D$17*(1+Inputs!$D$18)^(Y$247-1)</f>
        <v>176.8</v>
      </c>
      <c r="Z259" s="118" t="n">
        <f aca="false">Inputs!$D$17*(1+Inputs!$D$18)^(Z$247-1)</f>
        <v>176.8</v>
      </c>
      <c r="AA259" s="118" t="n">
        <f aca="false">Inputs!$D$17*(1+Inputs!$D$18)^(AA$247-1)</f>
        <v>183.872</v>
      </c>
      <c r="AB259" s="118" t="n">
        <f aca="false">Inputs!$D$17*(1+Inputs!$D$18)^(AB$247-1)</f>
        <v>183.872</v>
      </c>
      <c r="AC259" s="118" t="n">
        <f aca="false">Inputs!$D$17*(1+Inputs!$D$18)^(AC$247-1)</f>
        <v>183.872</v>
      </c>
      <c r="AD259" s="118" t="n">
        <f aca="false">Inputs!$D$17*(1+Inputs!$D$18)^(AD$247-1)</f>
        <v>183.872</v>
      </c>
      <c r="AE259" s="118" t="n">
        <f aca="false">Inputs!$D$17*(1+Inputs!$D$18)^(AE$247-1)</f>
        <v>183.872</v>
      </c>
      <c r="AF259" s="118" t="n">
        <f aca="false">Inputs!$D$17*(1+Inputs!$D$18)^(AF$247-1)</f>
        <v>183.872</v>
      </c>
      <c r="AG259" s="118" t="n">
        <f aca="false">Inputs!$D$17*(1+Inputs!$D$18)^(AG$247-1)</f>
        <v>183.872</v>
      </c>
      <c r="AH259" s="118" t="n">
        <f aca="false">Inputs!$D$17*(1+Inputs!$D$18)^(AH$247-1)</f>
        <v>183.872</v>
      </c>
      <c r="AI259" s="118" t="n">
        <f aca="false">Inputs!$D$17*(1+Inputs!$D$18)^(AI$247-1)</f>
        <v>183.872</v>
      </c>
      <c r="AJ259" s="118" t="n">
        <f aca="false">Inputs!$D$17*(1+Inputs!$D$18)^(AJ$247-1)</f>
        <v>183.872</v>
      </c>
      <c r="AK259" s="118" t="n">
        <f aca="false">Inputs!$D$17*(1+Inputs!$D$18)^(AK$247-1)</f>
        <v>183.872</v>
      </c>
      <c r="AL259" s="118" t="n">
        <f aca="false">Inputs!$D$17*(1+Inputs!$D$18)^(AL$247-1)</f>
        <v>183.872</v>
      </c>
      <c r="AM259" s="118" t="n">
        <f aca="false">Inputs!$D$17*(1+Inputs!$D$18)^(AM$247-1)</f>
        <v>191.22688</v>
      </c>
      <c r="AN259" s="118" t="n">
        <f aca="false">Inputs!$D$17*(1+Inputs!$D$18)^(AN$247-1)</f>
        <v>191.22688</v>
      </c>
      <c r="AO259" s="118" t="n">
        <f aca="false">Inputs!$D$17*(1+Inputs!$D$18)^(AO$247-1)</f>
        <v>191.22688</v>
      </c>
      <c r="AP259" s="118" t="n">
        <f aca="false">Inputs!$D$17*(1+Inputs!$D$18)^(AP$247-1)</f>
        <v>191.22688</v>
      </c>
      <c r="AQ259" s="118" t="n">
        <f aca="false">Inputs!$D$17*(1+Inputs!$D$18)^(AQ$247-1)</f>
        <v>191.22688</v>
      </c>
      <c r="AR259" s="118" t="n">
        <f aca="false">Inputs!$D$17*(1+Inputs!$D$18)^(AR$247-1)</f>
        <v>191.22688</v>
      </c>
      <c r="AS259" s="118" t="n">
        <f aca="false">Inputs!$D$17*(1+Inputs!$D$18)^(AS$247-1)</f>
        <v>191.22688</v>
      </c>
      <c r="AT259" s="118" t="n">
        <f aca="false">Inputs!$D$17*(1+Inputs!$D$18)^(AT$247-1)</f>
        <v>191.22688</v>
      </c>
      <c r="AU259" s="118" t="n">
        <f aca="false">Inputs!$D$17*(1+Inputs!$D$18)^(AU$247-1)</f>
        <v>191.22688</v>
      </c>
      <c r="AV259" s="118" t="n">
        <f aca="false">Inputs!$D$17*(1+Inputs!$D$18)^(AV$247-1)</f>
        <v>191.22688</v>
      </c>
      <c r="AW259" s="118" t="n">
        <f aca="false">Inputs!$D$17*(1+Inputs!$D$18)^(AW$247-1)</f>
        <v>191.22688</v>
      </c>
      <c r="AX259" s="118" t="n">
        <f aca="false">Inputs!$D$17*(1+Inputs!$D$18)^(AX$247-1)</f>
        <v>191.22688</v>
      </c>
      <c r="AY259" s="118" t="n">
        <f aca="false">Inputs!$D$17*(1+Inputs!$D$18)^(AY$247-1)</f>
        <v>198.8759552</v>
      </c>
      <c r="AZ259" s="118" t="n">
        <f aca="false">Inputs!$D$17*(1+Inputs!$D$18)^(AZ$247-1)</f>
        <v>198.8759552</v>
      </c>
      <c r="BA259" s="118" t="n">
        <f aca="false">Inputs!$D$17*(1+Inputs!$D$18)^(BA$247-1)</f>
        <v>198.8759552</v>
      </c>
      <c r="BB259" s="118" t="n">
        <f aca="false">Inputs!$D$17*(1+Inputs!$D$18)^(BB$247-1)</f>
        <v>198.8759552</v>
      </c>
      <c r="BC259" s="118" t="n">
        <f aca="false">Inputs!$D$17*(1+Inputs!$D$18)^(BC$247-1)</f>
        <v>198.8759552</v>
      </c>
      <c r="BD259" s="118" t="n">
        <f aca="false">Inputs!$D$17*(1+Inputs!$D$18)^(BD$247-1)</f>
        <v>198.8759552</v>
      </c>
      <c r="BE259" s="118" t="n">
        <f aca="false">Inputs!$D$17*(1+Inputs!$D$18)^(BE$247-1)</f>
        <v>198.8759552</v>
      </c>
      <c r="BF259" s="118" t="n">
        <f aca="false">Inputs!$D$17*(1+Inputs!$D$18)^(BF$247-1)</f>
        <v>198.8759552</v>
      </c>
      <c r="BG259" s="118" t="n">
        <f aca="false">Inputs!$D$17*(1+Inputs!$D$18)^(BG$247-1)</f>
        <v>198.8759552</v>
      </c>
      <c r="BH259" s="118" t="n">
        <f aca="false">Inputs!$D$17*(1+Inputs!$D$18)^(BH$247-1)</f>
        <v>198.8759552</v>
      </c>
      <c r="BI259" s="118" t="n">
        <f aca="false">Inputs!$D$17*(1+Inputs!$D$18)^(BI$247-1)</f>
        <v>198.8759552</v>
      </c>
      <c r="BJ259" s="118" t="n">
        <f aca="false">Inputs!$D$17*(1+Inputs!$D$18)^(BJ$247-1)</f>
        <v>198.8759552</v>
      </c>
    </row>
    <row r="260" customFormat="false" ht="15" hidden="false" customHeight="false" outlineLevel="0" collapsed="false">
      <c r="A260" s="6" t="s">
        <v>235</v>
      </c>
      <c r="C260" s="67" t="n">
        <f aca="false">C255*C259</f>
        <v>16580.6666666667</v>
      </c>
      <c r="D260" s="67" t="n">
        <f aca="false">D255*D259</f>
        <v>18653.25</v>
      </c>
      <c r="E260" s="67" t="n">
        <f aca="false">E255*E259</f>
        <v>20725.8333333333</v>
      </c>
      <c r="F260" s="67" t="n">
        <f aca="false">F255*F259</f>
        <v>22798.4166666667</v>
      </c>
      <c r="G260" s="67" t="n">
        <f aca="false">G255*G259</f>
        <v>24871</v>
      </c>
      <c r="H260" s="67" t="n">
        <f aca="false">H255*H259</f>
        <v>36741.25</v>
      </c>
      <c r="I260" s="67" t="n">
        <f aca="false">I255*I259</f>
        <v>39567.5</v>
      </c>
      <c r="J260" s="67" t="n">
        <f aca="false">J255*J259</f>
        <v>42393.75</v>
      </c>
      <c r="K260" s="67" t="n">
        <f aca="false">K255*K259</f>
        <v>33161.3333333333</v>
      </c>
      <c r="L260" s="67" t="n">
        <f aca="false">L255*L259</f>
        <v>33161.3333333333</v>
      </c>
      <c r="M260" s="67" t="n">
        <f aca="false">M255*M259</f>
        <v>33161.3333333333</v>
      </c>
      <c r="N260" s="67" t="n">
        <f aca="false">N255*N259</f>
        <v>33161.3333333333</v>
      </c>
      <c r="O260" s="67" t="n">
        <f aca="false">O255*O259</f>
        <v>35522.4202666667</v>
      </c>
      <c r="P260" s="67" t="n">
        <f aca="false">P255*P259</f>
        <v>35522.4202666667</v>
      </c>
      <c r="Q260" s="67" t="n">
        <f aca="false">Q255*Q259</f>
        <v>35522.4202666667</v>
      </c>
      <c r="R260" s="67" t="n">
        <f aca="false">R255*R259</f>
        <v>35522.4202666667</v>
      </c>
      <c r="S260" s="67" t="n">
        <f aca="false">S255*S259</f>
        <v>35522.4202666667</v>
      </c>
      <c r="T260" s="67" t="n">
        <f aca="false">T255*T259</f>
        <v>48439.664</v>
      </c>
      <c r="U260" s="67" t="n">
        <f aca="false">U255*U259</f>
        <v>48439.664</v>
      </c>
      <c r="V260" s="67" t="n">
        <f aca="false">V255*V259</f>
        <v>48439.664</v>
      </c>
      <c r="W260" s="67" t="n">
        <f aca="false">W255*W259</f>
        <v>35522.4202666667</v>
      </c>
      <c r="X260" s="67" t="n">
        <f aca="false">X255*X259</f>
        <v>35522.4202666667</v>
      </c>
      <c r="Y260" s="67" t="n">
        <f aca="false">Y255*Y259</f>
        <v>35522.4202666667</v>
      </c>
      <c r="Z260" s="67" t="n">
        <f aca="false">Z255*Z259</f>
        <v>35522.4202666667</v>
      </c>
      <c r="AA260" s="67" t="n">
        <f aca="false">AA255*AA259</f>
        <v>38051.6165896533</v>
      </c>
      <c r="AB260" s="67" t="n">
        <f aca="false">AB255*AB259</f>
        <v>38051.6165896533</v>
      </c>
      <c r="AC260" s="67" t="n">
        <f aca="false">AC255*AC259</f>
        <v>38051.6165896533</v>
      </c>
      <c r="AD260" s="67" t="n">
        <f aca="false">AD255*AD259</f>
        <v>38051.6165896533</v>
      </c>
      <c r="AE260" s="67" t="n">
        <f aca="false">AE255*AE259</f>
        <v>38051.6165896533</v>
      </c>
      <c r="AF260" s="67" t="n">
        <f aca="false">AF255*AF259</f>
        <v>51888.5680768</v>
      </c>
      <c r="AG260" s="67" t="n">
        <f aca="false">AG255*AG259</f>
        <v>51888.5680768</v>
      </c>
      <c r="AH260" s="67" t="n">
        <f aca="false">AH255*AH259</f>
        <v>51888.5680768</v>
      </c>
      <c r="AI260" s="67" t="n">
        <f aca="false">AI255*AI259</f>
        <v>38051.6165896533</v>
      </c>
      <c r="AJ260" s="67" t="n">
        <f aca="false">AJ255*AJ259</f>
        <v>38051.6165896533</v>
      </c>
      <c r="AK260" s="67" t="n">
        <f aca="false">AK255*AK259</f>
        <v>38051.6165896533</v>
      </c>
      <c r="AL260" s="67" t="n">
        <f aca="false">AL255*AL259</f>
        <v>38051.6165896533</v>
      </c>
      <c r="AM260" s="67" t="n">
        <f aca="false">AM255*AM259</f>
        <v>40760.8916908367</v>
      </c>
      <c r="AN260" s="67" t="n">
        <f aca="false">AN255*AN259</f>
        <v>40760.8916908367</v>
      </c>
      <c r="AO260" s="67" t="n">
        <f aca="false">AO255*AO259</f>
        <v>40760.8916908367</v>
      </c>
      <c r="AP260" s="67" t="n">
        <f aca="false">AP255*AP259</f>
        <v>40760.8916908367</v>
      </c>
      <c r="AQ260" s="67" t="n">
        <f aca="false">AQ255*AQ259</f>
        <v>40760.8916908367</v>
      </c>
      <c r="AR260" s="67" t="n">
        <f aca="false">AR255*AR259</f>
        <v>55583.0341238682</v>
      </c>
      <c r="AS260" s="67" t="n">
        <f aca="false">AS255*AS259</f>
        <v>55583.0341238682</v>
      </c>
      <c r="AT260" s="67" t="n">
        <f aca="false">AT255*AT259</f>
        <v>55583.0341238682</v>
      </c>
      <c r="AU260" s="67" t="n">
        <f aca="false">AU255*AU259</f>
        <v>40760.8916908367</v>
      </c>
      <c r="AV260" s="67" t="n">
        <f aca="false">AV255*AV259</f>
        <v>40760.8916908367</v>
      </c>
      <c r="AW260" s="67" t="n">
        <f aca="false">AW255*AW259</f>
        <v>40760.8916908367</v>
      </c>
      <c r="AX260" s="67" t="n">
        <f aca="false">AX255*AX259</f>
        <v>40760.8916908367</v>
      </c>
      <c r="AY260" s="67" t="n">
        <f aca="false">AY255*AY259</f>
        <v>43663.0671792242</v>
      </c>
      <c r="AZ260" s="67" t="n">
        <f aca="false">AZ255*AZ259</f>
        <v>43663.0671792242</v>
      </c>
      <c r="BA260" s="67" t="n">
        <f aca="false">BA255*BA259</f>
        <v>43663.0671792242</v>
      </c>
      <c r="BB260" s="67" t="n">
        <f aca="false">BB255*BB259</f>
        <v>43663.0671792242</v>
      </c>
      <c r="BC260" s="67" t="n">
        <f aca="false">BC255*BC259</f>
        <v>43663.0671792242</v>
      </c>
      <c r="BD260" s="67" t="n">
        <f aca="false">BD255*BD259</f>
        <v>59540.5461534876</v>
      </c>
      <c r="BE260" s="67" t="n">
        <f aca="false">BE255*BE259</f>
        <v>59540.5461534876</v>
      </c>
      <c r="BF260" s="67" t="n">
        <f aca="false">BF255*BF259</f>
        <v>59540.5461534876</v>
      </c>
      <c r="BG260" s="67" t="n">
        <f aca="false">BG255*BG259</f>
        <v>43663.0671792242</v>
      </c>
      <c r="BH260" s="67" t="n">
        <f aca="false">BH255*BH259</f>
        <v>43663.0671792242</v>
      </c>
      <c r="BI260" s="67" t="n">
        <f aca="false">BI255*BI259</f>
        <v>43663.0671792242</v>
      </c>
      <c r="BJ260" s="67" t="n">
        <f aca="false">BJ255*BJ259</f>
        <v>43663.0671792242</v>
      </c>
    </row>
    <row r="261" customFormat="false" ht="15" hidden="false" customHeight="false" outlineLevel="0" collapsed="false">
      <c r="A261" s="6" t="s">
        <v>236</v>
      </c>
      <c r="C261" s="67" t="n">
        <f aca="false">C255*Inputs!$D$19*(1+Inputs!$D$18)^(C$247-1)</f>
        <v>1463</v>
      </c>
      <c r="D261" s="67" t="n">
        <f aca="false">D255*Inputs!$D$19*(1+Inputs!$D$18)^(D$247-1)</f>
        <v>1645.875</v>
      </c>
      <c r="E261" s="67" t="n">
        <f aca="false">E255*Inputs!$D$19*(1+Inputs!$D$18)^(E$247-1)</f>
        <v>1828.75</v>
      </c>
      <c r="F261" s="67" t="n">
        <f aca="false">F255*Inputs!$D$19*(1+Inputs!$D$18)^(F$247-1)</f>
        <v>2011.625</v>
      </c>
      <c r="G261" s="67" t="n">
        <f aca="false">G255*Inputs!$D$19*(1+Inputs!$D$18)^(G$247-1)</f>
        <v>2194.5</v>
      </c>
      <c r="H261" s="67" t="n">
        <f aca="false">H255*Inputs!$D$19*(1+Inputs!$D$18)^(H$247-1)</f>
        <v>3241.875</v>
      </c>
      <c r="I261" s="67" t="n">
        <f aca="false">I255*Inputs!$D$19*(1+Inputs!$D$18)^(I$247-1)</f>
        <v>3491.25</v>
      </c>
      <c r="J261" s="67" t="n">
        <f aca="false">J255*Inputs!$D$19*(1+Inputs!$D$18)^(J$247-1)</f>
        <v>3740.625</v>
      </c>
      <c r="K261" s="67" t="n">
        <f aca="false">K255*Inputs!$D$19*(1+Inputs!$D$18)^(K$247-1)</f>
        <v>2926</v>
      </c>
      <c r="L261" s="67" t="n">
        <f aca="false">L255*Inputs!$D$19*(1+Inputs!$D$18)^(L$247-1)</f>
        <v>2926</v>
      </c>
      <c r="M261" s="67" t="n">
        <f aca="false">M255*Inputs!$D$19*(1+Inputs!$D$18)^(M$247-1)</f>
        <v>2926</v>
      </c>
      <c r="N261" s="67" t="n">
        <f aca="false">N255*Inputs!$D$19*(1+Inputs!$D$18)^(N$247-1)</f>
        <v>2926</v>
      </c>
      <c r="O261" s="67" t="n">
        <f aca="false">O255*Inputs!$D$19*(1+Inputs!$D$18)^(O$247-1)</f>
        <v>3134.3312</v>
      </c>
      <c r="P261" s="67" t="n">
        <f aca="false">P255*Inputs!$D$19*(1+Inputs!$D$18)^(P$247-1)</f>
        <v>3134.3312</v>
      </c>
      <c r="Q261" s="67" t="n">
        <f aca="false">Q255*Inputs!$D$19*(1+Inputs!$D$18)^(Q$247-1)</f>
        <v>3134.3312</v>
      </c>
      <c r="R261" s="67" t="n">
        <f aca="false">R255*Inputs!$D$19*(1+Inputs!$D$18)^(R$247-1)</f>
        <v>3134.3312</v>
      </c>
      <c r="S261" s="67" t="n">
        <f aca="false">S255*Inputs!$D$19*(1+Inputs!$D$18)^(S$247-1)</f>
        <v>3134.3312</v>
      </c>
      <c r="T261" s="67" t="n">
        <f aca="false">T255*Inputs!$D$19*(1+Inputs!$D$18)^(T$247-1)</f>
        <v>4274.088</v>
      </c>
      <c r="U261" s="67" t="n">
        <f aca="false">U255*Inputs!$D$19*(1+Inputs!$D$18)^(U$247-1)</f>
        <v>4274.088</v>
      </c>
      <c r="V261" s="67" t="n">
        <f aca="false">V255*Inputs!$D$19*(1+Inputs!$D$18)^(V$247-1)</f>
        <v>4274.088</v>
      </c>
      <c r="W261" s="67" t="n">
        <f aca="false">W255*Inputs!$D$19*(1+Inputs!$D$18)^(W$247-1)</f>
        <v>3134.3312</v>
      </c>
      <c r="X261" s="67" t="n">
        <f aca="false">X255*Inputs!$D$19*(1+Inputs!$D$18)^(X$247-1)</f>
        <v>3134.3312</v>
      </c>
      <c r="Y261" s="67" t="n">
        <f aca="false">Y255*Inputs!$D$19*(1+Inputs!$D$18)^(Y$247-1)</f>
        <v>3134.3312</v>
      </c>
      <c r="Z261" s="67" t="n">
        <f aca="false">Z255*Inputs!$D$19*(1+Inputs!$D$18)^(Z$247-1)</f>
        <v>3134.3312</v>
      </c>
      <c r="AA261" s="67" t="n">
        <f aca="false">AA255*Inputs!$D$19*(1+Inputs!$D$18)^(AA$247-1)</f>
        <v>3357.49558144</v>
      </c>
      <c r="AB261" s="67" t="n">
        <f aca="false">AB255*Inputs!$D$19*(1+Inputs!$D$18)^(AB$247-1)</f>
        <v>3357.49558144</v>
      </c>
      <c r="AC261" s="67" t="n">
        <f aca="false">AC255*Inputs!$D$19*(1+Inputs!$D$18)^(AC$247-1)</f>
        <v>3357.49558144</v>
      </c>
      <c r="AD261" s="67" t="n">
        <f aca="false">AD255*Inputs!$D$19*(1+Inputs!$D$18)^(AD$247-1)</f>
        <v>3357.49558144</v>
      </c>
      <c r="AE261" s="67" t="n">
        <f aca="false">AE255*Inputs!$D$19*(1+Inputs!$D$18)^(AE$247-1)</f>
        <v>3357.49558144</v>
      </c>
      <c r="AF261" s="67" t="n">
        <f aca="false">AF255*Inputs!$D$19*(1+Inputs!$D$18)^(AF$247-1)</f>
        <v>4578.4030656</v>
      </c>
      <c r="AG261" s="67" t="n">
        <f aca="false">AG255*Inputs!$D$19*(1+Inputs!$D$18)^(AG$247-1)</f>
        <v>4578.4030656</v>
      </c>
      <c r="AH261" s="67" t="n">
        <f aca="false">AH255*Inputs!$D$19*(1+Inputs!$D$18)^(AH$247-1)</f>
        <v>4578.4030656</v>
      </c>
      <c r="AI261" s="67" t="n">
        <f aca="false">AI255*Inputs!$D$19*(1+Inputs!$D$18)^(AI$247-1)</f>
        <v>3357.49558144</v>
      </c>
      <c r="AJ261" s="67" t="n">
        <f aca="false">AJ255*Inputs!$D$19*(1+Inputs!$D$18)^(AJ$247-1)</f>
        <v>3357.49558144</v>
      </c>
      <c r="AK261" s="67" t="n">
        <f aca="false">AK255*Inputs!$D$19*(1+Inputs!$D$18)^(AK$247-1)</f>
        <v>3357.49558144</v>
      </c>
      <c r="AL261" s="67" t="n">
        <f aca="false">AL255*Inputs!$D$19*(1+Inputs!$D$18)^(AL$247-1)</f>
        <v>3357.49558144</v>
      </c>
      <c r="AM261" s="67" t="n">
        <f aca="false">AM255*Inputs!$D$19*(1+Inputs!$D$18)^(AM$247-1)</f>
        <v>3596.54926683853</v>
      </c>
      <c r="AN261" s="67" t="n">
        <f aca="false">AN255*Inputs!$D$19*(1+Inputs!$D$18)^(AN$247-1)</f>
        <v>3596.54926683853</v>
      </c>
      <c r="AO261" s="67" t="n">
        <f aca="false">AO255*Inputs!$D$19*(1+Inputs!$D$18)^(AO$247-1)</f>
        <v>3596.54926683853</v>
      </c>
      <c r="AP261" s="67" t="n">
        <f aca="false">AP255*Inputs!$D$19*(1+Inputs!$D$18)^(AP$247-1)</f>
        <v>3596.54926683853</v>
      </c>
      <c r="AQ261" s="67" t="n">
        <f aca="false">AQ255*Inputs!$D$19*(1+Inputs!$D$18)^(AQ$247-1)</f>
        <v>3596.54926683853</v>
      </c>
      <c r="AR261" s="67" t="n">
        <f aca="false">AR255*Inputs!$D$19*(1+Inputs!$D$18)^(AR$247-1)</f>
        <v>4904.38536387072</v>
      </c>
      <c r="AS261" s="67" t="n">
        <f aca="false">AS255*Inputs!$D$19*(1+Inputs!$D$18)^(AS$247-1)</f>
        <v>4904.38536387072</v>
      </c>
      <c r="AT261" s="67" t="n">
        <f aca="false">AT255*Inputs!$D$19*(1+Inputs!$D$18)^(AT$247-1)</f>
        <v>4904.38536387072</v>
      </c>
      <c r="AU261" s="67" t="n">
        <f aca="false">AU255*Inputs!$D$19*(1+Inputs!$D$18)^(AU$247-1)</f>
        <v>3596.54926683853</v>
      </c>
      <c r="AV261" s="67" t="n">
        <f aca="false">AV255*Inputs!$D$19*(1+Inputs!$D$18)^(AV$247-1)</f>
        <v>3596.54926683853</v>
      </c>
      <c r="AW261" s="67" t="n">
        <f aca="false">AW255*Inputs!$D$19*(1+Inputs!$D$18)^(AW$247-1)</f>
        <v>3596.54926683853</v>
      </c>
      <c r="AX261" s="67" t="n">
        <f aca="false">AX255*Inputs!$D$19*(1+Inputs!$D$18)^(AX$247-1)</f>
        <v>3596.54926683853</v>
      </c>
      <c r="AY261" s="67" t="n">
        <f aca="false">AY255*Inputs!$D$19*(1+Inputs!$D$18)^(AY$247-1)</f>
        <v>3852.62357463743</v>
      </c>
      <c r="AZ261" s="67" t="n">
        <f aca="false">AZ255*Inputs!$D$19*(1+Inputs!$D$18)^(AZ$247-1)</f>
        <v>3852.62357463743</v>
      </c>
      <c r="BA261" s="67" t="n">
        <f aca="false">BA255*Inputs!$D$19*(1+Inputs!$D$18)^(BA$247-1)</f>
        <v>3852.62357463743</v>
      </c>
      <c r="BB261" s="67" t="n">
        <f aca="false">BB255*Inputs!$D$19*(1+Inputs!$D$18)^(BB$247-1)</f>
        <v>3852.62357463743</v>
      </c>
      <c r="BC261" s="67" t="n">
        <f aca="false">BC255*Inputs!$D$19*(1+Inputs!$D$18)^(BC$247-1)</f>
        <v>3852.62357463743</v>
      </c>
      <c r="BD261" s="67" t="n">
        <f aca="false">BD255*Inputs!$D$19*(1+Inputs!$D$18)^(BD$247-1)</f>
        <v>5253.57760177832</v>
      </c>
      <c r="BE261" s="67" t="n">
        <f aca="false">BE255*Inputs!$D$19*(1+Inputs!$D$18)^(BE$247-1)</f>
        <v>5253.57760177832</v>
      </c>
      <c r="BF261" s="67" t="n">
        <f aca="false">BF255*Inputs!$D$19*(1+Inputs!$D$18)^(BF$247-1)</f>
        <v>5253.57760177832</v>
      </c>
      <c r="BG261" s="67" t="n">
        <f aca="false">BG255*Inputs!$D$19*(1+Inputs!$D$18)^(BG$247-1)</f>
        <v>3852.62357463743</v>
      </c>
      <c r="BH261" s="67" t="n">
        <f aca="false">BH255*Inputs!$D$19*(1+Inputs!$D$18)^(BH$247-1)</f>
        <v>3852.62357463743</v>
      </c>
      <c r="BI261" s="67" t="n">
        <f aca="false">BI255*Inputs!$D$19*(1+Inputs!$D$18)^(BI$247-1)</f>
        <v>3852.62357463743</v>
      </c>
      <c r="BJ261" s="67" t="n">
        <f aca="false">BJ255*Inputs!$D$19*(1+Inputs!$D$18)^(BJ$247-1)</f>
        <v>3852.62357463743</v>
      </c>
    </row>
    <row r="262" customFormat="false" ht="15" hidden="false" customHeight="false" outlineLevel="0" collapsed="false">
      <c r="A262" s="111" t="s">
        <v>44</v>
      </c>
      <c r="C262" s="68" t="n">
        <f aca="false">C260+C261</f>
        <v>18043.6666666667</v>
      </c>
      <c r="D262" s="68" t="n">
        <f aca="false">D260+D261</f>
        <v>20299.125</v>
      </c>
      <c r="E262" s="68" t="n">
        <f aca="false">E260+E261</f>
        <v>22554.5833333333</v>
      </c>
      <c r="F262" s="68" t="n">
        <f aca="false">F260+F261</f>
        <v>24810.0416666667</v>
      </c>
      <c r="G262" s="68" t="n">
        <f aca="false">G260+G261</f>
        <v>27065.5</v>
      </c>
      <c r="H262" s="68" t="n">
        <f aca="false">H260+H261</f>
        <v>39983.125</v>
      </c>
      <c r="I262" s="68" t="n">
        <f aca="false">I260+I261</f>
        <v>43058.75</v>
      </c>
      <c r="J262" s="68" t="n">
        <f aca="false">J260+J261</f>
        <v>46134.375</v>
      </c>
      <c r="K262" s="68" t="n">
        <f aca="false">K260+K261</f>
        <v>36087.3333333333</v>
      </c>
      <c r="L262" s="68" t="n">
        <f aca="false">L260+L261</f>
        <v>36087.3333333333</v>
      </c>
      <c r="M262" s="68" t="n">
        <f aca="false">M260+M261</f>
        <v>36087.3333333333</v>
      </c>
      <c r="N262" s="68" t="n">
        <f aca="false">N260+N261</f>
        <v>36087.3333333333</v>
      </c>
      <c r="O262" s="68" t="n">
        <f aca="false">O260+O261</f>
        <v>38656.7514666667</v>
      </c>
      <c r="P262" s="68" t="n">
        <f aca="false">P260+P261</f>
        <v>38656.7514666667</v>
      </c>
      <c r="Q262" s="68" t="n">
        <f aca="false">Q260+Q261</f>
        <v>38656.7514666667</v>
      </c>
      <c r="R262" s="68" t="n">
        <f aca="false">R260+R261</f>
        <v>38656.7514666667</v>
      </c>
      <c r="S262" s="68" t="n">
        <f aca="false">S260+S261</f>
        <v>38656.7514666667</v>
      </c>
      <c r="T262" s="68" t="n">
        <f aca="false">T260+T261</f>
        <v>52713.752</v>
      </c>
      <c r="U262" s="68" t="n">
        <f aca="false">U260+U261</f>
        <v>52713.752</v>
      </c>
      <c r="V262" s="68" t="n">
        <f aca="false">V260+V261</f>
        <v>52713.752</v>
      </c>
      <c r="W262" s="68" t="n">
        <f aca="false">W260+W261</f>
        <v>38656.7514666667</v>
      </c>
      <c r="X262" s="68" t="n">
        <f aca="false">X260+X261</f>
        <v>38656.7514666667</v>
      </c>
      <c r="Y262" s="68" t="n">
        <f aca="false">Y260+Y261</f>
        <v>38656.7514666667</v>
      </c>
      <c r="Z262" s="68" t="n">
        <f aca="false">Z260+Z261</f>
        <v>38656.7514666667</v>
      </c>
      <c r="AA262" s="68" t="n">
        <f aca="false">AA260+AA261</f>
        <v>41409.1121710933</v>
      </c>
      <c r="AB262" s="68" t="n">
        <f aca="false">AB260+AB261</f>
        <v>41409.1121710933</v>
      </c>
      <c r="AC262" s="68" t="n">
        <f aca="false">AC260+AC261</f>
        <v>41409.1121710933</v>
      </c>
      <c r="AD262" s="68" t="n">
        <f aca="false">AD260+AD261</f>
        <v>41409.1121710933</v>
      </c>
      <c r="AE262" s="68" t="n">
        <f aca="false">AE260+AE261</f>
        <v>41409.1121710933</v>
      </c>
      <c r="AF262" s="68" t="n">
        <f aca="false">AF260+AF261</f>
        <v>56466.9711424</v>
      </c>
      <c r="AG262" s="68" t="n">
        <f aca="false">AG260+AG261</f>
        <v>56466.9711424</v>
      </c>
      <c r="AH262" s="68" t="n">
        <f aca="false">AH260+AH261</f>
        <v>56466.9711424</v>
      </c>
      <c r="AI262" s="68" t="n">
        <f aca="false">AI260+AI261</f>
        <v>41409.1121710933</v>
      </c>
      <c r="AJ262" s="68" t="n">
        <f aca="false">AJ260+AJ261</f>
        <v>41409.1121710933</v>
      </c>
      <c r="AK262" s="68" t="n">
        <f aca="false">AK260+AK261</f>
        <v>41409.1121710933</v>
      </c>
      <c r="AL262" s="68" t="n">
        <f aca="false">AL260+AL261</f>
        <v>41409.1121710933</v>
      </c>
      <c r="AM262" s="68" t="n">
        <f aca="false">AM260+AM261</f>
        <v>44357.4409576752</v>
      </c>
      <c r="AN262" s="68" t="n">
        <f aca="false">AN260+AN261</f>
        <v>44357.4409576752</v>
      </c>
      <c r="AO262" s="68" t="n">
        <f aca="false">AO260+AO261</f>
        <v>44357.4409576752</v>
      </c>
      <c r="AP262" s="68" t="n">
        <f aca="false">AP260+AP261</f>
        <v>44357.4409576752</v>
      </c>
      <c r="AQ262" s="68" t="n">
        <f aca="false">AQ260+AQ261</f>
        <v>44357.4409576752</v>
      </c>
      <c r="AR262" s="68" t="n">
        <f aca="false">AR260+AR261</f>
        <v>60487.4194877389</v>
      </c>
      <c r="AS262" s="68" t="n">
        <f aca="false">AS260+AS261</f>
        <v>60487.4194877389</v>
      </c>
      <c r="AT262" s="68" t="n">
        <f aca="false">AT260+AT261</f>
        <v>60487.4194877389</v>
      </c>
      <c r="AU262" s="68" t="n">
        <f aca="false">AU260+AU261</f>
        <v>44357.4409576752</v>
      </c>
      <c r="AV262" s="68" t="n">
        <f aca="false">AV260+AV261</f>
        <v>44357.4409576752</v>
      </c>
      <c r="AW262" s="68" t="n">
        <f aca="false">AW260+AW261</f>
        <v>44357.4409576752</v>
      </c>
      <c r="AX262" s="68" t="n">
        <f aca="false">AX260+AX261</f>
        <v>44357.4409576752</v>
      </c>
      <c r="AY262" s="68" t="n">
        <f aca="false">AY260+AY261</f>
        <v>47515.6907538617</v>
      </c>
      <c r="AZ262" s="68" t="n">
        <f aca="false">AZ260+AZ261</f>
        <v>47515.6907538617</v>
      </c>
      <c r="BA262" s="68" t="n">
        <f aca="false">BA260+BA261</f>
        <v>47515.6907538617</v>
      </c>
      <c r="BB262" s="68" t="n">
        <f aca="false">BB260+BB261</f>
        <v>47515.6907538617</v>
      </c>
      <c r="BC262" s="68" t="n">
        <f aca="false">BC260+BC261</f>
        <v>47515.6907538617</v>
      </c>
      <c r="BD262" s="68" t="n">
        <f aca="false">BD260+BD261</f>
        <v>64794.1237552659</v>
      </c>
      <c r="BE262" s="68" t="n">
        <f aca="false">BE260+BE261</f>
        <v>64794.1237552659</v>
      </c>
      <c r="BF262" s="68" t="n">
        <f aca="false">BF260+BF261</f>
        <v>64794.1237552659</v>
      </c>
      <c r="BG262" s="68" t="n">
        <f aca="false">BG260+BG261</f>
        <v>47515.6907538617</v>
      </c>
      <c r="BH262" s="68" t="n">
        <f aca="false">BH260+BH261</f>
        <v>47515.6907538617</v>
      </c>
      <c r="BI262" s="68" t="n">
        <f aca="false">BI260+BI261</f>
        <v>47515.6907538617</v>
      </c>
      <c r="BJ262" s="68" t="n">
        <f aca="false">BJ260+BJ261</f>
        <v>47515.6907538617</v>
      </c>
    </row>
    <row r="264" customFormat="false" ht="15.75" hidden="false" customHeight="true" outlineLevel="0" collapsed="false">
      <c r="A264" s="7" t="s">
        <v>76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customFormat="false" ht="15" hidden="false" customHeight="false" outlineLevel="0" collapsed="false">
      <c r="A265" s="6" t="s">
        <v>413</v>
      </c>
      <c r="C265" s="67" t="n">
        <f aca="false">C358</f>
        <v>-4600</v>
      </c>
      <c r="D265" s="67" t="n">
        <f aca="false">D358</f>
        <v>-4600</v>
      </c>
      <c r="E265" s="67" t="n">
        <f aca="false">E358</f>
        <v>-4600</v>
      </c>
      <c r="F265" s="67" t="n">
        <f aca="false">F358</f>
        <v>-4600</v>
      </c>
      <c r="G265" s="67" t="n">
        <f aca="false">G358</f>
        <v>-4600</v>
      </c>
      <c r="H265" s="67" t="n">
        <f aca="false">H358</f>
        <v>-4600</v>
      </c>
      <c r="I265" s="67" t="n">
        <f aca="false">I358</f>
        <v>-4600</v>
      </c>
      <c r="J265" s="67" t="n">
        <f aca="false">J358</f>
        <v>-4600</v>
      </c>
      <c r="K265" s="67" t="n">
        <f aca="false">K358</f>
        <v>-4600</v>
      </c>
      <c r="L265" s="67" t="n">
        <f aca="false">L358</f>
        <v>-4600</v>
      </c>
      <c r="M265" s="67" t="n">
        <f aca="false">M358</f>
        <v>-4600</v>
      </c>
      <c r="N265" s="67" t="n">
        <f aca="false">N358</f>
        <v>-4600</v>
      </c>
      <c r="O265" s="67" t="n">
        <f aca="false">O358</f>
        <v>-4738</v>
      </c>
      <c r="P265" s="67" t="n">
        <f aca="false">P358</f>
        <v>-4738</v>
      </c>
      <c r="Q265" s="67" t="n">
        <f aca="false">Q358</f>
        <v>-4738</v>
      </c>
      <c r="R265" s="67" t="n">
        <f aca="false">R358</f>
        <v>-4738</v>
      </c>
      <c r="S265" s="67" t="n">
        <f aca="false">S358</f>
        <v>-4738</v>
      </c>
      <c r="T265" s="67" t="n">
        <f aca="false">T358</f>
        <v>-4738</v>
      </c>
      <c r="U265" s="67" t="n">
        <f aca="false">U358</f>
        <v>-4738</v>
      </c>
      <c r="V265" s="67" t="n">
        <f aca="false">V358</f>
        <v>-4738</v>
      </c>
      <c r="W265" s="67" t="n">
        <f aca="false">W358</f>
        <v>-4738</v>
      </c>
      <c r="X265" s="67" t="n">
        <f aca="false">X358</f>
        <v>-4738</v>
      </c>
      <c r="Y265" s="67" t="n">
        <f aca="false">Y358</f>
        <v>-4738</v>
      </c>
      <c r="Z265" s="67" t="n">
        <f aca="false">Z358</f>
        <v>-4738</v>
      </c>
      <c r="AA265" s="67" t="n">
        <f aca="false">AA358</f>
        <v>-4880.14</v>
      </c>
      <c r="AB265" s="67" t="n">
        <f aca="false">AB358</f>
        <v>-4880.14</v>
      </c>
      <c r="AC265" s="67" t="n">
        <f aca="false">AC358</f>
        <v>-4880.14</v>
      </c>
      <c r="AD265" s="67" t="n">
        <f aca="false">AD358</f>
        <v>-4880.14</v>
      </c>
      <c r="AE265" s="67" t="n">
        <f aca="false">AE358</f>
        <v>-4880.14</v>
      </c>
      <c r="AF265" s="67" t="n">
        <f aca="false">AF358</f>
        <v>-4880.14</v>
      </c>
      <c r="AG265" s="67" t="n">
        <f aca="false">AG358</f>
        <v>-4880.14</v>
      </c>
      <c r="AH265" s="67" t="n">
        <f aca="false">AH358</f>
        <v>-4880.14</v>
      </c>
      <c r="AI265" s="67" t="n">
        <f aca="false">AI358</f>
        <v>-4880.14</v>
      </c>
      <c r="AJ265" s="67" t="n">
        <f aca="false">AJ358</f>
        <v>-4880.14</v>
      </c>
      <c r="AK265" s="67" t="n">
        <f aca="false">AK358</f>
        <v>-4880.14</v>
      </c>
      <c r="AL265" s="67" t="n">
        <f aca="false">AL358</f>
        <v>-4880.14</v>
      </c>
      <c r="AM265" s="67" t="n">
        <f aca="false">AM358</f>
        <v>-5026.5442</v>
      </c>
      <c r="AN265" s="67" t="n">
        <f aca="false">AN358</f>
        <v>-5026.5442</v>
      </c>
      <c r="AO265" s="67" t="n">
        <f aca="false">AO358</f>
        <v>-5026.5442</v>
      </c>
      <c r="AP265" s="67" t="n">
        <f aca="false">AP358</f>
        <v>-5026.5442</v>
      </c>
      <c r="AQ265" s="67" t="n">
        <f aca="false">AQ358</f>
        <v>-5026.5442</v>
      </c>
      <c r="AR265" s="67" t="n">
        <f aca="false">AR358</f>
        <v>-5026.5442</v>
      </c>
      <c r="AS265" s="67" t="n">
        <f aca="false">AS358</f>
        <v>-5026.5442</v>
      </c>
      <c r="AT265" s="67" t="n">
        <f aca="false">AT358</f>
        <v>-5026.5442</v>
      </c>
      <c r="AU265" s="67" t="n">
        <f aca="false">AU358</f>
        <v>-5026.5442</v>
      </c>
      <c r="AV265" s="67" t="n">
        <f aca="false">AV358</f>
        <v>-5026.5442</v>
      </c>
      <c r="AW265" s="67" t="n">
        <f aca="false">AW358</f>
        <v>-5026.5442</v>
      </c>
      <c r="AX265" s="67" t="n">
        <f aca="false">AX358</f>
        <v>-5026.5442</v>
      </c>
      <c r="AY265" s="67" t="n">
        <f aca="false">AY358</f>
        <v>-5177.340526</v>
      </c>
      <c r="AZ265" s="67" t="n">
        <f aca="false">AZ358</f>
        <v>-5177.340526</v>
      </c>
      <c r="BA265" s="67" t="n">
        <f aca="false">BA358</f>
        <v>-5177.340526</v>
      </c>
      <c r="BB265" s="67" t="n">
        <f aca="false">BB358</f>
        <v>-5177.340526</v>
      </c>
      <c r="BC265" s="67" t="n">
        <f aca="false">BC358</f>
        <v>-5177.340526</v>
      </c>
      <c r="BD265" s="67" t="n">
        <f aca="false">BD358</f>
        <v>-5177.340526</v>
      </c>
      <c r="BE265" s="67" t="n">
        <f aca="false">BE358</f>
        <v>-5177.340526</v>
      </c>
      <c r="BF265" s="67" t="n">
        <f aca="false">BF358</f>
        <v>-5177.340526</v>
      </c>
      <c r="BG265" s="67" t="n">
        <f aca="false">BG358</f>
        <v>-5177.340526</v>
      </c>
      <c r="BH265" s="67" t="n">
        <f aca="false">BH358</f>
        <v>-5177.340526</v>
      </c>
      <c r="BI265" s="67" t="n">
        <f aca="false">BI358</f>
        <v>-5177.340526</v>
      </c>
      <c r="BJ265" s="67" t="n">
        <f aca="false">BJ358</f>
        <v>-5177.340526</v>
      </c>
    </row>
    <row r="266" customFormat="false" ht="15" hidden="false" customHeight="false" outlineLevel="0" collapsed="false">
      <c r="A266" s="6" t="s">
        <v>414</v>
      </c>
      <c r="C266" s="67" t="n">
        <f aca="false">-C260*Inputs!$D$25*Inputs!$D$26</f>
        <v>-1044.582</v>
      </c>
      <c r="D266" s="67" t="n">
        <f aca="false">-D260*Inputs!$D$25*Inputs!$D$26</f>
        <v>-1175.15475</v>
      </c>
      <c r="E266" s="67" t="n">
        <f aca="false">-E260*Inputs!$D$25*Inputs!$D$26</f>
        <v>-1305.7275</v>
      </c>
      <c r="F266" s="67" t="n">
        <f aca="false">-F260*Inputs!$D$25*Inputs!$D$26</f>
        <v>-1436.30025</v>
      </c>
      <c r="G266" s="67" t="n">
        <f aca="false">-G260*Inputs!$D$25*Inputs!$D$26</f>
        <v>-1566.873</v>
      </c>
      <c r="H266" s="67" t="n">
        <f aca="false">-H260*Inputs!$D$25*Inputs!$D$26</f>
        <v>-2314.69875</v>
      </c>
      <c r="I266" s="67" t="n">
        <f aca="false">-I260*Inputs!$D$25*Inputs!$D$26</f>
        <v>-2492.7525</v>
      </c>
      <c r="J266" s="67" t="n">
        <f aca="false">-J260*Inputs!$D$25*Inputs!$D$26</f>
        <v>-2670.80625</v>
      </c>
      <c r="K266" s="67" t="n">
        <f aca="false">-K260*Inputs!$D$25*Inputs!$D$26</f>
        <v>-2089.164</v>
      </c>
      <c r="L266" s="67" t="n">
        <f aca="false">-L260*Inputs!$D$25*Inputs!$D$26</f>
        <v>-2089.164</v>
      </c>
      <c r="M266" s="67" t="n">
        <f aca="false">-M260*Inputs!$D$25*Inputs!$D$26</f>
        <v>-2089.164</v>
      </c>
      <c r="N266" s="67" t="n">
        <f aca="false">-N260*Inputs!$D$25*Inputs!$D$26</f>
        <v>-2089.164</v>
      </c>
      <c r="O266" s="67" t="n">
        <f aca="false">-O260*Inputs!$D$25*Inputs!$D$26</f>
        <v>-2237.9124768</v>
      </c>
      <c r="P266" s="67" t="n">
        <f aca="false">-P260*Inputs!$D$25*Inputs!$D$26</f>
        <v>-2237.9124768</v>
      </c>
      <c r="Q266" s="67" t="n">
        <f aca="false">-Q260*Inputs!$D$25*Inputs!$D$26</f>
        <v>-2237.9124768</v>
      </c>
      <c r="R266" s="67" t="n">
        <f aca="false">-R260*Inputs!$D$25*Inputs!$D$26</f>
        <v>-2237.9124768</v>
      </c>
      <c r="S266" s="67" t="n">
        <f aca="false">-S260*Inputs!$D$25*Inputs!$D$26</f>
        <v>-2237.9124768</v>
      </c>
      <c r="T266" s="67" t="n">
        <f aca="false">-T260*Inputs!$D$25*Inputs!$D$26</f>
        <v>-3051.698832</v>
      </c>
      <c r="U266" s="67" t="n">
        <f aca="false">-U260*Inputs!$D$25*Inputs!$D$26</f>
        <v>-3051.698832</v>
      </c>
      <c r="V266" s="67" t="n">
        <f aca="false">-V260*Inputs!$D$25*Inputs!$D$26</f>
        <v>-3051.698832</v>
      </c>
      <c r="W266" s="67" t="n">
        <f aca="false">-W260*Inputs!$D$25*Inputs!$D$26</f>
        <v>-2237.9124768</v>
      </c>
      <c r="X266" s="67" t="n">
        <f aca="false">-X260*Inputs!$D$25*Inputs!$D$26</f>
        <v>-2237.9124768</v>
      </c>
      <c r="Y266" s="67" t="n">
        <f aca="false">-Y260*Inputs!$D$25*Inputs!$D$26</f>
        <v>-2237.9124768</v>
      </c>
      <c r="Z266" s="67" t="n">
        <f aca="false">-Z260*Inputs!$D$25*Inputs!$D$26</f>
        <v>-2237.9124768</v>
      </c>
      <c r="AA266" s="67" t="n">
        <f aca="false">-AA260*Inputs!$D$25*Inputs!$D$26</f>
        <v>-2397.25184514816</v>
      </c>
      <c r="AB266" s="67" t="n">
        <f aca="false">-AB260*Inputs!$D$25*Inputs!$D$26</f>
        <v>-2397.25184514816</v>
      </c>
      <c r="AC266" s="67" t="n">
        <f aca="false">-AC260*Inputs!$D$25*Inputs!$D$26</f>
        <v>-2397.25184514816</v>
      </c>
      <c r="AD266" s="67" t="n">
        <f aca="false">-AD260*Inputs!$D$25*Inputs!$D$26</f>
        <v>-2397.25184514816</v>
      </c>
      <c r="AE266" s="67" t="n">
        <f aca="false">-AE260*Inputs!$D$25*Inputs!$D$26</f>
        <v>-2397.25184514816</v>
      </c>
      <c r="AF266" s="67" t="n">
        <f aca="false">-AF260*Inputs!$D$25*Inputs!$D$26</f>
        <v>-3268.9797888384</v>
      </c>
      <c r="AG266" s="67" t="n">
        <f aca="false">-AG260*Inputs!$D$25*Inputs!$D$26</f>
        <v>-3268.9797888384</v>
      </c>
      <c r="AH266" s="67" t="n">
        <f aca="false">-AH260*Inputs!$D$25*Inputs!$D$26</f>
        <v>-3268.9797888384</v>
      </c>
      <c r="AI266" s="67" t="n">
        <f aca="false">-AI260*Inputs!$D$25*Inputs!$D$26</f>
        <v>-2397.25184514816</v>
      </c>
      <c r="AJ266" s="67" t="n">
        <f aca="false">-AJ260*Inputs!$D$25*Inputs!$D$26</f>
        <v>-2397.25184514816</v>
      </c>
      <c r="AK266" s="67" t="n">
        <f aca="false">-AK260*Inputs!$D$25*Inputs!$D$26</f>
        <v>-2397.25184514816</v>
      </c>
      <c r="AL266" s="67" t="n">
        <f aca="false">-AL260*Inputs!$D$25*Inputs!$D$26</f>
        <v>-2397.25184514816</v>
      </c>
      <c r="AM266" s="67" t="n">
        <f aca="false">-AM260*Inputs!$D$25*Inputs!$D$26</f>
        <v>-2567.93617652271</v>
      </c>
      <c r="AN266" s="67" t="n">
        <f aca="false">-AN260*Inputs!$D$25*Inputs!$D$26</f>
        <v>-2567.93617652271</v>
      </c>
      <c r="AO266" s="67" t="n">
        <f aca="false">-AO260*Inputs!$D$25*Inputs!$D$26</f>
        <v>-2567.93617652271</v>
      </c>
      <c r="AP266" s="67" t="n">
        <f aca="false">-AP260*Inputs!$D$25*Inputs!$D$26</f>
        <v>-2567.93617652271</v>
      </c>
      <c r="AQ266" s="67" t="n">
        <f aca="false">-AQ260*Inputs!$D$25*Inputs!$D$26</f>
        <v>-2567.93617652271</v>
      </c>
      <c r="AR266" s="67" t="n">
        <f aca="false">-AR260*Inputs!$D$25*Inputs!$D$26</f>
        <v>-3501.7311498037</v>
      </c>
      <c r="AS266" s="67" t="n">
        <f aca="false">-AS260*Inputs!$D$25*Inputs!$D$26</f>
        <v>-3501.7311498037</v>
      </c>
      <c r="AT266" s="67" t="n">
        <f aca="false">-AT260*Inputs!$D$25*Inputs!$D$26</f>
        <v>-3501.7311498037</v>
      </c>
      <c r="AU266" s="67" t="n">
        <f aca="false">-AU260*Inputs!$D$25*Inputs!$D$26</f>
        <v>-2567.93617652271</v>
      </c>
      <c r="AV266" s="67" t="n">
        <f aca="false">-AV260*Inputs!$D$25*Inputs!$D$26</f>
        <v>-2567.93617652271</v>
      </c>
      <c r="AW266" s="67" t="n">
        <f aca="false">-AW260*Inputs!$D$25*Inputs!$D$26</f>
        <v>-2567.93617652271</v>
      </c>
      <c r="AX266" s="67" t="n">
        <f aca="false">-AX260*Inputs!$D$25*Inputs!$D$26</f>
        <v>-2567.93617652271</v>
      </c>
      <c r="AY266" s="67" t="n">
        <f aca="false">-AY260*Inputs!$D$25*Inputs!$D$26</f>
        <v>-2750.77323229113</v>
      </c>
      <c r="AZ266" s="67" t="n">
        <f aca="false">-AZ260*Inputs!$D$25*Inputs!$D$26</f>
        <v>-2750.77323229113</v>
      </c>
      <c r="BA266" s="67" t="n">
        <f aca="false">-BA260*Inputs!$D$25*Inputs!$D$26</f>
        <v>-2750.77323229113</v>
      </c>
      <c r="BB266" s="67" t="n">
        <f aca="false">-BB260*Inputs!$D$25*Inputs!$D$26</f>
        <v>-2750.77323229113</v>
      </c>
      <c r="BC266" s="67" t="n">
        <f aca="false">-BC260*Inputs!$D$25*Inputs!$D$26</f>
        <v>-2750.77323229113</v>
      </c>
      <c r="BD266" s="67" t="n">
        <f aca="false">-BD260*Inputs!$D$25*Inputs!$D$26</f>
        <v>-3751.05440766972</v>
      </c>
      <c r="BE266" s="67" t="n">
        <f aca="false">-BE260*Inputs!$D$25*Inputs!$D$26</f>
        <v>-3751.05440766972</v>
      </c>
      <c r="BF266" s="67" t="n">
        <f aca="false">-BF260*Inputs!$D$25*Inputs!$D$26</f>
        <v>-3751.05440766972</v>
      </c>
      <c r="BG266" s="67" t="n">
        <f aca="false">-BG260*Inputs!$D$25*Inputs!$D$26</f>
        <v>-2750.77323229113</v>
      </c>
      <c r="BH266" s="67" t="n">
        <f aca="false">-BH260*Inputs!$D$25*Inputs!$D$26</f>
        <v>-2750.77323229113</v>
      </c>
      <c r="BI266" s="67" t="n">
        <f aca="false">-BI260*Inputs!$D$25*Inputs!$D$26</f>
        <v>-2750.77323229113</v>
      </c>
      <c r="BJ266" s="67" t="n">
        <f aca="false">-BJ260*Inputs!$D$25*Inputs!$D$26</f>
        <v>-2750.77323229113</v>
      </c>
    </row>
    <row r="267" customFormat="false" ht="15" hidden="false" customHeight="false" outlineLevel="0" collapsed="false">
      <c r="A267" s="6" t="s">
        <v>415</v>
      </c>
      <c r="C267" s="67" t="n">
        <f aca="false">-C261*Inputs!$D$22</f>
        <v>-658.35</v>
      </c>
      <c r="D267" s="67" t="n">
        <f aca="false">-D261*Inputs!$D$22</f>
        <v>-740.64375</v>
      </c>
      <c r="E267" s="67" t="n">
        <f aca="false">-E261*Inputs!$D$22</f>
        <v>-822.9375</v>
      </c>
      <c r="F267" s="67" t="n">
        <f aca="false">-F261*Inputs!$D$22</f>
        <v>-905.23125</v>
      </c>
      <c r="G267" s="67" t="n">
        <f aca="false">-G261*Inputs!$D$22</f>
        <v>-987.525</v>
      </c>
      <c r="H267" s="67" t="n">
        <f aca="false">-H261*Inputs!$D$22</f>
        <v>-1458.84375</v>
      </c>
      <c r="I267" s="67" t="n">
        <f aca="false">-I261*Inputs!$D$22</f>
        <v>-1571.0625</v>
      </c>
      <c r="J267" s="67" t="n">
        <f aca="false">-J261*Inputs!$D$22</f>
        <v>-1683.28125</v>
      </c>
      <c r="K267" s="67" t="n">
        <f aca="false">-K261*Inputs!$D$22</f>
        <v>-1316.7</v>
      </c>
      <c r="L267" s="67" t="n">
        <f aca="false">-L261*Inputs!$D$22</f>
        <v>-1316.7</v>
      </c>
      <c r="M267" s="67" t="n">
        <f aca="false">-M261*Inputs!$D$22</f>
        <v>-1316.7</v>
      </c>
      <c r="N267" s="67" t="n">
        <f aca="false">-N261*Inputs!$D$22</f>
        <v>-1316.7</v>
      </c>
      <c r="O267" s="67" t="n">
        <f aca="false">-O261*Inputs!$D$22</f>
        <v>-1410.44904</v>
      </c>
      <c r="P267" s="67" t="n">
        <f aca="false">-P261*Inputs!$D$22</f>
        <v>-1410.44904</v>
      </c>
      <c r="Q267" s="67" t="n">
        <f aca="false">-Q261*Inputs!$D$22</f>
        <v>-1410.44904</v>
      </c>
      <c r="R267" s="67" t="n">
        <f aca="false">-R261*Inputs!$D$22</f>
        <v>-1410.44904</v>
      </c>
      <c r="S267" s="67" t="n">
        <f aca="false">-S261*Inputs!$D$22</f>
        <v>-1410.44904</v>
      </c>
      <c r="T267" s="67" t="n">
        <f aca="false">-T261*Inputs!$D$22</f>
        <v>-1923.3396</v>
      </c>
      <c r="U267" s="67" t="n">
        <f aca="false">-U261*Inputs!$D$22</f>
        <v>-1923.3396</v>
      </c>
      <c r="V267" s="67" t="n">
        <f aca="false">-V261*Inputs!$D$22</f>
        <v>-1923.3396</v>
      </c>
      <c r="W267" s="67" t="n">
        <f aca="false">-W261*Inputs!$D$22</f>
        <v>-1410.44904</v>
      </c>
      <c r="X267" s="67" t="n">
        <f aca="false">-X261*Inputs!$D$22</f>
        <v>-1410.44904</v>
      </c>
      <c r="Y267" s="67" t="n">
        <f aca="false">-Y261*Inputs!$D$22</f>
        <v>-1410.44904</v>
      </c>
      <c r="Z267" s="67" t="n">
        <f aca="false">-Z261*Inputs!$D$22</f>
        <v>-1410.44904</v>
      </c>
      <c r="AA267" s="67" t="n">
        <f aca="false">-AA261*Inputs!$D$22</f>
        <v>-1510.873011648</v>
      </c>
      <c r="AB267" s="67" t="n">
        <f aca="false">-AB261*Inputs!$D$22</f>
        <v>-1510.873011648</v>
      </c>
      <c r="AC267" s="67" t="n">
        <f aca="false">-AC261*Inputs!$D$22</f>
        <v>-1510.873011648</v>
      </c>
      <c r="AD267" s="67" t="n">
        <f aca="false">-AD261*Inputs!$D$22</f>
        <v>-1510.873011648</v>
      </c>
      <c r="AE267" s="67" t="n">
        <f aca="false">-AE261*Inputs!$D$22</f>
        <v>-1510.873011648</v>
      </c>
      <c r="AF267" s="67" t="n">
        <f aca="false">-AF261*Inputs!$D$22</f>
        <v>-2060.28137952</v>
      </c>
      <c r="AG267" s="67" t="n">
        <f aca="false">-AG261*Inputs!$D$22</f>
        <v>-2060.28137952</v>
      </c>
      <c r="AH267" s="67" t="n">
        <f aca="false">-AH261*Inputs!$D$22</f>
        <v>-2060.28137952</v>
      </c>
      <c r="AI267" s="67" t="n">
        <f aca="false">-AI261*Inputs!$D$22</f>
        <v>-1510.873011648</v>
      </c>
      <c r="AJ267" s="67" t="n">
        <f aca="false">-AJ261*Inputs!$D$22</f>
        <v>-1510.873011648</v>
      </c>
      <c r="AK267" s="67" t="n">
        <f aca="false">-AK261*Inputs!$D$22</f>
        <v>-1510.873011648</v>
      </c>
      <c r="AL267" s="67" t="n">
        <f aca="false">-AL261*Inputs!$D$22</f>
        <v>-1510.873011648</v>
      </c>
      <c r="AM267" s="67" t="n">
        <f aca="false">-AM261*Inputs!$D$22</f>
        <v>-1618.44717007734</v>
      </c>
      <c r="AN267" s="67" t="n">
        <f aca="false">-AN261*Inputs!$D$22</f>
        <v>-1618.44717007734</v>
      </c>
      <c r="AO267" s="67" t="n">
        <f aca="false">-AO261*Inputs!$D$22</f>
        <v>-1618.44717007734</v>
      </c>
      <c r="AP267" s="67" t="n">
        <f aca="false">-AP261*Inputs!$D$22</f>
        <v>-1618.44717007734</v>
      </c>
      <c r="AQ267" s="67" t="n">
        <f aca="false">-AQ261*Inputs!$D$22</f>
        <v>-1618.44717007734</v>
      </c>
      <c r="AR267" s="67" t="n">
        <f aca="false">-AR261*Inputs!$D$22</f>
        <v>-2206.97341374182</v>
      </c>
      <c r="AS267" s="67" t="n">
        <f aca="false">-AS261*Inputs!$D$22</f>
        <v>-2206.97341374182</v>
      </c>
      <c r="AT267" s="67" t="n">
        <f aca="false">-AT261*Inputs!$D$22</f>
        <v>-2206.97341374182</v>
      </c>
      <c r="AU267" s="67" t="n">
        <f aca="false">-AU261*Inputs!$D$22</f>
        <v>-1618.44717007734</v>
      </c>
      <c r="AV267" s="67" t="n">
        <f aca="false">-AV261*Inputs!$D$22</f>
        <v>-1618.44717007734</v>
      </c>
      <c r="AW267" s="67" t="n">
        <f aca="false">-AW261*Inputs!$D$22</f>
        <v>-1618.44717007734</v>
      </c>
      <c r="AX267" s="67" t="n">
        <f aca="false">-AX261*Inputs!$D$22</f>
        <v>-1618.44717007734</v>
      </c>
      <c r="AY267" s="67" t="n">
        <f aca="false">-AY261*Inputs!$D$22</f>
        <v>-1733.68060858684</v>
      </c>
      <c r="AZ267" s="67" t="n">
        <f aca="false">-AZ261*Inputs!$D$22</f>
        <v>-1733.68060858684</v>
      </c>
      <c r="BA267" s="67" t="n">
        <f aca="false">-BA261*Inputs!$D$22</f>
        <v>-1733.68060858684</v>
      </c>
      <c r="BB267" s="67" t="n">
        <f aca="false">-BB261*Inputs!$D$22</f>
        <v>-1733.68060858684</v>
      </c>
      <c r="BC267" s="67" t="n">
        <f aca="false">-BC261*Inputs!$D$22</f>
        <v>-1733.68060858684</v>
      </c>
      <c r="BD267" s="67" t="n">
        <f aca="false">-BD261*Inputs!$D$22</f>
        <v>-2364.10992080024</v>
      </c>
      <c r="BE267" s="67" t="n">
        <f aca="false">-BE261*Inputs!$D$22</f>
        <v>-2364.10992080024</v>
      </c>
      <c r="BF267" s="67" t="n">
        <f aca="false">-BF261*Inputs!$D$22</f>
        <v>-2364.10992080024</v>
      </c>
      <c r="BG267" s="67" t="n">
        <f aca="false">-BG261*Inputs!$D$22</f>
        <v>-1733.68060858684</v>
      </c>
      <c r="BH267" s="67" t="n">
        <f aca="false">-BH261*Inputs!$D$22</f>
        <v>-1733.68060858684</v>
      </c>
      <c r="BI267" s="67" t="n">
        <f aca="false">-BI261*Inputs!$D$22</f>
        <v>-1733.68060858684</v>
      </c>
      <c r="BJ267" s="67" t="n">
        <f aca="false">-BJ261*Inputs!$D$22</f>
        <v>-1733.68060858684</v>
      </c>
    </row>
    <row r="268" customFormat="false" ht="15" hidden="false" customHeight="false" outlineLevel="0" collapsed="false">
      <c r="A268" s="6" t="s">
        <v>416</v>
      </c>
      <c r="C268" s="67" t="n">
        <f aca="false">-C256*Inputs!$D$23*(1+Inputs!$D$39)^(C$247-1)</f>
        <v>-712.74358974359</v>
      </c>
      <c r="D268" s="67" t="n">
        <f aca="false">-D256*Inputs!$D$23*(1+Inputs!$D$39)^(D$247-1)</f>
        <v>-801.836538461538</v>
      </c>
      <c r="E268" s="67" t="n">
        <f aca="false">-E256*Inputs!$D$23*(1+Inputs!$D$39)^(E$247-1)</f>
        <v>-890.929487179487</v>
      </c>
      <c r="F268" s="67" t="n">
        <f aca="false">-F256*Inputs!$D$23*(1+Inputs!$D$39)^(F$247-1)</f>
        <v>-980.022435897436</v>
      </c>
      <c r="G268" s="67" t="n">
        <f aca="false">-G256*Inputs!$D$23*(1+Inputs!$D$39)^(G$247-1)</f>
        <v>-1069.11538461538</v>
      </c>
      <c r="H268" s="67" t="n">
        <f aca="false">-H256*Inputs!$D$23*(1+Inputs!$D$39)^(H$247-1)</f>
        <v>-1579.375</v>
      </c>
      <c r="I268" s="67" t="n">
        <f aca="false">-I256*Inputs!$D$23*(1+Inputs!$D$39)^(I$247-1)</f>
        <v>-1700.86538461538</v>
      </c>
      <c r="J268" s="67" t="n">
        <f aca="false">-J256*Inputs!$D$23*(1+Inputs!$D$39)^(J$247-1)</f>
        <v>-1822.35576923077</v>
      </c>
      <c r="K268" s="67" t="n">
        <f aca="false">-K256*Inputs!$D$23*(1+Inputs!$D$39)^(K$247-1)</f>
        <v>-1425.48717948718</v>
      </c>
      <c r="L268" s="67" t="n">
        <f aca="false">-L256*Inputs!$D$23*(1+Inputs!$D$39)^(L$247-1)</f>
        <v>-1425.48717948718</v>
      </c>
      <c r="M268" s="67" t="n">
        <f aca="false">-M256*Inputs!$D$23*(1+Inputs!$D$39)^(M$247-1)</f>
        <v>-1425.48717948718</v>
      </c>
      <c r="N268" s="67" t="n">
        <f aca="false">-N256*Inputs!$D$23*(1+Inputs!$D$39)^(N$247-1)</f>
        <v>-1425.48717948718</v>
      </c>
      <c r="O268" s="67" t="n">
        <f aca="false">-O256*Inputs!$D$23*(1+Inputs!$D$39)^(O$247-1)</f>
        <v>-1504.95808974359</v>
      </c>
      <c r="P268" s="67" t="n">
        <f aca="false">-P256*Inputs!$D$23*(1+Inputs!$D$39)^(P$247-1)</f>
        <v>-1504.95808974359</v>
      </c>
      <c r="Q268" s="67" t="n">
        <f aca="false">-Q256*Inputs!$D$23*(1+Inputs!$D$39)^(Q$247-1)</f>
        <v>-1504.95808974359</v>
      </c>
      <c r="R268" s="67" t="n">
        <f aca="false">-R256*Inputs!$D$23*(1+Inputs!$D$39)^(R$247-1)</f>
        <v>-1504.95808974359</v>
      </c>
      <c r="S268" s="67" t="n">
        <f aca="false">-S256*Inputs!$D$23*(1+Inputs!$D$39)^(S$247-1)</f>
        <v>-1504.95808974359</v>
      </c>
      <c r="T268" s="67" t="n">
        <f aca="false">-T256*Inputs!$D$23*(1+Inputs!$D$39)^(T$247-1)</f>
        <v>-2052.21557692308</v>
      </c>
      <c r="U268" s="67" t="n">
        <f aca="false">-U256*Inputs!$D$23*(1+Inputs!$D$39)^(U$247-1)</f>
        <v>-2052.21557692308</v>
      </c>
      <c r="V268" s="67" t="n">
        <f aca="false">-V256*Inputs!$D$23*(1+Inputs!$D$39)^(V$247-1)</f>
        <v>-2052.21557692308</v>
      </c>
      <c r="W268" s="67" t="n">
        <f aca="false">-W256*Inputs!$D$23*(1+Inputs!$D$39)^(W$247-1)</f>
        <v>-1504.95808974359</v>
      </c>
      <c r="X268" s="67" t="n">
        <f aca="false">-X256*Inputs!$D$23*(1+Inputs!$D$39)^(X$247-1)</f>
        <v>-1504.95808974359</v>
      </c>
      <c r="Y268" s="67" t="n">
        <f aca="false">-Y256*Inputs!$D$23*(1+Inputs!$D$39)^(Y$247-1)</f>
        <v>-1504.95808974359</v>
      </c>
      <c r="Z268" s="67" t="n">
        <f aca="false">-Z256*Inputs!$D$23*(1+Inputs!$D$39)^(Z$247-1)</f>
        <v>-1504.95808974359</v>
      </c>
      <c r="AA268" s="67" t="n">
        <f aca="false">-AA256*Inputs!$D$23*(1+Inputs!$D$39)^(AA$247-1)</f>
        <v>-1588.85950324679</v>
      </c>
      <c r="AB268" s="67" t="n">
        <f aca="false">-AB256*Inputs!$D$23*(1+Inputs!$D$39)^(AB$247-1)</f>
        <v>-1588.85950324679</v>
      </c>
      <c r="AC268" s="67" t="n">
        <f aca="false">-AC256*Inputs!$D$23*(1+Inputs!$D$39)^(AC$247-1)</f>
        <v>-1588.85950324679</v>
      </c>
      <c r="AD268" s="67" t="n">
        <f aca="false">-AD256*Inputs!$D$23*(1+Inputs!$D$39)^(AD$247-1)</f>
        <v>-1588.85950324679</v>
      </c>
      <c r="AE268" s="67" t="n">
        <f aca="false">-AE256*Inputs!$D$23*(1+Inputs!$D$39)^(AE$247-1)</f>
        <v>-1588.85950324679</v>
      </c>
      <c r="AF268" s="67" t="n">
        <f aca="false">-AF256*Inputs!$D$23*(1+Inputs!$D$39)^(AF$247-1)</f>
        <v>-2166.62659533654</v>
      </c>
      <c r="AG268" s="67" t="n">
        <f aca="false">-AG256*Inputs!$D$23*(1+Inputs!$D$39)^(AG$247-1)</f>
        <v>-2166.62659533654</v>
      </c>
      <c r="AH268" s="67" t="n">
        <f aca="false">-AH256*Inputs!$D$23*(1+Inputs!$D$39)^(AH$247-1)</f>
        <v>-2166.62659533654</v>
      </c>
      <c r="AI268" s="67" t="n">
        <f aca="false">-AI256*Inputs!$D$23*(1+Inputs!$D$39)^(AI$247-1)</f>
        <v>-1588.85950324679</v>
      </c>
      <c r="AJ268" s="67" t="n">
        <f aca="false">-AJ256*Inputs!$D$23*(1+Inputs!$D$39)^(AJ$247-1)</f>
        <v>-1588.85950324679</v>
      </c>
      <c r="AK268" s="67" t="n">
        <f aca="false">-AK256*Inputs!$D$23*(1+Inputs!$D$39)^(AK$247-1)</f>
        <v>-1588.85950324679</v>
      </c>
      <c r="AL268" s="67" t="n">
        <f aca="false">-AL256*Inputs!$D$23*(1+Inputs!$D$39)^(AL$247-1)</f>
        <v>-1588.85950324679</v>
      </c>
      <c r="AM268" s="67" t="n">
        <f aca="false">-AM256*Inputs!$D$23*(1+Inputs!$D$39)^(AM$247-1)</f>
        <v>-1677.4384205528</v>
      </c>
      <c r="AN268" s="67" t="n">
        <f aca="false">-AN256*Inputs!$D$23*(1+Inputs!$D$39)^(AN$247-1)</f>
        <v>-1677.4384205528</v>
      </c>
      <c r="AO268" s="67" t="n">
        <f aca="false">-AO256*Inputs!$D$23*(1+Inputs!$D$39)^(AO$247-1)</f>
        <v>-1677.4384205528</v>
      </c>
      <c r="AP268" s="67" t="n">
        <f aca="false">-AP256*Inputs!$D$23*(1+Inputs!$D$39)^(AP$247-1)</f>
        <v>-1677.4384205528</v>
      </c>
      <c r="AQ268" s="67" t="n">
        <f aca="false">-AQ256*Inputs!$D$23*(1+Inputs!$D$39)^(AQ$247-1)</f>
        <v>-1677.4384205528</v>
      </c>
      <c r="AR268" s="67" t="n">
        <f aca="false">-AR256*Inputs!$D$23*(1+Inputs!$D$39)^(AR$247-1)</f>
        <v>-2287.41602802655</v>
      </c>
      <c r="AS268" s="67" t="n">
        <f aca="false">-AS256*Inputs!$D$23*(1+Inputs!$D$39)^(AS$247-1)</f>
        <v>-2287.41602802655</v>
      </c>
      <c r="AT268" s="67" t="n">
        <f aca="false">-AT256*Inputs!$D$23*(1+Inputs!$D$39)^(AT$247-1)</f>
        <v>-2287.41602802655</v>
      </c>
      <c r="AU268" s="67" t="n">
        <f aca="false">-AU256*Inputs!$D$23*(1+Inputs!$D$39)^(AU$247-1)</f>
        <v>-1677.4384205528</v>
      </c>
      <c r="AV268" s="67" t="n">
        <f aca="false">-AV256*Inputs!$D$23*(1+Inputs!$D$39)^(AV$247-1)</f>
        <v>-1677.4384205528</v>
      </c>
      <c r="AW268" s="67" t="n">
        <f aca="false">-AW256*Inputs!$D$23*(1+Inputs!$D$39)^(AW$247-1)</f>
        <v>-1677.4384205528</v>
      </c>
      <c r="AX268" s="67" t="n">
        <f aca="false">-AX256*Inputs!$D$23*(1+Inputs!$D$39)^(AX$247-1)</f>
        <v>-1677.4384205528</v>
      </c>
      <c r="AY268" s="67" t="n">
        <f aca="false">-AY256*Inputs!$D$23*(1+Inputs!$D$39)^(AY$247-1)</f>
        <v>-1770.95561249862</v>
      </c>
      <c r="AZ268" s="67" t="n">
        <f aca="false">-AZ256*Inputs!$D$23*(1+Inputs!$D$39)^(AZ$247-1)</f>
        <v>-1770.95561249862</v>
      </c>
      <c r="BA268" s="67" t="n">
        <f aca="false">-BA256*Inputs!$D$23*(1+Inputs!$D$39)^(BA$247-1)</f>
        <v>-1770.95561249862</v>
      </c>
      <c r="BB268" s="67" t="n">
        <f aca="false">-BB256*Inputs!$D$23*(1+Inputs!$D$39)^(BB$247-1)</f>
        <v>-1770.95561249862</v>
      </c>
      <c r="BC268" s="67" t="n">
        <f aca="false">-BC256*Inputs!$D$23*(1+Inputs!$D$39)^(BC$247-1)</f>
        <v>-1770.95561249862</v>
      </c>
      <c r="BD268" s="67" t="n">
        <f aca="false">-BD256*Inputs!$D$23*(1+Inputs!$D$39)^(BD$247-1)</f>
        <v>-2414.93947158903</v>
      </c>
      <c r="BE268" s="67" t="n">
        <f aca="false">-BE256*Inputs!$D$23*(1+Inputs!$D$39)^(BE$247-1)</f>
        <v>-2414.93947158903</v>
      </c>
      <c r="BF268" s="67" t="n">
        <f aca="false">-BF256*Inputs!$D$23*(1+Inputs!$D$39)^(BF$247-1)</f>
        <v>-2414.93947158903</v>
      </c>
      <c r="BG268" s="67" t="n">
        <f aca="false">-BG256*Inputs!$D$23*(1+Inputs!$D$39)^(BG$247-1)</f>
        <v>-1770.95561249862</v>
      </c>
      <c r="BH268" s="67" t="n">
        <f aca="false">-BH256*Inputs!$D$23*(1+Inputs!$D$39)^(BH$247-1)</f>
        <v>-1770.95561249862</v>
      </c>
      <c r="BI268" s="67" t="n">
        <f aca="false">-BI256*Inputs!$D$23*(1+Inputs!$D$39)^(BI$247-1)</f>
        <v>-1770.95561249862</v>
      </c>
      <c r="BJ268" s="67" t="n">
        <f aca="false">-BJ256*Inputs!$D$23*(1+Inputs!$D$39)^(BJ$247-1)</f>
        <v>-1770.95561249862</v>
      </c>
    </row>
    <row r="269" customFormat="false" ht="15" hidden="false" customHeight="false" outlineLevel="0" collapsed="false">
      <c r="A269" s="6" t="s">
        <v>417</v>
      </c>
      <c r="C269" s="67" t="n">
        <f aca="false">-C255*Inputs!$D$24*(1+Inputs!$D$39)^(C$247-1)</f>
        <v>-341.366666666667</v>
      </c>
      <c r="D269" s="67" t="n">
        <f aca="false">-D255*Inputs!$D$24*(1+Inputs!$D$39)^(D$247-1)</f>
        <v>-384.0375</v>
      </c>
      <c r="E269" s="67" t="n">
        <f aca="false">-E255*Inputs!$D$24*(1+Inputs!$D$39)^(E$247-1)</f>
        <v>-426.708333333333</v>
      </c>
      <c r="F269" s="67" t="n">
        <f aca="false">-F255*Inputs!$D$24*(1+Inputs!$D$39)^(F$247-1)</f>
        <v>-469.379166666667</v>
      </c>
      <c r="G269" s="67" t="n">
        <f aca="false">-G255*Inputs!$D$24*(1+Inputs!$D$39)^(G$247-1)</f>
        <v>-512.05</v>
      </c>
      <c r="H269" s="67" t="n">
        <f aca="false">-H255*Inputs!$D$24*(1+Inputs!$D$39)^(H$247-1)</f>
        <v>-756.4375</v>
      </c>
      <c r="I269" s="67" t="n">
        <f aca="false">-I255*Inputs!$D$24*(1+Inputs!$D$39)^(I$247-1)</f>
        <v>-814.625</v>
      </c>
      <c r="J269" s="67" t="n">
        <f aca="false">-J255*Inputs!$D$24*(1+Inputs!$D$39)^(J$247-1)</f>
        <v>-872.8125</v>
      </c>
      <c r="K269" s="67" t="n">
        <f aca="false">-K255*Inputs!$D$24*(1+Inputs!$D$39)^(K$247-1)</f>
        <v>-682.733333333333</v>
      </c>
      <c r="L269" s="67" t="n">
        <f aca="false">-L255*Inputs!$D$24*(1+Inputs!$D$39)^(L$247-1)</f>
        <v>-682.733333333333</v>
      </c>
      <c r="M269" s="67" t="n">
        <f aca="false">-M255*Inputs!$D$24*(1+Inputs!$D$39)^(M$247-1)</f>
        <v>-682.733333333333</v>
      </c>
      <c r="N269" s="67" t="n">
        <f aca="false">-N255*Inputs!$D$24*(1+Inputs!$D$39)^(N$247-1)</f>
        <v>-682.733333333333</v>
      </c>
      <c r="O269" s="67" t="n">
        <f aca="false">-O255*Inputs!$D$24*(1+Inputs!$D$39)^(O$247-1)</f>
        <v>-720.795716666667</v>
      </c>
      <c r="P269" s="67" t="n">
        <f aca="false">-P255*Inputs!$D$24*(1+Inputs!$D$39)^(P$247-1)</f>
        <v>-720.795716666667</v>
      </c>
      <c r="Q269" s="67" t="n">
        <f aca="false">-Q255*Inputs!$D$24*(1+Inputs!$D$39)^(Q$247-1)</f>
        <v>-720.795716666667</v>
      </c>
      <c r="R269" s="67" t="n">
        <f aca="false">-R255*Inputs!$D$24*(1+Inputs!$D$39)^(R$247-1)</f>
        <v>-720.795716666667</v>
      </c>
      <c r="S269" s="67" t="n">
        <f aca="false">-S255*Inputs!$D$24*(1+Inputs!$D$39)^(S$247-1)</f>
        <v>-720.795716666667</v>
      </c>
      <c r="T269" s="67" t="n">
        <f aca="false">-T255*Inputs!$D$24*(1+Inputs!$D$39)^(T$247-1)</f>
        <v>-982.90325</v>
      </c>
      <c r="U269" s="67" t="n">
        <f aca="false">-U255*Inputs!$D$24*(1+Inputs!$D$39)^(U$247-1)</f>
        <v>-982.90325</v>
      </c>
      <c r="V269" s="67" t="n">
        <f aca="false">-V255*Inputs!$D$24*(1+Inputs!$D$39)^(V$247-1)</f>
        <v>-982.90325</v>
      </c>
      <c r="W269" s="67" t="n">
        <f aca="false">-W255*Inputs!$D$24*(1+Inputs!$D$39)^(W$247-1)</f>
        <v>-720.795716666667</v>
      </c>
      <c r="X269" s="67" t="n">
        <f aca="false">-X255*Inputs!$D$24*(1+Inputs!$D$39)^(X$247-1)</f>
        <v>-720.795716666667</v>
      </c>
      <c r="Y269" s="67" t="n">
        <f aca="false">-Y255*Inputs!$D$24*(1+Inputs!$D$39)^(Y$247-1)</f>
        <v>-720.795716666667</v>
      </c>
      <c r="Z269" s="67" t="n">
        <f aca="false">-Z255*Inputs!$D$24*(1+Inputs!$D$39)^(Z$247-1)</f>
        <v>-720.795716666667</v>
      </c>
      <c r="AA269" s="67" t="n">
        <f aca="false">-AA255*Inputs!$D$24*(1+Inputs!$D$39)^(AA$247-1)</f>
        <v>-760.980077870833</v>
      </c>
      <c r="AB269" s="67" t="n">
        <f aca="false">-AB255*Inputs!$D$24*(1+Inputs!$D$39)^(AB$247-1)</f>
        <v>-760.980077870833</v>
      </c>
      <c r="AC269" s="67" t="n">
        <f aca="false">-AC255*Inputs!$D$24*(1+Inputs!$D$39)^(AC$247-1)</f>
        <v>-760.980077870833</v>
      </c>
      <c r="AD269" s="67" t="n">
        <f aca="false">-AD255*Inputs!$D$24*(1+Inputs!$D$39)^(AD$247-1)</f>
        <v>-760.980077870833</v>
      </c>
      <c r="AE269" s="67" t="n">
        <f aca="false">-AE255*Inputs!$D$24*(1+Inputs!$D$39)^(AE$247-1)</f>
        <v>-760.980077870833</v>
      </c>
      <c r="AF269" s="67" t="n">
        <f aca="false">-AF255*Inputs!$D$24*(1+Inputs!$D$39)^(AF$247-1)</f>
        <v>-1037.7001061875</v>
      </c>
      <c r="AG269" s="67" t="n">
        <f aca="false">-AG255*Inputs!$D$24*(1+Inputs!$D$39)^(AG$247-1)</f>
        <v>-1037.7001061875</v>
      </c>
      <c r="AH269" s="67" t="n">
        <f aca="false">-AH255*Inputs!$D$24*(1+Inputs!$D$39)^(AH$247-1)</f>
        <v>-1037.7001061875</v>
      </c>
      <c r="AI269" s="67" t="n">
        <f aca="false">-AI255*Inputs!$D$24*(1+Inputs!$D$39)^(AI$247-1)</f>
        <v>-760.980077870833</v>
      </c>
      <c r="AJ269" s="67" t="n">
        <f aca="false">-AJ255*Inputs!$D$24*(1+Inputs!$D$39)^(AJ$247-1)</f>
        <v>-760.980077870833</v>
      </c>
      <c r="AK269" s="67" t="n">
        <f aca="false">-AK255*Inputs!$D$24*(1+Inputs!$D$39)^(AK$247-1)</f>
        <v>-760.980077870833</v>
      </c>
      <c r="AL269" s="67" t="n">
        <f aca="false">-AL255*Inputs!$D$24*(1+Inputs!$D$39)^(AL$247-1)</f>
        <v>-760.980077870833</v>
      </c>
      <c r="AM269" s="67" t="n">
        <f aca="false">-AM255*Inputs!$D$24*(1+Inputs!$D$39)^(AM$247-1)</f>
        <v>-803.404717212132</v>
      </c>
      <c r="AN269" s="67" t="n">
        <f aca="false">-AN255*Inputs!$D$24*(1+Inputs!$D$39)^(AN$247-1)</f>
        <v>-803.404717212132</v>
      </c>
      <c r="AO269" s="67" t="n">
        <f aca="false">-AO255*Inputs!$D$24*(1+Inputs!$D$39)^(AO$247-1)</f>
        <v>-803.404717212132</v>
      </c>
      <c r="AP269" s="67" t="n">
        <f aca="false">-AP255*Inputs!$D$24*(1+Inputs!$D$39)^(AP$247-1)</f>
        <v>-803.404717212132</v>
      </c>
      <c r="AQ269" s="67" t="n">
        <f aca="false">-AQ255*Inputs!$D$24*(1+Inputs!$D$39)^(AQ$247-1)</f>
        <v>-803.404717212132</v>
      </c>
      <c r="AR269" s="67" t="n">
        <f aca="false">-AR255*Inputs!$D$24*(1+Inputs!$D$39)^(AR$247-1)</f>
        <v>-1095.55188710745</v>
      </c>
      <c r="AS269" s="67" t="n">
        <f aca="false">-AS255*Inputs!$D$24*(1+Inputs!$D$39)^(AS$247-1)</f>
        <v>-1095.55188710745</v>
      </c>
      <c r="AT269" s="67" t="n">
        <f aca="false">-AT255*Inputs!$D$24*(1+Inputs!$D$39)^(AT$247-1)</f>
        <v>-1095.55188710745</v>
      </c>
      <c r="AU269" s="67" t="n">
        <f aca="false">-AU255*Inputs!$D$24*(1+Inputs!$D$39)^(AU$247-1)</f>
        <v>-803.404717212132</v>
      </c>
      <c r="AV269" s="67" t="n">
        <f aca="false">-AV255*Inputs!$D$24*(1+Inputs!$D$39)^(AV$247-1)</f>
        <v>-803.404717212132</v>
      </c>
      <c r="AW269" s="67" t="n">
        <f aca="false">-AW255*Inputs!$D$24*(1+Inputs!$D$39)^(AW$247-1)</f>
        <v>-803.404717212132</v>
      </c>
      <c r="AX269" s="67" t="n">
        <f aca="false">-AX255*Inputs!$D$24*(1+Inputs!$D$39)^(AX$247-1)</f>
        <v>-803.404717212132</v>
      </c>
      <c r="AY269" s="67" t="n">
        <f aca="false">-AY255*Inputs!$D$24*(1+Inputs!$D$39)^(AY$247-1)</f>
        <v>-848.194530196708</v>
      </c>
      <c r="AZ269" s="67" t="n">
        <f aca="false">-AZ255*Inputs!$D$24*(1+Inputs!$D$39)^(AZ$247-1)</f>
        <v>-848.194530196708</v>
      </c>
      <c r="BA269" s="67" t="n">
        <f aca="false">-BA255*Inputs!$D$24*(1+Inputs!$D$39)^(BA$247-1)</f>
        <v>-848.194530196708</v>
      </c>
      <c r="BB269" s="67" t="n">
        <f aca="false">-BB255*Inputs!$D$24*(1+Inputs!$D$39)^(BB$247-1)</f>
        <v>-848.194530196708</v>
      </c>
      <c r="BC269" s="67" t="n">
        <f aca="false">-BC255*Inputs!$D$24*(1+Inputs!$D$39)^(BC$247-1)</f>
        <v>-848.194530196708</v>
      </c>
      <c r="BD269" s="67" t="n">
        <f aca="false">-BD255*Inputs!$D$24*(1+Inputs!$D$39)^(BD$247-1)</f>
        <v>-1156.62890481369</v>
      </c>
      <c r="BE269" s="67" t="n">
        <f aca="false">-BE255*Inputs!$D$24*(1+Inputs!$D$39)^(BE$247-1)</f>
        <v>-1156.62890481369</v>
      </c>
      <c r="BF269" s="67" t="n">
        <f aca="false">-BF255*Inputs!$D$24*(1+Inputs!$D$39)^(BF$247-1)</f>
        <v>-1156.62890481369</v>
      </c>
      <c r="BG269" s="67" t="n">
        <f aca="false">-BG255*Inputs!$D$24*(1+Inputs!$D$39)^(BG$247-1)</f>
        <v>-848.194530196708</v>
      </c>
      <c r="BH269" s="67" t="n">
        <f aca="false">-BH255*Inputs!$D$24*(1+Inputs!$D$39)^(BH$247-1)</f>
        <v>-848.194530196708</v>
      </c>
      <c r="BI269" s="67" t="n">
        <f aca="false">-BI255*Inputs!$D$24*(1+Inputs!$D$39)^(BI$247-1)</f>
        <v>-848.194530196708</v>
      </c>
      <c r="BJ269" s="67" t="n">
        <f aca="false">-BJ255*Inputs!$D$24*(1+Inputs!$D$39)^(BJ$247-1)</f>
        <v>-848.194530196708</v>
      </c>
    </row>
    <row r="270" customFormat="false" ht="15" hidden="false" customHeight="false" outlineLevel="0" collapsed="false">
      <c r="A270" s="4" t="s">
        <v>76</v>
      </c>
      <c r="C270" s="73" t="n">
        <f aca="false">C265+C266+C267+C268+C269</f>
        <v>-7357.04225641026</v>
      </c>
      <c r="D270" s="73" t="n">
        <f aca="false">D265+D266+D267+D268+D269</f>
        <v>-7701.67253846154</v>
      </c>
      <c r="E270" s="73" t="n">
        <f aca="false">E265+E266+E267+E268+E269</f>
        <v>-8046.30282051282</v>
      </c>
      <c r="F270" s="73" t="n">
        <f aca="false">F265+F266+F267+F268+F269</f>
        <v>-8390.9331025641</v>
      </c>
      <c r="G270" s="73" t="n">
        <f aca="false">G265+G266+G267+G268+G269</f>
        <v>-8735.56338461538</v>
      </c>
      <c r="H270" s="73" t="n">
        <f aca="false">H265+H266+H267+H268+H269</f>
        <v>-10709.355</v>
      </c>
      <c r="I270" s="73" t="n">
        <f aca="false">I265+I266+I267+I268+I269</f>
        <v>-11179.3053846154</v>
      </c>
      <c r="J270" s="73" t="n">
        <f aca="false">J265+J266+J267+J268+J269</f>
        <v>-11649.2557692308</v>
      </c>
      <c r="K270" s="73" t="n">
        <f aca="false">K265+K266+K267+K268+K269</f>
        <v>-10114.0845128205</v>
      </c>
      <c r="L270" s="73" t="n">
        <f aca="false">L265+L266+L267+L268+L269</f>
        <v>-10114.0845128205</v>
      </c>
      <c r="M270" s="73" t="n">
        <f aca="false">M265+M266+M267+M268+M269</f>
        <v>-10114.0845128205</v>
      </c>
      <c r="N270" s="73" t="n">
        <f aca="false">N265+N266+N267+N268+N269</f>
        <v>-10114.0845128205</v>
      </c>
      <c r="O270" s="73" t="n">
        <f aca="false">O265+O266+O267+O268+O269</f>
        <v>-10612.1153232103</v>
      </c>
      <c r="P270" s="73" t="n">
        <f aca="false">P265+P266+P267+P268+P269</f>
        <v>-10612.1153232103</v>
      </c>
      <c r="Q270" s="73" t="n">
        <f aca="false">Q265+Q266+Q267+Q268+Q269</f>
        <v>-10612.1153232103</v>
      </c>
      <c r="R270" s="73" t="n">
        <f aca="false">R265+R266+R267+R268+R269</f>
        <v>-10612.1153232103</v>
      </c>
      <c r="S270" s="73" t="n">
        <f aca="false">S265+S266+S267+S268+S269</f>
        <v>-10612.1153232103</v>
      </c>
      <c r="T270" s="73" t="n">
        <f aca="false">T265+T266+T267+T268+T269</f>
        <v>-12748.1572589231</v>
      </c>
      <c r="U270" s="73" t="n">
        <f aca="false">U265+U266+U267+U268+U269</f>
        <v>-12748.1572589231</v>
      </c>
      <c r="V270" s="73" t="n">
        <f aca="false">V265+V266+V267+V268+V269</f>
        <v>-12748.1572589231</v>
      </c>
      <c r="W270" s="73" t="n">
        <f aca="false">W265+W266+W267+W268+W269</f>
        <v>-10612.1153232103</v>
      </c>
      <c r="X270" s="73" t="n">
        <f aca="false">X265+X266+X267+X268+X269</f>
        <v>-10612.1153232103</v>
      </c>
      <c r="Y270" s="73" t="n">
        <f aca="false">Y265+Y266+Y267+Y268+Y269</f>
        <v>-10612.1153232103</v>
      </c>
      <c r="Z270" s="73" t="n">
        <f aca="false">Z265+Z266+Z267+Z268+Z269</f>
        <v>-10612.1153232103</v>
      </c>
      <c r="AA270" s="73" t="n">
        <f aca="false">AA265+AA266+AA267+AA268+AA269</f>
        <v>-11138.1044379138</v>
      </c>
      <c r="AB270" s="73" t="n">
        <f aca="false">AB265+AB266+AB267+AB268+AB269</f>
        <v>-11138.1044379138</v>
      </c>
      <c r="AC270" s="73" t="n">
        <f aca="false">AC265+AC266+AC267+AC268+AC269</f>
        <v>-11138.1044379138</v>
      </c>
      <c r="AD270" s="73" t="n">
        <f aca="false">AD265+AD266+AD267+AD268+AD269</f>
        <v>-11138.1044379138</v>
      </c>
      <c r="AE270" s="73" t="n">
        <f aca="false">AE265+AE266+AE267+AE268+AE269</f>
        <v>-11138.1044379138</v>
      </c>
      <c r="AF270" s="73" t="n">
        <f aca="false">AF265+AF266+AF267+AF268+AF269</f>
        <v>-13413.7278698824</v>
      </c>
      <c r="AG270" s="73" t="n">
        <f aca="false">AG265+AG266+AG267+AG268+AG269</f>
        <v>-13413.7278698824</v>
      </c>
      <c r="AH270" s="73" t="n">
        <f aca="false">AH265+AH266+AH267+AH268+AH269</f>
        <v>-13413.7278698824</v>
      </c>
      <c r="AI270" s="73" t="n">
        <f aca="false">AI265+AI266+AI267+AI268+AI269</f>
        <v>-11138.1044379138</v>
      </c>
      <c r="AJ270" s="73" t="n">
        <f aca="false">AJ265+AJ266+AJ267+AJ268+AJ269</f>
        <v>-11138.1044379138</v>
      </c>
      <c r="AK270" s="73" t="n">
        <f aca="false">AK265+AK266+AK267+AK268+AK269</f>
        <v>-11138.1044379138</v>
      </c>
      <c r="AL270" s="73" t="n">
        <f aca="false">AL265+AL266+AL267+AL268+AL269</f>
        <v>-11138.1044379138</v>
      </c>
      <c r="AM270" s="73" t="n">
        <f aca="false">AM265+AM266+AM267+AM268+AM269</f>
        <v>-11693.770684365</v>
      </c>
      <c r="AN270" s="73" t="n">
        <f aca="false">AN265+AN266+AN267+AN268+AN269</f>
        <v>-11693.770684365</v>
      </c>
      <c r="AO270" s="73" t="n">
        <f aca="false">AO265+AO266+AO267+AO268+AO269</f>
        <v>-11693.770684365</v>
      </c>
      <c r="AP270" s="73" t="n">
        <f aca="false">AP265+AP266+AP267+AP268+AP269</f>
        <v>-11693.770684365</v>
      </c>
      <c r="AQ270" s="73" t="n">
        <f aca="false">AQ265+AQ266+AQ267+AQ268+AQ269</f>
        <v>-11693.770684365</v>
      </c>
      <c r="AR270" s="73" t="n">
        <f aca="false">AR265+AR266+AR267+AR268+AR269</f>
        <v>-14118.2166786795</v>
      </c>
      <c r="AS270" s="73" t="n">
        <f aca="false">AS265+AS266+AS267+AS268+AS269</f>
        <v>-14118.2166786795</v>
      </c>
      <c r="AT270" s="73" t="n">
        <f aca="false">AT265+AT266+AT267+AT268+AT269</f>
        <v>-14118.2166786795</v>
      </c>
      <c r="AU270" s="73" t="n">
        <f aca="false">AU265+AU266+AU267+AU268+AU269</f>
        <v>-11693.770684365</v>
      </c>
      <c r="AV270" s="73" t="n">
        <f aca="false">AV265+AV266+AV267+AV268+AV269</f>
        <v>-11693.770684365</v>
      </c>
      <c r="AW270" s="73" t="n">
        <f aca="false">AW265+AW266+AW267+AW268+AW269</f>
        <v>-11693.770684365</v>
      </c>
      <c r="AX270" s="73" t="n">
        <f aca="false">AX265+AX266+AX267+AX268+AX269</f>
        <v>-11693.770684365</v>
      </c>
      <c r="AY270" s="73" t="n">
        <f aca="false">AY265+AY266+AY267+AY268+AY269</f>
        <v>-12280.9445095733</v>
      </c>
      <c r="AZ270" s="73" t="n">
        <f aca="false">AZ265+AZ266+AZ267+AZ268+AZ269</f>
        <v>-12280.9445095733</v>
      </c>
      <c r="BA270" s="73" t="n">
        <f aca="false">BA265+BA266+BA267+BA268+BA269</f>
        <v>-12280.9445095733</v>
      </c>
      <c r="BB270" s="73" t="n">
        <f aca="false">BB265+BB266+BB267+BB268+BB269</f>
        <v>-12280.9445095733</v>
      </c>
      <c r="BC270" s="73" t="n">
        <f aca="false">BC265+BC266+BC267+BC268+BC269</f>
        <v>-12280.9445095733</v>
      </c>
      <c r="BD270" s="73" t="n">
        <f aca="false">BD265+BD266+BD267+BD268+BD269</f>
        <v>-14864.0732308727</v>
      </c>
      <c r="BE270" s="73" t="n">
        <f aca="false">BE265+BE266+BE267+BE268+BE269</f>
        <v>-14864.0732308727</v>
      </c>
      <c r="BF270" s="73" t="n">
        <f aca="false">BF265+BF266+BF267+BF268+BF269</f>
        <v>-14864.0732308727</v>
      </c>
      <c r="BG270" s="73" t="n">
        <f aca="false">BG265+BG266+BG267+BG268+BG269</f>
        <v>-12280.9445095733</v>
      </c>
      <c r="BH270" s="73" t="n">
        <f aca="false">BH265+BH266+BH267+BH268+BH269</f>
        <v>-12280.9445095733</v>
      </c>
      <c r="BI270" s="73" t="n">
        <f aca="false">BI265+BI266+BI267+BI268+BI269</f>
        <v>-12280.9445095733</v>
      </c>
      <c r="BJ270" s="73" t="n">
        <f aca="false">BJ265+BJ266+BJ267+BJ268+BJ269</f>
        <v>-12280.9445095733</v>
      </c>
    </row>
    <row r="271" customFormat="false" ht="15" hidden="false" customHeight="false" outlineLevel="0" collapsed="false">
      <c r="A271" s="111" t="s">
        <v>45</v>
      </c>
      <c r="C271" s="68" t="n">
        <f aca="false">C262+C270</f>
        <v>10686.6244102564</v>
      </c>
      <c r="D271" s="68" t="n">
        <f aca="false">D262+D270</f>
        <v>12597.4524615385</v>
      </c>
      <c r="E271" s="68" t="n">
        <f aca="false">E262+E270</f>
        <v>14508.2805128205</v>
      </c>
      <c r="F271" s="68" t="n">
        <f aca="false">F262+F270</f>
        <v>16419.1085641026</v>
      </c>
      <c r="G271" s="68" t="n">
        <f aca="false">G262+G270</f>
        <v>18329.9366153846</v>
      </c>
      <c r="H271" s="68" t="n">
        <f aca="false">H262+H270</f>
        <v>29273.77</v>
      </c>
      <c r="I271" s="68" t="n">
        <f aca="false">I262+I270</f>
        <v>31879.4446153846</v>
      </c>
      <c r="J271" s="68" t="n">
        <f aca="false">J262+J270</f>
        <v>34485.1192307692</v>
      </c>
      <c r="K271" s="68" t="n">
        <f aca="false">K262+K270</f>
        <v>25973.2488205128</v>
      </c>
      <c r="L271" s="68" t="n">
        <f aca="false">L262+L270</f>
        <v>25973.2488205128</v>
      </c>
      <c r="M271" s="68" t="n">
        <f aca="false">M262+M270</f>
        <v>25973.2488205128</v>
      </c>
      <c r="N271" s="68" t="n">
        <f aca="false">N262+N270</f>
        <v>25973.2488205128</v>
      </c>
      <c r="O271" s="68" t="n">
        <f aca="false">O262+O270</f>
        <v>28044.6361434564</v>
      </c>
      <c r="P271" s="68" t="n">
        <f aca="false">P262+P270</f>
        <v>28044.6361434564</v>
      </c>
      <c r="Q271" s="68" t="n">
        <f aca="false">Q262+Q270</f>
        <v>28044.6361434564</v>
      </c>
      <c r="R271" s="68" t="n">
        <f aca="false">R262+R270</f>
        <v>28044.6361434564</v>
      </c>
      <c r="S271" s="68" t="n">
        <f aca="false">S262+S270</f>
        <v>28044.6361434564</v>
      </c>
      <c r="T271" s="68" t="n">
        <f aca="false">T262+T270</f>
        <v>39965.5947410769</v>
      </c>
      <c r="U271" s="68" t="n">
        <f aca="false">U262+U270</f>
        <v>39965.5947410769</v>
      </c>
      <c r="V271" s="68" t="n">
        <f aca="false">V262+V270</f>
        <v>39965.5947410769</v>
      </c>
      <c r="W271" s="68" t="n">
        <f aca="false">W262+W270</f>
        <v>28044.6361434564</v>
      </c>
      <c r="X271" s="68" t="n">
        <f aca="false">X262+X270</f>
        <v>28044.6361434564</v>
      </c>
      <c r="Y271" s="68" t="n">
        <f aca="false">Y262+Y270</f>
        <v>28044.6361434564</v>
      </c>
      <c r="Z271" s="68" t="n">
        <f aca="false">Z262+Z270</f>
        <v>28044.6361434564</v>
      </c>
      <c r="AA271" s="68" t="n">
        <f aca="false">AA262+AA270</f>
        <v>30271.0077331795</v>
      </c>
      <c r="AB271" s="68" t="n">
        <f aca="false">AB262+AB270</f>
        <v>30271.0077331795</v>
      </c>
      <c r="AC271" s="68" t="n">
        <f aca="false">AC262+AC270</f>
        <v>30271.0077331795</v>
      </c>
      <c r="AD271" s="68" t="n">
        <f aca="false">AD262+AD270</f>
        <v>30271.0077331795</v>
      </c>
      <c r="AE271" s="68" t="n">
        <f aca="false">AE262+AE270</f>
        <v>30271.0077331795</v>
      </c>
      <c r="AF271" s="68" t="n">
        <f aca="false">AF262+AF270</f>
        <v>43053.2432725176</v>
      </c>
      <c r="AG271" s="68" t="n">
        <f aca="false">AG262+AG270</f>
        <v>43053.2432725176</v>
      </c>
      <c r="AH271" s="68" t="n">
        <f aca="false">AH262+AH270</f>
        <v>43053.2432725176</v>
      </c>
      <c r="AI271" s="68" t="n">
        <f aca="false">AI262+AI270</f>
        <v>30271.0077331795</v>
      </c>
      <c r="AJ271" s="68" t="n">
        <f aca="false">AJ262+AJ270</f>
        <v>30271.0077331795</v>
      </c>
      <c r="AK271" s="68" t="n">
        <f aca="false">AK262+AK270</f>
        <v>30271.0077331795</v>
      </c>
      <c r="AL271" s="68" t="n">
        <f aca="false">AL262+AL270</f>
        <v>30271.0077331795</v>
      </c>
      <c r="AM271" s="68" t="n">
        <f aca="false">AM262+AM270</f>
        <v>32663.6702733102</v>
      </c>
      <c r="AN271" s="68" t="n">
        <f aca="false">AN262+AN270</f>
        <v>32663.6702733102</v>
      </c>
      <c r="AO271" s="68" t="n">
        <f aca="false">AO262+AO270</f>
        <v>32663.6702733102</v>
      </c>
      <c r="AP271" s="68" t="n">
        <f aca="false">AP262+AP270</f>
        <v>32663.6702733102</v>
      </c>
      <c r="AQ271" s="68" t="n">
        <f aca="false">AQ262+AQ270</f>
        <v>32663.6702733102</v>
      </c>
      <c r="AR271" s="68" t="n">
        <f aca="false">AR262+AR270</f>
        <v>46369.2028090594</v>
      </c>
      <c r="AS271" s="68" t="n">
        <f aca="false">AS262+AS270</f>
        <v>46369.2028090594</v>
      </c>
      <c r="AT271" s="68" t="n">
        <f aca="false">AT262+AT270</f>
        <v>46369.2028090594</v>
      </c>
      <c r="AU271" s="68" t="n">
        <f aca="false">AU262+AU270</f>
        <v>32663.6702733102</v>
      </c>
      <c r="AV271" s="68" t="n">
        <f aca="false">AV262+AV270</f>
        <v>32663.6702733102</v>
      </c>
      <c r="AW271" s="68" t="n">
        <f aca="false">AW262+AW270</f>
        <v>32663.6702733102</v>
      </c>
      <c r="AX271" s="68" t="n">
        <f aca="false">AX262+AX270</f>
        <v>32663.6702733102</v>
      </c>
      <c r="AY271" s="68" t="n">
        <f aca="false">AY262+AY270</f>
        <v>35234.7462442884</v>
      </c>
      <c r="AZ271" s="68" t="n">
        <f aca="false">AZ262+AZ270</f>
        <v>35234.7462442884</v>
      </c>
      <c r="BA271" s="68" t="n">
        <f aca="false">BA262+BA270</f>
        <v>35234.7462442884</v>
      </c>
      <c r="BB271" s="68" t="n">
        <f aca="false">BB262+BB270</f>
        <v>35234.7462442884</v>
      </c>
      <c r="BC271" s="68" t="n">
        <f aca="false">BC262+BC270</f>
        <v>35234.7462442884</v>
      </c>
      <c r="BD271" s="68" t="n">
        <f aca="false">BD262+BD270</f>
        <v>49930.0505243932</v>
      </c>
      <c r="BE271" s="68" t="n">
        <f aca="false">BE262+BE270</f>
        <v>49930.0505243932</v>
      </c>
      <c r="BF271" s="68" t="n">
        <f aca="false">BF262+BF270</f>
        <v>49930.0505243932</v>
      </c>
      <c r="BG271" s="68" t="n">
        <f aca="false">BG262+BG270</f>
        <v>35234.7462442884</v>
      </c>
      <c r="BH271" s="68" t="n">
        <f aca="false">BH262+BH270</f>
        <v>35234.7462442884</v>
      </c>
      <c r="BI271" s="68" t="n">
        <f aca="false">BI262+BI270</f>
        <v>35234.7462442884</v>
      </c>
      <c r="BJ271" s="68" t="n">
        <f aca="false">BJ262+BJ270</f>
        <v>35234.7462442884</v>
      </c>
    </row>
    <row r="273" customFormat="false" ht="15.75" hidden="false" customHeight="true" outlineLevel="0" collapsed="false">
      <c r="A273" s="7" t="s">
        <v>47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customFormat="false" ht="15" hidden="false" customHeight="false" outlineLevel="0" collapsed="false">
      <c r="A274" s="6" t="s">
        <v>328</v>
      </c>
      <c r="C274" s="67" t="n">
        <f aca="false">C361-C358</f>
        <v>-5558.33333333333</v>
      </c>
      <c r="D274" s="67" t="n">
        <f aca="false">D361-D358</f>
        <v>-5558.33333333333</v>
      </c>
      <c r="E274" s="67" t="n">
        <f aca="false">E361-E358</f>
        <v>-5558.33333333333</v>
      </c>
      <c r="F274" s="67" t="n">
        <f aca="false">F361-F358</f>
        <v>-5558.33333333333</v>
      </c>
      <c r="G274" s="67" t="n">
        <f aca="false">G361-G358</f>
        <v>-5558.33333333333</v>
      </c>
      <c r="H274" s="67" t="n">
        <f aca="false">H361-H358</f>
        <v>-5558.33333333333</v>
      </c>
      <c r="I274" s="67" t="n">
        <f aca="false">I361-I358</f>
        <v>-5558.33333333333</v>
      </c>
      <c r="J274" s="67" t="n">
        <f aca="false">J361-J358</f>
        <v>-5558.33333333333</v>
      </c>
      <c r="K274" s="67" t="n">
        <f aca="false">K361-K358</f>
        <v>-5558.33333333333</v>
      </c>
      <c r="L274" s="67" t="n">
        <f aca="false">L361-L358</f>
        <v>-5558.33333333333</v>
      </c>
      <c r="M274" s="67" t="n">
        <f aca="false">M361-M358</f>
        <v>-5558.33333333333</v>
      </c>
      <c r="N274" s="67" t="n">
        <f aca="false">N361-N358</f>
        <v>-5558.33333333333</v>
      </c>
      <c r="O274" s="67" t="n">
        <f aca="false">O361-O358</f>
        <v>-5725.08333333333</v>
      </c>
      <c r="P274" s="67" t="n">
        <f aca="false">P361-P358</f>
        <v>-5725.08333333333</v>
      </c>
      <c r="Q274" s="67" t="n">
        <f aca="false">Q361-Q358</f>
        <v>-5725.08333333333</v>
      </c>
      <c r="R274" s="67" t="n">
        <f aca="false">R361-R358</f>
        <v>-5725.08333333333</v>
      </c>
      <c r="S274" s="67" t="n">
        <f aca="false">S361-S358</f>
        <v>-5725.08333333333</v>
      </c>
      <c r="T274" s="67" t="n">
        <f aca="false">T361-T358</f>
        <v>-5725.08333333333</v>
      </c>
      <c r="U274" s="67" t="n">
        <f aca="false">U361-U358</f>
        <v>-5725.08333333333</v>
      </c>
      <c r="V274" s="67" t="n">
        <f aca="false">V361-V358</f>
        <v>-5725.08333333333</v>
      </c>
      <c r="W274" s="67" t="n">
        <f aca="false">W361-W358</f>
        <v>-5725.08333333333</v>
      </c>
      <c r="X274" s="67" t="n">
        <f aca="false">X361-X358</f>
        <v>-5725.08333333333</v>
      </c>
      <c r="Y274" s="67" t="n">
        <f aca="false">Y361-Y358</f>
        <v>-5725.08333333333</v>
      </c>
      <c r="Z274" s="67" t="n">
        <f aca="false">Z361-Z358</f>
        <v>-5725.08333333333</v>
      </c>
      <c r="AA274" s="67" t="n">
        <f aca="false">AA361-AA358</f>
        <v>-5896.83583333333</v>
      </c>
      <c r="AB274" s="67" t="n">
        <f aca="false">AB361-AB358</f>
        <v>-5896.83583333333</v>
      </c>
      <c r="AC274" s="67" t="n">
        <f aca="false">AC361-AC358</f>
        <v>-5896.83583333333</v>
      </c>
      <c r="AD274" s="67" t="n">
        <f aca="false">AD361-AD358</f>
        <v>-5896.83583333333</v>
      </c>
      <c r="AE274" s="67" t="n">
        <f aca="false">AE361-AE358</f>
        <v>-5896.83583333333</v>
      </c>
      <c r="AF274" s="67" t="n">
        <f aca="false">AF361-AF358</f>
        <v>-5896.83583333333</v>
      </c>
      <c r="AG274" s="67" t="n">
        <f aca="false">AG361-AG358</f>
        <v>-5896.83583333333</v>
      </c>
      <c r="AH274" s="67" t="n">
        <f aca="false">AH361-AH358</f>
        <v>-5896.83583333333</v>
      </c>
      <c r="AI274" s="67" t="n">
        <f aca="false">AI361-AI358</f>
        <v>-5896.83583333333</v>
      </c>
      <c r="AJ274" s="67" t="n">
        <f aca="false">AJ361-AJ358</f>
        <v>-5896.83583333333</v>
      </c>
      <c r="AK274" s="67" t="n">
        <f aca="false">AK361-AK358</f>
        <v>-5896.83583333333</v>
      </c>
      <c r="AL274" s="67" t="n">
        <f aca="false">AL361-AL358</f>
        <v>-5896.83583333333</v>
      </c>
      <c r="AM274" s="67" t="n">
        <f aca="false">AM361-AM358</f>
        <v>-6073.74090833333</v>
      </c>
      <c r="AN274" s="67" t="n">
        <f aca="false">AN361-AN358</f>
        <v>-6073.74090833333</v>
      </c>
      <c r="AO274" s="67" t="n">
        <f aca="false">AO361-AO358</f>
        <v>-6073.74090833333</v>
      </c>
      <c r="AP274" s="67" t="n">
        <f aca="false">AP361-AP358</f>
        <v>-6073.74090833333</v>
      </c>
      <c r="AQ274" s="67" t="n">
        <f aca="false">AQ361-AQ358</f>
        <v>-6073.74090833333</v>
      </c>
      <c r="AR274" s="67" t="n">
        <f aca="false">AR361-AR358</f>
        <v>-6073.74090833333</v>
      </c>
      <c r="AS274" s="67" t="n">
        <f aca="false">AS361-AS358</f>
        <v>-6073.74090833333</v>
      </c>
      <c r="AT274" s="67" t="n">
        <f aca="false">AT361-AT358</f>
        <v>-6073.74090833333</v>
      </c>
      <c r="AU274" s="67" t="n">
        <f aca="false">AU361-AU358</f>
        <v>-6073.74090833333</v>
      </c>
      <c r="AV274" s="67" t="n">
        <f aca="false">AV361-AV358</f>
        <v>-6073.74090833333</v>
      </c>
      <c r="AW274" s="67" t="n">
        <f aca="false">AW361-AW358</f>
        <v>-6073.74090833333</v>
      </c>
      <c r="AX274" s="67" t="n">
        <f aca="false">AX361-AX358</f>
        <v>-6073.74090833333</v>
      </c>
      <c r="AY274" s="67" t="n">
        <f aca="false">AY361-AY358</f>
        <v>-6255.95313558333</v>
      </c>
      <c r="AZ274" s="67" t="n">
        <f aca="false">AZ361-AZ358</f>
        <v>-6255.95313558333</v>
      </c>
      <c r="BA274" s="67" t="n">
        <f aca="false">BA361-BA358</f>
        <v>-6255.95313558333</v>
      </c>
      <c r="BB274" s="67" t="n">
        <f aca="false">BB361-BB358</f>
        <v>-6255.95313558333</v>
      </c>
      <c r="BC274" s="67" t="n">
        <f aca="false">BC361-BC358</f>
        <v>-6255.95313558333</v>
      </c>
      <c r="BD274" s="67" t="n">
        <f aca="false">BD361-BD358</f>
        <v>-6255.95313558333</v>
      </c>
      <c r="BE274" s="67" t="n">
        <f aca="false">BE361-BE358</f>
        <v>-6255.95313558333</v>
      </c>
      <c r="BF274" s="67" t="n">
        <f aca="false">BF361-BF358</f>
        <v>-6255.95313558333</v>
      </c>
      <c r="BG274" s="67" t="n">
        <f aca="false">BG361-BG358</f>
        <v>-6255.95313558333</v>
      </c>
      <c r="BH274" s="67" t="n">
        <f aca="false">BH361-BH358</f>
        <v>-6255.95313558333</v>
      </c>
      <c r="BI274" s="67" t="n">
        <f aca="false">BI361-BI358</f>
        <v>-6255.95313558333</v>
      </c>
      <c r="BJ274" s="67" t="n">
        <f aca="false">BJ361-BJ358</f>
        <v>-6255.95313558333</v>
      </c>
    </row>
    <row r="275" customFormat="false" ht="15" hidden="false" customHeight="false" outlineLevel="0" collapsed="false">
      <c r="A275" s="6" t="s">
        <v>329</v>
      </c>
      <c r="C275" s="67" t="n">
        <f aca="false">-Inputs!$D$29*(1+Inputs!$D$30)^(C$247-1)*1</f>
        <v>-0</v>
      </c>
      <c r="D275" s="67" t="n">
        <f aca="false">-Inputs!$D$29*(1+Inputs!$D$30)^(D$247-1)*1</f>
        <v>-0</v>
      </c>
      <c r="E275" s="67" t="n">
        <f aca="false">-Inputs!$D$29*(1+Inputs!$D$30)^(E$247-1)*1</f>
        <v>-0</v>
      </c>
      <c r="F275" s="67" t="n">
        <f aca="false">-Inputs!$D$29*(1+Inputs!$D$30)^(F$247-1)*1</f>
        <v>-0</v>
      </c>
      <c r="G275" s="67" t="n">
        <f aca="false">-Inputs!$D$29*(1+Inputs!$D$30)^(G$247-1)*1</f>
        <v>-0</v>
      </c>
      <c r="H275" s="67" t="n">
        <f aca="false">-Inputs!$D$29*(1+Inputs!$D$30)^(H$247-1)*1</f>
        <v>-0</v>
      </c>
      <c r="I275" s="67" t="n">
        <f aca="false">-Inputs!$D$29*(1+Inputs!$D$30)^(I$247-1)*1</f>
        <v>-0</v>
      </c>
      <c r="J275" s="67" t="n">
        <f aca="false">-Inputs!$D$29*(1+Inputs!$D$30)^(J$247-1)*1</f>
        <v>-0</v>
      </c>
      <c r="K275" s="67" t="n">
        <f aca="false">-Inputs!$D$29*(1+Inputs!$D$30)^(K$247-1)*1</f>
        <v>-0</v>
      </c>
      <c r="L275" s="67" t="n">
        <f aca="false">-Inputs!$D$29*(1+Inputs!$D$30)^(L$247-1)*1</f>
        <v>-0</v>
      </c>
      <c r="M275" s="67" t="n">
        <f aca="false">-Inputs!$D$29*(1+Inputs!$D$30)^(M$247-1)*1</f>
        <v>-0</v>
      </c>
      <c r="N275" s="67" t="n">
        <f aca="false">-Inputs!$D$29*(1+Inputs!$D$30)^(N$247-1)*1</f>
        <v>-0</v>
      </c>
      <c r="O275" s="67" t="n">
        <f aca="false">-Inputs!$D$29*(1+Inputs!$D$30)^(O$247-1)*1</f>
        <v>-0</v>
      </c>
      <c r="P275" s="67" t="n">
        <f aca="false">-Inputs!$D$29*(1+Inputs!$D$30)^(P$247-1)*1</f>
        <v>-0</v>
      </c>
      <c r="Q275" s="67" t="n">
        <f aca="false">-Inputs!$D$29*(1+Inputs!$D$30)^(Q$247-1)*1</f>
        <v>-0</v>
      </c>
      <c r="R275" s="67" t="n">
        <f aca="false">-Inputs!$D$29*(1+Inputs!$D$30)^(R$247-1)*1</f>
        <v>-0</v>
      </c>
      <c r="S275" s="67" t="n">
        <f aca="false">-Inputs!$D$29*(1+Inputs!$D$30)^(S$247-1)*1</f>
        <v>-0</v>
      </c>
      <c r="T275" s="67" t="n">
        <f aca="false">-Inputs!$D$29*(1+Inputs!$D$30)^(T$247-1)*1</f>
        <v>-0</v>
      </c>
      <c r="U275" s="67" t="n">
        <f aca="false">-Inputs!$D$29*(1+Inputs!$D$30)^(U$247-1)*1</f>
        <v>-0</v>
      </c>
      <c r="V275" s="67" t="n">
        <f aca="false">-Inputs!$D$29*(1+Inputs!$D$30)^(V$247-1)*1</f>
        <v>-0</v>
      </c>
      <c r="W275" s="67" t="n">
        <f aca="false">-Inputs!$D$29*(1+Inputs!$D$30)^(W$247-1)*1</f>
        <v>-0</v>
      </c>
      <c r="X275" s="67" t="n">
        <f aca="false">-Inputs!$D$29*(1+Inputs!$D$30)^(X$247-1)*1</f>
        <v>-0</v>
      </c>
      <c r="Y275" s="67" t="n">
        <f aca="false">-Inputs!$D$29*(1+Inputs!$D$30)^(Y$247-1)*1</f>
        <v>-0</v>
      </c>
      <c r="Z275" s="67" t="n">
        <f aca="false">-Inputs!$D$29*(1+Inputs!$D$30)^(Z$247-1)*1</f>
        <v>-0</v>
      </c>
      <c r="AA275" s="67" t="n">
        <f aca="false">-Inputs!$D$29*(1+Inputs!$D$30)^(AA$247-1)*1</f>
        <v>-0</v>
      </c>
      <c r="AB275" s="67" t="n">
        <f aca="false">-Inputs!$D$29*(1+Inputs!$D$30)^(AB$247-1)*1</f>
        <v>-0</v>
      </c>
      <c r="AC275" s="67" t="n">
        <f aca="false">-Inputs!$D$29*(1+Inputs!$D$30)^(AC$247-1)*1</f>
        <v>-0</v>
      </c>
      <c r="AD275" s="67" t="n">
        <f aca="false">-Inputs!$D$29*(1+Inputs!$D$30)^(AD$247-1)*1</f>
        <v>-0</v>
      </c>
      <c r="AE275" s="67" t="n">
        <f aca="false">-Inputs!$D$29*(1+Inputs!$D$30)^(AE$247-1)*1</f>
        <v>-0</v>
      </c>
      <c r="AF275" s="67" t="n">
        <f aca="false">-Inputs!$D$29*(1+Inputs!$D$30)^(AF$247-1)*1</f>
        <v>-0</v>
      </c>
      <c r="AG275" s="67" t="n">
        <f aca="false">-Inputs!$D$29*(1+Inputs!$D$30)^(AG$247-1)*1</f>
        <v>-0</v>
      </c>
      <c r="AH275" s="67" t="n">
        <f aca="false">-Inputs!$D$29*(1+Inputs!$D$30)^(AH$247-1)*1</f>
        <v>-0</v>
      </c>
      <c r="AI275" s="67" t="n">
        <f aca="false">-Inputs!$D$29*(1+Inputs!$D$30)^(AI$247-1)*1</f>
        <v>-0</v>
      </c>
      <c r="AJ275" s="67" t="n">
        <f aca="false">-Inputs!$D$29*(1+Inputs!$D$30)^(AJ$247-1)*1</f>
        <v>-0</v>
      </c>
      <c r="AK275" s="67" t="n">
        <f aca="false">-Inputs!$D$29*(1+Inputs!$D$30)^(AK$247-1)*1</f>
        <v>-0</v>
      </c>
      <c r="AL275" s="67" t="n">
        <f aca="false">-Inputs!$D$29*(1+Inputs!$D$30)^(AL$247-1)*1</f>
        <v>-0</v>
      </c>
      <c r="AM275" s="67" t="n">
        <f aca="false">-Inputs!$D$29*(1+Inputs!$D$30)^(AM$247-1)*1</f>
        <v>-0</v>
      </c>
      <c r="AN275" s="67" t="n">
        <f aca="false">-Inputs!$D$29*(1+Inputs!$D$30)^(AN$247-1)*1</f>
        <v>-0</v>
      </c>
      <c r="AO275" s="67" t="n">
        <f aca="false">-Inputs!$D$29*(1+Inputs!$D$30)^(AO$247-1)*1</f>
        <v>-0</v>
      </c>
      <c r="AP275" s="67" t="n">
        <f aca="false">-Inputs!$D$29*(1+Inputs!$D$30)^(AP$247-1)*1</f>
        <v>-0</v>
      </c>
      <c r="AQ275" s="67" t="n">
        <f aca="false">-Inputs!$D$29*(1+Inputs!$D$30)^(AQ$247-1)*1</f>
        <v>-0</v>
      </c>
      <c r="AR275" s="67" t="n">
        <f aca="false">-Inputs!$D$29*(1+Inputs!$D$30)^(AR$247-1)*1</f>
        <v>-0</v>
      </c>
      <c r="AS275" s="67" t="n">
        <f aca="false">-Inputs!$D$29*(1+Inputs!$D$30)^(AS$247-1)*1</f>
        <v>-0</v>
      </c>
      <c r="AT275" s="67" t="n">
        <f aca="false">-Inputs!$D$29*(1+Inputs!$D$30)^(AT$247-1)*1</f>
        <v>-0</v>
      </c>
      <c r="AU275" s="67" t="n">
        <f aca="false">-Inputs!$D$29*(1+Inputs!$D$30)^(AU$247-1)*1</f>
        <v>-0</v>
      </c>
      <c r="AV275" s="67" t="n">
        <f aca="false">-Inputs!$D$29*(1+Inputs!$D$30)^(AV$247-1)*1</f>
        <v>-0</v>
      </c>
      <c r="AW275" s="67" t="n">
        <f aca="false">-Inputs!$D$29*(1+Inputs!$D$30)^(AW$247-1)*1</f>
        <v>-0</v>
      </c>
      <c r="AX275" s="67" t="n">
        <f aca="false">-Inputs!$D$29*(1+Inputs!$D$30)^(AX$247-1)*1</f>
        <v>-0</v>
      </c>
      <c r="AY275" s="67" t="n">
        <f aca="false">-Inputs!$D$29*(1+Inputs!$D$30)^(AY$247-1)*1</f>
        <v>-0</v>
      </c>
      <c r="AZ275" s="67" t="n">
        <f aca="false">-Inputs!$D$29*(1+Inputs!$D$30)^(AZ$247-1)*1</f>
        <v>-0</v>
      </c>
      <c r="BA275" s="67" t="n">
        <f aca="false">-Inputs!$D$29*(1+Inputs!$D$30)^(BA$247-1)*1</f>
        <v>-0</v>
      </c>
      <c r="BB275" s="67" t="n">
        <f aca="false">-Inputs!$D$29*(1+Inputs!$D$30)^(BB$247-1)*1</f>
        <v>-0</v>
      </c>
      <c r="BC275" s="67" t="n">
        <f aca="false">-Inputs!$D$29*(1+Inputs!$D$30)^(BC$247-1)*1</f>
        <v>-0</v>
      </c>
      <c r="BD275" s="67" t="n">
        <f aca="false">-Inputs!$D$29*(1+Inputs!$D$30)^(BD$247-1)*1</f>
        <v>-0</v>
      </c>
      <c r="BE275" s="67" t="n">
        <f aca="false">-Inputs!$D$29*(1+Inputs!$D$30)^(BE$247-1)*1</f>
        <v>-0</v>
      </c>
      <c r="BF275" s="67" t="n">
        <f aca="false">-Inputs!$D$29*(1+Inputs!$D$30)^(BF$247-1)*1</f>
        <v>-0</v>
      </c>
      <c r="BG275" s="67" t="n">
        <f aca="false">-Inputs!$D$29*(1+Inputs!$D$30)^(BG$247-1)*1</f>
        <v>-0</v>
      </c>
      <c r="BH275" s="67" t="n">
        <f aca="false">-Inputs!$D$29*(1+Inputs!$D$30)^(BH$247-1)*1</f>
        <v>-0</v>
      </c>
      <c r="BI275" s="67" t="n">
        <f aca="false">-Inputs!$D$29*(1+Inputs!$D$30)^(BI$247-1)*1</f>
        <v>-0</v>
      </c>
      <c r="BJ275" s="67" t="n">
        <f aca="false">-Inputs!$D$29*(1+Inputs!$D$30)^(BJ$247-1)*1</f>
        <v>-0</v>
      </c>
    </row>
    <row r="276" customFormat="false" ht="15" hidden="false" customHeight="false" outlineLevel="0" collapsed="false">
      <c r="A276" s="6" t="s">
        <v>330</v>
      </c>
      <c r="C276" s="67" t="n">
        <f aca="false">-Inputs!$D$31/12*(1+Inputs!$D$39)^(C$247-1)*1</f>
        <v>-666.666666666667</v>
      </c>
      <c r="D276" s="67" t="n">
        <f aca="false">-Inputs!$D$31/12*(1+Inputs!$D$39)^(D$247-1)*1</f>
        <v>-666.666666666667</v>
      </c>
      <c r="E276" s="67" t="n">
        <f aca="false">-Inputs!$D$31/12*(1+Inputs!$D$39)^(E$247-1)*1</f>
        <v>-666.666666666667</v>
      </c>
      <c r="F276" s="67" t="n">
        <f aca="false">-Inputs!$D$31/12*(1+Inputs!$D$39)^(F$247-1)*1</f>
        <v>-666.666666666667</v>
      </c>
      <c r="G276" s="67" t="n">
        <f aca="false">-Inputs!$D$31/12*(1+Inputs!$D$39)^(G$247-1)*1</f>
        <v>-666.666666666667</v>
      </c>
      <c r="H276" s="67" t="n">
        <f aca="false">-Inputs!$D$31/12*(1+Inputs!$D$39)^(H$247-1)*1</f>
        <v>-666.666666666667</v>
      </c>
      <c r="I276" s="67" t="n">
        <f aca="false">-Inputs!$D$31/12*(1+Inputs!$D$39)^(I$247-1)*1</f>
        <v>-666.666666666667</v>
      </c>
      <c r="J276" s="67" t="n">
        <f aca="false">-Inputs!$D$31/12*(1+Inputs!$D$39)^(J$247-1)*1</f>
        <v>-666.666666666667</v>
      </c>
      <c r="K276" s="67" t="n">
        <f aca="false">-Inputs!$D$31/12*(1+Inputs!$D$39)^(K$247-1)*1</f>
        <v>-666.666666666667</v>
      </c>
      <c r="L276" s="67" t="n">
        <f aca="false">-Inputs!$D$31/12*(1+Inputs!$D$39)^(L$247-1)*1</f>
        <v>-666.666666666667</v>
      </c>
      <c r="M276" s="67" t="n">
        <f aca="false">-Inputs!$D$31/12*(1+Inputs!$D$39)^(M$247-1)*1</f>
        <v>-666.666666666667</v>
      </c>
      <c r="N276" s="67" t="n">
        <f aca="false">-Inputs!$D$31/12*(1+Inputs!$D$39)^(N$247-1)*1</f>
        <v>-666.666666666667</v>
      </c>
      <c r="O276" s="67" t="n">
        <f aca="false">-Inputs!$D$31/12*(1+Inputs!$D$39)^(O$247-1)*1</f>
        <v>-683.333333333333</v>
      </c>
      <c r="P276" s="67" t="n">
        <f aca="false">-Inputs!$D$31/12*(1+Inputs!$D$39)^(P$247-1)*1</f>
        <v>-683.333333333333</v>
      </c>
      <c r="Q276" s="67" t="n">
        <f aca="false">-Inputs!$D$31/12*(1+Inputs!$D$39)^(Q$247-1)*1</f>
        <v>-683.333333333333</v>
      </c>
      <c r="R276" s="67" t="n">
        <f aca="false">-Inputs!$D$31/12*(1+Inputs!$D$39)^(R$247-1)*1</f>
        <v>-683.333333333333</v>
      </c>
      <c r="S276" s="67" t="n">
        <f aca="false">-Inputs!$D$31/12*(1+Inputs!$D$39)^(S$247-1)*1</f>
        <v>-683.333333333333</v>
      </c>
      <c r="T276" s="67" t="n">
        <f aca="false">-Inputs!$D$31/12*(1+Inputs!$D$39)^(T$247-1)*1</f>
        <v>-683.333333333333</v>
      </c>
      <c r="U276" s="67" t="n">
        <f aca="false">-Inputs!$D$31/12*(1+Inputs!$D$39)^(U$247-1)*1</f>
        <v>-683.333333333333</v>
      </c>
      <c r="V276" s="67" t="n">
        <f aca="false">-Inputs!$D$31/12*(1+Inputs!$D$39)^(V$247-1)*1</f>
        <v>-683.333333333333</v>
      </c>
      <c r="W276" s="67" t="n">
        <f aca="false">-Inputs!$D$31/12*(1+Inputs!$D$39)^(W$247-1)*1</f>
        <v>-683.333333333333</v>
      </c>
      <c r="X276" s="67" t="n">
        <f aca="false">-Inputs!$D$31/12*(1+Inputs!$D$39)^(X$247-1)*1</f>
        <v>-683.333333333333</v>
      </c>
      <c r="Y276" s="67" t="n">
        <f aca="false">-Inputs!$D$31/12*(1+Inputs!$D$39)^(Y$247-1)*1</f>
        <v>-683.333333333333</v>
      </c>
      <c r="Z276" s="67" t="n">
        <f aca="false">-Inputs!$D$31/12*(1+Inputs!$D$39)^(Z$247-1)*1</f>
        <v>-683.333333333333</v>
      </c>
      <c r="AA276" s="67" t="n">
        <f aca="false">-Inputs!$D$31/12*(1+Inputs!$D$39)^(AA$247-1)*1</f>
        <v>-700.416666666667</v>
      </c>
      <c r="AB276" s="67" t="n">
        <f aca="false">-Inputs!$D$31/12*(1+Inputs!$D$39)^(AB$247-1)*1</f>
        <v>-700.416666666667</v>
      </c>
      <c r="AC276" s="67" t="n">
        <f aca="false">-Inputs!$D$31/12*(1+Inputs!$D$39)^(AC$247-1)*1</f>
        <v>-700.416666666667</v>
      </c>
      <c r="AD276" s="67" t="n">
        <f aca="false">-Inputs!$D$31/12*(1+Inputs!$D$39)^(AD$247-1)*1</f>
        <v>-700.416666666667</v>
      </c>
      <c r="AE276" s="67" t="n">
        <f aca="false">-Inputs!$D$31/12*(1+Inputs!$D$39)^(AE$247-1)*1</f>
        <v>-700.416666666667</v>
      </c>
      <c r="AF276" s="67" t="n">
        <f aca="false">-Inputs!$D$31/12*(1+Inputs!$D$39)^(AF$247-1)*1</f>
        <v>-700.416666666667</v>
      </c>
      <c r="AG276" s="67" t="n">
        <f aca="false">-Inputs!$D$31/12*(1+Inputs!$D$39)^(AG$247-1)*1</f>
        <v>-700.416666666667</v>
      </c>
      <c r="AH276" s="67" t="n">
        <f aca="false">-Inputs!$D$31/12*(1+Inputs!$D$39)^(AH$247-1)*1</f>
        <v>-700.416666666667</v>
      </c>
      <c r="AI276" s="67" t="n">
        <f aca="false">-Inputs!$D$31/12*(1+Inputs!$D$39)^(AI$247-1)*1</f>
        <v>-700.416666666667</v>
      </c>
      <c r="AJ276" s="67" t="n">
        <f aca="false">-Inputs!$D$31/12*(1+Inputs!$D$39)^(AJ$247-1)*1</f>
        <v>-700.416666666667</v>
      </c>
      <c r="AK276" s="67" t="n">
        <f aca="false">-Inputs!$D$31/12*(1+Inputs!$D$39)^(AK$247-1)*1</f>
        <v>-700.416666666667</v>
      </c>
      <c r="AL276" s="67" t="n">
        <f aca="false">-Inputs!$D$31/12*(1+Inputs!$D$39)^(AL$247-1)*1</f>
        <v>-700.416666666667</v>
      </c>
      <c r="AM276" s="67" t="n">
        <f aca="false">-Inputs!$D$31/12*(1+Inputs!$D$39)^(AM$247-1)*1</f>
        <v>-717.927083333333</v>
      </c>
      <c r="AN276" s="67" t="n">
        <f aca="false">-Inputs!$D$31/12*(1+Inputs!$D$39)^(AN$247-1)*1</f>
        <v>-717.927083333333</v>
      </c>
      <c r="AO276" s="67" t="n">
        <f aca="false">-Inputs!$D$31/12*(1+Inputs!$D$39)^(AO$247-1)*1</f>
        <v>-717.927083333333</v>
      </c>
      <c r="AP276" s="67" t="n">
        <f aca="false">-Inputs!$D$31/12*(1+Inputs!$D$39)^(AP$247-1)*1</f>
        <v>-717.927083333333</v>
      </c>
      <c r="AQ276" s="67" t="n">
        <f aca="false">-Inputs!$D$31/12*(1+Inputs!$D$39)^(AQ$247-1)*1</f>
        <v>-717.927083333333</v>
      </c>
      <c r="AR276" s="67" t="n">
        <f aca="false">-Inputs!$D$31/12*(1+Inputs!$D$39)^(AR$247-1)*1</f>
        <v>-717.927083333333</v>
      </c>
      <c r="AS276" s="67" t="n">
        <f aca="false">-Inputs!$D$31/12*(1+Inputs!$D$39)^(AS$247-1)*1</f>
        <v>-717.927083333333</v>
      </c>
      <c r="AT276" s="67" t="n">
        <f aca="false">-Inputs!$D$31/12*(1+Inputs!$D$39)^(AT$247-1)*1</f>
        <v>-717.927083333333</v>
      </c>
      <c r="AU276" s="67" t="n">
        <f aca="false">-Inputs!$D$31/12*(1+Inputs!$D$39)^(AU$247-1)*1</f>
        <v>-717.927083333333</v>
      </c>
      <c r="AV276" s="67" t="n">
        <f aca="false">-Inputs!$D$31/12*(1+Inputs!$D$39)^(AV$247-1)*1</f>
        <v>-717.927083333333</v>
      </c>
      <c r="AW276" s="67" t="n">
        <f aca="false">-Inputs!$D$31/12*(1+Inputs!$D$39)^(AW$247-1)*1</f>
        <v>-717.927083333333</v>
      </c>
      <c r="AX276" s="67" t="n">
        <f aca="false">-Inputs!$D$31/12*(1+Inputs!$D$39)^(AX$247-1)*1</f>
        <v>-717.927083333333</v>
      </c>
      <c r="AY276" s="67" t="n">
        <f aca="false">-Inputs!$D$31/12*(1+Inputs!$D$39)^(AY$247-1)*1</f>
        <v>-735.875260416666</v>
      </c>
      <c r="AZ276" s="67" t="n">
        <f aca="false">-Inputs!$D$31/12*(1+Inputs!$D$39)^(AZ$247-1)*1</f>
        <v>-735.875260416666</v>
      </c>
      <c r="BA276" s="67" t="n">
        <f aca="false">-Inputs!$D$31/12*(1+Inputs!$D$39)^(BA$247-1)*1</f>
        <v>-735.875260416666</v>
      </c>
      <c r="BB276" s="67" t="n">
        <f aca="false">-Inputs!$D$31/12*(1+Inputs!$D$39)^(BB$247-1)*1</f>
        <v>-735.875260416666</v>
      </c>
      <c r="BC276" s="67" t="n">
        <f aca="false">-Inputs!$D$31/12*(1+Inputs!$D$39)^(BC$247-1)*1</f>
        <v>-735.875260416666</v>
      </c>
      <c r="BD276" s="67" t="n">
        <f aca="false">-Inputs!$D$31/12*(1+Inputs!$D$39)^(BD$247-1)*1</f>
        <v>-735.875260416666</v>
      </c>
      <c r="BE276" s="67" t="n">
        <f aca="false">-Inputs!$D$31/12*(1+Inputs!$D$39)^(BE$247-1)*1</f>
        <v>-735.875260416666</v>
      </c>
      <c r="BF276" s="67" t="n">
        <f aca="false">-Inputs!$D$31/12*(1+Inputs!$D$39)^(BF$247-1)*1</f>
        <v>-735.875260416666</v>
      </c>
      <c r="BG276" s="67" t="n">
        <f aca="false">-Inputs!$D$31/12*(1+Inputs!$D$39)^(BG$247-1)*1</f>
        <v>-735.875260416666</v>
      </c>
      <c r="BH276" s="67" t="n">
        <f aca="false">-Inputs!$D$31/12*(1+Inputs!$D$39)^(BH$247-1)*1</f>
        <v>-735.875260416666</v>
      </c>
      <c r="BI276" s="67" t="n">
        <f aca="false">-Inputs!$D$31/12*(1+Inputs!$D$39)^(BI$247-1)*1</f>
        <v>-735.875260416666</v>
      </c>
      <c r="BJ276" s="67" t="n">
        <f aca="false">-Inputs!$D$31/12*(1+Inputs!$D$39)^(BJ$247-1)*1</f>
        <v>-735.875260416666</v>
      </c>
    </row>
    <row r="277" customFormat="false" ht="15" hidden="false" customHeight="false" outlineLevel="0" collapsed="false">
      <c r="A277" s="6" t="s">
        <v>331</v>
      </c>
      <c r="C277" s="67" t="n">
        <f aca="false">-Inputs!$D$32*(1+Inputs!$D$39)^(C$247-1)*1</f>
        <v>-700</v>
      </c>
      <c r="D277" s="67" t="n">
        <f aca="false">-Inputs!$D$32*(1+Inputs!$D$39)^(D$247-1)*1</f>
        <v>-700</v>
      </c>
      <c r="E277" s="67" t="n">
        <f aca="false">-Inputs!$D$32*(1+Inputs!$D$39)^(E$247-1)*1</f>
        <v>-700</v>
      </c>
      <c r="F277" s="67" t="n">
        <f aca="false">-Inputs!$D$32*(1+Inputs!$D$39)^(F$247-1)*1</f>
        <v>-700</v>
      </c>
      <c r="G277" s="67" t="n">
        <f aca="false">-Inputs!$D$32*(1+Inputs!$D$39)^(G$247-1)*1</f>
        <v>-700</v>
      </c>
      <c r="H277" s="67" t="n">
        <f aca="false">-Inputs!$D$32*(1+Inputs!$D$39)^(H$247-1)*1</f>
        <v>-700</v>
      </c>
      <c r="I277" s="67" t="n">
        <f aca="false">-Inputs!$D$32*(1+Inputs!$D$39)^(I$247-1)*1</f>
        <v>-700</v>
      </c>
      <c r="J277" s="67" t="n">
        <f aca="false">-Inputs!$D$32*(1+Inputs!$D$39)^(J$247-1)*1</f>
        <v>-700</v>
      </c>
      <c r="K277" s="67" t="n">
        <f aca="false">-Inputs!$D$32*(1+Inputs!$D$39)^(K$247-1)*1</f>
        <v>-700</v>
      </c>
      <c r="L277" s="67" t="n">
        <f aca="false">-Inputs!$D$32*(1+Inputs!$D$39)^(L$247-1)*1</f>
        <v>-700</v>
      </c>
      <c r="M277" s="67" t="n">
        <f aca="false">-Inputs!$D$32*(1+Inputs!$D$39)^(M$247-1)*1</f>
        <v>-700</v>
      </c>
      <c r="N277" s="67" t="n">
        <f aca="false">-Inputs!$D$32*(1+Inputs!$D$39)^(N$247-1)*1</f>
        <v>-700</v>
      </c>
      <c r="O277" s="67" t="n">
        <f aca="false">-Inputs!$D$32*(1+Inputs!$D$39)^(O$247-1)*1</f>
        <v>-717.5</v>
      </c>
      <c r="P277" s="67" t="n">
        <f aca="false">-Inputs!$D$32*(1+Inputs!$D$39)^(P$247-1)*1</f>
        <v>-717.5</v>
      </c>
      <c r="Q277" s="67" t="n">
        <f aca="false">-Inputs!$D$32*(1+Inputs!$D$39)^(Q$247-1)*1</f>
        <v>-717.5</v>
      </c>
      <c r="R277" s="67" t="n">
        <f aca="false">-Inputs!$D$32*(1+Inputs!$D$39)^(R$247-1)*1</f>
        <v>-717.5</v>
      </c>
      <c r="S277" s="67" t="n">
        <f aca="false">-Inputs!$D$32*(1+Inputs!$D$39)^(S$247-1)*1</f>
        <v>-717.5</v>
      </c>
      <c r="T277" s="67" t="n">
        <f aca="false">-Inputs!$D$32*(1+Inputs!$D$39)^(T$247-1)*1</f>
        <v>-717.5</v>
      </c>
      <c r="U277" s="67" t="n">
        <f aca="false">-Inputs!$D$32*(1+Inputs!$D$39)^(U$247-1)*1</f>
        <v>-717.5</v>
      </c>
      <c r="V277" s="67" t="n">
        <f aca="false">-Inputs!$D$32*(1+Inputs!$D$39)^(V$247-1)*1</f>
        <v>-717.5</v>
      </c>
      <c r="W277" s="67" t="n">
        <f aca="false">-Inputs!$D$32*(1+Inputs!$D$39)^(W$247-1)*1</f>
        <v>-717.5</v>
      </c>
      <c r="X277" s="67" t="n">
        <f aca="false">-Inputs!$D$32*(1+Inputs!$D$39)^(X$247-1)*1</f>
        <v>-717.5</v>
      </c>
      <c r="Y277" s="67" t="n">
        <f aca="false">-Inputs!$D$32*(1+Inputs!$D$39)^(Y$247-1)*1</f>
        <v>-717.5</v>
      </c>
      <c r="Z277" s="67" t="n">
        <f aca="false">-Inputs!$D$32*(1+Inputs!$D$39)^(Z$247-1)*1</f>
        <v>-717.5</v>
      </c>
      <c r="AA277" s="67" t="n">
        <f aca="false">-Inputs!$D$32*(1+Inputs!$D$39)^(AA$247-1)*1</f>
        <v>-735.4375</v>
      </c>
      <c r="AB277" s="67" t="n">
        <f aca="false">-Inputs!$D$32*(1+Inputs!$D$39)^(AB$247-1)*1</f>
        <v>-735.4375</v>
      </c>
      <c r="AC277" s="67" t="n">
        <f aca="false">-Inputs!$D$32*(1+Inputs!$D$39)^(AC$247-1)*1</f>
        <v>-735.4375</v>
      </c>
      <c r="AD277" s="67" t="n">
        <f aca="false">-Inputs!$D$32*(1+Inputs!$D$39)^(AD$247-1)*1</f>
        <v>-735.4375</v>
      </c>
      <c r="AE277" s="67" t="n">
        <f aca="false">-Inputs!$D$32*(1+Inputs!$D$39)^(AE$247-1)*1</f>
        <v>-735.4375</v>
      </c>
      <c r="AF277" s="67" t="n">
        <f aca="false">-Inputs!$D$32*(1+Inputs!$D$39)^(AF$247-1)*1</f>
        <v>-735.4375</v>
      </c>
      <c r="AG277" s="67" t="n">
        <f aca="false">-Inputs!$D$32*(1+Inputs!$D$39)^(AG$247-1)*1</f>
        <v>-735.4375</v>
      </c>
      <c r="AH277" s="67" t="n">
        <f aca="false">-Inputs!$D$32*(1+Inputs!$D$39)^(AH$247-1)*1</f>
        <v>-735.4375</v>
      </c>
      <c r="AI277" s="67" t="n">
        <f aca="false">-Inputs!$D$32*(1+Inputs!$D$39)^(AI$247-1)*1</f>
        <v>-735.4375</v>
      </c>
      <c r="AJ277" s="67" t="n">
        <f aca="false">-Inputs!$D$32*(1+Inputs!$D$39)^(AJ$247-1)*1</f>
        <v>-735.4375</v>
      </c>
      <c r="AK277" s="67" t="n">
        <f aca="false">-Inputs!$D$32*(1+Inputs!$D$39)^(AK$247-1)*1</f>
        <v>-735.4375</v>
      </c>
      <c r="AL277" s="67" t="n">
        <f aca="false">-Inputs!$D$32*(1+Inputs!$D$39)^(AL$247-1)*1</f>
        <v>-735.4375</v>
      </c>
      <c r="AM277" s="67" t="n">
        <f aca="false">-Inputs!$D$32*(1+Inputs!$D$39)^(AM$247-1)*1</f>
        <v>-753.8234375</v>
      </c>
      <c r="AN277" s="67" t="n">
        <f aca="false">-Inputs!$D$32*(1+Inputs!$D$39)^(AN$247-1)*1</f>
        <v>-753.8234375</v>
      </c>
      <c r="AO277" s="67" t="n">
        <f aca="false">-Inputs!$D$32*(1+Inputs!$D$39)^(AO$247-1)*1</f>
        <v>-753.8234375</v>
      </c>
      <c r="AP277" s="67" t="n">
        <f aca="false">-Inputs!$D$32*(1+Inputs!$D$39)^(AP$247-1)*1</f>
        <v>-753.8234375</v>
      </c>
      <c r="AQ277" s="67" t="n">
        <f aca="false">-Inputs!$D$32*(1+Inputs!$D$39)^(AQ$247-1)*1</f>
        <v>-753.8234375</v>
      </c>
      <c r="AR277" s="67" t="n">
        <f aca="false">-Inputs!$D$32*(1+Inputs!$D$39)^(AR$247-1)*1</f>
        <v>-753.8234375</v>
      </c>
      <c r="AS277" s="67" t="n">
        <f aca="false">-Inputs!$D$32*(1+Inputs!$D$39)^(AS$247-1)*1</f>
        <v>-753.8234375</v>
      </c>
      <c r="AT277" s="67" t="n">
        <f aca="false">-Inputs!$D$32*(1+Inputs!$D$39)^(AT$247-1)*1</f>
        <v>-753.8234375</v>
      </c>
      <c r="AU277" s="67" t="n">
        <f aca="false">-Inputs!$D$32*(1+Inputs!$D$39)^(AU$247-1)*1</f>
        <v>-753.8234375</v>
      </c>
      <c r="AV277" s="67" t="n">
        <f aca="false">-Inputs!$D$32*(1+Inputs!$D$39)^(AV$247-1)*1</f>
        <v>-753.8234375</v>
      </c>
      <c r="AW277" s="67" t="n">
        <f aca="false">-Inputs!$D$32*(1+Inputs!$D$39)^(AW$247-1)*1</f>
        <v>-753.8234375</v>
      </c>
      <c r="AX277" s="67" t="n">
        <f aca="false">-Inputs!$D$32*(1+Inputs!$D$39)^(AX$247-1)*1</f>
        <v>-753.8234375</v>
      </c>
      <c r="AY277" s="67" t="n">
        <f aca="false">-Inputs!$D$32*(1+Inputs!$D$39)^(AY$247-1)*1</f>
        <v>-772.6690234375</v>
      </c>
      <c r="AZ277" s="67" t="n">
        <f aca="false">-Inputs!$D$32*(1+Inputs!$D$39)^(AZ$247-1)*1</f>
        <v>-772.6690234375</v>
      </c>
      <c r="BA277" s="67" t="n">
        <f aca="false">-Inputs!$D$32*(1+Inputs!$D$39)^(BA$247-1)*1</f>
        <v>-772.6690234375</v>
      </c>
      <c r="BB277" s="67" t="n">
        <f aca="false">-Inputs!$D$32*(1+Inputs!$D$39)^(BB$247-1)*1</f>
        <v>-772.6690234375</v>
      </c>
      <c r="BC277" s="67" t="n">
        <f aca="false">-Inputs!$D$32*(1+Inputs!$D$39)^(BC$247-1)*1</f>
        <v>-772.6690234375</v>
      </c>
      <c r="BD277" s="67" t="n">
        <f aca="false">-Inputs!$D$32*(1+Inputs!$D$39)^(BD$247-1)*1</f>
        <v>-772.6690234375</v>
      </c>
      <c r="BE277" s="67" t="n">
        <f aca="false">-Inputs!$D$32*(1+Inputs!$D$39)^(BE$247-1)*1</f>
        <v>-772.6690234375</v>
      </c>
      <c r="BF277" s="67" t="n">
        <f aca="false">-Inputs!$D$32*(1+Inputs!$D$39)^(BF$247-1)*1</f>
        <v>-772.6690234375</v>
      </c>
      <c r="BG277" s="67" t="n">
        <f aca="false">-Inputs!$D$32*(1+Inputs!$D$39)^(BG$247-1)*1</f>
        <v>-772.6690234375</v>
      </c>
      <c r="BH277" s="67" t="n">
        <f aca="false">-Inputs!$D$32*(1+Inputs!$D$39)^(BH$247-1)*1</f>
        <v>-772.6690234375</v>
      </c>
      <c r="BI277" s="67" t="n">
        <f aca="false">-Inputs!$D$32*(1+Inputs!$D$39)^(BI$247-1)*1</f>
        <v>-772.6690234375</v>
      </c>
      <c r="BJ277" s="67" t="n">
        <f aca="false">-Inputs!$D$32*(1+Inputs!$D$39)^(BJ$247-1)*1</f>
        <v>-772.6690234375</v>
      </c>
    </row>
    <row r="278" customFormat="false" ht="15" hidden="false" customHeight="false" outlineLevel="0" collapsed="false">
      <c r="A278" s="6" t="s">
        <v>332</v>
      </c>
      <c r="C278" s="67" t="n">
        <f aca="false">-Inputs!$D$33*(1+Inputs!$D$39)^(C$247-1)*1</f>
        <v>-1800</v>
      </c>
      <c r="D278" s="67" t="n">
        <f aca="false">-Inputs!$D$33*(1+Inputs!$D$39)^(D$247-1)*1</f>
        <v>-1800</v>
      </c>
      <c r="E278" s="67" t="n">
        <f aca="false">-Inputs!$D$33*(1+Inputs!$D$39)^(E$247-1)*1</f>
        <v>-1800</v>
      </c>
      <c r="F278" s="67" t="n">
        <f aca="false">-Inputs!$D$33*(1+Inputs!$D$39)^(F$247-1)*1</f>
        <v>-1800</v>
      </c>
      <c r="G278" s="67" t="n">
        <f aca="false">-Inputs!$D$33*(1+Inputs!$D$39)^(G$247-1)*1</f>
        <v>-1800</v>
      </c>
      <c r="H278" s="67" t="n">
        <f aca="false">-Inputs!$D$33*(1+Inputs!$D$39)^(H$247-1)*1</f>
        <v>-1800</v>
      </c>
      <c r="I278" s="67" t="n">
        <f aca="false">-Inputs!$D$33*(1+Inputs!$D$39)^(I$247-1)*1</f>
        <v>-1800</v>
      </c>
      <c r="J278" s="67" t="n">
        <f aca="false">-Inputs!$D$33*(1+Inputs!$D$39)^(J$247-1)*1</f>
        <v>-1800</v>
      </c>
      <c r="K278" s="67" t="n">
        <f aca="false">-Inputs!$D$33*(1+Inputs!$D$39)^(K$247-1)*1</f>
        <v>-1800</v>
      </c>
      <c r="L278" s="67" t="n">
        <f aca="false">-Inputs!$D$33*(1+Inputs!$D$39)^(L$247-1)*1</f>
        <v>-1800</v>
      </c>
      <c r="M278" s="67" t="n">
        <f aca="false">-Inputs!$D$33*(1+Inputs!$D$39)^(M$247-1)*1</f>
        <v>-1800</v>
      </c>
      <c r="N278" s="67" t="n">
        <f aca="false">-Inputs!$D$33*(1+Inputs!$D$39)^(N$247-1)*1</f>
        <v>-1800</v>
      </c>
      <c r="O278" s="67" t="n">
        <f aca="false">-Inputs!$D$33*(1+Inputs!$D$39)^(O$247-1)*1</f>
        <v>-1845</v>
      </c>
      <c r="P278" s="67" t="n">
        <f aca="false">-Inputs!$D$33*(1+Inputs!$D$39)^(P$247-1)*1</f>
        <v>-1845</v>
      </c>
      <c r="Q278" s="67" t="n">
        <f aca="false">-Inputs!$D$33*(1+Inputs!$D$39)^(Q$247-1)*1</f>
        <v>-1845</v>
      </c>
      <c r="R278" s="67" t="n">
        <f aca="false">-Inputs!$D$33*(1+Inputs!$D$39)^(R$247-1)*1</f>
        <v>-1845</v>
      </c>
      <c r="S278" s="67" t="n">
        <f aca="false">-Inputs!$D$33*(1+Inputs!$D$39)^(S$247-1)*1</f>
        <v>-1845</v>
      </c>
      <c r="T278" s="67" t="n">
        <f aca="false">-Inputs!$D$33*(1+Inputs!$D$39)^(T$247-1)*1</f>
        <v>-1845</v>
      </c>
      <c r="U278" s="67" t="n">
        <f aca="false">-Inputs!$D$33*(1+Inputs!$D$39)^(U$247-1)*1</f>
        <v>-1845</v>
      </c>
      <c r="V278" s="67" t="n">
        <f aca="false">-Inputs!$D$33*(1+Inputs!$D$39)^(V$247-1)*1</f>
        <v>-1845</v>
      </c>
      <c r="W278" s="67" t="n">
        <f aca="false">-Inputs!$D$33*(1+Inputs!$D$39)^(W$247-1)*1</f>
        <v>-1845</v>
      </c>
      <c r="X278" s="67" t="n">
        <f aca="false">-Inputs!$D$33*(1+Inputs!$D$39)^(X$247-1)*1</f>
        <v>-1845</v>
      </c>
      <c r="Y278" s="67" t="n">
        <f aca="false">-Inputs!$D$33*(1+Inputs!$D$39)^(Y$247-1)*1</f>
        <v>-1845</v>
      </c>
      <c r="Z278" s="67" t="n">
        <f aca="false">-Inputs!$D$33*(1+Inputs!$D$39)^(Z$247-1)*1</f>
        <v>-1845</v>
      </c>
      <c r="AA278" s="67" t="n">
        <f aca="false">-Inputs!$D$33*(1+Inputs!$D$39)^(AA$247-1)*1</f>
        <v>-1891.125</v>
      </c>
      <c r="AB278" s="67" t="n">
        <f aca="false">-Inputs!$D$33*(1+Inputs!$D$39)^(AB$247-1)*1</f>
        <v>-1891.125</v>
      </c>
      <c r="AC278" s="67" t="n">
        <f aca="false">-Inputs!$D$33*(1+Inputs!$D$39)^(AC$247-1)*1</f>
        <v>-1891.125</v>
      </c>
      <c r="AD278" s="67" t="n">
        <f aca="false">-Inputs!$D$33*(1+Inputs!$D$39)^(AD$247-1)*1</f>
        <v>-1891.125</v>
      </c>
      <c r="AE278" s="67" t="n">
        <f aca="false">-Inputs!$D$33*(1+Inputs!$D$39)^(AE$247-1)*1</f>
        <v>-1891.125</v>
      </c>
      <c r="AF278" s="67" t="n">
        <f aca="false">-Inputs!$D$33*(1+Inputs!$D$39)^(AF$247-1)*1</f>
        <v>-1891.125</v>
      </c>
      <c r="AG278" s="67" t="n">
        <f aca="false">-Inputs!$D$33*(1+Inputs!$D$39)^(AG$247-1)*1</f>
        <v>-1891.125</v>
      </c>
      <c r="AH278" s="67" t="n">
        <f aca="false">-Inputs!$D$33*(1+Inputs!$D$39)^(AH$247-1)*1</f>
        <v>-1891.125</v>
      </c>
      <c r="AI278" s="67" t="n">
        <f aca="false">-Inputs!$D$33*(1+Inputs!$D$39)^(AI$247-1)*1</f>
        <v>-1891.125</v>
      </c>
      <c r="AJ278" s="67" t="n">
        <f aca="false">-Inputs!$D$33*(1+Inputs!$D$39)^(AJ$247-1)*1</f>
        <v>-1891.125</v>
      </c>
      <c r="AK278" s="67" t="n">
        <f aca="false">-Inputs!$D$33*(1+Inputs!$D$39)^(AK$247-1)*1</f>
        <v>-1891.125</v>
      </c>
      <c r="AL278" s="67" t="n">
        <f aca="false">-Inputs!$D$33*(1+Inputs!$D$39)^(AL$247-1)*1</f>
        <v>-1891.125</v>
      </c>
      <c r="AM278" s="67" t="n">
        <f aca="false">-Inputs!$D$33*(1+Inputs!$D$39)^(AM$247-1)*1</f>
        <v>-1938.403125</v>
      </c>
      <c r="AN278" s="67" t="n">
        <f aca="false">-Inputs!$D$33*(1+Inputs!$D$39)^(AN$247-1)*1</f>
        <v>-1938.403125</v>
      </c>
      <c r="AO278" s="67" t="n">
        <f aca="false">-Inputs!$D$33*(1+Inputs!$D$39)^(AO$247-1)*1</f>
        <v>-1938.403125</v>
      </c>
      <c r="AP278" s="67" t="n">
        <f aca="false">-Inputs!$D$33*(1+Inputs!$D$39)^(AP$247-1)*1</f>
        <v>-1938.403125</v>
      </c>
      <c r="AQ278" s="67" t="n">
        <f aca="false">-Inputs!$D$33*(1+Inputs!$D$39)^(AQ$247-1)*1</f>
        <v>-1938.403125</v>
      </c>
      <c r="AR278" s="67" t="n">
        <f aca="false">-Inputs!$D$33*(1+Inputs!$D$39)^(AR$247-1)*1</f>
        <v>-1938.403125</v>
      </c>
      <c r="AS278" s="67" t="n">
        <f aca="false">-Inputs!$D$33*(1+Inputs!$D$39)^(AS$247-1)*1</f>
        <v>-1938.403125</v>
      </c>
      <c r="AT278" s="67" t="n">
        <f aca="false">-Inputs!$D$33*(1+Inputs!$D$39)^(AT$247-1)*1</f>
        <v>-1938.403125</v>
      </c>
      <c r="AU278" s="67" t="n">
        <f aca="false">-Inputs!$D$33*(1+Inputs!$D$39)^(AU$247-1)*1</f>
        <v>-1938.403125</v>
      </c>
      <c r="AV278" s="67" t="n">
        <f aca="false">-Inputs!$D$33*(1+Inputs!$D$39)^(AV$247-1)*1</f>
        <v>-1938.403125</v>
      </c>
      <c r="AW278" s="67" t="n">
        <f aca="false">-Inputs!$D$33*(1+Inputs!$D$39)^(AW$247-1)*1</f>
        <v>-1938.403125</v>
      </c>
      <c r="AX278" s="67" t="n">
        <f aca="false">-Inputs!$D$33*(1+Inputs!$D$39)^(AX$247-1)*1</f>
        <v>-1938.403125</v>
      </c>
      <c r="AY278" s="67" t="n">
        <f aca="false">-Inputs!$D$33*(1+Inputs!$D$39)^(AY$247-1)*1</f>
        <v>-1986.863203125</v>
      </c>
      <c r="AZ278" s="67" t="n">
        <f aca="false">-Inputs!$D$33*(1+Inputs!$D$39)^(AZ$247-1)*1</f>
        <v>-1986.863203125</v>
      </c>
      <c r="BA278" s="67" t="n">
        <f aca="false">-Inputs!$D$33*(1+Inputs!$D$39)^(BA$247-1)*1</f>
        <v>-1986.863203125</v>
      </c>
      <c r="BB278" s="67" t="n">
        <f aca="false">-Inputs!$D$33*(1+Inputs!$D$39)^(BB$247-1)*1</f>
        <v>-1986.863203125</v>
      </c>
      <c r="BC278" s="67" t="n">
        <f aca="false">-Inputs!$D$33*(1+Inputs!$D$39)^(BC$247-1)*1</f>
        <v>-1986.863203125</v>
      </c>
      <c r="BD278" s="67" t="n">
        <f aca="false">-Inputs!$D$33*(1+Inputs!$D$39)^(BD$247-1)*1</f>
        <v>-1986.863203125</v>
      </c>
      <c r="BE278" s="67" t="n">
        <f aca="false">-Inputs!$D$33*(1+Inputs!$D$39)^(BE$247-1)*1</f>
        <v>-1986.863203125</v>
      </c>
      <c r="BF278" s="67" t="n">
        <f aca="false">-Inputs!$D$33*(1+Inputs!$D$39)^(BF$247-1)*1</f>
        <v>-1986.863203125</v>
      </c>
      <c r="BG278" s="67" t="n">
        <f aca="false">-Inputs!$D$33*(1+Inputs!$D$39)^(BG$247-1)*1</f>
        <v>-1986.863203125</v>
      </c>
      <c r="BH278" s="67" t="n">
        <f aca="false">-Inputs!$D$33*(1+Inputs!$D$39)^(BH$247-1)*1</f>
        <v>-1986.863203125</v>
      </c>
      <c r="BI278" s="67" t="n">
        <f aca="false">-Inputs!$D$33*(1+Inputs!$D$39)^(BI$247-1)*1</f>
        <v>-1986.863203125</v>
      </c>
      <c r="BJ278" s="67" t="n">
        <f aca="false">-Inputs!$D$33*(1+Inputs!$D$39)^(BJ$247-1)*1</f>
        <v>-1986.863203125</v>
      </c>
    </row>
    <row r="279" customFormat="false" ht="15" hidden="false" customHeight="false" outlineLevel="0" collapsed="false">
      <c r="A279" s="6" t="s">
        <v>333</v>
      </c>
      <c r="C279" s="67" t="n">
        <f aca="false">-C262*Inputs!$D$34</f>
        <v>-631.528333333333</v>
      </c>
      <c r="D279" s="67" t="n">
        <f aca="false">-D262*Inputs!$D$34</f>
        <v>-710.469375</v>
      </c>
      <c r="E279" s="67" t="n">
        <f aca="false">-E262*Inputs!$D$34</f>
        <v>-789.410416666667</v>
      </c>
      <c r="F279" s="67" t="n">
        <f aca="false">-F262*Inputs!$D$34</f>
        <v>-868.351458333333</v>
      </c>
      <c r="G279" s="67" t="n">
        <f aca="false">-G262*Inputs!$D$34</f>
        <v>-947.2925</v>
      </c>
      <c r="H279" s="67" t="n">
        <f aca="false">-H262*Inputs!$D$34</f>
        <v>-1399.409375</v>
      </c>
      <c r="I279" s="67" t="n">
        <f aca="false">-I262*Inputs!$D$34</f>
        <v>-1507.05625</v>
      </c>
      <c r="J279" s="67" t="n">
        <f aca="false">-J262*Inputs!$D$34</f>
        <v>-1614.703125</v>
      </c>
      <c r="K279" s="67" t="n">
        <f aca="false">-K262*Inputs!$D$34</f>
        <v>-1263.05666666667</v>
      </c>
      <c r="L279" s="67" t="n">
        <f aca="false">-L262*Inputs!$D$34</f>
        <v>-1263.05666666667</v>
      </c>
      <c r="M279" s="67" t="n">
        <f aca="false">-M262*Inputs!$D$34</f>
        <v>-1263.05666666667</v>
      </c>
      <c r="N279" s="67" t="n">
        <f aca="false">-N262*Inputs!$D$34</f>
        <v>-1263.05666666667</v>
      </c>
      <c r="O279" s="67" t="n">
        <f aca="false">-O262*Inputs!$D$34</f>
        <v>-1352.98630133333</v>
      </c>
      <c r="P279" s="67" t="n">
        <f aca="false">-P262*Inputs!$D$34</f>
        <v>-1352.98630133333</v>
      </c>
      <c r="Q279" s="67" t="n">
        <f aca="false">-Q262*Inputs!$D$34</f>
        <v>-1352.98630133333</v>
      </c>
      <c r="R279" s="67" t="n">
        <f aca="false">-R262*Inputs!$D$34</f>
        <v>-1352.98630133333</v>
      </c>
      <c r="S279" s="67" t="n">
        <f aca="false">-S262*Inputs!$D$34</f>
        <v>-1352.98630133333</v>
      </c>
      <c r="T279" s="67" t="n">
        <f aca="false">-T262*Inputs!$D$34</f>
        <v>-1844.98132</v>
      </c>
      <c r="U279" s="67" t="n">
        <f aca="false">-U262*Inputs!$D$34</f>
        <v>-1844.98132</v>
      </c>
      <c r="V279" s="67" t="n">
        <f aca="false">-V262*Inputs!$D$34</f>
        <v>-1844.98132</v>
      </c>
      <c r="W279" s="67" t="n">
        <f aca="false">-W262*Inputs!$D$34</f>
        <v>-1352.98630133333</v>
      </c>
      <c r="X279" s="67" t="n">
        <f aca="false">-X262*Inputs!$D$34</f>
        <v>-1352.98630133333</v>
      </c>
      <c r="Y279" s="67" t="n">
        <f aca="false">-Y262*Inputs!$D$34</f>
        <v>-1352.98630133333</v>
      </c>
      <c r="Z279" s="67" t="n">
        <f aca="false">-Z262*Inputs!$D$34</f>
        <v>-1352.98630133333</v>
      </c>
      <c r="AA279" s="67" t="n">
        <f aca="false">-AA262*Inputs!$D$34</f>
        <v>-1449.31892598827</v>
      </c>
      <c r="AB279" s="67" t="n">
        <f aca="false">-AB262*Inputs!$D$34</f>
        <v>-1449.31892598827</v>
      </c>
      <c r="AC279" s="67" t="n">
        <f aca="false">-AC262*Inputs!$D$34</f>
        <v>-1449.31892598827</v>
      </c>
      <c r="AD279" s="67" t="n">
        <f aca="false">-AD262*Inputs!$D$34</f>
        <v>-1449.31892598827</v>
      </c>
      <c r="AE279" s="67" t="n">
        <f aca="false">-AE262*Inputs!$D$34</f>
        <v>-1449.31892598827</v>
      </c>
      <c r="AF279" s="67" t="n">
        <f aca="false">-AF262*Inputs!$D$34</f>
        <v>-1976.343989984</v>
      </c>
      <c r="AG279" s="67" t="n">
        <f aca="false">-AG262*Inputs!$D$34</f>
        <v>-1976.343989984</v>
      </c>
      <c r="AH279" s="67" t="n">
        <f aca="false">-AH262*Inputs!$D$34</f>
        <v>-1976.343989984</v>
      </c>
      <c r="AI279" s="67" t="n">
        <f aca="false">-AI262*Inputs!$D$34</f>
        <v>-1449.31892598827</v>
      </c>
      <c r="AJ279" s="67" t="n">
        <f aca="false">-AJ262*Inputs!$D$34</f>
        <v>-1449.31892598827</v>
      </c>
      <c r="AK279" s="67" t="n">
        <f aca="false">-AK262*Inputs!$D$34</f>
        <v>-1449.31892598827</v>
      </c>
      <c r="AL279" s="67" t="n">
        <f aca="false">-AL262*Inputs!$D$34</f>
        <v>-1449.31892598827</v>
      </c>
      <c r="AM279" s="67" t="n">
        <f aca="false">-AM262*Inputs!$D$34</f>
        <v>-1552.51043351863</v>
      </c>
      <c r="AN279" s="67" t="n">
        <f aca="false">-AN262*Inputs!$D$34</f>
        <v>-1552.51043351863</v>
      </c>
      <c r="AO279" s="67" t="n">
        <f aca="false">-AO262*Inputs!$D$34</f>
        <v>-1552.51043351863</v>
      </c>
      <c r="AP279" s="67" t="n">
        <f aca="false">-AP262*Inputs!$D$34</f>
        <v>-1552.51043351863</v>
      </c>
      <c r="AQ279" s="67" t="n">
        <f aca="false">-AQ262*Inputs!$D$34</f>
        <v>-1552.51043351863</v>
      </c>
      <c r="AR279" s="67" t="n">
        <f aca="false">-AR262*Inputs!$D$34</f>
        <v>-2117.05968207086</v>
      </c>
      <c r="AS279" s="67" t="n">
        <f aca="false">-AS262*Inputs!$D$34</f>
        <v>-2117.05968207086</v>
      </c>
      <c r="AT279" s="67" t="n">
        <f aca="false">-AT262*Inputs!$D$34</f>
        <v>-2117.05968207086</v>
      </c>
      <c r="AU279" s="67" t="n">
        <f aca="false">-AU262*Inputs!$D$34</f>
        <v>-1552.51043351863</v>
      </c>
      <c r="AV279" s="67" t="n">
        <f aca="false">-AV262*Inputs!$D$34</f>
        <v>-1552.51043351863</v>
      </c>
      <c r="AW279" s="67" t="n">
        <f aca="false">-AW262*Inputs!$D$34</f>
        <v>-1552.51043351863</v>
      </c>
      <c r="AX279" s="67" t="n">
        <f aca="false">-AX262*Inputs!$D$34</f>
        <v>-1552.51043351863</v>
      </c>
      <c r="AY279" s="67" t="n">
        <f aca="false">-AY262*Inputs!$D$34</f>
        <v>-1663.04917638516</v>
      </c>
      <c r="AZ279" s="67" t="n">
        <f aca="false">-AZ262*Inputs!$D$34</f>
        <v>-1663.04917638516</v>
      </c>
      <c r="BA279" s="67" t="n">
        <f aca="false">-BA262*Inputs!$D$34</f>
        <v>-1663.04917638516</v>
      </c>
      <c r="BB279" s="67" t="n">
        <f aca="false">-BB262*Inputs!$D$34</f>
        <v>-1663.04917638516</v>
      </c>
      <c r="BC279" s="67" t="n">
        <f aca="false">-BC262*Inputs!$D$34</f>
        <v>-1663.04917638516</v>
      </c>
      <c r="BD279" s="67" t="n">
        <f aca="false">-BD262*Inputs!$D$34</f>
        <v>-2267.79433143431</v>
      </c>
      <c r="BE279" s="67" t="n">
        <f aca="false">-BE262*Inputs!$D$34</f>
        <v>-2267.79433143431</v>
      </c>
      <c r="BF279" s="67" t="n">
        <f aca="false">-BF262*Inputs!$D$34</f>
        <v>-2267.79433143431</v>
      </c>
      <c r="BG279" s="67" t="n">
        <f aca="false">-BG262*Inputs!$D$34</f>
        <v>-1663.04917638516</v>
      </c>
      <c r="BH279" s="67" t="n">
        <f aca="false">-BH262*Inputs!$D$34</f>
        <v>-1663.04917638516</v>
      </c>
      <c r="BI279" s="67" t="n">
        <f aca="false">-BI262*Inputs!$D$34</f>
        <v>-1663.04917638516</v>
      </c>
      <c r="BJ279" s="67" t="n">
        <f aca="false">-BJ262*Inputs!$D$34</f>
        <v>-1663.04917638516</v>
      </c>
    </row>
    <row r="280" customFormat="false" ht="15" hidden="false" customHeight="false" outlineLevel="0" collapsed="false">
      <c r="A280" s="6" t="s">
        <v>334</v>
      </c>
      <c r="C280" s="67" t="n">
        <f aca="false">-Inputs!$D$36*(1+Inputs!$D$37)^(C$247-1)*1</f>
        <v>-1500</v>
      </c>
      <c r="D280" s="67" t="n">
        <f aca="false">-Inputs!$D$36*(1+Inputs!$D$37)^(D$247-1)*1</f>
        <v>-1500</v>
      </c>
      <c r="E280" s="67" t="n">
        <f aca="false">-Inputs!$D$36*(1+Inputs!$D$37)^(E$247-1)*1</f>
        <v>-1500</v>
      </c>
      <c r="F280" s="67" t="n">
        <f aca="false">-Inputs!$D$36*(1+Inputs!$D$37)^(F$247-1)*1</f>
        <v>-1500</v>
      </c>
      <c r="G280" s="67" t="n">
        <f aca="false">-Inputs!$D$36*(1+Inputs!$D$37)^(G$247-1)*1</f>
        <v>-1500</v>
      </c>
      <c r="H280" s="67" t="n">
        <f aca="false">-Inputs!$D$36*(1+Inputs!$D$37)^(H$247-1)*1</f>
        <v>-1500</v>
      </c>
      <c r="I280" s="67" t="n">
        <f aca="false">-Inputs!$D$36*(1+Inputs!$D$37)^(I$247-1)*1</f>
        <v>-1500</v>
      </c>
      <c r="J280" s="67" t="n">
        <f aca="false">-Inputs!$D$36*(1+Inputs!$D$37)^(J$247-1)*1</f>
        <v>-1500</v>
      </c>
      <c r="K280" s="67" t="n">
        <f aca="false">-Inputs!$D$36*(1+Inputs!$D$37)^(K$247-1)*1</f>
        <v>-1500</v>
      </c>
      <c r="L280" s="67" t="n">
        <f aca="false">-Inputs!$D$36*(1+Inputs!$D$37)^(L$247-1)*1</f>
        <v>-1500</v>
      </c>
      <c r="M280" s="67" t="n">
        <f aca="false">-Inputs!$D$36*(1+Inputs!$D$37)^(M$247-1)*1</f>
        <v>-1500</v>
      </c>
      <c r="N280" s="67" t="n">
        <f aca="false">-Inputs!$D$36*(1+Inputs!$D$37)^(N$247-1)*1</f>
        <v>-1500</v>
      </c>
      <c r="O280" s="67" t="n">
        <f aca="false">-Inputs!$D$36*(1+Inputs!$D$37)^(O$247-1)*1</f>
        <v>-1350</v>
      </c>
      <c r="P280" s="67" t="n">
        <f aca="false">-Inputs!$D$36*(1+Inputs!$D$37)^(P$247-1)*1</f>
        <v>-1350</v>
      </c>
      <c r="Q280" s="67" t="n">
        <f aca="false">-Inputs!$D$36*(1+Inputs!$D$37)^(Q$247-1)*1</f>
        <v>-1350</v>
      </c>
      <c r="R280" s="67" t="n">
        <f aca="false">-Inputs!$D$36*(1+Inputs!$D$37)^(R$247-1)*1</f>
        <v>-1350</v>
      </c>
      <c r="S280" s="67" t="n">
        <f aca="false">-Inputs!$D$36*(1+Inputs!$D$37)^(S$247-1)*1</f>
        <v>-1350</v>
      </c>
      <c r="T280" s="67" t="n">
        <f aca="false">-Inputs!$D$36*(1+Inputs!$D$37)^(T$247-1)*1</f>
        <v>-1350</v>
      </c>
      <c r="U280" s="67" t="n">
        <f aca="false">-Inputs!$D$36*(1+Inputs!$D$37)^(U$247-1)*1</f>
        <v>-1350</v>
      </c>
      <c r="V280" s="67" t="n">
        <f aca="false">-Inputs!$D$36*(1+Inputs!$D$37)^(V$247-1)*1</f>
        <v>-1350</v>
      </c>
      <c r="W280" s="67" t="n">
        <f aca="false">-Inputs!$D$36*(1+Inputs!$D$37)^(W$247-1)*1</f>
        <v>-1350</v>
      </c>
      <c r="X280" s="67" t="n">
        <f aca="false">-Inputs!$D$36*(1+Inputs!$D$37)^(X$247-1)*1</f>
        <v>-1350</v>
      </c>
      <c r="Y280" s="67" t="n">
        <f aca="false">-Inputs!$D$36*(1+Inputs!$D$37)^(Y$247-1)*1</f>
        <v>-1350</v>
      </c>
      <c r="Z280" s="67" t="n">
        <f aca="false">-Inputs!$D$36*(1+Inputs!$D$37)^(Z$247-1)*1</f>
        <v>-1350</v>
      </c>
      <c r="AA280" s="67" t="n">
        <f aca="false">-Inputs!$D$36*(1+Inputs!$D$37)^(AA$247-1)*1</f>
        <v>-1215</v>
      </c>
      <c r="AB280" s="67" t="n">
        <f aca="false">-Inputs!$D$36*(1+Inputs!$D$37)^(AB$247-1)*1</f>
        <v>-1215</v>
      </c>
      <c r="AC280" s="67" t="n">
        <f aca="false">-Inputs!$D$36*(1+Inputs!$D$37)^(AC$247-1)*1</f>
        <v>-1215</v>
      </c>
      <c r="AD280" s="67" t="n">
        <f aca="false">-Inputs!$D$36*(1+Inputs!$D$37)^(AD$247-1)*1</f>
        <v>-1215</v>
      </c>
      <c r="AE280" s="67" t="n">
        <f aca="false">-Inputs!$D$36*(1+Inputs!$D$37)^(AE$247-1)*1</f>
        <v>-1215</v>
      </c>
      <c r="AF280" s="67" t="n">
        <f aca="false">-Inputs!$D$36*(1+Inputs!$D$37)^(AF$247-1)*1</f>
        <v>-1215</v>
      </c>
      <c r="AG280" s="67" t="n">
        <f aca="false">-Inputs!$D$36*(1+Inputs!$D$37)^(AG$247-1)*1</f>
        <v>-1215</v>
      </c>
      <c r="AH280" s="67" t="n">
        <f aca="false">-Inputs!$D$36*(1+Inputs!$D$37)^(AH$247-1)*1</f>
        <v>-1215</v>
      </c>
      <c r="AI280" s="67" t="n">
        <f aca="false">-Inputs!$D$36*(1+Inputs!$D$37)^(AI$247-1)*1</f>
        <v>-1215</v>
      </c>
      <c r="AJ280" s="67" t="n">
        <f aca="false">-Inputs!$D$36*(1+Inputs!$D$37)^(AJ$247-1)*1</f>
        <v>-1215</v>
      </c>
      <c r="AK280" s="67" t="n">
        <f aca="false">-Inputs!$D$36*(1+Inputs!$D$37)^(AK$247-1)*1</f>
        <v>-1215</v>
      </c>
      <c r="AL280" s="67" t="n">
        <f aca="false">-Inputs!$D$36*(1+Inputs!$D$37)^(AL$247-1)*1</f>
        <v>-1215</v>
      </c>
      <c r="AM280" s="67" t="n">
        <f aca="false">-Inputs!$D$36*(1+Inputs!$D$37)^(AM$247-1)*1</f>
        <v>-1093.5</v>
      </c>
      <c r="AN280" s="67" t="n">
        <f aca="false">-Inputs!$D$36*(1+Inputs!$D$37)^(AN$247-1)*1</f>
        <v>-1093.5</v>
      </c>
      <c r="AO280" s="67" t="n">
        <f aca="false">-Inputs!$D$36*(1+Inputs!$D$37)^(AO$247-1)*1</f>
        <v>-1093.5</v>
      </c>
      <c r="AP280" s="67" t="n">
        <f aca="false">-Inputs!$D$36*(1+Inputs!$D$37)^(AP$247-1)*1</f>
        <v>-1093.5</v>
      </c>
      <c r="AQ280" s="67" t="n">
        <f aca="false">-Inputs!$D$36*(1+Inputs!$D$37)^(AQ$247-1)*1</f>
        <v>-1093.5</v>
      </c>
      <c r="AR280" s="67" t="n">
        <f aca="false">-Inputs!$D$36*(1+Inputs!$D$37)^(AR$247-1)*1</f>
        <v>-1093.5</v>
      </c>
      <c r="AS280" s="67" t="n">
        <f aca="false">-Inputs!$D$36*(1+Inputs!$D$37)^(AS$247-1)*1</f>
        <v>-1093.5</v>
      </c>
      <c r="AT280" s="67" t="n">
        <f aca="false">-Inputs!$D$36*(1+Inputs!$D$37)^(AT$247-1)*1</f>
        <v>-1093.5</v>
      </c>
      <c r="AU280" s="67" t="n">
        <f aca="false">-Inputs!$D$36*(1+Inputs!$D$37)^(AU$247-1)*1</f>
        <v>-1093.5</v>
      </c>
      <c r="AV280" s="67" t="n">
        <f aca="false">-Inputs!$D$36*(1+Inputs!$D$37)^(AV$247-1)*1</f>
        <v>-1093.5</v>
      </c>
      <c r="AW280" s="67" t="n">
        <f aca="false">-Inputs!$D$36*(1+Inputs!$D$37)^(AW$247-1)*1</f>
        <v>-1093.5</v>
      </c>
      <c r="AX280" s="67" t="n">
        <f aca="false">-Inputs!$D$36*(1+Inputs!$D$37)^(AX$247-1)*1</f>
        <v>-1093.5</v>
      </c>
      <c r="AY280" s="67" t="n">
        <f aca="false">-Inputs!$D$36*(1+Inputs!$D$37)^(AY$247-1)*1</f>
        <v>-984.15</v>
      </c>
      <c r="AZ280" s="67" t="n">
        <f aca="false">-Inputs!$D$36*(1+Inputs!$D$37)^(AZ$247-1)*1</f>
        <v>-984.15</v>
      </c>
      <c r="BA280" s="67" t="n">
        <f aca="false">-Inputs!$D$36*(1+Inputs!$D$37)^(BA$247-1)*1</f>
        <v>-984.15</v>
      </c>
      <c r="BB280" s="67" t="n">
        <f aca="false">-Inputs!$D$36*(1+Inputs!$D$37)^(BB$247-1)*1</f>
        <v>-984.15</v>
      </c>
      <c r="BC280" s="67" t="n">
        <f aca="false">-Inputs!$D$36*(1+Inputs!$D$37)^(BC$247-1)*1</f>
        <v>-984.15</v>
      </c>
      <c r="BD280" s="67" t="n">
        <f aca="false">-Inputs!$D$36*(1+Inputs!$D$37)^(BD$247-1)*1</f>
        <v>-984.15</v>
      </c>
      <c r="BE280" s="67" t="n">
        <f aca="false">-Inputs!$D$36*(1+Inputs!$D$37)^(BE$247-1)*1</f>
        <v>-984.15</v>
      </c>
      <c r="BF280" s="67" t="n">
        <f aca="false">-Inputs!$D$36*(1+Inputs!$D$37)^(BF$247-1)*1</f>
        <v>-984.15</v>
      </c>
      <c r="BG280" s="67" t="n">
        <f aca="false">-Inputs!$D$36*(1+Inputs!$D$37)^(BG$247-1)*1</f>
        <v>-984.15</v>
      </c>
      <c r="BH280" s="67" t="n">
        <f aca="false">-Inputs!$D$36*(1+Inputs!$D$37)^(BH$247-1)*1</f>
        <v>-984.15</v>
      </c>
      <c r="BI280" s="67" t="n">
        <f aca="false">-Inputs!$D$36*(1+Inputs!$D$37)^(BI$247-1)*1</f>
        <v>-984.15</v>
      </c>
      <c r="BJ280" s="67" t="n">
        <f aca="false">-Inputs!$D$36*(1+Inputs!$D$37)^(BJ$247-1)*1</f>
        <v>-984.15</v>
      </c>
    </row>
    <row r="281" customFormat="false" ht="15" hidden="false" customHeight="false" outlineLevel="0" collapsed="false">
      <c r="A281" s="6" t="s">
        <v>335</v>
      </c>
      <c r="C281" s="67" t="n">
        <f aca="false">-Inputs!$D$35*(1+Inputs!$D$39)^(C$247-1)*1</f>
        <v>-1200</v>
      </c>
      <c r="D281" s="67" t="n">
        <f aca="false">-Inputs!$D$35*(1+Inputs!$D$39)^(D$247-1)*1</f>
        <v>-1200</v>
      </c>
      <c r="E281" s="67" t="n">
        <f aca="false">-Inputs!$D$35*(1+Inputs!$D$39)^(E$247-1)*1</f>
        <v>-1200</v>
      </c>
      <c r="F281" s="67" t="n">
        <f aca="false">-Inputs!$D$35*(1+Inputs!$D$39)^(F$247-1)*1</f>
        <v>-1200</v>
      </c>
      <c r="G281" s="67" t="n">
        <f aca="false">-Inputs!$D$35*(1+Inputs!$D$39)^(G$247-1)*1</f>
        <v>-1200</v>
      </c>
      <c r="H281" s="67" t="n">
        <f aca="false">-Inputs!$D$35*(1+Inputs!$D$39)^(H$247-1)*1</f>
        <v>-1200</v>
      </c>
      <c r="I281" s="67" t="n">
        <f aca="false">-Inputs!$D$35*(1+Inputs!$D$39)^(I$247-1)*1</f>
        <v>-1200</v>
      </c>
      <c r="J281" s="67" t="n">
        <f aca="false">-Inputs!$D$35*(1+Inputs!$D$39)^(J$247-1)*1</f>
        <v>-1200</v>
      </c>
      <c r="K281" s="67" t="n">
        <f aca="false">-Inputs!$D$35*(1+Inputs!$D$39)^(K$247-1)*1</f>
        <v>-1200</v>
      </c>
      <c r="L281" s="67" t="n">
        <f aca="false">-Inputs!$D$35*(1+Inputs!$D$39)^(L$247-1)*1</f>
        <v>-1200</v>
      </c>
      <c r="M281" s="67" t="n">
        <f aca="false">-Inputs!$D$35*(1+Inputs!$D$39)^(M$247-1)*1</f>
        <v>-1200</v>
      </c>
      <c r="N281" s="67" t="n">
        <f aca="false">-Inputs!$D$35*(1+Inputs!$D$39)^(N$247-1)*1</f>
        <v>-1200</v>
      </c>
      <c r="O281" s="67" t="n">
        <f aca="false">-Inputs!$D$35*(1+Inputs!$D$39)^(O$247-1)*1</f>
        <v>-1230</v>
      </c>
      <c r="P281" s="67" t="n">
        <f aca="false">-Inputs!$D$35*(1+Inputs!$D$39)^(P$247-1)*1</f>
        <v>-1230</v>
      </c>
      <c r="Q281" s="67" t="n">
        <f aca="false">-Inputs!$D$35*(1+Inputs!$D$39)^(Q$247-1)*1</f>
        <v>-1230</v>
      </c>
      <c r="R281" s="67" t="n">
        <f aca="false">-Inputs!$D$35*(1+Inputs!$D$39)^(R$247-1)*1</f>
        <v>-1230</v>
      </c>
      <c r="S281" s="67" t="n">
        <f aca="false">-Inputs!$D$35*(1+Inputs!$D$39)^(S$247-1)*1</f>
        <v>-1230</v>
      </c>
      <c r="T281" s="67" t="n">
        <f aca="false">-Inputs!$D$35*(1+Inputs!$D$39)^(T$247-1)*1</f>
        <v>-1230</v>
      </c>
      <c r="U281" s="67" t="n">
        <f aca="false">-Inputs!$D$35*(1+Inputs!$D$39)^(U$247-1)*1</f>
        <v>-1230</v>
      </c>
      <c r="V281" s="67" t="n">
        <f aca="false">-Inputs!$D$35*(1+Inputs!$D$39)^(V$247-1)*1</f>
        <v>-1230</v>
      </c>
      <c r="W281" s="67" t="n">
        <f aca="false">-Inputs!$D$35*(1+Inputs!$D$39)^(W$247-1)*1</f>
        <v>-1230</v>
      </c>
      <c r="X281" s="67" t="n">
        <f aca="false">-Inputs!$D$35*(1+Inputs!$D$39)^(X$247-1)*1</f>
        <v>-1230</v>
      </c>
      <c r="Y281" s="67" t="n">
        <f aca="false">-Inputs!$D$35*(1+Inputs!$D$39)^(Y$247-1)*1</f>
        <v>-1230</v>
      </c>
      <c r="Z281" s="67" t="n">
        <f aca="false">-Inputs!$D$35*(1+Inputs!$D$39)^(Z$247-1)*1</f>
        <v>-1230</v>
      </c>
      <c r="AA281" s="67" t="n">
        <f aca="false">-Inputs!$D$35*(1+Inputs!$D$39)^(AA$247-1)*1</f>
        <v>-1260.75</v>
      </c>
      <c r="AB281" s="67" t="n">
        <f aca="false">-Inputs!$D$35*(1+Inputs!$D$39)^(AB$247-1)*1</f>
        <v>-1260.75</v>
      </c>
      <c r="AC281" s="67" t="n">
        <f aca="false">-Inputs!$D$35*(1+Inputs!$D$39)^(AC$247-1)*1</f>
        <v>-1260.75</v>
      </c>
      <c r="AD281" s="67" t="n">
        <f aca="false">-Inputs!$D$35*(1+Inputs!$D$39)^(AD$247-1)*1</f>
        <v>-1260.75</v>
      </c>
      <c r="AE281" s="67" t="n">
        <f aca="false">-Inputs!$D$35*(1+Inputs!$D$39)^(AE$247-1)*1</f>
        <v>-1260.75</v>
      </c>
      <c r="AF281" s="67" t="n">
        <f aca="false">-Inputs!$D$35*(1+Inputs!$D$39)^(AF$247-1)*1</f>
        <v>-1260.75</v>
      </c>
      <c r="AG281" s="67" t="n">
        <f aca="false">-Inputs!$D$35*(1+Inputs!$D$39)^(AG$247-1)*1</f>
        <v>-1260.75</v>
      </c>
      <c r="AH281" s="67" t="n">
        <f aca="false">-Inputs!$D$35*(1+Inputs!$D$39)^(AH$247-1)*1</f>
        <v>-1260.75</v>
      </c>
      <c r="AI281" s="67" t="n">
        <f aca="false">-Inputs!$D$35*(1+Inputs!$D$39)^(AI$247-1)*1</f>
        <v>-1260.75</v>
      </c>
      <c r="AJ281" s="67" t="n">
        <f aca="false">-Inputs!$D$35*(1+Inputs!$D$39)^(AJ$247-1)*1</f>
        <v>-1260.75</v>
      </c>
      <c r="AK281" s="67" t="n">
        <f aca="false">-Inputs!$D$35*(1+Inputs!$D$39)^(AK$247-1)*1</f>
        <v>-1260.75</v>
      </c>
      <c r="AL281" s="67" t="n">
        <f aca="false">-Inputs!$D$35*(1+Inputs!$D$39)^(AL$247-1)*1</f>
        <v>-1260.75</v>
      </c>
      <c r="AM281" s="67" t="n">
        <f aca="false">-Inputs!$D$35*(1+Inputs!$D$39)^(AM$247-1)*1</f>
        <v>-1292.26875</v>
      </c>
      <c r="AN281" s="67" t="n">
        <f aca="false">-Inputs!$D$35*(1+Inputs!$D$39)^(AN$247-1)*1</f>
        <v>-1292.26875</v>
      </c>
      <c r="AO281" s="67" t="n">
        <f aca="false">-Inputs!$D$35*(1+Inputs!$D$39)^(AO$247-1)*1</f>
        <v>-1292.26875</v>
      </c>
      <c r="AP281" s="67" t="n">
        <f aca="false">-Inputs!$D$35*(1+Inputs!$D$39)^(AP$247-1)*1</f>
        <v>-1292.26875</v>
      </c>
      <c r="AQ281" s="67" t="n">
        <f aca="false">-Inputs!$D$35*(1+Inputs!$D$39)^(AQ$247-1)*1</f>
        <v>-1292.26875</v>
      </c>
      <c r="AR281" s="67" t="n">
        <f aca="false">-Inputs!$D$35*(1+Inputs!$D$39)^(AR$247-1)*1</f>
        <v>-1292.26875</v>
      </c>
      <c r="AS281" s="67" t="n">
        <f aca="false">-Inputs!$D$35*(1+Inputs!$D$39)^(AS$247-1)*1</f>
        <v>-1292.26875</v>
      </c>
      <c r="AT281" s="67" t="n">
        <f aca="false">-Inputs!$D$35*(1+Inputs!$D$39)^(AT$247-1)*1</f>
        <v>-1292.26875</v>
      </c>
      <c r="AU281" s="67" t="n">
        <f aca="false">-Inputs!$D$35*(1+Inputs!$D$39)^(AU$247-1)*1</f>
        <v>-1292.26875</v>
      </c>
      <c r="AV281" s="67" t="n">
        <f aca="false">-Inputs!$D$35*(1+Inputs!$D$39)^(AV$247-1)*1</f>
        <v>-1292.26875</v>
      </c>
      <c r="AW281" s="67" t="n">
        <f aca="false">-Inputs!$D$35*(1+Inputs!$D$39)^(AW$247-1)*1</f>
        <v>-1292.26875</v>
      </c>
      <c r="AX281" s="67" t="n">
        <f aca="false">-Inputs!$D$35*(1+Inputs!$D$39)^(AX$247-1)*1</f>
        <v>-1292.26875</v>
      </c>
      <c r="AY281" s="67" t="n">
        <f aca="false">-Inputs!$D$35*(1+Inputs!$D$39)^(AY$247-1)*1</f>
        <v>-1324.57546875</v>
      </c>
      <c r="AZ281" s="67" t="n">
        <f aca="false">-Inputs!$D$35*(1+Inputs!$D$39)^(AZ$247-1)*1</f>
        <v>-1324.57546875</v>
      </c>
      <c r="BA281" s="67" t="n">
        <f aca="false">-Inputs!$D$35*(1+Inputs!$D$39)^(BA$247-1)*1</f>
        <v>-1324.57546875</v>
      </c>
      <c r="BB281" s="67" t="n">
        <f aca="false">-Inputs!$D$35*(1+Inputs!$D$39)^(BB$247-1)*1</f>
        <v>-1324.57546875</v>
      </c>
      <c r="BC281" s="67" t="n">
        <f aca="false">-Inputs!$D$35*(1+Inputs!$D$39)^(BC$247-1)*1</f>
        <v>-1324.57546875</v>
      </c>
      <c r="BD281" s="67" t="n">
        <f aca="false">-Inputs!$D$35*(1+Inputs!$D$39)^(BD$247-1)*1</f>
        <v>-1324.57546875</v>
      </c>
      <c r="BE281" s="67" t="n">
        <f aca="false">-Inputs!$D$35*(1+Inputs!$D$39)^(BE$247-1)*1</f>
        <v>-1324.57546875</v>
      </c>
      <c r="BF281" s="67" t="n">
        <f aca="false">-Inputs!$D$35*(1+Inputs!$D$39)^(BF$247-1)*1</f>
        <v>-1324.57546875</v>
      </c>
      <c r="BG281" s="67" t="n">
        <f aca="false">-Inputs!$D$35*(1+Inputs!$D$39)^(BG$247-1)*1</f>
        <v>-1324.57546875</v>
      </c>
      <c r="BH281" s="67" t="n">
        <f aca="false">-Inputs!$D$35*(1+Inputs!$D$39)^(BH$247-1)*1</f>
        <v>-1324.57546875</v>
      </c>
      <c r="BI281" s="67" t="n">
        <f aca="false">-Inputs!$D$35*(1+Inputs!$D$39)^(BI$247-1)*1</f>
        <v>-1324.57546875</v>
      </c>
      <c r="BJ281" s="67" t="n">
        <f aca="false">-Inputs!$D$35*(1+Inputs!$D$39)^(BJ$247-1)*1</f>
        <v>-1324.57546875</v>
      </c>
    </row>
    <row r="282" customFormat="false" ht="15" hidden="false" customHeight="false" outlineLevel="0" collapsed="false">
      <c r="A282" s="6" t="s">
        <v>336</v>
      </c>
      <c r="C282" s="67" t="n">
        <f aca="false">-C262*Inputs!$D$38</f>
        <v>-451.091666666667</v>
      </c>
      <c r="D282" s="67" t="n">
        <f aca="false">-D262*Inputs!$D$38</f>
        <v>-507.478125</v>
      </c>
      <c r="E282" s="67" t="n">
        <f aca="false">-E262*Inputs!$D$38</f>
        <v>-563.864583333333</v>
      </c>
      <c r="F282" s="67" t="n">
        <f aca="false">-F262*Inputs!$D$38</f>
        <v>-620.251041666667</v>
      </c>
      <c r="G282" s="67" t="n">
        <f aca="false">-G262*Inputs!$D$38</f>
        <v>-676.6375</v>
      </c>
      <c r="H282" s="67" t="n">
        <f aca="false">-H262*Inputs!$D$38</f>
        <v>-999.578125</v>
      </c>
      <c r="I282" s="67" t="n">
        <f aca="false">-I262*Inputs!$D$38</f>
        <v>-1076.46875</v>
      </c>
      <c r="J282" s="67" t="n">
        <f aca="false">-J262*Inputs!$D$38</f>
        <v>-1153.359375</v>
      </c>
      <c r="K282" s="67" t="n">
        <f aca="false">-K262*Inputs!$D$38</f>
        <v>-902.183333333333</v>
      </c>
      <c r="L282" s="67" t="n">
        <f aca="false">-L262*Inputs!$D$38</f>
        <v>-902.183333333333</v>
      </c>
      <c r="M282" s="67" t="n">
        <f aca="false">-M262*Inputs!$D$38</f>
        <v>-902.183333333333</v>
      </c>
      <c r="N282" s="67" t="n">
        <f aca="false">-N262*Inputs!$D$38</f>
        <v>-902.183333333333</v>
      </c>
      <c r="O282" s="67" t="n">
        <f aca="false">-O262*Inputs!$D$38</f>
        <v>-966.418786666667</v>
      </c>
      <c r="P282" s="67" t="n">
        <f aca="false">-P262*Inputs!$D$38</f>
        <v>-966.418786666667</v>
      </c>
      <c r="Q282" s="67" t="n">
        <f aca="false">-Q262*Inputs!$D$38</f>
        <v>-966.418786666667</v>
      </c>
      <c r="R282" s="67" t="n">
        <f aca="false">-R262*Inputs!$D$38</f>
        <v>-966.418786666667</v>
      </c>
      <c r="S282" s="67" t="n">
        <f aca="false">-S262*Inputs!$D$38</f>
        <v>-966.418786666667</v>
      </c>
      <c r="T282" s="67" t="n">
        <f aca="false">-T262*Inputs!$D$38</f>
        <v>-1317.8438</v>
      </c>
      <c r="U282" s="67" t="n">
        <f aca="false">-U262*Inputs!$D$38</f>
        <v>-1317.8438</v>
      </c>
      <c r="V282" s="67" t="n">
        <f aca="false">-V262*Inputs!$D$38</f>
        <v>-1317.8438</v>
      </c>
      <c r="W282" s="67" t="n">
        <f aca="false">-W262*Inputs!$D$38</f>
        <v>-966.418786666667</v>
      </c>
      <c r="X282" s="67" t="n">
        <f aca="false">-X262*Inputs!$D$38</f>
        <v>-966.418786666667</v>
      </c>
      <c r="Y282" s="67" t="n">
        <f aca="false">-Y262*Inputs!$D$38</f>
        <v>-966.418786666667</v>
      </c>
      <c r="Z282" s="67" t="n">
        <f aca="false">-Z262*Inputs!$D$38</f>
        <v>-966.418786666667</v>
      </c>
      <c r="AA282" s="67" t="n">
        <f aca="false">-AA262*Inputs!$D$38</f>
        <v>-1035.22780427733</v>
      </c>
      <c r="AB282" s="67" t="n">
        <f aca="false">-AB262*Inputs!$D$38</f>
        <v>-1035.22780427733</v>
      </c>
      <c r="AC282" s="67" t="n">
        <f aca="false">-AC262*Inputs!$D$38</f>
        <v>-1035.22780427733</v>
      </c>
      <c r="AD282" s="67" t="n">
        <f aca="false">-AD262*Inputs!$D$38</f>
        <v>-1035.22780427733</v>
      </c>
      <c r="AE282" s="67" t="n">
        <f aca="false">-AE262*Inputs!$D$38</f>
        <v>-1035.22780427733</v>
      </c>
      <c r="AF282" s="67" t="n">
        <f aca="false">-AF262*Inputs!$D$38</f>
        <v>-1411.67427856</v>
      </c>
      <c r="AG282" s="67" t="n">
        <f aca="false">-AG262*Inputs!$D$38</f>
        <v>-1411.67427856</v>
      </c>
      <c r="AH282" s="67" t="n">
        <f aca="false">-AH262*Inputs!$D$38</f>
        <v>-1411.67427856</v>
      </c>
      <c r="AI282" s="67" t="n">
        <f aca="false">-AI262*Inputs!$D$38</f>
        <v>-1035.22780427733</v>
      </c>
      <c r="AJ282" s="67" t="n">
        <f aca="false">-AJ262*Inputs!$D$38</f>
        <v>-1035.22780427733</v>
      </c>
      <c r="AK282" s="67" t="n">
        <f aca="false">-AK262*Inputs!$D$38</f>
        <v>-1035.22780427733</v>
      </c>
      <c r="AL282" s="67" t="n">
        <f aca="false">-AL262*Inputs!$D$38</f>
        <v>-1035.22780427733</v>
      </c>
      <c r="AM282" s="67" t="n">
        <f aca="false">-AM262*Inputs!$D$38</f>
        <v>-1108.93602394188</v>
      </c>
      <c r="AN282" s="67" t="n">
        <f aca="false">-AN262*Inputs!$D$38</f>
        <v>-1108.93602394188</v>
      </c>
      <c r="AO282" s="67" t="n">
        <f aca="false">-AO262*Inputs!$D$38</f>
        <v>-1108.93602394188</v>
      </c>
      <c r="AP282" s="67" t="n">
        <f aca="false">-AP262*Inputs!$D$38</f>
        <v>-1108.93602394188</v>
      </c>
      <c r="AQ282" s="67" t="n">
        <f aca="false">-AQ262*Inputs!$D$38</f>
        <v>-1108.93602394188</v>
      </c>
      <c r="AR282" s="67" t="n">
        <f aca="false">-AR262*Inputs!$D$38</f>
        <v>-1512.18548719347</v>
      </c>
      <c r="AS282" s="67" t="n">
        <f aca="false">-AS262*Inputs!$D$38</f>
        <v>-1512.18548719347</v>
      </c>
      <c r="AT282" s="67" t="n">
        <f aca="false">-AT262*Inputs!$D$38</f>
        <v>-1512.18548719347</v>
      </c>
      <c r="AU282" s="67" t="n">
        <f aca="false">-AU262*Inputs!$D$38</f>
        <v>-1108.93602394188</v>
      </c>
      <c r="AV282" s="67" t="n">
        <f aca="false">-AV262*Inputs!$D$38</f>
        <v>-1108.93602394188</v>
      </c>
      <c r="AW282" s="67" t="n">
        <f aca="false">-AW262*Inputs!$D$38</f>
        <v>-1108.93602394188</v>
      </c>
      <c r="AX282" s="67" t="n">
        <f aca="false">-AX262*Inputs!$D$38</f>
        <v>-1108.93602394188</v>
      </c>
      <c r="AY282" s="67" t="n">
        <f aca="false">-AY262*Inputs!$D$38</f>
        <v>-1187.89226884654</v>
      </c>
      <c r="AZ282" s="67" t="n">
        <f aca="false">-AZ262*Inputs!$D$38</f>
        <v>-1187.89226884654</v>
      </c>
      <c r="BA282" s="67" t="n">
        <f aca="false">-BA262*Inputs!$D$38</f>
        <v>-1187.89226884654</v>
      </c>
      <c r="BB282" s="67" t="n">
        <f aca="false">-BB262*Inputs!$D$38</f>
        <v>-1187.89226884654</v>
      </c>
      <c r="BC282" s="67" t="n">
        <f aca="false">-BC262*Inputs!$D$38</f>
        <v>-1187.89226884654</v>
      </c>
      <c r="BD282" s="67" t="n">
        <f aca="false">-BD262*Inputs!$D$38</f>
        <v>-1619.85309388165</v>
      </c>
      <c r="BE282" s="67" t="n">
        <f aca="false">-BE262*Inputs!$D$38</f>
        <v>-1619.85309388165</v>
      </c>
      <c r="BF282" s="67" t="n">
        <f aca="false">-BF262*Inputs!$D$38</f>
        <v>-1619.85309388165</v>
      </c>
      <c r="BG282" s="67" t="n">
        <f aca="false">-BG262*Inputs!$D$38</f>
        <v>-1187.89226884654</v>
      </c>
      <c r="BH282" s="67" t="n">
        <f aca="false">-BH262*Inputs!$D$38</f>
        <v>-1187.89226884654</v>
      </c>
      <c r="BI282" s="67" t="n">
        <f aca="false">-BI262*Inputs!$D$38</f>
        <v>-1187.89226884654</v>
      </c>
      <c r="BJ282" s="67" t="n">
        <f aca="false">-BJ262*Inputs!$D$38</f>
        <v>-1187.89226884654</v>
      </c>
    </row>
    <row r="283" customFormat="false" ht="15" hidden="false" customHeight="false" outlineLevel="0" collapsed="false">
      <c r="A283" s="111" t="s">
        <v>77</v>
      </c>
      <c r="C283" s="68" t="n">
        <f aca="false">C274+C275+C276+C277+C278+C279+C280+C281+C282</f>
        <v>-12507.62</v>
      </c>
      <c r="D283" s="68" t="n">
        <f aca="false">D274+D275+D276+D277+D278+D279+D280+D281+D282</f>
        <v>-12642.9475</v>
      </c>
      <c r="E283" s="68" t="n">
        <f aca="false">E274+E275+E276+E277+E278+E279+E280+E281+E282</f>
        <v>-12778.275</v>
      </c>
      <c r="F283" s="68" t="n">
        <f aca="false">F274+F275+F276+F277+F278+F279+F280+F281+F282</f>
        <v>-12913.6025</v>
      </c>
      <c r="G283" s="68" t="n">
        <f aca="false">G274+G275+G276+G277+G278+G279+G280+G281+G282</f>
        <v>-13048.93</v>
      </c>
      <c r="H283" s="68" t="n">
        <f aca="false">H274+H275+H276+H277+H278+H279+H280+H281+H282</f>
        <v>-13823.9875</v>
      </c>
      <c r="I283" s="68" t="n">
        <f aca="false">I274+I275+I276+I277+I278+I279+I280+I281+I282</f>
        <v>-14008.525</v>
      </c>
      <c r="J283" s="68" t="n">
        <f aca="false">J274+J275+J276+J277+J278+J279+J280+J281+J282</f>
        <v>-14193.0625</v>
      </c>
      <c r="K283" s="68" t="n">
        <f aca="false">K274+K275+K276+K277+K278+K279+K280+K281+K282</f>
        <v>-13590.24</v>
      </c>
      <c r="L283" s="68" t="n">
        <f aca="false">L274+L275+L276+L277+L278+L279+L280+L281+L282</f>
        <v>-13590.24</v>
      </c>
      <c r="M283" s="68" t="n">
        <f aca="false">M274+M275+M276+M277+M278+M279+M280+M281+M282</f>
        <v>-13590.24</v>
      </c>
      <c r="N283" s="68" t="n">
        <f aca="false">N274+N275+N276+N277+N278+N279+N280+N281+N282</f>
        <v>-13590.24</v>
      </c>
      <c r="O283" s="68" t="n">
        <f aca="false">O274+O275+O276+O277+O278+O279+O280+O281+O282</f>
        <v>-13870.3217546667</v>
      </c>
      <c r="P283" s="68" t="n">
        <f aca="false">P274+P275+P276+P277+P278+P279+P280+P281+P282</f>
        <v>-13870.3217546667</v>
      </c>
      <c r="Q283" s="68" t="n">
        <f aca="false">Q274+Q275+Q276+Q277+Q278+Q279+Q280+Q281+Q282</f>
        <v>-13870.3217546667</v>
      </c>
      <c r="R283" s="68" t="n">
        <f aca="false">R274+R275+R276+R277+R278+R279+R280+R281+R282</f>
        <v>-13870.3217546667</v>
      </c>
      <c r="S283" s="68" t="n">
        <f aca="false">S274+S275+S276+S277+S278+S279+S280+S281+S282</f>
        <v>-13870.3217546667</v>
      </c>
      <c r="T283" s="68" t="n">
        <f aca="false">T274+T275+T276+T277+T278+T279+T280+T281+T282</f>
        <v>-14713.7417866667</v>
      </c>
      <c r="U283" s="68" t="n">
        <f aca="false">U274+U275+U276+U277+U278+U279+U280+U281+U282</f>
        <v>-14713.7417866667</v>
      </c>
      <c r="V283" s="68" t="n">
        <f aca="false">V274+V275+V276+V277+V278+V279+V280+V281+V282</f>
        <v>-14713.7417866667</v>
      </c>
      <c r="W283" s="68" t="n">
        <f aca="false">W274+W275+W276+W277+W278+W279+W280+W281+W282</f>
        <v>-13870.3217546667</v>
      </c>
      <c r="X283" s="68" t="n">
        <f aca="false">X274+X275+X276+X277+X278+X279+X280+X281+X282</f>
        <v>-13870.3217546667</v>
      </c>
      <c r="Y283" s="68" t="n">
        <f aca="false">Y274+Y275+Y276+Y277+Y278+Y279+Y280+Y281+Y282</f>
        <v>-13870.3217546667</v>
      </c>
      <c r="Z283" s="68" t="n">
        <f aca="false">Z274+Z275+Z276+Z277+Z278+Z279+Z280+Z281+Z282</f>
        <v>-13870.3217546667</v>
      </c>
      <c r="AA283" s="68" t="n">
        <f aca="false">AA274+AA275+AA276+AA277+AA278+AA279+AA280+AA281+AA282</f>
        <v>-14184.1117302656</v>
      </c>
      <c r="AB283" s="68" t="n">
        <f aca="false">AB274+AB275+AB276+AB277+AB278+AB279+AB280+AB281+AB282</f>
        <v>-14184.1117302656</v>
      </c>
      <c r="AC283" s="68" t="n">
        <f aca="false">AC274+AC275+AC276+AC277+AC278+AC279+AC280+AC281+AC282</f>
        <v>-14184.1117302656</v>
      </c>
      <c r="AD283" s="68" t="n">
        <f aca="false">AD274+AD275+AD276+AD277+AD278+AD279+AD280+AD281+AD282</f>
        <v>-14184.1117302656</v>
      </c>
      <c r="AE283" s="68" t="n">
        <f aca="false">AE274+AE275+AE276+AE277+AE278+AE279+AE280+AE281+AE282</f>
        <v>-14184.1117302656</v>
      </c>
      <c r="AF283" s="68" t="n">
        <f aca="false">AF274+AF275+AF276+AF277+AF278+AF279+AF280+AF281+AF282</f>
        <v>-15087.583268544</v>
      </c>
      <c r="AG283" s="68" t="n">
        <f aca="false">AG274+AG275+AG276+AG277+AG278+AG279+AG280+AG281+AG282</f>
        <v>-15087.583268544</v>
      </c>
      <c r="AH283" s="68" t="n">
        <f aca="false">AH274+AH275+AH276+AH277+AH278+AH279+AH280+AH281+AH282</f>
        <v>-15087.583268544</v>
      </c>
      <c r="AI283" s="68" t="n">
        <f aca="false">AI274+AI275+AI276+AI277+AI278+AI279+AI280+AI281+AI282</f>
        <v>-14184.1117302656</v>
      </c>
      <c r="AJ283" s="68" t="n">
        <f aca="false">AJ274+AJ275+AJ276+AJ277+AJ278+AJ279+AJ280+AJ281+AJ282</f>
        <v>-14184.1117302656</v>
      </c>
      <c r="AK283" s="68" t="n">
        <f aca="false">AK274+AK275+AK276+AK277+AK278+AK279+AK280+AK281+AK282</f>
        <v>-14184.1117302656</v>
      </c>
      <c r="AL283" s="68" t="n">
        <f aca="false">AL274+AL275+AL276+AL277+AL278+AL279+AL280+AL281+AL282</f>
        <v>-14184.1117302656</v>
      </c>
      <c r="AM283" s="68" t="n">
        <f aca="false">AM274+AM275+AM276+AM277+AM278+AM279+AM280+AM281+AM282</f>
        <v>-14531.1097616272</v>
      </c>
      <c r="AN283" s="68" t="n">
        <f aca="false">AN274+AN275+AN276+AN277+AN278+AN279+AN280+AN281+AN282</f>
        <v>-14531.1097616272</v>
      </c>
      <c r="AO283" s="68" t="n">
        <f aca="false">AO274+AO275+AO276+AO277+AO278+AO279+AO280+AO281+AO282</f>
        <v>-14531.1097616272</v>
      </c>
      <c r="AP283" s="68" t="n">
        <f aca="false">AP274+AP275+AP276+AP277+AP278+AP279+AP280+AP281+AP282</f>
        <v>-14531.1097616272</v>
      </c>
      <c r="AQ283" s="68" t="n">
        <f aca="false">AQ274+AQ275+AQ276+AQ277+AQ278+AQ279+AQ280+AQ281+AQ282</f>
        <v>-14531.1097616272</v>
      </c>
      <c r="AR283" s="68" t="n">
        <f aca="false">AR274+AR275+AR276+AR277+AR278+AR279+AR280+AR281+AR282</f>
        <v>-15498.908473431</v>
      </c>
      <c r="AS283" s="68" t="n">
        <f aca="false">AS274+AS275+AS276+AS277+AS278+AS279+AS280+AS281+AS282</f>
        <v>-15498.908473431</v>
      </c>
      <c r="AT283" s="68" t="n">
        <f aca="false">AT274+AT275+AT276+AT277+AT278+AT279+AT280+AT281+AT282</f>
        <v>-15498.908473431</v>
      </c>
      <c r="AU283" s="68" t="n">
        <f aca="false">AU274+AU275+AU276+AU277+AU278+AU279+AU280+AU281+AU282</f>
        <v>-14531.1097616272</v>
      </c>
      <c r="AV283" s="68" t="n">
        <f aca="false">AV274+AV275+AV276+AV277+AV278+AV279+AV280+AV281+AV282</f>
        <v>-14531.1097616272</v>
      </c>
      <c r="AW283" s="68" t="n">
        <f aca="false">AW274+AW275+AW276+AW277+AW278+AW279+AW280+AW281+AW282</f>
        <v>-14531.1097616272</v>
      </c>
      <c r="AX283" s="68" t="n">
        <f aca="false">AX274+AX275+AX276+AX277+AX278+AX279+AX280+AX281+AX282</f>
        <v>-14531.1097616272</v>
      </c>
      <c r="AY283" s="68" t="n">
        <f aca="false">AY274+AY275+AY276+AY277+AY278+AY279+AY280+AY281+AY282</f>
        <v>-14911.0275365442</v>
      </c>
      <c r="AZ283" s="68" t="n">
        <f aca="false">AZ274+AZ275+AZ276+AZ277+AZ278+AZ279+AZ280+AZ281+AZ282</f>
        <v>-14911.0275365442</v>
      </c>
      <c r="BA283" s="68" t="n">
        <f aca="false">BA274+BA275+BA276+BA277+BA278+BA279+BA280+BA281+BA282</f>
        <v>-14911.0275365442</v>
      </c>
      <c r="BB283" s="68" t="n">
        <f aca="false">BB274+BB275+BB276+BB277+BB278+BB279+BB280+BB281+BB282</f>
        <v>-14911.0275365442</v>
      </c>
      <c r="BC283" s="68" t="n">
        <f aca="false">BC274+BC275+BC276+BC277+BC278+BC279+BC280+BC281+BC282</f>
        <v>-14911.0275365442</v>
      </c>
      <c r="BD283" s="68" t="n">
        <f aca="false">BD274+BD275+BD276+BD277+BD278+BD279+BD280+BD281+BD282</f>
        <v>-15947.7335166285</v>
      </c>
      <c r="BE283" s="68" t="n">
        <f aca="false">BE274+BE275+BE276+BE277+BE278+BE279+BE280+BE281+BE282</f>
        <v>-15947.7335166285</v>
      </c>
      <c r="BF283" s="68" t="n">
        <f aca="false">BF274+BF275+BF276+BF277+BF278+BF279+BF280+BF281+BF282</f>
        <v>-15947.7335166285</v>
      </c>
      <c r="BG283" s="68" t="n">
        <f aca="false">BG274+BG275+BG276+BG277+BG278+BG279+BG280+BG281+BG282</f>
        <v>-14911.0275365442</v>
      </c>
      <c r="BH283" s="68" t="n">
        <f aca="false">BH274+BH275+BH276+BH277+BH278+BH279+BH280+BH281+BH282</f>
        <v>-14911.0275365442</v>
      </c>
      <c r="BI283" s="68" t="n">
        <f aca="false">BI274+BI275+BI276+BI277+BI278+BI279+BI280+BI281+BI282</f>
        <v>-14911.0275365442</v>
      </c>
      <c r="BJ283" s="68" t="n">
        <f aca="false">BJ274+BJ275+BJ276+BJ277+BJ278+BJ279+BJ280+BJ281+BJ282</f>
        <v>-14911.0275365442</v>
      </c>
    </row>
    <row r="284" customFormat="false" ht="15" hidden="false" customHeight="false" outlineLevel="0" collapsed="false">
      <c r="A284" s="111" t="s">
        <v>48</v>
      </c>
      <c r="C284" s="68" t="n">
        <f aca="false">C271+C283</f>
        <v>-1820.99558974359</v>
      </c>
      <c r="D284" s="68" t="n">
        <f aca="false">D271+D283</f>
        <v>-45.4950384615386</v>
      </c>
      <c r="E284" s="68" t="n">
        <f aca="false">E271+E283</f>
        <v>1730.00551282051</v>
      </c>
      <c r="F284" s="68" t="n">
        <f aca="false">F271+F283</f>
        <v>3505.50606410257</v>
      </c>
      <c r="G284" s="68" t="n">
        <f aca="false">G271+G283</f>
        <v>5281.00661538461</v>
      </c>
      <c r="H284" s="68" t="n">
        <f aca="false">H271+H283</f>
        <v>15449.7825</v>
      </c>
      <c r="I284" s="68" t="n">
        <f aca="false">I271+I283</f>
        <v>17870.9196153846</v>
      </c>
      <c r="J284" s="68" t="n">
        <f aca="false">J271+J283</f>
        <v>20292.0567307692</v>
      </c>
      <c r="K284" s="68" t="n">
        <f aca="false">K271+K283</f>
        <v>12383.0088205128</v>
      </c>
      <c r="L284" s="68" t="n">
        <f aca="false">L271+L283</f>
        <v>12383.0088205128</v>
      </c>
      <c r="M284" s="68" t="n">
        <f aca="false">M271+M283</f>
        <v>12383.0088205128</v>
      </c>
      <c r="N284" s="68" t="n">
        <f aca="false">N271+N283</f>
        <v>12383.0088205128</v>
      </c>
      <c r="O284" s="68" t="n">
        <f aca="false">O271+O283</f>
        <v>14174.3143887897</v>
      </c>
      <c r="P284" s="68" t="n">
        <f aca="false">P271+P283</f>
        <v>14174.3143887897</v>
      </c>
      <c r="Q284" s="68" t="n">
        <f aca="false">Q271+Q283</f>
        <v>14174.3143887897</v>
      </c>
      <c r="R284" s="68" t="n">
        <f aca="false">R271+R283</f>
        <v>14174.3143887897</v>
      </c>
      <c r="S284" s="68" t="n">
        <f aca="false">S271+S283</f>
        <v>14174.3143887897</v>
      </c>
      <c r="T284" s="68" t="n">
        <f aca="false">T271+T283</f>
        <v>25251.8529544103</v>
      </c>
      <c r="U284" s="68" t="n">
        <f aca="false">U271+U283</f>
        <v>25251.8529544103</v>
      </c>
      <c r="V284" s="68" t="n">
        <f aca="false">V271+V283</f>
        <v>25251.8529544103</v>
      </c>
      <c r="W284" s="68" t="n">
        <f aca="false">W271+W283</f>
        <v>14174.3143887897</v>
      </c>
      <c r="X284" s="68" t="n">
        <f aca="false">X271+X283</f>
        <v>14174.3143887897</v>
      </c>
      <c r="Y284" s="68" t="n">
        <f aca="false">Y271+Y283</f>
        <v>14174.3143887897</v>
      </c>
      <c r="Z284" s="68" t="n">
        <f aca="false">Z271+Z283</f>
        <v>14174.3143887897</v>
      </c>
      <c r="AA284" s="68" t="n">
        <f aca="false">AA271+AA283</f>
        <v>16086.8960029139</v>
      </c>
      <c r="AB284" s="68" t="n">
        <f aca="false">AB271+AB283</f>
        <v>16086.8960029139</v>
      </c>
      <c r="AC284" s="68" t="n">
        <f aca="false">AC271+AC283</f>
        <v>16086.8960029139</v>
      </c>
      <c r="AD284" s="68" t="n">
        <f aca="false">AD271+AD283</f>
        <v>16086.8960029139</v>
      </c>
      <c r="AE284" s="68" t="n">
        <f aca="false">AE271+AE283</f>
        <v>16086.8960029139</v>
      </c>
      <c r="AF284" s="68" t="n">
        <f aca="false">AF271+AF283</f>
        <v>27965.6600039736</v>
      </c>
      <c r="AG284" s="68" t="n">
        <f aca="false">AG271+AG283</f>
        <v>27965.6600039736</v>
      </c>
      <c r="AH284" s="68" t="n">
        <f aca="false">AH271+AH283</f>
        <v>27965.6600039736</v>
      </c>
      <c r="AI284" s="68" t="n">
        <f aca="false">AI271+AI283</f>
        <v>16086.8960029139</v>
      </c>
      <c r="AJ284" s="68" t="n">
        <f aca="false">AJ271+AJ283</f>
        <v>16086.8960029139</v>
      </c>
      <c r="AK284" s="68" t="n">
        <f aca="false">AK271+AK283</f>
        <v>16086.8960029139</v>
      </c>
      <c r="AL284" s="68" t="n">
        <f aca="false">AL271+AL283</f>
        <v>16086.8960029139</v>
      </c>
      <c r="AM284" s="68" t="n">
        <f aca="false">AM271+AM283</f>
        <v>18132.560511683</v>
      </c>
      <c r="AN284" s="68" t="n">
        <f aca="false">AN271+AN283</f>
        <v>18132.560511683</v>
      </c>
      <c r="AO284" s="68" t="n">
        <f aca="false">AO271+AO283</f>
        <v>18132.560511683</v>
      </c>
      <c r="AP284" s="68" t="n">
        <f aca="false">AP271+AP283</f>
        <v>18132.560511683</v>
      </c>
      <c r="AQ284" s="68" t="n">
        <f aca="false">AQ271+AQ283</f>
        <v>18132.560511683</v>
      </c>
      <c r="AR284" s="68" t="n">
        <f aca="false">AR271+AR283</f>
        <v>30870.2943356284</v>
      </c>
      <c r="AS284" s="68" t="n">
        <f aca="false">AS271+AS283</f>
        <v>30870.2943356284</v>
      </c>
      <c r="AT284" s="68" t="n">
        <f aca="false">AT271+AT283</f>
        <v>30870.2943356284</v>
      </c>
      <c r="AU284" s="68" t="n">
        <f aca="false">AU271+AU283</f>
        <v>18132.560511683</v>
      </c>
      <c r="AV284" s="68" t="n">
        <f aca="false">AV271+AV283</f>
        <v>18132.560511683</v>
      </c>
      <c r="AW284" s="68" t="n">
        <f aca="false">AW271+AW283</f>
        <v>18132.560511683</v>
      </c>
      <c r="AX284" s="68" t="n">
        <f aca="false">AX271+AX283</f>
        <v>18132.560511683</v>
      </c>
      <c r="AY284" s="68" t="n">
        <f aca="false">AY271+AY283</f>
        <v>20323.7187077442</v>
      </c>
      <c r="AZ284" s="68" t="n">
        <f aca="false">AZ271+AZ283</f>
        <v>20323.7187077442</v>
      </c>
      <c r="BA284" s="68" t="n">
        <f aca="false">BA271+BA283</f>
        <v>20323.7187077442</v>
      </c>
      <c r="BB284" s="68" t="n">
        <f aca="false">BB271+BB283</f>
        <v>20323.7187077442</v>
      </c>
      <c r="BC284" s="68" t="n">
        <f aca="false">BC271+BC283</f>
        <v>20323.7187077442</v>
      </c>
      <c r="BD284" s="68" t="n">
        <f aca="false">BD271+BD283</f>
        <v>33982.3170077648</v>
      </c>
      <c r="BE284" s="68" t="n">
        <f aca="false">BE271+BE283</f>
        <v>33982.3170077648</v>
      </c>
      <c r="BF284" s="68" t="n">
        <f aca="false">BF271+BF283</f>
        <v>33982.3170077648</v>
      </c>
      <c r="BG284" s="68" t="n">
        <f aca="false">BG271+BG283</f>
        <v>20323.7187077442</v>
      </c>
      <c r="BH284" s="68" t="n">
        <f aca="false">BH271+BH283</f>
        <v>20323.7187077442</v>
      </c>
      <c r="BI284" s="68" t="n">
        <f aca="false">BI271+BI283</f>
        <v>20323.7187077442</v>
      </c>
      <c r="BJ284" s="68" t="n">
        <f aca="false">BJ271+BJ283</f>
        <v>20323.7187077442</v>
      </c>
    </row>
    <row r="286" customFormat="false" ht="15.75" hidden="false" customHeight="true" outlineLevel="0" collapsed="false">
      <c r="A286" s="7" t="s">
        <v>418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customFormat="false" ht="15" hidden="false" customHeight="false" outlineLevel="0" collapsed="false">
      <c r="A287" s="4" t="s">
        <v>79</v>
      </c>
      <c r="C287" s="73" t="n">
        <f aca="false">C284+C304</f>
        <v>-5630.71781196581</v>
      </c>
      <c r="D287" s="73" t="n">
        <f aca="false">D284+D304</f>
        <v>-3859.38392735043</v>
      </c>
      <c r="E287" s="73" t="n">
        <f aca="false">E284+E304</f>
        <v>-2088.05004273505</v>
      </c>
      <c r="F287" s="73" t="n">
        <f aca="false">F284+F304</f>
        <v>-316.716158119657</v>
      </c>
      <c r="G287" s="73" t="n">
        <f aca="false">G284+G304</f>
        <v>1454.61772649572</v>
      </c>
      <c r="H287" s="73" t="n">
        <f aca="false">H284+H304</f>
        <v>11619.2269444444</v>
      </c>
      <c r="I287" s="73" t="n">
        <f aca="false">I284+I304</f>
        <v>14036.1973931624</v>
      </c>
      <c r="J287" s="73" t="n">
        <f aca="false">J284+J304</f>
        <v>16453.1678418803</v>
      </c>
      <c r="K287" s="73" t="n">
        <f aca="false">K284+K304</f>
        <v>8539.95326495727</v>
      </c>
      <c r="L287" s="73" t="n">
        <f aca="false">L284+L304</f>
        <v>8535.7865982906</v>
      </c>
      <c r="M287" s="73" t="n">
        <f aca="false">M284+M304</f>
        <v>8531.61993162393</v>
      </c>
      <c r="N287" s="73" t="n">
        <f aca="false">N284+N304</f>
        <v>8527.45326495727</v>
      </c>
      <c r="O287" s="73" t="n">
        <f aca="false">O284+O304</f>
        <v>10314.4879999009</v>
      </c>
      <c r="P287" s="73" t="n">
        <f aca="false">P284+P304</f>
        <v>10310.2171665675</v>
      </c>
      <c r="Q287" s="73" t="n">
        <f aca="false">Q284+Q304</f>
        <v>10305.9463332342</v>
      </c>
      <c r="R287" s="73" t="n">
        <f aca="false">R284+R304</f>
        <v>10301.6754999009</v>
      </c>
      <c r="S287" s="73" t="n">
        <f aca="false">S284+S304</f>
        <v>10297.4046665675</v>
      </c>
      <c r="T287" s="73" t="n">
        <f aca="false">T284+T304</f>
        <v>21370.6723988547</v>
      </c>
      <c r="U287" s="73" t="n">
        <f aca="false">U284+U304</f>
        <v>21366.4015655214</v>
      </c>
      <c r="V287" s="73" t="n">
        <f aca="false">V284+V304</f>
        <v>21362.130732188</v>
      </c>
      <c r="W287" s="73" t="n">
        <f aca="false">W284+W304</f>
        <v>10280.3213332342</v>
      </c>
      <c r="X287" s="73" t="n">
        <f aca="false">X284+X304</f>
        <v>10276.0504999009</v>
      </c>
      <c r="Y287" s="73" t="n">
        <f aca="false">Y284+Y304</f>
        <v>10271.7796665675</v>
      </c>
      <c r="Z287" s="73" t="n">
        <f aca="false">Z284+Z304</f>
        <v>10267.5088332342</v>
      </c>
      <c r="AA287" s="73" t="n">
        <f aca="false">AA284+AA304</f>
        <v>12175.7128431917</v>
      </c>
      <c r="AB287" s="73" t="n">
        <f aca="false">AB284+AB304</f>
        <v>12171.3352390251</v>
      </c>
      <c r="AC287" s="73" t="n">
        <f aca="false">AC284+AC304</f>
        <v>12166.9576348584</v>
      </c>
      <c r="AD287" s="73" t="n">
        <f aca="false">AD284+AD304</f>
        <v>12162.5800306917</v>
      </c>
      <c r="AE287" s="73" t="n">
        <f aca="false">AE284+AE304</f>
        <v>12158.2024265251</v>
      </c>
      <c r="AF287" s="73" t="n">
        <f aca="false">AF284+AF304</f>
        <v>24032.588823418</v>
      </c>
      <c r="AG287" s="73" t="n">
        <f aca="false">AG284+AG304</f>
        <v>24028.2112192513</v>
      </c>
      <c r="AH287" s="73" t="n">
        <f aca="false">AH284+AH304</f>
        <v>24023.8336150847</v>
      </c>
      <c r="AI287" s="73" t="n">
        <f aca="false">AI284+AI304</f>
        <v>12140.6920098584</v>
      </c>
      <c r="AJ287" s="73" t="n">
        <f aca="false">AJ284+AJ304</f>
        <v>12136.3144056917</v>
      </c>
      <c r="AK287" s="73" t="n">
        <f aca="false">AK284+AK304</f>
        <v>12131.9368015251</v>
      </c>
      <c r="AL287" s="73" t="n">
        <f aca="false">AL284+AL304</f>
        <v>12127.5591973584</v>
      </c>
      <c r="AM287" s="73" t="n">
        <f aca="false">AM284+AM304</f>
        <v>14168.7366618566</v>
      </c>
      <c r="AN287" s="73" t="n">
        <f aca="false">AN284+AN304</f>
        <v>14164.2496175858</v>
      </c>
      <c r="AO287" s="73" t="n">
        <f aca="false">AO284+AO304</f>
        <v>14159.762573315</v>
      </c>
      <c r="AP287" s="73" t="n">
        <f aca="false">AP284+AP304</f>
        <v>14155.2755290441</v>
      </c>
      <c r="AQ287" s="73" t="n">
        <f aca="false">AQ284+AQ304</f>
        <v>14150.7884847733</v>
      </c>
      <c r="AR287" s="73" t="n">
        <f aca="false">AR284+AR304</f>
        <v>26884.0352644478</v>
      </c>
      <c r="AS287" s="73" t="n">
        <f aca="false">AS284+AS304</f>
        <v>26879.548220177</v>
      </c>
      <c r="AT287" s="73" t="n">
        <f aca="false">AT284+AT304</f>
        <v>26875.0611759062</v>
      </c>
      <c r="AU287" s="73" t="n">
        <f aca="false">AU284+AU304</f>
        <v>14132.84030769</v>
      </c>
      <c r="AV287" s="73" t="n">
        <f aca="false">AV284+AV304</f>
        <v>14128.3532634191</v>
      </c>
      <c r="AW287" s="73" t="n">
        <f aca="false">AW284+AW304</f>
        <v>14123.8662191483</v>
      </c>
      <c r="AX287" s="73" t="n">
        <f aca="false">AX284+AX304</f>
        <v>14119.3791748775</v>
      </c>
      <c r="AY287" s="73" t="n">
        <f aca="false">AY284+AY304</f>
        <v>16305.938150561</v>
      </c>
      <c r="AZ287" s="73" t="n">
        <f aca="false">AZ284+AZ304</f>
        <v>16301.3389301834</v>
      </c>
      <c r="BA287" s="73" t="n">
        <f aca="false">BA284+BA304</f>
        <v>16296.7397098058</v>
      </c>
      <c r="BB287" s="73" t="n">
        <f aca="false">BB284+BB304</f>
        <v>16292.1404894282</v>
      </c>
      <c r="BC287" s="73" t="n">
        <f aca="false">BC284+BC304</f>
        <v>16287.5412690506</v>
      </c>
      <c r="BD287" s="73" t="n">
        <f aca="false">BD284+BD304</f>
        <v>29941.5403486936</v>
      </c>
      <c r="BE287" s="73" t="n">
        <f aca="false">BE284+BE304</f>
        <v>29936.941128316</v>
      </c>
      <c r="BF287" s="73" t="n">
        <f aca="false">BF284+BF304</f>
        <v>29932.3419079384</v>
      </c>
      <c r="BG287" s="73" t="n">
        <f aca="false">BG284+BG304</f>
        <v>16269.1443875402</v>
      </c>
      <c r="BH287" s="73" t="n">
        <f aca="false">BH284+BH304</f>
        <v>16264.5451671626</v>
      </c>
      <c r="BI287" s="73" t="n">
        <f aca="false">BI284+BI304</f>
        <v>16259.945946785</v>
      </c>
      <c r="BJ287" s="73" t="n">
        <f aca="false">BJ284+BJ304</f>
        <v>16255.3467264074</v>
      </c>
    </row>
    <row r="288" customFormat="false" ht="15" hidden="false" customHeight="false" outlineLevel="0" collapsed="false">
      <c r="A288" s="6" t="s">
        <v>419</v>
      </c>
      <c r="C288" s="67" t="n">
        <f aca="false">-(C309+C310)*Inputs!$D$67/12</f>
        <v>-2916.66666666667</v>
      </c>
      <c r="D288" s="67" t="n">
        <f aca="false">-(D309+D310)*Inputs!$D$67/12</f>
        <v>-2913.0661623017</v>
      </c>
      <c r="E288" s="67" t="n">
        <f aca="false">-(E309+E310)*Inputs!$D$67/12</f>
        <v>-2909.4446549946</v>
      </c>
      <c r="F288" s="67" t="n">
        <f aca="false">-(F309+F310)*Inputs!$D$67/12</f>
        <v>-2905.80202222821</v>
      </c>
      <c r="G288" s="67" t="n">
        <f aca="false">-(G309+G310)*Inputs!$D$67/12</f>
        <v>-2902.13814077069</v>
      </c>
      <c r="H288" s="67" t="n">
        <f aca="false">-(H309+H310)*Inputs!$D$67/12</f>
        <v>-2898.45288667133</v>
      </c>
      <c r="I288" s="67" t="n">
        <f aca="false">-(I309+I310)*Inputs!$D$67/12</f>
        <v>-2894.74613525639</v>
      </c>
      <c r="J288" s="67" t="n">
        <f aca="false">-(J309+J310)*Inputs!$D$67/12</f>
        <v>-2891.01776112486</v>
      </c>
      <c r="K288" s="67" t="n">
        <f aca="false">-(K309+K310)*Inputs!$D$67/12</f>
        <v>-2887.26763814423</v>
      </c>
      <c r="L288" s="67" t="n">
        <f aca="false">-(L309+L310)*Inputs!$D$67/12</f>
        <v>-2883.49563944621</v>
      </c>
      <c r="M288" s="67" t="n">
        <f aca="false">-(M309+M310)*Inputs!$D$67/12</f>
        <v>-2879.70163742246</v>
      </c>
      <c r="N288" s="67" t="n">
        <f aca="false">-(N309+N310)*Inputs!$D$67/12</f>
        <v>-2875.88550372023</v>
      </c>
      <c r="O288" s="67" t="n">
        <f aca="false">-(O309+O310)*Inputs!$D$67/12</f>
        <v>-2872.04710923808</v>
      </c>
      <c r="P288" s="67" t="n">
        <f aca="false">-(P309+P310)*Inputs!$D$67/12</f>
        <v>-2868.18632412144</v>
      </c>
      <c r="Q288" s="67" t="n">
        <f aca="false">-(Q309+Q310)*Inputs!$D$67/12</f>
        <v>-2864.3030177583</v>
      </c>
      <c r="R288" s="67" t="n">
        <f aca="false">-(R309+R310)*Inputs!$D$67/12</f>
        <v>-2860.3970587747</v>
      </c>
      <c r="S288" s="67" t="n">
        <f aca="false">-(S309+S310)*Inputs!$D$67/12</f>
        <v>-2856.46831503036</v>
      </c>
      <c r="T288" s="67" t="n">
        <f aca="false">-(T309+T310)*Inputs!$D$67/12</f>
        <v>-2852.51665361418</v>
      </c>
      <c r="U288" s="67" t="n">
        <f aca="false">-(U309+U310)*Inputs!$D$67/12</f>
        <v>-2848.54194083974</v>
      </c>
      <c r="V288" s="67" t="n">
        <f aca="false">-(V309+V310)*Inputs!$D$67/12</f>
        <v>-2844.54404224078</v>
      </c>
      <c r="W288" s="67" t="n">
        <f aca="false">-(W309+W310)*Inputs!$D$67/12</f>
        <v>-2840.52282256666</v>
      </c>
      <c r="X288" s="67" t="n">
        <f aca="false">-(X309+X310)*Inputs!$D$67/12</f>
        <v>-2836.47814577778</v>
      </c>
      <c r="Y288" s="67" t="n">
        <f aca="false">-(Y309+Y310)*Inputs!$D$67/12</f>
        <v>-2832.40987504096</v>
      </c>
      <c r="Z288" s="67" t="n">
        <f aca="false">-(Z309+Z310)*Inputs!$D$67/12</f>
        <v>-2828.31787272484</v>
      </c>
      <c r="AA288" s="67" t="n">
        <f aca="false">-(AA309+AA310)*Inputs!$D$67/12</f>
        <v>-2824.20200039521</v>
      </c>
      <c r="AB288" s="67" t="n">
        <f aca="false">-(AB309+AB310)*Inputs!$D$67/12</f>
        <v>-2820.06211881032</v>
      </c>
      <c r="AC288" s="67" t="n">
        <f aca="false">-(AC309+AC310)*Inputs!$D$67/12</f>
        <v>-2815.89808791619</v>
      </c>
      <c r="AD288" s="67" t="n">
        <f aca="false">-(AD309+AD310)*Inputs!$D$67/12</f>
        <v>-2811.70976684185</v>
      </c>
      <c r="AE288" s="67" t="n">
        <f aca="false">-(AE309+AE310)*Inputs!$D$67/12</f>
        <v>-2807.49701389457</v>
      </c>
      <c r="AF288" s="67" t="n">
        <f aca="false">-(AF309+AF310)*Inputs!$D$67/12</f>
        <v>-2803.2596865551</v>
      </c>
      <c r="AG288" s="67" t="n">
        <f aca="false">-(AG309+AG310)*Inputs!$D$67/12</f>
        <v>-2798.99764147281</v>
      </c>
      <c r="AH288" s="67" t="n">
        <f aca="false">-(AH309+AH310)*Inputs!$D$67/12</f>
        <v>-2794.71073446088</v>
      </c>
      <c r="AI288" s="67" t="n">
        <f aca="false">-(AI309+AI310)*Inputs!$D$67/12</f>
        <v>-2790.39882049138</v>
      </c>
      <c r="AJ288" s="67" t="n">
        <f aca="false">-(AJ309+AJ310)*Inputs!$D$67/12</f>
        <v>-2786.06175369039</v>
      </c>
      <c r="AK288" s="67" t="n">
        <f aca="false">-(AK309+AK310)*Inputs!$D$67/12</f>
        <v>-2781.69938733306</v>
      </c>
      <c r="AL288" s="67" t="n">
        <f aca="false">-(AL309+AL310)*Inputs!$D$67/12</f>
        <v>-2777.31157383864</v>
      </c>
      <c r="AM288" s="67" t="n">
        <f aca="false">-(AM309+AM310)*Inputs!$D$67/12</f>
        <v>-2772.89816476551</v>
      </c>
      <c r="AN288" s="67" t="n">
        <f aca="false">-(AN309+AN310)*Inputs!$D$67/12</f>
        <v>-2768.45901080612</v>
      </c>
      <c r="AO288" s="67" t="n">
        <f aca="false">-(AO309+AO310)*Inputs!$D$67/12</f>
        <v>-2763.99396178197</v>
      </c>
      <c r="AP288" s="67" t="n">
        <f aca="false">-(AP309+AP310)*Inputs!$D$67/12</f>
        <v>-2759.5028666385</v>
      </c>
      <c r="AQ288" s="67" t="n">
        <f aca="false">-(AQ309+AQ310)*Inputs!$D$67/12</f>
        <v>-2754.98557344004</v>
      </c>
      <c r="AR288" s="67" t="n">
        <f aca="false">-(AR309+AR310)*Inputs!$D$67/12</f>
        <v>-2750.44192936458</v>
      </c>
      <c r="AS288" s="67" t="n">
        <f aca="false">-(AS309+AS310)*Inputs!$D$67/12</f>
        <v>-2745.87178069868</v>
      </c>
      <c r="AT288" s="67" t="n">
        <f aca="false">-(AT309+AT310)*Inputs!$D$67/12</f>
        <v>-2741.27497283224</v>
      </c>
      <c r="AU288" s="67" t="n">
        <f aca="false">-(AU309+AU310)*Inputs!$D$67/12</f>
        <v>-2736.65135025324</v>
      </c>
      <c r="AV288" s="67" t="n">
        <f aca="false">-(AV309+AV310)*Inputs!$D$67/12</f>
        <v>-2732.00075654252</v>
      </c>
      <c r="AW288" s="67" t="n">
        <f aca="false">-(AW309+AW310)*Inputs!$D$67/12</f>
        <v>-2727.3230343685</v>
      </c>
      <c r="AX288" s="67" t="n">
        <f aca="false">-(AX309+AX310)*Inputs!$D$67/12</f>
        <v>-2722.61802548179</v>
      </c>
      <c r="AY288" s="67" t="n">
        <f aca="false">-(AY309+AY310)*Inputs!$D$67/12</f>
        <v>-2717.88557070991</v>
      </c>
      <c r="AZ288" s="67" t="n">
        <f aca="false">-(AZ309+AZ310)*Inputs!$D$67/12</f>
        <v>-2713.12550995186</v>
      </c>
      <c r="BA288" s="67" t="n">
        <f aca="false">-(BA309+BA310)*Inputs!$D$67/12</f>
        <v>-2708.33768217272</v>
      </c>
      <c r="BB288" s="67" t="n">
        <f aca="false">-(BB309+BB310)*Inputs!$D$67/12</f>
        <v>-2703.52192539821</v>
      </c>
      <c r="BC288" s="67" t="n">
        <f aca="false">-(BC309+BC310)*Inputs!$D$67/12</f>
        <v>-2698.67807670917</v>
      </c>
      <c r="BD288" s="67" t="n">
        <f aca="false">-(BD309+BD310)*Inputs!$D$67/12</f>
        <v>-2693.80597223612</v>
      </c>
      <c r="BE288" s="67" t="n">
        <f aca="false">-(BE309+BE310)*Inputs!$D$67/12</f>
        <v>-2688.90544715364</v>
      </c>
      <c r="BF288" s="67" t="n">
        <f aca="false">-(BF309+BF310)*Inputs!$D$67/12</f>
        <v>-2683.97633567485</v>
      </c>
      <c r="BG288" s="67" t="n">
        <f aca="false">-(BG309+BG310)*Inputs!$D$67/12</f>
        <v>-2679.01847104576</v>
      </c>
      <c r="BH288" s="67" t="n">
        <f aca="false">-(BH309+BH310)*Inputs!$D$67/12</f>
        <v>-2674.03168553967</v>
      </c>
      <c r="BI288" s="67" t="n">
        <f aca="false">-(BI309+BI310)*Inputs!$D$67/12</f>
        <v>-2669.01581045146</v>
      </c>
      <c r="BJ288" s="67" t="n">
        <f aca="false">-(BJ309+BJ310)*Inputs!$D$67/12</f>
        <v>-2663.9706760919</v>
      </c>
    </row>
    <row r="289" customFormat="false" ht="15" hidden="false" customHeight="false" outlineLevel="0" collapsed="false">
      <c r="A289" s="111" t="s">
        <v>81</v>
      </c>
      <c r="C289" s="68" t="n">
        <f aca="false">C287+C288</f>
        <v>-8547.38447863248</v>
      </c>
      <c r="D289" s="68" t="n">
        <f aca="false">D287+D288</f>
        <v>-6772.45008965213</v>
      </c>
      <c r="E289" s="68" t="n">
        <f aca="false">E287+E288</f>
        <v>-4997.49469772965</v>
      </c>
      <c r="F289" s="68" t="n">
        <f aca="false">F287+F288</f>
        <v>-3222.51818034787</v>
      </c>
      <c r="G289" s="68" t="n">
        <f aca="false">G287+G288</f>
        <v>-1447.52041427496</v>
      </c>
      <c r="H289" s="68" t="n">
        <f aca="false">H287+H288</f>
        <v>8720.77405777312</v>
      </c>
      <c r="I289" s="68" t="n">
        <f aca="false">I287+I288</f>
        <v>11141.451257906</v>
      </c>
      <c r="J289" s="68" t="n">
        <f aca="false">J287+J288</f>
        <v>13562.1500807555</v>
      </c>
      <c r="K289" s="68" t="n">
        <f aca="false">K287+K288</f>
        <v>5652.68562681304</v>
      </c>
      <c r="L289" s="68" t="n">
        <f aca="false">L287+L288</f>
        <v>5652.29095884439</v>
      </c>
      <c r="M289" s="68" t="n">
        <f aca="false">M287+M288</f>
        <v>5651.91829420147</v>
      </c>
      <c r="N289" s="68" t="n">
        <f aca="false">N287+N288</f>
        <v>5651.56776123704</v>
      </c>
      <c r="O289" s="68" t="n">
        <f aca="false">O287+O288</f>
        <v>7442.44089066277</v>
      </c>
      <c r="P289" s="68" t="n">
        <f aca="false">P287+P288</f>
        <v>7442.03084244607</v>
      </c>
      <c r="Q289" s="68" t="n">
        <f aca="false">Q287+Q288</f>
        <v>7441.64331547589</v>
      </c>
      <c r="R289" s="68" t="n">
        <f aca="false">R287+R288</f>
        <v>7441.27844112616</v>
      </c>
      <c r="S289" s="68" t="n">
        <f aca="false">S287+S288</f>
        <v>7440.93635153716</v>
      </c>
      <c r="T289" s="68" t="n">
        <f aca="false">T287+T288</f>
        <v>18518.1557452405</v>
      </c>
      <c r="U289" s="68" t="n">
        <f aca="false">U287+U288</f>
        <v>18517.8596246816</v>
      </c>
      <c r="V289" s="68" t="n">
        <f aca="false">V287+V288</f>
        <v>18517.5866899473</v>
      </c>
      <c r="W289" s="68" t="n">
        <f aca="false">W287+W288</f>
        <v>7439.79851066752</v>
      </c>
      <c r="X289" s="68" t="n">
        <f aca="false">X287+X288</f>
        <v>7439.57235412308</v>
      </c>
      <c r="Y289" s="68" t="n">
        <f aca="false">Y287+Y288</f>
        <v>7439.36979152656</v>
      </c>
      <c r="Z289" s="68" t="n">
        <f aca="false">Z287+Z288</f>
        <v>7439.19096050935</v>
      </c>
      <c r="AA289" s="68" t="n">
        <f aca="false">AA287+AA288</f>
        <v>9351.51084279651</v>
      </c>
      <c r="AB289" s="68" t="n">
        <f aca="false">AB287+AB288</f>
        <v>9351.27312021473</v>
      </c>
      <c r="AC289" s="68" t="n">
        <f aca="false">AC287+AC288</f>
        <v>9351.0595469422</v>
      </c>
      <c r="AD289" s="68" t="n">
        <f aca="false">AD287+AD288</f>
        <v>9350.87026384987</v>
      </c>
      <c r="AE289" s="68" t="n">
        <f aca="false">AE287+AE288</f>
        <v>9350.70541263049</v>
      </c>
      <c r="AF289" s="68" t="n">
        <f aca="false">AF287+AF288</f>
        <v>21229.3291368629</v>
      </c>
      <c r="AG289" s="68" t="n">
        <f aca="false">AG287+AG288</f>
        <v>21229.2135777785</v>
      </c>
      <c r="AH289" s="68" t="n">
        <f aca="false">AH287+AH288</f>
        <v>21229.1228806238</v>
      </c>
      <c r="AI289" s="68" t="n">
        <f aca="false">AI287+AI288</f>
        <v>9350.29318936701</v>
      </c>
      <c r="AJ289" s="68" t="n">
        <f aca="false">AJ287+AJ288</f>
        <v>9350.25265200134</v>
      </c>
      <c r="AK289" s="68" t="n">
        <f aca="false">AK287+AK288</f>
        <v>9350.237414192</v>
      </c>
      <c r="AL289" s="68" t="n">
        <f aca="false">AL287+AL288</f>
        <v>9350.24762351975</v>
      </c>
      <c r="AM289" s="68" t="n">
        <f aca="false">AM287+AM288</f>
        <v>11395.8384970911</v>
      </c>
      <c r="AN289" s="68" t="n">
        <f aca="false">AN287+AN288</f>
        <v>11395.7906067797</v>
      </c>
      <c r="AO289" s="68" t="n">
        <f aca="false">AO287+AO288</f>
        <v>11395.768611533</v>
      </c>
      <c r="AP289" s="68" t="n">
        <f aca="false">AP287+AP288</f>
        <v>11395.7726624056</v>
      </c>
      <c r="AQ289" s="68" t="n">
        <f aca="false">AQ287+AQ288</f>
        <v>11395.8029113333</v>
      </c>
      <c r="AR289" s="68" t="n">
        <f aca="false">AR287+AR288</f>
        <v>24133.5933350832</v>
      </c>
      <c r="AS289" s="68" t="n">
        <f aca="false">AS287+AS288</f>
        <v>24133.6764394783</v>
      </c>
      <c r="AT289" s="68" t="n">
        <f aca="false">AT287+AT288</f>
        <v>24133.7862030739</v>
      </c>
      <c r="AU289" s="68" t="n">
        <f aca="false">AU287+AU288</f>
        <v>11396.1889574367</v>
      </c>
      <c r="AV289" s="68" t="n">
        <f aca="false">AV287+AV288</f>
        <v>11396.3525068766</v>
      </c>
      <c r="AW289" s="68" t="n">
        <f aca="false">AW287+AW288</f>
        <v>11396.5431847798</v>
      </c>
      <c r="AX289" s="68" t="n">
        <f aca="false">AX287+AX288</f>
        <v>11396.7611493957</v>
      </c>
      <c r="AY289" s="68" t="n">
        <f aca="false">AY287+AY288</f>
        <v>13588.0525798511</v>
      </c>
      <c r="AZ289" s="68" t="n">
        <f aca="false">AZ287+AZ288</f>
        <v>13588.2134202315</v>
      </c>
      <c r="BA289" s="68" t="n">
        <f aca="false">BA287+BA288</f>
        <v>13588.4020276331</v>
      </c>
      <c r="BB289" s="68" t="n">
        <f aca="false">BB287+BB288</f>
        <v>13588.61856403</v>
      </c>
      <c r="BC289" s="68" t="n">
        <f aca="false">BC287+BC288</f>
        <v>13588.8631923414</v>
      </c>
      <c r="BD289" s="68" t="n">
        <f aca="false">BD287+BD288</f>
        <v>27247.7343764575</v>
      </c>
      <c r="BE289" s="68" t="n">
        <f aca="false">BE287+BE288</f>
        <v>27248.0356811623</v>
      </c>
      <c r="BF289" s="68" t="n">
        <f aca="false">BF287+BF288</f>
        <v>27248.3655722635</v>
      </c>
      <c r="BG289" s="68" t="n">
        <f aca="false">BG287+BG288</f>
        <v>13590.1259164944</v>
      </c>
      <c r="BH289" s="68" t="n">
        <f aca="false">BH287+BH288</f>
        <v>13590.5134816229</v>
      </c>
      <c r="BI289" s="68" t="n">
        <f aca="false">BI287+BI288</f>
        <v>13590.9301363335</v>
      </c>
      <c r="BJ289" s="68" t="n">
        <f aca="false">BJ287+BJ288</f>
        <v>13591.3760503155</v>
      </c>
    </row>
    <row r="290" customFormat="false" ht="15" hidden="false" customHeight="false" outlineLevel="0" collapsed="false">
      <c r="A290" s="114" t="s">
        <v>420</v>
      </c>
      <c r="C290" s="67" t="n">
        <f aca="false">C289</f>
        <v>-8547.38447863248</v>
      </c>
      <c r="D290" s="67" t="n">
        <f aca="false">C290+D289</f>
        <v>-15319.8345682846</v>
      </c>
      <c r="E290" s="67" t="n">
        <f aca="false">D290+E289</f>
        <v>-20317.3292660143</v>
      </c>
      <c r="F290" s="67" t="n">
        <f aca="false">E290+F289</f>
        <v>-23539.8474463621</v>
      </c>
      <c r="G290" s="67" t="n">
        <f aca="false">F290+G289</f>
        <v>-24987.3678606371</v>
      </c>
      <c r="H290" s="67" t="n">
        <f aca="false">G290+H289</f>
        <v>-16266.593802864</v>
      </c>
      <c r="I290" s="67" t="n">
        <f aca="false">H290+I289</f>
        <v>-5125.14254495797</v>
      </c>
      <c r="J290" s="67" t="n">
        <f aca="false">I290+J289</f>
        <v>8437.00753579751</v>
      </c>
      <c r="K290" s="67" t="n">
        <f aca="false">J290+K289</f>
        <v>14089.6931626106</v>
      </c>
      <c r="L290" s="67" t="n">
        <f aca="false">K290+L289</f>
        <v>19741.9841214549</v>
      </c>
      <c r="M290" s="67" t="n">
        <f aca="false">L290+M289</f>
        <v>25393.9024156564</v>
      </c>
      <c r="N290" s="67" t="n">
        <f aca="false">M290+N289</f>
        <v>31045.4701768934</v>
      </c>
      <c r="O290" s="67" t="n">
        <f aca="false">N290+O289</f>
        <v>38487.9110675562</v>
      </c>
      <c r="P290" s="67" t="n">
        <f aca="false">O290+P289</f>
        <v>45929.9419100023</v>
      </c>
      <c r="Q290" s="67" t="n">
        <f aca="false">P290+Q289</f>
        <v>53371.5852254782</v>
      </c>
      <c r="R290" s="67" t="n">
        <f aca="false">Q290+R289</f>
        <v>60812.8636666043</v>
      </c>
      <c r="S290" s="67" t="n">
        <f aca="false">R290+S289</f>
        <v>68253.8000181415</v>
      </c>
      <c r="T290" s="67" t="n">
        <f aca="false">S290+T289</f>
        <v>86771.955763382</v>
      </c>
      <c r="U290" s="67" t="n">
        <f aca="false">T290+U289</f>
        <v>105289.815388064</v>
      </c>
      <c r="V290" s="67" t="n">
        <f aca="false">U290+V289</f>
        <v>123807.402078011</v>
      </c>
      <c r="W290" s="67" t="n">
        <f aca="false">V290+W289</f>
        <v>131247.200588678</v>
      </c>
      <c r="X290" s="67" t="n">
        <f aca="false">W290+X289</f>
        <v>138686.772942802</v>
      </c>
      <c r="Y290" s="67" t="n">
        <f aca="false">X290+Y289</f>
        <v>146126.142734328</v>
      </c>
      <c r="Z290" s="67" t="n">
        <f aca="false">Y290+Z289</f>
        <v>153565.333694837</v>
      </c>
      <c r="AA290" s="67" t="n">
        <f aca="false">Z290+AA289</f>
        <v>162916.844537634</v>
      </c>
      <c r="AB290" s="67" t="n">
        <f aca="false">AA290+AB289</f>
        <v>172268.117657849</v>
      </c>
      <c r="AC290" s="67" t="n">
        <f aca="false">AB290+AC289</f>
        <v>181619.177204791</v>
      </c>
      <c r="AD290" s="67" t="n">
        <f aca="false">AC290+AD289</f>
        <v>190970.047468641</v>
      </c>
      <c r="AE290" s="67" t="n">
        <f aca="false">AD290+AE289</f>
        <v>200320.752881271</v>
      </c>
      <c r="AF290" s="67" t="n">
        <f aca="false">AE290+AF289</f>
        <v>221550.082018134</v>
      </c>
      <c r="AG290" s="67" t="n">
        <f aca="false">AF290+AG289</f>
        <v>242779.295595913</v>
      </c>
      <c r="AH290" s="67" t="n">
        <f aca="false">AG290+AH289</f>
        <v>264008.418476536</v>
      </c>
      <c r="AI290" s="67" t="n">
        <f aca="false">AH290+AI289</f>
        <v>273358.711665903</v>
      </c>
      <c r="AJ290" s="67" t="n">
        <f aca="false">AI290+AJ289</f>
        <v>282708.964317905</v>
      </c>
      <c r="AK290" s="67" t="n">
        <f aca="false">AJ290+AK289</f>
        <v>292059.201732097</v>
      </c>
      <c r="AL290" s="67" t="n">
        <f aca="false">AK290+AL289</f>
        <v>301409.449355617</v>
      </c>
      <c r="AM290" s="67" t="n">
        <f aca="false">AL290+AM289</f>
        <v>312805.287852708</v>
      </c>
      <c r="AN290" s="67" t="n">
        <f aca="false">AM290+AN289</f>
        <v>324201.078459487</v>
      </c>
      <c r="AO290" s="67" t="n">
        <f aca="false">AN290+AO289</f>
        <v>335596.84707102</v>
      </c>
      <c r="AP290" s="67" t="n">
        <f aca="false">AO290+AP289</f>
        <v>346992.619733426</v>
      </c>
      <c r="AQ290" s="67" t="n">
        <f aca="false">AP290+AQ289</f>
        <v>358388.422644759</v>
      </c>
      <c r="AR290" s="67" t="n">
        <f aca="false">AQ290+AR289</f>
        <v>382522.015979842</v>
      </c>
      <c r="AS290" s="67" t="n">
        <f aca="false">AR290+AS289</f>
        <v>406655.692419321</v>
      </c>
      <c r="AT290" s="67" t="n">
        <f aca="false">AS290+AT289</f>
        <v>430789.478622395</v>
      </c>
      <c r="AU290" s="67" t="n">
        <f aca="false">AT290+AU289</f>
        <v>442185.667579831</v>
      </c>
      <c r="AV290" s="67" t="n">
        <f aca="false">AU290+AV289</f>
        <v>453582.020086708</v>
      </c>
      <c r="AW290" s="67" t="n">
        <f aca="false">AV290+AW289</f>
        <v>464978.563271488</v>
      </c>
      <c r="AX290" s="67" t="n">
        <f aca="false">AW290+AX289</f>
        <v>476375.324420884</v>
      </c>
      <c r="AY290" s="67" t="n">
        <f aca="false">AX290+AY289</f>
        <v>489963.377000735</v>
      </c>
      <c r="AZ290" s="67" t="n">
        <f aca="false">AY290+AZ289</f>
        <v>503551.590420966</v>
      </c>
      <c r="BA290" s="67" t="n">
        <f aca="false">AZ290+BA289</f>
        <v>517139.992448599</v>
      </c>
      <c r="BB290" s="67" t="n">
        <f aca="false">BA290+BB289</f>
        <v>530728.611012629</v>
      </c>
      <c r="BC290" s="67" t="n">
        <f aca="false">BB290+BC289</f>
        <v>544317.474204971</v>
      </c>
      <c r="BD290" s="67" t="n">
        <f aca="false">BC290+BD289</f>
        <v>571565.208581428</v>
      </c>
      <c r="BE290" s="67" t="n">
        <f aca="false">BD290+BE289</f>
        <v>598813.24426259</v>
      </c>
      <c r="BF290" s="67" t="n">
        <f aca="false">BE290+BF289</f>
        <v>626061.609834854</v>
      </c>
      <c r="BG290" s="67" t="n">
        <f aca="false">BF290+BG289</f>
        <v>639651.735751348</v>
      </c>
      <c r="BH290" s="67" t="n">
        <f aca="false">BG290+BH289</f>
        <v>653242.249232971</v>
      </c>
      <c r="BI290" s="67" t="n">
        <f aca="false">BH290+BI289</f>
        <v>666833.179369305</v>
      </c>
      <c r="BJ290" s="67" t="n">
        <f aca="false">BI290+BJ289</f>
        <v>680424.55541962</v>
      </c>
    </row>
    <row r="291" customFormat="false" ht="15" hidden="false" customHeight="false" outlineLevel="0" collapsed="false">
      <c r="A291" s="114" t="s">
        <v>421</v>
      </c>
      <c r="C291" s="67" t="n">
        <f aca="false">MAX(0,C290)</f>
        <v>0</v>
      </c>
      <c r="D291" s="67" t="n">
        <f aca="false">MAX(C291,D290)</f>
        <v>0</v>
      </c>
      <c r="E291" s="67" t="n">
        <f aca="false">MAX(D291,E290)</f>
        <v>0</v>
      </c>
      <c r="F291" s="67" t="n">
        <f aca="false">MAX(E291,F290)</f>
        <v>0</v>
      </c>
      <c r="G291" s="67" t="n">
        <f aca="false">MAX(F291,G290)</f>
        <v>0</v>
      </c>
      <c r="H291" s="67" t="n">
        <f aca="false">MAX(G291,H290)</f>
        <v>0</v>
      </c>
      <c r="I291" s="67" t="n">
        <f aca="false">MAX(H291,I290)</f>
        <v>0</v>
      </c>
      <c r="J291" s="67" t="n">
        <f aca="false">MAX(I291,J290)</f>
        <v>8437.00753579751</v>
      </c>
      <c r="K291" s="67" t="n">
        <f aca="false">MAX(J291,K290)</f>
        <v>14089.6931626106</v>
      </c>
      <c r="L291" s="67" t="n">
        <f aca="false">MAX(K291,L290)</f>
        <v>19741.9841214549</v>
      </c>
      <c r="M291" s="67" t="n">
        <f aca="false">MAX(L291,M290)</f>
        <v>25393.9024156564</v>
      </c>
      <c r="N291" s="67" t="n">
        <f aca="false">MAX(M291,N290)</f>
        <v>31045.4701768934</v>
      </c>
      <c r="O291" s="67" t="n">
        <f aca="false">MAX(N291,O290)</f>
        <v>38487.9110675562</v>
      </c>
      <c r="P291" s="67" t="n">
        <f aca="false">MAX(O291,P290)</f>
        <v>45929.9419100023</v>
      </c>
      <c r="Q291" s="67" t="n">
        <f aca="false">MAX(P291,Q290)</f>
        <v>53371.5852254782</v>
      </c>
      <c r="R291" s="67" t="n">
        <f aca="false">MAX(Q291,R290)</f>
        <v>60812.8636666043</v>
      </c>
      <c r="S291" s="67" t="n">
        <f aca="false">MAX(R291,S290)</f>
        <v>68253.8000181415</v>
      </c>
      <c r="T291" s="67" t="n">
        <f aca="false">MAX(S291,T290)</f>
        <v>86771.955763382</v>
      </c>
      <c r="U291" s="67" t="n">
        <f aca="false">MAX(T291,U290)</f>
        <v>105289.815388064</v>
      </c>
      <c r="V291" s="67" t="n">
        <f aca="false">MAX(U291,V290)</f>
        <v>123807.402078011</v>
      </c>
      <c r="W291" s="67" t="n">
        <f aca="false">MAX(V291,W290)</f>
        <v>131247.200588678</v>
      </c>
      <c r="X291" s="67" t="n">
        <f aca="false">MAX(W291,X290)</f>
        <v>138686.772942802</v>
      </c>
      <c r="Y291" s="67" t="n">
        <f aca="false">MAX(X291,Y290)</f>
        <v>146126.142734328</v>
      </c>
      <c r="Z291" s="67" t="n">
        <f aca="false">MAX(Y291,Z290)</f>
        <v>153565.333694837</v>
      </c>
      <c r="AA291" s="67" t="n">
        <f aca="false">MAX(Z291,AA290)</f>
        <v>162916.844537634</v>
      </c>
      <c r="AB291" s="67" t="n">
        <f aca="false">MAX(AA291,AB290)</f>
        <v>172268.117657849</v>
      </c>
      <c r="AC291" s="67" t="n">
        <f aca="false">MAX(AB291,AC290)</f>
        <v>181619.177204791</v>
      </c>
      <c r="AD291" s="67" t="n">
        <f aca="false">MAX(AC291,AD290)</f>
        <v>190970.047468641</v>
      </c>
      <c r="AE291" s="67" t="n">
        <f aca="false">MAX(AD291,AE290)</f>
        <v>200320.752881271</v>
      </c>
      <c r="AF291" s="67" t="n">
        <f aca="false">MAX(AE291,AF290)</f>
        <v>221550.082018134</v>
      </c>
      <c r="AG291" s="67" t="n">
        <f aca="false">MAX(AF291,AG290)</f>
        <v>242779.295595913</v>
      </c>
      <c r="AH291" s="67" t="n">
        <f aca="false">MAX(AG291,AH290)</f>
        <v>264008.418476536</v>
      </c>
      <c r="AI291" s="67" t="n">
        <f aca="false">MAX(AH291,AI290)</f>
        <v>273358.711665903</v>
      </c>
      <c r="AJ291" s="67" t="n">
        <f aca="false">MAX(AI291,AJ290)</f>
        <v>282708.964317905</v>
      </c>
      <c r="AK291" s="67" t="n">
        <f aca="false">MAX(AJ291,AK290)</f>
        <v>292059.201732097</v>
      </c>
      <c r="AL291" s="67" t="n">
        <f aca="false">MAX(AK291,AL290)</f>
        <v>301409.449355617</v>
      </c>
      <c r="AM291" s="67" t="n">
        <f aca="false">MAX(AL291,AM290)</f>
        <v>312805.287852708</v>
      </c>
      <c r="AN291" s="67" t="n">
        <f aca="false">MAX(AM291,AN290)</f>
        <v>324201.078459487</v>
      </c>
      <c r="AO291" s="67" t="n">
        <f aca="false">MAX(AN291,AO290)</f>
        <v>335596.84707102</v>
      </c>
      <c r="AP291" s="67" t="n">
        <f aca="false">MAX(AO291,AP290)</f>
        <v>346992.619733426</v>
      </c>
      <c r="AQ291" s="67" t="n">
        <f aca="false">MAX(AP291,AQ290)</f>
        <v>358388.422644759</v>
      </c>
      <c r="AR291" s="67" t="n">
        <f aca="false">MAX(AQ291,AR290)</f>
        <v>382522.015979842</v>
      </c>
      <c r="AS291" s="67" t="n">
        <f aca="false">MAX(AR291,AS290)</f>
        <v>406655.692419321</v>
      </c>
      <c r="AT291" s="67" t="n">
        <f aca="false">MAX(AS291,AT290)</f>
        <v>430789.478622395</v>
      </c>
      <c r="AU291" s="67" t="n">
        <f aca="false">MAX(AT291,AU290)</f>
        <v>442185.667579831</v>
      </c>
      <c r="AV291" s="67" t="n">
        <f aca="false">MAX(AU291,AV290)</f>
        <v>453582.020086708</v>
      </c>
      <c r="AW291" s="67" t="n">
        <f aca="false">MAX(AV291,AW290)</f>
        <v>464978.563271488</v>
      </c>
      <c r="AX291" s="67" t="n">
        <f aca="false">MAX(AW291,AX290)</f>
        <v>476375.324420884</v>
      </c>
      <c r="AY291" s="67" t="n">
        <f aca="false">MAX(AX291,AY290)</f>
        <v>489963.377000735</v>
      </c>
      <c r="AZ291" s="67" t="n">
        <f aca="false">MAX(AY291,AZ290)</f>
        <v>503551.590420966</v>
      </c>
      <c r="BA291" s="67" t="n">
        <f aca="false">MAX(AZ291,BA290)</f>
        <v>517139.992448599</v>
      </c>
      <c r="BB291" s="67" t="n">
        <f aca="false">MAX(BA291,BB290)</f>
        <v>530728.611012629</v>
      </c>
      <c r="BC291" s="67" t="n">
        <f aca="false">MAX(BB291,BC290)</f>
        <v>544317.474204971</v>
      </c>
      <c r="BD291" s="67" t="n">
        <f aca="false">MAX(BC291,BD290)</f>
        <v>571565.208581428</v>
      </c>
      <c r="BE291" s="67" t="n">
        <f aca="false">MAX(BD291,BE290)</f>
        <v>598813.24426259</v>
      </c>
      <c r="BF291" s="67" t="n">
        <f aca="false">MAX(BE291,BF290)</f>
        <v>626061.609834854</v>
      </c>
      <c r="BG291" s="67" t="n">
        <f aca="false">MAX(BF291,BG290)</f>
        <v>639651.735751348</v>
      </c>
      <c r="BH291" s="67" t="n">
        <f aca="false">MAX(BG291,BH290)</f>
        <v>653242.249232971</v>
      </c>
      <c r="BI291" s="67" t="n">
        <f aca="false">MAX(BH291,BI290)</f>
        <v>666833.179369305</v>
      </c>
      <c r="BJ291" s="67" t="n">
        <f aca="false">MAX(BI291,BJ290)</f>
        <v>680424.55541962</v>
      </c>
    </row>
    <row r="292" customFormat="false" ht="15" hidden="false" customHeight="false" outlineLevel="0" collapsed="false">
      <c r="A292" s="6" t="s">
        <v>82</v>
      </c>
      <c r="C292" s="67" t="n">
        <f aca="false">-C291*Inputs!$D$77</f>
        <v>-0</v>
      </c>
      <c r="D292" s="67" t="n">
        <f aca="false">-(D291-C291)*Inputs!$D$77</f>
        <v>-0</v>
      </c>
      <c r="E292" s="67" t="n">
        <f aca="false">-(E291-D291)*Inputs!$D$77</f>
        <v>-0</v>
      </c>
      <c r="F292" s="67" t="n">
        <f aca="false">-(F291-E291)*Inputs!$D$77</f>
        <v>-0</v>
      </c>
      <c r="G292" s="67" t="n">
        <f aca="false">-(G291-F291)*Inputs!$D$77</f>
        <v>-0</v>
      </c>
      <c r="H292" s="67" t="n">
        <f aca="false">-(H291-G291)*Inputs!$D$77</f>
        <v>-0</v>
      </c>
      <c r="I292" s="67" t="n">
        <f aca="false">-(I291-H291)*Inputs!$D$77</f>
        <v>-0</v>
      </c>
      <c r="J292" s="67" t="n">
        <f aca="false">-(J291-I291)*Inputs!$D$77</f>
        <v>-1771.77158251748</v>
      </c>
      <c r="K292" s="67" t="n">
        <f aca="false">-(K291-J291)*Inputs!$D$77</f>
        <v>-1187.06398163074</v>
      </c>
      <c r="L292" s="67" t="n">
        <f aca="false">-(L291-K291)*Inputs!$D$77</f>
        <v>-1186.98110135732</v>
      </c>
      <c r="M292" s="67" t="n">
        <f aca="false">-(M291-L291)*Inputs!$D$77</f>
        <v>-1186.90284178231</v>
      </c>
      <c r="N292" s="67" t="n">
        <f aca="false">-(N291-M291)*Inputs!$D$77</f>
        <v>-1186.82922985978</v>
      </c>
      <c r="O292" s="67" t="n">
        <f aca="false">-(O291-N291)*Inputs!$D$77</f>
        <v>-1562.91258703918</v>
      </c>
      <c r="P292" s="67" t="n">
        <f aca="false">-(P291-O291)*Inputs!$D$77</f>
        <v>-1562.82647691368</v>
      </c>
      <c r="Q292" s="67" t="n">
        <f aca="false">-(Q291-P291)*Inputs!$D$77</f>
        <v>-1562.74509624994</v>
      </c>
      <c r="R292" s="67" t="n">
        <f aca="false">-(R291-Q291)*Inputs!$D$77</f>
        <v>-1562.66847263649</v>
      </c>
      <c r="S292" s="67" t="n">
        <f aca="false">-(S291-R291)*Inputs!$D$77</f>
        <v>-1562.5966338228</v>
      </c>
      <c r="T292" s="67" t="n">
        <f aca="false">-(T291-S291)*Inputs!$D$77</f>
        <v>-3888.81270650051</v>
      </c>
      <c r="U292" s="67" t="n">
        <f aca="false">-(U291-T291)*Inputs!$D$77</f>
        <v>-3888.75052118315</v>
      </c>
      <c r="V292" s="67" t="n">
        <f aca="false">-(V291-U291)*Inputs!$D$77</f>
        <v>-3888.69320488892</v>
      </c>
      <c r="W292" s="67" t="n">
        <f aca="false">-(W291-V291)*Inputs!$D$77</f>
        <v>-1562.35768724018</v>
      </c>
      <c r="X292" s="67" t="n">
        <f aca="false">-(X291-W291)*Inputs!$D$77</f>
        <v>-1562.31019436585</v>
      </c>
      <c r="Y292" s="67" t="n">
        <f aca="false">-(Y291-X291)*Inputs!$D$77</f>
        <v>-1562.26765622058</v>
      </c>
      <c r="Z292" s="67" t="n">
        <f aca="false">-(Z291-Y291)*Inputs!$D$77</f>
        <v>-1562.23010170696</v>
      </c>
      <c r="AA292" s="67" t="n">
        <f aca="false">-(AA291-Z291)*Inputs!$D$77</f>
        <v>-1963.81727698727</v>
      </c>
      <c r="AB292" s="67" t="n">
        <f aca="false">-(AB291-AA291)*Inputs!$D$77</f>
        <v>-1963.76735524509</v>
      </c>
      <c r="AC292" s="67" t="n">
        <f aca="false">-(AC291-AB291)*Inputs!$D$77</f>
        <v>-1963.72250485786</v>
      </c>
      <c r="AD292" s="67" t="n">
        <f aca="false">-(AD291-AC291)*Inputs!$D$77</f>
        <v>-1963.68275540847</v>
      </c>
      <c r="AE292" s="67" t="n">
        <f aca="false">-(AE291-AD291)*Inputs!$D$77</f>
        <v>-1963.6481366524</v>
      </c>
      <c r="AF292" s="67" t="n">
        <f aca="false">-(AF291-AE291)*Inputs!$D$77</f>
        <v>-4458.15911874121</v>
      </c>
      <c r="AG292" s="67" t="n">
        <f aca="false">-(AG291-AF291)*Inputs!$D$77</f>
        <v>-4458.13485133349</v>
      </c>
      <c r="AH292" s="67" t="n">
        <f aca="false">-(AH291-AG291)*Inputs!$D$77</f>
        <v>-4458.115804931</v>
      </c>
      <c r="AI292" s="67" t="n">
        <f aca="false">-(AI291-AH291)*Inputs!$D$77</f>
        <v>-1963.56156976707</v>
      </c>
      <c r="AJ292" s="67" t="n">
        <f aca="false">-(AJ291-AI291)*Inputs!$D$77</f>
        <v>-1963.55305692028</v>
      </c>
      <c r="AK292" s="67" t="n">
        <f aca="false">-(AK291-AJ291)*Inputs!$D$77</f>
        <v>-1963.54985698032</v>
      </c>
      <c r="AL292" s="67" t="n">
        <f aca="false">-(AL291-AK291)*Inputs!$D$77</f>
        <v>-1963.55200093915</v>
      </c>
      <c r="AM292" s="67" t="n">
        <f aca="false">-(AM291-AL291)*Inputs!$D$77</f>
        <v>-2393.12608438914</v>
      </c>
      <c r="AN292" s="67" t="n">
        <f aca="false">-(AN291-AM291)*Inputs!$D$77</f>
        <v>-2393.11602742373</v>
      </c>
      <c r="AO292" s="67" t="n">
        <f aca="false">-(AO291-AN291)*Inputs!$D$77</f>
        <v>-2393.11140842193</v>
      </c>
      <c r="AP292" s="67" t="n">
        <f aca="false">-(AP291-AO291)*Inputs!$D$77</f>
        <v>-2393.11225910518</v>
      </c>
      <c r="AQ292" s="67" t="n">
        <f aca="false">-(AQ291-AP291)*Inputs!$D$77</f>
        <v>-2393.11861137999</v>
      </c>
      <c r="AR292" s="67" t="n">
        <f aca="false">-(AR291-AQ291)*Inputs!$D$77</f>
        <v>-5068.05460036748</v>
      </c>
      <c r="AS292" s="67" t="n">
        <f aca="false">-(AS291-AR291)*Inputs!$D$77</f>
        <v>-5068.07205229044</v>
      </c>
      <c r="AT292" s="67" t="n">
        <f aca="false">-(AT291-AS291)*Inputs!$D$77</f>
        <v>-5068.09510264552</v>
      </c>
      <c r="AU292" s="67" t="n">
        <f aca="false">-(AU291-AT291)*Inputs!$D$77</f>
        <v>-2393.19968106171</v>
      </c>
      <c r="AV292" s="67" t="n">
        <f aca="false">-(AV291-AU291)*Inputs!$D$77</f>
        <v>-2393.23402644409</v>
      </c>
      <c r="AW292" s="67" t="n">
        <f aca="false">-(AW291-AV291)*Inputs!$D$77</f>
        <v>-2393.27406880376</v>
      </c>
      <c r="AX292" s="67" t="n">
        <f aca="false">-(AX291-AW291)*Inputs!$D$77</f>
        <v>-2393.31984137309</v>
      </c>
      <c r="AY292" s="67" t="n">
        <f aca="false">-(AY291-AX291)*Inputs!$D$77</f>
        <v>-2853.49104176872</v>
      </c>
      <c r="AZ292" s="67" t="n">
        <f aca="false">-(AZ291-AY291)*Inputs!$D$77</f>
        <v>-2853.52481824862</v>
      </c>
      <c r="BA292" s="67" t="n">
        <f aca="false">-(BA291-AZ291)*Inputs!$D$77</f>
        <v>-2853.56442580294</v>
      </c>
      <c r="BB292" s="67" t="n">
        <f aca="false">-(BB291-BA291)*Inputs!$D$77</f>
        <v>-2853.6098984463</v>
      </c>
      <c r="BC292" s="67" t="n">
        <f aca="false">-(BC291-BB291)*Inputs!$D$77</f>
        <v>-2853.6612703917</v>
      </c>
      <c r="BD292" s="67" t="n">
        <f aca="false">-(BD291-BC291)*Inputs!$D$77</f>
        <v>-5722.02421905608</v>
      </c>
      <c r="BE292" s="67" t="n">
        <f aca="false">-(BE291-BD291)*Inputs!$D$77</f>
        <v>-5722.0874930441</v>
      </c>
      <c r="BF292" s="67" t="n">
        <f aca="false">-(BF291-BE291)*Inputs!$D$77</f>
        <v>-5722.15677017533</v>
      </c>
      <c r="BG292" s="67" t="n">
        <f aca="false">-(BG291-BF291)*Inputs!$D$77</f>
        <v>-2853.92644246383</v>
      </c>
      <c r="BH292" s="67" t="n">
        <f aca="false">-(BH291-BG291)*Inputs!$D$77</f>
        <v>-2854.00783114081</v>
      </c>
      <c r="BI292" s="67" t="n">
        <f aca="false">-(BI291-BH291)*Inputs!$D$77</f>
        <v>-2854.09532863003</v>
      </c>
      <c r="BJ292" s="67" t="n">
        <f aca="false">-(BJ291-BI291)*Inputs!$D$77</f>
        <v>-2854.18897056624</v>
      </c>
    </row>
    <row r="293" customFormat="false" ht="15" hidden="false" customHeight="false" outlineLevel="0" collapsed="false">
      <c r="A293" s="111" t="s">
        <v>50</v>
      </c>
      <c r="C293" s="68" t="n">
        <f aca="false">C289+C292</f>
        <v>-8547.38447863248</v>
      </c>
      <c r="D293" s="68" t="n">
        <f aca="false">D289+D292</f>
        <v>-6772.45008965213</v>
      </c>
      <c r="E293" s="68" t="n">
        <f aca="false">E289+E292</f>
        <v>-4997.49469772965</v>
      </c>
      <c r="F293" s="68" t="n">
        <f aca="false">F289+F292</f>
        <v>-3222.51818034787</v>
      </c>
      <c r="G293" s="68" t="n">
        <f aca="false">G289+G292</f>
        <v>-1447.52041427496</v>
      </c>
      <c r="H293" s="68" t="n">
        <f aca="false">H289+H292</f>
        <v>8720.77405777312</v>
      </c>
      <c r="I293" s="68" t="n">
        <f aca="false">I289+I292</f>
        <v>11141.451257906</v>
      </c>
      <c r="J293" s="68" t="n">
        <f aca="false">J289+J292</f>
        <v>11790.378498238</v>
      </c>
      <c r="K293" s="68" t="n">
        <f aca="false">K289+K292</f>
        <v>4465.6216451823</v>
      </c>
      <c r="L293" s="68" t="n">
        <f aca="false">L289+L292</f>
        <v>4465.30985748707</v>
      </c>
      <c r="M293" s="68" t="n">
        <f aca="false">M289+M292</f>
        <v>4465.01545241917</v>
      </c>
      <c r="N293" s="68" t="n">
        <f aca="false">N289+N292</f>
        <v>4464.73853137726</v>
      </c>
      <c r="O293" s="68" t="n">
        <f aca="false">O289+O292</f>
        <v>5879.52830362359</v>
      </c>
      <c r="P293" s="68" t="n">
        <f aca="false">P289+P292</f>
        <v>5879.2043655324</v>
      </c>
      <c r="Q293" s="68" t="n">
        <f aca="false">Q289+Q292</f>
        <v>5878.89821922595</v>
      </c>
      <c r="R293" s="68" t="n">
        <f aca="false">R289+R292</f>
        <v>5878.60996848966</v>
      </c>
      <c r="S293" s="68" t="n">
        <f aca="false">S289+S292</f>
        <v>5878.33971771436</v>
      </c>
      <c r="T293" s="68" t="n">
        <f aca="false">T289+T292</f>
        <v>14629.34303874</v>
      </c>
      <c r="U293" s="68" t="n">
        <f aca="false">U289+U292</f>
        <v>14629.1091034985</v>
      </c>
      <c r="V293" s="68" t="n">
        <f aca="false">V289+V292</f>
        <v>14628.8934850583</v>
      </c>
      <c r="W293" s="68" t="n">
        <f aca="false">W289+W292</f>
        <v>5877.44082342735</v>
      </c>
      <c r="X293" s="68" t="n">
        <f aca="false">X289+X292</f>
        <v>5877.26215975723</v>
      </c>
      <c r="Y293" s="68" t="n">
        <f aca="false">Y289+Y292</f>
        <v>5877.10213530599</v>
      </c>
      <c r="Z293" s="68" t="n">
        <f aca="false">Z289+Z292</f>
        <v>5876.96085880238</v>
      </c>
      <c r="AA293" s="68" t="n">
        <f aca="false">AA289+AA292</f>
        <v>7387.69356580925</v>
      </c>
      <c r="AB293" s="68" t="n">
        <f aca="false">AB289+AB292</f>
        <v>7387.50576496964</v>
      </c>
      <c r="AC293" s="68" t="n">
        <f aca="false">AC289+AC292</f>
        <v>7387.33704208433</v>
      </c>
      <c r="AD293" s="68" t="n">
        <f aca="false">AD289+AD292</f>
        <v>7387.1875084414</v>
      </c>
      <c r="AE293" s="68" t="n">
        <f aca="false">AE289+AE292</f>
        <v>7387.05727597809</v>
      </c>
      <c r="AF293" s="68" t="n">
        <f aca="false">AF289+AF292</f>
        <v>16771.1700181217</v>
      </c>
      <c r="AG293" s="68" t="n">
        <f aca="false">AG289+AG292</f>
        <v>16771.078726445</v>
      </c>
      <c r="AH293" s="68" t="n">
        <f aca="false">AH289+AH292</f>
        <v>16771.0070756928</v>
      </c>
      <c r="AI293" s="68" t="n">
        <f aca="false">AI289+AI292</f>
        <v>7386.73161959995</v>
      </c>
      <c r="AJ293" s="68" t="n">
        <f aca="false">AJ289+AJ292</f>
        <v>7386.69959508106</v>
      </c>
      <c r="AK293" s="68" t="n">
        <f aca="false">AK289+AK292</f>
        <v>7386.68755721168</v>
      </c>
      <c r="AL293" s="68" t="n">
        <f aca="false">AL289+AL292</f>
        <v>7386.6956225806</v>
      </c>
      <c r="AM293" s="68" t="n">
        <f aca="false">AM289+AM292</f>
        <v>9002.71241270198</v>
      </c>
      <c r="AN293" s="68" t="n">
        <f aca="false">AN289+AN292</f>
        <v>9002.67457935594</v>
      </c>
      <c r="AO293" s="68" t="n">
        <f aca="false">AO289+AO292</f>
        <v>9002.65720311107</v>
      </c>
      <c r="AP293" s="68" t="n">
        <f aca="false">AP289+AP292</f>
        <v>9002.66040330045</v>
      </c>
      <c r="AQ293" s="68" t="n">
        <f aca="false">AQ289+AQ292</f>
        <v>9002.68429995327</v>
      </c>
      <c r="AR293" s="68" t="n">
        <f aca="false">AR289+AR292</f>
        <v>19065.5387347158</v>
      </c>
      <c r="AS293" s="68" t="n">
        <f aca="false">AS289+AS292</f>
        <v>19065.6043871879</v>
      </c>
      <c r="AT293" s="68" t="n">
        <f aca="false">AT289+AT292</f>
        <v>19065.6911004284</v>
      </c>
      <c r="AU293" s="68" t="n">
        <f aca="false">AU289+AU292</f>
        <v>9002.98927637502</v>
      </c>
      <c r="AV293" s="68" t="n">
        <f aca="false">AV289+AV292</f>
        <v>9003.11848043252</v>
      </c>
      <c r="AW293" s="68" t="n">
        <f aca="false">AW289+AW292</f>
        <v>9003.26911597604</v>
      </c>
      <c r="AX293" s="68" t="n">
        <f aca="false">AX289+AX292</f>
        <v>9003.44130802258</v>
      </c>
      <c r="AY293" s="68" t="n">
        <f aca="false">AY289+AY292</f>
        <v>10734.5615380824</v>
      </c>
      <c r="AZ293" s="68" t="n">
        <f aca="false">AZ289+AZ292</f>
        <v>10734.6886019829</v>
      </c>
      <c r="BA293" s="68" t="n">
        <f aca="false">BA289+BA292</f>
        <v>10734.8376018301</v>
      </c>
      <c r="BB293" s="68" t="n">
        <f aca="false">BB289+BB292</f>
        <v>10735.0086655837</v>
      </c>
      <c r="BC293" s="68" t="n">
        <f aca="false">BC289+BC292</f>
        <v>10735.2019219497</v>
      </c>
      <c r="BD293" s="68" t="n">
        <f aca="false">BD289+BD292</f>
        <v>21525.7101574014</v>
      </c>
      <c r="BE293" s="68" t="n">
        <f aca="false">BE289+BE292</f>
        <v>21525.9481881182</v>
      </c>
      <c r="BF293" s="68" t="n">
        <f aca="false">BF289+BF292</f>
        <v>21526.2088020882</v>
      </c>
      <c r="BG293" s="68" t="n">
        <f aca="false">BG289+BG292</f>
        <v>10736.1994740306</v>
      </c>
      <c r="BH293" s="68" t="n">
        <f aca="false">BH289+BH292</f>
        <v>10736.5056504821</v>
      </c>
      <c r="BI293" s="68" t="n">
        <f aca="false">BI289+BI292</f>
        <v>10736.8348077035</v>
      </c>
      <c r="BJ293" s="68" t="n">
        <f aca="false">BJ289+BJ292</f>
        <v>10737.1870797492</v>
      </c>
    </row>
    <row r="295" customFormat="false" ht="15.75" hidden="false" customHeight="true" outlineLevel="0" collapsed="false">
      <c r="A295" s="7" t="s">
        <v>422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customFormat="false" ht="15" hidden="false" customHeight="false" outlineLevel="0" collapsed="false">
      <c r="A296" s="6" t="s">
        <v>423</v>
      </c>
      <c r="C296" s="67" t="n">
        <f aca="false">IF(C$246=1,Inputs!$D$42,0)</f>
        <v>720000</v>
      </c>
      <c r="D296" s="67" t="n">
        <f aca="false">IF(D$246=1,Inputs!$D$42,0)</f>
        <v>0</v>
      </c>
      <c r="E296" s="67" t="n">
        <f aca="false">IF(E$246=1,Inputs!$D$42,0)</f>
        <v>0</v>
      </c>
      <c r="F296" s="67" t="n">
        <f aca="false">IF(F$246=1,Inputs!$D$42,0)</f>
        <v>0</v>
      </c>
      <c r="G296" s="67" t="n">
        <f aca="false">IF(G$246=1,Inputs!$D$42,0)</f>
        <v>0</v>
      </c>
      <c r="H296" s="67" t="n">
        <f aca="false">IF(H$246=1,Inputs!$D$42,0)</f>
        <v>0</v>
      </c>
      <c r="I296" s="67" t="n">
        <f aca="false">IF(I$246=1,Inputs!$D$42,0)</f>
        <v>0</v>
      </c>
      <c r="J296" s="67" t="n">
        <f aca="false">IF(J$246=1,Inputs!$D$42,0)</f>
        <v>0</v>
      </c>
      <c r="K296" s="67" t="n">
        <f aca="false">IF(K$246=1,Inputs!$D$42,0)</f>
        <v>0</v>
      </c>
      <c r="L296" s="67" t="n">
        <f aca="false">IF(L$246=1,Inputs!$D$42,0)</f>
        <v>0</v>
      </c>
      <c r="M296" s="67" t="n">
        <f aca="false">IF(M$246=1,Inputs!$D$42,0)</f>
        <v>0</v>
      </c>
      <c r="N296" s="67" t="n">
        <f aca="false">IF(N$246=1,Inputs!$D$42,0)</f>
        <v>0</v>
      </c>
      <c r="O296" s="67" t="n">
        <f aca="false">IF(O$246=1,Inputs!$D$42,0)</f>
        <v>0</v>
      </c>
      <c r="P296" s="67" t="n">
        <f aca="false">IF(P$246=1,Inputs!$D$42,0)</f>
        <v>0</v>
      </c>
      <c r="Q296" s="67" t="n">
        <f aca="false">IF(Q$246=1,Inputs!$D$42,0)</f>
        <v>0</v>
      </c>
      <c r="R296" s="67" t="n">
        <f aca="false">IF(R$246=1,Inputs!$D$42,0)</f>
        <v>0</v>
      </c>
      <c r="S296" s="67" t="n">
        <f aca="false">IF(S$246=1,Inputs!$D$42,0)</f>
        <v>0</v>
      </c>
      <c r="T296" s="67" t="n">
        <f aca="false">IF(T$246=1,Inputs!$D$42,0)</f>
        <v>0</v>
      </c>
      <c r="U296" s="67" t="n">
        <f aca="false">IF(U$246=1,Inputs!$D$42,0)</f>
        <v>0</v>
      </c>
      <c r="V296" s="67" t="n">
        <f aca="false">IF(V$246=1,Inputs!$D$42,0)</f>
        <v>0</v>
      </c>
      <c r="W296" s="67" t="n">
        <f aca="false">IF(W$246=1,Inputs!$D$42,0)</f>
        <v>0</v>
      </c>
      <c r="X296" s="67" t="n">
        <f aca="false">IF(X$246=1,Inputs!$D$42,0)</f>
        <v>0</v>
      </c>
      <c r="Y296" s="67" t="n">
        <f aca="false">IF(Y$246=1,Inputs!$D$42,0)</f>
        <v>0</v>
      </c>
      <c r="Z296" s="67" t="n">
        <f aca="false">IF(Z$246=1,Inputs!$D$42,0)</f>
        <v>0</v>
      </c>
      <c r="AA296" s="67" t="n">
        <f aca="false">IF(AA$246=1,Inputs!$D$42,0)</f>
        <v>0</v>
      </c>
      <c r="AB296" s="67" t="n">
        <f aca="false">IF(AB$246=1,Inputs!$D$42,0)</f>
        <v>0</v>
      </c>
      <c r="AC296" s="67" t="n">
        <f aca="false">IF(AC$246=1,Inputs!$D$42,0)</f>
        <v>0</v>
      </c>
      <c r="AD296" s="67" t="n">
        <f aca="false">IF(AD$246=1,Inputs!$D$42,0)</f>
        <v>0</v>
      </c>
      <c r="AE296" s="67" t="n">
        <f aca="false">IF(AE$246=1,Inputs!$D$42,0)</f>
        <v>0</v>
      </c>
      <c r="AF296" s="67" t="n">
        <f aca="false">IF(AF$246=1,Inputs!$D$42,0)</f>
        <v>0</v>
      </c>
      <c r="AG296" s="67" t="n">
        <f aca="false">IF(AG$246=1,Inputs!$D$42,0)</f>
        <v>0</v>
      </c>
      <c r="AH296" s="67" t="n">
        <f aca="false">IF(AH$246=1,Inputs!$D$42,0)</f>
        <v>0</v>
      </c>
      <c r="AI296" s="67" t="n">
        <f aca="false">IF(AI$246=1,Inputs!$D$42,0)</f>
        <v>0</v>
      </c>
      <c r="AJ296" s="67" t="n">
        <f aca="false">IF(AJ$246=1,Inputs!$D$42,0)</f>
        <v>0</v>
      </c>
      <c r="AK296" s="67" t="n">
        <f aca="false">IF(AK$246=1,Inputs!$D$42,0)</f>
        <v>0</v>
      </c>
      <c r="AL296" s="67" t="n">
        <f aca="false">IF(AL$246=1,Inputs!$D$42,0)</f>
        <v>0</v>
      </c>
      <c r="AM296" s="67" t="n">
        <f aca="false">IF(AM$246=1,Inputs!$D$42,0)</f>
        <v>0</v>
      </c>
      <c r="AN296" s="67" t="n">
        <f aca="false">IF(AN$246=1,Inputs!$D$42,0)</f>
        <v>0</v>
      </c>
      <c r="AO296" s="67" t="n">
        <f aca="false">IF(AO$246=1,Inputs!$D$42,0)</f>
        <v>0</v>
      </c>
      <c r="AP296" s="67" t="n">
        <f aca="false">IF(AP$246=1,Inputs!$D$42,0)</f>
        <v>0</v>
      </c>
      <c r="AQ296" s="67" t="n">
        <f aca="false">IF(AQ$246=1,Inputs!$D$42,0)</f>
        <v>0</v>
      </c>
      <c r="AR296" s="67" t="n">
        <f aca="false">IF(AR$246=1,Inputs!$D$42,0)</f>
        <v>0</v>
      </c>
      <c r="AS296" s="67" t="n">
        <f aca="false">IF(AS$246=1,Inputs!$D$42,0)</f>
        <v>0</v>
      </c>
      <c r="AT296" s="67" t="n">
        <f aca="false">IF(AT$246=1,Inputs!$D$42,0)</f>
        <v>0</v>
      </c>
      <c r="AU296" s="67" t="n">
        <f aca="false">IF(AU$246=1,Inputs!$D$42,0)</f>
        <v>0</v>
      </c>
      <c r="AV296" s="67" t="n">
        <f aca="false">IF(AV$246=1,Inputs!$D$42,0)</f>
        <v>0</v>
      </c>
      <c r="AW296" s="67" t="n">
        <f aca="false">IF(AW$246=1,Inputs!$D$42,0)</f>
        <v>0</v>
      </c>
      <c r="AX296" s="67" t="n">
        <f aca="false">IF(AX$246=1,Inputs!$D$42,0)</f>
        <v>0</v>
      </c>
      <c r="AY296" s="67" t="n">
        <f aca="false">IF(AY$246=1,Inputs!$D$42,0)</f>
        <v>0</v>
      </c>
      <c r="AZ296" s="67" t="n">
        <f aca="false">IF(AZ$246=1,Inputs!$D$42,0)</f>
        <v>0</v>
      </c>
      <c r="BA296" s="67" t="n">
        <f aca="false">IF(BA$246=1,Inputs!$D$42,0)</f>
        <v>0</v>
      </c>
      <c r="BB296" s="67" t="n">
        <f aca="false">IF(BB$246=1,Inputs!$D$42,0)</f>
        <v>0</v>
      </c>
      <c r="BC296" s="67" t="n">
        <f aca="false">IF(BC$246=1,Inputs!$D$42,0)</f>
        <v>0</v>
      </c>
      <c r="BD296" s="67" t="n">
        <f aca="false">IF(BD$246=1,Inputs!$D$42,0)</f>
        <v>0</v>
      </c>
      <c r="BE296" s="67" t="n">
        <f aca="false">IF(BE$246=1,Inputs!$D$42,0)</f>
        <v>0</v>
      </c>
      <c r="BF296" s="67" t="n">
        <f aca="false">IF(BF$246=1,Inputs!$D$42,0)</f>
        <v>0</v>
      </c>
      <c r="BG296" s="67" t="n">
        <f aca="false">IF(BG$246=1,Inputs!$D$42,0)</f>
        <v>0</v>
      </c>
      <c r="BH296" s="67" t="n">
        <f aca="false">IF(BH$246=1,Inputs!$D$42,0)</f>
        <v>0</v>
      </c>
      <c r="BI296" s="67" t="n">
        <f aca="false">IF(BI$246=1,Inputs!$D$42,0)</f>
        <v>0</v>
      </c>
      <c r="BJ296" s="67" t="n">
        <f aca="false">IF(BJ$246=1,Inputs!$D$42,0)</f>
        <v>0</v>
      </c>
    </row>
    <row r="297" customFormat="false" ht="15" hidden="false" customHeight="false" outlineLevel="0" collapsed="false">
      <c r="A297" s="6" t="s">
        <v>424</v>
      </c>
      <c r="C297" s="67" t="n">
        <f aca="false">IF(C$246=1,Inputs!$D$42*Inputs!$D$43,0)</f>
        <v>180000</v>
      </c>
      <c r="D297" s="67" t="n">
        <f aca="false">IF(D$246=1,Inputs!$D$42*Inputs!$D$43,0)</f>
        <v>0</v>
      </c>
      <c r="E297" s="67" t="n">
        <f aca="false">IF(E$246=1,Inputs!$D$42*Inputs!$D$43,0)</f>
        <v>0</v>
      </c>
      <c r="F297" s="67" t="n">
        <f aca="false">IF(F$246=1,Inputs!$D$42*Inputs!$D$43,0)</f>
        <v>0</v>
      </c>
      <c r="G297" s="67" t="n">
        <f aca="false">IF(G$246=1,Inputs!$D$42*Inputs!$D$43,0)</f>
        <v>0</v>
      </c>
      <c r="H297" s="67" t="n">
        <f aca="false">IF(H$246=1,Inputs!$D$42*Inputs!$D$43,0)</f>
        <v>0</v>
      </c>
      <c r="I297" s="67" t="n">
        <f aca="false">IF(I$246=1,Inputs!$D$42*Inputs!$D$43,0)</f>
        <v>0</v>
      </c>
      <c r="J297" s="67" t="n">
        <f aca="false">IF(J$246=1,Inputs!$D$42*Inputs!$D$43,0)</f>
        <v>0</v>
      </c>
      <c r="K297" s="67" t="n">
        <f aca="false">IF(K$246=1,Inputs!$D$42*Inputs!$D$43,0)</f>
        <v>0</v>
      </c>
      <c r="L297" s="67" t="n">
        <f aca="false">IF(L$246=1,Inputs!$D$42*Inputs!$D$43,0)</f>
        <v>0</v>
      </c>
      <c r="M297" s="67" t="n">
        <f aca="false">IF(M$246=1,Inputs!$D$42*Inputs!$D$43,0)</f>
        <v>0</v>
      </c>
      <c r="N297" s="67" t="n">
        <f aca="false">IF(N$246=1,Inputs!$D$42*Inputs!$D$43,0)</f>
        <v>0</v>
      </c>
      <c r="O297" s="67" t="n">
        <f aca="false">IF(O$246=1,Inputs!$D$42*Inputs!$D$43,0)</f>
        <v>0</v>
      </c>
      <c r="P297" s="67" t="n">
        <f aca="false">IF(P$246=1,Inputs!$D$42*Inputs!$D$43,0)</f>
        <v>0</v>
      </c>
      <c r="Q297" s="67" t="n">
        <f aca="false">IF(Q$246=1,Inputs!$D$42*Inputs!$D$43,0)</f>
        <v>0</v>
      </c>
      <c r="R297" s="67" t="n">
        <f aca="false">IF(R$246=1,Inputs!$D$42*Inputs!$D$43,0)</f>
        <v>0</v>
      </c>
      <c r="S297" s="67" t="n">
        <f aca="false">IF(S$246=1,Inputs!$D$42*Inputs!$D$43,0)</f>
        <v>0</v>
      </c>
      <c r="T297" s="67" t="n">
        <f aca="false">IF(T$246=1,Inputs!$D$42*Inputs!$D$43,0)</f>
        <v>0</v>
      </c>
      <c r="U297" s="67" t="n">
        <f aca="false">IF(U$246=1,Inputs!$D$42*Inputs!$D$43,0)</f>
        <v>0</v>
      </c>
      <c r="V297" s="67" t="n">
        <f aca="false">IF(V$246=1,Inputs!$D$42*Inputs!$D$43,0)</f>
        <v>0</v>
      </c>
      <c r="W297" s="67" t="n">
        <f aca="false">IF(W$246=1,Inputs!$D$42*Inputs!$D$43,0)</f>
        <v>0</v>
      </c>
      <c r="X297" s="67" t="n">
        <f aca="false">IF(X$246=1,Inputs!$D$42*Inputs!$D$43,0)</f>
        <v>0</v>
      </c>
      <c r="Y297" s="67" t="n">
        <f aca="false">IF(Y$246=1,Inputs!$D$42*Inputs!$D$43,0)</f>
        <v>0</v>
      </c>
      <c r="Z297" s="67" t="n">
        <f aca="false">IF(Z$246=1,Inputs!$D$42*Inputs!$D$43,0)</f>
        <v>0</v>
      </c>
      <c r="AA297" s="67" t="n">
        <f aca="false">IF(AA$246=1,Inputs!$D$42*Inputs!$D$43,0)</f>
        <v>0</v>
      </c>
      <c r="AB297" s="67" t="n">
        <f aca="false">IF(AB$246=1,Inputs!$D$42*Inputs!$D$43,0)</f>
        <v>0</v>
      </c>
      <c r="AC297" s="67" t="n">
        <f aca="false">IF(AC$246=1,Inputs!$D$42*Inputs!$D$43,0)</f>
        <v>0</v>
      </c>
      <c r="AD297" s="67" t="n">
        <f aca="false">IF(AD$246=1,Inputs!$D$42*Inputs!$D$43,0)</f>
        <v>0</v>
      </c>
      <c r="AE297" s="67" t="n">
        <f aca="false">IF(AE$246=1,Inputs!$D$42*Inputs!$D$43,0)</f>
        <v>0</v>
      </c>
      <c r="AF297" s="67" t="n">
        <f aca="false">IF(AF$246=1,Inputs!$D$42*Inputs!$D$43,0)</f>
        <v>0</v>
      </c>
      <c r="AG297" s="67" t="n">
        <f aca="false">IF(AG$246=1,Inputs!$D$42*Inputs!$D$43,0)</f>
        <v>0</v>
      </c>
      <c r="AH297" s="67" t="n">
        <f aca="false">IF(AH$246=1,Inputs!$D$42*Inputs!$D$43,0)</f>
        <v>0</v>
      </c>
      <c r="AI297" s="67" t="n">
        <f aca="false">IF(AI$246=1,Inputs!$D$42*Inputs!$D$43,0)</f>
        <v>0</v>
      </c>
      <c r="AJ297" s="67" t="n">
        <f aca="false">IF(AJ$246=1,Inputs!$D$42*Inputs!$D$43,0)</f>
        <v>0</v>
      </c>
      <c r="AK297" s="67" t="n">
        <f aca="false">IF(AK$246=1,Inputs!$D$42*Inputs!$D$43,0)</f>
        <v>0</v>
      </c>
      <c r="AL297" s="67" t="n">
        <f aca="false">IF(AL$246=1,Inputs!$D$42*Inputs!$D$43,0)</f>
        <v>0</v>
      </c>
      <c r="AM297" s="67" t="n">
        <f aca="false">IF(AM$246=1,Inputs!$D$42*Inputs!$D$43,0)</f>
        <v>0</v>
      </c>
      <c r="AN297" s="67" t="n">
        <f aca="false">IF(AN$246=1,Inputs!$D$42*Inputs!$D$43,0)</f>
        <v>0</v>
      </c>
      <c r="AO297" s="67" t="n">
        <f aca="false">IF(AO$246=1,Inputs!$D$42*Inputs!$D$43,0)</f>
        <v>0</v>
      </c>
      <c r="AP297" s="67" t="n">
        <f aca="false">IF(AP$246=1,Inputs!$D$42*Inputs!$D$43,0)</f>
        <v>0</v>
      </c>
      <c r="AQ297" s="67" t="n">
        <f aca="false">IF(AQ$246=1,Inputs!$D$42*Inputs!$D$43,0)</f>
        <v>0</v>
      </c>
      <c r="AR297" s="67" t="n">
        <f aca="false">IF(AR$246=1,Inputs!$D$42*Inputs!$D$43,0)</f>
        <v>0</v>
      </c>
      <c r="AS297" s="67" t="n">
        <f aca="false">IF(AS$246=1,Inputs!$D$42*Inputs!$D$43,0)</f>
        <v>0</v>
      </c>
      <c r="AT297" s="67" t="n">
        <f aca="false">IF(AT$246=1,Inputs!$D$42*Inputs!$D$43,0)</f>
        <v>0</v>
      </c>
      <c r="AU297" s="67" t="n">
        <f aca="false">IF(AU$246=1,Inputs!$D$42*Inputs!$D$43,0)</f>
        <v>0</v>
      </c>
      <c r="AV297" s="67" t="n">
        <f aca="false">IF(AV$246=1,Inputs!$D$42*Inputs!$D$43,0)</f>
        <v>0</v>
      </c>
      <c r="AW297" s="67" t="n">
        <f aca="false">IF(AW$246=1,Inputs!$D$42*Inputs!$D$43,0)</f>
        <v>0</v>
      </c>
      <c r="AX297" s="67" t="n">
        <f aca="false">IF(AX$246=1,Inputs!$D$42*Inputs!$D$43,0)</f>
        <v>0</v>
      </c>
      <c r="AY297" s="67" t="n">
        <f aca="false">IF(AY$246=1,Inputs!$D$42*Inputs!$D$43,0)</f>
        <v>0</v>
      </c>
      <c r="AZ297" s="67" t="n">
        <f aca="false">IF(AZ$246=1,Inputs!$D$42*Inputs!$D$43,0)</f>
        <v>0</v>
      </c>
      <c r="BA297" s="67" t="n">
        <f aca="false">IF(BA$246=1,Inputs!$D$42*Inputs!$D$43,0)</f>
        <v>0</v>
      </c>
      <c r="BB297" s="67" t="n">
        <f aca="false">IF(BB$246=1,Inputs!$D$42*Inputs!$D$43,0)</f>
        <v>0</v>
      </c>
      <c r="BC297" s="67" t="n">
        <f aca="false">IF(BC$246=1,Inputs!$D$42*Inputs!$D$43,0)</f>
        <v>0</v>
      </c>
      <c r="BD297" s="67" t="n">
        <f aca="false">IF(BD$246=1,Inputs!$D$42*Inputs!$D$43,0)</f>
        <v>0</v>
      </c>
      <c r="BE297" s="67" t="n">
        <f aca="false">IF(BE$246=1,Inputs!$D$42*Inputs!$D$43,0)</f>
        <v>0</v>
      </c>
      <c r="BF297" s="67" t="n">
        <f aca="false">IF(BF$246=1,Inputs!$D$42*Inputs!$D$43,0)</f>
        <v>0</v>
      </c>
      <c r="BG297" s="67" t="n">
        <f aca="false">IF(BG$246=1,Inputs!$D$42*Inputs!$D$43,0)</f>
        <v>0</v>
      </c>
      <c r="BH297" s="67" t="n">
        <f aca="false">IF(BH$246=1,Inputs!$D$42*Inputs!$D$43,0)</f>
        <v>0</v>
      </c>
      <c r="BI297" s="67" t="n">
        <f aca="false">IF(BI$246=1,Inputs!$D$42*Inputs!$D$43,0)</f>
        <v>0</v>
      </c>
      <c r="BJ297" s="67" t="n">
        <f aca="false">IF(BJ$246=1,Inputs!$D$42*Inputs!$D$43,0)</f>
        <v>0</v>
      </c>
    </row>
    <row r="298" customFormat="false" ht="15" hidden="false" customHeight="false" outlineLevel="0" collapsed="false">
      <c r="A298" s="6" t="s">
        <v>425</v>
      </c>
      <c r="C298" s="67" t="n">
        <f aca="false">IF(C$246=1,Inputs!$D$7*Inputs!$D$44,0)</f>
        <v>75000</v>
      </c>
      <c r="D298" s="67" t="n">
        <f aca="false">IF(D$246=1,Inputs!$D$7*Inputs!$D$44,0)</f>
        <v>0</v>
      </c>
      <c r="E298" s="67" t="n">
        <f aca="false">IF(E$246=1,Inputs!$D$7*Inputs!$D$44,0)</f>
        <v>0</v>
      </c>
      <c r="F298" s="67" t="n">
        <f aca="false">IF(F$246=1,Inputs!$D$7*Inputs!$D$44,0)</f>
        <v>0</v>
      </c>
      <c r="G298" s="67" t="n">
        <f aca="false">IF(G$246=1,Inputs!$D$7*Inputs!$D$44,0)</f>
        <v>0</v>
      </c>
      <c r="H298" s="67" t="n">
        <f aca="false">IF(H$246=1,Inputs!$D$7*Inputs!$D$44,0)</f>
        <v>0</v>
      </c>
      <c r="I298" s="67" t="n">
        <f aca="false">IF(I$246=1,Inputs!$D$7*Inputs!$D$44,0)</f>
        <v>0</v>
      </c>
      <c r="J298" s="67" t="n">
        <f aca="false">IF(J$246=1,Inputs!$D$7*Inputs!$D$44,0)</f>
        <v>0</v>
      </c>
      <c r="K298" s="67" t="n">
        <f aca="false">IF(K$246=1,Inputs!$D$7*Inputs!$D$44,0)</f>
        <v>0</v>
      </c>
      <c r="L298" s="67" t="n">
        <f aca="false">IF(L$246=1,Inputs!$D$7*Inputs!$D$44,0)</f>
        <v>0</v>
      </c>
      <c r="M298" s="67" t="n">
        <f aca="false">IF(M$246=1,Inputs!$D$7*Inputs!$D$44,0)</f>
        <v>0</v>
      </c>
      <c r="N298" s="67" t="n">
        <f aca="false">IF(N$246=1,Inputs!$D$7*Inputs!$D$44,0)</f>
        <v>0</v>
      </c>
      <c r="O298" s="67" t="n">
        <f aca="false">IF(O$246=1,Inputs!$D$7*Inputs!$D$44,0)</f>
        <v>0</v>
      </c>
      <c r="P298" s="67" t="n">
        <f aca="false">IF(P$246=1,Inputs!$D$7*Inputs!$D$44,0)</f>
        <v>0</v>
      </c>
      <c r="Q298" s="67" t="n">
        <f aca="false">IF(Q$246=1,Inputs!$D$7*Inputs!$D$44,0)</f>
        <v>0</v>
      </c>
      <c r="R298" s="67" t="n">
        <f aca="false">IF(R$246=1,Inputs!$D$7*Inputs!$D$44,0)</f>
        <v>0</v>
      </c>
      <c r="S298" s="67" t="n">
        <f aca="false">IF(S$246=1,Inputs!$D$7*Inputs!$D$44,0)</f>
        <v>0</v>
      </c>
      <c r="T298" s="67" t="n">
        <f aca="false">IF(T$246=1,Inputs!$D$7*Inputs!$D$44,0)</f>
        <v>0</v>
      </c>
      <c r="U298" s="67" t="n">
        <f aca="false">IF(U$246=1,Inputs!$D$7*Inputs!$D$44,0)</f>
        <v>0</v>
      </c>
      <c r="V298" s="67" t="n">
        <f aca="false">IF(V$246=1,Inputs!$D$7*Inputs!$D$44,0)</f>
        <v>0</v>
      </c>
      <c r="W298" s="67" t="n">
        <f aca="false">IF(W$246=1,Inputs!$D$7*Inputs!$D$44,0)</f>
        <v>0</v>
      </c>
      <c r="X298" s="67" t="n">
        <f aca="false">IF(X$246=1,Inputs!$D$7*Inputs!$D$44,0)</f>
        <v>0</v>
      </c>
      <c r="Y298" s="67" t="n">
        <f aca="false">IF(Y$246=1,Inputs!$D$7*Inputs!$D$44,0)</f>
        <v>0</v>
      </c>
      <c r="Z298" s="67" t="n">
        <f aca="false">IF(Z$246=1,Inputs!$D$7*Inputs!$D$44,0)</f>
        <v>0</v>
      </c>
      <c r="AA298" s="67" t="n">
        <f aca="false">IF(AA$246=1,Inputs!$D$7*Inputs!$D$44,0)</f>
        <v>0</v>
      </c>
      <c r="AB298" s="67" t="n">
        <f aca="false">IF(AB$246=1,Inputs!$D$7*Inputs!$D$44,0)</f>
        <v>0</v>
      </c>
      <c r="AC298" s="67" t="n">
        <f aca="false">IF(AC$246=1,Inputs!$D$7*Inputs!$D$44,0)</f>
        <v>0</v>
      </c>
      <c r="AD298" s="67" t="n">
        <f aca="false">IF(AD$246=1,Inputs!$D$7*Inputs!$D$44,0)</f>
        <v>0</v>
      </c>
      <c r="AE298" s="67" t="n">
        <f aca="false">IF(AE$246=1,Inputs!$D$7*Inputs!$D$44,0)</f>
        <v>0</v>
      </c>
      <c r="AF298" s="67" t="n">
        <f aca="false">IF(AF$246=1,Inputs!$D$7*Inputs!$D$44,0)</f>
        <v>0</v>
      </c>
      <c r="AG298" s="67" t="n">
        <f aca="false">IF(AG$246=1,Inputs!$D$7*Inputs!$D$44,0)</f>
        <v>0</v>
      </c>
      <c r="AH298" s="67" t="n">
        <f aca="false">IF(AH$246=1,Inputs!$D$7*Inputs!$D$44,0)</f>
        <v>0</v>
      </c>
      <c r="AI298" s="67" t="n">
        <f aca="false">IF(AI$246=1,Inputs!$D$7*Inputs!$D$44,0)</f>
        <v>0</v>
      </c>
      <c r="AJ298" s="67" t="n">
        <f aca="false">IF(AJ$246=1,Inputs!$D$7*Inputs!$D$44,0)</f>
        <v>0</v>
      </c>
      <c r="AK298" s="67" t="n">
        <f aca="false">IF(AK$246=1,Inputs!$D$7*Inputs!$D$44,0)</f>
        <v>0</v>
      </c>
      <c r="AL298" s="67" t="n">
        <f aca="false">IF(AL$246=1,Inputs!$D$7*Inputs!$D$44,0)</f>
        <v>0</v>
      </c>
      <c r="AM298" s="67" t="n">
        <f aca="false">IF(AM$246=1,Inputs!$D$7*Inputs!$D$44,0)</f>
        <v>0</v>
      </c>
      <c r="AN298" s="67" t="n">
        <f aca="false">IF(AN$246=1,Inputs!$D$7*Inputs!$D$44,0)</f>
        <v>0</v>
      </c>
      <c r="AO298" s="67" t="n">
        <f aca="false">IF(AO$246=1,Inputs!$D$7*Inputs!$D$44,0)</f>
        <v>0</v>
      </c>
      <c r="AP298" s="67" t="n">
        <f aca="false">IF(AP$246=1,Inputs!$D$7*Inputs!$D$44,0)</f>
        <v>0</v>
      </c>
      <c r="AQ298" s="67" t="n">
        <f aca="false">IF(AQ$246=1,Inputs!$D$7*Inputs!$D$44,0)</f>
        <v>0</v>
      </c>
      <c r="AR298" s="67" t="n">
        <f aca="false">IF(AR$246=1,Inputs!$D$7*Inputs!$D$44,0)</f>
        <v>0</v>
      </c>
      <c r="AS298" s="67" t="n">
        <f aca="false">IF(AS$246=1,Inputs!$D$7*Inputs!$D$44,0)</f>
        <v>0</v>
      </c>
      <c r="AT298" s="67" t="n">
        <f aca="false">IF(AT$246=1,Inputs!$D$7*Inputs!$D$44,0)</f>
        <v>0</v>
      </c>
      <c r="AU298" s="67" t="n">
        <f aca="false">IF(AU$246=1,Inputs!$D$7*Inputs!$D$44,0)</f>
        <v>0</v>
      </c>
      <c r="AV298" s="67" t="n">
        <f aca="false">IF(AV$246=1,Inputs!$D$7*Inputs!$D$44,0)</f>
        <v>0</v>
      </c>
      <c r="AW298" s="67" t="n">
        <f aca="false">IF(AW$246=1,Inputs!$D$7*Inputs!$D$44,0)</f>
        <v>0</v>
      </c>
      <c r="AX298" s="67" t="n">
        <f aca="false">IF(AX$246=1,Inputs!$D$7*Inputs!$D$44,0)</f>
        <v>0</v>
      </c>
      <c r="AY298" s="67" t="n">
        <f aca="false">IF(AY$246=1,Inputs!$D$7*Inputs!$D$44,0)</f>
        <v>0</v>
      </c>
      <c r="AZ298" s="67" t="n">
        <f aca="false">IF(AZ$246=1,Inputs!$D$7*Inputs!$D$44,0)</f>
        <v>0</v>
      </c>
      <c r="BA298" s="67" t="n">
        <f aca="false">IF(BA$246=1,Inputs!$D$7*Inputs!$D$44,0)</f>
        <v>0</v>
      </c>
      <c r="BB298" s="67" t="n">
        <f aca="false">IF(BB$246=1,Inputs!$D$7*Inputs!$D$44,0)</f>
        <v>0</v>
      </c>
      <c r="BC298" s="67" t="n">
        <f aca="false">IF(BC$246=1,Inputs!$D$7*Inputs!$D$44,0)</f>
        <v>0</v>
      </c>
      <c r="BD298" s="67" t="n">
        <f aca="false">IF(BD$246=1,Inputs!$D$7*Inputs!$D$44,0)</f>
        <v>0</v>
      </c>
      <c r="BE298" s="67" t="n">
        <f aca="false">IF(BE$246=1,Inputs!$D$7*Inputs!$D$44,0)</f>
        <v>0</v>
      </c>
      <c r="BF298" s="67" t="n">
        <f aca="false">IF(BF$246=1,Inputs!$D$7*Inputs!$D$44,0)</f>
        <v>0</v>
      </c>
      <c r="BG298" s="67" t="n">
        <f aca="false">IF(BG$246=1,Inputs!$D$7*Inputs!$D$44,0)</f>
        <v>0</v>
      </c>
      <c r="BH298" s="67" t="n">
        <f aca="false">IF(BH$246=1,Inputs!$D$7*Inputs!$D$44,0)</f>
        <v>0</v>
      </c>
      <c r="BI298" s="67" t="n">
        <f aca="false">IF(BI$246=1,Inputs!$D$7*Inputs!$D$44,0)</f>
        <v>0</v>
      </c>
      <c r="BJ298" s="67" t="n">
        <f aca="false">IF(BJ$246=1,Inputs!$D$7*Inputs!$D$44,0)</f>
        <v>0</v>
      </c>
    </row>
    <row r="299" customFormat="false" ht="15" hidden="false" customHeight="false" outlineLevel="0" collapsed="false">
      <c r="A299" s="6" t="s">
        <v>426</v>
      </c>
      <c r="C299" s="67" t="n">
        <f aca="false">IF(C$246=1,Inputs!$D$45,0)</f>
        <v>70000</v>
      </c>
      <c r="D299" s="67" t="n">
        <f aca="false">IF(D$246=1,Inputs!$D$45,0)</f>
        <v>0</v>
      </c>
      <c r="E299" s="67" t="n">
        <f aca="false">IF(E$246=1,Inputs!$D$45,0)</f>
        <v>0</v>
      </c>
      <c r="F299" s="67" t="n">
        <f aca="false">IF(F$246=1,Inputs!$D$45,0)</f>
        <v>0</v>
      </c>
      <c r="G299" s="67" t="n">
        <f aca="false">IF(G$246=1,Inputs!$D$45,0)</f>
        <v>0</v>
      </c>
      <c r="H299" s="67" t="n">
        <f aca="false">IF(H$246=1,Inputs!$D$45,0)</f>
        <v>0</v>
      </c>
      <c r="I299" s="67" t="n">
        <f aca="false">IF(I$246=1,Inputs!$D$45,0)</f>
        <v>0</v>
      </c>
      <c r="J299" s="67" t="n">
        <f aca="false">IF(J$246=1,Inputs!$D$45,0)</f>
        <v>0</v>
      </c>
      <c r="K299" s="67" t="n">
        <f aca="false">IF(K$246=1,Inputs!$D$45,0)</f>
        <v>0</v>
      </c>
      <c r="L299" s="67" t="n">
        <f aca="false">IF(L$246=1,Inputs!$D$45,0)</f>
        <v>0</v>
      </c>
      <c r="M299" s="67" t="n">
        <f aca="false">IF(M$246=1,Inputs!$D$45,0)</f>
        <v>0</v>
      </c>
      <c r="N299" s="67" t="n">
        <f aca="false">IF(N$246=1,Inputs!$D$45,0)</f>
        <v>0</v>
      </c>
      <c r="O299" s="67" t="n">
        <f aca="false">IF(O$246=1,Inputs!$D$45,0)</f>
        <v>0</v>
      </c>
      <c r="P299" s="67" t="n">
        <f aca="false">IF(P$246=1,Inputs!$D$45,0)</f>
        <v>0</v>
      </c>
      <c r="Q299" s="67" t="n">
        <f aca="false">IF(Q$246=1,Inputs!$D$45,0)</f>
        <v>0</v>
      </c>
      <c r="R299" s="67" t="n">
        <f aca="false">IF(R$246=1,Inputs!$D$45,0)</f>
        <v>0</v>
      </c>
      <c r="S299" s="67" t="n">
        <f aca="false">IF(S$246=1,Inputs!$D$45,0)</f>
        <v>0</v>
      </c>
      <c r="T299" s="67" t="n">
        <f aca="false">IF(T$246=1,Inputs!$D$45,0)</f>
        <v>0</v>
      </c>
      <c r="U299" s="67" t="n">
        <f aca="false">IF(U$246=1,Inputs!$D$45,0)</f>
        <v>0</v>
      </c>
      <c r="V299" s="67" t="n">
        <f aca="false">IF(V$246=1,Inputs!$D$45,0)</f>
        <v>0</v>
      </c>
      <c r="W299" s="67" t="n">
        <f aca="false">IF(W$246=1,Inputs!$D$45,0)</f>
        <v>0</v>
      </c>
      <c r="X299" s="67" t="n">
        <f aca="false">IF(X$246=1,Inputs!$D$45,0)</f>
        <v>0</v>
      </c>
      <c r="Y299" s="67" t="n">
        <f aca="false">IF(Y$246=1,Inputs!$D$45,0)</f>
        <v>0</v>
      </c>
      <c r="Z299" s="67" t="n">
        <f aca="false">IF(Z$246=1,Inputs!$D$45,0)</f>
        <v>0</v>
      </c>
      <c r="AA299" s="67" t="n">
        <f aca="false">IF(AA$246=1,Inputs!$D$45,0)</f>
        <v>0</v>
      </c>
      <c r="AB299" s="67" t="n">
        <f aca="false">IF(AB$246=1,Inputs!$D$45,0)</f>
        <v>0</v>
      </c>
      <c r="AC299" s="67" t="n">
        <f aca="false">IF(AC$246=1,Inputs!$D$45,0)</f>
        <v>0</v>
      </c>
      <c r="AD299" s="67" t="n">
        <f aca="false">IF(AD$246=1,Inputs!$D$45,0)</f>
        <v>0</v>
      </c>
      <c r="AE299" s="67" t="n">
        <f aca="false">IF(AE$246=1,Inputs!$D$45,0)</f>
        <v>0</v>
      </c>
      <c r="AF299" s="67" t="n">
        <f aca="false">IF(AF$246=1,Inputs!$D$45,0)</f>
        <v>0</v>
      </c>
      <c r="AG299" s="67" t="n">
        <f aca="false">IF(AG$246=1,Inputs!$D$45,0)</f>
        <v>0</v>
      </c>
      <c r="AH299" s="67" t="n">
        <f aca="false">IF(AH$246=1,Inputs!$D$45,0)</f>
        <v>0</v>
      </c>
      <c r="AI299" s="67" t="n">
        <f aca="false">IF(AI$246=1,Inputs!$D$45,0)</f>
        <v>0</v>
      </c>
      <c r="AJ299" s="67" t="n">
        <f aca="false">IF(AJ$246=1,Inputs!$D$45,0)</f>
        <v>0</v>
      </c>
      <c r="AK299" s="67" t="n">
        <f aca="false">IF(AK$246=1,Inputs!$D$45,0)</f>
        <v>0</v>
      </c>
      <c r="AL299" s="67" t="n">
        <f aca="false">IF(AL$246=1,Inputs!$D$45,0)</f>
        <v>0</v>
      </c>
      <c r="AM299" s="67" t="n">
        <f aca="false">IF(AM$246=1,Inputs!$D$45,0)</f>
        <v>0</v>
      </c>
      <c r="AN299" s="67" t="n">
        <f aca="false">IF(AN$246=1,Inputs!$D$45,0)</f>
        <v>0</v>
      </c>
      <c r="AO299" s="67" t="n">
        <f aca="false">IF(AO$246=1,Inputs!$D$45,0)</f>
        <v>0</v>
      </c>
      <c r="AP299" s="67" t="n">
        <f aca="false">IF(AP$246=1,Inputs!$D$45,0)</f>
        <v>0</v>
      </c>
      <c r="AQ299" s="67" t="n">
        <f aca="false">IF(AQ$246=1,Inputs!$D$45,0)</f>
        <v>0</v>
      </c>
      <c r="AR299" s="67" t="n">
        <f aca="false">IF(AR$246=1,Inputs!$D$45,0)</f>
        <v>0</v>
      </c>
      <c r="AS299" s="67" t="n">
        <f aca="false">IF(AS$246=1,Inputs!$D$45,0)</f>
        <v>0</v>
      </c>
      <c r="AT299" s="67" t="n">
        <f aca="false">IF(AT$246=1,Inputs!$D$45,0)</f>
        <v>0</v>
      </c>
      <c r="AU299" s="67" t="n">
        <f aca="false">IF(AU$246=1,Inputs!$D$45,0)</f>
        <v>0</v>
      </c>
      <c r="AV299" s="67" t="n">
        <f aca="false">IF(AV$246=1,Inputs!$D$45,0)</f>
        <v>0</v>
      </c>
      <c r="AW299" s="67" t="n">
        <f aca="false">IF(AW$246=1,Inputs!$D$45,0)</f>
        <v>0</v>
      </c>
      <c r="AX299" s="67" t="n">
        <f aca="false">IF(AX$246=1,Inputs!$D$45,0)</f>
        <v>0</v>
      </c>
      <c r="AY299" s="67" t="n">
        <f aca="false">IF(AY$246=1,Inputs!$D$45,0)</f>
        <v>0</v>
      </c>
      <c r="AZ299" s="67" t="n">
        <f aca="false">IF(AZ$246=1,Inputs!$D$45,0)</f>
        <v>0</v>
      </c>
      <c r="BA299" s="67" t="n">
        <f aca="false">IF(BA$246=1,Inputs!$D$45,0)</f>
        <v>0</v>
      </c>
      <c r="BB299" s="67" t="n">
        <f aca="false">IF(BB$246=1,Inputs!$D$45,0)</f>
        <v>0</v>
      </c>
      <c r="BC299" s="67" t="n">
        <f aca="false">IF(BC$246=1,Inputs!$D$45,0)</f>
        <v>0</v>
      </c>
      <c r="BD299" s="67" t="n">
        <f aca="false">IF(BD$246=1,Inputs!$D$45,0)</f>
        <v>0</v>
      </c>
      <c r="BE299" s="67" t="n">
        <f aca="false">IF(BE$246=1,Inputs!$D$45,0)</f>
        <v>0</v>
      </c>
      <c r="BF299" s="67" t="n">
        <f aca="false">IF(BF$246=1,Inputs!$D$45,0)</f>
        <v>0</v>
      </c>
      <c r="BG299" s="67" t="n">
        <f aca="false">IF(BG$246=1,Inputs!$D$45,0)</f>
        <v>0</v>
      </c>
      <c r="BH299" s="67" t="n">
        <f aca="false">IF(BH$246=1,Inputs!$D$45,0)</f>
        <v>0</v>
      </c>
      <c r="BI299" s="67" t="n">
        <f aca="false">IF(BI$246=1,Inputs!$D$45,0)</f>
        <v>0</v>
      </c>
      <c r="BJ299" s="67" t="n">
        <f aca="false">IF(BJ$246=1,Inputs!$D$45,0)</f>
        <v>0</v>
      </c>
    </row>
    <row r="300" customFormat="false" ht="15" hidden="false" customHeight="false" outlineLevel="0" collapsed="false">
      <c r="A300" s="6" t="s">
        <v>427</v>
      </c>
      <c r="C300" s="67" t="n">
        <f aca="false">Inputs!$D$7*Inputs!$D$46/12*(1+Inputs!$D$39)^(C$247-1)*1</f>
        <v>750</v>
      </c>
      <c r="D300" s="67" t="n">
        <f aca="false">Inputs!$D$7*Inputs!$D$46/12*(1+Inputs!$D$39)^(D$247-1)*1</f>
        <v>750</v>
      </c>
      <c r="E300" s="67" t="n">
        <f aca="false">Inputs!$D$7*Inputs!$D$46/12*(1+Inputs!$D$39)^(E$247-1)*1</f>
        <v>750</v>
      </c>
      <c r="F300" s="67" t="n">
        <f aca="false">Inputs!$D$7*Inputs!$D$46/12*(1+Inputs!$D$39)^(F$247-1)*1</f>
        <v>750</v>
      </c>
      <c r="G300" s="67" t="n">
        <f aca="false">Inputs!$D$7*Inputs!$D$46/12*(1+Inputs!$D$39)^(G$247-1)*1</f>
        <v>750</v>
      </c>
      <c r="H300" s="67" t="n">
        <f aca="false">Inputs!$D$7*Inputs!$D$46/12*(1+Inputs!$D$39)^(H$247-1)*1</f>
        <v>750</v>
      </c>
      <c r="I300" s="67" t="n">
        <f aca="false">Inputs!$D$7*Inputs!$D$46/12*(1+Inputs!$D$39)^(I$247-1)*1</f>
        <v>750</v>
      </c>
      <c r="J300" s="67" t="n">
        <f aca="false">Inputs!$D$7*Inputs!$D$46/12*(1+Inputs!$D$39)^(J$247-1)*1</f>
        <v>750</v>
      </c>
      <c r="K300" s="67" t="n">
        <f aca="false">Inputs!$D$7*Inputs!$D$46/12*(1+Inputs!$D$39)^(K$247-1)*1</f>
        <v>750</v>
      </c>
      <c r="L300" s="67" t="n">
        <f aca="false">Inputs!$D$7*Inputs!$D$46/12*(1+Inputs!$D$39)^(L$247-1)*1</f>
        <v>750</v>
      </c>
      <c r="M300" s="67" t="n">
        <f aca="false">Inputs!$D$7*Inputs!$D$46/12*(1+Inputs!$D$39)^(M$247-1)*1</f>
        <v>750</v>
      </c>
      <c r="N300" s="67" t="n">
        <f aca="false">Inputs!$D$7*Inputs!$D$46/12*(1+Inputs!$D$39)^(N$247-1)*1</f>
        <v>750</v>
      </c>
      <c r="O300" s="67" t="n">
        <f aca="false">Inputs!$D$7*Inputs!$D$46/12*(1+Inputs!$D$39)^(O$247-1)*1</f>
        <v>768.75</v>
      </c>
      <c r="P300" s="67" t="n">
        <f aca="false">Inputs!$D$7*Inputs!$D$46/12*(1+Inputs!$D$39)^(P$247-1)*1</f>
        <v>768.75</v>
      </c>
      <c r="Q300" s="67" t="n">
        <f aca="false">Inputs!$D$7*Inputs!$D$46/12*(1+Inputs!$D$39)^(Q$247-1)*1</f>
        <v>768.75</v>
      </c>
      <c r="R300" s="67" t="n">
        <f aca="false">Inputs!$D$7*Inputs!$D$46/12*(1+Inputs!$D$39)^(R$247-1)*1</f>
        <v>768.75</v>
      </c>
      <c r="S300" s="67" t="n">
        <f aca="false">Inputs!$D$7*Inputs!$D$46/12*(1+Inputs!$D$39)^(S$247-1)*1</f>
        <v>768.75</v>
      </c>
      <c r="T300" s="67" t="n">
        <f aca="false">Inputs!$D$7*Inputs!$D$46/12*(1+Inputs!$D$39)^(T$247-1)*1</f>
        <v>768.75</v>
      </c>
      <c r="U300" s="67" t="n">
        <f aca="false">Inputs!$D$7*Inputs!$D$46/12*(1+Inputs!$D$39)^(U$247-1)*1</f>
        <v>768.75</v>
      </c>
      <c r="V300" s="67" t="n">
        <f aca="false">Inputs!$D$7*Inputs!$D$46/12*(1+Inputs!$D$39)^(V$247-1)*1</f>
        <v>768.75</v>
      </c>
      <c r="W300" s="67" t="n">
        <f aca="false">Inputs!$D$7*Inputs!$D$46/12*(1+Inputs!$D$39)^(W$247-1)*1</f>
        <v>768.75</v>
      </c>
      <c r="X300" s="67" t="n">
        <f aca="false">Inputs!$D$7*Inputs!$D$46/12*(1+Inputs!$D$39)^(X$247-1)*1</f>
        <v>768.75</v>
      </c>
      <c r="Y300" s="67" t="n">
        <f aca="false">Inputs!$D$7*Inputs!$D$46/12*(1+Inputs!$D$39)^(Y$247-1)*1</f>
        <v>768.75</v>
      </c>
      <c r="Z300" s="67" t="n">
        <f aca="false">Inputs!$D$7*Inputs!$D$46/12*(1+Inputs!$D$39)^(Z$247-1)*1</f>
        <v>768.75</v>
      </c>
      <c r="AA300" s="67" t="n">
        <f aca="false">Inputs!$D$7*Inputs!$D$46/12*(1+Inputs!$D$39)^(AA$247-1)*1</f>
        <v>787.96875</v>
      </c>
      <c r="AB300" s="67" t="n">
        <f aca="false">Inputs!$D$7*Inputs!$D$46/12*(1+Inputs!$D$39)^(AB$247-1)*1</f>
        <v>787.96875</v>
      </c>
      <c r="AC300" s="67" t="n">
        <f aca="false">Inputs!$D$7*Inputs!$D$46/12*(1+Inputs!$D$39)^(AC$247-1)*1</f>
        <v>787.96875</v>
      </c>
      <c r="AD300" s="67" t="n">
        <f aca="false">Inputs!$D$7*Inputs!$D$46/12*(1+Inputs!$D$39)^(AD$247-1)*1</f>
        <v>787.96875</v>
      </c>
      <c r="AE300" s="67" t="n">
        <f aca="false">Inputs!$D$7*Inputs!$D$46/12*(1+Inputs!$D$39)^(AE$247-1)*1</f>
        <v>787.96875</v>
      </c>
      <c r="AF300" s="67" t="n">
        <f aca="false">Inputs!$D$7*Inputs!$D$46/12*(1+Inputs!$D$39)^(AF$247-1)*1</f>
        <v>787.96875</v>
      </c>
      <c r="AG300" s="67" t="n">
        <f aca="false">Inputs!$D$7*Inputs!$D$46/12*(1+Inputs!$D$39)^(AG$247-1)*1</f>
        <v>787.96875</v>
      </c>
      <c r="AH300" s="67" t="n">
        <f aca="false">Inputs!$D$7*Inputs!$D$46/12*(1+Inputs!$D$39)^(AH$247-1)*1</f>
        <v>787.96875</v>
      </c>
      <c r="AI300" s="67" t="n">
        <f aca="false">Inputs!$D$7*Inputs!$D$46/12*(1+Inputs!$D$39)^(AI$247-1)*1</f>
        <v>787.96875</v>
      </c>
      <c r="AJ300" s="67" t="n">
        <f aca="false">Inputs!$D$7*Inputs!$D$46/12*(1+Inputs!$D$39)^(AJ$247-1)*1</f>
        <v>787.96875</v>
      </c>
      <c r="AK300" s="67" t="n">
        <f aca="false">Inputs!$D$7*Inputs!$D$46/12*(1+Inputs!$D$39)^(AK$247-1)*1</f>
        <v>787.96875</v>
      </c>
      <c r="AL300" s="67" t="n">
        <f aca="false">Inputs!$D$7*Inputs!$D$46/12*(1+Inputs!$D$39)^(AL$247-1)*1</f>
        <v>787.96875</v>
      </c>
      <c r="AM300" s="67" t="n">
        <f aca="false">Inputs!$D$7*Inputs!$D$46/12*(1+Inputs!$D$39)^(AM$247-1)*1</f>
        <v>807.66796875</v>
      </c>
      <c r="AN300" s="67" t="n">
        <f aca="false">Inputs!$D$7*Inputs!$D$46/12*(1+Inputs!$D$39)^(AN$247-1)*1</f>
        <v>807.66796875</v>
      </c>
      <c r="AO300" s="67" t="n">
        <f aca="false">Inputs!$D$7*Inputs!$D$46/12*(1+Inputs!$D$39)^(AO$247-1)*1</f>
        <v>807.66796875</v>
      </c>
      <c r="AP300" s="67" t="n">
        <f aca="false">Inputs!$D$7*Inputs!$D$46/12*(1+Inputs!$D$39)^(AP$247-1)*1</f>
        <v>807.66796875</v>
      </c>
      <c r="AQ300" s="67" t="n">
        <f aca="false">Inputs!$D$7*Inputs!$D$46/12*(1+Inputs!$D$39)^(AQ$247-1)*1</f>
        <v>807.66796875</v>
      </c>
      <c r="AR300" s="67" t="n">
        <f aca="false">Inputs!$D$7*Inputs!$D$46/12*(1+Inputs!$D$39)^(AR$247-1)*1</f>
        <v>807.66796875</v>
      </c>
      <c r="AS300" s="67" t="n">
        <f aca="false">Inputs!$D$7*Inputs!$D$46/12*(1+Inputs!$D$39)^(AS$247-1)*1</f>
        <v>807.66796875</v>
      </c>
      <c r="AT300" s="67" t="n">
        <f aca="false">Inputs!$D$7*Inputs!$D$46/12*(1+Inputs!$D$39)^(AT$247-1)*1</f>
        <v>807.66796875</v>
      </c>
      <c r="AU300" s="67" t="n">
        <f aca="false">Inputs!$D$7*Inputs!$D$46/12*(1+Inputs!$D$39)^(AU$247-1)*1</f>
        <v>807.66796875</v>
      </c>
      <c r="AV300" s="67" t="n">
        <f aca="false">Inputs!$D$7*Inputs!$D$46/12*(1+Inputs!$D$39)^(AV$247-1)*1</f>
        <v>807.66796875</v>
      </c>
      <c r="AW300" s="67" t="n">
        <f aca="false">Inputs!$D$7*Inputs!$D$46/12*(1+Inputs!$D$39)^(AW$247-1)*1</f>
        <v>807.66796875</v>
      </c>
      <c r="AX300" s="67" t="n">
        <f aca="false">Inputs!$D$7*Inputs!$D$46/12*(1+Inputs!$D$39)^(AX$247-1)*1</f>
        <v>807.66796875</v>
      </c>
      <c r="AY300" s="67" t="n">
        <f aca="false">Inputs!$D$7*Inputs!$D$46/12*(1+Inputs!$D$39)^(AY$247-1)*1</f>
        <v>827.85966796875</v>
      </c>
      <c r="AZ300" s="67" t="n">
        <f aca="false">Inputs!$D$7*Inputs!$D$46/12*(1+Inputs!$D$39)^(AZ$247-1)*1</f>
        <v>827.85966796875</v>
      </c>
      <c r="BA300" s="67" t="n">
        <f aca="false">Inputs!$D$7*Inputs!$D$46/12*(1+Inputs!$D$39)^(BA$247-1)*1</f>
        <v>827.85966796875</v>
      </c>
      <c r="BB300" s="67" t="n">
        <f aca="false">Inputs!$D$7*Inputs!$D$46/12*(1+Inputs!$D$39)^(BB$247-1)*1</f>
        <v>827.85966796875</v>
      </c>
      <c r="BC300" s="67" t="n">
        <f aca="false">Inputs!$D$7*Inputs!$D$46/12*(1+Inputs!$D$39)^(BC$247-1)*1</f>
        <v>827.85966796875</v>
      </c>
      <c r="BD300" s="67" t="n">
        <f aca="false">Inputs!$D$7*Inputs!$D$46/12*(1+Inputs!$D$39)^(BD$247-1)*1</f>
        <v>827.85966796875</v>
      </c>
      <c r="BE300" s="67" t="n">
        <f aca="false">Inputs!$D$7*Inputs!$D$46/12*(1+Inputs!$D$39)^(BE$247-1)*1</f>
        <v>827.85966796875</v>
      </c>
      <c r="BF300" s="67" t="n">
        <f aca="false">Inputs!$D$7*Inputs!$D$46/12*(1+Inputs!$D$39)^(BF$247-1)*1</f>
        <v>827.85966796875</v>
      </c>
      <c r="BG300" s="67" t="n">
        <f aca="false">Inputs!$D$7*Inputs!$D$46/12*(1+Inputs!$D$39)^(BG$247-1)*1</f>
        <v>827.85966796875</v>
      </c>
      <c r="BH300" s="67" t="n">
        <f aca="false">Inputs!$D$7*Inputs!$D$46/12*(1+Inputs!$D$39)^(BH$247-1)*1</f>
        <v>827.85966796875</v>
      </c>
      <c r="BI300" s="67" t="n">
        <f aca="false">Inputs!$D$7*Inputs!$D$46/12*(1+Inputs!$D$39)^(BI$247-1)*1</f>
        <v>827.85966796875</v>
      </c>
      <c r="BJ300" s="67" t="n">
        <f aca="false">Inputs!$D$7*Inputs!$D$46/12*(1+Inputs!$D$39)^(BJ$247-1)*1</f>
        <v>827.85966796875</v>
      </c>
    </row>
    <row r="301" customFormat="false" ht="15" hidden="false" customHeight="false" outlineLevel="0" collapsed="false">
      <c r="A301" s="4" t="s">
        <v>84</v>
      </c>
      <c r="C301" s="73" t="n">
        <f aca="false">C296+C298+C299+C300</f>
        <v>865750</v>
      </c>
      <c r="D301" s="73" t="n">
        <f aca="false">D296+D298+D299+D300</f>
        <v>750</v>
      </c>
      <c r="E301" s="73" t="n">
        <f aca="false">E296+E298+E299+E300</f>
        <v>750</v>
      </c>
      <c r="F301" s="73" t="n">
        <f aca="false">F296+F298+F299+F300</f>
        <v>750</v>
      </c>
      <c r="G301" s="73" t="n">
        <f aca="false">G296+G298+G299+G300</f>
        <v>750</v>
      </c>
      <c r="H301" s="73" t="n">
        <f aca="false">H296+H298+H299+H300</f>
        <v>750</v>
      </c>
      <c r="I301" s="73" t="n">
        <f aca="false">I296+I298+I299+I300</f>
        <v>750</v>
      </c>
      <c r="J301" s="73" t="n">
        <f aca="false">J296+J298+J299+J300</f>
        <v>750</v>
      </c>
      <c r="K301" s="73" t="n">
        <f aca="false">K296+K298+K299+K300</f>
        <v>750</v>
      </c>
      <c r="L301" s="73" t="n">
        <f aca="false">L296+L298+L299+L300</f>
        <v>750</v>
      </c>
      <c r="M301" s="73" t="n">
        <f aca="false">M296+M298+M299+M300</f>
        <v>750</v>
      </c>
      <c r="N301" s="73" t="n">
        <f aca="false">N296+N298+N299+N300</f>
        <v>750</v>
      </c>
      <c r="O301" s="73" t="n">
        <f aca="false">O296+O298+O299+O300</f>
        <v>768.75</v>
      </c>
      <c r="P301" s="73" t="n">
        <f aca="false">P296+P298+P299+P300</f>
        <v>768.75</v>
      </c>
      <c r="Q301" s="73" t="n">
        <f aca="false">Q296+Q298+Q299+Q300</f>
        <v>768.75</v>
      </c>
      <c r="R301" s="73" t="n">
        <f aca="false">R296+R298+R299+R300</f>
        <v>768.75</v>
      </c>
      <c r="S301" s="73" t="n">
        <f aca="false">S296+S298+S299+S300</f>
        <v>768.75</v>
      </c>
      <c r="T301" s="73" t="n">
        <f aca="false">T296+T298+T299+T300</f>
        <v>768.75</v>
      </c>
      <c r="U301" s="73" t="n">
        <f aca="false">U296+U298+U299+U300</f>
        <v>768.75</v>
      </c>
      <c r="V301" s="73" t="n">
        <f aca="false">V296+V298+V299+V300</f>
        <v>768.75</v>
      </c>
      <c r="W301" s="73" t="n">
        <f aca="false">W296+W298+W299+W300</f>
        <v>768.75</v>
      </c>
      <c r="X301" s="73" t="n">
        <f aca="false">X296+X298+X299+X300</f>
        <v>768.75</v>
      </c>
      <c r="Y301" s="73" t="n">
        <f aca="false">Y296+Y298+Y299+Y300</f>
        <v>768.75</v>
      </c>
      <c r="Z301" s="73" t="n">
        <f aca="false">Z296+Z298+Z299+Z300</f>
        <v>768.75</v>
      </c>
      <c r="AA301" s="73" t="n">
        <f aca="false">AA296+AA298+AA299+AA300</f>
        <v>787.96875</v>
      </c>
      <c r="AB301" s="73" t="n">
        <f aca="false">AB296+AB298+AB299+AB300</f>
        <v>787.96875</v>
      </c>
      <c r="AC301" s="73" t="n">
        <f aca="false">AC296+AC298+AC299+AC300</f>
        <v>787.96875</v>
      </c>
      <c r="AD301" s="73" t="n">
        <f aca="false">AD296+AD298+AD299+AD300</f>
        <v>787.96875</v>
      </c>
      <c r="AE301" s="73" t="n">
        <f aca="false">AE296+AE298+AE299+AE300</f>
        <v>787.96875</v>
      </c>
      <c r="AF301" s="73" t="n">
        <f aca="false">AF296+AF298+AF299+AF300</f>
        <v>787.96875</v>
      </c>
      <c r="AG301" s="73" t="n">
        <f aca="false">AG296+AG298+AG299+AG300</f>
        <v>787.96875</v>
      </c>
      <c r="AH301" s="73" t="n">
        <f aca="false">AH296+AH298+AH299+AH300</f>
        <v>787.96875</v>
      </c>
      <c r="AI301" s="73" t="n">
        <f aca="false">AI296+AI298+AI299+AI300</f>
        <v>787.96875</v>
      </c>
      <c r="AJ301" s="73" t="n">
        <f aca="false">AJ296+AJ298+AJ299+AJ300</f>
        <v>787.96875</v>
      </c>
      <c r="AK301" s="73" t="n">
        <f aca="false">AK296+AK298+AK299+AK300</f>
        <v>787.96875</v>
      </c>
      <c r="AL301" s="73" t="n">
        <f aca="false">AL296+AL298+AL299+AL300</f>
        <v>787.96875</v>
      </c>
      <c r="AM301" s="73" t="n">
        <f aca="false">AM296+AM298+AM299+AM300</f>
        <v>807.66796875</v>
      </c>
      <c r="AN301" s="73" t="n">
        <f aca="false">AN296+AN298+AN299+AN300</f>
        <v>807.66796875</v>
      </c>
      <c r="AO301" s="73" t="n">
        <f aca="false">AO296+AO298+AO299+AO300</f>
        <v>807.66796875</v>
      </c>
      <c r="AP301" s="73" t="n">
        <f aca="false">AP296+AP298+AP299+AP300</f>
        <v>807.66796875</v>
      </c>
      <c r="AQ301" s="73" t="n">
        <f aca="false">AQ296+AQ298+AQ299+AQ300</f>
        <v>807.66796875</v>
      </c>
      <c r="AR301" s="73" t="n">
        <f aca="false">AR296+AR298+AR299+AR300</f>
        <v>807.66796875</v>
      </c>
      <c r="AS301" s="73" t="n">
        <f aca="false">AS296+AS298+AS299+AS300</f>
        <v>807.66796875</v>
      </c>
      <c r="AT301" s="73" t="n">
        <f aca="false">AT296+AT298+AT299+AT300</f>
        <v>807.66796875</v>
      </c>
      <c r="AU301" s="73" t="n">
        <f aca="false">AU296+AU298+AU299+AU300</f>
        <v>807.66796875</v>
      </c>
      <c r="AV301" s="73" t="n">
        <f aca="false">AV296+AV298+AV299+AV300</f>
        <v>807.66796875</v>
      </c>
      <c r="AW301" s="73" t="n">
        <f aca="false">AW296+AW298+AW299+AW300</f>
        <v>807.66796875</v>
      </c>
      <c r="AX301" s="73" t="n">
        <f aca="false">AX296+AX298+AX299+AX300</f>
        <v>807.66796875</v>
      </c>
      <c r="AY301" s="73" t="n">
        <f aca="false">AY296+AY298+AY299+AY300</f>
        <v>827.85966796875</v>
      </c>
      <c r="AZ301" s="73" t="n">
        <f aca="false">AZ296+AZ298+AZ299+AZ300</f>
        <v>827.85966796875</v>
      </c>
      <c r="BA301" s="73" t="n">
        <f aca="false">BA296+BA298+BA299+BA300</f>
        <v>827.85966796875</v>
      </c>
      <c r="BB301" s="73" t="n">
        <f aca="false">BB296+BB298+BB299+BB300</f>
        <v>827.85966796875</v>
      </c>
      <c r="BC301" s="73" t="n">
        <f aca="false">BC296+BC298+BC299+BC300</f>
        <v>827.85966796875</v>
      </c>
      <c r="BD301" s="73" t="n">
        <f aca="false">BD296+BD298+BD299+BD300</f>
        <v>827.85966796875</v>
      </c>
      <c r="BE301" s="73" t="n">
        <f aca="false">BE296+BE298+BE299+BE300</f>
        <v>827.85966796875</v>
      </c>
      <c r="BF301" s="73" t="n">
        <f aca="false">BF296+BF298+BF299+BF300</f>
        <v>827.85966796875</v>
      </c>
      <c r="BG301" s="73" t="n">
        <f aca="false">BG296+BG298+BG299+BG300</f>
        <v>827.85966796875</v>
      </c>
      <c r="BH301" s="73" t="n">
        <f aca="false">BH296+BH298+BH299+BH300</f>
        <v>827.85966796875</v>
      </c>
      <c r="BI301" s="73" t="n">
        <f aca="false">BI296+BI298+BI299+BI300</f>
        <v>827.85966796875</v>
      </c>
      <c r="BJ301" s="73" t="n">
        <f aca="false">BJ296+BJ298+BJ299+BJ300</f>
        <v>827.85966796875</v>
      </c>
    </row>
    <row r="302" customFormat="false" ht="15" hidden="false" customHeight="false" outlineLevel="0" collapsed="false">
      <c r="A302" s="6" t="s">
        <v>428</v>
      </c>
      <c r="C302" s="67" t="n">
        <f aca="false">C301</f>
        <v>865750</v>
      </c>
      <c r="D302" s="67" t="n">
        <f aca="false">C302+D301</f>
        <v>866500</v>
      </c>
      <c r="E302" s="67" t="n">
        <f aca="false">D302+E301</f>
        <v>867250</v>
      </c>
      <c r="F302" s="67" t="n">
        <f aca="false">E302+F301</f>
        <v>868000</v>
      </c>
      <c r="G302" s="67" t="n">
        <f aca="false">F302+G301</f>
        <v>868750</v>
      </c>
      <c r="H302" s="67" t="n">
        <f aca="false">G302+H301</f>
        <v>869500</v>
      </c>
      <c r="I302" s="67" t="n">
        <f aca="false">H302+I301</f>
        <v>870250</v>
      </c>
      <c r="J302" s="67" t="n">
        <f aca="false">I302+J301</f>
        <v>871000</v>
      </c>
      <c r="K302" s="67" t="n">
        <f aca="false">J302+K301</f>
        <v>871750</v>
      </c>
      <c r="L302" s="67" t="n">
        <f aca="false">K302+L301</f>
        <v>872500</v>
      </c>
      <c r="M302" s="67" t="n">
        <f aca="false">L302+M301</f>
        <v>873250</v>
      </c>
      <c r="N302" s="67" t="n">
        <f aca="false">M302+N301</f>
        <v>874000</v>
      </c>
      <c r="O302" s="67" t="n">
        <f aca="false">N302+O301</f>
        <v>874768.75</v>
      </c>
      <c r="P302" s="67" t="n">
        <f aca="false">O302+P301</f>
        <v>875537.5</v>
      </c>
      <c r="Q302" s="67" t="n">
        <f aca="false">P302+Q301</f>
        <v>876306.25</v>
      </c>
      <c r="R302" s="67" t="n">
        <f aca="false">Q302+R301</f>
        <v>877075</v>
      </c>
      <c r="S302" s="67" t="n">
        <f aca="false">R302+S301</f>
        <v>877843.75</v>
      </c>
      <c r="T302" s="67" t="n">
        <f aca="false">S302+T301</f>
        <v>878612.5</v>
      </c>
      <c r="U302" s="67" t="n">
        <f aca="false">T302+U301</f>
        <v>879381.25</v>
      </c>
      <c r="V302" s="67" t="n">
        <f aca="false">U302+V301</f>
        <v>880150</v>
      </c>
      <c r="W302" s="67" t="n">
        <f aca="false">V302+W301</f>
        <v>880918.75</v>
      </c>
      <c r="X302" s="67" t="n">
        <f aca="false">W302+X301</f>
        <v>881687.5</v>
      </c>
      <c r="Y302" s="67" t="n">
        <f aca="false">X302+Y301</f>
        <v>882456.25</v>
      </c>
      <c r="Z302" s="67" t="n">
        <f aca="false">Y302+Z301</f>
        <v>883225</v>
      </c>
      <c r="AA302" s="67" t="n">
        <f aca="false">Z302+AA301</f>
        <v>884012.96875</v>
      </c>
      <c r="AB302" s="67" t="n">
        <f aca="false">AA302+AB301</f>
        <v>884800.9375</v>
      </c>
      <c r="AC302" s="67" t="n">
        <f aca="false">AB302+AC301</f>
        <v>885588.90625</v>
      </c>
      <c r="AD302" s="67" t="n">
        <f aca="false">AC302+AD301</f>
        <v>886376.875</v>
      </c>
      <c r="AE302" s="67" t="n">
        <f aca="false">AD302+AE301</f>
        <v>887164.84375</v>
      </c>
      <c r="AF302" s="67" t="n">
        <f aca="false">AE302+AF301</f>
        <v>887952.8125</v>
      </c>
      <c r="AG302" s="67" t="n">
        <f aca="false">AF302+AG301</f>
        <v>888740.78125</v>
      </c>
      <c r="AH302" s="67" t="n">
        <f aca="false">AG302+AH301</f>
        <v>889528.75</v>
      </c>
      <c r="AI302" s="67" t="n">
        <f aca="false">AH302+AI301</f>
        <v>890316.71875</v>
      </c>
      <c r="AJ302" s="67" t="n">
        <f aca="false">AI302+AJ301</f>
        <v>891104.6875</v>
      </c>
      <c r="AK302" s="67" t="n">
        <f aca="false">AJ302+AK301</f>
        <v>891892.65625</v>
      </c>
      <c r="AL302" s="67" t="n">
        <f aca="false">AK302+AL301</f>
        <v>892680.625</v>
      </c>
      <c r="AM302" s="67" t="n">
        <f aca="false">AL302+AM301</f>
        <v>893488.29296875</v>
      </c>
      <c r="AN302" s="67" t="n">
        <f aca="false">AM302+AN301</f>
        <v>894295.9609375</v>
      </c>
      <c r="AO302" s="67" t="n">
        <f aca="false">AN302+AO301</f>
        <v>895103.62890625</v>
      </c>
      <c r="AP302" s="67" t="n">
        <f aca="false">AO302+AP301</f>
        <v>895911.296875</v>
      </c>
      <c r="AQ302" s="67" t="n">
        <f aca="false">AP302+AQ301</f>
        <v>896718.96484375</v>
      </c>
      <c r="AR302" s="67" t="n">
        <f aca="false">AQ302+AR301</f>
        <v>897526.6328125</v>
      </c>
      <c r="AS302" s="67" t="n">
        <f aca="false">AR302+AS301</f>
        <v>898334.30078125</v>
      </c>
      <c r="AT302" s="67" t="n">
        <f aca="false">AS302+AT301</f>
        <v>899141.96875</v>
      </c>
      <c r="AU302" s="67" t="n">
        <f aca="false">AT302+AU301</f>
        <v>899949.63671875</v>
      </c>
      <c r="AV302" s="67" t="n">
        <f aca="false">AU302+AV301</f>
        <v>900757.3046875</v>
      </c>
      <c r="AW302" s="67" t="n">
        <f aca="false">AV302+AW301</f>
        <v>901564.97265625</v>
      </c>
      <c r="AX302" s="67" t="n">
        <f aca="false">AW302+AX301</f>
        <v>902372.640625</v>
      </c>
      <c r="AY302" s="67" t="n">
        <f aca="false">AX302+AY301</f>
        <v>903200.500292969</v>
      </c>
      <c r="AZ302" s="67" t="n">
        <f aca="false">AY302+AZ301</f>
        <v>904028.359960937</v>
      </c>
      <c r="BA302" s="67" t="n">
        <f aca="false">AZ302+BA301</f>
        <v>904856.219628906</v>
      </c>
      <c r="BB302" s="67" t="n">
        <f aca="false">BA302+BB301</f>
        <v>905684.079296875</v>
      </c>
      <c r="BC302" s="67" t="n">
        <f aca="false">BB302+BC301</f>
        <v>906511.938964844</v>
      </c>
      <c r="BD302" s="67" t="n">
        <f aca="false">BC302+BD301</f>
        <v>907339.798632812</v>
      </c>
      <c r="BE302" s="67" t="n">
        <f aca="false">BD302+BE301</f>
        <v>908167.658300781</v>
      </c>
      <c r="BF302" s="67" t="n">
        <f aca="false">BE302+BF301</f>
        <v>908995.51796875</v>
      </c>
      <c r="BG302" s="67" t="n">
        <f aca="false">BF302+BG301</f>
        <v>909823.377636718</v>
      </c>
      <c r="BH302" s="67" t="n">
        <f aca="false">BG302+BH301</f>
        <v>910651.237304687</v>
      </c>
      <c r="BI302" s="67" t="n">
        <f aca="false">BH302+BI301</f>
        <v>911479.096972656</v>
      </c>
      <c r="BJ302" s="67" t="n">
        <f aca="false">BI302+BJ301</f>
        <v>912306.956640624</v>
      </c>
    </row>
    <row r="303" customFormat="false" ht="15" hidden="false" customHeight="false" outlineLevel="0" collapsed="false">
      <c r="A303" s="6" t="s">
        <v>429</v>
      </c>
      <c r="C303" s="67" t="n">
        <f aca="false">C297</f>
        <v>180000</v>
      </c>
      <c r="D303" s="67" t="n">
        <f aca="false">C303+D297</f>
        <v>180000</v>
      </c>
      <c r="E303" s="67" t="n">
        <f aca="false">D303+E297</f>
        <v>180000</v>
      </c>
      <c r="F303" s="67" t="n">
        <f aca="false">E303+F297</f>
        <v>180000</v>
      </c>
      <c r="G303" s="67" t="n">
        <f aca="false">F303+G297</f>
        <v>180000</v>
      </c>
      <c r="H303" s="67" t="n">
        <f aca="false">G303+H297</f>
        <v>180000</v>
      </c>
      <c r="I303" s="67" t="n">
        <f aca="false">H303+I297</f>
        <v>180000</v>
      </c>
      <c r="J303" s="67" t="n">
        <f aca="false">I303+J297</f>
        <v>180000</v>
      </c>
      <c r="K303" s="67" t="n">
        <f aca="false">J303+K297</f>
        <v>180000</v>
      </c>
      <c r="L303" s="67" t="n">
        <f aca="false">K303+L297</f>
        <v>180000</v>
      </c>
      <c r="M303" s="67" t="n">
        <f aca="false">L303+M297</f>
        <v>180000</v>
      </c>
      <c r="N303" s="67" t="n">
        <f aca="false">M303+N297</f>
        <v>180000</v>
      </c>
      <c r="O303" s="67" t="n">
        <f aca="false">N303+O297</f>
        <v>180000</v>
      </c>
      <c r="P303" s="67" t="n">
        <f aca="false">O303+P297</f>
        <v>180000</v>
      </c>
      <c r="Q303" s="67" t="n">
        <f aca="false">P303+Q297</f>
        <v>180000</v>
      </c>
      <c r="R303" s="67" t="n">
        <f aca="false">Q303+R297</f>
        <v>180000</v>
      </c>
      <c r="S303" s="67" t="n">
        <f aca="false">R303+S297</f>
        <v>180000</v>
      </c>
      <c r="T303" s="67" t="n">
        <f aca="false">S303+T297</f>
        <v>180000</v>
      </c>
      <c r="U303" s="67" t="n">
        <f aca="false">T303+U297</f>
        <v>180000</v>
      </c>
      <c r="V303" s="67" t="n">
        <f aca="false">U303+V297</f>
        <v>180000</v>
      </c>
      <c r="W303" s="67" t="n">
        <f aca="false">V303+W297</f>
        <v>180000</v>
      </c>
      <c r="X303" s="67" t="n">
        <f aca="false">W303+X297</f>
        <v>180000</v>
      </c>
      <c r="Y303" s="67" t="n">
        <f aca="false">X303+Y297</f>
        <v>180000</v>
      </c>
      <c r="Z303" s="67" t="n">
        <f aca="false">Y303+Z297</f>
        <v>180000</v>
      </c>
      <c r="AA303" s="67" t="n">
        <f aca="false">Z303+AA297</f>
        <v>180000</v>
      </c>
      <c r="AB303" s="67" t="n">
        <f aca="false">AA303+AB297</f>
        <v>180000</v>
      </c>
      <c r="AC303" s="67" t="n">
        <f aca="false">AB303+AC297</f>
        <v>180000</v>
      </c>
      <c r="AD303" s="67" t="n">
        <f aca="false">AC303+AD297</f>
        <v>180000</v>
      </c>
      <c r="AE303" s="67" t="n">
        <f aca="false">AD303+AE297</f>
        <v>180000</v>
      </c>
      <c r="AF303" s="67" t="n">
        <f aca="false">AE303+AF297</f>
        <v>180000</v>
      </c>
      <c r="AG303" s="67" t="n">
        <f aca="false">AF303+AG297</f>
        <v>180000</v>
      </c>
      <c r="AH303" s="67" t="n">
        <f aca="false">AG303+AH297</f>
        <v>180000</v>
      </c>
      <c r="AI303" s="67" t="n">
        <f aca="false">AH303+AI297</f>
        <v>180000</v>
      </c>
      <c r="AJ303" s="67" t="n">
        <f aca="false">AI303+AJ297</f>
        <v>180000</v>
      </c>
      <c r="AK303" s="67" t="n">
        <f aca="false">AJ303+AK297</f>
        <v>180000</v>
      </c>
      <c r="AL303" s="67" t="n">
        <f aca="false">AK303+AL297</f>
        <v>180000</v>
      </c>
      <c r="AM303" s="67" t="n">
        <f aca="false">AL303+AM297</f>
        <v>180000</v>
      </c>
      <c r="AN303" s="67" t="n">
        <f aca="false">AM303+AN297</f>
        <v>180000</v>
      </c>
      <c r="AO303" s="67" t="n">
        <f aca="false">AN303+AO297</f>
        <v>180000</v>
      </c>
      <c r="AP303" s="67" t="n">
        <f aca="false">AO303+AP297</f>
        <v>180000</v>
      </c>
      <c r="AQ303" s="67" t="n">
        <f aca="false">AP303+AQ297</f>
        <v>180000</v>
      </c>
      <c r="AR303" s="67" t="n">
        <f aca="false">AQ303+AR297</f>
        <v>180000</v>
      </c>
      <c r="AS303" s="67" t="n">
        <f aca="false">AR303+AS297</f>
        <v>180000</v>
      </c>
      <c r="AT303" s="67" t="n">
        <f aca="false">AS303+AT297</f>
        <v>180000</v>
      </c>
      <c r="AU303" s="67" t="n">
        <f aca="false">AT303+AU297</f>
        <v>180000</v>
      </c>
      <c r="AV303" s="67" t="n">
        <f aca="false">AU303+AV297</f>
        <v>180000</v>
      </c>
      <c r="AW303" s="67" t="n">
        <f aca="false">AV303+AW297</f>
        <v>180000</v>
      </c>
      <c r="AX303" s="67" t="n">
        <f aca="false">AW303+AX297</f>
        <v>180000</v>
      </c>
      <c r="AY303" s="67" t="n">
        <f aca="false">AX303+AY297</f>
        <v>180000</v>
      </c>
      <c r="AZ303" s="67" t="n">
        <f aca="false">AY303+AZ297</f>
        <v>180000</v>
      </c>
      <c r="BA303" s="67" t="n">
        <f aca="false">AZ303+BA297</f>
        <v>180000</v>
      </c>
      <c r="BB303" s="67" t="n">
        <f aca="false">BA303+BB297</f>
        <v>180000</v>
      </c>
      <c r="BC303" s="67" t="n">
        <f aca="false">BB303+BC297</f>
        <v>180000</v>
      </c>
      <c r="BD303" s="67" t="n">
        <f aca="false">BC303+BD297</f>
        <v>180000</v>
      </c>
      <c r="BE303" s="67" t="n">
        <f aca="false">BD303+BE297</f>
        <v>180000</v>
      </c>
      <c r="BF303" s="67" t="n">
        <f aca="false">BE303+BF297</f>
        <v>180000</v>
      </c>
      <c r="BG303" s="67" t="n">
        <f aca="false">BF303+BG297</f>
        <v>180000</v>
      </c>
      <c r="BH303" s="67" t="n">
        <f aca="false">BG303+BH297</f>
        <v>180000</v>
      </c>
      <c r="BI303" s="67" t="n">
        <f aca="false">BH303+BI297</f>
        <v>180000</v>
      </c>
      <c r="BJ303" s="67" t="n">
        <f aca="false">BI303+BJ297</f>
        <v>180000</v>
      </c>
    </row>
    <row r="304" customFormat="false" ht="15" hidden="false" customHeight="false" outlineLevel="0" collapsed="false">
      <c r="A304" s="6" t="s">
        <v>78</v>
      </c>
      <c r="C304" s="67" t="n">
        <f aca="false">-MIN((C302-C303)/MAX(1,Inputs!$D$76*12),C301-C303)</f>
        <v>-3809.72222222222</v>
      </c>
      <c r="D304" s="67" t="n">
        <f aca="false">-MIN((D302-D303)/MAX(1,Inputs!$D$76*12),C306+D301-D303)</f>
        <v>-3813.88888888889</v>
      </c>
      <c r="E304" s="67" t="n">
        <f aca="false">-MIN((E302-E303)/MAX(1,Inputs!$D$76*12),D306+E301-E303)</f>
        <v>-3818.05555555556</v>
      </c>
      <c r="F304" s="67" t="n">
        <f aca="false">-MIN((F302-F303)/MAX(1,Inputs!$D$76*12),E306+F301-F303)</f>
        <v>-3822.22222222222</v>
      </c>
      <c r="G304" s="67" t="n">
        <f aca="false">-MIN((G302-G303)/MAX(1,Inputs!$D$76*12),F306+G301-G303)</f>
        <v>-3826.38888888889</v>
      </c>
      <c r="H304" s="67" t="n">
        <f aca="false">-MIN((H302-H303)/MAX(1,Inputs!$D$76*12),G306+H301-H303)</f>
        <v>-3830.55555555556</v>
      </c>
      <c r="I304" s="67" t="n">
        <f aca="false">-MIN((I302-I303)/MAX(1,Inputs!$D$76*12),H306+I301-I303)</f>
        <v>-3834.72222222222</v>
      </c>
      <c r="J304" s="67" t="n">
        <f aca="false">-MIN((J302-J303)/MAX(1,Inputs!$D$76*12),I306+J301-J303)</f>
        <v>-3838.88888888889</v>
      </c>
      <c r="K304" s="67" t="n">
        <f aca="false">-MIN((K302-K303)/MAX(1,Inputs!$D$76*12),J306+K301-K303)</f>
        <v>-3843.05555555556</v>
      </c>
      <c r="L304" s="67" t="n">
        <f aca="false">-MIN((L302-L303)/MAX(1,Inputs!$D$76*12),K306+L301-L303)</f>
        <v>-3847.22222222222</v>
      </c>
      <c r="M304" s="67" t="n">
        <f aca="false">-MIN((M302-M303)/MAX(1,Inputs!$D$76*12),L306+M301-M303)</f>
        <v>-3851.38888888889</v>
      </c>
      <c r="N304" s="67" t="n">
        <f aca="false">-MIN((N302-N303)/MAX(1,Inputs!$D$76*12),M306+N301-N303)</f>
        <v>-3855.55555555556</v>
      </c>
      <c r="O304" s="67" t="n">
        <f aca="false">-MIN((O302-O303)/MAX(1,Inputs!$D$76*12),N306+O301-O303)</f>
        <v>-3859.82638888889</v>
      </c>
      <c r="P304" s="67" t="n">
        <f aca="false">-MIN((P302-P303)/MAX(1,Inputs!$D$76*12),O306+P301-P303)</f>
        <v>-3864.09722222222</v>
      </c>
      <c r="Q304" s="67" t="n">
        <f aca="false">-MIN((Q302-Q303)/MAX(1,Inputs!$D$76*12),P306+Q301-Q303)</f>
        <v>-3868.36805555556</v>
      </c>
      <c r="R304" s="67" t="n">
        <f aca="false">-MIN((R302-R303)/MAX(1,Inputs!$D$76*12),Q306+R301-R303)</f>
        <v>-3872.63888888889</v>
      </c>
      <c r="S304" s="67" t="n">
        <f aca="false">-MIN((S302-S303)/MAX(1,Inputs!$D$76*12),R306+S301-S303)</f>
        <v>-3876.90972222222</v>
      </c>
      <c r="T304" s="67" t="n">
        <f aca="false">-MIN((T302-T303)/MAX(1,Inputs!$D$76*12),S306+T301-T303)</f>
        <v>-3881.18055555556</v>
      </c>
      <c r="U304" s="67" t="n">
        <f aca="false">-MIN((U302-U303)/MAX(1,Inputs!$D$76*12),T306+U301-U303)</f>
        <v>-3885.45138888889</v>
      </c>
      <c r="V304" s="67" t="n">
        <f aca="false">-MIN((V302-V303)/MAX(1,Inputs!$D$76*12),U306+V301-V303)</f>
        <v>-3889.72222222222</v>
      </c>
      <c r="W304" s="67" t="n">
        <f aca="false">-MIN((W302-W303)/MAX(1,Inputs!$D$76*12),V306+W301-W303)</f>
        <v>-3893.99305555556</v>
      </c>
      <c r="X304" s="67" t="n">
        <f aca="false">-MIN((X302-X303)/MAX(1,Inputs!$D$76*12),W306+X301-X303)</f>
        <v>-3898.26388888889</v>
      </c>
      <c r="Y304" s="67" t="n">
        <f aca="false">-MIN((Y302-Y303)/MAX(1,Inputs!$D$76*12),X306+Y301-Y303)</f>
        <v>-3902.53472222222</v>
      </c>
      <c r="Z304" s="67" t="n">
        <f aca="false">-MIN((Z302-Z303)/MAX(1,Inputs!$D$76*12),Y306+Z301-Z303)</f>
        <v>-3906.80555555556</v>
      </c>
      <c r="AA304" s="67" t="n">
        <f aca="false">-MIN((AA302-AA303)/MAX(1,Inputs!$D$76*12),Z306+AA301-AA303)</f>
        <v>-3911.18315972222</v>
      </c>
      <c r="AB304" s="67" t="n">
        <f aca="false">-MIN((AB302-AB303)/MAX(1,Inputs!$D$76*12),AA306+AB301-AB303)</f>
        <v>-3915.56076388889</v>
      </c>
      <c r="AC304" s="67" t="n">
        <f aca="false">-MIN((AC302-AC303)/MAX(1,Inputs!$D$76*12),AB306+AC301-AC303)</f>
        <v>-3919.93836805556</v>
      </c>
      <c r="AD304" s="67" t="n">
        <f aca="false">-MIN((AD302-AD303)/MAX(1,Inputs!$D$76*12),AC306+AD301-AD303)</f>
        <v>-3924.31597222222</v>
      </c>
      <c r="AE304" s="67" t="n">
        <f aca="false">-MIN((AE302-AE303)/MAX(1,Inputs!$D$76*12),AD306+AE301-AE303)</f>
        <v>-3928.69357638889</v>
      </c>
      <c r="AF304" s="67" t="n">
        <f aca="false">-MIN((AF302-AF303)/MAX(1,Inputs!$D$76*12),AE306+AF301-AF303)</f>
        <v>-3933.07118055556</v>
      </c>
      <c r="AG304" s="67" t="n">
        <f aca="false">-MIN((AG302-AG303)/MAX(1,Inputs!$D$76*12),AF306+AG301-AG303)</f>
        <v>-3937.44878472222</v>
      </c>
      <c r="AH304" s="67" t="n">
        <f aca="false">-MIN((AH302-AH303)/MAX(1,Inputs!$D$76*12),AG306+AH301-AH303)</f>
        <v>-3941.82638888889</v>
      </c>
      <c r="AI304" s="67" t="n">
        <f aca="false">-MIN((AI302-AI303)/MAX(1,Inputs!$D$76*12),AH306+AI301-AI303)</f>
        <v>-3946.20399305556</v>
      </c>
      <c r="AJ304" s="67" t="n">
        <f aca="false">-MIN((AJ302-AJ303)/MAX(1,Inputs!$D$76*12),AI306+AJ301-AJ303)</f>
        <v>-3950.58159722222</v>
      </c>
      <c r="AK304" s="67" t="n">
        <f aca="false">-MIN((AK302-AK303)/MAX(1,Inputs!$D$76*12),AJ306+AK301-AK303)</f>
        <v>-3954.95920138889</v>
      </c>
      <c r="AL304" s="67" t="n">
        <f aca="false">-MIN((AL302-AL303)/MAX(1,Inputs!$D$76*12),AK306+AL301-AL303)</f>
        <v>-3959.33680555556</v>
      </c>
      <c r="AM304" s="67" t="n">
        <f aca="false">-MIN((AM302-AM303)/MAX(1,Inputs!$D$76*12),AL306+AM301-AM303)</f>
        <v>-3963.82384982639</v>
      </c>
      <c r="AN304" s="67" t="n">
        <f aca="false">-MIN((AN302-AN303)/MAX(1,Inputs!$D$76*12),AM306+AN301-AN303)</f>
        <v>-3968.31089409722</v>
      </c>
      <c r="AO304" s="67" t="n">
        <f aca="false">-MIN((AO302-AO303)/MAX(1,Inputs!$D$76*12),AN306+AO301-AO303)</f>
        <v>-3972.79793836806</v>
      </c>
      <c r="AP304" s="67" t="n">
        <f aca="false">-MIN((AP302-AP303)/MAX(1,Inputs!$D$76*12),AO306+AP301-AP303)</f>
        <v>-3977.28498263889</v>
      </c>
      <c r="AQ304" s="67" t="n">
        <f aca="false">-MIN((AQ302-AQ303)/MAX(1,Inputs!$D$76*12),AP306+AQ301-AQ303)</f>
        <v>-3981.77202690972</v>
      </c>
      <c r="AR304" s="67" t="n">
        <f aca="false">-MIN((AR302-AR303)/MAX(1,Inputs!$D$76*12),AQ306+AR301-AR303)</f>
        <v>-3986.25907118056</v>
      </c>
      <c r="AS304" s="67" t="n">
        <f aca="false">-MIN((AS302-AS303)/MAX(1,Inputs!$D$76*12),AR306+AS301-AS303)</f>
        <v>-3990.74611545139</v>
      </c>
      <c r="AT304" s="67" t="n">
        <f aca="false">-MIN((AT302-AT303)/MAX(1,Inputs!$D$76*12),AS306+AT301-AT303)</f>
        <v>-3995.23315972222</v>
      </c>
      <c r="AU304" s="67" t="n">
        <f aca="false">-MIN((AU302-AU303)/MAX(1,Inputs!$D$76*12),AT306+AU301-AU303)</f>
        <v>-3999.72020399306</v>
      </c>
      <c r="AV304" s="67" t="n">
        <f aca="false">-MIN((AV302-AV303)/MAX(1,Inputs!$D$76*12),AU306+AV301-AV303)</f>
        <v>-4004.20724826389</v>
      </c>
      <c r="AW304" s="67" t="n">
        <f aca="false">-MIN((AW302-AW303)/MAX(1,Inputs!$D$76*12),AV306+AW301-AW303)</f>
        <v>-4008.69429253472</v>
      </c>
      <c r="AX304" s="67" t="n">
        <f aca="false">-MIN((AX302-AX303)/MAX(1,Inputs!$D$76*12),AW306+AX301-AX303)</f>
        <v>-4013.18133680556</v>
      </c>
      <c r="AY304" s="67" t="n">
        <f aca="false">-MIN((AY302-AY303)/MAX(1,Inputs!$D$76*12),AX306+AY301-AY303)</f>
        <v>-4017.78055718316</v>
      </c>
      <c r="AZ304" s="67" t="n">
        <f aca="false">-MIN((AZ302-AZ303)/MAX(1,Inputs!$D$76*12),AY306+AZ301-AZ303)</f>
        <v>-4022.37977756076</v>
      </c>
      <c r="BA304" s="67" t="n">
        <f aca="false">-MIN((BA302-BA303)/MAX(1,Inputs!$D$76*12),AZ306+BA301-BA303)</f>
        <v>-4026.97899793837</v>
      </c>
      <c r="BB304" s="67" t="n">
        <f aca="false">-MIN((BB302-BB303)/MAX(1,Inputs!$D$76*12),BA306+BB301-BB303)</f>
        <v>-4031.57821831597</v>
      </c>
      <c r="BC304" s="67" t="n">
        <f aca="false">-MIN((BC302-BC303)/MAX(1,Inputs!$D$76*12),BB306+BC301-BC303)</f>
        <v>-4036.17743869358</v>
      </c>
      <c r="BD304" s="67" t="n">
        <f aca="false">-MIN((BD302-BD303)/MAX(1,Inputs!$D$76*12),BC306+BD301-BD303)</f>
        <v>-4040.77665907118</v>
      </c>
      <c r="BE304" s="67" t="n">
        <f aca="false">-MIN((BE302-BE303)/MAX(1,Inputs!$D$76*12),BD306+BE301-BE303)</f>
        <v>-4045.37587944878</v>
      </c>
      <c r="BF304" s="67" t="n">
        <f aca="false">-MIN((BF302-BF303)/MAX(1,Inputs!$D$76*12),BE306+BF301-BF303)</f>
        <v>-4049.97509982639</v>
      </c>
      <c r="BG304" s="67" t="n">
        <f aca="false">-MIN((BG302-BG303)/MAX(1,Inputs!$D$76*12),BF306+BG301-BG303)</f>
        <v>-4054.57432020399</v>
      </c>
      <c r="BH304" s="67" t="n">
        <f aca="false">-MIN((BH302-BH303)/MAX(1,Inputs!$D$76*12),BG306+BH301-BH303)</f>
        <v>-4059.1735405816</v>
      </c>
      <c r="BI304" s="67" t="n">
        <f aca="false">-MIN((BI302-BI303)/MAX(1,Inputs!$D$76*12),BH306+BI301-BI303)</f>
        <v>-4063.7727609592</v>
      </c>
      <c r="BJ304" s="67" t="n">
        <f aca="false">-MIN((BJ302-BJ303)/MAX(1,Inputs!$D$76*12),BI306+BJ301-BJ303)</f>
        <v>-4068.3719813368</v>
      </c>
    </row>
    <row r="305" customFormat="false" ht="15" hidden="false" customHeight="false" outlineLevel="0" collapsed="false">
      <c r="A305" s="6" t="s">
        <v>430</v>
      </c>
      <c r="C305" s="67" t="n">
        <f aca="false">C304</f>
        <v>-3809.72222222222</v>
      </c>
      <c r="D305" s="67" t="n">
        <f aca="false">C305+D304</f>
        <v>-7623.61111111111</v>
      </c>
      <c r="E305" s="67" t="n">
        <f aca="false">D305+E304</f>
        <v>-11441.6666666667</v>
      </c>
      <c r="F305" s="67" t="n">
        <f aca="false">E305+F304</f>
        <v>-15263.8888888889</v>
      </c>
      <c r="G305" s="67" t="n">
        <f aca="false">F305+G304</f>
        <v>-19090.2777777778</v>
      </c>
      <c r="H305" s="67" t="n">
        <f aca="false">G305+H304</f>
        <v>-22920.8333333333</v>
      </c>
      <c r="I305" s="67" t="n">
        <f aca="false">H305+I304</f>
        <v>-26755.5555555556</v>
      </c>
      <c r="J305" s="67" t="n">
        <f aca="false">I305+J304</f>
        <v>-30594.4444444444</v>
      </c>
      <c r="K305" s="67" t="n">
        <f aca="false">J305+K304</f>
        <v>-34437.5</v>
      </c>
      <c r="L305" s="67" t="n">
        <f aca="false">K305+L304</f>
        <v>-38284.7222222222</v>
      </c>
      <c r="M305" s="67" t="n">
        <f aca="false">L305+M304</f>
        <v>-42136.1111111111</v>
      </c>
      <c r="N305" s="67" t="n">
        <f aca="false">M305+N304</f>
        <v>-45991.6666666667</v>
      </c>
      <c r="O305" s="67" t="n">
        <f aca="false">N305+O304</f>
        <v>-49851.4930555556</v>
      </c>
      <c r="P305" s="67" t="n">
        <f aca="false">O305+P304</f>
        <v>-53715.5902777778</v>
      </c>
      <c r="Q305" s="67" t="n">
        <f aca="false">P305+Q304</f>
        <v>-57583.9583333333</v>
      </c>
      <c r="R305" s="67" t="n">
        <f aca="false">Q305+R304</f>
        <v>-61456.5972222222</v>
      </c>
      <c r="S305" s="67" t="n">
        <f aca="false">R305+S304</f>
        <v>-65333.5069444444</v>
      </c>
      <c r="T305" s="67" t="n">
        <f aca="false">S305+T304</f>
        <v>-69214.6875</v>
      </c>
      <c r="U305" s="67" t="n">
        <f aca="false">T305+U304</f>
        <v>-73100.1388888889</v>
      </c>
      <c r="V305" s="67" t="n">
        <f aca="false">U305+V304</f>
        <v>-76989.8611111111</v>
      </c>
      <c r="W305" s="67" t="n">
        <f aca="false">V305+W304</f>
        <v>-80883.8541666667</v>
      </c>
      <c r="X305" s="67" t="n">
        <f aca="false">W305+X304</f>
        <v>-84782.1180555556</v>
      </c>
      <c r="Y305" s="67" t="n">
        <f aca="false">X305+Y304</f>
        <v>-88684.6527777778</v>
      </c>
      <c r="Z305" s="67" t="n">
        <f aca="false">Y305+Z304</f>
        <v>-92591.4583333333</v>
      </c>
      <c r="AA305" s="67" t="n">
        <f aca="false">Z305+AA304</f>
        <v>-96502.6414930556</v>
      </c>
      <c r="AB305" s="67" t="n">
        <f aca="false">AA305+AB304</f>
        <v>-100418.202256944</v>
      </c>
      <c r="AC305" s="67" t="n">
        <f aca="false">AB305+AC304</f>
        <v>-104338.140625</v>
      </c>
      <c r="AD305" s="67" t="n">
        <f aca="false">AC305+AD304</f>
        <v>-108262.456597222</v>
      </c>
      <c r="AE305" s="67" t="n">
        <f aca="false">AD305+AE304</f>
        <v>-112191.150173611</v>
      </c>
      <c r="AF305" s="67" t="n">
        <f aca="false">AE305+AF304</f>
        <v>-116124.221354167</v>
      </c>
      <c r="AG305" s="67" t="n">
        <f aca="false">AF305+AG304</f>
        <v>-120061.670138889</v>
      </c>
      <c r="AH305" s="67" t="n">
        <f aca="false">AG305+AH304</f>
        <v>-124003.496527778</v>
      </c>
      <c r="AI305" s="67" t="n">
        <f aca="false">AH305+AI304</f>
        <v>-127949.700520833</v>
      </c>
      <c r="AJ305" s="67" t="n">
        <f aca="false">AI305+AJ304</f>
        <v>-131900.282118056</v>
      </c>
      <c r="AK305" s="67" t="n">
        <f aca="false">AJ305+AK304</f>
        <v>-135855.241319444</v>
      </c>
      <c r="AL305" s="67" t="n">
        <f aca="false">AK305+AL304</f>
        <v>-139814.578125</v>
      </c>
      <c r="AM305" s="67" t="n">
        <f aca="false">AL305+AM304</f>
        <v>-143778.401974826</v>
      </c>
      <c r="AN305" s="67" t="n">
        <f aca="false">AM305+AN304</f>
        <v>-147746.712868924</v>
      </c>
      <c r="AO305" s="67" t="n">
        <f aca="false">AN305+AO304</f>
        <v>-151719.510807292</v>
      </c>
      <c r="AP305" s="67" t="n">
        <f aca="false">AO305+AP304</f>
        <v>-155696.795789931</v>
      </c>
      <c r="AQ305" s="67" t="n">
        <f aca="false">AP305+AQ304</f>
        <v>-159678.56781684</v>
      </c>
      <c r="AR305" s="67" t="n">
        <f aca="false">AQ305+AR304</f>
        <v>-163664.826888021</v>
      </c>
      <c r="AS305" s="67" t="n">
        <f aca="false">AR305+AS304</f>
        <v>-167655.573003472</v>
      </c>
      <c r="AT305" s="67" t="n">
        <f aca="false">AS305+AT304</f>
        <v>-171650.806163195</v>
      </c>
      <c r="AU305" s="67" t="n">
        <f aca="false">AT305+AU304</f>
        <v>-175650.526367188</v>
      </c>
      <c r="AV305" s="67" t="n">
        <f aca="false">AU305+AV304</f>
        <v>-179654.733615451</v>
      </c>
      <c r="AW305" s="67" t="n">
        <f aca="false">AV305+AW304</f>
        <v>-183663.427907986</v>
      </c>
      <c r="AX305" s="67" t="n">
        <f aca="false">AW305+AX304</f>
        <v>-187676.609244792</v>
      </c>
      <c r="AY305" s="67" t="n">
        <f aca="false">AX305+AY304</f>
        <v>-191694.389801975</v>
      </c>
      <c r="AZ305" s="67" t="n">
        <f aca="false">AY305+AZ304</f>
        <v>-195716.769579536</v>
      </c>
      <c r="BA305" s="67" t="n">
        <f aca="false">AZ305+BA304</f>
        <v>-199743.748577474</v>
      </c>
      <c r="BB305" s="67" t="n">
        <f aca="false">BA305+BB304</f>
        <v>-203775.32679579</v>
      </c>
      <c r="BC305" s="67" t="n">
        <f aca="false">BB305+BC304</f>
        <v>-207811.504234484</v>
      </c>
      <c r="BD305" s="67" t="n">
        <f aca="false">BC305+BD304</f>
        <v>-211852.280893555</v>
      </c>
      <c r="BE305" s="67" t="n">
        <f aca="false">BD305+BE304</f>
        <v>-215897.656773004</v>
      </c>
      <c r="BF305" s="67" t="n">
        <f aca="false">BE305+BF304</f>
        <v>-219947.63187283</v>
      </c>
      <c r="BG305" s="67" t="n">
        <f aca="false">BF305+BG304</f>
        <v>-224002.206193034</v>
      </c>
      <c r="BH305" s="67" t="n">
        <f aca="false">BG305+BH304</f>
        <v>-228061.379733616</v>
      </c>
      <c r="BI305" s="67" t="n">
        <f aca="false">BH305+BI304</f>
        <v>-232125.152494575</v>
      </c>
      <c r="BJ305" s="67" t="n">
        <f aca="false">BI305+BJ304</f>
        <v>-236193.524475912</v>
      </c>
    </row>
    <row r="306" customFormat="false" ht="15" hidden="false" customHeight="false" outlineLevel="0" collapsed="false">
      <c r="A306" s="4" t="s">
        <v>92</v>
      </c>
      <c r="C306" s="73" t="n">
        <f aca="false">C302+C305</f>
        <v>861940.277777778</v>
      </c>
      <c r="D306" s="73" t="n">
        <f aca="false">D302+D305</f>
        <v>858876.388888889</v>
      </c>
      <c r="E306" s="73" t="n">
        <f aca="false">E302+E305</f>
        <v>855808.333333333</v>
      </c>
      <c r="F306" s="73" t="n">
        <f aca="false">F302+F305</f>
        <v>852736.111111111</v>
      </c>
      <c r="G306" s="73" t="n">
        <f aca="false">G302+G305</f>
        <v>849659.722222222</v>
      </c>
      <c r="H306" s="73" t="n">
        <f aca="false">H302+H305</f>
        <v>846579.166666667</v>
      </c>
      <c r="I306" s="73" t="n">
        <f aca="false">I302+I305</f>
        <v>843494.444444445</v>
      </c>
      <c r="J306" s="73" t="n">
        <f aca="false">J302+J305</f>
        <v>840405.555555556</v>
      </c>
      <c r="K306" s="73" t="n">
        <f aca="false">K302+K305</f>
        <v>837312.5</v>
      </c>
      <c r="L306" s="73" t="n">
        <f aca="false">L302+L305</f>
        <v>834215.277777778</v>
      </c>
      <c r="M306" s="73" t="n">
        <f aca="false">M302+M305</f>
        <v>831113.888888889</v>
      </c>
      <c r="N306" s="73" t="n">
        <f aca="false">N302+N305</f>
        <v>828008.333333333</v>
      </c>
      <c r="O306" s="73" t="n">
        <f aca="false">O302+O305</f>
        <v>824917.256944445</v>
      </c>
      <c r="P306" s="73" t="n">
        <f aca="false">P302+P305</f>
        <v>821821.909722222</v>
      </c>
      <c r="Q306" s="73" t="n">
        <f aca="false">Q302+Q305</f>
        <v>818722.291666667</v>
      </c>
      <c r="R306" s="73" t="n">
        <f aca="false">R302+R305</f>
        <v>815618.402777778</v>
      </c>
      <c r="S306" s="73" t="n">
        <f aca="false">S302+S305</f>
        <v>812510.243055556</v>
      </c>
      <c r="T306" s="73" t="n">
        <f aca="false">T302+T305</f>
        <v>809397.8125</v>
      </c>
      <c r="U306" s="73" t="n">
        <f aca="false">U302+U305</f>
        <v>806281.111111111</v>
      </c>
      <c r="V306" s="73" t="n">
        <f aca="false">V302+V305</f>
        <v>803160.138888889</v>
      </c>
      <c r="W306" s="73" t="n">
        <f aca="false">W302+W305</f>
        <v>800034.895833333</v>
      </c>
      <c r="X306" s="73" t="n">
        <f aca="false">X302+X305</f>
        <v>796905.381944445</v>
      </c>
      <c r="Y306" s="73" t="n">
        <f aca="false">Y302+Y305</f>
        <v>793771.597222222</v>
      </c>
      <c r="Z306" s="73" t="n">
        <f aca="false">Z302+Z305</f>
        <v>790633.541666667</v>
      </c>
      <c r="AA306" s="73" t="n">
        <f aca="false">AA302+AA305</f>
        <v>787510.327256945</v>
      </c>
      <c r="AB306" s="73" t="n">
        <f aca="false">AB302+AB305</f>
        <v>784382.735243056</v>
      </c>
      <c r="AC306" s="73" t="n">
        <f aca="false">AC302+AC305</f>
        <v>781250.765625</v>
      </c>
      <c r="AD306" s="73" t="n">
        <f aca="false">AD302+AD305</f>
        <v>778114.418402778</v>
      </c>
      <c r="AE306" s="73" t="n">
        <f aca="false">AE302+AE305</f>
        <v>774973.693576389</v>
      </c>
      <c r="AF306" s="73" t="n">
        <f aca="false">AF302+AF305</f>
        <v>771828.591145833</v>
      </c>
      <c r="AG306" s="73" t="n">
        <f aca="false">AG302+AG305</f>
        <v>768679.111111111</v>
      </c>
      <c r="AH306" s="73" t="n">
        <f aca="false">AH302+AH305</f>
        <v>765525.253472222</v>
      </c>
      <c r="AI306" s="73" t="n">
        <f aca="false">AI302+AI305</f>
        <v>762367.018229167</v>
      </c>
      <c r="AJ306" s="73" t="n">
        <f aca="false">AJ302+AJ305</f>
        <v>759204.405381944</v>
      </c>
      <c r="AK306" s="73" t="n">
        <f aca="false">AK302+AK305</f>
        <v>756037.414930556</v>
      </c>
      <c r="AL306" s="73" t="n">
        <f aca="false">AL302+AL305</f>
        <v>752866.046875</v>
      </c>
      <c r="AM306" s="73" t="n">
        <f aca="false">AM302+AM305</f>
        <v>749709.890993924</v>
      </c>
      <c r="AN306" s="73" t="n">
        <f aca="false">AN302+AN305</f>
        <v>746549.248068576</v>
      </c>
      <c r="AO306" s="73" t="n">
        <f aca="false">AO302+AO305</f>
        <v>743384.118098958</v>
      </c>
      <c r="AP306" s="73" t="n">
        <f aca="false">AP302+AP305</f>
        <v>740214.501085069</v>
      </c>
      <c r="AQ306" s="73" t="n">
        <f aca="false">AQ302+AQ305</f>
        <v>737040.39702691</v>
      </c>
      <c r="AR306" s="73" t="n">
        <f aca="false">AR302+AR305</f>
        <v>733861.805924479</v>
      </c>
      <c r="AS306" s="73" t="n">
        <f aca="false">AS302+AS305</f>
        <v>730678.727777778</v>
      </c>
      <c r="AT306" s="73" t="n">
        <f aca="false">AT302+AT305</f>
        <v>727491.162586806</v>
      </c>
      <c r="AU306" s="73" t="n">
        <f aca="false">AU302+AU305</f>
        <v>724299.110351563</v>
      </c>
      <c r="AV306" s="73" t="n">
        <f aca="false">AV302+AV305</f>
        <v>721102.571072049</v>
      </c>
      <c r="AW306" s="73" t="n">
        <f aca="false">AW302+AW305</f>
        <v>717901.544748264</v>
      </c>
      <c r="AX306" s="73" t="n">
        <f aca="false">AX302+AX305</f>
        <v>714696.031380208</v>
      </c>
      <c r="AY306" s="73" t="n">
        <f aca="false">AY302+AY305</f>
        <v>711506.110490994</v>
      </c>
      <c r="AZ306" s="73" t="n">
        <f aca="false">AZ302+AZ305</f>
        <v>708311.590381402</v>
      </c>
      <c r="BA306" s="73" t="n">
        <f aca="false">BA302+BA305</f>
        <v>705112.471051432</v>
      </c>
      <c r="BB306" s="73" t="n">
        <f aca="false">BB302+BB305</f>
        <v>701908.752501085</v>
      </c>
      <c r="BC306" s="73" t="n">
        <f aca="false">BC302+BC305</f>
        <v>698700.43473036</v>
      </c>
      <c r="BD306" s="73" t="n">
        <f aca="false">BD302+BD305</f>
        <v>695487.517739258</v>
      </c>
      <c r="BE306" s="73" t="n">
        <f aca="false">BE302+BE305</f>
        <v>692270.001527777</v>
      </c>
      <c r="BF306" s="73" t="n">
        <f aca="false">BF302+BF305</f>
        <v>689047.88609592</v>
      </c>
      <c r="BG306" s="73" t="n">
        <f aca="false">BG302+BG305</f>
        <v>685821.171443685</v>
      </c>
      <c r="BH306" s="73" t="n">
        <f aca="false">BH302+BH305</f>
        <v>682589.857571072</v>
      </c>
      <c r="BI306" s="73" t="n">
        <f aca="false">BI302+BI305</f>
        <v>679353.944478081</v>
      </c>
      <c r="BJ306" s="73" t="n">
        <f aca="false">BJ302+BJ305</f>
        <v>676113.432164713</v>
      </c>
    </row>
    <row r="308" customFormat="false" ht="15.75" hidden="false" customHeight="true" outlineLevel="0" collapsed="false">
      <c r="A308" s="7" t="s">
        <v>431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customFormat="false" ht="15" hidden="false" customHeight="false" outlineLevel="0" collapsed="false">
      <c r="A309" s="6" t="s">
        <v>432</v>
      </c>
      <c r="C309" s="67" t="n">
        <f aca="false">0</f>
        <v>0</v>
      </c>
      <c r="D309" s="67" t="n">
        <f aca="false">C314</f>
        <v>499382.770680291</v>
      </c>
      <c r="E309" s="67" t="n">
        <f aca="false">D314</f>
        <v>498761.940856217</v>
      </c>
      <c r="F309" s="67" t="n">
        <f aca="false">E314</f>
        <v>498137.489524837</v>
      </c>
      <c r="G309" s="67" t="n">
        <f aca="false">F314</f>
        <v>497509.395560689</v>
      </c>
      <c r="H309" s="67" t="n">
        <f aca="false">G314</f>
        <v>496877.637715085</v>
      </c>
      <c r="I309" s="67" t="n">
        <f aca="false">H314</f>
        <v>496242.19461538</v>
      </c>
      <c r="J309" s="67" t="n">
        <f aca="false">I314</f>
        <v>495603.044764261</v>
      </c>
      <c r="K309" s="67" t="n">
        <f aca="false">J314</f>
        <v>494960.166539011</v>
      </c>
      <c r="L309" s="67" t="n">
        <f aca="false">K314</f>
        <v>494313.53819078</v>
      </c>
      <c r="M309" s="67" t="n">
        <f aca="false">L314</f>
        <v>493663.13784385</v>
      </c>
      <c r="N309" s="67" t="n">
        <f aca="false">M314</f>
        <v>493008.943494897</v>
      </c>
      <c r="O309" s="67" t="n">
        <f aca="false">N314</f>
        <v>492350.933012242</v>
      </c>
      <c r="P309" s="67" t="n">
        <f aca="false">O314</f>
        <v>491689.084135105</v>
      </c>
      <c r="Q309" s="67" t="n">
        <f aca="false">P314</f>
        <v>491023.374472851</v>
      </c>
      <c r="R309" s="67" t="n">
        <f aca="false">Q314</f>
        <v>490353.781504234</v>
      </c>
      <c r="S309" s="67" t="n">
        <f aca="false">R314</f>
        <v>489680.282576633</v>
      </c>
      <c r="T309" s="67" t="n">
        <f aca="false">S314</f>
        <v>489002.854905288</v>
      </c>
      <c r="U309" s="67" t="n">
        <f aca="false">T314</f>
        <v>488321.475572526</v>
      </c>
      <c r="V309" s="67" t="n">
        <f aca="false">U314</f>
        <v>487636.121526991</v>
      </c>
      <c r="W309" s="67" t="n">
        <f aca="false">V314</f>
        <v>486946.769582856</v>
      </c>
      <c r="X309" s="67" t="n">
        <f aca="false">W314</f>
        <v>486253.396419047</v>
      </c>
      <c r="Y309" s="67" t="n">
        <f aca="false">X314</f>
        <v>485555.978578449</v>
      </c>
      <c r="Z309" s="67" t="n">
        <f aca="false">Y314</f>
        <v>484854.492467115</v>
      </c>
      <c r="AA309" s="67" t="n">
        <f aca="false">Z314</f>
        <v>484148.914353464</v>
      </c>
      <c r="AB309" s="67" t="n">
        <f aca="false">AA314</f>
        <v>483439.220367484</v>
      </c>
      <c r="AC309" s="67" t="n">
        <f aca="false">AB314</f>
        <v>482725.386499919</v>
      </c>
      <c r="AD309" s="67" t="n">
        <f aca="false">AC314</f>
        <v>482007.38860146</v>
      </c>
      <c r="AE309" s="67" t="n">
        <f aca="false">AD314</f>
        <v>481285.202381926</v>
      </c>
      <c r="AF309" s="67" t="n">
        <f aca="false">AE314</f>
        <v>480558.803409445</v>
      </c>
      <c r="AG309" s="67" t="n">
        <f aca="false">AF314</f>
        <v>479828.167109625</v>
      </c>
      <c r="AH309" s="67" t="n">
        <f aca="false">AG314</f>
        <v>479093.268764722</v>
      </c>
      <c r="AI309" s="67" t="n">
        <f aca="false">AH314</f>
        <v>478354.083512808</v>
      </c>
      <c r="AJ309" s="67" t="n">
        <f aca="false">AI314</f>
        <v>477610.586346923</v>
      </c>
      <c r="AK309" s="67" t="n">
        <f aca="false">AJ314</f>
        <v>476862.752114238</v>
      </c>
      <c r="AL309" s="67" t="n">
        <f aca="false">AK314</f>
        <v>476110.555515196</v>
      </c>
      <c r="AM309" s="67" t="n">
        <f aca="false">AL314</f>
        <v>475353.971102659</v>
      </c>
      <c r="AN309" s="67" t="n">
        <f aca="false">AM314</f>
        <v>474592.973281049</v>
      </c>
      <c r="AO309" s="67" t="n">
        <f aca="false">AN314</f>
        <v>473827.53630548</v>
      </c>
      <c r="AP309" s="67" t="n">
        <f aca="false">AO314</f>
        <v>473057.634280886</v>
      </c>
      <c r="AQ309" s="67" t="n">
        <f aca="false">AP314</f>
        <v>472283.241161149</v>
      </c>
      <c r="AR309" s="67" t="n">
        <f aca="false">AQ314</f>
        <v>471504.330748214</v>
      </c>
      <c r="AS309" s="67" t="n">
        <f aca="false">AR314</f>
        <v>470720.876691203</v>
      </c>
      <c r="AT309" s="67" t="n">
        <f aca="false">AS314</f>
        <v>469932.852485526</v>
      </c>
      <c r="AU309" s="67" t="n">
        <f aca="false">AT314</f>
        <v>469140.231471983</v>
      </c>
      <c r="AV309" s="67" t="n">
        <f aca="false">AU314</f>
        <v>468342.986835861</v>
      </c>
      <c r="AW309" s="67" t="n">
        <f aca="false">AV314</f>
        <v>467541.091606028</v>
      </c>
      <c r="AX309" s="67" t="n">
        <f aca="false">AW314</f>
        <v>466734.518654021</v>
      </c>
      <c r="AY309" s="67" t="n">
        <f aca="false">AX314</f>
        <v>465923.240693127</v>
      </c>
      <c r="AZ309" s="67" t="n">
        <f aca="false">AY314</f>
        <v>465107.230277462</v>
      </c>
      <c r="BA309" s="67" t="n">
        <f aca="false">AZ314</f>
        <v>464286.459801038</v>
      </c>
      <c r="BB309" s="67" t="n">
        <f aca="false">BA314</f>
        <v>463460.901496835</v>
      </c>
      <c r="BC309" s="67" t="n">
        <f aca="false">BB314</f>
        <v>462630.527435858</v>
      </c>
      <c r="BD309" s="67" t="n">
        <f aca="false">BC314</f>
        <v>461795.309526192</v>
      </c>
      <c r="BE309" s="67" t="n">
        <f aca="false">BD314</f>
        <v>460955.219512053</v>
      </c>
      <c r="BF309" s="67" t="n">
        <f aca="false">BE314</f>
        <v>460110.228972831</v>
      </c>
      <c r="BG309" s="67" t="n">
        <f aca="false">BF314</f>
        <v>459260.30932213</v>
      </c>
      <c r="BH309" s="67" t="n">
        <f aca="false">BG314</f>
        <v>458405.4318068</v>
      </c>
      <c r="BI309" s="67" t="n">
        <f aca="false">BH314</f>
        <v>457545.567505965</v>
      </c>
      <c r="BJ309" s="67" t="n">
        <f aca="false">BI314</f>
        <v>456680.687330041</v>
      </c>
    </row>
    <row r="310" customFormat="false" ht="15" hidden="false" customHeight="false" outlineLevel="0" collapsed="false">
      <c r="A310" s="6" t="s">
        <v>85</v>
      </c>
      <c r="C310" s="67" t="n">
        <f aca="false">IF(C$246=1,Inputs!$D$66,0)</f>
        <v>500000</v>
      </c>
      <c r="D310" s="67" t="n">
        <f aca="false">IF(D$246=1,Inputs!$D$66,0)</f>
        <v>0</v>
      </c>
      <c r="E310" s="67" t="n">
        <f aca="false">IF(E$246=1,Inputs!$D$66,0)</f>
        <v>0</v>
      </c>
      <c r="F310" s="67" t="n">
        <f aca="false">IF(F$246=1,Inputs!$D$66,0)</f>
        <v>0</v>
      </c>
      <c r="G310" s="67" t="n">
        <f aca="false">IF(G$246=1,Inputs!$D$66,0)</f>
        <v>0</v>
      </c>
      <c r="H310" s="67" t="n">
        <f aca="false">IF(H$246=1,Inputs!$D$66,0)</f>
        <v>0</v>
      </c>
      <c r="I310" s="67" t="n">
        <f aca="false">IF(I$246=1,Inputs!$D$66,0)</f>
        <v>0</v>
      </c>
      <c r="J310" s="67" t="n">
        <f aca="false">IF(J$246=1,Inputs!$D$66,0)</f>
        <v>0</v>
      </c>
      <c r="K310" s="67" t="n">
        <f aca="false">IF(K$246=1,Inputs!$D$66,0)</f>
        <v>0</v>
      </c>
      <c r="L310" s="67" t="n">
        <f aca="false">IF(L$246=1,Inputs!$D$66,0)</f>
        <v>0</v>
      </c>
      <c r="M310" s="67" t="n">
        <f aca="false">IF(M$246=1,Inputs!$D$66,0)</f>
        <v>0</v>
      </c>
      <c r="N310" s="67" t="n">
        <f aca="false">IF(N$246=1,Inputs!$D$66,0)</f>
        <v>0</v>
      </c>
      <c r="O310" s="67" t="n">
        <f aca="false">IF(O$246=1,Inputs!$D$66,0)</f>
        <v>0</v>
      </c>
      <c r="P310" s="67" t="n">
        <f aca="false">IF(P$246=1,Inputs!$D$66,0)</f>
        <v>0</v>
      </c>
      <c r="Q310" s="67" t="n">
        <f aca="false">IF(Q$246=1,Inputs!$D$66,0)</f>
        <v>0</v>
      </c>
      <c r="R310" s="67" t="n">
        <f aca="false">IF(R$246=1,Inputs!$D$66,0)</f>
        <v>0</v>
      </c>
      <c r="S310" s="67" t="n">
        <f aca="false">IF(S$246=1,Inputs!$D$66,0)</f>
        <v>0</v>
      </c>
      <c r="T310" s="67" t="n">
        <f aca="false">IF(T$246=1,Inputs!$D$66,0)</f>
        <v>0</v>
      </c>
      <c r="U310" s="67" t="n">
        <f aca="false">IF(U$246=1,Inputs!$D$66,0)</f>
        <v>0</v>
      </c>
      <c r="V310" s="67" t="n">
        <f aca="false">IF(V$246=1,Inputs!$D$66,0)</f>
        <v>0</v>
      </c>
      <c r="W310" s="67" t="n">
        <f aca="false">IF(W$246=1,Inputs!$D$66,0)</f>
        <v>0</v>
      </c>
      <c r="X310" s="67" t="n">
        <f aca="false">IF(X$246=1,Inputs!$D$66,0)</f>
        <v>0</v>
      </c>
      <c r="Y310" s="67" t="n">
        <f aca="false">IF(Y$246=1,Inputs!$D$66,0)</f>
        <v>0</v>
      </c>
      <c r="Z310" s="67" t="n">
        <f aca="false">IF(Z$246=1,Inputs!$D$66,0)</f>
        <v>0</v>
      </c>
      <c r="AA310" s="67" t="n">
        <f aca="false">IF(AA$246=1,Inputs!$D$66,0)</f>
        <v>0</v>
      </c>
      <c r="AB310" s="67" t="n">
        <f aca="false">IF(AB$246=1,Inputs!$D$66,0)</f>
        <v>0</v>
      </c>
      <c r="AC310" s="67" t="n">
        <f aca="false">IF(AC$246=1,Inputs!$D$66,0)</f>
        <v>0</v>
      </c>
      <c r="AD310" s="67" t="n">
        <f aca="false">IF(AD$246=1,Inputs!$D$66,0)</f>
        <v>0</v>
      </c>
      <c r="AE310" s="67" t="n">
        <f aca="false">IF(AE$246=1,Inputs!$D$66,0)</f>
        <v>0</v>
      </c>
      <c r="AF310" s="67" t="n">
        <f aca="false">IF(AF$246=1,Inputs!$D$66,0)</f>
        <v>0</v>
      </c>
      <c r="AG310" s="67" t="n">
        <f aca="false">IF(AG$246=1,Inputs!$D$66,0)</f>
        <v>0</v>
      </c>
      <c r="AH310" s="67" t="n">
        <f aca="false">IF(AH$246=1,Inputs!$D$66,0)</f>
        <v>0</v>
      </c>
      <c r="AI310" s="67" t="n">
        <f aca="false">IF(AI$246=1,Inputs!$D$66,0)</f>
        <v>0</v>
      </c>
      <c r="AJ310" s="67" t="n">
        <f aca="false">IF(AJ$246=1,Inputs!$D$66,0)</f>
        <v>0</v>
      </c>
      <c r="AK310" s="67" t="n">
        <f aca="false">IF(AK$246=1,Inputs!$D$66,0)</f>
        <v>0</v>
      </c>
      <c r="AL310" s="67" t="n">
        <f aca="false">IF(AL$246=1,Inputs!$D$66,0)</f>
        <v>0</v>
      </c>
      <c r="AM310" s="67" t="n">
        <f aca="false">IF(AM$246=1,Inputs!$D$66,0)</f>
        <v>0</v>
      </c>
      <c r="AN310" s="67" t="n">
        <f aca="false">IF(AN$246=1,Inputs!$D$66,0)</f>
        <v>0</v>
      </c>
      <c r="AO310" s="67" t="n">
        <f aca="false">IF(AO$246=1,Inputs!$D$66,0)</f>
        <v>0</v>
      </c>
      <c r="AP310" s="67" t="n">
        <f aca="false">IF(AP$246=1,Inputs!$D$66,0)</f>
        <v>0</v>
      </c>
      <c r="AQ310" s="67" t="n">
        <f aca="false">IF(AQ$246=1,Inputs!$D$66,0)</f>
        <v>0</v>
      </c>
      <c r="AR310" s="67" t="n">
        <f aca="false">IF(AR$246=1,Inputs!$D$66,0)</f>
        <v>0</v>
      </c>
      <c r="AS310" s="67" t="n">
        <f aca="false">IF(AS$246=1,Inputs!$D$66,0)</f>
        <v>0</v>
      </c>
      <c r="AT310" s="67" t="n">
        <f aca="false">IF(AT$246=1,Inputs!$D$66,0)</f>
        <v>0</v>
      </c>
      <c r="AU310" s="67" t="n">
        <f aca="false">IF(AU$246=1,Inputs!$D$66,0)</f>
        <v>0</v>
      </c>
      <c r="AV310" s="67" t="n">
        <f aca="false">IF(AV$246=1,Inputs!$D$66,0)</f>
        <v>0</v>
      </c>
      <c r="AW310" s="67" t="n">
        <f aca="false">IF(AW$246=1,Inputs!$D$66,0)</f>
        <v>0</v>
      </c>
      <c r="AX310" s="67" t="n">
        <f aca="false">IF(AX$246=1,Inputs!$D$66,0)</f>
        <v>0</v>
      </c>
      <c r="AY310" s="67" t="n">
        <f aca="false">IF(AY$246=1,Inputs!$D$66,0)</f>
        <v>0</v>
      </c>
      <c r="AZ310" s="67" t="n">
        <f aca="false">IF(AZ$246=1,Inputs!$D$66,0)</f>
        <v>0</v>
      </c>
      <c r="BA310" s="67" t="n">
        <f aca="false">IF(BA$246=1,Inputs!$D$66,0)</f>
        <v>0</v>
      </c>
      <c r="BB310" s="67" t="n">
        <f aca="false">IF(BB$246=1,Inputs!$D$66,0)</f>
        <v>0</v>
      </c>
      <c r="BC310" s="67" t="n">
        <f aca="false">IF(BC$246=1,Inputs!$D$66,0)</f>
        <v>0</v>
      </c>
      <c r="BD310" s="67" t="n">
        <f aca="false">IF(BD$246=1,Inputs!$D$66,0)</f>
        <v>0</v>
      </c>
      <c r="BE310" s="67" t="n">
        <f aca="false">IF(BE$246=1,Inputs!$D$66,0)</f>
        <v>0</v>
      </c>
      <c r="BF310" s="67" t="n">
        <f aca="false">IF(BF$246=1,Inputs!$D$66,0)</f>
        <v>0</v>
      </c>
      <c r="BG310" s="67" t="n">
        <f aca="false">IF(BG$246=1,Inputs!$D$66,0)</f>
        <v>0</v>
      </c>
      <c r="BH310" s="67" t="n">
        <f aca="false">IF(BH$246=1,Inputs!$D$66,0)</f>
        <v>0</v>
      </c>
      <c r="BI310" s="67" t="n">
        <f aca="false">IF(BI$246=1,Inputs!$D$66,0)</f>
        <v>0</v>
      </c>
      <c r="BJ310" s="67" t="n">
        <f aca="false">IF(BJ$246=1,Inputs!$D$66,0)</f>
        <v>0</v>
      </c>
    </row>
    <row r="311" customFormat="false" ht="15" hidden="false" customHeight="false" outlineLevel="0" collapsed="false">
      <c r="A311" s="6" t="s">
        <v>433</v>
      </c>
      <c r="C311" s="67" t="n">
        <f aca="false">-PMT(Inputs!$D$67/12,MAX(1,Inputs!$D$68*12),Inputs!$D$66)</f>
        <v>3533.89598637546</v>
      </c>
      <c r="D311" s="67" t="n">
        <f aca="false">-PMT(Inputs!$D$67/12,MAX(1,Inputs!$D$68*12),Inputs!$D$66)</f>
        <v>3533.89598637546</v>
      </c>
      <c r="E311" s="67" t="n">
        <f aca="false">-PMT(Inputs!$D$67/12,MAX(1,Inputs!$D$68*12),Inputs!$D$66)</f>
        <v>3533.89598637546</v>
      </c>
      <c r="F311" s="67" t="n">
        <f aca="false">-PMT(Inputs!$D$67/12,MAX(1,Inputs!$D$68*12),Inputs!$D$66)</f>
        <v>3533.89598637546</v>
      </c>
      <c r="G311" s="67" t="n">
        <f aca="false">-PMT(Inputs!$D$67/12,MAX(1,Inputs!$D$68*12),Inputs!$D$66)</f>
        <v>3533.89598637546</v>
      </c>
      <c r="H311" s="67" t="n">
        <f aca="false">-PMT(Inputs!$D$67/12,MAX(1,Inputs!$D$68*12),Inputs!$D$66)</f>
        <v>3533.89598637546</v>
      </c>
      <c r="I311" s="67" t="n">
        <f aca="false">-PMT(Inputs!$D$67/12,MAX(1,Inputs!$D$68*12),Inputs!$D$66)</f>
        <v>3533.89598637546</v>
      </c>
      <c r="J311" s="67" t="n">
        <f aca="false">-PMT(Inputs!$D$67/12,MAX(1,Inputs!$D$68*12),Inputs!$D$66)</f>
        <v>3533.89598637546</v>
      </c>
      <c r="K311" s="67" t="n">
        <f aca="false">-PMT(Inputs!$D$67/12,MAX(1,Inputs!$D$68*12),Inputs!$D$66)</f>
        <v>3533.89598637546</v>
      </c>
      <c r="L311" s="67" t="n">
        <f aca="false">-PMT(Inputs!$D$67/12,MAX(1,Inputs!$D$68*12),Inputs!$D$66)</f>
        <v>3533.89598637546</v>
      </c>
      <c r="M311" s="67" t="n">
        <f aca="false">-PMT(Inputs!$D$67/12,MAX(1,Inputs!$D$68*12),Inputs!$D$66)</f>
        <v>3533.89598637546</v>
      </c>
      <c r="N311" s="67" t="n">
        <f aca="false">-PMT(Inputs!$D$67/12,MAX(1,Inputs!$D$68*12),Inputs!$D$66)</f>
        <v>3533.89598637546</v>
      </c>
      <c r="O311" s="67" t="n">
        <f aca="false">-PMT(Inputs!$D$67/12,MAX(1,Inputs!$D$68*12),Inputs!$D$66)</f>
        <v>3533.89598637546</v>
      </c>
      <c r="P311" s="67" t="n">
        <f aca="false">-PMT(Inputs!$D$67/12,MAX(1,Inputs!$D$68*12),Inputs!$D$66)</f>
        <v>3533.89598637546</v>
      </c>
      <c r="Q311" s="67" t="n">
        <f aca="false">-PMT(Inputs!$D$67/12,MAX(1,Inputs!$D$68*12),Inputs!$D$66)</f>
        <v>3533.89598637546</v>
      </c>
      <c r="R311" s="67" t="n">
        <f aca="false">-PMT(Inputs!$D$67/12,MAX(1,Inputs!$D$68*12),Inputs!$D$66)</f>
        <v>3533.89598637546</v>
      </c>
      <c r="S311" s="67" t="n">
        <f aca="false">-PMT(Inputs!$D$67/12,MAX(1,Inputs!$D$68*12),Inputs!$D$66)</f>
        <v>3533.89598637546</v>
      </c>
      <c r="T311" s="67" t="n">
        <f aca="false">-PMT(Inputs!$D$67/12,MAX(1,Inputs!$D$68*12),Inputs!$D$66)</f>
        <v>3533.89598637546</v>
      </c>
      <c r="U311" s="67" t="n">
        <f aca="false">-PMT(Inputs!$D$67/12,MAX(1,Inputs!$D$68*12),Inputs!$D$66)</f>
        <v>3533.89598637546</v>
      </c>
      <c r="V311" s="67" t="n">
        <f aca="false">-PMT(Inputs!$D$67/12,MAX(1,Inputs!$D$68*12),Inputs!$D$66)</f>
        <v>3533.89598637546</v>
      </c>
      <c r="W311" s="67" t="n">
        <f aca="false">-PMT(Inputs!$D$67/12,MAX(1,Inputs!$D$68*12),Inputs!$D$66)</f>
        <v>3533.89598637546</v>
      </c>
      <c r="X311" s="67" t="n">
        <f aca="false">-PMT(Inputs!$D$67/12,MAX(1,Inputs!$D$68*12),Inputs!$D$66)</f>
        <v>3533.89598637546</v>
      </c>
      <c r="Y311" s="67" t="n">
        <f aca="false">-PMT(Inputs!$D$67/12,MAX(1,Inputs!$D$68*12),Inputs!$D$66)</f>
        <v>3533.89598637546</v>
      </c>
      <c r="Z311" s="67" t="n">
        <f aca="false">-PMT(Inputs!$D$67/12,MAX(1,Inputs!$D$68*12),Inputs!$D$66)</f>
        <v>3533.89598637546</v>
      </c>
      <c r="AA311" s="67" t="n">
        <f aca="false">-PMT(Inputs!$D$67/12,MAX(1,Inputs!$D$68*12),Inputs!$D$66)</f>
        <v>3533.89598637546</v>
      </c>
      <c r="AB311" s="67" t="n">
        <f aca="false">-PMT(Inputs!$D$67/12,MAX(1,Inputs!$D$68*12),Inputs!$D$66)</f>
        <v>3533.89598637546</v>
      </c>
      <c r="AC311" s="67" t="n">
        <f aca="false">-PMT(Inputs!$D$67/12,MAX(1,Inputs!$D$68*12),Inputs!$D$66)</f>
        <v>3533.89598637546</v>
      </c>
      <c r="AD311" s="67" t="n">
        <f aca="false">-PMT(Inputs!$D$67/12,MAX(1,Inputs!$D$68*12),Inputs!$D$66)</f>
        <v>3533.89598637546</v>
      </c>
      <c r="AE311" s="67" t="n">
        <f aca="false">-PMT(Inputs!$D$67/12,MAX(1,Inputs!$D$68*12),Inputs!$D$66)</f>
        <v>3533.89598637546</v>
      </c>
      <c r="AF311" s="67" t="n">
        <f aca="false">-PMT(Inputs!$D$67/12,MAX(1,Inputs!$D$68*12),Inputs!$D$66)</f>
        <v>3533.89598637546</v>
      </c>
      <c r="AG311" s="67" t="n">
        <f aca="false">-PMT(Inputs!$D$67/12,MAX(1,Inputs!$D$68*12),Inputs!$D$66)</f>
        <v>3533.89598637546</v>
      </c>
      <c r="AH311" s="67" t="n">
        <f aca="false">-PMT(Inputs!$D$67/12,MAX(1,Inputs!$D$68*12),Inputs!$D$66)</f>
        <v>3533.89598637546</v>
      </c>
      <c r="AI311" s="67" t="n">
        <f aca="false">-PMT(Inputs!$D$67/12,MAX(1,Inputs!$D$68*12),Inputs!$D$66)</f>
        <v>3533.89598637546</v>
      </c>
      <c r="AJ311" s="67" t="n">
        <f aca="false">-PMT(Inputs!$D$67/12,MAX(1,Inputs!$D$68*12),Inputs!$D$66)</f>
        <v>3533.89598637546</v>
      </c>
      <c r="AK311" s="67" t="n">
        <f aca="false">-PMT(Inputs!$D$67/12,MAX(1,Inputs!$D$68*12),Inputs!$D$66)</f>
        <v>3533.89598637546</v>
      </c>
      <c r="AL311" s="67" t="n">
        <f aca="false">-PMT(Inputs!$D$67/12,MAX(1,Inputs!$D$68*12),Inputs!$D$66)</f>
        <v>3533.89598637546</v>
      </c>
      <c r="AM311" s="67" t="n">
        <f aca="false">-PMT(Inputs!$D$67/12,MAX(1,Inputs!$D$68*12),Inputs!$D$66)</f>
        <v>3533.89598637546</v>
      </c>
      <c r="AN311" s="67" t="n">
        <f aca="false">-PMT(Inputs!$D$67/12,MAX(1,Inputs!$D$68*12),Inputs!$D$66)</f>
        <v>3533.89598637546</v>
      </c>
      <c r="AO311" s="67" t="n">
        <f aca="false">-PMT(Inputs!$D$67/12,MAX(1,Inputs!$D$68*12),Inputs!$D$66)</f>
        <v>3533.89598637546</v>
      </c>
      <c r="AP311" s="67" t="n">
        <f aca="false">-PMT(Inputs!$D$67/12,MAX(1,Inputs!$D$68*12),Inputs!$D$66)</f>
        <v>3533.89598637546</v>
      </c>
      <c r="AQ311" s="67" t="n">
        <f aca="false">-PMT(Inputs!$D$67/12,MAX(1,Inputs!$D$68*12),Inputs!$D$66)</f>
        <v>3533.89598637546</v>
      </c>
      <c r="AR311" s="67" t="n">
        <f aca="false">-PMT(Inputs!$D$67/12,MAX(1,Inputs!$D$68*12),Inputs!$D$66)</f>
        <v>3533.89598637546</v>
      </c>
      <c r="AS311" s="67" t="n">
        <f aca="false">-PMT(Inputs!$D$67/12,MAX(1,Inputs!$D$68*12),Inputs!$D$66)</f>
        <v>3533.89598637546</v>
      </c>
      <c r="AT311" s="67" t="n">
        <f aca="false">-PMT(Inputs!$D$67/12,MAX(1,Inputs!$D$68*12),Inputs!$D$66)</f>
        <v>3533.89598637546</v>
      </c>
      <c r="AU311" s="67" t="n">
        <f aca="false">-PMT(Inputs!$D$67/12,MAX(1,Inputs!$D$68*12),Inputs!$D$66)</f>
        <v>3533.89598637546</v>
      </c>
      <c r="AV311" s="67" t="n">
        <f aca="false">-PMT(Inputs!$D$67/12,MAX(1,Inputs!$D$68*12),Inputs!$D$66)</f>
        <v>3533.89598637546</v>
      </c>
      <c r="AW311" s="67" t="n">
        <f aca="false">-PMT(Inputs!$D$67/12,MAX(1,Inputs!$D$68*12),Inputs!$D$66)</f>
        <v>3533.89598637546</v>
      </c>
      <c r="AX311" s="67" t="n">
        <f aca="false">-PMT(Inputs!$D$67/12,MAX(1,Inputs!$D$68*12),Inputs!$D$66)</f>
        <v>3533.89598637546</v>
      </c>
      <c r="AY311" s="67" t="n">
        <f aca="false">-PMT(Inputs!$D$67/12,MAX(1,Inputs!$D$68*12),Inputs!$D$66)</f>
        <v>3533.89598637546</v>
      </c>
      <c r="AZ311" s="67" t="n">
        <f aca="false">-PMT(Inputs!$D$67/12,MAX(1,Inputs!$D$68*12),Inputs!$D$66)</f>
        <v>3533.89598637546</v>
      </c>
      <c r="BA311" s="67" t="n">
        <f aca="false">-PMT(Inputs!$D$67/12,MAX(1,Inputs!$D$68*12),Inputs!$D$66)</f>
        <v>3533.89598637546</v>
      </c>
      <c r="BB311" s="67" t="n">
        <f aca="false">-PMT(Inputs!$D$67/12,MAX(1,Inputs!$D$68*12),Inputs!$D$66)</f>
        <v>3533.89598637546</v>
      </c>
      <c r="BC311" s="67" t="n">
        <f aca="false">-PMT(Inputs!$D$67/12,MAX(1,Inputs!$D$68*12),Inputs!$D$66)</f>
        <v>3533.89598637546</v>
      </c>
      <c r="BD311" s="67" t="n">
        <f aca="false">-PMT(Inputs!$D$67/12,MAX(1,Inputs!$D$68*12),Inputs!$D$66)</f>
        <v>3533.89598637546</v>
      </c>
      <c r="BE311" s="67" t="n">
        <f aca="false">-PMT(Inputs!$D$67/12,MAX(1,Inputs!$D$68*12),Inputs!$D$66)</f>
        <v>3533.89598637546</v>
      </c>
      <c r="BF311" s="67" t="n">
        <f aca="false">-PMT(Inputs!$D$67/12,MAX(1,Inputs!$D$68*12),Inputs!$D$66)</f>
        <v>3533.89598637546</v>
      </c>
      <c r="BG311" s="67" t="n">
        <f aca="false">-PMT(Inputs!$D$67/12,MAX(1,Inputs!$D$68*12),Inputs!$D$66)</f>
        <v>3533.89598637546</v>
      </c>
      <c r="BH311" s="67" t="n">
        <f aca="false">-PMT(Inputs!$D$67/12,MAX(1,Inputs!$D$68*12),Inputs!$D$66)</f>
        <v>3533.89598637546</v>
      </c>
      <c r="BI311" s="67" t="n">
        <f aca="false">-PMT(Inputs!$D$67/12,MAX(1,Inputs!$D$68*12),Inputs!$D$66)</f>
        <v>3533.89598637546</v>
      </c>
      <c r="BJ311" s="67" t="n">
        <f aca="false">-PMT(Inputs!$D$67/12,MAX(1,Inputs!$D$68*12),Inputs!$D$66)</f>
        <v>3533.89598637546</v>
      </c>
    </row>
    <row r="312" customFormat="false" ht="15" hidden="false" customHeight="false" outlineLevel="0" collapsed="false">
      <c r="A312" s="6" t="s">
        <v>434</v>
      </c>
      <c r="C312" s="67" t="n">
        <f aca="false">-MIN(C309+C310,C311+C288)</f>
        <v>-617.229319708792</v>
      </c>
      <c r="D312" s="67" t="n">
        <f aca="false">-MIN(D309+D310,D311+D288)</f>
        <v>-620.82982407376</v>
      </c>
      <c r="E312" s="67" t="n">
        <f aca="false">-MIN(E309+E310,E311+E288)</f>
        <v>-624.451331380857</v>
      </c>
      <c r="F312" s="67" t="n">
        <f aca="false">-MIN(F309+F310,F311+F288)</f>
        <v>-628.093964147245</v>
      </c>
      <c r="G312" s="67" t="n">
        <f aca="false">-MIN(G309+G310,G311+G288)</f>
        <v>-631.757845604771</v>
      </c>
      <c r="H312" s="67" t="n">
        <f aca="false">-MIN(H309+H310,H311+H288)</f>
        <v>-635.443099704132</v>
      </c>
      <c r="I312" s="67" t="n">
        <f aca="false">-MIN(I309+I310,I311+I288)</f>
        <v>-639.149851119073</v>
      </c>
      <c r="J312" s="67" t="n">
        <f aca="false">-MIN(J309+J310,J311+J288)</f>
        <v>-642.878225250601</v>
      </c>
      <c r="K312" s="67" t="n">
        <f aca="false">-MIN(K309+K310,K311+K288)</f>
        <v>-646.62834823123</v>
      </c>
      <c r="L312" s="67" t="n">
        <f aca="false">-MIN(L309+L310,L311+L288)</f>
        <v>-650.400346929245</v>
      </c>
      <c r="M312" s="67" t="n">
        <f aca="false">-MIN(M309+M310,M311+M288)</f>
        <v>-654.194348952999</v>
      </c>
      <c r="N312" s="67" t="n">
        <f aca="false">-MIN(N309+N310,N311+N288)</f>
        <v>-658.010482655225</v>
      </c>
      <c r="O312" s="67" t="n">
        <f aca="false">-MIN(O309+O310,O311+O288)</f>
        <v>-661.84887713738</v>
      </c>
      <c r="P312" s="67" t="n">
        <f aca="false">-MIN(P309+P310,P311+P288)</f>
        <v>-665.709662254014</v>
      </c>
      <c r="Q312" s="67" t="n">
        <f aca="false">-MIN(Q309+Q310,Q311+Q288)</f>
        <v>-669.592968617164</v>
      </c>
      <c r="R312" s="67" t="n">
        <f aca="false">-MIN(R309+R310,R311+R288)</f>
        <v>-673.498927600764</v>
      </c>
      <c r="S312" s="67" t="n">
        <f aca="false">-MIN(S309+S310,S311+S288)</f>
        <v>-677.427671345101</v>
      </c>
      <c r="T312" s="67" t="n">
        <f aca="false">-MIN(T309+T310,T311+T288)</f>
        <v>-681.379332761281</v>
      </c>
      <c r="U312" s="67" t="n">
        <f aca="false">-MIN(U309+U310,U311+U288)</f>
        <v>-685.354045535722</v>
      </c>
      <c r="V312" s="67" t="n">
        <f aca="false">-MIN(V309+V310,V311+V288)</f>
        <v>-689.35194413468</v>
      </c>
      <c r="W312" s="67" t="n">
        <f aca="false">-MIN(W309+W310,W311+W288)</f>
        <v>-693.373163808799</v>
      </c>
      <c r="X312" s="67" t="n">
        <f aca="false">-MIN(X309+X310,X311+X288)</f>
        <v>-697.417840597684</v>
      </c>
      <c r="Y312" s="67" t="n">
        <f aca="false">-MIN(Y309+Y310,Y311+Y288)</f>
        <v>-701.486111334503</v>
      </c>
      <c r="Z312" s="67" t="n">
        <f aca="false">-MIN(Z309+Z310,Z311+Z288)</f>
        <v>-705.578113650622</v>
      </c>
      <c r="AA312" s="67" t="n">
        <f aca="false">-MIN(AA309+AA310,AA311+AA288)</f>
        <v>-709.69398598025</v>
      </c>
      <c r="AB312" s="67" t="n">
        <f aca="false">-MIN(AB309+AB310,AB311+AB288)</f>
        <v>-713.833867565135</v>
      </c>
      <c r="AC312" s="67" t="n">
        <f aca="false">-MIN(AC309+AC310,AC311+AC288)</f>
        <v>-717.997898459265</v>
      </c>
      <c r="AD312" s="67" t="n">
        <f aca="false">-MIN(AD309+AD310,AD311+AD288)</f>
        <v>-722.186219533611</v>
      </c>
      <c r="AE312" s="67" t="n">
        <f aca="false">-MIN(AE309+AE310,AE311+AE288)</f>
        <v>-726.39897248089</v>
      </c>
      <c r="AF312" s="67" t="n">
        <f aca="false">-MIN(AF309+AF310,AF311+AF288)</f>
        <v>-730.636299820362</v>
      </c>
      <c r="AG312" s="67" t="n">
        <f aca="false">-MIN(AG309+AG310,AG311+AG288)</f>
        <v>-734.898344902647</v>
      </c>
      <c r="AH312" s="67" t="n">
        <f aca="false">-MIN(AH309+AH310,AH311+AH288)</f>
        <v>-739.18525191458</v>
      </c>
      <c r="AI312" s="67" t="n">
        <f aca="false">-MIN(AI309+AI310,AI311+AI288)</f>
        <v>-743.497165884082</v>
      </c>
      <c r="AJ312" s="67" t="n">
        <f aca="false">-MIN(AJ309+AJ310,AJ311+AJ288)</f>
        <v>-747.834232685072</v>
      </c>
      <c r="AK312" s="67" t="n">
        <f aca="false">-MIN(AK309+AK310,AK311+AK288)</f>
        <v>-752.196599042402</v>
      </c>
      <c r="AL312" s="67" t="n">
        <f aca="false">-MIN(AL309+AL310,AL311+AL288)</f>
        <v>-756.584412536815</v>
      </c>
      <c r="AM312" s="67" t="n">
        <f aca="false">-MIN(AM309+AM310,AM311+AM288)</f>
        <v>-760.997821609948</v>
      </c>
      <c r="AN312" s="67" t="n">
        <f aca="false">-MIN(AN309+AN310,AN311+AN288)</f>
        <v>-765.436975569339</v>
      </c>
      <c r="AO312" s="67" t="n">
        <f aca="false">-MIN(AO309+AO310,AO311+AO288)</f>
        <v>-769.902024593493</v>
      </c>
      <c r="AP312" s="67" t="n">
        <f aca="false">-MIN(AP309+AP310,AP311+AP288)</f>
        <v>-774.393119736955</v>
      </c>
      <c r="AQ312" s="67" t="n">
        <f aca="false">-MIN(AQ309+AQ310,AQ311+AQ288)</f>
        <v>-778.910412935421</v>
      </c>
      <c r="AR312" s="67" t="n">
        <f aca="false">-MIN(AR309+AR310,AR311+AR288)</f>
        <v>-783.454057010878</v>
      </c>
      <c r="AS312" s="67" t="n">
        <f aca="false">-MIN(AS309+AS310,AS311+AS288)</f>
        <v>-788.024205676774</v>
      </c>
      <c r="AT312" s="67" t="n">
        <f aca="false">-MIN(AT309+AT310,AT311+AT288)</f>
        <v>-792.621013543222</v>
      </c>
      <c r="AU312" s="67" t="n">
        <f aca="false">-MIN(AU309+AU310,AU311+AU288)</f>
        <v>-797.244636122224</v>
      </c>
      <c r="AV312" s="67" t="n">
        <f aca="false">-MIN(AV309+AV310,AV311+AV288)</f>
        <v>-801.895229832937</v>
      </c>
      <c r="AW312" s="67" t="n">
        <f aca="false">-MIN(AW309+AW310,AW311+AW288)</f>
        <v>-806.572952006962</v>
      </c>
      <c r="AX312" s="67" t="n">
        <f aca="false">-MIN(AX309+AX310,AX311+AX288)</f>
        <v>-811.277960893669</v>
      </c>
      <c r="AY312" s="67" t="n">
        <f aca="false">-MIN(AY309+AY310,AY311+AY288)</f>
        <v>-816.010415665549</v>
      </c>
      <c r="AZ312" s="67" t="n">
        <f aca="false">-MIN(AZ309+AZ310,AZ311+AZ288)</f>
        <v>-820.770476423598</v>
      </c>
      <c r="BA312" s="67" t="n">
        <f aca="false">-MIN(BA309+BA310,BA311+BA288)</f>
        <v>-825.558304202736</v>
      </c>
      <c r="BB312" s="67" t="n">
        <f aca="false">-MIN(BB309+BB310,BB311+BB288)</f>
        <v>-830.374060977252</v>
      </c>
      <c r="BC312" s="67" t="n">
        <f aca="false">-MIN(BC309+BC310,BC311+BC288)</f>
        <v>-835.217909666286</v>
      </c>
      <c r="BD312" s="67" t="n">
        <f aca="false">-MIN(BD309+BD310,BD311+BD288)</f>
        <v>-840.09001413934</v>
      </c>
      <c r="BE312" s="67" t="n">
        <f aca="false">-MIN(BE309+BE310,BE311+BE288)</f>
        <v>-844.990539221819</v>
      </c>
      <c r="BF312" s="67" t="n">
        <f aca="false">-MIN(BF309+BF310,BF311+BF288)</f>
        <v>-849.919650700613</v>
      </c>
      <c r="BG312" s="67" t="n">
        <f aca="false">-MIN(BG309+BG310,BG311+BG288)</f>
        <v>-854.8775153297</v>
      </c>
      <c r="BH312" s="67" t="n">
        <f aca="false">-MIN(BH309+BH310,BH311+BH288)</f>
        <v>-859.86430083579</v>
      </c>
      <c r="BI312" s="67" t="n">
        <f aca="false">-MIN(BI309+BI310,BI311+BI288)</f>
        <v>-864.880175923999</v>
      </c>
      <c r="BJ312" s="67" t="n">
        <f aca="false">-MIN(BJ309+BJ310,BJ311+BJ288)</f>
        <v>-869.925310283555</v>
      </c>
    </row>
    <row r="313" customFormat="false" ht="15" hidden="false" customHeight="false" outlineLevel="0" collapsed="false">
      <c r="A313" s="6" t="s">
        <v>435</v>
      </c>
      <c r="C313" s="67" t="n">
        <f aca="false">C288+C312</f>
        <v>-3533.89598637546</v>
      </c>
      <c r="D313" s="67" t="n">
        <f aca="false">D288+D312</f>
        <v>-3533.89598637546</v>
      </c>
      <c r="E313" s="67" t="n">
        <f aca="false">E288+E312</f>
        <v>-3533.89598637546</v>
      </c>
      <c r="F313" s="67" t="n">
        <f aca="false">F288+F312</f>
        <v>-3533.89598637546</v>
      </c>
      <c r="G313" s="67" t="n">
        <f aca="false">G288+G312</f>
        <v>-3533.89598637546</v>
      </c>
      <c r="H313" s="67" t="n">
        <f aca="false">H288+H312</f>
        <v>-3533.89598637546</v>
      </c>
      <c r="I313" s="67" t="n">
        <f aca="false">I288+I312</f>
        <v>-3533.89598637546</v>
      </c>
      <c r="J313" s="67" t="n">
        <f aca="false">J288+J312</f>
        <v>-3533.89598637546</v>
      </c>
      <c r="K313" s="67" t="n">
        <f aca="false">K288+K312</f>
        <v>-3533.89598637546</v>
      </c>
      <c r="L313" s="67" t="n">
        <f aca="false">L288+L312</f>
        <v>-3533.89598637546</v>
      </c>
      <c r="M313" s="67" t="n">
        <f aca="false">M288+M312</f>
        <v>-3533.89598637546</v>
      </c>
      <c r="N313" s="67" t="n">
        <f aca="false">N288+N312</f>
        <v>-3533.89598637546</v>
      </c>
      <c r="O313" s="67" t="n">
        <f aca="false">O288+O312</f>
        <v>-3533.89598637546</v>
      </c>
      <c r="P313" s="67" t="n">
        <f aca="false">P288+P312</f>
        <v>-3533.89598637546</v>
      </c>
      <c r="Q313" s="67" t="n">
        <f aca="false">Q288+Q312</f>
        <v>-3533.89598637546</v>
      </c>
      <c r="R313" s="67" t="n">
        <f aca="false">R288+R312</f>
        <v>-3533.89598637546</v>
      </c>
      <c r="S313" s="67" t="n">
        <f aca="false">S288+S312</f>
        <v>-3533.89598637546</v>
      </c>
      <c r="T313" s="67" t="n">
        <f aca="false">T288+T312</f>
        <v>-3533.89598637546</v>
      </c>
      <c r="U313" s="67" t="n">
        <f aca="false">U288+U312</f>
        <v>-3533.89598637546</v>
      </c>
      <c r="V313" s="67" t="n">
        <f aca="false">V288+V312</f>
        <v>-3533.89598637546</v>
      </c>
      <c r="W313" s="67" t="n">
        <f aca="false">W288+W312</f>
        <v>-3533.89598637546</v>
      </c>
      <c r="X313" s="67" t="n">
        <f aca="false">X288+X312</f>
        <v>-3533.89598637546</v>
      </c>
      <c r="Y313" s="67" t="n">
        <f aca="false">Y288+Y312</f>
        <v>-3533.89598637546</v>
      </c>
      <c r="Z313" s="67" t="n">
        <f aca="false">Z288+Z312</f>
        <v>-3533.89598637546</v>
      </c>
      <c r="AA313" s="67" t="n">
        <f aca="false">AA288+AA312</f>
        <v>-3533.89598637546</v>
      </c>
      <c r="AB313" s="67" t="n">
        <f aca="false">AB288+AB312</f>
        <v>-3533.89598637546</v>
      </c>
      <c r="AC313" s="67" t="n">
        <f aca="false">AC288+AC312</f>
        <v>-3533.89598637546</v>
      </c>
      <c r="AD313" s="67" t="n">
        <f aca="false">AD288+AD312</f>
        <v>-3533.89598637546</v>
      </c>
      <c r="AE313" s="67" t="n">
        <f aca="false">AE288+AE312</f>
        <v>-3533.89598637546</v>
      </c>
      <c r="AF313" s="67" t="n">
        <f aca="false">AF288+AF312</f>
        <v>-3533.89598637546</v>
      </c>
      <c r="AG313" s="67" t="n">
        <f aca="false">AG288+AG312</f>
        <v>-3533.89598637546</v>
      </c>
      <c r="AH313" s="67" t="n">
        <f aca="false">AH288+AH312</f>
        <v>-3533.89598637546</v>
      </c>
      <c r="AI313" s="67" t="n">
        <f aca="false">AI288+AI312</f>
        <v>-3533.89598637546</v>
      </c>
      <c r="AJ313" s="67" t="n">
        <f aca="false">AJ288+AJ312</f>
        <v>-3533.89598637546</v>
      </c>
      <c r="AK313" s="67" t="n">
        <f aca="false">AK288+AK312</f>
        <v>-3533.89598637546</v>
      </c>
      <c r="AL313" s="67" t="n">
        <f aca="false">AL288+AL312</f>
        <v>-3533.89598637546</v>
      </c>
      <c r="AM313" s="67" t="n">
        <f aca="false">AM288+AM312</f>
        <v>-3533.89598637546</v>
      </c>
      <c r="AN313" s="67" t="n">
        <f aca="false">AN288+AN312</f>
        <v>-3533.89598637546</v>
      </c>
      <c r="AO313" s="67" t="n">
        <f aca="false">AO288+AO312</f>
        <v>-3533.89598637546</v>
      </c>
      <c r="AP313" s="67" t="n">
        <f aca="false">AP288+AP312</f>
        <v>-3533.89598637546</v>
      </c>
      <c r="AQ313" s="67" t="n">
        <f aca="false">AQ288+AQ312</f>
        <v>-3533.89598637546</v>
      </c>
      <c r="AR313" s="67" t="n">
        <f aca="false">AR288+AR312</f>
        <v>-3533.89598637546</v>
      </c>
      <c r="AS313" s="67" t="n">
        <f aca="false">AS288+AS312</f>
        <v>-3533.89598637546</v>
      </c>
      <c r="AT313" s="67" t="n">
        <f aca="false">AT288+AT312</f>
        <v>-3533.89598637546</v>
      </c>
      <c r="AU313" s="67" t="n">
        <f aca="false">AU288+AU312</f>
        <v>-3533.89598637546</v>
      </c>
      <c r="AV313" s="67" t="n">
        <f aca="false">AV288+AV312</f>
        <v>-3533.89598637546</v>
      </c>
      <c r="AW313" s="67" t="n">
        <f aca="false">AW288+AW312</f>
        <v>-3533.89598637546</v>
      </c>
      <c r="AX313" s="67" t="n">
        <f aca="false">AX288+AX312</f>
        <v>-3533.89598637546</v>
      </c>
      <c r="AY313" s="67" t="n">
        <f aca="false">AY288+AY312</f>
        <v>-3533.89598637546</v>
      </c>
      <c r="AZ313" s="67" t="n">
        <f aca="false">AZ288+AZ312</f>
        <v>-3533.89598637546</v>
      </c>
      <c r="BA313" s="67" t="n">
        <f aca="false">BA288+BA312</f>
        <v>-3533.89598637546</v>
      </c>
      <c r="BB313" s="67" t="n">
        <f aca="false">BB288+BB312</f>
        <v>-3533.89598637546</v>
      </c>
      <c r="BC313" s="67" t="n">
        <f aca="false">BC288+BC312</f>
        <v>-3533.89598637546</v>
      </c>
      <c r="BD313" s="67" t="n">
        <f aca="false">BD288+BD312</f>
        <v>-3533.89598637546</v>
      </c>
      <c r="BE313" s="67" t="n">
        <f aca="false">BE288+BE312</f>
        <v>-3533.89598637546</v>
      </c>
      <c r="BF313" s="67" t="n">
        <f aca="false">BF288+BF312</f>
        <v>-3533.89598637546</v>
      </c>
      <c r="BG313" s="67" t="n">
        <f aca="false">BG288+BG312</f>
        <v>-3533.89598637546</v>
      </c>
      <c r="BH313" s="67" t="n">
        <f aca="false">BH288+BH312</f>
        <v>-3533.89598637546</v>
      </c>
      <c r="BI313" s="67" t="n">
        <f aca="false">BI288+BI312</f>
        <v>-3533.89598637546</v>
      </c>
      <c r="BJ313" s="67" t="n">
        <f aca="false">BJ288+BJ312</f>
        <v>-3533.89598637546</v>
      </c>
    </row>
    <row r="314" customFormat="false" ht="15" hidden="false" customHeight="false" outlineLevel="0" collapsed="false">
      <c r="A314" s="4" t="s">
        <v>436</v>
      </c>
      <c r="C314" s="73" t="n">
        <f aca="false">C309+C310+C312</f>
        <v>499382.770680291</v>
      </c>
      <c r="D314" s="73" t="n">
        <f aca="false">D309+D310+D312</f>
        <v>498761.940856217</v>
      </c>
      <c r="E314" s="73" t="n">
        <f aca="false">E309+E310+E312</f>
        <v>498137.489524837</v>
      </c>
      <c r="F314" s="73" t="n">
        <f aca="false">F309+F310+F312</f>
        <v>497509.395560689</v>
      </c>
      <c r="G314" s="73" t="n">
        <f aca="false">G309+G310+G312</f>
        <v>496877.637715085</v>
      </c>
      <c r="H314" s="73" t="n">
        <f aca="false">H309+H310+H312</f>
        <v>496242.19461538</v>
      </c>
      <c r="I314" s="73" t="n">
        <f aca="false">I309+I310+I312</f>
        <v>495603.044764261</v>
      </c>
      <c r="J314" s="73" t="n">
        <f aca="false">J309+J310+J312</f>
        <v>494960.166539011</v>
      </c>
      <c r="K314" s="73" t="n">
        <f aca="false">K309+K310+K312</f>
        <v>494313.53819078</v>
      </c>
      <c r="L314" s="73" t="n">
        <f aca="false">L309+L310+L312</f>
        <v>493663.13784385</v>
      </c>
      <c r="M314" s="73" t="n">
        <f aca="false">M309+M310+M312</f>
        <v>493008.943494897</v>
      </c>
      <c r="N314" s="73" t="n">
        <f aca="false">N309+N310+N312</f>
        <v>492350.933012242</v>
      </c>
      <c r="O314" s="73" t="n">
        <f aca="false">O309+O310+O312</f>
        <v>491689.084135105</v>
      </c>
      <c r="P314" s="73" t="n">
        <f aca="false">P309+P310+P312</f>
        <v>491023.374472851</v>
      </c>
      <c r="Q314" s="73" t="n">
        <f aca="false">Q309+Q310+Q312</f>
        <v>490353.781504234</v>
      </c>
      <c r="R314" s="73" t="n">
        <f aca="false">R309+R310+R312</f>
        <v>489680.282576633</v>
      </c>
      <c r="S314" s="73" t="n">
        <f aca="false">S309+S310+S312</f>
        <v>489002.854905288</v>
      </c>
      <c r="T314" s="73" t="n">
        <f aca="false">T309+T310+T312</f>
        <v>488321.475572526</v>
      </c>
      <c r="U314" s="73" t="n">
        <f aca="false">U309+U310+U312</f>
        <v>487636.121526991</v>
      </c>
      <c r="V314" s="73" t="n">
        <f aca="false">V309+V310+V312</f>
        <v>486946.769582856</v>
      </c>
      <c r="W314" s="73" t="n">
        <f aca="false">W309+W310+W312</f>
        <v>486253.396419047</v>
      </c>
      <c r="X314" s="73" t="n">
        <f aca="false">X309+X310+X312</f>
        <v>485555.978578449</v>
      </c>
      <c r="Y314" s="73" t="n">
        <f aca="false">Y309+Y310+Y312</f>
        <v>484854.492467115</v>
      </c>
      <c r="Z314" s="73" t="n">
        <f aca="false">Z309+Z310+Z312</f>
        <v>484148.914353464</v>
      </c>
      <c r="AA314" s="73" t="n">
        <f aca="false">AA309+AA310+AA312</f>
        <v>483439.220367484</v>
      </c>
      <c r="AB314" s="73" t="n">
        <f aca="false">AB309+AB310+AB312</f>
        <v>482725.386499919</v>
      </c>
      <c r="AC314" s="73" t="n">
        <f aca="false">AC309+AC310+AC312</f>
        <v>482007.38860146</v>
      </c>
      <c r="AD314" s="73" t="n">
        <f aca="false">AD309+AD310+AD312</f>
        <v>481285.202381926</v>
      </c>
      <c r="AE314" s="73" t="n">
        <f aca="false">AE309+AE310+AE312</f>
        <v>480558.803409445</v>
      </c>
      <c r="AF314" s="73" t="n">
        <f aca="false">AF309+AF310+AF312</f>
        <v>479828.167109625</v>
      </c>
      <c r="AG314" s="73" t="n">
        <f aca="false">AG309+AG310+AG312</f>
        <v>479093.268764722</v>
      </c>
      <c r="AH314" s="73" t="n">
        <f aca="false">AH309+AH310+AH312</f>
        <v>478354.083512808</v>
      </c>
      <c r="AI314" s="73" t="n">
        <f aca="false">AI309+AI310+AI312</f>
        <v>477610.586346923</v>
      </c>
      <c r="AJ314" s="73" t="n">
        <f aca="false">AJ309+AJ310+AJ312</f>
        <v>476862.752114238</v>
      </c>
      <c r="AK314" s="73" t="n">
        <f aca="false">AK309+AK310+AK312</f>
        <v>476110.555515196</v>
      </c>
      <c r="AL314" s="73" t="n">
        <f aca="false">AL309+AL310+AL312</f>
        <v>475353.971102659</v>
      </c>
      <c r="AM314" s="73" t="n">
        <f aca="false">AM309+AM310+AM312</f>
        <v>474592.973281049</v>
      </c>
      <c r="AN314" s="73" t="n">
        <f aca="false">AN309+AN310+AN312</f>
        <v>473827.53630548</v>
      </c>
      <c r="AO314" s="73" t="n">
        <f aca="false">AO309+AO310+AO312</f>
        <v>473057.634280886</v>
      </c>
      <c r="AP314" s="73" t="n">
        <f aca="false">AP309+AP310+AP312</f>
        <v>472283.241161149</v>
      </c>
      <c r="AQ314" s="73" t="n">
        <f aca="false">AQ309+AQ310+AQ312</f>
        <v>471504.330748214</v>
      </c>
      <c r="AR314" s="73" t="n">
        <f aca="false">AR309+AR310+AR312</f>
        <v>470720.876691203</v>
      </c>
      <c r="AS314" s="73" t="n">
        <f aca="false">AS309+AS310+AS312</f>
        <v>469932.852485526</v>
      </c>
      <c r="AT314" s="73" t="n">
        <f aca="false">AT309+AT310+AT312</f>
        <v>469140.231471983</v>
      </c>
      <c r="AU314" s="73" t="n">
        <f aca="false">AU309+AU310+AU312</f>
        <v>468342.986835861</v>
      </c>
      <c r="AV314" s="73" t="n">
        <f aca="false">AV309+AV310+AV312</f>
        <v>467541.091606028</v>
      </c>
      <c r="AW314" s="73" t="n">
        <f aca="false">AW309+AW310+AW312</f>
        <v>466734.518654021</v>
      </c>
      <c r="AX314" s="73" t="n">
        <f aca="false">AX309+AX310+AX312</f>
        <v>465923.240693127</v>
      </c>
      <c r="AY314" s="73" t="n">
        <f aca="false">AY309+AY310+AY312</f>
        <v>465107.230277462</v>
      </c>
      <c r="AZ314" s="73" t="n">
        <f aca="false">AZ309+AZ310+AZ312</f>
        <v>464286.459801038</v>
      </c>
      <c r="BA314" s="73" t="n">
        <f aca="false">BA309+BA310+BA312</f>
        <v>463460.901496835</v>
      </c>
      <c r="BB314" s="73" t="n">
        <f aca="false">BB309+BB310+BB312</f>
        <v>462630.527435858</v>
      </c>
      <c r="BC314" s="73" t="n">
        <f aca="false">BC309+BC310+BC312</f>
        <v>461795.309526192</v>
      </c>
      <c r="BD314" s="73" t="n">
        <f aca="false">BD309+BD310+BD312</f>
        <v>460955.219512053</v>
      </c>
      <c r="BE314" s="73" t="n">
        <f aca="false">BE309+BE310+BE312</f>
        <v>460110.228972831</v>
      </c>
      <c r="BF314" s="73" t="n">
        <f aca="false">BF309+BF310+BF312</f>
        <v>459260.30932213</v>
      </c>
      <c r="BG314" s="73" t="n">
        <f aca="false">BG309+BG310+BG312</f>
        <v>458405.4318068</v>
      </c>
      <c r="BH314" s="73" t="n">
        <f aca="false">BH309+BH310+BH312</f>
        <v>457545.567505965</v>
      </c>
      <c r="BI314" s="73" t="n">
        <f aca="false">BI309+BI310+BI312</f>
        <v>456680.687330041</v>
      </c>
      <c r="BJ314" s="73" t="n">
        <f aca="false">BJ309+BJ310+BJ312</f>
        <v>455810.762019757</v>
      </c>
    </row>
    <row r="316" customFormat="false" ht="15.75" hidden="false" customHeight="true" outlineLevel="0" collapsed="false">
      <c r="A316" s="7" t="s">
        <v>311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customFormat="false" ht="15" hidden="false" customHeight="false" outlineLevel="0" collapsed="false">
      <c r="A317" s="6" t="s">
        <v>90</v>
      </c>
      <c r="C317" s="67" t="n">
        <f aca="false">C262*Inputs!$D$71/30</f>
        <v>1804.36666666667</v>
      </c>
      <c r="D317" s="67" t="n">
        <f aca="false">D262*Inputs!$D$71/30</f>
        <v>2029.9125</v>
      </c>
      <c r="E317" s="67" t="n">
        <f aca="false">E262*Inputs!$D$71/30</f>
        <v>2255.45833333333</v>
      </c>
      <c r="F317" s="67" t="n">
        <f aca="false">F262*Inputs!$D$71/30</f>
        <v>2481.00416666667</v>
      </c>
      <c r="G317" s="67" t="n">
        <f aca="false">G262*Inputs!$D$71/30</f>
        <v>2706.55</v>
      </c>
      <c r="H317" s="67" t="n">
        <f aca="false">H262*Inputs!$D$71/30</f>
        <v>3998.3125</v>
      </c>
      <c r="I317" s="67" t="n">
        <f aca="false">I262*Inputs!$D$71/30</f>
        <v>4305.875</v>
      </c>
      <c r="J317" s="67" t="n">
        <f aca="false">J262*Inputs!$D$71/30</f>
        <v>4613.4375</v>
      </c>
      <c r="K317" s="67" t="n">
        <f aca="false">K262*Inputs!$D$71/30</f>
        <v>3608.73333333333</v>
      </c>
      <c r="L317" s="67" t="n">
        <f aca="false">L262*Inputs!$D$71/30</f>
        <v>3608.73333333333</v>
      </c>
      <c r="M317" s="67" t="n">
        <f aca="false">M262*Inputs!$D$71/30</f>
        <v>3608.73333333333</v>
      </c>
      <c r="N317" s="67" t="n">
        <f aca="false">N262*Inputs!$D$71/30</f>
        <v>3608.73333333333</v>
      </c>
      <c r="O317" s="67" t="n">
        <f aca="false">O262*Inputs!$D$71/30</f>
        <v>3865.67514666667</v>
      </c>
      <c r="P317" s="67" t="n">
        <f aca="false">P262*Inputs!$D$71/30</f>
        <v>3865.67514666667</v>
      </c>
      <c r="Q317" s="67" t="n">
        <f aca="false">Q262*Inputs!$D$71/30</f>
        <v>3865.67514666667</v>
      </c>
      <c r="R317" s="67" t="n">
        <f aca="false">R262*Inputs!$D$71/30</f>
        <v>3865.67514666667</v>
      </c>
      <c r="S317" s="67" t="n">
        <f aca="false">S262*Inputs!$D$71/30</f>
        <v>3865.67514666667</v>
      </c>
      <c r="T317" s="67" t="n">
        <f aca="false">T262*Inputs!$D$71/30</f>
        <v>5271.3752</v>
      </c>
      <c r="U317" s="67" t="n">
        <f aca="false">U262*Inputs!$D$71/30</f>
        <v>5271.3752</v>
      </c>
      <c r="V317" s="67" t="n">
        <f aca="false">V262*Inputs!$D$71/30</f>
        <v>5271.3752</v>
      </c>
      <c r="W317" s="67" t="n">
        <f aca="false">W262*Inputs!$D$71/30</f>
        <v>3865.67514666667</v>
      </c>
      <c r="X317" s="67" t="n">
        <f aca="false">X262*Inputs!$D$71/30</f>
        <v>3865.67514666667</v>
      </c>
      <c r="Y317" s="67" t="n">
        <f aca="false">Y262*Inputs!$D$71/30</f>
        <v>3865.67514666667</v>
      </c>
      <c r="Z317" s="67" t="n">
        <f aca="false">Z262*Inputs!$D$71/30</f>
        <v>3865.67514666667</v>
      </c>
      <c r="AA317" s="67" t="n">
        <f aca="false">AA262*Inputs!$D$71/30</f>
        <v>4140.91121710933</v>
      </c>
      <c r="AB317" s="67" t="n">
        <f aca="false">AB262*Inputs!$D$71/30</f>
        <v>4140.91121710933</v>
      </c>
      <c r="AC317" s="67" t="n">
        <f aca="false">AC262*Inputs!$D$71/30</f>
        <v>4140.91121710933</v>
      </c>
      <c r="AD317" s="67" t="n">
        <f aca="false">AD262*Inputs!$D$71/30</f>
        <v>4140.91121710933</v>
      </c>
      <c r="AE317" s="67" t="n">
        <f aca="false">AE262*Inputs!$D$71/30</f>
        <v>4140.91121710933</v>
      </c>
      <c r="AF317" s="67" t="n">
        <f aca="false">AF262*Inputs!$D$71/30</f>
        <v>5646.69711424</v>
      </c>
      <c r="AG317" s="67" t="n">
        <f aca="false">AG262*Inputs!$D$71/30</f>
        <v>5646.69711424</v>
      </c>
      <c r="AH317" s="67" t="n">
        <f aca="false">AH262*Inputs!$D$71/30</f>
        <v>5646.69711424</v>
      </c>
      <c r="AI317" s="67" t="n">
        <f aca="false">AI262*Inputs!$D$71/30</f>
        <v>4140.91121710933</v>
      </c>
      <c r="AJ317" s="67" t="n">
        <f aca="false">AJ262*Inputs!$D$71/30</f>
        <v>4140.91121710933</v>
      </c>
      <c r="AK317" s="67" t="n">
        <f aca="false">AK262*Inputs!$D$71/30</f>
        <v>4140.91121710933</v>
      </c>
      <c r="AL317" s="67" t="n">
        <f aca="false">AL262*Inputs!$D$71/30</f>
        <v>4140.91121710933</v>
      </c>
      <c r="AM317" s="67" t="n">
        <f aca="false">AM262*Inputs!$D$71/30</f>
        <v>4435.74409576752</v>
      </c>
      <c r="AN317" s="67" t="n">
        <f aca="false">AN262*Inputs!$D$71/30</f>
        <v>4435.74409576752</v>
      </c>
      <c r="AO317" s="67" t="n">
        <f aca="false">AO262*Inputs!$D$71/30</f>
        <v>4435.74409576752</v>
      </c>
      <c r="AP317" s="67" t="n">
        <f aca="false">AP262*Inputs!$D$71/30</f>
        <v>4435.74409576752</v>
      </c>
      <c r="AQ317" s="67" t="n">
        <f aca="false">AQ262*Inputs!$D$71/30</f>
        <v>4435.74409576752</v>
      </c>
      <c r="AR317" s="67" t="n">
        <f aca="false">AR262*Inputs!$D$71/30</f>
        <v>6048.74194877389</v>
      </c>
      <c r="AS317" s="67" t="n">
        <f aca="false">AS262*Inputs!$D$71/30</f>
        <v>6048.74194877389</v>
      </c>
      <c r="AT317" s="67" t="n">
        <f aca="false">AT262*Inputs!$D$71/30</f>
        <v>6048.74194877389</v>
      </c>
      <c r="AU317" s="67" t="n">
        <f aca="false">AU262*Inputs!$D$71/30</f>
        <v>4435.74409576752</v>
      </c>
      <c r="AV317" s="67" t="n">
        <f aca="false">AV262*Inputs!$D$71/30</f>
        <v>4435.74409576752</v>
      </c>
      <c r="AW317" s="67" t="n">
        <f aca="false">AW262*Inputs!$D$71/30</f>
        <v>4435.74409576752</v>
      </c>
      <c r="AX317" s="67" t="n">
        <f aca="false">AX262*Inputs!$D$71/30</f>
        <v>4435.74409576752</v>
      </c>
      <c r="AY317" s="67" t="n">
        <f aca="false">AY262*Inputs!$D$71/30</f>
        <v>4751.56907538617</v>
      </c>
      <c r="AZ317" s="67" t="n">
        <f aca="false">AZ262*Inputs!$D$71/30</f>
        <v>4751.56907538617</v>
      </c>
      <c r="BA317" s="67" t="n">
        <f aca="false">BA262*Inputs!$D$71/30</f>
        <v>4751.56907538617</v>
      </c>
      <c r="BB317" s="67" t="n">
        <f aca="false">BB262*Inputs!$D$71/30</f>
        <v>4751.56907538617</v>
      </c>
      <c r="BC317" s="67" t="n">
        <f aca="false">BC262*Inputs!$D$71/30</f>
        <v>4751.56907538617</v>
      </c>
      <c r="BD317" s="67" t="n">
        <f aca="false">BD262*Inputs!$D$71/30</f>
        <v>6479.41237552659</v>
      </c>
      <c r="BE317" s="67" t="n">
        <f aca="false">BE262*Inputs!$D$71/30</f>
        <v>6479.41237552659</v>
      </c>
      <c r="BF317" s="67" t="n">
        <f aca="false">BF262*Inputs!$D$71/30</f>
        <v>6479.41237552659</v>
      </c>
      <c r="BG317" s="67" t="n">
        <f aca="false">BG262*Inputs!$D$71/30</f>
        <v>4751.56907538617</v>
      </c>
      <c r="BH317" s="67" t="n">
        <f aca="false">BH262*Inputs!$D$71/30</f>
        <v>4751.56907538617</v>
      </c>
      <c r="BI317" s="67" t="n">
        <f aca="false">BI262*Inputs!$D$71/30</f>
        <v>4751.56907538617</v>
      </c>
      <c r="BJ317" s="67" t="n">
        <f aca="false">BJ262*Inputs!$D$71/30</f>
        <v>4751.56907538617</v>
      </c>
    </row>
    <row r="318" customFormat="false" ht="15" hidden="false" customHeight="false" outlineLevel="0" collapsed="false">
      <c r="A318" s="6" t="s">
        <v>91</v>
      </c>
      <c r="C318" s="67" t="n">
        <f aca="false">-C270*Inputs!$D$72/30</f>
        <v>735.704225641026</v>
      </c>
      <c r="D318" s="67" t="n">
        <f aca="false">-D270*Inputs!$D$72/30</f>
        <v>770.167253846154</v>
      </c>
      <c r="E318" s="67" t="n">
        <f aca="false">-E270*Inputs!$D$72/30</f>
        <v>804.630282051282</v>
      </c>
      <c r="F318" s="67" t="n">
        <f aca="false">-F270*Inputs!$D$72/30</f>
        <v>839.09331025641</v>
      </c>
      <c r="G318" s="67" t="n">
        <f aca="false">-G270*Inputs!$D$72/30</f>
        <v>873.556338461538</v>
      </c>
      <c r="H318" s="67" t="n">
        <f aca="false">-H270*Inputs!$D$72/30</f>
        <v>1070.9355</v>
      </c>
      <c r="I318" s="67" t="n">
        <f aca="false">-I270*Inputs!$D$72/30</f>
        <v>1117.93053846154</v>
      </c>
      <c r="J318" s="67" t="n">
        <f aca="false">-J270*Inputs!$D$72/30</f>
        <v>1164.92557692308</v>
      </c>
      <c r="K318" s="67" t="n">
        <f aca="false">-K270*Inputs!$D$72/30</f>
        <v>1011.40845128205</v>
      </c>
      <c r="L318" s="67" t="n">
        <f aca="false">-L270*Inputs!$D$72/30</f>
        <v>1011.40845128205</v>
      </c>
      <c r="M318" s="67" t="n">
        <f aca="false">-M270*Inputs!$D$72/30</f>
        <v>1011.40845128205</v>
      </c>
      <c r="N318" s="67" t="n">
        <f aca="false">-N270*Inputs!$D$72/30</f>
        <v>1011.40845128205</v>
      </c>
      <c r="O318" s="67" t="n">
        <f aca="false">-O270*Inputs!$D$72/30</f>
        <v>1061.21153232103</v>
      </c>
      <c r="P318" s="67" t="n">
        <f aca="false">-P270*Inputs!$D$72/30</f>
        <v>1061.21153232103</v>
      </c>
      <c r="Q318" s="67" t="n">
        <f aca="false">-Q270*Inputs!$D$72/30</f>
        <v>1061.21153232103</v>
      </c>
      <c r="R318" s="67" t="n">
        <f aca="false">-R270*Inputs!$D$72/30</f>
        <v>1061.21153232103</v>
      </c>
      <c r="S318" s="67" t="n">
        <f aca="false">-S270*Inputs!$D$72/30</f>
        <v>1061.21153232103</v>
      </c>
      <c r="T318" s="67" t="n">
        <f aca="false">-T270*Inputs!$D$72/30</f>
        <v>1274.81572589231</v>
      </c>
      <c r="U318" s="67" t="n">
        <f aca="false">-U270*Inputs!$D$72/30</f>
        <v>1274.81572589231</v>
      </c>
      <c r="V318" s="67" t="n">
        <f aca="false">-V270*Inputs!$D$72/30</f>
        <v>1274.81572589231</v>
      </c>
      <c r="W318" s="67" t="n">
        <f aca="false">-W270*Inputs!$D$72/30</f>
        <v>1061.21153232103</v>
      </c>
      <c r="X318" s="67" t="n">
        <f aca="false">-X270*Inputs!$D$72/30</f>
        <v>1061.21153232103</v>
      </c>
      <c r="Y318" s="67" t="n">
        <f aca="false">-Y270*Inputs!$D$72/30</f>
        <v>1061.21153232103</v>
      </c>
      <c r="Z318" s="67" t="n">
        <f aca="false">-Z270*Inputs!$D$72/30</f>
        <v>1061.21153232103</v>
      </c>
      <c r="AA318" s="67" t="n">
        <f aca="false">-AA270*Inputs!$D$72/30</f>
        <v>1113.81044379138</v>
      </c>
      <c r="AB318" s="67" t="n">
        <f aca="false">-AB270*Inputs!$D$72/30</f>
        <v>1113.81044379138</v>
      </c>
      <c r="AC318" s="67" t="n">
        <f aca="false">-AC270*Inputs!$D$72/30</f>
        <v>1113.81044379138</v>
      </c>
      <c r="AD318" s="67" t="n">
        <f aca="false">-AD270*Inputs!$D$72/30</f>
        <v>1113.81044379138</v>
      </c>
      <c r="AE318" s="67" t="n">
        <f aca="false">-AE270*Inputs!$D$72/30</f>
        <v>1113.81044379138</v>
      </c>
      <c r="AF318" s="67" t="n">
        <f aca="false">-AF270*Inputs!$D$72/30</f>
        <v>1341.37278698824</v>
      </c>
      <c r="AG318" s="67" t="n">
        <f aca="false">-AG270*Inputs!$D$72/30</f>
        <v>1341.37278698824</v>
      </c>
      <c r="AH318" s="67" t="n">
        <f aca="false">-AH270*Inputs!$D$72/30</f>
        <v>1341.37278698824</v>
      </c>
      <c r="AI318" s="67" t="n">
        <f aca="false">-AI270*Inputs!$D$72/30</f>
        <v>1113.81044379138</v>
      </c>
      <c r="AJ318" s="67" t="n">
        <f aca="false">-AJ270*Inputs!$D$72/30</f>
        <v>1113.81044379138</v>
      </c>
      <c r="AK318" s="67" t="n">
        <f aca="false">-AK270*Inputs!$D$72/30</f>
        <v>1113.81044379138</v>
      </c>
      <c r="AL318" s="67" t="n">
        <f aca="false">-AL270*Inputs!$D$72/30</f>
        <v>1113.81044379138</v>
      </c>
      <c r="AM318" s="67" t="n">
        <f aca="false">-AM270*Inputs!$D$72/30</f>
        <v>1169.3770684365</v>
      </c>
      <c r="AN318" s="67" t="n">
        <f aca="false">-AN270*Inputs!$D$72/30</f>
        <v>1169.3770684365</v>
      </c>
      <c r="AO318" s="67" t="n">
        <f aca="false">-AO270*Inputs!$D$72/30</f>
        <v>1169.3770684365</v>
      </c>
      <c r="AP318" s="67" t="n">
        <f aca="false">-AP270*Inputs!$D$72/30</f>
        <v>1169.3770684365</v>
      </c>
      <c r="AQ318" s="67" t="n">
        <f aca="false">-AQ270*Inputs!$D$72/30</f>
        <v>1169.3770684365</v>
      </c>
      <c r="AR318" s="67" t="n">
        <f aca="false">-AR270*Inputs!$D$72/30</f>
        <v>1411.82166786795</v>
      </c>
      <c r="AS318" s="67" t="n">
        <f aca="false">-AS270*Inputs!$D$72/30</f>
        <v>1411.82166786795</v>
      </c>
      <c r="AT318" s="67" t="n">
        <f aca="false">-AT270*Inputs!$D$72/30</f>
        <v>1411.82166786795</v>
      </c>
      <c r="AU318" s="67" t="n">
        <f aca="false">-AU270*Inputs!$D$72/30</f>
        <v>1169.3770684365</v>
      </c>
      <c r="AV318" s="67" t="n">
        <f aca="false">-AV270*Inputs!$D$72/30</f>
        <v>1169.3770684365</v>
      </c>
      <c r="AW318" s="67" t="n">
        <f aca="false">-AW270*Inputs!$D$72/30</f>
        <v>1169.3770684365</v>
      </c>
      <c r="AX318" s="67" t="n">
        <f aca="false">-AX270*Inputs!$D$72/30</f>
        <v>1169.3770684365</v>
      </c>
      <c r="AY318" s="67" t="n">
        <f aca="false">-AY270*Inputs!$D$72/30</f>
        <v>1228.09445095733</v>
      </c>
      <c r="AZ318" s="67" t="n">
        <f aca="false">-AZ270*Inputs!$D$72/30</f>
        <v>1228.09445095733</v>
      </c>
      <c r="BA318" s="67" t="n">
        <f aca="false">-BA270*Inputs!$D$72/30</f>
        <v>1228.09445095733</v>
      </c>
      <c r="BB318" s="67" t="n">
        <f aca="false">-BB270*Inputs!$D$72/30</f>
        <v>1228.09445095733</v>
      </c>
      <c r="BC318" s="67" t="n">
        <f aca="false">-BC270*Inputs!$D$72/30</f>
        <v>1228.09445095733</v>
      </c>
      <c r="BD318" s="67" t="n">
        <f aca="false">-BD270*Inputs!$D$72/30</f>
        <v>1486.40732308727</v>
      </c>
      <c r="BE318" s="67" t="n">
        <f aca="false">-BE270*Inputs!$D$72/30</f>
        <v>1486.40732308727</v>
      </c>
      <c r="BF318" s="67" t="n">
        <f aca="false">-BF270*Inputs!$D$72/30</f>
        <v>1486.40732308727</v>
      </c>
      <c r="BG318" s="67" t="n">
        <f aca="false">-BG270*Inputs!$D$72/30</f>
        <v>1228.09445095733</v>
      </c>
      <c r="BH318" s="67" t="n">
        <f aca="false">-BH270*Inputs!$D$72/30</f>
        <v>1228.09445095733</v>
      </c>
      <c r="BI318" s="67" t="n">
        <f aca="false">-BI270*Inputs!$D$72/30</f>
        <v>1228.09445095733</v>
      </c>
      <c r="BJ318" s="67" t="n">
        <f aca="false">-BJ270*Inputs!$D$72/30</f>
        <v>1228.09445095733</v>
      </c>
    </row>
    <row r="319" customFormat="false" ht="15" hidden="false" customHeight="false" outlineLevel="0" collapsed="false">
      <c r="A319" s="6" t="s">
        <v>94</v>
      </c>
      <c r="C319" s="67" t="n">
        <f aca="false">-C270*Inputs!$D$73/30</f>
        <v>6130.86854700855</v>
      </c>
      <c r="D319" s="67" t="n">
        <f aca="false">-D270*Inputs!$D$73/30</f>
        <v>6418.06044871795</v>
      </c>
      <c r="E319" s="67" t="n">
        <f aca="false">-E270*Inputs!$D$73/30</f>
        <v>6705.25235042735</v>
      </c>
      <c r="F319" s="67" t="n">
        <f aca="false">-F270*Inputs!$D$73/30</f>
        <v>6992.44425213675</v>
      </c>
      <c r="G319" s="67" t="n">
        <f aca="false">-G270*Inputs!$D$73/30</f>
        <v>7279.63615384615</v>
      </c>
      <c r="H319" s="67" t="n">
        <f aca="false">-H270*Inputs!$D$73/30</f>
        <v>8924.4625</v>
      </c>
      <c r="I319" s="67" t="n">
        <f aca="false">-I270*Inputs!$D$73/30</f>
        <v>9316.08782051282</v>
      </c>
      <c r="J319" s="67" t="n">
        <f aca="false">-J270*Inputs!$D$73/30</f>
        <v>9707.71314102564</v>
      </c>
      <c r="K319" s="67" t="n">
        <f aca="false">-K270*Inputs!$D$73/30</f>
        <v>8428.40376068376</v>
      </c>
      <c r="L319" s="67" t="n">
        <f aca="false">-L270*Inputs!$D$73/30</f>
        <v>8428.40376068376</v>
      </c>
      <c r="M319" s="67" t="n">
        <f aca="false">-M270*Inputs!$D$73/30</f>
        <v>8428.40376068376</v>
      </c>
      <c r="N319" s="67" t="n">
        <f aca="false">-N270*Inputs!$D$73/30</f>
        <v>8428.40376068376</v>
      </c>
      <c r="O319" s="67" t="n">
        <f aca="false">-O270*Inputs!$D$73/30</f>
        <v>8843.42943600855</v>
      </c>
      <c r="P319" s="67" t="n">
        <f aca="false">-P270*Inputs!$D$73/30</f>
        <v>8843.42943600855</v>
      </c>
      <c r="Q319" s="67" t="n">
        <f aca="false">-Q270*Inputs!$D$73/30</f>
        <v>8843.42943600855</v>
      </c>
      <c r="R319" s="67" t="n">
        <f aca="false">-R270*Inputs!$D$73/30</f>
        <v>8843.42943600855</v>
      </c>
      <c r="S319" s="67" t="n">
        <f aca="false">-S270*Inputs!$D$73/30</f>
        <v>8843.42943600855</v>
      </c>
      <c r="T319" s="67" t="n">
        <f aca="false">-T270*Inputs!$D$73/30</f>
        <v>10623.4643824359</v>
      </c>
      <c r="U319" s="67" t="n">
        <f aca="false">-U270*Inputs!$D$73/30</f>
        <v>10623.4643824359</v>
      </c>
      <c r="V319" s="67" t="n">
        <f aca="false">-V270*Inputs!$D$73/30</f>
        <v>10623.4643824359</v>
      </c>
      <c r="W319" s="67" t="n">
        <f aca="false">-W270*Inputs!$D$73/30</f>
        <v>8843.42943600855</v>
      </c>
      <c r="X319" s="67" t="n">
        <f aca="false">-X270*Inputs!$D$73/30</f>
        <v>8843.42943600855</v>
      </c>
      <c r="Y319" s="67" t="n">
        <f aca="false">-Y270*Inputs!$D$73/30</f>
        <v>8843.42943600855</v>
      </c>
      <c r="Z319" s="67" t="n">
        <f aca="false">-Z270*Inputs!$D$73/30</f>
        <v>8843.42943600855</v>
      </c>
      <c r="AA319" s="67" t="n">
        <f aca="false">-AA270*Inputs!$D$73/30</f>
        <v>9281.75369826149</v>
      </c>
      <c r="AB319" s="67" t="n">
        <f aca="false">-AB270*Inputs!$D$73/30</f>
        <v>9281.75369826149</v>
      </c>
      <c r="AC319" s="67" t="n">
        <f aca="false">-AC270*Inputs!$D$73/30</f>
        <v>9281.75369826149</v>
      </c>
      <c r="AD319" s="67" t="n">
        <f aca="false">-AD270*Inputs!$D$73/30</f>
        <v>9281.75369826149</v>
      </c>
      <c r="AE319" s="67" t="n">
        <f aca="false">-AE270*Inputs!$D$73/30</f>
        <v>9281.75369826149</v>
      </c>
      <c r="AF319" s="67" t="n">
        <f aca="false">-AF270*Inputs!$D$73/30</f>
        <v>11178.1065582354</v>
      </c>
      <c r="AG319" s="67" t="n">
        <f aca="false">-AG270*Inputs!$D$73/30</f>
        <v>11178.1065582354</v>
      </c>
      <c r="AH319" s="67" t="n">
        <f aca="false">-AH270*Inputs!$D$73/30</f>
        <v>11178.1065582354</v>
      </c>
      <c r="AI319" s="67" t="n">
        <f aca="false">-AI270*Inputs!$D$73/30</f>
        <v>9281.75369826149</v>
      </c>
      <c r="AJ319" s="67" t="n">
        <f aca="false">-AJ270*Inputs!$D$73/30</f>
        <v>9281.75369826149</v>
      </c>
      <c r="AK319" s="67" t="n">
        <f aca="false">-AK270*Inputs!$D$73/30</f>
        <v>9281.75369826149</v>
      </c>
      <c r="AL319" s="67" t="n">
        <f aca="false">-AL270*Inputs!$D$73/30</f>
        <v>9281.75369826149</v>
      </c>
      <c r="AM319" s="67" t="n">
        <f aca="false">-AM270*Inputs!$D$73/30</f>
        <v>9744.80890363749</v>
      </c>
      <c r="AN319" s="67" t="n">
        <f aca="false">-AN270*Inputs!$D$73/30</f>
        <v>9744.80890363749</v>
      </c>
      <c r="AO319" s="67" t="n">
        <f aca="false">-AO270*Inputs!$D$73/30</f>
        <v>9744.80890363749</v>
      </c>
      <c r="AP319" s="67" t="n">
        <f aca="false">-AP270*Inputs!$D$73/30</f>
        <v>9744.80890363749</v>
      </c>
      <c r="AQ319" s="67" t="n">
        <f aca="false">-AQ270*Inputs!$D$73/30</f>
        <v>9744.80890363749</v>
      </c>
      <c r="AR319" s="67" t="n">
        <f aca="false">-AR270*Inputs!$D$73/30</f>
        <v>11765.1805655663</v>
      </c>
      <c r="AS319" s="67" t="n">
        <f aca="false">-AS270*Inputs!$D$73/30</f>
        <v>11765.1805655663</v>
      </c>
      <c r="AT319" s="67" t="n">
        <f aca="false">-AT270*Inputs!$D$73/30</f>
        <v>11765.1805655663</v>
      </c>
      <c r="AU319" s="67" t="n">
        <f aca="false">-AU270*Inputs!$D$73/30</f>
        <v>9744.80890363749</v>
      </c>
      <c r="AV319" s="67" t="n">
        <f aca="false">-AV270*Inputs!$D$73/30</f>
        <v>9744.80890363749</v>
      </c>
      <c r="AW319" s="67" t="n">
        <f aca="false">-AW270*Inputs!$D$73/30</f>
        <v>9744.80890363749</v>
      </c>
      <c r="AX319" s="67" t="n">
        <f aca="false">-AX270*Inputs!$D$73/30</f>
        <v>9744.80890363749</v>
      </c>
      <c r="AY319" s="67" t="n">
        <f aca="false">-AY270*Inputs!$D$73/30</f>
        <v>10234.1204246444</v>
      </c>
      <c r="AZ319" s="67" t="n">
        <f aca="false">-AZ270*Inputs!$D$73/30</f>
        <v>10234.1204246444</v>
      </c>
      <c r="BA319" s="67" t="n">
        <f aca="false">-BA270*Inputs!$D$73/30</f>
        <v>10234.1204246444</v>
      </c>
      <c r="BB319" s="67" t="n">
        <f aca="false">-BB270*Inputs!$D$73/30</f>
        <v>10234.1204246444</v>
      </c>
      <c r="BC319" s="67" t="n">
        <f aca="false">-BC270*Inputs!$D$73/30</f>
        <v>10234.1204246444</v>
      </c>
      <c r="BD319" s="67" t="n">
        <f aca="false">-BD270*Inputs!$D$73/30</f>
        <v>12386.7276923939</v>
      </c>
      <c r="BE319" s="67" t="n">
        <f aca="false">-BE270*Inputs!$D$73/30</f>
        <v>12386.7276923939</v>
      </c>
      <c r="BF319" s="67" t="n">
        <f aca="false">-BF270*Inputs!$D$73/30</f>
        <v>12386.7276923939</v>
      </c>
      <c r="BG319" s="67" t="n">
        <f aca="false">-BG270*Inputs!$D$73/30</f>
        <v>10234.1204246444</v>
      </c>
      <c r="BH319" s="67" t="n">
        <f aca="false">-BH270*Inputs!$D$73/30</f>
        <v>10234.1204246444</v>
      </c>
      <c r="BI319" s="67" t="n">
        <f aca="false">-BI270*Inputs!$D$73/30</f>
        <v>10234.1204246444</v>
      </c>
      <c r="BJ319" s="67" t="n">
        <f aca="false">-BJ270*Inputs!$D$73/30</f>
        <v>10234.1204246444</v>
      </c>
    </row>
    <row r="320" customFormat="false" ht="15" hidden="false" customHeight="false" outlineLevel="0" collapsed="false">
      <c r="A320" s="6" t="s">
        <v>338</v>
      </c>
      <c r="C320" s="67" t="n">
        <f aca="false">-C317</f>
        <v>-1804.36666666667</v>
      </c>
      <c r="D320" s="67" t="n">
        <f aca="false">C317-D317</f>
        <v>-225.545833333333</v>
      </c>
      <c r="E320" s="67" t="n">
        <f aca="false">D317-E317</f>
        <v>-225.545833333334</v>
      </c>
      <c r="F320" s="67" t="n">
        <f aca="false">E317-F317</f>
        <v>-225.545833333333</v>
      </c>
      <c r="G320" s="67" t="n">
        <f aca="false">F317-G317</f>
        <v>-225.545833333333</v>
      </c>
      <c r="H320" s="67" t="n">
        <f aca="false">G317-H317</f>
        <v>-1291.7625</v>
      </c>
      <c r="I320" s="67" t="n">
        <f aca="false">H317-I317</f>
        <v>-307.562499999999</v>
      </c>
      <c r="J320" s="67" t="n">
        <f aca="false">I317-J317</f>
        <v>-307.562500000001</v>
      </c>
      <c r="K320" s="67" t="n">
        <f aca="false">J317-K317</f>
        <v>1004.70416666667</v>
      </c>
      <c r="L320" s="67" t="n">
        <f aca="false">K317-L317</f>
        <v>0</v>
      </c>
      <c r="M320" s="67" t="n">
        <f aca="false">L317-M317</f>
        <v>0</v>
      </c>
      <c r="N320" s="67" t="n">
        <f aca="false">M317-N317</f>
        <v>0</v>
      </c>
      <c r="O320" s="67" t="n">
        <f aca="false">N317-O317</f>
        <v>-256.941813333333</v>
      </c>
      <c r="P320" s="67" t="n">
        <f aca="false">O317-P317</f>
        <v>0</v>
      </c>
      <c r="Q320" s="67" t="n">
        <f aca="false">P317-Q317</f>
        <v>0</v>
      </c>
      <c r="R320" s="67" t="n">
        <f aca="false">Q317-R317</f>
        <v>0</v>
      </c>
      <c r="S320" s="67" t="n">
        <f aca="false">R317-S317</f>
        <v>0</v>
      </c>
      <c r="T320" s="67" t="n">
        <f aca="false">S317-T317</f>
        <v>-1405.70005333333</v>
      </c>
      <c r="U320" s="67" t="n">
        <f aca="false">T317-U317</f>
        <v>0</v>
      </c>
      <c r="V320" s="67" t="n">
        <f aca="false">U317-V317</f>
        <v>0</v>
      </c>
      <c r="W320" s="67" t="n">
        <f aca="false">V317-W317</f>
        <v>1405.70005333333</v>
      </c>
      <c r="X320" s="67" t="n">
        <f aca="false">W317-X317</f>
        <v>0</v>
      </c>
      <c r="Y320" s="67" t="n">
        <f aca="false">X317-Y317</f>
        <v>0</v>
      </c>
      <c r="Z320" s="67" t="n">
        <f aca="false">Y317-Z317</f>
        <v>0</v>
      </c>
      <c r="AA320" s="67" t="n">
        <f aca="false">Z317-AA317</f>
        <v>-275.236070442667</v>
      </c>
      <c r="AB320" s="67" t="n">
        <f aca="false">AA317-AB317</f>
        <v>0</v>
      </c>
      <c r="AC320" s="67" t="n">
        <f aca="false">AB317-AC317</f>
        <v>0</v>
      </c>
      <c r="AD320" s="67" t="n">
        <f aca="false">AC317-AD317</f>
        <v>0</v>
      </c>
      <c r="AE320" s="67" t="n">
        <f aca="false">AD317-AE317</f>
        <v>0</v>
      </c>
      <c r="AF320" s="67" t="n">
        <f aca="false">AE317-AF317</f>
        <v>-1505.78589713067</v>
      </c>
      <c r="AG320" s="67" t="n">
        <f aca="false">AF317-AG317</f>
        <v>0</v>
      </c>
      <c r="AH320" s="67" t="n">
        <f aca="false">AG317-AH317</f>
        <v>0</v>
      </c>
      <c r="AI320" s="67" t="n">
        <f aca="false">AH317-AI317</f>
        <v>1505.78589713067</v>
      </c>
      <c r="AJ320" s="67" t="n">
        <f aca="false">AI317-AJ317</f>
        <v>0</v>
      </c>
      <c r="AK320" s="67" t="n">
        <f aca="false">AJ317-AK317</f>
        <v>0</v>
      </c>
      <c r="AL320" s="67" t="n">
        <f aca="false">AK317-AL317</f>
        <v>0</v>
      </c>
      <c r="AM320" s="67" t="n">
        <f aca="false">AL317-AM317</f>
        <v>-294.832878658185</v>
      </c>
      <c r="AN320" s="67" t="n">
        <f aca="false">AM317-AN317</f>
        <v>0</v>
      </c>
      <c r="AO320" s="67" t="n">
        <f aca="false">AN317-AO317</f>
        <v>0</v>
      </c>
      <c r="AP320" s="67" t="n">
        <f aca="false">AO317-AP317</f>
        <v>0</v>
      </c>
      <c r="AQ320" s="67" t="n">
        <f aca="false">AP317-AQ317</f>
        <v>0</v>
      </c>
      <c r="AR320" s="67" t="n">
        <f aca="false">AQ317-AR317</f>
        <v>-1612.99785300637</v>
      </c>
      <c r="AS320" s="67" t="n">
        <f aca="false">AR317-AS317</f>
        <v>0</v>
      </c>
      <c r="AT320" s="67" t="n">
        <f aca="false">AS317-AT317</f>
        <v>0</v>
      </c>
      <c r="AU320" s="67" t="n">
        <f aca="false">AT317-AU317</f>
        <v>1612.99785300637</v>
      </c>
      <c r="AV320" s="67" t="n">
        <f aca="false">AU317-AV317</f>
        <v>0</v>
      </c>
      <c r="AW320" s="67" t="n">
        <f aca="false">AV317-AW317</f>
        <v>0</v>
      </c>
      <c r="AX320" s="67" t="n">
        <f aca="false">AW317-AX317</f>
        <v>0</v>
      </c>
      <c r="AY320" s="67" t="n">
        <f aca="false">AX317-AY317</f>
        <v>-315.824979618648</v>
      </c>
      <c r="AZ320" s="67" t="n">
        <f aca="false">AY317-AZ317</f>
        <v>0</v>
      </c>
      <c r="BA320" s="67" t="n">
        <f aca="false">AZ317-BA317</f>
        <v>0</v>
      </c>
      <c r="BB320" s="67" t="n">
        <f aca="false">BA317-BB317</f>
        <v>0</v>
      </c>
      <c r="BC320" s="67" t="n">
        <f aca="false">BB317-BC317</f>
        <v>0</v>
      </c>
      <c r="BD320" s="67" t="n">
        <f aca="false">BC317-BD317</f>
        <v>-1727.84330014042</v>
      </c>
      <c r="BE320" s="67" t="n">
        <f aca="false">BD317-BE317</f>
        <v>0</v>
      </c>
      <c r="BF320" s="67" t="n">
        <f aca="false">BE317-BF317</f>
        <v>0</v>
      </c>
      <c r="BG320" s="67" t="n">
        <f aca="false">BF317-BG317</f>
        <v>1727.84330014042</v>
      </c>
      <c r="BH320" s="67" t="n">
        <f aca="false">BG317-BH317</f>
        <v>0</v>
      </c>
      <c r="BI320" s="67" t="n">
        <f aca="false">BH317-BI317</f>
        <v>0</v>
      </c>
      <c r="BJ320" s="67" t="n">
        <f aca="false">BI317-BJ317</f>
        <v>0</v>
      </c>
    </row>
    <row r="321" customFormat="false" ht="15" hidden="false" customHeight="false" outlineLevel="0" collapsed="false">
      <c r="A321" s="6" t="s">
        <v>339</v>
      </c>
      <c r="C321" s="67" t="n">
        <f aca="false">-C318</f>
        <v>-735.704225641026</v>
      </c>
      <c r="D321" s="67" t="n">
        <f aca="false">C318-D318</f>
        <v>-34.463028205128</v>
      </c>
      <c r="E321" s="67" t="n">
        <f aca="false">D318-E318</f>
        <v>-34.4630282051282</v>
      </c>
      <c r="F321" s="67" t="n">
        <f aca="false">E318-F318</f>
        <v>-34.4630282051282</v>
      </c>
      <c r="G321" s="67" t="n">
        <f aca="false">F318-G318</f>
        <v>-34.463028205128</v>
      </c>
      <c r="H321" s="67" t="n">
        <f aca="false">G318-H318</f>
        <v>-197.379161538462</v>
      </c>
      <c r="I321" s="67" t="n">
        <f aca="false">H318-I318</f>
        <v>-46.9950384615383</v>
      </c>
      <c r="J321" s="67" t="n">
        <f aca="false">I318-J318</f>
        <v>-46.9950384615386</v>
      </c>
      <c r="K321" s="67" t="n">
        <f aca="false">J318-K318</f>
        <v>153.517125641026</v>
      </c>
      <c r="L321" s="67" t="n">
        <f aca="false">K318-L318</f>
        <v>0</v>
      </c>
      <c r="M321" s="67" t="n">
        <f aca="false">L318-M318</f>
        <v>0</v>
      </c>
      <c r="N321" s="67" t="n">
        <f aca="false">M318-N318</f>
        <v>0</v>
      </c>
      <c r="O321" s="67" t="n">
        <f aca="false">N318-O318</f>
        <v>-49.8030810389741</v>
      </c>
      <c r="P321" s="67" t="n">
        <f aca="false">O318-P318</f>
        <v>0</v>
      </c>
      <c r="Q321" s="67" t="n">
        <f aca="false">P318-Q318</f>
        <v>0</v>
      </c>
      <c r="R321" s="67" t="n">
        <f aca="false">Q318-R318</f>
        <v>0</v>
      </c>
      <c r="S321" s="67" t="n">
        <f aca="false">R318-S318</f>
        <v>0</v>
      </c>
      <c r="T321" s="67" t="n">
        <f aca="false">S318-T318</f>
        <v>-213.604193571282</v>
      </c>
      <c r="U321" s="67" t="n">
        <f aca="false">T318-U318</f>
        <v>0</v>
      </c>
      <c r="V321" s="67" t="n">
        <f aca="false">U318-V318</f>
        <v>0</v>
      </c>
      <c r="W321" s="67" t="n">
        <f aca="false">V318-W318</f>
        <v>213.604193571282</v>
      </c>
      <c r="X321" s="67" t="n">
        <f aca="false">W318-X318</f>
        <v>0</v>
      </c>
      <c r="Y321" s="67" t="n">
        <f aca="false">X318-Y318</f>
        <v>0</v>
      </c>
      <c r="Z321" s="67" t="n">
        <f aca="false">Y318-Z318</f>
        <v>0</v>
      </c>
      <c r="AA321" s="67" t="n">
        <f aca="false">Z318-AA318</f>
        <v>-52.598911470353</v>
      </c>
      <c r="AB321" s="67" t="n">
        <f aca="false">AA318-AB318</f>
        <v>0</v>
      </c>
      <c r="AC321" s="67" t="n">
        <f aca="false">AB318-AC318</f>
        <v>0</v>
      </c>
      <c r="AD321" s="67" t="n">
        <f aca="false">AC318-AD318</f>
        <v>0</v>
      </c>
      <c r="AE321" s="67" t="n">
        <f aca="false">AD318-AE318</f>
        <v>0</v>
      </c>
      <c r="AF321" s="67" t="n">
        <f aca="false">AE318-AF318</f>
        <v>-227.562343196865</v>
      </c>
      <c r="AG321" s="67" t="n">
        <f aca="false">AF318-AG318</f>
        <v>0</v>
      </c>
      <c r="AH321" s="67" t="n">
        <f aca="false">AG318-AH318</f>
        <v>0</v>
      </c>
      <c r="AI321" s="67" t="n">
        <f aca="false">AH318-AI318</f>
        <v>227.562343196865</v>
      </c>
      <c r="AJ321" s="67" t="n">
        <f aca="false">AI318-AJ318</f>
        <v>0</v>
      </c>
      <c r="AK321" s="67" t="n">
        <f aca="false">AJ318-AK318</f>
        <v>0</v>
      </c>
      <c r="AL321" s="67" t="n">
        <f aca="false">AK318-AL318</f>
        <v>0</v>
      </c>
      <c r="AM321" s="67" t="n">
        <f aca="false">AL318-AM318</f>
        <v>-55.5666246451199</v>
      </c>
      <c r="AN321" s="67" t="n">
        <f aca="false">AM318-AN318</f>
        <v>0</v>
      </c>
      <c r="AO321" s="67" t="n">
        <f aca="false">AN318-AO318</f>
        <v>0</v>
      </c>
      <c r="AP321" s="67" t="n">
        <f aca="false">AO318-AP318</f>
        <v>0</v>
      </c>
      <c r="AQ321" s="67" t="n">
        <f aca="false">AP318-AQ318</f>
        <v>0</v>
      </c>
      <c r="AR321" s="67" t="n">
        <f aca="false">AQ318-AR318</f>
        <v>-242.444599431454</v>
      </c>
      <c r="AS321" s="67" t="n">
        <f aca="false">AR318-AS318</f>
        <v>0</v>
      </c>
      <c r="AT321" s="67" t="n">
        <f aca="false">AS318-AT318</f>
        <v>0</v>
      </c>
      <c r="AU321" s="67" t="n">
        <f aca="false">AT318-AU318</f>
        <v>242.444599431454</v>
      </c>
      <c r="AV321" s="67" t="n">
        <f aca="false">AU318-AV318</f>
        <v>0</v>
      </c>
      <c r="AW321" s="67" t="n">
        <f aca="false">AV318-AW318</f>
        <v>0</v>
      </c>
      <c r="AX321" s="67" t="n">
        <f aca="false">AW318-AX318</f>
        <v>0</v>
      </c>
      <c r="AY321" s="67" t="n">
        <f aca="false">AX318-AY318</f>
        <v>-58.7173825208317</v>
      </c>
      <c r="AZ321" s="67" t="n">
        <f aca="false">AY318-AZ318</f>
        <v>0</v>
      </c>
      <c r="BA321" s="67" t="n">
        <f aca="false">AZ318-BA318</f>
        <v>0</v>
      </c>
      <c r="BB321" s="67" t="n">
        <f aca="false">BA318-BB318</f>
        <v>0</v>
      </c>
      <c r="BC321" s="67" t="n">
        <f aca="false">BB318-BC318</f>
        <v>0</v>
      </c>
      <c r="BD321" s="67" t="n">
        <f aca="false">BC318-BD318</f>
        <v>-258.312872129938</v>
      </c>
      <c r="BE321" s="67" t="n">
        <f aca="false">BD318-BE318</f>
        <v>0</v>
      </c>
      <c r="BF321" s="67" t="n">
        <f aca="false">BE318-BF318</f>
        <v>0</v>
      </c>
      <c r="BG321" s="67" t="n">
        <f aca="false">BF318-BG318</f>
        <v>258.312872129938</v>
      </c>
      <c r="BH321" s="67" t="n">
        <f aca="false">BG318-BH318</f>
        <v>0</v>
      </c>
      <c r="BI321" s="67" t="n">
        <f aca="false">BH318-BI318</f>
        <v>0</v>
      </c>
      <c r="BJ321" s="67" t="n">
        <f aca="false">BI318-BJ318</f>
        <v>0</v>
      </c>
    </row>
    <row r="322" customFormat="false" ht="15" hidden="false" customHeight="false" outlineLevel="0" collapsed="false">
      <c r="A322" s="6" t="s">
        <v>340</v>
      </c>
      <c r="C322" s="67" t="n">
        <f aca="false">C319</f>
        <v>6130.86854700855</v>
      </c>
      <c r="D322" s="67" t="n">
        <f aca="false">D319-C319</f>
        <v>287.191901709401</v>
      </c>
      <c r="E322" s="67" t="n">
        <f aca="false">E319-D319</f>
        <v>287.191901709401</v>
      </c>
      <c r="F322" s="67" t="n">
        <f aca="false">F319-E319</f>
        <v>287.191901709401</v>
      </c>
      <c r="G322" s="67" t="n">
        <f aca="false">G319-F319</f>
        <v>287.191901709401</v>
      </c>
      <c r="H322" s="67" t="n">
        <f aca="false">H319-G319</f>
        <v>1644.82634615385</v>
      </c>
      <c r="I322" s="67" t="n">
        <f aca="false">I319-H319</f>
        <v>391.62532051282</v>
      </c>
      <c r="J322" s="67" t="n">
        <f aca="false">J319-I319</f>
        <v>391.625320512823</v>
      </c>
      <c r="K322" s="67" t="n">
        <f aca="false">K319-J319</f>
        <v>-1279.30938034188</v>
      </c>
      <c r="L322" s="67" t="n">
        <f aca="false">L319-K319</f>
        <v>0</v>
      </c>
      <c r="M322" s="67" t="n">
        <f aca="false">M319-L319</f>
        <v>0</v>
      </c>
      <c r="N322" s="67" t="n">
        <f aca="false">N319-M319</f>
        <v>0</v>
      </c>
      <c r="O322" s="67" t="n">
        <f aca="false">O319-N319</f>
        <v>415.025675324785</v>
      </c>
      <c r="P322" s="67" t="n">
        <f aca="false">P319-O319</f>
        <v>0</v>
      </c>
      <c r="Q322" s="67" t="n">
        <f aca="false">Q319-P319</f>
        <v>0</v>
      </c>
      <c r="R322" s="67" t="n">
        <f aca="false">R319-Q319</f>
        <v>0</v>
      </c>
      <c r="S322" s="67" t="n">
        <f aca="false">S319-R319</f>
        <v>0</v>
      </c>
      <c r="T322" s="67" t="n">
        <f aca="false">T319-S319</f>
        <v>1780.03494642735</v>
      </c>
      <c r="U322" s="67" t="n">
        <f aca="false">U319-T319</f>
        <v>0</v>
      </c>
      <c r="V322" s="67" t="n">
        <f aca="false">V319-U319</f>
        <v>0</v>
      </c>
      <c r="W322" s="67" t="n">
        <f aca="false">W319-V319</f>
        <v>-1780.03494642735</v>
      </c>
      <c r="X322" s="67" t="n">
        <f aca="false">X319-W319</f>
        <v>0</v>
      </c>
      <c r="Y322" s="67" t="n">
        <f aca="false">Y319-X319</f>
        <v>0</v>
      </c>
      <c r="Z322" s="67" t="n">
        <f aca="false">Z319-Y319</f>
        <v>0</v>
      </c>
      <c r="AA322" s="67" t="n">
        <f aca="false">AA319-Z319</f>
        <v>438.324262252942</v>
      </c>
      <c r="AB322" s="67" t="n">
        <f aca="false">AB319-AA319</f>
        <v>0</v>
      </c>
      <c r="AC322" s="67" t="n">
        <f aca="false">AC319-AB319</f>
        <v>0</v>
      </c>
      <c r="AD322" s="67" t="n">
        <f aca="false">AD319-AC319</f>
        <v>0</v>
      </c>
      <c r="AE322" s="67" t="n">
        <f aca="false">AE319-AD319</f>
        <v>0</v>
      </c>
      <c r="AF322" s="67" t="n">
        <f aca="false">AF319-AE319</f>
        <v>1896.35285997388</v>
      </c>
      <c r="AG322" s="67" t="n">
        <f aca="false">AG319-AF319</f>
        <v>0</v>
      </c>
      <c r="AH322" s="67" t="n">
        <f aca="false">AH319-AG319</f>
        <v>0</v>
      </c>
      <c r="AI322" s="67" t="n">
        <f aca="false">AI319-AH319</f>
        <v>-1896.35285997388</v>
      </c>
      <c r="AJ322" s="67" t="n">
        <f aca="false">AJ319-AI319</f>
        <v>0</v>
      </c>
      <c r="AK322" s="67" t="n">
        <f aca="false">AK319-AJ319</f>
        <v>0</v>
      </c>
      <c r="AL322" s="67" t="n">
        <f aca="false">AL319-AK319</f>
        <v>0</v>
      </c>
      <c r="AM322" s="67" t="n">
        <f aca="false">AM319-AL319</f>
        <v>463.055205375998</v>
      </c>
      <c r="AN322" s="67" t="n">
        <f aca="false">AN319-AM319</f>
        <v>0</v>
      </c>
      <c r="AO322" s="67" t="n">
        <f aca="false">AO319-AN319</f>
        <v>0</v>
      </c>
      <c r="AP322" s="67" t="n">
        <f aca="false">AP319-AO319</f>
        <v>0</v>
      </c>
      <c r="AQ322" s="67" t="n">
        <f aca="false">AQ319-AP319</f>
        <v>0</v>
      </c>
      <c r="AR322" s="67" t="n">
        <f aca="false">AR319-AQ319</f>
        <v>2020.37166192878</v>
      </c>
      <c r="AS322" s="67" t="n">
        <f aca="false">AS319-AR319</f>
        <v>0</v>
      </c>
      <c r="AT322" s="67" t="n">
        <f aca="false">AT319-AS319</f>
        <v>0</v>
      </c>
      <c r="AU322" s="67" t="n">
        <f aca="false">AU319-AT319</f>
        <v>-2020.37166192878</v>
      </c>
      <c r="AV322" s="67" t="n">
        <f aca="false">AV319-AU319</f>
        <v>0</v>
      </c>
      <c r="AW322" s="67" t="n">
        <f aca="false">AW319-AV319</f>
        <v>0</v>
      </c>
      <c r="AX322" s="67" t="n">
        <f aca="false">AX319-AW319</f>
        <v>0</v>
      </c>
      <c r="AY322" s="67" t="n">
        <f aca="false">AY319-AX319</f>
        <v>489.311521006932</v>
      </c>
      <c r="AZ322" s="67" t="n">
        <f aca="false">AZ319-AY319</f>
        <v>0</v>
      </c>
      <c r="BA322" s="67" t="n">
        <f aca="false">BA319-AZ319</f>
        <v>0</v>
      </c>
      <c r="BB322" s="67" t="n">
        <f aca="false">BB319-BA319</f>
        <v>0</v>
      </c>
      <c r="BC322" s="67" t="n">
        <f aca="false">BC319-BB319</f>
        <v>0</v>
      </c>
      <c r="BD322" s="67" t="n">
        <f aca="false">BD319-BC319</f>
        <v>2152.60726774949</v>
      </c>
      <c r="BE322" s="67" t="n">
        <f aca="false">BE319-BD319</f>
        <v>0</v>
      </c>
      <c r="BF322" s="67" t="n">
        <f aca="false">BF319-BE319</f>
        <v>0</v>
      </c>
      <c r="BG322" s="67" t="n">
        <f aca="false">BG319-BF319</f>
        <v>-2152.60726774949</v>
      </c>
      <c r="BH322" s="67" t="n">
        <f aca="false">BH319-BG319</f>
        <v>0</v>
      </c>
      <c r="BI322" s="67" t="n">
        <f aca="false">BI319-BH319</f>
        <v>0</v>
      </c>
      <c r="BJ322" s="67" t="n">
        <f aca="false">BJ319-BI319</f>
        <v>0</v>
      </c>
    </row>
    <row r="324" customFormat="false" ht="15.75" hidden="false" customHeight="true" outlineLevel="0" collapsed="false">
      <c r="A324" s="7" t="s">
        <v>437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customFormat="false" ht="15" hidden="false" customHeight="false" outlineLevel="0" collapsed="false">
      <c r="A325" s="4" t="s">
        <v>52</v>
      </c>
      <c r="C325" s="73" t="n">
        <f aca="false">C293-C304+C320+C321+C322</f>
        <v>-1146.8646017094</v>
      </c>
      <c r="D325" s="73" t="n">
        <f aca="false">D293-D304+D320+D321+D322</f>
        <v>-2931.3781605923</v>
      </c>
      <c r="E325" s="73" t="n">
        <f aca="false">E293-E304+E320+E321+E322</f>
        <v>-1152.25610200315</v>
      </c>
      <c r="F325" s="73" t="n">
        <f aca="false">F293-F304+F320+F321+F322</f>
        <v>626.887082045291</v>
      </c>
      <c r="G325" s="73" t="n">
        <f aca="false">G293-G304+G320+G321+G322</f>
        <v>2406.05151478486</v>
      </c>
      <c r="H325" s="73" t="n">
        <f aca="false">H293-H304+H320+H321+H322</f>
        <v>12707.0142979441</v>
      </c>
      <c r="I325" s="73" t="n">
        <f aca="false">I293-I304+I320+I321+I322</f>
        <v>15013.2412621795</v>
      </c>
      <c r="J325" s="73" t="n">
        <f aca="false">J293-J304+J320+J321+J322</f>
        <v>15666.3351691782</v>
      </c>
      <c r="K325" s="73" t="n">
        <f aca="false">K293-K304+K320+K321+K322</f>
        <v>8187.58911270367</v>
      </c>
      <c r="L325" s="73" t="n">
        <f aca="false">L293-L304+L320+L321+L322</f>
        <v>8312.53207970929</v>
      </c>
      <c r="M325" s="73" t="n">
        <f aca="false">M293-M304+M320+M321+M322</f>
        <v>8316.40434130805</v>
      </c>
      <c r="N325" s="73" t="n">
        <f aca="false">N293-N304+N320+N321+N322</f>
        <v>8320.29408693281</v>
      </c>
      <c r="O325" s="73" t="n">
        <f aca="false">O293-O304+O320+O321+O322</f>
        <v>9847.63547346496</v>
      </c>
      <c r="P325" s="73" t="n">
        <f aca="false">P293-P304+P320+P321+P322</f>
        <v>9743.30158775462</v>
      </c>
      <c r="Q325" s="73" t="n">
        <f aca="false">Q293-Q304+Q320+Q321+Q322</f>
        <v>9747.26627478151</v>
      </c>
      <c r="R325" s="73" t="n">
        <f aca="false">R293-R304+R320+R321+R322</f>
        <v>9751.24885737855</v>
      </c>
      <c r="S325" s="73" t="n">
        <f aca="false">S293-S304+S320+S321+S322</f>
        <v>9755.24943993658</v>
      </c>
      <c r="T325" s="73" t="n">
        <f aca="false">T293-T304+T320+T321+T322</f>
        <v>18671.2542938183</v>
      </c>
      <c r="U325" s="73" t="n">
        <f aca="false">U293-U304+U320+U321+U322</f>
        <v>18514.5604923874</v>
      </c>
      <c r="V325" s="73" t="n">
        <f aca="false">V293-V304+V320+V321+V322</f>
        <v>18518.6157072806</v>
      </c>
      <c r="W325" s="73" t="n">
        <f aca="false">W293-W304+W320+W321+W322</f>
        <v>9610.70317946017</v>
      </c>
      <c r="X325" s="73" t="n">
        <f aca="false">X293-X304+X320+X321+X322</f>
        <v>9775.52604864612</v>
      </c>
      <c r="Y325" s="73" t="n">
        <f aca="false">Y293-Y304+Y320+Y321+Y322</f>
        <v>9779.63685752821</v>
      </c>
      <c r="Z325" s="73" t="n">
        <f aca="false">Z293-Z304+Z320+Z321+Z322</f>
        <v>9783.76641435794</v>
      </c>
      <c r="AA325" s="73" t="n">
        <f aca="false">AA293-AA304+AA320+AA321+AA322</f>
        <v>11409.3660058714</v>
      </c>
      <c r="AB325" s="73" t="n">
        <f aca="false">AB293-AB304+AB320+AB321+AB322</f>
        <v>11303.0665288585</v>
      </c>
      <c r="AC325" s="73" t="n">
        <f aca="false">AC293-AC304+AC320+AC321+AC322</f>
        <v>11307.2754101399</v>
      </c>
      <c r="AD325" s="73" t="n">
        <f aca="false">AD293-AD304+AD320+AD321+AD322</f>
        <v>11311.5034806636</v>
      </c>
      <c r="AE325" s="73" t="n">
        <f aca="false">AE293-AE304+AE320+AE321+AE322</f>
        <v>11315.750852367</v>
      </c>
      <c r="AF325" s="73" t="n">
        <f aca="false">AF293-AF304+AF320+AF321+AF322</f>
        <v>20867.2458183236</v>
      </c>
      <c r="AG325" s="73" t="n">
        <f aca="false">AG293-AG304+AG320+AG321+AG322</f>
        <v>20708.5275111673</v>
      </c>
      <c r="AH325" s="73" t="n">
        <f aca="false">AH293-AH304+AH320+AH321+AH322</f>
        <v>20712.8334645817</v>
      </c>
      <c r="AI325" s="73" t="n">
        <f aca="false">AI293-AI304+AI320+AI321+AI322</f>
        <v>11169.9309930092</v>
      </c>
      <c r="AJ325" s="73" t="n">
        <f aca="false">AJ293-AJ304+AJ320+AJ321+AJ322</f>
        <v>11337.2811923033</v>
      </c>
      <c r="AK325" s="73" t="n">
        <f aca="false">AK293-AK304+AK320+AK321+AK322</f>
        <v>11341.6467586006</v>
      </c>
      <c r="AL325" s="73" t="n">
        <f aca="false">AL293-AL304+AL320+AL321+AL322</f>
        <v>11346.0324281362</v>
      </c>
      <c r="AM325" s="73" t="n">
        <f aca="false">AM293-AM304+AM320+AM321+AM322</f>
        <v>13079.1919646011</v>
      </c>
      <c r="AN325" s="73" t="n">
        <f aca="false">AN293-AN304+AN320+AN321+AN322</f>
        <v>12970.9854734532</v>
      </c>
      <c r="AO325" s="73" t="n">
        <f aca="false">AO293-AO304+AO320+AO321+AO322</f>
        <v>12975.4551414791</v>
      </c>
      <c r="AP325" s="73" t="n">
        <f aca="false">AP293-AP304+AP320+AP321+AP322</f>
        <v>12979.9453859393</v>
      </c>
      <c r="AQ325" s="73" t="n">
        <f aca="false">AQ293-AQ304+AQ320+AQ321+AQ322</f>
        <v>12984.456326863</v>
      </c>
      <c r="AR325" s="73" t="n">
        <f aca="false">AR293-AR304+AR320+AR321+AR322</f>
        <v>23216.7270153873</v>
      </c>
      <c r="AS325" s="73" t="n">
        <f aca="false">AS293-AS304+AS320+AS321+AS322</f>
        <v>23056.3505026392</v>
      </c>
      <c r="AT325" s="73" t="n">
        <f aca="false">AT293-AT304+AT320+AT321+AT322</f>
        <v>23060.9242601506</v>
      </c>
      <c r="AU325" s="73" t="n">
        <f aca="false">AU293-AU304+AU320+AU321+AU322</f>
        <v>12837.7802708771</v>
      </c>
      <c r="AV325" s="73" t="n">
        <f aca="false">AV293-AV304+AV320+AV321+AV322</f>
        <v>13007.3257286964</v>
      </c>
      <c r="AW325" s="73" t="n">
        <f aca="false">AW293-AW304+AW320+AW321+AW322</f>
        <v>13011.9634085108</v>
      </c>
      <c r="AX325" s="73" t="n">
        <f aca="false">AX293-AX304+AX320+AX321+AX322</f>
        <v>13016.6226448281</v>
      </c>
      <c r="AY325" s="73" t="n">
        <f aca="false">AY293-AY304+AY320+AY321+AY322</f>
        <v>14867.111254133</v>
      </c>
      <c r="AZ325" s="73" t="n">
        <f aca="false">AZ293-AZ304+AZ320+AZ321+AZ322</f>
        <v>14757.0683795437</v>
      </c>
      <c r="BA325" s="73" t="n">
        <f aca="false">BA293-BA304+BA320+BA321+BA322</f>
        <v>14761.8165997685</v>
      </c>
      <c r="BB325" s="73" t="n">
        <f aca="false">BB293-BB304+BB320+BB321+BB322</f>
        <v>14766.5868838997</v>
      </c>
      <c r="BC325" s="73" t="n">
        <f aca="false">BC293-BC304+BC320+BC321+BC322</f>
        <v>14771.3793606433</v>
      </c>
      <c r="BD325" s="73" t="n">
        <f aca="false">BD293-BD304+BD320+BD321+BD322</f>
        <v>25732.9379119517</v>
      </c>
      <c r="BE325" s="73" t="n">
        <f aca="false">BE293-BE304+BE320+BE321+BE322</f>
        <v>25571.324067567</v>
      </c>
      <c r="BF325" s="73" t="n">
        <f aca="false">BF293-BF304+BF320+BF321+BF322</f>
        <v>25576.1839019146</v>
      </c>
      <c r="BG325" s="73" t="n">
        <f aca="false">BG293-BG304+BG320+BG321+BG322</f>
        <v>14624.3226987554</v>
      </c>
      <c r="BH325" s="73" t="n">
        <f aca="false">BH293-BH304+BH320+BH321+BH322</f>
        <v>14795.6791910637</v>
      </c>
      <c r="BI325" s="73" t="n">
        <f aca="false">BI293-BI304+BI320+BI321+BI322</f>
        <v>14800.6075686627</v>
      </c>
      <c r="BJ325" s="73" t="n">
        <f aca="false">BJ293-BJ304+BJ320+BJ321+BJ322</f>
        <v>14805.559061086</v>
      </c>
    </row>
    <row r="326" customFormat="false" ht="15" hidden="false" customHeight="false" outlineLevel="0" collapsed="false">
      <c r="A326" s="6" t="s">
        <v>438</v>
      </c>
      <c r="C326" s="67" t="n">
        <f aca="false">-C301</f>
        <v>-865750</v>
      </c>
      <c r="D326" s="67" t="n">
        <f aca="false">-D301</f>
        <v>-750</v>
      </c>
      <c r="E326" s="67" t="n">
        <f aca="false">-E301</f>
        <v>-750</v>
      </c>
      <c r="F326" s="67" t="n">
        <f aca="false">-F301</f>
        <v>-750</v>
      </c>
      <c r="G326" s="67" t="n">
        <f aca="false">-G301</f>
        <v>-750</v>
      </c>
      <c r="H326" s="67" t="n">
        <f aca="false">-H301</f>
        <v>-750</v>
      </c>
      <c r="I326" s="67" t="n">
        <f aca="false">-I301</f>
        <v>-750</v>
      </c>
      <c r="J326" s="67" t="n">
        <f aca="false">-J301</f>
        <v>-750</v>
      </c>
      <c r="K326" s="67" t="n">
        <f aca="false">-K301</f>
        <v>-750</v>
      </c>
      <c r="L326" s="67" t="n">
        <f aca="false">-L301</f>
        <v>-750</v>
      </c>
      <c r="M326" s="67" t="n">
        <f aca="false">-M301</f>
        <v>-750</v>
      </c>
      <c r="N326" s="67" t="n">
        <f aca="false">-N301</f>
        <v>-750</v>
      </c>
      <c r="O326" s="67" t="n">
        <f aca="false">-O301</f>
        <v>-768.75</v>
      </c>
      <c r="P326" s="67" t="n">
        <f aca="false">-P301</f>
        <v>-768.75</v>
      </c>
      <c r="Q326" s="67" t="n">
        <f aca="false">-Q301</f>
        <v>-768.75</v>
      </c>
      <c r="R326" s="67" t="n">
        <f aca="false">-R301</f>
        <v>-768.75</v>
      </c>
      <c r="S326" s="67" t="n">
        <f aca="false">-S301</f>
        <v>-768.75</v>
      </c>
      <c r="T326" s="67" t="n">
        <f aca="false">-T301</f>
        <v>-768.75</v>
      </c>
      <c r="U326" s="67" t="n">
        <f aca="false">-U301</f>
        <v>-768.75</v>
      </c>
      <c r="V326" s="67" t="n">
        <f aca="false">-V301</f>
        <v>-768.75</v>
      </c>
      <c r="W326" s="67" t="n">
        <f aca="false">-W301</f>
        <v>-768.75</v>
      </c>
      <c r="X326" s="67" t="n">
        <f aca="false">-X301</f>
        <v>-768.75</v>
      </c>
      <c r="Y326" s="67" t="n">
        <f aca="false">-Y301</f>
        <v>-768.75</v>
      </c>
      <c r="Z326" s="67" t="n">
        <f aca="false">-Z301</f>
        <v>-768.75</v>
      </c>
      <c r="AA326" s="67" t="n">
        <f aca="false">-AA301</f>
        <v>-787.96875</v>
      </c>
      <c r="AB326" s="67" t="n">
        <f aca="false">-AB301</f>
        <v>-787.96875</v>
      </c>
      <c r="AC326" s="67" t="n">
        <f aca="false">-AC301</f>
        <v>-787.96875</v>
      </c>
      <c r="AD326" s="67" t="n">
        <f aca="false">-AD301</f>
        <v>-787.96875</v>
      </c>
      <c r="AE326" s="67" t="n">
        <f aca="false">-AE301</f>
        <v>-787.96875</v>
      </c>
      <c r="AF326" s="67" t="n">
        <f aca="false">-AF301</f>
        <v>-787.96875</v>
      </c>
      <c r="AG326" s="67" t="n">
        <f aca="false">-AG301</f>
        <v>-787.96875</v>
      </c>
      <c r="AH326" s="67" t="n">
        <f aca="false">-AH301</f>
        <v>-787.96875</v>
      </c>
      <c r="AI326" s="67" t="n">
        <f aca="false">-AI301</f>
        <v>-787.96875</v>
      </c>
      <c r="AJ326" s="67" t="n">
        <f aca="false">-AJ301</f>
        <v>-787.96875</v>
      </c>
      <c r="AK326" s="67" t="n">
        <f aca="false">-AK301</f>
        <v>-787.96875</v>
      </c>
      <c r="AL326" s="67" t="n">
        <f aca="false">-AL301</f>
        <v>-787.96875</v>
      </c>
      <c r="AM326" s="67" t="n">
        <f aca="false">-AM301</f>
        <v>-807.66796875</v>
      </c>
      <c r="AN326" s="67" t="n">
        <f aca="false">-AN301</f>
        <v>-807.66796875</v>
      </c>
      <c r="AO326" s="67" t="n">
        <f aca="false">-AO301</f>
        <v>-807.66796875</v>
      </c>
      <c r="AP326" s="67" t="n">
        <f aca="false">-AP301</f>
        <v>-807.66796875</v>
      </c>
      <c r="AQ326" s="67" t="n">
        <f aca="false">-AQ301</f>
        <v>-807.66796875</v>
      </c>
      <c r="AR326" s="67" t="n">
        <f aca="false">-AR301</f>
        <v>-807.66796875</v>
      </c>
      <c r="AS326" s="67" t="n">
        <f aca="false">-AS301</f>
        <v>-807.66796875</v>
      </c>
      <c r="AT326" s="67" t="n">
        <f aca="false">-AT301</f>
        <v>-807.66796875</v>
      </c>
      <c r="AU326" s="67" t="n">
        <f aca="false">-AU301</f>
        <v>-807.66796875</v>
      </c>
      <c r="AV326" s="67" t="n">
        <f aca="false">-AV301</f>
        <v>-807.66796875</v>
      </c>
      <c r="AW326" s="67" t="n">
        <f aca="false">-AW301</f>
        <v>-807.66796875</v>
      </c>
      <c r="AX326" s="67" t="n">
        <f aca="false">-AX301</f>
        <v>-807.66796875</v>
      </c>
      <c r="AY326" s="67" t="n">
        <f aca="false">-AY301</f>
        <v>-827.85966796875</v>
      </c>
      <c r="AZ326" s="67" t="n">
        <f aca="false">-AZ301</f>
        <v>-827.85966796875</v>
      </c>
      <c r="BA326" s="67" t="n">
        <f aca="false">-BA301</f>
        <v>-827.85966796875</v>
      </c>
      <c r="BB326" s="67" t="n">
        <f aca="false">-BB301</f>
        <v>-827.85966796875</v>
      </c>
      <c r="BC326" s="67" t="n">
        <f aca="false">-BC301</f>
        <v>-827.85966796875</v>
      </c>
      <c r="BD326" s="67" t="n">
        <f aca="false">-BD301</f>
        <v>-827.85966796875</v>
      </c>
      <c r="BE326" s="67" t="n">
        <f aca="false">-BE301</f>
        <v>-827.85966796875</v>
      </c>
      <c r="BF326" s="67" t="n">
        <f aca="false">-BF301</f>
        <v>-827.85966796875</v>
      </c>
      <c r="BG326" s="67" t="n">
        <f aca="false">-BG301</f>
        <v>-827.85966796875</v>
      </c>
      <c r="BH326" s="67" t="n">
        <f aca="false">-BH301</f>
        <v>-827.85966796875</v>
      </c>
      <c r="BI326" s="67" t="n">
        <f aca="false">-BI301</f>
        <v>-827.85966796875</v>
      </c>
      <c r="BJ326" s="67" t="n">
        <f aca="false">-BJ301</f>
        <v>-827.85966796875</v>
      </c>
    </row>
    <row r="327" customFormat="false" ht="15" hidden="false" customHeight="false" outlineLevel="0" collapsed="false">
      <c r="A327" s="6" t="s">
        <v>64</v>
      </c>
      <c r="C327" s="67" t="n">
        <f aca="false">IF(C$246=1,Inputs!$D$65,0)</f>
        <v>430000</v>
      </c>
      <c r="D327" s="67" t="n">
        <f aca="false">IF(D$246=1,Inputs!$D$65,0)</f>
        <v>0</v>
      </c>
      <c r="E327" s="67" t="n">
        <f aca="false">IF(E$246=1,Inputs!$D$65,0)</f>
        <v>0</v>
      </c>
      <c r="F327" s="67" t="n">
        <f aca="false">IF(F$246=1,Inputs!$D$65,0)</f>
        <v>0</v>
      </c>
      <c r="G327" s="67" t="n">
        <f aca="false">IF(G$246=1,Inputs!$D$65,0)</f>
        <v>0</v>
      </c>
      <c r="H327" s="67" t="n">
        <f aca="false">IF(H$246=1,Inputs!$D$65,0)</f>
        <v>0</v>
      </c>
      <c r="I327" s="67" t="n">
        <f aca="false">IF(I$246=1,Inputs!$D$65,0)</f>
        <v>0</v>
      </c>
      <c r="J327" s="67" t="n">
        <f aca="false">IF(J$246=1,Inputs!$D$65,0)</f>
        <v>0</v>
      </c>
      <c r="K327" s="67" t="n">
        <f aca="false">IF(K$246=1,Inputs!$D$65,0)</f>
        <v>0</v>
      </c>
      <c r="L327" s="67" t="n">
        <f aca="false">IF(L$246=1,Inputs!$D$65,0)</f>
        <v>0</v>
      </c>
      <c r="M327" s="67" t="n">
        <f aca="false">IF(M$246=1,Inputs!$D$65,0)</f>
        <v>0</v>
      </c>
      <c r="N327" s="67" t="n">
        <f aca="false">IF(N$246=1,Inputs!$D$65,0)</f>
        <v>0</v>
      </c>
      <c r="O327" s="67" t="n">
        <f aca="false">IF(O$246=1,Inputs!$D$65,0)</f>
        <v>0</v>
      </c>
      <c r="P327" s="67" t="n">
        <f aca="false">IF(P$246=1,Inputs!$D$65,0)</f>
        <v>0</v>
      </c>
      <c r="Q327" s="67" t="n">
        <f aca="false">IF(Q$246=1,Inputs!$D$65,0)</f>
        <v>0</v>
      </c>
      <c r="R327" s="67" t="n">
        <f aca="false">IF(R$246=1,Inputs!$D$65,0)</f>
        <v>0</v>
      </c>
      <c r="S327" s="67" t="n">
        <f aca="false">IF(S$246=1,Inputs!$D$65,0)</f>
        <v>0</v>
      </c>
      <c r="T327" s="67" t="n">
        <f aca="false">IF(T$246=1,Inputs!$D$65,0)</f>
        <v>0</v>
      </c>
      <c r="U327" s="67" t="n">
        <f aca="false">IF(U$246=1,Inputs!$D$65,0)</f>
        <v>0</v>
      </c>
      <c r="V327" s="67" t="n">
        <f aca="false">IF(V$246=1,Inputs!$D$65,0)</f>
        <v>0</v>
      </c>
      <c r="W327" s="67" t="n">
        <f aca="false">IF(W$246=1,Inputs!$D$65,0)</f>
        <v>0</v>
      </c>
      <c r="X327" s="67" t="n">
        <f aca="false">IF(X$246=1,Inputs!$D$65,0)</f>
        <v>0</v>
      </c>
      <c r="Y327" s="67" t="n">
        <f aca="false">IF(Y$246=1,Inputs!$D$65,0)</f>
        <v>0</v>
      </c>
      <c r="Z327" s="67" t="n">
        <f aca="false">IF(Z$246=1,Inputs!$D$65,0)</f>
        <v>0</v>
      </c>
      <c r="AA327" s="67" t="n">
        <f aca="false">IF(AA$246=1,Inputs!$D$65,0)</f>
        <v>0</v>
      </c>
      <c r="AB327" s="67" t="n">
        <f aca="false">IF(AB$246=1,Inputs!$D$65,0)</f>
        <v>0</v>
      </c>
      <c r="AC327" s="67" t="n">
        <f aca="false">IF(AC$246=1,Inputs!$D$65,0)</f>
        <v>0</v>
      </c>
      <c r="AD327" s="67" t="n">
        <f aca="false">IF(AD$246=1,Inputs!$D$65,0)</f>
        <v>0</v>
      </c>
      <c r="AE327" s="67" t="n">
        <f aca="false">IF(AE$246=1,Inputs!$D$65,0)</f>
        <v>0</v>
      </c>
      <c r="AF327" s="67" t="n">
        <f aca="false">IF(AF$246=1,Inputs!$D$65,0)</f>
        <v>0</v>
      </c>
      <c r="AG327" s="67" t="n">
        <f aca="false">IF(AG$246=1,Inputs!$D$65,0)</f>
        <v>0</v>
      </c>
      <c r="AH327" s="67" t="n">
        <f aca="false">IF(AH$246=1,Inputs!$D$65,0)</f>
        <v>0</v>
      </c>
      <c r="AI327" s="67" t="n">
        <f aca="false">IF(AI$246=1,Inputs!$D$65,0)</f>
        <v>0</v>
      </c>
      <c r="AJ327" s="67" t="n">
        <f aca="false">IF(AJ$246=1,Inputs!$D$65,0)</f>
        <v>0</v>
      </c>
      <c r="AK327" s="67" t="n">
        <f aca="false">IF(AK$246=1,Inputs!$D$65,0)</f>
        <v>0</v>
      </c>
      <c r="AL327" s="67" t="n">
        <f aca="false">IF(AL$246=1,Inputs!$D$65,0)</f>
        <v>0</v>
      </c>
      <c r="AM327" s="67" t="n">
        <f aca="false">IF(AM$246=1,Inputs!$D$65,0)</f>
        <v>0</v>
      </c>
      <c r="AN327" s="67" t="n">
        <f aca="false">IF(AN$246=1,Inputs!$D$65,0)</f>
        <v>0</v>
      </c>
      <c r="AO327" s="67" t="n">
        <f aca="false">IF(AO$246=1,Inputs!$D$65,0)</f>
        <v>0</v>
      </c>
      <c r="AP327" s="67" t="n">
        <f aca="false">IF(AP$246=1,Inputs!$D$65,0)</f>
        <v>0</v>
      </c>
      <c r="AQ327" s="67" t="n">
        <f aca="false">IF(AQ$246=1,Inputs!$D$65,0)</f>
        <v>0</v>
      </c>
      <c r="AR327" s="67" t="n">
        <f aca="false">IF(AR$246=1,Inputs!$D$65,0)</f>
        <v>0</v>
      </c>
      <c r="AS327" s="67" t="n">
        <f aca="false">IF(AS$246=1,Inputs!$D$65,0)</f>
        <v>0</v>
      </c>
      <c r="AT327" s="67" t="n">
        <f aca="false">IF(AT$246=1,Inputs!$D$65,0)</f>
        <v>0</v>
      </c>
      <c r="AU327" s="67" t="n">
        <f aca="false">IF(AU$246=1,Inputs!$D$65,0)</f>
        <v>0</v>
      </c>
      <c r="AV327" s="67" t="n">
        <f aca="false">IF(AV$246=1,Inputs!$D$65,0)</f>
        <v>0</v>
      </c>
      <c r="AW327" s="67" t="n">
        <f aca="false">IF(AW$246=1,Inputs!$D$65,0)</f>
        <v>0</v>
      </c>
      <c r="AX327" s="67" t="n">
        <f aca="false">IF(AX$246=1,Inputs!$D$65,0)</f>
        <v>0</v>
      </c>
      <c r="AY327" s="67" t="n">
        <f aca="false">IF(AY$246=1,Inputs!$D$65,0)</f>
        <v>0</v>
      </c>
      <c r="AZ327" s="67" t="n">
        <f aca="false">IF(AZ$246=1,Inputs!$D$65,0)</f>
        <v>0</v>
      </c>
      <c r="BA327" s="67" t="n">
        <f aca="false">IF(BA$246=1,Inputs!$D$65,0)</f>
        <v>0</v>
      </c>
      <c r="BB327" s="67" t="n">
        <f aca="false">IF(BB$246=1,Inputs!$D$65,0)</f>
        <v>0</v>
      </c>
      <c r="BC327" s="67" t="n">
        <f aca="false">IF(BC$246=1,Inputs!$D$65,0)</f>
        <v>0</v>
      </c>
      <c r="BD327" s="67" t="n">
        <f aca="false">IF(BD$246=1,Inputs!$D$65,0)</f>
        <v>0</v>
      </c>
      <c r="BE327" s="67" t="n">
        <f aca="false">IF(BE$246=1,Inputs!$D$65,0)</f>
        <v>0</v>
      </c>
      <c r="BF327" s="67" t="n">
        <f aca="false">IF(BF$246=1,Inputs!$D$65,0)</f>
        <v>0</v>
      </c>
      <c r="BG327" s="67" t="n">
        <f aca="false">IF(BG$246=1,Inputs!$D$65,0)</f>
        <v>0</v>
      </c>
      <c r="BH327" s="67" t="n">
        <f aca="false">IF(BH$246=1,Inputs!$D$65,0)</f>
        <v>0</v>
      </c>
      <c r="BI327" s="67" t="n">
        <f aca="false">IF(BI$246=1,Inputs!$D$65,0)</f>
        <v>0</v>
      </c>
      <c r="BJ327" s="67" t="n">
        <f aca="false">IF(BJ$246=1,Inputs!$D$65,0)</f>
        <v>0</v>
      </c>
    </row>
    <row r="328" customFormat="false" ht="15" hidden="false" customHeight="false" outlineLevel="0" collapsed="false">
      <c r="A328" s="6" t="s">
        <v>54</v>
      </c>
      <c r="C328" s="67" t="n">
        <f aca="false">C327+C310+C312</f>
        <v>929382.770680291</v>
      </c>
      <c r="D328" s="67" t="n">
        <f aca="false">D327+D310+D312</f>
        <v>-620.82982407376</v>
      </c>
      <c r="E328" s="67" t="n">
        <f aca="false">E327+E310+E312</f>
        <v>-624.451331380857</v>
      </c>
      <c r="F328" s="67" t="n">
        <f aca="false">F327+F310+F312</f>
        <v>-628.093964147245</v>
      </c>
      <c r="G328" s="67" t="n">
        <f aca="false">G327+G310+G312</f>
        <v>-631.757845604771</v>
      </c>
      <c r="H328" s="67" t="n">
        <f aca="false">H327+H310+H312</f>
        <v>-635.443099704132</v>
      </c>
      <c r="I328" s="67" t="n">
        <f aca="false">I327+I310+I312</f>
        <v>-639.149851119073</v>
      </c>
      <c r="J328" s="67" t="n">
        <f aca="false">J327+J310+J312</f>
        <v>-642.878225250601</v>
      </c>
      <c r="K328" s="67" t="n">
        <f aca="false">K327+K310+K312</f>
        <v>-646.62834823123</v>
      </c>
      <c r="L328" s="67" t="n">
        <f aca="false">L327+L310+L312</f>
        <v>-650.400346929245</v>
      </c>
      <c r="M328" s="67" t="n">
        <f aca="false">M327+M310+M312</f>
        <v>-654.194348952999</v>
      </c>
      <c r="N328" s="67" t="n">
        <f aca="false">N327+N310+N312</f>
        <v>-658.010482655225</v>
      </c>
      <c r="O328" s="67" t="n">
        <f aca="false">O327+O310+O312</f>
        <v>-661.84887713738</v>
      </c>
      <c r="P328" s="67" t="n">
        <f aca="false">P327+P310+P312</f>
        <v>-665.709662254014</v>
      </c>
      <c r="Q328" s="67" t="n">
        <f aca="false">Q327+Q310+Q312</f>
        <v>-669.592968617164</v>
      </c>
      <c r="R328" s="67" t="n">
        <f aca="false">R327+R310+R312</f>
        <v>-673.498927600764</v>
      </c>
      <c r="S328" s="67" t="n">
        <f aca="false">S327+S310+S312</f>
        <v>-677.427671345101</v>
      </c>
      <c r="T328" s="67" t="n">
        <f aca="false">T327+T310+T312</f>
        <v>-681.379332761281</v>
      </c>
      <c r="U328" s="67" t="n">
        <f aca="false">U327+U310+U312</f>
        <v>-685.354045535722</v>
      </c>
      <c r="V328" s="67" t="n">
        <f aca="false">V327+V310+V312</f>
        <v>-689.35194413468</v>
      </c>
      <c r="W328" s="67" t="n">
        <f aca="false">W327+W310+W312</f>
        <v>-693.373163808799</v>
      </c>
      <c r="X328" s="67" t="n">
        <f aca="false">X327+X310+X312</f>
        <v>-697.417840597684</v>
      </c>
      <c r="Y328" s="67" t="n">
        <f aca="false">Y327+Y310+Y312</f>
        <v>-701.486111334503</v>
      </c>
      <c r="Z328" s="67" t="n">
        <f aca="false">Z327+Z310+Z312</f>
        <v>-705.578113650622</v>
      </c>
      <c r="AA328" s="67" t="n">
        <f aca="false">AA327+AA310+AA312</f>
        <v>-709.69398598025</v>
      </c>
      <c r="AB328" s="67" t="n">
        <f aca="false">AB327+AB310+AB312</f>
        <v>-713.833867565135</v>
      </c>
      <c r="AC328" s="67" t="n">
        <f aca="false">AC327+AC310+AC312</f>
        <v>-717.997898459265</v>
      </c>
      <c r="AD328" s="67" t="n">
        <f aca="false">AD327+AD310+AD312</f>
        <v>-722.186219533611</v>
      </c>
      <c r="AE328" s="67" t="n">
        <f aca="false">AE327+AE310+AE312</f>
        <v>-726.39897248089</v>
      </c>
      <c r="AF328" s="67" t="n">
        <f aca="false">AF327+AF310+AF312</f>
        <v>-730.636299820362</v>
      </c>
      <c r="AG328" s="67" t="n">
        <f aca="false">AG327+AG310+AG312</f>
        <v>-734.898344902647</v>
      </c>
      <c r="AH328" s="67" t="n">
        <f aca="false">AH327+AH310+AH312</f>
        <v>-739.18525191458</v>
      </c>
      <c r="AI328" s="67" t="n">
        <f aca="false">AI327+AI310+AI312</f>
        <v>-743.497165884082</v>
      </c>
      <c r="AJ328" s="67" t="n">
        <f aca="false">AJ327+AJ310+AJ312</f>
        <v>-747.834232685072</v>
      </c>
      <c r="AK328" s="67" t="n">
        <f aca="false">AK327+AK310+AK312</f>
        <v>-752.196599042402</v>
      </c>
      <c r="AL328" s="67" t="n">
        <f aca="false">AL327+AL310+AL312</f>
        <v>-756.584412536815</v>
      </c>
      <c r="AM328" s="67" t="n">
        <f aca="false">AM327+AM310+AM312</f>
        <v>-760.997821609948</v>
      </c>
      <c r="AN328" s="67" t="n">
        <f aca="false">AN327+AN310+AN312</f>
        <v>-765.436975569339</v>
      </c>
      <c r="AO328" s="67" t="n">
        <f aca="false">AO327+AO310+AO312</f>
        <v>-769.902024593493</v>
      </c>
      <c r="AP328" s="67" t="n">
        <f aca="false">AP327+AP310+AP312</f>
        <v>-774.393119736955</v>
      </c>
      <c r="AQ328" s="67" t="n">
        <f aca="false">AQ327+AQ310+AQ312</f>
        <v>-778.910412935421</v>
      </c>
      <c r="AR328" s="67" t="n">
        <f aca="false">AR327+AR310+AR312</f>
        <v>-783.454057010878</v>
      </c>
      <c r="AS328" s="67" t="n">
        <f aca="false">AS327+AS310+AS312</f>
        <v>-788.024205676774</v>
      </c>
      <c r="AT328" s="67" t="n">
        <f aca="false">AT327+AT310+AT312</f>
        <v>-792.621013543222</v>
      </c>
      <c r="AU328" s="67" t="n">
        <f aca="false">AU327+AU310+AU312</f>
        <v>-797.244636122224</v>
      </c>
      <c r="AV328" s="67" t="n">
        <f aca="false">AV327+AV310+AV312</f>
        <v>-801.895229832937</v>
      </c>
      <c r="AW328" s="67" t="n">
        <f aca="false">AW327+AW310+AW312</f>
        <v>-806.572952006962</v>
      </c>
      <c r="AX328" s="67" t="n">
        <f aca="false">AX327+AX310+AX312</f>
        <v>-811.277960893669</v>
      </c>
      <c r="AY328" s="67" t="n">
        <f aca="false">AY327+AY310+AY312</f>
        <v>-816.010415665549</v>
      </c>
      <c r="AZ328" s="67" t="n">
        <f aca="false">AZ327+AZ310+AZ312</f>
        <v>-820.770476423598</v>
      </c>
      <c r="BA328" s="67" t="n">
        <f aca="false">BA327+BA310+BA312</f>
        <v>-825.558304202736</v>
      </c>
      <c r="BB328" s="67" t="n">
        <f aca="false">BB327+BB310+BB312</f>
        <v>-830.374060977252</v>
      </c>
      <c r="BC328" s="67" t="n">
        <f aca="false">BC327+BC310+BC312</f>
        <v>-835.217909666286</v>
      </c>
      <c r="BD328" s="67" t="n">
        <f aca="false">BD327+BD310+BD312</f>
        <v>-840.09001413934</v>
      </c>
      <c r="BE328" s="67" t="n">
        <f aca="false">BE327+BE310+BE312</f>
        <v>-844.990539221819</v>
      </c>
      <c r="BF328" s="67" t="n">
        <f aca="false">BF327+BF310+BF312</f>
        <v>-849.919650700613</v>
      </c>
      <c r="BG328" s="67" t="n">
        <f aca="false">BG327+BG310+BG312</f>
        <v>-854.8775153297</v>
      </c>
      <c r="BH328" s="67" t="n">
        <f aca="false">BH327+BH310+BH312</f>
        <v>-859.86430083579</v>
      </c>
      <c r="BI328" s="67" t="n">
        <f aca="false">BI327+BI310+BI312</f>
        <v>-864.880175923999</v>
      </c>
      <c r="BJ328" s="67" t="n">
        <f aca="false">BJ327+BJ310+BJ312</f>
        <v>-869.925310283555</v>
      </c>
    </row>
    <row r="329" customFormat="false" ht="15" hidden="false" customHeight="false" outlineLevel="0" collapsed="false">
      <c r="A329" s="111" t="s">
        <v>439</v>
      </c>
      <c r="C329" s="68" t="n">
        <f aca="false">C325+C326+C328</f>
        <v>62485.9060785818</v>
      </c>
      <c r="D329" s="68" t="n">
        <f aca="false">D325+D326+D328</f>
        <v>-4302.20798466606</v>
      </c>
      <c r="E329" s="68" t="n">
        <f aca="false">E325+E326+E328</f>
        <v>-2526.70743338401</v>
      </c>
      <c r="F329" s="68" t="n">
        <f aca="false">F325+F326+F328</f>
        <v>-751.206882101954</v>
      </c>
      <c r="G329" s="68" t="n">
        <f aca="false">G325+G326+G328</f>
        <v>1024.29366918009</v>
      </c>
      <c r="H329" s="68" t="n">
        <f aca="false">H325+H326+H328</f>
        <v>11321.5711982399</v>
      </c>
      <c r="I329" s="68" t="n">
        <f aca="false">I325+I326+I328</f>
        <v>13624.0914110604</v>
      </c>
      <c r="J329" s="68" t="n">
        <f aca="false">J325+J326+J328</f>
        <v>14273.4569439276</v>
      </c>
      <c r="K329" s="68" t="n">
        <f aca="false">K325+K326+K328</f>
        <v>6790.96076447244</v>
      </c>
      <c r="L329" s="68" t="n">
        <f aca="false">L325+L326+L328</f>
        <v>6912.13173278004</v>
      </c>
      <c r="M329" s="68" t="n">
        <f aca="false">M325+M326+M328</f>
        <v>6912.20999235506</v>
      </c>
      <c r="N329" s="68" t="n">
        <f aca="false">N325+N326+N328</f>
        <v>6912.28360427759</v>
      </c>
      <c r="O329" s="68" t="n">
        <f aca="false">O325+O326+O328</f>
        <v>8417.03659632758</v>
      </c>
      <c r="P329" s="68" t="n">
        <f aca="false">P325+P326+P328</f>
        <v>8308.84192550061</v>
      </c>
      <c r="Q329" s="68" t="n">
        <f aca="false">Q325+Q326+Q328</f>
        <v>8308.92330616434</v>
      </c>
      <c r="R329" s="68" t="n">
        <f aca="false">R325+R326+R328</f>
        <v>8308.99992977779</v>
      </c>
      <c r="S329" s="68" t="n">
        <f aca="false">S325+S326+S328</f>
        <v>8309.07176859148</v>
      </c>
      <c r="T329" s="68" t="n">
        <f aca="false">T325+T326+T328</f>
        <v>17221.124961057</v>
      </c>
      <c r="U329" s="68" t="n">
        <f aca="false">U325+U326+U328</f>
        <v>17060.4564468517</v>
      </c>
      <c r="V329" s="68" t="n">
        <f aca="false">V325+V326+V328</f>
        <v>17060.5137631459</v>
      </c>
      <c r="W329" s="68" t="n">
        <f aca="false">W325+W326+W328</f>
        <v>8148.58001565137</v>
      </c>
      <c r="X329" s="68" t="n">
        <f aca="false">X325+X326+X328</f>
        <v>8309.35820804843</v>
      </c>
      <c r="Y329" s="68" t="n">
        <f aca="false">Y325+Y326+Y328</f>
        <v>8309.40074619371</v>
      </c>
      <c r="Z329" s="68" t="n">
        <f aca="false">Z325+Z326+Z328</f>
        <v>8309.43830070732</v>
      </c>
      <c r="AA329" s="68" t="n">
        <f aca="false">AA325+AA326+AA328</f>
        <v>9911.70326989114</v>
      </c>
      <c r="AB329" s="68" t="n">
        <f aca="false">AB325+AB326+AB328</f>
        <v>9801.26391129339</v>
      </c>
      <c r="AC329" s="68" t="n">
        <f aca="false">AC325+AC326+AC328</f>
        <v>9801.30876168062</v>
      </c>
      <c r="AD329" s="68" t="n">
        <f aca="false">AD325+AD326+AD328</f>
        <v>9801.34851113001</v>
      </c>
      <c r="AE329" s="68" t="n">
        <f aca="false">AE325+AE326+AE328</f>
        <v>9801.38312988608</v>
      </c>
      <c r="AF329" s="68" t="n">
        <f aca="false">AF325+AF326+AF328</f>
        <v>19348.6407685032</v>
      </c>
      <c r="AG329" s="68" t="n">
        <f aca="false">AG325+AG326+AG328</f>
        <v>19185.6604162646</v>
      </c>
      <c r="AH329" s="68" t="n">
        <f aca="false">AH325+AH326+AH328</f>
        <v>19185.6794626671</v>
      </c>
      <c r="AI329" s="68" t="n">
        <f aca="false">AI325+AI326+AI328</f>
        <v>9638.46507712508</v>
      </c>
      <c r="AJ329" s="68" t="n">
        <f aca="false">AJ325+AJ326+AJ328</f>
        <v>9801.47820961821</v>
      </c>
      <c r="AK329" s="68" t="n">
        <f aca="false">AK325+AK326+AK328</f>
        <v>9801.48140955817</v>
      </c>
      <c r="AL329" s="68" t="n">
        <f aca="false">AL325+AL326+AL328</f>
        <v>9801.47926559934</v>
      </c>
      <c r="AM329" s="68" t="n">
        <f aca="false">AM325+AM326+AM328</f>
        <v>11510.5261742411</v>
      </c>
      <c r="AN329" s="68" t="n">
        <f aca="false">AN325+AN326+AN328</f>
        <v>11397.8805291338</v>
      </c>
      <c r="AO329" s="68" t="n">
        <f aca="false">AO325+AO326+AO328</f>
        <v>11397.8851481356</v>
      </c>
      <c r="AP329" s="68" t="n">
        <f aca="false">AP325+AP326+AP328</f>
        <v>11397.8842974524</v>
      </c>
      <c r="AQ329" s="68" t="n">
        <f aca="false">AQ325+AQ326+AQ328</f>
        <v>11397.8779451776</v>
      </c>
      <c r="AR329" s="68" t="n">
        <f aca="false">AR325+AR326+AR328</f>
        <v>21625.6049896264</v>
      </c>
      <c r="AS329" s="68" t="n">
        <f aca="false">AS325+AS326+AS328</f>
        <v>21460.6583282125</v>
      </c>
      <c r="AT329" s="68" t="n">
        <f aca="false">AT325+AT326+AT328</f>
        <v>21460.6352778574</v>
      </c>
      <c r="AU329" s="68" t="n">
        <f aca="false">AU325+AU326+AU328</f>
        <v>11232.8676660049</v>
      </c>
      <c r="AV329" s="68" t="n">
        <f aca="false">AV325+AV326+AV328</f>
        <v>11397.7625301135</v>
      </c>
      <c r="AW329" s="68" t="n">
        <f aca="false">AW325+AW326+AW328</f>
        <v>11397.7224877538</v>
      </c>
      <c r="AX329" s="68" t="n">
        <f aca="false">AX325+AX326+AX328</f>
        <v>11397.6767151845</v>
      </c>
      <c r="AY329" s="68" t="n">
        <f aca="false">AY325+AY326+AY328</f>
        <v>13223.2411704987</v>
      </c>
      <c r="AZ329" s="68" t="n">
        <f aca="false">AZ325+AZ326+AZ328</f>
        <v>13108.4382351513</v>
      </c>
      <c r="BA329" s="68" t="n">
        <f aca="false">BA325+BA326+BA328</f>
        <v>13108.398627597</v>
      </c>
      <c r="BB329" s="68" t="n">
        <f aca="false">BB325+BB326+BB328</f>
        <v>13108.3531549537</v>
      </c>
      <c r="BC329" s="68" t="n">
        <f aca="false">BC325+BC326+BC328</f>
        <v>13108.3017830083</v>
      </c>
      <c r="BD329" s="68" t="n">
        <f aca="false">BD325+BD326+BD328</f>
        <v>24064.9882298436</v>
      </c>
      <c r="BE329" s="68" t="n">
        <f aca="false">BE325+BE326+BE328</f>
        <v>23898.4738603765</v>
      </c>
      <c r="BF329" s="68" t="n">
        <f aca="false">BF325+BF326+BF328</f>
        <v>23898.4045832452</v>
      </c>
      <c r="BG329" s="68" t="n">
        <f aca="false">BG325+BG326+BG328</f>
        <v>12941.585515457</v>
      </c>
      <c r="BH329" s="68" t="n">
        <f aca="false">BH325+BH326+BH328</f>
        <v>13107.9552222591</v>
      </c>
      <c r="BI329" s="68" t="n">
        <f aca="false">BI325+BI326+BI328</f>
        <v>13107.8677247699</v>
      </c>
      <c r="BJ329" s="68" t="n">
        <f aca="false">BJ325+BJ326+BJ328</f>
        <v>13107.7740828337</v>
      </c>
    </row>
    <row r="330" customFormat="false" ht="15" hidden="false" customHeight="false" outlineLevel="0" collapsed="false">
      <c r="A330" s="6" t="s">
        <v>341</v>
      </c>
      <c r="C330" s="67" t="n">
        <f aca="false">0</f>
        <v>0</v>
      </c>
      <c r="D330" s="67" t="n">
        <f aca="false">C331</f>
        <v>62485.9060785818</v>
      </c>
      <c r="E330" s="67" t="n">
        <f aca="false">D331</f>
        <v>58183.6980939158</v>
      </c>
      <c r="F330" s="67" t="n">
        <f aca="false">E331</f>
        <v>55656.9906605318</v>
      </c>
      <c r="G330" s="67" t="n">
        <f aca="false">F331</f>
        <v>54905.7837784298</v>
      </c>
      <c r="H330" s="67" t="n">
        <f aca="false">G331</f>
        <v>55930.0774476099</v>
      </c>
      <c r="I330" s="67" t="n">
        <f aca="false">H331</f>
        <v>67251.6486458498</v>
      </c>
      <c r="J330" s="67" t="n">
        <f aca="false">I331</f>
        <v>80875.7400569103</v>
      </c>
      <c r="K330" s="67" t="n">
        <f aca="false">J331</f>
        <v>95149.1970008378</v>
      </c>
      <c r="L330" s="67" t="n">
        <f aca="false">K331</f>
        <v>101940.15776531</v>
      </c>
      <c r="M330" s="67" t="n">
        <f aca="false">L331</f>
        <v>108852.28949809</v>
      </c>
      <c r="N330" s="67" t="n">
        <f aca="false">M331</f>
        <v>115764.499490445</v>
      </c>
      <c r="O330" s="67" t="n">
        <f aca="false">N331</f>
        <v>122676.783094723</v>
      </c>
      <c r="P330" s="67" t="n">
        <f aca="false">O331</f>
        <v>131093.819691051</v>
      </c>
      <c r="Q330" s="67" t="n">
        <f aca="false">P331</f>
        <v>139402.661616551</v>
      </c>
      <c r="R330" s="67" t="n">
        <f aca="false">Q331</f>
        <v>147711.584922715</v>
      </c>
      <c r="S330" s="67" t="n">
        <f aca="false">R331</f>
        <v>156020.584852493</v>
      </c>
      <c r="T330" s="67" t="n">
        <f aca="false">S331</f>
        <v>164329.656621085</v>
      </c>
      <c r="U330" s="67" t="n">
        <f aca="false">T331</f>
        <v>181550.781582142</v>
      </c>
      <c r="V330" s="67" t="n">
        <f aca="false">U331</f>
        <v>198611.238028993</v>
      </c>
      <c r="W330" s="67" t="n">
        <f aca="false">V331</f>
        <v>215671.751792139</v>
      </c>
      <c r="X330" s="67" t="n">
        <f aca="false">W331</f>
        <v>223820.331807791</v>
      </c>
      <c r="Y330" s="67" t="n">
        <f aca="false">X331</f>
        <v>232129.690015839</v>
      </c>
      <c r="Z330" s="67" t="n">
        <f aca="false">Y331</f>
        <v>240439.090762033</v>
      </c>
      <c r="AA330" s="67" t="n">
        <f aca="false">Z331</f>
        <v>248748.52906274</v>
      </c>
      <c r="AB330" s="67" t="n">
        <f aca="false">AA331</f>
        <v>258660.232332631</v>
      </c>
      <c r="AC330" s="67" t="n">
        <f aca="false">AB331</f>
        <v>268461.496243925</v>
      </c>
      <c r="AD330" s="67" t="n">
        <f aca="false">AC331</f>
        <v>278262.805005605</v>
      </c>
      <c r="AE330" s="67" t="n">
        <f aca="false">AD331</f>
        <v>288064.153516735</v>
      </c>
      <c r="AF330" s="67" t="n">
        <f aca="false">AE331</f>
        <v>297865.536646621</v>
      </c>
      <c r="AG330" s="67" t="n">
        <f aca="false">AF331</f>
        <v>317214.177415125</v>
      </c>
      <c r="AH330" s="67" t="n">
        <f aca="false">AG331</f>
        <v>336399.837831389</v>
      </c>
      <c r="AI330" s="67" t="n">
        <f aca="false">AH331</f>
        <v>355585.517294056</v>
      </c>
      <c r="AJ330" s="67" t="n">
        <f aca="false">AI331</f>
        <v>365223.982371181</v>
      </c>
      <c r="AK330" s="67" t="n">
        <f aca="false">AJ331</f>
        <v>375025.4605808</v>
      </c>
      <c r="AL330" s="67" t="n">
        <f aca="false">AK331</f>
        <v>384826.941990358</v>
      </c>
      <c r="AM330" s="67" t="n">
        <f aca="false">AL331</f>
        <v>394628.421255957</v>
      </c>
      <c r="AN330" s="67" t="n">
        <f aca="false">AM331</f>
        <v>406138.947430198</v>
      </c>
      <c r="AO330" s="67" t="n">
        <f aca="false">AN331</f>
        <v>417536.827959332</v>
      </c>
      <c r="AP330" s="67" t="n">
        <f aca="false">AO331</f>
        <v>428934.713107468</v>
      </c>
      <c r="AQ330" s="67" t="n">
        <f aca="false">AP331</f>
        <v>440332.59740492</v>
      </c>
      <c r="AR330" s="67" t="n">
        <f aca="false">AQ331</f>
        <v>451730.475350098</v>
      </c>
      <c r="AS330" s="67" t="n">
        <f aca="false">AR331</f>
        <v>473356.080339724</v>
      </c>
      <c r="AT330" s="67" t="n">
        <f aca="false">AS331</f>
        <v>494816.738667937</v>
      </c>
      <c r="AU330" s="67" t="n">
        <f aca="false">AT331</f>
        <v>516277.373945794</v>
      </c>
      <c r="AV330" s="67" t="n">
        <f aca="false">AU331</f>
        <v>527510.241611799</v>
      </c>
      <c r="AW330" s="67" t="n">
        <f aca="false">AV331</f>
        <v>538908.004141912</v>
      </c>
      <c r="AX330" s="67" t="n">
        <f aca="false">AW331</f>
        <v>550305.726629666</v>
      </c>
      <c r="AY330" s="67" t="n">
        <f aca="false">AX331</f>
        <v>561703.403344851</v>
      </c>
      <c r="AZ330" s="67" t="n">
        <f aca="false">AY331</f>
        <v>574926.644515349</v>
      </c>
      <c r="BA330" s="67" t="n">
        <f aca="false">AZ331</f>
        <v>588035.082750501</v>
      </c>
      <c r="BB330" s="67" t="n">
        <f aca="false">BA331</f>
        <v>601143.481378098</v>
      </c>
      <c r="BC330" s="67" t="n">
        <f aca="false">BB331</f>
        <v>614251.834533051</v>
      </c>
      <c r="BD330" s="67" t="n">
        <f aca="false">BC331</f>
        <v>627360.13631606</v>
      </c>
      <c r="BE330" s="67" t="n">
        <f aca="false">BD331</f>
        <v>651425.124545903</v>
      </c>
      <c r="BF330" s="67" t="n">
        <f aca="false">BE331</f>
        <v>675323.59840628</v>
      </c>
      <c r="BG330" s="67" t="n">
        <f aca="false">BF331</f>
        <v>699222.002989525</v>
      </c>
      <c r="BH330" s="67" t="n">
        <f aca="false">BG331</f>
        <v>712163.588504982</v>
      </c>
      <c r="BI330" s="67" t="n">
        <f aca="false">BH331</f>
        <v>725271.543727241</v>
      </c>
      <c r="BJ330" s="67" t="n">
        <f aca="false">BI331</f>
        <v>738379.411452011</v>
      </c>
    </row>
    <row r="331" customFormat="false" ht="15" hidden="false" customHeight="false" outlineLevel="0" collapsed="false">
      <c r="A331" s="111" t="s">
        <v>87</v>
      </c>
      <c r="C331" s="68" t="n">
        <f aca="false">C330+C329</f>
        <v>62485.9060785818</v>
      </c>
      <c r="D331" s="68" t="n">
        <f aca="false">D330+D329</f>
        <v>58183.6980939158</v>
      </c>
      <c r="E331" s="68" t="n">
        <f aca="false">E330+E329</f>
        <v>55656.9906605318</v>
      </c>
      <c r="F331" s="68" t="n">
        <f aca="false">F330+F329</f>
        <v>54905.7837784298</v>
      </c>
      <c r="G331" s="68" t="n">
        <f aca="false">G330+G329</f>
        <v>55930.0774476099</v>
      </c>
      <c r="H331" s="68" t="n">
        <f aca="false">H330+H329</f>
        <v>67251.6486458498</v>
      </c>
      <c r="I331" s="68" t="n">
        <f aca="false">I330+I329</f>
        <v>80875.7400569103</v>
      </c>
      <c r="J331" s="68" t="n">
        <f aca="false">J330+J329</f>
        <v>95149.1970008378</v>
      </c>
      <c r="K331" s="68" t="n">
        <f aca="false">K330+K329</f>
        <v>101940.15776531</v>
      </c>
      <c r="L331" s="68" t="n">
        <f aca="false">L330+L329</f>
        <v>108852.28949809</v>
      </c>
      <c r="M331" s="68" t="n">
        <f aca="false">M330+M329</f>
        <v>115764.499490445</v>
      </c>
      <c r="N331" s="68" t="n">
        <f aca="false">N330+N329</f>
        <v>122676.783094723</v>
      </c>
      <c r="O331" s="68" t="n">
        <f aca="false">O330+O329</f>
        <v>131093.819691051</v>
      </c>
      <c r="P331" s="68" t="n">
        <f aca="false">P330+P329</f>
        <v>139402.661616551</v>
      </c>
      <c r="Q331" s="68" t="n">
        <f aca="false">Q330+Q329</f>
        <v>147711.584922715</v>
      </c>
      <c r="R331" s="68" t="n">
        <f aca="false">R330+R329</f>
        <v>156020.584852493</v>
      </c>
      <c r="S331" s="68" t="n">
        <f aca="false">S330+S329</f>
        <v>164329.656621085</v>
      </c>
      <c r="T331" s="68" t="n">
        <f aca="false">T330+T329</f>
        <v>181550.781582142</v>
      </c>
      <c r="U331" s="68" t="n">
        <f aca="false">U330+U329</f>
        <v>198611.238028993</v>
      </c>
      <c r="V331" s="68" t="n">
        <f aca="false">V330+V329</f>
        <v>215671.751792139</v>
      </c>
      <c r="W331" s="68" t="n">
        <f aca="false">W330+W329</f>
        <v>223820.331807791</v>
      </c>
      <c r="X331" s="68" t="n">
        <f aca="false">X330+X329</f>
        <v>232129.690015839</v>
      </c>
      <c r="Y331" s="68" t="n">
        <f aca="false">Y330+Y329</f>
        <v>240439.090762033</v>
      </c>
      <c r="Z331" s="68" t="n">
        <f aca="false">Z330+Z329</f>
        <v>248748.52906274</v>
      </c>
      <c r="AA331" s="68" t="n">
        <f aca="false">AA330+AA329</f>
        <v>258660.232332631</v>
      </c>
      <c r="AB331" s="68" t="n">
        <f aca="false">AB330+AB329</f>
        <v>268461.496243925</v>
      </c>
      <c r="AC331" s="68" t="n">
        <f aca="false">AC330+AC329</f>
        <v>278262.805005605</v>
      </c>
      <c r="AD331" s="68" t="n">
        <f aca="false">AD330+AD329</f>
        <v>288064.153516735</v>
      </c>
      <c r="AE331" s="68" t="n">
        <f aca="false">AE330+AE329</f>
        <v>297865.536646621</v>
      </c>
      <c r="AF331" s="68" t="n">
        <f aca="false">AF330+AF329</f>
        <v>317214.177415125</v>
      </c>
      <c r="AG331" s="68" t="n">
        <f aca="false">AG330+AG329</f>
        <v>336399.837831389</v>
      </c>
      <c r="AH331" s="68" t="n">
        <f aca="false">AH330+AH329</f>
        <v>355585.517294056</v>
      </c>
      <c r="AI331" s="68" t="n">
        <f aca="false">AI330+AI329</f>
        <v>365223.982371181</v>
      </c>
      <c r="AJ331" s="68" t="n">
        <f aca="false">AJ330+AJ329</f>
        <v>375025.4605808</v>
      </c>
      <c r="AK331" s="68" t="n">
        <f aca="false">AK330+AK329</f>
        <v>384826.941990358</v>
      </c>
      <c r="AL331" s="68" t="n">
        <f aca="false">AL330+AL329</f>
        <v>394628.421255957</v>
      </c>
      <c r="AM331" s="68" t="n">
        <f aca="false">AM330+AM329</f>
        <v>406138.947430198</v>
      </c>
      <c r="AN331" s="68" t="n">
        <f aca="false">AN330+AN329</f>
        <v>417536.827959332</v>
      </c>
      <c r="AO331" s="68" t="n">
        <f aca="false">AO330+AO329</f>
        <v>428934.713107468</v>
      </c>
      <c r="AP331" s="68" t="n">
        <f aca="false">AP330+AP329</f>
        <v>440332.59740492</v>
      </c>
      <c r="AQ331" s="68" t="n">
        <f aca="false">AQ330+AQ329</f>
        <v>451730.475350098</v>
      </c>
      <c r="AR331" s="68" t="n">
        <f aca="false">AR330+AR329</f>
        <v>473356.080339724</v>
      </c>
      <c r="AS331" s="68" t="n">
        <f aca="false">AS330+AS329</f>
        <v>494816.738667937</v>
      </c>
      <c r="AT331" s="68" t="n">
        <f aca="false">AT330+AT329</f>
        <v>516277.373945794</v>
      </c>
      <c r="AU331" s="68" t="n">
        <f aca="false">AU330+AU329</f>
        <v>527510.241611799</v>
      </c>
      <c r="AV331" s="68" t="n">
        <f aca="false">AV330+AV329</f>
        <v>538908.004141912</v>
      </c>
      <c r="AW331" s="68" t="n">
        <f aca="false">AW330+AW329</f>
        <v>550305.726629666</v>
      </c>
      <c r="AX331" s="68" t="n">
        <f aca="false">AX330+AX329</f>
        <v>561703.403344851</v>
      </c>
      <c r="AY331" s="68" t="n">
        <f aca="false">AY330+AY329</f>
        <v>574926.644515349</v>
      </c>
      <c r="AZ331" s="68" t="n">
        <f aca="false">AZ330+AZ329</f>
        <v>588035.082750501</v>
      </c>
      <c r="BA331" s="68" t="n">
        <f aca="false">BA330+BA329</f>
        <v>601143.481378098</v>
      </c>
      <c r="BB331" s="68" t="n">
        <f aca="false">BB330+BB329</f>
        <v>614251.834533051</v>
      </c>
      <c r="BC331" s="68" t="n">
        <f aca="false">BC330+BC329</f>
        <v>627360.13631606</v>
      </c>
      <c r="BD331" s="68" t="n">
        <f aca="false">BD330+BD329</f>
        <v>651425.124545903</v>
      </c>
      <c r="BE331" s="68" t="n">
        <f aca="false">BE330+BE329</f>
        <v>675323.59840628</v>
      </c>
      <c r="BF331" s="68" t="n">
        <f aca="false">BF330+BF329</f>
        <v>699222.002989525</v>
      </c>
      <c r="BG331" s="68" t="n">
        <f aca="false">BG330+BG329</f>
        <v>712163.588504982</v>
      </c>
      <c r="BH331" s="68" t="n">
        <f aca="false">BH330+BH329</f>
        <v>725271.543727241</v>
      </c>
      <c r="BI331" s="68" t="n">
        <f aca="false">BI330+BI329</f>
        <v>738379.411452011</v>
      </c>
      <c r="BJ331" s="68" t="n">
        <f aca="false">BJ330+BJ329</f>
        <v>751487.185534844</v>
      </c>
    </row>
    <row r="332" customFormat="false" ht="15" hidden="false" customHeight="false" outlineLevel="0" collapsed="false">
      <c r="A332" s="114" t="s">
        <v>440</v>
      </c>
      <c r="C332" s="116" t="n">
        <f aca="false">IF(C284&gt;0,1,0)</f>
        <v>0</v>
      </c>
      <c r="D332" s="116" t="n">
        <f aca="false">IF(D284&gt;0,1,0)</f>
        <v>0</v>
      </c>
      <c r="E332" s="116" t="n">
        <f aca="false">IF(E284&gt;0,1,0)</f>
        <v>1</v>
      </c>
      <c r="F332" s="116" t="n">
        <f aca="false">IF(F284&gt;0,1,0)</f>
        <v>1</v>
      </c>
      <c r="G332" s="116" t="n">
        <f aca="false">IF(G284&gt;0,1,0)</f>
        <v>1</v>
      </c>
      <c r="H332" s="116" t="n">
        <f aca="false">IF(H284&gt;0,1,0)</f>
        <v>1</v>
      </c>
      <c r="I332" s="116" t="n">
        <f aca="false">IF(I284&gt;0,1,0)</f>
        <v>1</v>
      </c>
      <c r="J332" s="116" t="n">
        <f aca="false">IF(J284&gt;0,1,0)</f>
        <v>1</v>
      </c>
      <c r="K332" s="116" t="n">
        <f aca="false">IF(K284&gt;0,1,0)</f>
        <v>1</v>
      </c>
      <c r="L332" s="116" t="n">
        <f aca="false">IF(L284&gt;0,1,0)</f>
        <v>1</v>
      </c>
      <c r="M332" s="116" t="n">
        <f aca="false">IF(M284&gt;0,1,0)</f>
        <v>1</v>
      </c>
      <c r="N332" s="116" t="n">
        <f aca="false">IF(N284&gt;0,1,0)</f>
        <v>1</v>
      </c>
      <c r="O332" s="116" t="n">
        <f aca="false">IF(O284&gt;0,1,0)</f>
        <v>1</v>
      </c>
      <c r="P332" s="116" t="n">
        <f aca="false">IF(P284&gt;0,1,0)</f>
        <v>1</v>
      </c>
      <c r="Q332" s="116" t="n">
        <f aca="false">IF(Q284&gt;0,1,0)</f>
        <v>1</v>
      </c>
      <c r="R332" s="116" t="n">
        <f aca="false">IF(R284&gt;0,1,0)</f>
        <v>1</v>
      </c>
      <c r="S332" s="116" t="n">
        <f aca="false">IF(S284&gt;0,1,0)</f>
        <v>1</v>
      </c>
      <c r="T332" s="116" t="n">
        <f aca="false">IF(T284&gt;0,1,0)</f>
        <v>1</v>
      </c>
      <c r="U332" s="116" t="n">
        <f aca="false">IF(U284&gt;0,1,0)</f>
        <v>1</v>
      </c>
      <c r="V332" s="116" t="n">
        <f aca="false">IF(V284&gt;0,1,0)</f>
        <v>1</v>
      </c>
      <c r="W332" s="116" t="n">
        <f aca="false">IF(W284&gt;0,1,0)</f>
        <v>1</v>
      </c>
      <c r="X332" s="116" t="n">
        <f aca="false">IF(X284&gt;0,1,0)</f>
        <v>1</v>
      </c>
      <c r="Y332" s="116" t="n">
        <f aca="false">IF(Y284&gt;0,1,0)</f>
        <v>1</v>
      </c>
      <c r="Z332" s="116" t="n">
        <f aca="false">IF(Z284&gt;0,1,0)</f>
        <v>1</v>
      </c>
      <c r="AA332" s="116" t="n">
        <f aca="false">IF(AA284&gt;0,1,0)</f>
        <v>1</v>
      </c>
      <c r="AB332" s="116" t="n">
        <f aca="false">IF(AB284&gt;0,1,0)</f>
        <v>1</v>
      </c>
      <c r="AC332" s="116" t="n">
        <f aca="false">IF(AC284&gt;0,1,0)</f>
        <v>1</v>
      </c>
      <c r="AD332" s="116" t="n">
        <f aca="false">IF(AD284&gt;0,1,0)</f>
        <v>1</v>
      </c>
      <c r="AE332" s="116" t="n">
        <f aca="false">IF(AE284&gt;0,1,0)</f>
        <v>1</v>
      </c>
      <c r="AF332" s="116" t="n">
        <f aca="false">IF(AF284&gt;0,1,0)</f>
        <v>1</v>
      </c>
      <c r="AG332" s="116" t="n">
        <f aca="false">IF(AG284&gt;0,1,0)</f>
        <v>1</v>
      </c>
      <c r="AH332" s="116" t="n">
        <f aca="false">IF(AH284&gt;0,1,0)</f>
        <v>1</v>
      </c>
      <c r="AI332" s="116" t="n">
        <f aca="false">IF(AI284&gt;0,1,0)</f>
        <v>1</v>
      </c>
      <c r="AJ332" s="116" t="n">
        <f aca="false">IF(AJ284&gt;0,1,0)</f>
        <v>1</v>
      </c>
      <c r="AK332" s="116" t="n">
        <f aca="false">IF(AK284&gt;0,1,0)</f>
        <v>1</v>
      </c>
      <c r="AL332" s="116" t="n">
        <f aca="false">IF(AL284&gt;0,1,0)</f>
        <v>1</v>
      </c>
      <c r="AM332" s="116" t="n">
        <f aca="false">IF(AM284&gt;0,1,0)</f>
        <v>1</v>
      </c>
      <c r="AN332" s="116" t="n">
        <f aca="false">IF(AN284&gt;0,1,0)</f>
        <v>1</v>
      </c>
      <c r="AO332" s="116" t="n">
        <f aca="false">IF(AO284&gt;0,1,0)</f>
        <v>1</v>
      </c>
      <c r="AP332" s="116" t="n">
        <f aca="false">IF(AP284&gt;0,1,0)</f>
        <v>1</v>
      </c>
      <c r="AQ332" s="116" t="n">
        <f aca="false">IF(AQ284&gt;0,1,0)</f>
        <v>1</v>
      </c>
      <c r="AR332" s="116" t="n">
        <f aca="false">IF(AR284&gt;0,1,0)</f>
        <v>1</v>
      </c>
      <c r="AS332" s="116" t="n">
        <f aca="false">IF(AS284&gt;0,1,0)</f>
        <v>1</v>
      </c>
      <c r="AT332" s="116" t="n">
        <f aca="false">IF(AT284&gt;0,1,0)</f>
        <v>1</v>
      </c>
      <c r="AU332" s="116" t="n">
        <f aca="false">IF(AU284&gt;0,1,0)</f>
        <v>1</v>
      </c>
      <c r="AV332" s="116" t="n">
        <f aca="false">IF(AV284&gt;0,1,0)</f>
        <v>1</v>
      </c>
      <c r="AW332" s="116" t="n">
        <f aca="false">IF(AW284&gt;0,1,0)</f>
        <v>1</v>
      </c>
      <c r="AX332" s="116" t="n">
        <f aca="false">IF(AX284&gt;0,1,0)</f>
        <v>1</v>
      </c>
      <c r="AY332" s="116" t="n">
        <f aca="false">IF(AY284&gt;0,1,0)</f>
        <v>1</v>
      </c>
      <c r="AZ332" s="116" t="n">
        <f aca="false">IF(AZ284&gt;0,1,0)</f>
        <v>1</v>
      </c>
      <c r="BA332" s="116" t="n">
        <f aca="false">IF(BA284&gt;0,1,0)</f>
        <v>1</v>
      </c>
      <c r="BB332" s="116" t="n">
        <f aca="false">IF(BB284&gt;0,1,0)</f>
        <v>1</v>
      </c>
      <c r="BC332" s="116" t="n">
        <f aca="false">IF(BC284&gt;0,1,0)</f>
        <v>1</v>
      </c>
      <c r="BD332" s="116" t="n">
        <f aca="false">IF(BD284&gt;0,1,0)</f>
        <v>1</v>
      </c>
      <c r="BE332" s="116" t="n">
        <f aca="false">IF(BE284&gt;0,1,0)</f>
        <v>1</v>
      </c>
      <c r="BF332" s="116" t="n">
        <f aca="false">IF(BF284&gt;0,1,0)</f>
        <v>1</v>
      </c>
      <c r="BG332" s="116" t="n">
        <f aca="false">IF(BG284&gt;0,1,0)</f>
        <v>1</v>
      </c>
      <c r="BH332" s="116" t="n">
        <f aca="false">IF(BH284&gt;0,1,0)</f>
        <v>1</v>
      </c>
      <c r="BI332" s="116" t="n">
        <f aca="false">IF(BI284&gt;0,1,0)</f>
        <v>1</v>
      </c>
      <c r="BJ332" s="116" t="n">
        <f aca="false">IF(BJ284&gt;0,1,0)</f>
        <v>1</v>
      </c>
    </row>
    <row r="334" customFormat="false" ht="15.75" hidden="false" customHeight="true" outlineLevel="0" collapsed="false">
      <c r="A334" s="7" t="s">
        <v>441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114" t="s">
        <v>442</v>
      </c>
      <c r="C335" s="116" t="n">
        <f aca="false">IF(C293&gt;0,1,0)</f>
        <v>0</v>
      </c>
      <c r="D335" s="116" t="n">
        <f aca="false">IF(D293&gt;0,1,0)</f>
        <v>0</v>
      </c>
      <c r="E335" s="116" t="n">
        <f aca="false">IF(E293&gt;0,1,0)</f>
        <v>0</v>
      </c>
      <c r="F335" s="116" t="n">
        <f aca="false">IF(F293&gt;0,1,0)</f>
        <v>0</v>
      </c>
      <c r="G335" s="116" t="n">
        <f aca="false">IF(G293&gt;0,1,0)</f>
        <v>0</v>
      </c>
      <c r="H335" s="116" t="n">
        <f aca="false">IF(H293&gt;0,1,0)</f>
        <v>1</v>
      </c>
      <c r="I335" s="116" t="n">
        <f aca="false">IF(I293&gt;0,1,0)</f>
        <v>1</v>
      </c>
      <c r="J335" s="116" t="n">
        <f aca="false">IF(J293&gt;0,1,0)</f>
        <v>1</v>
      </c>
      <c r="K335" s="116" t="n">
        <f aca="false">IF(K293&gt;0,1,0)</f>
        <v>1</v>
      </c>
      <c r="L335" s="116" t="n">
        <f aca="false">IF(L293&gt;0,1,0)</f>
        <v>1</v>
      </c>
      <c r="M335" s="116" t="n">
        <f aca="false">IF(M293&gt;0,1,0)</f>
        <v>1</v>
      </c>
      <c r="N335" s="116" t="n">
        <f aca="false">IF(N293&gt;0,1,0)</f>
        <v>1</v>
      </c>
      <c r="O335" s="116" t="n">
        <f aca="false">IF(O293&gt;0,1,0)</f>
        <v>1</v>
      </c>
      <c r="P335" s="116" t="n">
        <f aca="false">IF(P293&gt;0,1,0)</f>
        <v>1</v>
      </c>
      <c r="Q335" s="116" t="n">
        <f aca="false">IF(Q293&gt;0,1,0)</f>
        <v>1</v>
      </c>
      <c r="R335" s="116" t="n">
        <f aca="false">IF(R293&gt;0,1,0)</f>
        <v>1</v>
      </c>
      <c r="S335" s="116" t="n">
        <f aca="false">IF(S293&gt;0,1,0)</f>
        <v>1</v>
      </c>
      <c r="T335" s="116" t="n">
        <f aca="false">IF(T293&gt;0,1,0)</f>
        <v>1</v>
      </c>
      <c r="U335" s="116" t="n">
        <f aca="false">IF(U293&gt;0,1,0)</f>
        <v>1</v>
      </c>
      <c r="V335" s="116" t="n">
        <f aca="false">IF(V293&gt;0,1,0)</f>
        <v>1</v>
      </c>
      <c r="W335" s="116" t="n">
        <f aca="false">IF(W293&gt;0,1,0)</f>
        <v>1</v>
      </c>
      <c r="X335" s="116" t="n">
        <f aca="false">IF(X293&gt;0,1,0)</f>
        <v>1</v>
      </c>
      <c r="Y335" s="116" t="n">
        <f aca="false">IF(Y293&gt;0,1,0)</f>
        <v>1</v>
      </c>
      <c r="Z335" s="116" t="n">
        <f aca="false">IF(Z293&gt;0,1,0)</f>
        <v>1</v>
      </c>
      <c r="AA335" s="116" t="n">
        <f aca="false">IF(AA293&gt;0,1,0)</f>
        <v>1</v>
      </c>
      <c r="AB335" s="116" t="n">
        <f aca="false">IF(AB293&gt;0,1,0)</f>
        <v>1</v>
      </c>
      <c r="AC335" s="116" t="n">
        <f aca="false">IF(AC293&gt;0,1,0)</f>
        <v>1</v>
      </c>
      <c r="AD335" s="116" t="n">
        <f aca="false">IF(AD293&gt;0,1,0)</f>
        <v>1</v>
      </c>
      <c r="AE335" s="116" t="n">
        <f aca="false">IF(AE293&gt;0,1,0)</f>
        <v>1</v>
      </c>
      <c r="AF335" s="116" t="n">
        <f aca="false">IF(AF293&gt;0,1,0)</f>
        <v>1</v>
      </c>
      <c r="AG335" s="116" t="n">
        <f aca="false">IF(AG293&gt;0,1,0)</f>
        <v>1</v>
      </c>
      <c r="AH335" s="116" t="n">
        <f aca="false">IF(AH293&gt;0,1,0)</f>
        <v>1</v>
      </c>
      <c r="AI335" s="116" t="n">
        <f aca="false">IF(AI293&gt;0,1,0)</f>
        <v>1</v>
      </c>
      <c r="AJ335" s="116" t="n">
        <f aca="false">IF(AJ293&gt;0,1,0)</f>
        <v>1</v>
      </c>
      <c r="AK335" s="116" t="n">
        <f aca="false">IF(AK293&gt;0,1,0)</f>
        <v>1</v>
      </c>
      <c r="AL335" s="116" t="n">
        <f aca="false">IF(AL293&gt;0,1,0)</f>
        <v>1</v>
      </c>
      <c r="AM335" s="116" t="n">
        <f aca="false">IF(AM293&gt;0,1,0)</f>
        <v>1</v>
      </c>
      <c r="AN335" s="116" t="n">
        <f aca="false">IF(AN293&gt;0,1,0)</f>
        <v>1</v>
      </c>
      <c r="AO335" s="116" t="n">
        <f aca="false">IF(AO293&gt;0,1,0)</f>
        <v>1</v>
      </c>
      <c r="AP335" s="116" t="n">
        <f aca="false">IF(AP293&gt;0,1,0)</f>
        <v>1</v>
      </c>
      <c r="AQ335" s="116" t="n">
        <f aca="false">IF(AQ293&gt;0,1,0)</f>
        <v>1</v>
      </c>
      <c r="AR335" s="116" t="n">
        <f aca="false">IF(AR293&gt;0,1,0)</f>
        <v>1</v>
      </c>
      <c r="AS335" s="116" t="n">
        <f aca="false">IF(AS293&gt;0,1,0)</f>
        <v>1</v>
      </c>
      <c r="AT335" s="116" t="n">
        <f aca="false">IF(AT293&gt;0,1,0)</f>
        <v>1</v>
      </c>
      <c r="AU335" s="116" t="n">
        <f aca="false">IF(AU293&gt;0,1,0)</f>
        <v>1</v>
      </c>
      <c r="AV335" s="116" t="n">
        <f aca="false">IF(AV293&gt;0,1,0)</f>
        <v>1</v>
      </c>
      <c r="AW335" s="116" t="n">
        <f aca="false">IF(AW293&gt;0,1,0)</f>
        <v>1</v>
      </c>
      <c r="AX335" s="116" t="n">
        <f aca="false">IF(AX293&gt;0,1,0)</f>
        <v>1</v>
      </c>
      <c r="AY335" s="116" t="n">
        <f aca="false">IF(AY293&gt;0,1,0)</f>
        <v>1</v>
      </c>
      <c r="AZ335" s="116" t="n">
        <f aca="false">IF(AZ293&gt;0,1,0)</f>
        <v>1</v>
      </c>
      <c r="BA335" s="116" t="n">
        <f aca="false">IF(BA293&gt;0,1,0)</f>
        <v>1</v>
      </c>
      <c r="BB335" s="116" t="n">
        <f aca="false">IF(BB293&gt;0,1,0)</f>
        <v>1</v>
      </c>
      <c r="BC335" s="116" t="n">
        <f aca="false">IF(BC293&gt;0,1,0)</f>
        <v>1</v>
      </c>
      <c r="BD335" s="116" t="n">
        <f aca="false">IF(BD293&gt;0,1,0)</f>
        <v>1</v>
      </c>
      <c r="BE335" s="116" t="n">
        <f aca="false">IF(BE293&gt;0,1,0)</f>
        <v>1</v>
      </c>
      <c r="BF335" s="116" t="n">
        <f aca="false">IF(BF293&gt;0,1,0)</f>
        <v>1</v>
      </c>
      <c r="BG335" s="116" t="n">
        <f aca="false">IF(BG293&gt;0,1,0)</f>
        <v>1</v>
      </c>
      <c r="BH335" s="116" t="n">
        <f aca="false">IF(BH293&gt;0,1,0)</f>
        <v>1</v>
      </c>
      <c r="BI335" s="116" t="n">
        <f aca="false">IF(BI293&gt;0,1,0)</f>
        <v>1</v>
      </c>
      <c r="BJ335" s="116" t="n">
        <f aca="false">IF(BJ293&gt;0,1,0)</f>
        <v>1</v>
      </c>
    </row>
    <row r="336" customFormat="false" ht="15" hidden="false" customHeight="false" outlineLevel="0" collapsed="false">
      <c r="A336" s="6" t="s">
        <v>443</v>
      </c>
      <c r="C336" s="67" t="n">
        <f aca="false">C325+C326</f>
        <v>-866896.864601709</v>
      </c>
      <c r="D336" s="67" t="n">
        <f aca="false">D325+D326</f>
        <v>-3681.3781605923</v>
      </c>
      <c r="E336" s="67" t="n">
        <f aca="false">E325+E326</f>
        <v>-1902.25610200315</v>
      </c>
      <c r="F336" s="67" t="n">
        <f aca="false">F325+F326</f>
        <v>-123.112917954709</v>
      </c>
      <c r="G336" s="67" t="n">
        <f aca="false">G325+G326</f>
        <v>1656.05151478486</v>
      </c>
      <c r="H336" s="67" t="n">
        <f aca="false">H325+H326</f>
        <v>11957.0142979441</v>
      </c>
      <c r="I336" s="67" t="n">
        <f aca="false">I325+I326</f>
        <v>14263.2412621795</v>
      </c>
      <c r="J336" s="67" t="n">
        <f aca="false">J325+J326</f>
        <v>14916.3351691782</v>
      </c>
      <c r="K336" s="67" t="n">
        <f aca="false">K325+K326</f>
        <v>7437.58911270367</v>
      </c>
      <c r="L336" s="67" t="n">
        <f aca="false">L325+L326</f>
        <v>7562.53207970929</v>
      </c>
      <c r="M336" s="67" t="n">
        <f aca="false">M325+M326</f>
        <v>7566.40434130805</v>
      </c>
      <c r="N336" s="67" t="n">
        <f aca="false">N325+N326</f>
        <v>7570.29408693281</v>
      </c>
      <c r="O336" s="67" t="n">
        <f aca="false">O325+O326</f>
        <v>9078.88547346496</v>
      </c>
      <c r="P336" s="67" t="n">
        <f aca="false">P325+P326</f>
        <v>8974.55158775462</v>
      </c>
      <c r="Q336" s="67" t="n">
        <f aca="false">Q325+Q326</f>
        <v>8978.51627478151</v>
      </c>
      <c r="R336" s="67" t="n">
        <f aca="false">R325+R326</f>
        <v>8982.49885737855</v>
      </c>
      <c r="S336" s="67" t="n">
        <f aca="false">S325+S326</f>
        <v>8986.49943993658</v>
      </c>
      <c r="T336" s="67" t="n">
        <f aca="false">T325+T326</f>
        <v>17902.5042938183</v>
      </c>
      <c r="U336" s="67" t="n">
        <f aca="false">U325+U326</f>
        <v>17745.8104923874</v>
      </c>
      <c r="V336" s="67" t="n">
        <f aca="false">V325+V326</f>
        <v>17749.8657072806</v>
      </c>
      <c r="W336" s="67" t="n">
        <f aca="false">W325+W326</f>
        <v>8841.95317946017</v>
      </c>
      <c r="X336" s="67" t="n">
        <f aca="false">X325+X326</f>
        <v>9006.77604864612</v>
      </c>
      <c r="Y336" s="67" t="n">
        <f aca="false">Y325+Y326</f>
        <v>9010.88685752821</v>
      </c>
      <c r="Z336" s="67" t="n">
        <f aca="false">Z325+Z326</f>
        <v>9015.01641435794</v>
      </c>
      <c r="AA336" s="67" t="n">
        <f aca="false">AA325+AA326</f>
        <v>10621.3972558714</v>
      </c>
      <c r="AB336" s="67" t="n">
        <f aca="false">AB325+AB326</f>
        <v>10515.0977788585</v>
      </c>
      <c r="AC336" s="67" t="n">
        <f aca="false">AC325+AC326</f>
        <v>10519.3066601399</v>
      </c>
      <c r="AD336" s="67" t="n">
        <f aca="false">AD325+AD326</f>
        <v>10523.5347306636</v>
      </c>
      <c r="AE336" s="67" t="n">
        <f aca="false">AE325+AE326</f>
        <v>10527.782102367</v>
      </c>
      <c r="AF336" s="67" t="n">
        <f aca="false">AF325+AF326</f>
        <v>20079.2770683236</v>
      </c>
      <c r="AG336" s="67" t="n">
        <f aca="false">AG325+AG326</f>
        <v>19920.5587611673</v>
      </c>
      <c r="AH336" s="67" t="n">
        <f aca="false">AH325+AH326</f>
        <v>19924.8647145817</v>
      </c>
      <c r="AI336" s="67" t="n">
        <f aca="false">AI325+AI326</f>
        <v>10381.9622430092</v>
      </c>
      <c r="AJ336" s="67" t="n">
        <f aca="false">AJ325+AJ326</f>
        <v>10549.3124423033</v>
      </c>
      <c r="AK336" s="67" t="n">
        <f aca="false">AK325+AK326</f>
        <v>10553.6780086006</v>
      </c>
      <c r="AL336" s="67" t="n">
        <f aca="false">AL325+AL326</f>
        <v>10558.0636781362</v>
      </c>
      <c r="AM336" s="67" t="n">
        <f aca="false">AM325+AM326</f>
        <v>12271.5239958511</v>
      </c>
      <c r="AN336" s="67" t="n">
        <f aca="false">AN325+AN326</f>
        <v>12163.3175047032</v>
      </c>
      <c r="AO336" s="67" t="n">
        <f aca="false">AO325+AO326</f>
        <v>12167.7871727291</v>
      </c>
      <c r="AP336" s="67" t="n">
        <f aca="false">AP325+AP326</f>
        <v>12172.2774171893</v>
      </c>
      <c r="AQ336" s="67" t="n">
        <f aca="false">AQ325+AQ326</f>
        <v>12176.788358113</v>
      </c>
      <c r="AR336" s="67" t="n">
        <f aca="false">AR325+AR326</f>
        <v>22409.0590466373</v>
      </c>
      <c r="AS336" s="67" t="n">
        <f aca="false">AS325+AS326</f>
        <v>22248.6825338892</v>
      </c>
      <c r="AT336" s="67" t="n">
        <f aca="false">AT325+AT326</f>
        <v>22253.2562914006</v>
      </c>
      <c r="AU336" s="67" t="n">
        <f aca="false">AU325+AU326</f>
        <v>12030.1123021271</v>
      </c>
      <c r="AV336" s="67" t="n">
        <f aca="false">AV325+AV326</f>
        <v>12199.6577599464</v>
      </c>
      <c r="AW336" s="67" t="n">
        <f aca="false">AW325+AW326</f>
        <v>12204.2954397608</v>
      </c>
      <c r="AX336" s="67" t="n">
        <f aca="false">AX325+AX326</f>
        <v>12208.9546760781</v>
      </c>
      <c r="AY336" s="67" t="n">
        <f aca="false">AY325+AY326</f>
        <v>14039.2515861642</v>
      </c>
      <c r="AZ336" s="67" t="n">
        <f aca="false">AZ325+AZ326</f>
        <v>13929.2087115749</v>
      </c>
      <c r="BA336" s="67" t="n">
        <f aca="false">BA325+BA326</f>
        <v>13933.9569317997</v>
      </c>
      <c r="BB336" s="67" t="n">
        <f aca="false">BB325+BB326</f>
        <v>13938.7272159309</v>
      </c>
      <c r="BC336" s="67" t="n">
        <f aca="false">BC325+BC326</f>
        <v>13943.5196926745</v>
      </c>
      <c r="BD336" s="67" t="n">
        <f aca="false">BD325+BD326</f>
        <v>24905.0782439829</v>
      </c>
      <c r="BE336" s="67" t="n">
        <f aca="false">BE325+BE326</f>
        <v>24743.4643995983</v>
      </c>
      <c r="BF336" s="67" t="n">
        <f aca="false">BF325+BF326</f>
        <v>24748.3242339458</v>
      </c>
      <c r="BG336" s="67" t="n">
        <f aca="false">BG325+BG326</f>
        <v>13796.4630307867</v>
      </c>
      <c r="BH336" s="67" t="n">
        <f aca="false">BH325+BH326</f>
        <v>13967.8195230949</v>
      </c>
      <c r="BI336" s="67" t="n">
        <f aca="false">BI325+BI326</f>
        <v>13972.7479006939</v>
      </c>
      <c r="BJ336" s="67" t="n">
        <f aca="false">BJ325+BJ326</f>
        <v>13977.6993931173</v>
      </c>
    </row>
    <row r="337" customFormat="false" ht="15" hidden="false" customHeight="false" outlineLevel="0" collapsed="false">
      <c r="A337" s="6" t="s">
        <v>444</v>
      </c>
      <c r="C337" s="67" t="n">
        <f aca="false">C336</f>
        <v>-866896.864601709</v>
      </c>
      <c r="D337" s="67" t="n">
        <f aca="false">C337+D336</f>
        <v>-870578.242762302</v>
      </c>
      <c r="E337" s="67" t="n">
        <f aca="false">D337+E336</f>
        <v>-872480.498864305</v>
      </c>
      <c r="F337" s="67" t="n">
        <f aca="false">E337+F336</f>
        <v>-872603.61178226</v>
      </c>
      <c r="G337" s="67" t="n">
        <f aca="false">F337+G336</f>
        <v>-870947.560267475</v>
      </c>
      <c r="H337" s="67" t="n">
        <f aca="false">G337+H336</f>
        <v>-858990.545969531</v>
      </c>
      <c r="I337" s="67" t="n">
        <f aca="false">H337+I336</f>
        <v>-844727.304707351</v>
      </c>
      <c r="J337" s="67" t="n">
        <f aca="false">I337+J336</f>
        <v>-829810.969538173</v>
      </c>
      <c r="K337" s="67" t="n">
        <f aca="false">J337+K336</f>
        <v>-822373.380425469</v>
      </c>
      <c r="L337" s="67" t="n">
        <f aca="false">K337+L336</f>
        <v>-814810.84834576</v>
      </c>
      <c r="M337" s="67" t="n">
        <f aca="false">L337+M336</f>
        <v>-807244.444004452</v>
      </c>
      <c r="N337" s="67" t="n">
        <f aca="false">M337+N336</f>
        <v>-799674.149917519</v>
      </c>
      <c r="O337" s="67" t="n">
        <f aca="false">N337+O336</f>
        <v>-790595.264444054</v>
      </c>
      <c r="P337" s="67" t="n">
        <f aca="false">O337+P336</f>
        <v>-781620.7128563</v>
      </c>
      <c r="Q337" s="67" t="n">
        <f aca="false">P337+Q336</f>
        <v>-772642.196581518</v>
      </c>
      <c r="R337" s="67" t="n">
        <f aca="false">Q337+R336</f>
        <v>-763659.697724139</v>
      </c>
      <c r="S337" s="67" t="n">
        <f aca="false">R337+S336</f>
        <v>-754673.198284203</v>
      </c>
      <c r="T337" s="67" t="n">
        <f aca="false">S337+T336</f>
        <v>-736770.693990385</v>
      </c>
      <c r="U337" s="67" t="n">
        <f aca="false">T337+U336</f>
        <v>-719024.883497997</v>
      </c>
      <c r="V337" s="67" t="n">
        <f aca="false">U337+V336</f>
        <v>-701275.017790717</v>
      </c>
      <c r="W337" s="67" t="n">
        <f aca="false">V337+W336</f>
        <v>-692433.064611256</v>
      </c>
      <c r="X337" s="67" t="n">
        <f aca="false">W337+X336</f>
        <v>-683426.28856261</v>
      </c>
      <c r="Y337" s="67" t="n">
        <f aca="false">X337+Y336</f>
        <v>-674415.401705082</v>
      </c>
      <c r="Z337" s="67" t="n">
        <f aca="false">Y337+Z336</f>
        <v>-665400.385290724</v>
      </c>
      <c r="AA337" s="67" t="n">
        <f aca="false">Z337+AA336</f>
        <v>-654778.988034853</v>
      </c>
      <c r="AB337" s="67" t="n">
        <f aca="false">AA337+AB336</f>
        <v>-644263.890255994</v>
      </c>
      <c r="AC337" s="67" t="n">
        <f aca="false">AB337+AC336</f>
        <v>-633744.583595854</v>
      </c>
      <c r="AD337" s="67" t="n">
        <f aca="false">AC337+AD336</f>
        <v>-623221.048865191</v>
      </c>
      <c r="AE337" s="67" t="n">
        <f aca="false">AD337+AE336</f>
        <v>-612693.266762824</v>
      </c>
      <c r="AF337" s="67" t="n">
        <f aca="false">AE337+AF336</f>
        <v>-592613.9896945</v>
      </c>
      <c r="AG337" s="67" t="n">
        <f aca="false">AF337+AG336</f>
        <v>-572693.430933333</v>
      </c>
      <c r="AH337" s="67" t="n">
        <f aca="false">AG337+AH336</f>
        <v>-552768.566218751</v>
      </c>
      <c r="AI337" s="67" t="n">
        <f aca="false">AH337+AI336</f>
        <v>-542386.603975742</v>
      </c>
      <c r="AJ337" s="67" t="n">
        <f aca="false">AI337+AJ336</f>
        <v>-531837.291533439</v>
      </c>
      <c r="AK337" s="67" t="n">
        <f aca="false">AJ337+AK336</f>
        <v>-521283.613524838</v>
      </c>
      <c r="AL337" s="67" t="n">
        <f aca="false">AK337+AL336</f>
        <v>-510725.549846702</v>
      </c>
      <c r="AM337" s="67" t="n">
        <f aca="false">AL337+AM336</f>
        <v>-498454.025850851</v>
      </c>
      <c r="AN337" s="67" t="n">
        <f aca="false">AM337+AN336</f>
        <v>-486290.708346148</v>
      </c>
      <c r="AO337" s="67" t="n">
        <f aca="false">AN337+AO336</f>
        <v>-474122.921173419</v>
      </c>
      <c r="AP337" s="67" t="n">
        <f aca="false">AO337+AP336</f>
        <v>-461950.643756229</v>
      </c>
      <c r="AQ337" s="67" t="n">
        <f aca="false">AP337+AQ336</f>
        <v>-449773.855398116</v>
      </c>
      <c r="AR337" s="67" t="n">
        <f aca="false">AQ337+AR336</f>
        <v>-427364.796351479</v>
      </c>
      <c r="AS337" s="67" t="n">
        <f aca="false">AR337+AS336</f>
        <v>-405116.11381759</v>
      </c>
      <c r="AT337" s="67" t="n">
        <f aca="false">AS337+AT336</f>
        <v>-382862.857526189</v>
      </c>
      <c r="AU337" s="67" t="n">
        <f aca="false">AT337+AU336</f>
        <v>-370832.745224062</v>
      </c>
      <c r="AV337" s="67" t="n">
        <f aca="false">AU337+AV336</f>
        <v>-358633.087464116</v>
      </c>
      <c r="AW337" s="67" t="n">
        <f aca="false">AV337+AW336</f>
        <v>-346428.792024355</v>
      </c>
      <c r="AX337" s="67" t="n">
        <f aca="false">AW337+AX336</f>
        <v>-334219.837348277</v>
      </c>
      <c r="AY337" s="67" t="n">
        <f aca="false">AX337+AY336</f>
        <v>-320180.585762112</v>
      </c>
      <c r="AZ337" s="67" t="n">
        <f aca="false">AY337+AZ336</f>
        <v>-306251.377050538</v>
      </c>
      <c r="BA337" s="67" t="n">
        <f aca="false">AZ337+BA336</f>
        <v>-292317.420118738</v>
      </c>
      <c r="BB337" s="67" t="n">
        <f aca="false">BA337+BB336</f>
        <v>-278378.692902807</v>
      </c>
      <c r="BC337" s="67" t="n">
        <f aca="false">BB337+BC336</f>
        <v>-264435.173210132</v>
      </c>
      <c r="BD337" s="67" t="n">
        <f aca="false">BC337+BD336</f>
        <v>-239530.094966149</v>
      </c>
      <c r="BE337" s="67" t="n">
        <f aca="false">BD337+BE336</f>
        <v>-214786.630566551</v>
      </c>
      <c r="BF337" s="67" t="n">
        <f aca="false">BE337+BF336</f>
        <v>-190038.306332605</v>
      </c>
      <c r="BG337" s="67" t="n">
        <f aca="false">BF337+BG336</f>
        <v>-176241.843301819</v>
      </c>
      <c r="BH337" s="67" t="n">
        <f aca="false">BG337+BH336</f>
        <v>-162274.023778724</v>
      </c>
      <c r="BI337" s="67" t="n">
        <f aca="false">BH337+BI336</f>
        <v>-148301.27587803</v>
      </c>
      <c r="BJ337" s="67" t="n">
        <f aca="false">BI337+BJ336</f>
        <v>-134323.576484913</v>
      </c>
    </row>
    <row r="338" customFormat="false" ht="15" hidden="false" customHeight="false" outlineLevel="0" collapsed="false">
      <c r="A338" s="114" t="s">
        <v>445</v>
      </c>
      <c r="C338" s="67" t="n">
        <f aca="false">C337</f>
        <v>-866896.864601709</v>
      </c>
      <c r="D338" s="67" t="n">
        <f aca="false">MIN(C338,D337)</f>
        <v>-870578.242762302</v>
      </c>
      <c r="E338" s="67" t="n">
        <f aca="false">MIN(D338,E337)</f>
        <v>-872480.498864305</v>
      </c>
      <c r="F338" s="67" t="n">
        <f aca="false">MIN(E338,F337)</f>
        <v>-872603.61178226</v>
      </c>
      <c r="G338" s="67" t="n">
        <f aca="false">MIN(F338,G337)</f>
        <v>-872603.61178226</v>
      </c>
      <c r="H338" s="67" t="n">
        <f aca="false">MIN(G338,H337)</f>
        <v>-872603.61178226</v>
      </c>
      <c r="I338" s="67" t="n">
        <f aca="false">MIN(H338,I337)</f>
        <v>-872603.61178226</v>
      </c>
      <c r="J338" s="67" t="n">
        <f aca="false">MIN(I338,J337)</f>
        <v>-872603.61178226</v>
      </c>
      <c r="K338" s="67" t="n">
        <f aca="false">MIN(J338,K337)</f>
        <v>-872603.61178226</v>
      </c>
      <c r="L338" s="67" t="n">
        <f aca="false">MIN(K338,L337)</f>
        <v>-872603.61178226</v>
      </c>
      <c r="M338" s="67" t="n">
        <f aca="false">MIN(L338,M337)</f>
        <v>-872603.61178226</v>
      </c>
      <c r="N338" s="67" t="n">
        <f aca="false">MIN(M338,N337)</f>
        <v>-872603.61178226</v>
      </c>
      <c r="O338" s="67" t="n">
        <f aca="false">MIN(N338,O337)</f>
        <v>-872603.61178226</v>
      </c>
      <c r="P338" s="67" t="n">
        <f aca="false">MIN(O338,P337)</f>
        <v>-872603.61178226</v>
      </c>
      <c r="Q338" s="67" t="n">
        <f aca="false">MIN(P338,Q337)</f>
        <v>-872603.61178226</v>
      </c>
      <c r="R338" s="67" t="n">
        <f aca="false">MIN(Q338,R337)</f>
        <v>-872603.61178226</v>
      </c>
      <c r="S338" s="67" t="n">
        <f aca="false">MIN(R338,S337)</f>
        <v>-872603.61178226</v>
      </c>
      <c r="T338" s="67" t="n">
        <f aca="false">MIN(S338,T337)</f>
        <v>-872603.61178226</v>
      </c>
      <c r="U338" s="67" t="n">
        <f aca="false">MIN(T338,U337)</f>
        <v>-872603.61178226</v>
      </c>
      <c r="V338" s="67" t="n">
        <f aca="false">MIN(U338,V337)</f>
        <v>-872603.61178226</v>
      </c>
      <c r="W338" s="67" t="n">
        <f aca="false">MIN(V338,W337)</f>
        <v>-872603.61178226</v>
      </c>
      <c r="X338" s="67" t="n">
        <f aca="false">MIN(W338,X337)</f>
        <v>-872603.61178226</v>
      </c>
      <c r="Y338" s="67" t="n">
        <f aca="false">MIN(X338,Y337)</f>
        <v>-872603.61178226</v>
      </c>
      <c r="Z338" s="67" t="n">
        <f aca="false">MIN(Y338,Z337)</f>
        <v>-872603.61178226</v>
      </c>
      <c r="AA338" s="67" t="n">
        <f aca="false">MIN(Z338,AA337)</f>
        <v>-872603.61178226</v>
      </c>
      <c r="AB338" s="67" t="n">
        <f aca="false">MIN(AA338,AB337)</f>
        <v>-872603.61178226</v>
      </c>
      <c r="AC338" s="67" t="n">
        <f aca="false">MIN(AB338,AC337)</f>
        <v>-872603.61178226</v>
      </c>
      <c r="AD338" s="67" t="n">
        <f aca="false">MIN(AC338,AD337)</f>
        <v>-872603.61178226</v>
      </c>
      <c r="AE338" s="67" t="n">
        <f aca="false">MIN(AD338,AE337)</f>
        <v>-872603.61178226</v>
      </c>
      <c r="AF338" s="67" t="n">
        <f aca="false">MIN(AE338,AF337)</f>
        <v>-872603.61178226</v>
      </c>
      <c r="AG338" s="67" t="n">
        <f aca="false">MIN(AF338,AG337)</f>
        <v>-872603.61178226</v>
      </c>
      <c r="AH338" s="67" t="n">
        <f aca="false">MIN(AG338,AH337)</f>
        <v>-872603.61178226</v>
      </c>
      <c r="AI338" s="67" t="n">
        <f aca="false">MIN(AH338,AI337)</f>
        <v>-872603.61178226</v>
      </c>
      <c r="AJ338" s="67" t="n">
        <f aca="false">MIN(AI338,AJ337)</f>
        <v>-872603.61178226</v>
      </c>
      <c r="AK338" s="67" t="n">
        <f aca="false">MIN(AJ338,AK337)</f>
        <v>-872603.61178226</v>
      </c>
      <c r="AL338" s="67" t="n">
        <f aca="false">MIN(AK338,AL337)</f>
        <v>-872603.61178226</v>
      </c>
      <c r="AM338" s="67" t="n">
        <f aca="false">MIN(AL338,AM337)</f>
        <v>-872603.61178226</v>
      </c>
      <c r="AN338" s="67" t="n">
        <f aca="false">MIN(AM338,AN337)</f>
        <v>-872603.61178226</v>
      </c>
      <c r="AO338" s="67" t="n">
        <f aca="false">MIN(AN338,AO337)</f>
        <v>-872603.61178226</v>
      </c>
      <c r="AP338" s="67" t="n">
        <f aca="false">MIN(AO338,AP337)</f>
        <v>-872603.61178226</v>
      </c>
      <c r="AQ338" s="67" t="n">
        <f aca="false">MIN(AP338,AQ337)</f>
        <v>-872603.61178226</v>
      </c>
      <c r="AR338" s="67" t="n">
        <f aca="false">MIN(AQ338,AR337)</f>
        <v>-872603.61178226</v>
      </c>
      <c r="AS338" s="67" t="n">
        <f aca="false">MIN(AR338,AS337)</f>
        <v>-872603.61178226</v>
      </c>
      <c r="AT338" s="67" t="n">
        <f aca="false">MIN(AS338,AT337)</f>
        <v>-872603.61178226</v>
      </c>
      <c r="AU338" s="67" t="n">
        <f aca="false">MIN(AT338,AU337)</f>
        <v>-872603.61178226</v>
      </c>
      <c r="AV338" s="67" t="n">
        <f aca="false">MIN(AU338,AV337)</f>
        <v>-872603.61178226</v>
      </c>
      <c r="AW338" s="67" t="n">
        <f aca="false">MIN(AV338,AW337)</f>
        <v>-872603.61178226</v>
      </c>
      <c r="AX338" s="67" t="n">
        <f aca="false">MIN(AW338,AX337)</f>
        <v>-872603.61178226</v>
      </c>
      <c r="AY338" s="67" t="n">
        <f aca="false">MIN(AX338,AY337)</f>
        <v>-872603.61178226</v>
      </c>
      <c r="AZ338" s="67" t="n">
        <f aca="false">MIN(AY338,AZ337)</f>
        <v>-872603.61178226</v>
      </c>
      <c r="BA338" s="67" t="n">
        <f aca="false">MIN(AZ338,BA337)</f>
        <v>-872603.61178226</v>
      </c>
      <c r="BB338" s="67" t="n">
        <f aca="false">MIN(BA338,BB337)</f>
        <v>-872603.61178226</v>
      </c>
      <c r="BC338" s="67" t="n">
        <f aca="false">MIN(BB338,BC337)</f>
        <v>-872603.61178226</v>
      </c>
      <c r="BD338" s="67" t="n">
        <f aca="false">MIN(BC338,BD337)</f>
        <v>-872603.61178226</v>
      </c>
      <c r="BE338" s="67" t="n">
        <f aca="false">MIN(BD338,BE337)</f>
        <v>-872603.61178226</v>
      </c>
      <c r="BF338" s="67" t="n">
        <f aca="false">MIN(BE338,BF337)</f>
        <v>-872603.61178226</v>
      </c>
      <c r="BG338" s="67" t="n">
        <f aca="false">MIN(BF338,BG337)</f>
        <v>-872603.61178226</v>
      </c>
      <c r="BH338" s="67" t="n">
        <f aca="false">MIN(BG338,BH337)</f>
        <v>-872603.61178226</v>
      </c>
      <c r="BI338" s="67" t="n">
        <f aca="false">MIN(BH338,BI337)</f>
        <v>-872603.61178226</v>
      </c>
      <c r="BJ338" s="67" t="n">
        <f aca="false">MIN(BI338,BJ337)</f>
        <v>-872603.61178226</v>
      </c>
    </row>
    <row r="339" customFormat="false" ht="15" hidden="false" customHeight="false" outlineLevel="0" collapsed="false">
      <c r="A339" s="114" t="s">
        <v>446</v>
      </c>
      <c r="C339" s="116" t="n">
        <f aca="false">IF(AND(C337&gt;=0,C338&lt;0),1,0)</f>
        <v>0</v>
      </c>
      <c r="D339" s="116" t="n">
        <f aca="false">IF(AND(D337&gt;=0,D338&lt;0),1,0)</f>
        <v>0</v>
      </c>
      <c r="E339" s="116" t="n">
        <f aca="false">IF(AND(E337&gt;=0,E338&lt;0),1,0)</f>
        <v>0</v>
      </c>
      <c r="F339" s="116" t="n">
        <f aca="false">IF(AND(F337&gt;=0,F338&lt;0),1,0)</f>
        <v>0</v>
      </c>
      <c r="G339" s="116" t="n">
        <f aca="false">IF(AND(G337&gt;=0,G338&lt;0),1,0)</f>
        <v>0</v>
      </c>
      <c r="H339" s="116" t="n">
        <f aca="false">IF(AND(H337&gt;=0,H338&lt;0),1,0)</f>
        <v>0</v>
      </c>
      <c r="I339" s="116" t="n">
        <f aca="false">IF(AND(I337&gt;=0,I338&lt;0),1,0)</f>
        <v>0</v>
      </c>
      <c r="J339" s="116" t="n">
        <f aca="false">IF(AND(J337&gt;=0,J338&lt;0),1,0)</f>
        <v>0</v>
      </c>
      <c r="K339" s="116" t="n">
        <f aca="false">IF(AND(K337&gt;=0,K338&lt;0),1,0)</f>
        <v>0</v>
      </c>
      <c r="L339" s="116" t="n">
        <f aca="false">IF(AND(L337&gt;=0,L338&lt;0),1,0)</f>
        <v>0</v>
      </c>
      <c r="M339" s="116" t="n">
        <f aca="false">IF(AND(M337&gt;=0,M338&lt;0),1,0)</f>
        <v>0</v>
      </c>
      <c r="N339" s="116" t="n">
        <f aca="false">IF(AND(N337&gt;=0,N338&lt;0),1,0)</f>
        <v>0</v>
      </c>
      <c r="O339" s="116" t="n">
        <f aca="false">IF(AND(O337&gt;=0,O338&lt;0),1,0)</f>
        <v>0</v>
      </c>
      <c r="P339" s="116" t="n">
        <f aca="false">IF(AND(P337&gt;=0,P338&lt;0),1,0)</f>
        <v>0</v>
      </c>
      <c r="Q339" s="116" t="n">
        <f aca="false">IF(AND(Q337&gt;=0,Q338&lt;0),1,0)</f>
        <v>0</v>
      </c>
      <c r="R339" s="116" t="n">
        <f aca="false">IF(AND(R337&gt;=0,R338&lt;0),1,0)</f>
        <v>0</v>
      </c>
      <c r="S339" s="116" t="n">
        <f aca="false">IF(AND(S337&gt;=0,S338&lt;0),1,0)</f>
        <v>0</v>
      </c>
      <c r="T339" s="116" t="n">
        <f aca="false">IF(AND(T337&gt;=0,T338&lt;0),1,0)</f>
        <v>0</v>
      </c>
      <c r="U339" s="116" t="n">
        <f aca="false">IF(AND(U337&gt;=0,U338&lt;0),1,0)</f>
        <v>0</v>
      </c>
      <c r="V339" s="116" t="n">
        <f aca="false">IF(AND(V337&gt;=0,V338&lt;0),1,0)</f>
        <v>0</v>
      </c>
      <c r="W339" s="116" t="n">
        <f aca="false">IF(AND(W337&gt;=0,W338&lt;0),1,0)</f>
        <v>0</v>
      </c>
      <c r="X339" s="116" t="n">
        <f aca="false">IF(AND(X337&gt;=0,X338&lt;0),1,0)</f>
        <v>0</v>
      </c>
      <c r="Y339" s="116" t="n">
        <f aca="false">IF(AND(Y337&gt;=0,Y338&lt;0),1,0)</f>
        <v>0</v>
      </c>
      <c r="Z339" s="116" t="n">
        <f aca="false">IF(AND(Z337&gt;=0,Z338&lt;0),1,0)</f>
        <v>0</v>
      </c>
      <c r="AA339" s="116" t="n">
        <f aca="false">IF(AND(AA337&gt;=0,AA338&lt;0),1,0)</f>
        <v>0</v>
      </c>
      <c r="AB339" s="116" t="n">
        <f aca="false">IF(AND(AB337&gt;=0,AB338&lt;0),1,0)</f>
        <v>0</v>
      </c>
      <c r="AC339" s="116" t="n">
        <f aca="false">IF(AND(AC337&gt;=0,AC338&lt;0),1,0)</f>
        <v>0</v>
      </c>
      <c r="AD339" s="116" t="n">
        <f aca="false">IF(AND(AD337&gt;=0,AD338&lt;0),1,0)</f>
        <v>0</v>
      </c>
      <c r="AE339" s="116" t="n">
        <f aca="false">IF(AND(AE337&gt;=0,AE338&lt;0),1,0)</f>
        <v>0</v>
      </c>
      <c r="AF339" s="116" t="n">
        <f aca="false">IF(AND(AF337&gt;=0,AF338&lt;0),1,0)</f>
        <v>0</v>
      </c>
      <c r="AG339" s="116" t="n">
        <f aca="false">IF(AND(AG337&gt;=0,AG338&lt;0),1,0)</f>
        <v>0</v>
      </c>
      <c r="AH339" s="116" t="n">
        <f aca="false">IF(AND(AH337&gt;=0,AH338&lt;0),1,0)</f>
        <v>0</v>
      </c>
      <c r="AI339" s="116" t="n">
        <f aca="false">IF(AND(AI337&gt;=0,AI338&lt;0),1,0)</f>
        <v>0</v>
      </c>
      <c r="AJ339" s="116" t="n">
        <f aca="false">IF(AND(AJ337&gt;=0,AJ338&lt;0),1,0)</f>
        <v>0</v>
      </c>
      <c r="AK339" s="116" t="n">
        <f aca="false">IF(AND(AK337&gt;=0,AK338&lt;0),1,0)</f>
        <v>0</v>
      </c>
      <c r="AL339" s="116" t="n">
        <f aca="false">IF(AND(AL337&gt;=0,AL338&lt;0),1,0)</f>
        <v>0</v>
      </c>
      <c r="AM339" s="116" t="n">
        <f aca="false">IF(AND(AM337&gt;=0,AM338&lt;0),1,0)</f>
        <v>0</v>
      </c>
      <c r="AN339" s="116" t="n">
        <f aca="false">IF(AND(AN337&gt;=0,AN338&lt;0),1,0)</f>
        <v>0</v>
      </c>
      <c r="AO339" s="116" t="n">
        <f aca="false">IF(AND(AO337&gt;=0,AO338&lt;0),1,0)</f>
        <v>0</v>
      </c>
      <c r="AP339" s="116" t="n">
        <f aca="false">IF(AND(AP337&gt;=0,AP338&lt;0),1,0)</f>
        <v>0</v>
      </c>
      <c r="AQ339" s="116" t="n">
        <f aca="false">IF(AND(AQ337&gt;=0,AQ338&lt;0),1,0)</f>
        <v>0</v>
      </c>
      <c r="AR339" s="116" t="n">
        <f aca="false">IF(AND(AR337&gt;=0,AR338&lt;0),1,0)</f>
        <v>0</v>
      </c>
      <c r="AS339" s="116" t="n">
        <f aca="false">IF(AND(AS337&gt;=0,AS338&lt;0),1,0)</f>
        <v>0</v>
      </c>
      <c r="AT339" s="116" t="n">
        <f aca="false">IF(AND(AT337&gt;=0,AT338&lt;0),1,0)</f>
        <v>0</v>
      </c>
      <c r="AU339" s="116" t="n">
        <f aca="false">IF(AND(AU337&gt;=0,AU338&lt;0),1,0)</f>
        <v>0</v>
      </c>
      <c r="AV339" s="116" t="n">
        <f aca="false">IF(AND(AV337&gt;=0,AV338&lt;0),1,0)</f>
        <v>0</v>
      </c>
      <c r="AW339" s="116" t="n">
        <f aca="false">IF(AND(AW337&gt;=0,AW338&lt;0),1,0)</f>
        <v>0</v>
      </c>
      <c r="AX339" s="116" t="n">
        <f aca="false">IF(AND(AX337&gt;=0,AX338&lt;0),1,0)</f>
        <v>0</v>
      </c>
      <c r="AY339" s="116" t="n">
        <f aca="false">IF(AND(AY337&gt;=0,AY338&lt;0),1,0)</f>
        <v>0</v>
      </c>
      <c r="AZ339" s="116" t="n">
        <f aca="false">IF(AND(AZ337&gt;=0,AZ338&lt;0),1,0)</f>
        <v>0</v>
      </c>
      <c r="BA339" s="116" t="n">
        <f aca="false">IF(AND(BA337&gt;=0,BA338&lt;0),1,0)</f>
        <v>0</v>
      </c>
      <c r="BB339" s="116" t="n">
        <f aca="false">IF(AND(BB337&gt;=0,BB338&lt;0),1,0)</f>
        <v>0</v>
      </c>
      <c r="BC339" s="116" t="n">
        <f aca="false">IF(AND(BC337&gt;=0,BC338&lt;0),1,0)</f>
        <v>0</v>
      </c>
      <c r="BD339" s="116" t="n">
        <f aca="false">IF(AND(BD337&gt;=0,BD338&lt;0),1,0)</f>
        <v>0</v>
      </c>
      <c r="BE339" s="116" t="n">
        <f aca="false">IF(AND(BE337&gt;=0,BE338&lt;0),1,0)</f>
        <v>0</v>
      </c>
      <c r="BF339" s="116" t="n">
        <f aca="false">IF(AND(BF337&gt;=0,BF338&lt;0),1,0)</f>
        <v>0</v>
      </c>
      <c r="BG339" s="116" t="n">
        <f aca="false">IF(AND(BG337&gt;=0,BG338&lt;0),1,0)</f>
        <v>0</v>
      </c>
      <c r="BH339" s="116" t="n">
        <f aca="false">IF(AND(BH337&gt;=0,BH338&lt;0),1,0)</f>
        <v>0</v>
      </c>
      <c r="BI339" s="116" t="n">
        <f aca="false">IF(AND(BI337&gt;=0,BI338&lt;0),1,0)</f>
        <v>0</v>
      </c>
      <c r="BJ339" s="116" t="n">
        <f aca="false">IF(AND(BJ337&gt;=0,BJ338&lt;0),1,0)</f>
        <v>0</v>
      </c>
    </row>
    <row r="340" customFormat="false" ht="15" hidden="false" customHeight="false" outlineLevel="0" collapsed="false">
      <c r="A340" s="6" t="s">
        <v>447</v>
      </c>
      <c r="C340" s="67" t="n">
        <f aca="false">C325-C288*(1-Inputs!$D$77)+C326</f>
        <v>-864592.697935043</v>
      </c>
      <c r="D340" s="67" t="n">
        <f aca="false">D325-D288*(1-Inputs!$D$77)+D326</f>
        <v>-1380.05589237396</v>
      </c>
      <c r="E340" s="67" t="n">
        <f aca="false">E325-E288*(1-Inputs!$D$77)+E326</f>
        <v>396.205175442583</v>
      </c>
      <c r="F340" s="67" t="n">
        <f aca="false">F325-F288*(1-Inputs!$D$77)+F326</f>
        <v>2172.47067960558</v>
      </c>
      <c r="G340" s="67" t="n">
        <f aca="false">G325-G288*(1-Inputs!$D$77)+G326</f>
        <v>3948.74064599371</v>
      </c>
      <c r="H340" s="67" t="n">
        <f aca="false">H325-H288*(1-Inputs!$D$77)+H326</f>
        <v>14246.7920784144</v>
      </c>
      <c r="I340" s="67" t="n">
        <f aca="false">I325-I288*(1-Inputs!$D$77)+I326</f>
        <v>16550.090709032</v>
      </c>
      <c r="J340" s="67" t="n">
        <f aca="false">J325-J288*(1-Inputs!$D$77)+J326</f>
        <v>17200.2392004668</v>
      </c>
      <c r="K340" s="67" t="n">
        <f aca="false">K325-K288*(1-Inputs!$D$77)+K326</f>
        <v>9718.53054683761</v>
      </c>
      <c r="L340" s="67" t="n">
        <f aca="false">L325-L288*(1-Inputs!$D$77)+L326</f>
        <v>9840.4936348718</v>
      </c>
      <c r="M340" s="67" t="n">
        <f aca="false">M325-M288*(1-Inputs!$D$77)+M326</f>
        <v>9841.3686348718</v>
      </c>
      <c r="N340" s="67" t="n">
        <f aca="false">N325-N288*(1-Inputs!$D$77)+N326</f>
        <v>9842.2436348718</v>
      </c>
      <c r="O340" s="67" t="n">
        <f aca="false">O325-O288*(1-Inputs!$D$77)+O326</f>
        <v>11347.802689763</v>
      </c>
      <c r="P340" s="67" t="n">
        <f aca="false">P325-P288*(1-Inputs!$D$77)+P326</f>
        <v>11240.4187838106</v>
      </c>
      <c r="Q340" s="67" t="n">
        <f aca="false">Q325-Q288*(1-Inputs!$D$77)+Q326</f>
        <v>11241.3156588106</v>
      </c>
      <c r="R340" s="67" t="n">
        <f aca="false">R325-R288*(1-Inputs!$D$77)+R326</f>
        <v>11242.2125338106</v>
      </c>
      <c r="S340" s="67" t="n">
        <f aca="false">S325-S288*(1-Inputs!$D$77)+S326</f>
        <v>11243.1094088106</v>
      </c>
      <c r="T340" s="67" t="n">
        <f aca="false">T325-T288*(1-Inputs!$D$77)+T326</f>
        <v>20155.9924501735</v>
      </c>
      <c r="U340" s="67" t="n">
        <f aca="false">U325-U288*(1-Inputs!$D$77)+U326</f>
        <v>19996.1586256508</v>
      </c>
      <c r="V340" s="67" t="n">
        <f aca="false">V325-V288*(1-Inputs!$D$77)+V326</f>
        <v>19997.0555006508</v>
      </c>
      <c r="W340" s="67" t="n">
        <f aca="false">W325-W288*(1-Inputs!$D$77)+W326</f>
        <v>11085.9662092878</v>
      </c>
      <c r="X340" s="67" t="n">
        <f aca="false">X325-X288*(1-Inputs!$D$77)+X326</f>
        <v>11247.5937838106</v>
      </c>
      <c r="Y340" s="67" t="n">
        <f aca="false">Y325-Y288*(1-Inputs!$D$77)+Y326</f>
        <v>11248.4906588106</v>
      </c>
      <c r="Z340" s="67" t="n">
        <f aca="false">Z325-Z288*(1-Inputs!$D$77)+Z326</f>
        <v>11249.3875338106</v>
      </c>
      <c r="AA340" s="67" t="n">
        <f aca="false">AA325-AA288*(1-Inputs!$D$77)+AA326</f>
        <v>12852.5168361836</v>
      </c>
      <c r="AB340" s="67" t="n">
        <f aca="false">AB325-AB288*(1-Inputs!$D$77)+AB326</f>
        <v>12742.9468527187</v>
      </c>
      <c r="AC340" s="67" t="n">
        <f aca="false">AC325-AC288*(1-Inputs!$D$77)+AC326</f>
        <v>12743.8661495937</v>
      </c>
      <c r="AD340" s="67" t="n">
        <f aca="false">AD325-AD288*(1-Inputs!$D$77)+AD326</f>
        <v>12744.7854464687</v>
      </c>
      <c r="AE340" s="67" t="n">
        <f aca="false">AE325-AE288*(1-Inputs!$D$77)+AE326</f>
        <v>12745.7047433437</v>
      </c>
      <c r="AF340" s="67" t="n">
        <f aca="false">AF325-AF288*(1-Inputs!$D$77)+AF326</f>
        <v>22293.8522207021</v>
      </c>
      <c r="AG340" s="67" t="n">
        <f aca="false">AG325-AG288*(1-Inputs!$D$77)+AG326</f>
        <v>22131.7668979308</v>
      </c>
      <c r="AH340" s="67" t="n">
        <f aca="false">AH325-AH288*(1-Inputs!$D$77)+AH326</f>
        <v>22132.6861948058</v>
      </c>
      <c r="AI340" s="67" t="n">
        <f aca="false">AI325-AI288*(1-Inputs!$D$77)+AI326</f>
        <v>12586.3773111973</v>
      </c>
      <c r="AJ340" s="67" t="n">
        <f aca="false">AJ325-AJ288*(1-Inputs!$D$77)+AJ326</f>
        <v>12750.3012277187</v>
      </c>
      <c r="AK340" s="67" t="n">
        <f aca="false">AK325-AK288*(1-Inputs!$D$77)+AK326</f>
        <v>12751.2205245937</v>
      </c>
      <c r="AL340" s="67" t="n">
        <f aca="false">AL325-AL288*(1-Inputs!$D$77)+AL326</f>
        <v>12752.1398214687</v>
      </c>
      <c r="AM340" s="67" t="n">
        <f aca="false">AM325-AM288*(1-Inputs!$D$77)+AM326</f>
        <v>14462.1135460158</v>
      </c>
      <c r="AN340" s="67" t="n">
        <f aca="false">AN325-AN288*(1-Inputs!$D$77)+AN326</f>
        <v>14350.40012324</v>
      </c>
      <c r="AO340" s="67" t="n">
        <f aca="false">AO325-AO288*(1-Inputs!$D$77)+AO326</f>
        <v>14351.3424025369</v>
      </c>
      <c r="AP340" s="67" t="n">
        <f aca="false">AP325-AP288*(1-Inputs!$D$77)+AP326</f>
        <v>14352.2846818338</v>
      </c>
      <c r="AQ340" s="67" t="n">
        <f aca="false">AQ325-AQ288*(1-Inputs!$D$77)+AQ326</f>
        <v>14353.2269611306</v>
      </c>
      <c r="AR340" s="67" t="n">
        <f aca="false">AR325-AR288*(1-Inputs!$D$77)+AR326</f>
        <v>24581.9081708353</v>
      </c>
      <c r="AS340" s="67" t="n">
        <f aca="false">AS325-AS288*(1-Inputs!$D$77)+AS326</f>
        <v>24417.9212406412</v>
      </c>
      <c r="AT340" s="67" t="n">
        <f aca="false">AT325-AT288*(1-Inputs!$D$77)+AT326</f>
        <v>24418.8635199381</v>
      </c>
      <c r="AU340" s="67" t="n">
        <f aca="false">AU325-AU288*(1-Inputs!$D$77)+AU326</f>
        <v>14192.0668688272</v>
      </c>
      <c r="AV340" s="67" t="n">
        <f aca="false">AV325-AV288*(1-Inputs!$D$77)+AV326</f>
        <v>14357.938357615</v>
      </c>
      <c r="AW340" s="67" t="n">
        <f aca="false">AW325-AW288*(1-Inputs!$D$77)+AW326</f>
        <v>14358.8806369119</v>
      </c>
      <c r="AX340" s="67" t="n">
        <f aca="false">AX325-AX288*(1-Inputs!$D$77)+AX326</f>
        <v>14359.8229162088</v>
      </c>
      <c r="AY340" s="67" t="n">
        <f aca="false">AY325-AY288*(1-Inputs!$D$77)+AY326</f>
        <v>16186.3811870251</v>
      </c>
      <c r="AZ340" s="67" t="n">
        <f aca="false">AZ325-AZ288*(1-Inputs!$D$77)+AZ326</f>
        <v>16072.5778644369</v>
      </c>
      <c r="BA340" s="67" t="n">
        <f aca="false">BA325-BA288*(1-Inputs!$D$77)+BA326</f>
        <v>16073.5437007162</v>
      </c>
      <c r="BB340" s="67" t="n">
        <f aca="false">BB325-BB288*(1-Inputs!$D$77)+BB326</f>
        <v>16074.5095369955</v>
      </c>
      <c r="BC340" s="67" t="n">
        <f aca="false">BC325-BC288*(1-Inputs!$D$77)+BC326</f>
        <v>16075.4753732748</v>
      </c>
      <c r="BD340" s="67" t="n">
        <f aca="false">BD325-BD288*(1-Inputs!$D$77)+BD326</f>
        <v>27033.1849620495</v>
      </c>
      <c r="BE340" s="67" t="n">
        <f aca="false">BE325-BE288*(1-Inputs!$D$77)+BE326</f>
        <v>26867.6997028496</v>
      </c>
      <c r="BF340" s="67" t="n">
        <f aca="false">BF325-BF288*(1-Inputs!$D$77)+BF326</f>
        <v>26868.665539129</v>
      </c>
      <c r="BG340" s="67" t="n">
        <f aca="false">BG325-BG288*(1-Inputs!$D$77)+BG326</f>
        <v>15912.8876229129</v>
      </c>
      <c r="BH340" s="67" t="n">
        <f aca="false">BH325-BH288*(1-Inputs!$D$77)+BH326</f>
        <v>16080.3045546713</v>
      </c>
      <c r="BI340" s="67" t="n">
        <f aca="false">BI325-BI288*(1-Inputs!$D$77)+BI326</f>
        <v>16081.2703909506</v>
      </c>
      <c r="BJ340" s="67" t="n">
        <f aca="false">BJ325-BJ288*(1-Inputs!$D$77)+BJ326</f>
        <v>16082.2362272299</v>
      </c>
    </row>
    <row r="342" customFormat="false" ht="15.75" hidden="false" customHeight="true" outlineLevel="0" collapsed="false">
      <c r="A342" s="7" t="s">
        <v>448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6" t="s">
        <v>97</v>
      </c>
      <c r="C343" s="67" t="n">
        <f aca="false">C327</f>
        <v>430000</v>
      </c>
      <c r="D343" s="67" t="n">
        <f aca="false">C343+D327</f>
        <v>430000</v>
      </c>
      <c r="E343" s="67" t="n">
        <f aca="false">D343+E327</f>
        <v>430000</v>
      </c>
      <c r="F343" s="67" t="n">
        <f aca="false">E343+F327</f>
        <v>430000</v>
      </c>
      <c r="G343" s="67" t="n">
        <f aca="false">F343+G327</f>
        <v>430000</v>
      </c>
      <c r="H343" s="67" t="n">
        <f aca="false">G343+H327</f>
        <v>430000</v>
      </c>
      <c r="I343" s="67" t="n">
        <f aca="false">H343+I327</f>
        <v>430000</v>
      </c>
      <c r="J343" s="67" t="n">
        <f aca="false">I343+J327</f>
        <v>430000</v>
      </c>
      <c r="K343" s="67" t="n">
        <f aca="false">J343+K327</f>
        <v>430000</v>
      </c>
      <c r="L343" s="67" t="n">
        <f aca="false">K343+L327</f>
        <v>430000</v>
      </c>
      <c r="M343" s="67" t="n">
        <f aca="false">L343+M327</f>
        <v>430000</v>
      </c>
      <c r="N343" s="67" t="n">
        <f aca="false">M343+N327</f>
        <v>430000</v>
      </c>
      <c r="O343" s="67" t="n">
        <f aca="false">N343+O327</f>
        <v>430000</v>
      </c>
      <c r="P343" s="67" t="n">
        <f aca="false">O343+P327</f>
        <v>430000</v>
      </c>
      <c r="Q343" s="67" t="n">
        <f aca="false">P343+Q327</f>
        <v>430000</v>
      </c>
      <c r="R343" s="67" t="n">
        <f aca="false">Q343+R327</f>
        <v>430000</v>
      </c>
      <c r="S343" s="67" t="n">
        <f aca="false">R343+S327</f>
        <v>430000</v>
      </c>
      <c r="T343" s="67" t="n">
        <f aca="false">S343+T327</f>
        <v>430000</v>
      </c>
      <c r="U343" s="67" t="n">
        <f aca="false">T343+U327</f>
        <v>430000</v>
      </c>
      <c r="V343" s="67" t="n">
        <f aca="false">U343+V327</f>
        <v>430000</v>
      </c>
      <c r="W343" s="67" t="n">
        <f aca="false">V343+W327</f>
        <v>430000</v>
      </c>
      <c r="X343" s="67" t="n">
        <f aca="false">W343+X327</f>
        <v>430000</v>
      </c>
      <c r="Y343" s="67" t="n">
        <f aca="false">X343+Y327</f>
        <v>430000</v>
      </c>
      <c r="Z343" s="67" t="n">
        <f aca="false">Y343+Z327</f>
        <v>430000</v>
      </c>
      <c r="AA343" s="67" t="n">
        <f aca="false">Z343+AA327</f>
        <v>430000</v>
      </c>
      <c r="AB343" s="67" t="n">
        <f aca="false">AA343+AB327</f>
        <v>430000</v>
      </c>
      <c r="AC343" s="67" t="n">
        <f aca="false">AB343+AC327</f>
        <v>430000</v>
      </c>
      <c r="AD343" s="67" t="n">
        <f aca="false">AC343+AD327</f>
        <v>430000</v>
      </c>
      <c r="AE343" s="67" t="n">
        <f aca="false">AD343+AE327</f>
        <v>430000</v>
      </c>
      <c r="AF343" s="67" t="n">
        <f aca="false">AE343+AF327</f>
        <v>430000</v>
      </c>
      <c r="AG343" s="67" t="n">
        <f aca="false">AF343+AG327</f>
        <v>430000</v>
      </c>
      <c r="AH343" s="67" t="n">
        <f aca="false">AG343+AH327</f>
        <v>430000</v>
      </c>
      <c r="AI343" s="67" t="n">
        <f aca="false">AH343+AI327</f>
        <v>430000</v>
      </c>
      <c r="AJ343" s="67" t="n">
        <f aca="false">AI343+AJ327</f>
        <v>430000</v>
      </c>
      <c r="AK343" s="67" t="n">
        <f aca="false">AJ343+AK327</f>
        <v>430000</v>
      </c>
      <c r="AL343" s="67" t="n">
        <f aca="false">AK343+AL327</f>
        <v>430000</v>
      </c>
      <c r="AM343" s="67" t="n">
        <f aca="false">AL343+AM327</f>
        <v>430000</v>
      </c>
      <c r="AN343" s="67" t="n">
        <f aca="false">AM343+AN327</f>
        <v>430000</v>
      </c>
      <c r="AO343" s="67" t="n">
        <f aca="false">AN343+AO327</f>
        <v>430000</v>
      </c>
      <c r="AP343" s="67" t="n">
        <f aca="false">AO343+AP327</f>
        <v>430000</v>
      </c>
      <c r="AQ343" s="67" t="n">
        <f aca="false">AP343+AQ327</f>
        <v>430000</v>
      </c>
      <c r="AR343" s="67" t="n">
        <f aca="false">AQ343+AR327</f>
        <v>430000</v>
      </c>
      <c r="AS343" s="67" t="n">
        <f aca="false">AR343+AS327</f>
        <v>430000</v>
      </c>
      <c r="AT343" s="67" t="n">
        <f aca="false">AS343+AT327</f>
        <v>430000</v>
      </c>
      <c r="AU343" s="67" t="n">
        <f aca="false">AT343+AU327</f>
        <v>430000</v>
      </c>
      <c r="AV343" s="67" t="n">
        <f aca="false">AU343+AV327</f>
        <v>430000</v>
      </c>
      <c r="AW343" s="67" t="n">
        <f aca="false">AV343+AW327</f>
        <v>430000</v>
      </c>
      <c r="AX343" s="67" t="n">
        <f aca="false">AW343+AX327</f>
        <v>430000</v>
      </c>
      <c r="AY343" s="67" t="n">
        <f aca="false">AX343+AY327</f>
        <v>430000</v>
      </c>
      <c r="AZ343" s="67" t="n">
        <f aca="false">AY343+AZ327</f>
        <v>430000</v>
      </c>
      <c r="BA343" s="67" t="n">
        <f aca="false">AZ343+BA327</f>
        <v>430000</v>
      </c>
      <c r="BB343" s="67" t="n">
        <f aca="false">BA343+BB327</f>
        <v>430000</v>
      </c>
      <c r="BC343" s="67" t="n">
        <f aca="false">BB343+BC327</f>
        <v>430000</v>
      </c>
      <c r="BD343" s="67" t="n">
        <f aca="false">BC343+BD327</f>
        <v>430000</v>
      </c>
      <c r="BE343" s="67" t="n">
        <f aca="false">BD343+BE327</f>
        <v>430000</v>
      </c>
      <c r="BF343" s="67" t="n">
        <f aca="false">BE343+BF327</f>
        <v>430000</v>
      </c>
      <c r="BG343" s="67" t="n">
        <f aca="false">BF343+BG327</f>
        <v>430000</v>
      </c>
      <c r="BH343" s="67" t="n">
        <f aca="false">BG343+BH327</f>
        <v>430000</v>
      </c>
      <c r="BI343" s="67" t="n">
        <f aca="false">BH343+BI327</f>
        <v>430000</v>
      </c>
      <c r="BJ343" s="67" t="n">
        <f aca="false">BI343+BJ327</f>
        <v>430000</v>
      </c>
    </row>
    <row r="344" customFormat="false" ht="15" hidden="false" customHeight="false" outlineLevel="0" collapsed="false">
      <c r="A344" s="6" t="s">
        <v>98</v>
      </c>
      <c r="C344" s="67" t="n">
        <f aca="false">C293</f>
        <v>-8547.38447863248</v>
      </c>
      <c r="D344" s="67" t="n">
        <f aca="false">C344+D293</f>
        <v>-15319.8345682846</v>
      </c>
      <c r="E344" s="67" t="n">
        <f aca="false">D344+E293</f>
        <v>-20317.3292660143</v>
      </c>
      <c r="F344" s="67" t="n">
        <f aca="false">E344+F293</f>
        <v>-23539.8474463621</v>
      </c>
      <c r="G344" s="67" t="n">
        <f aca="false">F344+G293</f>
        <v>-24987.3678606371</v>
      </c>
      <c r="H344" s="67" t="n">
        <f aca="false">G344+H293</f>
        <v>-16266.593802864</v>
      </c>
      <c r="I344" s="67" t="n">
        <f aca="false">H344+I293</f>
        <v>-5125.14254495797</v>
      </c>
      <c r="J344" s="67" t="n">
        <f aca="false">I344+J293</f>
        <v>6665.23595328004</v>
      </c>
      <c r="K344" s="67" t="n">
        <f aca="false">J344+K293</f>
        <v>11130.8575984623</v>
      </c>
      <c r="L344" s="67" t="n">
        <f aca="false">K344+L293</f>
        <v>15596.1674559494</v>
      </c>
      <c r="M344" s="67" t="n">
        <f aca="false">L344+M293</f>
        <v>20061.1829083686</v>
      </c>
      <c r="N344" s="67" t="n">
        <f aca="false">M344+N293</f>
        <v>24525.9214397458</v>
      </c>
      <c r="O344" s="67" t="n">
        <f aca="false">N344+O293</f>
        <v>30405.4497433694</v>
      </c>
      <c r="P344" s="67" t="n">
        <f aca="false">O344+P293</f>
        <v>36284.6541089018</v>
      </c>
      <c r="Q344" s="67" t="n">
        <f aca="false">P344+Q293</f>
        <v>42163.5523281278</v>
      </c>
      <c r="R344" s="67" t="n">
        <f aca="false">Q344+R293</f>
        <v>48042.1622966174</v>
      </c>
      <c r="S344" s="67" t="n">
        <f aca="false">R344+S293</f>
        <v>53920.5020143318</v>
      </c>
      <c r="T344" s="67" t="n">
        <f aca="false">S344+T293</f>
        <v>68549.8450530718</v>
      </c>
      <c r="U344" s="67" t="n">
        <f aca="false">T344+U293</f>
        <v>83178.9541565703</v>
      </c>
      <c r="V344" s="67" t="n">
        <f aca="false">U344+V293</f>
        <v>97807.8476416286</v>
      </c>
      <c r="W344" s="67" t="n">
        <f aca="false">V344+W293</f>
        <v>103685.288465056</v>
      </c>
      <c r="X344" s="67" t="n">
        <f aca="false">W344+X293</f>
        <v>109562.550624813</v>
      </c>
      <c r="Y344" s="67" t="n">
        <f aca="false">X344+Y293</f>
        <v>115439.652760119</v>
      </c>
      <c r="Z344" s="67" t="n">
        <f aca="false">Y344+Z293</f>
        <v>121316.613618922</v>
      </c>
      <c r="AA344" s="67" t="n">
        <f aca="false">Z344+AA293</f>
        <v>128704.307184731</v>
      </c>
      <c r="AB344" s="67" t="n">
        <f aca="false">AA344+AB293</f>
        <v>136091.8129497</v>
      </c>
      <c r="AC344" s="67" t="n">
        <f aca="false">AB344+AC293</f>
        <v>143479.149991785</v>
      </c>
      <c r="AD344" s="67" t="n">
        <f aca="false">AC344+AD293</f>
        <v>150866.337500226</v>
      </c>
      <c r="AE344" s="67" t="n">
        <f aca="false">AD344+AE293</f>
        <v>158253.394776204</v>
      </c>
      <c r="AF344" s="67" t="n">
        <f aca="false">AE344+AF293</f>
        <v>175024.564794326</v>
      </c>
      <c r="AG344" s="67" t="n">
        <f aca="false">AF344+AG293</f>
        <v>191795.643520771</v>
      </c>
      <c r="AH344" s="67" t="n">
        <f aca="false">AG344+AH293</f>
        <v>208566.650596464</v>
      </c>
      <c r="AI344" s="67" t="n">
        <f aca="false">AH344+AI293</f>
        <v>215953.382216064</v>
      </c>
      <c r="AJ344" s="67" t="n">
        <f aca="false">AI344+AJ293</f>
        <v>223340.081811145</v>
      </c>
      <c r="AK344" s="67" t="n">
        <f aca="false">AJ344+AK293</f>
        <v>230726.769368356</v>
      </c>
      <c r="AL344" s="67" t="n">
        <f aca="false">AK344+AL293</f>
        <v>238113.464990937</v>
      </c>
      <c r="AM344" s="67" t="n">
        <f aca="false">AL344+AM293</f>
        <v>247116.177403639</v>
      </c>
      <c r="AN344" s="67" t="n">
        <f aca="false">AM344+AN293</f>
        <v>256118.851982995</v>
      </c>
      <c r="AO344" s="67" t="n">
        <f aca="false">AN344+AO293</f>
        <v>265121.509186106</v>
      </c>
      <c r="AP344" s="67" t="n">
        <f aca="false">AO344+AP293</f>
        <v>274124.169589407</v>
      </c>
      <c r="AQ344" s="67" t="n">
        <f aca="false">AP344+AQ293</f>
        <v>283126.85388936</v>
      </c>
      <c r="AR344" s="67" t="n">
        <f aca="false">AQ344+AR293</f>
        <v>302192.392624076</v>
      </c>
      <c r="AS344" s="67" t="n">
        <f aca="false">AR344+AS293</f>
        <v>321257.997011263</v>
      </c>
      <c r="AT344" s="67" t="n">
        <f aca="false">AS344+AT293</f>
        <v>340323.688111692</v>
      </c>
      <c r="AU344" s="67" t="n">
        <f aca="false">AT344+AU293</f>
        <v>349326.677388067</v>
      </c>
      <c r="AV344" s="67" t="n">
        <f aca="false">AU344+AV293</f>
        <v>358329.795868499</v>
      </c>
      <c r="AW344" s="67" t="n">
        <f aca="false">AV344+AW293</f>
        <v>367333.064984476</v>
      </c>
      <c r="AX344" s="67" t="n">
        <f aca="false">AW344+AX293</f>
        <v>376336.506292498</v>
      </c>
      <c r="AY344" s="67" t="n">
        <f aca="false">AX344+AY293</f>
        <v>387071.06783058</v>
      </c>
      <c r="AZ344" s="67" t="n">
        <f aca="false">AY344+AZ293</f>
        <v>397805.756432563</v>
      </c>
      <c r="BA344" s="67" t="n">
        <f aca="false">AZ344+BA293</f>
        <v>408540.594034394</v>
      </c>
      <c r="BB344" s="67" t="n">
        <f aca="false">BA344+BB293</f>
        <v>419275.602699977</v>
      </c>
      <c r="BC344" s="67" t="n">
        <f aca="false">BB344+BC293</f>
        <v>430010.804621927</v>
      </c>
      <c r="BD344" s="67" t="n">
        <f aca="false">BC344+BD293</f>
        <v>451536.514779328</v>
      </c>
      <c r="BE344" s="67" t="n">
        <f aca="false">BD344+BE293</f>
        <v>473062.462967447</v>
      </c>
      <c r="BF344" s="67" t="n">
        <f aca="false">BE344+BF293</f>
        <v>494588.671769535</v>
      </c>
      <c r="BG344" s="67" t="n">
        <f aca="false">BF344+BG293</f>
        <v>505324.871243565</v>
      </c>
      <c r="BH344" s="67" t="n">
        <f aca="false">BG344+BH293</f>
        <v>516061.376894047</v>
      </c>
      <c r="BI344" s="67" t="n">
        <f aca="false">BH344+BI293</f>
        <v>526798.211701751</v>
      </c>
      <c r="BJ344" s="67" t="n">
        <f aca="false">BI344+BJ293</f>
        <v>537535.3987815</v>
      </c>
    </row>
    <row r="345" customFormat="false" ht="15" hidden="false" customHeight="false" outlineLevel="0" collapsed="false">
      <c r="A345" s="4" t="s">
        <v>93</v>
      </c>
      <c r="C345" s="73" t="n">
        <f aca="false">C331+C317+C318+C306</f>
        <v>926966.254748667</v>
      </c>
      <c r="D345" s="73" t="n">
        <f aca="false">D331+D317+D318+D306</f>
        <v>919860.166736651</v>
      </c>
      <c r="E345" s="73" t="n">
        <f aca="false">E331+E317+E318+E306</f>
        <v>914525.41260925</v>
      </c>
      <c r="F345" s="73" t="n">
        <f aca="false">F331+F317+F318+F306</f>
        <v>910961.992366464</v>
      </c>
      <c r="G345" s="73" t="n">
        <f aca="false">G331+G317+G318+G306</f>
        <v>909169.906008294</v>
      </c>
      <c r="H345" s="73" t="n">
        <f aca="false">H331+H317+H318+H306</f>
        <v>918900.063312516</v>
      </c>
      <c r="I345" s="73" t="n">
        <f aca="false">I331+I317+I318+I306</f>
        <v>929793.990039816</v>
      </c>
      <c r="J345" s="73" t="n">
        <f aca="false">J331+J317+J318+J306</f>
        <v>941333.115633317</v>
      </c>
      <c r="K345" s="73" t="n">
        <f aca="false">K331+K317+K318+K306</f>
        <v>943872.799549926</v>
      </c>
      <c r="L345" s="73" t="n">
        <f aca="false">L331+L317+L318+L306</f>
        <v>947687.709060484</v>
      </c>
      <c r="M345" s="73" t="n">
        <f aca="false">M331+M317+M318+M306</f>
        <v>951498.53016395</v>
      </c>
      <c r="N345" s="73" t="n">
        <f aca="false">N331+N317+N318+N306</f>
        <v>955305.258212672</v>
      </c>
      <c r="O345" s="73" t="n">
        <f aca="false">O331+O317+O318+O306</f>
        <v>960937.963314483</v>
      </c>
      <c r="P345" s="73" t="n">
        <f aca="false">P331+P317+P318+P306</f>
        <v>966151.458017761</v>
      </c>
      <c r="Q345" s="73" t="n">
        <f aca="false">Q331+Q317+Q318+Q306</f>
        <v>971360.76326837</v>
      </c>
      <c r="R345" s="73" t="n">
        <f aca="false">R331+R317+R318+R306</f>
        <v>976565.874309259</v>
      </c>
      <c r="S345" s="73" t="n">
        <f aca="false">S331+S317+S318+S306</f>
        <v>981766.786355628</v>
      </c>
      <c r="T345" s="73" t="n">
        <f aca="false">T331+T317+T318+T306</f>
        <v>997494.785008034</v>
      </c>
      <c r="U345" s="73" t="n">
        <f aca="false">U331+U317+U318+U306</f>
        <v>1011438.540066</v>
      </c>
      <c r="V345" s="73" t="n">
        <f aca="false">V331+V317+V318+V306</f>
        <v>1025378.08160692</v>
      </c>
      <c r="W345" s="73" t="n">
        <f aca="false">W331+W317+W318+W306</f>
        <v>1028782.11432011</v>
      </c>
      <c r="X345" s="73" t="n">
        <f aca="false">X331+X317+X318+X306</f>
        <v>1033961.95863927</v>
      </c>
      <c r="Y345" s="73" t="n">
        <f aca="false">Y331+Y317+Y318+Y306</f>
        <v>1039137.57466324</v>
      </c>
      <c r="Z345" s="73" t="n">
        <f aca="false">Z331+Z317+Z318+Z306</f>
        <v>1044308.95740839</v>
      </c>
      <c r="AA345" s="73" t="n">
        <f aca="false">AA331+AA317+AA318+AA306</f>
        <v>1051425.28125048</v>
      </c>
      <c r="AB345" s="73" t="n">
        <f aca="false">AB331+AB317+AB318+AB306</f>
        <v>1058098.95314788</v>
      </c>
      <c r="AC345" s="73" t="n">
        <f aca="false">AC331+AC317+AC318+AC306</f>
        <v>1064768.29229151</v>
      </c>
      <c r="AD345" s="73" t="n">
        <f aca="false">AD331+AD317+AD318+AD306</f>
        <v>1071433.29358041</v>
      </c>
      <c r="AE345" s="73" t="n">
        <f aca="false">AE331+AE317+AE318+AE306</f>
        <v>1078093.95188391</v>
      </c>
      <c r="AF345" s="73" t="n">
        <f aca="false">AF331+AF317+AF318+AF306</f>
        <v>1096030.83846219</v>
      </c>
      <c r="AG345" s="73" t="n">
        <f aca="false">AG331+AG317+AG318+AG306</f>
        <v>1112067.01884373</v>
      </c>
      <c r="AH345" s="73" t="n">
        <f aca="false">AH331+AH317+AH318+AH306</f>
        <v>1128098.84066751</v>
      </c>
      <c r="AI345" s="73" t="n">
        <f aca="false">AI331+AI317+AI318+AI306</f>
        <v>1132845.72226125</v>
      </c>
      <c r="AJ345" s="73" t="n">
        <f aca="false">AJ331+AJ317+AJ318+AJ306</f>
        <v>1139484.58762364</v>
      </c>
      <c r="AK345" s="73" t="n">
        <f aca="false">AK331+AK317+AK318+AK306</f>
        <v>1146119.07858181</v>
      </c>
      <c r="AL345" s="73" t="n">
        <f aca="false">AL331+AL317+AL318+AL306</f>
        <v>1152749.18979186</v>
      </c>
      <c r="AM345" s="73" t="n">
        <f aca="false">AM331+AM317+AM318+AM306</f>
        <v>1161453.95958833</v>
      </c>
      <c r="AN345" s="73" t="n">
        <f aca="false">AN331+AN317+AN318+AN306</f>
        <v>1169691.19719211</v>
      </c>
      <c r="AO345" s="73" t="n">
        <f aca="false">AO331+AO317+AO318+AO306</f>
        <v>1177923.95237063</v>
      </c>
      <c r="AP345" s="73" t="n">
        <f aca="false">AP331+AP317+AP318+AP306</f>
        <v>1186152.21965419</v>
      </c>
      <c r="AQ345" s="73" t="n">
        <f aca="false">AQ331+AQ317+AQ318+AQ306</f>
        <v>1194375.99354121</v>
      </c>
      <c r="AR345" s="73" t="n">
        <f aca="false">AR331+AR317+AR318+AR306</f>
        <v>1214678.44988085</v>
      </c>
      <c r="AS345" s="73" t="n">
        <f aca="false">AS331+AS317+AS318+AS306</f>
        <v>1232956.03006236</v>
      </c>
      <c r="AT345" s="73" t="n">
        <f aca="false">AT331+AT317+AT318+AT306</f>
        <v>1251229.10014924</v>
      </c>
      <c r="AU345" s="73" t="n">
        <f aca="false">AU331+AU317+AU318+AU306</f>
        <v>1257414.47312757</v>
      </c>
      <c r="AV345" s="73" t="n">
        <f aca="false">AV331+AV317+AV318+AV306</f>
        <v>1265615.69637816</v>
      </c>
      <c r="AW345" s="73" t="n">
        <f aca="false">AW331+AW317+AW318+AW306</f>
        <v>1273812.39254213</v>
      </c>
      <c r="AX345" s="73" t="n">
        <f aca="false">AX331+AX317+AX318+AX306</f>
        <v>1282004.55588926</v>
      </c>
      <c r="AY345" s="73" t="n">
        <f aca="false">AY331+AY317+AY318+AY306</f>
        <v>1292412.41853269</v>
      </c>
      <c r="AZ345" s="73" t="n">
        <f aca="false">AZ331+AZ317+AZ318+AZ306</f>
        <v>1302326.33665825</v>
      </c>
      <c r="BA345" s="73" t="n">
        <f aca="false">BA331+BA317+BA318+BA306</f>
        <v>1312235.61595587</v>
      </c>
      <c r="BB345" s="73" t="n">
        <f aca="false">BB331+BB317+BB318+BB306</f>
        <v>1322140.25056048</v>
      </c>
      <c r="BC345" s="73" t="n">
        <f aca="false">BC331+BC317+BC318+BC306</f>
        <v>1332040.23457276</v>
      </c>
      <c r="BD345" s="73" t="n">
        <f aca="false">BD331+BD317+BD318+BD306</f>
        <v>1354878.46198377</v>
      </c>
      <c r="BE345" s="73" t="n">
        <f aca="false">BE331+BE317+BE318+BE306</f>
        <v>1375559.41963267</v>
      </c>
      <c r="BF345" s="73" t="n">
        <f aca="false">BF331+BF317+BF318+BF306</f>
        <v>1396235.70878406</v>
      </c>
      <c r="BG345" s="73" t="n">
        <f aca="false">BG331+BG317+BG318+BG306</f>
        <v>1403964.42347501</v>
      </c>
      <c r="BH345" s="73" t="n">
        <f aca="false">BH331+BH317+BH318+BH306</f>
        <v>1413841.06482466</v>
      </c>
      <c r="BI345" s="73" t="n">
        <f aca="false">BI331+BI317+BI318+BI306</f>
        <v>1423713.01945644</v>
      </c>
      <c r="BJ345" s="73" t="n">
        <f aca="false">BJ331+BJ317+BJ318+BJ306</f>
        <v>1433580.2812259</v>
      </c>
    </row>
    <row r="346" customFormat="false" ht="15" hidden="false" customHeight="false" outlineLevel="0" collapsed="false">
      <c r="A346" s="6" t="s">
        <v>96</v>
      </c>
      <c r="C346" s="67" t="n">
        <f aca="false">C319+C314</f>
        <v>505513.6392273</v>
      </c>
      <c r="D346" s="67" t="n">
        <f aca="false">D319+D314</f>
        <v>505180.001304935</v>
      </c>
      <c r="E346" s="67" t="n">
        <f aca="false">E319+E314</f>
        <v>504842.741875264</v>
      </c>
      <c r="F346" s="67" t="n">
        <f aca="false">F319+F314</f>
        <v>504501.839812826</v>
      </c>
      <c r="G346" s="67" t="n">
        <f aca="false">G319+G314</f>
        <v>504157.273868931</v>
      </c>
      <c r="H346" s="67" t="n">
        <f aca="false">H319+H314</f>
        <v>505166.65711538</v>
      </c>
      <c r="I346" s="67" t="n">
        <f aca="false">I319+I314</f>
        <v>504919.132584774</v>
      </c>
      <c r="J346" s="67" t="n">
        <f aca="false">J319+J314</f>
        <v>504667.879680036</v>
      </c>
      <c r="K346" s="67" t="n">
        <f aca="false">K319+K314</f>
        <v>502741.941951463</v>
      </c>
      <c r="L346" s="67" t="n">
        <f aca="false">L319+L314</f>
        <v>502091.541604534</v>
      </c>
      <c r="M346" s="67" t="n">
        <f aca="false">M319+M314</f>
        <v>501437.347255581</v>
      </c>
      <c r="N346" s="67" t="n">
        <f aca="false">N319+N314</f>
        <v>500779.336772926</v>
      </c>
      <c r="O346" s="67" t="n">
        <f aca="false">O319+O314</f>
        <v>500532.513571113</v>
      </c>
      <c r="P346" s="67" t="n">
        <f aca="false">P319+P314</f>
        <v>499866.803908859</v>
      </c>
      <c r="Q346" s="67" t="n">
        <f aca="false">Q319+Q314</f>
        <v>499197.210940242</v>
      </c>
      <c r="R346" s="67" t="n">
        <f aca="false">R319+R314</f>
        <v>498523.712012641</v>
      </c>
      <c r="S346" s="67" t="n">
        <f aca="false">S319+S314</f>
        <v>497846.284341296</v>
      </c>
      <c r="T346" s="67" t="n">
        <f aca="false">T319+T314</f>
        <v>498944.939954962</v>
      </c>
      <c r="U346" s="67" t="n">
        <f aca="false">U319+U314</f>
        <v>498259.585909427</v>
      </c>
      <c r="V346" s="67" t="n">
        <f aca="false">V319+V314</f>
        <v>497570.233965292</v>
      </c>
      <c r="W346" s="67" t="n">
        <f aca="false">W319+W314</f>
        <v>495096.825855056</v>
      </c>
      <c r="X346" s="67" t="n">
        <f aca="false">X319+X314</f>
        <v>494399.408014458</v>
      </c>
      <c r="Y346" s="67" t="n">
        <f aca="false">Y319+Y314</f>
        <v>493697.921903124</v>
      </c>
      <c r="Z346" s="67" t="n">
        <f aca="false">Z319+Z314</f>
        <v>492992.343789473</v>
      </c>
      <c r="AA346" s="67" t="n">
        <f aca="false">AA319+AA314</f>
        <v>492720.974065746</v>
      </c>
      <c r="AB346" s="67" t="n">
        <f aca="false">AB319+AB314</f>
        <v>492007.14019818</v>
      </c>
      <c r="AC346" s="67" t="n">
        <f aca="false">AC319+AC314</f>
        <v>491289.142299721</v>
      </c>
      <c r="AD346" s="67" t="n">
        <f aca="false">AD319+AD314</f>
        <v>490566.956080188</v>
      </c>
      <c r="AE346" s="67" t="n">
        <f aca="false">AE319+AE314</f>
        <v>489840.557107707</v>
      </c>
      <c r="AF346" s="67" t="n">
        <f aca="false">AF319+AF314</f>
        <v>491006.27366786</v>
      </c>
      <c r="AG346" s="67" t="n">
        <f aca="false">AG319+AG314</f>
        <v>490271.375322957</v>
      </c>
      <c r="AH346" s="67" t="n">
        <f aca="false">AH319+AH314</f>
        <v>489532.190071043</v>
      </c>
      <c r="AI346" s="67" t="n">
        <f aca="false">AI319+AI314</f>
        <v>486892.340045185</v>
      </c>
      <c r="AJ346" s="67" t="n">
        <f aca="false">AJ319+AJ314</f>
        <v>486144.5058125</v>
      </c>
      <c r="AK346" s="67" t="n">
        <f aca="false">AK319+AK314</f>
        <v>485392.309213457</v>
      </c>
      <c r="AL346" s="67" t="n">
        <f aca="false">AL319+AL314</f>
        <v>484635.724800921</v>
      </c>
      <c r="AM346" s="67" t="n">
        <f aca="false">AM319+AM314</f>
        <v>484337.782184687</v>
      </c>
      <c r="AN346" s="67" t="n">
        <f aca="false">AN319+AN314</f>
        <v>483572.345209117</v>
      </c>
      <c r="AO346" s="67" t="n">
        <f aca="false">AO319+AO314</f>
        <v>482802.443184524</v>
      </c>
      <c r="AP346" s="67" t="n">
        <f aca="false">AP319+AP314</f>
        <v>482028.050064787</v>
      </c>
      <c r="AQ346" s="67" t="n">
        <f aca="false">AQ319+AQ314</f>
        <v>481249.139651851</v>
      </c>
      <c r="AR346" s="67" t="n">
        <f aca="false">AR319+AR314</f>
        <v>482486.057256769</v>
      </c>
      <c r="AS346" s="67" t="n">
        <f aca="false">AS319+AS314</f>
        <v>481698.033051093</v>
      </c>
      <c r="AT346" s="67" t="n">
        <f aca="false">AT319+AT314</f>
        <v>480905.412037549</v>
      </c>
      <c r="AU346" s="67" t="n">
        <f aca="false">AU319+AU314</f>
        <v>478087.795739498</v>
      </c>
      <c r="AV346" s="67" t="n">
        <f aca="false">AV319+AV314</f>
        <v>477285.900509665</v>
      </c>
      <c r="AW346" s="67" t="n">
        <f aca="false">AW319+AW314</f>
        <v>476479.327557659</v>
      </c>
      <c r="AX346" s="67" t="n">
        <f aca="false">AX319+AX314</f>
        <v>475668.049596765</v>
      </c>
      <c r="AY346" s="67" t="n">
        <f aca="false">AY319+AY314</f>
        <v>475341.350702106</v>
      </c>
      <c r="AZ346" s="67" t="n">
        <f aca="false">AZ319+AZ314</f>
        <v>474520.580225683</v>
      </c>
      <c r="BA346" s="67" t="n">
        <f aca="false">BA319+BA314</f>
        <v>473695.02192148</v>
      </c>
      <c r="BB346" s="67" t="n">
        <f aca="false">BB319+BB314</f>
        <v>472864.647860503</v>
      </c>
      <c r="BC346" s="67" t="n">
        <f aca="false">BC319+BC314</f>
        <v>472029.429950836</v>
      </c>
      <c r="BD346" s="67" t="n">
        <f aca="false">BD319+BD314</f>
        <v>473341.947204446</v>
      </c>
      <c r="BE346" s="67" t="n">
        <f aca="false">BE319+BE314</f>
        <v>472496.956665225</v>
      </c>
      <c r="BF346" s="67" t="n">
        <f aca="false">BF319+BF314</f>
        <v>471647.037014524</v>
      </c>
      <c r="BG346" s="67" t="n">
        <f aca="false">BG319+BG314</f>
        <v>468639.552231445</v>
      </c>
      <c r="BH346" s="67" t="n">
        <f aca="false">BH319+BH314</f>
        <v>467779.687930609</v>
      </c>
      <c r="BI346" s="67" t="n">
        <f aca="false">BI319+BI314</f>
        <v>466914.807754685</v>
      </c>
      <c r="BJ346" s="67" t="n">
        <f aca="false">BJ319+BJ314</f>
        <v>466044.882444402</v>
      </c>
    </row>
    <row r="347" customFormat="false" ht="15" hidden="false" customHeight="false" outlineLevel="0" collapsed="false">
      <c r="A347" s="6" t="s">
        <v>99</v>
      </c>
      <c r="C347" s="67" t="n">
        <f aca="false">C343+C344</f>
        <v>421452.615521368</v>
      </c>
      <c r="D347" s="67" t="n">
        <f aca="false">D343+D344</f>
        <v>414680.165431715</v>
      </c>
      <c r="E347" s="67" t="n">
        <f aca="false">E343+E344</f>
        <v>409682.670733986</v>
      </c>
      <c r="F347" s="67" t="n">
        <f aca="false">F343+F344</f>
        <v>406460.152553638</v>
      </c>
      <c r="G347" s="67" t="n">
        <f aca="false">G343+G344</f>
        <v>405012.632139363</v>
      </c>
      <c r="H347" s="67" t="n">
        <f aca="false">H343+H344</f>
        <v>413733.406197136</v>
      </c>
      <c r="I347" s="67" t="n">
        <f aca="false">I343+I344</f>
        <v>424874.857455042</v>
      </c>
      <c r="J347" s="67" t="n">
        <f aca="false">J343+J344</f>
        <v>436665.23595328</v>
      </c>
      <c r="K347" s="67" t="n">
        <f aca="false">K343+K344</f>
        <v>441130.857598462</v>
      </c>
      <c r="L347" s="67" t="n">
        <f aca="false">L343+L344</f>
        <v>445596.167455949</v>
      </c>
      <c r="M347" s="67" t="n">
        <f aca="false">M343+M344</f>
        <v>450061.182908369</v>
      </c>
      <c r="N347" s="67" t="n">
        <f aca="false">N343+N344</f>
        <v>454525.921439746</v>
      </c>
      <c r="O347" s="67" t="n">
        <f aca="false">O343+O344</f>
        <v>460405.449743369</v>
      </c>
      <c r="P347" s="67" t="n">
        <f aca="false">P343+P344</f>
        <v>466284.654108902</v>
      </c>
      <c r="Q347" s="67" t="n">
        <f aca="false">Q343+Q344</f>
        <v>472163.552328128</v>
      </c>
      <c r="R347" s="67" t="n">
        <f aca="false">R343+R344</f>
        <v>478042.162296617</v>
      </c>
      <c r="S347" s="67" t="n">
        <f aca="false">S343+S344</f>
        <v>483920.502014332</v>
      </c>
      <c r="T347" s="67" t="n">
        <f aca="false">T343+T344</f>
        <v>498549.845053072</v>
      </c>
      <c r="U347" s="67" t="n">
        <f aca="false">U343+U344</f>
        <v>513178.95415657</v>
      </c>
      <c r="V347" s="67" t="n">
        <f aca="false">V343+V344</f>
        <v>527807.847641629</v>
      </c>
      <c r="W347" s="67" t="n">
        <f aca="false">W343+W344</f>
        <v>533685.288465056</v>
      </c>
      <c r="X347" s="67" t="n">
        <f aca="false">X343+X344</f>
        <v>539562.550624813</v>
      </c>
      <c r="Y347" s="67" t="n">
        <f aca="false">Y343+Y344</f>
        <v>545439.652760119</v>
      </c>
      <c r="Z347" s="67" t="n">
        <f aca="false">Z343+Z344</f>
        <v>551316.613618922</v>
      </c>
      <c r="AA347" s="67" t="n">
        <f aca="false">AA343+AA344</f>
        <v>558704.307184731</v>
      </c>
      <c r="AB347" s="67" t="n">
        <f aca="false">AB343+AB344</f>
        <v>566091.812949701</v>
      </c>
      <c r="AC347" s="67" t="n">
        <f aca="false">AC343+AC344</f>
        <v>573479.149991785</v>
      </c>
      <c r="AD347" s="67" t="n">
        <f aca="false">AD343+AD344</f>
        <v>580866.337500226</v>
      </c>
      <c r="AE347" s="67" t="n">
        <f aca="false">AE343+AE344</f>
        <v>588253.394776204</v>
      </c>
      <c r="AF347" s="67" t="n">
        <f aca="false">AF343+AF344</f>
        <v>605024.564794326</v>
      </c>
      <c r="AG347" s="67" t="n">
        <f aca="false">AG343+AG344</f>
        <v>621795.643520771</v>
      </c>
      <c r="AH347" s="67" t="n">
        <f aca="false">AH343+AH344</f>
        <v>638566.650596464</v>
      </c>
      <c r="AI347" s="67" t="n">
        <f aca="false">AI343+AI344</f>
        <v>645953.382216064</v>
      </c>
      <c r="AJ347" s="67" t="n">
        <f aca="false">AJ343+AJ344</f>
        <v>653340.081811145</v>
      </c>
      <c r="AK347" s="67" t="n">
        <f aca="false">AK343+AK344</f>
        <v>660726.769368356</v>
      </c>
      <c r="AL347" s="67" t="n">
        <f aca="false">AL343+AL344</f>
        <v>668113.464990937</v>
      </c>
      <c r="AM347" s="67" t="n">
        <f aca="false">AM343+AM344</f>
        <v>677116.177403639</v>
      </c>
      <c r="AN347" s="67" t="n">
        <f aca="false">AN343+AN344</f>
        <v>686118.851982995</v>
      </c>
      <c r="AO347" s="67" t="n">
        <f aca="false">AO343+AO344</f>
        <v>695121.509186106</v>
      </c>
      <c r="AP347" s="67" t="n">
        <f aca="false">AP343+AP344</f>
        <v>704124.169589407</v>
      </c>
      <c r="AQ347" s="67" t="n">
        <f aca="false">AQ343+AQ344</f>
        <v>713126.85388936</v>
      </c>
      <c r="AR347" s="67" t="n">
        <f aca="false">AR343+AR344</f>
        <v>732192.392624076</v>
      </c>
      <c r="AS347" s="67" t="n">
        <f aca="false">AS343+AS344</f>
        <v>751257.997011263</v>
      </c>
      <c r="AT347" s="67" t="n">
        <f aca="false">AT343+AT344</f>
        <v>770323.688111692</v>
      </c>
      <c r="AU347" s="67" t="n">
        <f aca="false">AU343+AU344</f>
        <v>779326.677388067</v>
      </c>
      <c r="AV347" s="67" t="n">
        <f aca="false">AV343+AV344</f>
        <v>788329.795868499</v>
      </c>
      <c r="AW347" s="67" t="n">
        <f aca="false">AW343+AW344</f>
        <v>797333.064984476</v>
      </c>
      <c r="AX347" s="67" t="n">
        <f aca="false">AX343+AX344</f>
        <v>806336.506292498</v>
      </c>
      <c r="AY347" s="67" t="n">
        <f aca="false">AY343+AY344</f>
        <v>817071.067830581</v>
      </c>
      <c r="AZ347" s="67" t="n">
        <f aca="false">AZ343+AZ344</f>
        <v>827805.756432563</v>
      </c>
      <c r="BA347" s="67" t="n">
        <f aca="false">BA343+BA344</f>
        <v>838540.594034394</v>
      </c>
      <c r="BB347" s="67" t="n">
        <f aca="false">BB343+BB344</f>
        <v>849275.602699977</v>
      </c>
      <c r="BC347" s="67" t="n">
        <f aca="false">BC343+BC344</f>
        <v>860010.804621927</v>
      </c>
      <c r="BD347" s="67" t="n">
        <f aca="false">BD343+BD344</f>
        <v>881536.514779328</v>
      </c>
      <c r="BE347" s="67" t="n">
        <f aca="false">BE343+BE344</f>
        <v>903062.462967447</v>
      </c>
      <c r="BF347" s="67" t="n">
        <f aca="false">BF343+BF344</f>
        <v>924588.671769535</v>
      </c>
      <c r="BG347" s="67" t="n">
        <f aca="false">BG343+BG344</f>
        <v>935324.871243565</v>
      </c>
      <c r="BH347" s="67" t="n">
        <f aca="false">BH343+BH344</f>
        <v>946061.376894047</v>
      </c>
      <c r="BI347" s="67" t="n">
        <f aca="false">BI343+BI344</f>
        <v>956798.211701751</v>
      </c>
      <c r="BJ347" s="67" t="n">
        <f aca="false">BJ343+BJ344</f>
        <v>967535.3987815</v>
      </c>
    </row>
    <row r="348" customFormat="false" ht="15" hidden="false" customHeight="false" outlineLevel="0" collapsed="false">
      <c r="A348" s="4" t="s">
        <v>100</v>
      </c>
      <c r="C348" s="73" t="n">
        <f aca="false">C346+C347</f>
        <v>926966.254748667</v>
      </c>
      <c r="D348" s="73" t="n">
        <f aca="false">D346+D347</f>
        <v>919860.166736651</v>
      </c>
      <c r="E348" s="73" t="n">
        <f aca="false">E346+E347</f>
        <v>914525.41260925</v>
      </c>
      <c r="F348" s="73" t="n">
        <f aca="false">F346+F347</f>
        <v>910961.992366464</v>
      </c>
      <c r="G348" s="73" t="n">
        <f aca="false">G346+G347</f>
        <v>909169.906008294</v>
      </c>
      <c r="H348" s="73" t="n">
        <f aca="false">H346+H347</f>
        <v>918900.063312517</v>
      </c>
      <c r="I348" s="73" t="n">
        <f aca="false">I346+I347</f>
        <v>929793.990039816</v>
      </c>
      <c r="J348" s="73" t="n">
        <f aca="false">J346+J347</f>
        <v>941333.115633317</v>
      </c>
      <c r="K348" s="73" t="n">
        <f aca="false">K346+K347</f>
        <v>943872.799549926</v>
      </c>
      <c r="L348" s="73" t="n">
        <f aca="false">L346+L347</f>
        <v>947687.709060483</v>
      </c>
      <c r="M348" s="73" t="n">
        <f aca="false">M346+M347</f>
        <v>951498.53016395</v>
      </c>
      <c r="N348" s="73" t="n">
        <f aca="false">N346+N347</f>
        <v>955305.258212672</v>
      </c>
      <c r="O348" s="73" t="n">
        <f aca="false">O346+O347</f>
        <v>960937.963314483</v>
      </c>
      <c r="P348" s="73" t="n">
        <f aca="false">P346+P347</f>
        <v>966151.458017761</v>
      </c>
      <c r="Q348" s="73" t="n">
        <f aca="false">Q346+Q347</f>
        <v>971360.76326837</v>
      </c>
      <c r="R348" s="73" t="n">
        <f aca="false">R346+R347</f>
        <v>976565.874309259</v>
      </c>
      <c r="S348" s="73" t="n">
        <f aca="false">S346+S347</f>
        <v>981766.786355628</v>
      </c>
      <c r="T348" s="73" t="n">
        <f aca="false">T346+T347</f>
        <v>997494.785008034</v>
      </c>
      <c r="U348" s="73" t="n">
        <f aca="false">U346+U347</f>
        <v>1011438.540066</v>
      </c>
      <c r="V348" s="73" t="n">
        <f aca="false">V346+V347</f>
        <v>1025378.08160692</v>
      </c>
      <c r="W348" s="73" t="n">
        <f aca="false">W346+W347</f>
        <v>1028782.11432011</v>
      </c>
      <c r="X348" s="73" t="n">
        <f aca="false">X346+X347</f>
        <v>1033961.95863927</v>
      </c>
      <c r="Y348" s="73" t="n">
        <f aca="false">Y346+Y347</f>
        <v>1039137.57466324</v>
      </c>
      <c r="Z348" s="73" t="n">
        <f aca="false">Z346+Z347</f>
        <v>1044308.95740839</v>
      </c>
      <c r="AA348" s="73" t="n">
        <f aca="false">AA346+AA347</f>
        <v>1051425.28125048</v>
      </c>
      <c r="AB348" s="73" t="n">
        <f aca="false">AB346+AB347</f>
        <v>1058098.95314788</v>
      </c>
      <c r="AC348" s="73" t="n">
        <f aca="false">AC346+AC347</f>
        <v>1064768.29229151</v>
      </c>
      <c r="AD348" s="73" t="n">
        <f aca="false">AD346+AD347</f>
        <v>1071433.29358041</v>
      </c>
      <c r="AE348" s="73" t="n">
        <f aca="false">AE346+AE347</f>
        <v>1078093.95188391</v>
      </c>
      <c r="AF348" s="73" t="n">
        <f aca="false">AF346+AF347</f>
        <v>1096030.83846219</v>
      </c>
      <c r="AG348" s="73" t="n">
        <f aca="false">AG346+AG347</f>
        <v>1112067.01884373</v>
      </c>
      <c r="AH348" s="73" t="n">
        <f aca="false">AH346+AH347</f>
        <v>1128098.84066751</v>
      </c>
      <c r="AI348" s="73" t="n">
        <f aca="false">AI346+AI347</f>
        <v>1132845.72226125</v>
      </c>
      <c r="AJ348" s="73" t="n">
        <f aca="false">AJ346+AJ347</f>
        <v>1139484.58762364</v>
      </c>
      <c r="AK348" s="73" t="n">
        <f aca="false">AK346+AK347</f>
        <v>1146119.07858181</v>
      </c>
      <c r="AL348" s="73" t="n">
        <f aca="false">AL346+AL347</f>
        <v>1152749.18979186</v>
      </c>
      <c r="AM348" s="73" t="n">
        <f aca="false">AM346+AM347</f>
        <v>1161453.95958833</v>
      </c>
      <c r="AN348" s="73" t="n">
        <f aca="false">AN346+AN347</f>
        <v>1169691.19719211</v>
      </c>
      <c r="AO348" s="73" t="n">
        <f aca="false">AO346+AO347</f>
        <v>1177923.95237063</v>
      </c>
      <c r="AP348" s="73" t="n">
        <f aca="false">AP346+AP347</f>
        <v>1186152.21965419</v>
      </c>
      <c r="AQ348" s="73" t="n">
        <f aca="false">AQ346+AQ347</f>
        <v>1194375.99354121</v>
      </c>
      <c r="AR348" s="73" t="n">
        <f aca="false">AR346+AR347</f>
        <v>1214678.44988085</v>
      </c>
      <c r="AS348" s="73" t="n">
        <f aca="false">AS346+AS347</f>
        <v>1232956.03006236</v>
      </c>
      <c r="AT348" s="73" t="n">
        <f aca="false">AT346+AT347</f>
        <v>1251229.10014924</v>
      </c>
      <c r="AU348" s="73" t="n">
        <f aca="false">AU346+AU347</f>
        <v>1257414.47312757</v>
      </c>
      <c r="AV348" s="73" t="n">
        <f aca="false">AV346+AV347</f>
        <v>1265615.69637817</v>
      </c>
      <c r="AW348" s="73" t="n">
        <f aca="false">AW346+AW347</f>
        <v>1273812.39254213</v>
      </c>
      <c r="AX348" s="73" t="n">
        <f aca="false">AX346+AX347</f>
        <v>1282004.55588926</v>
      </c>
      <c r="AY348" s="73" t="n">
        <f aca="false">AY346+AY347</f>
        <v>1292412.41853269</v>
      </c>
      <c r="AZ348" s="73" t="n">
        <f aca="false">AZ346+AZ347</f>
        <v>1302326.33665825</v>
      </c>
      <c r="BA348" s="73" t="n">
        <f aca="false">BA346+BA347</f>
        <v>1312235.61595587</v>
      </c>
      <c r="BB348" s="73" t="n">
        <f aca="false">BB346+BB347</f>
        <v>1322140.25056048</v>
      </c>
      <c r="BC348" s="73" t="n">
        <f aca="false">BC346+BC347</f>
        <v>1332040.23457276</v>
      </c>
      <c r="BD348" s="73" t="n">
        <f aca="false">BD346+BD347</f>
        <v>1354878.46198377</v>
      </c>
      <c r="BE348" s="73" t="n">
        <f aca="false">BE346+BE347</f>
        <v>1375559.41963267</v>
      </c>
      <c r="BF348" s="73" t="n">
        <f aca="false">BF346+BF347</f>
        <v>1396235.70878406</v>
      </c>
      <c r="BG348" s="73" t="n">
        <f aca="false">BG346+BG347</f>
        <v>1403964.42347501</v>
      </c>
      <c r="BH348" s="73" t="n">
        <f aca="false">BH346+BH347</f>
        <v>1413841.06482466</v>
      </c>
      <c r="BI348" s="73" t="n">
        <f aca="false">BI346+BI347</f>
        <v>1423713.01945644</v>
      </c>
      <c r="BJ348" s="73" t="n">
        <f aca="false">BJ346+BJ347</f>
        <v>1433580.2812259</v>
      </c>
    </row>
    <row r="349" customFormat="false" ht="15" hidden="false" customHeight="false" outlineLevel="0" collapsed="false">
      <c r="A349" s="6" t="s">
        <v>449</v>
      </c>
      <c r="C349" s="67" t="n">
        <f aca="false">C345-C348</f>
        <v>0</v>
      </c>
      <c r="D349" s="67" t="n">
        <f aca="false">D345-D348</f>
        <v>0</v>
      </c>
      <c r="E349" s="67" t="n">
        <f aca="false">E345-E348</f>
        <v>0</v>
      </c>
      <c r="F349" s="67" t="n">
        <f aca="false">F345-F348</f>
        <v>0</v>
      </c>
      <c r="G349" s="67" t="n">
        <f aca="false">G345-G348</f>
        <v>0</v>
      </c>
      <c r="H349" s="67" t="n">
        <f aca="false">H345-H348</f>
        <v>0</v>
      </c>
      <c r="I349" s="67" t="n">
        <f aca="false">I345-I348</f>
        <v>0</v>
      </c>
      <c r="J349" s="67" t="n">
        <f aca="false">J345-J348</f>
        <v>0</v>
      </c>
      <c r="K349" s="67" t="n">
        <f aca="false">K345-K348</f>
        <v>0</v>
      </c>
      <c r="L349" s="67" t="n">
        <f aca="false">L345-L348</f>
        <v>0</v>
      </c>
      <c r="M349" s="67" t="n">
        <f aca="false">M345-M348</f>
        <v>0</v>
      </c>
      <c r="N349" s="67" t="n">
        <f aca="false">N345-N348</f>
        <v>0</v>
      </c>
      <c r="O349" s="67" t="n">
        <f aca="false">O345-O348</f>
        <v>0</v>
      </c>
      <c r="P349" s="67" t="n">
        <f aca="false">P345-P348</f>
        <v>0</v>
      </c>
      <c r="Q349" s="67" t="n">
        <f aca="false">Q345-Q348</f>
        <v>0</v>
      </c>
      <c r="R349" s="67" t="n">
        <f aca="false">R345-R348</f>
        <v>0</v>
      </c>
      <c r="S349" s="67" t="n">
        <f aca="false">S345-S348</f>
        <v>0</v>
      </c>
      <c r="T349" s="67" t="n">
        <f aca="false">T345-T348</f>
        <v>0</v>
      </c>
      <c r="U349" s="67" t="n">
        <f aca="false">U345-U348</f>
        <v>0</v>
      </c>
      <c r="V349" s="67" t="n">
        <f aca="false">V345-V348</f>
        <v>0</v>
      </c>
      <c r="W349" s="67" t="n">
        <f aca="false">W345-W348</f>
        <v>0</v>
      </c>
      <c r="X349" s="67" t="n">
        <f aca="false">X345-X348</f>
        <v>0</v>
      </c>
      <c r="Y349" s="67" t="n">
        <f aca="false">Y345-Y348</f>
        <v>0</v>
      </c>
      <c r="Z349" s="67" t="n">
        <f aca="false">Z345-Z348</f>
        <v>0</v>
      </c>
      <c r="AA349" s="67" t="n">
        <f aca="false">AA345-AA348</f>
        <v>0</v>
      </c>
      <c r="AB349" s="67" t="n">
        <f aca="false">AB345-AB348</f>
        <v>0</v>
      </c>
      <c r="AC349" s="67" t="n">
        <f aca="false">AC345-AC348</f>
        <v>0</v>
      </c>
      <c r="AD349" s="67" t="n">
        <f aca="false">AD345-AD348</f>
        <v>0</v>
      </c>
      <c r="AE349" s="67" t="n">
        <f aca="false">AE345-AE348</f>
        <v>0</v>
      </c>
      <c r="AF349" s="67" t="n">
        <f aca="false">AF345-AF348</f>
        <v>0</v>
      </c>
      <c r="AG349" s="67" t="n">
        <f aca="false">AG345-AG348</f>
        <v>0</v>
      </c>
      <c r="AH349" s="67" t="n">
        <f aca="false">AH345-AH348</f>
        <v>0</v>
      </c>
      <c r="AI349" s="67" t="n">
        <f aca="false">AI345-AI348</f>
        <v>0</v>
      </c>
      <c r="AJ349" s="67" t="n">
        <f aca="false">AJ345-AJ348</f>
        <v>0</v>
      </c>
      <c r="AK349" s="67" t="n">
        <f aca="false">AK345-AK348</f>
        <v>0</v>
      </c>
      <c r="AL349" s="67" t="n">
        <f aca="false">AL345-AL348</f>
        <v>0</v>
      </c>
      <c r="AM349" s="67" t="n">
        <f aca="false">AM345-AM348</f>
        <v>0</v>
      </c>
      <c r="AN349" s="67" t="n">
        <f aca="false">AN345-AN348</f>
        <v>0</v>
      </c>
      <c r="AO349" s="67" t="n">
        <f aca="false">AO345-AO348</f>
        <v>0</v>
      </c>
      <c r="AP349" s="67" t="n">
        <f aca="false">AP345-AP348</f>
        <v>0</v>
      </c>
      <c r="AQ349" s="67" t="n">
        <f aca="false">AQ345-AQ348</f>
        <v>0</v>
      </c>
      <c r="AR349" s="67" t="n">
        <f aca="false">AR345-AR348</f>
        <v>0</v>
      </c>
      <c r="AS349" s="67" t="n">
        <f aca="false">AS345-AS348</f>
        <v>0</v>
      </c>
      <c r="AT349" s="67" t="n">
        <f aca="false">AT345-AT348</f>
        <v>0</v>
      </c>
      <c r="AU349" s="67" t="n">
        <f aca="false">AU345-AU348</f>
        <v>0</v>
      </c>
      <c r="AV349" s="67" t="n">
        <f aca="false">AV345-AV348</f>
        <v>0</v>
      </c>
      <c r="AW349" s="67" t="n">
        <f aca="false">AW345-AW348</f>
        <v>0</v>
      </c>
      <c r="AX349" s="67" t="n">
        <f aca="false">AX345-AX348</f>
        <v>0</v>
      </c>
      <c r="AY349" s="67" t="n">
        <f aca="false">AY345-AY348</f>
        <v>0</v>
      </c>
      <c r="AZ349" s="67" t="n">
        <f aca="false">AZ345-AZ348</f>
        <v>0</v>
      </c>
      <c r="BA349" s="67" t="n">
        <f aca="false">BA345-BA348</f>
        <v>0</v>
      </c>
      <c r="BB349" s="67" t="n">
        <f aca="false">BB345-BB348</f>
        <v>0</v>
      </c>
      <c r="BC349" s="67" t="n">
        <f aca="false">BC345-BC348</f>
        <v>0</v>
      </c>
      <c r="BD349" s="67" t="n">
        <f aca="false">BD345-BD348</f>
        <v>0</v>
      </c>
      <c r="BE349" s="67" t="n">
        <f aca="false">BE345-BE348</f>
        <v>0</v>
      </c>
      <c r="BF349" s="67" t="n">
        <f aca="false">BF345-BF348</f>
        <v>0</v>
      </c>
      <c r="BG349" s="67" t="n">
        <f aca="false">BG345-BG348</f>
        <v>0</v>
      </c>
      <c r="BH349" s="67" t="n">
        <f aca="false">BH345-BH348</f>
        <v>0</v>
      </c>
      <c r="BI349" s="67" t="n">
        <f aca="false">BI345-BI348</f>
        <v>0</v>
      </c>
      <c r="BJ349" s="67" t="n">
        <f aca="false">BJ345-BJ348</f>
        <v>0</v>
      </c>
    </row>
    <row r="351" customFormat="false" ht="15.75" hidden="false" customHeight="true" outlineLevel="0" collapsed="false">
      <c r="A351" s="7" t="s">
        <v>451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customFormat="false" ht="15" hidden="false" customHeight="false" outlineLevel="0" collapsed="false">
      <c r="A352" s="6" t="s">
        <v>452</v>
      </c>
      <c r="C352" s="115" t="n">
        <f aca="false">Inputs!$D$49*(1+Inputs!$D$51)^(C$247-1)*MAX(0,MIN(1,C$246*1-Inputs!$D$52+1))/1</f>
        <v>1.5</v>
      </c>
      <c r="D352" s="115" t="n">
        <f aca="false">Inputs!$D$49*(1+Inputs!$D$51)^(D$247-1)*MAX(0,MIN(1,D$246*1-Inputs!$D$52+1))/1</f>
        <v>1.5</v>
      </c>
      <c r="E352" s="115" t="n">
        <f aca="false">Inputs!$D$49*(1+Inputs!$D$51)^(E$247-1)*MAX(0,MIN(1,E$246*1-Inputs!$D$52+1))/1</f>
        <v>1.5</v>
      </c>
      <c r="F352" s="115" t="n">
        <f aca="false">Inputs!$D$49*(1+Inputs!$D$51)^(F$247-1)*MAX(0,MIN(1,F$246*1-Inputs!$D$52+1))/1</f>
        <v>1.5</v>
      </c>
      <c r="G352" s="115" t="n">
        <f aca="false">Inputs!$D$49*(1+Inputs!$D$51)^(G$247-1)*MAX(0,MIN(1,G$246*1-Inputs!$D$52+1))/1</f>
        <v>1.5</v>
      </c>
      <c r="H352" s="115" t="n">
        <f aca="false">Inputs!$D$49*(1+Inputs!$D$51)^(H$247-1)*MAX(0,MIN(1,H$246*1-Inputs!$D$52+1))/1</f>
        <v>1.5</v>
      </c>
      <c r="I352" s="115" t="n">
        <f aca="false">Inputs!$D$49*(1+Inputs!$D$51)^(I$247-1)*MAX(0,MIN(1,I$246*1-Inputs!$D$52+1))/1</f>
        <v>1.5</v>
      </c>
      <c r="J352" s="115" t="n">
        <f aca="false">Inputs!$D$49*(1+Inputs!$D$51)^(J$247-1)*MAX(0,MIN(1,J$246*1-Inputs!$D$52+1))/1</f>
        <v>1.5</v>
      </c>
      <c r="K352" s="115" t="n">
        <f aca="false">Inputs!$D$49*(1+Inputs!$D$51)^(K$247-1)*MAX(0,MIN(1,K$246*1-Inputs!$D$52+1))/1</f>
        <v>1.5</v>
      </c>
      <c r="L352" s="115" t="n">
        <f aca="false">Inputs!$D$49*(1+Inputs!$D$51)^(L$247-1)*MAX(0,MIN(1,L$246*1-Inputs!$D$52+1))/1</f>
        <v>1.5</v>
      </c>
      <c r="M352" s="115" t="n">
        <f aca="false">Inputs!$D$49*(1+Inputs!$D$51)^(M$247-1)*MAX(0,MIN(1,M$246*1-Inputs!$D$52+1))/1</f>
        <v>1.5</v>
      </c>
      <c r="N352" s="115" t="n">
        <f aca="false">Inputs!$D$49*(1+Inputs!$D$51)^(N$247-1)*MAX(0,MIN(1,N$246*1-Inputs!$D$52+1))/1</f>
        <v>1.5</v>
      </c>
      <c r="O352" s="115" t="n">
        <f aca="false">Inputs!$D$49*(1+Inputs!$D$51)^(O$247-1)*MAX(0,MIN(1,O$246*1-Inputs!$D$52+1))/1</f>
        <v>1.5</v>
      </c>
      <c r="P352" s="115" t="n">
        <f aca="false">Inputs!$D$49*(1+Inputs!$D$51)^(P$247-1)*MAX(0,MIN(1,P$246*1-Inputs!$D$52+1))/1</f>
        <v>1.5</v>
      </c>
      <c r="Q352" s="115" t="n">
        <f aca="false">Inputs!$D$49*(1+Inputs!$D$51)^(Q$247-1)*MAX(0,MIN(1,Q$246*1-Inputs!$D$52+1))/1</f>
        <v>1.5</v>
      </c>
      <c r="R352" s="115" t="n">
        <f aca="false">Inputs!$D$49*(1+Inputs!$D$51)^(R$247-1)*MAX(0,MIN(1,R$246*1-Inputs!$D$52+1))/1</f>
        <v>1.5</v>
      </c>
      <c r="S352" s="115" t="n">
        <f aca="false">Inputs!$D$49*(1+Inputs!$D$51)^(S$247-1)*MAX(0,MIN(1,S$246*1-Inputs!$D$52+1))/1</f>
        <v>1.5</v>
      </c>
      <c r="T352" s="115" t="n">
        <f aca="false">Inputs!$D$49*(1+Inputs!$D$51)^(T$247-1)*MAX(0,MIN(1,T$246*1-Inputs!$D$52+1))/1</f>
        <v>1.5</v>
      </c>
      <c r="U352" s="115" t="n">
        <f aca="false">Inputs!$D$49*(1+Inputs!$D$51)^(U$247-1)*MAX(0,MIN(1,U$246*1-Inputs!$D$52+1))/1</f>
        <v>1.5</v>
      </c>
      <c r="V352" s="115" t="n">
        <f aca="false">Inputs!$D$49*(1+Inputs!$D$51)^(V$247-1)*MAX(0,MIN(1,V$246*1-Inputs!$D$52+1))/1</f>
        <v>1.5</v>
      </c>
      <c r="W352" s="115" t="n">
        <f aca="false">Inputs!$D$49*(1+Inputs!$D$51)^(W$247-1)*MAX(0,MIN(1,W$246*1-Inputs!$D$52+1))/1</f>
        <v>1.5</v>
      </c>
      <c r="X352" s="115" t="n">
        <f aca="false">Inputs!$D$49*(1+Inputs!$D$51)^(X$247-1)*MAX(0,MIN(1,X$246*1-Inputs!$D$52+1))/1</f>
        <v>1.5</v>
      </c>
      <c r="Y352" s="115" t="n">
        <f aca="false">Inputs!$D$49*(1+Inputs!$D$51)^(Y$247-1)*MAX(0,MIN(1,Y$246*1-Inputs!$D$52+1))/1</f>
        <v>1.5</v>
      </c>
      <c r="Z352" s="115" t="n">
        <f aca="false">Inputs!$D$49*(1+Inputs!$D$51)^(Z$247-1)*MAX(0,MIN(1,Z$246*1-Inputs!$D$52+1))/1</f>
        <v>1.5</v>
      </c>
      <c r="AA352" s="115" t="n">
        <f aca="false">Inputs!$D$49*(1+Inputs!$D$51)^(AA$247-1)*MAX(0,MIN(1,AA$246*1-Inputs!$D$52+1))/1</f>
        <v>1.5</v>
      </c>
      <c r="AB352" s="115" t="n">
        <f aca="false">Inputs!$D$49*(1+Inputs!$D$51)^(AB$247-1)*MAX(0,MIN(1,AB$246*1-Inputs!$D$52+1))/1</f>
        <v>1.5</v>
      </c>
      <c r="AC352" s="115" t="n">
        <f aca="false">Inputs!$D$49*(1+Inputs!$D$51)^(AC$247-1)*MAX(0,MIN(1,AC$246*1-Inputs!$D$52+1))/1</f>
        <v>1.5</v>
      </c>
      <c r="AD352" s="115" t="n">
        <f aca="false">Inputs!$D$49*(1+Inputs!$D$51)^(AD$247-1)*MAX(0,MIN(1,AD$246*1-Inputs!$D$52+1))/1</f>
        <v>1.5</v>
      </c>
      <c r="AE352" s="115" t="n">
        <f aca="false">Inputs!$D$49*(1+Inputs!$D$51)^(AE$247-1)*MAX(0,MIN(1,AE$246*1-Inputs!$D$52+1))/1</f>
        <v>1.5</v>
      </c>
      <c r="AF352" s="115" t="n">
        <f aca="false">Inputs!$D$49*(1+Inputs!$D$51)^(AF$247-1)*MAX(0,MIN(1,AF$246*1-Inputs!$D$52+1))/1</f>
        <v>1.5</v>
      </c>
      <c r="AG352" s="115" t="n">
        <f aca="false">Inputs!$D$49*(1+Inputs!$D$51)^(AG$247-1)*MAX(0,MIN(1,AG$246*1-Inputs!$D$52+1))/1</f>
        <v>1.5</v>
      </c>
      <c r="AH352" s="115" t="n">
        <f aca="false">Inputs!$D$49*(1+Inputs!$D$51)^(AH$247-1)*MAX(0,MIN(1,AH$246*1-Inputs!$D$52+1))/1</f>
        <v>1.5</v>
      </c>
      <c r="AI352" s="115" t="n">
        <f aca="false">Inputs!$D$49*(1+Inputs!$D$51)^(AI$247-1)*MAX(0,MIN(1,AI$246*1-Inputs!$D$52+1))/1</f>
        <v>1.5</v>
      </c>
      <c r="AJ352" s="115" t="n">
        <f aca="false">Inputs!$D$49*(1+Inputs!$D$51)^(AJ$247-1)*MAX(0,MIN(1,AJ$246*1-Inputs!$D$52+1))/1</f>
        <v>1.5</v>
      </c>
      <c r="AK352" s="115" t="n">
        <f aca="false">Inputs!$D$49*(1+Inputs!$D$51)^(AK$247-1)*MAX(0,MIN(1,AK$246*1-Inputs!$D$52+1))/1</f>
        <v>1.5</v>
      </c>
      <c r="AL352" s="115" t="n">
        <f aca="false">Inputs!$D$49*(1+Inputs!$D$51)^(AL$247-1)*MAX(0,MIN(1,AL$246*1-Inputs!$D$52+1))/1</f>
        <v>1.5</v>
      </c>
      <c r="AM352" s="115" t="n">
        <f aca="false">Inputs!$D$49*(1+Inputs!$D$51)^(AM$247-1)*MAX(0,MIN(1,AM$246*1-Inputs!$D$52+1))/1</f>
        <v>1.5</v>
      </c>
      <c r="AN352" s="115" t="n">
        <f aca="false">Inputs!$D$49*(1+Inputs!$D$51)^(AN$247-1)*MAX(0,MIN(1,AN$246*1-Inputs!$D$52+1))/1</f>
        <v>1.5</v>
      </c>
      <c r="AO352" s="115" t="n">
        <f aca="false">Inputs!$D$49*(1+Inputs!$D$51)^(AO$247-1)*MAX(0,MIN(1,AO$246*1-Inputs!$D$52+1))/1</f>
        <v>1.5</v>
      </c>
      <c r="AP352" s="115" t="n">
        <f aca="false">Inputs!$D$49*(1+Inputs!$D$51)^(AP$247-1)*MAX(0,MIN(1,AP$246*1-Inputs!$D$52+1))/1</f>
        <v>1.5</v>
      </c>
      <c r="AQ352" s="115" t="n">
        <f aca="false">Inputs!$D$49*(1+Inputs!$D$51)^(AQ$247-1)*MAX(0,MIN(1,AQ$246*1-Inputs!$D$52+1))/1</f>
        <v>1.5</v>
      </c>
      <c r="AR352" s="115" t="n">
        <f aca="false">Inputs!$D$49*(1+Inputs!$D$51)^(AR$247-1)*MAX(0,MIN(1,AR$246*1-Inputs!$D$52+1))/1</f>
        <v>1.5</v>
      </c>
      <c r="AS352" s="115" t="n">
        <f aca="false">Inputs!$D$49*(1+Inputs!$D$51)^(AS$247-1)*MAX(0,MIN(1,AS$246*1-Inputs!$D$52+1))/1</f>
        <v>1.5</v>
      </c>
      <c r="AT352" s="115" t="n">
        <f aca="false">Inputs!$D$49*(1+Inputs!$D$51)^(AT$247-1)*MAX(0,MIN(1,AT$246*1-Inputs!$D$52+1))/1</f>
        <v>1.5</v>
      </c>
      <c r="AU352" s="115" t="n">
        <f aca="false">Inputs!$D$49*(1+Inputs!$D$51)^(AU$247-1)*MAX(0,MIN(1,AU$246*1-Inputs!$D$52+1))/1</f>
        <v>1.5</v>
      </c>
      <c r="AV352" s="115" t="n">
        <f aca="false">Inputs!$D$49*(1+Inputs!$D$51)^(AV$247-1)*MAX(0,MIN(1,AV$246*1-Inputs!$D$52+1))/1</f>
        <v>1.5</v>
      </c>
      <c r="AW352" s="115" t="n">
        <f aca="false">Inputs!$D$49*(1+Inputs!$D$51)^(AW$247-1)*MAX(0,MIN(1,AW$246*1-Inputs!$D$52+1))/1</f>
        <v>1.5</v>
      </c>
      <c r="AX352" s="115" t="n">
        <f aca="false">Inputs!$D$49*(1+Inputs!$D$51)^(AX$247-1)*MAX(0,MIN(1,AX$246*1-Inputs!$D$52+1))/1</f>
        <v>1.5</v>
      </c>
      <c r="AY352" s="115" t="n">
        <f aca="false">Inputs!$D$49*(1+Inputs!$D$51)^(AY$247-1)*MAX(0,MIN(1,AY$246*1-Inputs!$D$52+1))/1</f>
        <v>1.5</v>
      </c>
      <c r="AZ352" s="115" t="n">
        <f aca="false">Inputs!$D$49*(1+Inputs!$D$51)^(AZ$247-1)*MAX(0,MIN(1,AZ$246*1-Inputs!$D$52+1))/1</f>
        <v>1.5</v>
      </c>
      <c r="BA352" s="115" t="n">
        <f aca="false">Inputs!$D$49*(1+Inputs!$D$51)^(BA$247-1)*MAX(0,MIN(1,BA$246*1-Inputs!$D$52+1))/1</f>
        <v>1.5</v>
      </c>
      <c r="BB352" s="115" t="n">
        <f aca="false">Inputs!$D$49*(1+Inputs!$D$51)^(BB$247-1)*MAX(0,MIN(1,BB$246*1-Inputs!$D$52+1))/1</f>
        <v>1.5</v>
      </c>
      <c r="BC352" s="115" t="n">
        <f aca="false">Inputs!$D$49*(1+Inputs!$D$51)^(BC$247-1)*MAX(0,MIN(1,BC$246*1-Inputs!$D$52+1))/1</f>
        <v>1.5</v>
      </c>
      <c r="BD352" s="115" t="n">
        <f aca="false">Inputs!$D$49*(1+Inputs!$D$51)^(BD$247-1)*MAX(0,MIN(1,BD$246*1-Inputs!$D$52+1))/1</f>
        <v>1.5</v>
      </c>
      <c r="BE352" s="115" t="n">
        <f aca="false">Inputs!$D$49*(1+Inputs!$D$51)^(BE$247-1)*MAX(0,MIN(1,BE$246*1-Inputs!$D$52+1))/1</f>
        <v>1.5</v>
      </c>
      <c r="BF352" s="115" t="n">
        <f aca="false">Inputs!$D$49*(1+Inputs!$D$51)^(BF$247-1)*MAX(0,MIN(1,BF$246*1-Inputs!$D$52+1))/1</f>
        <v>1.5</v>
      </c>
      <c r="BG352" s="115" t="n">
        <f aca="false">Inputs!$D$49*(1+Inputs!$D$51)^(BG$247-1)*MAX(0,MIN(1,BG$246*1-Inputs!$D$52+1))/1</f>
        <v>1.5</v>
      </c>
      <c r="BH352" s="115" t="n">
        <f aca="false">Inputs!$D$49*(1+Inputs!$D$51)^(BH$247-1)*MAX(0,MIN(1,BH$246*1-Inputs!$D$52+1))/1</f>
        <v>1.5</v>
      </c>
      <c r="BI352" s="115" t="n">
        <f aca="false">Inputs!$D$49*(1+Inputs!$D$51)^(BI$247-1)*MAX(0,MIN(1,BI$246*1-Inputs!$D$52+1))/1</f>
        <v>1.5</v>
      </c>
      <c r="BJ352" s="115" t="n">
        <f aca="false">Inputs!$D$49*(1+Inputs!$D$51)^(BJ$247-1)*MAX(0,MIN(1,BJ$246*1-Inputs!$D$52+1))/1</f>
        <v>1.5</v>
      </c>
    </row>
    <row r="353" customFormat="false" ht="15" hidden="false" customHeight="false" outlineLevel="0" collapsed="false">
      <c r="A353" s="6" t="s">
        <v>453</v>
      </c>
      <c r="C353" s="115" t="n">
        <f aca="false">Inputs!$D$53*(1+Inputs!$D$55)^(C$247-1)*MAX(0,MIN(1,C$246*1-Inputs!$D$56+1))/1</f>
        <v>1</v>
      </c>
      <c r="D353" s="115" t="n">
        <f aca="false">Inputs!$D$53*(1+Inputs!$D$55)^(D$247-1)*MAX(0,MIN(1,D$246*1-Inputs!$D$56+1))/1</f>
        <v>1</v>
      </c>
      <c r="E353" s="115" t="n">
        <f aca="false">Inputs!$D$53*(1+Inputs!$D$55)^(E$247-1)*MAX(0,MIN(1,E$246*1-Inputs!$D$56+1))/1</f>
        <v>1</v>
      </c>
      <c r="F353" s="115" t="n">
        <f aca="false">Inputs!$D$53*(1+Inputs!$D$55)^(F$247-1)*MAX(0,MIN(1,F$246*1-Inputs!$D$56+1))/1</f>
        <v>1</v>
      </c>
      <c r="G353" s="115" t="n">
        <f aca="false">Inputs!$D$53*(1+Inputs!$D$55)^(G$247-1)*MAX(0,MIN(1,G$246*1-Inputs!$D$56+1))/1</f>
        <v>1</v>
      </c>
      <c r="H353" s="115" t="n">
        <f aca="false">Inputs!$D$53*(1+Inputs!$D$55)^(H$247-1)*MAX(0,MIN(1,H$246*1-Inputs!$D$56+1))/1</f>
        <v>1</v>
      </c>
      <c r="I353" s="115" t="n">
        <f aca="false">Inputs!$D$53*(1+Inputs!$D$55)^(I$247-1)*MAX(0,MIN(1,I$246*1-Inputs!$D$56+1))/1</f>
        <v>1</v>
      </c>
      <c r="J353" s="115" t="n">
        <f aca="false">Inputs!$D$53*(1+Inputs!$D$55)^(J$247-1)*MAX(0,MIN(1,J$246*1-Inputs!$D$56+1))/1</f>
        <v>1</v>
      </c>
      <c r="K353" s="115" t="n">
        <f aca="false">Inputs!$D$53*(1+Inputs!$D$55)^(K$247-1)*MAX(0,MIN(1,K$246*1-Inputs!$D$56+1))/1</f>
        <v>1</v>
      </c>
      <c r="L353" s="115" t="n">
        <f aca="false">Inputs!$D$53*(1+Inputs!$D$55)^(L$247-1)*MAX(0,MIN(1,L$246*1-Inputs!$D$56+1))/1</f>
        <v>1</v>
      </c>
      <c r="M353" s="115" t="n">
        <f aca="false">Inputs!$D$53*(1+Inputs!$D$55)^(M$247-1)*MAX(0,MIN(1,M$246*1-Inputs!$D$56+1))/1</f>
        <v>1</v>
      </c>
      <c r="N353" s="115" t="n">
        <f aca="false">Inputs!$D$53*(1+Inputs!$D$55)^(N$247-1)*MAX(0,MIN(1,N$246*1-Inputs!$D$56+1))/1</f>
        <v>1</v>
      </c>
      <c r="O353" s="115" t="n">
        <f aca="false">Inputs!$D$53*(1+Inputs!$D$55)^(O$247-1)*MAX(0,MIN(1,O$246*1-Inputs!$D$56+1))/1</f>
        <v>1</v>
      </c>
      <c r="P353" s="115" t="n">
        <f aca="false">Inputs!$D$53*(1+Inputs!$D$55)^(P$247-1)*MAX(0,MIN(1,P$246*1-Inputs!$D$56+1))/1</f>
        <v>1</v>
      </c>
      <c r="Q353" s="115" t="n">
        <f aca="false">Inputs!$D$53*(1+Inputs!$D$55)^(Q$247-1)*MAX(0,MIN(1,Q$246*1-Inputs!$D$56+1))/1</f>
        <v>1</v>
      </c>
      <c r="R353" s="115" t="n">
        <f aca="false">Inputs!$D$53*(1+Inputs!$D$55)^(R$247-1)*MAX(0,MIN(1,R$246*1-Inputs!$D$56+1))/1</f>
        <v>1</v>
      </c>
      <c r="S353" s="115" t="n">
        <f aca="false">Inputs!$D$53*(1+Inputs!$D$55)^(S$247-1)*MAX(0,MIN(1,S$246*1-Inputs!$D$56+1))/1</f>
        <v>1</v>
      </c>
      <c r="T353" s="115" t="n">
        <f aca="false">Inputs!$D$53*(1+Inputs!$D$55)^(T$247-1)*MAX(0,MIN(1,T$246*1-Inputs!$D$56+1))/1</f>
        <v>1</v>
      </c>
      <c r="U353" s="115" t="n">
        <f aca="false">Inputs!$D$53*(1+Inputs!$D$55)^(U$247-1)*MAX(0,MIN(1,U$246*1-Inputs!$D$56+1))/1</f>
        <v>1</v>
      </c>
      <c r="V353" s="115" t="n">
        <f aca="false">Inputs!$D$53*(1+Inputs!$D$55)^(V$247-1)*MAX(0,MIN(1,V$246*1-Inputs!$D$56+1))/1</f>
        <v>1</v>
      </c>
      <c r="W353" s="115" t="n">
        <f aca="false">Inputs!$D$53*(1+Inputs!$D$55)^(W$247-1)*MAX(0,MIN(1,W$246*1-Inputs!$D$56+1))/1</f>
        <v>1</v>
      </c>
      <c r="X353" s="115" t="n">
        <f aca="false">Inputs!$D$53*(1+Inputs!$D$55)^(X$247-1)*MAX(0,MIN(1,X$246*1-Inputs!$D$56+1))/1</f>
        <v>1</v>
      </c>
      <c r="Y353" s="115" t="n">
        <f aca="false">Inputs!$D$53*(1+Inputs!$D$55)^(Y$247-1)*MAX(0,MIN(1,Y$246*1-Inputs!$D$56+1))/1</f>
        <v>1</v>
      </c>
      <c r="Z353" s="115" t="n">
        <f aca="false">Inputs!$D$53*(1+Inputs!$D$55)^(Z$247-1)*MAX(0,MIN(1,Z$246*1-Inputs!$D$56+1))/1</f>
        <v>1</v>
      </c>
      <c r="AA353" s="115" t="n">
        <f aca="false">Inputs!$D$53*(1+Inputs!$D$55)^(AA$247-1)*MAX(0,MIN(1,AA$246*1-Inputs!$D$56+1))/1</f>
        <v>1</v>
      </c>
      <c r="AB353" s="115" t="n">
        <f aca="false">Inputs!$D$53*(1+Inputs!$D$55)^(AB$247-1)*MAX(0,MIN(1,AB$246*1-Inputs!$D$56+1))/1</f>
        <v>1</v>
      </c>
      <c r="AC353" s="115" t="n">
        <f aca="false">Inputs!$D$53*(1+Inputs!$D$55)^(AC$247-1)*MAX(0,MIN(1,AC$246*1-Inputs!$D$56+1))/1</f>
        <v>1</v>
      </c>
      <c r="AD353" s="115" t="n">
        <f aca="false">Inputs!$D$53*(1+Inputs!$D$55)^(AD$247-1)*MAX(0,MIN(1,AD$246*1-Inputs!$D$56+1))/1</f>
        <v>1</v>
      </c>
      <c r="AE353" s="115" t="n">
        <f aca="false">Inputs!$D$53*(1+Inputs!$D$55)^(AE$247-1)*MAX(0,MIN(1,AE$246*1-Inputs!$D$56+1))/1</f>
        <v>1</v>
      </c>
      <c r="AF353" s="115" t="n">
        <f aca="false">Inputs!$D$53*(1+Inputs!$D$55)^(AF$247-1)*MAX(0,MIN(1,AF$246*1-Inputs!$D$56+1))/1</f>
        <v>1</v>
      </c>
      <c r="AG353" s="115" t="n">
        <f aca="false">Inputs!$D$53*(1+Inputs!$D$55)^(AG$247-1)*MAX(0,MIN(1,AG$246*1-Inputs!$D$56+1))/1</f>
        <v>1</v>
      </c>
      <c r="AH353" s="115" t="n">
        <f aca="false">Inputs!$D$53*(1+Inputs!$D$55)^(AH$247-1)*MAX(0,MIN(1,AH$246*1-Inputs!$D$56+1))/1</f>
        <v>1</v>
      </c>
      <c r="AI353" s="115" t="n">
        <f aca="false">Inputs!$D$53*(1+Inputs!$D$55)^(AI$247-1)*MAX(0,MIN(1,AI$246*1-Inputs!$D$56+1))/1</f>
        <v>1</v>
      </c>
      <c r="AJ353" s="115" t="n">
        <f aca="false">Inputs!$D$53*(1+Inputs!$D$55)^(AJ$247-1)*MAX(0,MIN(1,AJ$246*1-Inputs!$D$56+1))/1</f>
        <v>1</v>
      </c>
      <c r="AK353" s="115" t="n">
        <f aca="false">Inputs!$D$53*(1+Inputs!$D$55)^(AK$247-1)*MAX(0,MIN(1,AK$246*1-Inputs!$D$56+1))/1</f>
        <v>1</v>
      </c>
      <c r="AL353" s="115" t="n">
        <f aca="false">Inputs!$D$53*(1+Inputs!$D$55)^(AL$247-1)*MAX(0,MIN(1,AL$246*1-Inputs!$D$56+1))/1</f>
        <v>1</v>
      </c>
      <c r="AM353" s="115" t="n">
        <f aca="false">Inputs!$D$53*(1+Inputs!$D$55)^(AM$247-1)*MAX(0,MIN(1,AM$246*1-Inputs!$D$56+1))/1</f>
        <v>1</v>
      </c>
      <c r="AN353" s="115" t="n">
        <f aca="false">Inputs!$D$53*(1+Inputs!$D$55)^(AN$247-1)*MAX(0,MIN(1,AN$246*1-Inputs!$D$56+1))/1</f>
        <v>1</v>
      </c>
      <c r="AO353" s="115" t="n">
        <f aca="false">Inputs!$D$53*(1+Inputs!$D$55)^(AO$247-1)*MAX(0,MIN(1,AO$246*1-Inputs!$D$56+1))/1</f>
        <v>1</v>
      </c>
      <c r="AP353" s="115" t="n">
        <f aca="false">Inputs!$D$53*(1+Inputs!$D$55)^(AP$247-1)*MAX(0,MIN(1,AP$246*1-Inputs!$D$56+1))/1</f>
        <v>1</v>
      </c>
      <c r="AQ353" s="115" t="n">
        <f aca="false">Inputs!$D$53*(1+Inputs!$D$55)^(AQ$247-1)*MAX(0,MIN(1,AQ$246*1-Inputs!$D$56+1))/1</f>
        <v>1</v>
      </c>
      <c r="AR353" s="115" t="n">
        <f aca="false">Inputs!$D$53*(1+Inputs!$D$55)^(AR$247-1)*MAX(0,MIN(1,AR$246*1-Inputs!$D$56+1))/1</f>
        <v>1</v>
      </c>
      <c r="AS353" s="115" t="n">
        <f aca="false">Inputs!$D$53*(1+Inputs!$D$55)^(AS$247-1)*MAX(0,MIN(1,AS$246*1-Inputs!$D$56+1))/1</f>
        <v>1</v>
      </c>
      <c r="AT353" s="115" t="n">
        <f aca="false">Inputs!$D$53*(1+Inputs!$D$55)^(AT$247-1)*MAX(0,MIN(1,AT$246*1-Inputs!$D$56+1))/1</f>
        <v>1</v>
      </c>
      <c r="AU353" s="115" t="n">
        <f aca="false">Inputs!$D$53*(1+Inputs!$D$55)^(AU$247-1)*MAX(0,MIN(1,AU$246*1-Inputs!$D$56+1))/1</f>
        <v>1</v>
      </c>
      <c r="AV353" s="115" t="n">
        <f aca="false">Inputs!$D$53*(1+Inputs!$D$55)^(AV$247-1)*MAX(0,MIN(1,AV$246*1-Inputs!$D$56+1))/1</f>
        <v>1</v>
      </c>
      <c r="AW353" s="115" t="n">
        <f aca="false">Inputs!$D$53*(1+Inputs!$D$55)^(AW$247-1)*MAX(0,MIN(1,AW$246*1-Inputs!$D$56+1))/1</f>
        <v>1</v>
      </c>
      <c r="AX353" s="115" t="n">
        <f aca="false">Inputs!$D$53*(1+Inputs!$D$55)^(AX$247-1)*MAX(0,MIN(1,AX$246*1-Inputs!$D$56+1))/1</f>
        <v>1</v>
      </c>
      <c r="AY353" s="115" t="n">
        <f aca="false">Inputs!$D$53*(1+Inputs!$D$55)^(AY$247-1)*MAX(0,MIN(1,AY$246*1-Inputs!$D$56+1))/1</f>
        <v>1</v>
      </c>
      <c r="AZ353" s="115" t="n">
        <f aca="false">Inputs!$D$53*(1+Inputs!$D$55)^(AZ$247-1)*MAX(0,MIN(1,AZ$246*1-Inputs!$D$56+1))/1</f>
        <v>1</v>
      </c>
      <c r="BA353" s="115" t="n">
        <f aca="false">Inputs!$D$53*(1+Inputs!$D$55)^(BA$247-1)*MAX(0,MIN(1,BA$246*1-Inputs!$D$56+1))/1</f>
        <v>1</v>
      </c>
      <c r="BB353" s="115" t="n">
        <f aca="false">Inputs!$D$53*(1+Inputs!$D$55)^(BB$247-1)*MAX(0,MIN(1,BB$246*1-Inputs!$D$56+1))/1</f>
        <v>1</v>
      </c>
      <c r="BC353" s="115" t="n">
        <f aca="false">Inputs!$D$53*(1+Inputs!$D$55)^(BC$247-1)*MAX(0,MIN(1,BC$246*1-Inputs!$D$56+1))/1</f>
        <v>1</v>
      </c>
      <c r="BD353" s="115" t="n">
        <f aca="false">Inputs!$D$53*(1+Inputs!$D$55)^(BD$247-1)*MAX(0,MIN(1,BD$246*1-Inputs!$D$56+1))/1</f>
        <v>1</v>
      </c>
      <c r="BE353" s="115" t="n">
        <f aca="false">Inputs!$D$53*(1+Inputs!$D$55)^(BE$247-1)*MAX(0,MIN(1,BE$246*1-Inputs!$D$56+1))/1</f>
        <v>1</v>
      </c>
      <c r="BF353" s="115" t="n">
        <f aca="false">Inputs!$D$53*(1+Inputs!$D$55)^(BF$247-1)*MAX(0,MIN(1,BF$246*1-Inputs!$D$56+1))/1</f>
        <v>1</v>
      </c>
      <c r="BG353" s="115" t="n">
        <f aca="false">Inputs!$D$53*(1+Inputs!$D$55)^(BG$247-1)*MAX(0,MIN(1,BG$246*1-Inputs!$D$56+1))/1</f>
        <v>1</v>
      </c>
      <c r="BH353" s="115" t="n">
        <f aca="false">Inputs!$D$53*(1+Inputs!$D$55)^(BH$247-1)*MAX(0,MIN(1,BH$246*1-Inputs!$D$56+1))/1</f>
        <v>1</v>
      </c>
      <c r="BI353" s="115" t="n">
        <f aca="false">Inputs!$D$53*(1+Inputs!$D$55)^(BI$247-1)*MAX(0,MIN(1,BI$246*1-Inputs!$D$56+1))/1</f>
        <v>1</v>
      </c>
      <c r="BJ353" s="115" t="n">
        <f aca="false">Inputs!$D$53*(1+Inputs!$D$55)^(BJ$247-1)*MAX(0,MIN(1,BJ$246*1-Inputs!$D$56+1))/1</f>
        <v>1</v>
      </c>
    </row>
    <row r="354" customFormat="false" ht="15" hidden="false" customHeight="false" outlineLevel="0" collapsed="false">
      <c r="A354" s="6" t="s">
        <v>454</v>
      </c>
      <c r="C354" s="115" t="n">
        <f aca="false">Inputs!$D$57*(1+Inputs!$D$59)^(C$247-1)*MAX(0,MIN(1,C$246*1-Inputs!$D$60+1))/1</f>
        <v>0.6</v>
      </c>
      <c r="D354" s="115" t="n">
        <f aca="false">Inputs!$D$57*(1+Inputs!$D$59)^(D$247-1)*MAX(0,MIN(1,D$246*1-Inputs!$D$60+1))/1</f>
        <v>0.6</v>
      </c>
      <c r="E354" s="115" t="n">
        <f aca="false">Inputs!$D$57*(1+Inputs!$D$59)^(E$247-1)*MAX(0,MIN(1,E$246*1-Inputs!$D$60+1))/1</f>
        <v>0.6</v>
      </c>
      <c r="F354" s="115" t="n">
        <f aca="false">Inputs!$D$57*(1+Inputs!$D$59)^(F$247-1)*MAX(0,MIN(1,F$246*1-Inputs!$D$60+1))/1</f>
        <v>0.6</v>
      </c>
      <c r="G354" s="115" t="n">
        <f aca="false">Inputs!$D$57*(1+Inputs!$D$59)^(G$247-1)*MAX(0,MIN(1,G$246*1-Inputs!$D$60+1))/1</f>
        <v>0.6</v>
      </c>
      <c r="H354" s="115" t="n">
        <f aca="false">Inputs!$D$57*(1+Inputs!$D$59)^(H$247-1)*MAX(0,MIN(1,H$246*1-Inputs!$D$60+1))/1</f>
        <v>0.6</v>
      </c>
      <c r="I354" s="115" t="n">
        <f aca="false">Inputs!$D$57*(1+Inputs!$D$59)^(I$247-1)*MAX(0,MIN(1,I$246*1-Inputs!$D$60+1))/1</f>
        <v>0.6</v>
      </c>
      <c r="J354" s="115" t="n">
        <f aca="false">Inputs!$D$57*(1+Inputs!$D$59)^(J$247-1)*MAX(0,MIN(1,J$246*1-Inputs!$D$60+1))/1</f>
        <v>0.6</v>
      </c>
      <c r="K354" s="115" t="n">
        <f aca="false">Inputs!$D$57*(1+Inputs!$D$59)^(K$247-1)*MAX(0,MIN(1,K$246*1-Inputs!$D$60+1))/1</f>
        <v>0.6</v>
      </c>
      <c r="L354" s="115" t="n">
        <f aca="false">Inputs!$D$57*(1+Inputs!$D$59)^(L$247-1)*MAX(0,MIN(1,L$246*1-Inputs!$D$60+1))/1</f>
        <v>0.6</v>
      </c>
      <c r="M354" s="115" t="n">
        <f aca="false">Inputs!$D$57*(1+Inputs!$D$59)^(M$247-1)*MAX(0,MIN(1,M$246*1-Inputs!$D$60+1))/1</f>
        <v>0.6</v>
      </c>
      <c r="N354" s="115" t="n">
        <f aca="false">Inputs!$D$57*(1+Inputs!$D$59)^(N$247-1)*MAX(0,MIN(1,N$246*1-Inputs!$D$60+1))/1</f>
        <v>0.6</v>
      </c>
      <c r="O354" s="115" t="n">
        <f aca="false">Inputs!$D$57*(1+Inputs!$D$59)^(O$247-1)*MAX(0,MIN(1,O$246*1-Inputs!$D$60+1))/1</f>
        <v>0.6</v>
      </c>
      <c r="P354" s="115" t="n">
        <f aca="false">Inputs!$D$57*(1+Inputs!$D$59)^(P$247-1)*MAX(0,MIN(1,P$246*1-Inputs!$D$60+1))/1</f>
        <v>0.6</v>
      </c>
      <c r="Q354" s="115" t="n">
        <f aca="false">Inputs!$D$57*(1+Inputs!$D$59)^(Q$247-1)*MAX(0,MIN(1,Q$246*1-Inputs!$D$60+1))/1</f>
        <v>0.6</v>
      </c>
      <c r="R354" s="115" t="n">
        <f aca="false">Inputs!$D$57*(1+Inputs!$D$59)^(R$247-1)*MAX(0,MIN(1,R$246*1-Inputs!$D$60+1))/1</f>
        <v>0.6</v>
      </c>
      <c r="S354" s="115" t="n">
        <f aca="false">Inputs!$D$57*(1+Inputs!$D$59)^(S$247-1)*MAX(0,MIN(1,S$246*1-Inputs!$D$60+1))/1</f>
        <v>0.6</v>
      </c>
      <c r="T354" s="115" t="n">
        <f aca="false">Inputs!$D$57*(1+Inputs!$D$59)^(T$247-1)*MAX(0,MIN(1,T$246*1-Inputs!$D$60+1))/1</f>
        <v>0.6</v>
      </c>
      <c r="U354" s="115" t="n">
        <f aca="false">Inputs!$D$57*(1+Inputs!$D$59)^(U$247-1)*MAX(0,MIN(1,U$246*1-Inputs!$D$60+1))/1</f>
        <v>0.6</v>
      </c>
      <c r="V354" s="115" t="n">
        <f aca="false">Inputs!$D$57*(1+Inputs!$D$59)^(V$247-1)*MAX(0,MIN(1,V$246*1-Inputs!$D$60+1))/1</f>
        <v>0.6</v>
      </c>
      <c r="W354" s="115" t="n">
        <f aca="false">Inputs!$D$57*(1+Inputs!$D$59)^(W$247-1)*MAX(0,MIN(1,W$246*1-Inputs!$D$60+1))/1</f>
        <v>0.6</v>
      </c>
      <c r="X354" s="115" t="n">
        <f aca="false">Inputs!$D$57*(1+Inputs!$D$59)^(X$247-1)*MAX(0,MIN(1,X$246*1-Inputs!$D$60+1))/1</f>
        <v>0.6</v>
      </c>
      <c r="Y354" s="115" t="n">
        <f aca="false">Inputs!$D$57*(1+Inputs!$D$59)^(Y$247-1)*MAX(0,MIN(1,Y$246*1-Inputs!$D$60+1))/1</f>
        <v>0.6</v>
      </c>
      <c r="Z354" s="115" t="n">
        <f aca="false">Inputs!$D$57*(1+Inputs!$D$59)^(Z$247-1)*MAX(0,MIN(1,Z$246*1-Inputs!$D$60+1))/1</f>
        <v>0.6</v>
      </c>
      <c r="AA354" s="115" t="n">
        <f aca="false">Inputs!$D$57*(1+Inputs!$D$59)^(AA$247-1)*MAX(0,MIN(1,AA$246*1-Inputs!$D$60+1))/1</f>
        <v>0.6</v>
      </c>
      <c r="AB354" s="115" t="n">
        <f aca="false">Inputs!$D$57*(1+Inputs!$D$59)^(AB$247-1)*MAX(0,MIN(1,AB$246*1-Inputs!$D$60+1))/1</f>
        <v>0.6</v>
      </c>
      <c r="AC354" s="115" t="n">
        <f aca="false">Inputs!$D$57*(1+Inputs!$D$59)^(AC$247-1)*MAX(0,MIN(1,AC$246*1-Inputs!$D$60+1))/1</f>
        <v>0.6</v>
      </c>
      <c r="AD354" s="115" t="n">
        <f aca="false">Inputs!$D$57*(1+Inputs!$D$59)^(AD$247-1)*MAX(0,MIN(1,AD$246*1-Inputs!$D$60+1))/1</f>
        <v>0.6</v>
      </c>
      <c r="AE354" s="115" t="n">
        <f aca="false">Inputs!$D$57*(1+Inputs!$D$59)^(AE$247-1)*MAX(0,MIN(1,AE$246*1-Inputs!$D$60+1))/1</f>
        <v>0.6</v>
      </c>
      <c r="AF354" s="115" t="n">
        <f aca="false">Inputs!$D$57*(1+Inputs!$D$59)^(AF$247-1)*MAX(0,MIN(1,AF$246*1-Inputs!$D$60+1))/1</f>
        <v>0.6</v>
      </c>
      <c r="AG354" s="115" t="n">
        <f aca="false">Inputs!$D$57*(1+Inputs!$D$59)^(AG$247-1)*MAX(0,MIN(1,AG$246*1-Inputs!$D$60+1))/1</f>
        <v>0.6</v>
      </c>
      <c r="AH354" s="115" t="n">
        <f aca="false">Inputs!$D$57*(1+Inputs!$D$59)^(AH$247-1)*MAX(0,MIN(1,AH$246*1-Inputs!$D$60+1))/1</f>
        <v>0.6</v>
      </c>
      <c r="AI354" s="115" t="n">
        <f aca="false">Inputs!$D$57*(1+Inputs!$D$59)^(AI$247-1)*MAX(0,MIN(1,AI$246*1-Inputs!$D$60+1))/1</f>
        <v>0.6</v>
      </c>
      <c r="AJ354" s="115" t="n">
        <f aca="false">Inputs!$D$57*(1+Inputs!$D$59)^(AJ$247-1)*MAX(0,MIN(1,AJ$246*1-Inputs!$D$60+1))/1</f>
        <v>0.6</v>
      </c>
      <c r="AK354" s="115" t="n">
        <f aca="false">Inputs!$D$57*(1+Inputs!$D$59)^(AK$247-1)*MAX(0,MIN(1,AK$246*1-Inputs!$D$60+1))/1</f>
        <v>0.6</v>
      </c>
      <c r="AL354" s="115" t="n">
        <f aca="false">Inputs!$D$57*(1+Inputs!$D$59)^(AL$247-1)*MAX(0,MIN(1,AL$246*1-Inputs!$D$60+1))/1</f>
        <v>0.6</v>
      </c>
      <c r="AM354" s="115" t="n">
        <f aca="false">Inputs!$D$57*(1+Inputs!$D$59)^(AM$247-1)*MAX(0,MIN(1,AM$246*1-Inputs!$D$60+1))/1</f>
        <v>0.6</v>
      </c>
      <c r="AN354" s="115" t="n">
        <f aca="false">Inputs!$D$57*(1+Inputs!$D$59)^(AN$247-1)*MAX(0,MIN(1,AN$246*1-Inputs!$D$60+1))/1</f>
        <v>0.6</v>
      </c>
      <c r="AO354" s="115" t="n">
        <f aca="false">Inputs!$D$57*(1+Inputs!$D$59)^(AO$247-1)*MAX(0,MIN(1,AO$246*1-Inputs!$D$60+1))/1</f>
        <v>0.6</v>
      </c>
      <c r="AP354" s="115" t="n">
        <f aca="false">Inputs!$D$57*(1+Inputs!$D$59)^(AP$247-1)*MAX(0,MIN(1,AP$246*1-Inputs!$D$60+1))/1</f>
        <v>0.6</v>
      </c>
      <c r="AQ354" s="115" t="n">
        <f aca="false">Inputs!$D$57*(1+Inputs!$D$59)^(AQ$247-1)*MAX(0,MIN(1,AQ$246*1-Inputs!$D$60+1))/1</f>
        <v>0.6</v>
      </c>
      <c r="AR354" s="115" t="n">
        <f aca="false">Inputs!$D$57*(1+Inputs!$D$59)^(AR$247-1)*MAX(0,MIN(1,AR$246*1-Inputs!$D$60+1))/1</f>
        <v>0.6</v>
      </c>
      <c r="AS354" s="115" t="n">
        <f aca="false">Inputs!$D$57*(1+Inputs!$D$59)^(AS$247-1)*MAX(0,MIN(1,AS$246*1-Inputs!$D$60+1))/1</f>
        <v>0.6</v>
      </c>
      <c r="AT354" s="115" t="n">
        <f aca="false">Inputs!$D$57*(1+Inputs!$D$59)^(AT$247-1)*MAX(0,MIN(1,AT$246*1-Inputs!$D$60+1))/1</f>
        <v>0.6</v>
      </c>
      <c r="AU354" s="115" t="n">
        <f aca="false">Inputs!$D$57*(1+Inputs!$D$59)^(AU$247-1)*MAX(0,MIN(1,AU$246*1-Inputs!$D$60+1))/1</f>
        <v>0.6</v>
      </c>
      <c r="AV354" s="115" t="n">
        <f aca="false">Inputs!$D$57*(1+Inputs!$D$59)^(AV$247-1)*MAX(0,MIN(1,AV$246*1-Inputs!$D$60+1))/1</f>
        <v>0.6</v>
      </c>
      <c r="AW354" s="115" t="n">
        <f aca="false">Inputs!$D$57*(1+Inputs!$D$59)^(AW$247-1)*MAX(0,MIN(1,AW$246*1-Inputs!$D$60+1))/1</f>
        <v>0.6</v>
      </c>
      <c r="AX354" s="115" t="n">
        <f aca="false">Inputs!$D$57*(1+Inputs!$D$59)^(AX$247-1)*MAX(0,MIN(1,AX$246*1-Inputs!$D$60+1))/1</f>
        <v>0.6</v>
      </c>
      <c r="AY354" s="115" t="n">
        <f aca="false">Inputs!$D$57*(1+Inputs!$D$59)^(AY$247-1)*MAX(0,MIN(1,AY$246*1-Inputs!$D$60+1))/1</f>
        <v>0.6</v>
      </c>
      <c r="AZ354" s="115" t="n">
        <f aca="false">Inputs!$D$57*(1+Inputs!$D$59)^(AZ$247-1)*MAX(0,MIN(1,AZ$246*1-Inputs!$D$60+1))/1</f>
        <v>0.6</v>
      </c>
      <c r="BA354" s="115" t="n">
        <f aca="false">Inputs!$D$57*(1+Inputs!$D$59)^(BA$247-1)*MAX(0,MIN(1,BA$246*1-Inputs!$D$60+1))/1</f>
        <v>0.6</v>
      </c>
      <c r="BB354" s="115" t="n">
        <f aca="false">Inputs!$D$57*(1+Inputs!$D$59)^(BB$247-1)*MAX(0,MIN(1,BB$246*1-Inputs!$D$60+1))/1</f>
        <v>0.6</v>
      </c>
      <c r="BC354" s="115" t="n">
        <f aca="false">Inputs!$D$57*(1+Inputs!$D$59)^(BC$247-1)*MAX(0,MIN(1,BC$246*1-Inputs!$D$60+1))/1</f>
        <v>0.6</v>
      </c>
      <c r="BD354" s="115" t="n">
        <f aca="false">Inputs!$D$57*(1+Inputs!$D$59)^(BD$247-1)*MAX(0,MIN(1,BD$246*1-Inputs!$D$60+1))/1</f>
        <v>0.6</v>
      </c>
      <c r="BE354" s="115" t="n">
        <f aca="false">Inputs!$D$57*(1+Inputs!$D$59)^(BE$247-1)*MAX(0,MIN(1,BE$246*1-Inputs!$D$60+1))/1</f>
        <v>0.6</v>
      </c>
      <c r="BF354" s="115" t="n">
        <f aca="false">Inputs!$D$57*(1+Inputs!$D$59)^(BF$247-1)*MAX(0,MIN(1,BF$246*1-Inputs!$D$60+1))/1</f>
        <v>0.6</v>
      </c>
      <c r="BG354" s="115" t="n">
        <f aca="false">Inputs!$D$57*(1+Inputs!$D$59)^(BG$247-1)*MAX(0,MIN(1,BG$246*1-Inputs!$D$60+1))/1</f>
        <v>0.6</v>
      </c>
      <c r="BH354" s="115" t="n">
        <f aca="false">Inputs!$D$57*(1+Inputs!$D$59)^(BH$247-1)*MAX(0,MIN(1,BH$246*1-Inputs!$D$60+1))/1</f>
        <v>0.6</v>
      </c>
      <c r="BI354" s="115" t="n">
        <f aca="false">Inputs!$D$57*(1+Inputs!$D$59)^(BI$247-1)*MAX(0,MIN(1,BI$246*1-Inputs!$D$60+1))/1</f>
        <v>0.6</v>
      </c>
      <c r="BJ354" s="115" t="n">
        <f aca="false">Inputs!$D$57*(1+Inputs!$D$59)^(BJ$247-1)*MAX(0,MIN(1,BJ$246*1-Inputs!$D$60+1))/1</f>
        <v>0.6</v>
      </c>
    </row>
    <row r="355" customFormat="false" ht="15" hidden="false" customHeight="false" outlineLevel="0" collapsed="false">
      <c r="A355" s="111" t="s">
        <v>455</v>
      </c>
      <c r="C355" s="119" t="n">
        <f aca="false">C352+C353+C354</f>
        <v>3.1</v>
      </c>
      <c r="D355" s="119" t="n">
        <f aca="false">D352+D353+D354</f>
        <v>3.1</v>
      </c>
      <c r="E355" s="119" t="n">
        <f aca="false">E352+E353+E354</f>
        <v>3.1</v>
      </c>
      <c r="F355" s="119" t="n">
        <f aca="false">F352+F353+F354</f>
        <v>3.1</v>
      </c>
      <c r="G355" s="119" t="n">
        <f aca="false">G352+G353+G354</f>
        <v>3.1</v>
      </c>
      <c r="H355" s="119" t="n">
        <f aca="false">H352+H353+H354</f>
        <v>3.1</v>
      </c>
      <c r="I355" s="119" t="n">
        <f aca="false">I352+I353+I354</f>
        <v>3.1</v>
      </c>
      <c r="J355" s="119" t="n">
        <f aca="false">J352+J353+J354</f>
        <v>3.1</v>
      </c>
      <c r="K355" s="119" t="n">
        <f aca="false">K352+K353+K354</f>
        <v>3.1</v>
      </c>
      <c r="L355" s="119" t="n">
        <f aca="false">L352+L353+L354</f>
        <v>3.1</v>
      </c>
      <c r="M355" s="119" t="n">
        <f aca="false">M352+M353+M354</f>
        <v>3.1</v>
      </c>
      <c r="N355" s="119" t="n">
        <f aca="false">N352+N353+N354</f>
        <v>3.1</v>
      </c>
      <c r="O355" s="119" t="n">
        <f aca="false">O352+O353+O354</f>
        <v>3.1</v>
      </c>
      <c r="P355" s="119" t="n">
        <f aca="false">P352+P353+P354</f>
        <v>3.1</v>
      </c>
      <c r="Q355" s="119" t="n">
        <f aca="false">Q352+Q353+Q354</f>
        <v>3.1</v>
      </c>
      <c r="R355" s="119" t="n">
        <f aca="false">R352+R353+R354</f>
        <v>3.1</v>
      </c>
      <c r="S355" s="119" t="n">
        <f aca="false">S352+S353+S354</f>
        <v>3.1</v>
      </c>
      <c r="T355" s="119" t="n">
        <f aca="false">T352+T353+T354</f>
        <v>3.1</v>
      </c>
      <c r="U355" s="119" t="n">
        <f aca="false">U352+U353+U354</f>
        <v>3.1</v>
      </c>
      <c r="V355" s="119" t="n">
        <f aca="false">V352+V353+V354</f>
        <v>3.1</v>
      </c>
      <c r="W355" s="119" t="n">
        <f aca="false">W352+W353+W354</f>
        <v>3.1</v>
      </c>
      <c r="X355" s="119" t="n">
        <f aca="false">X352+X353+X354</f>
        <v>3.1</v>
      </c>
      <c r="Y355" s="119" t="n">
        <f aca="false">Y352+Y353+Y354</f>
        <v>3.1</v>
      </c>
      <c r="Z355" s="119" t="n">
        <f aca="false">Z352+Z353+Z354</f>
        <v>3.1</v>
      </c>
      <c r="AA355" s="119" t="n">
        <f aca="false">AA352+AA353+AA354</f>
        <v>3.1</v>
      </c>
      <c r="AB355" s="119" t="n">
        <f aca="false">AB352+AB353+AB354</f>
        <v>3.1</v>
      </c>
      <c r="AC355" s="119" t="n">
        <f aca="false">AC352+AC353+AC354</f>
        <v>3.1</v>
      </c>
      <c r="AD355" s="119" t="n">
        <f aca="false">AD352+AD353+AD354</f>
        <v>3.1</v>
      </c>
      <c r="AE355" s="119" t="n">
        <f aca="false">AE352+AE353+AE354</f>
        <v>3.1</v>
      </c>
      <c r="AF355" s="119" t="n">
        <f aca="false">AF352+AF353+AF354</f>
        <v>3.1</v>
      </c>
      <c r="AG355" s="119" t="n">
        <f aca="false">AG352+AG353+AG354</f>
        <v>3.1</v>
      </c>
      <c r="AH355" s="119" t="n">
        <f aca="false">AH352+AH353+AH354</f>
        <v>3.1</v>
      </c>
      <c r="AI355" s="119" t="n">
        <f aca="false">AI352+AI353+AI354</f>
        <v>3.1</v>
      </c>
      <c r="AJ355" s="119" t="n">
        <f aca="false">AJ352+AJ353+AJ354</f>
        <v>3.1</v>
      </c>
      <c r="AK355" s="119" t="n">
        <f aca="false">AK352+AK353+AK354</f>
        <v>3.1</v>
      </c>
      <c r="AL355" s="119" t="n">
        <f aca="false">AL352+AL353+AL354</f>
        <v>3.1</v>
      </c>
      <c r="AM355" s="119" t="n">
        <f aca="false">AM352+AM353+AM354</f>
        <v>3.1</v>
      </c>
      <c r="AN355" s="119" t="n">
        <f aca="false">AN352+AN353+AN354</f>
        <v>3.1</v>
      </c>
      <c r="AO355" s="119" t="n">
        <f aca="false">AO352+AO353+AO354</f>
        <v>3.1</v>
      </c>
      <c r="AP355" s="119" t="n">
        <f aca="false">AP352+AP353+AP354</f>
        <v>3.1</v>
      </c>
      <c r="AQ355" s="119" t="n">
        <f aca="false">AQ352+AQ353+AQ354</f>
        <v>3.1</v>
      </c>
      <c r="AR355" s="119" t="n">
        <f aca="false">AR352+AR353+AR354</f>
        <v>3.1</v>
      </c>
      <c r="AS355" s="119" t="n">
        <f aca="false">AS352+AS353+AS354</f>
        <v>3.1</v>
      </c>
      <c r="AT355" s="119" t="n">
        <f aca="false">AT352+AT353+AT354</f>
        <v>3.1</v>
      </c>
      <c r="AU355" s="119" t="n">
        <f aca="false">AU352+AU353+AU354</f>
        <v>3.1</v>
      </c>
      <c r="AV355" s="119" t="n">
        <f aca="false">AV352+AV353+AV354</f>
        <v>3.1</v>
      </c>
      <c r="AW355" s="119" t="n">
        <f aca="false">AW352+AW353+AW354</f>
        <v>3.1</v>
      </c>
      <c r="AX355" s="119" t="n">
        <f aca="false">AX352+AX353+AX354</f>
        <v>3.1</v>
      </c>
      <c r="AY355" s="119" t="n">
        <f aca="false">AY352+AY353+AY354</f>
        <v>3.1</v>
      </c>
      <c r="AZ355" s="119" t="n">
        <f aca="false">AZ352+AZ353+AZ354</f>
        <v>3.1</v>
      </c>
      <c r="BA355" s="119" t="n">
        <f aca="false">BA352+BA353+BA354</f>
        <v>3.1</v>
      </c>
      <c r="BB355" s="119" t="n">
        <f aca="false">BB352+BB353+BB354</f>
        <v>3.1</v>
      </c>
      <c r="BC355" s="119" t="n">
        <f aca="false">BC352+BC353+BC354</f>
        <v>3.1</v>
      </c>
      <c r="BD355" s="119" t="n">
        <f aca="false">BD352+BD353+BD354</f>
        <v>3.1</v>
      </c>
      <c r="BE355" s="119" t="n">
        <f aca="false">BE352+BE353+BE354</f>
        <v>3.1</v>
      </c>
      <c r="BF355" s="119" t="n">
        <f aca="false">BF352+BF353+BF354</f>
        <v>3.1</v>
      </c>
      <c r="BG355" s="119" t="n">
        <f aca="false">BG352+BG353+BG354</f>
        <v>3.1</v>
      </c>
      <c r="BH355" s="119" t="n">
        <f aca="false">BH352+BH353+BH354</f>
        <v>3.1</v>
      </c>
      <c r="BI355" s="119" t="n">
        <f aca="false">BI352+BI353+BI354</f>
        <v>3.1</v>
      </c>
      <c r="BJ355" s="119" t="n">
        <f aca="false">BJ352+BJ353+BJ354</f>
        <v>3.1</v>
      </c>
    </row>
    <row r="357" customFormat="false" ht="15.75" hidden="false" customHeight="true" outlineLevel="0" collapsed="false">
      <c r="A357" s="7" t="s">
        <v>456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customFormat="false" ht="15" hidden="false" customHeight="false" outlineLevel="0" collapsed="false">
      <c r="A358" s="6" t="s">
        <v>457</v>
      </c>
      <c r="C358" s="67" t="n">
        <f aca="false">-C352*Inputs!$D$50/12*1*(1+Inputs!$D$61)*(1+Inputs!$D$62)^(C$247-1)</f>
        <v>-4600</v>
      </c>
      <c r="D358" s="67" t="n">
        <f aca="false">-D352*Inputs!$D$50/12*1*(1+Inputs!$D$61)*(1+Inputs!$D$62)^(D$247-1)</f>
        <v>-4600</v>
      </c>
      <c r="E358" s="67" t="n">
        <f aca="false">-E352*Inputs!$D$50/12*1*(1+Inputs!$D$61)*(1+Inputs!$D$62)^(E$247-1)</f>
        <v>-4600</v>
      </c>
      <c r="F358" s="67" t="n">
        <f aca="false">-F352*Inputs!$D$50/12*1*(1+Inputs!$D$61)*(1+Inputs!$D$62)^(F$247-1)</f>
        <v>-4600</v>
      </c>
      <c r="G358" s="67" t="n">
        <f aca="false">-G352*Inputs!$D$50/12*1*(1+Inputs!$D$61)*(1+Inputs!$D$62)^(G$247-1)</f>
        <v>-4600</v>
      </c>
      <c r="H358" s="67" t="n">
        <f aca="false">-H352*Inputs!$D$50/12*1*(1+Inputs!$D$61)*(1+Inputs!$D$62)^(H$247-1)</f>
        <v>-4600</v>
      </c>
      <c r="I358" s="67" t="n">
        <f aca="false">-I352*Inputs!$D$50/12*1*(1+Inputs!$D$61)*(1+Inputs!$D$62)^(I$247-1)</f>
        <v>-4600</v>
      </c>
      <c r="J358" s="67" t="n">
        <f aca="false">-J352*Inputs!$D$50/12*1*(1+Inputs!$D$61)*(1+Inputs!$D$62)^(J$247-1)</f>
        <v>-4600</v>
      </c>
      <c r="K358" s="67" t="n">
        <f aca="false">-K352*Inputs!$D$50/12*1*(1+Inputs!$D$61)*(1+Inputs!$D$62)^(K$247-1)</f>
        <v>-4600</v>
      </c>
      <c r="L358" s="67" t="n">
        <f aca="false">-L352*Inputs!$D$50/12*1*(1+Inputs!$D$61)*(1+Inputs!$D$62)^(L$247-1)</f>
        <v>-4600</v>
      </c>
      <c r="M358" s="67" t="n">
        <f aca="false">-M352*Inputs!$D$50/12*1*(1+Inputs!$D$61)*(1+Inputs!$D$62)^(M$247-1)</f>
        <v>-4600</v>
      </c>
      <c r="N358" s="67" t="n">
        <f aca="false">-N352*Inputs!$D$50/12*1*(1+Inputs!$D$61)*(1+Inputs!$D$62)^(N$247-1)</f>
        <v>-4600</v>
      </c>
      <c r="O358" s="67" t="n">
        <f aca="false">-O352*Inputs!$D$50/12*1*(1+Inputs!$D$61)*(1+Inputs!$D$62)^(O$247-1)</f>
        <v>-4738</v>
      </c>
      <c r="P358" s="67" t="n">
        <f aca="false">-P352*Inputs!$D$50/12*1*(1+Inputs!$D$61)*(1+Inputs!$D$62)^(P$247-1)</f>
        <v>-4738</v>
      </c>
      <c r="Q358" s="67" t="n">
        <f aca="false">-Q352*Inputs!$D$50/12*1*(1+Inputs!$D$61)*(1+Inputs!$D$62)^(Q$247-1)</f>
        <v>-4738</v>
      </c>
      <c r="R358" s="67" t="n">
        <f aca="false">-R352*Inputs!$D$50/12*1*(1+Inputs!$D$61)*(1+Inputs!$D$62)^(R$247-1)</f>
        <v>-4738</v>
      </c>
      <c r="S358" s="67" t="n">
        <f aca="false">-S352*Inputs!$D$50/12*1*(1+Inputs!$D$61)*(1+Inputs!$D$62)^(S$247-1)</f>
        <v>-4738</v>
      </c>
      <c r="T358" s="67" t="n">
        <f aca="false">-T352*Inputs!$D$50/12*1*(1+Inputs!$D$61)*(1+Inputs!$D$62)^(T$247-1)</f>
        <v>-4738</v>
      </c>
      <c r="U358" s="67" t="n">
        <f aca="false">-U352*Inputs!$D$50/12*1*(1+Inputs!$D$61)*(1+Inputs!$D$62)^(U$247-1)</f>
        <v>-4738</v>
      </c>
      <c r="V358" s="67" t="n">
        <f aca="false">-V352*Inputs!$D$50/12*1*(1+Inputs!$D$61)*(1+Inputs!$D$62)^(V$247-1)</f>
        <v>-4738</v>
      </c>
      <c r="W358" s="67" t="n">
        <f aca="false">-W352*Inputs!$D$50/12*1*(1+Inputs!$D$61)*(1+Inputs!$D$62)^(W$247-1)</f>
        <v>-4738</v>
      </c>
      <c r="X358" s="67" t="n">
        <f aca="false">-X352*Inputs!$D$50/12*1*(1+Inputs!$D$61)*(1+Inputs!$D$62)^(X$247-1)</f>
        <v>-4738</v>
      </c>
      <c r="Y358" s="67" t="n">
        <f aca="false">-Y352*Inputs!$D$50/12*1*(1+Inputs!$D$61)*(1+Inputs!$D$62)^(Y$247-1)</f>
        <v>-4738</v>
      </c>
      <c r="Z358" s="67" t="n">
        <f aca="false">-Z352*Inputs!$D$50/12*1*(1+Inputs!$D$61)*(1+Inputs!$D$62)^(Z$247-1)</f>
        <v>-4738</v>
      </c>
      <c r="AA358" s="67" t="n">
        <f aca="false">-AA352*Inputs!$D$50/12*1*(1+Inputs!$D$61)*(1+Inputs!$D$62)^(AA$247-1)</f>
        <v>-4880.14</v>
      </c>
      <c r="AB358" s="67" t="n">
        <f aca="false">-AB352*Inputs!$D$50/12*1*(1+Inputs!$D$61)*(1+Inputs!$D$62)^(AB$247-1)</f>
        <v>-4880.14</v>
      </c>
      <c r="AC358" s="67" t="n">
        <f aca="false">-AC352*Inputs!$D$50/12*1*(1+Inputs!$D$61)*(1+Inputs!$D$62)^(AC$247-1)</f>
        <v>-4880.14</v>
      </c>
      <c r="AD358" s="67" t="n">
        <f aca="false">-AD352*Inputs!$D$50/12*1*(1+Inputs!$D$61)*(1+Inputs!$D$62)^(AD$247-1)</f>
        <v>-4880.14</v>
      </c>
      <c r="AE358" s="67" t="n">
        <f aca="false">-AE352*Inputs!$D$50/12*1*(1+Inputs!$D$61)*(1+Inputs!$D$62)^(AE$247-1)</f>
        <v>-4880.14</v>
      </c>
      <c r="AF358" s="67" t="n">
        <f aca="false">-AF352*Inputs!$D$50/12*1*(1+Inputs!$D$61)*(1+Inputs!$D$62)^(AF$247-1)</f>
        <v>-4880.14</v>
      </c>
      <c r="AG358" s="67" t="n">
        <f aca="false">-AG352*Inputs!$D$50/12*1*(1+Inputs!$D$61)*(1+Inputs!$D$62)^(AG$247-1)</f>
        <v>-4880.14</v>
      </c>
      <c r="AH358" s="67" t="n">
        <f aca="false">-AH352*Inputs!$D$50/12*1*(1+Inputs!$D$61)*(1+Inputs!$D$62)^(AH$247-1)</f>
        <v>-4880.14</v>
      </c>
      <c r="AI358" s="67" t="n">
        <f aca="false">-AI352*Inputs!$D$50/12*1*(1+Inputs!$D$61)*(1+Inputs!$D$62)^(AI$247-1)</f>
        <v>-4880.14</v>
      </c>
      <c r="AJ358" s="67" t="n">
        <f aca="false">-AJ352*Inputs!$D$50/12*1*(1+Inputs!$D$61)*(1+Inputs!$D$62)^(AJ$247-1)</f>
        <v>-4880.14</v>
      </c>
      <c r="AK358" s="67" t="n">
        <f aca="false">-AK352*Inputs!$D$50/12*1*(1+Inputs!$D$61)*(1+Inputs!$D$62)^(AK$247-1)</f>
        <v>-4880.14</v>
      </c>
      <c r="AL358" s="67" t="n">
        <f aca="false">-AL352*Inputs!$D$50/12*1*(1+Inputs!$D$61)*(1+Inputs!$D$62)^(AL$247-1)</f>
        <v>-4880.14</v>
      </c>
      <c r="AM358" s="67" t="n">
        <f aca="false">-AM352*Inputs!$D$50/12*1*(1+Inputs!$D$61)*(1+Inputs!$D$62)^(AM$247-1)</f>
        <v>-5026.5442</v>
      </c>
      <c r="AN358" s="67" t="n">
        <f aca="false">-AN352*Inputs!$D$50/12*1*(1+Inputs!$D$61)*(1+Inputs!$D$62)^(AN$247-1)</f>
        <v>-5026.5442</v>
      </c>
      <c r="AO358" s="67" t="n">
        <f aca="false">-AO352*Inputs!$D$50/12*1*(1+Inputs!$D$61)*(1+Inputs!$D$62)^(AO$247-1)</f>
        <v>-5026.5442</v>
      </c>
      <c r="AP358" s="67" t="n">
        <f aca="false">-AP352*Inputs!$D$50/12*1*(1+Inputs!$D$61)*(1+Inputs!$D$62)^(AP$247-1)</f>
        <v>-5026.5442</v>
      </c>
      <c r="AQ358" s="67" t="n">
        <f aca="false">-AQ352*Inputs!$D$50/12*1*(1+Inputs!$D$61)*(1+Inputs!$D$62)^(AQ$247-1)</f>
        <v>-5026.5442</v>
      </c>
      <c r="AR358" s="67" t="n">
        <f aca="false">-AR352*Inputs!$D$50/12*1*(1+Inputs!$D$61)*(1+Inputs!$D$62)^(AR$247-1)</f>
        <v>-5026.5442</v>
      </c>
      <c r="AS358" s="67" t="n">
        <f aca="false">-AS352*Inputs!$D$50/12*1*(1+Inputs!$D$61)*(1+Inputs!$D$62)^(AS$247-1)</f>
        <v>-5026.5442</v>
      </c>
      <c r="AT358" s="67" t="n">
        <f aca="false">-AT352*Inputs!$D$50/12*1*(1+Inputs!$D$61)*(1+Inputs!$D$62)^(AT$247-1)</f>
        <v>-5026.5442</v>
      </c>
      <c r="AU358" s="67" t="n">
        <f aca="false">-AU352*Inputs!$D$50/12*1*(1+Inputs!$D$61)*(1+Inputs!$D$62)^(AU$247-1)</f>
        <v>-5026.5442</v>
      </c>
      <c r="AV358" s="67" t="n">
        <f aca="false">-AV352*Inputs!$D$50/12*1*(1+Inputs!$D$61)*(1+Inputs!$D$62)^(AV$247-1)</f>
        <v>-5026.5442</v>
      </c>
      <c r="AW358" s="67" t="n">
        <f aca="false">-AW352*Inputs!$D$50/12*1*(1+Inputs!$D$61)*(1+Inputs!$D$62)^(AW$247-1)</f>
        <v>-5026.5442</v>
      </c>
      <c r="AX358" s="67" t="n">
        <f aca="false">-AX352*Inputs!$D$50/12*1*(1+Inputs!$D$61)*(1+Inputs!$D$62)^(AX$247-1)</f>
        <v>-5026.5442</v>
      </c>
      <c r="AY358" s="67" t="n">
        <f aca="false">-AY352*Inputs!$D$50/12*1*(1+Inputs!$D$61)*(1+Inputs!$D$62)^(AY$247-1)</f>
        <v>-5177.340526</v>
      </c>
      <c r="AZ358" s="67" t="n">
        <f aca="false">-AZ352*Inputs!$D$50/12*1*(1+Inputs!$D$61)*(1+Inputs!$D$62)^(AZ$247-1)</f>
        <v>-5177.340526</v>
      </c>
      <c r="BA358" s="67" t="n">
        <f aca="false">-BA352*Inputs!$D$50/12*1*(1+Inputs!$D$61)*(1+Inputs!$D$62)^(BA$247-1)</f>
        <v>-5177.340526</v>
      </c>
      <c r="BB358" s="67" t="n">
        <f aca="false">-BB352*Inputs!$D$50/12*1*(1+Inputs!$D$61)*(1+Inputs!$D$62)^(BB$247-1)</f>
        <v>-5177.340526</v>
      </c>
      <c r="BC358" s="67" t="n">
        <f aca="false">-BC352*Inputs!$D$50/12*1*(1+Inputs!$D$61)*(1+Inputs!$D$62)^(BC$247-1)</f>
        <v>-5177.340526</v>
      </c>
      <c r="BD358" s="67" t="n">
        <f aca="false">-BD352*Inputs!$D$50/12*1*(1+Inputs!$D$61)*(1+Inputs!$D$62)^(BD$247-1)</f>
        <v>-5177.340526</v>
      </c>
      <c r="BE358" s="67" t="n">
        <f aca="false">-BE352*Inputs!$D$50/12*1*(1+Inputs!$D$61)*(1+Inputs!$D$62)^(BE$247-1)</f>
        <v>-5177.340526</v>
      </c>
      <c r="BF358" s="67" t="n">
        <f aca="false">-BF352*Inputs!$D$50/12*1*(1+Inputs!$D$61)*(1+Inputs!$D$62)^(BF$247-1)</f>
        <v>-5177.340526</v>
      </c>
      <c r="BG358" s="67" t="n">
        <f aca="false">-BG352*Inputs!$D$50/12*1*(1+Inputs!$D$61)*(1+Inputs!$D$62)^(BG$247-1)</f>
        <v>-5177.340526</v>
      </c>
      <c r="BH358" s="67" t="n">
        <f aca="false">-BH352*Inputs!$D$50/12*1*(1+Inputs!$D$61)*(1+Inputs!$D$62)^(BH$247-1)</f>
        <v>-5177.340526</v>
      </c>
      <c r="BI358" s="67" t="n">
        <f aca="false">-BI352*Inputs!$D$50/12*1*(1+Inputs!$D$61)*(1+Inputs!$D$62)^(BI$247-1)</f>
        <v>-5177.340526</v>
      </c>
      <c r="BJ358" s="67" t="n">
        <f aca="false">-BJ352*Inputs!$D$50/12*1*(1+Inputs!$D$61)*(1+Inputs!$D$62)^(BJ$247-1)</f>
        <v>-5177.340526</v>
      </c>
    </row>
    <row r="359" customFormat="false" ht="15" hidden="false" customHeight="false" outlineLevel="0" collapsed="false">
      <c r="A359" s="6" t="s">
        <v>458</v>
      </c>
      <c r="C359" s="67" t="n">
        <f aca="false">-C353*Inputs!$D$54/12*1*(1+Inputs!$D$61)*(1+Inputs!$D$62)^(C$247-1)</f>
        <v>-3833.33333333333</v>
      </c>
      <c r="D359" s="67" t="n">
        <f aca="false">-D353*Inputs!$D$54/12*1*(1+Inputs!$D$61)*(1+Inputs!$D$62)^(D$247-1)</f>
        <v>-3833.33333333333</v>
      </c>
      <c r="E359" s="67" t="n">
        <f aca="false">-E353*Inputs!$D$54/12*1*(1+Inputs!$D$61)*(1+Inputs!$D$62)^(E$247-1)</f>
        <v>-3833.33333333333</v>
      </c>
      <c r="F359" s="67" t="n">
        <f aca="false">-F353*Inputs!$D$54/12*1*(1+Inputs!$D$61)*(1+Inputs!$D$62)^(F$247-1)</f>
        <v>-3833.33333333333</v>
      </c>
      <c r="G359" s="67" t="n">
        <f aca="false">-G353*Inputs!$D$54/12*1*(1+Inputs!$D$61)*(1+Inputs!$D$62)^(G$247-1)</f>
        <v>-3833.33333333333</v>
      </c>
      <c r="H359" s="67" t="n">
        <f aca="false">-H353*Inputs!$D$54/12*1*(1+Inputs!$D$61)*(1+Inputs!$D$62)^(H$247-1)</f>
        <v>-3833.33333333333</v>
      </c>
      <c r="I359" s="67" t="n">
        <f aca="false">-I353*Inputs!$D$54/12*1*(1+Inputs!$D$61)*(1+Inputs!$D$62)^(I$247-1)</f>
        <v>-3833.33333333333</v>
      </c>
      <c r="J359" s="67" t="n">
        <f aca="false">-J353*Inputs!$D$54/12*1*(1+Inputs!$D$61)*(1+Inputs!$D$62)^(J$247-1)</f>
        <v>-3833.33333333333</v>
      </c>
      <c r="K359" s="67" t="n">
        <f aca="false">-K353*Inputs!$D$54/12*1*(1+Inputs!$D$61)*(1+Inputs!$D$62)^(K$247-1)</f>
        <v>-3833.33333333333</v>
      </c>
      <c r="L359" s="67" t="n">
        <f aca="false">-L353*Inputs!$D$54/12*1*(1+Inputs!$D$61)*(1+Inputs!$D$62)^(L$247-1)</f>
        <v>-3833.33333333333</v>
      </c>
      <c r="M359" s="67" t="n">
        <f aca="false">-M353*Inputs!$D$54/12*1*(1+Inputs!$D$61)*(1+Inputs!$D$62)^(M$247-1)</f>
        <v>-3833.33333333333</v>
      </c>
      <c r="N359" s="67" t="n">
        <f aca="false">-N353*Inputs!$D$54/12*1*(1+Inputs!$D$61)*(1+Inputs!$D$62)^(N$247-1)</f>
        <v>-3833.33333333333</v>
      </c>
      <c r="O359" s="67" t="n">
        <f aca="false">-O353*Inputs!$D$54/12*1*(1+Inputs!$D$61)*(1+Inputs!$D$62)^(O$247-1)</f>
        <v>-3948.33333333333</v>
      </c>
      <c r="P359" s="67" t="n">
        <f aca="false">-P353*Inputs!$D$54/12*1*(1+Inputs!$D$61)*(1+Inputs!$D$62)^(P$247-1)</f>
        <v>-3948.33333333333</v>
      </c>
      <c r="Q359" s="67" t="n">
        <f aca="false">-Q353*Inputs!$D$54/12*1*(1+Inputs!$D$61)*(1+Inputs!$D$62)^(Q$247-1)</f>
        <v>-3948.33333333333</v>
      </c>
      <c r="R359" s="67" t="n">
        <f aca="false">-R353*Inputs!$D$54/12*1*(1+Inputs!$D$61)*(1+Inputs!$D$62)^(R$247-1)</f>
        <v>-3948.33333333333</v>
      </c>
      <c r="S359" s="67" t="n">
        <f aca="false">-S353*Inputs!$D$54/12*1*(1+Inputs!$D$61)*(1+Inputs!$D$62)^(S$247-1)</f>
        <v>-3948.33333333333</v>
      </c>
      <c r="T359" s="67" t="n">
        <f aca="false">-T353*Inputs!$D$54/12*1*(1+Inputs!$D$61)*(1+Inputs!$D$62)^(T$247-1)</f>
        <v>-3948.33333333333</v>
      </c>
      <c r="U359" s="67" t="n">
        <f aca="false">-U353*Inputs!$D$54/12*1*(1+Inputs!$D$61)*(1+Inputs!$D$62)^(U$247-1)</f>
        <v>-3948.33333333333</v>
      </c>
      <c r="V359" s="67" t="n">
        <f aca="false">-V353*Inputs!$D$54/12*1*(1+Inputs!$D$61)*(1+Inputs!$D$62)^(V$247-1)</f>
        <v>-3948.33333333333</v>
      </c>
      <c r="W359" s="67" t="n">
        <f aca="false">-W353*Inputs!$D$54/12*1*(1+Inputs!$D$61)*(1+Inputs!$D$62)^(W$247-1)</f>
        <v>-3948.33333333333</v>
      </c>
      <c r="X359" s="67" t="n">
        <f aca="false">-X353*Inputs!$D$54/12*1*(1+Inputs!$D$61)*(1+Inputs!$D$62)^(X$247-1)</f>
        <v>-3948.33333333333</v>
      </c>
      <c r="Y359" s="67" t="n">
        <f aca="false">-Y353*Inputs!$D$54/12*1*(1+Inputs!$D$61)*(1+Inputs!$D$62)^(Y$247-1)</f>
        <v>-3948.33333333333</v>
      </c>
      <c r="Z359" s="67" t="n">
        <f aca="false">-Z353*Inputs!$D$54/12*1*(1+Inputs!$D$61)*(1+Inputs!$D$62)^(Z$247-1)</f>
        <v>-3948.33333333333</v>
      </c>
      <c r="AA359" s="67" t="n">
        <f aca="false">-AA353*Inputs!$D$54/12*1*(1+Inputs!$D$61)*(1+Inputs!$D$62)^(AA$247-1)</f>
        <v>-4066.78333333333</v>
      </c>
      <c r="AB359" s="67" t="n">
        <f aca="false">-AB353*Inputs!$D$54/12*1*(1+Inputs!$D$61)*(1+Inputs!$D$62)^(AB$247-1)</f>
        <v>-4066.78333333333</v>
      </c>
      <c r="AC359" s="67" t="n">
        <f aca="false">-AC353*Inputs!$D$54/12*1*(1+Inputs!$D$61)*(1+Inputs!$D$62)^(AC$247-1)</f>
        <v>-4066.78333333333</v>
      </c>
      <c r="AD359" s="67" t="n">
        <f aca="false">-AD353*Inputs!$D$54/12*1*(1+Inputs!$D$61)*(1+Inputs!$D$62)^(AD$247-1)</f>
        <v>-4066.78333333333</v>
      </c>
      <c r="AE359" s="67" t="n">
        <f aca="false">-AE353*Inputs!$D$54/12*1*(1+Inputs!$D$61)*(1+Inputs!$D$62)^(AE$247-1)</f>
        <v>-4066.78333333333</v>
      </c>
      <c r="AF359" s="67" t="n">
        <f aca="false">-AF353*Inputs!$D$54/12*1*(1+Inputs!$D$61)*(1+Inputs!$D$62)^(AF$247-1)</f>
        <v>-4066.78333333333</v>
      </c>
      <c r="AG359" s="67" t="n">
        <f aca="false">-AG353*Inputs!$D$54/12*1*(1+Inputs!$D$61)*(1+Inputs!$D$62)^(AG$247-1)</f>
        <v>-4066.78333333333</v>
      </c>
      <c r="AH359" s="67" t="n">
        <f aca="false">-AH353*Inputs!$D$54/12*1*(1+Inputs!$D$61)*(1+Inputs!$D$62)^(AH$247-1)</f>
        <v>-4066.78333333333</v>
      </c>
      <c r="AI359" s="67" t="n">
        <f aca="false">-AI353*Inputs!$D$54/12*1*(1+Inputs!$D$61)*(1+Inputs!$D$62)^(AI$247-1)</f>
        <v>-4066.78333333333</v>
      </c>
      <c r="AJ359" s="67" t="n">
        <f aca="false">-AJ353*Inputs!$D$54/12*1*(1+Inputs!$D$61)*(1+Inputs!$D$62)^(AJ$247-1)</f>
        <v>-4066.78333333333</v>
      </c>
      <c r="AK359" s="67" t="n">
        <f aca="false">-AK353*Inputs!$D$54/12*1*(1+Inputs!$D$61)*(1+Inputs!$D$62)^(AK$247-1)</f>
        <v>-4066.78333333333</v>
      </c>
      <c r="AL359" s="67" t="n">
        <f aca="false">-AL353*Inputs!$D$54/12*1*(1+Inputs!$D$61)*(1+Inputs!$D$62)^(AL$247-1)</f>
        <v>-4066.78333333333</v>
      </c>
      <c r="AM359" s="67" t="n">
        <f aca="false">-AM353*Inputs!$D$54/12*1*(1+Inputs!$D$61)*(1+Inputs!$D$62)^(AM$247-1)</f>
        <v>-4188.78683333333</v>
      </c>
      <c r="AN359" s="67" t="n">
        <f aca="false">-AN353*Inputs!$D$54/12*1*(1+Inputs!$D$61)*(1+Inputs!$D$62)^(AN$247-1)</f>
        <v>-4188.78683333333</v>
      </c>
      <c r="AO359" s="67" t="n">
        <f aca="false">-AO353*Inputs!$D$54/12*1*(1+Inputs!$D$61)*(1+Inputs!$D$62)^(AO$247-1)</f>
        <v>-4188.78683333333</v>
      </c>
      <c r="AP359" s="67" t="n">
        <f aca="false">-AP353*Inputs!$D$54/12*1*(1+Inputs!$D$61)*(1+Inputs!$D$62)^(AP$247-1)</f>
        <v>-4188.78683333333</v>
      </c>
      <c r="AQ359" s="67" t="n">
        <f aca="false">-AQ353*Inputs!$D$54/12*1*(1+Inputs!$D$61)*(1+Inputs!$D$62)^(AQ$247-1)</f>
        <v>-4188.78683333333</v>
      </c>
      <c r="AR359" s="67" t="n">
        <f aca="false">-AR353*Inputs!$D$54/12*1*(1+Inputs!$D$61)*(1+Inputs!$D$62)^(AR$247-1)</f>
        <v>-4188.78683333333</v>
      </c>
      <c r="AS359" s="67" t="n">
        <f aca="false">-AS353*Inputs!$D$54/12*1*(1+Inputs!$D$61)*(1+Inputs!$D$62)^(AS$247-1)</f>
        <v>-4188.78683333333</v>
      </c>
      <c r="AT359" s="67" t="n">
        <f aca="false">-AT353*Inputs!$D$54/12*1*(1+Inputs!$D$61)*(1+Inputs!$D$62)^(AT$247-1)</f>
        <v>-4188.78683333333</v>
      </c>
      <c r="AU359" s="67" t="n">
        <f aca="false">-AU353*Inputs!$D$54/12*1*(1+Inputs!$D$61)*(1+Inputs!$D$62)^(AU$247-1)</f>
        <v>-4188.78683333333</v>
      </c>
      <c r="AV359" s="67" t="n">
        <f aca="false">-AV353*Inputs!$D$54/12*1*(1+Inputs!$D$61)*(1+Inputs!$D$62)^(AV$247-1)</f>
        <v>-4188.78683333333</v>
      </c>
      <c r="AW359" s="67" t="n">
        <f aca="false">-AW353*Inputs!$D$54/12*1*(1+Inputs!$D$61)*(1+Inputs!$D$62)^(AW$247-1)</f>
        <v>-4188.78683333333</v>
      </c>
      <c r="AX359" s="67" t="n">
        <f aca="false">-AX353*Inputs!$D$54/12*1*(1+Inputs!$D$61)*(1+Inputs!$D$62)^(AX$247-1)</f>
        <v>-4188.78683333333</v>
      </c>
      <c r="AY359" s="67" t="n">
        <f aca="false">-AY353*Inputs!$D$54/12*1*(1+Inputs!$D$61)*(1+Inputs!$D$62)^(AY$247-1)</f>
        <v>-4314.45043833333</v>
      </c>
      <c r="AZ359" s="67" t="n">
        <f aca="false">-AZ353*Inputs!$D$54/12*1*(1+Inputs!$D$61)*(1+Inputs!$D$62)^(AZ$247-1)</f>
        <v>-4314.45043833333</v>
      </c>
      <c r="BA359" s="67" t="n">
        <f aca="false">-BA353*Inputs!$D$54/12*1*(1+Inputs!$D$61)*(1+Inputs!$D$62)^(BA$247-1)</f>
        <v>-4314.45043833333</v>
      </c>
      <c r="BB359" s="67" t="n">
        <f aca="false">-BB353*Inputs!$D$54/12*1*(1+Inputs!$D$61)*(1+Inputs!$D$62)^(BB$247-1)</f>
        <v>-4314.45043833333</v>
      </c>
      <c r="BC359" s="67" t="n">
        <f aca="false">-BC353*Inputs!$D$54/12*1*(1+Inputs!$D$61)*(1+Inputs!$D$62)^(BC$247-1)</f>
        <v>-4314.45043833333</v>
      </c>
      <c r="BD359" s="67" t="n">
        <f aca="false">-BD353*Inputs!$D$54/12*1*(1+Inputs!$D$61)*(1+Inputs!$D$62)^(BD$247-1)</f>
        <v>-4314.45043833333</v>
      </c>
      <c r="BE359" s="67" t="n">
        <f aca="false">-BE353*Inputs!$D$54/12*1*(1+Inputs!$D$61)*(1+Inputs!$D$62)^(BE$247-1)</f>
        <v>-4314.45043833333</v>
      </c>
      <c r="BF359" s="67" t="n">
        <f aca="false">-BF353*Inputs!$D$54/12*1*(1+Inputs!$D$61)*(1+Inputs!$D$62)^(BF$247-1)</f>
        <v>-4314.45043833333</v>
      </c>
      <c r="BG359" s="67" t="n">
        <f aca="false">-BG353*Inputs!$D$54/12*1*(1+Inputs!$D$61)*(1+Inputs!$D$62)^(BG$247-1)</f>
        <v>-4314.45043833333</v>
      </c>
      <c r="BH359" s="67" t="n">
        <f aca="false">-BH353*Inputs!$D$54/12*1*(1+Inputs!$D$61)*(1+Inputs!$D$62)^(BH$247-1)</f>
        <v>-4314.45043833333</v>
      </c>
      <c r="BI359" s="67" t="n">
        <f aca="false">-BI353*Inputs!$D$54/12*1*(1+Inputs!$D$61)*(1+Inputs!$D$62)^(BI$247-1)</f>
        <v>-4314.45043833333</v>
      </c>
      <c r="BJ359" s="67" t="n">
        <f aca="false">-BJ353*Inputs!$D$54/12*1*(1+Inputs!$D$61)*(1+Inputs!$D$62)^(BJ$247-1)</f>
        <v>-4314.45043833333</v>
      </c>
    </row>
    <row r="360" customFormat="false" ht="15" hidden="false" customHeight="false" outlineLevel="0" collapsed="false">
      <c r="A360" s="6" t="s">
        <v>459</v>
      </c>
      <c r="C360" s="67" t="n">
        <f aca="false">-C354*Inputs!$D$58/12*1*(1+Inputs!$D$61)*(1+Inputs!$D$62)^(C$247-1)</f>
        <v>-1725</v>
      </c>
      <c r="D360" s="67" t="n">
        <f aca="false">-D354*Inputs!$D$58/12*1*(1+Inputs!$D$61)*(1+Inputs!$D$62)^(D$247-1)</f>
        <v>-1725</v>
      </c>
      <c r="E360" s="67" t="n">
        <f aca="false">-E354*Inputs!$D$58/12*1*(1+Inputs!$D$61)*(1+Inputs!$D$62)^(E$247-1)</f>
        <v>-1725</v>
      </c>
      <c r="F360" s="67" t="n">
        <f aca="false">-F354*Inputs!$D$58/12*1*(1+Inputs!$D$61)*(1+Inputs!$D$62)^(F$247-1)</f>
        <v>-1725</v>
      </c>
      <c r="G360" s="67" t="n">
        <f aca="false">-G354*Inputs!$D$58/12*1*(1+Inputs!$D$61)*(1+Inputs!$D$62)^(G$247-1)</f>
        <v>-1725</v>
      </c>
      <c r="H360" s="67" t="n">
        <f aca="false">-H354*Inputs!$D$58/12*1*(1+Inputs!$D$61)*(1+Inputs!$D$62)^(H$247-1)</f>
        <v>-1725</v>
      </c>
      <c r="I360" s="67" t="n">
        <f aca="false">-I354*Inputs!$D$58/12*1*(1+Inputs!$D$61)*(1+Inputs!$D$62)^(I$247-1)</f>
        <v>-1725</v>
      </c>
      <c r="J360" s="67" t="n">
        <f aca="false">-J354*Inputs!$D$58/12*1*(1+Inputs!$D$61)*(1+Inputs!$D$62)^(J$247-1)</f>
        <v>-1725</v>
      </c>
      <c r="K360" s="67" t="n">
        <f aca="false">-K354*Inputs!$D$58/12*1*(1+Inputs!$D$61)*(1+Inputs!$D$62)^(K$247-1)</f>
        <v>-1725</v>
      </c>
      <c r="L360" s="67" t="n">
        <f aca="false">-L354*Inputs!$D$58/12*1*(1+Inputs!$D$61)*(1+Inputs!$D$62)^(L$247-1)</f>
        <v>-1725</v>
      </c>
      <c r="M360" s="67" t="n">
        <f aca="false">-M354*Inputs!$D$58/12*1*(1+Inputs!$D$61)*(1+Inputs!$D$62)^(M$247-1)</f>
        <v>-1725</v>
      </c>
      <c r="N360" s="67" t="n">
        <f aca="false">-N354*Inputs!$D$58/12*1*(1+Inputs!$D$61)*(1+Inputs!$D$62)^(N$247-1)</f>
        <v>-1725</v>
      </c>
      <c r="O360" s="67" t="n">
        <f aca="false">-O354*Inputs!$D$58/12*1*(1+Inputs!$D$61)*(1+Inputs!$D$62)^(O$247-1)</f>
        <v>-1776.75</v>
      </c>
      <c r="P360" s="67" t="n">
        <f aca="false">-P354*Inputs!$D$58/12*1*(1+Inputs!$D$61)*(1+Inputs!$D$62)^(P$247-1)</f>
        <v>-1776.75</v>
      </c>
      <c r="Q360" s="67" t="n">
        <f aca="false">-Q354*Inputs!$D$58/12*1*(1+Inputs!$D$61)*(1+Inputs!$D$62)^(Q$247-1)</f>
        <v>-1776.75</v>
      </c>
      <c r="R360" s="67" t="n">
        <f aca="false">-R354*Inputs!$D$58/12*1*(1+Inputs!$D$61)*(1+Inputs!$D$62)^(R$247-1)</f>
        <v>-1776.75</v>
      </c>
      <c r="S360" s="67" t="n">
        <f aca="false">-S354*Inputs!$D$58/12*1*(1+Inputs!$D$61)*(1+Inputs!$D$62)^(S$247-1)</f>
        <v>-1776.75</v>
      </c>
      <c r="T360" s="67" t="n">
        <f aca="false">-T354*Inputs!$D$58/12*1*(1+Inputs!$D$61)*(1+Inputs!$D$62)^(T$247-1)</f>
        <v>-1776.75</v>
      </c>
      <c r="U360" s="67" t="n">
        <f aca="false">-U354*Inputs!$D$58/12*1*(1+Inputs!$D$61)*(1+Inputs!$D$62)^(U$247-1)</f>
        <v>-1776.75</v>
      </c>
      <c r="V360" s="67" t="n">
        <f aca="false">-V354*Inputs!$D$58/12*1*(1+Inputs!$D$61)*(1+Inputs!$D$62)^(V$247-1)</f>
        <v>-1776.75</v>
      </c>
      <c r="W360" s="67" t="n">
        <f aca="false">-W354*Inputs!$D$58/12*1*(1+Inputs!$D$61)*(1+Inputs!$D$62)^(W$247-1)</f>
        <v>-1776.75</v>
      </c>
      <c r="X360" s="67" t="n">
        <f aca="false">-X354*Inputs!$D$58/12*1*(1+Inputs!$D$61)*(1+Inputs!$D$62)^(X$247-1)</f>
        <v>-1776.75</v>
      </c>
      <c r="Y360" s="67" t="n">
        <f aca="false">-Y354*Inputs!$D$58/12*1*(1+Inputs!$D$61)*(1+Inputs!$D$62)^(Y$247-1)</f>
        <v>-1776.75</v>
      </c>
      <c r="Z360" s="67" t="n">
        <f aca="false">-Z354*Inputs!$D$58/12*1*(1+Inputs!$D$61)*(1+Inputs!$D$62)^(Z$247-1)</f>
        <v>-1776.75</v>
      </c>
      <c r="AA360" s="67" t="n">
        <f aca="false">-AA354*Inputs!$D$58/12*1*(1+Inputs!$D$61)*(1+Inputs!$D$62)^(AA$247-1)</f>
        <v>-1830.0525</v>
      </c>
      <c r="AB360" s="67" t="n">
        <f aca="false">-AB354*Inputs!$D$58/12*1*(1+Inputs!$D$61)*(1+Inputs!$D$62)^(AB$247-1)</f>
        <v>-1830.0525</v>
      </c>
      <c r="AC360" s="67" t="n">
        <f aca="false">-AC354*Inputs!$D$58/12*1*(1+Inputs!$D$61)*(1+Inputs!$D$62)^(AC$247-1)</f>
        <v>-1830.0525</v>
      </c>
      <c r="AD360" s="67" t="n">
        <f aca="false">-AD354*Inputs!$D$58/12*1*(1+Inputs!$D$61)*(1+Inputs!$D$62)^(AD$247-1)</f>
        <v>-1830.0525</v>
      </c>
      <c r="AE360" s="67" t="n">
        <f aca="false">-AE354*Inputs!$D$58/12*1*(1+Inputs!$D$61)*(1+Inputs!$D$62)^(AE$247-1)</f>
        <v>-1830.0525</v>
      </c>
      <c r="AF360" s="67" t="n">
        <f aca="false">-AF354*Inputs!$D$58/12*1*(1+Inputs!$D$61)*(1+Inputs!$D$62)^(AF$247-1)</f>
        <v>-1830.0525</v>
      </c>
      <c r="AG360" s="67" t="n">
        <f aca="false">-AG354*Inputs!$D$58/12*1*(1+Inputs!$D$61)*(1+Inputs!$D$62)^(AG$247-1)</f>
        <v>-1830.0525</v>
      </c>
      <c r="AH360" s="67" t="n">
        <f aca="false">-AH354*Inputs!$D$58/12*1*(1+Inputs!$D$61)*(1+Inputs!$D$62)^(AH$247-1)</f>
        <v>-1830.0525</v>
      </c>
      <c r="AI360" s="67" t="n">
        <f aca="false">-AI354*Inputs!$D$58/12*1*(1+Inputs!$D$61)*(1+Inputs!$D$62)^(AI$247-1)</f>
        <v>-1830.0525</v>
      </c>
      <c r="AJ360" s="67" t="n">
        <f aca="false">-AJ354*Inputs!$D$58/12*1*(1+Inputs!$D$61)*(1+Inputs!$D$62)^(AJ$247-1)</f>
        <v>-1830.0525</v>
      </c>
      <c r="AK360" s="67" t="n">
        <f aca="false">-AK354*Inputs!$D$58/12*1*(1+Inputs!$D$61)*(1+Inputs!$D$62)^(AK$247-1)</f>
        <v>-1830.0525</v>
      </c>
      <c r="AL360" s="67" t="n">
        <f aca="false">-AL354*Inputs!$D$58/12*1*(1+Inputs!$D$61)*(1+Inputs!$D$62)^(AL$247-1)</f>
        <v>-1830.0525</v>
      </c>
      <c r="AM360" s="67" t="n">
        <f aca="false">-AM354*Inputs!$D$58/12*1*(1+Inputs!$D$61)*(1+Inputs!$D$62)^(AM$247-1)</f>
        <v>-1884.954075</v>
      </c>
      <c r="AN360" s="67" t="n">
        <f aca="false">-AN354*Inputs!$D$58/12*1*(1+Inputs!$D$61)*(1+Inputs!$D$62)^(AN$247-1)</f>
        <v>-1884.954075</v>
      </c>
      <c r="AO360" s="67" t="n">
        <f aca="false">-AO354*Inputs!$D$58/12*1*(1+Inputs!$D$61)*(1+Inputs!$D$62)^(AO$247-1)</f>
        <v>-1884.954075</v>
      </c>
      <c r="AP360" s="67" t="n">
        <f aca="false">-AP354*Inputs!$D$58/12*1*(1+Inputs!$D$61)*(1+Inputs!$D$62)^(AP$247-1)</f>
        <v>-1884.954075</v>
      </c>
      <c r="AQ360" s="67" t="n">
        <f aca="false">-AQ354*Inputs!$D$58/12*1*(1+Inputs!$D$61)*(1+Inputs!$D$62)^(AQ$247-1)</f>
        <v>-1884.954075</v>
      </c>
      <c r="AR360" s="67" t="n">
        <f aca="false">-AR354*Inputs!$D$58/12*1*(1+Inputs!$D$61)*(1+Inputs!$D$62)^(AR$247-1)</f>
        <v>-1884.954075</v>
      </c>
      <c r="AS360" s="67" t="n">
        <f aca="false">-AS354*Inputs!$D$58/12*1*(1+Inputs!$D$61)*(1+Inputs!$D$62)^(AS$247-1)</f>
        <v>-1884.954075</v>
      </c>
      <c r="AT360" s="67" t="n">
        <f aca="false">-AT354*Inputs!$D$58/12*1*(1+Inputs!$D$61)*(1+Inputs!$D$62)^(AT$247-1)</f>
        <v>-1884.954075</v>
      </c>
      <c r="AU360" s="67" t="n">
        <f aca="false">-AU354*Inputs!$D$58/12*1*(1+Inputs!$D$61)*(1+Inputs!$D$62)^(AU$247-1)</f>
        <v>-1884.954075</v>
      </c>
      <c r="AV360" s="67" t="n">
        <f aca="false">-AV354*Inputs!$D$58/12*1*(1+Inputs!$D$61)*(1+Inputs!$D$62)^(AV$247-1)</f>
        <v>-1884.954075</v>
      </c>
      <c r="AW360" s="67" t="n">
        <f aca="false">-AW354*Inputs!$D$58/12*1*(1+Inputs!$D$61)*(1+Inputs!$D$62)^(AW$247-1)</f>
        <v>-1884.954075</v>
      </c>
      <c r="AX360" s="67" t="n">
        <f aca="false">-AX354*Inputs!$D$58/12*1*(1+Inputs!$D$61)*(1+Inputs!$D$62)^(AX$247-1)</f>
        <v>-1884.954075</v>
      </c>
      <c r="AY360" s="67" t="n">
        <f aca="false">-AY354*Inputs!$D$58/12*1*(1+Inputs!$D$61)*(1+Inputs!$D$62)^(AY$247-1)</f>
        <v>-1941.50269725</v>
      </c>
      <c r="AZ360" s="67" t="n">
        <f aca="false">-AZ354*Inputs!$D$58/12*1*(1+Inputs!$D$61)*(1+Inputs!$D$62)^(AZ$247-1)</f>
        <v>-1941.50269725</v>
      </c>
      <c r="BA360" s="67" t="n">
        <f aca="false">-BA354*Inputs!$D$58/12*1*(1+Inputs!$D$61)*(1+Inputs!$D$62)^(BA$247-1)</f>
        <v>-1941.50269725</v>
      </c>
      <c r="BB360" s="67" t="n">
        <f aca="false">-BB354*Inputs!$D$58/12*1*(1+Inputs!$D$61)*(1+Inputs!$D$62)^(BB$247-1)</f>
        <v>-1941.50269725</v>
      </c>
      <c r="BC360" s="67" t="n">
        <f aca="false">-BC354*Inputs!$D$58/12*1*(1+Inputs!$D$61)*(1+Inputs!$D$62)^(BC$247-1)</f>
        <v>-1941.50269725</v>
      </c>
      <c r="BD360" s="67" t="n">
        <f aca="false">-BD354*Inputs!$D$58/12*1*(1+Inputs!$D$61)*(1+Inputs!$D$62)^(BD$247-1)</f>
        <v>-1941.50269725</v>
      </c>
      <c r="BE360" s="67" t="n">
        <f aca="false">-BE354*Inputs!$D$58/12*1*(1+Inputs!$D$61)*(1+Inputs!$D$62)^(BE$247-1)</f>
        <v>-1941.50269725</v>
      </c>
      <c r="BF360" s="67" t="n">
        <f aca="false">-BF354*Inputs!$D$58/12*1*(1+Inputs!$D$61)*(1+Inputs!$D$62)^(BF$247-1)</f>
        <v>-1941.50269725</v>
      </c>
      <c r="BG360" s="67" t="n">
        <f aca="false">-BG354*Inputs!$D$58/12*1*(1+Inputs!$D$61)*(1+Inputs!$D$62)^(BG$247-1)</f>
        <v>-1941.50269725</v>
      </c>
      <c r="BH360" s="67" t="n">
        <f aca="false">-BH354*Inputs!$D$58/12*1*(1+Inputs!$D$61)*(1+Inputs!$D$62)^(BH$247-1)</f>
        <v>-1941.50269725</v>
      </c>
      <c r="BI360" s="67" t="n">
        <f aca="false">-BI354*Inputs!$D$58/12*1*(1+Inputs!$D$61)*(1+Inputs!$D$62)^(BI$247-1)</f>
        <v>-1941.50269725</v>
      </c>
      <c r="BJ360" s="67" t="n">
        <f aca="false">-BJ354*Inputs!$D$58/12*1*(1+Inputs!$D$61)*(1+Inputs!$D$62)^(BJ$247-1)</f>
        <v>-1941.50269725</v>
      </c>
    </row>
    <row r="361" customFormat="false" ht="15" hidden="false" customHeight="false" outlineLevel="0" collapsed="false">
      <c r="A361" s="111" t="s">
        <v>460</v>
      </c>
      <c r="C361" s="68" t="n">
        <f aca="false">C358+C359+C360</f>
        <v>-10158.3333333333</v>
      </c>
      <c r="D361" s="68" t="n">
        <f aca="false">D358+D359+D360</f>
        <v>-10158.3333333333</v>
      </c>
      <c r="E361" s="68" t="n">
        <f aca="false">E358+E359+E360</f>
        <v>-10158.3333333333</v>
      </c>
      <c r="F361" s="68" t="n">
        <f aca="false">F358+F359+F360</f>
        <v>-10158.3333333333</v>
      </c>
      <c r="G361" s="68" t="n">
        <f aca="false">G358+G359+G360</f>
        <v>-10158.3333333333</v>
      </c>
      <c r="H361" s="68" t="n">
        <f aca="false">H358+H359+H360</f>
        <v>-10158.3333333333</v>
      </c>
      <c r="I361" s="68" t="n">
        <f aca="false">I358+I359+I360</f>
        <v>-10158.3333333333</v>
      </c>
      <c r="J361" s="68" t="n">
        <f aca="false">J358+J359+J360</f>
        <v>-10158.3333333333</v>
      </c>
      <c r="K361" s="68" t="n">
        <f aca="false">K358+K359+K360</f>
        <v>-10158.3333333333</v>
      </c>
      <c r="L361" s="68" t="n">
        <f aca="false">L358+L359+L360</f>
        <v>-10158.3333333333</v>
      </c>
      <c r="M361" s="68" t="n">
        <f aca="false">M358+M359+M360</f>
        <v>-10158.3333333333</v>
      </c>
      <c r="N361" s="68" t="n">
        <f aca="false">N358+N359+N360</f>
        <v>-10158.3333333333</v>
      </c>
      <c r="O361" s="68" t="n">
        <f aca="false">O358+O359+O360</f>
        <v>-10463.0833333333</v>
      </c>
      <c r="P361" s="68" t="n">
        <f aca="false">P358+P359+P360</f>
        <v>-10463.0833333333</v>
      </c>
      <c r="Q361" s="68" t="n">
        <f aca="false">Q358+Q359+Q360</f>
        <v>-10463.0833333333</v>
      </c>
      <c r="R361" s="68" t="n">
        <f aca="false">R358+R359+R360</f>
        <v>-10463.0833333333</v>
      </c>
      <c r="S361" s="68" t="n">
        <f aca="false">S358+S359+S360</f>
        <v>-10463.0833333333</v>
      </c>
      <c r="T361" s="68" t="n">
        <f aca="false">T358+T359+T360</f>
        <v>-10463.0833333333</v>
      </c>
      <c r="U361" s="68" t="n">
        <f aca="false">U358+U359+U360</f>
        <v>-10463.0833333333</v>
      </c>
      <c r="V361" s="68" t="n">
        <f aca="false">V358+V359+V360</f>
        <v>-10463.0833333333</v>
      </c>
      <c r="W361" s="68" t="n">
        <f aca="false">W358+W359+W360</f>
        <v>-10463.0833333333</v>
      </c>
      <c r="X361" s="68" t="n">
        <f aca="false">X358+X359+X360</f>
        <v>-10463.0833333333</v>
      </c>
      <c r="Y361" s="68" t="n">
        <f aca="false">Y358+Y359+Y360</f>
        <v>-10463.0833333333</v>
      </c>
      <c r="Z361" s="68" t="n">
        <f aca="false">Z358+Z359+Z360</f>
        <v>-10463.0833333333</v>
      </c>
      <c r="AA361" s="68" t="n">
        <f aca="false">AA358+AA359+AA360</f>
        <v>-10776.9758333333</v>
      </c>
      <c r="AB361" s="68" t="n">
        <f aca="false">AB358+AB359+AB360</f>
        <v>-10776.9758333333</v>
      </c>
      <c r="AC361" s="68" t="n">
        <f aca="false">AC358+AC359+AC360</f>
        <v>-10776.9758333333</v>
      </c>
      <c r="AD361" s="68" t="n">
        <f aca="false">AD358+AD359+AD360</f>
        <v>-10776.9758333333</v>
      </c>
      <c r="AE361" s="68" t="n">
        <f aca="false">AE358+AE359+AE360</f>
        <v>-10776.9758333333</v>
      </c>
      <c r="AF361" s="68" t="n">
        <f aca="false">AF358+AF359+AF360</f>
        <v>-10776.9758333333</v>
      </c>
      <c r="AG361" s="68" t="n">
        <f aca="false">AG358+AG359+AG360</f>
        <v>-10776.9758333333</v>
      </c>
      <c r="AH361" s="68" t="n">
        <f aca="false">AH358+AH359+AH360</f>
        <v>-10776.9758333333</v>
      </c>
      <c r="AI361" s="68" t="n">
        <f aca="false">AI358+AI359+AI360</f>
        <v>-10776.9758333333</v>
      </c>
      <c r="AJ361" s="68" t="n">
        <f aca="false">AJ358+AJ359+AJ360</f>
        <v>-10776.9758333333</v>
      </c>
      <c r="AK361" s="68" t="n">
        <f aca="false">AK358+AK359+AK360</f>
        <v>-10776.9758333333</v>
      </c>
      <c r="AL361" s="68" t="n">
        <f aca="false">AL358+AL359+AL360</f>
        <v>-10776.9758333333</v>
      </c>
      <c r="AM361" s="68" t="n">
        <f aca="false">AM358+AM359+AM360</f>
        <v>-11100.2851083333</v>
      </c>
      <c r="AN361" s="68" t="n">
        <f aca="false">AN358+AN359+AN360</f>
        <v>-11100.2851083333</v>
      </c>
      <c r="AO361" s="68" t="n">
        <f aca="false">AO358+AO359+AO360</f>
        <v>-11100.2851083333</v>
      </c>
      <c r="AP361" s="68" t="n">
        <f aca="false">AP358+AP359+AP360</f>
        <v>-11100.2851083333</v>
      </c>
      <c r="AQ361" s="68" t="n">
        <f aca="false">AQ358+AQ359+AQ360</f>
        <v>-11100.2851083333</v>
      </c>
      <c r="AR361" s="68" t="n">
        <f aca="false">AR358+AR359+AR360</f>
        <v>-11100.2851083333</v>
      </c>
      <c r="AS361" s="68" t="n">
        <f aca="false">AS358+AS359+AS360</f>
        <v>-11100.2851083333</v>
      </c>
      <c r="AT361" s="68" t="n">
        <f aca="false">AT358+AT359+AT360</f>
        <v>-11100.2851083333</v>
      </c>
      <c r="AU361" s="68" t="n">
        <f aca="false">AU358+AU359+AU360</f>
        <v>-11100.2851083333</v>
      </c>
      <c r="AV361" s="68" t="n">
        <f aca="false">AV358+AV359+AV360</f>
        <v>-11100.2851083333</v>
      </c>
      <c r="AW361" s="68" t="n">
        <f aca="false">AW358+AW359+AW360</f>
        <v>-11100.2851083333</v>
      </c>
      <c r="AX361" s="68" t="n">
        <f aca="false">AX358+AX359+AX360</f>
        <v>-11100.2851083333</v>
      </c>
      <c r="AY361" s="68" t="n">
        <f aca="false">AY358+AY359+AY360</f>
        <v>-11433.2936615833</v>
      </c>
      <c r="AZ361" s="68" t="n">
        <f aca="false">AZ358+AZ359+AZ360</f>
        <v>-11433.2936615833</v>
      </c>
      <c r="BA361" s="68" t="n">
        <f aca="false">BA358+BA359+BA360</f>
        <v>-11433.2936615833</v>
      </c>
      <c r="BB361" s="68" t="n">
        <f aca="false">BB358+BB359+BB360</f>
        <v>-11433.2936615833</v>
      </c>
      <c r="BC361" s="68" t="n">
        <f aca="false">BC358+BC359+BC360</f>
        <v>-11433.2936615833</v>
      </c>
      <c r="BD361" s="68" t="n">
        <f aca="false">BD358+BD359+BD360</f>
        <v>-11433.2936615833</v>
      </c>
      <c r="BE361" s="68" t="n">
        <f aca="false">BE358+BE359+BE360</f>
        <v>-11433.2936615833</v>
      </c>
      <c r="BF361" s="68" t="n">
        <f aca="false">BF358+BF359+BF360</f>
        <v>-11433.2936615833</v>
      </c>
      <c r="BG361" s="68" t="n">
        <f aca="false">BG358+BG359+BG360</f>
        <v>-11433.2936615833</v>
      </c>
      <c r="BH361" s="68" t="n">
        <f aca="false">BH358+BH359+BH360</f>
        <v>-11433.2936615833</v>
      </c>
      <c r="BI361" s="68" t="n">
        <f aca="false">BI358+BI359+BI360</f>
        <v>-11433.2936615833</v>
      </c>
      <c r="BJ361" s="68" t="n">
        <f aca="false">BJ358+BJ359+BJ360</f>
        <v>-11433.2936615833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466</v>
      </c>
    </row>
    <row r="3" customFormat="false" ht="15" hidden="false" customHeight="false" outlineLevel="0" collapsed="false">
      <c r="A3" s="33" t="s">
        <v>467</v>
      </c>
      <c r="B3" s="33" t="s">
        <v>468</v>
      </c>
      <c r="C3" s="33" t="s">
        <v>469</v>
      </c>
    </row>
    <row r="4" customFormat="false" ht="15" hidden="false" customHeight="false" outlineLevel="0" collapsed="false">
      <c r="A4" s="6" t="s">
        <v>470</v>
      </c>
      <c r="B4" s="4" t="str">
        <f aca="false">IF(ABS(SUM('P&amp;L'!$B$5:$F$5)-SUM(Monthly!$C$20:$BJ$20))&lt;0.5,"PASS","FAIL")</f>
        <v>PASS</v>
      </c>
      <c r="C4" s="18" t="s">
        <v>471</v>
      </c>
    </row>
    <row r="5" customFormat="false" ht="15" hidden="false" customHeight="false" outlineLevel="0" collapsed="false">
      <c r="A5" s="6" t="s">
        <v>472</v>
      </c>
      <c r="B5" s="4" t="str">
        <f aca="false">IF(ABS(SUM('P&amp;L'!$B$26:$F$26)-SUM(Monthly!$C$51:$BJ$51))&lt;0.5,"PASS","FAIL")</f>
        <v>PASS</v>
      </c>
      <c r="C5" s="18" t="s">
        <v>473</v>
      </c>
    </row>
    <row r="6" customFormat="false" ht="15" hidden="false" customHeight="false" outlineLevel="0" collapsed="false">
      <c r="A6" s="6" t="s">
        <v>474</v>
      </c>
      <c r="B6" s="4" t="str">
        <f aca="false">IF(ABS(SUM(Monthly!$C$42:$BJ$42)-SUM(Monthly!$C$29:$BJ$29)-SUM(Monthly!$C$41:$BJ$41))&lt;0.5,"PASS","FAIL")</f>
        <v>PASS</v>
      </c>
      <c r="C6" s="18" t="s">
        <v>475</v>
      </c>
    </row>
    <row r="7" customFormat="false" ht="15" hidden="false" customHeight="false" outlineLevel="0" collapsed="false">
      <c r="A7" s="6" t="s">
        <v>476</v>
      </c>
      <c r="B7" s="4" t="str">
        <f aca="false">IF(ABS(INDEX(Monthly!$C$89:$BJ$89,60)-SUM(Monthly!$C$87:$BJ$87))&lt;0.5,"PASS","FAIL")</f>
        <v>PASS</v>
      </c>
      <c r="C7" s="18" t="s">
        <v>477</v>
      </c>
    </row>
    <row r="8" customFormat="false" ht="15" hidden="false" customHeight="false" outlineLevel="0" collapsed="false">
      <c r="A8" s="6" t="s">
        <v>478</v>
      </c>
      <c r="B8" s="4" t="str">
        <f aca="false">IF(AND(ISNUMBER(Dashboard!B4),Dashboard!B4&gt;=1,Dashboard!B4&lt;=3,INT(Dashboard!B4)=Dashboard!B4),"PASS","FAIL")</f>
        <v>PASS</v>
      </c>
      <c r="C8" s="18" t="s">
        <v>479</v>
      </c>
    </row>
    <row r="9" customFormat="false" ht="15" hidden="false" customHeight="false" outlineLevel="0" collapsed="false">
      <c r="A9" s="6" t="s">
        <v>480</v>
      </c>
      <c r="B9" s="4" t="str">
        <f aca="false">IF(AND(Inputs!$B$8&lt;=Inputs!$C$8,Inputs!$C$8&lt;=Inputs!$D$8,Inputs!$B$9&lt;=Inputs!$C$9,Inputs!$C$9&lt;=Inputs!$D$9,Inputs!$B$10&gt;=Inputs!$C$10,Inputs!$C$10&gt;=Inputs!$D$10,Inputs!$B$11&lt;=Inputs!$C$11,Inputs!$C$11&lt;=Inputs!$D$11,Inputs!$B$14&lt;=Inputs!$C$14,Inputs!$C$14&lt;=Inputs!$D$14,Inputs!$B$17&lt;=Inputs!$C$17,Inputs!$C$17&lt;=Inputs!$D$17,Inputs!$B$18&lt;=Inputs!$C$18,Inputs!$C$18&lt;=Inputs!$D$18,Inputs!$B$19&lt;=Inputs!$C$19,Inputs!$C$19&lt;=Inputs!$D$19,Inputs!$B$22&gt;=Inputs!$C$22,Inputs!$C$22&gt;=Inputs!$D$22,Inputs!$B$23&gt;=Inputs!$C$23,Inputs!$C$23&gt;=Inputs!$D$23,Inputs!$B$24&gt;=Inputs!$C$24,Inputs!$C$24&gt;=Inputs!$D$24,Inputs!$B$25&gt;=Inputs!$C$25,Inputs!$C$25&gt;=Inputs!$D$25,Inputs!$B$26&gt;=Inputs!$C$26,Inputs!$C$26&gt;=Inputs!$D$26,Inputs!$B$34&gt;=Inputs!$C$34,Inputs!$C$34&gt;=Inputs!$D$34,Inputs!$B$37&lt;=Inputs!$C$37,Inputs!$C$37&lt;=Inputs!$D$37,Inputs!$B$38&gt;=Inputs!$C$38,Inputs!$C$38&gt;=Inputs!$D$38,Inputs!$B$39&gt;=Inputs!$C$39,Inputs!$C$39&gt;=Inputs!$D$39,Inputs!$B$49&lt;=Inputs!$C$49,Inputs!$C$49&lt;=Inputs!$D$49,Inputs!$B$51&lt;=Inputs!$C$51,Inputs!$C$51&lt;=Inputs!$D$51,Inputs!$B$53&lt;=Inputs!$C$53,Inputs!$C$53&lt;=Inputs!$D$53,Inputs!$B$55&lt;=Inputs!$C$55,Inputs!$C$55&lt;=Inputs!$D$55,Inputs!$B$57&lt;=Inputs!$C$57,Inputs!$C$57&lt;=Inputs!$D$57,Inputs!$B$59&lt;=Inputs!$C$59,Inputs!$C$59&lt;=Inputs!$D$59,Inputs!$B$83&gt;=Inputs!$C$83,Inputs!$C$83&gt;=Inputs!$D$83,Inputs!$B$84&lt;=Inputs!$C$84,Inputs!$C$84&lt;=Inputs!$D$84,Inputs!$B$85&lt;=Inputs!$C$85,Inputs!$C$85&lt;=Inputs!$D$85),"PASS","FAIL")</f>
        <v>PASS</v>
      </c>
      <c r="C9" s="18" t="s">
        <v>481</v>
      </c>
    </row>
    <row r="10" customFormat="false" ht="15" hidden="false" customHeight="false" outlineLevel="0" collapsed="false">
      <c r="A10" s="6" t="s">
        <v>482</v>
      </c>
      <c r="B10" s="4" t="str">
        <f aca="false">IF(AND(MIN('P&amp;L'!$B$8:$F$8)&gt;=0,MAX('P&amp;L'!$B$8:$F$8)&lt;=1),"PASS","FAIL")</f>
        <v>PASS</v>
      </c>
      <c r="C10" s="18" t="s">
        <v>483</v>
      </c>
    </row>
    <row r="11" customFormat="false" ht="15" hidden="false" customHeight="false" outlineLevel="0" collapsed="false">
      <c r="A11" s="6" t="s">
        <v>484</v>
      </c>
      <c r="B11" s="4" t="str">
        <f aca="false">IF(MIN(Monthly!$C$72:$BJ$72)&gt;=-0.5,"PASS","FAIL")</f>
        <v>PASS</v>
      </c>
      <c r="C11" s="18" t="s">
        <v>485</v>
      </c>
    </row>
    <row r="12" customFormat="false" ht="15" hidden="false" customHeight="false" outlineLevel="0" collapsed="false">
      <c r="A12" s="6" t="s">
        <v>486</v>
      </c>
      <c r="B12" s="4" t="str">
        <f aca="false">IF(ABS('Break-even'!B18-('Break-even'!B16-'Break-even'!B10))&lt;0.5,"PASS","FAIL")</f>
        <v>PASS</v>
      </c>
      <c r="C12" s="18" t="s">
        <v>487</v>
      </c>
    </row>
    <row r="13" customFormat="false" ht="15" hidden="false" customHeight="false" outlineLevel="0" collapsed="false">
      <c r="A13" s="6" t="s">
        <v>488</v>
      </c>
      <c r="B13" s="4" t="str">
        <f aca="false">IF(ABS(Valuation!B23-NPV(Valuation!B6,Valuation!$B$17:$F$17))&lt;0.5,"PASS","FAIL")</f>
        <v>PASS</v>
      </c>
      <c r="C13" s="18" t="s">
        <v>489</v>
      </c>
    </row>
    <row r="14" customFormat="false" ht="15" hidden="false" customHeight="false" outlineLevel="0" collapsed="false">
      <c r="A14" s="6" t="s">
        <v>490</v>
      </c>
      <c r="B14" s="4" t="str">
        <f aca="false">IF(Valuation!B6&gt;Valuation!B7,"PASS","FAIL")</f>
        <v>PASS</v>
      </c>
      <c r="C14" s="18" t="s">
        <v>491</v>
      </c>
    </row>
    <row r="15" customFormat="false" ht="15" hidden="false" customHeight="false" outlineLevel="0" collapsed="false">
      <c r="A15" s="6" t="s">
        <v>492</v>
      </c>
      <c r="B15" s="4" t="str">
        <f aca="false">IF(ABS(Valuation!D36-Valuation!B27)&lt;0.5,"PASS","FAIL")</f>
        <v>PASS</v>
      </c>
      <c r="C15" s="18" t="s">
        <v>493</v>
      </c>
    </row>
    <row r="16" customFormat="false" ht="15" hidden="false" customHeight="false" outlineLevel="0" collapsed="false">
      <c r="A16" s="6" t="s">
        <v>494</v>
      </c>
      <c r="B16" s="4" t="str">
        <f aca="false">IF(Valuation!$F$17&gt;0,"PASS","WARN")</f>
        <v>PASS</v>
      </c>
      <c r="C16" s="18" t="s">
        <v>495</v>
      </c>
    </row>
    <row r="17" customFormat="false" ht="15" hidden="false" customHeight="false" outlineLevel="0" collapsed="false">
      <c r="A17" s="6" t="s">
        <v>496</v>
      </c>
      <c r="B17" s="4" t="str">
        <f aca="false">IF(ABS('Sources &amp; Uses'!B21-'Sources &amp; Uses'!B28)&lt;0.5,"PASS","FAIL")</f>
        <v>PASS</v>
      </c>
      <c r="C17" s="18" t="s">
        <v>497</v>
      </c>
    </row>
    <row r="18" customFormat="false" ht="15" hidden="false" customHeight="false" outlineLevel="0" collapsed="false">
      <c r="A18" s="6" t="s">
        <v>498</v>
      </c>
      <c r="B18" s="4" t="str">
        <f aca="false">IF(SUMPRODUCT(--ISERROR(Monthly!$C$4:$BJ$107))+SUMPRODUCT(--ISERROR(Headcount!$C$4:$BJ$17))+SUMPRODUCT(--ISERROR('P&amp;L'!$B$3:$F$27))+SUMPRODUCT(--ISERROR('Cash Flow'!$B$3:$F$18))+SUMPRODUCT(--ISERROR('Balance Sheet'!$B$3:$F$17))+SUMPRODUCT(--ISERROR(KPIs!$B$27:$F$44))+SUMPRODUCT(--ISERROR('Break-even'!$B$26:$F$33))+SUMPRODUCT(--ISERROR(Valuation!$B$14:$F$19))+SUMPRODUCT(--ISERROR('Break-even'!$B$3:$F$35))+SUMPRODUCT(--ISERROR(Valuation!$A$3:$F$40))+SUMPRODUCT(--ISERROR('Sources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Uses'!$B$3:$C$30))+SUMPRODUCT(--ISERROR(Dashboard!$A$6:$W$44))+SUMPRODUCT(--ISERROR(Summary!$A$5:$S$52))+SUMPRODUCT(--ISERROR(KPIs!$A$4:$G$44))+SUMPRODUCT(--ISERROR('Scenario calc'!$C$6:$BJ$121))+SUMPRODUCT(--ISERROR('Scenario calc'!$C$126:$BJ$241))+SUMPRODUCT(--ISERROR('Scenario calc'!$C$246:$BJ$361))+SUMPRODUCT(--ISERROR(Scenarios!$B$5:$F$50))=0,"PASS","FAIL")</f>
        <v>PASS</v>
      </c>
      <c r="C18" s="18" t="s">
        <v>499</v>
      </c>
    </row>
    <row r="19" customFormat="false" ht="15" hidden="false" customHeight="false" outlineLevel="0" collapsed="false">
      <c r="A19" s="6" t="s">
        <v>500</v>
      </c>
      <c r="B19" s="4" t="str">
        <f aca="false">IF(IFERROR(AND(SUMPRODUCT(--(ABS(Summary!$B$7:$F$7-'P&amp;L'!$B$5:$F$5)&gt;0.5))=0,SUMPRODUCT(--(ABS(Summary!$B$19:$F$19-'P&amp;L'!$B$26:$F$26)&gt;0.5))=0,SUMPRODUCT(--(ABS(Summary!$B$31:$F$31-'Cash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501</v>
      </c>
    </row>
    <row r="20" customFormat="false" ht="15" hidden="false" customHeight="false" outlineLevel="0" collapsed="false">
      <c r="A20" s="6" t="s">
        <v>502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503</v>
      </c>
    </row>
    <row r="21" customFormat="false" ht="15" hidden="false" customHeight="false" outlineLevel="0" collapsed="false">
      <c r="A21" s="6" t="s">
        <v>504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505</v>
      </c>
    </row>
    <row r="22" customFormat="false" ht="15" hidden="false" customHeight="false" outlineLevel="0" collapsed="false">
      <c r="A22" s="6" t="s">
        <v>506</v>
      </c>
      <c r="B22" s="4" t="str">
        <f aca="false">IF(SUMPRODUCT(--(ABS(Monthly!$C$107:$BJ$107)&gt;0.5))=0,"PASS","FAIL")</f>
        <v>PASS</v>
      </c>
      <c r="C22" s="18" t="s">
        <v>507</v>
      </c>
    </row>
    <row r="23" customFormat="false" ht="15" hidden="false" customHeight="false" outlineLevel="0" collapsed="false">
      <c r="A23" s="6" t="s">
        <v>508</v>
      </c>
      <c r="B23" s="4" t="str">
        <f aca="false">IF(MIN(Monthly!$C$89:$BJ$89)&gt;=0,"PASS","WARN")</f>
        <v>PASS</v>
      </c>
      <c r="C23" s="18" t="s">
        <v>509</v>
      </c>
    </row>
    <row r="25" customFormat="false" ht="15" hidden="false" customHeight="false" outlineLevel="0" collapsed="false">
      <c r="A25" s="70" t="s">
        <v>510</v>
      </c>
      <c r="B25" s="70" t="str">
        <f aca="false">IF(COUNTIF(B4:B23,"FAIL")&gt;0,"FAIL",IF(COUNTIF(B4:B23,"WARN")&gt;0,"PASS WITH WARNINGS","PASS"))</f>
        <v>PASS</v>
      </c>
      <c r="C25" s="120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2026-10-22T07:44:19Z</dcterms:created>
  <dc:creator/>
  <dc:description/>
  <dc:language>en-US</dc:language>
  <cp:lastModifiedBy/>
  <dcterms:modified xsi:type="dcterms:W3CDTF">2026-10-22T07:44:21Z</dcterms:modified>
  <cp:revision>0</cp:revision>
  <dc:subject/>
  <dc:title>Guest house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