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<sst xmlns="http://schemas.openxmlformats.org/spreadsheetml/2006/main" count="1285" uniqueCount="496">
  <si>
    <t xml:space="preserve">Bakery financial model (growing)</t>
  </si>
  <si>
    <t xml:space="preserve">5-year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</si>
  <si>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</si>
  <si>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</si>
  <si>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</si>
  <si>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</si>
  <si>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</si>
  <si>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21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</si>
  <si>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</si>
  <si>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</si>
  <si>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</si>
  <si>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</si>
  <si>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</si>
  <si>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</si>
  <si>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</si>
  <si>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</si>
  <si>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</si>
  <si>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</si>
  <si>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</si>
  <si>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</si>
  <si>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</si>
  <si>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</si>
  <si>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</si>
  <si>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</si>
  <si>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</si>
  <si>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</si>
  <si>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</si>
  <si>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</si>
  <si>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</si>
  <si>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</si>
  <si>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</si>
  <si>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</si>
  <si>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</si>
  <si>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</si>
  <si>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</si>
  <si>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</si>
  <si>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5</t>
  </si>
  <si>
    <t xml:space="preserve">EBITDA MARGIN · YEAR 5</t>
  </si>
  <si>
    <t xml:space="preserve">NET INCOME · YEAR 5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</si>
  <si>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</si>
  <si>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</si>
  <si>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</si>
  <si>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</si>
  <si>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</si>
  <si>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</si>
  <si>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</si>
  <si>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</si>
  <si>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</si>
  <si>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</si>
  <si>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</si>
  <si>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</si>
  <si>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</si>
  <si>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</si>
  <si>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</si>
  <si>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</si>
  <si>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</si>
  <si>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</si>
  <si>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Bakery metrics</t>
  </si>
  <si>
    <t xml:space="preserve">Retail counter revenue</t>
  </si>
  <si>
    <t xml:space="preserve">Wholesale revenue</t>
  </si>
  <si>
    <t xml:space="preserve">Customers per day (average)</t>
  </si>
  <si>
    <t xml:space="preserve">Wholesale accounts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</si>
  <si>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</si>
  <si>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</si>
  <si>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</si>
  <si>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</si>
  <si>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</si>
  <si>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</si>
  <si>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</si>
  <si>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</si>
  <si>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</si>
  <si>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</si>
  <si>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</si>
  <si>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</si>
  <si>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</si>
  <si>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</si>
  <si>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</si>
  <si>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</si>
  <si>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</si>
  <si>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</si>
  <si>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</si>
  <si>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</si>
  <si>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</si>
  <si>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</si>
  <si>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</si>
  <si>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</si>
  <si>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</si>
  <si>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</si>
  <si>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</si>
  <si>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</si>
  <si>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</si>
  <si>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</si>
  <si>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</si>
  <si>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</si>
  <si>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</si>
  <si>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</si>
  <si>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</si>
  <si>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</si>
  <si>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</si>
  <si>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</si>
  <si>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</si>
  <si>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</si>
  <si>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</si>
  <si>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</si>
  <si>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</si>
  <si>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</si>
  <si>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</si>
  <si>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</si>
  <si>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</si>
  <si>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Customers per day at full traffic (#)</t>
  </si>
  <si>
    <t xml:space="preserve">Average ticket per customer (year 1) ($)</t>
  </si>
  <si>
    <t xml:space="preserve">Wholesale accounts at full ramp (year 1) (#)</t>
  </si>
  <si>
    <t xml:space="preserve">Order value per account per week (year 1) ($)</t>
  </si>
  <si>
    <t xml:space="preserve">Retail production baked but not sold (waste) (%)</t>
  </si>
  <si>
    <t xml:space="preserve">Rent per month ($)</t>
  </si>
  <si>
    <t xml:space="preserve">Fit-out &amp; equipment: ovens, mixers, cases ($)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</si>
  <si>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</si>
  <si>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</si>
  <si>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</si>
  <si>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</si>
  <si>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</si>
  <si>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</si>
  <si>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</si>
  <si>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</si>
  <si>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</si>
  <si>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</si>
  <si>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</si>
  <si>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</si>
  <si>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</si>
  <si>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</si>
  <si>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</si>
  <si>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</si>
  <si>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</si>
  <si>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</si>
  <si>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</si>
  <si>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</si>
  <si>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</si>
  <si>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</si>
  <si>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</si>
  <si>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</si>
  <si>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</si>
  <si>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</si>
  <si>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</si>
  <si>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</si>
  <si>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</si>
  <si>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</si>
  <si>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</si>
  <si>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</si>
  <si>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</si>
  <si>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</si>
  <si>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</si>
  <si>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</si>
  <si>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</si>
  <si>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</si>
  <si>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</si>
  <si>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</si>
  <si>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</si>
  <si>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</si>
  <si>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</si>
  <si>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</si>
  <si>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</si>
  <si>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</si>
  <si>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</si>
  <si>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</si>
  <si>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</si>
  <si>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</si>
  <si>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</si>
  <si>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</si>
  <si>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</si>
  <si>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</si>
  <si>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</si>
  <si>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</si>
  <si>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</si>
  <si>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</si>
  <si>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</si>
  <si>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</si>
  <si>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</si>
  <si>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</si>
  <si>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</si>
  <si>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</si>
  <si>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</si>
  <si>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</si>
  <si>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</si>
  <si>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</si>
  <si>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</si>
  <si>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</si>
  <si>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</si>
  <si>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</si>
  <si>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</si>
  <si>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</si>
  <si>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</si>
  <si>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</si>
  <si>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</si>
  <si>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</si>
  <si>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</si>
  <si>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</si>
  <si>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</si>
  <si>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</si>
  <si>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</si>
  <si>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</si>
  <si>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</si>
  <si>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</si>
  <si>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</si>
  <si>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</si>
  <si>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60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</si>
  <si>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</si>
  <si>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</si>
  <si>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</si>
  <si>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</si>
  <si>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</si>
  <si>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</si>
  <si>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</si>
  <si>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</si>
  <si>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</si>
  <si>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</si>
  <si>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</si>
  <si>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</si>
  <si>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Bakery financial model (growing)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</si>
  <si>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</si>
  <si>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</si>
  <si>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</si>
  <si>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</si>
  <si>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</si>
  <si>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</si>
  <si>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</si>
  <si>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</si>
  <si>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</si>
  <si>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</si>
  <si>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</si>
  <si>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</si>
  <si>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</si>
  <si>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</si>
  <si>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</si>
  <si>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Bakery metrics ($'000; per-unit rows in $)</t>
  </si>
  <si>
    <t xml:space="preserve">Opening days in the year</t>
  </si>
  <si>
    <t xml:space="preserve">Retail transactions</t>
  </si>
  <si>
    <t xml:space="preserve">Average ticket ($)</t>
  </si>
  <si>
    <t xml:space="preserve">Wholesale accounts (year end; annual model: year average)</t>
  </si>
  <si>
    <t xml:space="preserve">Wholesale share of revenue</t>
  </si>
  <si>
    <t xml:space="preserve">Retail revenue per opening day ($)</t>
  </si>
  <si>
    <t xml:space="preserve">Waste cost (unsold retail production)</t>
  </si>
  <si>
    <t xml:space="preserve">Waste cost, % of retail revenue</t>
  </si>
  <si>
    <t xml:space="preserve">Wholesale delivery cost</t>
  </si>
  <si>
    <t xml:space="preserve">Payroll</t>
  </si>
  <si>
    <t xml:space="preserve">Prime cost (cost of sales + payroll) % of revenue</t>
  </si>
  <si>
    <t xml:space="preserve">Inputs — Low / Base / High</t>
  </si>
  <si>
    <t xml:space="preserve">Illustrative assumptions — replace them with your own numbers.</t>
  </si>
  <si>
    <t xml:space="preserve">Unit</t>
  </si>
  <si>
    <t xml:space="preserve">Source / comment</t>
  </si>
  <si>
    <t xml:space="preserve">Retail counter</t>
  </si>
  <si>
    <t xml:space="preserve">Customers per day at full traffic</t>
  </si>
  <si>
    <t xml:space="preserve">#</t>
  </si>
  <si>
    <t xml:space="preserve">Low ≤ Base ≤ High</t>
  </si>
  <si>
    <t xml:space="preserve">Months to reach full traffic</t>
  </si>
  <si>
    <t xml:space="preserve">months</t>
  </si>
  <si>
    <t xml:space="preserve">Low ≥ Base ≥ High (lower is better)</t>
  </si>
  <si>
    <t xml:space="preserve">Opening traffic, % of full</t>
  </si>
  <si>
    <t xml:space="preserve">%</t>
  </si>
  <si>
    <t xml:space="preserve">Traffic growth per year (after year 1)</t>
  </si>
  <si>
    <t xml:space="preserve">Average ticket per customer (year 1)</t>
  </si>
  <si>
    <t xml:space="preserve">$</t>
  </si>
  <si>
    <t xml:space="preserve">Price increase per year</t>
  </si>
  <si>
    <t xml:space="preserve">Opening days per week</t>
  </si>
  <si>
    <t xml:space="preserve">days</t>
  </si>
  <si>
    <t xml:space="preserve">Holiday uplift, Nov-Dec (monthly models)</t>
  </si>
  <si>
    <t xml:space="preserve">Wholesale</t>
  </si>
  <si>
    <t xml:space="preserve">Wholesale accounts at full ramp (year 1)</t>
  </si>
  <si>
    <t xml:space="preserve">Wholesale accounts growth per year</t>
  </si>
  <si>
    <t xml:space="preserve">Order value per account per week (year 1)</t>
  </si>
  <si>
    <t xml:space="preserve">Deliveries per account per week</t>
  </si>
  <si>
    <t xml:space="preserve">Delivery cost per drop (driver, fuel, van)</t>
  </si>
  <si>
    <t xml:space="preserve">Ingredients of items sold, % of retail sales (excl. waste)</t>
  </si>
  <si>
    <t xml:space="preserve">Ingredients of items sold, % of wholesale sales</t>
  </si>
  <si>
    <t xml:space="preserve">Retail production baked but not sold (waste)</t>
  </si>
  <si>
    <t xml:space="preserve">Packaging, % of sales</t>
  </si>
  <si>
    <t xml:space="preserve">Operating costs</t>
  </si>
  <si>
    <t xml:space="preserve">Rent per month</t>
  </si>
  <si>
    <t xml:space="preserve">Utilities per month (gas, power, water)</t>
  </si>
  <si>
    <t xml:space="preserve">Equipment repairs &amp; cleaning per month</t>
  </si>
  <si>
    <t xml:space="preserve">Card processing fees, % of retail sales</t>
  </si>
  <si>
    <t xml:space="preserve">Insurance, licences &amp; other G&amp;A per month</t>
  </si>
  <si>
    <t xml:space="preserve">Equipment</t>
  </si>
  <si>
    <t xml:space="preserve">Fit-out &amp; equipment: ovens, mixers, cases</t>
  </si>
  <si>
    <t xml:space="preserve">Equipment replacement per year (from year 2)</t>
  </si>
  <si>
    <t xml:space="preserve">Headcount</t>
  </si>
  <si>
    <t xml:space="preserve">Bakers &amp; production: headcount (FTE)</t>
  </si>
  <si>
    <t xml:space="preserve">FTE</t>
  </si>
  <si>
    <t xml:space="preserve">Bakers &amp; production: salary per FTE per year</t>
  </si>
  <si>
    <t xml:space="preserve">Bakers &amp; production: headcount growth per year</t>
  </si>
  <si>
    <t xml:space="preserve">Bakers &amp; production: first month on payroll</t>
  </si>
  <si>
    <t xml:space="preserve">month #</t>
  </si>
  <si>
    <t xml:space="preserve">Counter staff: headcount (FTE)</t>
  </si>
  <si>
    <t xml:space="preserve">Counter staff: salary per FTE per year</t>
  </si>
  <si>
    <t xml:space="preserve">Counter staff: headcount growth per year</t>
  </si>
  <si>
    <t xml:space="preserve">Counter staff: first month on payroll</t>
  </si>
  <si>
    <t xml:space="preserve">Manager: headcount (FTE)</t>
  </si>
  <si>
    <t xml:space="preserve">Manager: salary per FTE per year</t>
  </si>
  <si>
    <t xml:space="preserve">Manager: headcount growth per year</t>
  </si>
  <si>
    <t xml:space="preserve">Manager: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</si>
  <si>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</si>
  <si>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</si>
  <si>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</si>
  <si>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</si>
  <si>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</si>
  <si>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</si>
  <si>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</si>
  <si>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</si>
  <si>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</si>
  <si>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</si>
  <si>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</si>
  <si>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</si>
  <si>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</si>
  <si>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</si>
  <si>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</si>
  <si>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</si>
  <si>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</si>
  <si>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</si>
  <si>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</si>
  <si>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</si>
  <si>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</si>
  <si>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</si>
  <si>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</si>
  <si>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</si>
  <si>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Payroll (bakers, counter, manager)</t>
  </si>
  <si>
    <t xml:space="preserve">Rent</t>
  </si>
  <si>
    <t xml:space="preserve">Utilities (ovens)</t>
  </si>
  <si>
    <t xml:space="preserve">Wholesale delivery</t>
  </si>
  <si>
    <t xml:space="preserve">Equipment repairs &amp; cleaning</t>
  </si>
  <si>
    <t xml:space="preserve">Marketing</t>
  </si>
  <si>
    <t xml:space="preserve">Card processing fees</t>
  </si>
  <si>
    <t xml:space="preserve">Insurance, licences &amp; other G&amp;A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</si>
  <si>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</si>
  <si>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</si>
  <si>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</si>
  <si>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</si>
  <si>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</si>
  <si>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</si>
  <si>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</si>
  <si>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</si>
  <si>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</si>
  <si>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</si>
  <si>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</si>
  <si>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</si>
  <si>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</si>
  <si>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</si>
  <si>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</si>
  <si>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</si>
  <si>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</si>
  <si>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</si>
  <si>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</si>
  <si>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</si>
  <si>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</si>
  <si>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</si>
  <si>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</si>
  <si>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</si>
  <si>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</si>
  <si>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</si>
  <si>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</si>
  <si>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</si>
  <si>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</si>
  <si>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</si>
  <si>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</si>
  <si>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</si>
  <si>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</si>
  <si>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</si>
  <si>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</si>
  <si>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</si>
  <si>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</si>
  <si>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</si>
  <si>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</si>
  <si>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</si>
  <si>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</si>
  <si>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</si>
  <si>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</si>
  <si>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</si>
  <si>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</si>
  <si>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</si>
  <si>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</si>
  <si>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</si>
  <si>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</si>
  <si>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</si>
  <si>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</si>
  <si>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</si>
  <si>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</si>
  <si>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</si>
  <si>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</si>
  <si>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</si>
  <si>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</si>
  <si>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</si>
  <si>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</si>
  <si>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</si>
  <si>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</si>
  <si>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</si>
  <si>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</si>
  <si>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</si>
  <si>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</si>
  <si>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</si>
  <si>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</si>
  <si>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</si>
  <si>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</si>
  <si>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</si>
  <si>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Traffic ramp factor</t>
  </si>
  <si>
    <t xml:space="preserve">Season factor (November-December peak, added to the ramp)</t>
  </si>
  <si>
    <t xml:space="preserve">Customers per day</t>
  </si>
  <si>
    <t xml:space="preserve">Opening days in period</t>
  </si>
  <si>
    <t xml:space="preserve">Average ticket</t>
  </si>
  <si>
    <t xml:space="preserve">Retail revenue</t>
  </si>
  <si>
    <t xml:space="preserve">Order value per account per week</t>
  </si>
  <si>
    <t xml:space="preserve">Ingredients sold</t>
  </si>
  <si>
    <t xml:space="preserve">Waste (retail production not sold, at ingredient cost)</t>
  </si>
  <si>
    <t xml:space="preserve">Packaging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</si>
  <si>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</si>
  <si>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</si>
  <si>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</si>
  <si>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</si>
  <si>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</si>
  <si>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Capital spending (fit-out, ovens, mixers, display cases)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</si>
  <si>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</si>
  <si>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</si>
  <si>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</si>
  <si>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</si>
  <si>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</si>
  <si>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</si>
  <si>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</si>
  <si>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</si>
  <si>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</si>
  <si>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</si>
  <si>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</si>
  <si>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</si>
  <si>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</si>
  <si>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</si>
  <si>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</si>
  <si>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</si>
  <si>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</si>
  <si>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</si>
  <si>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</si>
  <si>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</si>
  <si>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Bakers &amp; production — FTE</t>
  </si>
  <si>
    <t xml:space="preserve">Counter staff — FTE</t>
  </si>
  <si>
    <t xml:space="preserve">Manager — FTE</t>
  </si>
  <si>
    <t xml:space="preserve">Total FTE</t>
  </si>
  <si>
    <t xml:space="preserve">Payroll cost (salary + taxes &amp; benefits)</t>
  </si>
  <si>
    <t xml:space="preserve">Bakers &amp; production — payroll cost</t>
  </si>
  <si>
    <t xml:space="preserve">Counter staff — payroll cost</t>
  </si>
  <si>
    <t xml:space="preserve">Manager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</si>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</sst>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#,##0.0;\(#,##0.0\);\-"/>
    <numFmt numFmtId="177" formatCode="&quot;Month &quot;0"/>
    <numFmt numFmtId="178" formatCode="\$#,##0.0,,\M"/>
    <numFmt numFmtId="179" formatCode="0%"/>
    <numFmt numFmtId="180" formatCode="\M0"/>
    <numFmt numFmtId="181" formatCode="\$#,##0,\K"/>
    <numFmt numFmtId="182" formatCode="#,##0;\(#,##0\);\-"/>
    <numFmt numFmtId="183" formatCode="\$#,##0.00;&quot;($&quot;#,##0.00\);\-"/>
    <numFmt numFmtId="184" formatCode="#,##0.0;\(#,##0.0\);\-"/>
    <numFmt numFmtId="185" formatCode="\$#,##0;&quot;($&quot;#,##0\);\-"/>
    <numFmt numFmtId="186" formatCode="0.0%;\(0.0%\);\-"/>
    <numFmt numFmtId="187" formatCode="0"/>
    <numFmt numFmtId="188" formatCode="0.0\x"/>
    <numFmt numFmtId="189" formatCode="0.000"/>
    <numFmt numFmtId="190" formatCode="0.0\x;\(0.0&quot;x)&quot;;\-"/>
    <numFmt numFmtId="191" formatCode="\$#,##0.00"/>
    <numFmt numFmtId="192" formatCode="[&gt;=1000000]\$#,##0.0,,\M;[&gt;=1000]\$#,##0,\k;\$#,##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Dashboard!$B$12:$F$12</c:f>
              <c:numCache>
                <c:formatCode>\$#,##0,;"($"#,##0,\);\-</c:formatCode>
                <c:ptCount val="5"/>
                <c:pt idx="0">
                  <c:v>1577472</c:v>
                </c:pt>
                <c:pt idx="1">
                  <c:v>1736372.352</c:v>
                </c:pt>
                <c:pt idx="2">
                  <c:v>1890162.8563584</c:v>
                </c:pt>
                <c:pt idx="3">
                  <c:v>2060698.9801917</c:v>
                </c:pt>
                <c:pt idx="4">
                  <c:v>2250134.06558979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Dashboard!$B$16:$F$16</c:f>
              <c:numCache>
                <c:formatCode>\$#,##0,;"($"#,##0,\);\-</c:formatCode>
                <c:ptCount val="5"/>
                <c:pt idx="0">
                  <c:v>145357.010285714</c:v>
                </c:pt>
                <c:pt idx="1">
                  <c:v>193289.208996572</c:v>
                </c:pt>
                <c:pt idx="2">
                  <c:v>233403.120666446</c:v>
                </c:pt>
                <c:pt idx="3">
                  <c:v>278784.792162417</c:v>
                </c:pt>
                <c:pt idx="4">
                  <c:v>330280.299465202</c:v>
                </c:pt>
              </c:numCache>
            </c:numRef>
          </c:val>
        </c:ser>
        <c:gapWidth val="60"/>
        <c:overlap val="0"/>
        <c:axId val="48022259"/>
        <c:axId val="5863650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Dashboard!$B$17:$F$17</c:f>
              <c:numCache>
                <c:formatCode>0.0%;\(0.0%\);\-</c:formatCode>
                <c:ptCount val="5"/>
                <c:pt idx="0">
                  <c:v>0.0921455406407939</c:v>
                </c:pt>
                <c:pt idx="1">
                  <c:v>0.111317833858582</c:v>
                </c:pt>
                <c:pt idx="2">
                  <c:v>0.123483074424667</c:v>
                </c:pt>
                <c:pt idx="3">
                  <c:v>0.13528651920645</c:v>
                </c:pt>
                <c:pt idx="4">
                  <c:v>0.14678249821467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2926719"/>
        <c:axId val="58033203"/>
      </c:lineChart>
      <c:catAx>
        <c:axId val="4802225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863650"/>
        <c:crosses val="autoZero"/>
        <c:auto val="1"/>
        <c:lblAlgn val="ctr"/>
        <c:lblOffset val="100"/>
        <c:noMultiLvlLbl val="0"/>
      </c:catAx>
      <c:valAx>
        <c:axId val="586365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8022259"/>
        <c:crosses val="autoZero"/>
        <c:crossBetween val="between"/>
      </c:valAx>
      <c:catAx>
        <c:axId val="72926719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8033203"/>
        <c:crosses val="autoZero"/>
        <c:auto val="1"/>
        <c:lblAlgn val="ctr"/>
        <c:lblOffset val="100"/>
        <c:noMultiLvlLbl val="0"/>
      </c:catAx>
      <c:valAx>
        <c:axId val="58033203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292671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Dashboard!$B$20:$F$20</c:f>
              <c:numCache>
                <c:formatCode>\$#,##0,;"($"#,##0,\);\-</c:formatCode>
                <c:ptCount val="5"/>
                <c:pt idx="0">
                  <c:v>90917.286776508</c:v>
                </c:pt>
                <c:pt idx="1">
                  <c:v>150047.062285958</c:v>
                </c:pt>
                <c:pt idx="2">
                  <c:v>183063.518677316</c:v>
                </c:pt>
                <c:pt idx="3">
                  <c:v>220221.656814303</c:v>
                </c:pt>
                <c:pt idx="4">
                  <c:v>262187.190108123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Dashboard!$B$21:$F$21</c:f>
              <c:numCache>
                <c:formatCode>\$#,##0,;"($"#,##0,\);\-</c:formatCode>
                <c:ptCount val="5"/>
                <c:pt idx="0">
                  <c:v>-90000</c:v>
                </c:pt>
                <c:pt idx="1">
                  <c:v>-14000</c:v>
                </c:pt>
                <c:pt idx="2">
                  <c:v>-14000</c:v>
                </c:pt>
                <c:pt idx="3">
                  <c:v>-14000</c:v>
                </c:pt>
                <c:pt idx="4">
                  <c:v>-14000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Dashboard!$B$22:$F$22</c:f>
              <c:numCache>
                <c:formatCode>\$#,##0,;"($"#,##0,\);\-</c:formatCode>
                <c:ptCount val="5"/>
                <c:pt idx="0">
                  <c:v>125333.333333333</c:v>
                </c:pt>
                <c:pt idx="1">
                  <c:v>-16000</c:v>
                </c:pt>
                <c:pt idx="2">
                  <c:v>-16000</c:v>
                </c:pt>
                <c:pt idx="3">
                  <c:v>-16000</c:v>
                </c:pt>
                <c:pt idx="4">
                  <c:v>-16000</c:v>
                </c:pt>
              </c:numCache>
            </c:numRef>
          </c:val>
        </c:ser>
        <c:gapWidth val="60"/>
        <c:overlap val="0"/>
        <c:axId val="81887683"/>
        <c:axId val="85130610"/>
      </c:barChart>
      <c:catAx>
        <c:axId val="8188768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130610"/>
        <c:crosses val="autoZero"/>
        <c:auto val="1"/>
        <c:lblAlgn val="ctr"/>
        <c:lblOffset val="100"/>
        <c:noMultiLvlLbl val="0"/>
      </c:catAx>
      <c:valAx>
        <c:axId val="8513061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8876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Dashboard!$B$24:$F$24</c:f>
              <c:numCache>
                <c:formatCode>\$#,##0,;"($"#,##0,\);\-</c:formatCode>
                <c:ptCount val="5"/>
                <c:pt idx="0">
                  <c:v>126250.620109841</c:v>
                </c:pt>
                <c:pt idx="1">
                  <c:v>246297.6823958</c:v>
                </c:pt>
                <c:pt idx="2">
                  <c:v>399361.201073116</c:v>
                </c:pt>
                <c:pt idx="3">
                  <c:v>589582.857887419</c:v>
                </c:pt>
                <c:pt idx="4">
                  <c:v>821770.047995542</c:v>
                </c:pt>
              </c:numCache>
            </c:numRef>
          </c:val>
        </c:ser>
        <c:gapWidth val="60"/>
        <c:overlap val="0"/>
        <c:axId val="81635857"/>
        <c:axId val="79895674"/>
      </c:barChart>
      <c:catAx>
        <c:axId val="8163585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9895674"/>
        <c:crosses val="autoZero"/>
        <c:auto val="1"/>
        <c:lblAlgn val="ctr"/>
        <c:lblOffset val="100"/>
        <c:noMultiLvlLbl val="0"/>
      </c:catAx>
      <c:valAx>
        <c:axId val="7989567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6358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Retail and wholesale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Retail counter 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Dashboard!$B$28:$F$28</c:f>
              <c:numCache>
                <c:formatCode>\$#,##0,;"($"#,##0,\);\-</c:formatCode>
                <c:ptCount val="5"/>
                <c:pt idx="0">
                  <c:v>1133808</c:v>
                </c:pt>
                <c:pt idx="1">
                  <c:v>1218082.944</c:v>
                </c:pt>
                <c:pt idx="2">
                  <c:v>1292264.1952896</c:v>
                </c:pt>
                <c:pt idx="3">
                  <c:v>1370963.08478274</c:v>
                </c:pt>
                <c:pt idx="4">
                  <c:v>1454454.73664601</c:v>
                </c:pt>
              </c:numCache>
            </c:numRef>
          </c:val>
        </c:ser>
        <c:ser>
          <c:idx val="1"/>
          <c:order val="1"/>
          <c:tx>
            <c:strRef>
              <c:f>Dashboard!$A$29</c:f>
              <c:strCache>
                <c:ptCount val="1"/>
                <c:pt idx="0">
                  <c:v>Wholesale revenue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Dashboard!$B$29:$F$29</c:f>
              <c:numCache>
                <c:formatCode>\$#,##0,;"($"#,##0,\);\-</c:formatCode>
                <c:ptCount val="5"/>
                <c:pt idx="0">
                  <c:v>443664</c:v>
                </c:pt>
                <c:pt idx="1">
                  <c:v>518289.408</c:v>
                </c:pt>
                <c:pt idx="2">
                  <c:v>597898.6610688</c:v>
                </c:pt>
                <c:pt idx="3">
                  <c:v>689735.895408968</c:v>
                </c:pt>
                <c:pt idx="4">
                  <c:v>795679.328943786</c:v>
                </c:pt>
              </c:numCache>
            </c:numRef>
          </c:val>
        </c:ser>
        <c:gapWidth val="60"/>
        <c:overlap val="100"/>
        <c:axId val="50854901"/>
        <c:axId val="45603540"/>
      </c:barChart>
      <c:catAx>
        <c:axId val="5085490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5603540"/>
        <c:crosses val="autoZero"/>
        <c:auto val="1"/>
        <c:lblAlgn val="ctr"/>
        <c:lblOffset val="100"/>
        <c:noMultiLvlLbl val="0"/>
      </c:catAx>
      <c:valAx>
        <c:axId val="4560354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08549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115980.8</c:v>
                </c:pt>
                <c:pt idx="1">
                  <c:v>122636.8</c:v>
                </c:pt>
                <c:pt idx="2">
                  <c:v>129292.8</c:v>
                </c:pt>
                <c:pt idx="3">
                  <c:v>129292.8</c:v>
                </c:pt>
                <c:pt idx="4">
                  <c:v>129292.8</c:v>
                </c:pt>
                <c:pt idx="5">
                  <c:v>129292.8</c:v>
                </c:pt>
                <c:pt idx="6">
                  <c:v>129292.8</c:v>
                </c:pt>
                <c:pt idx="7">
                  <c:v>129292.8</c:v>
                </c:pt>
                <c:pt idx="8">
                  <c:v>129292.8</c:v>
                </c:pt>
                <c:pt idx="9">
                  <c:v>129292.8</c:v>
                </c:pt>
                <c:pt idx="10">
                  <c:v>152256</c:v>
                </c:pt>
                <c:pt idx="11">
                  <c:v>152256</c:v>
                </c:pt>
              </c:numCache>
            </c:numRef>
          </c:val>
        </c:ser>
        <c:gapWidth val="60"/>
        <c:overlap val="0"/>
        <c:axId val="2564530"/>
        <c:axId val="32599354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2402.04921904762</c:v>
                </c:pt>
                <c:pt idx="1">
                  <c:v>6522.54293333335</c:v>
                </c:pt>
                <c:pt idx="2">
                  <c:v>10643.0366476191</c:v>
                </c:pt>
                <c:pt idx="3">
                  <c:v>10643.0366476191</c:v>
                </c:pt>
                <c:pt idx="4">
                  <c:v>10643.0366476191</c:v>
                </c:pt>
                <c:pt idx="5">
                  <c:v>10643.0366476191</c:v>
                </c:pt>
                <c:pt idx="6">
                  <c:v>10643.0366476191</c:v>
                </c:pt>
                <c:pt idx="7">
                  <c:v>10643.0366476191</c:v>
                </c:pt>
                <c:pt idx="8">
                  <c:v>10643.0366476191</c:v>
                </c:pt>
                <c:pt idx="9">
                  <c:v>10643.0366476191</c:v>
                </c:pt>
                <c:pt idx="10">
                  <c:v>25644.0624761905</c:v>
                </c:pt>
                <c:pt idx="11">
                  <c:v>25644.0624761905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603.523644952383</c:v>
                </c:pt>
                <c:pt idx="1">
                  <c:v>3862.44423479366</c:v>
                </c:pt>
                <c:pt idx="2">
                  <c:v>7125.09538019048</c:v>
                </c:pt>
                <c:pt idx="3">
                  <c:v>7132.55649130159</c:v>
                </c:pt>
                <c:pt idx="4">
                  <c:v>7140.0176024127</c:v>
                </c:pt>
                <c:pt idx="5">
                  <c:v>7147.47871352382</c:v>
                </c:pt>
                <c:pt idx="6">
                  <c:v>7154.93982463493</c:v>
                </c:pt>
                <c:pt idx="7">
                  <c:v>7162.40093574604</c:v>
                </c:pt>
                <c:pt idx="8">
                  <c:v>7169.86204685715</c:v>
                </c:pt>
                <c:pt idx="9">
                  <c:v>7177.32315796826</c:v>
                </c:pt>
                <c:pt idx="10">
                  <c:v>19035.5946736508</c:v>
                </c:pt>
                <c:pt idx="11">
                  <c:v>19043.0557847619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64530"/>
        <c:axId val="32599354"/>
      </c:lineChart>
      <c:catAx>
        <c:axId val="2564530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2599354"/>
        <c:crosses val="autoZero"/>
        <c:auto val="1"/>
        <c:lblAlgn val="ctr"/>
        <c:lblOffset val="100"/>
        <c:noMultiLvlLbl val="0"/>
      </c:catAx>
      <c:valAx>
        <c:axId val="3259935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5645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-14679.0409264762</c:v>
                </c:pt>
                <c:pt idx="1">
                  <c:v>3993.28994907936</c:v>
                </c:pt>
                <c:pt idx="2">
                  <c:v>7255.9410944762</c:v>
                </c:pt>
                <c:pt idx="3">
                  <c:v>8203.98506273016</c:v>
                </c:pt>
                <c:pt idx="4">
                  <c:v>8211.44617384128</c:v>
                </c:pt>
                <c:pt idx="5">
                  <c:v>8218.90728495239</c:v>
                </c:pt>
                <c:pt idx="6">
                  <c:v>8226.3683960635</c:v>
                </c:pt>
                <c:pt idx="7">
                  <c:v>8233.82950717461</c:v>
                </c:pt>
                <c:pt idx="8">
                  <c:v>8241.29061828572</c:v>
                </c:pt>
                <c:pt idx="9">
                  <c:v>8248.75172939683</c:v>
                </c:pt>
                <c:pt idx="10">
                  <c:v>16648.0335307936</c:v>
                </c:pt>
                <c:pt idx="11">
                  <c:v>20114.4843561905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-90000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140000</c:v>
                </c:pt>
                <c:pt idx="1">
                  <c:v>-1333.33333333333</c:v>
                </c:pt>
                <c:pt idx="2">
                  <c:v>-1333.33333333333</c:v>
                </c:pt>
                <c:pt idx="3">
                  <c:v>-1333.33333333333</c:v>
                </c:pt>
                <c:pt idx="4">
                  <c:v>-1333.33333333333</c:v>
                </c:pt>
                <c:pt idx="5">
                  <c:v>-1333.33333333333</c:v>
                </c:pt>
                <c:pt idx="6">
                  <c:v>-1333.33333333333</c:v>
                </c:pt>
                <c:pt idx="7">
                  <c:v>-1333.33333333333</c:v>
                </c:pt>
                <c:pt idx="8">
                  <c:v>-1333.33333333333</c:v>
                </c:pt>
                <c:pt idx="9">
                  <c:v>-1333.33333333333</c:v>
                </c:pt>
                <c:pt idx="10">
                  <c:v>-1333.33333333333</c:v>
                </c:pt>
                <c:pt idx="11">
                  <c:v>-1333.33333333333</c:v>
                </c:pt>
              </c:numCache>
            </c:numRef>
          </c:val>
        </c:ser>
        <c:gapWidth val="60"/>
        <c:overlap val="0"/>
        <c:axId val="68030076"/>
        <c:axId val="79380913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35320.9590735238</c:v>
                </c:pt>
                <c:pt idx="1">
                  <c:v>37980.9156892698</c:v>
                </c:pt>
                <c:pt idx="2">
                  <c:v>43903.5234504127</c:v>
                </c:pt>
                <c:pt idx="3">
                  <c:v>50774.1751798095</c:v>
                </c:pt>
                <c:pt idx="4">
                  <c:v>57652.2880203175</c:v>
                </c:pt>
                <c:pt idx="5">
                  <c:v>64537.8619719365</c:v>
                </c:pt>
                <c:pt idx="6">
                  <c:v>71430.8970346667</c:v>
                </c:pt>
                <c:pt idx="7">
                  <c:v>78331.393208508</c:v>
                </c:pt>
                <c:pt idx="8">
                  <c:v>85239.3504934604</c:v>
                </c:pt>
                <c:pt idx="9">
                  <c:v>92154.7688895239</c:v>
                </c:pt>
                <c:pt idx="10">
                  <c:v>107469.469086984</c:v>
                </c:pt>
                <c:pt idx="11">
                  <c:v>126250.620109841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53786"/>
        <c:axId val="88112308"/>
      </c:lineChart>
      <c:catAx>
        <c:axId val="68030076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9380913"/>
        <c:crosses val="autoZero"/>
        <c:auto val="1"/>
        <c:lblAlgn val="ctr"/>
        <c:lblOffset val="100"/>
        <c:noMultiLvlLbl val="0"/>
      </c:catAx>
      <c:valAx>
        <c:axId val="7938091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8030076"/>
        <c:crosses val="autoZero"/>
        <c:crossBetween val="between"/>
      </c:valAx>
      <c:catAx>
        <c:axId val="5553786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8112308"/>
        <c:crosses val="autoZero"/>
        <c:auto val="1"/>
        <c:lblAlgn val="ctr"/>
        <c:lblOffset val="100"/>
        <c:noMultiLvlLbl val="0"/>
      </c:catAx>
      <c:valAx>
        <c:axId val="88112308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55378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35320.9590735238</c:v>
                </c:pt>
                <c:pt idx="1">
                  <c:v>37980.9156892698</c:v>
                </c:pt>
                <c:pt idx="2">
                  <c:v>43903.5234504127</c:v>
                </c:pt>
                <c:pt idx="3">
                  <c:v>50774.1751798095</c:v>
                </c:pt>
                <c:pt idx="4">
                  <c:v>57652.2880203175</c:v>
                </c:pt>
                <c:pt idx="5">
                  <c:v>64537.8619719365</c:v>
                </c:pt>
                <c:pt idx="6">
                  <c:v>71430.8970346667</c:v>
                </c:pt>
                <c:pt idx="7">
                  <c:v>78331.393208508</c:v>
                </c:pt>
                <c:pt idx="8">
                  <c:v>85239.3504934604</c:v>
                </c:pt>
                <c:pt idx="9">
                  <c:v>92154.7688895239</c:v>
                </c:pt>
                <c:pt idx="10">
                  <c:v>107469.469086984</c:v>
                </c:pt>
                <c:pt idx="11">
                  <c:v>126250.620109841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34794.24</c:v>
                </c:pt>
                <c:pt idx="1">
                  <c:v>36791.04</c:v>
                </c:pt>
                <c:pt idx="2">
                  <c:v>38787.84</c:v>
                </c:pt>
                <c:pt idx="3">
                  <c:v>38787.84</c:v>
                </c:pt>
                <c:pt idx="4">
                  <c:v>38787.84</c:v>
                </c:pt>
                <c:pt idx="5">
                  <c:v>38787.84</c:v>
                </c:pt>
                <c:pt idx="6">
                  <c:v>38787.84</c:v>
                </c:pt>
                <c:pt idx="7">
                  <c:v>38787.84</c:v>
                </c:pt>
                <c:pt idx="8">
                  <c:v>38787.84</c:v>
                </c:pt>
                <c:pt idx="9">
                  <c:v>38787.84</c:v>
                </c:pt>
                <c:pt idx="10">
                  <c:v>45676.8</c:v>
                </c:pt>
                <c:pt idx="11">
                  <c:v>45676.8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88928.5714285714</c:v>
                </c:pt>
                <c:pt idx="1">
                  <c:v>87857.1428571429</c:v>
                </c:pt>
                <c:pt idx="2">
                  <c:v>86785.7142857143</c:v>
                </c:pt>
                <c:pt idx="3">
                  <c:v>85714.2857142857</c:v>
                </c:pt>
                <c:pt idx="4">
                  <c:v>84642.8571428571</c:v>
                </c:pt>
                <c:pt idx="5">
                  <c:v>83571.4285714286</c:v>
                </c:pt>
                <c:pt idx="6">
                  <c:v>82500</c:v>
                </c:pt>
                <c:pt idx="7">
                  <c:v>81428.5714285714</c:v>
                </c:pt>
                <c:pt idx="8">
                  <c:v>80357.1428571429</c:v>
                </c:pt>
                <c:pt idx="9">
                  <c:v>79285.7142857143</c:v>
                </c:pt>
                <c:pt idx="10">
                  <c:v>78214.2857142857</c:v>
                </c:pt>
                <c:pt idx="11">
                  <c:v>77142.8571428571</c:v>
                </c:pt>
              </c:numCache>
            </c:numRef>
          </c:val>
        </c:ser>
        <c:gapWidth val="60"/>
        <c:overlap val="100"/>
        <c:axId val="31081946"/>
        <c:axId val="94233894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60603.5236449524</c:v>
                </c:pt>
                <c:pt idx="1">
                  <c:v>64465.967879746</c:v>
                </c:pt>
                <c:pt idx="2">
                  <c:v>71591.0632599365</c:v>
                </c:pt>
                <c:pt idx="3">
                  <c:v>78723.6197512381</c:v>
                </c:pt>
                <c:pt idx="4">
                  <c:v>85863.6373536508</c:v>
                </c:pt>
                <c:pt idx="5">
                  <c:v>93011.1160671746</c:v>
                </c:pt>
                <c:pt idx="6">
                  <c:v>100166.05589181</c:v>
                </c:pt>
                <c:pt idx="7">
                  <c:v>107328.456827556</c:v>
                </c:pt>
                <c:pt idx="8">
                  <c:v>114498.318874413</c:v>
                </c:pt>
                <c:pt idx="9">
                  <c:v>121675.642032381</c:v>
                </c:pt>
                <c:pt idx="10">
                  <c:v>140711.236706032</c:v>
                </c:pt>
                <c:pt idx="11">
                  <c:v>159754.292490794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081946"/>
        <c:axId val="94233894"/>
      </c:lineChart>
      <c:catAx>
        <c:axId val="31081946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4233894"/>
        <c:crosses val="autoZero"/>
        <c:auto val="1"/>
        <c:lblAlgn val="ctr"/>
        <c:lblOffset val="100"/>
        <c:noMultiLvlLbl val="0"/>
      </c:catAx>
      <c:valAx>
        <c:axId val="9423389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10819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Scenarios!$B$30:$F$30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Scenarios!$B$31:$F$31</c:f>
              <c:numCache>
                <c:formatCode>\$#,##0,;"($"#,##0,\);\-</c:formatCode>
                <c:ptCount val="5"/>
                <c:pt idx="0">
                  <c:v>1333410</c:v>
                </c:pt>
                <c:pt idx="1">
                  <c:v>1433034.72</c:v>
                </c:pt>
                <c:pt idx="2">
                  <c:v>1502897.501664</c:v>
                </c:pt>
                <c:pt idx="3">
                  <c:v>1577571.18885925</c:v>
                </c:pt>
                <c:pt idx="4">
                  <c:v>1657475.49756452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Scenarios!$A$32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Scenarios!$B$30:$F$30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Scenarios!$B$32:$F$32</c:f>
              <c:numCache>
                <c:formatCode>\$#,##0,;"($"#,##0,\);\-</c:formatCode>
                <c:ptCount val="5"/>
                <c:pt idx="0">
                  <c:v>1577472</c:v>
                </c:pt>
                <c:pt idx="1">
                  <c:v>1736372.352</c:v>
                </c:pt>
                <c:pt idx="2">
                  <c:v>1890162.8563584</c:v>
                </c:pt>
                <c:pt idx="3">
                  <c:v>2060698.9801917</c:v>
                </c:pt>
                <c:pt idx="4">
                  <c:v>2250134.06558979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Scenarios!$B$30:$F$30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Scenarios!$B$33:$F$33</c:f>
              <c:numCache>
                <c:formatCode>\$#,##0,;"($"#,##0,\);\-</c:formatCode>
                <c:ptCount val="5"/>
                <c:pt idx="0">
                  <c:v>1838308.33333333</c:v>
                </c:pt>
                <c:pt idx="1">
                  <c:v>2081387.776</c:v>
                </c:pt>
                <c:pt idx="2">
                  <c:v>2351961.9395584</c:v>
                </c:pt>
                <c:pt idx="3">
                  <c:v>2663752.37732172</c:v>
                </c:pt>
                <c:pt idx="4">
                  <c:v>3023920.14683572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2529034"/>
        <c:axId val="95453704"/>
      </c:lineChart>
      <c:catAx>
        <c:axId val="2252903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5453704"/>
        <c:crosses val="autoZero"/>
        <c:auto val="1"/>
        <c:lblAlgn val="ctr"/>
        <c:lblOffset val="100"/>
        <c:noMultiLvlLbl val="0"/>
      </c:catAx>
      <c:valAx>
        <c:axId val="9545370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25290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Scenarios!$A$37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Scenarios!$B$36:$F$36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Scenarios!$B$37:$F$37</c:f>
              <c:numCache>
                <c:formatCode>\$#,##0,;"($"#,##0,\);\-</c:formatCode>
                <c:ptCount val="5"/>
                <c:pt idx="0">
                  <c:v>-38197.938988764</c:v>
                </c:pt>
                <c:pt idx="1">
                  <c:v>-28572.90510382</c:v>
                </c:pt>
                <c:pt idx="2">
                  <c:v>-41038.3232456356</c:v>
                </c:pt>
                <c:pt idx="3">
                  <c:v>-55429.6897021274</c:v>
                </c:pt>
                <c:pt idx="4">
                  <c:v>-71930.0447401829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Scenarios!$A$38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Scenarios!$B$36:$F$36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Scenarios!$B$38:$F$38</c:f>
              <c:numCache>
                <c:formatCode>\$#,##0,;"($"#,##0,\);\-</c:formatCode>
                <c:ptCount val="5"/>
                <c:pt idx="0">
                  <c:v>145357.010285714</c:v>
                </c:pt>
                <c:pt idx="1">
                  <c:v>193289.208996572</c:v>
                </c:pt>
                <c:pt idx="2">
                  <c:v>233403.120666446</c:v>
                </c:pt>
                <c:pt idx="3">
                  <c:v>278784.792162417</c:v>
                </c:pt>
                <c:pt idx="4">
                  <c:v>330280.299465202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Scenarios!$A$39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Scenarios!$B$36:$F$36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Scenarios!$B$39:$F$39</c:f>
              <c:numCache>
                <c:formatCode>\$#,##0,;"($"#,##0,\);\-</c:formatCode>
                <c:ptCount val="5"/>
                <c:pt idx="0">
                  <c:v>350866.401924731</c:v>
                </c:pt>
                <c:pt idx="1">
                  <c:v>455669.066789162</c:v>
                </c:pt>
                <c:pt idx="2">
                  <c:v>573037.014949662</c:v>
                </c:pt>
                <c:pt idx="3">
                  <c:v>711231.295754881</c:v>
                </c:pt>
                <c:pt idx="4">
                  <c:v>874226.075013292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1106885"/>
        <c:axId val="40032125"/>
      </c:lineChart>
      <c:catAx>
        <c:axId val="9110688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0032125"/>
        <c:crosses val="autoZero"/>
        <c:auto val="1"/>
        <c:lblAlgn val="ctr"/>
        <c:lblOffset val="100"/>
        <c:noMultiLvlLbl val="0"/>
      </c:catAx>
      <c:valAx>
        <c:axId val="4003212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1068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Scenarios!$A$43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Scenarios!$B$42:$F$42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Scenarios!$B$43:$F$43</c:f>
              <c:numCache>
                <c:formatCode>\$#,##0,;"($"#,##0,\);\-</c:formatCode>
                <c:ptCount val="5"/>
                <c:pt idx="0">
                  <c:v>-57283.692957018</c:v>
                </c:pt>
                <c:pt idx="1">
                  <c:v>-47386.7146276295</c:v>
                </c:pt>
                <c:pt idx="2">
                  <c:v>-60492.1327694451</c:v>
                </c:pt>
                <c:pt idx="3">
                  <c:v>-75523.499225937</c:v>
                </c:pt>
                <c:pt idx="4">
                  <c:v>-92663.8542639925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Scenarios!$A$44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Scenarios!$B$42:$F$42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Scenarios!$B$44:$F$44</c:f>
              <c:numCache>
                <c:formatCode>\$#,##0,;"($"#,##0,\);\-</c:formatCode>
                <c:ptCount val="5"/>
                <c:pt idx="0">
                  <c:v>99754.2924907937</c:v>
                </c:pt>
                <c:pt idx="1">
                  <c:v>137835.565583482</c:v>
                </c:pt>
                <c:pt idx="2">
                  <c:v>169019.955802683</c:v>
                </c:pt>
                <c:pt idx="3">
                  <c:v>204365.8762845</c:v>
                </c:pt>
                <c:pt idx="4">
                  <c:v>244541.7270537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Scenarios!$B$42:$F$42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Scenarios!$B$45:$F$45</c:f>
              <c:numCache>
                <c:formatCode>\$#,##0,;"($"#,##0,\);\-</c:formatCode>
                <c:ptCount val="5"/>
                <c:pt idx="0">
                  <c:v>262106.711885617</c:v>
                </c:pt>
                <c:pt idx="1">
                  <c:v>345115.653239628</c:v>
                </c:pt>
                <c:pt idx="2">
                  <c:v>437330.732286423</c:v>
                </c:pt>
                <c:pt idx="3">
                  <c:v>545998.614122547</c:v>
                </c:pt>
                <c:pt idx="4">
                  <c:v>674258.889736691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291507"/>
        <c:axId val="56515654"/>
      </c:lineChart>
      <c:catAx>
        <c:axId val="4529150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6515654"/>
        <c:crosses val="autoZero"/>
        <c:auto val="1"/>
        <c:lblAlgn val="ctr"/>
        <c:lblOffset val="100"/>
        <c:noMultiLvlLbl val="0"/>
      </c:catAx>
      <c:valAx>
        <c:axId val="5651565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529150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Scenarios!$A$49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Scenarios!$B$48:$F$48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Scenarios!$B$49:$F$49</c:f>
              <c:numCache>
                <c:formatCode>\$#,##0,;"($"#,##0,\);\-</c:formatCode>
                <c:ptCount val="5"/>
                <c:pt idx="0">
                  <c:v>-26396.735792759</c:v>
                </c:pt>
                <c:pt idx="1">
                  <c:v>-90584.7504045041</c:v>
                </c:pt>
                <c:pt idx="2">
                  <c:v>-165922.856524377</c:v>
                </c:pt>
                <c:pt idx="3">
                  <c:v>-254340.614410063</c:v>
                </c:pt>
                <c:pt idx="4">
                  <c:v>-357950.963568038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Scenarios!$A$50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Scenarios!$B$48:$F$48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Scenarios!$B$50:$F$50</c:f>
              <c:numCache>
                <c:formatCode>\$#,##0,;"($"#,##0,\);\-</c:formatCode>
                <c:ptCount val="5"/>
                <c:pt idx="0">
                  <c:v>126250.620109841</c:v>
                </c:pt>
                <c:pt idx="1">
                  <c:v>246297.6823958</c:v>
                </c:pt>
                <c:pt idx="2">
                  <c:v>399361.201073116</c:v>
                </c:pt>
                <c:pt idx="3">
                  <c:v>589582.857887419</c:v>
                </c:pt>
                <c:pt idx="4">
                  <c:v>821770.047995542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Scenarios!$B$48:$F$48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Scenarios!$B$51:$F$51</c:f>
              <c:numCache>
                <c:formatCode>\$#,##0,;"($"#,##0,\);\-</c:formatCode>
                <c:ptCount val="5"/>
                <c:pt idx="0">
                  <c:v>283590.561753513</c:v>
                </c:pt>
                <c:pt idx="1">
                  <c:v>609501.34591394</c:v>
                </c:pt>
                <c:pt idx="2">
                  <c:v>1029195.7648786</c:v>
                </c:pt>
                <c:pt idx="3">
                  <c:v>1559057.60480711</c:v>
                </c:pt>
                <c:pt idx="4">
                  <c:v>2218597.84089389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4992201"/>
        <c:axId val="97748262"/>
      </c:lineChart>
      <c:catAx>
        <c:axId val="2499220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748262"/>
        <c:crosses val="autoZero"/>
        <c:auto val="1"/>
        <c:lblAlgn val="ctr"/>
        <c:lblOffset val="100"/>
        <c:noMultiLvlLbl val="0"/>
      </c:catAx>
      <c:valAx>
        <c:axId val="9774826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49922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60000</c:v>
                </c:pt>
                <c:pt idx="1">
                  <c:v>80000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0</c:v>
                </c:pt>
                <c:pt idx="1">
                  <c:v>90000</c:v>
                </c:pt>
                <c:pt idx="2">
                  <c:v>14666.6666666667</c:v>
                </c:pt>
                <c:pt idx="3">
                  <c:v>126250.620109841</c:v>
                </c:pt>
              </c:numCache>
            </c:numRef>
          </c:val>
        </c:ser>
        <c:gapWidth val="60"/>
        <c:overlap val="0"/>
        <c:axId val="47960677"/>
        <c:axId val="88103651"/>
      </c:barChart>
      <c:catAx>
        <c:axId val="4796067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8103651"/>
        <c:crosses val="autoZero"/>
        <c:auto val="1"/>
        <c:lblAlgn val="ctr"/>
        <c:lblOffset val="100"/>
        <c:noMultiLvlLbl val="0"/>
      </c:catAx>
      <c:valAx>
        <c:axId val="8810365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7960677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KPIs!$B$7:$F$7</c:f>
              <c:numCache>
                <c:formatCode>0.0%;\(0.0%\);\-</c:formatCode>
                <c:ptCount val="5"/>
                <c:pt idx="0">
                  <c:v>0.68262706043956</c:v>
                </c:pt>
                <c:pt idx="1">
                  <c:v>0.681484687950486</c:v>
                </c:pt>
                <c:pt idx="2">
                  <c:v>0.680303108952588</c:v>
                </c:pt>
                <c:pt idx="3">
                  <c:v>0.6790846223299</c:v>
                </c:pt>
                <c:pt idx="4">
                  <c:v>0.677831939016661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KPIs!$B$8:$F$8</c:f>
              <c:numCache>
                <c:formatCode>0.0%;\(0.0%\);\-</c:formatCode>
                <c:ptCount val="5"/>
                <c:pt idx="0">
                  <c:v>0.0921455406407939</c:v>
                </c:pt>
                <c:pt idx="1">
                  <c:v>0.111317833858582</c:v>
                </c:pt>
                <c:pt idx="2">
                  <c:v>0.123483074424667</c:v>
                </c:pt>
                <c:pt idx="3">
                  <c:v>0.13528651920645</c:v>
                </c:pt>
                <c:pt idx="4">
                  <c:v>0.14678249821467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KPIs!$B$9:$F$9</c:f>
              <c:numCache>
                <c:formatCode>0.0%;\(0.0%\);\-</c:formatCode>
                <c:ptCount val="5"/>
                <c:pt idx="0">
                  <c:v>0.0632368070500102</c:v>
                </c:pt>
                <c:pt idx="1">
                  <c:v>0.0793813408885021</c:v>
                </c:pt>
                <c:pt idx="2">
                  <c:v>0.0894208428835164</c:v>
                </c:pt>
                <c:pt idx="3">
                  <c:v>0.0991730855641457</c:v>
                </c:pt>
                <c:pt idx="4">
                  <c:v>0.108678736433246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017449"/>
        <c:axId val="8342708"/>
      </c:lineChart>
      <c:catAx>
        <c:axId val="9701744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342708"/>
        <c:crosses val="autoZero"/>
        <c:auto val="1"/>
        <c:lblAlgn val="ctr"/>
        <c:lblOffset val="100"/>
        <c:noMultiLvlLbl val="0"/>
      </c:catAx>
      <c:valAx>
        <c:axId val="834270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0174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KPIs!$B$15:$F$15</c:f>
              <c:numCache>
                <c:formatCode>0.0%;\(0.0%\);\-</c:formatCode>
                <c:ptCount val="5"/>
                <c:pt idx="0">
                  <c:v>0.392939484519652</c:v>
                </c:pt>
                <c:pt idx="1">
                  <c:v>0.36443696566142</c:v>
                </c:pt>
                <c:pt idx="2">
                  <c:v>0.31650635821212</c:v>
                </c:pt>
                <c:pt idx="3">
                  <c:v>0.281701313336228</c:v>
                </c:pt>
                <c:pt idx="4">
                  <c:v>0.255411584147815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KPIs!$B$16:$F$16</c:f>
              <c:numCache>
                <c:formatCode>0.0%;\(0.0%\);\-</c:formatCode>
                <c:ptCount val="5"/>
                <c:pt idx="0">
                  <c:v>0.624423237307018</c:v>
                </c:pt>
                <c:pt idx="1">
                  <c:v>0.463172926911641</c:v>
                </c:pt>
                <c:pt idx="2">
                  <c:v>0.362229749088072</c:v>
                </c:pt>
                <c:pt idx="3">
                  <c:v>0.30458014989384</c:v>
                </c:pt>
                <c:pt idx="4">
                  <c:v>0.267107673164267</c:v>
                </c:pt>
              </c:numCache>
            </c:numRef>
          </c:val>
        </c:ser>
        <c:gapWidth val="60"/>
        <c:overlap val="0"/>
        <c:axId val="67072804"/>
        <c:axId val="77861155"/>
      </c:barChart>
      <c:catAx>
        <c:axId val="6707280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7861155"/>
        <c:crosses val="autoZero"/>
        <c:auto val="1"/>
        <c:lblAlgn val="ctr"/>
        <c:lblOffset val="100"/>
        <c:noMultiLvlLbl val="0"/>
      </c:catAx>
      <c:valAx>
        <c:axId val="7786115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70728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Retail transactions and average ticket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KPIs!$A$30</c:f>
              <c:strCache>
                <c:ptCount val="1"/>
                <c:pt idx="0">
                  <c:v>Retail transactions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KPIs!$B$30:$F$30</c:f>
              <c:numCache>
                <c:formatCode>#,##0;\(#,##0\);\-</c:formatCode>
                <c:ptCount val="5"/>
                <c:pt idx="0">
                  <c:v>98592</c:v>
                </c:pt>
                <c:pt idx="1">
                  <c:v>102835.2</c:v>
                </c:pt>
                <c:pt idx="2">
                  <c:v>105920.256</c:v>
                </c:pt>
                <c:pt idx="3">
                  <c:v>109097.86368</c:v>
                </c:pt>
                <c:pt idx="4">
                  <c:v>112370.7995904</c:v>
                </c:pt>
              </c:numCache>
            </c:numRef>
          </c:val>
        </c:ser>
        <c:gapWidth val="60"/>
        <c:overlap val="0"/>
        <c:axId val="47647656"/>
        <c:axId val="83464704"/>
      </c:barChart>
      <c:lineChart>
        <c:grouping val="standard"/>
        <c:varyColors val="0"/>
        <c:ser>
          <c:idx val="1"/>
          <c:order val="1"/>
          <c:tx>
            <c:strRef>
              <c:f>KPIs!$A$32</c:f>
              <c:strCache>
                <c:ptCount val="1"/>
                <c:pt idx="0">
                  <c:v>Average ticket ($)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KPIs!$B$32:$F$32</c:f>
              <c:numCache>
                <c:formatCode>\$#,##0.00;"($"#,##0.00\);\-</c:formatCode>
                <c:ptCount val="5"/>
                <c:pt idx="0">
                  <c:v>11.5</c:v>
                </c:pt>
                <c:pt idx="1">
                  <c:v>11.845</c:v>
                </c:pt>
                <c:pt idx="2">
                  <c:v>12.20035</c:v>
                </c:pt>
                <c:pt idx="3">
                  <c:v>12.5663605</c:v>
                </c:pt>
                <c:pt idx="4">
                  <c:v>12.943351315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6909131"/>
        <c:axId val="88092304"/>
      </c:lineChart>
      <c:catAx>
        <c:axId val="4764765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3464704"/>
        <c:crosses val="autoZero"/>
        <c:auto val="1"/>
        <c:lblAlgn val="ctr"/>
        <c:lblOffset val="100"/>
        <c:noMultiLvlLbl val="0"/>
      </c:catAx>
      <c:valAx>
        <c:axId val="8346470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7647656"/>
        <c:crosses val="autoZero"/>
        <c:crossBetween val="between"/>
      </c:valAx>
      <c:catAx>
        <c:axId val="36909131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8092304"/>
        <c:crosses val="autoZero"/>
        <c:auto val="1"/>
        <c:lblAlgn val="ctr"/>
        <c:lblOffset val="100"/>
        <c:noMultiLvlLbl val="0"/>
      </c:catAx>
      <c:valAx>
        <c:axId val="88092304"/>
        <c:scaling>
          <c:orientation val="minMax"/>
        </c:scaling>
        <c:delete val="0"/>
        <c:axPos val="r"/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690913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Waste and delivery cost, with prime cost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KPIs!$A$39</c:f>
              <c:strCache>
                <c:ptCount val="1"/>
                <c:pt idx="0">
                  <c:v>Waste cost (unsold retail production)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KPIs!$B$39:$F$39</c:f>
              <c:numCache>
                <c:formatCode>\$#,##0,;"($"#,##0,\);\-</c:formatCode>
                <c:ptCount val="5"/>
                <c:pt idx="0">
                  <c:v>26912.3657142857</c:v>
                </c:pt>
                <c:pt idx="1">
                  <c:v>28912.7380114286</c:v>
                </c:pt>
                <c:pt idx="2">
                  <c:v>30673.5237563246</c:v>
                </c:pt>
                <c:pt idx="3">
                  <c:v>32541.5413530847</c:v>
                </c:pt>
                <c:pt idx="4">
                  <c:v>34523.3212214876</c:v>
                </c:pt>
              </c:numCache>
            </c:numRef>
          </c:val>
        </c:ser>
        <c:ser>
          <c:idx val="1"/>
          <c:order val="1"/>
          <c:tx>
            <c:strRef>
              <c:f>KPIs!$A$41</c:f>
              <c:strCache>
                <c:ptCount val="1"/>
                <c:pt idx="0">
                  <c:v>Wholesale delivery cost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KPIs!$B$41:$F$41</c:f>
              <c:numCache>
                <c:formatCode>\$#,##0,;"($"#,##0,\);\-</c:formatCode>
                <c:ptCount val="5"/>
                <c:pt idx="0">
                  <c:v>36972</c:v>
                </c:pt>
                <c:pt idx="1">
                  <c:v>41932.8</c:v>
                </c:pt>
                <c:pt idx="2">
                  <c:v>46964.736</c:v>
                </c:pt>
                <c:pt idx="3">
                  <c:v>52600.50432</c:v>
                </c:pt>
                <c:pt idx="4">
                  <c:v>58912.5648384</c:v>
                </c:pt>
              </c:numCache>
            </c:numRef>
          </c:val>
        </c:ser>
        <c:gapWidth val="60"/>
        <c:overlap val="0"/>
        <c:axId val="81416235"/>
        <c:axId val="32682092"/>
      </c:barChart>
      <c:lineChart>
        <c:grouping val="standard"/>
        <c:varyColors val="0"/>
        <c:ser>
          <c:idx val="2"/>
          <c:order val="2"/>
          <c:tx>
            <c:strRef>
              <c:f>KPIs!$A$46</c:f>
              <c:strCache>
                <c:ptCount val="1"/>
                <c:pt idx="0">
                  <c:v>Prime cost (cost of sales + payroll) % of revenue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KPIs!$B$46:$F$46</c:f>
              <c:numCache>
                <c:formatCode>0.0%;\(0.0%\);\-</c:formatCode>
                <c:ptCount val="5"/>
                <c:pt idx="0">
                  <c:v>0.693671219339732</c:v>
                </c:pt>
                <c:pt idx="1">
                  <c:v>0.688053211717707</c:v>
                </c:pt>
                <c:pt idx="2">
                  <c:v>0.686823540484661</c:v>
                </c:pt>
                <c:pt idx="3">
                  <c:v>0.685259104461812</c:v>
                </c:pt>
                <c:pt idx="4">
                  <c:v>0.683343188684749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234258"/>
        <c:axId val="38952757"/>
      </c:lineChart>
      <c:catAx>
        <c:axId val="8141623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2682092"/>
        <c:crosses val="autoZero"/>
        <c:auto val="1"/>
        <c:lblAlgn val="ctr"/>
        <c:lblOffset val="100"/>
        <c:noMultiLvlLbl val="0"/>
      </c:catAx>
      <c:valAx>
        <c:axId val="3268209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416235"/>
        <c:crosses val="autoZero"/>
        <c:crossBetween val="between"/>
      </c:valAx>
      <c:catAx>
        <c:axId val="7234258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8952757"/>
        <c:crosses val="autoZero"/>
        <c:auto val="1"/>
        <c:lblAlgn val="ctr"/>
        <c:lblOffset val="100"/>
        <c:noMultiLvlLbl val="0"/>
      </c:catAx>
      <c:valAx>
        <c:axId val="3895275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23425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1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2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36720</xdr:colOff>
      <xdr:row>18</xdr:row>
      <xdr:rowOff>111240</xdr:rowOff>
    </xdr:to>
    <xdr:graphicFrame>
      <xdr:nvGraphicFramePr>
        <xdr:cNvPr id="13" name="Chart 1"/>
        <xdr:cNvGraphicFramePr/>
      </xdr:nvGraphicFramePr>
      <xdr:xfrm>
        <a:off x="82486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</xdr:row>
      <xdr:rowOff>0</xdr:rowOff>
    </xdr:from>
    <xdr:to>
      <xdr:col>24</xdr:col>
      <xdr:colOff>36720</xdr:colOff>
      <xdr:row>18</xdr:row>
      <xdr:rowOff>111240</xdr:rowOff>
    </xdr:to>
    <xdr:graphicFrame>
      <xdr:nvGraphicFramePr>
        <xdr:cNvPr id="14" name="Chart 2"/>
        <xdr:cNvGraphicFramePr/>
      </xdr:nvGraphicFramePr>
      <xdr:xfrm>
        <a:off x="133236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36720</xdr:colOff>
      <xdr:row>35</xdr:row>
      <xdr:rowOff>120600</xdr:rowOff>
    </xdr:to>
    <xdr:graphicFrame>
      <xdr:nvGraphicFramePr>
        <xdr:cNvPr id="15" name="Chart 3"/>
        <xdr:cNvGraphicFramePr/>
      </xdr:nvGraphicFramePr>
      <xdr:xfrm>
        <a:off x="82486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36720</xdr:colOff>
      <xdr:row>35</xdr:row>
      <xdr:rowOff>120600</xdr:rowOff>
    </xdr:to>
    <xdr:graphicFrame>
      <xdr:nvGraphicFramePr>
        <xdr:cNvPr id="16" name="Chart 4"/>
        <xdr:cNvGraphicFramePr/>
      </xdr:nvGraphicFramePr>
      <xdr:xfrm>
        <a:off x="133236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F12</f>
        <v>2250134.06558979</v>
      </c>
      <c r="B7" s="25"/>
      <c r="C7" s="26" t="n">
        <f aca="false">F17</f>
        <v>0.14678249821467</v>
      </c>
      <c r="D7" s="26"/>
      <c r="E7" s="26"/>
      <c r="F7" s="26"/>
      <c r="H7" s="25" t="n">
        <f aca="false">F18</f>
        <v>244541.7270537</v>
      </c>
      <c r="I7" s="25"/>
      <c r="J7" s="25"/>
      <c r="K7" s="25"/>
      <c r="L7" s="25" t="n">
        <f aca="false">F39</f>
        <v>35320.9590735238</v>
      </c>
      <c r="M7" s="25"/>
      <c r="N7" s="25"/>
      <c r="O7" s="25"/>
      <c r="P7" s="25" t="n">
        <f aca="false">F37</f>
        <v>337679.040926476</v>
      </c>
      <c r="Q7" s="25"/>
      <c r="R7" s="25"/>
      <c r="S7" s="25"/>
      <c r="T7" s="25" t="n">
        <f aca="false">F44</f>
        <v>1316371.72155046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IF(AND(B12&gt;0,F12&gt;=0),(F12/B12)^(1/4)-1,"CAGR n/a")</f>
        <v>0.0928528365558716</v>
      </c>
      <c r="B8" s="27"/>
      <c r="C8" s="28" t="n">
        <f aca="false">F16</f>
        <v>330280.299465202</v>
      </c>
      <c r="D8" s="28"/>
      <c r="E8" s="28"/>
      <c r="F8" s="28"/>
      <c r="H8" s="29" t="n">
        <f aca="false">F19</f>
        <v>0.108678736433246</v>
      </c>
      <c r="I8" s="29"/>
      <c r="J8" s="29"/>
      <c r="K8" s="29"/>
      <c r="L8" s="30" t="n">
        <f aca="false">'Break-even'!B6</f>
        <v>1</v>
      </c>
      <c r="M8" s="30"/>
      <c r="N8" s="30"/>
      <c r="O8" s="30"/>
      <c r="P8" s="31" t="n">
        <f aca="false">IF(F38&gt;=0,"Covered by funding raised",-F38)</f>
        <v>197679.040926476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4" t="n">
        <v>4</v>
      </c>
      <c r="F11" s="34" t="n">
        <v>5</v>
      </c>
    </row>
    <row r="12" customFormat="false" ht="15" hidden="false" customHeight="false" outlineLevel="0" collapsed="false">
      <c r="A12" s="6" t="s">
        <v>44</v>
      </c>
      <c r="B12" s="35" t="n">
        <f aca="false">SUMIF(Monthly!$C$5:$BJ$5,B$11,Monthly!$C$22:$BJ$22)</f>
        <v>1577472</v>
      </c>
      <c r="C12" s="35" t="n">
        <f aca="false">SUMIF(Monthly!$C$5:$BJ$5,C$11,Monthly!$C$22:$BJ$22)</f>
        <v>1736372.352</v>
      </c>
      <c r="D12" s="35" t="n">
        <f aca="false">SUMIF(Monthly!$C$5:$BJ$5,D$11,Monthly!$C$22:$BJ$22)</f>
        <v>1890162.8563584</v>
      </c>
      <c r="E12" s="35" t="n">
        <f aca="false">SUMIF(Monthly!$C$5:$BJ$5,E$11,Monthly!$C$22:$BJ$22)</f>
        <v>2060698.9801917</v>
      </c>
      <c r="F12" s="35" t="n">
        <f aca="false">SUMIF(Monthly!$C$5:$BJ$5,F$11,Monthly!$C$22:$BJ$22)</f>
        <v>2250134.06558979</v>
      </c>
    </row>
    <row r="13" customFormat="false" ht="15" hidden="false" customHeight="false" outlineLevel="0" collapsed="false">
      <c r="A13" s="36" t="s">
        <v>45</v>
      </c>
      <c r="B13" s="37" t="n">
        <f aca="false">SUMIF(Monthly!$C$5:$BJ$5,B$11,Monthly!$C$29:$BJ$29)</f>
        <v>1076825.07428571</v>
      </c>
      <c r="C13" s="37" t="n">
        <f aca="false">SUMIF(Monthly!$C$5:$BJ$5,C$11,Monthly!$C$29:$BJ$29)</f>
        <v>1183311.17046857</v>
      </c>
      <c r="D13" s="37" t="n">
        <f aca="false">SUMIF(Monthly!$C$5:$BJ$5,D$11,Monthly!$C$29:$BJ$29)</f>
        <v>1285883.66760732</v>
      </c>
      <c r="E13" s="37" t="n">
        <f aca="false">SUMIF(Monthly!$C$5:$BJ$5,E$11,Monthly!$C$29:$BJ$29)</f>
        <v>1399388.98869909</v>
      </c>
      <c r="F13" s="37" t="n">
        <f aca="false">SUMIF(Monthly!$C$5:$BJ$5,F$11,Monthly!$C$29:$BJ$29)</f>
        <v>1525212.73672617</v>
      </c>
    </row>
    <row r="14" customFormat="false" ht="15" hidden="false" customHeight="false" outlineLevel="0" collapsed="false">
      <c r="A14" s="38" t="s">
        <v>46</v>
      </c>
      <c r="B14" s="39" t="n">
        <f aca="false">IF(B12=0,0,B13/B12)</f>
        <v>0.68262706043956</v>
      </c>
      <c r="C14" s="39" t="n">
        <f aca="false">IF(C12=0,0,C13/C12)</f>
        <v>0.681484687950486</v>
      </c>
      <c r="D14" s="39" t="n">
        <f aca="false">IF(D12=0,0,D13/D12)</f>
        <v>0.680303108952588</v>
      </c>
      <c r="E14" s="39" t="n">
        <f aca="false">IF(E12=0,0,E13/E12)</f>
        <v>0.6790846223299</v>
      </c>
      <c r="F14" s="39" t="n">
        <f aca="false">IF(F12=0,0,F13/F12)</f>
        <v>0.677831939016661</v>
      </c>
    </row>
    <row r="15" customFormat="false" ht="15" hidden="false" customHeight="false" outlineLevel="0" collapsed="false">
      <c r="A15" s="6" t="s">
        <v>47</v>
      </c>
      <c r="B15" s="35" t="n">
        <f aca="false">SUMIF(Monthly!$C$5:$BJ$5,B$11,Monthly!$C$40:$BJ$40)</f>
        <v>-931468.064</v>
      </c>
      <c r="C15" s="35" t="n">
        <f aca="false">SUMIF(Monthly!$C$5:$BJ$5,C$11,Monthly!$C$40:$BJ$40)</f>
        <v>-990021.961472</v>
      </c>
      <c r="D15" s="35" t="n">
        <f aca="false">SUMIF(Monthly!$C$5:$BJ$5,D$11,Monthly!$C$40:$BJ$40)</f>
        <v>-1052480.54694088</v>
      </c>
      <c r="E15" s="35" t="n">
        <f aca="false">SUMIF(Monthly!$C$5:$BJ$5,E$11,Monthly!$C$40:$BJ$40)</f>
        <v>-1120604.19653668</v>
      </c>
      <c r="F15" s="35" t="n">
        <f aca="false">SUMIF(Monthly!$C$5:$BJ$5,F$11,Monthly!$C$40:$BJ$40)</f>
        <v>-1194932.43726097</v>
      </c>
    </row>
    <row r="16" customFormat="false" ht="15" hidden="false" customHeight="false" outlineLevel="0" collapsed="false">
      <c r="A16" s="36" t="s">
        <v>48</v>
      </c>
      <c r="B16" s="37" t="n">
        <f aca="false">SUMIF(Monthly!$C$5:$BJ$5,B$11,Monthly!$C$41:$BJ$41)</f>
        <v>145357.010285714</v>
      </c>
      <c r="C16" s="37" t="n">
        <f aca="false">SUMIF(Monthly!$C$5:$BJ$5,C$11,Monthly!$C$41:$BJ$41)</f>
        <v>193289.208996572</v>
      </c>
      <c r="D16" s="37" t="n">
        <f aca="false">SUMIF(Monthly!$C$5:$BJ$5,D$11,Monthly!$C$41:$BJ$41)</f>
        <v>233403.120666446</v>
      </c>
      <c r="E16" s="37" t="n">
        <f aca="false">SUMIF(Monthly!$C$5:$BJ$5,E$11,Monthly!$C$41:$BJ$41)</f>
        <v>278784.792162417</v>
      </c>
      <c r="F16" s="37" t="n">
        <f aca="false">SUMIF(Monthly!$C$5:$BJ$5,F$11,Monthly!$C$41:$BJ$41)</f>
        <v>330280.299465202</v>
      </c>
    </row>
    <row r="17" customFormat="false" ht="15" hidden="false" customHeight="false" outlineLevel="0" collapsed="false">
      <c r="A17" s="38" t="s">
        <v>49</v>
      </c>
      <c r="B17" s="39" t="n">
        <f aca="false">IF(B12=0,0,B16/B12)</f>
        <v>0.0921455406407939</v>
      </c>
      <c r="C17" s="39" t="n">
        <f aca="false">IF(C12=0,0,C16/C12)</f>
        <v>0.111317833858582</v>
      </c>
      <c r="D17" s="39" t="n">
        <f aca="false">IF(D12=0,0,D16/D12)</f>
        <v>0.123483074424667</v>
      </c>
      <c r="E17" s="39" t="n">
        <f aca="false">IF(E12=0,0,E16/E12)</f>
        <v>0.13528651920645</v>
      </c>
      <c r="F17" s="39" t="n">
        <f aca="false">IF(F12=0,0,F16/F12)</f>
        <v>0.14678249821467</v>
      </c>
    </row>
    <row r="18" customFormat="false" ht="15" hidden="false" customHeight="false" outlineLevel="0" collapsed="false">
      <c r="A18" s="40" t="s">
        <v>50</v>
      </c>
      <c r="B18" s="41" t="n">
        <f aca="false">SUMIF(Monthly!$C$5:$BJ$5,B$11,Monthly!$C$50:$BJ$50)</f>
        <v>99754.2924907937</v>
      </c>
      <c r="C18" s="41" t="n">
        <f aca="false">SUMIF(Monthly!$C$5:$BJ$5,C$11,Monthly!$C$50:$BJ$50)</f>
        <v>137835.565583482</v>
      </c>
      <c r="D18" s="41" t="n">
        <f aca="false">SUMIF(Monthly!$C$5:$BJ$5,D$11,Monthly!$C$50:$BJ$50)</f>
        <v>169019.955802683</v>
      </c>
      <c r="E18" s="41" t="n">
        <f aca="false">SUMIF(Monthly!$C$5:$BJ$5,E$11,Monthly!$C$50:$BJ$50)</f>
        <v>204365.8762845</v>
      </c>
      <c r="F18" s="41" t="n">
        <f aca="false">SUMIF(Monthly!$C$5:$BJ$5,F$11,Monthly!$C$50:$BJ$50)</f>
        <v>244541.7270537</v>
      </c>
    </row>
    <row r="19" customFormat="false" ht="15" hidden="false" customHeight="false" outlineLevel="0" collapsed="false">
      <c r="A19" s="38" t="s">
        <v>51</v>
      </c>
      <c r="B19" s="39" t="n">
        <f aca="false">IF(B12=0,0,B18/B12)</f>
        <v>0.0632368070500102</v>
      </c>
      <c r="C19" s="39" t="n">
        <f aca="false">IF(C12=0,0,C18/C12)</f>
        <v>0.0793813408885021</v>
      </c>
      <c r="D19" s="39" t="n">
        <f aca="false">IF(D12=0,0,D18/D12)</f>
        <v>0.0894208428835164</v>
      </c>
      <c r="E19" s="39" t="n">
        <f aca="false">IF(E12=0,0,E18/E12)</f>
        <v>0.0991730855641457</v>
      </c>
      <c r="F19" s="39" t="n">
        <f aca="false">IF(F12=0,0,F18/F12)</f>
        <v>0.108678736433246</v>
      </c>
    </row>
    <row r="20" customFormat="false" ht="15" hidden="false" customHeight="false" outlineLevel="0" collapsed="false">
      <c r="A20" s="6" t="s">
        <v>52</v>
      </c>
      <c r="B20" s="35" t="n">
        <f aca="false">SUMIF(Monthly!$C$5:$BJ$5,B$11,Monthly!$C$74:$BJ$74)</f>
        <v>90917.286776508</v>
      </c>
      <c r="C20" s="35" t="n">
        <f aca="false">SUMIF(Monthly!$C$5:$BJ$5,C$11,Monthly!$C$74:$BJ$74)</f>
        <v>150047.062285958</v>
      </c>
      <c r="D20" s="35" t="n">
        <f aca="false">SUMIF(Monthly!$C$5:$BJ$5,D$11,Monthly!$C$74:$BJ$74)</f>
        <v>183063.518677316</v>
      </c>
      <c r="E20" s="35" t="n">
        <f aca="false">SUMIF(Monthly!$C$5:$BJ$5,E$11,Monthly!$C$74:$BJ$74)</f>
        <v>220221.656814303</v>
      </c>
      <c r="F20" s="35" t="n">
        <f aca="false">SUMIF(Monthly!$C$5:$BJ$5,F$11,Monthly!$C$74:$BJ$74)</f>
        <v>262187.190108123</v>
      </c>
    </row>
    <row r="21" customFormat="false" ht="15" hidden="false" customHeight="false" outlineLevel="0" collapsed="false">
      <c r="A21" s="6" t="s">
        <v>53</v>
      </c>
      <c r="B21" s="35" t="n">
        <f aca="false">SUMIF(Monthly!$C$5:$BJ$5,B$11,Monthly!$C$75:$BJ$75)</f>
        <v>-90000</v>
      </c>
      <c r="C21" s="35" t="n">
        <f aca="false">SUMIF(Monthly!$C$5:$BJ$5,C$11,Monthly!$C$75:$BJ$75)</f>
        <v>-14000</v>
      </c>
      <c r="D21" s="35" t="n">
        <f aca="false">SUMIF(Monthly!$C$5:$BJ$5,D$11,Monthly!$C$75:$BJ$75)</f>
        <v>-14000</v>
      </c>
      <c r="E21" s="35" t="n">
        <f aca="false">SUMIF(Monthly!$C$5:$BJ$5,E$11,Monthly!$C$75:$BJ$75)</f>
        <v>-14000</v>
      </c>
      <c r="F21" s="35" t="n">
        <f aca="false">SUMIF(Monthly!$C$5:$BJ$5,F$11,Monthly!$C$75:$BJ$75)</f>
        <v>-14000</v>
      </c>
    </row>
    <row r="22" customFormat="false" ht="15" hidden="false" customHeight="false" outlineLevel="0" collapsed="false">
      <c r="A22" s="6" t="s">
        <v>54</v>
      </c>
      <c r="B22" s="35" t="n">
        <f aca="false">SUMIF(Monthly!$C$5:$BJ$5,B$11,Monthly!$C$77:$BJ$77)</f>
        <v>125333.333333333</v>
      </c>
      <c r="C22" s="35" t="n">
        <f aca="false">SUMIF(Monthly!$C$5:$BJ$5,C$11,Monthly!$C$77:$BJ$77)</f>
        <v>-16000</v>
      </c>
      <c r="D22" s="35" t="n">
        <f aca="false">SUMIF(Monthly!$C$5:$BJ$5,D$11,Monthly!$C$77:$BJ$77)</f>
        <v>-16000</v>
      </c>
      <c r="E22" s="35" t="n">
        <f aca="false">SUMIF(Monthly!$C$5:$BJ$5,E$11,Monthly!$C$77:$BJ$77)</f>
        <v>-16000</v>
      </c>
      <c r="F22" s="35" t="n">
        <f aca="false">SUMIF(Monthly!$C$5:$BJ$5,F$11,Monthly!$C$77:$BJ$77)</f>
        <v>-16000</v>
      </c>
    </row>
    <row r="23" customFormat="false" ht="15" hidden="false" customHeight="false" outlineLevel="0" collapsed="false">
      <c r="A23" s="36" t="s">
        <v>55</v>
      </c>
      <c r="B23" s="37" t="n">
        <f aca="false">SUMIF(Monthly!$C$5:$BJ$5,B$11,Monthly!$C$78:$BJ$78)</f>
        <v>126250.620109841</v>
      </c>
      <c r="C23" s="37" t="n">
        <f aca="false">SUMIF(Monthly!$C$5:$BJ$5,C$11,Monthly!$C$78:$BJ$78)</f>
        <v>120047.062285958</v>
      </c>
      <c r="D23" s="37" t="n">
        <f aca="false">SUMIF(Monthly!$C$5:$BJ$5,D$11,Monthly!$C$78:$BJ$78)</f>
        <v>153063.518677316</v>
      </c>
      <c r="E23" s="37" t="n">
        <f aca="false">SUMIF(Monthly!$C$5:$BJ$5,E$11,Monthly!$C$78:$BJ$78)</f>
        <v>190221.656814303</v>
      </c>
      <c r="F23" s="37" t="n">
        <f aca="false">SUMIF(Monthly!$C$5:$BJ$5,F$11,Monthly!$C$78:$BJ$78)</f>
        <v>232187.190108123</v>
      </c>
    </row>
    <row r="24" customFormat="false" ht="15" hidden="false" customHeight="false" outlineLevel="0" collapsed="false">
      <c r="A24" s="40" t="s">
        <v>56</v>
      </c>
      <c r="B24" s="41" t="n">
        <f aca="false">INDEX(Monthly!$C$80:$BJ$80,B$11*12)</f>
        <v>126250.620109841</v>
      </c>
      <c r="C24" s="41" t="n">
        <f aca="false">INDEX(Monthly!$C$80:$BJ$80,C$11*12)</f>
        <v>246297.6823958</v>
      </c>
      <c r="D24" s="41" t="n">
        <f aca="false">INDEX(Monthly!$C$80:$BJ$80,D$11*12)</f>
        <v>399361.201073116</v>
      </c>
      <c r="E24" s="41" t="n">
        <f aca="false">INDEX(Monthly!$C$80:$BJ$80,E$11*12)</f>
        <v>589582.857887419</v>
      </c>
      <c r="F24" s="41" t="n">
        <f aca="false">INDEX(Monthly!$C$80:$BJ$80,F$11*12)</f>
        <v>821770.047995542</v>
      </c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4" t="n">
        <v>4</v>
      </c>
      <c r="F27" s="34" t="n">
        <v>5</v>
      </c>
    </row>
    <row r="28" customFormat="false" ht="15" hidden="false" customHeight="false" outlineLevel="0" collapsed="false">
      <c r="A28" s="6" t="s">
        <v>58</v>
      </c>
      <c r="B28" s="35" t="n">
        <f aca="false">KPIs!B35</f>
        <v>1133808</v>
      </c>
      <c r="C28" s="35" t="n">
        <f aca="false">KPIs!C35</f>
        <v>1218082.944</v>
      </c>
      <c r="D28" s="35" t="n">
        <f aca="false">KPIs!D35</f>
        <v>1292264.1952896</v>
      </c>
      <c r="E28" s="35" t="n">
        <f aca="false">KPIs!E35</f>
        <v>1370963.08478274</v>
      </c>
      <c r="F28" s="35" t="n">
        <f aca="false">KPIs!F35</f>
        <v>1454454.73664601</v>
      </c>
    </row>
    <row r="29" customFormat="false" ht="15" hidden="false" customHeight="false" outlineLevel="0" collapsed="false">
      <c r="A29" s="6" t="s">
        <v>59</v>
      </c>
      <c r="B29" s="35" t="n">
        <f aca="false">KPIs!B36</f>
        <v>443664</v>
      </c>
      <c r="C29" s="35" t="n">
        <f aca="false">KPIs!C36</f>
        <v>518289.408</v>
      </c>
      <c r="D29" s="35" t="n">
        <f aca="false">KPIs!D36</f>
        <v>597898.6610688</v>
      </c>
      <c r="E29" s="35" t="n">
        <f aca="false">KPIs!E36</f>
        <v>689735.895408968</v>
      </c>
      <c r="F29" s="35" t="n">
        <f aca="false">KPIs!F36</f>
        <v>795679.328943786</v>
      </c>
    </row>
    <row r="30" customFormat="false" ht="15" hidden="false" customHeight="false" outlineLevel="0" collapsed="false">
      <c r="A30" s="6" t="s">
        <v>60</v>
      </c>
      <c r="B30" s="42" t="n">
        <f aca="false">KPIs!B31</f>
        <v>316</v>
      </c>
      <c r="C30" s="42" t="n">
        <f aca="false">KPIs!C31</f>
        <v>329.6</v>
      </c>
      <c r="D30" s="42" t="n">
        <f aca="false">KPIs!D31</f>
        <v>339.488</v>
      </c>
      <c r="E30" s="42" t="n">
        <f aca="false">KPIs!E31</f>
        <v>349.67264</v>
      </c>
      <c r="F30" s="42" t="n">
        <f aca="false">KPIs!F31</f>
        <v>360.1628192</v>
      </c>
    </row>
    <row r="31" customFormat="false" ht="15" hidden="false" customHeight="false" outlineLevel="0" collapsed="false">
      <c r="A31" s="6" t="s">
        <v>61</v>
      </c>
      <c r="B31" s="43" t="n">
        <f aca="false">KPIs!B33</f>
        <v>16</v>
      </c>
      <c r="C31" s="43" t="n">
        <f aca="false">KPIs!C33</f>
        <v>17.92</v>
      </c>
      <c r="D31" s="43" t="n">
        <f aca="false">KPIs!D33</f>
        <v>20.0704</v>
      </c>
      <c r="E31" s="43" t="n">
        <f aca="false">KPIs!E33</f>
        <v>22.478848</v>
      </c>
      <c r="F31" s="43" t="n">
        <f aca="false">KPIs!F33</f>
        <v>25.17630976</v>
      </c>
    </row>
    <row r="32" customFormat="false" ht="15" hidden="false" customHeight="false" outlineLevel="0" collapsed="false">
      <c r="A32" s="6" t="s">
        <v>62</v>
      </c>
      <c r="B32" s="43" t="n">
        <f aca="false">INDEX(Headcount!$C$11:$BJ$11,B$27*12)</f>
        <v>13.5</v>
      </c>
      <c r="C32" s="43" t="n">
        <f aca="false">INDEX(Headcount!$C$11:$BJ$11,C$27*12)</f>
        <v>14.22</v>
      </c>
      <c r="D32" s="43" t="n">
        <f aca="false">INDEX(Headcount!$C$11:$BJ$11,D$27*12)</f>
        <v>14.9832</v>
      </c>
      <c r="E32" s="43" t="n">
        <f aca="false">INDEX(Headcount!$C$11:$BJ$11,E$27*12)</f>
        <v>15.792192</v>
      </c>
      <c r="F32" s="43" t="n">
        <f aca="false">INDEX(Headcount!$C$11:$BJ$11,F$27*12)</f>
        <v>16.64972352</v>
      </c>
    </row>
    <row r="34" customFormat="false" ht="15.75" hidden="false" customHeight="true" outlineLevel="0" collapsed="false">
      <c r="A34" s="7" t="s">
        <v>63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6" t="s">
        <v>64</v>
      </c>
      <c r="B35" s="44"/>
      <c r="C35" s="44"/>
      <c r="D35" s="44"/>
      <c r="E35" s="44"/>
      <c r="F35" s="45" t="n">
        <f aca="false">Inputs!$E$58</f>
        <v>60000</v>
      </c>
    </row>
    <row r="36" customFormat="false" ht="15" hidden="false" customHeight="false" outlineLevel="0" collapsed="false">
      <c r="A36" s="6" t="s">
        <v>65</v>
      </c>
      <c r="B36" s="44"/>
      <c r="C36" s="44"/>
      <c r="D36" s="44"/>
      <c r="E36" s="44"/>
      <c r="F36" s="45" t="n">
        <f aca="false">Inputs!$E$59</f>
        <v>80000</v>
      </c>
    </row>
    <row r="37" customFormat="false" ht="15" hidden="false" customHeight="false" outlineLevel="0" collapsed="false">
      <c r="A37" s="6" t="s">
        <v>66</v>
      </c>
      <c r="B37" s="44"/>
      <c r="C37" s="44"/>
      <c r="D37" s="44"/>
      <c r="E37" s="44"/>
      <c r="F37" s="45" t="n">
        <f aca="false">'Break-even'!B12</f>
        <v>337679.040926476</v>
      </c>
    </row>
    <row r="38" customFormat="false" ht="15" hidden="false" customHeight="false" outlineLevel="0" collapsed="false">
      <c r="A38" s="36" t="s">
        <v>67</v>
      </c>
      <c r="B38" s="36"/>
      <c r="C38" s="36"/>
      <c r="D38" s="36"/>
      <c r="E38" s="36"/>
      <c r="F38" s="37" t="n">
        <f aca="false">'Break-even'!B17</f>
        <v>-197679.040926476</v>
      </c>
    </row>
    <row r="39" customFormat="false" ht="15" hidden="false" customHeight="false" outlineLevel="0" collapsed="false">
      <c r="A39" s="6" t="str">
        <f aca="false">"Lowest cash balance (month "&amp;'Break-even'!B6&amp;")"</f>
        <v>Lowest cash balance (month 1)</v>
      </c>
      <c r="B39" s="44"/>
      <c r="C39" s="44"/>
      <c r="D39" s="44"/>
      <c r="E39" s="44"/>
      <c r="F39" s="45" t="n">
        <f aca="false">'Break-even'!B18</f>
        <v>35320.9590735238</v>
      </c>
    </row>
    <row r="40" customFormat="false" ht="15" hidden="false" customHeight="false" outlineLevel="0" collapsed="false">
      <c r="A40" s="6" t="s">
        <v>68</v>
      </c>
      <c r="B40" s="44"/>
      <c r="C40" s="44"/>
      <c r="D40" s="44"/>
      <c r="E40" s="44"/>
      <c r="F40" s="46" t="n">
        <f aca="false">'Break-even'!B21</f>
        <v>1</v>
      </c>
    </row>
    <row r="41" customFormat="false" ht="15" hidden="false" customHeight="false" outlineLevel="0" collapsed="false">
      <c r="A41" s="6" t="s">
        <v>69</v>
      </c>
      <c r="B41" s="44"/>
      <c r="C41" s="44"/>
      <c r="D41" s="44"/>
      <c r="E41" s="44"/>
      <c r="F41" s="46" t="n">
        <f aca="false">'Break-even'!B23</f>
        <v>12</v>
      </c>
    </row>
    <row r="42" customFormat="false" ht="15" hidden="false" customHeight="false" outlineLevel="0" collapsed="false">
      <c r="A42" s="6" t="s">
        <v>70</v>
      </c>
      <c r="B42" s="44"/>
      <c r="C42" s="44"/>
      <c r="D42" s="44"/>
      <c r="E42" s="44"/>
      <c r="F42" s="45" t="n">
        <f aca="false">Valuation!B27</f>
        <v>1315477.94064035</v>
      </c>
    </row>
    <row r="43" customFormat="false" ht="15" hidden="false" customHeight="false" outlineLevel="0" collapsed="false">
      <c r="A43" s="6" t="s">
        <v>71</v>
      </c>
      <c r="B43" s="44"/>
      <c r="C43" s="44"/>
      <c r="D43" s="44"/>
      <c r="E43" s="44"/>
      <c r="F43" s="45" t="n">
        <f aca="false">Valuation!C27</f>
        <v>1317265.50246058</v>
      </c>
    </row>
    <row r="44" customFormat="false" ht="15" hidden="false" customHeight="false" outlineLevel="0" collapsed="false">
      <c r="A44" s="40" t="s">
        <v>72</v>
      </c>
      <c r="B44" s="40"/>
      <c r="C44" s="40"/>
      <c r="D44" s="40"/>
      <c r="E44" s="40"/>
      <c r="F44" s="41" t="n">
        <f aca="false">Valuation!B30</f>
        <v>1316371.72155046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73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74</v>
      </c>
      <c r="R2" s="47" t="n">
        <v>1</v>
      </c>
      <c r="S2" s="47"/>
    </row>
    <row r="5" customFormat="false" ht="15.75" hidden="false" customHeight="true" outlineLevel="0" collapsed="false">
      <c r="A5" s="7" t="s">
        <v>75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4" t="n">
        <v>4</v>
      </c>
      <c r="F6" s="34" t="n">
        <v>5</v>
      </c>
      <c r="H6" s="48" t="n">
        <f aca="false">INDEX(Monthly!$C$4:$BJ$4,($R$2-1)*12+1)</f>
        <v>1</v>
      </c>
      <c r="I6" s="48" t="n">
        <f aca="false">INDEX(Monthly!$C$4:$BJ$4,($R$2-1)*12+2)</f>
        <v>2</v>
      </c>
      <c r="J6" s="48" t="n">
        <f aca="false">INDEX(Monthly!$C$4:$BJ$4,($R$2-1)*12+3)</f>
        <v>3</v>
      </c>
      <c r="K6" s="48" t="n">
        <f aca="false">INDEX(Monthly!$C$4:$BJ$4,($R$2-1)*12+4)</f>
        <v>4</v>
      </c>
      <c r="L6" s="48" t="n">
        <f aca="false">INDEX(Monthly!$C$4:$BJ$4,($R$2-1)*12+5)</f>
        <v>5</v>
      </c>
      <c r="M6" s="48" t="n">
        <f aca="false">INDEX(Monthly!$C$4:$BJ$4,($R$2-1)*12+6)</f>
        <v>6</v>
      </c>
      <c r="N6" s="48" t="n">
        <f aca="false">INDEX(Monthly!$C$4:$BJ$4,($R$2-1)*12+7)</f>
        <v>7</v>
      </c>
      <c r="O6" s="48" t="n">
        <f aca="false">INDEX(Monthly!$C$4:$BJ$4,($R$2-1)*12+8)</f>
        <v>8</v>
      </c>
      <c r="P6" s="48" t="n">
        <f aca="false">INDEX(Monthly!$C$4:$BJ$4,($R$2-1)*12+9)</f>
        <v>9</v>
      </c>
      <c r="Q6" s="48" t="n">
        <f aca="false">INDEX(Monthly!$C$4:$BJ$4,($R$2-1)*12+10)</f>
        <v>10</v>
      </c>
      <c r="R6" s="48" t="n">
        <f aca="false">INDEX(Monthly!$C$4:$BJ$4,($R$2-1)*12+11)</f>
        <v>11</v>
      </c>
      <c r="S6" s="48" t="n">
        <f aca="false">INDEX(Monthly!$C$4:$BJ$4,($R$2-1)*12+12)</f>
        <v>12</v>
      </c>
    </row>
    <row r="7" customFormat="false" ht="15" hidden="false" customHeight="false" outlineLevel="0" collapsed="false">
      <c r="A7" s="49" t="s">
        <v>44</v>
      </c>
      <c r="B7" s="35" t="n">
        <f aca="false">'P&amp;L'!B5</f>
        <v>1577472</v>
      </c>
      <c r="C7" s="35" t="n">
        <f aca="false">'P&amp;L'!C5</f>
        <v>1736372.352</v>
      </c>
      <c r="D7" s="35" t="n">
        <f aca="false">'P&amp;L'!D5</f>
        <v>1890162.8563584</v>
      </c>
      <c r="E7" s="35" t="n">
        <f aca="false">'P&amp;L'!E5</f>
        <v>2060698.9801917</v>
      </c>
      <c r="F7" s="35" t="n">
        <f aca="false">'P&amp;L'!F5</f>
        <v>2250134.06558979</v>
      </c>
      <c r="H7" s="35" t="n">
        <f aca="false">INDEX(Monthly!$C$22:$BJ$22,($R$2-1)*12+1)</f>
        <v>115980.8</v>
      </c>
      <c r="I7" s="35" t="n">
        <f aca="false">INDEX(Monthly!$C$22:$BJ$22,($R$2-1)*12+2)</f>
        <v>122636.8</v>
      </c>
      <c r="J7" s="35" t="n">
        <f aca="false">INDEX(Monthly!$C$22:$BJ$22,($R$2-1)*12+3)</f>
        <v>129292.8</v>
      </c>
      <c r="K7" s="35" t="n">
        <f aca="false">INDEX(Monthly!$C$22:$BJ$22,($R$2-1)*12+4)</f>
        <v>129292.8</v>
      </c>
      <c r="L7" s="35" t="n">
        <f aca="false">INDEX(Monthly!$C$22:$BJ$22,($R$2-1)*12+5)</f>
        <v>129292.8</v>
      </c>
      <c r="M7" s="35" t="n">
        <f aca="false">INDEX(Monthly!$C$22:$BJ$22,($R$2-1)*12+6)</f>
        <v>129292.8</v>
      </c>
      <c r="N7" s="35" t="n">
        <f aca="false">INDEX(Monthly!$C$22:$BJ$22,($R$2-1)*12+7)</f>
        <v>129292.8</v>
      </c>
      <c r="O7" s="35" t="n">
        <f aca="false">INDEX(Monthly!$C$22:$BJ$22,($R$2-1)*12+8)</f>
        <v>129292.8</v>
      </c>
      <c r="P7" s="35" t="n">
        <f aca="false">INDEX(Monthly!$C$22:$BJ$22,($R$2-1)*12+9)</f>
        <v>129292.8</v>
      </c>
      <c r="Q7" s="35" t="n">
        <f aca="false">INDEX(Monthly!$C$22:$BJ$22,($R$2-1)*12+10)</f>
        <v>129292.8</v>
      </c>
      <c r="R7" s="35" t="n">
        <f aca="false">INDEX(Monthly!$C$22:$BJ$22,($R$2-1)*12+11)</f>
        <v>152256</v>
      </c>
      <c r="S7" s="35" t="n">
        <f aca="false">INDEX(Monthly!$C$22:$BJ$22,($R$2-1)*12+12)</f>
        <v>152256</v>
      </c>
    </row>
    <row r="8" customFormat="false" ht="15" hidden="false" customHeight="false" outlineLevel="0" collapsed="false">
      <c r="A8" s="49" t="s">
        <v>76</v>
      </c>
      <c r="B8" s="35" t="n">
        <f aca="false">'P&amp;L'!B6</f>
        <v>-500646.925714286</v>
      </c>
      <c r="C8" s="35" t="n">
        <f aca="false">'P&amp;L'!C6</f>
        <v>-553061.181531429</v>
      </c>
      <c r="D8" s="35" t="n">
        <f aca="false">'P&amp;L'!D6</f>
        <v>-604279.188751077</v>
      </c>
      <c r="E8" s="35" t="n">
        <f aca="false">'P&amp;L'!E6</f>
        <v>-661309.991492611</v>
      </c>
      <c r="F8" s="35" t="n">
        <f aca="false">'P&amp;L'!F6</f>
        <v>-724921.328863621</v>
      </c>
      <c r="H8" s="35" t="n">
        <f aca="false">INDEX(Monthly!$C$28:$BJ$28,($R$2-1)*12+1)</f>
        <v>-36880.4937142857</v>
      </c>
      <c r="I8" s="35" t="n">
        <f aca="false">INDEX(Monthly!$C$28:$BJ$28,($R$2-1)*12+2)</f>
        <v>-38992.928</v>
      </c>
      <c r="J8" s="35" t="n">
        <f aca="false">INDEX(Monthly!$C$28:$BJ$28,($R$2-1)*12+3)</f>
        <v>-41105.3622857143</v>
      </c>
      <c r="K8" s="35" t="n">
        <f aca="false">INDEX(Monthly!$C$28:$BJ$28,($R$2-1)*12+4)</f>
        <v>-41105.3622857143</v>
      </c>
      <c r="L8" s="35" t="n">
        <f aca="false">INDEX(Monthly!$C$28:$BJ$28,($R$2-1)*12+5)</f>
        <v>-41105.3622857143</v>
      </c>
      <c r="M8" s="35" t="n">
        <f aca="false">INDEX(Monthly!$C$28:$BJ$28,($R$2-1)*12+6)</f>
        <v>-41105.3622857143</v>
      </c>
      <c r="N8" s="35" t="n">
        <f aca="false">INDEX(Monthly!$C$28:$BJ$28,($R$2-1)*12+7)</f>
        <v>-41105.3622857143</v>
      </c>
      <c r="O8" s="35" t="n">
        <f aca="false">INDEX(Monthly!$C$28:$BJ$28,($R$2-1)*12+8)</f>
        <v>-41105.3622857143</v>
      </c>
      <c r="P8" s="35" t="n">
        <f aca="false">INDEX(Monthly!$C$28:$BJ$28,($R$2-1)*12+9)</f>
        <v>-41105.3622857143</v>
      </c>
      <c r="Q8" s="35" t="n">
        <f aca="false">INDEX(Monthly!$C$28:$BJ$28,($R$2-1)*12+10)</f>
        <v>-41105.3622857143</v>
      </c>
      <c r="R8" s="35" t="n">
        <f aca="false">INDEX(Monthly!$C$28:$BJ$28,($R$2-1)*12+11)</f>
        <v>-47965.3028571429</v>
      </c>
      <c r="S8" s="35" t="n">
        <f aca="false">INDEX(Monthly!$C$28:$BJ$28,($R$2-1)*12+12)</f>
        <v>-47965.3028571429</v>
      </c>
    </row>
    <row r="9" customFormat="false" ht="15" hidden="false" customHeight="false" outlineLevel="0" collapsed="false">
      <c r="A9" s="36" t="s">
        <v>45</v>
      </c>
      <c r="B9" s="37" t="n">
        <f aca="false">'P&amp;L'!B7</f>
        <v>1076825.07428571</v>
      </c>
      <c r="C9" s="37" t="n">
        <f aca="false">'P&amp;L'!C7</f>
        <v>1183311.17046857</v>
      </c>
      <c r="D9" s="37" t="n">
        <f aca="false">'P&amp;L'!D7</f>
        <v>1285883.66760732</v>
      </c>
      <c r="E9" s="37" t="n">
        <f aca="false">'P&amp;L'!E7</f>
        <v>1399388.98869909</v>
      </c>
      <c r="F9" s="37" t="n">
        <f aca="false">'P&amp;L'!F7</f>
        <v>1525212.73672617</v>
      </c>
      <c r="H9" s="37" t="n">
        <f aca="false">INDEX(Monthly!$C$29:$BJ$29,($R$2-1)*12+1)</f>
        <v>79100.3062857143</v>
      </c>
      <c r="I9" s="37" t="n">
        <f aca="false">INDEX(Monthly!$C$29:$BJ$29,($R$2-1)*12+2)</f>
        <v>83643.872</v>
      </c>
      <c r="J9" s="37" t="n">
        <f aca="false">INDEX(Monthly!$C$29:$BJ$29,($R$2-1)*12+3)</f>
        <v>88187.4377142857</v>
      </c>
      <c r="K9" s="37" t="n">
        <f aca="false">INDEX(Monthly!$C$29:$BJ$29,($R$2-1)*12+4)</f>
        <v>88187.4377142857</v>
      </c>
      <c r="L9" s="37" t="n">
        <f aca="false">INDEX(Monthly!$C$29:$BJ$29,($R$2-1)*12+5)</f>
        <v>88187.4377142857</v>
      </c>
      <c r="M9" s="37" t="n">
        <f aca="false">INDEX(Monthly!$C$29:$BJ$29,($R$2-1)*12+6)</f>
        <v>88187.4377142857</v>
      </c>
      <c r="N9" s="37" t="n">
        <f aca="false">INDEX(Monthly!$C$29:$BJ$29,($R$2-1)*12+7)</f>
        <v>88187.4377142857</v>
      </c>
      <c r="O9" s="37" t="n">
        <f aca="false">INDEX(Monthly!$C$29:$BJ$29,($R$2-1)*12+8)</f>
        <v>88187.4377142857</v>
      </c>
      <c r="P9" s="37" t="n">
        <f aca="false">INDEX(Monthly!$C$29:$BJ$29,($R$2-1)*12+9)</f>
        <v>88187.4377142857</v>
      </c>
      <c r="Q9" s="37" t="n">
        <f aca="false">INDEX(Monthly!$C$29:$BJ$29,($R$2-1)*12+10)</f>
        <v>88187.4377142857</v>
      </c>
      <c r="R9" s="37" t="n">
        <f aca="false">INDEX(Monthly!$C$29:$BJ$29,($R$2-1)*12+11)</f>
        <v>104290.697142857</v>
      </c>
      <c r="S9" s="37" t="n">
        <f aca="false">INDEX(Monthly!$C$29:$BJ$29,($R$2-1)*12+12)</f>
        <v>104290.697142857</v>
      </c>
    </row>
    <row r="10" customFormat="false" ht="15" hidden="false" customHeight="false" outlineLevel="0" collapsed="false">
      <c r="A10" s="38" t="s">
        <v>46</v>
      </c>
      <c r="B10" s="39" t="n">
        <f aca="false">'P&amp;L'!B8</f>
        <v>0.68262706043956</v>
      </c>
      <c r="C10" s="39" t="n">
        <f aca="false">'P&amp;L'!C8</f>
        <v>0.681484687950486</v>
      </c>
      <c r="D10" s="39" t="n">
        <f aca="false">'P&amp;L'!D8</f>
        <v>0.680303108952588</v>
      </c>
      <c r="E10" s="39" t="n">
        <f aca="false">'P&amp;L'!E8</f>
        <v>0.6790846223299</v>
      </c>
      <c r="F10" s="39" t="n">
        <f aca="false">'P&amp;L'!F8</f>
        <v>0.677831939016661</v>
      </c>
      <c r="H10" s="39" t="n">
        <f aca="false">IF(H7=0,0,H9/H7)</f>
        <v>0.682012076875779</v>
      </c>
      <c r="I10" s="39" t="n">
        <f aca="false">IF(I7=0,0,I9/I7)</f>
        <v>0.682045454545455</v>
      </c>
      <c r="J10" s="39" t="n">
        <f aca="false">IF(J7=0,0,J9/J7)</f>
        <v>0.682075395646824</v>
      </c>
      <c r="K10" s="39" t="n">
        <f aca="false">IF(K7=0,0,K9/K7)</f>
        <v>0.682075395646824</v>
      </c>
      <c r="L10" s="39" t="n">
        <f aca="false">IF(L7=0,0,L9/L7)</f>
        <v>0.682075395646824</v>
      </c>
      <c r="M10" s="39" t="n">
        <f aca="false">IF(M7=0,0,M9/M7)</f>
        <v>0.682075395646824</v>
      </c>
      <c r="N10" s="39" t="n">
        <f aca="false">IF(N7=0,0,N9/N7)</f>
        <v>0.682075395646824</v>
      </c>
      <c r="O10" s="39" t="n">
        <f aca="false">IF(O7=0,0,O9/O7)</f>
        <v>0.682075395646824</v>
      </c>
      <c r="P10" s="39" t="n">
        <f aca="false">IF(P7=0,0,P9/P7)</f>
        <v>0.682075395646824</v>
      </c>
      <c r="Q10" s="39" t="n">
        <f aca="false">IF(Q7=0,0,Q9/Q7)</f>
        <v>0.682075395646824</v>
      </c>
      <c r="R10" s="39" t="n">
        <f aca="false">IF(R7=0,0,R9/R7)</f>
        <v>0.684969374887408</v>
      </c>
      <c r="S10" s="39" t="n">
        <f aca="false">IF(S7=0,0,S9/S7)</f>
        <v>0.684969374887408</v>
      </c>
    </row>
    <row r="11" customFormat="false" ht="15" hidden="false" customHeight="false" outlineLevel="0" collapsed="false">
      <c r="A11" s="49" t="s">
        <v>77</v>
      </c>
      <c r="B11" s="35" t="n">
        <f aca="false">'P&amp;L'!B17</f>
        <v>-931468.064</v>
      </c>
      <c r="C11" s="35" t="n">
        <f aca="false">'P&amp;L'!C17</f>
        <v>-990021.961472</v>
      </c>
      <c r="D11" s="35" t="n">
        <f aca="false">'P&amp;L'!D17</f>
        <v>-1052480.54694088</v>
      </c>
      <c r="E11" s="35" t="n">
        <f aca="false">'P&amp;L'!E17</f>
        <v>-1120604.19653668</v>
      </c>
      <c r="F11" s="35" t="n">
        <f aca="false">'P&amp;L'!F17</f>
        <v>-1194932.43726097</v>
      </c>
      <c r="H11" s="35" t="n">
        <f aca="false">INDEX(Monthly!$C$40:$BJ$40,($R$2-1)*12+1)</f>
        <v>-76698.2570666666</v>
      </c>
      <c r="I11" s="35" t="n">
        <f aca="false">INDEX(Monthly!$C$40:$BJ$40,($R$2-1)*12+2)</f>
        <v>-77121.3290666667</v>
      </c>
      <c r="J11" s="35" t="n">
        <f aca="false">INDEX(Monthly!$C$40:$BJ$40,($R$2-1)*12+3)</f>
        <v>-77544.4010666667</v>
      </c>
      <c r="K11" s="35" t="n">
        <f aca="false">INDEX(Monthly!$C$40:$BJ$40,($R$2-1)*12+4)</f>
        <v>-77544.4010666667</v>
      </c>
      <c r="L11" s="35" t="n">
        <f aca="false">INDEX(Monthly!$C$40:$BJ$40,($R$2-1)*12+5)</f>
        <v>-77544.4010666667</v>
      </c>
      <c r="M11" s="35" t="n">
        <f aca="false">INDEX(Monthly!$C$40:$BJ$40,($R$2-1)*12+6)</f>
        <v>-77544.4010666667</v>
      </c>
      <c r="N11" s="35" t="n">
        <f aca="false">INDEX(Monthly!$C$40:$BJ$40,($R$2-1)*12+7)</f>
        <v>-77544.4010666667</v>
      </c>
      <c r="O11" s="35" t="n">
        <f aca="false">INDEX(Monthly!$C$40:$BJ$40,($R$2-1)*12+8)</f>
        <v>-77544.4010666667</v>
      </c>
      <c r="P11" s="35" t="n">
        <f aca="false">INDEX(Monthly!$C$40:$BJ$40,($R$2-1)*12+9)</f>
        <v>-77544.4010666667</v>
      </c>
      <c r="Q11" s="35" t="n">
        <f aca="false">INDEX(Monthly!$C$40:$BJ$40,($R$2-1)*12+10)</f>
        <v>-77544.4010666667</v>
      </c>
      <c r="R11" s="35" t="n">
        <f aca="false">INDEX(Monthly!$C$40:$BJ$40,($R$2-1)*12+11)</f>
        <v>-78646.6346666667</v>
      </c>
      <c r="S11" s="35" t="n">
        <f aca="false">INDEX(Monthly!$C$40:$BJ$40,($R$2-1)*12+12)</f>
        <v>-78646.6346666667</v>
      </c>
    </row>
    <row r="12" customFormat="false" ht="15" hidden="false" customHeight="false" outlineLevel="0" collapsed="false">
      <c r="A12" s="36" t="s">
        <v>48</v>
      </c>
      <c r="B12" s="37" t="n">
        <f aca="false">'P&amp;L'!B18</f>
        <v>145357.010285714</v>
      </c>
      <c r="C12" s="37" t="n">
        <f aca="false">'P&amp;L'!C18</f>
        <v>193289.208996572</v>
      </c>
      <c r="D12" s="37" t="n">
        <f aca="false">'P&amp;L'!D18</f>
        <v>233403.120666446</v>
      </c>
      <c r="E12" s="37" t="n">
        <f aca="false">'P&amp;L'!E18</f>
        <v>278784.792162417</v>
      </c>
      <c r="F12" s="37" t="n">
        <f aca="false">'P&amp;L'!F18</f>
        <v>330280.299465202</v>
      </c>
      <c r="H12" s="37" t="n">
        <f aca="false">INDEX(Monthly!$C$41:$BJ$41,($R$2-1)*12+1)</f>
        <v>2402.04921904762</v>
      </c>
      <c r="I12" s="37" t="n">
        <f aca="false">INDEX(Monthly!$C$41:$BJ$41,($R$2-1)*12+2)</f>
        <v>6522.54293333335</v>
      </c>
      <c r="J12" s="37" t="n">
        <f aca="false">INDEX(Monthly!$C$41:$BJ$41,($R$2-1)*12+3)</f>
        <v>10643.0366476191</v>
      </c>
      <c r="K12" s="37" t="n">
        <f aca="false">INDEX(Monthly!$C$41:$BJ$41,($R$2-1)*12+4)</f>
        <v>10643.0366476191</v>
      </c>
      <c r="L12" s="37" t="n">
        <f aca="false">INDEX(Monthly!$C$41:$BJ$41,($R$2-1)*12+5)</f>
        <v>10643.0366476191</v>
      </c>
      <c r="M12" s="37" t="n">
        <f aca="false">INDEX(Monthly!$C$41:$BJ$41,($R$2-1)*12+6)</f>
        <v>10643.0366476191</v>
      </c>
      <c r="N12" s="37" t="n">
        <f aca="false">INDEX(Monthly!$C$41:$BJ$41,($R$2-1)*12+7)</f>
        <v>10643.0366476191</v>
      </c>
      <c r="O12" s="37" t="n">
        <f aca="false">INDEX(Monthly!$C$41:$BJ$41,($R$2-1)*12+8)</f>
        <v>10643.0366476191</v>
      </c>
      <c r="P12" s="37" t="n">
        <f aca="false">INDEX(Monthly!$C$41:$BJ$41,($R$2-1)*12+9)</f>
        <v>10643.0366476191</v>
      </c>
      <c r="Q12" s="37" t="n">
        <f aca="false">INDEX(Monthly!$C$41:$BJ$41,($R$2-1)*12+10)</f>
        <v>10643.0366476191</v>
      </c>
      <c r="R12" s="37" t="n">
        <f aca="false">INDEX(Monthly!$C$41:$BJ$41,($R$2-1)*12+11)</f>
        <v>25644.0624761905</v>
      </c>
      <c r="S12" s="37" t="n">
        <f aca="false">INDEX(Monthly!$C$41:$BJ$41,($R$2-1)*12+12)</f>
        <v>25644.0624761905</v>
      </c>
    </row>
    <row r="13" customFormat="false" ht="15" hidden="false" customHeight="false" outlineLevel="0" collapsed="false">
      <c r="A13" s="38" t="s">
        <v>49</v>
      </c>
      <c r="B13" s="39" t="n">
        <f aca="false">'P&amp;L'!B19</f>
        <v>0.0921455406407939</v>
      </c>
      <c r="C13" s="39" t="n">
        <f aca="false">'P&amp;L'!C19</f>
        <v>0.111317833858582</v>
      </c>
      <c r="D13" s="39" t="n">
        <f aca="false">'P&amp;L'!D19</f>
        <v>0.123483074424667</v>
      </c>
      <c r="E13" s="39" t="n">
        <f aca="false">'P&amp;L'!E19</f>
        <v>0.13528651920645</v>
      </c>
      <c r="F13" s="39" t="n">
        <f aca="false">'P&amp;L'!F19</f>
        <v>0.14678249821467</v>
      </c>
      <c r="H13" s="39" t="n">
        <f aca="false">IF(H7=0,0,H12/H7)</f>
        <v>0.0207107488398737</v>
      </c>
      <c r="I13" s="39" t="n">
        <f aca="false">IF(I7=0,0,I12/I7)</f>
        <v>0.0531858539470481</v>
      </c>
      <c r="J13" s="39" t="n">
        <f aca="false">IF(J7=0,0,J12/J7)</f>
        <v>0.0823173188887475</v>
      </c>
      <c r="K13" s="39" t="n">
        <f aca="false">IF(K7=0,0,K12/K7)</f>
        <v>0.0823173188887475</v>
      </c>
      <c r="L13" s="39" t="n">
        <f aca="false">IF(L7=0,0,L12/L7)</f>
        <v>0.0823173188887475</v>
      </c>
      <c r="M13" s="39" t="n">
        <f aca="false">IF(M7=0,0,M12/M7)</f>
        <v>0.0823173188887475</v>
      </c>
      <c r="N13" s="39" t="n">
        <f aca="false">IF(N7=0,0,N12/N7)</f>
        <v>0.0823173188887475</v>
      </c>
      <c r="O13" s="39" t="n">
        <f aca="false">IF(O7=0,0,O12/O7)</f>
        <v>0.0823173188887475</v>
      </c>
      <c r="P13" s="39" t="n">
        <f aca="false">IF(P7=0,0,P12/P7)</f>
        <v>0.0823173188887475</v>
      </c>
      <c r="Q13" s="39" t="n">
        <f aca="false">IF(Q7=0,0,Q12/Q7)</f>
        <v>0.0823173188887475</v>
      </c>
      <c r="R13" s="39" t="n">
        <f aca="false">IF(R7=0,0,R12/R7)</f>
        <v>0.168427270361697</v>
      </c>
      <c r="S13" s="39" t="n">
        <f aca="false">IF(S7=0,0,S12/S7)</f>
        <v>0.168427270361697</v>
      </c>
    </row>
    <row r="14" customFormat="false" ht="15" hidden="false" customHeight="false" outlineLevel="0" collapsed="false">
      <c r="A14" s="49" t="s">
        <v>78</v>
      </c>
      <c r="B14" s="35" t="n">
        <f aca="false">'P&amp;L'!B20</f>
        <v>-12857.1428571429</v>
      </c>
      <c r="C14" s="35" t="n">
        <f aca="false">'P&amp;L'!C20</f>
        <v>-13940.4761904762</v>
      </c>
      <c r="D14" s="35" t="n">
        <f aca="false">'P&amp;L'!D20</f>
        <v>-15940.4761904762</v>
      </c>
      <c r="E14" s="35" t="n">
        <f aca="false">'P&amp;L'!E20</f>
        <v>-17940.4761904762</v>
      </c>
      <c r="F14" s="35" t="n">
        <f aca="false">'P&amp;L'!F20</f>
        <v>-19940.4761904762</v>
      </c>
      <c r="H14" s="35" t="n">
        <f aca="false">INDEX(Monthly!$C$55:$BJ$55,($R$2-1)*12+1)</f>
        <v>-1071.42857142857</v>
      </c>
      <c r="I14" s="35" t="n">
        <f aca="false">INDEX(Monthly!$C$55:$BJ$55,($R$2-1)*12+2)</f>
        <v>-1071.42857142857</v>
      </c>
      <c r="J14" s="35" t="n">
        <f aca="false">INDEX(Monthly!$C$55:$BJ$55,($R$2-1)*12+3)</f>
        <v>-1071.42857142857</v>
      </c>
      <c r="K14" s="35" t="n">
        <f aca="false">INDEX(Monthly!$C$55:$BJ$55,($R$2-1)*12+4)</f>
        <v>-1071.42857142857</v>
      </c>
      <c r="L14" s="35" t="n">
        <f aca="false">INDEX(Monthly!$C$55:$BJ$55,($R$2-1)*12+5)</f>
        <v>-1071.42857142857</v>
      </c>
      <c r="M14" s="35" t="n">
        <f aca="false">INDEX(Monthly!$C$55:$BJ$55,($R$2-1)*12+6)</f>
        <v>-1071.42857142857</v>
      </c>
      <c r="N14" s="35" t="n">
        <f aca="false">INDEX(Monthly!$C$55:$BJ$55,($R$2-1)*12+7)</f>
        <v>-1071.42857142857</v>
      </c>
      <c r="O14" s="35" t="n">
        <f aca="false">INDEX(Monthly!$C$55:$BJ$55,($R$2-1)*12+8)</f>
        <v>-1071.42857142857</v>
      </c>
      <c r="P14" s="35" t="n">
        <f aca="false">INDEX(Monthly!$C$55:$BJ$55,($R$2-1)*12+9)</f>
        <v>-1071.42857142857</v>
      </c>
      <c r="Q14" s="35" t="n">
        <f aca="false">INDEX(Monthly!$C$55:$BJ$55,($R$2-1)*12+10)</f>
        <v>-1071.42857142857</v>
      </c>
      <c r="R14" s="35" t="n">
        <f aca="false">INDEX(Monthly!$C$55:$BJ$55,($R$2-1)*12+11)</f>
        <v>-1071.42857142857</v>
      </c>
      <c r="S14" s="35" t="n">
        <f aca="false">INDEX(Monthly!$C$55:$BJ$55,($R$2-1)*12+12)</f>
        <v>-1071.42857142857</v>
      </c>
    </row>
    <row r="15" customFormat="false" ht="15" hidden="false" customHeight="false" outlineLevel="0" collapsed="false">
      <c r="A15" s="36" t="s">
        <v>79</v>
      </c>
      <c r="B15" s="37" t="n">
        <f aca="false">'P&amp;L'!B21</f>
        <v>132499.867428572</v>
      </c>
      <c r="C15" s="37" t="n">
        <f aca="false">'P&amp;L'!C21</f>
        <v>179348.732806096</v>
      </c>
      <c r="D15" s="37" t="n">
        <f aca="false">'P&amp;L'!D21</f>
        <v>217462.64447597</v>
      </c>
      <c r="E15" s="37" t="n">
        <f aca="false">'P&amp;L'!E21</f>
        <v>260844.315971941</v>
      </c>
      <c r="F15" s="37" t="n">
        <f aca="false">'P&amp;L'!F21</f>
        <v>310339.823274726</v>
      </c>
      <c r="H15" s="37" t="n">
        <f aca="false">INDEX(Monthly!$C$44:$BJ$44,($R$2-1)*12+1)</f>
        <v>1330.62064761905</v>
      </c>
      <c r="I15" s="37" t="n">
        <f aca="false">INDEX(Monthly!$C$44:$BJ$44,($R$2-1)*12+2)</f>
        <v>5451.11436190477</v>
      </c>
      <c r="J15" s="37" t="n">
        <f aca="false">INDEX(Monthly!$C$44:$BJ$44,($R$2-1)*12+3)</f>
        <v>9571.60807619048</v>
      </c>
      <c r="K15" s="37" t="n">
        <f aca="false">INDEX(Monthly!$C$44:$BJ$44,($R$2-1)*12+4)</f>
        <v>9571.60807619048</v>
      </c>
      <c r="L15" s="37" t="n">
        <f aca="false">INDEX(Monthly!$C$44:$BJ$44,($R$2-1)*12+5)</f>
        <v>9571.60807619048</v>
      </c>
      <c r="M15" s="37" t="n">
        <f aca="false">INDEX(Monthly!$C$44:$BJ$44,($R$2-1)*12+6)</f>
        <v>9571.60807619048</v>
      </c>
      <c r="N15" s="37" t="n">
        <f aca="false">INDEX(Monthly!$C$44:$BJ$44,($R$2-1)*12+7)</f>
        <v>9571.60807619048</v>
      </c>
      <c r="O15" s="37" t="n">
        <f aca="false">INDEX(Monthly!$C$44:$BJ$44,($R$2-1)*12+8)</f>
        <v>9571.60807619048</v>
      </c>
      <c r="P15" s="37" t="n">
        <f aca="false">INDEX(Monthly!$C$44:$BJ$44,($R$2-1)*12+9)</f>
        <v>9571.60807619048</v>
      </c>
      <c r="Q15" s="37" t="n">
        <f aca="false">INDEX(Monthly!$C$44:$BJ$44,($R$2-1)*12+10)</f>
        <v>9571.60807619048</v>
      </c>
      <c r="R15" s="37" t="n">
        <f aca="false">INDEX(Monthly!$C$44:$BJ$44,($R$2-1)*12+11)</f>
        <v>24572.6339047619</v>
      </c>
      <c r="S15" s="37" t="n">
        <f aca="false">INDEX(Monthly!$C$44:$BJ$44,($R$2-1)*12+12)</f>
        <v>24572.6339047619</v>
      </c>
    </row>
    <row r="16" customFormat="false" ht="15" hidden="false" customHeight="false" outlineLevel="0" collapsed="false">
      <c r="A16" s="49" t="s">
        <v>80</v>
      </c>
      <c r="B16" s="35" t="n">
        <f aca="false">'P&amp;L'!B22</f>
        <v>-6228.61111111111</v>
      </c>
      <c r="C16" s="35" t="n">
        <f aca="false">'P&amp;L'!C22</f>
        <v>-4873.33333333334</v>
      </c>
      <c r="D16" s="35" t="n">
        <f aca="false">'P&amp;L'!D22</f>
        <v>-3513.33333333333</v>
      </c>
      <c r="E16" s="35" t="n">
        <f aca="false">'P&amp;L'!E22</f>
        <v>-2153.33333333333</v>
      </c>
      <c r="F16" s="35" t="n">
        <f aca="false">'P&amp;L'!F22</f>
        <v>-793.333333333333</v>
      </c>
      <c r="H16" s="35" t="n">
        <f aca="false">INDEX(Monthly!$C$45:$BJ$45,($R$2-1)*12+1)</f>
        <v>-566.666666666667</v>
      </c>
      <c r="I16" s="35" t="n">
        <f aca="false">INDEX(Monthly!$C$45:$BJ$45,($R$2-1)*12+2)</f>
        <v>-561.944444444445</v>
      </c>
      <c r="J16" s="35" t="n">
        <f aca="false">INDEX(Monthly!$C$45:$BJ$45,($R$2-1)*12+3)</f>
        <v>-552.5</v>
      </c>
      <c r="K16" s="35" t="n">
        <f aca="false">INDEX(Monthly!$C$45:$BJ$45,($R$2-1)*12+4)</f>
        <v>-543.055555555556</v>
      </c>
      <c r="L16" s="35" t="n">
        <f aca="false">INDEX(Monthly!$C$45:$BJ$45,($R$2-1)*12+5)</f>
        <v>-533.611111111111</v>
      </c>
      <c r="M16" s="35" t="n">
        <f aca="false">INDEX(Monthly!$C$45:$BJ$45,($R$2-1)*12+6)</f>
        <v>-524.166666666667</v>
      </c>
      <c r="N16" s="35" t="n">
        <f aca="false">INDEX(Monthly!$C$45:$BJ$45,($R$2-1)*12+7)</f>
        <v>-514.722222222222</v>
      </c>
      <c r="O16" s="35" t="n">
        <f aca="false">INDEX(Monthly!$C$45:$BJ$45,($R$2-1)*12+8)</f>
        <v>-505.277777777778</v>
      </c>
      <c r="P16" s="35" t="n">
        <f aca="false">INDEX(Monthly!$C$45:$BJ$45,($R$2-1)*12+9)</f>
        <v>-495.833333333334</v>
      </c>
      <c r="Q16" s="35" t="n">
        <f aca="false">INDEX(Monthly!$C$45:$BJ$45,($R$2-1)*12+10)</f>
        <v>-486.388888888889</v>
      </c>
      <c r="R16" s="35" t="n">
        <f aca="false">INDEX(Monthly!$C$45:$BJ$45,($R$2-1)*12+11)</f>
        <v>-476.944444444445</v>
      </c>
      <c r="S16" s="35" t="n">
        <f aca="false">INDEX(Monthly!$C$45:$BJ$45,($R$2-1)*12+12)</f>
        <v>-467.5</v>
      </c>
    </row>
    <row r="17" customFormat="false" ht="15" hidden="false" customHeight="false" outlineLevel="0" collapsed="false">
      <c r="A17" s="49" t="s">
        <v>81</v>
      </c>
      <c r="B17" s="35" t="n">
        <f aca="false">'P&amp;L'!B23</f>
        <v>126271.25631746</v>
      </c>
      <c r="C17" s="35" t="n">
        <f aca="false">'P&amp;L'!C23</f>
        <v>174475.399472762</v>
      </c>
      <c r="D17" s="35" t="n">
        <f aca="false">'P&amp;L'!D23</f>
        <v>213949.311142637</v>
      </c>
      <c r="E17" s="35" t="n">
        <f aca="false">'P&amp;L'!E23</f>
        <v>258690.982638607</v>
      </c>
      <c r="F17" s="35" t="n">
        <f aca="false">'P&amp;L'!F23</f>
        <v>309546.489941393</v>
      </c>
      <c r="H17" s="35" t="n">
        <f aca="false">INDEX(Monthly!$C$46:$BJ$46,($R$2-1)*12+1)</f>
        <v>763.953980952384</v>
      </c>
      <c r="I17" s="35" t="n">
        <f aca="false">INDEX(Monthly!$C$46:$BJ$46,($R$2-1)*12+2)</f>
        <v>4889.16991746033</v>
      </c>
      <c r="J17" s="35" t="n">
        <f aca="false">INDEX(Monthly!$C$46:$BJ$46,($R$2-1)*12+3)</f>
        <v>9019.10807619048</v>
      </c>
      <c r="K17" s="35" t="n">
        <f aca="false">INDEX(Monthly!$C$46:$BJ$46,($R$2-1)*12+4)</f>
        <v>9028.55252063493</v>
      </c>
      <c r="L17" s="35" t="n">
        <f aca="false">INDEX(Monthly!$C$46:$BJ$46,($R$2-1)*12+5)</f>
        <v>9037.99696507937</v>
      </c>
      <c r="M17" s="35" t="n">
        <f aca="false">INDEX(Monthly!$C$46:$BJ$46,($R$2-1)*12+6)</f>
        <v>9047.44140952382</v>
      </c>
      <c r="N17" s="35" t="n">
        <f aca="false">INDEX(Monthly!$C$46:$BJ$46,($R$2-1)*12+7)</f>
        <v>9056.88585396826</v>
      </c>
      <c r="O17" s="35" t="n">
        <f aca="false">INDEX(Monthly!$C$46:$BJ$46,($R$2-1)*12+8)</f>
        <v>9066.33029841271</v>
      </c>
      <c r="P17" s="35" t="n">
        <f aca="false">INDEX(Monthly!$C$46:$BJ$46,($R$2-1)*12+9)</f>
        <v>9075.77474285715</v>
      </c>
      <c r="Q17" s="35" t="n">
        <f aca="false">INDEX(Monthly!$C$46:$BJ$46,($R$2-1)*12+10)</f>
        <v>9085.2191873016</v>
      </c>
      <c r="R17" s="35" t="n">
        <f aca="false">INDEX(Monthly!$C$46:$BJ$46,($R$2-1)*12+11)</f>
        <v>24095.6894603175</v>
      </c>
      <c r="S17" s="35" t="n">
        <f aca="false">INDEX(Monthly!$C$46:$BJ$46,($R$2-1)*12+12)</f>
        <v>24105.1339047619</v>
      </c>
    </row>
    <row r="18" customFormat="false" ht="15" hidden="false" customHeight="false" outlineLevel="0" collapsed="false">
      <c r="A18" s="49" t="s">
        <v>82</v>
      </c>
      <c r="B18" s="35" t="n">
        <f aca="false">'P&amp;L'!B24</f>
        <v>-26516.9638266667</v>
      </c>
      <c r="C18" s="35" t="n">
        <f aca="false">'P&amp;L'!C24</f>
        <v>-36639.8338892801</v>
      </c>
      <c r="D18" s="35" t="n">
        <f aca="false">'P&amp;L'!D24</f>
        <v>-44929.3553399537</v>
      </c>
      <c r="E18" s="35" t="n">
        <f aca="false">'P&amp;L'!E24</f>
        <v>-54325.1063541075</v>
      </c>
      <c r="F18" s="35" t="n">
        <f aca="false">'P&amp;L'!F24</f>
        <v>-65004.7628876925</v>
      </c>
      <c r="H18" s="35" t="n">
        <f aca="false">INDEX(Monthly!$C$49:$BJ$49,($R$2-1)*12+1)</f>
        <v>-160.430336000001</v>
      </c>
      <c r="I18" s="35" t="n">
        <f aca="false">INDEX(Monthly!$C$49:$BJ$49,($R$2-1)*12+2)</f>
        <v>-1026.72568266667</v>
      </c>
      <c r="J18" s="35" t="n">
        <f aca="false">INDEX(Monthly!$C$49:$BJ$49,($R$2-1)*12+3)</f>
        <v>-1894.012696</v>
      </c>
      <c r="K18" s="35" t="n">
        <f aca="false">INDEX(Monthly!$C$49:$BJ$49,($R$2-1)*12+4)</f>
        <v>-1895.99602933333</v>
      </c>
      <c r="L18" s="35" t="n">
        <f aca="false">INDEX(Monthly!$C$49:$BJ$49,($R$2-1)*12+5)</f>
        <v>-1897.97936266667</v>
      </c>
      <c r="M18" s="35" t="n">
        <f aca="false">INDEX(Monthly!$C$49:$BJ$49,($R$2-1)*12+6)</f>
        <v>-1899.962696</v>
      </c>
      <c r="N18" s="35" t="n">
        <f aca="false">INDEX(Monthly!$C$49:$BJ$49,($R$2-1)*12+7)</f>
        <v>-1901.94602933334</v>
      </c>
      <c r="O18" s="35" t="n">
        <f aca="false">INDEX(Monthly!$C$49:$BJ$49,($R$2-1)*12+8)</f>
        <v>-1903.92936266667</v>
      </c>
      <c r="P18" s="35" t="n">
        <f aca="false">INDEX(Monthly!$C$49:$BJ$49,($R$2-1)*12+9)</f>
        <v>-1905.912696</v>
      </c>
      <c r="Q18" s="35" t="n">
        <f aca="false">INDEX(Monthly!$C$49:$BJ$49,($R$2-1)*12+10)</f>
        <v>-1907.89602933334</v>
      </c>
      <c r="R18" s="35" t="n">
        <f aca="false">INDEX(Monthly!$C$49:$BJ$49,($R$2-1)*12+11)</f>
        <v>-5060.09478666667</v>
      </c>
      <c r="S18" s="35" t="n">
        <f aca="false">INDEX(Monthly!$C$49:$BJ$49,($R$2-1)*12+12)</f>
        <v>-5062.07812</v>
      </c>
    </row>
    <row r="19" customFormat="false" ht="15" hidden="false" customHeight="false" outlineLevel="0" collapsed="false">
      <c r="A19" s="40" t="s">
        <v>50</v>
      </c>
      <c r="B19" s="41" t="n">
        <f aca="false">'P&amp;L'!B25</f>
        <v>99754.2924907937</v>
      </c>
      <c r="C19" s="41" t="n">
        <f aca="false">'P&amp;L'!C25</f>
        <v>137835.565583482</v>
      </c>
      <c r="D19" s="41" t="n">
        <f aca="false">'P&amp;L'!D25</f>
        <v>169019.955802683</v>
      </c>
      <c r="E19" s="41" t="n">
        <f aca="false">'P&amp;L'!E25</f>
        <v>204365.8762845</v>
      </c>
      <c r="F19" s="41" t="n">
        <f aca="false">'P&amp;L'!F25</f>
        <v>244541.7270537</v>
      </c>
      <c r="H19" s="41" t="n">
        <f aca="false">INDEX(Monthly!$C$50:$BJ$50,($R$2-1)*12+1)</f>
        <v>603.523644952383</v>
      </c>
      <c r="I19" s="41" t="n">
        <f aca="false">INDEX(Monthly!$C$50:$BJ$50,($R$2-1)*12+2)</f>
        <v>3862.44423479366</v>
      </c>
      <c r="J19" s="41" t="n">
        <f aca="false">INDEX(Monthly!$C$50:$BJ$50,($R$2-1)*12+3)</f>
        <v>7125.09538019048</v>
      </c>
      <c r="K19" s="41" t="n">
        <f aca="false">INDEX(Monthly!$C$50:$BJ$50,($R$2-1)*12+4)</f>
        <v>7132.55649130159</v>
      </c>
      <c r="L19" s="41" t="n">
        <f aca="false">INDEX(Monthly!$C$50:$BJ$50,($R$2-1)*12+5)</f>
        <v>7140.0176024127</v>
      </c>
      <c r="M19" s="41" t="n">
        <f aca="false">INDEX(Monthly!$C$50:$BJ$50,($R$2-1)*12+6)</f>
        <v>7147.47871352382</v>
      </c>
      <c r="N19" s="41" t="n">
        <f aca="false">INDEX(Monthly!$C$50:$BJ$50,($R$2-1)*12+7)</f>
        <v>7154.93982463493</v>
      </c>
      <c r="O19" s="41" t="n">
        <f aca="false">INDEX(Monthly!$C$50:$BJ$50,($R$2-1)*12+8)</f>
        <v>7162.40093574604</v>
      </c>
      <c r="P19" s="41" t="n">
        <f aca="false">INDEX(Monthly!$C$50:$BJ$50,($R$2-1)*12+9)</f>
        <v>7169.86204685715</v>
      </c>
      <c r="Q19" s="41" t="n">
        <f aca="false">INDEX(Monthly!$C$50:$BJ$50,($R$2-1)*12+10)</f>
        <v>7177.32315796826</v>
      </c>
      <c r="R19" s="41" t="n">
        <f aca="false">INDEX(Monthly!$C$50:$BJ$50,($R$2-1)*12+11)</f>
        <v>19035.5946736508</v>
      </c>
      <c r="S19" s="41" t="n">
        <f aca="false">INDEX(Monthly!$C$50:$BJ$50,($R$2-1)*12+12)</f>
        <v>19043.0557847619</v>
      </c>
    </row>
    <row r="20" customFormat="false" ht="15" hidden="false" customHeight="false" outlineLevel="0" collapsed="false">
      <c r="A20" s="38" t="s">
        <v>51</v>
      </c>
      <c r="B20" s="39" t="n">
        <f aca="false">'P&amp;L'!B26</f>
        <v>0.0632368070500102</v>
      </c>
      <c r="C20" s="39" t="n">
        <f aca="false">'P&amp;L'!C26</f>
        <v>0.0793813408885021</v>
      </c>
      <c r="D20" s="39" t="n">
        <f aca="false">'P&amp;L'!D26</f>
        <v>0.0894208428835164</v>
      </c>
      <c r="E20" s="39" t="n">
        <f aca="false">'P&amp;L'!E26</f>
        <v>0.0991730855641457</v>
      </c>
      <c r="F20" s="39" t="n">
        <f aca="false">'P&amp;L'!F26</f>
        <v>0.108678736433246</v>
      </c>
      <c r="H20" s="39" t="n">
        <f aca="false">IF(H7=0,0,H19/H7)</f>
        <v>0.00520365133670731</v>
      </c>
      <c r="I20" s="39" t="n">
        <f aca="false">IF(I7=0,0,I19/I7)</f>
        <v>0.0314949854757598</v>
      </c>
      <c r="J20" s="39" t="n">
        <f aca="false">IF(J7=0,0,J19/J7)</f>
        <v>0.0551082146893754</v>
      </c>
      <c r="K20" s="39" t="n">
        <f aca="false">IF(K7=0,0,K19/K7)</f>
        <v>0.0551659217783325</v>
      </c>
      <c r="L20" s="39" t="n">
        <f aca="false">IF(L7=0,0,L19/L7)</f>
        <v>0.0552236288672896</v>
      </c>
      <c r="M20" s="39" t="n">
        <f aca="false">IF(M7=0,0,M19/M7)</f>
        <v>0.0552813359562467</v>
      </c>
      <c r="N20" s="39" t="n">
        <f aca="false">IF(N7=0,0,N19/N7)</f>
        <v>0.0553390430452038</v>
      </c>
      <c r="O20" s="39" t="n">
        <f aca="false">IF(O7=0,0,O19/O7)</f>
        <v>0.0553967501341609</v>
      </c>
      <c r="P20" s="39" t="n">
        <f aca="false">IF(P7=0,0,P19/P7)</f>
        <v>0.055454457223118</v>
      </c>
      <c r="Q20" s="39" t="n">
        <f aca="false">IF(Q7=0,0,Q19/Q7)</f>
        <v>0.0555121643120751</v>
      </c>
      <c r="R20" s="39" t="n">
        <f aca="false">IF(R7=0,0,R19/R7)</f>
        <v>0.125023609405546</v>
      </c>
      <c r="S20" s="39" t="n">
        <f aca="false">IF(S7=0,0,S19/S7)</f>
        <v>0.125072613130267</v>
      </c>
    </row>
    <row r="22" customFormat="false" ht="15.75" hidden="false" customHeight="true" outlineLevel="0" collapsed="false">
      <c r="A22" s="7" t="s">
        <v>83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4" t="n">
        <v>4</v>
      </c>
      <c r="F23" s="34" t="n">
        <v>5</v>
      </c>
      <c r="H23" s="48" t="n">
        <f aca="false">INDEX(Monthly!$C$4:$BJ$4,($R$2-1)*12+1)</f>
        <v>1</v>
      </c>
      <c r="I23" s="48" t="n">
        <f aca="false">INDEX(Monthly!$C$4:$BJ$4,($R$2-1)*12+2)</f>
        <v>2</v>
      </c>
      <c r="J23" s="48" t="n">
        <f aca="false">INDEX(Monthly!$C$4:$BJ$4,($R$2-1)*12+3)</f>
        <v>3</v>
      </c>
      <c r="K23" s="48" t="n">
        <f aca="false">INDEX(Monthly!$C$4:$BJ$4,($R$2-1)*12+4)</f>
        <v>4</v>
      </c>
      <c r="L23" s="48" t="n">
        <f aca="false">INDEX(Monthly!$C$4:$BJ$4,($R$2-1)*12+5)</f>
        <v>5</v>
      </c>
      <c r="M23" s="48" t="n">
        <f aca="false">INDEX(Monthly!$C$4:$BJ$4,($R$2-1)*12+6)</f>
        <v>6</v>
      </c>
      <c r="N23" s="48" t="n">
        <f aca="false">INDEX(Monthly!$C$4:$BJ$4,($R$2-1)*12+7)</f>
        <v>7</v>
      </c>
      <c r="O23" s="48" t="n">
        <f aca="false">INDEX(Monthly!$C$4:$BJ$4,($R$2-1)*12+8)</f>
        <v>8</v>
      </c>
      <c r="P23" s="48" t="n">
        <f aca="false">INDEX(Monthly!$C$4:$BJ$4,($R$2-1)*12+9)</f>
        <v>9</v>
      </c>
      <c r="Q23" s="48" t="n">
        <f aca="false">INDEX(Monthly!$C$4:$BJ$4,($R$2-1)*12+10)</f>
        <v>10</v>
      </c>
      <c r="R23" s="48" t="n">
        <f aca="false">INDEX(Monthly!$C$4:$BJ$4,($R$2-1)*12+11)</f>
        <v>11</v>
      </c>
      <c r="S23" s="48" t="n">
        <f aca="false">INDEX(Monthly!$C$4:$BJ$4,($R$2-1)*12+12)</f>
        <v>12</v>
      </c>
    </row>
    <row r="24" customFormat="false" ht="15" hidden="false" customHeight="false" outlineLevel="0" collapsed="false">
      <c r="A24" s="36" t="s">
        <v>52</v>
      </c>
      <c r="B24" s="37" t="n">
        <f aca="false">'Cash Flow'!B10</f>
        <v>90917.286776508</v>
      </c>
      <c r="C24" s="37" t="n">
        <f aca="false">'Cash Flow'!C10</f>
        <v>150047.062285958</v>
      </c>
      <c r="D24" s="37" t="n">
        <f aca="false">'Cash Flow'!D10</f>
        <v>183063.518677316</v>
      </c>
      <c r="E24" s="37" t="n">
        <f aca="false">'Cash Flow'!E10</f>
        <v>220221.656814303</v>
      </c>
      <c r="F24" s="37" t="n">
        <f aca="false">'Cash Flow'!F10</f>
        <v>262187.190108123</v>
      </c>
      <c r="H24" s="37" t="n">
        <f aca="false">INDEX(Monthly!$C$74:$BJ$74,($R$2-1)*12+1)</f>
        <v>-14679.0409264762</v>
      </c>
      <c r="I24" s="37" t="n">
        <f aca="false">INDEX(Monthly!$C$74:$BJ$74,($R$2-1)*12+2)</f>
        <v>3993.28994907936</v>
      </c>
      <c r="J24" s="37" t="n">
        <f aca="false">INDEX(Monthly!$C$74:$BJ$74,($R$2-1)*12+3)</f>
        <v>7255.9410944762</v>
      </c>
      <c r="K24" s="37" t="n">
        <f aca="false">INDEX(Monthly!$C$74:$BJ$74,($R$2-1)*12+4)</f>
        <v>8203.98506273016</v>
      </c>
      <c r="L24" s="37" t="n">
        <f aca="false">INDEX(Monthly!$C$74:$BJ$74,($R$2-1)*12+5)</f>
        <v>8211.44617384128</v>
      </c>
      <c r="M24" s="37" t="n">
        <f aca="false">INDEX(Monthly!$C$74:$BJ$74,($R$2-1)*12+6)</f>
        <v>8218.90728495239</v>
      </c>
      <c r="N24" s="37" t="n">
        <f aca="false">INDEX(Monthly!$C$74:$BJ$74,($R$2-1)*12+7)</f>
        <v>8226.3683960635</v>
      </c>
      <c r="O24" s="37" t="n">
        <f aca="false">INDEX(Monthly!$C$74:$BJ$74,($R$2-1)*12+8)</f>
        <v>8233.82950717461</v>
      </c>
      <c r="P24" s="37" t="n">
        <f aca="false">INDEX(Monthly!$C$74:$BJ$74,($R$2-1)*12+9)</f>
        <v>8241.29061828572</v>
      </c>
      <c r="Q24" s="37" t="n">
        <f aca="false">INDEX(Monthly!$C$74:$BJ$74,($R$2-1)*12+10)</f>
        <v>8248.75172939683</v>
      </c>
      <c r="R24" s="37" t="n">
        <f aca="false">INDEX(Monthly!$C$74:$BJ$74,($R$2-1)*12+11)</f>
        <v>16648.0335307936</v>
      </c>
      <c r="S24" s="37" t="n">
        <f aca="false">INDEX(Monthly!$C$74:$BJ$74,($R$2-1)*12+12)</f>
        <v>20114.4843561905</v>
      </c>
    </row>
    <row r="25" customFormat="false" ht="15" hidden="false" customHeight="false" outlineLevel="0" collapsed="false">
      <c r="A25" s="49" t="s">
        <v>84</v>
      </c>
      <c r="B25" s="35" t="n">
        <f aca="false">'Cash Flow'!B11</f>
        <v>-90000</v>
      </c>
      <c r="C25" s="35" t="n">
        <f aca="false">'Cash Flow'!C11</f>
        <v>-14000</v>
      </c>
      <c r="D25" s="35" t="n">
        <f aca="false">'Cash Flow'!D11</f>
        <v>-14000</v>
      </c>
      <c r="E25" s="35" t="n">
        <f aca="false">'Cash Flow'!E11</f>
        <v>-14000</v>
      </c>
      <c r="F25" s="35" t="n">
        <f aca="false">'Cash Flow'!F11</f>
        <v>-14000</v>
      </c>
      <c r="H25" s="35" t="n">
        <f aca="false">INDEX(Monthly!$C$75:$BJ$75,($R$2-1)*12+1)</f>
        <v>-90000</v>
      </c>
      <c r="I25" s="35" t="n">
        <f aca="false">INDEX(Monthly!$C$75:$BJ$75,($R$2-1)*12+2)</f>
        <v>-0</v>
      </c>
      <c r="J25" s="35" t="n">
        <f aca="false">INDEX(Monthly!$C$75:$BJ$75,($R$2-1)*12+3)</f>
        <v>-0</v>
      </c>
      <c r="K25" s="35" t="n">
        <f aca="false">INDEX(Monthly!$C$75:$BJ$75,($R$2-1)*12+4)</f>
        <v>-0</v>
      </c>
      <c r="L25" s="35" t="n">
        <f aca="false">INDEX(Monthly!$C$75:$BJ$75,($R$2-1)*12+5)</f>
        <v>-0</v>
      </c>
      <c r="M25" s="35" t="n">
        <f aca="false">INDEX(Monthly!$C$75:$BJ$75,($R$2-1)*12+6)</f>
        <v>-0</v>
      </c>
      <c r="N25" s="35" t="n">
        <f aca="false">INDEX(Monthly!$C$75:$BJ$75,($R$2-1)*12+7)</f>
        <v>-0</v>
      </c>
      <c r="O25" s="35" t="n">
        <f aca="false">INDEX(Monthly!$C$75:$BJ$75,($R$2-1)*12+8)</f>
        <v>-0</v>
      </c>
      <c r="P25" s="35" t="n">
        <f aca="false">INDEX(Monthly!$C$75:$BJ$75,($R$2-1)*12+9)</f>
        <v>-0</v>
      </c>
      <c r="Q25" s="35" t="n">
        <f aca="false">INDEX(Monthly!$C$75:$BJ$75,($R$2-1)*12+10)</f>
        <v>-0</v>
      </c>
      <c r="R25" s="35" t="n">
        <f aca="false">INDEX(Monthly!$C$75:$BJ$75,($R$2-1)*12+11)</f>
        <v>-0</v>
      </c>
      <c r="S25" s="35" t="n">
        <f aca="false">INDEX(Monthly!$C$75:$BJ$75,($R$2-1)*12+12)</f>
        <v>-0</v>
      </c>
    </row>
    <row r="26" customFormat="false" ht="15" hidden="false" customHeight="false" outlineLevel="0" collapsed="false">
      <c r="A26" s="49" t="s">
        <v>64</v>
      </c>
      <c r="B26" s="35" t="n">
        <f aca="false">'Cash Flow'!B12</f>
        <v>60000</v>
      </c>
      <c r="C26" s="35" t="n">
        <f aca="false">'Cash Flow'!C12</f>
        <v>0</v>
      </c>
      <c r="D26" s="35" t="n">
        <f aca="false">'Cash Flow'!D12</f>
        <v>0</v>
      </c>
      <c r="E26" s="35" t="n">
        <f aca="false">'Cash Flow'!E12</f>
        <v>0</v>
      </c>
      <c r="F26" s="35" t="n">
        <f aca="false">'Cash Flow'!F12</f>
        <v>0</v>
      </c>
      <c r="H26" s="35" t="n">
        <f aca="false">INDEX(Monthly!$C$76:$BJ$76,($R$2-1)*12+1)</f>
        <v>60000</v>
      </c>
      <c r="I26" s="35" t="n">
        <f aca="false">INDEX(Monthly!$C$76:$BJ$76,($R$2-1)*12+2)</f>
        <v>0</v>
      </c>
      <c r="J26" s="35" t="n">
        <f aca="false">INDEX(Monthly!$C$76:$BJ$76,($R$2-1)*12+3)</f>
        <v>0</v>
      </c>
      <c r="K26" s="35" t="n">
        <f aca="false">INDEX(Monthly!$C$76:$BJ$76,($R$2-1)*12+4)</f>
        <v>0</v>
      </c>
      <c r="L26" s="35" t="n">
        <f aca="false">INDEX(Monthly!$C$76:$BJ$76,($R$2-1)*12+5)</f>
        <v>0</v>
      </c>
      <c r="M26" s="35" t="n">
        <f aca="false">INDEX(Monthly!$C$76:$BJ$76,($R$2-1)*12+6)</f>
        <v>0</v>
      </c>
      <c r="N26" s="35" t="n">
        <f aca="false">INDEX(Monthly!$C$76:$BJ$76,($R$2-1)*12+7)</f>
        <v>0</v>
      </c>
      <c r="O26" s="35" t="n">
        <f aca="false">INDEX(Monthly!$C$76:$BJ$76,($R$2-1)*12+8)</f>
        <v>0</v>
      </c>
      <c r="P26" s="35" t="n">
        <f aca="false">INDEX(Monthly!$C$76:$BJ$76,($R$2-1)*12+9)</f>
        <v>0</v>
      </c>
      <c r="Q26" s="35" t="n">
        <f aca="false">INDEX(Monthly!$C$76:$BJ$76,($R$2-1)*12+10)</f>
        <v>0</v>
      </c>
      <c r="R26" s="35" t="n">
        <f aca="false">INDEX(Monthly!$C$76:$BJ$76,($R$2-1)*12+11)</f>
        <v>0</v>
      </c>
      <c r="S26" s="35" t="n">
        <f aca="false">INDEX(Monthly!$C$76:$BJ$76,($R$2-1)*12+12)</f>
        <v>0</v>
      </c>
    </row>
    <row r="27" customFormat="false" ht="15" hidden="false" customHeight="false" outlineLevel="0" collapsed="false">
      <c r="A27" s="49" t="s">
        <v>85</v>
      </c>
      <c r="B27" s="35" t="n">
        <f aca="false">'Cash Flow'!B13</f>
        <v>80000</v>
      </c>
      <c r="C27" s="35" t="n">
        <f aca="false">'Cash Flow'!C13</f>
        <v>0</v>
      </c>
      <c r="D27" s="35" t="n">
        <f aca="false">'Cash Flow'!D13</f>
        <v>0</v>
      </c>
      <c r="E27" s="35" t="n">
        <f aca="false">'Cash Flow'!E13</f>
        <v>0</v>
      </c>
      <c r="F27" s="35" t="n">
        <f aca="false">'Cash Flow'!F13</f>
        <v>0</v>
      </c>
      <c r="H27" s="35" t="n">
        <f aca="false">INDEX(Monthly!$C$61:$BJ$61,($R$2-1)*12+1)</f>
        <v>80000</v>
      </c>
      <c r="I27" s="35" t="n">
        <f aca="false">INDEX(Monthly!$C$61:$BJ$61,($R$2-1)*12+2)</f>
        <v>0</v>
      </c>
      <c r="J27" s="35" t="n">
        <f aca="false">INDEX(Monthly!$C$61:$BJ$61,($R$2-1)*12+3)</f>
        <v>0</v>
      </c>
      <c r="K27" s="35" t="n">
        <f aca="false">INDEX(Monthly!$C$61:$BJ$61,($R$2-1)*12+4)</f>
        <v>0</v>
      </c>
      <c r="L27" s="35" t="n">
        <f aca="false">INDEX(Monthly!$C$61:$BJ$61,($R$2-1)*12+5)</f>
        <v>0</v>
      </c>
      <c r="M27" s="35" t="n">
        <f aca="false">INDEX(Monthly!$C$61:$BJ$61,($R$2-1)*12+6)</f>
        <v>0</v>
      </c>
      <c r="N27" s="35" t="n">
        <f aca="false">INDEX(Monthly!$C$61:$BJ$61,($R$2-1)*12+7)</f>
        <v>0</v>
      </c>
      <c r="O27" s="35" t="n">
        <f aca="false">INDEX(Monthly!$C$61:$BJ$61,($R$2-1)*12+8)</f>
        <v>0</v>
      </c>
      <c r="P27" s="35" t="n">
        <f aca="false">INDEX(Monthly!$C$61:$BJ$61,($R$2-1)*12+9)</f>
        <v>0</v>
      </c>
      <c r="Q27" s="35" t="n">
        <f aca="false">INDEX(Monthly!$C$61:$BJ$61,($R$2-1)*12+10)</f>
        <v>0</v>
      </c>
      <c r="R27" s="35" t="n">
        <f aca="false">INDEX(Monthly!$C$61:$BJ$61,($R$2-1)*12+11)</f>
        <v>0</v>
      </c>
      <c r="S27" s="35" t="n">
        <f aca="false">INDEX(Monthly!$C$61:$BJ$61,($R$2-1)*12+12)</f>
        <v>0</v>
      </c>
    </row>
    <row r="28" customFormat="false" ht="15" hidden="false" customHeight="false" outlineLevel="0" collapsed="false">
      <c r="A28" s="49" t="s">
        <v>86</v>
      </c>
      <c r="B28" s="35" t="n">
        <f aca="false">'Cash Flow'!B14</f>
        <v>-14666.6666666667</v>
      </c>
      <c r="C28" s="35" t="n">
        <f aca="false">'Cash Flow'!C14</f>
        <v>-16000</v>
      </c>
      <c r="D28" s="35" t="n">
        <f aca="false">'Cash Flow'!D14</f>
        <v>-16000</v>
      </c>
      <c r="E28" s="35" t="n">
        <f aca="false">'Cash Flow'!E14</f>
        <v>-16000</v>
      </c>
      <c r="F28" s="35" t="n">
        <f aca="false">'Cash Flow'!F14</f>
        <v>-16000</v>
      </c>
      <c r="H28" s="35" t="n">
        <f aca="false">INDEX(Monthly!$C$62:$BJ$62,($R$2-1)*12+1)</f>
        <v>-0</v>
      </c>
      <c r="I28" s="35" t="n">
        <f aca="false">INDEX(Monthly!$C$62:$BJ$62,($R$2-1)*12+2)</f>
        <v>-1333.33333333333</v>
      </c>
      <c r="J28" s="35" t="n">
        <f aca="false">INDEX(Monthly!$C$62:$BJ$62,($R$2-1)*12+3)</f>
        <v>-1333.33333333333</v>
      </c>
      <c r="K28" s="35" t="n">
        <f aca="false">INDEX(Monthly!$C$62:$BJ$62,($R$2-1)*12+4)</f>
        <v>-1333.33333333333</v>
      </c>
      <c r="L28" s="35" t="n">
        <f aca="false">INDEX(Monthly!$C$62:$BJ$62,($R$2-1)*12+5)</f>
        <v>-1333.33333333333</v>
      </c>
      <c r="M28" s="35" t="n">
        <f aca="false">INDEX(Monthly!$C$62:$BJ$62,($R$2-1)*12+6)</f>
        <v>-1333.33333333333</v>
      </c>
      <c r="N28" s="35" t="n">
        <f aca="false">INDEX(Monthly!$C$62:$BJ$62,($R$2-1)*12+7)</f>
        <v>-1333.33333333333</v>
      </c>
      <c r="O28" s="35" t="n">
        <f aca="false">INDEX(Monthly!$C$62:$BJ$62,($R$2-1)*12+8)</f>
        <v>-1333.33333333333</v>
      </c>
      <c r="P28" s="35" t="n">
        <f aca="false">INDEX(Monthly!$C$62:$BJ$62,($R$2-1)*12+9)</f>
        <v>-1333.33333333333</v>
      </c>
      <c r="Q28" s="35" t="n">
        <f aca="false">INDEX(Monthly!$C$62:$BJ$62,($R$2-1)*12+10)</f>
        <v>-1333.33333333333</v>
      </c>
      <c r="R28" s="35" t="n">
        <f aca="false">INDEX(Monthly!$C$62:$BJ$62,($R$2-1)*12+11)</f>
        <v>-1333.33333333333</v>
      </c>
      <c r="S28" s="35" t="n">
        <f aca="false">INDEX(Monthly!$C$62:$BJ$62,($R$2-1)*12+12)</f>
        <v>-1333.33333333333</v>
      </c>
    </row>
    <row r="29" customFormat="false" ht="15" hidden="false" customHeight="false" outlineLevel="0" collapsed="false">
      <c r="A29" s="36" t="s">
        <v>54</v>
      </c>
      <c r="B29" s="37" t="n">
        <f aca="false">'Cash Flow'!B15</f>
        <v>125333.333333333</v>
      </c>
      <c r="C29" s="37" t="n">
        <f aca="false">'Cash Flow'!C15</f>
        <v>-16000</v>
      </c>
      <c r="D29" s="37" t="n">
        <f aca="false">'Cash Flow'!D15</f>
        <v>-16000</v>
      </c>
      <c r="E29" s="37" t="n">
        <f aca="false">'Cash Flow'!E15</f>
        <v>-16000</v>
      </c>
      <c r="F29" s="37" t="n">
        <f aca="false">'Cash Flow'!F15</f>
        <v>-16000</v>
      </c>
      <c r="H29" s="37" t="n">
        <f aca="false">INDEX(Monthly!$C$77:$BJ$77,($R$2-1)*12+1)</f>
        <v>140000</v>
      </c>
      <c r="I29" s="37" t="n">
        <f aca="false">INDEX(Monthly!$C$77:$BJ$77,($R$2-1)*12+2)</f>
        <v>-1333.33333333333</v>
      </c>
      <c r="J29" s="37" t="n">
        <f aca="false">INDEX(Monthly!$C$77:$BJ$77,($R$2-1)*12+3)</f>
        <v>-1333.33333333333</v>
      </c>
      <c r="K29" s="37" t="n">
        <f aca="false">INDEX(Monthly!$C$77:$BJ$77,($R$2-1)*12+4)</f>
        <v>-1333.33333333333</v>
      </c>
      <c r="L29" s="37" t="n">
        <f aca="false">INDEX(Monthly!$C$77:$BJ$77,($R$2-1)*12+5)</f>
        <v>-1333.33333333333</v>
      </c>
      <c r="M29" s="37" t="n">
        <f aca="false">INDEX(Monthly!$C$77:$BJ$77,($R$2-1)*12+6)</f>
        <v>-1333.33333333333</v>
      </c>
      <c r="N29" s="37" t="n">
        <f aca="false">INDEX(Monthly!$C$77:$BJ$77,($R$2-1)*12+7)</f>
        <v>-1333.33333333333</v>
      </c>
      <c r="O29" s="37" t="n">
        <f aca="false">INDEX(Monthly!$C$77:$BJ$77,($R$2-1)*12+8)</f>
        <v>-1333.33333333333</v>
      </c>
      <c r="P29" s="37" t="n">
        <f aca="false">INDEX(Monthly!$C$77:$BJ$77,($R$2-1)*12+9)</f>
        <v>-1333.33333333333</v>
      </c>
      <c r="Q29" s="37" t="n">
        <f aca="false">INDEX(Monthly!$C$77:$BJ$77,($R$2-1)*12+10)</f>
        <v>-1333.33333333333</v>
      </c>
      <c r="R29" s="37" t="n">
        <f aca="false">INDEX(Monthly!$C$77:$BJ$77,($R$2-1)*12+11)</f>
        <v>-1333.33333333333</v>
      </c>
      <c r="S29" s="37" t="n">
        <f aca="false">INDEX(Monthly!$C$77:$BJ$77,($R$2-1)*12+12)</f>
        <v>-1333.33333333333</v>
      </c>
    </row>
    <row r="30" customFormat="false" ht="15" hidden="false" customHeight="false" outlineLevel="0" collapsed="false">
      <c r="A30" s="36" t="s">
        <v>55</v>
      </c>
      <c r="B30" s="37" t="n">
        <f aca="false">'Cash Flow'!B16</f>
        <v>126250.620109841</v>
      </c>
      <c r="C30" s="37" t="n">
        <f aca="false">'Cash Flow'!C16</f>
        <v>120047.062285958</v>
      </c>
      <c r="D30" s="37" t="n">
        <f aca="false">'Cash Flow'!D16</f>
        <v>153063.518677316</v>
      </c>
      <c r="E30" s="37" t="n">
        <f aca="false">'Cash Flow'!E16</f>
        <v>190221.656814303</v>
      </c>
      <c r="F30" s="37" t="n">
        <f aca="false">'Cash Flow'!F16</f>
        <v>232187.190108123</v>
      </c>
      <c r="H30" s="37" t="n">
        <f aca="false">INDEX(Monthly!$C$78:$BJ$78,($R$2-1)*12+1)</f>
        <v>35320.9590735238</v>
      </c>
      <c r="I30" s="37" t="n">
        <f aca="false">INDEX(Monthly!$C$78:$BJ$78,($R$2-1)*12+2)</f>
        <v>2659.95661574603</v>
      </c>
      <c r="J30" s="37" t="n">
        <f aca="false">INDEX(Monthly!$C$78:$BJ$78,($R$2-1)*12+3)</f>
        <v>5922.60776114287</v>
      </c>
      <c r="K30" s="37" t="n">
        <f aca="false">INDEX(Monthly!$C$78:$BJ$78,($R$2-1)*12+4)</f>
        <v>6870.65172939683</v>
      </c>
      <c r="L30" s="37" t="n">
        <f aca="false">INDEX(Monthly!$C$78:$BJ$78,($R$2-1)*12+5)</f>
        <v>6878.11284050794</v>
      </c>
      <c r="M30" s="37" t="n">
        <f aca="false">INDEX(Monthly!$C$78:$BJ$78,($R$2-1)*12+6)</f>
        <v>6885.57395161905</v>
      </c>
      <c r="N30" s="37" t="n">
        <f aca="false">INDEX(Monthly!$C$78:$BJ$78,($R$2-1)*12+7)</f>
        <v>6893.03506273016</v>
      </c>
      <c r="O30" s="37" t="n">
        <f aca="false">INDEX(Monthly!$C$78:$BJ$78,($R$2-1)*12+8)</f>
        <v>6900.49617384128</v>
      </c>
      <c r="P30" s="37" t="n">
        <f aca="false">INDEX(Monthly!$C$78:$BJ$78,($R$2-1)*12+9)</f>
        <v>6907.95728495239</v>
      </c>
      <c r="Q30" s="37" t="n">
        <f aca="false">INDEX(Monthly!$C$78:$BJ$78,($R$2-1)*12+10)</f>
        <v>6915.4183960635</v>
      </c>
      <c r="R30" s="37" t="n">
        <f aca="false">INDEX(Monthly!$C$78:$BJ$78,($R$2-1)*12+11)</f>
        <v>15314.7001974603</v>
      </c>
      <c r="S30" s="37" t="n">
        <f aca="false">INDEX(Monthly!$C$78:$BJ$78,($R$2-1)*12+12)</f>
        <v>18781.1510228571</v>
      </c>
    </row>
    <row r="31" customFormat="false" ht="15" hidden="false" customHeight="false" outlineLevel="0" collapsed="false">
      <c r="A31" s="40" t="s">
        <v>87</v>
      </c>
      <c r="B31" s="41" t="n">
        <f aca="false">'Cash Flow'!B18</f>
        <v>126250.620109841</v>
      </c>
      <c r="C31" s="41" t="n">
        <f aca="false">'Cash Flow'!C18</f>
        <v>246297.6823958</v>
      </c>
      <c r="D31" s="41" t="n">
        <f aca="false">'Cash Flow'!D18</f>
        <v>399361.201073116</v>
      </c>
      <c r="E31" s="41" t="n">
        <f aca="false">'Cash Flow'!E18</f>
        <v>589582.857887419</v>
      </c>
      <c r="F31" s="41" t="n">
        <f aca="false">'Cash Flow'!F18</f>
        <v>821770.047995542</v>
      </c>
      <c r="H31" s="41" t="n">
        <f aca="false">INDEX(Monthly!$C$80:$BJ$80,($R$2-1)*12+1)</f>
        <v>35320.9590735238</v>
      </c>
      <c r="I31" s="41" t="n">
        <f aca="false">INDEX(Monthly!$C$80:$BJ$80,($R$2-1)*12+2)</f>
        <v>37980.9156892698</v>
      </c>
      <c r="J31" s="41" t="n">
        <f aca="false">INDEX(Monthly!$C$80:$BJ$80,($R$2-1)*12+3)</f>
        <v>43903.5234504127</v>
      </c>
      <c r="K31" s="41" t="n">
        <f aca="false">INDEX(Monthly!$C$80:$BJ$80,($R$2-1)*12+4)</f>
        <v>50774.1751798095</v>
      </c>
      <c r="L31" s="41" t="n">
        <f aca="false">INDEX(Monthly!$C$80:$BJ$80,($R$2-1)*12+5)</f>
        <v>57652.2880203175</v>
      </c>
      <c r="M31" s="41" t="n">
        <f aca="false">INDEX(Monthly!$C$80:$BJ$80,($R$2-1)*12+6)</f>
        <v>64537.8619719365</v>
      </c>
      <c r="N31" s="41" t="n">
        <f aca="false">INDEX(Monthly!$C$80:$BJ$80,($R$2-1)*12+7)</f>
        <v>71430.8970346667</v>
      </c>
      <c r="O31" s="41" t="n">
        <f aca="false">INDEX(Monthly!$C$80:$BJ$80,($R$2-1)*12+8)</f>
        <v>78331.393208508</v>
      </c>
      <c r="P31" s="41" t="n">
        <f aca="false">INDEX(Monthly!$C$80:$BJ$80,($R$2-1)*12+9)</f>
        <v>85239.3504934604</v>
      </c>
      <c r="Q31" s="41" t="n">
        <f aca="false">INDEX(Monthly!$C$80:$BJ$80,($R$2-1)*12+10)</f>
        <v>92154.7688895239</v>
      </c>
      <c r="R31" s="41" t="n">
        <f aca="false">INDEX(Monthly!$C$80:$BJ$80,($R$2-1)*12+11)</f>
        <v>107469.469086984</v>
      </c>
      <c r="S31" s="41" t="n">
        <f aca="false">INDEX(Monthly!$C$80:$BJ$80,($R$2-1)*12+12)</f>
        <v>126250.620109841</v>
      </c>
    </row>
    <row r="39" customFormat="false" ht="15.75" hidden="false" customHeight="true" outlineLevel="0" collapsed="false">
      <c r="A39" s="7" t="s">
        <v>88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4" t="n">
        <v>4</v>
      </c>
      <c r="F40" s="34" t="n">
        <v>5</v>
      </c>
      <c r="H40" s="48" t="n">
        <f aca="false">INDEX(Monthly!$C$4:$BJ$4,($R$2-1)*12+1)</f>
        <v>1</v>
      </c>
      <c r="I40" s="48" t="n">
        <f aca="false">INDEX(Monthly!$C$4:$BJ$4,($R$2-1)*12+2)</f>
        <v>2</v>
      </c>
      <c r="J40" s="48" t="n">
        <f aca="false">INDEX(Monthly!$C$4:$BJ$4,($R$2-1)*12+3)</f>
        <v>3</v>
      </c>
      <c r="K40" s="48" t="n">
        <f aca="false">INDEX(Monthly!$C$4:$BJ$4,($R$2-1)*12+4)</f>
        <v>4</v>
      </c>
      <c r="L40" s="48" t="n">
        <f aca="false">INDEX(Monthly!$C$4:$BJ$4,($R$2-1)*12+5)</f>
        <v>5</v>
      </c>
      <c r="M40" s="48" t="n">
        <f aca="false">INDEX(Monthly!$C$4:$BJ$4,($R$2-1)*12+6)</f>
        <v>6</v>
      </c>
      <c r="N40" s="48" t="n">
        <f aca="false">INDEX(Monthly!$C$4:$BJ$4,($R$2-1)*12+7)</f>
        <v>7</v>
      </c>
      <c r="O40" s="48" t="n">
        <f aca="false">INDEX(Monthly!$C$4:$BJ$4,($R$2-1)*12+8)</f>
        <v>8</v>
      </c>
      <c r="P40" s="48" t="n">
        <f aca="false">INDEX(Monthly!$C$4:$BJ$4,($R$2-1)*12+9)</f>
        <v>9</v>
      </c>
      <c r="Q40" s="48" t="n">
        <f aca="false">INDEX(Monthly!$C$4:$BJ$4,($R$2-1)*12+10)</f>
        <v>10</v>
      </c>
      <c r="R40" s="48" t="n">
        <f aca="false">INDEX(Monthly!$C$4:$BJ$4,($R$2-1)*12+11)</f>
        <v>11</v>
      </c>
      <c r="S40" s="48" t="n">
        <f aca="false">INDEX(Monthly!$C$4:$BJ$4,($R$2-1)*12+12)</f>
        <v>12</v>
      </c>
    </row>
    <row r="41" customFormat="false" ht="15" hidden="false" customHeight="false" outlineLevel="0" collapsed="false">
      <c r="A41" s="49" t="s">
        <v>89</v>
      </c>
      <c r="B41" s="35" t="n">
        <f aca="false">'Balance Sheet'!B5</f>
        <v>126250.620109841</v>
      </c>
      <c r="C41" s="35" t="n">
        <f aca="false">'Balance Sheet'!C5</f>
        <v>246297.6823958</v>
      </c>
      <c r="D41" s="35" t="n">
        <f aca="false">'Balance Sheet'!D5</f>
        <v>399361.201073116</v>
      </c>
      <c r="E41" s="35" t="n">
        <f aca="false">'Balance Sheet'!E5</f>
        <v>589582.857887419</v>
      </c>
      <c r="F41" s="35" t="n">
        <f aca="false">'Balance Sheet'!F5</f>
        <v>821770.047995542</v>
      </c>
      <c r="H41" s="35" t="n">
        <f aca="false">INDEX(Monthly!$C$80:$BJ$80,($R$2-1)*12+1)</f>
        <v>35320.9590735238</v>
      </c>
      <c r="I41" s="35" t="n">
        <f aca="false">INDEX(Monthly!$C$80:$BJ$80,($R$2-1)*12+2)</f>
        <v>37980.9156892698</v>
      </c>
      <c r="J41" s="35" t="n">
        <f aca="false">INDEX(Monthly!$C$80:$BJ$80,($R$2-1)*12+3)</f>
        <v>43903.5234504127</v>
      </c>
      <c r="K41" s="35" t="n">
        <f aca="false">INDEX(Monthly!$C$80:$BJ$80,($R$2-1)*12+4)</f>
        <v>50774.1751798095</v>
      </c>
      <c r="L41" s="35" t="n">
        <f aca="false">INDEX(Monthly!$C$80:$BJ$80,($R$2-1)*12+5)</f>
        <v>57652.2880203175</v>
      </c>
      <c r="M41" s="35" t="n">
        <f aca="false">INDEX(Monthly!$C$80:$BJ$80,($R$2-1)*12+6)</f>
        <v>64537.8619719365</v>
      </c>
      <c r="N41" s="35" t="n">
        <f aca="false">INDEX(Monthly!$C$80:$BJ$80,($R$2-1)*12+7)</f>
        <v>71430.8970346667</v>
      </c>
      <c r="O41" s="35" t="n">
        <f aca="false">INDEX(Monthly!$C$80:$BJ$80,($R$2-1)*12+8)</f>
        <v>78331.393208508</v>
      </c>
      <c r="P41" s="35" t="n">
        <f aca="false">INDEX(Monthly!$C$80:$BJ$80,($R$2-1)*12+9)</f>
        <v>85239.3504934604</v>
      </c>
      <c r="Q41" s="35" t="n">
        <f aca="false">INDEX(Monthly!$C$80:$BJ$80,($R$2-1)*12+10)</f>
        <v>92154.7688895239</v>
      </c>
      <c r="R41" s="35" t="n">
        <f aca="false">INDEX(Monthly!$C$80:$BJ$80,($R$2-1)*12+11)</f>
        <v>107469.469086984</v>
      </c>
      <c r="S41" s="35" t="n">
        <f aca="false">INDEX(Monthly!$C$80:$BJ$80,($R$2-1)*12+12)</f>
        <v>126250.620109841</v>
      </c>
    </row>
    <row r="42" customFormat="false" ht="15" hidden="false" customHeight="false" outlineLevel="0" collapsed="false">
      <c r="A42" s="49" t="s">
        <v>90</v>
      </c>
      <c r="B42" s="35" t="n">
        <f aca="false">'Balance Sheet'!B6</f>
        <v>45676.8</v>
      </c>
      <c r="C42" s="35" t="n">
        <f aca="false">'Balance Sheet'!C6</f>
        <v>49499.72352</v>
      </c>
      <c r="D42" s="35" t="n">
        <f aca="false">'Balance Sheet'!D6</f>
        <v>53715.392385408</v>
      </c>
      <c r="E42" s="35" t="n">
        <f aca="false">'Balance Sheet'!E6</f>
        <v>58372.2899287063</v>
      </c>
      <c r="F42" s="35" t="n">
        <f aca="false">'Balance Sheet'!F6</f>
        <v>63525.6253229748</v>
      </c>
      <c r="H42" s="35" t="n">
        <f aca="false">INDEX(Monthly!$C$66:$BJ$66,($R$2-1)*12+1)</f>
        <v>34794.24</v>
      </c>
      <c r="I42" s="35" t="n">
        <f aca="false">INDEX(Monthly!$C$66:$BJ$66,($R$2-1)*12+2)</f>
        <v>36791.04</v>
      </c>
      <c r="J42" s="35" t="n">
        <f aca="false">INDEX(Monthly!$C$66:$BJ$66,($R$2-1)*12+3)</f>
        <v>38787.84</v>
      </c>
      <c r="K42" s="35" t="n">
        <f aca="false">INDEX(Monthly!$C$66:$BJ$66,($R$2-1)*12+4)</f>
        <v>38787.84</v>
      </c>
      <c r="L42" s="35" t="n">
        <f aca="false">INDEX(Monthly!$C$66:$BJ$66,($R$2-1)*12+5)</f>
        <v>38787.84</v>
      </c>
      <c r="M42" s="35" t="n">
        <f aca="false">INDEX(Monthly!$C$66:$BJ$66,($R$2-1)*12+6)</f>
        <v>38787.84</v>
      </c>
      <c r="N42" s="35" t="n">
        <f aca="false">INDEX(Monthly!$C$66:$BJ$66,($R$2-1)*12+7)</f>
        <v>38787.84</v>
      </c>
      <c r="O42" s="35" t="n">
        <f aca="false">INDEX(Monthly!$C$66:$BJ$66,($R$2-1)*12+8)</f>
        <v>38787.84</v>
      </c>
      <c r="P42" s="35" t="n">
        <f aca="false">INDEX(Monthly!$C$66:$BJ$66,($R$2-1)*12+9)</f>
        <v>38787.84</v>
      </c>
      <c r="Q42" s="35" t="n">
        <f aca="false">INDEX(Monthly!$C$66:$BJ$66,($R$2-1)*12+10)</f>
        <v>38787.84</v>
      </c>
      <c r="R42" s="35" t="n">
        <f aca="false">INDEX(Monthly!$C$66:$BJ$66,($R$2-1)*12+11)</f>
        <v>45676.8</v>
      </c>
      <c r="S42" s="35" t="n">
        <f aca="false">INDEX(Monthly!$C$66:$BJ$66,($R$2-1)*12+12)</f>
        <v>45676.8</v>
      </c>
    </row>
    <row r="43" customFormat="false" ht="15" hidden="false" customHeight="false" outlineLevel="0" collapsed="false">
      <c r="A43" s="49" t="s">
        <v>91</v>
      </c>
      <c r="B43" s="35" t="n">
        <f aca="false">'Balance Sheet'!B7</f>
        <v>4796.53028571429</v>
      </c>
      <c r="C43" s="35" t="n">
        <f aca="false">'Balance Sheet'!C7</f>
        <v>5215.31909211429</v>
      </c>
      <c r="D43" s="35" t="n">
        <f aca="false">'Balance Sheet'!D7</f>
        <v>5679.07020202725</v>
      </c>
      <c r="E43" s="35" t="n">
        <f aca="false">'Balance Sheet'!E7</f>
        <v>6193.51057855232</v>
      </c>
      <c r="F43" s="35" t="n">
        <f aca="false">'Balance Sheet'!F7</f>
        <v>6765.17503019541</v>
      </c>
      <c r="H43" s="35" t="n">
        <f aca="false">INDEX(Monthly!$C$67:$BJ$67,($R$2-1)*12+1)</f>
        <v>3688.04937142857</v>
      </c>
      <c r="I43" s="35" t="n">
        <f aca="false">INDEX(Monthly!$C$67:$BJ$67,($R$2-1)*12+2)</f>
        <v>3899.2928</v>
      </c>
      <c r="J43" s="35" t="n">
        <f aca="false">INDEX(Monthly!$C$67:$BJ$67,($R$2-1)*12+3)</f>
        <v>4110.53622857143</v>
      </c>
      <c r="K43" s="35" t="n">
        <f aca="false">INDEX(Monthly!$C$67:$BJ$67,($R$2-1)*12+4)</f>
        <v>4110.53622857143</v>
      </c>
      <c r="L43" s="35" t="n">
        <f aca="false">INDEX(Monthly!$C$67:$BJ$67,($R$2-1)*12+5)</f>
        <v>4110.53622857143</v>
      </c>
      <c r="M43" s="35" t="n">
        <f aca="false">INDEX(Monthly!$C$67:$BJ$67,($R$2-1)*12+6)</f>
        <v>4110.53622857143</v>
      </c>
      <c r="N43" s="35" t="n">
        <f aca="false">INDEX(Monthly!$C$67:$BJ$67,($R$2-1)*12+7)</f>
        <v>4110.53622857143</v>
      </c>
      <c r="O43" s="35" t="n">
        <f aca="false">INDEX(Monthly!$C$67:$BJ$67,($R$2-1)*12+8)</f>
        <v>4110.53622857143</v>
      </c>
      <c r="P43" s="35" t="n">
        <f aca="false">INDEX(Monthly!$C$67:$BJ$67,($R$2-1)*12+9)</f>
        <v>4110.53622857143</v>
      </c>
      <c r="Q43" s="35" t="n">
        <f aca="false">INDEX(Monthly!$C$67:$BJ$67,($R$2-1)*12+10)</f>
        <v>4110.53622857143</v>
      </c>
      <c r="R43" s="35" t="n">
        <f aca="false">INDEX(Monthly!$C$67:$BJ$67,($R$2-1)*12+11)</f>
        <v>4796.53028571429</v>
      </c>
      <c r="S43" s="35" t="n">
        <f aca="false">INDEX(Monthly!$C$67:$BJ$67,($R$2-1)*12+12)</f>
        <v>4796.53028571429</v>
      </c>
    </row>
    <row r="44" customFormat="false" ht="15" hidden="false" customHeight="false" outlineLevel="0" collapsed="false">
      <c r="A44" s="49" t="s">
        <v>92</v>
      </c>
      <c r="B44" s="35" t="n">
        <f aca="false">'Balance Sheet'!B8</f>
        <v>77142.8571428571</v>
      </c>
      <c r="C44" s="35" t="n">
        <f aca="false">'Balance Sheet'!C8</f>
        <v>77202.380952381</v>
      </c>
      <c r="D44" s="35" t="n">
        <f aca="false">'Balance Sheet'!D8</f>
        <v>75261.9047619049</v>
      </c>
      <c r="E44" s="35" t="n">
        <f aca="false">'Balance Sheet'!E8</f>
        <v>71321.4285714287</v>
      </c>
      <c r="F44" s="35" t="n">
        <f aca="false">'Balance Sheet'!F8</f>
        <v>65380.9523809524</v>
      </c>
      <c r="H44" s="35" t="n">
        <f aca="false">INDEX(Monthly!$C$57:$BJ$57,($R$2-1)*12+1)</f>
        <v>88928.5714285714</v>
      </c>
      <c r="I44" s="35" t="n">
        <f aca="false">INDEX(Monthly!$C$57:$BJ$57,($R$2-1)*12+2)</f>
        <v>87857.1428571429</v>
      </c>
      <c r="J44" s="35" t="n">
        <f aca="false">INDEX(Monthly!$C$57:$BJ$57,($R$2-1)*12+3)</f>
        <v>86785.7142857143</v>
      </c>
      <c r="K44" s="35" t="n">
        <f aca="false">INDEX(Monthly!$C$57:$BJ$57,($R$2-1)*12+4)</f>
        <v>85714.2857142857</v>
      </c>
      <c r="L44" s="35" t="n">
        <f aca="false">INDEX(Monthly!$C$57:$BJ$57,($R$2-1)*12+5)</f>
        <v>84642.8571428571</v>
      </c>
      <c r="M44" s="35" t="n">
        <f aca="false">INDEX(Monthly!$C$57:$BJ$57,($R$2-1)*12+6)</f>
        <v>83571.4285714286</v>
      </c>
      <c r="N44" s="35" t="n">
        <f aca="false">INDEX(Monthly!$C$57:$BJ$57,($R$2-1)*12+7)</f>
        <v>82500</v>
      </c>
      <c r="O44" s="35" t="n">
        <f aca="false">INDEX(Monthly!$C$57:$BJ$57,($R$2-1)*12+8)</f>
        <v>81428.5714285714</v>
      </c>
      <c r="P44" s="35" t="n">
        <f aca="false">INDEX(Monthly!$C$57:$BJ$57,($R$2-1)*12+9)</f>
        <v>80357.1428571429</v>
      </c>
      <c r="Q44" s="35" t="n">
        <f aca="false">INDEX(Monthly!$C$57:$BJ$57,($R$2-1)*12+10)</f>
        <v>79285.7142857143</v>
      </c>
      <c r="R44" s="35" t="n">
        <f aca="false">INDEX(Monthly!$C$57:$BJ$57,($R$2-1)*12+11)</f>
        <v>78214.2857142857</v>
      </c>
      <c r="S44" s="35" t="n">
        <f aca="false">INDEX(Monthly!$C$57:$BJ$57,($R$2-1)*12+12)</f>
        <v>77142.8571428571</v>
      </c>
    </row>
    <row r="45" customFormat="false" ht="15" hidden="false" customHeight="false" outlineLevel="0" collapsed="false">
      <c r="A45" s="36" t="s">
        <v>93</v>
      </c>
      <c r="B45" s="37" t="n">
        <f aca="false">'Balance Sheet'!B9</f>
        <v>253866.807538413</v>
      </c>
      <c r="C45" s="37" t="n">
        <f aca="false">'Balance Sheet'!C9</f>
        <v>378215.105960295</v>
      </c>
      <c r="D45" s="37" t="n">
        <f aca="false">'Balance Sheet'!D9</f>
        <v>534017.568422456</v>
      </c>
      <c r="E45" s="37" t="n">
        <f aca="false">'Balance Sheet'!E9</f>
        <v>725470.086966106</v>
      </c>
      <c r="F45" s="37" t="n">
        <f aca="false">'Balance Sheet'!F9</f>
        <v>957441.800729665</v>
      </c>
      <c r="H45" s="37" t="n">
        <f aca="false">INDEX(Monthly!$C$94:$BJ$94,($R$2-1)*12+1)</f>
        <v>162731.819873524</v>
      </c>
      <c r="I45" s="37" t="n">
        <f aca="false">INDEX(Monthly!$C$94:$BJ$94,($R$2-1)*12+2)</f>
        <v>166528.391346413</v>
      </c>
      <c r="J45" s="37" t="n">
        <f aca="false">INDEX(Monthly!$C$94:$BJ$94,($R$2-1)*12+3)</f>
        <v>173587.613964698</v>
      </c>
      <c r="K45" s="37" t="n">
        <f aca="false">INDEX(Monthly!$C$94:$BJ$94,($R$2-1)*12+4)</f>
        <v>179386.837122667</v>
      </c>
      <c r="L45" s="37" t="n">
        <f aca="false">INDEX(Monthly!$C$94:$BJ$94,($R$2-1)*12+5)</f>
        <v>185193.521391746</v>
      </c>
      <c r="M45" s="37" t="n">
        <f aca="false">INDEX(Monthly!$C$94:$BJ$94,($R$2-1)*12+6)</f>
        <v>191007.666771937</v>
      </c>
      <c r="N45" s="37" t="n">
        <f aca="false">INDEX(Monthly!$C$94:$BJ$94,($R$2-1)*12+7)</f>
        <v>196829.273263238</v>
      </c>
      <c r="O45" s="37" t="n">
        <f aca="false">INDEX(Monthly!$C$94:$BJ$94,($R$2-1)*12+8)</f>
        <v>202658.340865651</v>
      </c>
      <c r="P45" s="37" t="n">
        <f aca="false">INDEX(Monthly!$C$94:$BJ$94,($R$2-1)*12+9)</f>
        <v>208494.869579175</v>
      </c>
      <c r="Q45" s="37" t="n">
        <f aca="false">INDEX(Monthly!$C$94:$BJ$94,($R$2-1)*12+10)</f>
        <v>214338.85940381</v>
      </c>
      <c r="R45" s="37" t="n">
        <f aca="false">INDEX(Monthly!$C$94:$BJ$94,($R$2-1)*12+11)</f>
        <v>236157.085086984</v>
      </c>
      <c r="S45" s="37" t="n">
        <f aca="false">INDEX(Monthly!$C$94:$BJ$94,($R$2-1)*12+12)</f>
        <v>253866.807538413</v>
      </c>
    </row>
    <row r="46" customFormat="false" ht="15" hidden="false" customHeight="false" outlineLevel="0" collapsed="false">
      <c r="A46" s="49" t="s">
        <v>94</v>
      </c>
      <c r="B46" s="35" t="n">
        <f aca="false">'Balance Sheet'!B10</f>
        <v>28779.1817142857</v>
      </c>
      <c r="C46" s="35" t="n">
        <f aca="false">'Balance Sheet'!C10</f>
        <v>31291.9145526857</v>
      </c>
      <c r="D46" s="35" t="n">
        <f aca="false">'Balance Sheet'!D10</f>
        <v>34074.4212121635</v>
      </c>
      <c r="E46" s="35" t="n">
        <f aca="false">'Balance Sheet'!E10</f>
        <v>37161.0634713139</v>
      </c>
      <c r="F46" s="35" t="n">
        <f aca="false">'Balance Sheet'!F10</f>
        <v>40591.0501811724</v>
      </c>
      <c r="H46" s="35" t="n">
        <f aca="false">INDEX(Monthly!$C$68:$BJ$68,($R$2-1)*12+1)</f>
        <v>22128.2962285714</v>
      </c>
      <c r="I46" s="35" t="n">
        <f aca="false">INDEX(Monthly!$C$68:$BJ$68,($R$2-1)*12+2)</f>
        <v>23395.7568</v>
      </c>
      <c r="J46" s="35" t="n">
        <f aca="false">INDEX(Monthly!$C$68:$BJ$68,($R$2-1)*12+3)</f>
        <v>24663.2173714286</v>
      </c>
      <c r="K46" s="35" t="n">
        <f aca="false">INDEX(Monthly!$C$68:$BJ$68,($R$2-1)*12+4)</f>
        <v>24663.2173714286</v>
      </c>
      <c r="L46" s="35" t="n">
        <f aca="false">INDEX(Monthly!$C$68:$BJ$68,($R$2-1)*12+5)</f>
        <v>24663.2173714286</v>
      </c>
      <c r="M46" s="35" t="n">
        <f aca="false">INDEX(Monthly!$C$68:$BJ$68,($R$2-1)*12+6)</f>
        <v>24663.2173714286</v>
      </c>
      <c r="N46" s="35" t="n">
        <f aca="false">INDEX(Monthly!$C$68:$BJ$68,($R$2-1)*12+7)</f>
        <v>24663.2173714286</v>
      </c>
      <c r="O46" s="35" t="n">
        <f aca="false">INDEX(Monthly!$C$68:$BJ$68,($R$2-1)*12+8)</f>
        <v>24663.2173714286</v>
      </c>
      <c r="P46" s="35" t="n">
        <f aca="false">INDEX(Monthly!$C$68:$BJ$68,($R$2-1)*12+9)</f>
        <v>24663.2173714286</v>
      </c>
      <c r="Q46" s="35" t="n">
        <f aca="false">INDEX(Monthly!$C$68:$BJ$68,($R$2-1)*12+10)</f>
        <v>24663.2173714286</v>
      </c>
      <c r="R46" s="35" t="n">
        <f aca="false">INDEX(Monthly!$C$68:$BJ$68,($R$2-1)*12+11)</f>
        <v>28779.1817142857</v>
      </c>
      <c r="S46" s="35" t="n">
        <f aca="false">INDEX(Monthly!$C$68:$BJ$68,($R$2-1)*12+12)</f>
        <v>28779.1817142857</v>
      </c>
    </row>
    <row r="47" customFormat="false" ht="15" hidden="false" customHeight="false" outlineLevel="0" collapsed="false">
      <c r="A47" s="49" t="s">
        <v>95</v>
      </c>
      <c r="B47" s="35" t="n">
        <f aca="false">'Balance Sheet'!B11</f>
        <v>65333.3333333334</v>
      </c>
      <c r="C47" s="35" t="n">
        <f aca="false">'Balance Sheet'!C11</f>
        <v>49333.3333333334</v>
      </c>
      <c r="D47" s="35" t="n">
        <f aca="false">'Balance Sheet'!D11</f>
        <v>33333.3333333333</v>
      </c>
      <c r="E47" s="35" t="n">
        <f aca="false">'Balance Sheet'!E11</f>
        <v>17333.3333333333</v>
      </c>
      <c r="F47" s="35" t="n">
        <f aca="false">'Balance Sheet'!F11</f>
        <v>1333.33333333333</v>
      </c>
      <c r="H47" s="35" t="n">
        <f aca="false">INDEX(Monthly!$C$63:$BJ$63,($R$2-1)*12+1)</f>
        <v>80000</v>
      </c>
      <c r="I47" s="35" t="n">
        <f aca="false">INDEX(Monthly!$C$63:$BJ$63,($R$2-1)*12+2)</f>
        <v>78666.6666666667</v>
      </c>
      <c r="J47" s="35" t="n">
        <f aca="false">INDEX(Monthly!$C$63:$BJ$63,($R$2-1)*12+3)</f>
        <v>77333.3333333333</v>
      </c>
      <c r="K47" s="35" t="n">
        <f aca="false">INDEX(Monthly!$C$63:$BJ$63,($R$2-1)*12+4)</f>
        <v>76000</v>
      </c>
      <c r="L47" s="35" t="n">
        <f aca="false">INDEX(Monthly!$C$63:$BJ$63,($R$2-1)*12+5)</f>
        <v>74666.6666666667</v>
      </c>
      <c r="M47" s="35" t="n">
        <f aca="false">INDEX(Monthly!$C$63:$BJ$63,($R$2-1)*12+6)</f>
        <v>73333.3333333334</v>
      </c>
      <c r="N47" s="35" t="n">
        <f aca="false">INDEX(Monthly!$C$63:$BJ$63,($R$2-1)*12+7)</f>
        <v>72000</v>
      </c>
      <c r="O47" s="35" t="n">
        <f aca="false">INDEX(Monthly!$C$63:$BJ$63,($R$2-1)*12+8)</f>
        <v>70666.6666666667</v>
      </c>
      <c r="P47" s="35" t="n">
        <f aca="false">INDEX(Monthly!$C$63:$BJ$63,($R$2-1)*12+9)</f>
        <v>69333.3333333334</v>
      </c>
      <c r="Q47" s="35" t="n">
        <f aca="false">INDEX(Monthly!$C$63:$BJ$63,($R$2-1)*12+10)</f>
        <v>68000</v>
      </c>
      <c r="R47" s="35" t="n">
        <f aca="false">INDEX(Monthly!$C$63:$BJ$63,($R$2-1)*12+11)</f>
        <v>66666.6666666667</v>
      </c>
      <c r="S47" s="35" t="n">
        <f aca="false">INDEX(Monthly!$C$63:$BJ$63,($R$2-1)*12+12)</f>
        <v>65333.3333333334</v>
      </c>
    </row>
    <row r="48" customFormat="false" ht="15" hidden="false" customHeight="false" outlineLevel="0" collapsed="false">
      <c r="A48" s="36" t="s">
        <v>96</v>
      </c>
      <c r="B48" s="37" t="n">
        <f aca="false">'Balance Sheet'!B12</f>
        <v>94112.5150476191</v>
      </c>
      <c r="C48" s="37" t="n">
        <f aca="false">'Balance Sheet'!C12</f>
        <v>80625.2478860191</v>
      </c>
      <c r="D48" s="37" t="n">
        <f aca="false">'Balance Sheet'!D12</f>
        <v>67407.7545454968</v>
      </c>
      <c r="E48" s="37" t="n">
        <f aca="false">'Balance Sheet'!E12</f>
        <v>54494.3968046472</v>
      </c>
      <c r="F48" s="37" t="n">
        <f aca="false">'Balance Sheet'!F12</f>
        <v>41924.3835145058</v>
      </c>
      <c r="H48" s="37" t="n">
        <f aca="false">INDEX(Monthly!$C$95:$BJ$95,($R$2-1)*12+1)</f>
        <v>102128.296228571</v>
      </c>
      <c r="I48" s="37" t="n">
        <f aca="false">INDEX(Monthly!$C$95:$BJ$95,($R$2-1)*12+2)</f>
        <v>102062.423466667</v>
      </c>
      <c r="J48" s="37" t="n">
        <f aca="false">INDEX(Monthly!$C$95:$BJ$95,($R$2-1)*12+3)</f>
        <v>101996.550704762</v>
      </c>
      <c r="K48" s="37" t="n">
        <f aca="false">INDEX(Monthly!$C$95:$BJ$95,($R$2-1)*12+4)</f>
        <v>100663.217371429</v>
      </c>
      <c r="L48" s="37" t="n">
        <f aca="false">INDEX(Monthly!$C$95:$BJ$95,($R$2-1)*12+5)</f>
        <v>99329.8840380953</v>
      </c>
      <c r="M48" s="37" t="n">
        <f aca="false">INDEX(Monthly!$C$95:$BJ$95,($R$2-1)*12+6)</f>
        <v>97996.5507047619</v>
      </c>
      <c r="N48" s="37" t="n">
        <f aca="false">INDEX(Monthly!$C$95:$BJ$95,($R$2-1)*12+7)</f>
        <v>96663.2173714286</v>
      </c>
      <c r="O48" s="37" t="n">
        <f aca="false">INDEX(Monthly!$C$95:$BJ$95,($R$2-1)*12+8)</f>
        <v>95329.8840380953</v>
      </c>
      <c r="P48" s="37" t="n">
        <f aca="false">INDEX(Monthly!$C$95:$BJ$95,($R$2-1)*12+9)</f>
        <v>93996.550704762</v>
      </c>
      <c r="Q48" s="37" t="n">
        <f aca="false">INDEX(Monthly!$C$95:$BJ$95,($R$2-1)*12+10)</f>
        <v>92663.2173714286</v>
      </c>
      <c r="R48" s="37" t="n">
        <f aca="false">INDEX(Monthly!$C$95:$BJ$95,($R$2-1)*12+11)</f>
        <v>95445.8483809524</v>
      </c>
      <c r="S48" s="37" t="n">
        <f aca="false">INDEX(Monthly!$C$95:$BJ$95,($R$2-1)*12+12)</f>
        <v>94112.5150476191</v>
      </c>
    </row>
    <row r="49" customFormat="false" ht="15" hidden="false" customHeight="false" outlineLevel="0" collapsed="false">
      <c r="A49" s="49" t="s">
        <v>97</v>
      </c>
      <c r="B49" s="35" t="n">
        <f aca="false">'Balance Sheet'!B13</f>
        <v>60000</v>
      </c>
      <c r="C49" s="35" t="n">
        <f aca="false">'Balance Sheet'!C13</f>
        <v>60000</v>
      </c>
      <c r="D49" s="35" t="n">
        <f aca="false">'Balance Sheet'!D13</f>
        <v>60000</v>
      </c>
      <c r="E49" s="35" t="n">
        <f aca="false">'Balance Sheet'!E13</f>
        <v>60000</v>
      </c>
      <c r="F49" s="35" t="n">
        <f aca="false">'Balance Sheet'!F13</f>
        <v>60000</v>
      </c>
      <c r="H49" s="35" t="n">
        <f aca="false">INDEX(Monthly!$C$92:$BJ$92,($R$2-1)*12+1)</f>
        <v>60000</v>
      </c>
      <c r="I49" s="35" t="n">
        <f aca="false">INDEX(Monthly!$C$92:$BJ$92,($R$2-1)*12+2)</f>
        <v>60000</v>
      </c>
      <c r="J49" s="35" t="n">
        <f aca="false">INDEX(Monthly!$C$92:$BJ$92,($R$2-1)*12+3)</f>
        <v>60000</v>
      </c>
      <c r="K49" s="35" t="n">
        <f aca="false">INDEX(Monthly!$C$92:$BJ$92,($R$2-1)*12+4)</f>
        <v>60000</v>
      </c>
      <c r="L49" s="35" t="n">
        <f aca="false">INDEX(Monthly!$C$92:$BJ$92,($R$2-1)*12+5)</f>
        <v>60000</v>
      </c>
      <c r="M49" s="35" t="n">
        <f aca="false">INDEX(Monthly!$C$92:$BJ$92,($R$2-1)*12+6)</f>
        <v>60000</v>
      </c>
      <c r="N49" s="35" t="n">
        <f aca="false">INDEX(Monthly!$C$92:$BJ$92,($R$2-1)*12+7)</f>
        <v>60000</v>
      </c>
      <c r="O49" s="35" t="n">
        <f aca="false">INDEX(Monthly!$C$92:$BJ$92,($R$2-1)*12+8)</f>
        <v>60000</v>
      </c>
      <c r="P49" s="35" t="n">
        <f aca="false">INDEX(Monthly!$C$92:$BJ$92,($R$2-1)*12+9)</f>
        <v>60000</v>
      </c>
      <c r="Q49" s="35" t="n">
        <f aca="false">INDEX(Monthly!$C$92:$BJ$92,($R$2-1)*12+10)</f>
        <v>60000</v>
      </c>
      <c r="R49" s="35" t="n">
        <f aca="false">INDEX(Monthly!$C$92:$BJ$92,($R$2-1)*12+11)</f>
        <v>60000</v>
      </c>
      <c r="S49" s="35" t="n">
        <f aca="false">INDEX(Monthly!$C$92:$BJ$92,($R$2-1)*12+12)</f>
        <v>60000</v>
      </c>
    </row>
    <row r="50" customFormat="false" ht="15" hidden="false" customHeight="false" outlineLevel="0" collapsed="false">
      <c r="A50" s="49" t="s">
        <v>98</v>
      </c>
      <c r="B50" s="35" t="n">
        <f aca="false">'Balance Sheet'!B14</f>
        <v>99754.2924907937</v>
      </c>
      <c r="C50" s="35" t="n">
        <f aca="false">'Balance Sheet'!C14</f>
        <v>237589.858074276</v>
      </c>
      <c r="D50" s="35" t="n">
        <f aca="false">'Balance Sheet'!D14</f>
        <v>406609.813876959</v>
      </c>
      <c r="E50" s="35" t="n">
        <f aca="false">'Balance Sheet'!E14</f>
        <v>610975.690161459</v>
      </c>
      <c r="F50" s="35" t="n">
        <f aca="false">'Balance Sheet'!F14</f>
        <v>855517.417215159</v>
      </c>
      <c r="H50" s="35" t="n">
        <f aca="false">INDEX(Monthly!$C$93:$BJ$93,($R$2-1)*12+1)</f>
        <v>603.523644952383</v>
      </c>
      <c r="I50" s="35" t="n">
        <f aca="false">INDEX(Monthly!$C$93:$BJ$93,($R$2-1)*12+2)</f>
        <v>4465.96787974604</v>
      </c>
      <c r="J50" s="35" t="n">
        <f aca="false">INDEX(Monthly!$C$93:$BJ$93,($R$2-1)*12+3)</f>
        <v>11591.0632599365</v>
      </c>
      <c r="K50" s="35" t="n">
        <f aca="false">INDEX(Monthly!$C$93:$BJ$93,($R$2-1)*12+4)</f>
        <v>18723.6197512381</v>
      </c>
      <c r="L50" s="35" t="n">
        <f aca="false">INDEX(Monthly!$C$93:$BJ$93,($R$2-1)*12+5)</f>
        <v>25863.6373536508</v>
      </c>
      <c r="M50" s="35" t="n">
        <f aca="false">INDEX(Monthly!$C$93:$BJ$93,($R$2-1)*12+6)</f>
        <v>33011.1160671746</v>
      </c>
      <c r="N50" s="35" t="n">
        <f aca="false">INDEX(Monthly!$C$93:$BJ$93,($R$2-1)*12+7)</f>
        <v>40166.0558918096</v>
      </c>
      <c r="O50" s="35" t="n">
        <f aca="false">INDEX(Monthly!$C$93:$BJ$93,($R$2-1)*12+8)</f>
        <v>47328.4568275556</v>
      </c>
      <c r="P50" s="35" t="n">
        <f aca="false">INDEX(Monthly!$C$93:$BJ$93,($R$2-1)*12+9)</f>
        <v>54498.3188744127</v>
      </c>
      <c r="Q50" s="35" t="n">
        <f aca="false">INDEX(Monthly!$C$93:$BJ$93,($R$2-1)*12+10)</f>
        <v>61675.642032381</v>
      </c>
      <c r="R50" s="35" t="n">
        <f aca="false">INDEX(Monthly!$C$93:$BJ$93,($R$2-1)*12+11)</f>
        <v>80711.2367060318</v>
      </c>
      <c r="S50" s="35" t="n">
        <f aca="false">INDEX(Monthly!$C$93:$BJ$93,($R$2-1)*12+12)</f>
        <v>99754.2924907937</v>
      </c>
    </row>
    <row r="51" customFormat="false" ht="15" hidden="false" customHeight="false" outlineLevel="0" collapsed="false">
      <c r="A51" s="36" t="s">
        <v>99</v>
      </c>
      <c r="B51" s="37" t="n">
        <f aca="false">'Balance Sheet'!B15</f>
        <v>159754.292490794</v>
      </c>
      <c r="C51" s="37" t="n">
        <f aca="false">'Balance Sheet'!C15</f>
        <v>297589.858074276</v>
      </c>
      <c r="D51" s="37" t="n">
        <f aca="false">'Balance Sheet'!D15</f>
        <v>466609.813876959</v>
      </c>
      <c r="E51" s="37" t="n">
        <f aca="false">'Balance Sheet'!E15</f>
        <v>670975.690161459</v>
      </c>
      <c r="F51" s="37" t="n">
        <f aca="false">'Balance Sheet'!F15</f>
        <v>915517.417215159</v>
      </c>
      <c r="H51" s="37" t="n">
        <f aca="false">INDEX(Monthly!$C$96:$BJ$96,($R$2-1)*12+1)</f>
        <v>60603.5236449524</v>
      </c>
      <c r="I51" s="37" t="n">
        <f aca="false">INDEX(Monthly!$C$96:$BJ$96,($R$2-1)*12+2)</f>
        <v>64465.967879746</v>
      </c>
      <c r="J51" s="37" t="n">
        <f aca="false">INDEX(Monthly!$C$96:$BJ$96,($R$2-1)*12+3)</f>
        <v>71591.0632599365</v>
      </c>
      <c r="K51" s="37" t="n">
        <f aca="false">INDEX(Monthly!$C$96:$BJ$96,($R$2-1)*12+4)</f>
        <v>78723.6197512381</v>
      </c>
      <c r="L51" s="37" t="n">
        <f aca="false">INDEX(Monthly!$C$96:$BJ$96,($R$2-1)*12+5)</f>
        <v>85863.6373536508</v>
      </c>
      <c r="M51" s="37" t="n">
        <f aca="false">INDEX(Monthly!$C$96:$BJ$96,($R$2-1)*12+6)</f>
        <v>93011.1160671746</v>
      </c>
      <c r="N51" s="37" t="n">
        <f aca="false">INDEX(Monthly!$C$96:$BJ$96,($R$2-1)*12+7)</f>
        <v>100166.05589181</v>
      </c>
      <c r="O51" s="37" t="n">
        <f aca="false">INDEX(Monthly!$C$96:$BJ$96,($R$2-1)*12+8)</f>
        <v>107328.456827556</v>
      </c>
      <c r="P51" s="37" t="n">
        <f aca="false">INDEX(Monthly!$C$96:$BJ$96,($R$2-1)*12+9)</f>
        <v>114498.318874413</v>
      </c>
      <c r="Q51" s="37" t="n">
        <f aca="false">INDEX(Monthly!$C$96:$BJ$96,($R$2-1)*12+10)</f>
        <v>121675.642032381</v>
      </c>
      <c r="R51" s="37" t="n">
        <f aca="false">INDEX(Monthly!$C$96:$BJ$96,($R$2-1)*12+11)</f>
        <v>140711.236706032</v>
      </c>
      <c r="S51" s="37" t="n">
        <f aca="false">INDEX(Monthly!$C$96:$BJ$96,($R$2-1)*12+12)</f>
        <v>159754.292490794</v>
      </c>
    </row>
    <row r="52" customFormat="false" ht="15" hidden="false" customHeight="false" outlineLevel="0" collapsed="false">
      <c r="A52" s="40" t="s">
        <v>100</v>
      </c>
      <c r="B52" s="41" t="n">
        <f aca="false">'Balance Sheet'!B16</f>
        <v>253866.807538413</v>
      </c>
      <c r="C52" s="41" t="n">
        <f aca="false">'Balance Sheet'!C16</f>
        <v>378215.105960295</v>
      </c>
      <c r="D52" s="41" t="n">
        <f aca="false">'Balance Sheet'!D16</f>
        <v>534017.568422456</v>
      </c>
      <c r="E52" s="41" t="n">
        <f aca="false">'Balance Sheet'!E16</f>
        <v>725470.086966106</v>
      </c>
      <c r="F52" s="41" t="n">
        <f aca="false">'Balance Sheet'!F16</f>
        <v>957441.800729664</v>
      </c>
      <c r="H52" s="41" t="n">
        <f aca="false">INDEX(Monthly!$C$97:$BJ$97,($R$2-1)*12+1)</f>
        <v>162731.819873524</v>
      </c>
      <c r="I52" s="41" t="n">
        <f aca="false">INDEX(Monthly!$C$97:$BJ$97,($R$2-1)*12+2)</f>
        <v>166528.391346413</v>
      </c>
      <c r="J52" s="41" t="n">
        <f aca="false">INDEX(Monthly!$C$97:$BJ$97,($R$2-1)*12+3)</f>
        <v>173587.613964698</v>
      </c>
      <c r="K52" s="41" t="n">
        <f aca="false">INDEX(Monthly!$C$97:$BJ$97,($R$2-1)*12+4)</f>
        <v>179386.837122667</v>
      </c>
      <c r="L52" s="41" t="n">
        <f aca="false">INDEX(Monthly!$C$97:$BJ$97,($R$2-1)*12+5)</f>
        <v>185193.521391746</v>
      </c>
      <c r="M52" s="41" t="n">
        <f aca="false">INDEX(Monthly!$C$97:$BJ$97,($R$2-1)*12+6)</f>
        <v>191007.666771937</v>
      </c>
      <c r="N52" s="41" t="n">
        <f aca="false">INDEX(Monthly!$C$97:$BJ$97,($R$2-1)*12+7)</f>
        <v>196829.273263238</v>
      </c>
      <c r="O52" s="41" t="n">
        <f aca="false">INDEX(Monthly!$C$97:$BJ$97,($R$2-1)*12+8)</f>
        <v>202658.340865651</v>
      </c>
      <c r="P52" s="41" t="n">
        <f aca="false">INDEX(Monthly!$C$97:$BJ$97,($R$2-1)*12+9)</f>
        <v>208494.869579175</v>
      </c>
      <c r="Q52" s="41" t="n">
        <f aca="false">INDEX(Monthly!$C$97:$BJ$97,($R$2-1)*12+10)</f>
        <v>214338.85940381</v>
      </c>
      <c r="R52" s="41" t="n">
        <f aca="false">INDEX(Monthly!$C$97:$BJ$97,($R$2-1)*12+11)</f>
        <v>236157.085086984</v>
      </c>
      <c r="S52" s="41" t="n">
        <f aca="false">INDEX(Monthly!$C$97:$BJ$97,($R$2-1)*12+12)</f>
        <v>253866.807538413</v>
      </c>
    </row>
  </sheetData>
  <mergeCells count="1">
    <mergeCell ref="R2:S2"/>
  </mergeCells>
  <dataValidations count="1">
    <dataValidation allowBlank="false" error="Enter a year from 1 to 5" errorStyle="stop" errorTitle="Detailed year" operator="between" prompt="Pick the year shown month by month on the right" promptTitle="Detailed year" showDropDown="false" showErrorMessage="true" showInputMessage="true" sqref="R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102</v>
      </c>
    </row>
    <row r="5" customFormat="false" ht="15.75" hidden="false" customHeight="true" outlineLevel="0" collapsed="false">
      <c r="A5" s="7" t="s">
        <v>103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3" t="s">
        <v>104</v>
      </c>
      <c r="B6" s="50" t="s">
        <v>105</v>
      </c>
      <c r="C6" s="50" t="s">
        <v>106</v>
      </c>
      <c r="D6" s="50" t="s">
        <v>107</v>
      </c>
      <c r="E6" s="50" t="s">
        <v>108</v>
      </c>
    </row>
    <row r="7" customFormat="false" ht="15" hidden="false" customHeight="false" outlineLevel="0" collapsed="false">
      <c r="A7" s="6" t="s">
        <v>109</v>
      </c>
      <c r="B7" s="51" t="n">
        <f aca="false">Inputs!$B$7</f>
        <v>300</v>
      </c>
      <c r="C7" s="51" t="n">
        <f aca="false">Inputs!$C$7</f>
        <v>320</v>
      </c>
      <c r="D7" s="51" t="n">
        <f aca="false">Inputs!$D$7</f>
        <v>340</v>
      </c>
      <c r="E7" s="52" t="n">
        <f aca="false">Inputs!$E$7</f>
        <v>320</v>
      </c>
    </row>
    <row r="8" customFormat="false" ht="15" hidden="false" customHeight="false" outlineLevel="0" collapsed="false">
      <c r="A8" s="6" t="s">
        <v>110</v>
      </c>
      <c r="B8" s="53" t="n">
        <f aca="false">Inputs!$B$11</f>
        <v>11</v>
      </c>
      <c r="C8" s="53" t="n">
        <f aca="false">Inputs!$C$11</f>
        <v>11.5</v>
      </c>
      <c r="D8" s="53" t="n">
        <f aca="false">Inputs!$D$11</f>
        <v>12</v>
      </c>
      <c r="E8" s="54" t="n">
        <f aca="false">Inputs!$E$11</f>
        <v>11.5</v>
      </c>
    </row>
    <row r="9" customFormat="false" ht="15" hidden="false" customHeight="false" outlineLevel="0" collapsed="false">
      <c r="A9" s="6" t="s">
        <v>111</v>
      </c>
      <c r="B9" s="55" t="n">
        <f aca="false">Inputs!$B$17</f>
        <v>13</v>
      </c>
      <c r="C9" s="55" t="n">
        <f aca="false">Inputs!$C$17</f>
        <v>16</v>
      </c>
      <c r="D9" s="55" t="n">
        <f aca="false">Inputs!$D$17</f>
        <v>19</v>
      </c>
      <c r="E9" s="56" t="n">
        <f aca="false">Inputs!$E$17</f>
        <v>16</v>
      </c>
    </row>
    <row r="10" customFormat="false" ht="15" hidden="false" customHeight="false" outlineLevel="0" collapsed="false">
      <c r="A10" s="6" t="s">
        <v>112</v>
      </c>
      <c r="B10" s="57" t="n">
        <f aca="false">Inputs!$B$19</f>
        <v>500</v>
      </c>
      <c r="C10" s="57" t="n">
        <f aca="false">Inputs!$C$19</f>
        <v>540</v>
      </c>
      <c r="D10" s="57" t="n">
        <f aca="false">Inputs!$D$19</f>
        <v>580</v>
      </c>
      <c r="E10" s="58" t="n">
        <f aca="false">Inputs!$E$19</f>
        <v>540</v>
      </c>
    </row>
    <row r="11" customFormat="false" ht="15" hidden="false" customHeight="false" outlineLevel="0" collapsed="false">
      <c r="A11" s="6" t="s">
        <v>113</v>
      </c>
      <c r="B11" s="59" t="n">
        <f aca="false">Inputs!$B$26</f>
        <v>0.11</v>
      </c>
      <c r="C11" s="59" t="n">
        <f aca="false">Inputs!$C$26</f>
        <v>0.09</v>
      </c>
      <c r="D11" s="59" t="n">
        <f aca="false">Inputs!$D$26</f>
        <v>0.07</v>
      </c>
      <c r="E11" s="60" t="n">
        <f aca="false">Inputs!$E$26</f>
        <v>0.09</v>
      </c>
    </row>
    <row r="12" customFormat="false" ht="15" hidden="false" customHeight="false" outlineLevel="0" collapsed="false">
      <c r="A12" s="6" t="s">
        <v>114</v>
      </c>
      <c r="B12" s="57" t="n">
        <f aca="false">Inputs!$B$30</f>
        <v>12000</v>
      </c>
      <c r="C12" s="57" t="n">
        <f aca="false">Inputs!$C$30</f>
        <v>12000</v>
      </c>
      <c r="D12" s="57" t="n">
        <f aca="false">Inputs!$D$30</f>
        <v>12000</v>
      </c>
      <c r="E12" s="58" t="n">
        <f aca="false">Inputs!$E$30</f>
        <v>12000</v>
      </c>
    </row>
    <row r="13" customFormat="false" ht="15" hidden="false" customHeight="false" outlineLevel="0" collapsed="false">
      <c r="A13" s="6" t="s">
        <v>115</v>
      </c>
      <c r="B13" s="57" t="n">
        <f aca="false">Inputs!$B$38</f>
        <v>90000</v>
      </c>
      <c r="C13" s="57" t="n">
        <f aca="false">Inputs!$C$38</f>
        <v>90000</v>
      </c>
      <c r="D13" s="57" t="n">
        <f aca="false">Inputs!$D$38</f>
        <v>90000</v>
      </c>
      <c r="E13" s="58" t="n">
        <f aca="false">Inputs!$E$38</f>
        <v>90000</v>
      </c>
    </row>
    <row r="14" customFormat="false" ht="15" hidden="false" customHeight="false" outlineLevel="0" collapsed="false">
      <c r="A14" s="6" t="s">
        <v>116</v>
      </c>
      <c r="B14" s="57" t="n">
        <f aca="false">Inputs!$B$58</f>
        <v>60000</v>
      </c>
      <c r="C14" s="57" t="n">
        <f aca="false">Inputs!$C$58</f>
        <v>60000</v>
      </c>
      <c r="D14" s="57" t="n">
        <f aca="false">Inputs!$D$58</f>
        <v>60000</v>
      </c>
      <c r="E14" s="58" t="n">
        <f aca="false">Inputs!$E$58</f>
        <v>60000</v>
      </c>
    </row>
    <row r="16" customFormat="false" ht="15.75" hidden="false" customHeight="true" outlineLevel="0" collapsed="false">
      <c r="A16" s="7" t="s">
        <v>117</v>
      </c>
      <c r="B16" s="7"/>
      <c r="C16" s="7"/>
      <c r="D16" s="7"/>
      <c r="E16" s="7"/>
      <c r="F16" s="7"/>
    </row>
    <row r="17" customFormat="false" ht="15" hidden="false" customHeight="false" outlineLevel="0" collapsed="false">
      <c r="A17" s="33" t="s">
        <v>118</v>
      </c>
      <c r="B17" s="50" t="s">
        <v>105</v>
      </c>
      <c r="C17" s="50" t="s">
        <v>106</v>
      </c>
      <c r="D17" s="50" t="s">
        <v>107</v>
      </c>
      <c r="E17" s="50" t="s">
        <v>108</v>
      </c>
    </row>
    <row r="18" customFormat="false" ht="15" hidden="false" customHeight="false" outlineLevel="0" collapsed="false">
      <c r="A18" s="6" t="s">
        <v>119</v>
      </c>
      <c r="B18" s="61" t="n">
        <f aca="false">F31</f>
        <v>1657475.49756452</v>
      </c>
      <c r="C18" s="61" t="n">
        <f aca="false">F32</f>
        <v>2250134.06558979</v>
      </c>
      <c r="D18" s="61" t="n">
        <f aca="false">F33</f>
        <v>3023920.14683572</v>
      </c>
      <c r="E18" s="62" t="n">
        <f aca="false">'P&amp;L'!F5</f>
        <v>2250134.06558979</v>
      </c>
    </row>
    <row r="19" customFormat="false" ht="15" hidden="false" customHeight="false" outlineLevel="0" collapsed="false">
      <c r="A19" s="6" t="s">
        <v>120</v>
      </c>
      <c r="B19" s="61" t="n">
        <f aca="false">SUM(B31:F31)</f>
        <v>7504388.90808776</v>
      </c>
      <c r="C19" s="61" t="n">
        <f aca="false">SUM(B32:F32)</f>
        <v>9514840.2541399</v>
      </c>
      <c r="D19" s="61" t="n">
        <f aca="false">SUM(B33:F33)</f>
        <v>11959330.5730492</v>
      </c>
      <c r="E19" s="62" t="n">
        <f aca="false">SUM('P&amp;L'!$B$5:$F$5)</f>
        <v>9514840.2541399</v>
      </c>
    </row>
    <row r="20" customFormat="false" ht="15" hidden="false" customHeight="false" outlineLevel="0" collapsed="false">
      <c r="A20" s="6" t="s">
        <v>121</v>
      </c>
      <c r="B20" s="61" t="n">
        <f aca="false">F37</f>
        <v>-71930.0447401829</v>
      </c>
      <c r="C20" s="61" t="n">
        <f aca="false">F38</f>
        <v>330280.299465202</v>
      </c>
      <c r="D20" s="61" t="n">
        <f aca="false">F39</f>
        <v>874226.075013292</v>
      </c>
      <c r="E20" s="62" t="n">
        <f aca="false">'P&amp;L'!F18</f>
        <v>330280.299465202</v>
      </c>
    </row>
    <row r="21" customFormat="false" ht="15" hidden="false" customHeight="false" outlineLevel="0" collapsed="false">
      <c r="A21" s="6" t="s">
        <v>122</v>
      </c>
      <c r="B21" s="63" t="n">
        <f aca="false">IF(B18=0,0,B20/B18)</f>
        <v>-0.0433973502750879</v>
      </c>
      <c r="C21" s="63" t="n">
        <f aca="false">IF(C18=0,0,C20/C18)</f>
        <v>0.14678249821467</v>
      </c>
      <c r="D21" s="63" t="n">
        <f aca="false">IF(D18=0,0,D20/D18)</f>
        <v>0.28910355848123</v>
      </c>
      <c r="E21" s="64" t="n">
        <f aca="false">IF(E18=0,0,E20/E18)</f>
        <v>0.14678249821467</v>
      </c>
    </row>
    <row r="22" customFormat="false" ht="15" hidden="false" customHeight="false" outlineLevel="0" collapsed="false">
      <c r="A22" s="6" t="s">
        <v>123</v>
      </c>
      <c r="B22" s="61" t="n">
        <f aca="false">F43</f>
        <v>-92663.8542639925</v>
      </c>
      <c r="C22" s="61" t="n">
        <f aca="false">F44</f>
        <v>244541.7270537</v>
      </c>
      <c r="D22" s="61" t="n">
        <f aca="false">F45</f>
        <v>674258.889736691</v>
      </c>
      <c r="E22" s="62" t="n">
        <f aca="false">'P&amp;L'!F25</f>
        <v>244541.7270537</v>
      </c>
    </row>
    <row r="23" customFormat="false" ht="15" hidden="false" customHeight="false" outlineLevel="0" collapsed="false">
      <c r="A23" s="6" t="s">
        <v>124</v>
      </c>
      <c r="B23" s="61" t="n">
        <f aca="false">SUM(B43:F43)</f>
        <v>-333349.893844022</v>
      </c>
      <c r="C23" s="61" t="n">
        <f aca="false">SUM(B44:F44)</f>
        <v>855517.417215159</v>
      </c>
      <c r="D23" s="61" t="n">
        <f aca="false">SUM(B45:F45)</f>
        <v>2264810.60127091</v>
      </c>
      <c r="E23" s="62" t="n">
        <f aca="false">SUM('P&amp;L'!$B$25:$F$25)</f>
        <v>855517.417215159</v>
      </c>
    </row>
    <row r="24" customFormat="false" ht="15" hidden="false" customHeight="false" outlineLevel="0" collapsed="false">
      <c r="A24" s="6" t="s">
        <v>125</v>
      </c>
      <c r="B24" s="61" t="n">
        <f aca="false">F49</f>
        <v>-357950.963568038</v>
      </c>
      <c r="C24" s="61" t="n">
        <f aca="false">F50</f>
        <v>821770.047995542</v>
      </c>
      <c r="D24" s="61" t="n">
        <f aca="false">F51</f>
        <v>2218597.84089389</v>
      </c>
      <c r="E24" s="62" t="n">
        <f aca="false">'Balance Sheet'!F5</f>
        <v>821770.047995542</v>
      </c>
    </row>
    <row r="25" customFormat="false" ht="15" hidden="false" customHeight="false" outlineLevel="0" collapsed="false">
      <c r="A25" s="6" t="s">
        <v>126</v>
      </c>
      <c r="B25" s="61" t="n">
        <f aca="false">MIN('Scenario calc'!$C$82:$BJ$82)</f>
        <v>-361898.000911181</v>
      </c>
      <c r="C25" s="61" t="n">
        <f aca="false">MIN('Scenario calc'!$C$193:$BJ$193)</f>
        <v>35320.9590735238</v>
      </c>
      <c r="D25" s="61" t="n">
        <f aca="false">MIN('Scenario calc'!$C$304:$BJ$304)</f>
        <v>45608.9621475484</v>
      </c>
      <c r="E25" s="62" t="n">
        <f aca="false">'Break-even'!B18</f>
        <v>35320.9590735238</v>
      </c>
    </row>
    <row r="26" customFormat="false" ht="15" hidden="false" customHeight="false" outlineLevel="0" collapsed="false">
      <c r="A26" s="6" t="s">
        <v>127</v>
      </c>
      <c r="B26" s="65" t="n">
        <f aca="false">MATCH(MIN('Scenario calc'!$C$82:$BJ$82),'Scenario calc'!$C$82:$BJ$82,0)</f>
        <v>58</v>
      </c>
      <c r="C26" s="65" t="n">
        <f aca="false">MATCH(MIN('Scenario calc'!$C$193:$BJ$193),'Scenario calc'!$C$193:$BJ$193,0)</f>
        <v>1</v>
      </c>
      <c r="D26" s="65" t="n">
        <f aca="false">MATCH(MIN('Scenario calc'!$C$304:$BJ$304),'Scenario calc'!$C$304:$BJ$304,0)</f>
        <v>1</v>
      </c>
      <c r="E26" s="66" t="n">
        <f aca="false">'Break-even'!B6</f>
        <v>1</v>
      </c>
    </row>
    <row r="27" customFormat="false" ht="15" hidden="false" customHeight="false" outlineLevel="0" collapsed="false">
      <c r="A27" s="4" t="s">
        <v>66</v>
      </c>
      <c r="B27" s="61" t="n">
        <f aca="false">SUMPRODUCT(--('Scenario calc'!$C$6:$BJ$6&lt;=B26),'Scenario calc'!$C$55:$BJ$55)-SUMPRODUCT(--('Scenario calc'!$C$6:$BJ$6&lt;=B26),'Scenario calc'!$C$76:$BJ$76)-SUMPRODUCT(--('Scenario calc'!$C$6:$BJ$6&lt;=B26),'Scenario calc'!$C$64:$BJ$64)+Inputs!$B$73</f>
        <v>734898.000911181</v>
      </c>
      <c r="C27" s="61" t="n">
        <f aca="false">SUMPRODUCT(--('Scenario calc'!$C$117:$BJ$117&lt;=C26),'Scenario calc'!$C$166:$BJ$166)-SUMPRODUCT(--('Scenario calc'!$C$117:$BJ$117&lt;=C26),'Scenario calc'!$C$187:$BJ$187)-SUMPRODUCT(--('Scenario calc'!$C$117:$BJ$117&lt;=C26),'Scenario calc'!$C$175:$BJ$175)+Inputs!$C$73</f>
        <v>337679.040926476</v>
      </c>
      <c r="D27" s="61" t="n">
        <f aca="false">SUMPRODUCT(--('Scenario calc'!$C$228:$BJ$228&lt;=D26),'Scenario calc'!$C$277:$BJ$277)-SUMPRODUCT(--('Scenario calc'!$C$228:$BJ$228&lt;=D26),'Scenario calc'!$C$298:$BJ$298)-SUMPRODUCT(--('Scenario calc'!$C$228:$BJ$228&lt;=D26),'Scenario calc'!$C$286:$BJ$286)+Inputs!$D$73</f>
        <v>327391.037852452</v>
      </c>
      <c r="E27" s="62" t="n">
        <f aca="false">'Break-even'!B12</f>
        <v>337679.040926476</v>
      </c>
    </row>
    <row r="29" customFormat="false" ht="15.75" hidden="false" customHeight="true" outlineLevel="0" collapsed="false">
      <c r="A29" s="7" t="s">
        <v>128</v>
      </c>
      <c r="B29" s="7"/>
      <c r="C29" s="7"/>
      <c r="D29" s="7"/>
      <c r="E29" s="7"/>
      <c r="F29" s="7"/>
    </row>
    <row r="30" customFormat="false" ht="15" hidden="false" customHeight="false" outlineLevel="0" collapsed="false">
      <c r="A30" s="33" t="s">
        <v>129</v>
      </c>
      <c r="B30" s="34" t="n">
        <v>1</v>
      </c>
      <c r="C30" s="34" t="n">
        <v>2</v>
      </c>
      <c r="D30" s="34" t="n">
        <v>3</v>
      </c>
      <c r="E30" s="34" t="n">
        <v>4</v>
      </c>
      <c r="F30" s="34" t="n">
        <v>5</v>
      </c>
    </row>
    <row r="31" customFormat="false" ht="15" hidden="false" customHeight="false" outlineLevel="0" collapsed="false">
      <c r="A31" s="6" t="s">
        <v>105</v>
      </c>
      <c r="B31" s="61" t="n">
        <f aca="false">SUMIF('Scenario calc'!$C$7:$BJ$7,B$30,'Scenario calc'!$C$24:$BJ$24)</f>
        <v>1333410</v>
      </c>
      <c r="C31" s="61" t="n">
        <f aca="false">SUMIF('Scenario calc'!$C$7:$BJ$7,C$30,'Scenario calc'!$C$24:$BJ$24)</f>
        <v>1433034.72</v>
      </c>
      <c r="D31" s="61" t="n">
        <f aca="false">SUMIF('Scenario calc'!$C$7:$BJ$7,D$30,'Scenario calc'!$C$24:$BJ$24)</f>
        <v>1502897.501664</v>
      </c>
      <c r="E31" s="61" t="n">
        <f aca="false">SUMIF('Scenario calc'!$C$7:$BJ$7,E$30,'Scenario calc'!$C$24:$BJ$24)</f>
        <v>1577571.18885925</v>
      </c>
      <c r="F31" s="61" t="n">
        <f aca="false">SUMIF('Scenario calc'!$C$7:$BJ$7,F$30,'Scenario calc'!$C$24:$BJ$24)</f>
        <v>1657475.49756452</v>
      </c>
    </row>
    <row r="32" customFormat="false" ht="15" hidden="false" customHeight="false" outlineLevel="0" collapsed="false">
      <c r="A32" s="6" t="s">
        <v>106</v>
      </c>
      <c r="B32" s="61" t="n">
        <f aca="false">SUMIF('Scenario calc'!$C$118:$BJ$118,B$30,'Scenario calc'!$C$135:$BJ$135)</f>
        <v>1577472</v>
      </c>
      <c r="C32" s="61" t="n">
        <f aca="false">SUMIF('Scenario calc'!$C$118:$BJ$118,C$30,'Scenario calc'!$C$135:$BJ$135)</f>
        <v>1736372.352</v>
      </c>
      <c r="D32" s="61" t="n">
        <f aca="false">SUMIF('Scenario calc'!$C$118:$BJ$118,D$30,'Scenario calc'!$C$135:$BJ$135)</f>
        <v>1890162.8563584</v>
      </c>
      <c r="E32" s="61" t="n">
        <f aca="false">SUMIF('Scenario calc'!$C$118:$BJ$118,E$30,'Scenario calc'!$C$135:$BJ$135)</f>
        <v>2060698.9801917</v>
      </c>
      <c r="F32" s="61" t="n">
        <f aca="false">SUMIF('Scenario calc'!$C$118:$BJ$118,F$30,'Scenario calc'!$C$135:$BJ$135)</f>
        <v>2250134.06558979</v>
      </c>
    </row>
    <row r="33" customFormat="false" ht="15" hidden="false" customHeight="false" outlineLevel="0" collapsed="false">
      <c r="A33" s="6" t="s">
        <v>107</v>
      </c>
      <c r="B33" s="61" t="n">
        <f aca="false">SUMIF('Scenario calc'!$C$229:$BJ$229,B$30,'Scenario calc'!$C$246:$BJ$246)</f>
        <v>1838308.33333333</v>
      </c>
      <c r="C33" s="61" t="n">
        <f aca="false">SUMIF('Scenario calc'!$C$229:$BJ$229,C$30,'Scenario calc'!$C$246:$BJ$246)</f>
        <v>2081387.776</v>
      </c>
      <c r="D33" s="61" t="n">
        <f aca="false">SUMIF('Scenario calc'!$C$229:$BJ$229,D$30,'Scenario calc'!$C$246:$BJ$246)</f>
        <v>2351961.9395584</v>
      </c>
      <c r="E33" s="61" t="n">
        <f aca="false">SUMIF('Scenario calc'!$C$229:$BJ$229,E$30,'Scenario calc'!$C$246:$BJ$246)</f>
        <v>2663752.37732172</v>
      </c>
      <c r="F33" s="61" t="n">
        <f aca="false">SUMIF('Scenario calc'!$C$229:$BJ$229,F$30,'Scenario calc'!$C$246:$BJ$246)</f>
        <v>3023920.14683572</v>
      </c>
    </row>
    <row r="35" customFormat="false" ht="15.75" hidden="false" customHeight="true" outlineLevel="0" collapsed="false">
      <c r="A35" s="7" t="s">
        <v>130</v>
      </c>
      <c r="B35" s="7"/>
      <c r="C35" s="7"/>
      <c r="D35" s="7"/>
      <c r="E35" s="7"/>
      <c r="F35" s="7"/>
    </row>
    <row r="36" customFormat="false" ht="15" hidden="false" customHeight="false" outlineLevel="0" collapsed="false">
      <c r="A36" s="33" t="s">
        <v>129</v>
      </c>
      <c r="B36" s="34" t="n">
        <v>1</v>
      </c>
      <c r="C36" s="34" t="n">
        <v>2</v>
      </c>
      <c r="D36" s="34" t="n">
        <v>3</v>
      </c>
      <c r="E36" s="34" t="n">
        <v>4</v>
      </c>
      <c r="F36" s="34" t="n">
        <v>5</v>
      </c>
    </row>
    <row r="37" customFormat="false" ht="15" hidden="false" customHeight="false" outlineLevel="0" collapsed="false">
      <c r="A37" s="6" t="s">
        <v>105</v>
      </c>
      <c r="B37" s="61" t="n">
        <f aca="false">SUMIF('Scenario calc'!$C$7:$BJ$7,B$36,'Scenario calc'!$C$43:$BJ$43)</f>
        <v>-38197.938988764</v>
      </c>
      <c r="C37" s="61" t="n">
        <f aca="false">SUMIF('Scenario calc'!$C$7:$BJ$7,C$36,'Scenario calc'!$C$43:$BJ$43)</f>
        <v>-28572.90510382</v>
      </c>
      <c r="D37" s="61" t="n">
        <f aca="false">SUMIF('Scenario calc'!$C$7:$BJ$7,D$36,'Scenario calc'!$C$43:$BJ$43)</f>
        <v>-41038.3232456356</v>
      </c>
      <c r="E37" s="61" t="n">
        <f aca="false">SUMIF('Scenario calc'!$C$7:$BJ$7,E$36,'Scenario calc'!$C$43:$BJ$43)</f>
        <v>-55429.6897021274</v>
      </c>
      <c r="F37" s="61" t="n">
        <f aca="false">SUMIF('Scenario calc'!$C$7:$BJ$7,F$36,'Scenario calc'!$C$43:$BJ$43)</f>
        <v>-71930.0447401829</v>
      </c>
    </row>
    <row r="38" customFormat="false" ht="15" hidden="false" customHeight="false" outlineLevel="0" collapsed="false">
      <c r="A38" s="6" t="s">
        <v>106</v>
      </c>
      <c r="B38" s="61" t="n">
        <f aca="false">SUMIF('Scenario calc'!$C$118:$BJ$118,B$36,'Scenario calc'!$C$154:$BJ$154)</f>
        <v>145357.010285714</v>
      </c>
      <c r="C38" s="61" t="n">
        <f aca="false">SUMIF('Scenario calc'!$C$118:$BJ$118,C$36,'Scenario calc'!$C$154:$BJ$154)</f>
        <v>193289.208996572</v>
      </c>
      <c r="D38" s="61" t="n">
        <f aca="false">SUMIF('Scenario calc'!$C$118:$BJ$118,D$36,'Scenario calc'!$C$154:$BJ$154)</f>
        <v>233403.120666446</v>
      </c>
      <c r="E38" s="61" t="n">
        <f aca="false">SUMIF('Scenario calc'!$C$118:$BJ$118,E$36,'Scenario calc'!$C$154:$BJ$154)</f>
        <v>278784.792162417</v>
      </c>
      <c r="F38" s="61" t="n">
        <f aca="false">SUMIF('Scenario calc'!$C$118:$BJ$118,F$36,'Scenario calc'!$C$154:$BJ$154)</f>
        <v>330280.299465202</v>
      </c>
    </row>
    <row r="39" customFormat="false" ht="15" hidden="false" customHeight="false" outlineLevel="0" collapsed="false">
      <c r="A39" s="6" t="s">
        <v>107</v>
      </c>
      <c r="B39" s="61" t="n">
        <f aca="false">SUMIF('Scenario calc'!$C$229:$BJ$229,B$36,'Scenario calc'!$C$265:$BJ$265)</f>
        <v>350866.401924731</v>
      </c>
      <c r="C39" s="61" t="n">
        <f aca="false">SUMIF('Scenario calc'!$C$229:$BJ$229,C$36,'Scenario calc'!$C$265:$BJ$265)</f>
        <v>455669.066789162</v>
      </c>
      <c r="D39" s="61" t="n">
        <f aca="false">SUMIF('Scenario calc'!$C$229:$BJ$229,D$36,'Scenario calc'!$C$265:$BJ$265)</f>
        <v>573037.014949662</v>
      </c>
      <c r="E39" s="61" t="n">
        <f aca="false">SUMIF('Scenario calc'!$C$229:$BJ$229,E$36,'Scenario calc'!$C$265:$BJ$265)</f>
        <v>711231.295754881</v>
      </c>
      <c r="F39" s="61" t="n">
        <f aca="false">SUMIF('Scenario calc'!$C$229:$BJ$229,F$36,'Scenario calc'!$C$265:$BJ$265)</f>
        <v>874226.075013292</v>
      </c>
    </row>
    <row r="41" customFormat="false" ht="15.75" hidden="false" customHeight="true" outlineLevel="0" collapsed="false">
      <c r="A41" s="7" t="s">
        <v>131</v>
      </c>
      <c r="B41" s="7"/>
      <c r="C41" s="7"/>
      <c r="D41" s="7"/>
      <c r="E41" s="7"/>
      <c r="F41" s="7"/>
    </row>
    <row r="42" customFormat="false" ht="15" hidden="false" customHeight="false" outlineLevel="0" collapsed="false">
      <c r="A42" s="33" t="s">
        <v>129</v>
      </c>
      <c r="B42" s="34" t="n">
        <v>1</v>
      </c>
      <c r="C42" s="34" t="n">
        <v>2</v>
      </c>
      <c r="D42" s="34" t="n">
        <v>3</v>
      </c>
      <c r="E42" s="34" t="n">
        <v>4</v>
      </c>
      <c r="F42" s="34" t="n">
        <v>5</v>
      </c>
    </row>
    <row r="43" customFormat="false" ht="15" hidden="false" customHeight="false" outlineLevel="0" collapsed="false">
      <c r="A43" s="6" t="s">
        <v>105</v>
      </c>
      <c r="B43" s="61" t="n">
        <f aca="false">SUMIF('Scenario calc'!$C$7:$BJ$7,B$42,'Scenario calc'!$C$52:$BJ$52)</f>
        <v>-57283.692957018</v>
      </c>
      <c r="C43" s="61" t="n">
        <f aca="false">SUMIF('Scenario calc'!$C$7:$BJ$7,C$42,'Scenario calc'!$C$52:$BJ$52)</f>
        <v>-47386.7146276295</v>
      </c>
      <c r="D43" s="61" t="n">
        <f aca="false">SUMIF('Scenario calc'!$C$7:$BJ$7,D$42,'Scenario calc'!$C$52:$BJ$52)</f>
        <v>-60492.1327694451</v>
      </c>
      <c r="E43" s="61" t="n">
        <f aca="false">SUMIF('Scenario calc'!$C$7:$BJ$7,E$42,'Scenario calc'!$C$52:$BJ$52)</f>
        <v>-75523.499225937</v>
      </c>
      <c r="F43" s="61" t="n">
        <f aca="false">SUMIF('Scenario calc'!$C$7:$BJ$7,F$42,'Scenario calc'!$C$52:$BJ$52)</f>
        <v>-92663.8542639925</v>
      </c>
    </row>
    <row r="44" customFormat="false" ht="15" hidden="false" customHeight="false" outlineLevel="0" collapsed="false">
      <c r="A44" s="6" t="s">
        <v>106</v>
      </c>
      <c r="B44" s="61" t="n">
        <f aca="false">SUMIF('Scenario calc'!$C$118:$BJ$118,B$42,'Scenario calc'!$C$163:$BJ$163)</f>
        <v>99754.2924907937</v>
      </c>
      <c r="C44" s="61" t="n">
        <f aca="false">SUMIF('Scenario calc'!$C$118:$BJ$118,C$42,'Scenario calc'!$C$163:$BJ$163)</f>
        <v>137835.565583482</v>
      </c>
      <c r="D44" s="61" t="n">
        <f aca="false">SUMIF('Scenario calc'!$C$118:$BJ$118,D$42,'Scenario calc'!$C$163:$BJ$163)</f>
        <v>169019.955802683</v>
      </c>
      <c r="E44" s="61" t="n">
        <f aca="false">SUMIF('Scenario calc'!$C$118:$BJ$118,E$42,'Scenario calc'!$C$163:$BJ$163)</f>
        <v>204365.8762845</v>
      </c>
      <c r="F44" s="61" t="n">
        <f aca="false">SUMIF('Scenario calc'!$C$118:$BJ$118,F$42,'Scenario calc'!$C$163:$BJ$163)</f>
        <v>244541.7270537</v>
      </c>
    </row>
    <row r="45" customFormat="false" ht="15" hidden="false" customHeight="false" outlineLevel="0" collapsed="false">
      <c r="A45" s="6" t="s">
        <v>107</v>
      </c>
      <c r="B45" s="61" t="n">
        <f aca="false">SUMIF('Scenario calc'!$C$229:$BJ$229,B$42,'Scenario calc'!$C$274:$BJ$274)</f>
        <v>262106.711885617</v>
      </c>
      <c r="C45" s="61" t="n">
        <f aca="false">SUMIF('Scenario calc'!$C$229:$BJ$229,C$42,'Scenario calc'!$C$274:$BJ$274)</f>
        <v>345115.653239628</v>
      </c>
      <c r="D45" s="61" t="n">
        <f aca="false">SUMIF('Scenario calc'!$C$229:$BJ$229,D$42,'Scenario calc'!$C$274:$BJ$274)</f>
        <v>437330.732286423</v>
      </c>
      <c r="E45" s="61" t="n">
        <f aca="false">SUMIF('Scenario calc'!$C$229:$BJ$229,E$42,'Scenario calc'!$C$274:$BJ$274)</f>
        <v>545998.614122547</v>
      </c>
      <c r="F45" s="61" t="n">
        <f aca="false">SUMIF('Scenario calc'!$C$229:$BJ$229,F$42,'Scenario calc'!$C$274:$BJ$274)</f>
        <v>674258.889736691</v>
      </c>
    </row>
    <row r="47" customFormat="false" ht="15.75" hidden="false" customHeight="true" outlineLevel="0" collapsed="false">
      <c r="A47" s="7" t="s">
        <v>132</v>
      </c>
      <c r="B47" s="7"/>
      <c r="C47" s="7"/>
      <c r="D47" s="7"/>
      <c r="E47" s="7"/>
      <c r="F47" s="7"/>
    </row>
    <row r="48" customFormat="false" ht="15" hidden="false" customHeight="false" outlineLevel="0" collapsed="false">
      <c r="A48" s="33" t="s">
        <v>129</v>
      </c>
      <c r="B48" s="34" t="n">
        <v>1</v>
      </c>
      <c r="C48" s="34" t="n">
        <v>2</v>
      </c>
      <c r="D48" s="34" t="n">
        <v>3</v>
      </c>
      <c r="E48" s="34" t="n">
        <v>4</v>
      </c>
      <c r="F48" s="34" t="n">
        <v>5</v>
      </c>
    </row>
    <row r="49" customFormat="false" ht="15" hidden="false" customHeight="false" outlineLevel="0" collapsed="false">
      <c r="A49" s="6" t="s">
        <v>105</v>
      </c>
      <c r="B49" s="61" t="n">
        <f aca="false">INDEX('Scenario calc'!$C$82:$BJ$82,B$48*12)</f>
        <v>-26396.735792759</v>
      </c>
      <c r="C49" s="61" t="n">
        <f aca="false">INDEX('Scenario calc'!$C$82:$BJ$82,C$48*12)</f>
        <v>-90584.7504045041</v>
      </c>
      <c r="D49" s="61" t="n">
        <f aca="false">INDEX('Scenario calc'!$C$82:$BJ$82,D$48*12)</f>
        <v>-165922.856524377</v>
      </c>
      <c r="E49" s="61" t="n">
        <f aca="false">INDEX('Scenario calc'!$C$82:$BJ$82,E$48*12)</f>
        <v>-254340.614410063</v>
      </c>
      <c r="F49" s="61" t="n">
        <f aca="false">INDEX('Scenario calc'!$C$82:$BJ$82,F$48*12)</f>
        <v>-357950.963568038</v>
      </c>
    </row>
    <row r="50" customFormat="false" ht="15" hidden="false" customHeight="false" outlineLevel="0" collapsed="false">
      <c r="A50" s="6" t="s">
        <v>106</v>
      </c>
      <c r="B50" s="61" t="n">
        <f aca="false">INDEX('Scenario calc'!$C$193:$BJ$193,B$48*12)</f>
        <v>126250.620109841</v>
      </c>
      <c r="C50" s="61" t="n">
        <f aca="false">INDEX('Scenario calc'!$C$193:$BJ$193,C$48*12)</f>
        <v>246297.6823958</v>
      </c>
      <c r="D50" s="61" t="n">
        <f aca="false">INDEX('Scenario calc'!$C$193:$BJ$193,D$48*12)</f>
        <v>399361.201073116</v>
      </c>
      <c r="E50" s="61" t="n">
        <f aca="false">INDEX('Scenario calc'!$C$193:$BJ$193,E$48*12)</f>
        <v>589582.857887419</v>
      </c>
      <c r="F50" s="61" t="n">
        <f aca="false">INDEX('Scenario calc'!$C$193:$BJ$193,F$48*12)</f>
        <v>821770.047995542</v>
      </c>
    </row>
    <row r="51" customFormat="false" ht="15" hidden="false" customHeight="false" outlineLevel="0" collapsed="false">
      <c r="A51" s="6" t="s">
        <v>107</v>
      </c>
      <c r="B51" s="61" t="n">
        <f aca="false">INDEX('Scenario calc'!$C$304:$BJ$304,B$48*12)</f>
        <v>283590.561753513</v>
      </c>
      <c r="C51" s="61" t="n">
        <f aca="false">INDEX('Scenario calc'!$C$304:$BJ$304,C$48*12)</f>
        <v>609501.34591394</v>
      </c>
      <c r="D51" s="61" t="n">
        <f aca="false">INDEX('Scenario calc'!$C$304:$BJ$304,D$48*12)</f>
        <v>1029195.7648786</v>
      </c>
      <c r="E51" s="61" t="n">
        <f aca="false">INDEX('Scenario calc'!$C$304:$BJ$304,E$48*12)</f>
        <v>1559057.60480711</v>
      </c>
      <c r="F51" s="61" t="n">
        <f aca="false">INDEX('Scenario calc'!$C$304:$BJ$304,F$48*12)</f>
        <v>2218597.84089389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133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134</v>
      </c>
    </row>
    <row r="3" customFormat="false" ht="15" hidden="false" customHeight="false" outlineLevel="0" collapsed="false">
      <c r="A3" s="4" t="s">
        <v>135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136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6" t="s">
        <v>127</v>
      </c>
      <c r="B6" s="65" t="n">
        <f aca="false">MATCH(MIN(Monthly!$C$80:$BJ$80),Monthly!$C$80:$BJ$80,0)</f>
        <v>1</v>
      </c>
    </row>
    <row r="7" customFormat="false" ht="15" hidden="false" customHeight="false" outlineLevel="0" collapsed="false">
      <c r="A7" s="6" t="s">
        <v>137</v>
      </c>
      <c r="B7" s="67" t="n">
        <f aca="false">SUMPRODUCT(--(Monthly!$C$4:$BJ$4&lt;=$B$6),Monthly!$C$53:$BJ$53)</f>
        <v>90000</v>
      </c>
    </row>
    <row r="8" customFormat="false" ht="15" hidden="false" customHeight="false" outlineLevel="0" collapsed="false">
      <c r="A8" s="6" t="s">
        <v>138</v>
      </c>
      <c r="B8" s="67" t="n">
        <f aca="false">-SUMPRODUCT(--(Monthly!$C$4:$BJ$4&lt;=$B$6),Monthly!$C$74:$BJ$74)</f>
        <v>14679.0409264762</v>
      </c>
      <c r="D8" s="18" t="s">
        <v>139</v>
      </c>
    </row>
    <row r="9" customFormat="false" ht="15" hidden="false" customHeight="false" outlineLevel="0" collapsed="false">
      <c r="A9" s="6" t="s">
        <v>140</v>
      </c>
      <c r="B9" s="67" t="n">
        <f aca="false">-SUMPRODUCT(--(Monthly!$C$4:$BJ$4&lt;=$B$6),Monthly!$C$62:$BJ$62)</f>
        <v>-0</v>
      </c>
    </row>
    <row r="10" customFormat="false" ht="15" hidden="false" customHeight="false" outlineLevel="0" collapsed="false">
      <c r="A10" s="4" t="s">
        <v>141</v>
      </c>
      <c r="B10" s="68" t="n">
        <f aca="false">B7+B8+B9</f>
        <v>104679.040926476</v>
      </c>
    </row>
    <row r="11" customFormat="false" ht="15" hidden="false" customHeight="false" outlineLevel="0" collapsed="false">
      <c r="A11" s="6" t="s">
        <v>142</v>
      </c>
      <c r="B11" s="69" t="n">
        <f aca="false">Inputs!$E$73</f>
        <v>233000</v>
      </c>
      <c r="D11" s="18" t="s">
        <v>143</v>
      </c>
    </row>
    <row r="12" customFormat="false" ht="15" hidden="false" customHeight="false" outlineLevel="0" collapsed="false">
      <c r="A12" s="4" t="s">
        <v>144</v>
      </c>
      <c r="B12" s="68" t="n">
        <f aca="false">B10+B11</f>
        <v>337679.040926476</v>
      </c>
    </row>
    <row r="14" customFormat="false" ht="15" hidden="false" customHeight="false" outlineLevel="0" collapsed="false">
      <c r="A14" s="6" t="s">
        <v>64</v>
      </c>
      <c r="B14" s="69" t="n">
        <f aca="false">Inputs!$E$58</f>
        <v>60000</v>
      </c>
    </row>
    <row r="15" customFormat="false" ht="15" hidden="false" customHeight="false" outlineLevel="0" collapsed="false">
      <c r="A15" s="6" t="s">
        <v>65</v>
      </c>
      <c r="B15" s="69" t="n">
        <f aca="false">Inputs!$E$59</f>
        <v>80000</v>
      </c>
    </row>
    <row r="16" customFormat="false" ht="15" hidden="false" customHeight="false" outlineLevel="0" collapsed="false">
      <c r="A16" s="4" t="s">
        <v>145</v>
      </c>
      <c r="B16" s="68" t="n">
        <f aca="false">B14+B15</f>
        <v>140000</v>
      </c>
    </row>
    <row r="17" customFormat="false" ht="15" hidden="false" customHeight="false" outlineLevel="0" collapsed="false">
      <c r="A17" s="70" t="s">
        <v>67</v>
      </c>
      <c r="B17" s="71" t="n">
        <f aca="false">B16-B12</f>
        <v>-197679.040926476</v>
      </c>
      <c r="D17" s="18" t="s">
        <v>146</v>
      </c>
    </row>
    <row r="18" customFormat="false" ht="15" hidden="false" customHeight="false" outlineLevel="0" collapsed="false">
      <c r="A18" s="6" t="s">
        <v>147</v>
      </c>
      <c r="B18" s="67" t="n">
        <f aca="false">MIN(Monthly!$C$80:$BJ$80)</f>
        <v>35320.9590735238</v>
      </c>
      <c r="D18" s="18" t="s">
        <v>148</v>
      </c>
    </row>
    <row r="20" customFormat="false" ht="15.75" hidden="false" customHeight="true" outlineLevel="0" collapsed="false">
      <c r="A20" s="7" t="s">
        <v>149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6" t="s">
        <v>150</v>
      </c>
      <c r="B21" s="65" t="n">
        <f aca="false">IFERROR(MATCH(1,Monthly!$C$81:$BJ$81,0),"Not within horizon")</f>
        <v>1</v>
      </c>
    </row>
    <row r="22" customFormat="false" ht="15" hidden="false" customHeight="false" outlineLevel="0" collapsed="false">
      <c r="A22" s="6" t="s">
        <v>151</v>
      </c>
      <c r="B22" s="65" t="n">
        <f aca="false">IFERROR(MATCH(1,Monthly!$C$84:$BJ$84,0),"Not within horizon")</f>
        <v>1</v>
      </c>
    </row>
    <row r="23" customFormat="false" ht="15" hidden="false" customHeight="false" outlineLevel="0" collapsed="false">
      <c r="A23" s="6" t="s">
        <v>152</v>
      </c>
      <c r="B23" s="65" t="n">
        <f aca="false">IF(MIN(Monthly!$C$86:$BJ$86)&gt;=0,"No investment to pay back",IFERROR(MATCH(1,Monthly!$C$88:$BJ$88,0),"Not within horizon"))</f>
        <v>12</v>
      </c>
      <c r="D23" s="18" t="s">
        <v>153</v>
      </c>
    </row>
    <row r="25" customFormat="false" ht="15.75" hidden="false" customHeight="true" outlineLevel="0" collapsed="false">
      <c r="A25" s="7" t="s">
        <v>154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72" t="s">
        <v>155</v>
      </c>
      <c r="B26" s="72" t="n">
        <v>1</v>
      </c>
      <c r="C26" s="72" t="n">
        <v>2</v>
      </c>
      <c r="D26" s="72" t="n">
        <v>3</v>
      </c>
      <c r="E26" s="72" t="n">
        <v>4</v>
      </c>
      <c r="F26" s="72" t="n">
        <v>5</v>
      </c>
    </row>
    <row r="27" customFormat="false" ht="15" hidden="false" customHeight="false" outlineLevel="0" collapsed="false">
      <c r="A27" s="33"/>
      <c r="B27" s="50" t="s">
        <v>156</v>
      </c>
      <c r="C27" s="50" t="s">
        <v>157</v>
      </c>
      <c r="D27" s="50" t="s">
        <v>158</v>
      </c>
      <c r="E27" s="50" t="s">
        <v>159</v>
      </c>
      <c r="F27" s="50" t="s">
        <v>160</v>
      </c>
    </row>
    <row r="28" customFormat="false" ht="15" hidden="false" customHeight="false" outlineLevel="0" collapsed="false">
      <c r="A28" s="4" t="s">
        <v>44</v>
      </c>
      <c r="B28" s="73" t="n">
        <f aca="false">SUMIF(Monthly!$C$5:$BJ$5,B$26,Monthly!$C$22:$BJ$22)</f>
        <v>1577472</v>
      </c>
      <c r="C28" s="73" t="n">
        <f aca="false">SUMIF(Monthly!$C$5:$BJ$5,C$26,Monthly!$C$22:$BJ$22)</f>
        <v>1736372.352</v>
      </c>
      <c r="D28" s="73" t="n">
        <f aca="false">SUMIF(Monthly!$C$5:$BJ$5,D$26,Monthly!$C$22:$BJ$22)</f>
        <v>1890162.8563584</v>
      </c>
      <c r="E28" s="73" t="n">
        <f aca="false">SUMIF(Monthly!$C$5:$BJ$5,E$26,Monthly!$C$22:$BJ$22)</f>
        <v>2060698.9801917</v>
      </c>
      <c r="F28" s="73" t="n">
        <f aca="false">SUMIF(Monthly!$C$5:$BJ$5,F$26,Monthly!$C$22:$BJ$22)</f>
        <v>2250134.06558979</v>
      </c>
    </row>
    <row r="29" customFormat="false" ht="15" hidden="false" customHeight="false" outlineLevel="0" collapsed="false">
      <c r="A29" s="6" t="s">
        <v>45</v>
      </c>
      <c r="B29" s="67" t="n">
        <f aca="false">SUMIF(Monthly!$C$5:$BJ$5,B$26,Monthly!$C$29:$BJ$29)</f>
        <v>1076825.07428571</v>
      </c>
      <c r="C29" s="67" t="n">
        <f aca="false">SUMIF(Monthly!$C$5:$BJ$5,C$26,Monthly!$C$29:$BJ$29)</f>
        <v>1183311.17046857</v>
      </c>
      <c r="D29" s="67" t="n">
        <f aca="false">SUMIF(Monthly!$C$5:$BJ$5,D$26,Monthly!$C$29:$BJ$29)</f>
        <v>1285883.66760732</v>
      </c>
      <c r="E29" s="67" t="n">
        <f aca="false">SUMIF(Monthly!$C$5:$BJ$5,E$26,Monthly!$C$29:$BJ$29)</f>
        <v>1399388.98869909</v>
      </c>
      <c r="F29" s="67" t="n">
        <f aca="false">SUMIF(Monthly!$C$5:$BJ$5,F$26,Monthly!$C$29:$BJ$29)</f>
        <v>1525212.73672617</v>
      </c>
    </row>
    <row r="30" customFormat="false" ht="15" hidden="false" customHeight="false" outlineLevel="0" collapsed="false">
      <c r="A30" s="38" t="s">
        <v>161</v>
      </c>
      <c r="B30" s="74" t="n">
        <f aca="false">IF(B28=0,0,B29/B28)</f>
        <v>0.68262706043956</v>
      </c>
      <c r="C30" s="74" t="n">
        <f aca="false">IF(C28=0,0,C29/C28)</f>
        <v>0.681484687950486</v>
      </c>
      <c r="D30" s="74" t="n">
        <f aca="false">IF(D28=0,0,D29/D28)</f>
        <v>0.680303108952588</v>
      </c>
      <c r="E30" s="74" t="n">
        <f aca="false">IF(E28=0,0,E29/E28)</f>
        <v>0.6790846223299</v>
      </c>
      <c r="F30" s="74" t="n">
        <f aca="false">IF(F28=0,0,F29/F28)</f>
        <v>0.677831939016661</v>
      </c>
    </row>
    <row r="31" customFormat="false" ht="15" hidden="false" customHeight="false" outlineLevel="0" collapsed="false">
      <c r="A31" s="6" t="s">
        <v>162</v>
      </c>
      <c r="B31" s="67" t="n">
        <f aca="false">-SUMIF(Monthly!$C$5:$BJ$5,B$26,Monthly!$C$40:$BJ$40)</f>
        <v>931468.064</v>
      </c>
      <c r="C31" s="67" t="n">
        <f aca="false">-SUMIF(Monthly!$C$5:$BJ$5,C$26,Monthly!$C$40:$BJ$40)</f>
        <v>990021.961472</v>
      </c>
      <c r="D31" s="67" t="n">
        <f aca="false">-SUMIF(Monthly!$C$5:$BJ$5,D$26,Monthly!$C$40:$BJ$40)</f>
        <v>1052480.54694088</v>
      </c>
      <c r="E31" s="67" t="n">
        <f aca="false">-SUMIF(Monthly!$C$5:$BJ$5,E$26,Monthly!$C$40:$BJ$40)</f>
        <v>1120604.19653668</v>
      </c>
      <c r="F31" s="67" t="n">
        <f aca="false">-SUMIF(Monthly!$C$5:$BJ$5,F$26,Monthly!$C$40:$BJ$40)</f>
        <v>1194932.43726097</v>
      </c>
    </row>
    <row r="32" customFormat="false" ht="15" hidden="false" customHeight="false" outlineLevel="0" collapsed="false">
      <c r="A32" s="4" t="s">
        <v>163</v>
      </c>
      <c r="B32" s="73" t="n">
        <f aca="false">IF(B30&gt;0,B31/B30,"n/a")</f>
        <v>1364534.33797395</v>
      </c>
      <c r="C32" s="73" t="n">
        <f aca="false">IF(C30&gt;0,C31/C30,"n/a")</f>
        <v>1452742.78201234</v>
      </c>
      <c r="D32" s="73" t="n">
        <f aca="false">IF(D30&gt;0,D31/D30,"n/a")</f>
        <v>1547075.90350616</v>
      </c>
      <c r="E32" s="73" t="n">
        <f aca="false">IF(E30&gt;0,E31/E30,"n/a")</f>
        <v>1650168.7119522</v>
      </c>
      <c r="F32" s="73" t="n">
        <f aca="false">IF(F30&gt;0,F31/F30,"n/a")</f>
        <v>1762874.20004798</v>
      </c>
    </row>
    <row r="33" customFormat="false" ht="15" hidden="false" customHeight="false" outlineLevel="0" collapsed="false">
      <c r="A33" s="38" t="s">
        <v>164</v>
      </c>
      <c r="B33" s="74" t="n">
        <f aca="false">IF(AND(ISNUMBER(B32),B28&gt;0),(B28-B32)/B28,"n/a")</f>
        <v>0.134986650809681</v>
      </c>
      <c r="C33" s="74" t="n">
        <f aca="false">IF(AND(ISNUMBER(C32),C28&gt;0),(C28-C32)/C28,"n/a")</f>
        <v>0.163346052856099</v>
      </c>
      <c r="D33" s="74" t="n">
        <f aca="false">IF(AND(ISNUMBER(D32),D28&gt;0),(D28-D32)/D28,"n/a")</f>
        <v>0.181511847880256</v>
      </c>
      <c r="E33" s="74" t="n">
        <f aca="false">IF(AND(ISNUMBER(E32),E28&gt;0),(E28-E32)/E28,"n/a")</f>
        <v>0.199218940847592</v>
      </c>
      <c r="F33" s="74" t="n">
        <f aca="false">IF(AND(ISNUMBER(F32),F28&gt;0),(F28-F32)/F28,"n/a")</f>
        <v>0.216547037349124</v>
      </c>
    </row>
    <row r="35" customFormat="false" ht="15" hidden="false" customHeight="false" outlineLevel="0" collapsed="false">
      <c r="A35" s="38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166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167</v>
      </c>
    </row>
    <row r="3" customFormat="false" ht="15" hidden="false" customHeight="false" outlineLevel="0" collapsed="false">
      <c r="A3" s="4" t="s">
        <v>135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168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8" t="s">
        <v>169</v>
      </c>
      <c r="B6" s="75" t="n">
        <f aca="false">Inputs!$E$76</f>
        <v>0.16</v>
      </c>
    </row>
    <row r="7" customFormat="false" ht="15" hidden="false" customHeight="false" outlineLevel="0" collapsed="false">
      <c r="A7" s="38" t="s">
        <v>170</v>
      </c>
      <c r="B7" s="75" t="n">
        <f aca="false">Inputs!$E$77</f>
        <v>0.02</v>
      </c>
    </row>
    <row r="8" customFormat="false" ht="15" hidden="false" customHeight="false" outlineLevel="0" collapsed="false">
      <c r="A8" s="6" t="s">
        <v>171</v>
      </c>
      <c r="B8" s="76" t="n">
        <f aca="false">Inputs!$E$78</f>
        <v>5.5</v>
      </c>
    </row>
    <row r="9" customFormat="false" ht="15" hidden="false" customHeight="false" outlineLevel="0" collapsed="false">
      <c r="A9" s="38" t="s">
        <v>172</v>
      </c>
      <c r="B9" s="75" t="n">
        <f aca="false">Inputs!$E$70</f>
        <v>0.21</v>
      </c>
    </row>
    <row r="10" customFormat="false" ht="15" hidden="false" customHeight="false" outlineLevel="0" collapsed="false">
      <c r="A10" s="38" t="s">
        <v>173</v>
      </c>
      <c r="B10" s="75" t="n">
        <f aca="false">Inputs!$E$79</f>
        <v>0.01</v>
      </c>
    </row>
    <row r="11" customFormat="false" ht="15" hidden="false" customHeight="false" outlineLevel="0" collapsed="false">
      <c r="A11" s="38" t="s">
        <v>174</v>
      </c>
      <c r="B11" s="75" t="n">
        <f aca="false">Inputs!$E$80</f>
        <v>0.005</v>
      </c>
    </row>
    <row r="13" customFormat="false" ht="15.75" hidden="false" customHeight="true" outlineLevel="0" collapsed="false">
      <c r="A13" s="7" t="s">
        <v>175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72" t="s">
        <v>155</v>
      </c>
      <c r="B14" s="72" t="n">
        <v>1</v>
      </c>
      <c r="C14" s="72" t="n">
        <v>2</v>
      </c>
      <c r="D14" s="72" t="n">
        <v>3</v>
      </c>
      <c r="E14" s="72" t="n">
        <v>4</v>
      </c>
      <c r="F14" s="72" t="n">
        <v>5</v>
      </c>
    </row>
    <row r="15" customFormat="false" ht="15" hidden="false" customHeight="false" outlineLevel="0" collapsed="false">
      <c r="A15" s="33"/>
      <c r="B15" s="50" t="s">
        <v>156</v>
      </c>
      <c r="C15" s="50" t="s">
        <v>157</v>
      </c>
      <c r="D15" s="50" t="s">
        <v>158</v>
      </c>
      <c r="E15" s="50" t="s">
        <v>159</v>
      </c>
      <c r="F15" s="50" t="s">
        <v>160</v>
      </c>
    </row>
    <row r="16" customFormat="false" ht="15" hidden="false" customHeight="false" outlineLevel="0" collapsed="false">
      <c r="A16" s="6" t="s">
        <v>48</v>
      </c>
      <c r="B16" s="67" t="n">
        <f aca="false">SUMIF(Monthly!$C$5:$BJ$5,B$14,Monthly!$C$41:$BJ$41)</f>
        <v>145357.010285714</v>
      </c>
      <c r="C16" s="67" t="n">
        <f aca="false">SUMIF(Monthly!$C$5:$BJ$5,C$14,Monthly!$C$41:$BJ$41)</f>
        <v>193289.208996572</v>
      </c>
      <c r="D16" s="67" t="n">
        <f aca="false">SUMIF(Monthly!$C$5:$BJ$5,D$14,Monthly!$C$41:$BJ$41)</f>
        <v>233403.120666446</v>
      </c>
      <c r="E16" s="67" t="n">
        <f aca="false">SUMIF(Monthly!$C$5:$BJ$5,E$14,Monthly!$C$41:$BJ$41)</f>
        <v>278784.792162417</v>
      </c>
      <c r="F16" s="67" t="n">
        <f aca="false">SUMIF(Monthly!$C$5:$BJ$5,F$14,Monthly!$C$41:$BJ$41)</f>
        <v>330280.299465202</v>
      </c>
    </row>
    <row r="17" customFormat="false" ht="15" hidden="false" customHeight="false" outlineLevel="0" collapsed="false">
      <c r="A17" s="4" t="s">
        <v>176</v>
      </c>
      <c r="B17" s="73" t="n">
        <f aca="false">SUMIF(Monthly!$C$5:$BJ$5,B$14,Monthly!$C$89:$BJ$89)</f>
        <v>5837.88955428578</v>
      </c>
      <c r="C17" s="73" t="n">
        <f aca="false">SUMIF(Monthly!$C$5:$BJ$5,C$14,Monthly!$C$89:$BJ$89)</f>
        <v>139896.995619292</v>
      </c>
      <c r="D17" s="73" t="n">
        <f aca="false">SUMIF(Monthly!$C$5:$BJ$5,D$14,Monthly!$C$89:$BJ$89)</f>
        <v>171839.052010649</v>
      </c>
      <c r="E17" s="73" t="n">
        <f aca="false">SUMIF(Monthly!$C$5:$BJ$5,E$14,Monthly!$C$89:$BJ$89)</f>
        <v>207922.790147636</v>
      </c>
      <c r="F17" s="73" t="n">
        <f aca="false">SUMIF(Monthly!$C$5:$BJ$5,F$14,Monthly!$C$89:$BJ$89)</f>
        <v>248813.923441457</v>
      </c>
    </row>
    <row r="18" customFormat="false" ht="15" hidden="false" customHeight="false" outlineLevel="0" collapsed="false">
      <c r="A18" s="6" t="s">
        <v>177</v>
      </c>
      <c r="B18" s="77" t="n">
        <f aca="false">1/(1+Inputs!$E$76)^B$14</f>
        <v>0.862068965517241</v>
      </c>
      <c r="C18" s="77" t="n">
        <f aca="false">1/(1+Inputs!$E$76)^C$14</f>
        <v>0.743162901307967</v>
      </c>
      <c r="D18" s="77" t="n">
        <f aca="false">1/(1+Inputs!$E$76)^D$14</f>
        <v>0.640657673541351</v>
      </c>
      <c r="E18" s="77" t="n">
        <f aca="false">1/(1+Inputs!$E$76)^E$14</f>
        <v>0.552291097880475</v>
      </c>
      <c r="F18" s="77" t="n">
        <f aca="false">1/(1+Inputs!$E$76)^F$14</f>
        <v>0.476113015414203</v>
      </c>
    </row>
    <row r="19" customFormat="false" ht="15" hidden="false" customHeight="false" outlineLevel="0" collapsed="false">
      <c r="A19" s="6" t="s">
        <v>178</v>
      </c>
      <c r="B19" s="67" t="n">
        <f aca="false">B17*B18</f>
        <v>5032.66340886705</v>
      </c>
      <c r="C19" s="67" t="n">
        <f aca="false">C17*C18</f>
        <v>103966.257148701</v>
      </c>
      <c r="D19" s="67" t="n">
        <f aca="false">D17*D18</f>
        <v>110090.007284694</v>
      </c>
      <c r="E19" s="67" t="n">
        <f aca="false">E17*E18</f>
        <v>114833.90604501</v>
      </c>
      <c r="F19" s="67" t="n">
        <f aca="false">F17*F18</f>
        <v>118463.54736675</v>
      </c>
    </row>
    <row r="21" customFormat="false" ht="15.75" hidden="false" customHeight="true" outlineLevel="0" collapsed="false">
      <c r="A21" s="7" t="s">
        <v>179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50" t="s">
        <v>180</v>
      </c>
      <c r="C22" s="50" t="s">
        <v>181</v>
      </c>
    </row>
    <row r="23" customFormat="false" ht="15" hidden="false" customHeight="false" outlineLevel="0" collapsed="false">
      <c r="A23" s="6" t="s">
        <v>182</v>
      </c>
      <c r="B23" s="67" t="n">
        <f aca="false">SUM($B$19:$F$19)</f>
        <v>452386.381254022</v>
      </c>
      <c r="C23" s="67" t="n">
        <f aca="false">B23</f>
        <v>452386.381254022</v>
      </c>
    </row>
    <row r="24" customFormat="false" ht="15" hidden="false" customHeight="false" outlineLevel="0" collapsed="false">
      <c r="A24" s="6" t="s">
        <v>183</v>
      </c>
      <c r="B24" s="67" t="n">
        <f aca="false">$F$17</f>
        <v>248813.923441457</v>
      </c>
      <c r="C24" s="67" t="n">
        <f aca="false">$F$16</f>
        <v>330280.299465202</v>
      </c>
    </row>
    <row r="25" customFormat="false" ht="15" hidden="false" customHeight="false" outlineLevel="0" collapsed="false">
      <c r="A25" s="6" t="s">
        <v>184</v>
      </c>
      <c r="B25" s="67" t="n">
        <f aca="false">IF($B$6&gt;$B$7,B24*(1+$B$7)/($B$6-$B$7),0)</f>
        <v>1812787.15650204</v>
      </c>
      <c r="C25" s="67" t="n">
        <f aca="false">C24*$B$8</f>
        <v>1816541.64705861</v>
      </c>
    </row>
    <row r="26" customFormat="false" ht="15" hidden="false" customHeight="false" outlineLevel="0" collapsed="false">
      <c r="A26" s="6" t="s">
        <v>185</v>
      </c>
      <c r="B26" s="67" t="n">
        <f aca="false">B25/(1+$B$6)^$F$14</f>
        <v>863091.559386325</v>
      </c>
      <c r="C26" s="67" t="n">
        <f aca="false">C25/(1+$B$6)^$F$14</f>
        <v>864879.121206558</v>
      </c>
    </row>
    <row r="27" customFormat="false" ht="15" hidden="false" customHeight="false" outlineLevel="0" collapsed="false">
      <c r="A27" s="4" t="s">
        <v>179</v>
      </c>
      <c r="B27" s="68" t="n">
        <f aca="false">B23+B26</f>
        <v>1315477.94064035</v>
      </c>
      <c r="C27" s="68" t="n">
        <f aca="false">C23+C26</f>
        <v>1317265.50246058</v>
      </c>
    </row>
    <row r="28" customFormat="false" ht="15" hidden="false" customHeight="false" outlineLevel="0" collapsed="false">
      <c r="A28" s="38" t="s">
        <v>186</v>
      </c>
      <c r="B28" s="74" t="n">
        <f aca="false">IF(B27&lt;&gt;0,B26/B27,0)</f>
        <v>0.65610492789122</v>
      </c>
      <c r="C28" s="74" t="n">
        <f aca="false">IF(C27&lt;&gt;0,C26/C27,0)</f>
        <v>0.65657160199748</v>
      </c>
    </row>
    <row r="29" customFormat="false" ht="15" hidden="false" customHeight="false" outlineLevel="0" collapsed="false">
      <c r="A29" s="6" t="s">
        <v>187</v>
      </c>
      <c r="B29" s="78" t="n">
        <f aca="false">IF(C24&gt;0,B25/C24,"n/a")</f>
        <v>5.48863241143159</v>
      </c>
      <c r="C29" s="74" t="n">
        <f aca="false">IF(C25+B24&lt;&gt;0,(C25*$B$6-B24)/(C25+B24),"n/a")</f>
        <v>0.0202544979108816</v>
      </c>
    </row>
    <row r="30" customFormat="false" ht="15" hidden="false" customHeight="false" outlineLevel="0" collapsed="false">
      <c r="A30" s="70" t="s">
        <v>188</v>
      </c>
      <c r="B30" s="71" t="n">
        <f aca="false">AVERAGE(B27,C27)</f>
        <v>1316371.72155046</v>
      </c>
    </row>
    <row r="32" customFormat="false" ht="15.75" hidden="false" customHeight="true" outlineLevel="0" collapsed="false">
      <c r="A32" s="7" t="s">
        <v>189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190</v>
      </c>
      <c r="B33" s="79" t="n">
        <f aca="false">$B$7+(-2)*$B$11</f>
        <v>0.01</v>
      </c>
      <c r="C33" s="79" t="n">
        <f aca="false">$B$7+(-1)*$B$11</f>
        <v>0.015</v>
      </c>
      <c r="D33" s="79" t="n">
        <f aca="false">$B$7+(0)*$B$11</f>
        <v>0.02</v>
      </c>
      <c r="E33" s="79" t="n">
        <f aca="false">$B$7+(1)*$B$11</f>
        <v>0.025</v>
      </c>
      <c r="F33" s="79" t="n">
        <f aca="false">$B$7+(2)*$B$11</f>
        <v>0.03</v>
      </c>
    </row>
    <row r="34" customFormat="false" ht="15" hidden="false" customHeight="false" outlineLevel="0" collapsed="false">
      <c r="A34" s="74" t="n">
        <f aca="false">$B$6+(-2)*$B$10</f>
        <v>0.14</v>
      </c>
      <c r="B34" s="67" t="n">
        <f aca="false">IF($A34&gt;B$33,SUMPRODUCT($B$17:$F$17/(1+$A34)^$B$14:$F$14)+$F$17*(1+B$33)/($A34-B$33)/(1+$A34)^$F$14,"n/a")</f>
        <v>1485074.57537092</v>
      </c>
      <c r="C34" s="67" t="n">
        <f aca="false">IF($A34&gt;C$33,SUMPRODUCT($B$17:$F$17/(1+$A34)^$B$14:$F$14)+$F$17*(1+C$33)/($A34-C$33)/(1+$A34)^$F$14,"n/a")</f>
        <v>1530403.13438777</v>
      </c>
      <c r="D34" s="67" t="n">
        <f aca="false">IF($A34&gt;D$33,SUMPRODUCT($B$17:$F$17/(1+$A34)^$B$14:$F$14)+$F$17*(1+D$33)/($A34-D$33)/(1+$A34)^$F$14,"n/a")</f>
        <v>1579509.0733227</v>
      </c>
      <c r="E34" s="67" t="n">
        <f aca="false">IF($A34&gt;E$33,SUMPRODUCT($B$17:$F$17/(1+$A34)^$B$14:$F$14)+$F$17*(1+E$33)/($A34-E$33)/(1+$A34)^$F$14,"n/a")</f>
        <v>1632885.09390414</v>
      </c>
      <c r="F34" s="67" t="n">
        <f aca="false">IF($A34&gt;F$33,SUMPRODUCT($B$17:$F$17/(1+$A34)^$B$14:$F$14)+$F$17*(1+F$33)/($A34-F$33)/(1+$A34)^$F$14,"n/a")</f>
        <v>1691113.47999299</v>
      </c>
    </row>
    <row r="35" customFormat="false" ht="15" hidden="false" customHeight="false" outlineLevel="0" collapsed="false">
      <c r="A35" s="74" t="n">
        <f aca="false">$B$6+(-1)*$B$10</f>
        <v>0.15</v>
      </c>
      <c r="B35" s="67" t="n">
        <f aca="false">IF($A35&gt;B$33,SUMPRODUCT($B$17:$F$17/(1+$A35)^$B$14:$F$14)+$F$17*(1+B$33)/($A35-B$33)/(1+$A35)^$F$14,"n/a")</f>
        <v>1358870.20829022</v>
      </c>
      <c r="C35" s="67" t="n">
        <f aca="false">IF($A35&gt;C$33,SUMPRODUCT($B$17:$F$17/(1+$A35)^$B$14:$F$14)+$F$17*(1+C$33)/($A35-C$33)/(1+$A35)^$F$14,"n/a")</f>
        <v>1396505.1734427</v>
      </c>
      <c r="D35" s="67" t="n">
        <f aca="false">IF($A35&gt;D$33,SUMPRODUCT($B$17:$F$17/(1+$A35)^$B$14:$F$14)+$F$17*(1+D$33)/($A35-D$33)/(1+$A35)^$F$14,"n/a")</f>
        <v>1437035.13591461</v>
      </c>
      <c r="E35" s="67" t="n">
        <f aca="false">IF($A35&gt;E$33,SUMPRODUCT($B$17:$F$17/(1+$A35)^$B$14:$F$14)+$F$17*(1+E$33)/($A35-E$33)/(1+$A35)^$F$14,"n/a")</f>
        <v>1480807.49538426</v>
      </c>
      <c r="F35" s="67" t="n">
        <f aca="false">IF($A35&gt;F$33,SUMPRODUCT($B$17:$F$17/(1+$A35)^$B$14:$F$14)+$F$17*(1+F$33)/($A35-F$33)/(1+$A35)^$F$14,"n/a")</f>
        <v>1528227.55147639</v>
      </c>
    </row>
    <row r="36" customFormat="false" ht="15" hidden="false" customHeight="false" outlineLevel="0" collapsed="false">
      <c r="A36" s="74" t="n">
        <f aca="false">$B$6+(0)*$B$10</f>
        <v>0.16</v>
      </c>
      <c r="B36" s="67" t="n">
        <f aca="false">IF($A36&gt;B$33,SUMPRODUCT($B$17:$F$17/(1+$A36)^$B$14:$F$14)+$F$17*(1+B$33)/($A36-B$33)/(1+$A36)^$F$14,"n/a")</f>
        <v>1250040.93352347</v>
      </c>
      <c r="C36" s="67" t="n">
        <f aca="false">IF($A36&gt;C$33,SUMPRODUCT($B$17:$F$17/(1+$A36)^$B$14:$F$14)+$F$17*(1+C$33)/($A36-C$33)/(1+$A36)^$F$14,"n/a")</f>
        <v>1281631.21282127</v>
      </c>
      <c r="D36" s="67" t="n">
        <f aca="false">IF($A36&gt;D$33,SUMPRODUCT($B$17:$F$17/(1+$A36)^$B$14:$F$14)+$F$17*(1+D$33)/($A36-D$33)/(1+$A36)^$F$14,"n/a")</f>
        <v>1315477.94064035</v>
      </c>
      <c r="E36" s="67" t="n">
        <f aca="false">IF($A36&gt;E$33,SUMPRODUCT($B$17:$F$17/(1+$A36)^$B$14:$F$14)+$F$17*(1+E$33)/($A36-E$33)/(1+$A36)^$F$14,"n/a")</f>
        <v>1351831.83348305</v>
      </c>
      <c r="F36" s="67" t="n">
        <f aca="false">IF($A36&gt;F$33,SUMPRODUCT($B$17:$F$17/(1+$A36)^$B$14:$F$14)+$F$17*(1+F$33)/($A36-F$33)/(1+$A36)^$F$14,"n/a")</f>
        <v>1390982.17962135</v>
      </c>
    </row>
    <row r="37" customFormat="false" ht="15" hidden="false" customHeight="false" outlineLevel="0" collapsed="false">
      <c r="A37" s="74" t="n">
        <f aca="false">$B$6+(1)*$B$10</f>
        <v>0.17</v>
      </c>
      <c r="B37" s="67" t="n">
        <f aca="false">IF($A37&gt;B$33,SUMPRODUCT($B$17:$F$17/(1+$A37)^$B$14:$F$14)+$F$17*(1+B$33)/($A37-B$33)/(1+$A37)^$F$14,"n/a")</f>
        <v>1155307.81578639</v>
      </c>
      <c r="C37" s="67" t="n">
        <f aca="false">IF($A37&gt;C$33,SUMPRODUCT($B$17:$F$17/(1+$A37)^$B$14:$F$14)+$F$17*(1+C$33)/($A37-C$33)/(1+$A37)^$F$14,"n/a")</f>
        <v>1182077.88881978</v>
      </c>
      <c r="D37" s="67" t="n">
        <f aca="false">IF($A37&gt;D$33,SUMPRODUCT($B$17:$F$17/(1+$A37)^$B$14:$F$14)+$F$17*(1+D$33)/($A37-D$33)/(1+$A37)^$F$14,"n/a")</f>
        <v>1210632.63338873</v>
      </c>
      <c r="E37" s="67" t="n">
        <f aca="false">IF($A37&gt;E$33,SUMPRODUCT($B$17:$F$17/(1+$A37)^$B$14:$F$14)+$F$17*(1+E$33)/($A37-E$33)/(1+$A37)^$F$14,"n/a")</f>
        <v>1241156.67068657</v>
      </c>
      <c r="F37" s="67" t="n">
        <f aca="false">IF($A37&gt;F$33,SUMPRODUCT($B$17:$F$17/(1+$A37)^$B$14:$F$14)+$F$17*(1+F$33)/($A37-F$33)/(1+$A37)^$F$14,"n/a")</f>
        <v>1273860.99636283</v>
      </c>
    </row>
    <row r="38" customFormat="false" ht="15" hidden="false" customHeight="false" outlineLevel="0" collapsed="false">
      <c r="A38" s="74" t="n">
        <f aca="false">$B$6+(2)*$B$10</f>
        <v>0.18</v>
      </c>
      <c r="B38" s="67" t="n">
        <f aca="false">IF($A38&gt;B$33,SUMPRODUCT($B$17:$F$17/(1+$A38)^$B$14:$F$14)+$F$17*(1+B$33)/($A38-B$33)/(1+$A38)^$F$14,"n/a")</f>
        <v>1072164.45578176</v>
      </c>
      <c r="C38" s="67" t="n">
        <f aca="false">IF($A38&gt;C$33,SUMPRODUCT($B$17:$F$17/(1+$A38)^$B$14:$F$14)+$F$17*(1+C$33)/($A38-C$33)/(1+$A38)^$F$14,"n/a")</f>
        <v>1095040.65073612</v>
      </c>
      <c r="D38" s="67" t="n">
        <f aca="false">IF($A38&gt;D$33,SUMPRODUCT($B$17:$F$17/(1+$A38)^$B$14:$F$14)+$F$17*(1+D$33)/($A38-D$33)/(1+$A38)^$F$14,"n/a")</f>
        <v>1119346.60787514</v>
      </c>
      <c r="E38" s="67" t="n">
        <f aca="false">IF($A38&gt;E$33,SUMPRODUCT($B$17:$F$17/(1+$A38)^$B$14:$F$14)+$F$17*(1+E$33)/($A38-E$33)/(1+$A38)^$F$14,"n/a")</f>
        <v>1145220.69128119</v>
      </c>
      <c r="F38" s="67" t="n">
        <f aca="false">IF($A38&gt;F$33,SUMPRODUCT($B$17:$F$17/(1+$A38)^$B$14:$F$14)+$F$17*(1+F$33)/($A38-F$33)/(1+$A38)^$F$14,"n/a")</f>
        <v>1172819.71358098</v>
      </c>
    </row>
    <row r="40" customFormat="false" ht="15" hidden="false" customHeight="false" outlineLevel="0" collapsed="false">
      <c r="A40" s="38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192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193</v>
      </c>
    </row>
    <row r="3" customFormat="false" ht="15" hidden="false" customHeight="false" outlineLevel="0" collapsed="false">
      <c r="A3" s="4" t="s">
        <v>135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194</v>
      </c>
      <c r="B5" s="7"/>
      <c r="C5" s="7"/>
    </row>
    <row r="6" customFormat="false" ht="15" hidden="false" customHeight="false" outlineLevel="0" collapsed="false">
      <c r="B6" s="50" t="s">
        <v>195</v>
      </c>
      <c r="C6" s="50" t="s">
        <v>196</v>
      </c>
    </row>
    <row r="7" customFormat="false" ht="15" hidden="false" customHeight="false" outlineLevel="0" collapsed="false">
      <c r="A7" s="6" t="s">
        <v>197</v>
      </c>
      <c r="B7" s="80" t="n">
        <f aca="false">Inputs!$E$58</f>
        <v>60000</v>
      </c>
      <c r="C7" s="74" t="n">
        <f aca="false">IF($B$9=0,0,B7/$B$9)</f>
        <v>0.428571428571429</v>
      </c>
    </row>
    <row r="8" customFormat="false" ht="15" hidden="false" customHeight="false" outlineLevel="0" collapsed="false">
      <c r="A8" s="6" t="s">
        <v>198</v>
      </c>
      <c r="B8" s="80" t="n">
        <f aca="false">Inputs!$E$59</f>
        <v>80000</v>
      </c>
      <c r="C8" s="74" t="n">
        <f aca="false">IF($B$9=0,0,B8/$B$9)</f>
        <v>0.571428571428571</v>
      </c>
    </row>
    <row r="9" customFormat="false" ht="15" hidden="false" customHeight="false" outlineLevel="0" collapsed="false">
      <c r="A9" s="4" t="s">
        <v>199</v>
      </c>
      <c r="B9" s="81" t="n">
        <f aca="false">B7+B8</f>
        <v>140000</v>
      </c>
      <c r="C9" s="82" t="n">
        <f aca="false">IF(B9=0,0,1)</f>
        <v>1</v>
      </c>
    </row>
    <row r="10" customFormat="false" ht="15" hidden="false" customHeight="false" outlineLevel="0" collapsed="false">
      <c r="A10" s="6" t="s">
        <v>200</v>
      </c>
      <c r="B10" s="78" t="n">
        <f aca="false">IF(B7&lt;=0,IF(B8&gt;0,"n/a",0),B8/B7)</f>
        <v>1.33333333333333</v>
      </c>
      <c r="D10" s="18" t="s">
        <v>201</v>
      </c>
    </row>
    <row r="11" customFormat="false" ht="15" hidden="false" customHeight="false" outlineLevel="0" collapsed="false">
      <c r="A11" s="6" t="s">
        <v>202</v>
      </c>
      <c r="B11" s="80" t="n">
        <f aca="false">'Break-even'!B12</f>
        <v>337679.040926476</v>
      </c>
    </row>
    <row r="12" customFormat="false" ht="15" hidden="false" customHeight="false" outlineLevel="0" collapsed="false">
      <c r="A12" s="70" t="s">
        <v>67</v>
      </c>
      <c r="B12" s="83" t="n">
        <f aca="false">'Break-even'!B17</f>
        <v>-197679.040926476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203</v>
      </c>
      <c r="B15" s="84" t="n">
        <v>12</v>
      </c>
      <c r="D15" s="18" t="s">
        <v>204</v>
      </c>
    </row>
    <row r="16" customFormat="false" ht="15" hidden="false" customHeight="false" outlineLevel="0" collapsed="false">
      <c r="A16" s="6" t="s">
        <v>205</v>
      </c>
      <c r="B16" s="65" t="n">
        <f aca="false">MIN(60,MAX(1,ROUND(B15,0)))</f>
        <v>12</v>
      </c>
    </row>
    <row r="17" customFormat="false" ht="15" hidden="false" customHeight="false" outlineLevel="0" collapsed="false">
      <c r="A17" s="33" t="s">
        <v>206</v>
      </c>
      <c r="B17" s="50" t="s">
        <v>195</v>
      </c>
      <c r="C17" s="50" t="s">
        <v>196</v>
      </c>
    </row>
    <row r="18" customFormat="false" ht="15" hidden="false" customHeight="false" outlineLevel="0" collapsed="false">
      <c r="A18" s="6" t="s">
        <v>64</v>
      </c>
      <c r="B18" s="61" t="n">
        <f aca="false">SUMPRODUCT(--(Monthly!$C$4:$BJ$4&lt;=$B$16),Monthly!$C$76:$BJ$76)</f>
        <v>60000</v>
      </c>
      <c r="C18" s="74" t="n">
        <f aca="false">IF($B$21=0,0,B18/$B$21)</f>
        <v>0.259833297184332</v>
      </c>
    </row>
    <row r="19" customFormat="false" ht="15" hidden="false" customHeight="false" outlineLevel="0" collapsed="false">
      <c r="A19" s="6" t="s">
        <v>207</v>
      </c>
      <c r="B19" s="61" t="n">
        <f aca="false">SUMPRODUCT(--(Monthly!$C$4:$BJ$4&lt;=$B$16),Monthly!$C$61:$BJ$61)</f>
        <v>80000</v>
      </c>
      <c r="C19" s="74" t="n">
        <f aca="false">IF($B$21=0,0,B19/$B$21)</f>
        <v>0.346444396245776</v>
      </c>
    </row>
    <row r="20" customFormat="false" ht="15" hidden="false" customHeight="false" outlineLevel="0" collapsed="false">
      <c r="A20" s="6" t="s">
        <v>208</v>
      </c>
      <c r="B20" s="61" t="n">
        <f aca="false">MAX(0,SUMPRODUCT(--(Monthly!$C$4:$BJ$4&lt;=$B$16),Monthly!$C$74:$BJ$74))</f>
        <v>90917.286776508</v>
      </c>
      <c r="C20" s="74" t="n">
        <f aca="false">IF($B$21=0,0,B20/$B$21)</f>
        <v>0.393722306569892</v>
      </c>
    </row>
    <row r="21" customFormat="false" ht="15" hidden="false" customHeight="false" outlineLevel="0" collapsed="false">
      <c r="A21" s="4" t="s">
        <v>209</v>
      </c>
      <c r="B21" s="81" t="n">
        <f aca="false">SUM(B18:B20)</f>
        <v>230917.286776508</v>
      </c>
      <c r="C21" s="82" t="n">
        <f aca="false">IF(B21=0,0,1)</f>
        <v>1</v>
      </c>
    </row>
    <row r="23" customFormat="false" ht="15" hidden="false" customHeight="false" outlineLevel="0" collapsed="false">
      <c r="A23" s="33" t="s">
        <v>210</v>
      </c>
      <c r="B23" s="50" t="s">
        <v>195</v>
      </c>
      <c r="C23" s="50" t="s">
        <v>196</v>
      </c>
    </row>
    <row r="24" customFormat="false" ht="15" hidden="false" customHeight="false" outlineLevel="0" collapsed="false">
      <c r="A24" s="6" t="s">
        <v>211</v>
      </c>
      <c r="B24" s="61" t="n">
        <f aca="false">MAX(0,-SUMPRODUCT(--(Monthly!$C$4:$BJ$4&lt;=$B$16),Monthly!$C$74:$BJ$74))</f>
        <v>0</v>
      </c>
      <c r="C24" s="74" t="n">
        <f aca="false">IF($B$28=0,0,B24/$B$28)</f>
        <v>0</v>
      </c>
    </row>
    <row r="25" customFormat="false" ht="15" hidden="false" customHeight="false" outlineLevel="0" collapsed="false">
      <c r="A25" s="6" t="s">
        <v>84</v>
      </c>
      <c r="B25" s="61" t="n">
        <f aca="false">-SUMPRODUCT(--(Monthly!$C$4:$BJ$4&lt;=$B$16),Monthly!$C$75:$BJ$75)</f>
        <v>90000</v>
      </c>
      <c r="C25" s="74" t="n">
        <f aca="false">IF($B$28=0,0,B25/$B$28)</f>
        <v>0.389749945776498</v>
      </c>
    </row>
    <row r="26" customFormat="false" ht="15" hidden="false" customHeight="false" outlineLevel="0" collapsed="false">
      <c r="A26" s="6" t="s">
        <v>212</v>
      </c>
      <c r="B26" s="61" t="n">
        <f aca="false">-SUMPRODUCT(--(Monthly!$C$4:$BJ$4&lt;=$B$16),Monthly!$C$62:$BJ$62)</f>
        <v>14666.6666666667</v>
      </c>
      <c r="C26" s="74" t="n">
        <f aca="false">IF($B$28=0,0,B26/$B$28)</f>
        <v>0.0635148059783922</v>
      </c>
    </row>
    <row r="27" customFormat="false" ht="15" hidden="false" customHeight="false" outlineLevel="0" collapsed="false">
      <c r="A27" s="6" t="s">
        <v>213</v>
      </c>
      <c r="B27" s="61" t="n">
        <f aca="false">INDEX(Monthly!$C$80:$BJ$80,$B$16)</f>
        <v>126250.620109841</v>
      </c>
      <c r="C27" s="74" t="n">
        <f aca="false">IF($B$28=0,0,B27/$B$28)</f>
        <v>0.54673524824511</v>
      </c>
    </row>
    <row r="28" customFormat="false" ht="15" hidden="false" customHeight="false" outlineLevel="0" collapsed="false">
      <c r="A28" s="4" t="s">
        <v>214</v>
      </c>
      <c r="B28" s="81" t="n">
        <f aca="false">SUM(B24:B27)</f>
        <v>230917.286776508</v>
      </c>
      <c r="C28" s="82" t="n">
        <f aca="false">IF(B28=0,0,1)</f>
        <v>1</v>
      </c>
    </row>
    <row r="29" customFormat="false" ht="15" hidden="false" customHeight="false" outlineLevel="0" collapsed="false">
      <c r="A29" s="6" t="s">
        <v>215</v>
      </c>
      <c r="B29" s="61" t="n">
        <f aca="false">B21-B28</f>
        <v>0</v>
      </c>
    </row>
  </sheetData>
  <dataValidations count="1">
    <dataValidation allowBlank="false" errorStyle="stop" operator="between" prompt="A whole number from 1 to 60" promptTitle="Period" showDropDown="false" showErrorMessage="false" showInputMessage="true" sqref="B1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1.5"/>
    <col collapsed="false" customWidth="true" hidden="false" outlineLevel="0" max="8" min="8" style="0" width="2"/>
    <col collapsed="false" customWidth="true" hidden="false" outlineLevel="0" max="24" min="9" style="0" width="9"/>
  </cols>
  <sheetData>
    <row r="1" customFormat="false" ht="21.75" hidden="false" customHeight="true" outlineLevel="0" collapsed="false">
      <c r="A1" s="16" t="s">
        <v>216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217</v>
      </c>
    </row>
    <row r="4" customFormat="false" ht="15.75" hidden="false" customHeight="true" outlineLevel="0" collapsed="false">
      <c r="A4" s="7" t="s">
        <v>218</v>
      </c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4" t="n">
        <v>4</v>
      </c>
      <c r="F5" s="34" t="n">
        <v>5</v>
      </c>
      <c r="G5" s="50" t="s">
        <v>219</v>
      </c>
    </row>
    <row r="6" customFormat="false" ht="15" hidden="false" customHeight="false" outlineLevel="0" collapsed="false">
      <c r="A6" s="38" t="s">
        <v>220</v>
      </c>
      <c r="B6" s="39" t="str">
        <f aca="false">IF(N('P&amp;L'!A5)&lt;=0,"n/a",'P&amp;L'!B5/'P&amp;L'!A5-1)</f>
        <v>n/a</v>
      </c>
      <c r="C6" s="39" t="n">
        <f aca="false">IF(N('P&amp;L'!B5)&lt;=0,"n/a",'P&amp;L'!C5/'P&amp;L'!B5-1)</f>
        <v>0.100731012658228</v>
      </c>
      <c r="D6" s="39" t="n">
        <f aca="false">IF(N('P&amp;L'!C5)&lt;=0,"n/a",'P&amp;L'!D5/'P&amp;L'!C5-1)</f>
        <v>0.0885700029612078</v>
      </c>
      <c r="E6" s="39" t="n">
        <f aca="false">IF(N('P&amp;L'!D5)&lt;=0,"n/a",'P&amp;L'!E5/'P&amp;L'!D5-1)</f>
        <v>0.0902229790727454</v>
      </c>
      <c r="F6" s="39" t="n">
        <f aca="false">IF(N('P&amp;L'!E5)&lt;=0,"n/a",'P&amp;L'!F5/'P&amp;L'!E5-1)</f>
        <v>0.0919275872987835</v>
      </c>
      <c r="G6" s="85"/>
    </row>
    <row r="7" customFormat="false" ht="15" hidden="false" customHeight="false" outlineLevel="0" collapsed="false">
      <c r="A7" s="38" t="s">
        <v>46</v>
      </c>
      <c r="B7" s="39" t="n">
        <f aca="false">IF('P&amp;L'!B5&lt;=0,"n/a",'P&amp;L'!B7/'P&amp;L'!B5)</f>
        <v>0.68262706043956</v>
      </c>
      <c r="C7" s="39" t="n">
        <f aca="false">IF('P&amp;L'!C5&lt;=0,"n/a",'P&amp;L'!C7/'P&amp;L'!C5)</f>
        <v>0.681484687950486</v>
      </c>
      <c r="D7" s="39" t="n">
        <f aca="false">IF('P&amp;L'!D5&lt;=0,"n/a",'P&amp;L'!D7/'P&amp;L'!D5)</f>
        <v>0.680303108952588</v>
      </c>
      <c r="E7" s="39" t="n">
        <f aca="false">IF('P&amp;L'!E5&lt;=0,"n/a",'P&amp;L'!E7/'P&amp;L'!E5)</f>
        <v>0.6790846223299</v>
      </c>
      <c r="F7" s="39" t="n">
        <f aca="false">IF('P&amp;L'!F5&lt;=0,"n/a",'P&amp;L'!F7/'P&amp;L'!F5)</f>
        <v>0.677831939016661</v>
      </c>
      <c r="G7" s="85"/>
    </row>
    <row r="8" customFormat="false" ht="15" hidden="false" customHeight="false" outlineLevel="0" collapsed="false">
      <c r="A8" s="38" t="s">
        <v>49</v>
      </c>
      <c r="B8" s="39" t="n">
        <f aca="false">IF('P&amp;L'!B5&lt;=0,"n/a",'P&amp;L'!B18/'P&amp;L'!B5)</f>
        <v>0.0921455406407939</v>
      </c>
      <c r="C8" s="39" t="n">
        <f aca="false">IF('P&amp;L'!C5&lt;=0,"n/a",'P&amp;L'!C18/'P&amp;L'!C5)</f>
        <v>0.111317833858582</v>
      </c>
      <c r="D8" s="39" t="n">
        <f aca="false">IF('P&amp;L'!D5&lt;=0,"n/a",'P&amp;L'!D18/'P&amp;L'!D5)</f>
        <v>0.123483074424667</v>
      </c>
      <c r="E8" s="39" t="n">
        <f aca="false">IF('P&amp;L'!E5&lt;=0,"n/a",'P&amp;L'!E18/'P&amp;L'!E5)</f>
        <v>0.13528651920645</v>
      </c>
      <c r="F8" s="39" t="n">
        <f aca="false">IF('P&amp;L'!F5&lt;=0,"n/a",'P&amp;L'!F18/'P&amp;L'!F5)</f>
        <v>0.14678249821467</v>
      </c>
      <c r="G8" s="85"/>
    </row>
    <row r="9" customFormat="false" ht="15" hidden="false" customHeight="false" outlineLevel="0" collapsed="false">
      <c r="A9" s="38" t="s">
        <v>51</v>
      </c>
      <c r="B9" s="39" t="n">
        <f aca="false">IF('P&amp;L'!B5&lt;=0,"n/a",'P&amp;L'!B25/'P&amp;L'!B5)</f>
        <v>0.0632368070500102</v>
      </c>
      <c r="C9" s="39" t="n">
        <f aca="false">IF('P&amp;L'!C5&lt;=0,"n/a",'P&amp;L'!C25/'P&amp;L'!C5)</f>
        <v>0.0793813408885021</v>
      </c>
      <c r="D9" s="39" t="n">
        <f aca="false">IF('P&amp;L'!D5&lt;=0,"n/a",'P&amp;L'!D25/'P&amp;L'!D5)</f>
        <v>0.0894208428835164</v>
      </c>
      <c r="E9" s="39" t="n">
        <f aca="false">IF('P&amp;L'!E5&lt;=0,"n/a",'P&amp;L'!E25/'P&amp;L'!E5)</f>
        <v>0.0991730855641457</v>
      </c>
      <c r="F9" s="39" t="n">
        <f aca="false">IF('P&amp;L'!F5&lt;=0,"n/a",'P&amp;L'!F25/'P&amp;L'!F5)</f>
        <v>0.108678736433246</v>
      </c>
      <c r="G9" s="85"/>
    </row>
    <row r="10" customFormat="false" ht="15" hidden="false" customHeight="false" outlineLevel="0" collapsed="false">
      <c r="A10" s="38" t="s">
        <v>221</v>
      </c>
      <c r="B10" s="39" t="n">
        <f aca="false">IF('P&amp;L'!B5&lt;=0,"n/a",-SUMIF(Headcount!$C$5:$BJ$5,B$5,Headcount!$C$17:$BJ$17)/'P&amp;L'!B5)</f>
        <v>0.376298279779292</v>
      </c>
      <c r="C10" s="39" t="n">
        <f aca="false">IF('P&amp;L'!C5&lt;=0,"n/a",-SUMIF(Headcount!$C$5:$BJ$5,C$5,Headcount!$C$17:$BJ$17)/'P&amp;L'!C5)</f>
        <v>0.369537899668193</v>
      </c>
      <c r="D10" s="39" t="n">
        <f aca="false">IF('P&amp;L'!D5&lt;=0,"n/a",-SUMIF(Headcount!$C$5:$BJ$5,D$5,Headcount!$C$17:$BJ$17)/'P&amp;L'!D5)</f>
        <v>0.367126649437249</v>
      </c>
      <c r="E10" s="39" t="n">
        <f aca="false">IF('P&amp;L'!E5&lt;=0,"n/a",-SUMIF(Headcount!$C$5:$BJ$5,E$5,Headcount!$C$17:$BJ$17)/'P&amp;L'!E5)</f>
        <v>0.364343726791712</v>
      </c>
      <c r="F10" s="39" t="n">
        <f aca="false">IF('P&amp;L'!F5&lt;=0,"n/a",-SUMIF(Headcount!$C$5:$BJ$5,F$5,Headcount!$C$17:$BJ$17)/'P&amp;L'!F5)</f>
        <v>0.361175127701409</v>
      </c>
      <c r="G10" s="85"/>
    </row>
    <row r="11" customFormat="false" ht="15" hidden="false" customHeight="false" outlineLevel="0" collapsed="false">
      <c r="A11" s="38" t="s">
        <v>222</v>
      </c>
      <c r="B11" s="39" t="n">
        <f aca="false">IF('P&amp;L'!B5&lt;=0,"n/a",-'P&amp;L'!B14/'P&amp;L'!B5)</f>
        <v>0.02</v>
      </c>
      <c r="C11" s="39" t="n">
        <f aca="false">IF('P&amp;L'!C5&lt;=0,"n/a",-'P&amp;L'!C14/'P&amp;L'!C5)</f>
        <v>0.02</v>
      </c>
      <c r="D11" s="39" t="n">
        <f aca="false">IF('P&amp;L'!D5&lt;=0,"n/a",-'P&amp;L'!D14/'P&amp;L'!D5)</f>
        <v>0.02</v>
      </c>
      <c r="E11" s="39" t="n">
        <f aca="false">IF('P&amp;L'!E5&lt;=0,"n/a",-'P&amp;L'!E14/'P&amp;L'!E5)</f>
        <v>0.02</v>
      </c>
      <c r="F11" s="39" t="n">
        <f aca="false">IF('P&amp;L'!F5&lt;=0,"n/a",-'P&amp;L'!F14/'P&amp;L'!F5)</f>
        <v>0.02</v>
      </c>
      <c r="G11" s="85"/>
    </row>
    <row r="12" customFormat="false" ht="15" hidden="false" customHeight="false" outlineLevel="0" collapsed="false">
      <c r="A12" s="38" t="s">
        <v>223</v>
      </c>
      <c r="B12" s="39" t="n">
        <f aca="false">IF('P&amp;L'!B5&lt;=0,"n/a",-'P&amp;L'!B17/'P&amp;L'!B5)</f>
        <v>0.590481519798767</v>
      </c>
      <c r="C12" s="39" t="n">
        <f aca="false">IF('P&amp;L'!C5&lt;=0,"n/a",-'P&amp;L'!C17/'P&amp;L'!C5)</f>
        <v>0.570166854091904</v>
      </c>
      <c r="D12" s="39" t="n">
        <f aca="false">IF('P&amp;L'!D5&lt;=0,"n/a",-'P&amp;L'!D17/'P&amp;L'!D5)</f>
        <v>0.556820034527921</v>
      </c>
      <c r="E12" s="39" t="n">
        <f aca="false">IF('P&amp;L'!E5&lt;=0,"n/a",-'P&amp;L'!E17/'P&amp;L'!E5)</f>
        <v>0.54379810312345</v>
      </c>
      <c r="F12" s="39" t="n">
        <f aca="false">IF('P&amp;L'!F5&lt;=0,"n/a",-'P&amp;L'!F17/'P&amp;L'!F5)</f>
        <v>0.531049440801991</v>
      </c>
      <c r="G12" s="85"/>
    </row>
    <row r="13" customFormat="false" ht="15" hidden="false" customHeight="false" outlineLevel="0" collapsed="false">
      <c r="A13" s="6" t="s">
        <v>224</v>
      </c>
      <c r="B13" s="86" t="n">
        <f aca="false">IF(('Balance Sheet'!B12-'Balance Sheet'!B11)&lt;=0,"n/a",('Balance Sheet'!B5+'Balance Sheet'!B6+'Balance Sheet'!B7)/('Balance Sheet'!B12-'Balance Sheet'!B11))</f>
        <v>6.14068711716815</v>
      </c>
      <c r="C13" s="86" t="n">
        <f aca="false">IF(('Balance Sheet'!C12-'Balance Sheet'!C11)&lt;=0,"n/a",('Balance Sheet'!C5+'Balance Sheet'!C6+'Balance Sheet'!C7)/('Balance Sheet'!C12-'Balance Sheet'!C11))</f>
        <v>9.61950488843064</v>
      </c>
      <c r="D13" s="86" t="n">
        <f aca="false">IF(('Balance Sheet'!D12-'Balance Sheet'!D11)&lt;=0,"n/a",('Balance Sheet'!D5+'Balance Sheet'!D6+'Balance Sheet'!D7)/('Balance Sheet'!D12-'Balance Sheet'!D11))</f>
        <v>13.4633442723538</v>
      </c>
      <c r="E13" s="86" t="n">
        <f aca="false">IF(('Balance Sheet'!E12-'Balance Sheet'!E11)&lt;=0,"n/a",('Balance Sheet'!E5+'Balance Sheet'!E6+'Balance Sheet'!E7)/('Balance Sheet'!E12-'Balance Sheet'!E11))</f>
        <v>17.6030661474379</v>
      </c>
      <c r="F13" s="86" t="n">
        <f aca="false">IF(('Balance Sheet'!F12-'Balance Sheet'!F11)&lt;=0,"n/a",('Balance Sheet'!F5+'Balance Sheet'!F6+'Balance Sheet'!F7)/('Balance Sheet'!F12-'Balance Sheet'!F11))</f>
        <v>21.9767866159443</v>
      </c>
      <c r="G13" s="87"/>
    </row>
    <row r="14" customFormat="false" ht="15" hidden="false" customHeight="false" outlineLevel="0" collapsed="false">
      <c r="A14" s="6" t="s">
        <v>225</v>
      </c>
      <c r="B14" s="86" t="n">
        <f aca="false">IF('Balance Sheet'!B15&lt;=0,"n/a",'Balance Sheet'!B11/'Balance Sheet'!B15)</f>
        <v>0.408961363821247</v>
      </c>
      <c r="C14" s="86" t="n">
        <f aca="false">IF('Balance Sheet'!C15&lt;=0,"n/a",'Balance Sheet'!C11/'Balance Sheet'!C15)</f>
        <v>0.165776258816657</v>
      </c>
      <c r="D14" s="86" t="n">
        <f aca="false">IF('Balance Sheet'!D15&lt;=0,"n/a",'Balance Sheet'!D11/'Balance Sheet'!D15)</f>
        <v>0.0714372744464458</v>
      </c>
      <c r="E14" s="86" t="n">
        <f aca="false">IF('Balance Sheet'!E15&lt;=0,"n/a",'Balance Sheet'!E11/'Balance Sheet'!E15)</f>
        <v>0.0258330273175208</v>
      </c>
      <c r="F14" s="86" t="n">
        <f aca="false">IF('Balance Sheet'!F15&lt;=0,"n/a",'Balance Sheet'!F11/'Balance Sheet'!F15)</f>
        <v>0.00145637134614991</v>
      </c>
      <c r="G14" s="87"/>
    </row>
    <row r="15" customFormat="false" ht="15" hidden="false" customHeight="false" outlineLevel="0" collapsed="false">
      <c r="A15" s="38" t="s">
        <v>226</v>
      </c>
      <c r="B15" s="39" t="n">
        <f aca="false">IF('Balance Sheet'!B9&lt;=0,"n/a",'P&amp;L'!B25/'Balance Sheet'!B9)</f>
        <v>0.392939484519652</v>
      </c>
      <c r="C15" s="39" t="n">
        <f aca="false">IF('Balance Sheet'!C9&lt;=0,"n/a",'P&amp;L'!C25/'Balance Sheet'!C9)</f>
        <v>0.36443696566142</v>
      </c>
      <c r="D15" s="39" t="n">
        <f aca="false">IF('Balance Sheet'!D9&lt;=0,"n/a",'P&amp;L'!D25/'Balance Sheet'!D9)</f>
        <v>0.31650635821212</v>
      </c>
      <c r="E15" s="39" t="n">
        <f aca="false">IF('Balance Sheet'!E9&lt;=0,"n/a",'P&amp;L'!E25/'Balance Sheet'!E9)</f>
        <v>0.281701313336228</v>
      </c>
      <c r="F15" s="39" t="n">
        <f aca="false">IF('Balance Sheet'!F9&lt;=0,"n/a",'P&amp;L'!F25/'Balance Sheet'!F9)</f>
        <v>0.255411584147815</v>
      </c>
      <c r="G15" s="85"/>
    </row>
    <row r="16" customFormat="false" ht="15" hidden="false" customHeight="false" outlineLevel="0" collapsed="false">
      <c r="A16" s="38" t="s">
        <v>227</v>
      </c>
      <c r="B16" s="39" t="n">
        <f aca="false">IF('Balance Sheet'!B15&lt;=0,"n/a",'P&amp;L'!B25/'Balance Sheet'!B15)</f>
        <v>0.624423237307018</v>
      </c>
      <c r="C16" s="39" t="n">
        <f aca="false">IF('Balance Sheet'!C15&lt;=0,"n/a",'P&amp;L'!C25/'Balance Sheet'!C15)</f>
        <v>0.463172926911641</v>
      </c>
      <c r="D16" s="39" t="n">
        <f aca="false">IF('Balance Sheet'!D15&lt;=0,"n/a",'P&amp;L'!D25/'Balance Sheet'!D15)</f>
        <v>0.362229749088072</v>
      </c>
      <c r="E16" s="39" t="n">
        <f aca="false">IF('Balance Sheet'!E15&lt;=0,"n/a",'P&amp;L'!E25/'Balance Sheet'!E15)</f>
        <v>0.30458014989384</v>
      </c>
      <c r="F16" s="39" t="n">
        <f aca="false">IF('Balance Sheet'!F15&lt;=0,"n/a",'P&amp;L'!F25/'Balance Sheet'!F15)</f>
        <v>0.267107673164267</v>
      </c>
      <c r="G16" s="85"/>
    </row>
    <row r="18" customFormat="false" ht="15.75" hidden="false" customHeight="true" outlineLevel="0" collapsed="false">
      <c r="A18" s="7" t="s">
        <v>228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  <c r="E19" s="34" t="n">
        <v>4</v>
      </c>
      <c r="F19" s="34" t="n">
        <v>5</v>
      </c>
    </row>
    <row r="20" customFormat="false" ht="15" hidden="false" customHeight="false" outlineLevel="0" collapsed="false">
      <c r="A20" s="49" t="s">
        <v>51</v>
      </c>
      <c r="B20" s="39" t="n">
        <f aca="false">IF('P&amp;L'!B5&lt;=0,"n/a",'P&amp;L'!B25/'P&amp;L'!B5)</f>
        <v>0.0632368070500102</v>
      </c>
      <c r="C20" s="39" t="n">
        <f aca="false">IF('P&amp;L'!C5&lt;=0,"n/a",'P&amp;L'!C25/'P&amp;L'!C5)</f>
        <v>0.0793813408885021</v>
      </c>
      <c r="D20" s="39" t="n">
        <f aca="false">IF('P&amp;L'!D5&lt;=0,"n/a",'P&amp;L'!D25/'P&amp;L'!D5)</f>
        <v>0.0894208428835164</v>
      </c>
      <c r="E20" s="39" t="n">
        <f aca="false">IF('P&amp;L'!E5&lt;=0,"n/a",'P&amp;L'!E25/'P&amp;L'!E5)</f>
        <v>0.0991730855641457</v>
      </c>
      <c r="F20" s="39" t="n">
        <f aca="false">IF('P&amp;L'!F5&lt;=0,"n/a",'P&amp;L'!F25/'P&amp;L'!F5)</f>
        <v>0.108678736433246</v>
      </c>
    </row>
    <row r="21" customFormat="false" ht="15" hidden="false" customHeight="false" outlineLevel="0" collapsed="false">
      <c r="A21" s="49" t="s">
        <v>229</v>
      </c>
      <c r="B21" s="86" t="n">
        <f aca="false">IF('Balance Sheet'!B9&lt;=0,"n/a",'P&amp;L'!B5/'Balance Sheet'!B9)</f>
        <v>6.21377806455187</v>
      </c>
      <c r="C21" s="86" t="n">
        <f aca="false">IF('Balance Sheet'!C9&lt;=0,"n/a",'P&amp;L'!C5/'Balance Sheet'!C9)</f>
        <v>4.59096510064377</v>
      </c>
      <c r="D21" s="86" t="n">
        <f aca="false">IF('Balance Sheet'!D9&lt;=0,"n/a",'P&amp;L'!D5/'Balance Sheet'!D9)</f>
        <v>3.53951436830466</v>
      </c>
      <c r="E21" s="86" t="n">
        <f aca="false">IF('Balance Sheet'!E9&lt;=0,"n/a",'P&amp;L'!E5/'Balance Sheet'!E9)</f>
        <v>2.84050165156979</v>
      </c>
      <c r="F21" s="86" t="n">
        <f aca="false">IF('Balance Sheet'!F9&lt;=0,"n/a",'P&amp;L'!F5/'Balance Sheet'!F9)</f>
        <v>2.35015231617731</v>
      </c>
    </row>
    <row r="22" customFormat="false" ht="15" hidden="false" customHeight="false" outlineLevel="0" collapsed="false">
      <c r="A22" s="49" t="s">
        <v>230</v>
      </c>
      <c r="B22" s="86" t="n">
        <f aca="false">IF('Balance Sheet'!B15&lt;=0,"n/a",'Balance Sheet'!B9/'Balance Sheet'!B15)</f>
        <v>1.58910789550799</v>
      </c>
      <c r="C22" s="86" t="n">
        <f aca="false">IF('Balance Sheet'!C15&lt;=0,"n/a",'Balance Sheet'!C9/'Balance Sheet'!C15)</f>
        <v>1.27092740460898</v>
      </c>
      <c r="D22" s="86" t="n">
        <f aca="false">IF('Balance Sheet'!D15&lt;=0,"n/a",'Balance Sheet'!D9/'Balance Sheet'!D15)</f>
        <v>1.14446278783856</v>
      </c>
      <c r="E22" s="86" t="n">
        <f aca="false">IF('Balance Sheet'!E15&lt;=0,"n/a",'Balance Sheet'!E9/'Balance Sheet'!E15)</f>
        <v>1.0812166485369</v>
      </c>
      <c r="F22" s="86" t="n">
        <f aca="false">IF('Balance Sheet'!F15&lt;=0,"n/a",'Balance Sheet'!F9/'Balance Sheet'!F15)</f>
        <v>1.04579310314164</v>
      </c>
    </row>
    <row r="23" customFormat="false" ht="15" hidden="false" customHeight="false" outlineLevel="0" collapsed="false">
      <c r="A23" s="40" t="s">
        <v>231</v>
      </c>
      <c r="B23" s="88" t="n">
        <f aca="false">IF(AND(ISNUMBER(B20),ISNUMBER(B21),ISNUMBER(B22)),B20*B21*B22,"n/a")</f>
        <v>0.624423237307019</v>
      </c>
      <c r="C23" s="88" t="n">
        <f aca="false">IF(AND(ISNUMBER(C20),ISNUMBER(C21),ISNUMBER(C22)),C20*C21*C22,"n/a")</f>
        <v>0.463172926911641</v>
      </c>
      <c r="D23" s="88" t="n">
        <f aca="false">IF(AND(ISNUMBER(D20),ISNUMBER(D21),ISNUMBER(D22)),D20*D21*D22,"n/a")</f>
        <v>0.362229749088072</v>
      </c>
      <c r="E23" s="88" t="n">
        <f aca="false">IF(AND(ISNUMBER(E20),ISNUMBER(E21),ISNUMBER(E22)),E20*E21*E22,"n/a")</f>
        <v>0.30458014989384</v>
      </c>
      <c r="F23" s="88" t="n">
        <f aca="false">IF(AND(ISNUMBER(F20),ISNUMBER(F21),ISNUMBER(F22)),F20*F21*F22,"n/a")</f>
        <v>0.267107673164267</v>
      </c>
    </row>
    <row r="24" customFormat="false" ht="15" hidden="false" customHeight="false" outlineLevel="0" collapsed="false">
      <c r="A24" s="21" t="s">
        <v>232</v>
      </c>
      <c r="B24" s="39" t="n">
        <f aca="false">IF(AND(ISNUMBER(B23),ISNUMBER(B16)),B23-B16,IF(ISNUMBER(B23),1,IF(AND(ISNUMBER(B16),ISNUMBER(B20),ISNUMBER(B21)),1,0)))</f>
        <v>0</v>
      </c>
      <c r="C24" s="39" t="n">
        <f aca="false">IF(AND(ISNUMBER(C23),ISNUMBER(C16)),C23-C16,IF(ISNUMBER(C23),1,IF(AND(ISNUMBER(C16),ISNUMBER(C20),ISNUMBER(C21)),1,0)))</f>
        <v>0</v>
      </c>
      <c r="D24" s="39" t="n">
        <f aca="false">IF(AND(ISNUMBER(D23),ISNUMBER(D16)),D23-D16,IF(ISNUMBER(D23),1,IF(AND(ISNUMBER(D16),ISNUMBER(D20),ISNUMBER(D21)),1,0)))</f>
        <v>0</v>
      </c>
      <c r="E24" s="39" t="n">
        <f aca="false">IF(AND(ISNUMBER(E23),ISNUMBER(E16)),E23-E16,IF(ISNUMBER(E23),1,IF(AND(ISNUMBER(E16),ISNUMBER(E20),ISNUMBER(E21)),1,0)))</f>
        <v>0</v>
      </c>
      <c r="F24" s="39" t="n">
        <f aca="false">IF(AND(ISNUMBER(F23),ISNUMBER(F16)),F23-F16,IF(ISNUMBER(F23),1,IF(AND(ISNUMBER(F16),ISNUMBER(F20),ISNUMBER(F21)),1,0)))</f>
        <v>0</v>
      </c>
    </row>
    <row r="26" customFormat="false" ht="15.75" hidden="false" customHeight="true" outlineLevel="0" collapsed="false">
      <c r="A26" s="7" t="s">
        <v>233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72" t="s">
        <v>155</v>
      </c>
      <c r="B27" s="72" t="n">
        <v>1</v>
      </c>
      <c r="C27" s="72" t="n">
        <v>2</v>
      </c>
      <c r="D27" s="72" t="n">
        <v>3</v>
      </c>
      <c r="E27" s="72" t="n">
        <v>4</v>
      </c>
      <c r="F27" s="72" t="n">
        <v>5</v>
      </c>
    </row>
    <row r="28" customFormat="false" ht="15" hidden="false" customHeight="false" outlineLevel="0" collapsed="false">
      <c r="A28" s="33"/>
      <c r="B28" s="50" t="s">
        <v>156</v>
      </c>
      <c r="C28" s="50" t="s">
        <v>157</v>
      </c>
      <c r="D28" s="50" t="s">
        <v>158</v>
      </c>
      <c r="E28" s="50" t="s">
        <v>159</v>
      </c>
      <c r="F28" s="50" t="s">
        <v>160</v>
      </c>
      <c r="G28" s="50" t="s">
        <v>219</v>
      </c>
    </row>
    <row r="29" customFormat="false" ht="15" hidden="false" customHeight="false" outlineLevel="0" collapsed="false">
      <c r="A29" s="6" t="s">
        <v>234</v>
      </c>
      <c r="B29" s="89" t="n">
        <f aca="false">SUMIF(Monthly!$C$5:$BJ$5,B$27,Monthly!$C$11:$BJ$11)</f>
        <v>312</v>
      </c>
      <c r="C29" s="89" t="n">
        <f aca="false">SUMIF(Monthly!$C$5:$BJ$5,C$27,Monthly!$C$11:$BJ$11)</f>
        <v>312</v>
      </c>
      <c r="D29" s="89" t="n">
        <f aca="false">SUMIF(Monthly!$C$5:$BJ$5,D$27,Monthly!$C$11:$BJ$11)</f>
        <v>312</v>
      </c>
      <c r="E29" s="89" t="n">
        <f aca="false">SUMIF(Monthly!$C$5:$BJ$5,E$27,Monthly!$C$11:$BJ$11)</f>
        <v>312</v>
      </c>
      <c r="F29" s="89" t="n">
        <f aca="false">SUMIF(Monthly!$C$5:$BJ$5,F$27,Monthly!$C$11:$BJ$11)</f>
        <v>312</v>
      </c>
      <c r="G29" s="90"/>
    </row>
    <row r="30" customFormat="false" ht="15" hidden="false" customHeight="false" outlineLevel="0" collapsed="false">
      <c r="A30" s="4" t="s">
        <v>235</v>
      </c>
      <c r="B30" s="91" t="n">
        <f aca="false">SUMIF(Monthly!$C$5:$BJ$5,B$27,Monthly!$C$12:$BJ$12)</f>
        <v>98592</v>
      </c>
      <c r="C30" s="91" t="n">
        <f aca="false">SUMIF(Monthly!$C$5:$BJ$5,C$27,Monthly!$C$12:$BJ$12)</f>
        <v>102835.2</v>
      </c>
      <c r="D30" s="91" t="n">
        <f aca="false">SUMIF(Monthly!$C$5:$BJ$5,D$27,Monthly!$C$12:$BJ$12)</f>
        <v>105920.256</v>
      </c>
      <c r="E30" s="91" t="n">
        <f aca="false">SUMIF(Monthly!$C$5:$BJ$5,E$27,Monthly!$C$12:$BJ$12)</f>
        <v>109097.86368</v>
      </c>
      <c r="F30" s="91" t="n">
        <f aca="false">SUMIF(Monthly!$C$5:$BJ$5,F$27,Monthly!$C$12:$BJ$12)</f>
        <v>112370.7995904</v>
      </c>
      <c r="G30" s="92"/>
    </row>
    <row r="31" customFormat="false" ht="15" hidden="false" customHeight="false" outlineLevel="0" collapsed="false">
      <c r="A31" s="6" t="s">
        <v>60</v>
      </c>
      <c r="B31" s="93" t="n">
        <f aca="false">IF(B29=0,0,B30/B29)</f>
        <v>316</v>
      </c>
      <c r="C31" s="93" t="n">
        <f aca="false">IF(C29=0,0,C30/C29)</f>
        <v>329.6</v>
      </c>
      <c r="D31" s="93" t="n">
        <f aca="false">IF(D29=0,0,D30/D29)</f>
        <v>339.488</v>
      </c>
      <c r="E31" s="93" t="n">
        <f aca="false">IF(E29=0,0,E30/E29)</f>
        <v>349.67264</v>
      </c>
      <c r="F31" s="93" t="n">
        <f aca="false">IF(F29=0,0,F30/F29)</f>
        <v>360.1628192</v>
      </c>
      <c r="G31" s="92"/>
    </row>
    <row r="32" customFormat="false" ht="15" hidden="false" customHeight="false" outlineLevel="0" collapsed="false">
      <c r="A32" s="6" t="s">
        <v>236</v>
      </c>
      <c r="B32" s="94" t="n">
        <f aca="false">IF(B30=0,0,B35/B30)</f>
        <v>11.5</v>
      </c>
      <c r="C32" s="94" t="n">
        <f aca="false">IF(C30=0,0,C35/C30)</f>
        <v>11.845</v>
      </c>
      <c r="D32" s="94" t="n">
        <f aca="false">IF(D30=0,0,D35/D30)</f>
        <v>12.20035</v>
      </c>
      <c r="E32" s="94" t="n">
        <f aca="false">IF(E30=0,0,E35/E30)</f>
        <v>12.5663605</v>
      </c>
      <c r="F32" s="94" t="n">
        <f aca="false">IF(F30=0,0,F35/F30)</f>
        <v>12.943351315</v>
      </c>
      <c r="G32" s="95"/>
    </row>
    <row r="33" customFormat="false" ht="15" hidden="false" customHeight="false" outlineLevel="0" collapsed="false">
      <c r="A33" s="6" t="s">
        <v>237</v>
      </c>
      <c r="B33" s="89" t="n">
        <f aca="false">INDEX(Monthly!$C$17:$BJ$17,B$27*12)</f>
        <v>16</v>
      </c>
      <c r="C33" s="89" t="n">
        <f aca="false">INDEX(Monthly!$C$17:$BJ$17,C$27*12)</f>
        <v>17.92</v>
      </c>
      <c r="D33" s="89" t="n">
        <f aca="false">INDEX(Monthly!$C$17:$BJ$17,D$27*12)</f>
        <v>20.0704</v>
      </c>
      <c r="E33" s="89" t="n">
        <f aca="false">INDEX(Monthly!$C$17:$BJ$17,E$27*12)</f>
        <v>22.478848</v>
      </c>
      <c r="F33" s="89" t="n">
        <f aca="false">INDEX(Monthly!$C$17:$BJ$17,F$27*12)</f>
        <v>25.17630976</v>
      </c>
      <c r="G33" s="90"/>
    </row>
    <row r="34" customFormat="false" ht="15" hidden="false" customHeight="false" outlineLevel="0" collapsed="false">
      <c r="A34" s="4" t="s">
        <v>44</v>
      </c>
      <c r="B34" s="96" t="n">
        <f aca="false">SUMIF(Monthly!$C$5:$BJ$5,B$27,Monthly!$C$22:$BJ$22)</f>
        <v>1577472</v>
      </c>
      <c r="C34" s="96" t="n">
        <f aca="false">SUMIF(Monthly!$C$5:$BJ$5,C$27,Monthly!$C$22:$BJ$22)</f>
        <v>1736372.352</v>
      </c>
      <c r="D34" s="96" t="n">
        <f aca="false">SUMIF(Monthly!$C$5:$BJ$5,D$27,Monthly!$C$22:$BJ$22)</f>
        <v>1890162.8563584</v>
      </c>
      <c r="E34" s="96" t="n">
        <f aca="false">SUMIF(Monthly!$C$5:$BJ$5,E$27,Monthly!$C$22:$BJ$22)</f>
        <v>2060698.9801917</v>
      </c>
      <c r="F34" s="96" t="n">
        <f aca="false">SUMIF(Monthly!$C$5:$BJ$5,F$27,Monthly!$C$22:$BJ$22)</f>
        <v>2250134.06558979</v>
      </c>
      <c r="G34" s="97"/>
    </row>
    <row r="35" customFormat="false" ht="15" hidden="false" customHeight="false" outlineLevel="0" collapsed="false">
      <c r="A35" s="6" t="s">
        <v>58</v>
      </c>
      <c r="B35" s="35" t="n">
        <f aca="false">SUMIF(Monthly!$C$5:$BJ$5,B$27,Monthly!$C$14:$BJ$14)</f>
        <v>1133808</v>
      </c>
      <c r="C35" s="35" t="n">
        <f aca="false">SUMIF(Monthly!$C$5:$BJ$5,C$27,Monthly!$C$14:$BJ$14)</f>
        <v>1218082.944</v>
      </c>
      <c r="D35" s="35" t="n">
        <f aca="false">SUMIF(Monthly!$C$5:$BJ$5,D$27,Monthly!$C$14:$BJ$14)</f>
        <v>1292264.1952896</v>
      </c>
      <c r="E35" s="35" t="n">
        <f aca="false">SUMIF(Monthly!$C$5:$BJ$5,E$27,Monthly!$C$14:$BJ$14)</f>
        <v>1370963.08478274</v>
      </c>
      <c r="F35" s="35" t="n">
        <f aca="false">SUMIF(Monthly!$C$5:$BJ$5,F$27,Monthly!$C$14:$BJ$14)</f>
        <v>1454454.73664601</v>
      </c>
      <c r="G35" s="97"/>
    </row>
    <row r="36" customFormat="false" ht="15" hidden="false" customHeight="false" outlineLevel="0" collapsed="false">
      <c r="A36" s="6" t="s">
        <v>59</v>
      </c>
      <c r="B36" s="35" t="n">
        <f aca="false">SUMIF(Monthly!$C$5:$BJ$5,B$27,Monthly!$C$19:$BJ$19)</f>
        <v>443664</v>
      </c>
      <c r="C36" s="35" t="n">
        <f aca="false">SUMIF(Monthly!$C$5:$BJ$5,C$27,Monthly!$C$19:$BJ$19)</f>
        <v>518289.408</v>
      </c>
      <c r="D36" s="35" t="n">
        <f aca="false">SUMIF(Monthly!$C$5:$BJ$5,D$27,Monthly!$C$19:$BJ$19)</f>
        <v>597898.6610688</v>
      </c>
      <c r="E36" s="35" t="n">
        <f aca="false">SUMIF(Monthly!$C$5:$BJ$5,E$27,Monthly!$C$19:$BJ$19)</f>
        <v>689735.895408968</v>
      </c>
      <c r="F36" s="35" t="n">
        <f aca="false">SUMIF(Monthly!$C$5:$BJ$5,F$27,Monthly!$C$19:$BJ$19)</f>
        <v>795679.328943786</v>
      </c>
      <c r="G36" s="97"/>
    </row>
    <row r="37" customFormat="false" ht="15" hidden="false" customHeight="false" outlineLevel="0" collapsed="false">
      <c r="A37" s="38" t="s">
        <v>238</v>
      </c>
      <c r="B37" s="98" t="n">
        <f aca="false">IF(B34=0,0,B36/B34)</f>
        <v>0.28125</v>
      </c>
      <c r="C37" s="98" t="n">
        <f aca="false">IF(C34=0,0,C36/C34)</f>
        <v>0.298489783831803</v>
      </c>
      <c r="D37" s="98" t="n">
        <f aca="false">IF(D34=0,0,D36/D34)</f>
        <v>0.316321241345688</v>
      </c>
      <c r="E37" s="98" t="n">
        <f aca="false">IF(E34=0,0,E36/E34)</f>
        <v>0.334709679598523</v>
      </c>
      <c r="F37" s="98" t="n">
        <f aca="false">IF(F34=0,0,F36/F34)</f>
        <v>0.353614187310758</v>
      </c>
      <c r="G37" s="99"/>
    </row>
    <row r="38" customFormat="false" ht="15" hidden="false" customHeight="false" outlineLevel="0" collapsed="false">
      <c r="A38" s="6" t="s">
        <v>239</v>
      </c>
      <c r="B38" s="100" t="n">
        <f aca="false">IF(B29=0,0,B35/B29)</f>
        <v>3634</v>
      </c>
      <c r="C38" s="100" t="n">
        <f aca="false">IF(C29=0,0,C35/C29)</f>
        <v>3904.112</v>
      </c>
      <c r="D38" s="100" t="n">
        <f aca="false">IF(D29=0,0,D35/D29)</f>
        <v>4141.8724208</v>
      </c>
      <c r="E38" s="100" t="n">
        <f aca="false">IF(E29=0,0,E35/E29)</f>
        <v>4394.11245122672</v>
      </c>
      <c r="F38" s="100" t="n">
        <f aca="false">IF(F29=0,0,F35/F29)</f>
        <v>4661.71389950643</v>
      </c>
      <c r="G38" s="101"/>
    </row>
    <row r="39" customFormat="false" ht="15" hidden="false" customHeight="false" outlineLevel="0" collapsed="false">
      <c r="A39" s="6" t="s">
        <v>240</v>
      </c>
      <c r="B39" s="35" t="n">
        <f aca="false">-SUMIF(Monthly!$C$5:$BJ$5,B$27,Monthly!$C$26:$BJ$26)</f>
        <v>26912.3657142857</v>
      </c>
      <c r="C39" s="35" t="n">
        <f aca="false">-SUMIF(Monthly!$C$5:$BJ$5,C$27,Monthly!$C$26:$BJ$26)</f>
        <v>28912.7380114286</v>
      </c>
      <c r="D39" s="35" t="n">
        <f aca="false">-SUMIF(Monthly!$C$5:$BJ$5,D$27,Monthly!$C$26:$BJ$26)</f>
        <v>30673.5237563246</v>
      </c>
      <c r="E39" s="35" t="n">
        <f aca="false">-SUMIF(Monthly!$C$5:$BJ$5,E$27,Monthly!$C$26:$BJ$26)</f>
        <v>32541.5413530847</v>
      </c>
      <c r="F39" s="35" t="n">
        <f aca="false">-SUMIF(Monthly!$C$5:$BJ$5,F$27,Monthly!$C$26:$BJ$26)</f>
        <v>34523.3212214876</v>
      </c>
      <c r="G39" s="97"/>
    </row>
    <row r="40" customFormat="false" ht="15" hidden="false" customHeight="false" outlineLevel="0" collapsed="false">
      <c r="A40" s="38" t="s">
        <v>241</v>
      </c>
      <c r="B40" s="98" t="n">
        <f aca="false">IF(B35=0,0,B39/B35)</f>
        <v>0.0237362637362637</v>
      </c>
      <c r="C40" s="98" t="n">
        <f aca="false">IF(C35=0,0,C39/C35)</f>
        <v>0.0237362637362637</v>
      </c>
      <c r="D40" s="98" t="n">
        <f aca="false">IF(D35=0,0,D39/D35)</f>
        <v>0.0237362637362637</v>
      </c>
      <c r="E40" s="98" t="n">
        <f aca="false">IF(E35=0,0,E39/E35)</f>
        <v>0.0237362637362637</v>
      </c>
      <c r="F40" s="98" t="n">
        <f aca="false">IF(F35=0,0,F39/F35)</f>
        <v>0.0237362637362637</v>
      </c>
      <c r="G40" s="99"/>
    </row>
    <row r="41" customFormat="false" ht="15" hidden="false" customHeight="false" outlineLevel="0" collapsed="false">
      <c r="A41" s="6" t="s">
        <v>242</v>
      </c>
      <c r="B41" s="35" t="n">
        <f aca="false">-SUMIF(Monthly!$C$5:$BJ$5,B$27,Monthly!$C$35:$BJ$35)</f>
        <v>36972</v>
      </c>
      <c r="C41" s="35" t="n">
        <f aca="false">-SUMIF(Monthly!$C$5:$BJ$5,C$27,Monthly!$C$35:$BJ$35)</f>
        <v>41932.8</v>
      </c>
      <c r="D41" s="35" t="n">
        <f aca="false">-SUMIF(Monthly!$C$5:$BJ$5,D$27,Monthly!$C$35:$BJ$35)</f>
        <v>46964.736</v>
      </c>
      <c r="E41" s="35" t="n">
        <f aca="false">-SUMIF(Monthly!$C$5:$BJ$5,E$27,Monthly!$C$35:$BJ$35)</f>
        <v>52600.50432</v>
      </c>
      <c r="F41" s="35" t="n">
        <f aca="false">-SUMIF(Monthly!$C$5:$BJ$5,F$27,Monthly!$C$35:$BJ$35)</f>
        <v>58912.5648384</v>
      </c>
      <c r="G41" s="97"/>
    </row>
    <row r="42" customFormat="false" ht="15" hidden="false" customHeight="false" outlineLevel="0" collapsed="false">
      <c r="A42" s="6" t="s">
        <v>45</v>
      </c>
      <c r="B42" s="35" t="n">
        <f aca="false">SUMIF(Monthly!$C$5:$BJ$5,B$27,Monthly!$C$29:$BJ$29)</f>
        <v>1076825.07428571</v>
      </c>
      <c r="C42" s="35" t="n">
        <f aca="false">SUMIF(Monthly!$C$5:$BJ$5,C$27,Monthly!$C$29:$BJ$29)</f>
        <v>1183311.17046857</v>
      </c>
      <c r="D42" s="35" t="n">
        <f aca="false">SUMIF(Monthly!$C$5:$BJ$5,D$27,Monthly!$C$29:$BJ$29)</f>
        <v>1285883.66760732</v>
      </c>
      <c r="E42" s="35" t="n">
        <f aca="false">SUMIF(Monthly!$C$5:$BJ$5,E$27,Monthly!$C$29:$BJ$29)</f>
        <v>1399388.98869909</v>
      </c>
      <c r="F42" s="35" t="n">
        <f aca="false">SUMIF(Monthly!$C$5:$BJ$5,F$27,Monthly!$C$29:$BJ$29)</f>
        <v>1525212.73672617</v>
      </c>
      <c r="G42" s="97"/>
    </row>
    <row r="43" customFormat="false" ht="15" hidden="false" customHeight="false" outlineLevel="0" collapsed="false">
      <c r="A43" s="38" t="s">
        <v>46</v>
      </c>
      <c r="B43" s="98" t="n">
        <f aca="false">IF(B34=0,0,B42/B34)</f>
        <v>0.68262706043956</v>
      </c>
      <c r="C43" s="98" t="n">
        <f aca="false">IF(C34=0,0,C42/C34)</f>
        <v>0.681484687950486</v>
      </c>
      <c r="D43" s="98" t="n">
        <f aca="false">IF(D34=0,0,D42/D34)</f>
        <v>0.680303108952588</v>
      </c>
      <c r="E43" s="98" t="n">
        <f aca="false">IF(E34=0,0,E42/E34)</f>
        <v>0.6790846223299</v>
      </c>
      <c r="F43" s="98" t="n">
        <f aca="false">IF(F34=0,0,F42/F34)</f>
        <v>0.677831939016661</v>
      </c>
      <c r="G43" s="99"/>
    </row>
    <row r="44" customFormat="false" ht="15" hidden="false" customHeight="false" outlineLevel="0" collapsed="false">
      <c r="A44" s="6" t="s">
        <v>76</v>
      </c>
      <c r="B44" s="35" t="n">
        <f aca="false">-SUMIF(Monthly!$C$5:$BJ$5,B$27,Monthly!$C$28:$BJ$28)</f>
        <v>500646.925714286</v>
      </c>
      <c r="C44" s="35" t="n">
        <f aca="false">-SUMIF(Monthly!$C$5:$BJ$5,C$27,Monthly!$C$28:$BJ$28)</f>
        <v>553061.181531429</v>
      </c>
      <c r="D44" s="35" t="n">
        <f aca="false">-SUMIF(Monthly!$C$5:$BJ$5,D$27,Monthly!$C$28:$BJ$28)</f>
        <v>604279.188751077</v>
      </c>
      <c r="E44" s="35" t="n">
        <f aca="false">-SUMIF(Monthly!$C$5:$BJ$5,E$27,Monthly!$C$28:$BJ$28)</f>
        <v>661309.991492611</v>
      </c>
      <c r="F44" s="35" t="n">
        <f aca="false">-SUMIF(Monthly!$C$5:$BJ$5,F$27,Monthly!$C$28:$BJ$28)</f>
        <v>724921.328863621</v>
      </c>
      <c r="G44" s="97"/>
    </row>
    <row r="45" customFormat="false" ht="15" hidden="false" customHeight="false" outlineLevel="0" collapsed="false">
      <c r="A45" s="6" t="s">
        <v>243</v>
      </c>
      <c r="B45" s="35" t="n">
        <f aca="false">-SUMIF(Monthly!$C$5:$BJ$5,B$27,Monthly!$C$32:$BJ$32)</f>
        <v>593600</v>
      </c>
      <c r="C45" s="35" t="n">
        <f aca="false">-SUMIF(Monthly!$C$5:$BJ$5,C$27,Monthly!$C$32:$BJ$32)</f>
        <v>641655.392</v>
      </c>
      <c r="D45" s="35" t="n">
        <f aca="false">-SUMIF(Monthly!$C$5:$BJ$5,D$27,Monthly!$C$32:$BJ$32)</f>
        <v>693929.1563456</v>
      </c>
      <c r="E45" s="35" t="n">
        <f aca="false">-SUMIF(Monthly!$C$5:$BJ$5,E$27,Monthly!$C$32:$BJ$32)</f>
        <v>750802.746238926</v>
      </c>
      <c r="F45" s="35" t="n">
        <f aca="false">-SUMIF(Monthly!$C$5:$BJ$5,F$27,Monthly!$C$32:$BJ$32)</f>
        <v>812692.458484684</v>
      </c>
      <c r="G45" s="97"/>
    </row>
    <row r="46" customFormat="false" ht="15" hidden="false" customHeight="false" outlineLevel="0" collapsed="false">
      <c r="A46" s="38" t="s">
        <v>244</v>
      </c>
      <c r="B46" s="98" t="n">
        <f aca="false">IF(B34=0,0,(B44+B45)/B34)</f>
        <v>0.693671219339732</v>
      </c>
      <c r="C46" s="98" t="n">
        <f aca="false">IF(C34=0,0,(C44+C45)/C34)</f>
        <v>0.688053211717707</v>
      </c>
      <c r="D46" s="98" t="n">
        <f aca="false">IF(D34=0,0,(D44+D45)/D34)</f>
        <v>0.686823540484661</v>
      </c>
      <c r="E46" s="98" t="n">
        <f aca="false">IF(E34=0,0,(E44+E45)/E34)</f>
        <v>0.685259104461812</v>
      </c>
      <c r="F46" s="98" t="n">
        <f aca="false">IF(F34=0,0,(F44+F45)/F34)</f>
        <v>0.683343188684749</v>
      </c>
      <c r="G46" s="99"/>
    </row>
    <row r="47" customFormat="false" ht="15" hidden="false" customHeight="false" outlineLevel="0" collapsed="false">
      <c r="A47" s="6" t="s">
        <v>48</v>
      </c>
      <c r="B47" s="35" t="n">
        <f aca="false">SUMIF(Monthly!$C$5:$BJ$5,B$27,Monthly!$C$41:$BJ$41)</f>
        <v>145357.010285714</v>
      </c>
      <c r="C47" s="35" t="n">
        <f aca="false">SUMIF(Monthly!$C$5:$BJ$5,C$27,Monthly!$C$41:$BJ$41)</f>
        <v>193289.208996572</v>
      </c>
      <c r="D47" s="35" t="n">
        <f aca="false">SUMIF(Monthly!$C$5:$BJ$5,D$27,Monthly!$C$41:$BJ$41)</f>
        <v>233403.120666446</v>
      </c>
      <c r="E47" s="35" t="n">
        <f aca="false">SUMIF(Monthly!$C$5:$BJ$5,E$27,Monthly!$C$41:$BJ$41)</f>
        <v>278784.792162417</v>
      </c>
      <c r="F47" s="35" t="n">
        <f aca="false">SUMIF(Monthly!$C$5:$BJ$5,F$27,Monthly!$C$41:$BJ$41)</f>
        <v>330280.299465202</v>
      </c>
      <c r="G47" s="97"/>
    </row>
    <row r="48" customFormat="false" ht="15" hidden="false" customHeight="false" outlineLevel="0" collapsed="false">
      <c r="A48" s="38" t="s">
        <v>49</v>
      </c>
      <c r="B48" s="98" t="n">
        <f aca="false">IF(B34=0,0,B47/B34)</f>
        <v>0.0921455406407939</v>
      </c>
      <c r="C48" s="98" t="n">
        <f aca="false">IF(C34=0,0,C47/C34)</f>
        <v>0.111317833858582</v>
      </c>
      <c r="D48" s="98" t="n">
        <f aca="false">IF(D34=0,0,D47/D34)</f>
        <v>0.123483074424667</v>
      </c>
      <c r="E48" s="98" t="n">
        <f aca="false">IF(E34=0,0,E47/E34)</f>
        <v>0.13528651920645</v>
      </c>
      <c r="F48" s="98" t="n">
        <f aca="false">IF(F34=0,0,F47/F34)</f>
        <v>0.14678249821467</v>
      </c>
      <c r="G48" s="99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245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246</v>
      </c>
    </row>
    <row r="5" customFormat="false" ht="15" hidden="false" customHeight="false" outlineLevel="0" collapsed="false">
      <c r="A5" s="33" t="s">
        <v>104</v>
      </c>
      <c r="B5" s="50" t="s">
        <v>105</v>
      </c>
      <c r="C5" s="50" t="s">
        <v>106</v>
      </c>
      <c r="D5" s="50" t="s">
        <v>107</v>
      </c>
      <c r="E5" s="50" t="s">
        <v>108</v>
      </c>
      <c r="F5" s="33" t="s">
        <v>247</v>
      </c>
      <c r="G5" s="33" t="s">
        <v>248</v>
      </c>
    </row>
    <row r="6" customFormat="false" ht="15.75" hidden="false" customHeight="true" outlineLevel="0" collapsed="false">
      <c r="A6" s="7" t="s">
        <v>249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250</v>
      </c>
      <c r="B7" s="102" t="n">
        <v>300</v>
      </c>
      <c r="C7" s="102" t="n">
        <v>320</v>
      </c>
      <c r="D7" s="102" t="n">
        <v>340</v>
      </c>
      <c r="E7" s="103" t="n">
        <f aca="false">CHOOSE(Dashboard!$B$4,B7,C7,D7)</f>
        <v>320</v>
      </c>
      <c r="F7" s="38" t="s">
        <v>251</v>
      </c>
      <c r="G7" s="104" t="s">
        <v>252</v>
      </c>
    </row>
    <row r="8" customFormat="false" ht="15" hidden="false" customHeight="false" outlineLevel="0" collapsed="false">
      <c r="A8" s="6" t="s">
        <v>253</v>
      </c>
      <c r="B8" s="102" t="n">
        <v>3</v>
      </c>
      <c r="C8" s="102" t="n">
        <v>2</v>
      </c>
      <c r="D8" s="102" t="n">
        <v>1</v>
      </c>
      <c r="E8" s="103" t="n">
        <f aca="false">CHOOSE(Dashboard!$B$4,B8,C8,D8)</f>
        <v>2</v>
      </c>
      <c r="F8" s="38" t="s">
        <v>254</v>
      </c>
      <c r="G8" s="104" t="s">
        <v>255</v>
      </c>
    </row>
    <row r="9" customFormat="false" ht="15" hidden="false" customHeight="false" outlineLevel="0" collapsed="false">
      <c r="A9" s="6" t="s">
        <v>256</v>
      </c>
      <c r="B9" s="105" t="n">
        <v>0.85</v>
      </c>
      <c r="C9" s="105" t="n">
        <v>0.9</v>
      </c>
      <c r="D9" s="105" t="n">
        <v>0.95</v>
      </c>
      <c r="E9" s="106" t="n">
        <f aca="false">CHOOSE(Dashboard!$B$4,B9,C9,D9)</f>
        <v>0.9</v>
      </c>
      <c r="F9" s="38" t="s">
        <v>257</v>
      </c>
      <c r="G9" s="104" t="s">
        <v>252</v>
      </c>
    </row>
    <row r="10" customFormat="false" ht="15" hidden="false" customHeight="false" outlineLevel="0" collapsed="false">
      <c r="A10" s="6" t="s">
        <v>258</v>
      </c>
      <c r="B10" s="105" t="n">
        <v>0.01</v>
      </c>
      <c r="C10" s="105" t="n">
        <v>0.03</v>
      </c>
      <c r="D10" s="105" t="n">
        <v>0.05</v>
      </c>
      <c r="E10" s="106" t="n">
        <f aca="false">CHOOSE(Dashboard!$B$4,B10,C10,D10)</f>
        <v>0.03</v>
      </c>
      <c r="F10" s="38" t="s">
        <v>257</v>
      </c>
      <c r="G10" s="104" t="s">
        <v>252</v>
      </c>
    </row>
    <row r="11" customFormat="false" ht="15" hidden="false" customHeight="false" outlineLevel="0" collapsed="false">
      <c r="A11" s="6" t="s">
        <v>259</v>
      </c>
      <c r="B11" s="107" t="n">
        <v>11</v>
      </c>
      <c r="C11" s="107" t="n">
        <v>11.5</v>
      </c>
      <c r="D11" s="107" t="n">
        <v>12</v>
      </c>
      <c r="E11" s="108" t="n">
        <f aca="false">CHOOSE(Dashboard!$B$4,B11,C11,D11)</f>
        <v>11.5</v>
      </c>
      <c r="F11" s="38" t="s">
        <v>260</v>
      </c>
      <c r="G11" s="104" t="s">
        <v>252</v>
      </c>
    </row>
    <row r="12" customFormat="false" ht="15" hidden="false" customHeight="false" outlineLevel="0" collapsed="false">
      <c r="A12" s="6" t="s">
        <v>261</v>
      </c>
      <c r="B12" s="105" t="n">
        <v>0.02</v>
      </c>
      <c r="C12" s="105" t="n">
        <v>0.03</v>
      </c>
      <c r="D12" s="105" t="n">
        <v>0.04</v>
      </c>
      <c r="E12" s="106" t="n">
        <f aca="false">CHOOSE(Dashboard!$B$4,B12,C12,D12)</f>
        <v>0.03</v>
      </c>
      <c r="F12" s="38" t="s">
        <v>257</v>
      </c>
      <c r="G12" s="104" t="s">
        <v>252</v>
      </c>
    </row>
    <row r="13" customFormat="false" ht="15" hidden="false" customHeight="false" outlineLevel="0" collapsed="false">
      <c r="A13" s="6" t="s">
        <v>262</v>
      </c>
      <c r="B13" s="109" t="n">
        <v>6</v>
      </c>
      <c r="C13" s="109" t="n">
        <v>6</v>
      </c>
      <c r="D13" s="109" t="n">
        <v>6</v>
      </c>
      <c r="E13" s="110" t="n">
        <f aca="false">CHOOSE(Dashboard!$B$4,B13,C13,D13)</f>
        <v>6</v>
      </c>
      <c r="F13" s="38" t="s">
        <v>263</v>
      </c>
      <c r="G13" s="104"/>
    </row>
    <row r="14" customFormat="false" ht="15" hidden="false" customHeight="false" outlineLevel="0" collapsed="false">
      <c r="A14" s="6" t="s">
        <v>264</v>
      </c>
      <c r="B14" s="105" t="n">
        <v>0.2</v>
      </c>
      <c r="C14" s="105" t="n">
        <v>0.2</v>
      </c>
      <c r="D14" s="105" t="n">
        <v>0.2</v>
      </c>
      <c r="E14" s="106" t="n">
        <f aca="false">CHOOSE(Dashboard!$B$4,B14,C14,D14)</f>
        <v>0.2</v>
      </c>
      <c r="F14" s="38" t="s">
        <v>257</v>
      </c>
      <c r="G14" s="104"/>
    </row>
    <row r="16" customFormat="false" ht="15.75" hidden="false" customHeight="true" outlineLevel="0" collapsed="false">
      <c r="A16" s="7" t="s">
        <v>265</v>
      </c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6" t="s">
        <v>266</v>
      </c>
      <c r="B17" s="109" t="n">
        <v>13</v>
      </c>
      <c r="C17" s="109" t="n">
        <v>16</v>
      </c>
      <c r="D17" s="109" t="n">
        <v>19</v>
      </c>
      <c r="E17" s="110" t="n">
        <f aca="false">CHOOSE(Dashboard!$B$4,B17,C17,D17)</f>
        <v>16</v>
      </c>
      <c r="F17" s="38" t="s">
        <v>251</v>
      </c>
      <c r="G17" s="104" t="s">
        <v>252</v>
      </c>
    </row>
    <row r="18" customFormat="false" ht="15" hidden="false" customHeight="false" outlineLevel="0" collapsed="false">
      <c r="A18" s="6" t="s">
        <v>267</v>
      </c>
      <c r="B18" s="105" t="n">
        <v>0.08</v>
      </c>
      <c r="C18" s="105" t="n">
        <v>0.12</v>
      </c>
      <c r="D18" s="105" t="n">
        <v>0.16</v>
      </c>
      <c r="E18" s="106" t="n">
        <f aca="false">CHOOSE(Dashboard!$B$4,B18,C18,D18)</f>
        <v>0.12</v>
      </c>
      <c r="F18" s="38" t="s">
        <v>257</v>
      </c>
      <c r="G18" s="104" t="s">
        <v>252</v>
      </c>
    </row>
    <row r="19" customFormat="false" ht="15" hidden="false" customHeight="false" outlineLevel="0" collapsed="false">
      <c r="A19" s="6" t="s">
        <v>268</v>
      </c>
      <c r="B19" s="111" t="n">
        <v>500</v>
      </c>
      <c r="C19" s="111" t="n">
        <v>540</v>
      </c>
      <c r="D19" s="111" t="n">
        <v>580</v>
      </c>
      <c r="E19" s="112" t="n">
        <f aca="false">CHOOSE(Dashboard!$B$4,B19,C19,D19)</f>
        <v>540</v>
      </c>
      <c r="F19" s="38" t="s">
        <v>260</v>
      </c>
      <c r="G19" s="104" t="s">
        <v>252</v>
      </c>
    </row>
    <row r="20" customFormat="false" ht="15" hidden="false" customHeight="false" outlineLevel="0" collapsed="false">
      <c r="A20" s="6" t="s">
        <v>269</v>
      </c>
      <c r="B20" s="109" t="n">
        <v>5</v>
      </c>
      <c r="C20" s="109" t="n">
        <v>5</v>
      </c>
      <c r="D20" s="109" t="n">
        <v>5</v>
      </c>
      <c r="E20" s="110" t="n">
        <f aca="false">CHOOSE(Dashboard!$B$4,B20,C20,D20)</f>
        <v>5</v>
      </c>
      <c r="F20" s="38" t="s">
        <v>251</v>
      </c>
      <c r="G20" s="104"/>
    </row>
    <row r="21" customFormat="false" ht="15" hidden="false" customHeight="false" outlineLevel="0" collapsed="false">
      <c r="A21" s="6" t="s">
        <v>270</v>
      </c>
      <c r="B21" s="107" t="n">
        <v>9.5</v>
      </c>
      <c r="C21" s="107" t="n">
        <v>9</v>
      </c>
      <c r="D21" s="107" t="n">
        <v>8.5</v>
      </c>
      <c r="E21" s="108" t="n">
        <f aca="false">CHOOSE(Dashboard!$B$4,B21,C21,D21)</f>
        <v>9</v>
      </c>
      <c r="F21" s="38" t="s">
        <v>260</v>
      </c>
      <c r="G21" s="104" t="s">
        <v>255</v>
      </c>
    </row>
    <row r="23" customFormat="false" ht="15.75" hidden="false" customHeight="true" outlineLevel="0" collapsed="false">
      <c r="A23" s="7" t="s">
        <v>76</v>
      </c>
      <c r="B23" s="7"/>
      <c r="C23" s="7"/>
      <c r="D23" s="7"/>
      <c r="E23" s="7"/>
      <c r="F23" s="7"/>
      <c r="G23" s="7"/>
    </row>
    <row r="24" customFormat="false" ht="15" hidden="false" customHeight="false" outlineLevel="0" collapsed="false">
      <c r="A24" s="6" t="s">
        <v>271</v>
      </c>
      <c r="B24" s="105" t="n">
        <v>0.255</v>
      </c>
      <c r="C24" s="105" t="n">
        <v>0.24</v>
      </c>
      <c r="D24" s="105" t="n">
        <v>0.225</v>
      </c>
      <c r="E24" s="106" t="n">
        <f aca="false">CHOOSE(Dashboard!$B$4,B24,C24,D24)</f>
        <v>0.24</v>
      </c>
      <c r="F24" s="38" t="s">
        <v>257</v>
      </c>
      <c r="G24" s="104" t="s">
        <v>255</v>
      </c>
    </row>
    <row r="25" customFormat="false" ht="15" hidden="false" customHeight="false" outlineLevel="0" collapsed="false">
      <c r="A25" s="6" t="s">
        <v>272</v>
      </c>
      <c r="B25" s="105" t="n">
        <v>0.345</v>
      </c>
      <c r="C25" s="105" t="n">
        <v>0.33</v>
      </c>
      <c r="D25" s="105" t="n">
        <v>0.315</v>
      </c>
      <c r="E25" s="106" t="n">
        <f aca="false">CHOOSE(Dashboard!$B$4,B25,C25,D25)</f>
        <v>0.33</v>
      </c>
      <c r="F25" s="38" t="s">
        <v>257</v>
      </c>
      <c r="G25" s="104" t="s">
        <v>255</v>
      </c>
    </row>
    <row r="26" customFormat="false" ht="15" hidden="false" customHeight="false" outlineLevel="0" collapsed="false">
      <c r="A26" s="6" t="s">
        <v>273</v>
      </c>
      <c r="B26" s="105" t="n">
        <v>0.11</v>
      </c>
      <c r="C26" s="105" t="n">
        <v>0.09</v>
      </c>
      <c r="D26" s="105" t="n">
        <v>0.07</v>
      </c>
      <c r="E26" s="106" t="n">
        <f aca="false">CHOOSE(Dashboard!$B$4,B26,C26,D26)</f>
        <v>0.09</v>
      </c>
      <c r="F26" s="38" t="s">
        <v>257</v>
      </c>
      <c r="G26" s="104" t="s">
        <v>255</v>
      </c>
    </row>
    <row r="27" customFormat="false" ht="15" hidden="false" customHeight="false" outlineLevel="0" collapsed="false">
      <c r="A27" s="6" t="s">
        <v>274</v>
      </c>
      <c r="B27" s="105" t="n">
        <v>0.037</v>
      </c>
      <c r="C27" s="105" t="n">
        <v>0.035</v>
      </c>
      <c r="D27" s="105" t="n">
        <v>0.033</v>
      </c>
      <c r="E27" s="106" t="n">
        <f aca="false">CHOOSE(Dashboard!$B$4,B27,C27,D27)</f>
        <v>0.035</v>
      </c>
      <c r="F27" s="38" t="s">
        <v>257</v>
      </c>
      <c r="G27" s="104" t="s">
        <v>255</v>
      </c>
    </row>
    <row r="29" customFormat="false" ht="15.75" hidden="false" customHeight="true" outlineLevel="0" collapsed="false">
      <c r="A29" s="7" t="s">
        <v>275</v>
      </c>
      <c r="B29" s="7"/>
      <c r="C29" s="7"/>
      <c r="D29" s="7"/>
      <c r="E29" s="7"/>
      <c r="F29" s="7"/>
      <c r="G29" s="7"/>
    </row>
    <row r="30" customFormat="false" ht="15" hidden="false" customHeight="false" outlineLevel="0" collapsed="false">
      <c r="A30" s="6" t="s">
        <v>276</v>
      </c>
      <c r="B30" s="111" t="n">
        <v>12000</v>
      </c>
      <c r="C30" s="111" t="n">
        <v>12000</v>
      </c>
      <c r="D30" s="111" t="n">
        <v>12000</v>
      </c>
      <c r="E30" s="112" t="n">
        <f aca="false">CHOOSE(Dashboard!$B$4,B30,C30,D30)</f>
        <v>12000</v>
      </c>
      <c r="F30" s="38" t="s">
        <v>260</v>
      </c>
      <c r="G30" s="104"/>
    </row>
    <row r="31" customFormat="false" ht="15" hidden="false" customHeight="false" outlineLevel="0" collapsed="false">
      <c r="A31" s="6" t="s">
        <v>277</v>
      </c>
      <c r="B31" s="111" t="n">
        <v>4000</v>
      </c>
      <c r="C31" s="111" t="n">
        <v>4000</v>
      </c>
      <c r="D31" s="111" t="n">
        <v>4000</v>
      </c>
      <c r="E31" s="112" t="n">
        <f aca="false">CHOOSE(Dashboard!$B$4,B31,C31,D31)</f>
        <v>4000</v>
      </c>
      <c r="F31" s="38" t="s">
        <v>260</v>
      </c>
      <c r="G31" s="104"/>
    </row>
    <row r="32" customFormat="false" ht="15" hidden="false" customHeight="false" outlineLevel="0" collapsed="false">
      <c r="A32" s="6" t="s">
        <v>278</v>
      </c>
      <c r="B32" s="111" t="n">
        <v>1000</v>
      </c>
      <c r="C32" s="111" t="n">
        <v>1000</v>
      </c>
      <c r="D32" s="111" t="n">
        <v>1000</v>
      </c>
      <c r="E32" s="112" t="n">
        <f aca="false">CHOOSE(Dashboard!$B$4,B32,C32,D32)</f>
        <v>1000</v>
      </c>
      <c r="F32" s="38" t="s">
        <v>260</v>
      </c>
      <c r="G32" s="104"/>
    </row>
    <row r="33" customFormat="false" ht="15" hidden="false" customHeight="false" outlineLevel="0" collapsed="false">
      <c r="A33" s="6" t="s">
        <v>222</v>
      </c>
      <c r="B33" s="105" t="n">
        <v>0.022</v>
      </c>
      <c r="C33" s="105" t="n">
        <v>0.02</v>
      </c>
      <c r="D33" s="105" t="n">
        <v>0.018</v>
      </c>
      <c r="E33" s="106" t="n">
        <f aca="false">CHOOSE(Dashboard!$B$4,B33,C33,D33)</f>
        <v>0.02</v>
      </c>
      <c r="F33" s="38" t="s">
        <v>257</v>
      </c>
      <c r="G33" s="104" t="s">
        <v>255</v>
      </c>
    </row>
    <row r="34" customFormat="false" ht="15" hidden="false" customHeight="false" outlineLevel="0" collapsed="false">
      <c r="A34" s="6" t="s">
        <v>279</v>
      </c>
      <c r="B34" s="105" t="n">
        <v>0.029</v>
      </c>
      <c r="C34" s="105" t="n">
        <v>0.028</v>
      </c>
      <c r="D34" s="105" t="n">
        <v>0.027</v>
      </c>
      <c r="E34" s="106" t="n">
        <f aca="false">CHOOSE(Dashboard!$B$4,B34,C34,D34)</f>
        <v>0.028</v>
      </c>
      <c r="F34" s="38" t="s">
        <v>257</v>
      </c>
      <c r="G34" s="104" t="s">
        <v>255</v>
      </c>
    </row>
    <row r="35" customFormat="false" ht="15" hidden="false" customHeight="false" outlineLevel="0" collapsed="false">
      <c r="A35" s="6" t="s">
        <v>280</v>
      </c>
      <c r="B35" s="111" t="n">
        <v>2800</v>
      </c>
      <c r="C35" s="111" t="n">
        <v>2800</v>
      </c>
      <c r="D35" s="111" t="n">
        <v>2800</v>
      </c>
      <c r="E35" s="112" t="n">
        <f aca="false">CHOOSE(Dashboard!$B$4,B35,C35,D35)</f>
        <v>2800</v>
      </c>
      <c r="F35" s="38" t="s">
        <v>260</v>
      </c>
      <c r="G35" s="104"/>
    </row>
    <row r="37" customFormat="false" ht="15.75" hidden="false" customHeight="true" outlineLevel="0" collapsed="false">
      <c r="A37" s="7" t="s">
        <v>281</v>
      </c>
      <c r="B37" s="7"/>
      <c r="C37" s="7"/>
      <c r="D37" s="7"/>
      <c r="E37" s="7"/>
      <c r="F37" s="7"/>
      <c r="G37" s="7"/>
    </row>
    <row r="38" customFormat="false" ht="15" hidden="false" customHeight="false" outlineLevel="0" collapsed="false">
      <c r="A38" s="6" t="s">
        <v>282</v>
      </c>
      <c r="B38" s="111" t="n">
        <v>90000</v>
      </c>
      <c r="C38" s="111" t="n">
        <v>90000</v>
      </c>
      <c r="D38" s="111" t="n">
        <v>90000</v>
      </c>
      <c r="E38" s="112" t="n">
        <f aca="false">CHOOSE(Dashboard!$B$4,B38,C38,D38)</f>
        <v>90000</v>
      </c>
      <c r="F38" s="38" t="s">
        <v>260</v>
      </c>
      <c r="G38" s="104"/>
    </row>
    <row r="39" customFormat="false" ht="15" hidden="false" customHeight="false" outlineLevel="0" collapsed="false">
      <c r="A39" s="6" t="s">
        <v>283</v>
      </c>
      <c r="B39" s="111" t="n">
        <v>14000</v>
      </c>
      <c r="C39" s="111" t="n">
        <v>14000</v>
      </c>
      <c r="D39" s="111" t="n">
        <v>14000</v>
      </c>
      <c r="E39" s="112" t="n">
        <f aca="false">CHOOSE(Dashboard!$B$4,B39,C39,D39)</f>
        <v>14000</v>
      </c>
      <c r="F39" s="38" t="s">
        <v>260</v>
      </c>
      <c r="G39" s="104"/>
    </row>
    <row r="41" customFormat="false" ht="15.75" hidden="false" customHeight="true" outlineLevel="0" collapsed="false">
      <c r="A41" s="7" t="s">
        <v>284</v>
      </c>
      <c r="B41" s="7"/>
      <c r="C41" s="7"/>
      <c r="D41" s="7"/>
      <c r="E41" s="7"/>
      <c r="F41" s="7"/>
      <c r="G41" s="7"/>
    </row>
    <row r="42" customFormat="false" ht="15" hidden="false" customHeight="false" outlineLevel="0" collapsed="false">
      <c r="A42" s="6" t="s">
        <v>285</v>
      </c>
      <c r="B42" s="109" t="n">
        <v>5</v>
      </c>
      <c r="C42" s="109" t="n">
        <v>5</v>
      </c>
      <c r="D42" s="109" t="n">
        <v>5</v>
      </c>
      <c r="E42" s="110" t="n">
        <f aca="false">CHOOSE(Dashboard!$B$4,B42,C42,D42)</f>
        <v>5</v>
      </c>
      <c r="F42" s="38" t="s">
        <v>286</v>
      </c>
      <c r="G42" s="104" t="s">
        <v>252</v>
      </c>
    </row>
    <row r="43" customFormat="false" ht="15" hidden="false" customHeight="false" outlineLevel="0" collapsed="false">
      <c r="A43" s="6" t="s">
        <v>287</v>
      </c>
      <c r="B43" s="111" t="n">
        <v>44000</v>
      </c>
      <c r="C43" s="111" t="n">
        <v>44000</v>
      </c>
      <c r="D43" s="111" t="n">
        <v>44000</v>
      </c>
      <c r="E43" s="112" t="n">
        <f aca="false">CHOOSE(Dashboard!$B$4,B43,C43,D43)</f>
        <v>44000</v>
      </c>
      <c r="F43" s="38" t="s">
        <v>260</v>
      </c>
      <c r="G43" s="104"/>
    </row>
    <row r="44" customFormat="false" ht="15" hidden="false" customHeight="false" outlineLevel="0" collapsed="false">
      <c r="A44" s="6" t="s">
        <v>288</v>
      </c>
      <c r="B44" s="105" t="n">
        <v>0.06</v>
      </c>
      <c r="C44" s="105" t="n">
        <v>0.06</v>
      </c>
      <c r="D44" s="105" t="n">
        <v>0.06</v>
      </c>
      <c r="E44" s="106" t="n">
        <f aca="false">CHOOSE(Dashboard!$B$4,B44,C44,D44)</f>
        <v>0.06</v>
      </c>
      <c r="F44" s="38" t="s">
        <v>257</v>
      </c>
      <c r="G44" s="104" t="s">
        <v>252</v>
      </c>
    </row>
    <row r="45" customFormat="false" ht="15" hidden="false" customHeight="false" outlineLevel="0" collapsed="false">
      <c r="A45" s="6" t="s">
        <v>289</v>
      </c>
      <c r="B45" s="102" t="n">
        <v>1</v>
      </c>
      <c r="C45" s="102" t="n">
        <v>1</v>
      </c>
      <c r="D45" s="102" t="n">
        <v>1</v>
      </c>
      <c r="E45" s="103" t="n">
        <f aca="false">CHOOSE(Dashboard!$B$4,B45,C45,D45)</f>
        <v>1</v>
      </c>
      <c r="F45" s="38" t="s">
        <v>290</v>
      </c>
      <c r="G45" s="104"/>
    </row>
    <row r="46" customFormat="false" ht="15" hidden="false" customHeight="false" outlineLevel="0" collapsed="false">
      <c r="A46" s="6" t="s">
        <v>291</v>
      </c>
      <c r="B46" s="109" t="n">
        <v>7</v>
      </c>
      <c r="C46" s="109" t="n">
        <v>7</v>
      </c>
      <c r="D46" s="109" t="n">
        <v>7</v>
      </c>
      <c r="E46" s="110" t="n">
        <f aca="false">CHOOSE(Dashboard!$B$4,B46,C46,D46)</f>
        <v>7</v>
      </c>
      <c r="F46" s="38" t="s">
        <v>286</v>
      </c>
      <c r="G46" s="104" t="s">
        <v>252</v>
      </c>
    </row>
    <row r="47" customFormat="false" ht="15" hidden="false" customHeight="false" outlineLevel="0" collapsed="false">
      <c r="A47" s="6" t="s">
        <v>292</v>
      </c>
      <c r="B47" s="111" t="n">
        <v>31000</v>
      </c>
      <c r="C47" s="111" t="n">
        <v>31000</v>
      </c>
      <c r="D47" s="111" t="n">
        <v>31000</v>
      </c>
      <c r="E47" s="112" t="n">
        <f aca="false">CHOOSE(Dashboard!$B$4,B47,C47,D47)</f>
        <v>31000</v>
      </c>
      <c r="F47" s="38" t="s">
        <v>260</v>
      </c>
      <c r="G47" s="104"/>
    </row>
    <row r="48" customFormat="false" ht="15" hidden="false" customHeight="false" outlineLevel="0" collapsed="false">
      <c r="A48" s="6" t="s">
        <v>293</v>
      </c>
      <c r="B48" s="105" t="n">
        <v>0.06</v>
      </c>
      <c r="C48" s="105" t="n">
        <v>0.06</v>
      </c>
      <c r="D48" s="105" t="n">
        <v>0.06</v>
      </c>
      <c r="E48" s="106" t="n">
        <f aca="false">CHOOSE(Dashboard!$B$4,B48,C48,D48)</f>
        <v>0.06</v>
      </c>
      <c r="F48" s="38" t="s">
        <v>257</v>
      </c>
      <c r="G48" s="104" t="s">
        <v>252</v>
      </c>
    </row>
    <row r="49" customFormat="false" ht="15" hidden="false" customHeight="false" outlineLevel="0" collapsed="false">
      <c r="A49" s="6" t="s">
        <v>294</v>
      </c>
      <c r="B49" s="102" t="n">
        <v>1</v>
      </c>
      <c r="C49" s="102" t="n">
        <v>1</v>
      </c>
      <c r="D49" s="102" t="n">
        <v>1</v>
      </c>
      <c r="E49" s="103" t="n">
        <f aca="false">CHOOSE(Dashboard!$B$4,B49,C49,D49)</f>
        <v>1</v>
      </c>
      <c r="F49" s="38" t="s">
        <v>290</v>
      </c>
      <c r="G49" s="104"/>
    </row>
    <row r="50" customFormat="false" ht="15" hidden="false" customHeight="false" outlineLevel="0" collapsed="false">
      <c r="A50" s="6" t="s">
        <v>295</v>
      </c>
      <c r="B50" s="109" t="n">
        <v>1.5</v>
      </c>
      <c r="C50" s="109" t="n">
        <v>1.5</v>
      </c>
      <c r="D50" s="109" t="n">
        <v>1.5</v>
      </c>
      <c r="E50" s="110" t="n">
        <f aca="false">CHOOSE(Dashboard!$B$4,B50,C50,D50)</f>
        <v>1.5</v>
      </c>
      <c r="F50" s="38" t="s">
        <v>286</v>
      </c>
      <c r="G50" s="104" t="s">
        <v>252</v>
      </c>
    </row>
    <row r="51" customFormat="false" ht="15" hidden="false" customHeight="false" outlineLevel="0" collapsed="false">
      <c r="A51" s="6" t="s">
        <v>296</v>
      </c>
      <c r="B51" s="111" t="n">
        <v>62000</v>
      </c>
      <c r="C51" s="111" t="n">
        <v>62000</v>
      </c>
      <c r="D51" s="111" t="n">
        <v>62000</v>
      </c>
      <c r="E51" s="112" t="n">
        <f aca="false">CHOOSE(Dashboard!$B$4,B51,C51,D51)</f>
        <v>62000</v>
      </c>
      <c r="F51" s="38" t="s">
        <v>260</v>
      </c>
      <c r="G51" s="104"/>
    </row>
    <row r="52" customFormat="false" ht="15" hidden="false" customHeight="false" outlineLevel="0" collapsed="false">
      <c r="A52" s="6" t="s">
        <v>297</v>
      </c>
      <c r="B52" s="105" t="n">
        <v>0</v>
      </c>
      <c r="C52" s="105" t="n">
        <v>0</v>
      </c>
      <c r="D52" s="105" t="n">
        <v>0</v>
      </c>
      <c r="E52" s="106" t="n">
        <f aca="false">CHOOSE(Dashboard!$B$4,B52,C52,D52)</f>
        <v>0</v>
      </c>
      <c r="F52" s="38" t="s">
        <v>257</v>
      </c>
      <c r="G52" s="104" t="s">
        <v>252</v>
      </c>
    </row>
    <row r="53" customFormat="false" ht="15" hidden="false" customHeight="false" outlineLevel="0" collapsed="false">
      <c r="A53" s="6" t="s">
        <v>298</v>
      </c>
      <c r="B53" s="102" t="n">
        <v>1</v>
      </c>
      <c r="C53" s="102" t="n">
        <v>1</v>
      </c>
      <c r="D53" s="102" t="n">
        <v>1</v>
      </c>
      <c r="E53" s="103" t="n">
        <f aca="false">CHOOSE(Dashboard!$B$4,B53,C53,D53)</f>
        <v>1</v>
      </c>
      <c r="F53" s="38" t="s">
        <v>290</v>
      </c>
      <c r="G53" s="104"/>
    </row>
    <row r="54" customFormat="false" ht="15" hidden="false" customHeight="false" outlineLevel="0" collapsed="false">
      <c r="A54" s="6" t="s">
        <v>299</v>
      </c>
      <c r="B54" s="105" t="n">
        <v>0.12</v>
      </c>
      <c r="C54" s="105" t="n">
        <v>0.12</v>
      </c>
      <c r="D54" s="105" t="n">
        <v>0.12</v>
      </c>
      <c r="E54" s="106" t="n">
        <f aca="false">CHOOSE(Dashboard!$B$4,B54,C54,D54)</f>
        <v>0.12</v>
      </c>
      <c r="F54" s="38" t="s">
        <v>257</v>
      </c>
      <c r="G54" s="104"/>
    </row>
    <row r="55" customFormat="false" ht="15" hidden="false" customHeight="false" outlineLevel="0" collapsed="false">
      <c r="A55" s="6" t="s">
        <v>300</v>
      </c>
      <c r="B55" s="105" t="n">
        <v>0.03</v>
      </c>
      <c r="C55" s="105" t="n">
        <v>0.03</v>
      </c>
      <c r="D55" s="105" t="n">
        <v>0.03</v>
      </c>
      <c r="E55" s="106" t="n">
        <f aca="false">CHOOSE(Dashboard!$B$4,B55,C55,D55)</f>
        <v>0.03</v>
      </c>
      <c r="F55" s="38" t="s">
        <v>257</v>
      </c>
      <c r="G55" s="104"/>
    </row>
    <row r="57" customFormat="false" ht="15.75" hidden="false" customHeight="true" outlineLevel="0" collapsed="false">
      <c r="A57" s="7" t="s">
        <v>301</v>
      </c>
      <c r="B57" s="7"/>
      <c r="C57" s="7"/>
      <c r="D57" s="7"/>
      <c r="E57" s="7"/>
      <c r="F57" s="7"/>
      <c r="G57" s="7"/>
    </row>
    <row r="58" customFormat="false" ht="15" hidden="false" customHeight="false" outlineLevel="0" collapsed="false">
      <c r="A58" s="6" t="s">
        <v>302</v>
      </c>
      <c r="B58" s="111" t="n">
        <v>60000</v>
      </c>
      <c r="C58" s="111" t="n">
        <v>60000</v>
      </c>
      <c r="D58" s="111" t="n">
        <v>60000</v>
      </c>
      <c r="E58" s="112" t="n">
        <f aca="false">CHOOSE(Dashboard!$B$4,B58,C58,D58)</f>
        <v>60000</v>
      </c>
      <c r="F58" s="38" t="s">
        <v>260</v>
      </c>
      <c r="G58" s="104"/>
    </row>
    <row r="59" customFormat="false" ht="15" hidden="false" customHeight="false" outlineLevel="0" collapsed="false">
      <c r="A59" s="6" t="s">
        <v>303</v>
      </c>
      <c r="B59" s="111" t="n">
        <v>80000</v>
      </c>
      <c r="C59" s="111" t="n">
        <v>80000</v>
      </c>
      <c r="D59" s="111" t="n">
        <v>80000</v>
      </c>
      <c r="E59" s="112" t="n">
        <f aca="false">CHOOSE(Dashboard!$B$4,B59,C59,D59)</f>
        <v>80000</v>
      </c>
      <c r="F59" s="38" t="s">
        <v>260</v>
      </c>
      <c r="G59" s="104"/>
    </row>
    <row r="60" customFormat="false" ht="15" hidden="false" customHeight="false" outlineLevel="0" collapsed="false">
      <c r="A60" s="6" t="s">
        <v>304</v>
      </c>
      <c r="B60" s="105" t="n">
        <v>0.085</v>
      </c>
      <c r="C60" s="105" t="n">
        <v>0.085</v>
      </c>
      <c r="D60" s="105" t="n">
        <v>0.085</v>
      </c>
      <c r="E60" s="106" t="n">
        <f aca="false">CHOOSE(Dashboard!$B$4,B60,C60,D60)</f>
        <v>0.085</v>
      </c>
      <c r="F60" s="38" t="s">
        <v>257</v>
      </c>
      <c r="G60" s="104"/>
    </row>
    <row r="61" customFormat="false" ht="15" hidden="false" customHeight="false" outlineLevel="0" collapsed="false">
      <c r="A61" s="6" t="s">
        <v>305</v>
      </c>
      <c r="B61" s="102" t="n">
        <v>5</v>
      </c>
      <c r="C61" s="102" t="n">
        <v>5</v>
      </c>
      <c r="D61" s="102" t="n">
        <v>5</v>
      </c>
      <c r="E61" s="103" t="n">
        <f aca="false">CHOOSE(Dashboard!$B$4,B61,C61,D61)</f>
        <v>5</v>
      </c>
      <c r="F61" s="38" t="s">
        <v>306</v>
      </c>
      <c r="G61" s="104"/>
    </row>
    <row r="63" customFormat="false" ht="15.75" hidden="false" customHeight="true" outlineLevel="0" collapsed="false">
      <c r="A63" s="7" t="s">
        <v>307</v>
      </c>
      <c r="B63" s="7"/>
      <c r="C63" s="7"/>
      <c r="D63" s="7"/>
      <c r="E63" s="7"/>
      <c r="F63" s="7"/>
      <c r="G63" s="7"/>
    </row>
    <row r="64" customFormat="false" ht="15" hidden="false" customHeight="false" outlineLevel="0" collapsed="false">
      <c r="A64" s="6" t="s">
        <v>308</v>
      </c>
      <c r="B64" s="102" t="n">
        <v>9</v>
      </c>
      <c r="C64" s="102" t="n">
        <v>9</v>
      </c>
      <c r="D64" s="102" t="n">
        <v>9</v>
      </c>
      <c r="E64" s="103" t="n">
        <f aca="false">CHOOSE(Dashboard!$B$4,B64,C64,D64)</f>
        <v>9</v>
      </c>
      <c r="F64" s="38" t="s">
        <v>263</v>
      </c>
      <c r="G64" s="104"/>
    </row>
    <row r="65" customFormat="false" ht="15" hidden="false" customHeight="false" outlineLevel="0" collapsed="false">
      <c r="A65" s="6" t="s">
        <v>309</v>
      </c>
      <c r="B65" s="102" t="n">
        <v>3</v>
      </c>
      <c r="C65" s="102" t="n">
        <v>3</v>
      </c>
      <c r="D65" s="102" t="n">
        <v>3</v>
      </c>
      <c r="E65" s="103" t="n">
        <f aca="false">CHOOSE(Dashboard!$B$4,B65,C65,D65)</f>
        <v>3</v>
      </c>
      <c r="F65" s="38" t="s">
        <v>263</v>
      </c>
      <c r="G65" s="104"/>
    </row>
    <row r="66" customFormat="false" ht="15" hidden="false" customHeight="false" outlineLevel="0" collapsed="false">
      <c r="A66" s="6" t="s">
        <v>310</v>
      </c>
      <c r="B66" s="102" t="n">
        <v>18</v>
      </c>
      <c r="C66" s="102" t="n">
        <v>18</v>
      </c>
      <c r="D66" s="102" t="n">
        <v>18</v>
      </c>
      <c r="E66" s="103" t="n">
        <f aca="false">CHOOSE(Dashboard!$B$4,B66,C66,D66)</f>
        <v>18</v>
      </c>
      <c r="F66" s="38" t="s">
        <v>263</v>
      </c>
      <c r="G66" s="104"/>
    </row>
    <row r="68" customFormat="false" ht="15.75" hidden="false" customHeight="true" outlineLevel="0" collapsed="false">
      <c r="A68" s="7" t="s">
        <v>311</v>
      </c>
      <c r="B68" s="7"/>
      <c r="C68" s="7"/>
      <c r="D68" s="7"/>
      <c r="E68" s="7"/>
      <c r="F68" s="7"/>
      <c r="G68" s="7"/>
    </row>
    <row r="69" customFormat="false" ht="15" hidden="false" customHeight="false" outlineLevel="0" collapsed="false">
      <c r="A69" s="6" t="s">
        <v>312</v>
      </c>
      <c r="B69" s="102" t="n">
        <v>7</v>
      </c>
      <c r="C69" s="102" t="n">
        <v>7</v>
      </c>
      <c r="D69" s="102" t="n">
        <v>7</v>
      </c>
      <c r="E69" s="103" t="n">
        <f aca="false">CHOOSE(Dashboard!$B$4,B69,C69,D69)</f>
        <v>7</v>
      </c>
      <c r="F69" s="38" t="s">
        <v>306</v>
      </c>
      <c r="G69" s="104"/>
    </row>
    <row r="70" customFormat="false" ht="15" hidden="false" customHeight="false" outlineLevel="0" collapsed="false">
      <c r="A70" s="6" t="s">
        <v>313</v>
      </c>
      <c r="B70" s="105" t="n">
        <v>0.21</v>
      </c>
      <c r="C70" s="105" t="n">
        <v>0.21</v>
      </c>
      <c r="D70" s="105" t="n">
        <v>0.21</v>
      </c>
      <c r="E70" s="106" t="n">
        <f aca="false">CHOOSE(Dashboard!$B$4,B70,C70,D70)</f>
        <v>0.21</v>
      </c>
      <c r="F70" s="38" t="s">
        <v>257</v>
      </c>
      <c r="G70" s="104"/>
    </row>
    <row r="72" customFormat="false" ht="15.75" hidden="false" customHeight="true" outlineLevel="0" collapsed="false">
      <c r="A72" s="7" t="s">
        <v>314</v>
      </c>
      <c r="B72" s="7"/>
      <c r="C72" s="7"/>
      <c r="D72" s="7"/>
      <c r="E72" s="7"/>
      <c r="F72" s="7"/>
      <c r="G72" s="7"/>
    </row>
    <row r="73" customFormat="false" ht="15" hidden="false" customHeight="false" outlineLevel="0" collapsed="false">
      <c r="A73" s="6" t="s">
        <v>142</v>
      </c>
      <c r="B73" s="111" t="n">
        <v>233000</v>
      </c>
      <c r="C73" s="111" t="n">
        <v>233000</v>
      </c>
      <c r="D73" s="111" t="n">
        <v>233000</v>
      </c>
      <c r="E73" s="112" t="n">
        <f aca="false">CHOOSE(Dashboard!$B$4,B73,C73,D73)</f>
        <v>233000</v>
      </c>
      <c r="F73" s="38" t="s">
        <v>260</v>
      </c>
      <c r="G73" s="104" t="s">
        <v>315</v>
      </c>
    </row>
    <row r="75" customFormat="false" ht="15.75" hidden="false" customHeight="true" outlineLevel="0" collapsed="false">
      <c r="A75" s="7" t="s">
        <v>316</v>
      </c>
      <c r="B75" s="7"/>
      <c r="C75" s="7"/>
      <c r="D75" s="7"/>
      <c r="E75" s="7"/>
      <c r="F75" s="7"/>
      <c r="G75" s="7"/>
    </row>
    <row r="76" customFormat="false" ht="15" hidden="false" customHeight="false" outlineLevel="0" collapsed="false">
      <c r="A76" s="6" t="s">
        <v>169</v>
      </c>
      <c r="B76" s="105" t="n">
        <v>0.2</v>
      </c>
      <c r="C76" s="105" t="n">
        <v>0.16</v>
      </c>
      <c r="D76" s="105" t="n">
        <v>0.13</v>
      </c>
      <c r="E76" s="106" t="n">
        <f aca="false">CHOOSE(Dashboard!$B$4,B76,C76,D76)</f>
        <v>0.16</v>
      </c>
      <c r="F76" s="38" t="s">
        <v>257</v>
      </c>
      <c r="G76" s="104" t="s">
        <v>255</v>
      </c>
    </row>
    <row r="77" customFormat="false" ht="15" hidden="false" customHeight="false" outlineLevel="0" collapsed="false">
      <c r="A77" s="6" t="s">
        <v>317</v>
      </c>
      <c r="B77" s="105" t="n">
        <v>0.01</v>
      </c>
      <c r="C77" s="105" t="n">
        <v>0.02</v>
      </c>
      <c r="D77" s="105" t="n">
        <v>0.03</v>
      </c>
      <c r="E77" s="106" t="n">
        <f aca="false">CHOOSE(Dashboard!$B$4,B77,C77,D77)</f>
        <v>0.02</v>
      </c>
      <c r="F77" s="38" t="s">
        <v>257</v>
      </c>
      <c r="G77" s="104" t="s">
        <v>252</v>
      </c>
    </row>
    <row r="78" customFormat="false" ht="15" hidden="false" customHeight="false" outlineLevel="0" collapsed="false">
      <c r="A78" s="6" t="s">
        <v>171</v>
      </c>
      <c r="B78" s="113" t="n">
        <v>4</v>
      </c>
      <c r="C78" s="113" t="n">
        <v>5.5</v>
      </c>
      <c r="D78" s="113" t="n">
        <v>7</v>
      </c>
      <c r="E78" s="114" t="n">
        <f aca="false">CHOOSE(Dashboard!$B$4,B78,C78,D78)</f>
        <v>5.5</v>
      </c>
      <c r="F78" s="38" t="s">
        <v>318</v>
      </c>
      <c r="G78" s="104" t="s">
        <v>252</v>
      </c>
    </row>
    <row r="79" customFormat="false" ht="15" hidden="false" customHeight="false" outlineLevel="0" collapsed="false">
      <c r="A79" s="6" t="s">
        <v>319</v>
      </c>
      <c r="B79" s="105" t="n">
        <v>0.01</v>
      </c>
      <c r="C79" s="105" t="n">
        <v>0.01</v>
      </c>
      <c r="D79" s="105" t="n">
        <v>0.01</v>
      </c>
      <c r="E79" s="106" t="n">
        <f aca="false">CHOOSE(Dashboard!$B$4,B79,C79,D79)</f>
        <v>0.01</v>
      </c>
      <c r="F79" s="38" t="s">
        <v>257</v>
      </c>
      <c r="G79" s="104"/>
    </row>
    <row r="80" customFormat="false" ht="15" hidden="false" customHeight="false" outlineLevel="0" collapsed="false">
      <c r="A80" s="6" t="s">
        <v>320</v>
      </c>
      <c r="B80" s="105" t="n">
        <v>0.005</v>
      </c>
      <c r="C80" s="105" t="n">
        <v>0.005</v>
      </c>
      <c r="D80" s="105" t="n">
        <v>0.005</v>
      </c>
      <c r="E80" s="106" t="n">
        <f aca="false">CHOOSE(Dashboard!$B$4,B80,C80,D80)</f>
        <v>0.005</v>
      </c>
      <c r="F80" s="38" t="s">
        <v>257</v>
      </c>
      <c r="G80" s="104"/>
    </row>
    <row r="82" customFormat="false" ht="15" hidden="false" customHeight="false" outlineLevel="0" collapsed="false">
      <c r="A82" s="21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322</v>
      </c>
    </row>
    <row r="3" customFormat="false" ht="15" hidden="false" customHeight="false" outlineLevel="0" collapsed="false">
      <c r="A3" s="72" t="s">
        <v>155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0" t="s">
        <v>156</v>
      </c>
      <c r="C4" s="50" t="s">
        <v>157</v>
      </c>
      <c r="D4" s="50" t="s">
        <v>158</v>
      </c>
      <c r="E4" s="50" t="s">
        <v>159</v>
      </c>
      <c r="F4" s="50" t="s">
        <v>160</v>
      </c>
    </row>
    <row r="5" customFormat="false" ht="15" hidden="false" customHeight="false" outlineLevel="0" collapsed="false">
      <c r="A5" s="4" t="s">
        <v>44</v>
      </c>
      <c r="B5" s="73" t="n">
        <f aca="false">SUMIF(Monthly!$C$5:$BJ$5,B$3,Monthly!$C$22:$BJ$22)</f>
        <v>1577472</v>
      </c>
      <c r="C5" s="73" t="n">
        <f aca="false">SUMIF(Monthly!$C$5:$BJ$5,C$3,Monthly!$C$22:$BJ$22)</f>
        <v>1736372.352</v>
      </c>
      <c r="D5" s="73" t="n">
        <f aca="false">SUMIF(Monthly!$C$5:$BJ$5,D$3,Monthly!$C$22:$BJ$22)</f>
        <v>1890162.8563584</v>
      </c>
      <c r="E5" s="73" t="n">
        <f aca="false">SUMIF(Monthly!$C$5:$BJ$5,E$3,Monthly!$C$22:$BJ$22)</f>
        <v>2060698.9801917</v>
      </c>
      <c r="F5" s="73" t="n">
        <f aca="false">SUMIF(Monthly!$C$5:$BJ$5,F$3,Monthly!$C$22:$BJ$22)</f>
        <v>2250134.06558979</v>
      </c>
    </row>
    <row r="6" customFormat="false" ht="15" hidden="false" customHeight="false" outlineLevel="0" collapsed="false">
      <c r="A6" s="6" t="s">
        <v>76</v>
      </c>
      <c r="B6" s="67" t="n">
        <f aca="false">SUMIF(Monthly!$C$5:$BJ$5,B$3,Monthly!$C$28:$BJ$28)</f>
        <v>-500646.925714286</v>
      </c>
      <c r="C6" s="67" t="n">
        <f aca="false">SUMIF(Monthly!$C$5:$BJ$5,C$3,Monthly!$C$28:$BJ$28)</f>
        <v>-553061.181531429</v>
      </c>
      <c r="D6" s="67" t="n">
        <f aca="false">SUMIF(Monthly!$C$5:$BJ$5,D$3,Monthly!$C$28:$BJ$28)</f>
        <v>-604279.188751077</v>
      </c>
      <c r="E6" s="67" t="n">
        <f aca="false">SUMIF(Monthly!$C$5:$BJ$5,E$3,Monthly!$C$28:$BJ$28)</f>
        <v>-661309.991492611</v>
      </c>
      <c r="F6" s="67" t="n">
        <f aca="false">SUMIF(Monthly!$C$5:$BJ$5,F$3,Monthly!$C$28:$BJ$28)</f>
        <v>-724921.328863621</v>
      </c>
    </row>
    <row r="7" customFormat="false" ht="15" hidden="false" customHeight="false" outlineLevel="0" collapsed="false">
      <c r="A7" s="115" t="s">
        <v>45</v>
      </c>
      <c r="B7" s="68" t="n">
        <f aca="false">SUMIF(Monthly!$C$5:$BJ$5,B$3,Monthly!$C$29:$BJ$29)</f>
        <v>1076825.07428571</v>
      </c>
      <c r="C7" s="68" t="n">
        <f aca="false">SUMIF(Monthly!$C$5:$BJ$5,C$3,Monthly!$C$29:$BJ$29)</f>
        <v>1183311.17046857</v>
      </c>
      <c r="D7" s="68" t="n">
        <f aca="false">SUMIF(Monthly!$C$5:$BJ$5,D$3,Monthly!$C$29:$BJ$29)</f>
        <v>1285883.66760732</v>
      </c>
      <c r="E7" s="68" t="n">
        <f aca="false">SUMIF(Monthly!$C$5:$BJ$5,E$3,Monthly!$C$29:$BJ$29)</f>
        <v>1399388.98869909</v>
      </c>
      <c r="F7" s="68" t="n">
        <f aca="false">SUMIF(Monthly!$C$5:$BJ$5,F$3,Monthly!$C$29:$BJ$29)</f>
        <v>1525212.73672617</v>
      </c>
    </row>
    <row r="8" customFormat="false" ht="15" hidden="false" customHeight="false" outlineLevel="0" collapsed="false">
      <c r="A8" s="38" t="s">
        <v>46</v>
      </c>
      <c r="B8" s="74" t="n">
        <f aca="false">IF(B5=0,0,B7/B5)</f>
        <v>0.68262706043956</v>
      </c>
      <c r="C8" s="74" t="n">
        <f aca="false">IF(C5=0,0,C7/C5)</f>
        <v>0.681484687950486</v>
      </c>
      <c r="D8" s="74" t="n">
        <f aca="false">IF(D5=0,0,D7/D5)</f>
        <v>0.680303108952588</v>
      </c>
      <c r="E8" s="74" t="n">
        <f aca="false">IF(E5=0,0,E7/E5)</f>
        <v>0.6790846223299</v>
      </c>
      <c r="F8" s="74" t="n">
        <f aca="false">IF(F5=0,0,F7/F5)</f>
        <v>0.677831939016661</v>
      </c>
    </row>
    <row r="9" customFormat="false" ht="15" hidden="false" customHeight="false" outlineLevel="0" collapsed="false">
      <c r="A9" s="6" t="s">
        <v>323</v>
      </c>
      <c r="B9" s="67" t="n">
        <f aca="false">SUMIF(Monthly!$C$5:$BJ$5,B$3,Monthly!$C$32:$BJ$32)</f>
        <v>-593600</v>
      </c>
      <c r="C9" s="67" t="n">
        <f aca="false">SUMIF(Monthly!$C$5:$BJ$5,C$3,Monthly!$C$32:$BJ$32)</f>
        <v>-641655.392</v>
      </c>
      <c r="D9" s="67" t="n">
        <f aca="false">SUMIF(Monthly!$C$5:$BJ$5,D$3,Monthly!$C$32:$BJ$32)</f>
        <v>-693929.1563456</v>
      </c>
      <c r="E9" s="67" t="n">
        <f aca="false">SUMIF(Monthly!$C$5:$BJ$5,E$3,Monthly!$C$32:$BJ$32)</f>
        <v>-750802.746238926</v>
      </c>
      <c r="F9" s="67" t="n">
        <f aca="false">SUMIF(Monthly!$C$5:$BJ$5,F$3,Monthly!$C$32:$BJ$32)</f>
        <v>-812692.458484684</v>
      </c>
    </row>
    <row r="10" customFormat="false" ht="15" hidden="false" customHeight="false" outlineLevel="0" collapsed="false">
      <c r="A10" s="6" t="s">
        <v>324</v>
      </c>
      <c r="B10" s="67" t="n">
        <f aca="false">SUMIF(Monthly!$C$5:$BJ$5,B$3,Monthly!$C$33:$BJ$33)</f>
        <v>-144000</v>
      </c>
      <c r="C10" s="67" t="n">
        <f aca="false">SUMIF(Monthly!$C$5:$BJ$5,C$3,Monthly!$C$33:$BJ$33)</f>
        <v>-144000</v>
      </c>
      <c r="D10" s="67" t="n">
        <f aca="false">SUMIF(Monthly!$C$5:$BJ$5,D$3,Monthly!$C$33:$BJ$33)</f>
        <v>-144000</v>
      </c>
      <c r="E10" s="67" t="n">
        <f aca="false">SUMIF(Monthly!$C$5:$BJ$5,E$3,Monthly!$C$33:$BJ$33)</f>
        <v>-144000</v>
      </c>
      <c r="F10" s="67" t="n">
        <f aca="false">SUMIF(Monthly!$C$5:$BJ$5,F$3,Monthly!$C$33:$BJ$33)</f>
        <v>-144000</v>
      </c>
    </row>
    <row r="11" customFormat="false" ht="15" hidden="false" customHeight="false" outlineLevel="0" collapsed="false">
      <c r="A11" s="6" t="s">
        <v>325</v>
      </c>
      <c r="B11" s="67" t="n">
        <f aca="false">SUMIF(Monthly!$C$5:$BJ$5,B$3,Monthly!$C$34:$BJ$34)</f>
        <v>-48000</v>
      </c>
      <c r="C11" s="67" t="n">
        <f aca="false">SUMIF(Monthly!$C$5:$BJ$5,C$3,Monthly!$C$34:$BJ$34)</f>
        <v>-48000</v>
      </c>
      <c r="D11" s="67" t="n">
        <f aca="false">SUMIF(Monthly!$C$5:$BJ$5,D$3,Monthly!$C$34:$BJ$34)</f>
        <v>-48000</v>
      </c>
      <c r="E11" s="67" t="n">
        <f aca="false">SUMIF(Monthly!$C$5:$BJ$5,E$3,Monthly!$C$34:$BJ$34)</f>
        <v>-48000</v>
      </c>
      <c r="F11" s="67" t="n">
        <f aca="false">SUMIF(Monthly!$C$5:$BJ$5,F$3,Monthly!$C$34:$BJ$34)</f>
        <v>-48000</v>
      </c>
    </row>
    <row r="12" customFormat="false" ht="15" hidden="false" customHeight="false" outlineLevel="0" collapsed="false">
      <c r="A12" s="6" t="s">
        <v>326</v>
      </c>
      <c r="B12" s="67" t="n">
        <f aca="false">SUMIF(Monthly!$C$5:$BJ$5,B$3,Monthly!$C$35:$BJ$35)</f>
        <v>-36972</v>
      </c>
      <c r="C12" s="67" t="n">
        <f aca="false">SUMIF(Monthly!$C$5:$BJ$5,C$3,Monthly!$C$35:$BJ$35)</f>
        <v>-41932.8</v>
      </c>
      <c r="D12" s="67" t="n">
        <f aca="false">SUMIF(Monthly!$C$5:$BJ$5,D$3,Monthly!$C$35:$BJ$35)</f>
        <v>-46964.736</v>
      </c>
      <c r="E12" s="67" t="n">
        <f aca="false">SUMIF(Monthly!$C$5:$BJ$5,E$3,Monthly!$C$35:$BJ$35)</f>
        <v>-52600.50432</v>
      </c>
      <c r="F12" s="67" t="n">
        <f aca="false">SUMIF(Monthly!$C$5:$BJ$5,F$3,Monthly!$C$35:$BJ$35)</f>
        <v>-58912.5648384</v>
      </c>
    </row>
    <row r="13" customFormat="false" ht="15" hidden="false" customHeight="false" outlineLevel="0" collapsed="false">
      <c r="A13" s="6" t="s">
        <v>327</v>
      </c>
      <c r="B13" s="67" t="n">
        <f aca="false">SUMIF(Monthly!$C$5:$BJ$5,B$3,Monthly!$C$36:$BJ$36)</f>
        <v>-12000</v>
      </c>
      <c r="C13" s="67" t="n">
        <f aca="false">SUMIF(Monthly!$C$5:$BJ$5,C$3,Monthly!$C$36:$BJ$36)</f>
        <v>-12000</v>
      </c>
      <c r="D13" s="67" t="n">
        <f aca="false">SUMIF(Monthly!$C$5:$BJ$5,D$3,Monthly!$C$36:$BJ$36)</f>
        <v>-12000</v>
      </c>
      <c r="E13" s="67" t="n">
        <f aca="false">SUMIF(Monthly!$C$5:$BJ$5,E$3,Monthly!$C$36:$BJ$36)</f>
        <v>-12000</v>
      </c>
      <c r="F13" s="67" t="n">
        <f aca="false">SUMIF(Monthly!$C$5:$BJ$5,F$3,Monthly!$C$36:$BJ$36)</f>
        <v>-12000</v>
      </c>
    </row>
    <row r="14" customFormat="false" ht="15" hidden="false" customHeight="false" outlineLevel="0" collapsed="false">
      <c r="A14" s="6" t="s">
        <v>328</v>
      </c>
      <c r="B14" s="67" t="n">
        <f aca="false">SUMIF(Monthly!$C$5:$BJ$5,B$3,Monthly!$C$37:$BJ$37)</f>
        <v>-31549.44</v>
      </c>
      <c r="C14" s="67" t="n">
        <f aca="false">SUMIF(Monthly!$C$5:$BJ$5,C$3,Monthly!$C$37:$BJ$37)</f>
        <v>-34727.44704</v>
      </c>
      <c r="D14" s="67" t="n">
        <f aca="false">SUMIF(Monthly!$C$5:$BJ$5,D$3,Monthly!$C$37:$BJ$37)</f>
        <v>-37803.257127168</v>
      </c>
      <c r="E14" s="67" t="n">
        <f aca="false">SUMIF(Monthly!$C$5:$BJ$5,E$3,Monthly!$C$37:$BJ$37)</f>
        <v>-41213.9796038341</v>
      </c>
      <c r="F14" s="67" t="n">
        <f aca="false">SUMIF(Monthly!$C$5:$BJ$5,F$3,Monthly!$C$37:$BJ$37)</f>
        <v>-45002.6813117958</v>
      </c>
    </row>
    <row r="15" customFormat="false" ht="15" hidden="false" customHeight="false" outlineLevel="0" collapsed="false">
      <c r="A15" s="6" t="s">
        <v>329</v>
      </c>
      <c r="B15" s="67" t="n">
        <f aca="false">SUMIF(Monthly!$C$5:$BJ$5,B$3,Monthly!$C$38:$BJ$38)</f>
        <v>-31746.624</v>
      </c>
      <c r="C15" s="67" t="n">
        <f aca="false">SUMIF(Monthly!$C$5:$BJ$5,C$3,Monthly!$C$38:$BJ$38)</f>
        <v>-34106.322432</v>
      </c>
      <c r="D15" s="67" t="n">
        <f aca="false">SUMIF(Monthly!$C$5:$BJ$5,D$3,Monthly!$C$38:$BJ$38)</f>
        <v>-36183.3974681088</v>
      </c>
      <c r="E15" s="67" t="n">
        <f aca="false">SUMIF(Monthly!$C$5:$BJ$5,E$3,Monthly!$C$38:$BJ$38)</f>
        <v>-38386.9663739166</v>
      </c>
      <c r="F15" s="67" t="n">
        <f aca="false">SUMIF(Monthly!$C$5:$BJ$5,F$3,Monthly!$C$38:$BJ$38)</f>
        <v>-40724.7326260882</v>
      </c>
    </row>
    <row r="16" customFormat="false" ht="15" hidden="false" customHeight="false" outlineLevel="0" collapsed="false">
      <c r="A16" s="6" t="s">
        <v>330</v>
      </c>
      <c r="B16" s="67" t="n">
        <f aca="false">SUMIF(Monthly!$C$5:$BJ$5,B$3,Monthly!$C$39:$BJ$39)</f>
        <v>-33600</v>
      </c>
      <c r="C16" s="67" t="n">
        <f aca="false">SUMIF(Monthly!$C$5:$BJ$5,C$3,Monthly!$C$39:$BJ$39)</f>
        <v>-33600</v>
      </c>
      <c r="D16" s="67" t="n">
        <f aca="false">SUMIF(Monthly!$C$5:$BJ$5,D$3,Monthly!$C$39:$BJ$39)</f>
        <v>-33600</v>
      </c>
      <c r="E16" s="67" t="n">
        <f aca="false">SUMIF(Monthly!$C$5:$BJ$5,E$3,Monthly!$C$39:$BJ$39)</f>
        <v>-33600</v>
      </c>
      <c r="F16" s="67" t="n">
        <f aca="false">SUMIF(Monthly!$C$5:$BJ$5,F$3,Monthly!$C$39:$BJ$39)</f>
        <v>-33600</v>
      </c>
    </row>
    <row r="17" customFormat="false" ht="15" hidden="false" customHeight="false" outlineLevel="0" collapsed="false">
      <c r="A17" s="115" t="s">
        <v>77</v>
      </c>
      <c r="B17" s="68" t="n">
        <f aca="false">SUMIF(Monthly!$C$5:$BJ$5,B$3,Monthly!$C$40:$BJ$40)</f>
        <v>-931468.064</v>
      </c>
      <c r="C17" s="68" t="n">
        <f aca="false">SUMIF(Monthly!$C$5:$BJ$5,C$3,Monthly!$C$40:$BJ$40)</f>
        <v>-990021.961472</v>
      </c>
      <c r="D17" s="68" t="n">
        <f aca="false">SUMIF(Monthly!$C$5:$BJ$5,D$3,Monthly!$C$40:$BJ$40)</f>
        <v>-1052480.54694088</v>
      </c>
      <c r="E17" s="68" t="n">
        <f aca="false">SUMIF(Monthly!$C$5:$BJ$5,E$3,Monthly!$C$40:$BJ$40)</f>
        <v>-1120604.19653668</v>
      </c>
      <c r="F17" s="68" t="n">
        <f aca="false">SUMIF(Monthly!$C$5:$BJ$5,F$3,Monthly!$C$40:$BJ$40)</f>
        <v>-1194932.43726097</v>
      </c>
    </row>
    <row r="18" customFormat="false" ht="15" hidden="false" customHeight="false" outlineLevel="0" collapsed="false">
      <c r="A18" s="115" t="s">
        <v>48</v>
      </c>
      <c r="B18" s="68" t="n">
        <f aca="false">SUMIF(Monthly!$C$5:$BJ$5,B$3,Monthly!$C$41:$BJ$41)</f>
        <v>145357.010285714</v>
      </c>
      <c r="C18" s="68" t="n">
        <f aca="false">SUMIF(Monthly!$C$5:$BJ$5,C$3,Monthly!$C$41:$BJ$41)</f>
        <v>193289.208996572</v>
      </c>
      <c r="D18" s="68" t="n">
        <f aca="false">SUMIF(Monthly!$C$5:$BJ$5,D$3,Monthly!$C$41:$BJ$41)</f>
        <v>233403.120666446</v>
      </c>
      <c r="E18" s="68" t="n">
        <f aca="false">SUMIF(Monthly!$C$5:$BJ$5,E$3,Monthly!$C$41:$BJ$41)</f>
        <v>278784.792162417</v>
      </c>
      <c r="F18" s="68" t="n">
        <f aca="false">SUMIF(Monthly!$C$5:$BJ$5,F$3,Monthly!$C$41:$BJ$41)</f>
        <v>330280.299465202</v>
      </c>
    </row>
    <row r="19" customFormat="false" ht="15" hidden="false" customHeight="false" outlineLevel="0" collapsed="false">
      <c r="A19" s="38" t="s">
        <v>49</v>
      </c>
      <c r="B19" s="74" t="n">
        <f aca="false">IF(B5=0,0,B18/B5)</f>
        <v>0.0921455406407939</v>
      </c>
      <c r="C19" s="74" t="n">
        <f aca="false">IF(C5=0,0,C18/C5)</f>
        <v>0.111317833858582</v>
      </c>
      <c r="D19" s="74" t="n">
        <f aca="false">IF(D5=0,0,D18/D5)</f>
        <v>0.123483074424667</v>
      </c>
      <c r="E19" s="74" t="n">
        <f aca="false">IF(E5=0,0,E18/E5)</f>
        <v>0.13528651920645</v>
      </c>
      <c r="F19" s="74" t="n">
        <f aca="false">IF(F5=0,0,F18/F5)</f>
        <v>0.14678249821467</v>
      </c>
    </row>
    <row r="20" customFormat="false" ht="15" hidden="false" customHeight="false" outlineLevel="0" collapsed="false">
      <c r="A20" s="6" t="s">
        <v>78</v>
      </c>
      <c r="B20" s="67" t="n">
        <f aca="false">SUMIF(Monthly!$C$5:$BJ$5,B$3,Monthly!$C$55:$BJ$55)</f>
        <v>-12857.1428571429</v>
      </c>
      <c r="C20" s="67" t="n">
        <f aca="false">SUMIF(Monthly!$C$5:$BJ$5,C$3,Monthly!$C$55:$BJ$55)</f>
        <v>-13940.4761904762</v>
      </c>
      <c r="D20" s="67" t="n">
        <f aca="false">SUMIF(Monthly!$C$5:$BJ$5,D$3,Monthly!$C$55:$BJ$55)</f>
        <v>-15940.4761904762</v>
      </c>
      <c r="E20" s="67" t="n">
        <f aca="false">SUMIF(Monthly!$C$5:$BJ$5,E$3,Monthly!$C$55:$BJ$55)</f>
        <v>-17940.4761904762</v>
      </c>
      <c r="F20" s="67" t="n">
        <f aca="false">SUMIF(Monthly!$C$5:$BJ$5,F$3,Monthly!$C$55:$BJ$55)</f>
        <v>-19940.4761904762</v>
      </c>
    </row>
    <row r="21" customFormat="false" ht="15" hidden="false" customHeight="false" outlineLevel="0" collapsed="false">
      <c r="A21" s="4" t="s">
        <v>79</v>
      </c>
      <c r="B21" s="73" t="n">
        <f aca="false">SUMIF(Monthly!$C$5:$BJ$5,B$3,Monthly!$C$44:$BJ$44)</f>
        <v>132499.867428572</v>
      </c>
      <c r="C21" s="73" t="n">
        <f aca="false">SUMIF(Monthly!$C$5:$BJ$5,C$3,Monthly!$C$44:$BJ$44)</f>
        <v>179348.732806096</v>
      </c>
      <c r="D21" s="73" t="n">
        <f aca="false">SUMIF(Monthly!$C$5:$BJ$5,D$3,Monthly!$C$44:$BJ$44)</f>
        <v>217462.64447597</v>
      </c>
      <c r="E21" s="73" t="n">
        <f aca="false">SUMIF(Monthly!$C$5:$BJ$5,E$3,Monthly!$C$44:$BJ$44)</f>
        <v>260844.315971941</v>
      </c>
      <c r="F21" s="73" t="n">
        <f aca="false">SUMIF(Monthly!$C$5:$BJ$5,F$3,Monthly!$C$44:$BJ$44)</f>
        <v>310339.823274726</v>
      </c>
    </row>
    <row r="22" customFormat="false" ht="15" hidden="false" customHeight="false" outlineLevel="0" collapsed="false">
      <c r="A22" s="6" t="s">
        <v>80</v>
      </c>
      <c r="B22" s="67" t="n">
        <f aca="false">SUMIF(Monthly!$C$5:$BJ$5,B$3,Monthly!$C$45:$BJ$45)</f>
        <v>-6228.61111111111</v>
      </c>
      <c r="C22" s="67" t="n">
        <f aca="false">SUMIF(Monthly!$C$5:$BJ$5,C$3,Monthly!$C$45:$BJ$45)</f>
        <v>-4873.33333333334</v>
      </c>
      <c r="D22" s="67" t="n">
        <f aca="false">SUMIF(Monthly!$C$5:$BJ$5,D$3,Monthly!$C$45:$BJ$45)</f>
        <v>-3513.33333333333</v>
      </c>
      <c r="E22" s="67" t="n">
        <f aca="false">SUMIF(Monthly!$C$5:$BJ$5,E$3,Monthly!$C$45:$BJ$45)</f>
        <v>-2153.33333333333</v>
      </c>
      <c r="F22" s="67" t="n">
        <f aca="false">SUMIF(Monthly!$C$5:$BJ$5,F$3,Monthly!$C$45:$BJ$45)</f>
        <v>-793.333333333333</v>
      </c>
    </row>
    <row r="23" customFormat="false" ht="15" hidden="false" customHeight="false" outlineLevel="0" collapsed="false">
      <c r="A23" s="116" t="s">
        <v>81</v>
      </c>
      <c r="B23" s="117" t="n">
        <f aca="false">SUMIF(Monthly!$C$5:$BJ$5,B$3,Monthly!$C$46:$BJ$46)</f>
        <v>126271.25631746</v>
      </c>
      <c r="C23" s="117" t="n">
        <f aca="false">SUMIF(Monthly!$C$5:$BJ$5,C$3,Monthly!$C$46:$BJ$46)</f>
        <v>174475.399472762</v>
      </c>
      <c r="D23" s="117" t="n">
        <f aca="false">SUMIF(Monthly!$C$5:$BJ$5,D$3,Monthly!$C$46:$BJ$46)</f>
        <v>213949.311142637</v>
      </c>
      <c r="E23" s="117" t="n">
        <f aca="false">SUMIF(Monthly!$C$5:$BJ$5,E$3,Monthly!$C$46:$BJ$46)</f>
        <v>258690.982638607</v>
      </c>
      <c r="F23" s="117" t="n">
        <f aca="false">SUMIF(Monthly!$C$5:$BJ$5,F$3,Monthly!$C$46:$BJ$46)</f>
        <v>309546.489941393</v>
      </c>
    </row>
    <row r="24" customFormat="false" ht="15" hidden="false" customHeight="false" outlineLevel="0" collapsed="false">
      <c r="A24" s="6" t="s">
        <v>82</v>
      </c>
      <c r="B24" s="67" t="n">
        <f aca="false">SUMIF(Monthly!$C$5:$BJ$5,B$3,Monthly!$C$49:$BJ$49)</f>
        <v>-26516.9638266667</v>
      </c>
      <c r="C24" s="67" t="n">
        <f aca="false">SUMIF(Monthly!$C$5:$BJ$5,C$3,Monthly!$C$49:$BJ$49)</f>
        <v>-36639.8338892801</v>
      </c>
      <c r="D24" s="67" t="n">
        <f aca="false">SUMIF(Monthly!$C$5:$BJ$5,D$3,Monthly!$C$49:$BJ$49)</f>
        <v>-44929.3553399537</v>
      </c>
      <c r="E24" s="67" t="n">
        <f aca="false">SUMIF(Monthly!$C$5:$BJ$5,E$3,Monthly!$C$49:$BJ$49)</f>
        <v>-54325.1063541075</v>
      </c>
      <c r="F24" s="67" t="n">
        <f aca="false">SUMIF(Monthly!$C$5:$BJ$5,F$3,Monthly!$C$49:$BJ$49)</f>
        <v>-65004.7628876925</v>
      </c>
    </row>
    <row r="25" customFormat="false" ht="15" hidden="false" customHeight="false" outlineLevel="0" collapsed="false">
      <c r="A25" s="70" t="s">
        <v>50</v>
      </c>
      <c r="B25" s="71" t="n">
        <f aca="false">SUMIF(Monthly!$C$5:$BJ$5,B$3,Monthly!$C$50:$BJ$50)</f>
        <v>99754.2924907937</v>
      </c>
      <c r="C25" s="71" t="n">
        <f aca="false">SUMIF(Monthly!$C$5:$BJ$5,C$3,Monthly!$C$50:$BJ$50)</f>
        <v>137835.565583482</v>
      </c>
      <c r="D25" s="71" t="n">
        <f aca="false">SUMIF(Monthly!$C$5:$BJ$5,D$3,Monthly!$C$50:$BJ$50)</f>
        <v>169019.955802683</v>
      </c>
      <c r="E25" s="71" t="n">
        <f aca="false">SUMIF(Monthly!$C$5:$BJ$5,E$3,Monthly!$C$50:$BJ$50)</f>
        <v>204365.8762845</v>
      </c>
      <c r="F25" s="71" t="n">
        <f aca="false">SUMIF(Monthly!$C$5:$BJ$5,F$3,Monthly!$C$50:$BJ$50)</f>
        <v>244541.7270537</v>
      </c>
    </row>
    <row r="26" customFormat="false" ht="15" hidden="false" customHeight="false" outlineLevel="0" collapsed="false">
      <c r="A26" s="38" t="s">
        <v>51</v>
      </c>
      <c r="B26" s="74" t="n">
        <f aca="false">IF(B5=0,0,B25/B5)</f>
        <v>0.0632368070500102</v>
      </c>
      <c r="C26" s="74" t="n">
        <f aca="false">IF(C5=0,0,C25/C5)</f>
        <v>0.0793813408885021</v>
      </c>
      <c r="D26" s="74" t="n">
        <f aca="false">IF(D5=0,0,D25/D5)</f>
        <v>0.0894208428835164</v>
      </c>
      <c r="E26" s="74" t="n">
        <f aca="false">IF(E5=0,0,E25/E5)</f>
        <v>0.0991730855641457</v>
      </c>
      <c r="F26" s="74" t="n">
        <f aca="false">IF(F5=0,0,F25/F5)</f>
        <v>0.108678736433246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322</v>
      </c>
    </row>
    <row r="3" customFormat="false" ht="15" hidden="false" customHeight="false" outlineLevel="0" collapsed="false">
      <c r="A3" s="72" t="s">
        <v>155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0" t="s">
        <v>156</v>
      </c>
      <c r="C4" s="50" t="s">
        <v>157</v>
      </c>
      <c r="D4" s="50" t="s">
        <v>158</v>
      </c>
      <c r="E4" s="50" t="s">
        <v>159</v>
      </c>
      <c r="F4" s="50" t="s">
        <v>160</v>
      </c>
    </row>
    <row r="5" customFormat="false" ht="15" hidden="false" customHeight="false" outlineLevel="0" collapsed="false">
      <c r="A5" s="6" t="s">
        <v>50</v>
      </c>
      <c r="B5" s="67" t="n">
        <f aca="false">SUMIF(Monthly!$C$5:$BJ$5,B$3,Monthly!$C$50:$BJ$50)</f>
        <v>99754.2924907937</v>
      </c>
      <c r="C5" s="67" t="n">
        <f aca="false">SUMIF(Monthly!$C$5:$BJ$5,C$3,Monthly!$C$50:$BJ$50)</f>
        <v>137835.565583482</v>
      </c>
      <c r="D5" s="67" t="n">
        <f aca="false">SUMIF(Monthly!$C$5:$BJ$5,D$3,Monthly!$C$50:$BJ$50)</f>
        <v>169019.955802683</v>
      </c>
      <c r="E5" s="67" t="n">
        <f aca="false">SUMIF(Monthly!$C$5:$BJ$5,E$3,Monthly!$C$50:$BJ$50)</f>
        <v>204365.8762845</v>
      </c>
      <c r="F5" s="67" t="n">
        <f aca="false">SUMIF(Monthly!$C$5:$BJ$5,F$3,Monthly!$C$50:$BJ$50)</f>
        <v>244541.7270537</v>
      </c>
    </row>
    <row r="6" customFormat="false" ht="15" hidden="false" customHeight="false" outlineLevel="0" collapsed="false">
      <c r="A6" s="6" t="s">
        <v>331</v>
      </c>
      <c r="B6" s="67" t="n">
        <f aca="false">-SUMIF(Monthly!$C$5:$BJ$5,B$3,Monthly!$C$55:$BJ$55)</f>
        <v>12857.1428571429</v>
      </c>
      <c r="C6" s="67" t="n">
        <f aca="false">-SUMIF(Monthly!$C$5:$BJ$5,C$3,Monthly!$C$55:$BJ$55)</f>
        <v>13940.4761904762</v>
      </c>
      <c r="D6" s="67" t="n">
        <f aca="false">-SUMIF(Monthly!$C$5:$BJ$5,D$3,Monthly!$C$55:$BJ$55)</f>
        <v>15940.4761904762</v>
      </c>
      <c r="E6" s="67" t="n">
        <f aca="false">-SUMIF(Monthly!$C$5:$BJ$5,E$3,Monthly!$C$55:$BJ$55)</f>
        <v>17940.4761904762</v>
      </c>
      <c r="F6" s="67" t="n">
        <f aca="false">-SUMIF(Monthly!$C$5:$BJ$5,F$3,Monthly!$C$55:$BJ$55)</f>
        <v>19940.4761904762</v>
      </c>
    </row>
    <row r="7" customFormat="false" ht="15" hidden="false" customHeight="false" outlineLevel="0" collapsed="false">
      <c r="A7" s="6" t="s">
        <v>332</v>
      </c>
      <c r="B7" s="67" t="n">
        <f aca="false">SUMIF(Monthly!$C$5:$BJ$5,B$3,Monthly!$C$69:$BJ$69)</f>
        <v>-45676.8</v>
      </c>
      <c r="C7" s="67" t="n">
        <f aca="false">SUMIF(Monthly!$C$5:$BJ$5,C$3,Monthly!$C$69:$BJ$69)</f>
        <v>-3822.92352</v>
      </c>
      <c r="D7" s="67" t="n">
        <f aca="false">SUMIF(Monthly!$C$5:$BJ$5,D$3,Monthly!$C$69:$BJ$69)</f>
        <v>-4215.668865408</v>
      </c>
      <c r="E7" s="67" t="n">
        <f aca="false">SUMIF(Monthly!$C$5:$BJ$5,E$3,Monthly!$C$69:$BJ$69)</f>
        <v>-4656.89754329829</v>
      </c>
      <c r="F7" s="67" t="n">
        <f aca="false">SUMIF(Monthly!$C$5:$BJ$5,F$3,Monthly!$C$69:$BJ$69)</f>
        <v>-5153.33539426851</v>
      </c>
    </row>
    <row r="8" customFormat="false" ht="15" hidden="false" customHeight="false" outlineLevel="0" collapsed="false">
      <c r="A8" s="6" t="s">
        <v>333</v>
      </c>
      <c r="B8" s="67" t="n">
        <f aca="false">SUMIF(Monthly!$C$5:$BJ$5,B$3,Monthly!$C$70:$BJ$70)</f>
        <v>-4796.53028571429</v>
      </c>
      <c r="C8" s="67" t="n">
        <f aca="false">SUMIF(Monthly!$C$5:$BJ$5,C$3,Monthly!$C$70:$BJ$70)</f>
        <v>-418.7888064</v>
      </c>
      <c r="D8" s="67" t="n">
        <f aca="false">SUMIF(Monthly!$C$5:$BJ$5,D$3,Monthly!$C$70:$BJ$70)</f>
        <v>-463.751109912961</v>
      </c>
      <c r="E8" s="67" t="n">
        <f aca="false">SUMIF(Monthly!$C$5:$BJ$5,E$3,Monthly!$C$70:$BJ$70)</f>
        <v>-514.440376525072</v>
      </c>
      <c r="F8" s="67" t="n">
        <f aca="false">SUMIF(Monthly!$C$5:$BJ$5,F$3,Monthly!$C$70:$BJ$70)</f>
        <v>-571.664451643088</v>
      </c>
    </row>
    <row r="9" customFormat="false" ht="15" hidden="false" customHeight="false" outlineLevel="0" collapsed="false">
      <c r="A9" s="6" t="s">
        <v>334</v>
      </c>
      <c r="B9" s="67" t="n">
        <f aca="false">SUMIF(Monthly!$C$5:$BJ$5,B$3,Monthly!$C$71:$BJ$71)</f>
        <v>28779.1817142857</v>
      </c>
      <c r="C9" s="67" t="n">
        <f aca="false">SUMIF(Monthly!$C$5:$BJ$5,C$3,Monthly!$C$71:$BJ$71)</f>
        <v>2512.7328384</v>
      </c>
      <c r="D9" s="67" t="n">
        <f aca="false">SUMIF(Monthly!$C$5:$BJ$5,D$3,Monthly!$C$71:$BJ$71)</f>
        <v>2782.50665947776</v>
      </c>
      <c r="E9" s="67" t="n">
        <f aca="false">SUMIF(Monthly!$C$5:$BJ$5,E$3,Monthly!$C$71:$BJ$71)</f>
        <v>3086.64225915042</v>
      </c>
      <c r="F9" s="67" t="n">
        <f aca="false">SUMIF(Monthly!$C$5:$BJ$5,F$3,Monthly!$C$71:$BJ$71)</f>
        <v>3429.98670985853</v>
      </c>
    </row>
    <row r="10" customFormat="false" ht="15" hidden="false" customHeight="false" outlineLevel="0" collapsed="false">
      <c r="A10" s="115" t="s">
        <v>52</v>
      </c>
      <c r="B10" s="68" t="n">
        <f aca="false">SUMIF(Monthly!$C$5:$BJ$5,B$3,Monthly!$C$74:$BJ$74)</f>
        <v>90917.286776508</v>
      </c>
      <c r="C10" s="68" t="n">
        <f aca="false">SUMIF(Monthly!$C$5:$BJ$5,C$3,Monthly!$C$74:$BJ$74)</f>
        <v>150047.062285958</v>
      </c>
      <c r="D10" s="68" t="n">
        <f aca="false">SUMIF(Monthly!$C$5:$BJ$5,D$3,Monthly!$C$74:$BJ$74)</f>
        <v>183063.518677316</v>
      </c>
      <c r="E10" s="68" t="n">
        <f aca="false">SUMIF(Monthly!$C$5:$BJ$5,E$3,Monthly!$C$74:$BJ$74)</f>
        <v>220221.656814303</v>
      </c>
      <c r="F10" s="68" t="n">
        <f aca="false">SUMIF(Monthly!$C$5:$BJ$5,F$3,Monthly!$C$74:$BJ$74)</f>
        <v>262187.190108123</v>
      </c>
    </row>
    <row r="11" customFormat="false" ht="15" hidden="false" customHeight="false" outlineLevel="0" collapsed="false">
      <c r="A11" s="6" t="s">
        <v>84</v>
      </c>
      <c r="B11" s="67" t="n">
        <f aca="false">SUMIF(Monthly!$C$5:$BJ$5,B$3,Monthly!$C$75:$BJ$75)</f>
        <v>-90000</v>
      </c>
      <c r="C11" s="67" t="n">
        <f aca="false">SUMIF(Monthly!$C$5:$BJ$5,C$3,Monthly!$C$75:$BJ$75)</f>
        <v>-14000</v>
      </c>
      <c r="D11" s="67" t="n">
        <f aca="false">SUMIF(Monthly!$C$5:$BJ$5,D$3,Monthly!$C$75:$BJ$75)</f>
        <v>-14000</v>
      </c>
      <c r="E11" s="67" t="n">
        <f aca="false">SUMIF(Monthly!$C$5:$BJ$5,E$3,Monthly!$C$75:$BJ$75)</f>
        <v>-14000</v>
      </c>
      <c r="F11" s="67" t="n">
        <f aca="false">SUMIF(Monthly!$C$5:$BJ$5,F$3,Monthly!$C$75:$BJ$75)</f>
        <v>-14000</v>
      </c>
    </row>
    <row r="12" customFormat="false" ht="15" hidden="false" customHeight="false" outlineLevel="0" collapsed="false">
      <c r="A12" s="6" t="s">
        <v>64</v>
      </c>
      <c r="B12" s="67" t="n">
        <f aca="false">SUMIF(Monthly!$C$5:$BJ$5,B$3,Monthly!$C$76:$BJ$76)</f>
        <v>60000</v>
      </c>
      <c r="C12" s="67" t="n">
        <f aca="false">SUMIF(Monthly!$C$5:$BJ$5,C$3,Monthly!$C$76:$BJ$76)</f>
        <v>0</v>
      </c>
      <c r="D12" s="67" t="n">
        <f aca="false">SUMIF(Monthly!$C$5:$BJ$5,D$3,Monthly!$C$76:$BJ$76)</f>
        <v>0</v>
      </c>
      <c r="E12" s="67" t="n">
        <f aca="false">SUMIF(Monthly!$C$5:$BJ$5,E$3,Monthly!$C$76:$BJ$76)</f>
        <v>0</v>
      </c>
      <c r="F12" s="67" t="n">
        <f aca="false">SUMIF(Monthly!$C$5:$BJ$5,F$3,Monthly!$C$76:$BJ$76)</f>
        <v>0</v>
      </c>
    </row>
    <row r="13" customFormat="false" ht="15" hidden="false" customHeight="false" outlineLevel="0" collapsed="false">
      <c r="A13" s="6" t="s">
        <v>85</v>
      </c>
      <c r="B13" s="67" t="n">
        <f aca="false">SUMIF(Monthly!$C$5:$BJ$5,B$3,Monthly!$C$61:$BJ$61)</f>
        <v>80000</v>
      </c>
      <c r="C13" s="67" t="n">
        <f aca="false">SUMIF(Monthly!$C$5:$BJ$5,C$3,Monthly!$C$61:$BJ$61)</f>
        <v>0</v>
      </c>
      <c r="D13" s="67" t="n">
        <f aca="false">SUMIF(Monthly!$C$5:$BJ$5,D$3,Monthly!$C$61:$BJ$61)</f>
        <v>0</v>
      </c>
      <c r="E13" s="67" t="n">
        <f aca="false">SUMIF(Monthly!$C$5:$BJ$5,E$3,Monthly!$C$61:$BJ$61)</f>
        <v>0</v>
      </c>
      <c r="F13" s="67" t="n">
        <f aca="false">SUMIF(Monthly!$C$5:$BJ$5,F$3,Monthly!$C$61:$BJ$61)</f>
        <v>0</v>
      </c>
    </row>
    <row r="14" customFormat="false" ht="15" hidden="false" customHeight="false" outlineLevel="0" collapsed="false">
      <c r="A14" s="6" t="s">
        <v>86</v>
      </c>
      <c r="B14" s="67" t="n">
        <f aca="false">SUMIF(Monthly!$C$5:$BJ$5,B$3,Monthly!$C$62:$BJ$62)</f>
        <v>-14666.6666666667</v>
      </c>
      <c r="C14" s="67" t="n">
        <f aca="false">SUMIF(Monthly!$C$5:$BJ$5,C$3,Monthly!$C$62:$BJ$62)</f>
        <v>-16000</v>
      </c>
      <c r="D14" s="67" t="n">
        <f aca="false">SUMIF(Monthly!$C$5:$BJ$5,D$3,Monthly!$C$62:$BJ$62)</f>
        <v>-16000</v>
      </c>
      <c r="E14" s="67" t="n">
        <f aca="false">SUMIF(Monthly!$C$5:$BJ$5,E$3,Monthly!$C$62:$BJ$62)</f>
        <v>-16000</v>
      </c>
      <c r="F14" s="67" t="n">
        <f aca="false">SUMIF(Monthly!$C$5:$BJ$5,F$3,Monthly!$C$62:$BJ$62)</f>
        <v>-16000</v>
      </c>
    </row>
    <row r="15" customFormat="false" ht="15" hidden="false" customHeight="false" outlineLevel="0" collapsed="false">
      <c r="A15" s="115" t="s">
        <v>54</v>
      </c>
      <c r="B15" s="68" t="n">
        <f aca="false">SUMIF(Monthly!$C$5:$BJ$5,B$3,Monthly!$C$77:$BJ$77)</f>
        <v>125333.333333333</v>
      </c>
      <c r="C15" s="68" t="n">
        <f aca="false">SUMIF(Monthly!$C$5:$BJ$5,C$3,Monthly!$C$77:$BJ$77)</f>
        <v>-16000</v>
      </c>
      <c r="D15" s="68" t="n">
        <f aca="false">SUMIF(Monthly!$C$5:$BJ$5,D$3,Monthly!$C$77:$BJ$77)</f>
        <v>-16000</v>
      </c>
      <c r="E15" s="68" t="n">
        <f aca="false">SUMIF(Monthly!$C$5:$BJ$5,E$3,Monthly!$C$77:$BJ$77)</f>
        <v>-16000</v>
      </c>
      <c r="F15" s="68" t="n">
        <f aca="false">SUMIF(Monthly!$C$5:$BJ$5,F$3,Monthly!$C$77:$BJ$77)</f>
        <v>-16000</v>
      </c>
    </row>
    <row r="16" customFormat="false" ht="15" hidden="false" customHeight="false" outlineLevel="0" collapsed="false">
      <c r="A16" s="4" t="s">
        <v>55</v>
      </c>
      <c r="B16" s="73" t="n">
        <f aca="false">SUMIF(Monthly!$C$5:$BJ$5,B$3,Monthly!$C$78:$BJ$78)</f>
        <v>126250.620109841</v>
      </c>
      <c r="C16" s="73" t="n">
        <f aca="false">SUMIF(Monthly!$C$5:$BJ$5,C$3,Monthly!$C$78:$BJ$78)</f>
        <v>120047.062285958</v>
      </c>
      <c r="D16" s="73" t="n">
        <f aca="false">SUMIF(Monthly!$C$5:$BJ$5,D$3,Monthly!$C$78:$BJ$78)</f>
        <v>153063.518677316</v>
      </c>
      <c r="E16" s="73" t="n">
        <f aca="false">SUMIF(Monthly!$C$5:$BJ$5,E$3,Monthly!$C$78:$BJ$78)</f>
        <v>190221.656814303</v>
      </c>
      <c r="F16" s="73" t="n">
        <f aca="false">SUMIF(Monthly!$C$5:$BJ$5,F$3,Monthly!$C$78:$BJ$78)</f>
        <v>232187.190108123</v>
      </c>
    </row>
    <row r="17" customFormat="false" ht="15" hidden="false" customHeight="false" outlineLevel="0" collapsed="false">
      <c r="A17" s="6" t="s">
        <v>335</v>
      </c>
      <c r="B17" s="67" t="n">
        <f aca="false">INDEX(Monthly!$C$79:$BJ$79,(B$3-1)*12+1)</f>
        <v>0</v>
      </c>
      <c r="C17" s="67" t="n">
        <f aca="false">INDEX(Monthly!$C$79:$BJ$79,(C$3-1)*12+1)</f>
        <v>126250.620109841</v>
      </c>
      <c r="D17" s="67" t="n">
        <f aca="false">INDEX(Monthly!$C$79:$BJ$79,(D$3-1)*12+1)</f>
        <v>246297.6823958</v>
      </c>
      <c r="E17" s="67" t="n">
        <f aca="false">INDEX(Monthly!$C$79:$BJ$79,(E$3-1)*12+1)</f>
        <v>399361.201073116</v>
      </c>
      <c r="F17" s="67" t="n">
        <f aca="false">INDEX(Monthly!$C$79:$BJ$79,(F$3-1)*12+1)</f>
        <v>589582.857887419</v>
      </c>
    </row>
    <row r="18" customFormat="false" ht="15" hidden="false" customHeight="false" outlineLevel="0" collapsed="false">
      <c r="A18" s="70" t="s">
        <v>87</v>
      </c>
      <c r="B18" s="71" t="n">
        <f aca="false">INDEX(Monthly!$C$80:$BJ$80,B$3*12)</f>
        <v>126250.620109841</v>
      </c>
      <c r="C18" s="71" t="n">
        <f aca="false">INDEX(Monthly!$C$80:$BJ$80,C$3*12)</f>
        <v>246297.6823958</v>
      </c>
      <c r="D18" s="71" t="n">
        <f aca="false">INDEX(Monthly!$C$80:$BJ$80,D$3*12)</f>
        <v>399361.201073116</v>
      </c>
      <c r="E18" s="71" t="n">
        <f aca="false">INDEX(Monthly!$C$80:$BJ$80,E$3*12)</f>
        <v>589582.857887419</v>
      </c>
      <c r="F18" s="71" t="n">
        <f aca="false">INDEX(Monthly!$C$80:$BJ$80,F$3*12)</f>
        <v>821770.047995542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322</v>
      </c>
    </row>
    <row r="3" customFormat="false" ht="15" hidden="false" customHeight="false" outlineLevel="0" collapsed="false">
      <c r="A3" s="72" t="s">
        <v>155</v>
      </c>
      <c r="B3" s="72" t="n">
        <v>1</v>
      </c>
      <c r="C3" s="72" t="n">
        <v>2</v>
      </c>
      <c r="D3" s="72" t="n">
        <v>3</v>
      </c>
      <c r="E3" s="72" t="n">
        <v>4</v>
      </c>
      <c r="F3" s="72" t="n">
        <v>5</v>
      </c>
    </row>
    <row r="4" customFormat="false" ht="15" hidden="false" customHeight="false" outlineLevel="0" collapsed="false">
      <c r="A4" s="33"/>
      <c r="B4" s="50" t="s">
        <v>156</v>
      </c>
      <c r="C4" s="50" t="s">
        <v>157</v>
      </c>
      <c r="D4" s="50" t="s">
        <v>158</v>
      </c>
      <c r="E4" s="50" t="s">
        <v>159</v>
      </c>
      <c r="F4" s="50" t="s">
        <v>160</v>
      </c>
    </row>
    <row r="5" customFormat="false" ht="15" hidden="false" customHeight="false" outlineLevel="0" collapsed="false">
      <c r="A5" s="6" t="s">
        <v>89</v>
      </c>
      <c r="B5" s="67" t="n">
        <f aca="false">INDEX(Monthly!$C$80:$BJ$80,B$3*12)</f>
        <v>126250.620109841</v>
      </c>
      <c r="C5" s="67" t="n">
        <f aca="false">INDEX(Monthly!$C$80:$BJ$80,C$3*12)</f>
        <v>246297.6823958</v>
      </c>
      <c r="D5" s="67" t="n">
        <f aca="false">INDEX(Monthly!$C$80:$BJ$80,D$3*12)</f>
        <v>399361.201073116</v>
      </c>
      <c r="E5" s="67" t="n">
        <f aca="false">INDEX(Monthly!$C$80:$BJ$80,E$3*12)</f>
        <v>589582.857887419</v>
      </c>
      <c r="F5" s="67" t="n">
        <f aca="false">INDEX(Monthly!$C$80:$BJ$80,F$3*12)</f>
        <v>821770.047995542</v>
      </c>
    </row>
    <row r="6" customFormat="false" ht="15" hidden="false" customHeight="false" outlineLevel="0" collapsed="false">
      <c r="A6" s="6" t="s">
        <v>90</v>
      </c>
      <c r="B6" s="67" t="n">
        <f aca="false">INDEX(Monthly!$C$66:$BJ$66,B$3*12)</f>
        <v>45676.8</v>
      </c>
      <c r="C6" s="67" t="n">
        <f aca="false">INDEX(Monthly!$C$66:$BJ$66,C$3*12)</f>
        <v>49499.72352</v>
      </c>
      <c r="D6" s="67" t="n">
        <f aca="false">INDEX(Monthly!$C$66:$BJ$66,D$3*12)</f>
        <v>53715.392385408</v>
      </c>
      <c r="E6" s="67" t="n">
        <f aca="false">INDEX(Monthly!$C$66:$BJ$66,E$3*12)</f>
        <v>58372.2899287063</v>
      </c>
      <c r="F6" s="67" t="n">
        <f aca="false">INDEX(Monthly!$C$66:$BJ$66,F$3*12)</f>
        <v>63525.6253229748</v>
      </c>
    </row>
    <row r="7" customFormat="false" ht="15" hidden="false" customHeight="false" outlineLevel="0" collapsed="false">
      <c r="A7" s="6" t="s">
        <v>91</v>
      </c>
      <c r="B7" s="67" t="n">
        <f aca="false">INDEX(Monthly!$C$67:$BJ$67,B$3*12)</f>
        <v>4796.53028571429</v>
      </c>
      <c r="C7" s="67" t="n">
        <f aca="false">INDEX(Monthly!$C$67:$BJ$67,C$3*12)</f>
        <v>5215.31909211429</v>
      </c>
      <c r="D7" s="67" t="n">
        <f aca="false">INDEX(Monthly!$C$67:$BJ$67,D$3*12)</f>
        <v>5679.07020202725</v>
      </c>
      <c r="E7" s="67" t="n">
        <f aca="false">INDEX(Monthly!$C$67:$BJ$67,E$3*12)</f>
        <v>6193.51057855232</v>
      </c>
      <c r="F7" s="67" t="n">
        <f aca="false">INDEX(Monthly!$C$67:$BJ$67,F$3*12)</f>
        <v>6765.17503019541</v>
      </c>
    </row>
    <row r="8" customFormat="false" ht="15" hidden="false" customHeight="false" outlineLevel="0" collapsed="false">
      <c r="A8" s="6" t="s">
        <v>92</v>
      </c>
      <c r="B8" s="67" t="n">
        <f aca="false">INDEX(Monthly!$C$57:$BJ$57,B$3*12)</f>
        <v>77142.8571428571</v>
      </c>
      <c r="C8" s="67" t="n">
        <f aca="false">INDEX(Monthly!$C$57:$BJ$57,C$3*12)</f>
        <v>77202.380952381</v>
      </c>
      <c r="D8" s="67" t="n">
        <f aca="false">INDEX(Monthly!$C$57:$BJ$57,D$3*12)</f>
        <v>75261.9047619049</v>
      </c>
      <c r="E8" s="67" t="n">
        <f aca="false">INDEX(Monthly!$C$57:$BJ$57,E$3*12)</f>
        <v>71321.4285714287</v>
      </c>
      <c r="F8" s="67" t="n">
        <f aca="false">INDEX(Monthly!$C$57:$BJ$57,F$3*12)</f>
        <v>65380.9523809524</v>
      </c>
    </row>
    <row r="9" customFormat="false" ht="15" hidden="false" customHeight="false" outlineLevel="0" collapsed="false">
      <c r="A9" s="115" t="s">
        <v>93</v>
      </c>
      <c r="B9" s="68" t="n">
        <f aca="false">INDEX(Monthly!$C$94:$BJ$94,B$3*12)</f>
        <v>253866.807538413</v>
      </c>
      <c r="C9" s="68" t="n">
        <f aca="false">INDEX(Monthly!$C$94:$BJ$94,C$3*12)</f>
        <v>378215.105960295</v>
      </c>
      <c r="D9" s="68" t="n">
        <f aca="false">INDEX(Monthly!$C$94:$BJ$94,D$3*12)</f>
        <v>534017.568422456</v>
      </c>
      <c r="E9" s="68" t="n">
        <f aca="false">INDEX(Monthly!$C$94:$BJ$94,E$3*12)</f>
        <v>725470.086966106</v>
      </c>
      <c r="F9" s="68" t="n">
        <f aca="false">INDEX(Monthly!$C$94:$BJ$94,F$3*12)</f>
        <v>957441.800729665</v>
      </c>
    </row>
    <row r="10" customFormat="false" ht="15" hidden="false" customHeight="false" outlineLevel="0" collapsed="false">
      <c r="A10" s="6" t="s">
        <v>94</v>
      </c>
      <c r="B10" s="67" t="n">
        <f aca="false">INDEX(Monthly!$C$68:$BJ$68,B$3*12)</f>
        <v>28779.1817142857</v>
      </c>
      <c r="C10" s="67" t="n">
        <f aca="false">INDEX(Monthly!$C$68:$BJ$68,C$3*12)</f>
        <v>31291.9145526857</v>
      </c>
      <c r="D10" s="67" t="n">
        <f aca="false">INDEX(Monthly!$C$68:$BJ$68,D$3*12)</f>
        <v>34074.4212121635</v>
      </c>
      <c r="E10" s="67" t="n">
        <f aca="false">INDEX(Monthly!$C$68:$BJ$68,E$3*12)</f>
        <v>37161.0634713139</v>
      </c>
      <c r="F10" s="67" t="n">
        <f aca="false">INDEX(Monthly!$C$68:$BJ$68,F$3*12)</f>
        <v>40591.0501811724</v>
      </c>
    </row>
    <row r="11" customFormat="false" ht="15" hidden="false" customHeight="false" outlineLevel="0" collapsed="false">
      <c r="A11" s="6" t="s">
        <v>95</v>
      </c>
      <c r="B11" s="67" t="n">
        <f aca="false">INDEX(Monthly!$C$63:$BJ$63,B$3*12)</f>
        <v>65333.3333333334</v>
      </c>
      <c r="C11" s="67" t="n">
        <f aca="false">INDEX(Monthly!$C$63:$BJ$63,C$3*12)</f>
        <v>49333.3333333334</v>
      </c>
      <c r="D11" s="67" t="n">
        <f aca="false">INDEX(Monthly!$C$63:$BJ$63,D$3*12)</f>
        <v>33333.3333333333</v>
      </c>
      <c r="E11" s="67" t="n">
        <f aca="false">INDEX(Monthly!$C$63:$BJ$63,E$3*12)</f>
        <v>17333.3333333333</v>
      </c>
      <c r="F11" s="67" t="n">
        <f aca="false">INDEX(Monthly!$C$63:$BJ$63,F$3*12)</f>
        <v>1333.33333333333</v>
      </c>
    </row>
    <row r="12" customFormat="false" ht="15" hidden="false" customHeight="false" outlineLevel="0" collapsed="false">
      <c r="A12" s="116" t="s">
        <v>96</v>
      </c>
      <c r="B12" s="117" t="n">
        <f aca="false">INDEX(Monthly!$C$95:$BJ$95,B$3*12)</f>
        <v>94112.5150476191</v>
      </c>
      <c r="C12" s="117" t="n">
        <f aca="false">INDEX(Monthly!$C$95:$BJ$95,C$3*12)</f>
        <v>80625.2478860191</v>
      </c>
      <c r="D12" s="117" t="n">
        <f aca="false">INDEX(Monthly!$C$95:$BJ$95,D$3*12)</f>
        <v>67407.7545454968</v>
      </c>
      <c r="E12" s="117" t="n">
        <f aca="false">INDEX(Monthly!$C$95:$BJ$95,E$3*12)</f>
        <v>54494.3968046472</v>
      </c>
      <c r="F12" s="117" t="n">
        <f aca="false">INDEX(Monthly!$C$95:$BJ$95,F$3*12)</f>
        <v>41924.3835145058</v>
      </c>
    </row>
    <row r="13" customFormat="false" ht="15" hidden="false" customHeight="false" outlineLevel="0" collapsed="false">
      <c r="A13" s="6" t="s">
        <v>97</v>
      </c>
      <c r="B13" s="67" t="n">
        <f aca="false">INDEX(Monthly!$C$92:$BJ$92,B$3*12)</f>
        <v>60000</v>
      </c>
      <c r="C13" s="67" t="n">
        <f aca="false">INDEX(Monthly!$C$92:$BJ$92,C$3*12)</f>
        <v>60000</v>
      </c>
      <c r="D13" s="67" t="n">
        <f aca="false">INDEX(Monthly!$C$92:$BJ$92,D$3*12)</f>
        <v>60000</v>
      </c>
      <c r="E13" s="67" t="n">
        <f aca="false">INDEX(Monthly!$C$92:$BJ$92,E$3*12)</f>
        <v>60000</v>
      </c>
      <c r="F13" s="67" t="n">
        <f aca="false">INDEX(Monthly!$C$92:$BJ$92,F$3*12)</f>
        <v>60000</v>
      </c>
    </row>
    <row r="14" customFormat="false" ht="15" hidden="false" customHeight="false" outlineLevel="0" collapsed="false">
      <c r="A14" s="6" t="s">
        <v>98</v>
      </c>
      <c r="B14" s="67" t="n">
        <f aca="false">INDEX(Monthly!$C$93:$BJ$93,B$3*12)</f>
        <v>99754.2924907937</v>
      </c>
      <c r="C14" s="67" t="n">
        <f aca="false">INDEX(Monthly!$C$93:$BJ$93,C$3*12)</f>
        <v>237589.858074276</v>
      </c>
      <c r="D14" s="67" t="n">
        <f aca="false">INDEX(Monthly!$C$93:$BJ$93,D$3*12)</f>
        <v>406609.813876959</v>
      </c>
      <c r="E14" s="67" t="n">
        <f aca="false">INDEX(Monthly!$C$93:$BJ$93,E$3*12)</f>
        <v>610975.690161459</v>
      </c>
      <c r="F14" s="67" t="n">
        <f aca="false">INDEX(Monthly!$C$93:$BJ$93,F$3*12)</f>
        <v>855517.417215159</v>
      </c>
    </row>
    <row r="15" customFormat="false" ht="15" hidden="false" customHeight="false" outlineLevel="0" collapsed="false">
      <c r="A15" s="116" t="s">
        <v>99</v>
      </c>
      <c r="B15" s="117" t="n">
        <f aca="false">INDEX(Monthly!$C$96:$BJ$96,B$3*12)</f>
        <v>159754.292490794</v>
      </c>
      <c r="C15" s="117" t="n">
        <f aca="false">INDEX(Monthly!$C$96:$BJ$96,C$3*12)</f>
        <v>297589.858074276</v>
      </c>
      <c r="D15" s="117" t="n">
        <f aca="false">INDEX(Monthly!$C$96:$BJ$96,D$3*12)</f>
        <v>466609.813876959</v>
      </c>
      <c r="E15" s="117" t="n">
        <f aca="false">INDEX(Monthly!$C$96:$BJ$96,E$3*12)</f>
        <v>670975.690161459</v>
      </c>
      <c r="F15" s="117" t="n">
        <f aca="false">INDEX(Monthly!$C$96:$BJ$96,F$3*12)</f>
        <v>915517.417215159</v>
      </c>
    </row>
    <row r="16" customFormat="false" ht="15" hidden="false" customHeight="false" outlineLevel="0" collapsed="false">
      <c r="A16" s="70" t="s">
        <v>100</v>
      </c>
      <c r="B16" s="71" t="n">
        <f aca="false">INDEX(Monthly!$C$97:$BJ$97,B$3*12)</f>
        <v>253866.807538413</v>
      </c>
      <c r="C16" s="71" t="n">
        <f aca="false">INDEX(Monthly!$C$97:$BJ$97,C$3*12)</f>
        <v>378215.105960295</v>
      </c>
      <c r="D16" s="71" t="n">
        <f aca="false">INDEX(Monthly!$C$97:$BJ$97,D$3*12)</f>
        <v>534017.568422456</v>
      </c>
      <c r="E16" s="71" t="n">
        <f aca="false">INDEX(Monthly!$C$97:$BJ$97,E$3*12)</f>
        <v>725470.086966106</v>
      </c>
      <c r="F16" s="71" t="n">
        <f aca="false">INDEX(Monthly!$C$97:$BJ$97,F$3*12)</f>
        <v>957441.800729664</v>
      </c>
    </row>
    <row r="17" customFormat="false" ht="15" hidden="false" customHeight="false" outlineLevel="0" collapsed="false">
      <c r="A17" s="6" t="s">
        <v>336</v>
      </c>
      <c r="B17" s="67" t="n">
        <f aca="false">INDEX(Monthly!$C$98:$BJ$98,B$3*12)</f>
        <v>0</v>
      </c>
      <c r="C17" s="67" t="n">
        <f aca="false">INDEX(Monthly!$C$98:$BJ$98,C$3*12)</f>
        <v>0</v>
      </c>
      <c r="D17" s="67" t="n">
        <f aca="false">INDEX(Monthly!$C$98:$BJ$98,D$3*12)</f>
        <v>0</v>
      </c>
      <c r="E17" s="67" t="n">
        <f aca="false">INDEX(Monthly!$C$98:$BJ$98,E$3*12)</f>
        <v>0</v>
      </c>
      <c r="F17" s="67" t="n">
        <f aca="false">INDEX(Monthly!$C$98:$BJ$98,F$3*12)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9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337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338</v>
      </c>
    </row>
    <row r="3" customFormat="false" ht="15" hidden="false" customHeight="false" outlineLevel="0" collapsed="false">
      <c r="A3" s="33" t="s">
        <v>339</v>
      </c>
      <c r="C3" s="50" t="s">
        <v>340</v>
      </c>
      <c r="D3" s="50" t="s">
        <v>341</v>
      </c>
      <c r="E3" s="50" t="s">
        <v>342</v>
      </c>
      <c r="F3" s="50" t="s">
        <v>343</v>
      </c>
      <c r="G3" s="50" t="s">
        <v>344</v>
      </c>
      <c r="H3" s="50" t="s">
        <v>345</v>
      </c>
      <c r="I3" s="50" t="s">
        <v>346</v>
      </c>
      <c r="J3" s="50" t="s">
        <v>347</v>
      </c>
      <c r="K3" s="50" t="s">
        <v>348</v>
      </c>
      <c r="L3" s="50" t="s">
        <v>349</v>
      </c>
      <c r="M3" s="50" t="s">
        <v>350</v>
      </c>
      <c r="N3" s="50" t="s">
        <v>351</v>
      </c>
      <c r="O3" s="50" t="s">
        <v>352</v>
      </c>
      <c r="P3" s="50" t="s">
        <v>353</v>
      </c>
      <c r="Q3" s="50" t="s">
        <v>354</v>
      </c>
      <c r="R3" s="50" t="s">
        <v>355</v>
      </c>
      <c r="S3" s="50" t="s">
        <v>356</v>
      </c>
      <c r="T3" s="50" t="s">
        <v>357</v>
      </c>
      <c r="U3" s="50" t="s">
        <v>358</v>
      </c>
      <c r="V3" s="50" t="s">
        <v>359</v>
      </c>
      <c r="W3" s="50" t="s">
        <v>360</v>
      </c>
      <c r="X3" s="50" t="s">
        <v>361</v>
      </c>
      <c r="Y3" s="50" t="s">
        <v>362</v>
      </c>
      <c r="Z3" s="50" t="s">
        <v>363</v>
      </c>
      <c r="AA3" s="50" t="s">
        <v>364</v>
      </c>
      <c r="AB3" s="50" t="s">
        <v>365</v>
      </c>
      <c r="AC3" s="50" t="s">
        <v>366</v>
      </c>
      <c r="AD3" s="50" t="s">
        <v>367</v>
      </c>
      <c r="AE3" s="50" t="s">
        <v>368</v>
      </c>
      <c r="AF3" s="50" t="s">
        <v>369</v>
      </c>
      <c r="AG3" s="50" t="s">
        <v>370</v>
      </c>
      <c r="AH3" s="50" t="s">
        <v>371</v>
      </c>
      <c r="AI3" s="50" t="s">
        <v>372</v>
      </c>
      <c r="AJ3" s="50" t="s">
        <v>373</v>
      </c>
      <c r="AK3" s="50" t="s">
        <v>374</v>
      </c>
      <c r="AL3" s="50" t="s">
        <v>375</v>
      </c>
      <c r="AM3" s="50" t="s">
        <v>376</v>
      </c>
      <c r="AN3" s="50" t="s">
        <v>377</v>
      </c>
      <c r="AO3" s="50" t="s">
        <v>378</v>
      </c>
      <c r="AP3" s="50" t="s">
        <v>379</v>
      </c>
      <c r="AQ3" s="50" t="s">
        <v>380</v>
      </c>
      <c r="AR3" s="50" t="s">
        <v>381</v>
      </c>
      <c r="AS3" s="50" t="s">
        <v>382</v>
      </c>
      <c r="AT3" s="50" t="s">
        <v>383</v>
      </c>
      <c r="AU3" s="50" t="s">
        <v>384</v>
      </c>
      <c r="AV3" s="50" t="s">
        <v>385</v>
      </c>
      <c r="AW3" s="50" t="s">
        <v>386</v>
      </c>
      <c r="AX3" s="50" t="s">
        <v>387</v>
      </c>
      <c r="AY3" s="50" t="s">
        <v>388</v>
      </c>
      <c r="AZ3" s="50" t="s">
        <v>389</v>
      </c>
      <c r="BA3" s="50" t="s">
        <v>390</v>
      </c>
      <c r="BB3" s="50" t="s">
        <v>391</v>
      </c>
      <c r="BC3" s="50" t="s">
        <v>392</v>
      </c>
      <c r="BD3" s="50" t="s">
        <v>393</v>
      </c>
      <c r="BE3" s="50" t="s">
        <v>394</v>
      </c>
      <c r="BF3" s="50" t="s">
        <v>395</v>
      </c>
      <c r="BG3" s="50" t="s">
        <v>396</v>
      </c>
      <c r="BH3" s="50" t="s">
        <v>397</v>
      </c>
      <c r="BI3" s="50" t="s">
        <v>398</v>
      </c>
      <c r="BJ3" s="50" t="s">
        <v>399</v>
      </c>
    </row>
    <row r="4" customFormat="false" ht="15" hidden="false" customHeight="false" outlineLevel="0" collapsed="false">
      <c r="A4" s="72" t="s">
        <v>400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  <c r="AM4" s="72" t="n">
        <v>37</v>
      </c>
      <c r="AN4" s="72" t="n">
        <v>38</v>
      </c>
      <c r="AO4" s="72" t="n">
        <v>39</v>
      </c>
      <c r="AP4" s="72" t="n">
        <v>40</v>
      </c>
      <c r="AQ4" s="72" t="n">
        <v>41</v>
      </c>
      <c r="AR4" s="72" t="n">
        <v>42</v>
      </c>
      <c r="AS4" s="72" t="n">
        <v>43</v>
      </c>
      <c r="AT4" s="72" t="n">
        <v>44</v>
      </c>
      <c r="AU4" s="72" t="n">
        <v>45</v>
      </c>
      <c r="AV4" s="72" t="n">
        <v>46</v>
      </c>
      <c r="AW4" s="72" t="n">
        <v>47</v>
      </c>
      <c r="AX4" s="72" t="n">
        <v>48</v>
      </c>
      <c r="AY4" s="72" t="n">
        <v>49</v>
      </c>
      <c r="AZ4" s="72" t="n">
        <v>50</v>
      </c>
      <c r="BA4" s="72" t="n">
        <v>51</v>
      </c>
      <c r="BB4" s="72" t="n">
        <v>52</v>
      </c>
      <c r="BC4" s="72" t="n">
        <v>53</v>
      </c>
      <c r="BD4" s="72" t="n">
        <v>54</v>
      </c>
      <c r="BE4" s="72" t="n">
        <v>55</v>
      </c>
      <c r="BF4" s="72" t="n">
        <v>56</v>
      </c>
      <c r="BG4" s="72" t="n">
        <v>57</v>
      </c>
      <c r="BH4" s="72" t="n">
        <v>58</v>
      </c>
      <c r="BI4" s="72" t="n">
        <v>59</v>
      </c>
      <c r="BJ4" s="72" t="n">
        <v>60</v>
      </c>
    </row>
    <row r="5" customFormat="false" ht="15" hidden="false" customHeight="false" outlineLevel="0" collapsed="false">
      <c r="A5" s="72" t="s">
        <v>155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  <c r="AM5" s="72" t="n">
        <f aca="false">ROUNDUP(AM4*1/12,0)</f>
        <v>4</v>
      </c>
      <c r="AN5" s="72" t="n">
        <f aca="false">ROUNDUP(AN4*1/12,0)</f>
        <v>4</v>
      </c>
      <c r="AO5" s="72" t="n">
        <f aca="false">ROUNDUP(AO4*1/12,0)</f>
        <v>4</v>
      </c>
      <c r="AP5" s="72" t="n">
        <f aca="false">ROUNDUP(AP4*1/12,0)</f>
        <v>4</v>
      </c>
      <c r="AQ5" s="72" t="n">
        <f aca="false">ROUNDUP(AQ4*1/12,0)</f>
        <v>4</v>
      </c>
      <c r="AR5" s="72" t="n">
        <f aca="false">ROUNDUP(AR4*1/12,0)</f>
        <v>4</v>
      </c>
      <c r="AS5" s="72" t="n">
        <f aca="false">ROUNDUP(AS4*1/12,0)</f>
        <v>4</v>
      </c>
      <c r="AT5" s="72" t="n">
        <f aca="false">ROUNDUP(AT4*1/12,0)</f>
        <v>4</v>
      </c>
      <c r="AU5" s="72" t="n">
        <f aca="false">ROUNDUP(AU4*1/12,0)</f>
        <v>4</v>
      </c>
      <c r="AV5" s="72" t="n">
        <f aca="false">ROUNDUP(AV4*1/12,0)</f>
        <v>4</v>
      </c>
      <c r="AW5" s="72" t="n">
        <f aca="false">ROUNDUP(AW4*1/12,0)</f>
        <v>4</v>
      </c>
      <c r="AX5" s="72" t="n">
        <f aca="false">ROUNDUP(AX4*1/12,0)</f>
        <v>4</v>
      </c>
      <c r="AY5" s="72" t="n">
        <f aca="false">ROUNDUP(AY4*1/12,0)</f>
        <v>5</v>
      </c>
      <c r="AZ5" s="72" t="n">
        <f aca="false">ROUNDUP(AZ4*1/12,0)</f>
        <v>5</v>
      </c>
      <c r="BA5" s="72" t="n">
        <f aca="false">ROUNDUP(BA4*1/12,0)</f>
        <v>5</v>
      </c>
      <c r="BB5" s="72" t="n">
        <f aca="false">ROUNDUP(BB4*1/12,0)</f>
        <v>5</v>
      </c>
      <c r="BC5" s="72" t="n">
        <f aca="false">ROUNDUP(BC4*1/12,0)</f>
        <v>5</v>
      </c>
      <c r="BD5" s="72" t="n">
        <f aca="false">ROUNDUP(BD4*1/12,0)</f>
        <v>5</v>
      </c>
      <c r="BE5" s="72" t="n">
        <f aca="false">ROUNDUP(BE4*1/12,0)</f>
        <v>5</v>
      </c>
      <c r="BF5" s="72" t="n">
        <f aca="false">ROUNDUP(BF4*1/12,0)</f>
        <v>5</v>
      </c>
      <c r="BG5" s="72" t="n">
        <f aca="false">ROUNDUP(BG4*1/12,0)</f>
        <v>5</v>
      </c>
      <c r="BH5" s="72" t="n">
        <f aca="false">ROUNDUP(BH4*1/12,0)</f>
        <v>5</v>
      </c>
      <c r="BI5" s="72" t="n">
        <f aca="false">ROUNDUP(BI4*1/12,0)</f>
        <v>5</v>
      </c>
      <c r="BJ5" s="72" t="n">
        <f aca="false">ROUNDUP(BJ4*1/12,0)</f>
        <v>5</v>
      </c>
    </row>
    <row r="7" customFormat="false" ht="15.75" hidden="false" customHeight="true" outlineLevel="0" collapsed="false">
      <c r="A7" s="7" t="s">
        <v>249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38" t="s">
        <v>401</v>
      </c>
      <c r="C8" s="74" t="n">
        <f aca="false">MIN(1,Inputs!$E$9+(1-Inputs!$E$9)*(C$4-1)/MAX(1,Inputs!$E$8))</f>
        <v>0.9</v>
      </c>
      <c r="D8" s="74" t="n">
        <f aca="false">MIN(1,Inputs!$E$9+(1-Inputs!$E$9)*(D$4-1)/MAX(1,Inputs!$E$8))</f>
        <v>0.95</v>
      </c>
      <c r="E8" s="74" t="n">
        <f aca="false">MIN(1,Inputs!$E$9+(1-Inputs!$E$9)*(E$4-1)/MAX(1,Inputs!$E$8))</f>
        <v>1</v>
      </c>
      <c r="F8" s="74" t="n">
        <f aca="false">MIN(1,Inputs!$E$9+(1-Inputs!$E$9)*(F$4-1)/MAX(1,Inputs!$E$8))</f>
        <v>1</v>
      </c>
      <c r="G8" s="74" t="n">
        <f aca="false">MIN(1,Inputs!$E$9+(1-Inputs!$E$9)*(G$4-1)/MAX(1,Inputs!$E$8))</f>
        <v>1</v>
      </c>
      <c r="H8" s="74" t="n">
        <f aca="false">MIN(1,Inputs!$E$9+(1-Inputs!$E$9)*(H$4-1)/MAX(1,Inputs!$E$8))</f>
        <v>1</v>
      </c>
      <c r="I8" s="74" t="n">
        <f aca="false">MIN(1,Inputs!$E$9+(1-Inputs!$E$9)*(I$4-1)/MAX(1,Inputs!$E$8))</f>
        <v>1</v>
      </c>
      <c r="J8" s="74" t="n">
        <f aca="false">MIN(1,Inputs!$E$9+(1-Inputs!$E$9)*(J$4-1)/MAX(1,Inputs!$E$8))</f>
        <v>1</v>
      </c>
      <c r="K8" s="74" t="n">
        <f aca="false">MIN(1,Inputs!$E$9+(1-Inputs!$E$9)*(K$4-1)/MAX(1,Inputs!$E$8))</f>
        <v>1</v>
      </c>
      <c r="L8" s="74" t="n">
        <f aca="false">MIN(1,Inputs!$E$9+(1-Inputs!$E$9)*(L$4-1)/MAX(1,Inputs!$E$8))</f>
        <v>1</v>
      </c>
      <c r="M8" s="74" t="n">
        <f aca="false">MIN(1,Inputs!$E$9+(1-Inputs!$E$9)*(M$4-1)/MAX(1,Inputs!$E$8))</f>
        <v>1</v>
      </c>
      <c r="N8" s="74" t="n">
        <f aca="false">MIN(1,Inputs!$E$9+(1-Inputs!$E$9)*(N$4-1)/MAX(1,Inputs!$E$8))</f>
        <v>1</v>
      </c>
      <c r="O8" s="74" t="n">
        <f aca="false">MIN(1,Inputs!$E$9+(1-Inputs!$E$9)*(O$4-1)/MAX(1,Inputs!$E$8))</f>
        <v>1</v>
      </c>
      <c r="P8" s="74" t="n">
        <f aca="false">MIN(1,Inputs!$E$9+(1-Inputs!$E$9)*(P$4-1)/MAX(1,Inputs!$E$8))</f>
        <v>1</v>
      </c>
      <c r="Q8" s="74" t="n">
        <f aca="false">MIN(1,Inputs!$E$9+(1-Inputs!$E$9)*(Q$4-1)/MAX(1,Inputs!$E$8))</f>
        <v>1</v>
      </c>
      <c r="R8" s="74" t="n">
        <f aca="false">MIN(1,Inputs!$E$9+(1-Inputs!$E$9)*(R$4-1)/MAX(1,Inputs!$E$8))</f>
        <v>1</v>
      </c>
      <c r="S8" s="74" t="n">
        <f aca="false">MIN(1,Inputs!$E$9+(1-Inputs!$E$9)*(S$4-1)/MAX(1,Inputs!$E$8))</f>
        <v>1</v>
      </c>
      <c r="T8" s="74" t="n">
        <f aca="false">MIN(1,Inputs!$E$9+(1-Inputs!$E$9)*(T$4-1)/MAX(1,Inputs!$E$8))</f>
        <v>1</v>
      </c>
      <c r="U8" s="74" t="n">
        <f aca="false">MIN(1,Inputs!$E$9+(1-Inputs!$E$9)*(U$4-1)/MAX(1,Inputs!$E$8))</f>
        <v>1</v>
      </c>
      <c r="V8" s="74" t="n">
        <f aca="false">MIN(1,Inputs!$E$9+(1-Inputs!$E$9)*(V$4-1)/MAX(1,Inputs!$E$8))</f>
        <v>1</v>
      </c>
      <c r="W8" s="74" t="n">
        <f aca="false">MIN(1,Inputs!$E$9+(1-Inputs!$E$9)*(W$4-1)/MAX(1,Inputs!$E$8))</f>
        <v>1</v>
      </c>
      <c r="X8" s="74" t="n">
        <f aca="false">MIN(1,Inputs!$E$9+(1-Inputs!$E$9)*(X$4-1)/MAX(1,Inputs!$E$8))</f>
        <v>1</v>
      </c>
      <c r="Y8" s="74" t="n">
        <f aca="false">MIN(1,Inputs!$E$9+(1-Inputs!$E$9)*(Y$4-1)/MAX(1,Inputs!$E$8))</f>
        <v>1</v>
      </c>
      <c r="Z8" s="74" t="n">
        <f aca="false">MIN(1,Inputs!$E$9+(1-Inputs!$E$9)*(Z$4-1)/MAX(1,Inputs!$E$8))</f>
        <v>1</v>
      </c>
      <c r="AA8" s="74" t="n">
        <f aca="false">MIN(1,Inputs!$E$9+(1-Inputs!$E$9)*(AA$4-1)/MAX(1,Inputs!$E$8))</f>
        <v>1</v>
      </c>
      <c r="AB8" s="74" t="n">
        <f aca="false">MIN(1,Inputs!$E$9+(1-Inputs!$E$9)*(AB$4-1)/MAX(1,Inputs!$E$8))</f>
        <v>1</v>
      </c>
      <c r="AC8" s="74" t="n">
        <f aca="false">MIN(1,Inputs!$E$9+(1-Inputs!$E$9)*(AC$4-1)/MAX(1,Inputs!$E$8))</f>
        <v>1</v>
      </c>
      <c r="AD8" s="74" t="n">
        <f aca="false">MIN(1,Inputs!$E$9+(1-Inputs!$E$9)*(AD$4-1)/MAX(1,Inputs!$E$8))</f>
        <v>1</v>
      </c>
      <c r="AE8" s="74" t="n">
        <f aca="false">MIN(1,Inputs!$E$9+(1-Inputs!$E$9)*(AE$4-1)/MAX(1,Inputs!$E$8))</f>
        <v>1</v>
      </c>
      <c r="AF8" s="74" t="n">
        <f aca="false">MIN(1,Inputs!$E$9+(1-Inputs!$E$9)*(AF$4-1)/MAX(1,Inputs!$E$8))</f>
        <v>1</v>
      </c>
      <c r="AG8" s="74" t="n">
        <f aca="false">MIN(1,Inputs!$E$9+(1-Inputs!$E$9)*(AG$4-1)/MAX(1,Inputs!$E$8))</f>
        <v>1</v>
      </c>
      <c r="AH8" s="74" t="n">
        <f aca="false">MIN(1,Inputs!$E$9+(1-Inputs!$E$9)*(AH$4-1)/MAX(1,Inputs!$E$8))</f>
        <v>1</v>
      </c>
      <c r="AI8" s="74" t="n">
        <f aca="false">MIN(1,Inputs!$E$9+(1-Inputs!$E$9)*(AI$4-1)/MAX(1,Inputs!$E$8))</f>
        <v>1</v>
      </c>
      <c r="AJ8" s="74" t="n">
        <f aca="false">MIN(1,Inputs!$E$9+(1-Inputs!$E$9)*(AJ$4-1)/MAX(1,Inputs!$E$8))</f>
        <v>1</v>
      </c>
      <c r="AK8" s="74" t="n">
        <f aca="false">MIN(1,Inputs!$E$9+(1-Inputs!$E$9)*(AK$4-1)/MAX(1,Inputs!$E$8))</f>
        <v>1</v>
      </c>
      <c r="AL8" s="74" t="n">
        <f aca="false">MIN(1,Inputs!$E$9+(1-Inputs!$E$9)*(AL$4-1)/MAX(1,Inputs!$E$8))</f>
        <v>1</v>
      </c>
      <c r="AM8" s="74" t="n">
        <f aca="false">MIN(1,Inputs!$E$9+(1-Inputs!$E$9)*(AM$4-1)/MAX(1,Inputs!$E$8))</f>
        <v>1</v>
      </c>
      <c r="AN8" s="74" t="n">
        <f aca="false">MIN(1,Inputs!$E$9+(1-Inputs!$E$9)*(AN$4-1)/MAX(1,Inputs!$E$8))</f>
        <v>1</v>
      </c>
      <c r="AO8" s="74" t="n">
        <f aca="false">MIN(1,Inputs!$E$9+(1-Inputs!$E$9)*(AO$4-1)/MAX(1,Inputs!$E$8))</f>
        <v>1</v>
      </c>
      <c r="AP8" s="74" t="n">
        <f aca="false">MIN(1,Inputs!$E$9+(1-Inputs!$E$9)*(AP$4-1)/MAX(1,Inputs!$E$8))</f>
        <v>1</v>
      </c>
      <c r="AQ8" s="74" t="n">
        <f aca="false">MIN(1,Inputs!$E$9+(1-Inputs!$E$9)*(AQ$4-1)/MAX(1,Inputs!$E$8))</f>
        <v>1</v>
      </c>
      <c r="AR8" s="74" t="n">
        <f aca="false">MIN(1,Inputs!$E$9+(1-Inputs!$E$9)*(AR$4-1)/MAX(1,Inputs!$E$8))</f>
        <v>1</v>
      </c>
      <c r="AS8" s="74" t="n">
        <f aca="false">MIN(1,Inputs!$E$9+(1-Inputs!$E$9)*(AS$4-1)/MAX(1,Inputs!$E$8))</f>
        <v>1</v>
      </c>
      <c r="AT8" s="74" t="n">
        <f aca="false">MIN(1,Inputs!$E$9+(1-Inputs!$E$9)*(AT$4-1)/MAX(1,Inputs!$E$8))</f>
        <v>1</v>
      </c>
      <c r="AU8" s="74" t="n">
        <f aca="false">MIN(1,Inputs!$E$9+(1-Inputs!$E$9)*(AU$4-1)/MAX(1,Inputs!$E$8))</f>
        <v>1</v>
      </c>
      <c r="AV8" s="74" t="n">
        <f aca="false">MIN(1,Inputs!$E$9+(1-Inputs!$E$9)*(AV$4-1)/MAX(1,Inputs!$E$8))</f>
        <v>1</v>
      </c>
      <c r="AW8" s="74" t="n">
        <f aca="false">MIN(1,Inputs!$E$9+(1-Inputs!$E$9)*(AW$4-1)/MAX(1,Inputs!$E$8))</f>
        <v>1</v>
      </c>
      <c r="AX8" s="74" t="n">
        <f aca="false">MIN(1,Inputs!$E$9+(1-Inputs!$E$9)*(AX$4-1)/MAX(1,Inputs!$E$8))</f>
        <v>1</v>
      </c>
      <c r="AY8" s="74" t="n">
        <f aca="false">MIN(1,Inputs!$E$9+(1-Inputs!$E$9)*(AY$4-1)/MAX(1,Inputs!$E$8))</f>
        <v>1</v>
      </c>
      <c r="AZ8" s="74" t="n">
        <f aca="false">MIN(1,Inputs!$E$9+(1-Inputs!$E$9)*(AZ$4-1)/MAX(1,Inputs!$E$8))</f>
        <v>1</v>
      </c>
      <c r="BA8" s="74" t="n">
        <f aca="false">MIN(1,Inputs!$E$9+(1-Inputs!$E$9)*(BA$4-1)/MAX(1,Inputs!$E$8))</f>
        <v>1</v>
      </c>
      <c r="BB8" s="74" t="n">
        <f aca="false">MIN(1,Inputs!$E$9+(1-Inputs!$E$9)*(BB$4-1)/MAX(1,Inputs!$E$8))</f>
        <v>1</v>
      </c>
      <c r="BC8" s="74" t="n">
        <f aca="false">MIN(1,Inputs!$E$9+(1-Inputs!$E$9)*(BC$4-1)/MAX(1,Inputs!$E$8))</f>
        <v>1</v>
      </c>
      <c r="BD8" s="74" t="n">
        <f aca="false">MIN(1,Inputs!$E$9+(1-Inputs!$E$9)*(BD$4-1)/MAX(1,Inputs!$E$8))</f>
        <v>1</v>
      </c>
      <c r="BE8" s="74" t="n">
        <f aca="false">MIN(1,Inputs!$E$9+(1-Inputs!$E$9)*(BE$4-1)/MAX(1,Inputs!$E$8))</f>
        <v>1</v>
      </c>
      <c r="BF8" s="74" t="n">
        <f aca="false">MIN(1,Inputs!$E$9+(1-Inputs!$E$9)*(BF$4-1)/MAX(1,Inputs!$E$8))</f>
        <v>1</v>
      </c>
      <c r="BG8" s="74" t="n">
        <f aca="false">MIN(1,Inputs!$E$9+(1-Inputs!$E$9)*(BG$4-1)/MAX(1,Inputs!$E$8))</f>
        <v>1</v>
      </c>
      <c r="BH8" s="74" t="n">
        <f aca="false">MIN(1,Inputs!$E$9+(1-Inputs!$E$9)*(BH$4-1)/MAX(1,Inputs!$E$8))</f>
        <v>1</v>
      </c>
      <c r="BI8" s="74" t="n">
        <f aca="false">MIN(1,Inputs!$E$9+(1-Inputs!$E$9)*(BI$4-1)/MAX(1,Inputs!$E$8))</f>
        <v>1</v>
      </c>
      <c r="BJ8" s="74" t="n">
        <f aca="false">MIN(1,Inputs!$E$9+(1-Inputs!$E$9)*(BJ$4-1)/MAX(1,Inputs!$E$8))</f>
        <v>1</v>
      </c>
    </row>
    <row r="9" customFormat="false" ht="15" hidden="false" customHeight="false" outlineLevel="0" collapsed="false">
      <c r="A9" s="6" t="s">
        <v>402</v>
      </c>
      <c r="C9" s="118" t="n">
        <f aca="false">IF(MOD(C$4-1,12)&gt;=10,1+Inputs!$E$14,1-Inputs!$E$14/5)</f>
        <v>0.96</v>
      </c>
      <c r="D9" s="118" t="n">
        <f aca="false">IF(MOD(D$4-1,12)&gt;=10,1+Inputs!$E$14,1-Inputs!$E$14/5)</f>
        <v>0.96</v>
      </c>
      <c r="E9" s="118" t="n">
        <f aca="false">IF(MOD(E$4-1,12)&gt;=10,1+Inputs!$E$14,1-Inputs!$E$14/5)</f>
        <v>0.96</v>
      </c>
      <c r="F9" s="118" t="n">
        <f aca="false">IF(MOD(F$4-1,12)&gt;=10,1+Inputs!$E$14,1-Inputs!$E$14/5)</f>
        <v>0.96</v>
      </c>
      <c r="G9" s="118" t="n">
        <f aca="false">IF(MOD(G$4-1,12)&gt;=10,1+Inputs!$E$14,1-Inputs!$E$14/5)</f>
        <v>0.96</v>
      </c>
      <c r="H9" s="118" t="n">
        <f aca="false">IF(MOD(H$4-1,12)&gt;=10,1+Inputs!$E$14,1-Inputs!$E$14/5)</f>
        <v>0.96</v>
      </c>
      <c r="I9" s="118" t="n">
        <f aca="false">IF(MOD(I$4-1,12)&gt;=10,1+Inputs!$E$14,1-Inputs!$E$14/5)</f>
        <v>0.96</v>
      </c>
      <c r="J9" s="118" t="n">
        <f aca="false">IF(MOD(J$4-1,12)&gt;=10,1+Inputs!$E$14,1-Inputs!$E$14/5)</f>
        <v>0.96</v>
      </c>
      <c r="K9" s="118" t="n">
        <f aca="false">IF(MOD(K$4-1,12)&gt;=10,1+Inputs!$E$14,1-Inputs!$E$14/5)</f>
        <v>0.96</v>
      </c>
      <c r="L9" s="118" t="n">
        <f aca="false">IF(MOD(L$4-1,12)&gt;=10,1+Inputs!$E$14,1-Inputs!$E$14/5)</f>
        <v>0.96</v>
      </c>
      <c r="M9" s="118" t="n">
        <f aca="false">IF(MOD(M$4-1,12)&gt;=10,1+Inputs!$E$14,1-Inputs!$E$14/5)</f>
        <v>1.2</v>
      </c>
      <c r="N9" s="118" t="n">
        <f aca="false">IF(MOD(N$4-1,12)&gt;=10,1+Inputs!$E$14,1-Inputs!$E$14/5)</f>
        <v>1.2</v>
      </c>
      <c r="O9" s="118" t="n">
        <f aca="false">IF(MOD(O$4-1,12)&gt;=10,1+Inputs!$E$14,1-Inputs!$E$14/5)</f>
        <v>0.96</v>
      </c>
      <c r="P9" s="118" t="n">
        <f aca="false">IF(MOD(P$4-1,12)&gt;=10,1+Inputs!$E$14,1-Inputs!$E$14/5)</f>
        <v>0.96</v>
      </c>
      <c r="Q9" s="118" t="n">
        <f aca="false">IF(MOD(Q$4-1,12)&gt;=10,1+Inputs!$E$14,1-Inputs!$E$14/5)</f>
        <v>0.96</v>
      </c>
      <c r="R9" s="118" t="n">
        <f aca="false">IF(MOD(R$4-1,12)&gt;=10,1+Inputs!$E$14,1-Inputs!$E$14/5)</f>
        <v>0.96</v>
      </c>
      <c r="S9" s="118" t="n">
        <f aca="false">IF(MOD(S$4-1,12)&gt;=10,1+Inputs!$E$14,1-Inputs!$E$14/5)</f>
        <v>0.96</v>
      </c>
      <c r="T9" s="118" t="n">
        <f aca="false">IF(MOD(T$4-1,12)&gt;=10,1+Inputs!$E$14,1-Inputs!$E$14/5)</f>
        <v>0.96</v>
      </c>
      <c r="U9" s="118" t="n">
        <f aca="false">IF(MOD(U$4-1,12)&gt;=10,1+Inputs!$E$14,1-Inputs!$E$14/5)</f>
        <v>0.96</v>
      </c>
      <c r="V9" s="118" t="n">
        <f aca="false">IF(MOD(V$4-1,12)&gt;=10,1+Inputs!$E$14,1-Inputs!$E$14/5)</f>
        <v>0.96</v>
      </c>
      <c r="W9" s="118" t="n">
        <f aca="false">IF(MOD(W$4-1,12)&gt;=10,1+Inputs!$E$14,1-Inputs!$E$14/5)</f>
        <v>0.96</v>
      </c>
      <c r="X9" s="118" t="n">
        <f aca="false">IF(MOD(X$4-1,12)&gt;=10,1+Inputs!$E$14,1-Inputs!$E$14/5)</f>
        <v>0.96</v>
      </c>
      <c r="Y9" s="118" t="n">
        <f aca="false">IF(MOD(Y$4-1,12)&gt;=10,1+Inputs!$E$14,1-Inputs!$E$14/5)</f>
        <v>1.2</v>
      </c>
      <c r="Z9" s="118" t="n">
        <f aca="false">IF(MOD(Z$4-1,12)&gt;=10,1+Inputs!$E$14,1-Inputs!$E$14/5)</f>
        <v>1.2</v>
      </c>
      <c r="AA9" s="118" t="n">
        <f aca="false">IF(MOD(AA$4-1,12)&gt;=10,1+Inputs!$E$14,1-Inputs!$E$14/5)</f>
        <v>0.96</v>
      </c>
      <c r="AB9" s="118" t="n">
        <f aca="false">IF(MOD(AB$4-1,12)&gt;=10,1+Inputs!$E$14,1-Inputs!$E$14/5)</f>
        <v>0.96</v>
      </c>
      <c r="AC9" s="118" t="n">
        <f aca="false">IF(MOD(AC$4-1,12)&gt;=10,1+Inputs!$E$14,1-Inputs!$E$14/5)</f>
        <v>0.96</v>
      </c>
      <c r="AD9" s="118" t="n">
        <f aca="false">IF(MOD(AD$4-1,12)&gt;=10,1+Inputs!$E$14,1-Inputs!$E$14/5)</f>
        <v>0.96</v>
      </c>
      <c r="AE9" s="118" t="n">
        <f aca="false">IF(MOD(AE$4-1,12)&gt;=10,1+Inputs!$E$14,1-Inputs!$E$14/5)</f>
        <v>0.96</v>
      </c>
      <c r="AF9" s="118" t="n">
        <f aca="false">IF(MOD(AF$4-1,12)&gt;=10,1+Inputs!$E$14,1-Inputs!$E$14/5)</f>
        <v>0.96</v>
      </c>
      <c r="AG9" s="118" t="n">
        <f aca="false">IF(MOD(AG$4-1,12)&gt;=10,1+Inputs!$E$14,1-Inputs!$E$14/5)</f>
        <v>0.96</v>
      </c>
      <c r="AH9" s="118" t="n">
        <f aca="false">IF(MOD(AH$4-1,12)&gt;=10,1+Inputs!$E$14,1-Inputs!$E$14/5)</f>
        <v>0.96</v>
      </c>
      <c r="AI9" s="118" t="n">
        <f aca="false">IF(MOD(AI$4-1,12)&gt;=10,1+Inputs!$E$14,1-Inputs!$E$14/5)</f>
        <v>0.96</v>
      </c>
      <c r="AJ9" s="118" t="n">
        <f aca="false">IF(MOD(AJ$4-1,12)&gt;=10,1+Inputs!$E$14,1-Inputs!$E$14/5)</f>
        <v>0.96</v>
      </c>
      <c r="AK9" s="118" t="n">
        <f aca="false">IF(MOD(AK$4-1,12)&gt;=10,1+Inputs!$E$14,1-Inputs!$E$14/5)</f>
        <v>1.2</v>
      </c>
      <c r="AL9" s="118" t="n">
        <f aca="false">IF(MOD(AL$4-1,12)&gt;=10,1+Inputs!$E$14,1-Inputs!$E$14/5)</f>
        <v>1.2</v>
      </c>
      <c r="AM9" s="118" t="n">
        <f aca="false">IF(MOD(AM$4-1,12)&gt;=10,1+Inputs!$E$14,1-Inputs!$E$14/5)</f>
        <v>0.96</v>
      </c>
      <c r="AN9" s="118" t="n">
        <f aca="false">IF(MOD(AN$4-1,12)&gt;=10,1+Inputs!$E$14,1-Inputs!$E$14/5)</f>
        <v>0.96</v>
      </c>
      <c r="AO9" s="118" t="n">
        <f aca="false">IF(MOD(AO$4-1,12)&gt;=10,1+Inputs!$E$14,1-Inputs!$E$14/5)</f>
        <v>0.96</v>
      </c>
      <c r="AP9" s="118" t="n">
        <f aca="false">IF(MOD(AP$4-1,12)&gt;=10,1+Inputs!$E$14,1-Inputs!$E$14/5)</f>
        <v>0.96</v>
      </c>
      <c r="AQ9" s="118" t="n">
        <f aca="false">IF(MOD(AQ$4-1,12)&gt;=10,1+Inputs!$E$14,1-Inputs!$E$14/5)</f>
        <v>0.96</v>
      </c>
      <c r="AR9" s="118" t="n">
        <f aca="false">IF(MOD(AR$4-1,12)&gt;=10,1+Inputs!$E$14,1-Inputs!$E$14/5)</f>
        <v>0.96</v>
      </c>
      <c r="AS9" s="118" t="n">
        <f aca="false">IF(MOD(AS$4-1,12)&gt;=10,1+Inputs!$E$14,1-Inputs!$E$14/5)</f>
        <v>0.96</v>
      </c>
      <c r="AT9" s="118" t="n">
        <f aca="false">IF(MOD(AT$4-1,12)&gt;=10,1+Inputs!$E$14,1-Inputs!$E$14/5)</f>
        <v>0.96</v>
      </c>
      <c r="AU9" s="118" t="n">
        <f aca="false">IF(MOD(AU$4-1,12)&gt;=10,1+Inputs!$E$14,1-Inputs!$E$14/5)</f>
        <v>0.96</v>
      </c>
      <c r="AV9" s="118" t="n">
        <f aca="false">IF(MOD(AV$4-1,12)&gt;=10,1+Inputs!$E$14,1-Inputs!$E$14/5)</f>
        <v>0.96</v>
      </c>
      <c r="AW9" s="118" t="n">
        <f aca="false">IF(MOD(AW$4-1,12)&gt;=10,1+Inputs!$E$14,1-Inputs!$E$14/5)</f>
        <v>1.2</v>
      </c>
      <c r="AX9" s="118" t="n">
        <f aca="false">IF(MOD(AX$4-1,12)&gt;=10,1+Inputs!$E$14,1-Inputs!$E$14/5)</f>
        <v>1.2</v>
      </c>
      <c r="AY9" s="118" t="n">
        <f aca="false">IF(MOD(AY$4-1,12)&gt;=10,1+Inputs!$E$14,1-Inputs!$E$14/5)</f>
        <v>0.96</v>
      </c>
      <c r="AZ9" s="118" t="n">
        <f aca="false">IF(MOD(AZ$4-1,12)&gt;=10,1+Inputs!$E$14,1-Inputs!$E$14/5)</f>
        <v>0.96</v>
      </c>
      <c r="BA9" s="118" t="n">
        <f aca="false">IF(MOD(BA$4-1,12)&gt;=10,1+Inputs!$E$14,1-Inputs!$E$14/5)</f>
        <v>0.96</v>
      </c>
      <c r="BB9" s="118" t="n">
        <f aca="false">IF(MOD(BB$4-1,12)&gt;=10,1+Inputs!$E$14,1-Inputs!$E$14/5)</f>
        <v>0.96</v>
      </c>
      <c r="BC9" s="118" t="n">
        <f aca="false">IF(MOD(BC$4-1,12)&gt;=10,1+Inputs!$E$14,1-Inputs!$E$14/5)</f>
        <v>0.96</v>
      </c>
      <c r="BD9" s="118" t="n">
        <f aca="false">IF(MOD(BD$4-1,12)&gt;=10,1+Inputs!$E$14,1-Inputs!$E$14/5)</f>
        <v>0.96</v>
      </c>
      <c r="BE9" s="118" t="n">
        <f aca="false">IF(MOD(BE$4-1,12)&gt;=10,1+Inputs!$E$14,1-Inputs!$E$14/5)</f>
        <v>0.96</v>
      </c>
      <c r="BF9" s="118" t="n">
        <f aca="false">IF(MOD(BF$4-1,12)&gt;=10,1+Inputs!$E$14,1-Inputs!$E$14/5)</f>
        <v>0.96</v>
      </c>
      <c r="BG9" s="118" t="n">
        <f aca="false">IF(MOD(BG$4-1,12)&gt;=10,1+Inputs!$E$14,1-Inputs!$E$14/5)</f>
        <v>0.96</v>
      </c>
      <c r="BH9" s="118" t="n">
        <f aca="false">IF(MOD(BH$4-1,12)&gt;=10,1+Inputs!$E$14,1-Inputs!$E$14/5)</f>
        <v>0.96</v>
      </c>
      <c r="BI9" s="118" t="n">
        <f aca="false">IF(MOD(BI$4-1,12)&gt;=10,1+Inputs!$E$14,1-Inputs!$E$14/5)</f>
        <v>1.2</v>
      </c>
      <c r="BJ9" s="118" t="n">
        <f aca="false">IF(MOD(BJ$4-1,12)&gt;=10,1+Inputs!$E$14,1-Inputs!$E$14/5)</f>
        <v>1.2</v>
      </c>
    </row>
    <row r="10" customFormat="false" ht="15" hidden="false" customHeight="false" outlineLevel="0" collapsed="false">
      <c r="A10" s="6" t="s">
        <v>403</v>
      </c>
      <c r="C10" s="118" t="n">
        <f aca="false">Inputs!$E$7*(1+Inputs!$E$10)^(C$5-1)*MAX(0,C8+C9-1)</f>
        <v>275.2</v>
      </c>
      <c r="D10" s="118" t="n">
        <f aca="false">Inputs!$E$7*(1+Inputs!$E$10)^(D$5-1)*MAX(0,D8+D9-1)</f>
        <v>291.2</v>
      </c>
      <c r="E10" s="118" t="n">
        <f aca="false">Inputs!$E$7*(1+Inputs!$E$10)^(E$5-1)*MAX(0,E8+E9-1)</f>
        <v>307.2</v>
      </c>
      <c r="F10" s="118" t="n">
        <f aca="false">Inputs!$E$7*(1+Inputs!$E$10)^(F$5-1)*MAX(0,F8+F9-1)</f>
        <v>307.2</v>
      </c>
      <c r="G10" s="118" t="n">
        <f aca="false">Inputs!$E$7*(1+Inputs!$E$10)^(G$5-1)*MAX(0,G8+G9-1)</f>
        <v>307.2</v>
      </c>
      <c r="H10" s="118" t="n">
        <f aca="false">Inputs!$E$7*(1+Inputs!$E$10)^(H$5-1)*MAX(0,H8+H9-1)</f>
        <v>307.2</v>
      </c>
      <c r="I10" s="118" t="n">
        <f aca="false">Inputs!$E$7*(1+Inputs!$E$10)^(I$5-1)*MAX(0,I8+I9-1)</f>
        <v>307.2</v>
      </c>
      <c r="J10" s="118" t="n">
        <f aca="false">Inputs!$E$7*(1+Inputs!$E$10)^(J$5-1)*MAX(0,J8+J9-1)</f>
        <v>307.2</v>
      </c>
      <c r="K10" s="118" t="n">
        <f aca="false">Inputs!$E$7*(1+Inputs!$E$10)^(K$5-1)*MAX(0,K8+K9-1)</f>
        <v>307.2</v>
      </c>
      <c r="L10" s="118" t="n">
        <f aca="false">Inputs!$E$7*(1+Inputs!$E$10)^(L$5-1)*MAX(0,L8+L9-1)</f>
        <v>307.2</v>
      </c>
      <c r="M10" s="118" t="n">
        <f aca="false">Inputs!$E$7*(1+Inputs!$E$10)^(M$5-1)*MAX(0,M8+M9-1)</f>
        <v>384</v>
      </c>
      <c r="N10" s="118" t="n">
        <f aca="false">Inputs!$E$7*(1+Inputs!$E$10)^(N$5-1)*MAX(0,N8+N9-1)</f>
        <v>384</v>
      </c>
      <c r="O10" s="118" t="n">
        <f aca="false">Inputs!$E$7*(1+Inputs!$E$10)^(O$5-1)*MAX(0,O8+O9-1)</f>
        <v>316.416</v>
      </c>
      <c r="P10" s="118" t="n">
        <f aca="false">Inputs!$E$7*(1+Inputs!$E$10)^(P$5-1)*MAX(0,P8+P9-1)</f>
        <v>316.416</v>
      </c>
      <c r="Q10" s="118" t="n">
        <f aca="false">Inputs!$E$7*(1+Inputs!$E$10)^(Q$5-1)*MAX(0,Q8+Q9-1)</f>
        <v>316.416</v>
      </c>
      <c r="R10" s="118" t="n">
        <f aca="false">Inputs!$E$7*(1+Inputs!$E$10)^(R$5-1)*MAX(0,R8+R9-1)</f>
        <v>316.416</v>
      </c>
      <c r="S10" s="118" t="n">
        <f aca="false">Inputs!$E$7*(1+Inputs!$E$10)^(S$5-1)*MAX(0,S8+S9-1)</f>
        <v>316.416</v>
      </c>
      <c r="T10" s="118" t="n">
        <f aca="false">Inputs!$E$7*(1+Inputs!$E$10)^(T$5-1)*MAX(0,T8+T9-1)</f>
        <v>316.416</v>
      </c>
      <c r="U10" s="118" t="n">
        <f aca="false">Inputs!$E$7*(1+Inputs!$E$10)^(U$5-1)*MAX(0,U8+U9-1)</f>
        <v>316.416</v>
      </c>
      <c r="V10" s="118" t="n">
        <f aca="false">Inputs!$E$7*(1+Inputs!$E$10)^(V$5-1)*MAX(0,V8+V9-1)</f>
        <v>316.416</v>
      </c>
      <c r="W10" s="118" t="n">
        <f aca="false">Inputs!$E$7*(1+Inputs!$E$10)^(W$5-1)*MAX(0,W8+W9-1)</f>
        <v>316.416</v>
      </c>
      <c r="X10" s="118" t="n">
        <f aca="false">Inputs!$E$7*(1+Inputs!$E$10)^(X$5-1)*MAX(0,X8+X9-1)</f>
        <v>316.416</v>
      </c>
      <c r="Y10" s="118" t="n">
        <f aca="false">Inputs!$E$7*(1+Inputs!$E$10)^(Y$5-1)*MAX(0,Y8+Y9-1)</f>
        <v>395.52</v>
      </c>
      <c r="Z10" s="118" t="n">
        <f aca="false">Inputs!$E$7*(1+Inputs!$E$10)^(Z$5-1)*MAX(0,Z8+Z9-1)</f>
        <v>395.52</v>
      </c>
      <c r="AA10" s="118" t="n">
        <f aca="false">Inputs!$E$7*(1+Inputs!$E$10)^(AA$5-1)*MAX(0,AA8+AA9-1)</f>
        <v>325.90848</v>
      </c>
      <c r="AB10" s="118" t="n">
        <f aca="false">Inputs!$E$7*(1+Inputs!$E$10)^(AB$5-1)*MAX(0,AB8+AB9-1)</f>
        <v>325.90848</v>
      </c>
      <c r="AC10" s="118" t="n">
        <f aca="false">Inputs!$E$7*(1+Inputs!$E$10)^(AC$5-1)*MAX(0,AC8+AC9-1)</f>
        <v>325.90848</v>
      </c>
      <c r="AD10" s="118" t="n">
        <f aca="false">Inputs!$E$7*(1+Inputs!$E$10)^(AD$5-1)*MAX(0,AD8+AD9-1)</f>
        <v>325.90848</v>
      </c>
      <c r="AE10" s="118" t="n">
        <f aca="false">Inputs!$E$7*(1+Inputs!$E$10)^(AE$5-1)*MAX(0,AE8+AE9-1)</f>
        <v>325.90848</v>
      </c>
      <c r="AF10" s="118" t="n">
        <f aca="false">Inputs!$E$7*(1+Inputs!$E$10)^(AF$5-1)*MAX(0,AF8+AF9-1)</f>
        <v>325.90848</v>
      </c>
      <c r="AG10" s="118" t="n">
        <f aca="false">Inputs!$E$7*(1+Inputs!$E$10)^(AG$5-1)*MAX(0,AG8+AG9-1)</f>
        <v>325.90848</v>
      </c>
      <c r="AH10" s="118" t="n">
        <f aca="false">Inputs!$E$7*(1+Inputs!$E$10)^(AH$5-1)*MAX(0,AH8+AH9-1)</f>
        <v>325.90848</v>
      </c>
      <c r="AI10" s="118" t="n">
        <f aca="false">Inputs!$E$7*(1+Inputs!$E$10)^(AI$5-1)*MAX(0,AI8+AI9-1)</f>
        <v>325.90848</v>
      </c>
      <c r="AJ10" s="118" t="n">
        <f aca="false">Inputs!$E$7*(1+Inputs!$E$10)^(AJ$5-1)*MAX(0,AJ8+AJ9-1)</f>
        <v>325.90848</v>
      </c>
      <c r="AK10" s="118" t="n">
        <f aca="false">Inputs!$E$7*(1+Inputs!$E$10)^(AK$5-1)*MAX(0,AK8+AK9-1)</f>
        <v>407.3856</v>
      </c>
      <c r="AL10" s="118" t="n">
        <f aca="false">Inputs!$E$7*(1+Inputs!$E$10)^(AL$5-1)*MAX(0,AL8+AL9-1)</f>
        <v>407.3856</v>
      </c>
      <c r="AM10" s="118" t="n">
        <f aca="false">Inputs!$E$7*(1+Inputs!$E$10)^(AM$5-1)*MAX(0,AM8+AM9-1)</f>
        <v>335.6857344</v>
      </c>
      <c r="AN10" s="118" t="n">
        <f aca="false">Inputs!$E$7*(1+Inputs!$E$10)^(AN$5-1)*MAX(0,AN8+AN9-1)</f>
        <v>335.6857344</v>
      </c>
      <c r="AO10" s="118" t="n">
        <f aca="false">Inputs!$E$7*(1+Inputs!$E$10)^(AO$5-1)*MAX(0,AO8+AO9-1)</f>
        <v>335.6857344</v>
      </c>
      <c r="AP10" s="118" t="n">
        <f aca="false">Inputs!$E$7*(1+Inputs!$E$10)^(AP$5-1)*MAX(0,AP8+AP9-1)</f>
        <v>335.6857344</v>
      </c>
      <c r="AQ10" s="118" t="n">
        <f aca="false">Inputs!$E$7*(1+Inputs!$E$10)^(AQ$5-1)*MAX(0,AQ8+AQ9-1)</f>
        <v>335.6857344</v>
      </c>
      <c r="AR10" s="118" t="n">
        <f aca="false">Inputs!$E$7*(1+Inputs!$E$10)^(AR$5-1)*MAX(0,AR8+AR9-1)</f>
        <v>335.6857344</v>
      </c>
      <c r="AS10" s="118" t="n">
        <f aca="false">Inputs!$E$7*(1+Inputs!$E$10)^(AS$5-1)*MAX(0,AS8+AS9-1)</f>
        <v>335.6857344</v>
      </c>
      <c r="AT10" s="118" t="n">
        <f aca="false">Inputs!$E$7*(1+Inputs!$E$10)^(AT$5-1)*MAX(0,AT8+AT9-1)</f>
        <v>335.6857344</v>
      </c>
      <c r="AU10" s="118" t="n">
        <f aca="false">Inputs!$E$7*(1+Inputs!$E$10)^(AU$5-1)*MAX(0,AU8+AU9-1)</f>
        <v>335.6857344</v>
      </c>
      <c r="AV10" s="118" t="n">
        <f aca="false">Inputs!$E$7*(1+Inputs!$E$10)^(AV$5-1)*MAX(0,AV8+AV9-1)</f>
        <v>335.6857344</v>
      </c>
      <c r="AW10" s="118" t="n">
        <f aca="false">Inputs!$E$7*(1+Inputs!$E$10)^(AW$5-1)*MAX(0,AW8+AW9-1)</f>
        <v>419.607168</v>
      </c>
      <c r="AX10" s="118" t="n">
        <f aca="false">Inputs!$E$7*(1+Inputs!$E$10)^(AX$5-1)*MAX(0,AX8+AX9-1)</f>
        <v>419.607168</v>
      </c>
      <c r="AY10" s="118" t="n">
        <f aca="false">Inputs!$E$7*(1+Inputs!$E$10)^(AY$5-1)*MAX(0,AY8+AY9-1)</f>
        <v>345.756306432</v>
      </c>
      <c r="AZ10" s="118" t="n">
        <f aca="false">Inputs!$E$7*(1+Inputs!$E$10)^(AZ$5-1)*MAX(0,AZ8+AZ9-1)</f>
        <v>345.756306432</v>
      </c>
      <c r="BA10" s="118" t="n">
        <f aca="false">Inputs!$E$7*(1+Inputs!$E$10)^(BA$5-1)*MAX(0,BA8+BA9-1)</f>
        <v>345.756306432</v>
      </c>
      <c r="BB10" s="118" t="n">
        <f aca="false">Inputs!$E$7*(1+Inputs!$E$10)^(BB$5-1)*MAX(0,BB8+BB9-1)</f>
        <v>345.756306432</v>
      </c>
      <c r="BC10" s="118" t="n">
        <f aca="false">Inputs!$E$7*(1+Inputs!$E$10)^(BC$5-1)*MAX(0,BC8+BC9-1)</f>
        <v>345.756306432</v>
      </c>
      <c r="BD10" s="118" t="n">
        <f aca="false">Inputs!$E$7*(1+Inputs!$E$10)^(BD$5-1)*MAX(0,BD8+BD9-1)</f>
        <v>345.756306432</v>
      </c>
      <c r="BE10" s="118" t="n">
        <f aca="false">Inputs!$E$7*(1+Inputs!$E$10)^(BE$5-1)*MAX(0,BE8+BE9-1)</f>
        <v>345.756306432</v>
      </c>
      <c r="BF10" s="118" t="n">
        <f aca="false">Inputs!$E$7*(1+Inputs!$E$10)^(BF$5-1)*MAX(0,BF8+BF9-1)</f>
        <v>345.756306432</v>
      </c>
      <c r="BG10" s="118" t="n">
        <f aca="false">Inputs!$E$7*(1+Inputs!$E$10)^(BG$5-1)*MAX(0,BG8+BG9-1)</f>
        <v>345.756306432</v>
      </c>
      <c r="BH10" s="118" t="n">
        <f aca="false">Inputs!$E$7*(1+Inputs!$E$10)^(BH$5-1)*MAX(0,BH8+BH9-1)</f>
        <v>345.756306432</v>
      </c>
      <c r="BI10" s="118" t="n">
        <f aca="false">Inputs!$E$7*(1+Inputs!$E$10)^(BI$5-1)*MAX(0,BI8+BI9-1)</f>
        <v>432.19538304</v>
      </c>
      <c r="BJ10" s="118" t="n">
        <f aca="false">Inputs!$E$7*(1+Inputs!$E$10)^(BJ$5-1)*MAX(0,BJ8+BJ9-1)</f>
        <v>432.19538304</v>
      </c>
    </row>
    <row r="11" customFormat="false" ht="15" hidden="false" customHeight="false" outlineLevel="0" collapsed="false">
      <c r="A11" s="6" t="s">
        <v>404</v>
      </c>
      <c r="C11" s="118" t="n">
        <f aca="false">Inputs!$E$13*52/12*1</f>
        <v>26</v>
      </c>
      <c r="D11" s="118" t="n">
        <f aca="false">Inputs!$E$13*52/12*1</f>
        <v>26</v>
      </c>
      <c r="E11" s="118" t="n">
        <f aca="false">Inputs!$E$13*52/12*1</f>
        <v>26</v>
      </c>
      <c r="F11" s="118" t="n">
        <f aca="false">Inputs!$E$13*52/12*1</f>
        <v>26</v>
      </c>
      <c r="G11" s="118" t="n">
        <f aca="false">Inputs!$E$13*52/12*1</f>
        <v>26</v>
      </c>
      <c r="H11" s="118" t="n">
        <f aca="false">Inputs!$E$13*52/12*1</f>
        <v>26</v>
      </c>
      <c r="I11" s="118" t="n">
        <f aca="false">Inputs!$E$13*52/12*1</f>
        <v>26</v>
      </c>
      <c r="J11" s="118" t="n">
        <f aca="false">Inputs!$E$13*52/12*1</f>
        <v>26</v>
      </c>
      <c r="K11" s="118" t="n">
        <f aca="false">Inputs!$E$13*52/12*1</f>
        <v>26</v>
      </c>
      <c r="L11" s="118" t="n">
        <f aca="false">Inputs!$E$13*52/12*1</f>
        <v>26</v>
      </c>
      <c r="M11" s="118" t="n">
        <f aca="false">Inputs!$E$13*52/12*1</f>
        <v>26</v>
      </c>
      <c r="N11" s="118" t="n">
        <f aca="false">Inputs!$E$13*52/12*1</f>
        <v>26</v>
      </c>
      <c r="O11" s="118" t="n">
        <f aca="false">Inputs!$E$13*52/12*1</f>
        <v>26</v>
      </c>
      <c r="P11" s="118" t="n">
        <f aca="false">Inputs!$E$13*52/12*1</f>
        <v>26</v>
      </c>
      <c r="Q11" s="118" t="n">
        <f aca="false">Inputs!$E$13*52/12*1</f>
        <v>26</v>
      </c>
      <c r="R11" s="118" t="n">
        <f aca="false">Inputs!$E$13*52/12*1</f>
        <v>26</v>
      </c>
      <c r="S11" s="118" t="n">
        <f aca="false">Inputs!$E$13*52/12*1</f>
        <v>26</v>
      </c>
      <c r="T11" s="118" t="n">
        <f aca="false">Inputs!$E$13*52/12*1</f>
        <v>26</v>
      </c>
      <c r="U11" s="118" t="n">
        <f aca="false">Inputs!$E$13*52/12*1</f>
        <v>26</v>
      </c>
      <c r="V11" s="118" t="n">
        <f aca="false">Inputs!$E$13*52/12*1</f>
        <v>26</v>
      </c>
      <c r="W11" s="118" t="n">
        <f aca="false">Inputs!$E$13*52/12*1</f>
        <v>26</v>
      </c>
      <c r="X11" s="118" t="n">
        <f aca="false">Inputs!$E$13*52/12*1</f>
        <v>26</v>
      </c>
      <c r="Y11" s="118" t="n">
        <f aca="false">Inputs!$E$13*52/12*1</f>
        <v>26</v>
      </c>
      <c r="Z11" s="118" t="n">
        <f aca="false">Inputs!$E$13*52/12*1</f>
        <v>26</v>
      </c>
      <c r="AA11" s="118" t="n">
        <f aca="false">Inputs!$E$13*52/12*1</f>
        <v>26</v>
      </c>
      <c r="AB11" s="118" t="n">
        <f aca="false">Inputs!$E$13*52/12*1</f>
        <v>26</v>
      </c>
      <c r="AC11" s="118" t="n">
        <f aca="false">Inputs!$E$13*52/12*1</f>
        <v>26</v>
      </c>
      <c r="AD11" s="118" t="n">
        <f aca="false">Inputs!$E$13*52/12*1</f>
        <v>26</v>
      </c>
      <c r="AE11" s="118" t="n">
        <f aca="false">Inputs!$E$13*52/12*1</f>
        <v>26</v>
      </c>
      <c r="AF11" s="118" t="n">
        <f aca="false">Inputs!$E$13*52/12*1</f>
        <v>26</v>
      </c>
      <c r="AG11" s="118" t="n">
        <f aca="false">Inputs!$E$13*52/12*1</f>
        <v>26</v>
      </c>
      <c r="AH11" s="118" t="n">
        <f aca="false">Inputs!$E$13*52/12*1</f>
        <v>26</v>
      </c>
      <c r="AI11" s="118" t="n">
        <f aca="false">Inputs!$E$13*52/12*1</f>
        <v>26</v>
      </c>
      <c r="AJ11" s="118" t="n">
        <f aca="false">Inputs!$E$13*52/12*1</f>
        <v>26</v>
      </c>
      <c r="AK11" s="118" t="n">
        <f aca="false">Inputs!$E$13*52/12*1</f>
        <v>26</v>
      </c>
      <c r="AL11" s="118" t="n">
        <f aca="false">Inputs!$E$13*52/12*1</f>
        <v>26</v>
      </c>
      <c r="AM11" s="118" t="n">
        <f aca="false">Inputs!$E$13*52/12*1</f>
        <v>26</v>
      </c>
      <c r="AN11" s="118" t="n">
        <f aca="false">Inputs!$E$13*52/12*1</f>
        <v>26</v>
      </c>
      <c r="AO11" s="118" t="n">
        <f aca="false">Inputs!$E$13*52/12*1</f>
        <v>26</v>
      </c>
      <c r="AP11" s="118" t="n">
        <f aca="false">Inputs!$E$13*52/12*1</f>
        <v>26</v>
      </c>
      <c r="AQ11" s="118" t="n">
        <f aca="false">Inputs!$E$13*52/12*1</f>
        <v>26</v>
      </c>
      <c r="AR11" s="118" t="n">
        <f aca="false">Inputs!$E$13*52/12*1</f>
        <v>26</v>
      </c>
      <c r="AS11" s="118" t="n">
        <f aca="false">Inputs!$E$13*52/12*1</f>
        <v>26</v>
      </c>
      <c r="AT11" s="118" t="n">
        <f aca="false">Inputs!$E$13*52/12*1</f>
        <v>26</v>
      </c>
      <c r="AU11" s="118" t="n">
        <f aca="false">Inputs!$E$13*52/12*1</f>
        <v>26</v>
      </c>
      <c r="AV11" s="118" t="n">
        <f aca="false">Inputs!$E$13*52/12*1</f>
        <v>26</v>
      </c>
      <c r="AW11" s="118" t="n">
        <f aca="false">Inputs!$E$13*52/12*1</f>
        <v>26</v>
      </c>
      <c r="AX11" s="118" t="n">
        <f aca="false">Inputs!$E$13*52/12*1</f>
        <v>26</v>
      </c>
      <c r="AY11" s="118" t="n">
        <f aca="false">Inputs!$E$13*52/12*1</f>
        <v>26</v>
      </c>
      <c r="AZ11" s="118" t="n">
        <f aca="false">Inputs!$E$13*52/12*1</f>
        <v>26</v>
      </c>
      <c r="BA11" s="118" t="n">
        <f aca="false">Inputs!$E$13*52/12*1</f>
        <v>26</v>
      </c>
      <c r="BB11" s="118" t="n">
        <f aca="false">Inputs!$E$13*52/12*1</f>
        <v>26</v>
      </c>
      <c r="BC11" s="118" t="n">
        <f aca="false">Inputs!$E$13*52/12*1</f>
        <v>26</v>
      </c>
      <c r="BD11" s="118" t="n">
        <f aca="false">Inputs!$E$13*52/12*1</f>
        <v>26</v>
      </c>
      <c r="BE11" s="118" t="n">
        <f aca="false">Inputs!$E$13*52/12*1</f>
        <v>26</v>
      </c>
      <c r="BF11" s="118" t="n">
        <f aca="false">Inputs!$E$13*52/12*1</f>
        <v>26</v>
      </c>
      <c r="BG11" s="118" t="n">
        <f aca="false">Inputs!$E$13*52/12*1</f>
        <v>26</v>
      </c>
      <c r="BH11" s="118" t="n">
        <f aca="false">Inputs!$E$13*52/12*1</f>
        <v>26</v>
      </c>
      <c r="BI11" s="118" t="n">
        <f aca="false">Inputs!$E$13*52/12*1</f>
        <v>26</v>
      </c>
      <c r="BJ11" s="118" t="n">
        <f aca="false">Inputs!$E$13*52/12*1</f>
        <v>26</v>
      </c>
    </row>
    <row r="12" customFormat="false" ht="15" hidden="false" customHeight="false" outlineLevel="0" collapsed="false">
      <c r="A12" s="6" t="s">
        <v>235</v>
      </c>
      <c r="C12" s="119" t="n">
        <f aca="false">C10*C11</f>
        <v>7155.2</v>
      </c>
      <c r="D12" s="119" t="n">
        <f aca="false">D10*D11</f>
        <v>7571.2</v>
      </c>
      <c r="E12" s="119" t="n">
        <f aca="false">E10*E11</f>
        <v>7987.2</v>
      </c>
      <c r="F12" s="119" t="n">
        <f aca="false">F10*F11</f>
        <v>7987.2</v>
      </c>
      <c r="G12" s="119" t="n">
        <f aca="false">G10*G11</f>
        <v>7987.2</v>
      </c>
      <c r="H12" s="119" t="n">
        <f aca="false">H10*H11</f>
        <v>7987.2</v>
      </c>
      <c r="I12" s="119" t="n">
        <f aca="false">I10*I11</f>
        <v>7987.2</v>
      </c>
      <c r="J12" s="119" t="n">
        <f aca="false">J10*J11</f>
        <v>7987.2</v>
      </c>
      <c r="K12" s="119" t="n">
        <f aca="false">K10*K11</f>
        <v>7987.2</v>
      </c>
      <c r="L12" s="119" t="n">
        <f aca="false">L10*L11</f>
        <v>7987.2</v>
      </c>
      <c r="M12" s="119" t="n">
        <f aca="false">M10*M11</f>
        <v>9984</v>
      </c>
      <c r="N12" s="119" t="n">
        <f aca="false">N10*N11</f>
        <v>9984</v>
      </c>
      <c r="O12" s="119" t="n">
        <f aca="false">O10*O11</f>
        <v>8226.816</v>
      </c>
      <c r="P12" s="119" t="n">
        <f aca="false">P10*P11</f>
        <v>8226.816</v>
      </c>
      <c r="Q12" s="119" t="n">
        <f aca="false">Q10*Q11</f>
        <v>8226.816</v>
      </c>
      <c r="R12" s="119" t="n">
        <f aca="false">R10*R11</f>
        <v>8226.816</v>
      </c>
      <c r="S12" s="119" t="n">
        <f aca="false">S10*S11</f>
        <v>8226.816</v>
      </c>
      <c r="T12" s="119" t="n">
        <f aca="false">T10*T11</f>
        <v>8226.816</v>
      </c>
      <c r="U12" s="119" t="n">
        <f aca="false">U10*U11</f>
        <v>8226.816</v>
      </c>
      <c r="V12" s="119" t="n">
        <f aca="false">V10*V11</f>
        <v>8226.816</v>
      </c>
      <c r="W12" s="119" t="n">
        <f aca="false">W10*W11</f>
        <v>8226.816</v>
      </c>
      <c r="X12" s="119" t="n">
        <f aca="false">X10*X11</f>
        <v>8226.816</v>
      </c>
      <c r="Y12" s="119" t="n">
        <f aca="false">Y10*Y11</f>
        <v>10283.52</v>
      </c>
      <c r="Z12" s="119" t="n">
        <f aca="false">Z10*Z11</f>
        <v>10283.52</v>
      </c>
      <c r="AA12" s="119" t="n">
        <f aca="false">AA10*AA11</f>
        <v>8473.62048</v>
      </c>
      <c r="AB12" s="119" t="n">
        <f aca="false">AB10*AB11</f>
        <v>8473.62048</v>
      </c>
      <c r="AC12" s="119" t="n">
        <f aca="false">AC10*AC11</f>
        <v>8473.62048</v>
      </c>
      <c r="AD12" s="119" t="n">
        <f aca="false">AD10*AD11</f>
        <v>8473.62048</v>
      </c>
      <c r="AE12" s="119" t="n">
        <f aca="false">AE10*AE11</f>
        <v>8473.62048</v>
      </c>
      <c r="AF12" s="119" t="n">
        <f aca="false">AF10*AF11</f>
        <v>8473.62048</v>
      </c>
      <c r="AG12" s="119" t="n">
        <f aca="false">AG10*AG11</f>
        <v>8473.62048</v>
      </c>
      <c r="AH12" s="119" t="n">
        <f aca="false">AH10*AH11</f>
        <v>8473.62048</v>
      </c>
      <c r="AI12" s="119" t="n">
        <f aca="false">AI10*AI11</f>
        <v>8473.62048</v>
      </c>
      <c r="AJ12" s="119" t="n">
        <f aca="false">AJ10*AJ11</f>
        <v>8473.62048</v>
      </c>
      <c r="AK12" s="119" t="n">
        <f aca="false">AK10*AK11</f>
        <v>10592.0256</v>
      </c>
      <c r="AL12" s="119" t="n">
        <f aca="false">AL10*AL11</f>
        <v>10592.0256</v>
      </c>
      <c r="AM12" s="119" t="n">
        <f aca="false">AM10*AM11</f>
        <v>8727.8290944</v>
      </c>
      <c r="AN12" s="119" t="n">
        <f aca="false">AN10*AN11</f>
        <v>8727.8290944</v>
      </c>
      <c r="AO12" s="119" t="n">
        <f aca="false">AO10*AO11</f>
        <v>8727.8290944</v>
      </c>
      <c r="AP12" s="119" t="n">
        <f aca="false">AP10*AP11</f>
        <v>8727.8290944</v>
      </c>
      <c r="AQ12" s="119" t="n">
        <f aca="false">AQ10*AQ11</f>
        <v>8727.8290944</v>
      </c>
      <c r="AR12" s="119" t="n">
        <f aca="false">AR10*AR11</f>
        <v>8727.8290944</v>
      </c>
      <c r="AS12" s="119" t="n">
        <f aca="false">AS10*AS11</f>
        <v>8727.8290944</v>
      </c>
      <c r="AT12" s="119" t="n">
        <f aca="false">AT10*AT11</f>
        <v>8727.8290944</v>
      </c>
      <c r="AU12" s="119" t="n">
        <f aca="false">AU10*AU11</f>
        <v>8727.8290944</v>
      </c>
      <c r="AV12" s="119" t="n">
        <f aca="false">AV10*AV11</f>
        <v>8727.8290944</v>
      </c>
      <c r="AW12" s="119" t="n">
        <f aca="false">AW10*AW11</f>
        <v>10909.786368</v>
      </c>
      <c r="AX12" s="119" t="n">
        <f aca="false">AX10*AX11</f>
        <v>10909.786368</v>
      </c>
      <c r="AY12" s="119" t="n">
        <f aca="false">AY10*AY11</f>
        <v>8989.663967232</v>
      </c>
      <c r="AZ12" s="119" t="n">
        <f aca="false">AZ10*AZ11</f>
        <v>8989.663967232</v>
      </c>
      <c r="BA12" s="119" t="n">
        <f aca="false">BA10*BA11</f>
        <v>8989.663967232</v>
      </c>
      <c r="BB12" s="119" t="n">
        <f aca="false">BB10*BB11</f>
        <v>8989.663967232</v>
      </c>
      <c r="BC12" s="119" t="n">
        <f aca="false">BC10*BC11</f>
        <v>8989.663967232</v>
      </c>
      <c r="BD12" s="119" t="n">
        <f aca="false">BD10*BD11</f>
        <v>8989.663967232</v>
      </c>
      <c r="BE12" s="119" t="n">
        <f aca="false">BE10*BE11</f>
        <v>8989.663967232</v>
      </c>
      <c r="BF12" s="119" t="n">
        <f aca="false">BF10*BF11</f>
        <v>8989.663967232</v>
      </c>
      <c r="BG12" s="119" t="n">
        <f aca="false">BG10*BG11</f>
        <v>8989.663967232</v>
      </c>
      <c r="BH12" s="119" t="n">
        <f aca="false">BH10*BH11</f>
        <v>8989.663967232</v>
      </c>
      <c r="BI12" s="119" t="n">
        <f aca="false">BI10*BI11</f>
        <v>11237.07995904</v>
      </c>
      <c r="BJ12" s="119" t="n">
        <f aca="false">BJ10*BJ11</f>
        <v>11237.07995904</v>
      </c>
    </row>
    <row r="13" customFormat="false" ht="15" hidden="false" customHeight="false" outlineLevel="0" collapsed="false">
      <c r="A13" s="6" t="s">
        <v>405</v>
      </c>
      <c r="C13" s="120" t="n">
        <f aca="false">Inputs!$E$11*(1+Inputs!$E$12)^(C$5-1)</f>
        <v>11.5</v>
      </c>
      <c r="D13" s="120" t="n">
        <f aca="false">Inputs!$E$11*(1+Inputs!$E$12)^(D$5-1)</f>
        <v>11.5</v>
      </c>
      <c r="E13" s="120" t="n">
        <f aca="false">Inputs!$E$11*(1+Inputs!$E$12)^(E$5-1)</f>
        <v>11.5</v>
      </c>
      <c r="F13" s="120" t="n">
        <f aca="false">Inputs!$E$11*(1+Inputs!$E$12)^(F$5-1)</f>
        <v>11.5</v>
      </c>
      <c r="G13" s="120" t="n">
        <f aca="false">Inputs!$E$11*(1+Inputs!$E$12)^(G$5-1)</f>
        <v>11.5</v>
      </c>
      <c r="H13" s="120" t="n">
        <f aca="false">Inputs!$E$11*(1+Inputs!$E$12)^(H$5-1)</f>
        <v>11.5</v>
      </c>
      <c r="I13" s="120" t="n">
        <f aca="false">Inputs!$E$11*(1+Inputs!$E$12)^(I$5-1)</f>
        <v>11.5</v>
      </c>
      <c r="J13" s="120" t="n">
        <f aca="false">Inputs!$E$11*(1+Inputs!$E$12)^(J$5-1)</f>
        <v>11.5</v>
      </c>
      <c r="K13" s="120" t="n">
        <f aca="false">Inputs!$E$11*(1+Inputs!$E$12)^(K$5-1)</f>
        <v>11.5</v>
      </c>
      <c r="L13" s="120" t="n">
        <f aca="false">Inputs!$E$11*(1+Inputs!$E$12)^(L$5-1)</f>
        <v>11.5</v>
      </c>
      <c r="M13" s="120" t="n">
        <f aca="false">Inputs!$E$11*(1+Inputs!$E$12)^(M$5-1)</f>
        <v>11.5</v>
      </c>
      <c r="N13" s="120" t="n">
        <f aca="false">Inputs!$E$11*(1+Inputs!$E$12)^(N$5-1)</f>
        <v>11.5</v>
      </c>
      <c r="O13" s="120" t="n">
        <f aca="false">Inputs!$E$11*(1+Inputs!$E$12)^(O$5-1)</f>
        <v>11.845</v>
      </c>
      <c r="P13" s="120" t="n">
        <f aca="false">Inputs!$E$11*(1+Inputs!$E$12)^(P$5-1)</f>
        <v>11.845</v>
      </c>
      <c r="Q13" s="120" t="n">
        <f aca="false">Inputs!$E$11*(1+Inputs!$E$12)^(Q$5-1)</f>
        <v>11.845</v>
      </c>
      <c r="R13" s="120" t="n">
        <f aca="false">Inputs!$E$11*(1+Inputs!$E$12)^(R$5-1)</f>
        <v>11.845</v>
      </c>
      <c r="S13" s="120" t="n">
        <f aca="false">Inputs!$E$11*(1+Inputs!$E$12)^(S$5-1)</f>
        <v>11.845</v>
      </c>
      <c r="T13" s="120" t="n">
        <f aca="false">Inputs!$E$11*(1+Inputs!$E$12)^(T$5-1)</f>
        <v>11.845</v>
      </c>
      <c r="U13" s="120" t="n">
        <f aca="false">Inputs!$E$11*(1+Inputs!$E$12)^(U$5-1)</f>
        <v>11.845</v>
      </c>
      <c r="V13" s="120" t="n">
        <f aca="false">Inputs!$E$11*(1+Inputs!$E$12)^(V$5-1)</f>
        <v>11.845</v>
      </c>
      <c r="W13" s="120" t="n">
        <f aca="false">Inputs!$E$11*(1+Inputs!$E$12)^(W$5-1)</f>
        <v>11.845</v>
      </c>
      <c r="X13" s="120" t="n">
        <f aca="false">Inputs!$E$11*(1+Inputs!$E$12)^(X$5-1)</f>
        <v>11.845</v>
      </c>
      <c r="Y13" s="120" t="n">
        <f aca="false">Inputs!$E$11*(1+Inputs!$E$12)^(Y$5-1)</f>
        <v>11.845</v>
      </c>
      <c r="Z13" s="120" t="n">
        <f aca="false">Inputs!$E$11*(1+Inputs!$E$12)^(Z$5-1)</f>
        <v>11.845</v>
      </c>
      <c r="AA13" s="120" t="n">
        <f aca="false">Inputs!$E$11*(1+Inputs!$E$12)^(AA$5-1)</f>
        <v>12.20035</v>
      </c>
      <c r="AB13" s="120" t="n">
        <f aca="false">Inputs!$E$11*(1+Inputs!$E$12)^(AB$5-1)</f>
        <v>12.20035</v>
      </c>
      <c r="AC13" s="120" t="n">
        <f aca="false">Inputs!$E$11*(1+Inputs!$E$12)^(AC$5-1)</f>
        <v>12.20035</v>
      </c>
      <c r="AD13" s="120" t="n">
        <f aca="false">Inputs!$E$11*(1+Inputs!$E$12)^(AD$5-1)</f>
        <v>12.20035</v>
      </c>
      <c r="AE13" s="120" t="n">
        <f aca="false">Inputs!$E$11*(1+Inputs!$E$12)^(AE$5-1)</f>
        <v>12.20035</v>
      </c>
      <c r="AF13" s="120" t="n">
        <f aca="false">Inputs!$E$11*(1+Inputs!$E$12)^(AF$5-1)</f>
        <v>12.20035</v>
      </c>
      <c r="AG13" s="120" t="n">
        <f aca="false">Inputs!$E$11*(1+Inputs!$E$12)^(AG$5-1)</f>
        <v>12.20035</v>
      </c>
      <c r="AH13" s="120" t="n">
        <f aca="false">Inputs!$E$11*(1+Inputs!$E$12)^(AH$5-1)</f>
        <v>12.20035</v>
      </c>
      <c r="AI13" s="120" t="n">
        <f aca="false">Inputs!$E$11*(1+Inputs!$E$12)^(AI$5-1)</f>
        <v>12.20035</v>
      </c>
      <c r="AJ13" s="120" t="n">
        <f aca="false">Inputs!$E$11*(1+Inputs!$E$12)^(AJ$5-1)</f>
        <v>12.20035</v>
      </c>
      <c r="AK13" s="120" t="n">
        <f aca="false">Inputs!$E$11*(1+Inputs!$E$12)^(AK$5-1)</f>
        <v>12.20035</v>
      </c>
      <c r="AL13" s="120" t="n">
        <f aca="false">Inputs!$E$11*(1+Inputs!$E$12)^(AL$5-1)</f>
        <v>12.20035</v>
      </c>
      <c r="AM13" s="120" t="n">
        <f aca="false">Inputs!$E$11*(1+Inputs!$E$12)^(AM$5-1)</f>
        <v>12.5663605</v>
      </c>
      <c r="AN13" s="120" t="n">
        <f aca="false">Inputs!$E$11*(1+Inputs!$E$12)^(AN$5-1)</f>
        <v>12.5663605</v>
      </c>
      <c r="AO13" s="120" t="n">
        <f aca="false">Inputs!$E$11*(1+Inputs!$E$12)^(AO$5-1)</f>
        <v>12.5663605</v>
      </c>
      <c r="AP13" s="120" t="n">
        <f aca="false">Inputs!$E$11*(1+Inputs!$E$12)^(AP$5-1)</f>
        <v>12.5663605</v>
      </c>
      <c r="AQ13" s="120" t="n">
        <f aca="false">Inputs!$E$11*(1+Inputs!$E$12)^(AQ$5-1)</f>
        <v>12.5663605</v>
      </c>
      <c r="AR13" s="120" t="n">
        <f aca="false">Inputs!$E$11*(1+Inputs!$E$12)^(AR$5-1)</f>
        <v>12.5663605</v>
      </c>
      <c r="AS13" s="120" t="n">
        <f aca="false">Inputs!$E$11*(1+Inputs!$E$12)^(AS$5-1)</f>
        <v>12.5663605</v>
      </c>
      <c r="AT13" s="120" t="n">
        <f aca="false">Inputs!$E$11*(1+Inputs!$E$12)^(AT$5-1)</f>
        <v>12.5663605</v>
      </c>
      <c r="AU13" s="120" t="n">
        <f aca="false">Inputs!$E$11*(1+Inputs!$E$12)^(AU$5-1)</f>
        <v>12.5663605</v>
      </c>
      <c r="AV13" s="120" t="n">
        <f aca="false">Inputs!$E$11*(1+Inputs!$E$12)^(AV$5-1)</f>
        <v>12.5663605</v>
      </c>
      <c r="AW13" s="120" t="n">
        <f aca="false">Inputs!$E$11*(1+Inputs!$E$12)^(AW$5-1)</f>
        <v>12.5663605</v>
      </c>
      <c r="AX13" s="120" t="n">
        <f aca="false">Inputs!$E$11*(1+Inputs!$E$12)^(AX$5-1)</f>
        <v>12.5663605</v>
      </c>
      <c r="AY13" s="120" t="n">
        <f aca="false">Inputs!$E$11*(1+Inputs!$E$12)^(AY$5-1)</f>
        <v>12.943351315</v>
      </c>
      <c r="AZ13" s="120" t="n">
        <f aca="false">Inputs!$E$11*(1+Inputs!$E$12)^(AZ$5-1)</f>
        <v>12.943351315</v>
      </c>
      <c r="BA13" s="120" t="n">
        <f aca="false">Inputs!$E$11*(1+Inputs!$E$12)^(BA$5-1)</f>
        <v>12.943351315</v>
      </c>
      <c r="BB13" s="120" t="n">
        <f aca="false">Inputs!$E$11*(1+Inputs!$E$12)^(BB$5-1)</f>
        <v>12.943351315</v>
      </c>
      <c r="BC13" s="120" t="n">
        <f aca="false">Inputs!$E$11*(1+Inputs!$E$12)^(BC$5-1)</f>
        <v>12.943351315</v>
      </c>
      <c r="BD13" s="120" t="n">
        <f aca="false">Inputs!$E$11*(1+Inputs!$E$12)^(BD$5-1)</f>
        <v>12.943351315</v>
      </c>
      <c r="BE13" s="120" t="n">
        <f aca="false">Inputs!$E$11*(1+Inputs!$E$12)^(BE$5-1)</f>
        <v>12.943351315</v>
      </c>
      <c r="BF13" s="120" t="n">
        <f aca="false">Inputs!$E$11*(1+Inputs!$E$12)^(BF$5-1)</f>
        <v>12.943351315</v>
      </c>
      <c r="BG13" s="120" t="n">
        <f aca="false">Inputs!$E$11*(1+Inputs!$E$12)^(BG$5-1)</f>
        <v>12.943351315</v>
      </c>
      <c r="BH13" s="120" t="n">
        <f aca="false">Inputs!$E$11*(1+Inputs!$E$12)^(BH$5-1)</f>
        <v>12.943351315</v>
      </c>
      <c r="BI13" s="120" t="n">
        <f aca="false">Inputs!$E$11*(1+Inputs!$E$12)^(BI$5-1)</f>
        <v>12.943351315</v>
      </c>
      <c r="BJ13" s="120" t="n">
        <f aca="false">Inputs!$E$11*(1+Inputs!$E$12)^(BJ$5-1)</f>
        <v>12.943351315</v>
      </c>
    </row>
    <row r="14" customFormat="false" ht="15" hidden="false" customHeight="false" outlineLevel="0" collapsed="false">
      <c r="A14" s="6" t="s">
        <v>406</v>
      </c>
      <c r="C14" s="67" t="n">
        <f aca="false">C12*C13</f>
        <v>82284.8</v>
      </c>
      <c r="D14" s="67" t="n">
        <f aca="false">D12*D13</f>
        <v>87068.8</v>
      </c>
      <c r="E14" s="67" t="n">
        <f aca="false">E12*E13</f>
        <v>91852.8</v>
      </c>
      <c r="F14" s="67" t="n">
        <f aca="false">F12*F13</f>
        <v>91852.8</v>
      </c>
      <c r="G14" s="67" t="n">
        <f aca="false">G12*G13</f>
        <v>91852.8</v>
      </c>
      <c r="H14" s="67" t="n">
        <f aca="false">H12*H13</f>
        <v>91852.8</v>
      </c>
      <c r="I14" s="67" t="n">
        <f aca="false">I12*I13</f>
        <v>91852.8</v>
      </c>
      <c r="J14" s="67" t="n">
        <f aca="false">J12*J13</f>
        <v>91852.8</v>
      </c>
      <c r="K14" s="67" t="n">
        <f aca="false">K12*K13</f>
        <v>91852.8</v>
      </c>
      <c r="L14" s="67" t="n">
        <f aca="false">L12*L13</f>
        <v>91852.8</v>
      </c>
      <c r="M14" s="67" t="n">
        <f aca="false">M12*M13</f>
        <v>114816</v>
      </c>
      <c r="N14" s="67" t="n">
        <f aca="false">N12*N13</f>
        <v>114816</v>
      </c>
      <c r="O14" s="67" t="n">
        <f aca="false">O12*O13</f>
        <v>97446.63552</v>
      </c>
      <c r="P14" s="67" t="n">
        <f aca="false">P12*P13</f>
        <v>97446.63552</v>
      </c>
      <c r="Q14" s="67" t="n">
        <f aca="false">Q12*Q13</f>
        <v>97446.63552</v>
      </c>
      <c r="R14" s="67" t="n">
        <f aca="false">R12*R13</f>
        <v>97446.63552</v>
      </c>
      <c r="S14" s="67" t="n">
        <f aca="false">S12*S13</f>
        <v>97446.63552</v>
      </c>
      <c r="T14" s="67" t="n">
        <f aca="false">T12*T13</f>
        <v>97446.63552</v>
      </c>
      <c r="U14" s="67" t="n">
        <f aca="false">U12*U13</f>
        <v>97446.63552</v>
      </c>
      <c r="V14" s="67" t="n">
        <f aca="false">V12*V13</f>
        <v>97446.63552</v>
      </c>
      <c r="W14" s="67" t="n">
        <f aca="false">W12*W13</f>
        <v>97446.63552</v>
      </c>
      <c r="X14" s="67" t="n">
        <f aca="false">X12*X13</f>
        <v>97446.63552</v>
      </c>
      <c r="Y14" s="67" t="n">
        <f aca="false">Y12*Y13</f>
        <v>121808.2944</v>
      </c>
      <c r="Z14" s="67" t="n">
        <f aca="false">Z12*Z13</f>
        <v>121808.2944</v>
      </c>
      <c r="AA14" s="67" t="n">
        <f aca="false">AA12*AA13</f>
        <v>103381.135623168</v>
      </c>
      <c r="AB14" s="67" t="n">
        <f aca="false">AB12*AB13</f>
        <v>103381.135623168</v>
      </c>
      <c r="AC14" s="67" t="n">
        <f aca="false">AC12*AC13</f>
        <v>103381.135623168</v>
      </c>
      <c r="AD14" s="67" t="n">
        <f aca="false">AD12*AD13</f>
        <v>103381.135623168</v>
      </c>
      <c r="AE14" s="67" t="n">
        <f aca="false">AE12*AE13</f>
        <v>103381.135623168</v>
      </c>
      <c r="AF14" s="67" t="n">
        <f aca="false">AF12*AF13</f>
        <v>103381.135623168</v>
      </c>
      <c r="AG14" s="67" t="n">
        <f aca="false">AG12*AG13</f>
        <v>103381.135623168</v>
      </c>
      <c r="AH14" s="67" t="n">
        <f aca="false">AH12*AH13</f>
        <v>103381.135623168</v>
      </c>
      <c r="AI14" s="67" t="n">
        <f aca="false">AI12*AI13</f>
        <v>103381.135623168</v>
      </c>
      <c r="AJ14" s="67" t="n">
        <f aca="false">AJ12*AJ13</f>
        <v>103381.135623168</v>
      </c>
      <c r="AK14" s="67" t="n">
        <f aca="false">AK12*AK13</f>
        <v>129226.41952896</v>
      </c>
      <c r="AL14" s="67" t="n">
        <f aca="false">AL12*AL13</f>
        <v>129226.41952896</v>
      </c>
      <c r="AM14" s="67" t="n">
        <f aca="false">AM12*AM13</f>
        <v>109677.046782619</v>
      </c>
      <c r="AN14" s="67" t="n">
        <f aca="false">AN12*AN13</f>
        <v>109677.046782619</v>
      </c>
      <c r="AO14" s="67" t="n">
        <f aca="false">AO12*AO13</f>
        <v>109677.046782619</v>
      </c>
      <c r="AP14" s="67" t="n">
        <f aca="false">AP12*AP13</f>
        <v>109677.046782619</v>
      </c>
      <c r="AQ14" s="67" t="n">
        <f aca="false">AQ12*AQ13</f>
        <v>109677.046782619</v>
      </c>
      <c r="AR14" s="67" t="n">
        <f aca="false">AR12*AR13</f>
        <v>109677.046782619</v>
      </c>
      <c r="AS14" s="67" t="n">
        <f aca="false">AS12*AS13</f>
        <v>109677.046782619</v>
      </c>
      <c r="AT14" s="67" t="n">
        <f aca="false">AT12*AT13</f>
        <v>109677.046782619</v>
      </c>
      <c r="AU14" s="67" t="n">
        <f aca="false">AU12*AU13</f>
        <v>109677.046782619</v>
      </c>
      <c r="AV14" s="67" t="n">
        <f aca="false">AV12*AV13</f>
        <v>109677.046782619</v>
      </c>
      <c r="AW14" s="67" t="n">
        <f aca="false">AW12*AW13</f>
        <v>137096.308478274</v>
      </c>
      <c r="AX14" s="67" t="n">
        <f aca="false">AX12*AX13</f>
        <v>137096.308478274</v>
      </c>
      <c r="AY14" s="67" t="n">
        <f aca="false">AY12*AY13</f>
        <v>116356.37893168</v>
      </c>
      <c r="AZ14" s="67" t="n">
        <f aca="false">AZ12*AZ13</f>
        <v>116356.37893168</v>
      </c>
      <c r="BA14" s="67" t="n">
        <f aca="false">BA12*BA13</f>
        <v>116356.37893168</v>
      </c>
      <c r="BB14" s="67" t="n">
        <f aca="false">BB12*BB13</f>
        <v>116356.37893168</v>
      </c>
      <c r="BC14" s="67" t="n">
        <f aca="false">BC12*BC13</f>
        <v>116356.37893168</v>
      </c>
      <c r="BD14" s="67" t="n">
        <f aca="false">BD12*BD13</f>
        <v>116356.37893168</v>
      </c>
      <c r="BE14" s="67" t="n">
        <f aca="false">BE12*BE13</f>
        <v>116356.37893168</v>
      </c>
      <c r="BF14" s="67" t="n">
        <f aca="false">BF12*BF13</f>
        <v>116356.37893168</v>
      </c>
      <c r="BG14" s="67" t="n">
        <f aca="false">BG12*BG13</f>
        <v>116356.37893168</v>
      </c>
      <c r="BH14" s="67" t="n">
        <f aca="false">BH12*BH13</f>
        <v>116356.37893168</v>
      </c>
      <c r="BI14" s="67" t="n">
        <f aca="false">BI12*BI13</f>
        <v>145445.473664601</v>
      </c>
      <c r="BJ14" s="67" t="n">
        <f aca="false">BJ12*BJ13</f>
        <v>145445.473664601</v>
      </c>
    </row>
    <row r="16" customFormat="false" ht="15.75" hidden="false" customHeight="true" outlineLevel="0" collapsed="false">
      <c r="A16" s="7" t="s">
        <v>265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6" t="s">
        <v>61</v>
      </c>
      <c r="C17" s="118" t="n">
        <f aca="false">Inputs!$E$17*C8*(1+Inputs!$E$18)^(C$5-1)</f>
        <v>14.4</v>
      </c>
      <c r="D17" s="118" t="n">
        <f aca="false">Inputs!$E$17*D8*(1+Inputs!$E$18)^(D$5-1)</f>
        <v>15.2</v>
      </c>
      <c r="E17" s="118" t="n">
        <f aca="false">Inputs!$E$17*E8*(1+Inputs!$E$18)^(E$5-1)</f>
        <v>16</v>
      </c>
      <c r="F17" s="118" t="n">
        <f aca="false">Inputs!$E$17*F8*(1+Inputs!$E$18)^(F$5-1)</f>
        <v>16</v>
      </c>
      <c r="G17" s="118" t="n">
        <f aca="false">Inputs!$E$17*G8*(1+Inputs!$E$18)^(G$5-1)</f>
        <v>16</v>
      </c>
      <c r="H17" s="118" t="n">
        <f aca="false">Inputs!$E$17*H8*(1+Inputs!$E$18)^(H$5-1)</f>
        <v>16</v>
      </c>
      <c r="I17" s="118" t="n">
        <f aca="false">Inputs!$E$17*I8*(1+Inputs!$E$18)^(I$5-1)</f>
        <v>16</v>
      </c>
      <c r="J17" s="118" t="n">
        <f aca="false">Inputs!$E$17*J8*(1+Inputs!$E$18)^(J$5-1)</f>
        <v>16</v>
      </c>
      <c r="K17" s="118" t="n">
        <f aca="false">Inputs!$E$17*K8*(1+Inputs!$E$18)^(K$5-1)</f>
        <v>16</v>
      </c>
      <c r="L17" s="118" t="n">
        <f aca="false">Inputs!$E$17*L8*(1+Inputs!$E$18)^(L$5-1)</f>
        <v>16</v>
      </c>
      <c r="M17" s="118" t="n">
        <f aca="false">Inputs!$E$17*M8*(1+Inputs!$E$18)^(M$5-1)</f>
        <v>16</v>
      </c>
      <c r="N17" s="118" t="n">
        <f aca="false">Inputs!$E$17*N8*(1+Inputs!$E$18)^(N$5-1)</f>
        <v>16</v>
      </c>
      <c r="O17" s="118" t="n">
        <f aca="false">Inputs!$E$17*O8*(1+Inputs!$E$18)^(O$5-1)</f>
        <v>17.92</v>
      </c>
      <c r="P17" s="118" t="n">
        <f aca="false">Inputs!$E$17*P8*(1+Inputs!$E$18)^(P$5-1)</f>
        <v>17.92</v>
      </c>
      <c r="Q17" s="118" t="n">
        <f aca="false">Inputs!$E$17*Q8*(1+Inputs!$E$18)^(Q$5-1)</f>
        <v>17.92</v>
      </c>
      <c r="R17" s="118" t="n">
        <f aca="false">Inputs!$E$17*R8*(1+Inputs!$E$18)^(R$5-1)</f>
        <v>17.92</v>
      </c>
      <c r="S17" s="118" t="n">
        <f aca="false">Inputs!$E$17*S8*(1+Inputs!$E$18)^(S$5-1)</f>
        <v>17.92</v>
      </c>
      <c r="T17" s="118" t="n">
        <f aca="false">Inputs!$E$17*T8*(1+Inputs!$E$18)^(T$5-1)</f>
        <v>17.92</v>
      </c>
      <c r="U17" s="118" t="n">
        <f aca="false">Inputs!$E$17*U8*(1+Inputs!$E$18)^(U$5-1)</f>
        <v>17.92</v>
      </c>
      <c r="V17" s="118" t="n">
        <f aca="false">Inputs!$E$17*V8*(1+Inputs!$E$18)^(V$5-1)</f>
        <v>17.92</v>
      </c>
      <c r="W17" s="118" t="n">
        <f aca="false">Inputs!$E$17*W8*(1+Inputs!$E$18)^(W$5-1)</f>
        <v>17.92</v>
      </c>
      <c r="X17" s="118" t="n">
        <f aca="false">Inputs!$E$17*X8*(1+Inputs!$E$18)^(X$5-1)</f>
        <v>17.92</v>
      </c>
      <c r="Y17" s="118" t="n">
        <f aca="false">Inputs!$E$17*Y8*(1+Inputs!$E$18)^(Y$5-1)</f>
        <v>17.92</v>
      </c>
      <c r="Z17" s="118" t="n">
        <f aca="false">Inputs!$E$17*Z8*(1+Inputs!$E$18)^(Z$5-1)</f>
        <v>17.92</v>
      </c>
      <c r="AA17" s="118" t="n">
        <f aca="false">Inputs!$E$17*AA8*(1+Inputs!$E$18)^(AA$5-1)</f>
        <v>20.0704</v>
      </c>
      <c r="AB17" s="118" t="n">
        <f aca="false">Inputs!$E$17*AB8*(1+Inputs!$E$18)^(AB$5-1)</f>
        <v>20.0704</v>
      </c>
      <c r="AC17" s="118" t="n">
        <f aca="false">Inputs!$E$17*AC8*(1+Inputs!$E$18)^(AC$5-1)</f>
        <v>20.0704</v>
      </c>
      <c r="AD17" s="118" t="n">
        <f aca="false">Inputs!$E$17*AD8*(1+Inputs!$E$18)^(AD$5-1)</f>
        <v>20.0704</v>
      </c>
      <c r="AE17" s="118" t="n">
        <f aca="false">Inputs!$E$17*AE8*(1+Inputs!$E$18)^(AE$5-1)</f>
        <v>20.0704</v>
      </c>
      <c r="AF17" s="118" t="n">
        <f aca="false">Inputs!$E$17*AF8*(1+Inputs!$E$18)^(AF$5-1)</f>
        <v>20.0704</v>
      </c>
      <c r="AG17" s="118" t="n">
        <f aca="false">Inputs!$E$17*AG8*(1+Inputs!$E$18)^(AG$5-1)</f>
        <v>20.0704</v>
      </c>
      <c r="AH17" s="118" t="n">
        <f aca="false">Inputs!$E$17*AH8*(1+Inputs!$E$18)^(AH$5-1)</f>
        <v>20.0704</v>
      </c>
      <c r="AI17" s="118" t="n">
        <f aca="false">Inputs!$E$17*AI8*(1+Inputs!$E$18)^(AI$5-1)</f>
        <v>20.0704</v>
      </c>
      <c r="AJ17" s="118" t="n">
        <f aca="false">Inputs!$E$17*AJ8*(1+Inputs!$E$18)^(AJ$5-1)</f>
        <v>20.0704</v>
      </c>
      <c r="AK17" s="118" t="n">
        <f aca="false">Inputs!$E$17*AK8*(1+Inputs!$E$18)^(AK$5-1)</f>
        <v>20.0704</v>
      </c>
      <c r="AL17" s="118" t="n">
        <f aca="false">Inputs!$E$17*AL8*(1+Inputs!$E$18)^(AL$5-1)</f>
        <v>20.0704</v>
      </c>
      <c r="AM17" s="118" t="n">
        <f aca="false">Inputs!$E$17*AM8*(1+Inputs!$E$18)^(AM$5-1)</f>
        <v>22.478848</v>
      </c>
      <c r="AN17" s="118" t="n">
        <f aca="false">Inputs!$E$17*AN8*(1+Inputs!$E$18)^(AN$5-1)</f>
        <v>22.478848</v>
      </c>
      <c r="AO17" s="118" t="n">
        <f aca="false">Inputs!$E$17*AO8*(1+Inputs!$E$18)^(AO$5-1)</f>
        <v>22.478848</v>
      </c>
      <c r="AP17" s="118" t="n">
        <f aca="false">Inputs!$E$17*AP8*(1+Inputs!$E$18)^(AP$5-1)</f>
        <v>22.478848</v>
      </c>
      <c r="AQ17" s="118" t="n">
        <f aca="false">Inputs!$E$17*AQ8*(1+Inputs!$E$18)^(AQ$5-1)</f>
        <v>22.478848</v>
      </c>
      <c r="AR17" s="118" t="n">
        <f aca="false">Inputs!$E$17*AR8*(1+Inputs!$E$18)^(AR$5-1)</f>
        <v>22.478848</v>
      </c>
      <c r="AS17" s="118" t="n">
        <f aca="false">Inputs!$E$17*AS8*(1+Inputs!$E$18)^(AS$5-1)</f>
        <v>22.478848</v>
      </c>
      <c r="AT17" s="118" t="n">
        <f aca="false">Inputs!$E$17*AT8*(1+Inputs!$E$18)^(AT$5-1)</f>
        <v>22.478848</v>
      </c>
      <c r="AU17" s="118" t="n">
        <f aca="false">Inputs!$E$17*AU8*(1+Inputs!$E$18)^(AU$5-1)</f>
        <v>22.478848</v>
      </c>
      <c r="AV17" s="118" t="n">
        <f aca="false">Inputs!$E$17*AV8*(1+Inputs!$E$18)^(AV$5-1)</f>
        <v>22.478848</v>
      </c>
      <c r="AW17" s="118" t="n">
        <f aca="false">Inputs!$E$17*AW8*(1+Inputs!$E$18)^(AW$5-1)</f>
        <v>22.478848</v>
      </c>
      <c r="AX17" s="118" t="n">
        <f aca="false">Inputs!$E$17*AX8*(1+Inputs!$E$18)^(AX$5-1)</f>
        <v>22.478848</v>
      </c>
      <c r="AY17" s="118" t="n">
        <f aca="false">Inputs!$E$17*AY8*(1+Inputs!$E$18)^(AY$5-1)</f>
        <v>25.17630976</v>
      </c>
      <c r="AZ17" s="118" t="n">
        <f aca="false">Inputs!$E$17*AZ8*(1+Inputs!$E$18)^(AZ$5-1)</f>
        <v>25.17630976</v>
      </c>
      <c r="BA17" s="118" t="n">
        <f aca="false">Inputs!$E$17*BA8*(1+Inputs!$E$18)^(BA$5-1)</f>
        <v>25.17630976</v>
      </c>
      <c r="BB17" s="118" t="n">
        <f aca="false">Inputs!$E$17*BB8*(1+Inputs!$E$18)^(BB$5-1)</f>
        <v>25.17630976</v>
      </c>
      <c r="BC17" s="118" t="n">
        <f aca="false">Inputs!$E$17*BC8*(1+Inputs!$E$18)^(BC$5-1)</f>
        <v>25.17630976</v>
      </c>
      <c r="BD17" s="118" t="n">
        <f aca="false">Inputs!$E$17*BD8*(1+Inputs!$E$18)^(BD$5-1)</f>
        <v>25.17630976</v>
      </c>
      <c r="BE17" s="118" t="n">
        <f aca="false">Inputs!$E$17*BE8*(1+Inputs!$E$18)^(BE$5-1)</f>
        <v>25.17630976</v>
      </c>
      <c r="BF17" s="118" t="n">
        <f aca="false">Inputs!$E$17*BF8*(1+Inputs!$E$18)^(BF$5-1)</f>
        <v>25.17630976</v>
      </c>
      <c r="BG17" s="118" t="n">
        <f aca="false">Inputs!$E$17*BG8*(1+Inputs!$E$18)^(BG$5-1)</f>
        <v>25.17630976</v>
      </c>
      <c r="BH17" s="118" t="n">
        <f aca="false">Inputs!$E$17*BH8*(1+Inputs!$E$18)^(BH$5-1)</f>
        <v>25.17630976</v>
      </c>
      <c r="BI17" s="118" t="n">
        <f aca="false">Inputs!$E$17*BI8*(1+Inputs!$E$18)^(BI$5-1)</f>
        <v>25.17630976</v>
      </c>
      <c r="BJ17" s="118" t="n">
        <f aca="false">Inputs!$E$17*BJ8*(1+Inputs!$E$18)^(BJ$5-1)</f>
        <v>25.17630976</v>
      </c>
    </row>
    <row r="18" customFormat="false" ht="15" hidden="false" customHeight="false" outlineLevel="0" collapsed="false">
      <c r="A18" s="6" t="s">
        <v>407</v>
      </c>
      <c r="C18" s="67" t="n">
        <f aca="false">Inputs!$E$19*(1+Inputs!$E$12)^(C$5-1)</f>
        <v>540</v>
      </c>
      <c r="D18" s="67" t="n">
        <f aca="false">Inputs!$E$19*(1+Inputs!$E$12)^(D$5-1)</f>
        <v>540</v>
      </c>
      <c r="E18" s="67" t="n">
        <f aca="false">Inputs!$E$19*(1+Inputs!$E$12)^(E$5-1)</f>
        <v>540</v>
      </c>
      <c r="F18" s="67" t="n">
        <f aca="false">Inputs!$E$19*(1+Inputs!$E$12)^(F$5-1)</f>
        <v>540</v>
      </c>
      <c r="G18" s="67" t="n">
        <f aca="false">Inputs!$E$19*(1+Inputs!$E$12)^(G$5-1)</f>
        <v>540</v>
      </c>
      <c r="H18" s="67" t="n">
        <f aca="false">Inputs!$E$19*(1+Inputs!$E$12)^(H$5-1)</f>
        <v>540</v>
      </c>
      <c r="I18" s="67" t="n">
        <f aca="false">Inputs!$E$19*(1+Inputs!$E$12)^(I$5-1)</f>
        <v>540</v>
      </c>
      <c r="J18" s="67" t="n">
        <f aca="false">Inputs!$E$19*(1+Inputs!$E$12)^(J$5-1)</f>
        <v>540</v>
      </c>
      <c r="K18" s="67" t="n">
        <f aca="false">Inputs!$E$19*(1+Inputs!$E$12)^(K$5-1)</f>
        <v>540</v>
      </c>
      <c r="L18" s="67" t="n">
        <f aca="false">Inputs!$E$19*(1+Inputs!$E$12)^(L$5-1)</f>
        <v>540</v>
      </c>
      <c r="M18" s="67" t="n">
        <f aca="false">Inputs!$E$19*(1+Inputs!$E$12)^(M$5-1)</f>
        <v>540</v>
      </c>
      <c r="N18" s="67" t="n">
        <f aca="false">Inputs!$E$19*(1+Inputs!$E$12)^(N$5-1)</f>
        <v>540</v>
      </c>
      <c r="O18" s="67" t="n">
        <f aca="false">Inputs!$E$19*(1+Inputs!$E$12)^(O$5-1)</f>
        <v>556.2</v>
      </c>
      <c r="P18" s="67" t="n">
        <f aca="false">Inputs!$E$19*(1+Inputs!$E$12)^(P$5-1)</f>
        <v>556.2</v>
      </c>
      <c r="Q18" s="67" t="n">
        <f aca="false">Inputs!$E$19*(1+Inputs!$E$12)^(Q$5-1)</f>
        <v>556.2</v>
      </c>
      <c r="R18" s="67" t="n">
        <f aca="false">Inputs!$E$19*(1+Inputs!$E$12)^(R$5-1)</f>
        <v>556.2</v>
      </c>
      <c r="S18" s="67" t="n">
        <f aca="false">Inputs!$E$19*(1+Inputs!$E$12)^(S$5-1)</f>
        <v>556.2</v>
      </c>
      <c r="T18" s="67" t="n">
        <f aca="false">Inputs!$E$19*(1+Inputs!$E$12)^(T$5-1)</f>
        <v>556.2</v>
      </c>
      <c r="U18" s="67" t="n">
        <f aca="false">Inputs!$E$19*(1+Inputs!$E$12)^(U$5-1)</f>
        <v>556.2</v>
      </c>
      <c r="V18" s="67" t="n">
        <f aca="false">Inputs!$E$19*(1+Inputs!$E$12)^(V$5-1)</f>
        <v>556.2</v>
      </c>
      <c r="W18" s="67" t="n">
        <f aca="false">Inputs!$E$19*(1+Inputs!$E$12)^(W$5-1)</f>
        <v>556.2</v>
      </c>
      <c r="X18" s="67" t="n">
        <f aca="false">Inputs!$E$19*(1+Inputs!$E$12)^(X$5-1)</f>
        <v>556.2</v>
      </c>
      <c r="Y18" s="67" t="n">
        <f aca="false">Inputs!$E$19*(1+Inputs!$E$12)^(Y$5-1)</f>
        <v>556.2</v>
      </c>
      <c r="Z18" s="67" t="n">
        <f aca="false">Inputs!$E$19*(1+Inputs!$E$12)^(Z$5-1)</f>
        <v>556.2</v>
      </c>
      <c r="AA18" s="67" t="n">
        <f aca="false">Inputs!$E$19*(1+Inputs!$E$12)^(AA$5-1)</f>
        <v>572.886</v>
      </c>
      <c r="AB18" s="67" t="n">
        <f aca="false">Inputs!$E$19*(1+Inputs!$E$12)^(AB$5-1)</f>
        <v>572.886</v>
      </c>
      <c r="AC18" s="67" t="n">
        <f aca="false">Inputs!$E$19*(1+Inputs!$E$12)^(AC$5-1)</f>
        <v>572.886</v>
      </c>
      <c r="AD18" s="67" t="n">
        <f aca="false">Inputs!$E$19*(1+Inputs!$E$12)^(AD$5-1)</f>
        <v>572.886</v>
      </c>
      <c r="AE18" s="67" t="n">
        <f aca="false">Inputs!$E$19*(1+Inputs!$E$12)^(AE$5-1)</f>
        <v>572.886</v>
      </c>
      <c r="AF18" s="67" t="n">
        <f aca="false">Inputs!$E$19*(1+Inputs!$E$12)^(AF$5-1)</f>
        <v>572.886</v>
      </c>
      <c r="AG18" s="67" t="n">
        <f aca="false">Inputs!$E$19*(1+Inputs!$E$12)^(AG$5-1)</f>
        <v>572.886</v>
      </c>
      <c r="AH18" s="67" t="n">
        <f aca="false">Inputs!$E$19*(1+Inputs!$E$12)^(AH$5-1)</f>
        <v>572.886</v>
      </c>
      <c r="AI18" s="67" t="n">
        <f aca="false">Inputs!$E$19*(1+Inputs!$E$12)^(AI$5-1)</f>
        <v>572.886</v>
      </c>
      <c r="AJ18" s="67" t="n">
        <f aca="false">Inputs!$E$19*(1+Inputs!$E$12)^(AJ$5-1)</f>
        <v>572.886</v>
      </c>
      <c r="AK18" s="67" t="n">
        <f aca="false">Inputs!$E$19*(1+Inputs!$E$12)^(AK$5-1)</f>
        <v>572.886</v>
      </c>
      <c r="AL18" s="67" t="n">
        <f aca="false">Inputs!$E$19*(1+Inputs!$E$12)^(AL$5-1)</f>
        <v>572.886</v>
      </c>
      <c r="AM18" s="67" t="n">
        <f aca="false">Inputs!$E$19*(1+Inputs!$E$12)^(AM$5-1)</f>
        <v>590.07258</v>
      </c>
      <c r="AN18" s="67" t="n">
        <f aca="false">Inputs!$E$19*(1+Inputs!$E$12)^(AN$5-1)</f>
        <v>590.07258</v>
      </c>
      <c r="AO18" s="67" t="n">
        <f aca="false">Inputs!$E$19*(1+Inputs!$E$12)^(AO$5-1)</f>
        <v>590.07258</v>
      </c>
      <c r="AP18" s="67" t="n">
        <f aca="false">Inputs!$E$19*(1+Inputs!$E$12)^(AP$5-1)</f>
        <v>590.07258</v>
      </c>
      <c r="AQ18" s="67" t="n">
        <f aca="false">Inputs!$E$19*(1+Inputs!$E$12)^(AQ$5-1)</f>
        <v>590.07258</v>
      </c>
      <c r="AR18" s="67" t="n">
        <f aca="false">Inputs!$E$19*(1+Inputs!$E$12)^(AR$5-1)</f>
        <v>590.07258</v>
      </c>
      <c r="AS18" s="67" t="n">
        <f aca="false">Inputs!$E$19*(1+Inputs!$E$12)^(AS$5-1)</f>
        <v>590.07258</v>
      </c>
      <c r="AT18" s="67" t="n">
        <f aca="false">Inputs!$E$19*(1+Inputs!$E$12)^(AT$5-1)</f>
        <v>590.07258</v>
      </c>
      <c r="AU18" s="67" t="n">
        <f aca="false">Inputs!$E$19*(1+Inputs!$E$12)^(AU$5-1)</f>
        <v>590.07258</v>
      </c>
      <c r="AV18" s="67" t="n">
        <f aca="false">Inputs!$E$19*(1+Inputs!$E$12)^(AV$5-1)</f>
        <v>590.07258</v>
      </c>
      <c r="AW18" s="67" t="n">
        <f aca="false">Inputs!$E$19*(1+Inputs!$E$12)^(AW$5-1)</f>
        <v>590.07258</v>
      </c>
      <c r="AX18" s="67" t="n">
        <f aca="false">Inputs!$E$19*(1+Inputs!$E$12)^(AX$5-1)</f>
        <v>590.07258</v>
      </c>
      <c r="AY18" s="67" t="n">
        <f aca="false">Inputs!$E$19*(1+Inputs!$E$12)^(AY$5-1)</f>
        <v>607.7747574</v>
      </c>
      <c r="AZ18" s="67" t="n">
        <f aca="false">Inputs!$E$19*(1+Inputs!$E$12)^(AZ$5-1)</f>
        <v>607.7747574</v>
      </c>
      <c r="BA18" s="67" t="n">
        <f aca="false">Inputs!$E$19*(1+Inputs!$E$12)^(BA$5-1)</f>
        <v>607.7747574</v>
      </c>
      <c r="BB18" s="67" t="n">
        <f aca="false">Inputs!$E$19*(1+Inputs!$E$12)^(BB$5-1)</f>
        <v>607.7747574</v>
      </c>
      <c r="BC18" s="67" t="n">
        <f aca="false">Inputs!$E$19*(1+Inputs!$E$12)^(BC$5-1)</f>
        <v>607.7747574</v>
      </c>
      <c r="BD18" s="67" t="n">
        <f aca="false">Inputs!$E$19*(1+Inputs!$E$12)^(BD$5-1)</f>
        <v>607.7747574</v>
      </c>
      <c r="BE18" s="67" t="n">
        <f aca="false">Inputs!$E$19*(1+Inputs!$E$12)^(BE$5-1)</f>
        <v>607.7747574</v>
      </c>
      <c r="BF18" s="67" t="n">
        <f aca="false">Inputs!$E$19*(1+Inputs!$E$12)^(BF$5-1)</f>
        <v>607.7747574</v>
      </c>
      <c r="BG18" s="67" t="n">
        <f aca="false">Inputs!$E$19*(1+Inputs!$E$12)^(BG$5-1)</f>
        <v>607.7747574</v>
      </c>
      <c r="BH18" s="67" t="n">
        <f aca="false">Inputs!$E$19*(1+Inputs!$E$12)^(BH$5-1)</f>
        <v>607.7747574</v>
      </c>
      <c r="BI18" s="67" t="n">
        <f aca="false">Inputs!$E$19*(1+Inputs!$E$12)^(BI$5-1)</f>
        <v>607.7747574</v>
      </c>
      <c r="BJ18" s="67" t="n">
        <f aca="false">Inputs!$E$19*(1+Inputs!$E$12)^(BJ$5-1)</f>
        <v>607.7747574</v>
      </c>
    </row>
    <row r="19" customFormat="false" ht="15" hidden="false" customHeight="false" outlineLevel="0" collapsed="false">
      <c r="A19" s="6" t="s">
        <v>59</v>
      </c>
      <c r="C19" s="67" t="n">
        <f aca="false">C17*C18*52/12*1</f>
        <v>33696</v>
      </c>
      <c r="D19" s="67" t="n">
        <f aca="false">D17*D18*52/12*1</f>
        <v>35568</v>
      </c>
      <c r="E19" s="67" t="n">
        <f aca="false">E17*E18*52/12*1</f>
        <v>37440</v>
      </c>
      <c r="F19" s="67" t="n">
        <f aca="false">F17*F18*52/12*1</f>
        <v>37440</v>
      </c>
      <c r="G19" s="67" t="n">
        <f aca="false">G17*G18*52/12*1</f>
        <v>37440</v>
      </c>
      <c r="H19" s="67" t="n">
        <f aca="false">H17*H18*52/12*1</f>
        <v>37440</v>
      </c>
      <c r="I19" s="67" t="n">
        <f aca="false">I17*I18*52/12*1</f>
        <v>37440</v>
      </c>
      <c r="J19" s="67" t="n">
        <f aca="false">J17*J18*52/12*1</f>
        <v>37440</v>
      </c>
      <c r="K19" s="67" t="n">
        <f aca="false">K17*K18*52/12*1</f>
        <v>37440</v>
      </c>
      <c r="L19" s="67" t="n">
        <f aca="false">L17*L18*52/12*1</f>
        <v>37440</v>
      </c>
      <c r="M19" s="67" t="n">
        <f aca="false">M17*M18*52/12*1</f>
        <v>37440</v>
      </c>
      <c r="N19" s="67" t="n">
        <f aca="false">N17*N18*52/12*1</f>
        <v>37440</v>
      </c>
      <c r="O19" s="67" t="n">
        <f aca="false">O17*O18*52/12*1</f>
        <v>43190.784</v>
      </c>
      <c r="P19" s="67" t="n">
        <f aca="false">P17*P18*52/12*1</f>
        <v>43190.784</v>
      </c>
      <c r="Q19" s="67" t="n">
        <f aca="false">Q17*Q18*52/12*1</f>
        <v>43190.784</v>
      </c>
      <c r="R19" s="67" t="n">
        <f aca="false">R17*R18*52/12*1</f>
        <v>43190.784</v>
      </c>
      <c r="S19" s="67" t="n">
        <f aca="false">S17*S18*52/12*1</f>
        <v>43190.784</v>
      </c>
      <c r="T19" s="67" t="n">
        <f aca="false">T17*T18*52/12*1</f>
        <v>43190.784</v>
      </c>
      <c r="U19" s="67" t="n">
        <f aca="false">U17*U18*52/12*1</f>
        <v>43190.784</v>
      </c>
      <c r="V19" s="67" t="n">
        <f aca="false">V17*V18*52/12*1</f>
        <v>43190.784</v>
      </c>
      <c r="W19" s="67" t="n">
        <f aca="false">W17*W18*52/12*1</f>
        <v>43190.784</v>
      </c>
      <c r="X19" s="67" t="n">
        <f aca="false">X17*X18*52/12*1</f>
        <v>43190.784</v>
      </c>
      <c r="Y19" s="67" t="n">
        <f aca="false">Y17*Y18*52/12*1</f>
        <v>43190.784</v>
      </c>
      <c r="Z19" s="67" t="n">
        <f aca="false">Z17*Z18*52/12*1</f>
        <v>43190.784</v>
      </c>
      <c r="AA19" s="67" t="n">
        <f aca="false">AA17*AA18*52/12*1</f>
        <v>49824.8884224</v>
      </c>
      <c r="AB19" s="67" t="n">
        <f aca="false">AB17*AB18*52/12*1</f>
        <v>49824.8884224</v>
      </c>
      <c r="AC19" s="67" t="n">
        <f aca="false">AC17*AC18*52/12*1</f>
        <v>49824.8884224</v>
      </c>
      <c r="AD19" s="67" t="n">
        <f aca="false">AD17*AD18*52/12*1</f>
        <v>49824.8884224</v>
      </c>
      <c r="AE19" s="67" t="n">
        <f aca="false">AE17*AE18*52/12*1</f>
        <v>49824.8884224</v>
      </c>
      <c r="AF19" s="67" t="n">
        <f aca="false">AF17*AF18*52/12*1</f>
        <v>49824.8884224</v>
      </c>
      <c r="AG19" s="67" t="n">
        <f aca="false">AG17*AG18*52/12*1</f>
        <v>49824.8884224</v>
      </c>
      <c r="AH19" s="67" t="n">
        <f aca="false">AH17*AH18*52/12*1</f>
        <v>49824.8884224</v>
      </c>
      <c r="AI19" s="67" t="n">
        <f aca="false">AI17*AI18*52/12*1</f>
        <v>49824.8884224</v>
      </c>
      <c r="AJ19" s="67" t="n">
        <f aca="false">AJ17*AJ18*52/12*1</f>
        <v>49824.8884224</v>
      </c>
      <c r="AK19" s="67" t="n">
        <f aca="false">AK17*AK18*52/12*1</f>
        <v>49824.8884224</v>
      </c>
      <c r="AL19" s="67" t="n">
        <f aca="false">AL17*AL18*52/12*1</f>
        <v>49824.8884224</v>
      </c>
      <c r="AM19" s="67" t="n">
        <f aca="false">AM17*AM18*52/12*1</f>
        <v>57477.9912840807</v>
      </c>
      <c r="AN19" s="67" t="n">
        <f aca="false">AN17*AN18*52/12*1</f>
        <v>57477.9912840807</v>
      </c>
      <c r="AO19" s="67" t="n">
        <f aca="false">AO17*AO18*52/12*1</f>
        <v>57477.9912840807</v>
      </c>
      <c r="AP19" s="67" t="n">
        <f aca="false">AP17*AP18*52/12*1</f>
        <v>57477.9912840807</v>
      </c>
      <c r="AQ19" s="67" t="n">
        <f aca="false">AQ17*AQ18*52/12*1</f>
        <v>57477.9912840807</v>
      </c>
      <c r="AR19" s="67" t="n">
        <f aca="false">AR17*AR18*52/12*1</f>
        <v>57477.9912840807</v>
      </c>
      <c r="AS19" s="67" t="n">
        <f aca="false">AS17*AS18*52/12*1</f>
        <v>57477.9912840807</v>
      </c>
      <c r="AT19" s="67" t="n">
        <f aca="false">AT17*AT18*52/12*1</f>
        <v>57477.9912840807</v>
      </c>
      <c r="AU19" s="67" t="n">
        <f aca="false">AU17*AU18*52/12*1</f>
        <v>57477.9912840807</v>
      </c>
      <c r="AV19" s="67" t="n">
        <f aca="false">AV17*AV18*52/12*1</f>
        <v>57477.9912840807</v>
      </c>
      <c r="AW19" s="67" t="n">
        <f aca="false">AW17*AW18*52/12*1</f>
        <v>57477.9912840807</v>
      </c>
      <c r="AX19" s="67" t="n">
        <f aca="false">AX17*AX18*52/12*1</f>
        <v>57477.9912840807</v>
      </c>
      <c r="AY19" s="67" t="n">
        <f aca="false">AY17*AY18*52/12*1</f>
        <v>66306.6107453155</v>
      </c>
      <c r="AZ19" s="67" t="n">
        <f aca="false">AZ17*AZ18*52/12*1</f>
        <v>66306.6107453155</v>
      </c>
      <c r="BA19" s="67" t="n">
        <f aca="false">BA17*BA18*52/12*1</f>
        <v>66306.6107453155</v>
      </c>
      <c r="BB19" s="67" t="n">
        <f aca="false">BB17*BB18*52/12*1</f>
        <v>66306.6107453155</v>
      </c>
      <c r="BC19" s="67" t="n">
        <f aca="false">BC17*BC18*52/12*1</f>
        <v>66306.6107453155</v>
      </c>
      <c r="BD19" s="67" t="n">
        <f aca="false">BD17*BD18*52/12*1</f>
        <v>66306.6107453155</v>
      </c>
      <c r="BE19" s="67" t="n">
        <f aca="false">BE17*BE18*52/12*1</f>
        <v>66306.6107453155</v>
      </c>
      <c r="BF19" s="67" t="n">
        <f aca="false">BF17*BF18*52/12*1</f>
        <v>66306.6107453155</v>
      </c>
      <c r="BG19" s="67" t="n">
        <f aca="false">BG17*BG18*52/12*1</f>
        <v>66306.6107453155</v>
      </c>
      <c r="BH19" s="67" t="n">
        <f aca="false">BH17*BH18*52/12*1</f>
        <v>66306.6107453155</v>
      </c>
      <c r="BI19" s="67" t="n">
        <f aca="false">BI17*BI18*52/12*1</f>
        <v>66306.6107453155</v>
      </c>
      <c r="BJ19" s="67" t="n">
        <f aca="false">BJ17*BJ18*52/12*1</f>
        <v>66306.6107453155</v>
      </c>
    </row>
    <row r="21" customFormat="false" ht="15.75" hidden="false" customHeight="true" outlineLevel="0" collapsed="false">
      <c r="A21" s="7" t="s">
        <v>44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customFormat="false" ht="15" hidden="false" customHeight="false" outlineLevel="0" collapsed="false">
      <c r="A22" s="115" t="s">
        <v>44</v>
      </c>
      <c r="C22" s="68" t="n">
        <f aca="false">C14+C19</f>
        <v>115980.8</v>
      </c>
      <c r="D22" s="68" t="n">
        <f aca="false">D14+D19</f>
        <v>122636.8</v>
      </c>
      <c r="E22" s="68" t="n">
        <f aca="false">E14+E19</f>
        <v>129292.8</v>
      </c>
      <c r="F22" s="68" t="n">
        <f aca="false">F14+F19</f>
        <v>129292.8</v>
      </c>
      <c r="G22" s="68" t="n">
        <f aca="false">G14+G19</f>
        <v>129292.8</v>
      </c>
      <c r="H22" s="68" t="n">
        <f aca="false">H14+H19</f>
        <v>129292.8</v>
      </c>
      <c r="I22" s="68" t="n">
        <f aca="false">I14+I19</f>
        <v>129292.8</v>
      </c>
      <c r="J22" s="68" t="n">
        <f aca="false">J14+J19</f>
        <v>129292.8</v>
      </c>
      <c r="K22" s="68" t="n">
        <f aca="false">K14+K19</f>
        <v>129292.8</v>
      </c>
      <c r="L22" s="68" t="n">
        <f aca="false">L14+L19</f>
        <v>129292.8</v>
      </c>
      <c r="M22" s="68" t="n">
        <f aca="false">M14+M19</f>
        <v>152256</v>
      </c>
      <c r="N22" s="68" t="n">
        <f aca="false">N14+N19</f>
        <v>152256</v>
      </c>
      <c r="O22" s="68" t="n">
        <f aca="false">O14+O19</f>
        <v>140637.41952</v>
      </c>
      <c r="P22" s="68" t="n">
        <f aca="false">P14+P19</f>
        <v>140637.41952</v>
      </c>
      <c r="Q22" s="68" t="n">
        <f aca="false">Q14+Q19</f>
        <v>140637.41952</v>
      </c>
      <c r="R22" s="68" t="n">
        <f aca="false">R14+R19</f>
        <v>140637.41952</v>
      </c>
      <c r="S22" s="68" t="n">
        <f aca="false">S14+S19</f>
        <v>140637.41952</v>
      </c>
      <c r="T22" s="68" t="n">
        <f aca="false">T14+T19</f>
        <v>140637.41952</v>
      </c>
      <c r="U22" s="68" t="n">
        <f aca="false">U14+U19</f>
        <v>140637.41952</v>
      </c>
      <c r="V22" s="68" t="n">
        <f aca="false">V14+V19</f>
        <v>140637.41952</v>
      </c>
      <c r="W22" s="68" t="n">
        <f aca="false">W14+W19</f>
        <v>140637.41952</v>
      </c>
      <c r="X22" s="68" t="n">
        <f aca="false">X14+X19</f>
        <v>140637.41952</v>
      </c>
      <c r="Y22" s="68" t="n">
        <f aca="false">Y14+Y19</f>
        <v>164999.0784</v>
      </c>
      <c r="Z22" s="68" t="n">
        <f aca="false">Z14+Z19</f>
        <v>164999.0784</v>
      </c>
      <c r="AA22" s="68" t="n">
        <f aca="false">AA14+AA19</f>
        <v>153206.024045568</v>
      </c>
      <c r="AB22" s="68" t="n">
        <f aca="false">AB14+AB19</f>
        <v>153206.024045568</v>
      </c>
      <c r="AC22" s="68" t="n">
        <f aca="false">AC14+AC19</f>
        <v>153206.024045568</v>
      </c>
      <c r="AD22" s="68" t="n">
        <f aca="false">AD14+AD19</f>
        <v>153206.024045568</v>
      </c>
      <c r="AE22" s="68" t="n">
        <f aca="false">AE14+AE19</f>
        <v>153206.024045568</v>
      </c>
      <c r="AF22" s="68" t="n">
        <f aca="false">AF14+AF19</f>
        <v>153206.024045568</v>
      </c>
      <c r="AG22" s="68" t="n">
        <f aca="false">AG14+AG19</f>
        <v>153206.024045568</v>
      </c>
      <c r="AH22" s="68" t="n">
        <f aca="false">AH14+AH19</f>
        <v>153206.024045568</v>
      </c>
      <c r="AI22" s="68" t="n">
        <f aca="false">AI14+AI19</f>
        <v>153206.024045568</v>
      </c>
      <c r="AJ22" s="68" t="n">
        <f aca="false">AJ14+AJ19</f>
        <v>153206.024045568</v>
      </c>
      <c r="AK22" s="68" t="n">
        <f aca="false">AK14+AK19</f>
        <v>179051.30795136</v>
      </c>
      <c r="AL22" s="68" t="n">
        <f aca="false">AL14+AL19</f>
        <v>179051.30795136</v>
      </c>
      <c r="AM22" s="68" t="n">
        <f aca="false">AM14+AM19</f>
        <v>167155.0380667</v>
      </c>
      <c r="AN22" s="68" t="n">
        <f aca="false">AN14+AN19</f>
        <v>167155.0380667</v>
      </c>
      <c r="AO22" s="68" t="n">
        <f aca="false">AO14+AO19</f>
        <v>167155.0380667</v>
      </c>
      <c r="AP22" s="68" t="n">
        <f aca="false">AP14+AP19</f>
        <v>167155.0380667</v>
      </c>
      <c r="AQ22" s="68" t="n">
        <f aca="false">AQ14+AQ19</f>
        <v>167155.0380667</v>
      </c>
      <c r="AR22" s="68" t="n">
        <f aca="false">AR14+AR19</f>
        <v>167155.0380667</v>
      </c>
      <c r="AS22" s="68" t="n">
        <f aca="false">AS14+AS19</f>
        <v>167155.0380667</v>
      </c>
      <c r="AT22" s="68" t="n">
        <f aca="false">AT14+AT19</f>
        <v>167155.0380667</v>
      </c>
      <c r="AU22" s="68" t="n">
        <f aca="false">AU14+AU19</f>
        <v>167155.0380667</v>
      </c>
      <c r="AV22" s="68" t="n">
        <f aca="false">AV14+AV19</f>
        <v>167155.0380667</v>
      </c>
      <c r="AW22" s="68" t="n">
        <f aca="false">AW14+AW19</f>
        <v>194574.299762354</v>
      </c>
      <c r="AX22" s="68" t="n">
        <f aca="false">AX14+AX19</f>
        <v>194574.299762354</v>
      </c>
      <c r="AY22" s="68" t="n">
        <f aca="false">AY14+AY19</f>
        <v>182662.989676996</v>
      </c>
      <c r="AZ22" s="68" t="n">
        <f aca="false">AZ14+AZ19</f>
        <v>182662.989676996</v>
      </c>
      <c r="BA22" s="68" t="n">
        <f aca="false">BA14+BA19</f>
        <v>182662.989676996</v>
      </c>
      <c r="BB22" s="68" t="n">
        <f aca="false">BB14+BB19</f>
        <v>182662.989676996</v>
      </c>
      <c r="BC22" s="68" t="n">
        <f aca="false">BC14+BC19</f>
        <v>182662.989676996</v>
      </c>
      <c r="BD22" s="68" t="n">
        <f aca="false">BD14+BD19</f>
        <v>182662.989676996</v>
      </c>
      <c r="BE22" s="68" t="n">
        <f aca="false">BE14+BE19</f>
        <v>182662.989676996</v>
      </c>
      <c r="BF22" s="68" t="n">
        <f aca="false">BF14+BF19</f>
        <v>182662.989676996</v>
      </c>
      <c r="BG22" s="68" t="n">
        <f aca="false">BG14+BG19</f>
        <v>182662.989676996</v>
      </c>
      <c r="BH22" s="68" t="n">
        <f aca="false">BH14+BH19</f>
        <v>182662.989676996</v>
      </c>
      <c r="BI22" s="68" t="n">
        <f aca="false">BI14+BI19</f>
        <v>211752.084409916</v>
      </c>
      <c r="BJ22" s="68" t="n">
        <f aca="false">BJ14+BJ19</f>
        <v>211752.084409916</v>
      </c>
    </row>
    <row r="24" customFormat="false" ht="15.75" hidden="false" customHeight="true" outlineLevel="0" collapsed="false">
      <c r="A24" s="7" t="s">
        <v>76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customFormat="false" ht="15" hidden="false" customHeight="false" outlineLevel="0" collapsed="false">
      <c r="A25" s="6" t="s">
        <v>408</v>
      </c>
      <c r="C25" s="67" t="n">
        <f aca="false">-(C14*Inputs!$E$24+C19*Inputs!$E$25)</f>
        <v>-30868.032</v>
      </c>
      <c r="D25" s="67" t="n">
        <f aca="false">-(D14*Inputs!$E$24+D19*Inputs!$E$25)</f>
        <v>-32633.952</v>
      </c>
      <c r="E25" s="67" t="n">
        <f aca="false">-(E14*Inputs!$E$24+E19*Inputs!$E$25)</f>
        <v>-34399.872</v>
      </c>
      <c r="F25" s="67" t="n">
        <f aca="false">-(F14*Inputs!$E$24+F19*Inputs!$E$25)</f>
        <v>-34399.872</v>
      </c>
      <c r="G25" s="67" t="n">
        <f aca="false">-(G14*Inputs!$E$24+G19*Inputs!$E$25)</f>
        <v>-34399.872</v>
      </c>
      <c r="H25" s="67" t="n">
        <f aca="false">-(H14*Inputs!$E$24+H19*Inputs!$E$25)</f>
        <v>-34399.872</v>
      </c>
      <c r="I25" s="67" t="n">
        <f aca="false">-(I14*Inputs!$E$24+I19*Inputs!$E$25)</f>
        <v>-34399.872</v>
      </c>
      <c r="J25" s="67" t="n">
        <f aca="false">-(J14*Inputs!$E$24+J19*Inputs!$E$25)</f>
        <v>-34399.872</v>
      </c>
      <c r="K25" s="67" t="n">
        <f aca="false">-(K14*Inputs!$E$24+K19*Inputs!$E$25)</f>
        <v>-34399.872</v>
      </c>
      <c r="L25" s="67" t="n">
        <f aca="false">-(L14*Inputs!$E$24+L19*Inputs!$E$25)</f>
        <v>-34399.872</v>
      </c>
      <c r="M25" s="67" t="n">
        <f aca="false">-(M14*Inputs!$E$24+M19*Inputs!$E$25)</f>
        <v>-39911.04</v>
      </c>
      <c r="N25" s="67" t="n">
        <f aca="false">-(N14*Inputs!$E$24+N19*Inputs!$E$25)</f>
        <v>-39911.04</v>
      </c>
      <c r="O25" s="67" t="n">
        <f aca="false">-(O14*Inputs!$E$24+O19*Inputs!$E$25)</f>
        <v>-37640.1512448</v>
      </c>
      <c r="P25" s="67" t="n">
        <f aca="false">-(P14*Inputs!$E$24+P19*Inputs!$E$25)</f>
        <v>-37640.1512448</v>
      </c>
      <c r="Q25" s="67" t="n">
        <f aca="false">-(Q14*Inputs!$E$24+Q19*Inputs!$E$25)</f>
        <v>-37640.1512448</v>
      </c>
      <c r="R25" s="67" t="n">
        <f aca="false">-(R14*Inputs!$E$24+R19*Inputs!$E$25)</f>
        <v>-37640.1512448</v>
      </c>
      <c r="S25" s="67" t="n">
        <f aca="false">-(S14*Inputs!$E$24+S19*Inputs!$E$25)</f>
        <v>-37640.1512448</v>
      </c>
      <c r="T25" s="67" t="n">
        <f aca="false">-(T14*Inputs!$E$24+T19*Inputs!$E$25)</f>
        <v>-37640.1512448</v>
      </c>
      <c r="U25" s="67" t="n">
        <f aca="false">-(U14*Inputs!$E$24+U19*Inputs!$E$25)</f>
        <v>-37640.1512448</v>
      </c>
      <c r="V25" s="67" t="n">
        <f aca="false">-(V14*Inputs!$E$24+V19*Inputs!$E$25)</f>
        <v>-37640.1512448</v>
      </c>
      <c r="W25" s="67" t="n">
        <f aca="false">-(W14*Inputs!$E$24+W19*Inputs!$E$25)</f>
        <v>-37640.1512448</v>
      </c>
      <c r="X25" s="67" t="n">
        <f aca="false">-(X14*Inputs!$E$24+X19*Inputs!$E$25)</f>
        <v>-37640.1512448</v>
      </c>
      <c r="Y25" s="67" t="n">
        <f aca="false">-(Y14*Inputs!$E$24+Y19*Inputs!$E$25)</f>
        <v>-43486.949376</v>
      </c>
      <c r="Z25" s="67" t="n">
        <f aca="false">-(Z14*Inputs!$E$24+Z19*Inputs!$E$25)</f>
        <v>-43486.949376</v>
      </c>
      <c r="AA25" s="67" t="n">
        <f aca="false">-(AA14*Inputs!$E$24+AA19*Inputs!$E$25)</f>
        <v>-41253.6857289523</v>
      </c>
      <c r="AB25" s="67" t="n">
        <f aca="false">-(AB14*Inputs!$E$24+AB19*Inputs!$E$25)</f>
        <v>-41253.6857289523</v>
      </c>
      <c r="AC25" s="67" t="n">
        <f aca="false">-(AC14*Inputs!$E$24+AC19*Inputs!$E$25)</f>
        <v>-41253.6857289523</v>
      </c>
      <c r="AD25" s="67" t="n">
        <f aca="false">-(AD14*Inputs!$E$24+AD19*Inputs!$E$25)</f>
        <v>-41253.6857289523</v>
      </c>
      <c r="AE25" s="67" t="n">
        <f aca="false">-(AE14*Inputs!$E$24+AE19*Inputs!$E$25)</f>
        <v>-41253.6857289523</v>
      </c>
      <c r="AF25" s="67" t="n">
        <f aca="false">-(AF14*Inputs!$E$24+AF19*Inputs!$E$25)</f>
        <v>-41253.6857289523</v>
      </c>
      <c r="AG25" s="67" t="n">
        <f aca="false">-(AG14*Inputs!$E$24+AG19*Inputs!$E$25)</f>
        <v>-41253.6857289523</v>
      </c>
      <c r="AH25" s="67" t="n">
        <f aca="false">-(AH14*Inputs!$E$24+AH19*Inputs!$E$25)</f>
        <v>-41253.6857289523</v>
      </c>
      <c r="AI25" s="67" t="n">
        <f aca="false">-(AI14*Inputs!$E$24+AI19*Inputs!$E$25)</f>
        <v>-41253.6857289523</v>
      </c>
      <c r="AJ25" s="67" t="n">
        <f aca="false">-(AJ14*Inputs!$E$24+AJ19*Inputs!$E$25)</f>
        <v>-41253.6857289523</v>
      </c>
      <c r="AK25" s="67" t="n">
        <f aca="false">-(AK14*Inputs!$E$24+AK19*Inputs!$E$25)</f>
        <v>-47456.5538663424</v>
      </c>
      <c r="AL25" s="67" t="n">
        <f aca="false">-(AL14*Inputs!$E$24+AL19*Inputs!$E$25)</f>
        <v>-47456.5538663424</v>
      </c>
      <c r="AM25" s="67" t="n">
        <f aca="false">-(AM14*Inputs!$E$24+AM19*Inputs!$E$25)</f>
        <v>-45290.2283515752</v>
      </c>
      <c r="AN25" s="67" t="n">
        <f aca="false">-(AN14*Inputs!$E$24+AN19*Inputs!$E$25)</f>
        <v>-45290.2283515752</v>
      </c>
      <c r="AO25" s="67" t="n">
        <f aca="false">-(AO14*Inputs!$E$24+AO19*Inputs!$E$25)</f>
        <v>-45290.2283515752</v>
      </c>
      <c r="AP25" s="67" t="n">
        <f aca="false">-(AP14*Inputs!$E$24+AP19*Inputs!$E$25)</f>
        <v>-45290.2283515752</v>
      </c>
      <c r="AQ25" s="67" t="n">
        <f aca="false">-(AQ14*Inputs!$E$24+AQ19*Inputs!$E$25)</f>
        <v>-45290.2283515752</v>
      </c>
      <c r="AR25" s="67" t="n">
        <f aca="false">-(AR14*Inputs!$E$24+AR19*Inputs!$E$25)</f>
        <v>-45290.2283515752</v>
      </c>
      <c r="AS25" s="67" t="n">
        <f aca="false">-(AS14*Inputs!$E$24+AS19*Inputs!$E$25)</f>
        <v>-45290.2283515752</v>
      </c>
      <c r="AT25" s="67" t="n">
        <f aca="false">-(AT14*Inputs!$E$24+AT19*Inputs!$E$25)</f>
        <v>-45290.2283515752</v>
      </c>
      <c r="AU25" s="67" t="n">
        <f aca="false">-(AU14*Inputs!$E$24+AU19*Inputs!$E$25)</f>
        <v>-45290.2283515752</v>
      </c>
      <c r="AV25" s="67" t="n">
        <f aca="false">-(AV14*Inputs!$E$24+AV19*Inputs!$E$25)</f>
        <v>-45290.2283515752</v>
      </c>
      <c r="AW25" s="67" t="n">
        <f aca="false">-(AW14*Inputs!$E$24+AW19*Inputs!$E$25)</f>
        <v>-51870.8511585323</v>
      </c>
      <c r="AX25" s="67" t="n">
        <f aca="false">-(AX14*Inputs!$E$24+AX19*Inputs!$E$25)</f>
        <v>-51870.8511585323</v>
      </c>
      <c r="AY25" s="67" t="n">
        <f aca="false">-(AY14*Inputs!$E$24+AY19*Inputs!$E$25)</f>
        <v>-49806.7124895574</v>
      </c>
      <c r="AZ25" s="67" t="n">
        <f aca="false">-(AZ14*Inputs!$E$24+AZ19*Inputs!$E$25)</f>
        <v>-49806.7124895574</v>
      </c>
      <c r="BA25" s="67" t="n">
        <f aca="false">-(BA14*Inputs!$E$24+BA19*Inputs!$E$25)</f>
        <v>-49806.7124895574</v>
      </c>
      <c r="BB25" s="67" t="n">
        <f aca="false">-(BB14*Inputs!$E$24+BB19*Inputs!$E$25)</f>
        <v>-49806.7124895574</v>
      </c>
      <c r="BC25" s="67" t="n">
        <f aca="false">-(BC14*Inputs!$E$24+BC19*Inputs!$E$25)</f>
        <v>-49806.7124895574</v>
      </c>
      <c r="BD25" s="67" t="n">
        <f aca="false">-(BD14*Inputs!$E$24+BD19*Inputs!$E$25)</f>
        <v>-49806.7124895574</v>
      </c>
      <c r="BE25" s="67" t="n">
        <f aca="false">-(BE14*Inputs!$E$24+BE19*Inputs!$E$25)</f>
        <v>-49806.7124895574</v>
      </c>
      <c r="BF25" s="67" t="n">
        <f aca="false">-(BF14*Inputs!$E$24+BF19*Inputs!$E$25)</f>
        <v>-49806.7124895574</v>
      </c>
      <c r="BG25" s="67" t="n">
        <f aca="false">-(BG14*Inputs!$E$24+BG19*Inputs!$E$25)</f>
        <v>-49806.7124895574</v>
      </c>
      <c r="BH25" s="67" t="n">
        <f aca="false">-(BH14*Inputs!$E$24+BH19*Inputs!$E$25)</f>
        <v>-49806.7124895574</v>
      </c>
      <c r="BI25" s="67" t="n">
        <f aca="false">-(BI14*Inputs!$E$24+BI19*Inputs!$E$25)</f>
        <v>-56788.0952254582</v>
      </c>
      <c r="BJ25" s="67" t="n">
        <f aca="false">-(BJ14*Inputs!$E$24+BJ19*Inputs!$E$25)</f>
        <v>-56788.0952254582</v>
      </c>
    </row>
    <row r="26" customFormat="false" ht="15" hidden="false" customHeight="false" outlineLevel="0" collapsed="false">
      <c r="A26" s="6" t="s">
        <v>409</v>
      </c>
      <c r="C26" s="67" t="n">
        <f aca="false">-C14*Inputs!$E$24*Inputs!$E$26*100/MAX(1,100-100*Inputs!$E$26)</f>
        <v>-1953.13371428571</v>
      </c>
      <c r="D26" s="67" t="n">
        <f aca="false">-D14*Inputs!$E$24*Inputs!$E$26*100/MAX(1,100-100*Inputs!$E$26)</f>
        <v>-2066.688</v>
      </c>
      <c r="E26" s="67" t="n">
        <f aca="false">-E14*Inputs!$E$24*Inputs!$E$26*100/MAX(1,100-100*Inputs!$E$26)</f>
        <v>-2180.24228571429</v>
      </c>
      <c r="F26" s="67" t="n">
        <f aca="false">-F14*Inputs!$E$24*Inputs!$E$26*100/MAX(1,100-100*Inputs!$E$26)</f>
        <v>-2180.24228571429</v>
      </c>
      <c r="G26" s="67" t="n">
        <f aca="false">-G14*Inputs!$E$24*Inputs!$E$26*100/MAX(1,100-100*Inputs!$E$26)</f>
        <v>-2180.24228571429</v>
      </c>
      <c r="H26" s="67" t="n">
        <f aca="false">-H14*Inputs!$E$24*Inputs!$E$26*100/MAX(1,100-100*Inputs!$E$26)</f>
        <v>-2180.24228571429</v>
      </c>
      <c r="I26" s="67" t="n">
        <f aca="false">-I14*Inputs!$E$24*Inputs!$E$26*100/MAX(1,100-100*Inputs!$E$26)</f>
        <v>-2180.24228571429</v>
      </c>
      <c r="J26" s="67" t="n">
        <f aca="false">-J14*Inputs!$E$24*Inputs!$E$26*100/MAX(1,100-100*Inputs!$E$26)</f>
        <v>-2180.24228571429</v>
      </c>
      <c r="K26" s="67" t="n">
        <f aca="false">-K14*Inputs!$E$24*Inputs!$E$26*100/MAX(1,100-100*Inputs!$E$26)</f>
        <v>-2180.24228571429</v>
      </c>
      <c r="L26" s="67" t="n">
        <f aca="false">-L14*Inputs!$E$24*Inputs!$E$26*100/MAX(1,100-100*Inputs!$E$26)</f>
        <v>-2180.24228571429</v>
      </c>
      <c r="M26" s="67" t="n">
        <f aca="false">-M14*Inputs!$E$24*Inputs!$E$26*100/MAX(1,100-100*Inputs!$E$26)</f>
        <v>-2725.30285714286</v>
      </c>
      <c r="N26" s="67" t="n">
        <f aca="false">-N14*Inputs!$E$24*Inputs!$E$26*100/MAX(1,100-100*Inputs!$E$26)</f>
        <v>-2725.30285714286</v>
      </c>
      <c r="O26" s="67" t="n">
        <f aca="false">-O14*Inputs!$E$24*Inputs!$E$26*100/MAX(1,100-100*Inputs!$E$26)</f>
        <v>-2313.01904091429</v>
      </c>
      <c r="P26" s="67" t="n">
        <f aca="false">-P14*Inputs!$E$24*Inputs!$E$26*100/MAX(1,100-100*Inputs!$E$26)</f>
        <v>-2313.01904091429</v>
      </c>
      <c r="Q26" s="67" t="n">
        <f aca="false">-Q14*Inputs!$E$24*Inputs!$E$26*100/MAX(1,100-100*Inputs!$E$26)</f>
        <v>-2313.01904091429</v>
      </c>
      <c r="R26" s="67" t="n">
        <f aca="false">-R14*Inputs!$E$24*Inputs!$E$26*100/MAX(1,100-100*Inputs!$E$26)</f>
        <v>-2313.01904091429</v>
      </c>
      <c r="S26" s="67" t="n">
        <f aca="false">-S14*Inputs!$E$24*Inputs!$E$26*100/MAX(1,100-100*Inputs!$E$26)</f>
        <v>-2313.01904091429</v>
      </c>
      <c r="T26" s="67" t="n">
        <f aca="false">-T14*Inputs!$E$24*Inputs!$E$26*100/MAX(1,100-100*Inputs!$E$26)</f>
        <v>-2313.01904091429</v>
      </c>
      <c r="U26" s="67" t="n">
        <f aca="false">-U14*Inputs!$E$24*Inputs!$E$26*100/MAX(1,100-100*Inputs!$E$26)</f>
        <v>-2313.01904091429</v>
      </c>
      <c r="V26" s="67" t="n">
        <f aca="false">-V14*Inputs!$E$24*Inputs!$E$26*100/MAX(1,100-100*Inputs!$E$26)</f>
        <v>-2313.01904091429</v>
      </c>
      <c r="W26" s="67" t="n">
        <f aca="false">-W14*Inputs!$E$24*Inputs!$E$26*100/MAX(1,100-100*Inputs!$E$26)</f>
        <v>-2313.01904091429</v>
      </c>
      <c r="X26" s="67" t="n">
        <f aca="false">-X14*Inputs!$E$24*Inputs!$E$26*100/MAX(1,100-100*Inputs!$E$26)</f>
        <v>-2313.01904091429</v>
      </c>
      <c r="Y26" s="67" t="n">
        <f aca="false">-Y14*Inputs!$E$24*Inputs!$E$26*100/MAX(1,100-100*Inputs!$E$26)</f>
        <v>-2891.27380114286</v>
      </c>
      <c r="Z26" s="67" t="n">
        <f aca="false">-Z14*Inputs!$E$24*Inputs!$E$26*100/MAX(1,100-100*Inputs!$E$26)</f>
        <v>-2891.27380114286</v>
      </c>
      <c r="AA26" s="67" t="n">
        <f aca="false">-AA14*Inputs!$E$24*Inputs!$E$26*100/MAX(1,100-100*Inputs!$E$26)</f>
        <v>-2453.88190050597</v>
      </c>
      <c r="AB26" s="67" t="n">
        <f aca="false">-AB14*Inputs!$E$24*Inputs!$E$26*100/MAX(1,100-100*Inputs!$E$26)</f>
        <v>-2453.88190050597</v>
      </c>
      <c r="AC26" s="67" t="n">
        <f aca="false">-AC14*Inputs!$E$24*Inputs!$E$26*100/MAX(1,100-100*Inputs!$E$26)</f>
        <v>-2453.88190050597</v>
      </c>
      <c r="AD26" s="67" t="n">
        <f aca="false">-AD14*Inputs!$E$24*Inputs!$E$26*100/MAX(1,100-100*Inputs!$E$26)</f>
        <v>-2453.88190050597</v>
      </c>
      <c r="AE26" s="67" t="n">
        <f aca="false">-AE14*Inputs!$E$24*Inputs!$E$26*100/MAX(1,100-100*Inputs!$E$26)</f>
        <v>-2453.88190050597</v>
      </c>
      <c r="AF26" s="67" t="n">
        <f aca="false">-AF14*Inputs!$E$24*Inputs!$E$26*100/MAX(1,100-100*Inputs!$E$26)</f>
        <v>-2453.88190050597</v>
      </c>
      <c r="AG26" s="67" t="n">
        <f aca="false">-AG14*Inputs!$E$24*Inputs!$E$26*100/MAX(1,100-100*Inputs!$E$26)</f>
        <v>-2453.88190050597</v>
      </c>
      <c r="AH26" s="67" t="n">
        <f aca="false">-AH14*Inputs!$E$24*Inputs!$E$26*100/MAX(1,100-100*Inputs!$E$26)</f>
        <v>-2453.88190050597</v>
      </c>
      <c r="AI26" s="67" t="n">
        <f aca="false">-AI14*Inputs!$E$24*Inputs!$E$26*100/MAX(1,100-100*Inputs!$E$26)</f>
        <v>-2453.88190050597</v>
      </c>
      <c r="AJ26" s="67" t="n">
        <f aca="false">-AJ14*Inputs!$E$24*Inputs!$E$26*100/MAX(1,100-100*Inputs!$E$26)</f>
        <v>-2453.88190050597</v>
      </c>
      <c r="AK26" s="67" t="n">
        <f aca="false">-AK14*Inputs!$E$24*Inputs!$E$26*100/MAX(1,100-100*Inputs!$E$26)</f>
        <v>-3067.35237563246</v>
      </c>
      <c r="AL26" s="67" t="n">
        <f aca="false">-AL14*Inputs!$E$24*Inputs!$E$26*100/MAX(1,100-100*Inputs!$E$26)</f>
        <v>-3067.35237563246</v>
      </c>
      <c r="AM26" s="67" t="n">
        <f aca="false">-AM14*Inputs!$E$24*Inputs!$E$26*100/MAX(1,100-100*Inputs!$E$26)</f>
        <v>-2603.32330824678</v>
      </c>
      <c r="AN26" s="67" t="n">
        <f aca="false">-AN14*Inputs!$E$24*Inputs!$E$26*100/MAX(1,100-100*Inputs!$E$26)</f>
        <v>-2603.32330824678</v>
      </c>
      <c r="AO26" s="67" t="n">
        <f aca="false">-AO14*Inputs!$E$24*Inputs!$E$26*100/MAX(1,100-100*Inputs!$E$26)</f>
        <v>-2603.32330824678</v>
      </c>
      <c r="AP26" s="67" t="n">
        <f aca="false">-AP14*Inputs!$E$24*Inputs!$E$26*100/MAX(1,100-100*Inputs!$E$26)</f>
        <v>-2603.32330824678</v>
      </c>
      <c r="AQ26" s="67" t="n">
        <f aca="false">-AQ14*Inputs!$E$24*Inputs!$E$26*100/MAX(1,100-100*Inputs!$E$26)</f>
        <v>-2603.32330824678</v>
      </c>
      <c r="AR26" s="67" t="n">
        <f aca="false">-AR14*Inputs!$E$24*Inputs!$E$26*100/MAX(1,100-100*Inputs!$E$26)</f>
        <v>-2603.32330824678</v>
      </c>
      <c r="AS26" s="67" t="n">
        <f aca="false">-AS14*Inputs!$E$24*Inputs!$E$26*100/MAX(1,100-100*Inputs!$E$26)</f>
        <v>-2603.32330824678</v>
      </c>
      <c r="AT26" s="67" t="n">
        <f aca="false">-AT14*Inputs!$E$24*Inputs!$E$26*100/MAX(1,100-100*Inputs!$E$26)</f>
        <v>-2603.32330824678</v>
      </c>
      <c r="AU26" s="67" t="n">
        <f aca="false">-AU14*Inputs!$E$24*Inputs!$E$26*100/MAX(1,100-100*Inputs!$E$26)</f>
        <v>-2603.32330824678</v>
      </c>
      <c r="AV26" s="67" t="n">
        <f aca="false">-AV14*Inputs!$E$24*Inputs!$E$26*100/MAX(1,100-100*Inputs!$E$26)</f>
        <v>-2603.32330824678</v>
      </c>
      <c r="AW26" s="67" t="n">
        <f aca="false">-AW14*Inputs!$E$24*Inputs!$E$26*100/MAX(1,100-100*Inputs!$E$26)</f>
        <v>-3254.15413530848</v>
      </c>
      <c r="AX26" s="67" t="n">
        <f aca="false">-AX14*Inputs!$E$24*Inputs!$E$26*100/MAX(1,100-100*Inputs!$E$26)</f>
        <v>-3254.15413530848</v>
      </c>
      <c r="AY26" s="67" t="n">
        <f aca="false">-AY14*Inputs!$E$24*Inputs!$E$26*100/MAX(1,100-100*Inputs!$E$26)</f>
        <v>-2761.86569771901</v>
      </c>
      <c r="AZ26" s="67" t="n">
        <f aca="false">-AZ14*Inputs!$E$24*Inputs!$E$26*100/MAX(1,100-100*Inputs!$E$26)</f>
        <v>-2761.86569771901</v>
      </c>
      <c r="BA26" s="67" t="n">
        <f aca="false">-BA14*Inputs!$E$24*Inputs!$E$26*100/MAX(1,100-100*Inputs!$E$26)</f>
        <v>-2761.86569771901</v>
      </c>
      <c r="BB26" s="67" t="n">
        <f aca="false">-BB14*Inputs!$E$24*Inputs!$E$26*100/MAX(1,100-100*Inputs!$E$26)</f>
        <v>-2761.86569771901</v>
      </c>
      <c r="BC26" s="67" t="n">
        <f aca="false">-BC14*Inputs!$E$24*Inputs!$E$26*100/MAX(1,100-100*Inputs!$E$26)</f>
        <v>-2761.86569771901</v>
      </c>
      <c r="BD26" s="67" t="n">
        <f aca="false">-BD14*Inputs!$E$24*Inputs!$E$26*100/MAX(1,100-100*Inputs!$E$26)</f>
        <v>-2761.86569771901</v>
      </c>
      <c r="BE26" s="67" t="n">
        <f aca="false">-BE14*Inputs!$E$24*Inputs!$E$26*100/MAX(1,100-100*Inputs!$E$26)</f>
        <v>-2761.86569771901</v>
      </c>
      <c r="BF26" s="67" t="n">
        <f aca="false">-BF14*Inputs!$E$24*Inputs!$E$26*100/MAX(1,100-100*Inputs!$E$26)</f>
        <v>-2761.86569771901</v>
      </c>
      <c r="BG26" s="67" t="n">
        <f aca="false">-BG14*Inputs!$E$24*Inputs!$E$26*100/MAX(1,100-100*Inputs!$E$26)</f>
        <v>-2761.86569771901</v>
      </c>
      <c r="BH26" s="67" t="n">
        <f aca="false">-BH14*Inputs!$E$24*Inputs!$E$26*100/MAX(1,100-100*Inputs!$E$26)</f>
        <v>-2761.86569771901</v>
      </c>
      <c r="BI26" s="67" t="n">
        <f aca="false">-BI14*Inputs!$E$24*Inputs!$E$26*100/MAX(1,100-100*Inputs!$E$26)</f>
        <v>-3452.33212214876</v>
      </c>
      <c r="BJ26" s="67" t="n">
        <f aca="false">-BJ14*Inputs!$E$24*Inputs!$E$26*100/MAX(1,100-100*Inputs!$E$26)</f>
        <v>-3452.33212214876</v>
      </c>
    </row>
    <row r="27" customFormat="false" ht="15" hidden="false" customHeight="false" outlineLevel="0" collapsed="false">
      <c r="A27" s="6" t="s">
        <v>410</v>
      </c>
      <c r="C27" s="67" t="n">
        <f aca="false">-C22*Inputs!$E$27</f>
        <v>-4059.328</v>
      </c>
      <c r="D27" s="67" t="n">
        <f aca="false">-D22*Inputs!$E$27</f>
        <v>-4292.288</v>
      </c>
      <c r="E27" s="67" t="n">
        <f aca="false">-E22*Inputs!$E$27</f>
        <v>-4525.248</v>
      </c>
      <c r="F27" s="67" t="n">
        <f aca="false">-F22*Inputs!$E$27</f>
        <v>-4525.248</v>
      </c>
      <c r="G27" s="67" t="n">
        <f aca="false">-G22*Inputs!$E$27</f>
        <v>-4525.248</v>
      </c>
      <c r="H27" s="67" t="n">
        <f aca="false">-H22*Inputs!$E$27</f>
        <v>-4525.248</v>
      </c>
      <c r="I27" s="67" t="n">
        <f aca="false">-I22*Inputs!$E$27</f>
        <v>-4525.248</v>
      </c>
      <c r="J27" s="67" t="n">
        <f aca="false">-J22*Inputs!$E$27</f>
        <v>-4525.248</v>
      </c>
      <c r="K27" s="67" t="n">
        <f aca="false">-K22*Inputs!$E$27</f>
        <v>-4525.248</v>
      </c>
      <c r="L27" s="67" t="n">
        <f aca="false">-L22*Inputs!$E$27</f>
        <v>-4525.248</v>
      </c>
      <c r="M27" s="67" t="n">
        <f aca="false">-M22*Inputs!$E$27</f>
        <v>-5328.96</v>
      </c>
      <c r="N27" s="67" t="n">
        <f aca="false">-N22*Inputs!$E$27</f>
        <v>-5328.96</v>
      </c>
      <c r="O27" s="67" t="n">
        <f aca="false">-O22*Inputs!$E$27</f>
        <v>-4922.3096832</v>
      </c>
      <c r="P27" s="67" t="n">
        <f aca="false">-P22*Inputs!$E$27</f>
        <v>-4922.3096832</v>
      </c>
      <c r="Q27" s="67" t="n">
        <f aca="false">-Q22*Inputs!$E$27</f>
        <v>-4922.3096832</v>
      </c>
      <c r="R27" s="67" t="n">
        <f aca="false">-R22*Inputs!$E$27</f>
        <v>-4922.3096832</v>
      </c>
      <c r="S27" s="67" t="n">
        <f aca="false">-S22*Inputs!$E$27</f>
        <v>-4922.3096832</v>
      </c>
      <c r="T27" s="67" t="n">
        <f aca="false">-T22*Inputs!$E$27</f>
        <v>-4922.3096832</v>
      </c>
      <c r="U27" s="67" t="n">
        <f aca="false">-U22*Inputs!$E$27</f>
        <v>-4922.3096832</v>
      </c>
      <c r="V27" s="67" t="n">
        <f aca="false">-V22*Inputs!$E$27</f>
        <v>-4922.3096832</v>
      </c>
      <c r="W27" s="67" t="n">
        <f aca="false">-W22*Inputs!$E$27</f>
        <v>-4922.3096832</v>
      </c>
      <c r="X27" s="67" t="n">
        <f aca="false">-X22*Inputs!$E$27</f>
        <v>-4922.3096832</v>
      </c>
      <c r="Y27" s="67" t="n">
        <f aca="false">-Y22*Inputs!$E$27</f>
        <v>-5774.967744</v>
      </c>
      <c r="Z27" s="67" t="n">
        <f aca="false">-Z22*Inputs!$E$27</f>
        <v>-5774.967744</v>
      </c>
      <c r="AA27" s="67" t="n">
        <f aca="false">-AA22*Inputs!$E$27</f>
        <v>-5362.21084159488</v>
      </c>
      <c r="AB27" s="67" t="n">
        <f aca="false">-AB22*Inputs!$E$27</f>
        <v>-5362.21084159488</v>
      </c>
      <c r="AC27" s="67" t="n">
        <f aca="false">-AC22*Inputs!$E$27</f>
        <v>-5362.21084159488</v>
      </c>
      <c r="AD27" s="67" t="n">
        <f aca="false">-AD22*Inputs!$E$27</f>
        <v>-5362.21084159488</v>
      </c>
      <c r="AE27" s="67" t="n">
        <f aca="false">-AE22*Inputs!$E$27</f>
        <v>-5362.21084159488</v>
      </c>
      <c r="AF27" s="67" t="n">
        <f aca="false">-AF22*Inputs!$E$27</f>
        <v>-5362.21084159488</v>
      </c>
      <c r="AG27" s="67" t="n">
        <f aca="false">-AG22*Inputs!$E$27</f>
        <v>-5362.21084159488</v>
      </c>
      <c r="AH27" s="67" t="n">
        <f aca="false">-AH22*Inputs!$E$27</f>
        <v>-5362.21084159488</v>
      </c>
      <c r="AI27" s="67" t="n">
        <f aca="false">-AI22*Inputs!$E$27</f>
        <v>-5362.21084159488</v>
      </c>
      <c r="AJ27" s="67" t="n">
        <f aca="false">-AJ22*Inputs!$E$27</f>
        <v>-5362.21084159488</v>
      </c>
      <c r="AK27" s="67" t="n">
        <f aca="false">-AK22*Inputs!$E$27</f>
        <v>-6266.7957782976</v>
      </c>
      <c r="AL27" s="67" t="n">
        <f aca="false">-AL22*Inputs!$E$27</f>
        <v>-6266.7957782976</v>
      </c>
      <c r="AM27" s="67" t="n">
        <f aca="false">-AM22*Inputs!$E$27</f>
        <v>-5850.42633233449</v>
      </c>
      <c r="AN27" s="67" t="n">
        <f aca="false">-AN22*Inputs!$E$27</f>
        <v>-5850.42633233449</v>
      </c>
      <c r="AO27" s="67" t="n">
        <f aca="false">-AO22*Inputs!$E$27</f>
        <v>-5850.42633233449</v>
      </c>
      <c r="AP27" s="67" t="n">
        <f aca="false">-AP22*Inputs!$E$27</f>
        <v>-5850.42633233449</v>
      </c>
      <c r="AQ27" s="67" t="n">
        <f aca="false">-AQ22*Inputs!$E$27</f>
        <v>-5850.42633233449</v>
      </c>
      <c r="AR27" s="67" t="n">
        <f aca="false">-AR22*Inputs!$E$27</f>
        <v>-5850.42633233449</v>
      </c>
      <c r="AS27" s="67" t="n">
        <f aca="false">-AS22*Inputs!$E$27</f>
        <v>-5850.42633233449</v>
      </c>
      <c r="AT27" s="67" t="n">
        <f aca="false">-AT22*Inputs!$E$27</f>
        <v>-5850.42633233449</v>
      </c>
      <c r="AU27" s="67" t="n">
        <f aca="false">-AU22*Inputs!$E$27</f>
        <v>-5850.42633233449</v>
      </c>
      <c r="AV27" s="67" t="n">
        <f aca="false">-AV22*Inputs!$E$27</f>
        <v>-5850.42633233449</v>
      </c>
      <c r="AW27" s="67" t="n">
        <f aca="false">-AW22*Inputs!$E$27</f>
        <v>-6810.1004916824</v>
      </c>
      <c r="AX27" s="67" t="n">
        <f aca="false">-AX22*Inputs!$E$27</f>
        <v>-6810.1004916824</v>
      </c>
      <c r="AY27" s="67" t="n">
        <f aca="false">-AY22*Inputs!$E$27</f>
        <v>-6393.20463869486</v>
      </c>
      <c r="AZ27" s="67" t="n">
        <f aca="false">-AZ22*Inputs!$E$27</f>
        <v>-6393.20463869486</v>
      </c>
      <c r="BA27" s="67" t="n">
        <f aca="false">-BA22*Inputs!$E$27</f>
        <v>-6393.20463869486</v>
      </c>
      <c r="BB27" s="67" t="n">
        <f aca="false">-BB22*Inputs!$E$27</f>
        <v>-6393.20463869486</v>
      </c>
      <c r="BC27" s="67" t="n">
        <f aca="false">-BC22*Inputs!$E$27</f>
        <v>-6393.20463869486</v>
      </c>
      <c r="BD27" s="67" t="n">
        <f aca="false">-BD22*Inputs!$E$27</f>
        <v>-6393.20463869486</v>
      </c>
      <c r="BE27" s="67" t="n">
        <f aca="false">-BE22*Inputs!$E$27</f>
        <v>-6393.20463869486</v>
      </c>
      <c r="BF27" s="67" t="n">
        <f aca="false">-BF22*Inputs!$E$27</f>
        <v>-6393.20463869486</v>
      </c>
      <c r="BG27" s="67" t="n">
        <f aca="false">-BG22*Inputs!$E$27</f>
        <v>-6393.20463869486</v>
      </c>
      <c r="BH27" s="67" t="n">
        <f aca="false">-BH22*Inputs!$E$27</f>
        <v>-6393.20463869486</v>
      </c>
      <c r="BI27" s="67" t="n">
        <f aca="false">-BI22*Inputs!$E$27</f>
        <v>-7411.32295434706</v>
      </c>
      <c r="BJ27" s="67" t="n">
        <f aca="false">-BJ22*Inputs!$E$27</f>
        <v>-7411.32295434706</v>
      </c>
    </row>
    <row r="28" customFormat="false" ht="15" hidden="false" customHeight="false" outlineLevel="0" collapsed="false">
      <c r="A28" s="4" t="s">
        <v>76</v>
      </c>
      <c r="C28" s="73" t="n">
        <f aca="false">C25+C26+C27</f>
        <v>-36880.4937142857</v>
      </c>
      <c r="D28" s="73" t="n">
        <f aca="false">D25+D26+D27</f>
        <v>-38992.928</v>
      </c>
      <c r="E28" s="73" t="n">
        <f aca="false">E25+E26+E27</f>
        <v>-41105.3622857143</v>
      </c>
      <c r="F28" s="73" t="n">
        <f aca="false">F25+F26+F27</f>
        <v>-41105.3622857143</v>
      </c>
      <c r="G28" s="73" t="n">
        <f aca="false">G25+G26+G27</f>
        <v>-41105.3622857143</v>
      </c>
      <c r="H28" s="73" t="n">
        <f aca="false">H25+H26+H27</f>
        <v>-41105.3622857143</v>
      </c>
      <c r="I28" s="73" t="n">
        <f aca="false">I25+I26+I27</f>
        <v>-41105.3622857143</v>
      </c>
      <c r="J28" s="73" t="n">
        <f aca="false">J25+J26+J27</f>
        <v>-41105.3622857143</v>
      </c>
      <c r="K28" s="73" t="n">
        <f aca="false">K25+K26+K27</f>
        <v>-41105.3622857143</v>
      </c>
      <c r="L28" s="73" t="n">
        <f aca="false">L25+L26+L27</f>
        <v>-41105.3622857143</v>
      </c>
      <c r="M28" s="73" t="n">
        <f aca="false">M25+M26+M27</f>
        <v>-47965.3028571429</v>
      </c>
      <c r="N28" s="73" t="n">
        <f aca="false">N25+N26+N27</f>
        <v>-47965.3028571429</v>
      </c>
      <c r="O28" s="73" t="n">
        <f aca="false">O25+O26+O27</f>
        <v>-44875.4799689143</v>
      </c>
      <c r="P28" s="73" t="n">
        <f aca="false">P25+P26+P27</f>
        <v>-44875.4799689143</v>
      </c>
      <c r="Q28" s="73" t="n">
        <f aca="false">Q25+Q26+Q27</f>
        <v>-44875.4799689143</v>
      </c>
      <c r="R28" s="73" t="n">
        <f aca="false">R25+R26+R27</f>
        <v>-44875.4799689143</v>
      </c>
      <c r="S28" s="73" t="n">
        <f aca="false">S25+S26+S27</f>
        <v>-44875.4799689143</v>
      </c>
      <c r="T28" s="73" t="n">
        <f aca="false">T25+T26+T27</f>
        <v>-44875.4799689143</v>
      </c>
      <c r="U28" s="73" t="n">
        <f aca="false">U25+U26+U27</f>
        <v>-44875.4799689143</v>
      </c>
      <c r="V28" s="73" t="n">
        <f aca="false">V25+V26+V27</f>
        <v>-44875.4799689143</v>
      </c>
      <c r="W28" s="73" t="n">
        <f aca="false">W25+W26+W27</f>
        <v>-44875.4799689143</v>
      </c>
      <c r="X28" s="73" t="n">
        <f aca="false">X25+X26+X27</f>
        <v>-44875.4799689143</v>
      </c>
      <c r="Y28" s="73" t="n">
        <f aca="false">Y25+Y26+Y27</f>
        <v>-52153.1909211429</v>
      </c>
      <c r="Z28" s="73" t="n">
        <f aca="false">Z25+Z26+Z27</f>
        <v>-52153.1909211429</v>
      </c>
      <c r="AA28" s="73" t="n">
        <f aca="false">AA25+AA26+AA27</f>
        <v>-49069.7784710532</v>
      </c>
      <c r="AB28" s="73" t="n">
        <f aca="false">AB25+AB26+AB27</f>
        <v>-49069.7784710532</v>
      </c>
      <c r="AC28" s="73" t="n">
        <f aca="false">AC25+AC26+AC27</f>
        <v>-49069.7784710532</v>
      </c>
      <c r="AD28" s="73" t="n">
        <f aca="false">AD25+AD26+AD27</f>
        <v>-49069.7784710532</v>
      </c>
      <c r="AE28" s="73" t="n">
        <f aca="false">AE25+AE26+AE27</f>
        <v>-49069.7784710532</v>
      </c>
      <c r="AF28" s="73" t="n">
        <f aca="false">AF25+AF26+AF27</f>
        <v>-49069.7784710532</v>
      </c>
      <c r="AG28" s="73" t="n">
        <f aca="false">AG25+AG26+AG27</f>
        <v>-49069.7784710532</v>
      </c>
      <c r="AH28" s="73" t="n">
        <f aca="false">AH25+AH26+AH27</f>
        <v>-49069.7784710532</v>
      </c>
      <c r="AI28" s="73" t="n">
        <f aca="false">AI25+AI26+AI27</f>
        <v>-49069.7784710532</v>
      </c>
      <c r="AJ28" s="73" t="n">
        <f aca="false">AJ25+AJ26+AJ27</f>
        <v>-49069.7784710532</v>
      </c>
      <c r="AK28" s="73" t="n">
        <f aca="false">AK25+AK26+AK27</f>
        <v>-56790.7020202725</v>
      </c>
      <c r="AL28" s="73" t="n">
        <f aca="false">AL25+AL26+AL27</f>
        <v>-56790.7020202725</v>
      </c>
      <c r="AM28" s="73" t="n">
        <f aca="false">AM25+AM26+AM27</f>
        <v>-53743.9779921564</v>
      </c>
      <c r="AN28" s="73" t="n">
        <f aca="false">AN25+AN26+AN27</f>
        <v>-53743.9779921564</v>
      </c>
      <c r="AO28" s="73" t="n">
        <f aca="false">AO25+AO26+AO27</f>
        <v>-53743.9779921564</v>
      </c>
      <c r="AP28" s="73" t="n">
        <f aca="false">AP25+AP26+AP27</f>
        <v>-53743.9779921564</v>
      </c>
      <c r="AQ28" s="73" t="n">
        <f aca="false">AQ25+AQ26+AQ27</f>
        <v>-53743.9779921564</v>
      </c>
      <c r="AR28" s="73" t="n">
        <f aca="false">AR25+AR26+AR27</f>
        <v>-53743.9779921564</v>
      </c>
      <c r="AS28" s="73" t="n">
        <f aca="false">AS25+AS26+AS27</f>
        <v>-53743.9779921564</v>
      </c>
      <c r="AT28" s="73" t="n">
        <f aca="false">AT25+AT26+AT27</f>
        <v>-53743.9779921564</v>
      </c>
      <c r="AU28" s="73" t="n">
        <f aca="false">AU25+AU26+AU27</f>
        <v>-53743.9779921564</v>
      </c>
      <c r="AV28" s="73" t="n">
        <f aca="false">AV25+AV26+AV27</f>
        <v>-53743.9779921564</v>
      </c>
      <c r="AW28" s="73" t="n">
        <f aca="false">AW25+AW26+AW27</f>
        <v>-61935.1057855232</v>
      </c>
      <c r="AX28" s="73" t="n">
        <f aca="false">AX25+AX26+AX27</f>
        <v>-61935.1057855232</v>
      </c>
      <c r="AY28" s="73" t="n">
        <f aca="false">AY25+AY26+AY27</f>
        <v>-58961.7828259713</v>
      </c>
      <c r="AZ28" s="73" t="n">
        <f aca="false">AZ25+AZ26+AZ27</f>
        <v>-58961.7828259713</v>
      </c>
      <c r="BA28" s="73" t="n">
        <f aca="false">BA25+BA26+BA27</f>
        <v>-58961.7828259713</v>
      </c>
      <c r="BB28" s="73" t="n">
        <f aca="false">BB25+BB26+BB27</f>
        <v>-58961.7828259713</v>
      </c>
      <c r="BC28" s="73" t="n">
        <f aca="false">BC25+BC26+BC27</f>
        <v>-58961.7828259713</v>
      </c>
      <c r="BD28" s="73" t="n">
        <f aca="false">BD25+BD26+BD27</f>
        <v>-58961.7828259713</v>
      </c>
      <c r="BE28" s="73" t="n">
        <f aca="false">BE25+BE26+BE27</f>
        <v>-58961.7828259713</v>
      </c>
      <c r="BF28" s="73" t="n">
        <f aca="false">BF25+BF26+BF27</f>
        <v>-58961.7828259713</v>
      </c>
      <c r="BG28" s="73" t="n">
        <f aca="false">BG25+BG26+BG27</f>
        <v>-58961.7828259713</v>
      </c>
      <c r="BH28" s="73" t="n">
        <f aca="false">BH25+BH26+BH27</f>
        <v>-58961.7828259713</v>
      </c>
      <c r="BI28" s="73" t="n">
        <f aca="false">BI25+BI26+BI27</f>
        <v>-67651.7503019541</v>
      </c>
      <c r="BJ28" s="73" t="n">
        <f aca="false">BJ25+BJ26+BJ27</f>
        <v>-67651.7503019541</v>
      </c>
    </row>
    <row r="29" customFormat="false" ht="15" hidden="false" customHeight="false" outlineLevel="0" collapsed="false">
      <c r="A29" s="115" t="s">
        <v>45</v>
      </c>
      <c r="C29" s="68" t="n">
        <f aca="false">C22+C28</f>
        <v>79100.3062857143</v>
      </c>
      <c r="D29" s="68" t="n">
        <f aca="false">D22+D28</f>
        <v>83643.872</v>
      </c>
      <c r="E29" s="68" t="n">
        <f aca="false">E22+E28</f>
        <v>88187.4377142857</v>
      </c>
      <c r="F29" s="68" t="n">
        <f aca="false">F22+F28</f>
        <v>88187.4377142857</v>
      </c>
      <c r="G29" s="68" t="n">
        <f aca="false">G22+G28</f>
        <v>88187.4377142857</v>
      </c>
      <c r="H29" s="68" t="n">
        <f aca="false">H22+H28</f>
        <v>88187.4377142857</v>
      </c>
      <c r="I29" s="68" t="n">
        <f aca="false">I22+I28</f>
        <v>88187.4377142857</v>
      </c>
      <c r="J29" s="68" t="n">
        <f aca="false">J22+J28</f>
        <v>88187.4377142857</v>
      </c>
      <c r="K29" s="68" t="n">
        <f aca="false">K22+K28</f>
        <v>88187.4377142857</v>
      </c>
      <c r="L29" s="68" t="n">
        <f aca="false">L22+L28</f>
        <v>88187.4377142857</v>
      </c>
      <c r="M29" s="68" t="n">
        <f aca="false">M22+M28</f>
        <v>104290.697142857</v>
      </c>
      <c r="N29" s="68" t="n">
        <f aca="false">N22+N28</f>
        <v>104290.697142857</v>
      </c>
      <c r="O29" s="68" t="n">
        <f aca="false">O22+O28</f>
        <v>95761.9395510857</v>
      </c>
      <c r="P29" s="68" t="n">
        <f aca="false">P22+P28</f>
        <v>95761.9395510857</v>
      </c>
      <c r="Q29" s="68" t="n">
        <f aca="false">Q22+Q28</f>
        <v>95761.9395510857</v>
      </c>
      <c r="R29" s="68" t="n">
        <f aca="false">R22+R28</f>
        <v>95761.9395510857</v>
      </c>
      <c r="S29" s="68" t="n">
        <f aca="false">S22+S28</f>
        <v>95761.9395510857</v>
      </c>
      <c r="T29" s="68" t="n">
        <f aca="false">T22+T28</f>
        <v>95761.9395510857</v>
      </c>
      <c r="U29" s="68" t="n">
        <f aca="false">U22+U28</f>
        <v>95761.9395510857</v>
      </c>
      <c r="V29" s="68" t="n">
        <f aca="false">V22+V28</f>
        <v>95761.9395510857</v>
      </c>
      <c r="W29" s="68" t="n">
        <f aca="false">W22+W28</f>
        <v>95761.9395510857</v>
      </c>
      <c r="X29" s="68" t="n">
        <f aca="false">X22+X28</f>
        <v>95761.9395510857</v>
      </c>
      <c r="Y29" s="68" t="n">
        <f aca="false">Y22+Y28</f>
        <v>112845.887478857</v>
      </c>
      <c r="Z29" s="68" t="n">
        <f aca="false">Z22+Z28</f>
        <v>112845.887478857</v>
      </c>
      <c r="AA29" s="68" t="n">
        <f aca="false">AA22+AA28</f>
        <v>104136.245574515</v>
      </c>
      <c r="AB29" s="68" t="n">
        <f aca="false">AB22+AB28</f>
        <v>104136.245574515</v>
      </c>
      <c r="AC29" s="68" t="n">
        <f aca="false">AC22+AC28</f>
        <v>104136.245574515</v>
      </c>
      <c r="AD29" s="68" t="n">
        <f aca="false">AD22+AD28</f>
        <v>104136.245574515</v>
      </c>
      <c r="AE29" s="68" t="n">
        <f aca="false">AE22+AE28</f>
        <v>104136.245574515</v>
      </c>
      <c r="AF29" s="68" t="n">
        <f aca="false">AF22+AF28</f>
        <v>104136.245574515</v>
      </c>
      <c r="AG29" s="68" t="n">
        <f aca="false">AG22+AG28</f>
        <v>104136.245574515</v>
      </c>
      <c r="AH29" s="68" t="n">
        <f aca="false">AH22+AH28</f>
        <v>104136.245574515</v>
      </c>
      <c r="AI29" s="68" t="n">
        <f aca="false">AI22+AI28</f>
        <v>104136.245574515</v>
      </c>
      <c r="AJ29" s="68" t="n">
        <f aca="false">AJ22+AJ28</f>
        <v>104136.245574515</v>
      </c>
      <c r="AK29" s="68" t="n">
        <f aca="false">AK22+AK28</f>
        <v>122260.605931088</v>
      </c>
      <c r="AL29" s="68" t="n">
        <f aca="false">AL22+AL28</f>
        <v>122260.605931088</v>
      </c>
      <c r="AM29" s="68" t="n">
        <f aca="false">AM22+AM28</f>
        <v>113411.060074543</v>
      </c>
      <c r="AN29" s="68" t="n">
        <f aca="false">AN22+AN28</f>
        <v>113411.060074543</v>
      </c>
      <c r="AO29" s="68" t="n">
        <f aca="false">AO22+AO28</f>
        <v>113411.060074543</v>
      </c>
      <c r="AP29" s="68" t="n">
        <f aca="false">AP22+AP28</f>
        <v>113411.060074543</v>
      </c>
      <c r="AQ29" s="68" t="n">
        <f aca="false">AQ22+AQ28</f>
        <v>113411.060074543</v>
      </c>
      <c r="AR29" s="68" t="n">
        <f aca="false">AR22+AR28</f>
        <v>113411.060074543</v>
      </c>
      <c r="AS29" s="68" t="n">
        <f aca="false">AS22+AS28</f>
        <v>113411.060074543</v>
      </c>
      <c r="AT29" s="68" t="n">
        <f aca="false">AT22+AT28</f>
        <v>113411.060074543</v>
      </c>
      <c r="AU29" s="68" t="n">
        <f aca="false">AU22+AU28</f>
        <v>113411.060074543</v>
      </c>
      <c r="AV29" s="68" t="n">
        <f aca="false">AV22+AV28</f>
        <v>113411.060074543</v>
      </c>
      <c r="AW29" s="68" t="n">
        <f aca="false">AW22+AW28</f>
        <v>132639.193976831</v>
      </c>
      <c r="AX29" s="68" t="n">
        <f aca="false">AX22+AX28</f>
        <v>132639.193976831</v>
      </c>
      <c r="AY29" s="68" t="n">
        <f aca="false">AY22+AY28</f>
        <v>123701.206851025</v>
      </c>
      <c r="AZ29" s="68" t="n">
        <f aca="false">AZ22+AZ28</f>
        <v>123701.206851025</v>
      </c>
      <c r="BA29" s="68" t="n">
        <f aca="false">BA22+BA28</f>
        <v>123701.206851025</v>
      </c>
      <c r="BB29" s="68" t="n">
        <f aca="false">BB22+BB28</f>
        <v>123701.206851025</v>
      </c>
      <c r="BC29" s="68" t="n">
        <f aca="false">BC22+BC28</f>
        <v>123701.206851025</v>
      </c>
      <c r="BD29" s="68" t="n">
        <f aca="false">BD22+BD28</f>
        <v>123701.206851025</v>
      </c>
      <c r="BE29" s="68" t="n">
        <f aca="false">BE22+BE28</f>
        <v>123701.206851025</v>
      </c>
      <c r="BF29" s="68" t="n">
        <f aca="false">BF22+BF28</f>
        <v>123701.206851025</v>
      </c>
      <c r="BG29" s="68" t="n">
        <f aca="false">BG22+BG28</f>
        <v>123701.206851025</v>
      </c>
      <c r="BH29" s="68" t="n">
        <f aca="false">BH22+BH28</f>
        <v>123701.206851025</v>
      </c>
      <c r="BI29" s="68" t="n">
        <f aca="false">BI22+BI28</f>
        <v>144100.334107962</v>
      </c>
      <c r="BJ29" s="68" t="n">
        <f aca="false">BJ22+BJ28</f>
        <v>144100.334107962</v>
      </c>
    </row>
    <row r="31" customFormat="false" ht="15.75" hidden="false" customHeight="true" outlineLevel="0" collapsed="false">
      <c r="A31" s="7" t="s">
        <v>47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customFormat="false" ht="15" hidden="false" customHeight="false" outlineLevel="0" collapsed="false">
      <c r="A32" s="6" t="s">
        <v>323</v>
      </c>
      <c r="C32" s="69" t="n">
        <f aca="false">Headcount!C17</f>
        <v>-49466.6666666667</v>
      </c>
      <c r="D32" s="69" t="n">
        <f aca="false">Headcount!D17</f>
        <v>-49466.6666666667</v>
      </c>
      <c r="E32" s="69" t="n">
        <f aca="false">Headcount!E17</f>
        <v>-49466.6666666667</v>
      </c>
      <c r="F32" s="69" t="n">
        <f aca="false">Headcount!F17</f>
        <v>-49466.6666666667</v>
      </c>
      <c r="G32" s="69" t="n">
        <f aca="false">Headcount!G17</f>
        <v>-49466.6666666667</v>
      </c>
      <c r="H32" s="69" t="n">
        <f aca="false">Headcount!H17</f>
        <v>-49466.6666666667</v>
      </c>
      <c r="I32" s="69" t="n">
        <f aca="false">Headcount!I17</f>
        <v>-49466.6666666667</v>
      </c>
      <c r="J32" s="69" t="n">
        <f aca="false">Headcount!J17</f>
        <v>-49466.6666666667</v>
      </c>
      <c r="K32" s="69" t="n">
        <f aca="false">Headcount!K17</f>
        <v>-49466.6666666667</v>
      </c>
      <c r="L32" s="69" t="n">
        <f aca="false">Headcount!L17</f>
        <v>-49466.6666666667</v>
      </c>
      <c r="M32" s="69" t="n">
        <f aca="false">Headcount!M17</f>
        <v>-49466.6666666667</v>
      </c>
      <c r="N32" s="69" t="n">
        <f aca="false">Headcount!N17</f>
        <v>-49466.6666666667</v>
      </c>
      <c r="O32" s="69" t="n">
        <f aca="false">Headcount!O17</f>
        <v>-53471.2826666667</v>
      </c>
      <c r="P32" s="69" t="n">
        <f aca="false">Headcount!P17</f>
        <v>-53471.2826666667</v>
      </c>
      <c r="Q32" s="69" t="n">
        <f aca="false">Headcount!Q17</f>
        <v>-53471.2826666667</v>
      </c>
      <c r="R32" s="69" t="n">
        <f aca="false">Headcount!R17</f>
        <v>-53471.2826666667</v>
      </c>
      <c r="S32" s="69" t="n">
        <f aca="false">Headcount!S17</f>
        <v>-53471.2826666667</v>
      </c>
      <c r="T32" s="69" t="n">
        <f aca="false">Headcount!T17</f>
        <v>-53471.2826666667</v>
      </c>
      <c r="U32" s="69" t="n">
        <f aca="false">Headcount!U17</f>
        <v>-53471.2826666667</v>
      </c>
      <c r="V32" s="69" t="n">
        <f aca="false">Headcount!V17</f>
        <v>-53471.2826666667</v>
      </c>
      <c r="W32" s="69" t="n">
        <f aca="false">Headcount!W17</f>
        <v>-53471.2826666667</v>
      </c>
      <c r="X32" s="69" t="n">
        <f aca="false">Headcount!X17</f>
        <v>-53471.2826666667</v>
      </c>
      <c r="Y32" s="69" t="n">
        <f aca="false">Headcount!Y17</f>
        <v>-53471.2826666667</v>
      </c>
      <c r="Z32" s="69" t="n">
        <f aca="false">Headcount!Z17</f>
        <v>-53471.2826666667</v>
      </c>
      <c r="AA32" s="69" t="n">
        <f aca="false">Headcount!AA17</f>
        <v>-57827.4296954667</v>
      </c>
      <c r="AB32" s="69" t="n">
        <f aca="false">Headcount!AB17</f>
        <v>-57827.4296954667</v>
      </c>
      <c r="AC32" s="69" t="n">
        <f aca="false">Headcount!AC17</f>
        <v>-57827.4296954667</v>
      </c>
      <c r="AD32" s="69" t="n">
        <f aca="false">Headcount!AD17</f>
        <v>-57827.4296954667</v>
      </c>
      <c r="AE32" s="69" t="n">
        <f aca="false">Headcount!AE17</f>
        <v>-57827.4296954667</v>
      </c>
      <c r="AF32" s="69" t="n">
        <f aca="false">Headcount!AF17</f>
        <v>-57827.4296954667</v>
      </c>
      <c r="AG32" s="69" t="n">
        <f aca="false">Headcount!AG17</f>
        <v>-57827.4296954667</v>
      </c>
      <c r="AH32" s="69" t="n">
        <f aca="false">Headcount!AH17</f>
        <v>-57827.4296954667</v>
      </c>
      <c r="AI32" s="69" t="n">
        <f aca="false">Headcount!AI17</f>
        <v>-57827.4296954667</v>
      </c>
      <c r="AJ32" s="69" t="n">
        <f aca="false">Headcount!AJ17</f>
        <v>-57827.4296954667</v>
      </c>
      <c r="AK32" s="69" t="n">
        <f aca="false">Headcount!AK17</f>
        <v>-57827.4296954667</v>
      </c>
      <c r="AL32" s="69" t="n">
        <f aca="false">Headcount!AL17</f>
        <v>-57827.4296954667</v>
      </c>
      <c r="AM32" s="69" t="n">
        <f aca="false">Headcount!AM17</f>
        <v>-62566.8955199105</v>
      </c>
      <c r="AN32" s="69" t="n">
        <f aca="false">Headcount!AN17</f>
        <v>-62566.8955199105</v>
      </c>
      <c r="AO32" s="69" t="n">
        <f aca="false">Headcount!AO17</f>
        <v>-62566.8955199105</v>
      </c>
      <c r="AP32" s="69" t="n">
        <f aca="false">Headcount!AP17</f>
        <v>-62566.8955199105</v>
      </c>
      <c r="AQ32" s="69" t="n">
        <f aca="false">Headcount!AQ17</f>
        <v>-62566.8955199105</v>
      </c>
      <c r="AR32" s="69" t="n">
        <f aca="false">Headcount!AR17</f>
        <v>-62566.8955199105</v>
      </c>
      <c r="AS32" s="69" t="n">
        <f aca="false">Headcount!AS17</f>
        <v>-62566.8955199105</v>
      </c>
      <c r="AT32" s="69" t="n">
        <f aca="false">Headcount!AT17</f>
        <v>-62566.8955199105</v>
      </c>
      <c r="AU32" s="69" t="n">
        <f aca="false">Headcount!AU17</f>
        <v>-62566.8955199105</v>
      </c>
      <c r="AV32" s="69" t="n">
        <f aca="false">Headcount!AV17</f>
        <v>-62566.8955199105</v>
      </c>
      <c r="AW32" s="69" t="n">
        <f aca="false">Headcount!AW17</f>
        <v>-62566.8955199105</v>
      </c>
      <c r="AX32" s="69" t="n">
        <f aca="false">Headcount!AX17</f>
        <v>-62566.8955199105</v>
      </c>
      <c r="AY32" s="69" t="n">
        <f aca="false">Headcount!AY17</f>
        <v>-67724.3715403903</v>
      </c>
      <c r="AZ32" s="69" t="n">
        <f aca="false">Headcount!AZ17</f>
        <v>-67724.3715403903</v>
      </c>
      <c r="BA32" s="69" t="n">
        <f aca="false">Headcount!BA17</f>
        <v>-67724.3715403903</v>
      </c>
      <c r="BB32" s="69" t="n">
        <f aca="false">Headcount!BB17</f>
        <v>-67724.3715403903</v>
      </c>
      <c r="BC32" s="69" t="n">
        <f aca="false">Headcount!BC17</f>
        <v>-67724.3715403903</v>
      </c>
      <c r="BD32" s="69" t="n">
        <f aca="false">Headcount!BD17</f>
        <v>-67724.3715403903</v>
      </c>
      <c r="BE32" s="69" t="n">
        <f aca="false">Headcount!BE17</f>
        <v>-67724.3715403903</v>
      </c>
      <c r="BF32" s="69" t="n">
        <f aca="false">Headcount!BF17</f>
        <v>-67724.3715403903</v>
      </c>
      <c r="BG32" s="69" t="n">
        <f aca="false">Headcount!BG17</f>
        <v>-67724.3715403903</v>
      </c>
      <c r="BH32" s="69" t="n">
        <f aca="false">Headcount!BH17</f>
        <v>-67724.3715403903</v>
      </c>
      <c r="BI32" s="69" t="n">
        <f aca="false">Headcount!BI17</f>
        <v>-67724.3715403903</v>
      </c>
      <c r="BJ32" s="69" t="n">
        <f aca="false">Headcount!BJ17</f>
        <v>-67724.3715403903</v>
      </c>
    </row>
    <row r="33" customFormat="false" ht="15" hidden="false" customHeight="false" outlineLevel="0" collapsed="false">
      <c r="A33" s="6" t="s">
        <v>324</v>
      </c>
      <c r="C33" s="67" t="n">
        <f aca="false">-Inputs!$E$30*1</f>
        <v>-12000</v>
      </c>
      <c r="D33" s="67" t="n">
        <f aca="false">-Inputs!$E$30*1</f>
        <v>-12000</v>
      </c>
      <c r="E33" s="67" t="n">
        <f aca="false">-Inputs!$E$30*1</f>
        <v>-12000</v>
      </c>
      <c r="F33" s="67" t="n">
        <f aca="false">-Inputs!$E$30*1</f>
        <v>-12000</v>
      </c>
      <c r="G33" s="67" t="n">
        <f aca="false">-Inputs!$E$30*1</f>
        <v>-12000</v>
      </c>
      <c r="H33" s="67" t="n">
        <f aca="false">-Inputs!$E$30*1</f>
        <v>-12000</v>
      </c>
      <c r="I33" s="67" t="n">
        <f aca="false">-Inputs!$E$30*1</f>
        <v>-12000</v>
      </c>
      <c r="J33" s="67" t="n">
        <f aca="false">-Inputs!$E$30*1</f>
        <v>-12000</v>
      </c>
      <c r="K33" s="67" t="n">
        <f aca="false">-Inputs!$E$30*1</f>
        <v>-12000</v>
      </c>
      <c r="L33" s="67" t="n">
        <f aca="false">-Inputs!$E$30*1</f>
        <v>-12000</v>
      </c>
      <c r="M33" s="67" t="n">
        <f aca="false">-Inputs!$E$30*1</f>
        <v>-12000</v>
      </c>
      <c r="N33" s="67" t="n">
        <f aca="false">-Inputs!$E$30*1</f>
        <v>-12000</v>
      </c>
      <c r="O33" s="67" t="n">
        <f aca="false">-Inputs!$E$30*1</f>
        <v>-12000</v>
      </c>
      <c r="P33" s="67" t="n">
        <f aca="false">-Inputs!$E$30*1</f>
        <v>-12000</v>
      </c>
      <c r="Q33" s="67" t="n">
        <f aca="false">-Inputs!$E$30*1</f>
        <v>-12000</v>
      </c>
      <c r="R33" s="67" t="n">
        <f aca="false">-Inputs!$E$30*1</f>
        <v>-12000</v>
      </c>
      <c r="S33" s="67" t="n">
        <f aca="false">-Inputs!$E$30*1</f>
        <v>-12000</v>
      </c>
      <c r="T33" s="67" t="n">
        <f aca="false">-Inputs!$E$30*1</f>
        <v>-12000</v>
      </c>
      <c r="U33" s="67" t="n">
        <f aca="false">-Inputs!$E$30*1</f>
        <v>-12000</v>
      </c>
      <c r="V33" s="67" t="n">
        <f aca="false">-Inputs!$E$30*1</f>
        <v>-12000</v>
      </c>
      <c r="W33" s="67" t="n">
        <f aca="false">-Inputs!$E$30*1</f>
        <v>-12000</v>
      </c>
      <c r="X33" s="67" t="n">
        <f aca="false">-Inputs!$E$30*1</f>
        <v>-12000</v>
      </c>
      <c r="Y33" s="67" t="n">
        <f aca="false">-Inputs!$E$30*1</f>
        <v>-12000</v>
      </c>
      <c r="Z33" s="67" t="n">
        <f aca="false">-Inputs!$E$30*1</f>
        <v>-12000</v>
      </c>
      <c r="AA33" s="67" t="n">
        <f aca="false">-Inputs!$E$30*1</f>
        <v>-12000</v>
      </c>
      <c r="AB33" s="67" t="n">
        <f aca="false">-Inputs!$E$30*1</f>
        <v>-12000</v>
      </c>
      <c r="AC33" s="67" t="n">
        <f aca="false">-Inputs!$E$30*1</f>
        <v>-12000</v>
      </c>
      <c r="AD33" s="67" t="n">
        <f aca="false">-Inputs!$E$30*1</f>
        <v>-12000</v>
      </c>
      <c r="AE33" s="67" t="n">
        <f aca="false">-Inputs!$E$30*1</f>
        <v>-12000</v>
      </c>
      <c r="AF33" s="67" t="n">
        <f aca="false">-Inputs!$E$30*1</f>
        <v>-12000</v>
      </c>
      <c r="AG33" s="67" t="n">
        <f aca="false">-Inputs!$E$30*1</f>
        <v>-12000</v>
      </c>
      <c r="AH33" s="67" t="n">
        <f aca="false">-Inputs!$E$30*1</f>
        <v>-12000</v>
      </c>
      <c r="AI33" s="67" t="n">
        <f aca="false">-Inputs!$E$30*1</f>
        <v>-12000</v>
      </c>
      <c r="AJ33" s="67" t="n">
        <f aca="false">-Inputs!$E$30*1</f>
        <v>-12000</v>
      </c>
      <c r="AK33" s="67" t="n">
        <f aca="false">-Inputs!$E$30*1</f>
        <v>-12000</v>
      </c>
      <c r="AL33" s="67" t="n">
        <f aca="false">-Inputs!$E$30*1</f>
        <v>-12000</v>
      </c>
      <c r="AM33" s="67" t="n">
        <f aca="false">-Inputs!$E$30*1</f>
        <v>-12000</v>
      </c>
      <c r="AN33" s="67" t="n">
        <f aca="false">-Inputs!$E$30*1</f>
        <v>-12000</v>
      </c>
      <c r="AO33" s="67" t="n">
        <f aca="false">-Inputs!$E$30*1</f>
        <v>-12000</v>
      </c>
      <c r="AP33" s="67" t="n">
        <f aca="false">-Inputs!$E$30*1</f>
        <v>-12000</v>
      </c>
      <c r="AQ33" s="67" t="n">
        <f aca="false">-Inputs!$E$30*1</f>
        <v>-12000</v>
      </c>
      <c r="AR33" s="67" t="n">
        <f aca="false">-Inputs!$E$30*1</f>
        <v>-12000</v>
      </c>
      <c r="AS33" s="67" t="n">
        <f aca="false">-Inputs!$E$30*1</f>
        <v>-12000</v>
      </c>
      <c r="AT33" s="67" t="n">
        <f aca="false">-Inputs!$E$30*1</f>
        <v>-12000</v>
      </c>
      <c r="AU33" s="67" t="n">
        <f aca="false">-Inputs!$E$30*1</f>
        <v>-12000</v>
      </c>
      <c r="AV33" s="67" t="n">
        <f aca="false">-Inputs!$E$30*1</f>
        <v>-12000</v>
      </c>
      <c r="AW33" s="67" t="n">
        <f aca="false">-Inputs!$E$30*1</f>
        <v>-12000</v>
      </c>
      <c r="AX33" s="67" t="n">
        <f aca="false">-Inputs!$E$30*1</f>
        <v>-12000</v>
      </c>
      <c r="AY33" s="67" t="n">
        <f aca="false">-Inputs!$E$30*1</f>
        <v>-12000</v>
      </c>
      <c r="AZ33" s="67" t="n">
        <f aca="false">-Inputs!$E$30*1</f>
        <v>-12000</v>
      </c>
      <c r="BA33" s="67" t="n">
        <f aca="false">-Inputs!$E$30*1</f>
        <v>-12000</v>
      </c>
      <c r="BB33" s="67" t="n">
        <f aca="false">-Inputs!$E$30*1</f>
        <v>-12000</v>
      </c>
      <c r="BC33" s="67" t="n">
        <f aca="false">-Inputs!$E$30*1</f>
        <v>-12000</v>
      </c>
      <c r="BD33" s="67" t="n">
        <f aca="false">-Inputs!$E$30*1</f>
        <v>-12000</v>
      </c>
      <c r="BE33" s="67" t="n">
        <f aca="false">-Inputs!$E$30*1</f>
        <v>-12000</v>
      </c>
      <c r="BF33" s="67" t="n">
        <f aca="false">-Inputs!$E$30*1</f>
        <v>-12000</v>
      </c>
      <c r="BG33" s="67" t="n">
        <f aca="false">-Inputs!$E$30*1</f>
        <v>-12000</v>
      </c>
      <c r="BH33" s="67" t="n">
        <f aca="false">-Inputs!$E$30*1</f>
        <v>-12000</v>
      </c>
      <c r="BI33" s="67" t="n">
        <f aca="false">-Inputs!$E$30*1</f>
        <v>-12000</v>
      </c>
      <c r="BJ33" s="67" t="n">
        <f aca="false">-Inputs!$E$30*1</f>
        <v>-12000</v>
      </c>
    </row>
    <row r="34" customFormat="false" ht="15" hidden="false" customHeight="false" outlineLevel="0" collapsed="false">
      <c r="A34" s="6" t="s">
        <v>325</v>
      </c>
      <c r="C34" s="67" t="n">
        <f aca="false">-Inputs!$E$31*1</f>
        <v>-4000</v>
      </c>
      <c r="D34" s="67" t="n">
        <f aca="false">-Inputs!$E$31*1</f>
        <v>-4000</v>
      </c>
      <c r="E34" s="67" t="n">
        <f aca="false">-Inputs!$E$31*1</f>
        <v>-4000</v>
      </c>
      <c r="F34" s="67" t="n">
        <f aca="false">-Inputs!$E$31*1</f>
        <v>-4000</v>
      </c>
      <c r="G34" s="67" t="n">
        <f aca="false">-Inputs!$E$31*1</f>
        <v>-4000</v>
      </c>
      <c r="H34" s="67" t="n">
        <f aca="false">-Inputs!$E$31*1</f>
        <v>-4000</v>
      </c>
      <c r="I34" s="67" t="n">
        <f aca="false">-Inputs!$E$31*1</f>
        <v>-4000</v>
      </c>
      <c r="J34" s="67" t="n">
        <f aca="false">-Inputs!$E$31*1</f>
        <v>-4000</v>
      </c>
      <c r="K34" s="67" t="n">
        <f aca="false">-Inputs!$E$31*1</f>
        <v>-4000</v>
      </c>
      <c r="L34" s="67" t="n">
        <f aca="false">-Inputs!$E$31*1</f>
        <v>-4000</v>
      </c>
      <c r="M34" s="67" t="n">
        <f aca="false">-Inputs!$E$31*1</f>
        <v>-4000</v>
      </c>
      <c r="N34" s="67" t="n">
        <f aca="false">-Inputs!$E$31*1</f>
        <v>-4000</v>
      </c>
      <c r="O34" s="67" t="n">
        <f aca="false">-Inputs!$E$31*1</f>
        <v>-4000</v>
      </c>
      <c r="P34" s="67" t="n">
        <f aca="false">-Inputs!$E$31*1</f>
        <v>-4000</v>
      </c>
      <c r="Q34" s="67" t="n">
        <f aca="false">-Inputs!$E$31*1</f>
        <v>-4000</v>
      </c>
      <c r="R34" s="67" t="n">
        <f aca="false">-Inputs!$E$31*1</f>
        <v>-4000</v>
      </c>
      <c r="S34" s="67" t="n">
        <f aca="false">-Inputs!$E$31*1</f>
        <v>-4000</v>
      </c>
      <c r="T34" s="67" t="n">
        <f aca="false">-Inputs!$E$31*1</f>
        <v>-4000</v>
      </c>
      <c r="U34" s="67" t="n">
        <f aca="false">-Inputs!$E$31*1</f>
        <v>-4000</v>
      </c>
      <c r="V34" s="67" t="n">
        <f aca="false">-Inputs!$E$31*1</f>
        <v>-4000</v>
      </c>
      <c r="W34" s="67" t="n">
        <f aca="false">-Inputs!$E$31*1</f>
        <v>-4000</v>
      </c>
      <c r="X34" s="67" t="n">
        <f aca="false">-Inputs!$E$31*1</f>
        <v>-4000</v>
      </c>
      <c r="Y34" s="67" t="n">
        <f aca="false">-Inputs!$E$31*1</f>
        <v>-4000</v>
      </c>
      <c r="Z34" s="67" t="n">
        <f aca="false">-Inputs!$E$31*1</f>
        <v>-4000</v>
      </c>
      <c r="AA34" s="67" t="n">
        <f aca="false">-Inputs!$E$31*1</f>
        <v>-4000</v>
      </c>
      <c r="AB34" s="67" t="n">
        <f aca="false">-Inputs!$E$31*1</f>
        <v>-4000</v>
      </c>
      <c r="AC34" s="67" t="n">
        <f aca="false">-Inputs!$E$31*1</f>
        <v>-4000</v>
      </c>
      <c r="AD34" s="67" t="n">
        <f aca="false">-Inputs!$E$31*1</f>
        <v>-4000</v>
      </c>
      <c r="AE34" s="67" t="n">
        <f aca="false">-Inputs!$E$31*1</f>
        <v>-4000</v>
      </c>
      <c r="AF34" s="67" t="n">
        <f aca="false">-Inputs!$E$31*1</f>
        <v>-4000</v>
      </c>
      <c r="AG34" s="67" t="n">
        <f aca="false">-Inputs!$E$31*1</f>
        <v>-4000</v>
      </c>
      <c r="AH34" s="67" t="n">
        <f aca="false">-Inputs!$E$31*1</f>
        <v>-4000</v>
      </c>
      <c r="AI34" s="67" t="n">
        <f aca="false">-Inputs!$E$31*1</f>
        <v>-4000</v>
      </c>
      <c r="AJ34" s="67" t="n">
        <f aca="false">-Inputs!$E$31*1</f>
        <v>-4000</v>
      </c>
      <c r="AK34" s="67" t="n">
        <f aca="false">-Inputs!$E$31*1</f>
        <v>-4000</v>
      </c>
      <c r="AL34" s="67" t="n">
        <f aca="false">-Inputs!$E$31*1</f>
        <v>-4000</v>
      </c>
      <c r="AM34" s="67" t="n">
        <f aca="false">-Inputs!$E$31*1</f>
        <v>-4000</v>
      </c>
      <c r="AN34" s="67" t="n">
        <f aca="false">-Inputs!$E$31*1</f>
        <v>-4000</v>
      </c>
      <c r="AO34" s="67" t="n">
        <f aca="false">-Inputs!$E$31*1</f>
        <v>-4000</v>
      </c>
      <c r="AP34" s="67" t="n">
        <f aca="false">-Inputs!$E$31*1</f>
        <v>-4000</v>
      </c>
      <c r="AQ34" s="67" t="n">
        <f aca="false">-Inputs!$E$31*1</f>
        <v>-4000</v>
      </c>
      <c r="AR34" s="67" t="n">
        <f aca="false">-Inputs!$E$31*1</f>
        <v>-4000</v>
      </c>
      <c r="AS34" s="67" t="n">
        <f aca="false">-Inputs!$E$31*1</f>
        <v>-4000</v>
      </c>
      <c r="AT34" s="67" t="n">
        <f aca="false">-Inputs!$E$31*1</f>
        <v>-4000</v>
      </c>
      <c r="AU34" s="67" t="n">
        <f aca="false">-Inputs!$E$31*1</f>
        <v>-4000</v>
      </c>
      <c r="AV34" s="67" t="n">
        <f aca="false">-Inputs!$E$31*1</f>
        <v>-4000</v>
      </c>
      <c r="AW34" s="67" t="n">
        <f aca="false">-Inputs!$E$31*1</f>
        <v>-4000</v>
      </c>
      <c r="AX34" s="67" t="n">
        <f aca="false">-Inputs!$E$31*1</f>
        <v>-4000</v>
      </c>
      <c r="AY34" s="67" t="n">
        <f aca="false">-Inputs!$E$31*1</f>
        <v>-4000</v>
      </c>
      <c r="AZ34" s="67" t="n">
        <f aca="false">-Inputs!$E$31*1</f>
        <v>-4000</v>
      </c>
      <c r="BA34" s="67" t="n">
        <f aca="false">-Inputs!$E$31*1</f>
        <v>-4000</v>
      </c>
      <c r="BB34" s="67" t="n">
        <f aca="false">-Inputs!$E$31*1</f>
        <v>-4000</v>
      </c>
      <c r="BC34" s="67" t="n">
        <f aca="false">-Inputs!$E$31*1</f>
        <v>-4000</v>
      </c>
      <c r="BD34" s="67" t="n">
        <f aca="false">-Inputs!$E$31*1</f>
        <v>-4000</v>
      </c>
      <c r="BE34" s="67" t="n">
        <f aca="false">-Inputs!$E$31*1</f>
        <v>-4000</v>
      </c>
      <c r="BF34" s="67" t="n">
        <f aca="false">-Inputs!$E$31*1</f>
        <v>-4000</v>
      </c>
      <c r="BG34" s="67" t="n">
        <f aca="false">-Inputs!$E$31*1</f>
        <v>-4000</v>
      </c>
      <c r="BH34" s="67" t="n">
        <f aca="false">-Inputs!$E$31*1</f>
        <v>-4000</v>
      </c>
      <c r="BI34" s="67" t="n">
        <f aca="false">-Inputs!$E$31*1</f>
        <v>-4000</v>
      </c>
      <c r="BJ34" s="67" t="n">
        <f aca="false">-Inputs!$E$31*1</f>
        <v>-4000</v>
      </c>
    </row>
    <row r="35" customFormat="false" ht="15" hidden="false" customHeight="false" outlineLevel="0" collapsed="false">
      <c r="A35" s="6" t="s">
        <v>326</v>
      </c>
      <c r="C35" s="67" t="n">
        <f aca="false">-C17*Inputs!$E$20*52/12*1*Inputs!$E$21</f>
        <v>-2808</v>
      </c>
      <c r="D35" s="67" t="n">
        <f aca="false">-D17*Inputs!$E$20*52/12*1*Inputs!$E$21</f>
        <v>-2964</v>
      </c>
      <c r="E35" s="67" t="n">
        <f aca="false">-E17*Inputs!$E$20*52/12*1*Inputs!$E$21</f>
        <v>-3120</v>
      </c>
      <c r="F35" s="67" t="n">
        <f aca="false">-F17*Inputs!$E$20*52/12*1*Inputs!$E$21</f>
        <v>-3120</v>
      </c>
      <c r="G35" s="67" t="n">
        <f aca="false">-G17*Inputs!$E$20*52/12*1*Inputs!$E$21</f>
        <v>-3120</v>
      </c>
      <c r="H35" s="67" t="n">
        <f aca="false">-H17*Inputs!$E$20*52/12*1*Inputs!$E$21</f>
        <v>-3120</v>
      </c>
      <c r="I35" s="67" t="n">
        <f aca="false">-I17*Inputs!$E$20*52/12*1*Inputs!$E$21</f>
        <v>-3120</v>
      </c>
      <c r="J35" s="67" t="n">
        <f aca="false">-J17*Inputs!$E$20*52/12*1*Inputs!$E$21</f>
        <v>-3120</v>
      </c>
      <c r="K35" s="67" t="n">
        <f aca="false">-K17*Inputs!$E$20*52/12*1*Inputs!$E$21</f>
        <v>-3120</v>
      </c>
      <c r="L35" s="67" t="n">
        <f aca="false">-L17*Inputs!$E$20*52/12*1*Inputs!$E$21</f>
        <v>-3120</v>
      </c>
      <c r="M35" s="67" t="n">
        <f aca="false">-M17*Inputs!$E$20*52/12*1*Inputs!$E$21</f>
        <v>-3120</v>
      </c>
      <c r="N35" s="67" t="n">
        <f aca="false">-N17*Inputs!$E$20*52/12*1*Inputs!$E$21</f>
        <v>-3120</v>
      </c>
      <c r="O35" s="67" t="n">
        <f aca="false">-O17*Inputs!$E$20*52/12*1*Inputs!$E$21</f>
        <v>-3494.4</v>
      </c>
      <c r="P35" s="67" t="n">
        <f aca="false">-P17*Inputs!$E$20*52/12*1*Inputs!$E$21</f>
        <v>-3494.4</v>
      </c>
      <c r="Q35" s="67" t="n">
        <f aca="false">-Q17*Inputs!$E$20*52/12*1*Inputs!$E$21</f>
        <v>-3494.4</v>
      </c>
      <c r="R35" s="67" t="n">
        <f aca="false">-R17*Inputs!$E$20*52/12*1*Inputs!$E$21</f>
        <v>-3494.4</v>
      </c>
      <c r="S35" s="67" t="n">
        <f aca="false">-S17*Inputs!$E$20*52/12*1*Inputs!$E$21</f>
        <v>-3494.4</v>
      </c>
      <c r="T35" s="67" t="n">
        <f aca="false">-T17*Inputs!$E$20*52/12*1*Inputs!$E$21</f>
        <v>-3494.4</v>
      </c>
      <c r="U35" s="67" t="n">
        <f aca="false">-U17*Inputs!$E$20*52/12*1*Inputs!$E$21</f>
        <v>-3494.4</v>
      </c>
      <c r="V35" s="67" t="n">
        <f aca="false">-V17*Inputs!$E$20*52/12*1*Inputs!$E$21</f>
        <v>-3494.4</v>
      </c>
      <c r="W35" s="67" t="n">
        <f aca="false">-W17*Inputs!$E$20*52/12*1*Inputs!$E$21</f>
        <v>-3494.4</v>
      </c>
      <c r="X35" s="67" t="n">
        <f aca="false">-X17*Inputs!$E$20*52/12*1*Inputs!$E$21</f>
        <v>-3494.4</v>
      </c>
      <c r="Y35" s="67" t="n">
        <f aca="false">-Y17*Inputs!$E$20*52/12*1*Inputs!$E$21</f>
        <v>-3494.4</v>
      </c>
      <c r="Z35" s="67" t="n">
        <f aca="false">-Z17*Inputs!$E$20*52/12*1*Inputs!$E$21</f>
        <v>-3494.4</v>
      </c>
      <c r="AA35" s="67" t="n">
        <f aca="false">-AA17*Inputs!$E$20*52/12*1*Inputs!$E$21</f>
        <v>-3913.728</v>
      </c>
      <c r="AB35" s="67" t="n">
        <f aca="false">-AB17*Inputs!$E$20*52/12*1*Inputs!$E$21</f>
        <v>-3913.728</v>
      </c>
      <c r="AC35" s="67" t="n">
        <f aca="false">-AC17*Inputs!$E$20*52/12*1*Inputs!$E$21</f>
        <v>-3913.728</v>
      </c>
      <c r="AD35" s="67" t="n">
        <f aca="false">-AD17*Inputs!$E$20*52/12*1*Inputs!$E$21</f>
        <v>-3913.728</v>
      </c>
      <c r="AE35" s="67" t="n">
        <f aca="false">-AE17*Inputs!$E$20*52/12*1*Inputs!$E$21</f>
        <v>-3913.728</v>
      </c>
      <c r="AF35" s="67" t="n">
        <f aca="false">-AF17*Inputs!$E$20*52/12*1*Inputs!$E$21</f>
        <v>-3913.728</v>
      </c>
      <c r="AG35" s="67" t="n">
        <f aca="false">-AG17*Inputs!$E$20*52/12*1*Inputs!$E$21</f>
        <v>-3913.728</v>
      </c>
      <c r="AH35" s="67" t="n">
        <f aca="false">-AH17*Inputs!$E$20*52/12*1*Inputs!$E$21</f>
        <v>-3913.728</v>
      </c>
      <c r="AI35" s="67" t="n">
        <f aca="false">-AI17*Inputs!$E$20*52/12*1*Inputs!$E$21</f>
        <v>-3913.728</v>
      </c>
      <c r="AJ35" s="67" t="n">
        <f aca="false">-AJ17*Inputs!$E$20*52/12*1*Inputs!$E$21</f>
        <v>-3913.728</v>
      </c>
      <c r="AK35" s="67" t="n">
        <f aca="false">-AK17*Inputs!$E$20*52/12*1*Inputs!$E$21</f>
        <v>-3913.728</v>
      </c>
      <c r="AL35" s="67" t="n">
        <f aca="false">-AL17*Inputs!$E$20*52/12*1*Inputs!$E$21</f>
        <v>-3913.728</v>
      </c>
      <c r="AM35" s="67" t="n">
        <f aca="false">-AM17*Inputs!$E$20*52/12*1*Inputs!$E$21</f>
        <v>-4383.37536</v>
      </c>
      <c r="AN35" s="67" t="n">
        <f aca="false">-AN17*Inputs!$E$20*52/12*1*Inputs!$E$21</f>
        <v>-4383.37536</v>
      </c>
      <c r="AO35" s="67" t="n">
        <f aca="false">-AO17*Inputs!$E$20*52/12*1*Inputs!$E$21</f>
        <v>-4383.37536</v>
      </c>
      <c r="AP35" s="67" t="n">
        <f aca="false">-AP17*Inputs!$E$20*52/12*1*Inputs!$E$21</f>
        <v>-4383.37536</v>
      </c>
      <c r="AQ35" s="67" t="n">
        <f aca="false">-AQ17*Inputs!$E$20*52/12*1*Inputs!$E$21</f>
        <v>-4383.37536</v>
      </c>
      <c r="AR35" s="67" t="n">
        <f aca="false">-AR17*Inputs!$E$20*52/12*1*Inputs!$E$21</f>
        <v>-4383.37536</v>
      </c>
      <c r="AS35" s="67" t="n">
        <f aca="false">-AS17*Inputs!$E$20*52/12*1*Inputs!$E$21</f>
        <v>-4383.37536</v>
      </c>
      <c r="AT35" s="67" t="n">
        <f aca="false">-AT17*Inputs!$E$20*52/12*1*Inputs!$E$21</f>
        <v>-4383.37536</v>
      </c>
      <c r="AU35" s="67" t="n">
        <f aca="false">-AU17*Inputs!$E$20*52/12*1*Inputs!$E$21</f>
        <v>-4383.37536</v>
      </c>
      <c r="AV35" s="67" t="n">
        <f aca="false">-AV17*Inputs!$E$20*52/12*1*Inputs!$E$21</f>
        <v>-4383.37536</v>
      </c>
      <c r="AW35" s="67" t="n">
        <f aca="false">-AW17*Inputs!$E$20*52/12*1*Inputs!$E$21</f>
        <v>-4383.37536</v>
      </c>
      <c r="AX35" s="67" t="n">
        <f aca="false">-AX17*Inputs!$E$20*52/12*1*Inputs!$E$21</f>
        <v>-4383.37536</v>
      </c>
      <c r="AY35" s="67" t="n">
        <f aca="false">-AY17*Inputs!$E$20*52/12*1*Inputs!$E$21</f>
        <v>-4909.3804032</v>
      </c>
      <c r="AZ35" s="67" t="n">
        <f aca="false">-AZ17*Inputs!$E$20*52/12*1*Inputs!$E$21</f>
        <v>-4909.3804032</v>
      </c>
      <c r="BA35" s="67" t="n">
        <f aca="false">-BA17*Inputs!$E$20*52/12*1*Inputs!$E$21</f>
        <v>-4909.3804032</v>
      </c>
      <c r="BB35" s="67" t="n">
        <f aca="false">-BB17*Inputs!$E$20*52/12*1*Inputs!$E$21</f>
        <v>-4909.3804032</v>
      </c>
      <c r="BC35" s="67" t="n">
        <f aca="false">-BC17*Inputs!$E$20*52/12*1*Inputs!$E$21</f>
        <v>-4909.3804032</v>
      </c>
      <c r="BD35" s="67" t="n">
        <f aca="false">-BD17*Inputs!$E$20*52/12*1*Inputs!$E$21</f>
        <v>-4909.3804032</v>
      </c>
      <c r="BE35" s="67" t="n">
        <f aca="false">-BE17*Inputs!$E$20*52/12*1*Inputs!$E$21</f>
        <v>-4909.3804032</v>
      </c>
      <c r="BF35" s="67" t="n">
        <f aca="false">-BF17*Inputs!$E$20*52/12*1*Inputs!$E$21</f>
        <v>-4909.3804032</v>
      </c>
      <c r="BG35" s="67" t="n">
        <f aca="false">-BG17*Inputs!$E$20*52/12*1*Inputs!$E$21</f>
        <v>-4909.3804032</v>
      </c>
      <c r="BH35" s="67" t="n">
        <f aca="false">-BH17*Inputs!$E$20*52/12*1*Inputs!$E$21</f>
        <v>-4909.3804032</v>
      </c>
      <c r="BI35" s="67" t="n">
        <f aca="false">-BI17*Inputs!$E$20*52/12*1*Inputs!$E$21</f>
        <v>-4909.3804032</v>
      </c>
      <c r="BJ35" s="67" t="n">
        <f aca="false">-BJ17*Inputs!$E$20*52/12*1*Inputs!$E$21</f>
        <v>-4909.3804032</v>
      </c>
    </row>
    <row r="36" customFormat="false" ht="15" hidden="false" customHeight="false" outlineLevel="0" collapsed="false">
      <c r="A36" s="6" t="s">
        <v>327</v>
      </c>
      <c r="C36" s="67" t="n">
        <f aca="false">-Inputs!$E$32*1</f>
        <v>-1000</v>
      </c>
      <c r="D36" s="67" t="n">
        <f aca="false">-Inputs!$E$32*1</f>
        <v>-1000</v>
      </c>
      <c r="E36" s="67" t="n">
        <f aca="false">-Inputs!$E$32*1</f>
        <v>-1000</v>
      </c>
      <c r="F36" s="67" t="n">
        <f aca="false">-Inputs!$E$32*1</f>
        <v>-1000</v>
      </c>
      <c r="G36" s="67" t="n">
        <f aca="false">-Inputs!$E$32*1</f>
        <v>-1000</v>
      </c>
      <c r="H36" s="67" t="n">
        <f aca="false">-Inputs!$E$32*1</f>
        <v>-1000</v>
      </c>
      <c r="I36" s="67" t="n">
        <f aca="false">-Inputs!$E$32*1</f>
        <v>-1000</v>
      </c>
      <c r="J36" s="67" t="n">
        <f aca="false">-Inputs!$E$32*1</f>
        <v>-1000</v>
      </c>
      <c r="K36" s="67" t="n">
        <f aca="false">-Inputs!$E$32*1</f>
        <v>-1000</v>
      </c>
      <c r="L36" s="67" t="n">
        <f aca="false">-Inputs!$E$32*1</f>
        <v>-1000</v>
      </c>
      <c r="M36" s="67" t="n">
        <f aca="false">-Inputs!$E$32*1</f>
        <v>-1000</v>
      </c>
      <c r="N36" s="67" t="n">
        <f aca="false">-Inputs!$E$32*1</f>
        <v>-1000</v>
      </c>
      <c r="O36" s="67" t="n">
        <f aca="false">-Inputs!$E$32*1</f>
        <v>-1000</v>
      </c>
      <c r="P36" s="67" t="n">
        <f aca="false">-Inputs!$E$32*1</f>
        <v>-1000</v>
      </c>
      <c r="Q36" s="67" t="n">
        <f aca="false">-Inputs!$E$32*1</f>
        <v>-1000</v>
      </c>
      <c r="R36" s="67" t="n">
        <f aca="false">-Inputs!$E$32*1</f>
        <v>-1000</v>
      </c>
      <c r="S36" s="67" t="n">
        <f aca="false">-Inputs!$E$32*1</f>
        <v>-1000</v>
      </c>
      <c r="T36" s="67" t="n">
        <f aca="false">-Inputs!$E$32*1</f>
        <v>-1000</v>
      </c>
      <c r="U36" s="67" t="n">
        <f aca="false">-Inputs!$E$32*1</f>
        <v>-1000</v>
      </c>
      <c r="V36" s="67" t="n">
        <f aca="false">-Inputs!$E$32*1</f>
        <v>-1000</v>
      </c>
      <c r="W36" s="67" t="n">
        <f aca="false">-Inputs!$E$32*1</f>
        <v>-1000</v>
      </c>
      <c r="X36" s="67" t="n">
        <f aca="false">-Inputs!$E$32*1</f>
        <v>-1000</v>
      </c>
      <c r="Y36" s="67" t="n">
        <f aca="false">-Inputs!$E$32*1</f>
        <v>-1000</v>
      </c>
      <c r="Z36" s="67" t="n">
        <f aca="false">-Inputs!$E$32*1</f>
        <v>-1000</v>
      </c>
      <c r="AA36" s="67" t="n">
        <f aca="false">-Inputs!$E$32*1</f>
        <v>-1000</v>
      </c>
      <c r="AB36" s="67" t="n">
        <f aca="false">-Inputs!$E$32*1</f>
        <v>-1000</v>
      </c>
      <c r="AC36" s="67" t="n">
        <f aca="false">-Inputs!$E$32*1</f>
        <v>-1000</v>
      </c>
      <c r="AD36" s="67" t="n">
        <f aca="false">-Inputs!$E$32*1</f>
        <v>-1000</v>
      </c>
      <c r="AE36" s="67" t="n">
        <f aca="false">-Inputs!$E$32*1</f>
        <v>-1000</v>
      </c>
      <c r="AF36" s="67" t="n">
        <f aca="false">-Inputs!$E$32*1</f>
        <v>-1000</v>
      </c>
      <c r="AG36" s="67" t="n">
        <f aca="false">-Inputs!$E$32*1</f>
        <v>-1000</v>
      </c>
      <c r="AH36" s="67" t="n">
        <f aca="false">-Inputs!$E$32*1</f>
        <v>-1000</v>
      </c>
      <c r="AI36" s="67" t="n">
        <f aca="false">-Inputs!$E$32*1</f>
        <v>-1000</v>
      </c>
      <c r="AJ36" s="67" t="n">
        <f aca="false">-Inputs!$E$32*1</f>
        <v>-1000</v>
      </c>
      <c r="AK36" s="67" t="n">
        <f aca="false">-Inputs!$E$32*1</f>
        <v>-1000</v>
      </c>
      <c r="AL36" s="67" t="n">
        <f aca="false">-Inputs!$E$32*1</f>
        <v>-1000</v>
      </c>
      <c r="AM36" s="67" t="n">
        <f aca="false">-Inputs!$E$32*1</f>
        <v>-1000</v>
      </c>
      <c r="AN36" s="67" t="n">
        <f aca="false">-Inputs!$E$32*1</f>
        <v>-1000</v>
      </c>
      <c r="AO36" s="67" t="n">
        <f aca="false">-Inputs!$E$32*1</f>
        <v>-1000</v>
      </c>
      <c r="AP36" s="67" t="n">
        <f aca="false">-Inputs!$E$32*1</f>
        <v>-1000</v>
      </c>
      <c r="AQ36" s="67" t="n">
        <f aca="false">-Inputs!$E$32*1</f>
        <v>-1000</v>
      </c>
      <c r="AR36" s="67" t="n">
        <f aca="false">-Inputs!$E$32*1</f>
        <v>-1000</v>
      </c>
      <c r="AS36" s="67" t="n">
        <f aca="false">-Inputs!$E$32*1</f>
        <v>-1000</v>
      </c>
      <c r="AT36" s="67" t="n">
        <f aca="false">-Inputs!$E$32*1</f>
        <v>-1000</v>
      </c>
      <c r="AU36" s="67" t="n">
        <f aca="false">-Inputs!$E$32*1</f>
        <v>-1000</v>
      </c>
      <c r="AV36" s="67" t="n">
        <f aca="false">-Inputs!$E$32*1</f>
        <v>-1000</v>
      </c>
      <c r="AW36" s="67" t="n">
        <f aca="false">-Inputs!$E$32*1</f>
        <v>-1000</v>
      </c>
      <c r="AX36" s="67" t="n">
        <f aca="false">-Inputs!$E$32*1</f>
        <v>-1000</v>
      </c>
      <c r="AY36" s="67" t="n">
        <f aca="false">-Inputs!$E$32*1</f>
        <v>-1000</v>
      </c>
      <c r="AZ36" s="67" t="n">
        <f aca="false">-Inputs!$E$32*1</f>
        <v>-1000</v>
      </c>
      <c r="BA36" s="67" t="n">
        <f aca="false">-Inputs!$E$32*1</f>
        <v>-1000</v>
      </c>
      <c r="BB36" s="67" t="n">
        <f aca="false">-Inputs!$E$32*1</f>
        <v>-1000</v>
      </c>
      <c r="BC36" s="67" t="n">
        <f aca="false">-Inputs!$E$32*1</f>
        <v>-1000</v>
      </c>
      <c r="BD36" s="67" t="n">
        <f aca="false">-Inputs!$E$32*1</f>
        <v>-1000</v>
      </c>
      <c r="BE36" s="67" t="n">
        <f aca="false">-Inputs!$E$32*1</f>
        <v>-1000</v>
      </c>
      <c r="BF36" s="67" t="n">
        <f aca="false">-Inputs!$E$32*1</f>
        <v>-1000</v>
      </c>
      <c r="BG36" s="67" t="n">
        <f aca="false">-Inputs!$E$32*1</f>
        <v>-1000</v>
      </c>
      <c r="BH36" s="67" t="n">
        <f aca="false">-Inputs!$E$32*1</f>
        <v>-1000</v>
      </c>
      <c r="BI36" s="67" t="n">
        <f aca="false">-Inputs!$E$32*1</f>
        <v>-1000</v>
      </c>
      <c r="BJ36" s="67" t="n">
        <f aca="false">-Inputs!$E$32*1</f>
        <v>-1000</v>
      </c>
    </row>
    <row r="37" customFormat="false" ht="15" hidden="false" customHeight="false" outlineLevel="0" collapsed="false">
      <c r="A37" s="6" t="s">
        <v>328</v>
      </c>
      <c r="C37" s="67" t="n">
        <f aca="false">-C22*Inputs!$E$33</f>
        <v>-2319.616</v>
      </c>
      <c r="D37" s="67" t="n">
        <f aca="false">-D22*Inputs!$E$33</f>
        <v>-2452.736</v>
      </c>
      <c r="E37" s="67" t="n">
        <f aca="false">-E22*Inputs!$E$33</f>
        <v>-2585.856</v>
      </c>
      <c r="F37" s="67" t="n">
        <f aca="false">-F22*Inputs!$E$33</f>
        <v>-2585.856</v>
      </c>
      <c r="G37" s="67" t="n">
        <f aca="false">-G22*Inputs!$E$33</f>
        <v>-2585.856</v>
      </c>
      <c r="H37" s="67" t="n">
        <f aca="false">-H22*Inputs!$E$33</f>
        <v>-2585.856</v>
      </c>
      <c r="I37" s="67" t="n">
        <f aca="false">-I22*Inputs!$E$33</f>
        <v>-2585.856</v>
      </c>
      <c r="J37" s="67" t="n">
        <f aca="false">-J22*Inputs!$E$33</f>
        <v>-2585.856</v>
      </c>
      <c r="K37" s="67" t="n">
        <f aca="false">-K22*Inputs!$E$33</f>
        <v>-2585.856</v>
      </c>
      <c r="L37" s="67" t="n">
        <f aca="false">-L22*Inputs!$E$33</f>
        <v>-2585.856</v>
      </c>
      <c r="M37" s="67" t="n">
        <f aca="false">-M22*Inputs!$E$33</f>
        <v>-3045.12</v>
      </c>
      <c r="N37" s="67" t="n">
        <f aca="false">-N22*Inputs!$E$33</f>
        <v>-3045.12</v>
      </c>
      <c r="O37" s="67" t="n">
        <f aca="false">-O22*Inputs!$E$33</f>
        <v>-2812.7483904</v>
      </c>
      <c r="P37" s="67" t="n">
        <f aca="false">-P22*Inputs!$E$33</f>
        <v>-2812.7483904</v>
      </c>
      <c r="Q37" s="67" t="n">
        <f aca="false">-Q22*Inputs!$E$33</f>
        <v>-2812.7483904</v>
      </c>
      <c r="R37" s="67" t="n">
        <f aca="false">-R22*Inputs!$E$33</f>
        <v>-2812.7483904</v>
      </c>
      <c r="S37" s="67" t="n">
        <f aca="false">-S22*Inputs!$E$33</f>
        <v>-2812.7483904</v>
      </c>
      <c r="T37" s="67" t="n">
        <f aca="false">-T22*Inputs!$E$33</f>
        <v>-2812.7483904</v>
      </c>
      <c r="U37" s="67" t="n">
        <f aca="false">-U22*Inputs!$E$33</f>
        <v>-2812.7483904</v>
      </c>
      <c r="V37" s="67" t="n">
        <f aca="false">-V22*Inputs!$E$33</f>
        <v>-2812.7483904</v>
      </c>
      <c r="W37" s="67" t="n">
        <f aca="false">-W22*Inputs!$E$33</f>
        <v>-2812.7483904</v>
      </c>
      <c r="X37" s="67" t="n">
        <f aca="false">-X22*Inputs!$E$33</f>
        <v>-2812.7483904</v>
      </c>
      <c r="Y37" s="67" t="n">
        <f aca="false">-Y22*Inputs!$E$33</f>
        <v>-3299.981568</v>
      </c>
      <c r="Z37" s="67" t="n">
        <f aca="false">-Z22*Inputs!$E$33</f>
        <v>-3299.981568</v>
      </c>
      <c r="AA37" s="67" t="n">
        <f aca="false">-AA22*Inputs!$E$33</f>
        <v>-3064.12048091136</v>
      </c>
      <c r="AB37" s="67" t="n">
        <f aca="false">-AB22*Inputs!$E$33</f>
        <v>-3064.12048091136</v>
      </c>
      <c r="AC37" s="67" t="n">
        <f aca="false">-AC22*Inputs!$E$33</f>
        <v>-3064.12048091136</v>
      </c>
      <c r="AD37" s="67" t="n">
        <f aca="false">-AD22*Inputs!$E$33</f>
        <v>-3064.12048091136</v>
      </c>
      <c r="AE37" s="67" t="n">
        <f aca="false">-AE22*Inputs!$E$33</f>
        <v>-3064.12048091136</v>
      </c>
      <c r="AF37" s="67" t="n">
        <f aca="false">-AF22*Inputs!$E$33</f>
        <v>-3064.12048091136</v>
      </c>
      <c r="AG37" s="67" t="n">
        <f aca="false">-AG22*Inputs!$E$33</f>
        <v>-3064.12048091136</v>
      </c>
      <c r="AH37" s="67" t="n">
        <f aca="false">-AH22*Inputs!$E$33</f>
        <v>-3064.12048091136</v>
      </c>
      <c r="AI37" s="67" t="n">
        <f aca="false">-AI22*Inputs!$E$33</f>
        <v>-3064.12048091136</v>
      </c>
      <c r="AJ37" s="67" t="n">
        <f aca="false">-AJ22*Inputs!$E$33</f>
        <v>-3064.12048091136</v>
      </c>
      <c r="AK37" s="67" t="n">
        <f aca="false">-AK22*Inputs!$E$33</f>
        <v>-3581.0261590272</v>
      </c>
      <c r="AL37" s="67" t="n">
        <f aca="false">-AL22*Inputs!$E$33</f>
        <v>-3581.0261590272</v>
      </c>
      <c r="AM37" s="67" t="n">
        <f aca="false">-AM22*Inputs!$E$33</f>
        <v>-3343.10076133399</v>
      </c>
      <c r="AN37" s="67" t="n">
        <f aca="false">-AN22*Inputs!$E$33</f>
        <v>-3343.10076133399</v>
      </c>
      <c r="AO37" s="67" t="n">
        <f aca="false">-AO22*Inputs!$E$33</f>
        <v>-3343.10076133399</v>
      </c>
      <c r="AP37" s="67" t="n">
        <f aca="false">-AP22*Inputs!$E$33</f>
        <v>-3343.10076133399</v>
      </c>
      <c r="AQ37" s="67" t="n">
        <f aca="false">-AQ22*Inputs!$E$33</f>
        <v>-3343.10076133399</v>
      </c>
      <c r="AR37" s="67" t="n">
        <f aca="false">-AR22*Inputs!$E$33</f>
        <v>-3343.10076133399</v>
      </c>
      <c r="AS37" s="67" t="n">
        <f aca="false">-AS22*Inputs!$E$33</f>
        <v>-3343.10076133399</v>
      </c>
      <c r="AT37" s="67" t="n">
        <f aca="false">-AT22*Inputs!$E$33</f>
        <v>-3343.10076133399</v>
      </c>
      <c r="AU37" s="67" t="n">
        <f aca="false">-AU22*Inputs!$E$33</f>
        <v>-3343.10076133399</v>
      </c>
      <c r="AV37" s="67" t="n">
        <f aca="false">-AV22*Inputs!$E$33</f>
        <v>-3343.10076133399</v>
      </c>
      <c r="AW37" s="67" t="n">
        <f aca="false">-AW22*Inputs!$E$33</f>
        <v>-3891.48599524709</v>
      </c>
      <c r="AX37" s="67" t="n">
        <f aca="false">-AX22*Inputs!$E$33</f>
        <v>-3891.48599524709</v>
      </c>
      <c r="AY37" s="67" t="n">
        <f aca="false">-AY22*Inputs!$E$33</f>
        <v>-3653.25979353992</v>
      </c>
      <c r="AZ37" s="67" t="n">
        <f aca="false">-AZ22*Inputs!$E$33</f>
        <v>-3653.25979353992</v>
      </c>
      <c r="BA37" s="67" t="n">
        <f aca="false">-BA22*Inputs!$E$33</f>
        <v>-3653.25979353992</v>
      </c>
      <c r="BB37" s="67" t="n">
        <f aca="false">-BB22*Inputs!$E$33</f>
        <v>-3653.25979353992</v>
      </c>
      <c r="BC37" s="67" t="n">
        <f aca="false">-BC22*Inputs!$E$33</f>
        <v>-3653.25979353992</v>
      </c>
      <c r="BD37" s="67" t="n">
        <f aca="false">-BD22*Inputs!$E$33</f>
        <v>-3653.25979353992</v>
      </c>
      <c r="BE37" s="67" t="n">
        <f aca="false">-BE22*Inputs!$E$33</f>
        <v>-3653.25979353992</v>
      </c>
      <c r="BF37" s="67" t="n">
        <f aca="false">-BF22*Inputs!$E$33</f>
        <v>-3653.25979353992</v>
      </c>
      <c r="BG37" s="67" t="n">
        <f aca="false">-BG22*Inputs!$E$33</f>
        <v>-3653.25979353992</v>
      </c>
      <c r="BH37" s="67" t="n">
        <f aca="false">-BH22*Inputs!$E$33</f>
        <v>-3653.25979353992</v>
      </c>
      <c r="BI37" s="67" t="n">
        <f aca="false">-BI22*Inputs!$E$33</f>
        <v>-4235.04168819832</v>
      </c>
      <c r="BJ37" s="67" t="n">
        <f aca="false">-BJ22*Inputs!$E$33</f>
        <v>-4235.04168819832</v>
      </c>
    </row>
    <row r="38" customFormat="false" ht="15" hidden="false" customHeight="false" outlineLevel="0" collapsed="false">
      <c r="A38" s="6" t="s">
        <v>329</v>
      </c>
      <c r="C38" s="67" t="n">
        <f aca="false">-C14*Inputs!$E$34</f>
        <v>-2303.9744</v>
      </c>
      <c r="D38" s="67" t="n">
        <f aca="false">-D14*Inputs!$E$34</f>
        <v>-2437.9264</v>
      </c>
      <c r="E38" s="67" t="n">
        <f aca="false">-E14*Inputs!$E$34</f>
        <v>-2571.8784</v>
      </c>
      <c r="F38" s="67" t="n">
        <f aca="false">-F14*Inputs!$E$34</f>
        <v>-2571.8784</v>
      </c>
      <c r="G38" s="67" t="n">
        <f aca="false">-G14*Inputs!$E$34</f>
        <v>-2571.8784</v>
      </c>
      <c r="H38" s="67" t="n">
        <f aca="false">-H14*Inputs!$E$34</f>
        <v>-2571.8784</v>
      </c>
      <c r="I38" s="67" t="n">
        <f aca="false">-I14*Inputs!$E$34</f>
        <v>-2571.8784</v>
      </c>
      <c r="J38" s="67" t="n">
        <f aca="false">-J14*Inputs!$E$34</f>
        <v>-2571.8784</v>
      </c>
      <c r="K38" s="67" t="n">
        <f aca="false">-K14*Inputs!$E$34</f>
        <v>-2571.8784</v>
      </c>
      <c r="L38" s="67" t="n">
        <f aca="false">-L14*Inputs!$E$34</f>
        <v>-2571.8784</v>
      </c>
      <c r="M38" s="67" t="n">
        <f aca="false">-M14*Inputs!$E$34</f>
        <v>-3214.848</v>
      </c>
      <c r="N38" s="67" t="n">
        <f aca="false">-N14*Inputs!$E$34</f>
        <v>-3214.848</v>
      </c>
      <c r="O38" s="67" t="n">
        <f aca="false">-O14*Inputs!$E$34</f>
        <v>-2728.50579456</v>
      </c>
      <c r="P38" s="67" t="n">
        <f aca="false">-P14*Inputs!$E$34</f>
        <v>-2728.50579456</v>
      </c>
      <c r="Q38" s="67" t="n">
        <f aca="false">-Q14*Inputs!$E$34</f>
        <v>-2728.50579456</v>
      </c>
      <c r="R38" s="67" t="n">
        <f aca="false">-R14*Inputs!$E$34</f>
        <v>-2728.50579456</v>
      </c>
      <c r="S38" s="67" t="n">
        <f aca="false">-S14*Inputs!$E$34</f>
        <v>-2728.50579456</v>
      </c>
      <c r="T38" s="67" t="n">
        <f aca="false">-T14*Inputs!$E$34</f>
        <v>-2728.50579456</v>
      </c>
      <c r="U38" s="67" t="n">
        <f aca="false">-U14*Inputs!$E$34</f>
        <v>-2728.50579456</v>
      </c>
      <c r="V38" s="67" t="n">
        <f aca="false">-V14*Inputs!$E$34</f>
        <v>-2728.50579456</v>
      </c>
      <c r="W38" s="67" t="n">
        <f aca="false">-W14*Inputs!$E$34</f>
        <v>-2728.50579456</v>
      </c>
      <c r="X38" s="67" t="n">
        <f aca="false">-X14*Inputs!$E$34</f>
        <v>-2728.50579456</v>
      </c>
      <c r="Y38" s="67" t="n">
        <f aca="false">-Y14*Inputs!$E$34</f>
        <v>-3410.6322432</v>
      </c>
      <c r="Z38" s="67" t="n">
        <f aca="false">-Z14*Inputs!$E$34</f>
        <v>-3410.6322432</v>
      </c>
      <c r="AA38" s="67" t="n">
        <f aca="false">-AA14*Inputs!$E$34</f>
        <v>-2894.6717974487</v>
      </c>
      <c r="AB38" s="67" t="n">
        <f aca="false">-AB14*Inputs!$E$34</f>
        <v>-2894.6717974487</v>
      </c>
      <c r="AC38" s="67" t="n">
        <f aca="false">-AC14*Inputs!$E$34</f>
        <v>-2894.6717974487</v>
      </c>
      <c r="AD38" s="67" t="n">
        <f aca="false">-AD14*Inputs!$E$34</f>
        <v>-2894.6717974487</v>
      </c>
      <c r="AE38" s="67" t="n">
        <f aca="false">-AE14*Inputs!$E$34</f>
        <v>-2894.6717974487</v>
      </c>
      <c r="AF38" s="67" t="n">
        <f aca="false">-AF14*Inputs!$E$34</f>
        <v>-2894.6717974487</v>
      </c>
      <c r="AG38" s="67" t="n">
        <f aca="false">-AG14*Inputs!$E$34</f>
        <v>-2894.6717974487</v>
      </c>
      <c r="AH38" s="67" t="n">
        <f aca="false">-AH14*Inputs!$E$34</f>
        <v>-2894.6717974487</v>
      </c>
      <c r="AI38" s="67" t="n">
        <f aca="false">-AI14*Inputs!$E$34</f>
        <v>-2894.6717974487</v>
      </c>
      <c r="AJ38" s="67" t="n">
        <f aca="false">-AJ14*Inputs!$E$34</f>
        <v>-2894.6717974487</v>
      </c>
      <c r="AK38" s="67" t="n">
        <f aca="false">-AK14*Inputs!$E$34</f>
        <v>-3618.33974681088</v>
      </c>
      <c r="AL38" s="67" t="n">
        <f aca="false">-AL14*Inputs!$E$34</f>
        <v>-3618.33974681088</v>
      </c>
      <c r="AM38" s="67" t="n">
        <f aca="false">-AM14*Inputs!$E$34</f>
        <v>-3070.95730991333</v>
      </c>
      <c r="AN38" s="67" t="n">
        <f aca="false">-AN14*Inputs!$E$34</f>
        <v>-3070.95730991333</v>
      </c>
      <c r="AO38" s="67" t="n">
        <f aca="false">-AO14*Inputs!$E$34</f>
        <v>-3070.95730991333</v>
      </c>
      <c r="AP38" s="67" t="n">
        <f aca="false">-AP14*Inputs!$E$34</f>
        <v>-3070.95730991333</v>
      </c>
      <c r="AQ38" s="67" t="n">
        <f aca="false">-AQ14*Inputs!$E$34</f>
        <v>-3070.95730991333</v>
      </c>
      <c r="AR38" s="67" t="n">
        <f aca="false">-AR14*Inputs!$E$34</f>
        <v>-3070.95730991333</v>
      </c>
      <c r="AS38" s="67" t="n">
        <f aca="false">-AS14*Inputs!$E$34</f>
        <v>-3070.95730991333</v>
      </c>
      <c r="AT38" s="67" t="n">
        <f aca="false">-AT14*Inputs!$E$34</f>
        <v>-3070.95730991333</v>
      </c>
      <c r="AU38" s="67" t="n">
        <f aca="false">-AU14*Inputs!$E$34</f>
        <v>-3070.95730991333</v>
      </c>
      <c r="AV38" s="67" t="n">
        <f aca="false">-AV14*Inputs!$E$34</f>
        <v>-3070.95730991333</v>
      </c>
      <c r="AW38" s="67" t="n">
        <f aca="false">-AW14*Inputs!$E$34</f>
        <v>-3838.69663739166</v>
      </c>
      <c r="AX38" s="67" t="n">
        <f aca="false">-AX14*Inputs!$E$34</f>
        <v>-3838.69663739166</v>
      </c>
      <c r="AY38" s="67" t="n">
        <f aca="false">-AY14*Inputs!$E$34</f>
        <v>-3257.97861008705</v>
      </c>
      <c r="AZ38" s="67" t="n">
        <f aca="false">-AZ14*Inputs!$E$34</f>
        <v>-3257.97861008705</v>
      </c>
      <c r="BA38" s="67" t="n">
        <f aca="false">-BA14*Inputs!$E$34</f>
        <v>-3257.97861008705</v>
      </c>
      <c r="BB38" s="67" t="n">
        <f aca="false">-BB14*Inputs!$E$34</f>
        <v>-3257.97861008705</v>
      </c>
      <c r="BC38" s="67" t="n">
        <f aca="false">-BC14*Inputs!$E$34</f>
        <v>-3257.97861008705</v>
      </c>
      <c r="BD38" s="67" t="n">
        <f aca="false">-BD14*Inputs!$E$34</f>
        <v>-3257.97861008705</v>
      </c>
      <c r="BE38" s="67" t="n">
        <f aca="false">-BE14*Inputs!$E$34</f>
        <v>-3257.97861008705</v>
      </c>
      <c r="BF38" s="67" t="n">
        <f aca="false">-BF14*Inputs!$E$34</f>
        <v>-3257.97861008705</v>
      </c>
      <c r="BG38" s="67" t="n">
        <f aca="false">-BG14*Inputs!$E$34</f>
        <v>-3257.97861008705</v>
      </c>
      <c r="BH38" s="67" t="n">
        <f aca="false">-BH14*Inputs!$E$34</f>
        <v>-3257.97861008705</v>
      </c>
      <c r="BI38" s="67" t="n">
        <f aca="false">-BI14*Inputs!$E$34</f>
        <v>-4072.47326260882</v>
      </c>
      <c r="BJ38" s="67" t="n">
        <f aca="false">-BJ14*Inputs!$E$34</f>
        <v>-4072.47326260882</v>
      </c>
    </row>
    <row r="39" customFormat="false" ht="15" hidden="false" customHeight="false" outlineLevel="0" collapsed="false">
      <c r="A39" s="6" t="s">
        <v>330</v>
      </c>
      <c r="C39" s="67" t="n">
        <f aca="false">-Inputs!$E$35*1</f>
        <v>-2800</v>
      </c>
      <c r="D39" s="67" t="n">
        <f aca="false">-Inputs!$E$35*1</f>
        <v>-2800</v>
      </c>
      <c r="E39" s="67" t="n">
        <f aca="false">-Inputs!$E$35*1</f>
        <v>-2800</v>
      </c>
      <c r="F39" s="67" t="n">
        <f aca="false">-Inputs!$E$35*1</f>
        <v>-2800</v>
      </c>
      <c r="G39" s="67" t="n">
        <f aca="false">-Inputs!$E$35*1</f>
        <v>-2800</v>
      </c>
      <c r="H39" s="67" t="n">
        <f aca="false">-Inputs!$E$35*1</f>
        <v>-2800</v>
      </c>
      <c r="I39" s="67" t="n">
        <f aca="false">-Inputs!$E$35*1</f>
        <v>-2800</v>
      </c>
      <c r="J39" s="67" t="n">
        <f aca="false">-Inputs!$E$35*1</f>
        <v>-2800</v>
      </c>
      <c r="K39" s="67" t="n">
        <f aca="false">-Inputs!$E$35*1</f>
        <v>-2800</v>
      </c>
      <c r="L39" s="67" t="n">
        <f aca="false">-Inputs!$E$35*1</f>
        <v>-2800</v>
      </c>
      <c r="M39" s="67" t="n">
        <f aca="false">-Inputs!$E$35*1</f>
        <v>-2800</v>
      </c>
      <c r="N39" s="67" t="n">
        <f aca="false">-Inputs!$E$35*1</f>
        <v>-2800</v>
      </c>
      <c r="O39" s="67" t="n">
        <f aca="false">-Inputs!$E$35*1</f>
        <v>-2800</v>
      </c>
      <c r="P39" s="67" t="n">
        <f aca="false">-Inputs!$E$35*1</f>
        <v>-2800</v>
      </c>
      <c r="Q39" s="67" t="n">
        <f aca="false">-Inputs!$E$35*1</f>
        <v>-2800</v>
      </c>
      <c r="R39" s="67" t="n">
        <f aca="false">-Inputs!$E$35*1</f>
        <v>-2800</v>
      </c>
      <c r="S39" s="67" t="n">
        <f aca="false">-Inputs!$E$35*1</f>
        <v>-2800</v>
      </c>
      <c r="T39" s="67" t="n">
        <f aca="false">-Inputs!$E$35*1</f>
        <v>-2800</v>
      </c>
      <c r="U39" s="67" t="n">
        <f aca="false">-Inputs!$E$35*1</f>
        <v>-2800</v>
      </c>
      <c r="V39" s="67" t="n">
        <f aca="false">-Inputs!$E$35*1</f>
        <v>-2800</v>
      </c>
      <c r="W39" s="67" t="n">
        <f aca="false">-Inputs!$E$35*1</f>
        <v>-2800</v>
      </c>
      <c r="X39" s="67" t="n">
        <f aca="false">-Inputs!$E$35*1</f>
        <v>-2800</v>
      </c>
      <c r="Y39" s="67" t="n">
        <f aca="false">-Inputs!$E$35*1</f>
        <v>-2800</v>
      </c>
      <c r="Z39" s="67" t="n">
        <f aca="false">-Inputs!$E$35*1</f>
        <v>-2800</v>
      </c>
      <c r="AA39" s="67" t="n">
        <f aca="false">-Inputs!$E$35*1</f>
        <v>-2800</v>
      </c>
      <c r="AB39" s="67" t="n">
        <f aca="false">-Inputs!$E$35*1</f>
        <v>-2800</v>
      </c>
      <c r="AC39" s="67" t="n">
        <f aca="false">-Inputs!$E$35*1</f>
        <v>-2800</v>
      </c>
      <c r="AD39" s="67" t="n">
        <f aca="false">-Inputs!$E$35*1</f>
        <v>-2800</v>
      </c>
      <c r="AE39" s="67" t="n">
        <f aca="false">-Inputs!$E$35*1</f>
        <v>-2800</v>
      </c>
      <c r="AF39" s="67" t="n">
        <f aca="false">-Inputs!$E$35*1</f>
        <v>-2800</v>
      </c>
      <c r="AG39" s="67" t="n">
        <f aca="false">-Inputs!$E$35*1</f>
        <v>-2800</v>
      </c>
      <c r="AH39" s="67" t="n">
        <f aca="false">-Inputs!$E$35*1</f>
        <v>-2800</v>
      </c>
      <c r="AI39" s="67" t="n">
        <f aca="false">-Inputs!$E$35*1</f>
        <v>-2800</v>
      </c>
      <c r="AJ39" s="67" t="n">
        <f aca="false">-Inputs!$E$35*1</f>
        <v>-2800</v>
      </c>
      <c r="AK39" s="67" t="n">
        <f aca="false">-Inputs!$E$35*1</f>
        <v>-2800</v>
      </c>
      <c r="AL39" s="67" t="n">
        <f aca="false">-Inputs!$E$35*1</f>
        <v>-2800</v>
      </c>
      <c r="AM39" s="67" t="n">
        <f aca="false">-Inputs!$E$35*1</f>
        <v>-2800</v>
      </c>
      <c r="AN39" s="67" t="n">
        <f aca="false">-Inputs!$E$35*1</f>
        <v>-2800</v>
      </c>
      <c r="AO39" s="67" t="n">
        <f aca="false">-Inputs!$E$35*1</f>
        <v>-2800</v>
      </c>
      <c r="AP39" s="67" t="n">
        <f aca="false">-Inputs!$E$35*1</f>
        <v>-2800</v>
      </c>
      <c r="AQ39" s="67" t="n">
        <f aca="false">-Inputs!$E$35*1</f>
        <v>-2800</v>
      </c>
      <c r="AR39" s="67" t="n">
        <f aca="false">-Inputs!$E$35*1</f>
        <v>-2800</v>
      </c>
      <c r="AS39" s="67" t="n">
        <f aca="false">-Inputs!$E$35*1</f>
        <v>-2800</v>
      </c>
      <c r="AT39" s="67" t="n">
        <f aca="false">-Inputs!$E$35*1</f>
        <v>-2800</v>
      </c>
      <c r="AU39" s="67" t="n">
        <f aca="false">-Inputs!$E$35*1</f>
        <v>-2800</v>
      </c>
      <c r="AV39" s="67" t="n">
        <f aca="false">-Inputs!$E$35*1</f>
        <v>-2800</v>
      </c>
      <c r="AW39" s="67" t="n">
        <f aca="false">-Inputs!$E$35*1</f>
        <v>-2800</v>
      </c>
      <c r="AX39" s="67" t="n">
        <f aca="false">-Inputs!$E$35*1</f>
        <v>-2800</v>
      </c>
      <c r="AY39" s="67" t="n">
        <f aca="false">-Inputs!$E$35*1</f>
        <v>-2800</v>
      </c>
      <c r="AZ39" s="67" t="n">
        <f aca="false">-Inputs!$E$35*1</f>
        <v>-2800</v>
      </c>
      <c r="BA39" s="67" t="n">
        <f aca="false">-Inputs!$E$35*1</f>
        <v>-2800</v>
      </c>
      <c r="BB39" s="67" t="n">
        <f aca="false">-Inputs!$E$35*1</f>
        <v>-2800</v>
      </c>
      <c r="BC39" s="67" t="n">
        <f aca="false">-Inputs!$E$35*1</f>
        <v>-2800</v>
      </c>
      <c r="BD39" s="67" t="n">
        <f aca="false">-Inputs!$E$35*1</f>
        <v>-2800</v>
      </c>
      <c r="BE39" s="67" t="n">
        <f aca="false">-Inputs!$E$35*1</f>
        <v>-2800</v>
      </c>
      <c r="BF39" s="67" t="n">
        <f aca="false">-Inputs!$E$35*1</f>
        <v>-2800</v>
      </c>
      <c r="BG39" s="67" t="n">
        <f aca="false">-Inputs!$E$35*1</f>
        <v>-2800</v>
      </c>
      <c r="BH39" s="67" t="n">
        <f aca="false">-Inputs!$E$35*1</f>
        <v>-2800</v>
      </c>
      <c r="BI39" s="67" t="n">
        <f aca="false">-Inputs!$E$35*1</f>
        <v>-2800</v>
      </c>
      <c r="BJ39" s="67" t="n">
        <f aca="false">-Inputs!$E$35*1</f>
        <v>-2800</v>
      </c>
    </row>
    <row r="40" customFormat="false" ht="15" hidden="false" customHeight="false" outlineLevel="0" collapsed="false">
      <c r="A40" s="115" t="s">
        <v>77</v>
      </c>
      <c r="C40" s="68" t="n">
        <f aca="false">C32+C33+C34+C35+C36+C37+C38+C39</f>
        <v>-76698.2570666666</v>
      </c>
      <c r="D40" s="68" t="n">
        <f aca="false">D32+D33+D34+D35+D36+D37+D38+D39</f>
        <v>-77121.3290666667</v>
      </c>
      <c r="E40" s="68" t="n">
        <f aca="false">E32+E33+E34+E35+E36+E37+E38+E39</f>
        <v>-77544.4010666667</v>
      </c>
      <c r="F40" s="68" t="n">
        <f aca="false">F32+F33+F34+F35+F36+F37+F38+F39</f>
        <v>-77544.4010666667</v>
      </c>
      <c r="G40" s="68" t="n">
        <f aca="false">G32+G33+G34+G35+G36+G37+G38+G39</f>
        <v>-77544.4010666667</v>
      </c>
      <c r="H40" s="68" t="n">
        <f aca="false">H32+H33+H34+H35+H36+H37+H38+H39</f>
        <v>-77544.4010666667</v>
      </c>
      <c r="I40" s="68" t="n">
        <f aca="false">I32+I33+I34+I35+I36+I37+I38+I39</f>
        <v>-77544.4010666667</v>
      </c>
      <c r="J40" s="68" t="n">
        <f aca="false">J32+J33+J34+J35+J36+J37+J38+J39</f>
        <v>-77544.4010666667</v>
      </c>
      <c r="K40" s="68" t="n">
        <f aca="false">K32+K33+K34+K35+K36+K37+K38+K39</f>
        <v>-77544.4010666667</v>
      </c>
      <c r="L40" s="68" t="n">
        <f aca="false">L32+L33+L34+L35+L36+L37+L38+L39</f>
        <v>-77544.4010666667</v>
      </c>
      <c r="M40" s="68" t="n">
        <f aca="false">M32+M33+M34+M35+M36+M37+M38+M39</f>
        <v>-78646.6346666667</v>
      </c>
      <c r="N40" s="68" t="n">
        <f aca="false">N32+N33+N34+N35+N36+N37+N38+N39</f>
        <v>-78646.6346666667</v>
      </c>
      <c r="O40" s="68" t="n">
        <f aca="false">O32+O33+O34+O35+O36+O37+O38+O39</f>
        <v>-82306.9368516267</v>
      </c>
      <c r="P40" s="68" t="n">
        <f aca="false">P32+P33+P34+P35+P36+P37+P38+P39</f>
        <v>-82306.9368516267</v>
      </c>
      <c r="Q40" s="68" t="n">
        <f aca="false">Q32+Q33+Q34+Q35+Q36+Q37+Q38+Q39</f>
        <v>-82306.9368516267</v>
      </c>
      <c r="R40" s="68" t="n">
        <f aca="false">R32+R33+R34+R35+R36+R37+R38+R39</f>
        <v>-82306.9368516267</v>
      </c>
      <c r="S40" s="68" t="n">
        <f aca="false">S32+S33+S34+S35+S36+S37+S38+S39</f>
        <v>-82306.9368516267</v>
      </c>
      <c r="T40" s="68" t="n">
        <f aca="false">T32+T33+T34+T35+T36+T37+T38+T39</f>
        <v>-82306.9368516267</v>
      </c>
      <c r="U40" s="68" t="n">
        <f aca="false">U32+U33+U34+U35+U36+U37+U38+U39</f>
        <v>-82306.9368516267</v>
      </c>
      <c r="V40" s="68" t="n">
        <f aca="false">V32+V33+V34+V35+V36+V37+V38+V39</f>
        <v>-82306.9368516267</v>
      </c>
      <c r="W40" s="68" t="n">
        <f aca="false">W32+W33+W34+W35+W36+W37+W38+W39</f>
        <v>-82306.9368516267</v>
      </c>
      <c r="X40" s="68" t="n">
        <f aca="false">X32+X33+X34+X35+X36+X37+X38+X39</f>
        <v>-82306.9368516267</v>
      </c>
      <c r="Y40" s="68" t="n">
        <f aca="false">Y32+Y33+Y34+Y35+Y36+Y37+Y38+Y39</f>
        <v>-83476.2964778667</v>
      </c>
      <c r="Z40" s="68" t="n">
        <f aca="false">Z32+Z33+Z34+Z35+Z36+Z37+Z38+Z39</f>
        <v>-83476.2964778667</v>
      </c>
      <c r="AA40" s="68" t="n">
        <f aca="false">AA32+AA33+AA34+AA35+AA36+AA37+AA38+AA39</f>
        <v>-87499.9499738268</v>
      </c>
      <c r="AB40" s="68" t="n">
        <f aca="false">AB32+AB33+AB34+AB35+AB36+AB37+AB38+AB39</f>
        <v>-87499.9499738268</v>
      </c>
      <c r="AC40" s="68" t="n">
        <f aca="false">AC32+AC33+AC34+AC35+AC36+AC37+AC38+AC39</f>
        <v>-87499.9499738268</v>
      </c>
      <c r="AD40" s="68" t="n">
        <f aca="false">AD32+AD33+AD34+AD35+AD36+AD37+AD38+AD39</f>
        <v>-87499.9499738268</v>
      </c>
      <c r="AE40" s="68" t="n">
        <f aca="false">AE32+AE33+AE34+AE35+AE36+AE37+AE38+AE39</f>
        <v>-87499.9499738268</v>
      </c>
      <c r="AF40" s="68" t="n">
        <f aca="false">AF32+AF33+AF34+AF35+AF36+AF37+AF38+AF39</f>
        <v>-87499.9499738268</v>
      </c>
      <c r="AG40" s="68" t="n">
        <f aca="false">AG32+AG33+AG34+AG35+AG36+AG37+AG38+AG39</f>
        <v>-87499.9499738268</v>
      </c>
      <c r="AH40" s="68" t="n">
        <f aca="false">AH32+AH33+AH34+AH35+AH36+AH37+AH38+AH39</f>
        <v>-87499.9499738268</v>
      </c>
      <c r="AI40" s="68" t="n">
        <f aca="false">AI32+AI33+AI34+AI35+AI36+AI37+AI38+AI39</f>
        <v>-87499.9499738268</v>
      </c>
      <c r="AJ40" s="68" t="n">
        <f aca="false">AJ32+AJ33+AJ34+AJ35+AJ36+AJ37+AJ38+AJ39</f>
        <v>-87499.9499738268</v>
      </c>
      <c r="AK40" s="68" t="n">
        <f aca="false">AK32+AK33+AK34+AK35+AK36+AK37+AK38+AK39</f>
        <v>-88740.5236013048</v>
      </c>
      <c r="AL40" s="68" t="n">
        <f aca="false">AL32+AL33+AL34+AL35+AL36+AL37+AL38+AL39</f>
        <v>-88740.5236013048</v>
      </c>
      <c r="AM40" s="68" t="n">
        <f aca="false">AM32+AM33+AM34+AM35+AM36+AM37+AM38+AM39</f>
        <v>-93164.3289511579</v>
      </c>
      <c r="AN40" s="68" t="n">
        <f aca="false">AN32+AN33+AN34+AN35+AN36+AN37+AN38+AN39</f>
        <v>-93164.3289511579</v>
      </c>
      <c r="AO40" s="68" t="n">
        <f aca="false">AO32+AO33+AO34+AO35+AO36+AO37+AO38+AO39</f>
        <v>-93164.3289511579</v>
      </c>
      <c r="AP40" s="68" t="n">
        <f aca="false">AP32+AP33+AP34+AP35+AP36+AP37+AP38+AP39</f>
        <v>-93164.3289511579</v>
      </c>
      <c r="AQ40" s="68" t="n">
        <f aca="false">AQ32+AQ33+AQ34+AQ35+AQ36+AQ37+AQ38+AQ39</f>
        <v>-93164.3289511579</v>
      </c>
      <c r="AR40" s="68" t="n">
        <f aca="false">AR32+AR33+AR34+AR35+AR36+AR37+AR38+AR39</f>
        <v>-93164.3289511579</v>
      </c>
      <c r="AS40" s="68" t="n">
        <f aca="false">AS32+AS33+AS34+AS35+AS36+AS37+AS38+AS39</f>
        <v>-93164.3289511579</v>
      </c>
      <c r="AT40" s="68" t="n">
        <f aca="false">AT32+AT33+AT34+AT35+AT36+AT37+AT38+AT39</f>
        <v>-93164.3289511579</v>
      </c>
      <c r="AU40" s="68" t="n">
        <f aca="false">AU32+AU33+AU34+AU35+AU36+AU37+AU38+AU39</f>
        <v>-93164.3289511579</v>
      </c>
      <c r="AV40" s="68" t="n">
        <f aca="false">AV32+AV33+AV34+AV35+AV36+AV37+AV38+AV39</f>
        <v>-93164.3289511579</v>
      </c>
      <c r="AW40" s="68" t="n">
        <f aca="false">AW32+AW33+AW34+AW35+AW36+AW37+AW38+AW39</f>
        <v>-94480.4535125493</v>
      </c>
      <c r="AX40" s="68" t="n">
        <f aca="false">AX32+AX33+AX34+AX35+AX36+AX37+AX38+AX39</f>
        <v>-94480.4535125493</v>
      </c>
      <c r="AY40" s="68" t="n">
        <f aca="false">AY32+AY33+AY34+AY35+AY36+AY37+AY38+AY39</f>
        <v>-99344.9903472173</v>
      </c>
      <c r="AZ40" s="68" t="n">
        <f aca="false">AZ32+AZ33+AZ34+AZ35+AZ36+AZ37+AZ38+AZ39</f>
        <v>-99344.9903472173</v>
      </c>
      <c r="BA40" s="68" t="n">
        <f aca="false">BA32+BA33+BA34+BA35+BA36+BA37+BA38+BA39</f>
        <v>-99344.9903472173</v>
      </c>
      <c r="BB40" s="68" t="n">
        <f aca="false">BB32+BB33+BB34+BB35+BB36+BB37+BB38+BB39</f>
        <v>-99344.9903472173</v>
      </c>
      <c r="BC40" s="68" t="n">
        <f aca="false">BC32+BC33+BC34+BC35+BC36+BC37+BC38+BC39</f>
        <v>-99344.9903472173</v>
      </c>
      <c r="BD40" s="68" t="n">
        <f aca="false">BD32+BD33+BD34+BD35+BD36+BD37+BD38+BD39</f>
        <v>-99344.9903472173</v>
      </c>
      <c r="BE40" s="68" t="n">
        <f aca="false">BE32+BE33+BE34+BE35+BE36+BE37+BE38+BE39</f>
        <v>-99344.9903472173</v>
      </c>
      <c r="BF40" s="68" t="n">
        <f aca="false">BF32+BF33+BF34+BF35+BF36+BF37+BF38+BF39</f>
        <v>-99344.9903472173</v>
      </c>
      <c r="BG40" s="68" t="n">
        <f aca="false">BG32+BG33+BG34+BG35+BG36+BG37+BG38+BG39</f>
        <v>-99344.9903472173</v>
      </c>
      <c r="BH40" s="68" t="n">
        <f aca="false">BH32+BH33+BH34+BH35+BH36+BH37+BH38+BH39</f>
        <v>-99344.9903472173</v>
      </c>
      <c r="BI40" s="68" t="n">
        <f aca="false">BI32+BI33+BI34+BI35+BI36+BI37+BI38+BI39</f>
        <v>-100741.266894397</v>
      </c>
      <c r="BJ40" s="68" t="n">
        <f aca="false">BJ32+BJ33+BJ34+BJ35+BJ36+BJ37+BJ38+BJ39</f>
        <v>-100741.266894397</v>
      </c>
    </row>
    <row r="41" customFormat="false" ht="15" hidden="false" customHeight="false" outlineLevel="0" collapsed="false">
      <c r="A41" s="115" t="s">
        <v>48</v>
      </c>
      <c r="C41" s="68" t="n">
        <f aca="false">C29+C40</f>
        <v>2402.04921904762</v>
      </c>
      <c r="D41" s="68" t="n">
        <f aca="false">D29+D40</f>
        <v>6522.54293333335</v>
      </c>
      <c r="E41" s="68" t="n">
        <f aca="false">E29+E40</f>
        <v>10643.0366476191</v>
      </c>
      <c r="F41" s="68" t="n">
        <f aca="false">F29+F40</f>
        <v>10643.0366476191</v>
      </c>
      <c r="G41" s="68" t="n">
        <f aca="false">G29+G40</f>
        <v>10643.0366476191</v>
      </c>
      <c r="H41" s="68" t="n">
        <f aca="false">H29+H40</f>
        <v>10643.0366476191</v>
      </c>
      <c r="I41" s="68" t="n">
        <f aca="false">I29+I40</f>
        <v>10643.0366476191</v>
      </c>
      <c r="J41" s="68" t="n">
        <f aca="false">J29+J40</f>
        <v>10643.0366476191</v>
      </c>
      <c r="K41" s="68" t="n">
        <f aca="false">K29+K40</f>
        <v>10643.0366476191</v>
      </c>
      <c r="L41" s="68" t="n">
        <f aca="false">L29+L40</f>
        <v>10643.0366476191</v>
      </c>
      <c r="M41" s="68" t="n">
        <f aca="false">M29+M40</f>
        <v>25644.0624761905</v>
      </c>
      <c r="N41" s="68" t="n">
        <f aca="false">N29+N40</f>
        <v>25644.0624761905</v>
      </c>
      <c r="O41" s="68" t="n">
        <f aca="false">O29+O40</f>
        <v>13455.0026994591</v>
      </c>
      <c r="P41" s="68" t="n">
        <f aca="false">P29+P40</f>
        <v>13455.0026994591</v>
      </c>
      <c r="Q41" s="68" t="n">
        <f aca="false">Q29+Q40</f>
        <v>13455.0026994591</v>
      </c>
      <c r="R41" s="68" t="n">
        <f aca="false">R29+R40</f>
        <v>13455.0026994591</v>
      </c>
      <c r="S41" s="68" t="n">
        <f aca="false">S29+S40</f>
        <v>13455.0026994591</v>
      </c>
      <c r="T41" s="68" t="n">
        <f aca="false">T29+T40</f>
        <v>13455.0026994591</v>
      </c>
      <c r="U41" s="68" t="n">
        <f aca="false">U29+U40</f>
        <v>13455.0026994591</v>
      </c>
      <c r="V41" s="68" t="n">
        <f aca="false">V29+V40</f>
        <v>13455.0026994591</v>
      </c>
      <c r="W41" s="68" t="n">
        <f aca="false">W29+W40</f>
        <v>13455.0026994591</v>
      </c>
      <c r="X41" s="68" t="n">
        <f aca="false">X29+X40</f>
        <v>13455.0026994591</v>
      </c>
      <c r="Y41" s="68" t="n">
        <f aca="false">Y29+Y40</f>
        <v>29369.5910009905</v>
      </c>
      <c r="Z41" s="68" t="n">
        <f aca="false">Z29+Z40</f>
        <v>29369.5910009905</v>
      </c>
      <c r="AA41" s="68" t="n">
        <f aca="false">AA29+AA40</f>
        <v>16636.2956006881</v>
      </c>
      <c r="AB41" s="68" t="n">
        <f aca="false">AB29+AB40</f>
        <v>16636.2956006881</v>
      </c>
      <c r="AC41" s="68" t="n">
        <f aca="false">AC29+AC40</f>
        <v>16636.2956006881</v>
      </c>
      <c r="AD41" s="68" t="n">
        <f aca="false">AD29+AD40</f>
        <v>16636.2956006881</v>
      </c>
      <c r="AE41" s="68" t="n">
        <f aca="false">AE29+AE40</f>
        <v>16636.2956006881</v>
      </c>
      <c r="AF41" s="68" t="n">
        <f aca="false">AF29+AF40</f>
        <v>16636.2956006881</v>
      </c>
      <c r="AG41" s="68" t="n">
        <f aca="false">AG29+AG40</f>
        <v>16636.2956006881</v>
      </c>
      <c r="AH41" s="68" t="n">
        <f aca="false">AH29+AH40</f>
        <v>16636.2956006881</v>
      </c>
      <c r="AI41" s="68" t="n">
        <f aca="false">AI29+AI40</f>
        <v>16636.2956006881</v>
      </c>
      <c r="AJ41" s="68" t="n">
        <f aca="false">AJ29+AJ40</f>
        <v>16636.2956006881</v>
      </c>
      <c r="AK41" s="68" t="n">
        <f aca="false">AK29+AK40</f>
        <v>33520.0823297828</v>
      </c>
      <c r="AL41" s="68" t="n">
        <f aca="false">AL29+AL40</f>
        <v>33520.0823297828</v>
      </c>
      <c r="AM41" s="68" t="n">
        <f aca="false">AM29+AM40</f>
        <v>20246.7311233853</v>
      </c>
      <c r="AN41" s="68" t="n">
        <f aca="false">AN29+AN40</f>
        <v>20246.7311233853</v>
      </c>
      <c r="AO41" s="68" t="n">
        <f aca="false">AO29+AO40</f>
        <v>20246.7311233853</v>
      </c>
      <c r="AP41" s="68" t="n">
        <f aca="false">AP29+AP40</f>
        <v>20246.7311233853</v>
      </c>
      <c r="AQ41" s="68" t="n">
        <f aca="false">AQ29+AQ40</f>
        <v>20246.7311233853</v>
      </c>
      <c r="AR41" s="68" t="n">
        <f aca="false">AR29+AR40</f>
        <v>20246.7311233853</v>
      </c>
      <c r="AS41" s="68" t="n">
        <f aca="false">AS29+AS40</f>
        <v>20246.7311233853</v>
      </c>
      <c r="AT41" s="68" t="n">
        <f aca="false">AT29+AT40</f>
        <v>20246.7311233853</v>
      </c>
      <c r="AU41" s="68" t="n">
        <f aca="false">AU29+AU40</f>
        <v>20246.7311233853</v>
      </c>
      <c r="AV41" s="68" t="n">
        <f aca="false">AV29+AV40</f>
        <v>20246.7311233853</v>
      </c>
      <c r="AW41" s="68" t="n">
        <f aca="false">AW29+AW40</f>
        <v>38158.7404642819</v>
      </c>
      <c r="AX41" s="68" t="n">
        <f aca="false">AX29+AX40</f>
        <v>38158.7404642819</v>
      </c>
      <c r="AY41" s="68" t="n">
        <f aca="false">AY29+AY40</f>
        <v>24356.2165038073</v>
      </c>
      <c r="AZ41" s="68" t="n">
        <f aca="false">AZ29+AZ40</f>
        <v>24356.2165038073</v>
      </c>
      <c r="BA41" s="68" t="n">
        <f aca="false">BA29+BA40</f>
        <v>24356.2165038073</v>
      </c>
      <c r="BB41" s="68" t="n">
        <f aca="false">BB29+BB40</f>
        <v>24356.2165038073</v>
      </c>
      <c r="BC41" s="68" t="n">
        <f aca="false">BC29+BC40</f>
        <v>24356.2165038073</v>
      </c>
      <c r="BD41" s="68" t="n">
        <f aca="false">BD29+BD40</f>
        <v>24356.2165038073</v>
      </c>
      <c r="BE41" s="68" t="n">
        <f aca="false">BE29+BE40</f>
        <v>24356.2165038073</v>
      </c>
      <c r="BF41" s="68" t="n">
        <f aca="false">BF29+BF40</f>
        <v>24356.2165038073</v>
      </c>
      <c r="BG41" s="68" t="n">
        <f aca="false">BG29+BG40</f>
        <v>24356.2165038073</v>
      </c>
      <c r="BH41" s="68" t="n">
        <f aca="false">BH29+BH40</f>
        <v>24356.2165038073</v>
      </c>
      <c r="BI41" s="68" t="n">
        <f aca="false">BI29+BI40</f>
        <v>43359.0672135645</v>
      </c>
      <c r="BJ41" s="68" t="n">
        <f aca="false">BJ29+BJ40</f>
        <v>43359.0672135645</v>
      </c>
    </row>
    <row r="43" customFormat="false" ht="15.75" hidden="false" customHeight="true" outlineLevel="0" collapsed="false">
      <c r="A43" s="7" t="s">
        <v>411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customFormat="false" ht="15" hidden="false" customHeight="false" outlineLevel="0" collapsed="false">
      <c r="A44" s="4" t="s">
        <v>79</v>
      </c>
      <c r="C44" s="73" t="n">
        <f aca="false">C41+C55</f>
        <v>1330.62064761905</v>
      </c>
      <c r="D44" s="73" t="n">
        <f aca="false">D41+D55</f>
        <v>5451.11436190477</v>
      </c>
      <c r="E44" s="73" t="n">
        <f aca="false">E41+E55</f>
        <v>9571.60807619048</v>
      </c>
      <c r="F44" s="73" t="n">
        <f aca="false">F41+F55</f>
        <v>9571.60807619048</v>
      </c>
      <c r="G44" s="73" t="n">
        <f aca="false">G41+G55</f>
        <v>9571.60807619048</v>
      </c>
      <c r="H44" s="73" t="n">
        <f aca="false">H41+H55</f>
        <v>9571.60807619048</v>
      </c>
      <c r="I44" s="73" t="n">
        <f aca="false">I41+I55</f>
        <v>9571.60807619048</v>
      </c>
      <c r="J44" s="73" t="n">
        <f aca="false">J41+J55</f>
        <v>9571.60807619048</v>
      </c>
      <c r="K44" s="73" t="n">
        <f aca="false">K41+K55</f>
        <v>9571.60807619048</v>
      </c>
      <c r="L44" s="73" t="n">
        <f aca="false">L41+L55</f>
        <v>9571.60807619048</v>
      </c>
      <c r="M44" s="73" t="n">
        <f aca="false">M41+M55</f>
        <v>24572.6339047619</v>
      </c>
      <c r="N44" s="73" t="n">
        <f aca="false">N41+N55</f>
        <v>24572.6339047619</v>
      </c>
      <c r="O44" s="73" t="n">
        <f aca="false">O41+O55</f>
        <v>12369.6852391416</v>
      </c>
      <c r="P44" s="73" t="n">
        <f aca="false">P41+P55</f>
        <v>12355.7963502527</v>
      </c>
      <c r="Q44" s="73" t="n">
        <f aca="false">Q41+Q55</f>
        <v>12341.9074613639</v>
      </c>
      <c r="R44" s="73" t="n">
        <f aca="false">R41+R55</f>
        <v>12328.018572475</v>
      </c>
      <c r="S44" s="73" t="n">
        <f aca="false">S41+S55</f>
        <v>12314.1296835861</v>
      </c>
      <c r="T44" s="73" t="n">
        <f aca="false">T41+T55</f>
        <v>12300.2407946972</v>
      </c>
      <c r="U44" s="73" t="n">
        <f aca="false">U41+U55</f>
        <v>12286.3519058083</v>
      </c>
      <c r="V44" s="73" t="n">
        <f aca="false">V41+V55</f>
        <v>12272.4630169194</v>
      </c>
      <c r="W44" s="73" t="n">
        <f aca="false">W41+W55</f>
        <v>12258.5741280305</v>
      </c>
      <c r="X44" s="73" t="n">
        <f aca="false">X41+X55</f>
        <v>12244.6852391416</v>
      </c>
      <c r="Y44" s="73" t="n">
        <f aca="false">Y41+Y55</f>
        <v>28145.3846517841</v>
      </c>
      <c r="Z44" s="73" t="n">
        <f aca="false">Z41+Z55</f>
        <v>28131.4957628953</v>
      </c>
      <c r="AA44" s="73" t="n">
        <f aca="false">AA41+AA55</f>
        <v>15384.3114737039</v>
      </c>
      <c r="AB44" s="73" t="n">
        <f aca="false">AB41+AB55</f>
        <v>15370.4225848151</v>
      </c>
      <c r="AC44" s="73" t="n">
        <f aca="false">AC41+AC55</f>
        <v>15356.5336959262</v>
      </c>
      <c r="AD44" s="73" t="n">
        <f aca="false">AD41+AD55</f>
        <v>15342.6448070373</v>
      </c>
      <c r="AE44" s="73" t="n">
        <f aca="false">AE41+AE55</f>
        <v>15328.7559181484</v>
      </c>
      <c r="AF44" s="73" t="n">
        <f aca="false">AF41+AF55</f>
        <v>15314.8670292595</v>
      </c>
      <c r="AG44" s="73" t="n">
        <f aca="false">AG41+AG55</f>
        <v>15300.9781403706</v>
      </c>
      <c r="AH44" s="73" t="n">
        <f aca="false">AH41+AH55</f>
        <v>15287.0892514817</v>
      </c>
      <c r="AI44" s="73" t="n">
        <f aca="false">AI41+AI55</f>
        <v>15273.2003625928</v>
      </c>
      <c r="AJ44" s="73" t="n">
        <f aca="false">AJ41+AJ55</f>
        <v>15259.3114737039</v>
      </c>
      <c r="AK44" s="73" t="n">
        <f aca="false">AK41+AK55</f>
        <v>32129.2093139098</v>
      </c>
      <c r="AL44" s="73" t="n">
        <f aca="false">AL41+AL55</f>
        <v>32115.3204250209</v>
      </c>
      <c r="AM44" s="73" t="n">
        <f aca="false">AM41+AM55</f>
        <v>18828.0803297345</v>
      </c>
      <c r="AN44" s="73" t="n">
        <f aca="false">AN41+AN55</f>
        <v>18814.1914408456</v>
      </c>
      <c r="AO44" s="73" t="n">
        <f aca="false">AO41+AO55</f>
        <v>18800.3025519567</v>
      </c>
      <c r="AP44" s="73" t="n">
        <f aca="false">AP41+AP55</f>
        <v>18786.4136630678</v>
      </c>
      <c r="AQ44" s="73" t="n">
        <f aca="false">AQ41+AQ55</f>
        <v>18772.5247741789</v>
      </c>
      <c r="AR44" s="73" t="n">
        <f aca="false">AR41+AR55</f>
        <v>18758.6358852901</v>
      </c>
      <c r="AS44" s="73" t="n">
        <f aca="false">AS41+AS55</f>
        <v>18744.7469964012</v>
      </c>
      <c r="AT44" s="73" t="n">
        <f aca="false">AT41+AT55</f>
        <v>18730.8581075123</v>
      </c>
      <c r="AU44" s="73" t="n">
        <f aca="false">AU41+AU55</f>
        <v>18716.9692186234</v>
      </c>
      <c r="AV44" s="73" t="n">
        <f aca="false">AV41+AV55</f>
        <v>18703.0803297345</v>
      </c>
      <c r="AW44" s="73" t="n">
        <f aca="false">AW41+AW55</f>
        <v>36601.2007817422</v>
      </c>
      <c r="AX44" s="73" t="n">
        <f aca="false">AX41+AX55</f>
        <v>36587.3118928533</v>
      </c>
      <c r="AY44" s="73" t="n">
        <f aca="false">AY41+AY55</f>
        <v>22770.8990434899</v>
      </c>
      <c r="AZ44" s="73" t="n">
        <f aca="false">AZ41+AZ55</f>
        <v>22757.010154601</v>
      </c>
      <c r="BA44" s="73" t="n">
        <f aca="false">BA41+BA55</f>
        <v>22743.1212657121</v>
      </c>
      <c r="BB44" s="73" t="n">
        <f aca="false">BB41+BB55</f>
        <v>22729.2323768232</v>
      </c>
      <c r="BC44" s="73" t="n">
        <f aca="false">BC41+BC55</f>
        <v>22715.3434879343</v>
      </c>
      <c r="BD44" s="73" t="n">
        <f aca="false">BD41+BD55</f>
        <v>22701.4545990454</v>
      </c>
      <c r="BE44" s="73" t="n">
        <f aca="false">BE41+BE55</f>
        <v>22687.5657101565</v>
      </c>
      <c r="BF44" s="73" t="n">
        <f aca="false">BF41+BF55</f>
        <v>22673.6768212676</v>
      </c>
      <c r="BG44" s="73" t="n">
        <f aca="false">BG41+BG55</f>
        <v>22659.7879323787</v>
      </c>
      <c r="BH44" s="73" t="n">
        <f aca="false">BH41+BH55</f>
        <v>22645.8990434899</v>
      </c>
      <c r="BI44" s="73" t="n">
        <f aca="false">BI41+BI55</f>
        <v>41634.8608643582</v>
      </c>
      <c r="BJ44" s="73" t="n">
        <f aca="false">BJ41+BJ55</f>
        <v>41620.9719754693</v>
      </c>
    </row>
    <row r="45" customFormat="false" ht="15" hidden="false" customHeight="false" outlineLevel="0" collapsed="false">
      <c r="A45" s="6" t="s">
        <v>412</v>
      </c>
      <c r="C45" s="67" t="n">
        <f aca="false">-(C60+C61+C63)/2*Inputs!$E$60/12</f>
        <v>-566.666666666667</v>
      </c>
      <c r="D45" s="67" t="n">
        <f aca="false">-(D60+D61+D63)/2*Inputs!$E$60/12</f>
        <v>-561.944444444445</v>
      </c>
      <c r="E45" s="67" t="n">
        <f aca="false">-(E60+E61+E63)/2*Inputs!$E$60/12</f>
        <v>-552.5</v>
      </c>
      <c r="F45" s="67" t="n">
        <f aca="false">-(F60+F61+F63)/2*Inputs!$E$60/12</f>
        <v>-543.055555555556</v>
      </c>
      <c r="G45" s="67" t="n">
        <f aca="false">-(G60+G61+G63)/2*Inputs!$E$60/12</f>
        <v>-533.611111111111</v>
      </c>
      <c r="H45" s="67" t="n">
        <f aca="false">-(H60+H61+H63)/2*Inputs!$E$60/12</f>
        <v>-524.166666666667</v>
      </c>
      <c r="I45" s="67" t="n">
        <f aca="false">-(I60+I61+I63)/2*Inputs!$E$60/12</f>
        <v>-514.722222222222</v>
      </c>
      <c r="J45" s="67" t="n">
        <f aca="false">-(J60+J61+J63)/2*Inputs!$E$60/12</f>
        <v>-505.277777777778</v>
      </c>
      <c r="K45" s="67" t="n">
        <f aca="false">-(K60+K61+K63)/2*Inputs!$E$60/12</f>
        <v>-495.833333333334</v>
      </c>
      <c r="L45" s="67" t="n">
        <f aca="false">-(L60+L61+L63)/2*Inputs!$E$60/12</f>
        <v>-486.388888888889</v>
      </c>
      <c r="M45" s="67" t="n">
        <f aca="false">-(M60+M61+M63)/2*Inputs!$E$60/12</f>
        <v>-476.944444444445</v>
      </c>
      <c r="N45" s="67" t="n">
        <f aca="false">-(N60+N61+N63)/2*Inputs!$E$60/12</f>
        <v>-467.5</v>
      </c>
      <c r="O45" s="67" t="n">
        <f aca="false">-(O60+O61+O63)/2*Inputs!$E$60/12</f>
        <v>-458.055555555556</v>
      </c>
      <c r="P45" s="67" t="n">
        <f aca="false">-(P60+P61+P63)/2*Inputs!$E$60/12</f>
        <v>-448.611111111111</v>
      </c>
      <c r="Q45" s="67" t="n">
        <f aca="false">-(Q60+Q61+Q63)/2*Inputs!$E$60/12</f>
        <v>-439.166666666667</v>
      </c>
      <c r="R45" s="67" t="n">
        <f aca="false">-(R60+R61+R63)/2*Inputs!$E$60/12</f>
        <v>-429.722222222222</v>
      </c>
      <c r="S45" s="67" t="n">
        <f aca="false">-(S60+S61+S63)/2*Inputs!$E$60/12</f>
        <v>-420.277777777778</v>
      </c>
      <c r="T45" s="67" t="n">
        <f aca="false">-(T60+T61+T63)/2*Inputs!$E$60/12</f>
        <v>-410.833333333334</v>
      </c>
      <c r="U45" s="67" t="n">
        <f aca="false">-(U60+U61+U63)/2*Inputs!$E$60/12</f>
        <v>-401.388888888889</v>
      </c>
      <c r="V45" s="67" t="n">
        <f aca="false">-(V60+V61+V63)/2*Inputs!$E$60/12</f>
        <v>-391.944444444445</v>
      </c>
      <c r="W45" s="67" t="n">
        <f aca="false">-(W60+W61+W63)/2*Inputs!$E$60/12</f>
        <v>-382.5</v>
      </c>
      <c r="X45" s="67" t="n">
        <f aca="false">-(X60+X61+X63)/2*Inputs!$E$60/12</f>
        <v>-373.055555555556</v>
      </c>
      <c r="Y45" s="67" t="n">
        <f aca="false">-(Y60+Y61+Y63)/2*Inputs!$E$60/12</f>
        <v>-363.611111111111</v>
      </c>
      <c r="Z45" s="67" t="n">
        <f aca="false">-(Z60+Z61+Z63)/2*Inputs!$E$60/12</f>
        <v>-354.166666666667</v>
      </c>
      <c r="AA45" s="67" t="n">
        <f aca="false">-(AA60+AA61+AA63)/2*Inputs!$E$60/12</f>
        <v>-344.722222222222</v>
      </c>
      <c r="AB45" s="67" t="n">
        <f aca="false">-(AB60+AB61+AB63)/2*Inputs!$E$60/12</f>
        <v>-335.277777777778</v>
      </c>
      <c r="AC45" s="67" t="n">
        <f aca="false">-(AC60+AC61+AC63)/2*Inputs!$E$60/12</f>
        <v>-325.833333333333</v>
      </c>
      <c r="AD45" s="67" t="n">
        <f aca="false">-(AD60+AD61+AD63)/2*Inputs!$E$60/12</f>
        <v>-316.388888888889</v>
      </c>
      <c r="AE45" s="67" t="n">
        <f aca="false">-(AE60+AE61+AE63)/2*Inputs!$E$60/12</f>
        <v>-306.944444444445</v>
      </c>
      <c r="AF45" s="67" t="n">
        <f aca="false">-(AF60+AF61+AF63)/2*Inputs!$E$60/12</f>
        <v>-297.5</v>
      </c>
      <c r="AG45" s="67" t="n">
        <f aca="false">-(AG60+AG61+AG63)/2*Inputs!$E$60/12</f>
        <v>-288.055555555556</v>
      </c>
      <c r="AH45" s="67" t="n">
        <f aca="false">-(AH60+AH61+AH63)/2*Inputs!$E$60/12</f>
        <v>-278.611111111111</v>
      </c>
      <c r="AI45" s="67" t="n">
        <f aca="false">-(AI60+AI61+AI63)/2*Inputs!$E$60/12</f>
        <v>-269.166666666667</v>
      </c>
      <c r="AJ45" s="67" t="n">
        <f aca="false">-(AJ60+AJ61+AJ63)/2*Inputs!$E$60/12</f>
        <v>-259.722222222222</v>
      </c>
      <c r="AK45" s="67" t="n">
        <f aca="false">-(AK60+AK61+AK63)/2*Inputs!$E$60/12</f>
        <v>-250.277777777778</v>
      </c>
      <c r="AL45" s="67" t="n">
        <f aca="false">-(AL60+AL61+AL63)/2*Inputs!$E$60/12</f>
        <v>-240.833333333333</v>
      </c>
      <c r="AM45" s="67" t="n">
        <f aca="false">-(AM60+AM61+AM63)/2*Inputs!$E$60/12</f>
        <v>-231.388888888889</v>
      </c>
      <c r="AN45" s="67" t="n">
        <f aca="false">-(AN60+AN61+AN63)/2*Inputs!$E$60/12</f>
        <v>-221.944444444444</v>
      </c>
      <c r="AO45" s="67" t="n">
        <f aca="false">-(AO60+AO61+AO63)/2*Inputs!$E$60/12</f>
        <v>-212.5</v>
      </c>
      <c r="AP45" s="67" t="n">
        <f aca="false">-(AP60+AP61+AP63)/2*Inputs!$E$60/12</f>
        <v>-203.055555555556</v>
      </c>
      <c r="AQ45" s="67" t="n">
        <f aca="false">-(AQ60+AQ61+AQ63)/2*Inputs!$E$60/12</f>
        <v>-193.611111111111</v>
      </c>
      <c r="AR45" s="67" t="n">
        <f aca="false">-(AR60+AR61+AR63)/2*Inputs!$E$60/12</f>
        <v>-184.166666666667</v>
      </c>
      <c r="AS45" s="67" t="n">
        <f aca="false">-(AS60+AS61+AS63)/2*Inputs!$E$60/12</f>
        <v>-174.722222222222</v>
      </c>
      <c r="AT45" s="67" t="n">
        <f aca="false">-(AT60+AT61+AT63)/2*Inputs!$E$60/12</f>
        <v>-165.277777777778</v>
      </c>
      <c r="AU45" s="67" t="n">
        <f aca="false">-(AU60+AU61+AU63)/2*Inputs!$E$60/12</f>
        <v>-155.833333333333</v>
      </c>
      <c r="AV45" s="67" t="n">
        <f aca="false">-(AV60+AV61+AV63)/2*Inputs!$E$60/12</f>
        <v>-146.388888888889</v>
      </c>
      <c r="AW45" s="67" t="n">
        <f aca="false">-(AW60+AW61+AW63)/2*Inputs!$E$60/12</f>
        <v>-136.944444444444</v>
      </c>
      <c r="AX45" s="67" t="n">
        <f aca="false">-(AX60+AX61+AX63)/2*Inputs!$E$60/12</f>
        <v>-127.5</v>
      </c>
      <c r="AY45" s="67" t="n">
        <f aca="false">-(AY60+AY61+AY63)/2*Inputs!$E$60/12</f>
        <v>-118.055555555556</v>
      </c>
      <c r="AZ45" s="67" t="n">
        <f aca="false">-(AZ60+AZ61+AZ63)/2*Inputs!$E$60/12</f>
        <v>-108.611111111111</v>
      </c>
      <c r="BA45" s="67" t="n">
        <f aca="false">-(BA60+BA61+BA63)/2*Inputs!$E$60/12</f>
        <v>-99.1666666666667</v>
      </c>
      <c r="BB45" s="67" t="n">
        <f aca="false">-(BB60+BB61+BB63)/2*Inputs!$E$60/12</f>
        <v>-89.7222222222222</v>
      </c>
      <c r="BC45" s="67" t="n">
        <f aca="false">-(BC60+BC61+BC63)/2*Inputs!$E$60/12</f>
        <v>-80.2777777777778</v>
      </c>
      <c r="BD45" s="67" t="n">
        <f aca="false">-(BD60+BD61+BD63)/2*Inputs!$E$60/12</f>
        <v>-70.8333333333333</v>
      </c>
      <c r="BE45" s="67" t="n">
        <f aca="false">-(BE60+BE61+BE63)/2*Inputs!$E$60/12</f>
        <v>-61.3888888888889</v>
      </c>
      <c r="BF45" s="67" t="n">
        <f aca="false">-(BF60+BF61+BF63)/2*Inputs!$E$60/12</f>
        <v>-51.9444444444444</v>
      </c>
      <c r="BG45" s="67" t="n">
        <f aca="false">-(BG60+BG61+BG63)/2*Inputs!$E$60/12</f>
        <v>-42.5</v>
      </c>
      <c r="BH45" s="67" t="n">
        <f aca="false">-(BH60+BH61+BH63)/2*Inputs!$E$60/12</f>
        <v>-33.0555555555556</v>
      </c>
      <c r="BI45" s="67" t="n">
        <f aca="false">-(BI60+BI61+BI63)/2*Inputs!$E$60/12</f>
        <v>-23.6111111111111</v>
      </c>
      <c r="BJ45" s="67" t="n">
        <f aca="false">-(BJ60+BJ61+BJ63)/2*Inputs!$E$60/12</f>
        <v>-14.1666666666667</v>
      </c>
    </row>
    <row r="46" customFormat="false" ht="15" hidden="false" customHeight="false" outlineLevel="0" collapsed="false">
      <c r="A46" s="115" t="s">
        <v>81</v>
      </c>
      <c r="C46" s="68" t="n">
        <f aca="false">C44+C45</f>
        <v>763.953980952384</v>
      </c>
      <c r="D46" s="68" t="n">
        <f aca="false">D44+D45</f>
        <v>4889.16991746033</v>
      </c>
      <c r="E46" s="68" t="n">
        <f aca="false">E44+E45</f>
        <v>9019.10807619048</v>
      </c>
      <c r="F46" s="68" t="n">
        <f aca="false">F44+F45</f>
        <v>9028.55252063493</v>
      </c>
      <c r="G46" s="68" t="n">
        <f aca="false">G44+G45</f>
        <v>9037.99696507937</v>
      </c>
      <c r="H46" s="68" t="n">
        <f aca="false">H44+H45</f>
        <v>9047.44140952382</v>
      </c>
      <c r="I46" s="68" t="n">
        <f aca="false">I44+I45</f>
        <v>9056.88585396826</v>
      </c>
      <c r="J46" s="68" t="n">
        <f aca="false">J44+J45</f>
        <v>9066.33029841271</v>
      </c>
      <c r="K46" s="68" t="n">
        <f aca="false">K44+K45</f>
        <v>9075.77474285715</v>
      </c>
      <c r="L46" s="68" t="n">
        <f aca="false">L44+L45</f>
        <v>9085.2191873016</v>
      </c>
      <c r="M46" s="68" t="n">
        <f aca="false">M44+M45</f>
        <v>24095.6894603175</v>
      </c>
      <c r="N46" s="68" t="n">
        <f aca="false">N44+N45</f>
        <v>24105.1339047619</v>
      </c>
      <c r="O46" s="68" t="n">
        <f aca="false">O44+O45</f>
        <v>11911.6296835861</v>
      </c>
      <c r="P46" s="68" t="n">
        <f aca="false">P44+P45</f>
        <v>11907.1852391416</v>
      </c>
      <c r="Q46" s="68" t="n">
        <f aca="false">Q44+Q45</f>
        <v>11902.7407946972</v>
      </c>
      <c r="R46" s="68" t="n">
        <f aca="false">R44+R45</f>
        <v>11898.2963502527</v>
      </c>
      <c r="S46" s="68" t="n">
        <f aca="false">S44+S45</f>
        <v>11893.8519058083</v>
      </c>
      <c r="T46" s="68" t="n">
        <f aca="false">T44+T45</f>
        <v>11889.4074613639</v>
      </c>
      <c r="U46" s="68" t="n">
        <f aca="false">U44+U45</f>
        <v>11884.9630169194</v>
      </c>
      <c r="V46" s="68" t="n">
        <f aca="false">V44+V45</f>
        <v>11880.518572475</v>
      </c>
      <c r="W46" s="68" t="n">
        <f aca="false">W44+W45</f>
        <v>11876.0741280305</v>
      </c>
      <c r="X46" s="68" t="n">
        <f aca="false">X44+X45</f>
        <v>11871.6296835861</v>
      </c>
      <c r="Y46" s="68" t="n">
        <f aca="false">Y44+Y45</f>
        <v>27781.773540673</v>
      </c>
      <c r="Z46" s="68" t="n">
        <f aca="false">Z44+Z45</f>
        <v>27777.3290962286</v>
      </c>
      <c r="AA46" s="68" t="n">
        <f aca="false">AA44+AA45</f>
        <v>15039.5892514817</v>
      </c>
      <c r="AB46" s="68" t="n">
        <f aca="false">AB44+AB45</f>
        <v>15035.1448070373</v>
      </c>
      <c r="AC46" s="68" t="n">
        <f aca="false">AC44+AC45</f>
        <v>15030.7003625928</v>
      </c>
      <c r="AD46" s="68" t="n">
        <f aca="false">AD44+AD45</f>
        <v>15026.2559181484</v>
      </c>
      <c r="AE46" s="68" t="n">
        <f aca="false">AE44+AE45</f>
        <v>15021.8114737039</v>
      </c>
      <c r="AF46" s="68" t="n">
        <f aca="false">AF44+AF45</f>
        <v>15017.3670292595</v>
      </c>
      <c r="AG46" s="68" t="n">
        <f aca="false">AG44+AG45</f>
        <v>15012.9225848151</v>
      </c>
      <c r="AH46" s="68" t="n">
        <f aca="false">AH44+AH45</f>
        <v>15008.4781403706</v>
      </c>
      <c r="AI46" s="68" t="n">
        <f aca="false">AI44+AI45</f>
        <v>15004.0336959262</v>
      </c>
      <c r="AJ46" s="68" t="n">
        <f aca="false">AJ44+AJ45</f>
        <v>14999.5892514817</v>
      </c>
      <c r="AK46" s="68" t="n">
        <f aca="false">AK44+AK45</f>
        <v>31878.931536132</v>
      </c>
      <c r="AL46" s="68" t="n">
        <f aca="false">AL44+AL45</f>
        <v>31874.4870916876</v>
      </c>
      <c r="AM46" s="68" t="n">
        <f aca="false">AM44+AM45</f>
        <v>18596.6914408456</v>
      </c>
      <c r="AN46" s="68" t="n">
        <f aca="false">AN44+AN45</f>
        <v>18592.2469964012</v>
      </c>
      <c r="AO46" s="68" t="n">
        <f aca="false">AO44+AO45</f>
        <v>18587.8025519567</v>
      </c>
      <c r="AP46" s="68" t="n">
        <f aca="false">AP44+AP45</f>
        <v>18583.3581075123</v>
      </c>
      <c r="AQ46" s="68" t="n">
        <f aca="false">AQ44+AQ45</f>
        <v>18578.9136630678</v>
      </c>
      <c r="AR46" s="68" t="n">
        <f aca="false">AR44+AR45</f>
        <v>18574.4692186234</v>
      </c>
      <c r="AS46" s="68" t="n">
        <f aca="false">AS44+AS45</f>
        <v>18570.0247741789</v>
      </c>
      <c r="AT46" s="68" t="n">
        <f aca="false">AT44+AT45</f>
        <v>18565.5803297345</v>
      </c>
      <c r="AU46" s="68" t="n">
        <f aca="false">AU44+AU45</f>
        <v>18561.1358852901</v>
      </c>
      <c r="AV46" s="68" t="n">
        <f aca="false">AV44+AV45</f>
        <v>18556.6914408456</v>
      </c>
      <c r="AW46" s="68" t="n">
        <f aca="false">AW44+AW45</f>
        <v>36464.2563372977</v>
      </c>
      <c r="AX46" s="68" t="n">
        <f aca="false">AX44+AX45</f>
        <v>36459.8118928533</v>
      </c>
      <c r="AY46" s="68" t="n">
        <f aca="false">AY44+AY45</f>
        <v>22652.8434879343</v>
      </c>
      <c r="AZ46" s="68" t="n">
        <f aca="false">AZ44+AZ45</f>
        <v>22648.3990434899</v>
      </c>
      <c r="BA46" s="68" t="n">
        <f aca="false">BA44+BA45</f>
        <v>22643.9545990454</v>
      </c>
      <c r="BB46" s="68" t="n">
        <f aca="false">BB44+BB45</f>
        <v>22639.510154601</v>
      </c>
      <c r="BC46" s="68" t="n">
        <f aca="false">BC44+BC45</f>
        <v>22635.0657101565</v>
      </c>
      <c r="BD46" s="68" t="n">
        <f aca="false">BD44+BD45</f>
        <v>22630.6212657121</v>
      </c>
      <c r="BE46" s="68" t="n">
        <f aca="false">BE44+BE45</f>
        <v>22626.1768212676</v>
      </c>
      <c r="BF46" s="68" t="n">
        <f aca="false">BF44+BF45</f>
        <v>22621.7323768232</v>
      </c>
      <c r="BG46" s="68" t="n">
        <f aca="false">BG44+BG45</f>
        <v>22617.2879323787</v>
      </c>
      <c r="BH46" s="68" t="n">
        <f aca="false">BH44+BH45</f>
        <v>22612.8434879343</v>
      </c>
      <c r="BI46" s="68" t="n">
        <f aca="false">BI44+BI45</f>
        <v>41611.249753247</v>
      </c>
      <c r="BJ46" s="68" t="n">
        <f aca="false">BJ44+BJ45</f>
        <v>41606.8053088026</v>
      </c>
    </row>
    <row r="47" customFormat="false" ht="15" hidden="false" customHeight="false" outlineLevel="0" collapsed="false">
      <c r="A47" s="121" t="s">
        <v>413</v>
      </c>
      <c r="C47" s="67" t="n">
        <f aca="false">C46</f>
        <v>763.953980952384</v>
      </c>
      <c r="D47" s="67" t="n">
        <f aca="false">C47+D46</f>
        <v>5653.12389841271</v>
      </c>
      <c r="E47" s="67" t="n">
        <f aca="false">D47+E46</f>
        <v>14672.2319746032</v>
      </c>
      <c r="F47" s="67" t="n">
        <f aca="false">E47+F46</f>
        <v>23700.7844952381</v>
      </c>
      <c r="G47" s="67" t="n">
        <f aca="false">F47+G46</f>
        <v>32738.7814603175</v>
      </c>
      <c r="H47" s="67" t="n">
        <f aca="false">G47+H46</f>
        <v>41786.2228698413</v>
      </c>
      <c r="I47" s="67" t="n">
        <f aca="false">H47+I46</f>
        <v>50843.1087238096</v>
      </c>
      <c r="J47" s="67" t="n">
        <f aca="false">I47+J46</f>
        <v>59909.4390222223</v>
      </c>
      <c r="K47" s="67" t="n">
        <f aca="false">J47+K46</f>
        <v>68985.2137650794</v>
      </c>
      <c r="L47" s="67" t="n">
        <f aca="false">K47+L46</f>
        <v>78070.432952381</v>
      </c>
      <c r="M47" s="67" t="n">
        <f aca="false">L47+M46</f>
        <v>102166.122412698</v>
      </c>
      <c r="N47" s="67" t="n">
        <f aca="false">M47+N46</f>
        <v>126271.25631746</v>
      </c>
      <c r="O47" s="67" t="n">
        <f aca="false">N47+O46</f>
        <v>138182.886001046</v>
      </c>
      <c r="P47" s="67" t="n">
        <f aca="false">O47+P46</f>
        <v>150090.071240188</v>
      </c>
      <c r="Q47" s="67" t="n">
        <f aca="false">P47+Q46</f>
        <v>161992.812034885</v>
      </c>
      <c r="R47" s="67" t="n">
        <f aca="false">Q47+R46</f>
        <v>173891.108385138</v>
      </c>
      <c r="S47" s="67" t="n">
        <f aca="false">R47+S46</f>
        <v>185784.960290946</v>
      </c>
      <c r="T47" s="67" t="n">
        <f aca="false">S47+T46</f>
        <v>197674.36775231</v>
      </c>
      <c r="U47" s="67" t="n">
        <f aca="false">T47+U46</f>
        <v>209559.33076923</v>
      </c>
      <c r="V47" s="67" t="n">
        <f aca="false">U47+V46</f>
        <v>221439.849341705</v>
      </c>
      <c r="W47" s="67" t="n">
        <f aca="false">V47+W46</f>
        <v>233315.923469735</v>
      </c>
      <c r="X47" s="67" t="n">
        <f aca="false">W47+X46</f>
        <v>245187.553153321</v>
      </c>
      <c r="Y47" s="67" t="n">
        <f aca="false">X47+Y46</f>
        <v>272969.326693994</v>
      </c>
      <c r="Z47" s="67" t="n">
        <f aca="false">Y47+Z46</f>
        <v>300746.655790223</v>
      </c>
      <c r="AA47" s="67" t="n">
        <f aca="false">Z47+AA46</f>
        <v>315786.245041704</v>
      </c>
      <c r="AB47" s="67" t="n">
        <f aca="false">AA47+AB46</f>
        <v>330821.389848742</v>
      </c>
      <c r="AC47" s="67" t="n">
        <f aca="false">AB47+AC46</f>
        <v>345852.090211334</v>
      </c>
      <c r="AD47" s="67" t="n">
        <f aca="false">AC47+AD46</f>
        <v>360878.346129483</v>
      </c>
      <c r="AE47" s="67" t="n">
        <f aca="false">AD47+AE46</f>
        <v>375900.157603187</v>
      </c>
      <c r="AF47" s="67" t="n">
        <f aca="false">AE47+AF46</f>
        <v>390917.524632446</v>
      </c>
      <c r="AG47" s="67" t="n">
        <f aca="false">AF47+AG46</f>
        <v>405930.447217261</v>
      </c>
      <c r="AH47" s="67" t="n">
        <f aca="false">AG47+AH46</f>
        <v>420938.925357632</v>
      </c>
      <c r="AI47" s="67" t="n">
        <f aca="false">AH47+AI46</f>
        <v>435942.959053558</v>
      </c>
      <c r="AJ47" s="67" t="n">
        <f aca="false">AI47+AJ46</f>
        <v>450942.54830504</v>
      </c>
      <c r="AK47" s="67" t="n">
        <f aca="false">AJ47+AK46</f>
        <v>482821.479841172</v>
      </c>
      <c r="AL47" s="67" t="n">
        <f aca="false">AK47+AL46</f>
        <v>514695.966932859</v>
      </c>
      <c r="AM47" s="67" t="n">
        <f aca="false">AL47+AM46</f>
        <v>533292.658373705</v>
      </c>
      <c r="AN47" s="67" t="n">
        <f aca="false">AM47+AN46</f>
        <v>551884.905370106</v>
      </c>
      <c r="AO47" s="67" t="n">
        <f aca="false">AN47+AO46</f>
        <v>570472.707922063</v>
      </c>
      <c r="AP47" s="67" t="n">
        <f aca="false">AO47+AP46</f>
        <v>589056.066029575</v>
      </c>
      <c r="AQ47" s="67" t="n">
        <f aca="false">AP47+AQ46</f>
        <v>607634.979692643</v>
      </c>
      <c r="AR47" s="67" t="n">
        <f aca="false">AQ47+AR46</f>
        <v>626209.448911266</v>
      </c>
      <c r="AS47" s="67" t="n">
        <f aca="false">AR47+AS46</f>
        <v>644779.473685445</v>
      </c>
      <c r="AT47" s="67" t="n">
        <f aca="false">AS47+AT46</f>
        <v>663345.05401518</v>
      </c>
      <c r="AU47" s="67" t="n">
        <f aca="false">AT47+AU46</f>
        <v>681906.18990047</v>
      </c>
      <c r="AV47" s="67" t="n">
        <f aca="false">AU47+AV46</f>
        <v>700462.881341316</v>
      </c>
      <c r="AW47" s="67" t="n">
        <f aca="false">AV47+AW46</f>
        <v>736927.137678613</v>
      </c>
      <c r="AX47" s="67" t="n">
        <f aca="false">AW47+AX46</f>
        <v>773386.949571467</v>
      </c>
      <c r="AY47" s="67" t="n">
        <f aca="false">AX47+AY46</f>
        <v>796039.793059401</v>
      </c>
      <c r="AZ47" s="67" t="n">
        <f aca="false">AY47+AZ46</f>
        <v>818688.192102891</v>
      </c>
      <c r="BA47" s="67" t="n">
        <f aca="false">AZ47+BA46</f>
        <v>841332.146701936</v>
      </c>
      <c r="BB47" s="67" t="n">
        <f aca="false">BA47+BB46</f>
        <v>863971.656856537</v>
      </c>
      <c r="BC47" s="67" t="n">
        <f aca="false">BB47+BC46</f>
        <v>886606.722566694</v>
      </c>
      <c r="BD47" s="67" t="n">
        <f aca="false">BC47+BD46</f>
        <v>909237.343832406</v>
      </c>
      <c r="BE47" s="67" t="n">
        <f aca="false">BD47+BE46</f>
        <v>931863.520653673</v>
      </c>
      <c r="BF47" s="67" t="n">
        <f aca="false">BE47+BF46</f>
        <v>954485.253030497</v>
      </c>
      <c r="BG47" s="67" t="n">
        <f aca="false">BF47+BG46</f>
        <v>977102.540962875</v>
      </c>
      <c r="BH47" s="67" t="n">
        <f aca="false">BG47+BH46</f>
        <v>999715.38445081</v>
      </c>
      <c r="BI47" s="67" t="n">
        <f aca="false">BH47+BI46</f>
        <v>1041326.63420406</v>
      </c>
      <c r="BJ47" s="67" t="n">
        <f aca="false">BI47+BJ46</f>
        <v>1082933.43951286</v>
      </c>
    </row>
    <row r="48" customFormat="false" ht="15" hidden="false" customHeight="false" outlineLevel="0" collapsed="false">
      <c r="A48" s="121" t="s">
        <v>414</v>
      </c>
      <c r="C48" s="67" t="n">
        <f aca="false">MAX(0,C47)</f>
        <v>763.953980952384</v>
      </c>
      <c r="D48" s="67" t="n">
        <f aca="false">MAX(C48,D47)</f>
        <v>5653.12389841271</v>
      </c>
      <c r="E48" s="67" t="n">
        <f aca="false">MAX(D48,E47)</f>
        <v>14672.2319746032</v>
      </c>
      <c r="F48" s="67" t="n">
        <f aca="false">MAX(E48,F47)</f>
        <v>23700.7844952381</v>
      </c>
      <c r="G48" s="67" t="n">
        <f aca="false">MAX(F48,G47)</f>
        <v>32738.7814603175</v>
      </c>
      <c r="H48" s="67" t="n">
        <f aca="false">MAX(G48,H47)</f>
        <v>41786.2228698413</v>
      </c>
      <c r="I48" s="67" t="n">
        <f aca="false">MAX(H48,I47)</f>
        <v>50843.1087238096</v>
      </c>
      <c r="J48" s="67" t="n">
        <f aca="false">MAX(I48,J47)</f>
        <v>59909.4390222223</v>
      </c>
      <c r="K48" s="67" t="n">
        <f aca="false">MAX(J48,K47)</f>
        <v>68985.2137650794</v>
      </c>
      <c r="L48" s="67" t="n">
        <f aca="false">MAX(K48,L47)</f>
        <v>78070.432952381</v>
      </c>
      <c r="M48" s="67" t="n">
        <f aca="false">MAX(L48,M47)</f>
        <v>102166.122412698</v>
      </c>
      <c r="N48" s="67" t="n">
        <f aca="false">MAX(M48,N47)</f>
        <v>126271.25631746</v>
      </c>
      <c r="O48" s="67" t="n">
        <f aca="false">MAX(N48,O47)</f>
        <v>138182.886001046</v>
      </c>
      <c r="P48" s="67" t="n">
        <f aca="false">MAX(O48,P47)</f>
        <v>150090.071240188</v>
      </c>
      <c r="Q48" s="67" t="n">
        <f aca="false">MAX(P48,Q47)</f>
        <v>161992.812034885</v>
      </c>
      <c r="R48" s="67" t="n">
        <f aca="false">MAX(Q48,R47)</f>
        <v>173891.108385138</v>
      </c>
      <c r="S48" s="67" t="n">
        <f aca="false">MAX(R48,S47)</f>
        <v>185784.960290946</v>
      </c>
      <c r="T48" s="67" t="n">
        <f aca="false">MAX(S48,T47)</f>
        <v>197674.36775231</v>
      </c>
      <c r="U48" s="67" t="n">
        <f aca="false">MAX(T48,U47)</f>
        <v>209559.33076923</v>
      </c>
      <c r="V48" s="67" t="n">
        <f aca="false">MAX(U48,V47)</f>
        <v>221439.849341705</v>
      </c>
      <c r="W48" s="67" t="n">
        <f aca="false">MAX(V48,W47)</f>
        <v>233315.923469735</v>
      </c>
      <c r="X48" s="67" t="n">
        <f aca="false">MAX(W48,X47)</f>
        <v>245187.553153321</v>
      </c>
      <c r="Y48" s="67" t="n">
        <f aca="false">MAX(X48,Y47)</f>
        <v>272969.326693994</v>
      </c>
      <c r="Z48" s="67" t="n">
        <f aca="false">MAX(Y48,Z47)</f>
        <v>300746.655790223</v>
      </c>
      <c r="AA48" s="67" t="n">
        <f aca="false">MAX(Z48,AA47)</f>
        <v>315786.245041704</v>
      </c>
      <c r="AB48" s="67" t="n">
        <f aca="false">MAX(AA48,AB47)</f>
        <v>330821.389848742</v>
      </c>
      <c r="AC48" s="67" t="n">
        <f aca="false">MAX(AB48,AC47)</f>
        <v>345852.090211334</v>
      </c>
      <c r="AD48" s="67" t="n">
        <f aca="false">MAX(AC48,AD47)</f>
        <v>360878.346129483</v>
      </c>
      <c r="AE48" s="67" t="n">
        <f aca="false">MAX(AD48,AE47)</f>
        <v>375900.157603187</v>
      </c>
      <c r="AF48" s="67" t="n">
        <f aca="false">MAX(AE48,AF47)</f>
        <v>390917.524632446</v>
      </c>
      <c r="AG48" s="67" t="n">
        <f aca="false">MAX(AF48,AG47)</f>
        <v>405930.447217261</v>
      </c>
      <c r="AH48" s="67" t="n">
        <f aca="false">MAX(AG48,AH47)</f>
        <v>420938.925357632</v>
      </c>
      <c r="AI48" s="67" t="n">
        <f aca="false">MAX(AH48,AI47)</f>
        <v>435942.959053558</v>
      </c>
      <c r="AJ48" s="67" t="n">
        <f aca="false">MAX(AI48,AJ47)</f>
        <v>450942.54830504</v>
      </c>
      <c r="AK48" s="67" t="n">
        <f aca="false">MAX(AJ48,AK47)</f>
        <v>482821.479841172</v>
      </c>
      <c r="AL48" s="67" t="n">
        <f aca="false">MAX(AK48,AL47)</f>
        <v>514695.966932859</v>
      </c>
      <c r="AM48" s="67" t="n">
        <f aca="false">MAX(AL48,AM47)</f>
        <v>533292.658373705</v>
      </c>
      <c r="AN48" s="67" t="n">
        <f aca="false">MAX(AM48,AN47)</f>
        <v>551884.905370106</v>
      </c>
      <c r="AO48" s="67" t="n">
        <f aca="false">MAX(AN48,AO47)</f>
        <v>570472.707922063</v>
      </c>
      <c r="AP48" s="67" t="n">
        <f aca="false">MAX(AO48,AP47)</f>
        <v>589056.066029575</v>
      </c>
      <c r="AQ48" s="67" t="n">
        <f aca="false">MAX(AP48,AQ47)</f>
        <v>607634.979692643</v>
      </c>
      <c r="AR48" s="67" t="n">
        <f aca="false">MAX(AQ48,AR47)</f>
        <v>626209.448911266</v>
      </c>
      <c r="AS48" s="67" t="n">
        <f aca="false">MAX(AR48,AS47)</f>
        <v>644779.473685445</v>
      </c>
      <c r="AT48" s="67" t="n">
        <f aca="false">MAX(AS48,AT47)</f>
        <v>663345.05401518</v>
      </c>
      <c r="AU48" s="67" t="n">
        <f aca="false">MAX(AT48,AU47)</f>
        <v>681906.18990047</v>
      </c>
      <c r="AV48" s="67" t="n">
        <f aca="false">MAX(AU48,AV47)</f>
        <v>700462.881341316</v>
      </c>
      <c r="AW48" s="67" t="n">
        <f aca="false">MAX(AV48,AW47)</f>
        <v>736927.137678613</v>
      </c>
      <c r="AX48" s="67" t="n">
        <f aca="false">MAX(AW48,AX47)</f>
        <v>773386.949571467</v>
      </c>
      <c r="AY48" s="67" t="n">
        <f aca="false">MAX(AX48,AY47)</f>
        <v>796039.793059401</v>
      </c>
      <c r="AZ48" s="67" t="n">
        <f aca="false">MAX(AY48,AZ47)</f>
        <v>818688.192102891</v>
      </c>
      <c r="BA48" s="67" t="n">
        <f aca="false">MAX(AZ48,BA47)</f>
        <v>841332.146701936</v>
      </c>
      <c r="BB48" s="67" t="n">
        <f aca="false">MAX(BA48,BB47)</f>
        <v>863971.656856537</v>
      </c>
      <c r="BC48" s="67" t="n">
        <f aca="false">MAX(BB48,BC47)</f>
        <v>886606.722566694</v>
      </c>
      <c r="BD48" s="67" t="n">
        <f aca="false">MAX(BC48,BD47)</f>
        <v>909237.343832406</v>
      </c>
      <c r="BE48" s="67" t="n">
        <f aca="false">MAX(BD48,BE47)</f>
        <v>931863.520653673</v>
      </c>
      <c r="BF48" s="67" t="n">
        <f aca="false">MAX(BE48,BF47)</f>
        <v>954485.253030497</v>
      </c>
      <c r="BG48" s="67" t="n">
        <f aca="false">MAX(BF48,BG47)</f>
        <v>977102.540962875</v>
      </c>
      <c r="BH48" s="67" t="n">
        <f aca="false">MAX(BG48,BH47)</f>
        <v>999715.38445081</v>
      </c>
      <c r="BI48" s="67" t="n">
        <f aca="false">MAX(BH48,BI47)</f>
        <v>1041326.63420406</v>
      </c>
      <c r="BJ48" s="67" t="n">
        <f aca="false">MAX(BI48,BJ47)</f>
        <v>1082933.43951286</v>
      </c>
    </row>
    <row r="49" customFormat="false" ht="15" hidden="false" customHeight="false" outlineLevel="0" collapsed="false">
      <c r="A49" s="6" t="s">
        <v>82</v>
      </c>
      <c r="C49" s="67" t="n">
        <f aca="false">-C48*Inputs!$E$70</f>
        <v>-160.430336000001</v>
      </c>
      <c r="D49" s="67" t="n">
        <f aca="false">-(D48-C48)*Inputs!$E$70</f>
        <v>-1026.72568266667</v>
      </c>
      <c r="E49" s="67" t="n">
        <f aca="false">-(E48-D48)*Inputs!$E$70</f>
        <v>-1894.012696</v>
      </c>
      <c r="F49" s="67" t="n">
        <f aca="false">-(F48-E48)*Inputs!$E$70</f>
        <v>-1895.99602933333</v>
      </c>
      <c r="G49" s="67" t="n">
        <f aca="false">-(G48-F48)*Inputs!$E$70</f>
        <v>-1897.97936266667</v>
      </c>
      <c r="H49" s="67" t="n">
        <f aca="false">-(H48-G48)*Inputs!$E$70</f>
        <v>-1899.962696</v>
      </c>
      <c r="I49" s="67" t="n">
        <f aca="false">-(I48-H48)*Inputs!$E$70</f>
        <v>-1901.94602933334</v>
      </c>
      <c r="J49" s="67" t="n">
        <f aca="false">-(J48-I48)*Inputs!$E$70</f>
        <v>-1903.92936266667</v>
      </c>
      <c r="K49" s="67" t="n">
        <f aca="false">-(K48-J48)*Inputs!$E$70</f>
        <v>-1905.912696</v>
      </c>
      <c r="L49" s="67" t="n">
        <f aca="false">-(L48-K48)*Inputs!$E$70</f>
        <v>-1907.89602933334</v>
      </c>
      <c r="M49" s="67" t="n">
        <f aca="false">-(M48-L48)*Inputs!$E$70</f>
        <v>-5060.09478666667</v>
      </c>
      <c r="N49" s="67" t="n">
        <f aca="false">-(N48-M48)*Inputs!$E$70</f>
        <v>-5062.07812</v>
      </c>
      <c r="O49" s="67" t="n">
        <f aca="false">-(O48-N48)*Inputs!$E$70</f>
        <v>-2501.44223355308</v>
      </c>
      <c r="P49" s="67" t="n">
        <f aca="false">-(P48-O48)*Inputs!$E$70</f>
        <v>-2500.50890021974</v>
      </c>
      <c r="Q49" s="67" t="n">
        <f aca="false">-(Q48-P48)*Inputs!$E$70</f>
        <v>-2499.57556688641</v>
      </c>
      <c r="R49" s="67" t="n">
        <f aca="false">-(R48-Q48)*Inputs!$E$70</f>
        <v>-2498.64223355307</v>
      </c>
      <c r="S49" s="67" t="n">
        <f aca="false">-(S48-R48)*Inputs!$E$70</f>
        <v>-2497.70890021974</v>
      </c>
      <c r="T49" s="67" t="n">
        <f aca="false">-(T48-S48)*Inputs!$E$70</f>
        <v>-2496.77556688641</v>
      </c>
      <c r="U49" s="67" t="n">
        <f aca="false">-(U48-T48)*Inputs!$E$70</f>
        <v>-2495.84223355308</v>
      </c>
      <c r="V49" s="67" t="n">
        <f aca="false">-(V48-U48)*Inputs!$E$70</f>
        <v>-2494.90890021974</v>
      </c>
      <c r="W49" s="67" t="n">
        <f aca="false">-(W48-V48)*Inputs!$E$70</f>
        <v>-2493.97556688641</v>
      </c>
      <c r="X49" s="67" t="n">
        <f aca="false">-(X48-W48)*Inputs!$E$70</f>
        <v>-2493.04223355307</v>
      </c>
      <c r="Y49" s="67" t="n">
        <f aca="false">-(Y48-X48)*Inputs!$E$70</f>
        <v>-5834.17244354133</v>
      </c>
      <c r="Z49" s="67" t="n">
        <f aca="false">-(Z48-Y48)*Inputs!$E$70</f>
        <v>-5833.239110208</v>
      </c>
      <c r="AA49" s="67" t="n">
        <f aca="false">-(AA48-Z48)*Inputs!$E$70</f>
        <v>-3158.31374281116</v>
      </c>
      <c r="AB49" s="67" t="n">
        <f aca="false">-(AB48-AA48)*Inputs!$E$70</f>
        <v>-3157.38040947782</v>
      </c>
      <c r="AC49" s="67" t="n">
        <f aca="false">-(AC48-AB48)*Inputs!$E$70</f>
        <v>-3156.44707614449</v>
      </c>
      <c r="AD49" s="67" t="n">
        <f aca="false">-(AD48-AC48)*Inputs!$E$70</f>
        <v>-3155.51374281116</v>
      </c>
      <c r="AE49" s="67" t="n">
        <f aca="false">-(AE48-AD48)*Inputs!$E$70</f>
        <v>-3154.58040947783</v>
      </c>
      <c r="AF49" s="67" t="n">
        <f aca="false">-(AF48-AE48)*Inputs!$E$70</f>
        <v>-3153.6470761445</v>
      </c>
      <c r="AG49" s="67" t="n">
        <f aca="false">-(AG48-AF48)*Inputs!$E$70</f>
        <v>-3152.71374281116</v>
      </c>
      <c r="AH49" s="67" t="n">
        <f aca="false">-(AH48-AG48)*Inputs!$E$70</f>
        <v>-3151.78040947783</v>
      </c>
      <c r="AI49" s="67" t="n">
        <f aca="false">-(AI48-AH48)*Inputs!$E$70</f>
        <v>-3150.8470761445</v>
      </c>
      <c r="AJ49" s="67" t="n">
        <f aca="false">-(AJ48-AI48)*Inputs!$E$70</f>
        <v>-3149.91374281116</v>
      </c>
      <c r="AK49" s="67" t="n">
        <f aca="false">-(AK48-AJ48)*Inputs!$E$70</f>
        <v>-6694.57562258772</v>
      </c>
      <c r="AL49" s="67" t="n">
        <f aca="false">-(AL48-AK48)*Inputs!$E$70</f>
        <v>-6693.64228925439</v>
      </c>
      <c r="AM49" s="67" t="n">
        <f aca="false">-(AM48-AL48)*Inputs!$E$70</f>
        <v>-3905.30520257759</v>
      </c>
      <c r="AN49" s="67" t="n">
        <f aca="false">-(AN48-AM48)*Inputs!$E$70</f>
        <v>-3904.37186924423</v>
      </c>
      <c r="AO49" s="67" t="n">
        <f aca="false">-(AO48-AN48)*Inputs!$E$70</f>
        <v>-3903.43853591091</v>
      </c>
      <c r="AP49" s="67" t="n">
        <f aca="false">-(AP48-AO48)*Inputs!$E$70</f>
        <v>-3902.50520257757</v>
      </c>
      <c r="AQ49" s="67" t="n">
        <f aca="false">-(AQ48-AP48)*Inputs!$E$70</f>
        <v>-3901.57186924425</v>
      </c>
      <c r="AR49" s="67" t="n">
        <f aca="false">-(AR48-AQ48)*Inputs!$E$70</f>
        <v>-3900.63853591091</v>
      </c>
      <c r="AS49" s="67" t="n">
        <f aca="false">-(AS48-AR48)*Inputs!$E$70</f>
        <v>-3899.70520257759</v>
      </c>
      <c r="AT49" s="67" t="n">
        <f aca="false">-(AT48-AS48)*Inputs!$E$70</f>
        <v>-3898.77186924424</v>
      </c>
      <c r="AU49" s="67" t="n">
        <f aca="false">-(AU48-AT48)*Inputs!$E$70</f>
        <v>-3897.83853591092</v>
      </c>
      <c r="AV49" s="67" t="n">
        <f aca="false">-(AV48-AU48)*Inputs!$E$70</f>
        <v>-3896.90520257758</v>
      </c>
      <c r="AW49" s="67" t="n">
        <f aca="false">-(AW48-AV48)*Inputs!$E$70</f>
        <v>-7657.49383083252</v>
      </c>
      <c r="AX49" s="67" t="n">
        <f aca="false">-(AX48-AW48)*Inputs!$E$70</f>
        <v>-7656.5604974992</v>
      </c>
      <c r="AY49" s="67" t="n">
        <f aca="false">-(AY48-AX48)*Inputs!$E$70</f>
        <v>-4757.09713246621</v>
      </c>
      <c r="AZ49" s="67" t="n">
        <f aca="false">-(AZ48-AY48)*Inputs!$E$70</f>
        <v>-4756.16379913286</v>
      </c>
      <c r="BA49" s="67" t="n">
        <f aca="false">-(BA48-AZ48)*Inputs!$E$70</f>
        <v>-4755.23046579955</v>
      </c>
      <c r="BB49" s="67" t="n">
        <f aca="false">-(BB48-BA48)*Inputs!$E$70</f>
        <v>-4754.2971324662</v>
      </c>
      <c r="BC49" s="67" t="n">
        <f aca="false">-(BC48-BB48)*Inputs!$E$70</f>
        <v>-4753.36379913288</v>
      </c>
      <c r="BD49" s="67" t="n">
        <f aca="false">-(BD48-BC48)*Inputs!$E$70</f>
        <v>-4752.43046579954</v>
      </c>
      <c r="BE49" s="67" t="n">
        <f aca="false">-(BE48-BD48)*Inputs!$E$70</f>
        <v>-4751.49713246619</v>
      </c>
      <c r="BF49" s="67" t="n">
        <f aca="false">-(BF48-BE48)*Inputs!$E$70</f>
        <v>-4750.56379913287</v>
      </c>
      <c r="BG49" s="67" t="n">
        <f aca="false">-(BG48-BF48)*Inputs!$E$70</f>
        <v>-4749.63046579953</v>
      </c>
      <c r="BH49" s="67" t="n">
        <f aca="false">-(BH48-BG48)*Inputs!$E$70</f>
        <v>-4748.69713246621</v>
      </c>
      <c r="BI49" s="67" t="n">
        <f aca="false">-(BI48-BH48)*Inputs!$E$70</f>
        <v>-8738.36244818187</v>
      </c>
      <c r="BJ49" s="67" t="n">
        <f aca="false">-(BJ48-BI48)*Inputs!$E$70</f>
        <v>-8737.42911484855</v>
      </c>
    </row>
    <row r="50" customFormat="false" ht="15" hidden="false" customHeight="false" outlineLevel="0" collapsed="false">
      <c r="A50" s="115" t="s">
        <v>50</v>
      </c>
      <c r="C50" s="68" t="n">
        <f aca="false">C46+C49</f>
        <v>603.523644952383</v>
      </c>
      <c r="D50" s="68" t="n">
        <f aca="false">D46+D49</f>
        <v>3862.44423479366</v>
      </c>
      <c r="E50" s="68" t="n">
        <f aca="false">E46+E49</f>
        <v>7125.09538019048</v>
      </c>
      <c r="F50" s="68" t="n">
        <f aca="false">F46+F49</f>
        <v>7132.55649130159</v>
      </c>
      <c r="G50" s="68" t="n">
        <f aca="false">G46+G49</f>
        <v>7140.0176024127</v>
      </c>
      <c r="H50" s="68" t="n">
        <f aca="false">H46+H49</f>
        <v>7147.47871352382</v>
      </c>
      <c r="I50" s="68" t="n">
        <f aca="false">I46+I49</f>
        <v>7154.93982463493</v>
      </c>
      <c r="J50" s="68" t="n">
        <f aca="false">J46+J49</f>
        <v>7162.40093574604</v>
      </c>
      <c r="K50" s="68" t="n">
        <f aca="false">K46+K49</f>
        <v>7169.86204685715</v>
      </c>
      <c r="L50" s="68" t="n">
        <f aca="false">L46+L49</f>
        <v>7177.32315796826</v>
      </c>
      <c r="M50" s="68" t="n">
        <f aca="false">M46+M49</f>
        <v>19035.5946736508</v>
      </c>
      <c r="N50" s="68" t="n">
        <f aca="false">N46+N49</f>
        <v>19043.0557847619</v>
      </c>
      <c r="O50" s="68" t="n">
        <f aca="false">O46+O49</f>
        <v>9410.187450033</v>
      </c>
      <c r="P50" s="68" t="n">
        <f aca="false">P46+P49</f>
        <v>9406.67633892188</v>
      </c>
      <c r="Q50" s="68" t="n">
        <f aca="false">Q46+Q49</f>
        <v>9403.16522781077</v>
      </c>
      <c r="R50" s="68" t="n">
        <f aca="false">R46+R49</f>
        <v>9399.65411669967</v>
      </c>
      <c r="S50" s="68" t="n">
        <f aca="false">S46+S49</f>
        <v>9396.14300558855</v>
      </c>
      <c r="T50" s="68" t="n">
        <f aca="false">T46+T49</f>
        <v>9392.63189447744</v>
      </c>
      <c r="U50" s="68" t="n">
        <f aca="false">U46+U49</f>
        <v>9389.12078336633</v>
      </c>
      <c r="V50" s="68" t="n">
        <f aca="false">V46+V49</f>
        <v>9385.60967225522</v>
      </c>
      <c r="W50" s="68" t="n">
        <f aca="false">W46+W49</f>
        <v>9382.09856114411</v>
      </c>
      <c r="X50" s="68" t="n">
        <f aca="false">X46+X49</f>
        <v>9378.587450033</v>
      </c>
      <c r="Y50" s="68" t="n">
        <f aca="false">Y46+Y49</f>
        <v>21947.6010971317</v>
      </c>
      <c r="Z50" s="68" t="n">
        <f aca="false">Z46+Z49</f>
        <v>21944.0899860206</v>
      </c>
      <c r="AA50" s="68" t="n">
        <f aca="false">AA46+AA49</f>
        <v>11881.2755086706</v>
      </c>
      <c r="AB50" s="68" t="n">
        <f aca="false">AB46+AB49</f>
        <v>11877.7643975595</v>
      </c>
      <c r="AC50" s="68" t="n">
        <f aca="false">AC46+AC49</f>
        <v>11874.2532864483</v>
      </c>
      <c r="AD50" s="68" t="n">
        <f aca="false">AD46+AD49</f>
        <v>11870.7421753372</v>
      </c>
      <c r="AE50" s="68" t="n">
        <f aca="false">AE46+AE49</f>
        <v>11867.2310642261</v>
      </c>
      <c r="AF50" s="68" t="n">
        <f aca="false">AF46+AF49</f>
        <v>11863.719953115</v>
      </c>
      <c r="AG50" s="68" t="n">
        <f aca="false">AG46+AG49</f>
        <v>11860.2088420039</v>
      </c>
      <c r="AH50" s="68" t="n">
        <f aca="false">AH46+AH49</f>
        <v>11856.6977308928</v>
      </c>
      <c r="AI50" s="68" t="n">
        <f aca="false">AI46+AI49</f>
        <v>11853.1866197817</v>
      </c>
      <c r="AJ50" s="68" t="n">
        <f aca="false">AJ46+AJ49</f>
        <v>11849.6755086706</v>
      </c>
      <c r="AK50" s="68" t="n">
        <f aca="false">AK46+AK49</f>
        <v>25184.3559135443</v>
      </c>
      <c r="AL50" s="68" t="n">
        <f aca="false">AL46+AL49</f>
        <v>25180.8448024332</v>
      </c>
      <c r="AM50" s="68" t="n">
        <f aca="false">AM46+AM49</f>
        <v>14691.386238268</v>
      </c>
      <c r="AN50" s="68" t="n">
        <f aca="false">AN46+AN49</f>
        <v>14687.8751271569</v>
      </c>
      <c r="AO50" s="68" t="n">
        <f aca="false">AO46+AO49</f>
        <v>14684.3640160458</v>
      </c>
      <c r="AP50" s="68" t="n">
        <f aca="false">AP46+AP49</f>
        <v>14680.8529049347</v>
      </c>
      <c r="AQ50" s="68" t="n">
        <f aca="false">AQ46+AQ49</f>
        <v>14677.3417938236</v>
      </c>
      <c r="AR50" s="68" t="n">
        <f aca="false">AR46+AR49</f>
        <v>14673.8306827125</v>
      </c>
      <c r="AS50" s="68" t="n">
        <f aca="false">AS46+AS49</f>
        <v>14670.3195716014</v>
      </c>
      <c r="AT50" s="68" t="n">
        <f aca="false">AT46+AT49</f>
        <v>14666.8084604903</v>
      </c>
      <c r="AU50" s="68" t="n">
        <f aca="false">AU46+AU49</f>
        <v>14663.2973493791</v>
      </c>
      <c r="AV50" s="68" t="n">
        <f aca="false">AV46+AV49</f>
        <v>14659.786238268</v>
      </c>
      <c r="AW50" s="68" t="n">
        <f aca="false">AW46+AW49</f>
        <v>28806.7625064652</v>
      </c>
      <c r="AX50" s="68" t="n">
        <f aca="false">AX46+AX49</f>
        <v>28803.2513953541</v>
      </c>
      <c r="AY50" s="68" t="n">
        <f aca="false">AY46+AY49</f>
        <v>17895.7463554681</v>
      </c>
      <c r="AZ50" s="68" t="n">
        <f aca="false">AZ46+AZ49</f>
        <v>17892.235244357</v>
      </c>
      <c r="BA50" s="68" t="n">
        <f aca="false">BA46+BA49</f>
        <v>17888.7241332459</v>
      </c>
      <c r="BB50" s="68" t="n">
        <f aca="false">BB46+BB49</f>
        <v>17885.2130221348</v>
      </c>
      <c r="BC50" s="68" t="n">
        <f aca="false">BC46+BC49</f>
        <v>17881.7019110236</v>
      </c>
      <c r="BD50" s="68" t="n">
        <f aca="false">BD46+BD49</f>
        <v>17878.1907999125</v>
      </c>
      <c r="BE50" s="68" t="n">
        <f aca="false">BE46+BE49</f>
        <v>17874.6796888014</v>
      </c>
      <c r="BF50" s="68" t="n">
        <f aca="false">BF46+BF49</f>
        <v>17871.1685776903</v>
      </c>
      <c r="BG50" s="68" t="n">
        <f aca="false">BG46+BG49</f>
        <v>17867.6574665792</v>
      </c>
      <c r="BH50" s="68" t="n">
        <f aca="false">BH46+BH49</f>
        <v>17864.1463554681</v>
      </c>
      <c r="BI50" s="68" t="n">
        <f aca="false">BI46+BI49</f>
        <v>32872.8873050652</v>
      </c>
      <c r="BJ50" s="68" t="n">
        <f aca="false">BJ46+BJ49</f>
        <v>32869.376193954</v>
      </c>
    </row>
    <row r="52" customFormat="false" ht="15.75" hidden="false" customHeight="true" outlineLevel="0" collapsed="false">
      <c r="A52" s="7" t="s">
        <v>415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customFormat="false" ht="15" hidden="false" customHeight="false" outlineLevel="0" collapsed="false">
      <c r="A53" s="6" t="s">
        <v>416</v>
      </c>
      <c r="C53" s="67" t="n">
        <f aca="false">IF(C$4=1,Inputs!$E$38,0)+IF(C$5&gt;1,Inputs!$E$39*1/12,0)</f>
        <v>90000</v>
      </c>
      <c r="D53" s="67" t="n">
        <f aca="false">IF(D$4=1,Inputs!$E$38,0)+IF(D$5&gt;1,Inputs!$E$39*1/12,0)</f>
        <v>0</v>
      </c>
      <c r="E53" s="67" t="n">
        <f aca="false">IF(E$4=1,Inputs!$E$38,0)+IF(E$5&gt;1,Inputs!$E$39*1/12,0)</f>
        <v>0</v>
      </c>
      <c r="F53" s="67" t="n">
        <f aca="false">IF(F$4=1,Inputs!$E$38,0)+IF(F$5&gt;1,Inputs!$E$39*1/12,0)</f>
        <v>0</v>
      </c>
      <c r="G53" s="67" t="n">
        <f aca="false">IF(G$4=1,Inputs!$E$38,0)+IF(G$5&gt;1,Inputs!$E$39*1/12,0)</f>
        <v>0</v>
      </c>
      <c r="H53" s="67" t="n">
        <f aca="false">IF(H$4=1,Inputs!$E$38,0)+IF(H$5&gt;1,Inputs!$E$39*1/12,0)</f>
        <v>0</v>
      </c>
      <c r="I53" s="67" t="n">
        <f aca="false">IF(I$4=1,Inputs!$E$38,0)+IF(I$5&gt;1,Inputs!$E$39*1/12,0)</f>
        <v>0</v>
      </c>
      <c r="J53" s="67" t="n">
        <f aca="false">IF(J$4=1,Inputs!$E$38,0)+IF(J$5&gt;1,Inputs!$E$39*1/12,0)</f>
        <v>0</v>
      </c>
      <c r="K53" s="67" t="n">
        <f aca="false">IF(K$4=1,Inputs!$E$38,0)+IF(K$5&gt;1,Inputs!$E$39*1/12,0)</f>
        <v>0</v>
      </c>
      <c r="L53" s="67" t="n">
        <f aca="false">IF(L$4=1,Inputs!$E$38,0)+IF(L$5&gt;1,Inputs!$E$39*1/12,0)</f>
        <v>0</v>
      </c>
      <c r="M53" s="67" t="n">
        <f aca="false">IF(M$4=1,Inputs!$E$38,0)+IF(M$5&gt;1,Inputs!$E$39*1/12,0)</f>
        <v>0</v>
      </c>
      <c r="N53" s="67" t="n">
        <f aca="false">IF(N$4=1,Inputs!$E$38,0)+IF(N$5&gt;1,Inputs!$E$39*1/12,0)</f>
        <v>0</v>
      </c>
      <c r="O53" s="67" t="n">
        <f aca="false">IF(O$4=1,Inputs!$E$38,0)+IF(O$5&gt;1,Inputs!$E$39*1/12,0)</f>
        <v>1166.66666666667</v>
      </c>
      <c r="P53" s="67" t="n">
        <f aca="false">IF(P$4=1,Inputs!$E$38,0)+IF(P$5&gt;1,Inputs!$E$39*1/12,0)</f>
        <v>1166.66666666667</v>
      </c>
      <c r="Q53" s="67" t="n">
        <f aca="false">IF(Q$4=1,Inputs!$E$38,0)+IF(Q$5&gt;1,Inputs!$E$39*1/12,0)</f>
        <v>1166.66666666667</v>
      </c>
      <c r="R53" s="67" t="n">
        <f aca="false">IF(R$4=1,Inputs!$E$38,0)+IF(R$5&gt;1,Inputs!$E$39*1/12,0)</f>
        <v>1166.66666666667</v>
      </c>
      <c r="S53" s="67" t="n">
        <f aca="false">IF(S$4=1,Inputs!$E$38,0)+IF(S$5&gt;1,Inputs!$E$39*1/12,0)</f>
        <v>1166.66666666667</v>
      </c>
      <c r="T53" s="67" t="n">
        <f aca="false">IF(T$4=1,Inputs!$E$38,0)+IF(T$5&gt;1,Inputs!$E$39*1/12,0)</f>
        <v>1166.66666666667</v>
      </c>
      <c r="U53" s="67" t="n">
        <f aca="false">IF(U$4=1,Inputs!$E$38,0)+IF(U$5&gt;1,Inputs!$E$39*1/12,0)</f>
        <v>1166.66666666667</v>
      </c>
      <c r="V53" s="67" t="n">
        <f aca="false">IF(V$4=1,Inputs!$E$38,0)+IF(V$5&gt;1,Inputs!$E$39*1/12,0)</f>
        <v>1166.66666666667</v>
      </c>
      <c r="W53" s="67" t="n">
        <f aca="false">IF(W$4=1,Inputs!$E$38,0)+IF(W$5&gt;1,Inputs!$E$39*1/12,0)</f>
        <v>1166.66666666667</v>
      </c>
      <c r="X53" s="67" t="n">
        <f aca="false">IF(X$4=1,Inputs!$E$38,0)+IF(X$5&gt;1,Inputs!$E$39*1/12,0)</f>
        <v>1166.66666666667</v>
      </c>
      <c r="Y53" s="67" t="n">
        <f aca="false">IF(Y$4=1,Inputs!$E$38,0)+IF(Y$5&gt;1,Inputs!$E$39*1/12,0)</f>
        <v>1166.66666666667</v>
      </c>
      <c r="Z53" s="67" t="n">
        <f aca="false">IF(Z$4=1,Inputs!$E$38,0)+IF(Z$5&gt;1,Inputs!$E$39*1/12,0)</f>
        <v>1166.66666666667</v>
      </c>
      <c r="AA53" s="67" t="n">
        <f aca="false">IF(AA$4=1,Inputs!$E$38,0)+IF(AA$5&gt;1,Inputs!$E$39*1/12,0)</f>
        <v>1166.66666666667</v>
      </c>
      <c r="AB53" s="67" t="n">
        <f aca="false">IF(AB$4=1,Inputs!$E$38,0)+IF(AB$5&gt;1,Inputs!$E$39*1/12,0)</f>
        <v>1166.66666666667</v>
      </c>
      <c r="AC53" s="67" t="n">
        <f aca="false">IF(AC$4=1,Inputs!$E$38,0)+IF(AC$5&gt;1,Inputs!$E$39*1/12,0)</f>
        <v>1166.66666666667</v>
      </c>
      <c r="AD53" s="67" t="n">
        <f aca="false">IF(AD$4=1,Inputs!$E$38,0)+IF(AD$5&gt;1,Inputs!$E$39*1/12,0)</f>
        <v>1166.66666666667</v>
      </c>
      <c r="AE53" s="67" t="n">
        <f aca="false">IF(AE$4=1,Inputs!$E$38,0)+IF(AE$5&gt;1,Inputs!$E$39*1/12,0)</f>
        <v>1166.66666666667</v>
      </c>
      <c r="AF53" s="67" t="n">
        <f aca="false">IF(AF$4=1,Inputs!$E$38,0)+IF(AF$5&gt;1,Inputs!$E$39*1/12,0)</f>
        <v>1166.66666666667</v>
      </c>
      <c r="AG53" s="67" t="n">
        <f aca="false">IF(AG$4=1,Inputs!$E$38,0)+IF(AG$5&gt;1,Inputs!$E$39*1/12,0)</f>
        <v>1166.66666666667</v>
      </c>
      <c r="AH53" s="67" t="n">
        <f aca="false">IF(AH$4=1,Inputs!$E$38,0)+IF(AH$5&gt;1,Inputs!$E$39*1/12,0)</f>
        <v>1166.66666666667</v>
      </c>
      <c r="AI53" s="67" t="n">
        <f aca="false">IF(AI$4=1,Inputs!$E$38,0)+IF(AI$5&gt;1,Inputs!$E$39*1/12,0)</f>
        <v>1166.66666666667</v>
      </c>
      <c r="AJ53" s="67" t="n">
        <f aca="false">IF(AJ$4=1,Inputs!$E$38,0)+IF(AJ$5&gt;1,Inputs!$E$39*1/12,0)</f>
        <v>1166.66666666667</v>
      </c>
      <c r="AK53" s="67" t="n">
        <f aca="false">IF(AK$4=1,Inputs!$E$38,0)+IF(AK$5&gt;1,Inputs!$E$39*1/12,0)</f>
        <v>1166.66666666667</v>
      </c>
      <c r="AL53" s="67" t="n">
        <f aca="false">IF(AL$4=1,Inputs!$E$38,0)+IF(AL$5&gt;1,Inputs!$E$39*1/12,0)</f>
        <v>1166.66666666667</v>
      </c>
      <c r="AM53" s="67" t="n">
        <f aca="false">IF(AM$4=1,Inputs!$E$38,0)+IF(AM$5&gt;1,Inputs!$E$39*1/12,0)</f>
        <v>1166.66666666667</v>
      </c>
      <c r="AN53" s="67" t="n">
        <f aca="false">IF(AN$4=1,Inputs!$E$38,0)+IF(AN$5&gt;1,Inputs!$E$39*1/12,0)</f>
        <v>1166.66666666667</v>
      </c>
      <c r="AO53" s="67" t="n">
        <f aca="false">IF(AO$4=1,Inputs!$E$38,0)+IF(AO$5&gt;1,Inputs!$E$39*1/12,0)</f>
        <v>1166.66666666667</v>
      </c>
      <c r="AP53" s="67" t="n">
        <f aca="false">IF(AP$4=1,Inputs!$E$38,0)+IF(AP$5&gt;1,Inputs!$E$39*1/12,0)</f>
        <v>1166.66666666667</v>
      </c>
      <c r="AQ53" s="67" t="n">
        <f aca="false">IF(AQ$4=1,Inputs!$E$38,0)+IF(AQ$5&gt;1,Inputs!$E$39*1/12,0)</f>
        <v>1166.66666666667</v>
      </c>
      <c r="AR53" s="67" t="n">
        <f aca="false">IF(AR$4=1,Inputs!$E$38,0)+IF(AR$5&gt;1,Inputs!$E$39*1/12,0)</f>
        <v>1166.66666666667</v>
      </c>
      <c r="AS53" s="67" t="n">
        <f aca="false">IF(AS$4=1,Inputs!$E$38,0)+IF(AS$5&gt;1,Inputs!$E$39*1/12,0)</f>
        <v>1166.66666666667</v>
      </c>
      <c r="AT53" s="67" t="n">
        <f aca="false">IF(AT$4=1,Inputs!$E$38,0)+IF(AT$5&gt;1,Inputs!$E$39*1/12,0)</f>
        <v>1166.66666666667</v>
      </c>
      <c r="AU53" s="67" t="n">
        <f aca="false">IF(AU$4=1,Inputs!$E$38,0)+IF(AU$5&gt;1,Inputs!$E$39*1/12,0)</f>
        <v>1166.66666666667</v>
      </c>
      <c r="AV53" s="67" t="n">
        <f aca="false">IF(AV$4=1,Inputs!$E$38,0)+IF(AV$5&gt;1,Inputs!$E$39*1/12,0)</f>
        <v>1166.66666666667</v>
      </c>
      <c r="AW53" s="67" t="n">
        <f aca="false">IF(AW$4=1,Inputs!$E$38,0)+IF(AW$5&gt;1,Inputs!$E$39*1/12,0)</f>
        <v>1166.66666666667</v>
      </c>
      <c r="AX53" s="67" t="n">
        <f aca="false">IF(AX$4=1,Inputs!$E$38,0)+IF(AX$5&gt;1,Inputs!$E$39*1/12,0)</f>
        <v>1166.66666666667</v>
      </c>
      <c r="AY53" s="67" t="n">
        <f aca="false">IF(AY$4=1,Inputs!$E$38,0)+IF(AY$5&gt;1,Inputs!$E$39*1/12,0)</f>
        <v>1166.66666666667</v>
      </c>
      <c r="AZ53" s="67" t="n">
        <f aca="false">IF(AZ$4=1,Inputs!$E$38,0)+IF(AZ$5&gt;1,Inputs!$E$39*1/12,0)</f>
        <v>1166.66666666667</v>
      </c>
      <c r="BA53" s="67" t="n">
        <f aca="false">IF(BA$4=1,Inputs!$E$38,0)+IF(BA$5&gt;1,Inputs!$E$39*1/12,0)</f>
        <v>1166.66666666667</v>
      </c>
      <c r="BB53" s="67" t="n">
        <f aca="false">IF(BB$4=1,Inputs!$E$38,0)+IF(BB$5&gt;1,Inputs!$E$39*1/12,0)</f>
        <v>1166.66666666667</v>
      </c>
      <c r="BC53" s="67" t="n">
        <f aca="false">IF(BC$4=1,Inputs!$E$38,0)+IF(BC$5&gt;1,Inputs!$E$39*1/12,0)</f>
        <v>1166.66666666667</v>
      </c>
      <c r="BD53" s="67" t="n">
        <f aca="false">IF(BD$4=1,Inputs!$E$38,0)+IF(BD$5&gt;1,Inputs!$E$39*1/12,0)</f>
        <v>1166.66666666667</v>
      </c>
      <c r="BE53" s="67" t="n">
        <f aca="false">IF(BE$4=1,Inputs!$E$38,0)+IF(BE$5&gt;1,Inputs!$E$39*1/12,0)</f>
        <v>1166.66666666667</v>
      </c>
      <c r="BF53" s="67" t="n">
        <f aca="false">IF(BF$4=1,Inputs!$E$38,0)+IF(BF$5&gt;1,Inputs!$E$39*1/12,0)</f>
        <v>1166.66666666667</v>
      </c>
      <c r="BG53" s="67" t="n">
        <f aca="false">IF(BG$4=1,Inputs!$E$38,0)+IF(BG$5&gt;1,Inputs!$E$39*1/12,0)</f>
        <v>1166.66666666667</v>
      </c>
      <c r="BH53" s="67" t="n">
        <f aca="false">IF(BH$4=1,Inputs!$E$38,0)+IF(BH$5&gt;1,Inputs!$E$39*1/12,0)</f>
        <v>1166.66666666667</v>
      </c>
      <c r="BI53" s="67" t="n">
        <f aca="false">IF(BI$4=1,Inputs!$E$38,0)+IF(BI$5&gt;1,Inputs!$E$39*1/12,0)</f>
        <v>1166.66666666667</v>
      </c>
      <c r="BJ53" s="67" t="n">
        <f aca="false">IF(BJ$4=1,Inputs!$E$38,0)+IF(BJ$5&gt;1,Inputs!$E$39*1/12,0)</f>
        <v>1166.66666666667</v>
      </c>
    </row>
    <row r="54" customFormat="false" ht="15" hidden="false" customHeight="false" outlineLevel="0" collapsed="false">
      <c r="A54" s="6" t="s">
        <v>417</v>
      </c>
      <c r="C54" s="67" t="n">
        <f aca="false">C53</f>
        <v>90000</v>
      </c>
      <c r="D54" s="67" t="n">
        <f aca="false">C54+D53</f>
        <v>90000</v>
      </c>
      <c r="E54" s="67" t="n">
        <f aca="false">D54+E53</f>
        <v>90000</v>
      </c>
      <c r="F54" s="67" t="n">
        <f aca="false">E54+F53</f>
        <v>90000</v>
      </c>
      <c r="G54" s="67" t="n">
        <f aca="false">F54+G53</f>
        <v>90000</v>
      </c>
      <c r="H54" s="67" t="n">
        <f aca="false">G54+H53</f>
        <v>90000</v>
      </c>
      <c r="I54" s="67" t="n">
        <f aca="false">H54+I53</f>
        <v>90000</v>
      </c>
      <c r="J54" s="67" t="n">
        <f aca="false">I54+J53</f>
        <v>90000</v>
      </c>
      <c r="K54" s="67" t="n">
        <f aca="false">J54+K53</f>
        <v>90000</v>
      </c>
      <c r="L54" s="67" t="n">
        <f aca="false">K54+L53</f>
        <v>90000</v>
      </c>
      <c r="M54" s="67" t="n">
        <f aca="false">L54+M53</f>
        <v>90000</v>
      </c>
      <c r="N54" s="67" t="n">
        <f aca="false">M54+N53</f>
        <v>90000</v>
      </c>
      <c r="O54" s="67" t="n">
        <f aca="false">N54+O53</f>
        <v>91166.6666666667</v>
      </c>
      <c r="P54" s="67" t="n">
        <f aca="false">O54+P53</f>
        <v>92333.3333333333</v>
      </c>
      <c r="Q54" s="67" t="n">
        <f aca="false">P54+Q53</f>
        <v>93500</v>
      </c>
      <c r="R54" s="67" t="n">
        <f aca="false">Q54+R53</f>
        <v>94666.6666666667</v>
      </c>
      <c r="S54" s="67" t="n">
        <f aca="false">R54+S53</f>
        <v>95833.3333333334</v>
      </c>
      <c r="T54" s="67" t="n">
        <f aca="false">S54+T53</f>
        <v>97000</v>
      </c>
      <c r="U54" s="67" t="n">
        <f aca="false">T54+U53</f>
        <v>98166.6666666667</v>
      </c>
      <c r="V54" s="67" t="n">
        <f aca="false">U54+V53</f>
        <v>99333.3333333334</v>
      </c>
      <c r="W54" s="67" t="n">
        <f aca="false">V54+W53</f>
        <v>100500</v>
      </c>
      <c r="X54" s="67" t="n">
        <f aca="false">W54+X53</f>
        <v>101666.666666667</v>
      </c>
      <c r="Y54" s="67" t="n">
        <f aca="false">X54+Y53</f>
        <v>102833.333333333</v>
      </c>
      <c r="Z54" s="67" t="n">
        <f aca="false">Y54+Z53</f>
        <v>104000</v>
      </c>
      <c r="AA54" s="67" t="n">
        <f aca="false">Z54+AA53</f>
        <v>105166.666666667</v>
      </c>
      <c r="AB54" s="67" t="n">
        <f aca="false">AA54+AB53</f>
        <v>106333.333333333</v>
      </c>
      <c r="AC54" s="67" t="n">
        <f aca="false">AB54+AC53</f>
        <v>107500</v>
      </c>
      <c r="AD54" s="67" t="n">
        <f aca="false">AC54+AD53</f>
        <v>108666.666666667</v>
      </c>
      <c r="AE54" s="67" t="n">
        <f aca="false">AD54+AE53</f>
        <v>109833.333333333</v>
      </c>
      <c r="AF54" s="67" t="n">
        <f aca="false">AE54+AF53</f>
        <v>111000</v>
      </c>
      <c r="AG54" s="67" t="n">
        <f aca="false">AF54+AG53</f>
        <v>112166.666666667</v>
      </c>
      <c r="AH54" s="67" t="n">
        <f aca="false">AG54+AH53</f>
        <v>113333.333333333</v>
      </c>
      <c r="AI54" s="67" t="n">
        <f aca="false">AH54+AI53</f>
        <v>114500</v>
      </c>
      <c r="AJ54" s="67" t="n">
        <f aca="false">AI54+AJ53</f>
        <v>115666.666666667</v>
      </c>
      <c r="AK54" s="67" t="n">
        <f aca="false">AJ54+AK53</f>
        <v>116833.333333333</v>
      </c>
      <c r="AL54" s="67" t="n">
        <f aca="false">AK54+AL53</f>
        <v>118000</v>
      </c>
      <c r="AM54" s="67" t="n">
        <f aca="false">AL54+AM53</f>
        <v>119166.666666667</v>
      </c>
      <c r="AN54" s="67" t="n">
        <f aca="false">AM54+AN53</f>
        <v>120333.333333333</v>
      </c>
      <c r="AO54" s="67" t="n">
        <f aca="false">AN54+AO53</f>
        <v>121500</v>
      </c>
      <c r="AP54" s="67" t="n">
        <f aca="false">AO54+AP53</f>
        <v>122666.666666667</v>
      </c>
      <c r="AQ54" s="67" t="n">
        <f aca="false">AP54+AQ53</f>
        <v>123833.333333333</v>
      </c>
      <c r="AR54" s="67" t="n">
        <f aca="false">AQ54+AR53</f>
        <v>125000</v>
      </c>
      <c r="AS54" s="67" t="n">
        <f aca="false">AR54+AS53</f>
        <v>126166.666666667</v>
      </c>
      <c r="AT54" s="67" t="n">
        <f aca="false">AS54+AT53</f>
        <v>127333.333333333</v>
      </c>
      <c r="AU54" s="67" t="n">
        <f aca="false">AT54+AU53</f>
        <v>128500</v>
      </c>
      <c r="AV54" s="67" t="n">
        <f aca="false">AU54+AV53</f>
        <v>129666.666666667</v>
      </c>
      <c r="AW54" s="67" t="n">
        <f aca="false">AV54+AW53</f>
        <v>130833.333333334</v>
      </c>
      <c r="AX54" s="67" t="n">
        <f aca="false">AW54+AX53</f>
        <v>132000</v>
      </c>
      <c r="AY54" s="67" t="n">
        <f aca="false">AX54+AY53</f>
        <v>133166.666666667</v>
      </c>
      <c r="AZ54" s="67" t="n">
        <f aca="false">AY54+AZ53</f>
        <v>134333.333333334</v>
      </c>
      <c r="BA54" s="67" t="n">
        <f aca="false">AZ54+BA53</f>
        <v>135500</v>
      </c>
      <c r="BB54" s="67" t="n">
        <f aca="false">BA54+BB53</f>
        <v>136666.666666667</v>
      </c>
      <c r="BC54" s="67" t="n">
        <f aca="false">BB54+BC53</f>
        <v>137833.333333333</v>
      </c>
      <c r="BD54" s="67" t="n">
        <f aca="false">BC54+BD53</f>
        <v>139000</v>
      </c>
      <c r="BE54" s="67" t="n">
        <f aca="false">BD54+BE53</f>
        <v>140166.666666667</v>
      </c>
      <c r="BF54" s="67" t="n">
        <f aca="false">BE54+BF53</f>
        <v>141333.333333333</v>
      </c>
      <c r="BG54" s="67" t="n">
        <f aca="false">BF54+BG53</f>
        <v>142500</v>
      </c>
      <c r="BH54" s="67" t="n">
        <f aca="false">BG54+BH53</f>
        <v>143666.666666667</v>
      </c>
      <c r="BI54" s="67" t="n">
        <f aca="false">BH54+BI53</f>
        <v>144833.333333333</v>
      </c>
      <c r="BJ54" s="67" t="n">
        <f aca="false">BI54+BJ53</f>
        <v>146000</v>
      </c>
    </row>
    <row r="55" customFormat="false" ht="15" hidden="false" customHeight="false" outlineLevel="0" collapsed="false">
      <c r="A55" s="6" t="s">
        <v>78</v>
      </c>
      <c r="C55" s="67" t="n">
        <f aca="false">-MIN(C54/MAX(1,Inputs!$E$69*12),C53)</f>
        <v>-1071.42857142857</v>
      </c>
      <c r="D55" s="67" t="n">
        <f aca="false">-MIN(D54/MAX(1,Inputs!$E$69*12),C57+D53)</f>
        <v>-1071.42857142857</v>
      </c>
      <c r="E55" s="67" t="n">
        <f aca="false">-MIN(E54/MAX(1,Inputs!$E$69*12),D57+E53)</f>
        <v>-1071.42857142857</v>
      </c>
      <c r="F55" s="67" t="n">
        <f aca="false">-MIN(F54/MAX(1,Inputs!$E$69*12),E57+F53)</f>
        <v>-1071.42857142857</v>
      </c>
      <c r="G55" s="67" t="n">
        <f aca="false">-MIN(G54/MAX(1,Inputs!$E$69*12),F57+G53)</f>
        <v>-1071.42857142857</v>
      </c>
      <c r="H55" s="67" t="n">
        <f aca="false">-MIN(H54/MAX(1,Inputs!$E$69*12),G57+H53)</f>
        <v>-1071.42857142857</v>
      </c>
      <c r="I55" s="67" t="n">
        <f aca="false">-MIN(I54/MAX(1,Inputs!$E$69*12),H57+I53)</f>
        <v>-1071.42857142857</v>
      </c>
      <c r="J55" s="67" t="n">
        <f aca="false">-MIN(J54/MAX(1,Inputs!$E$69*12),I57+J53)</f>
        <v>-1071.42857142857</v>
      </c>
      <c r="K55" s="67" t="n">
        <f aca="false">-MIN(K54/MAX(1,Inputs!$E$69*12),J57+K53)</f>
        <v>-1071.42857142857</v>
      </c>
      <c r="L55" s="67" t="n">
        <f aca="false">-MIN(L54/MAX(1,Inputs!$E$69*12),K57+L53)</f>
        <v>-1071.42857142857</v>
      </c>
      <c r="M55" s="67" t="n">
        <f aca="false">-MIN(M54/MAX(1,Inputs!$E$69*12),L57+M53)</f>
        <v>-1071.42857142857</v>
      </c>
      <c r="N55" s="67" t="n">
        <f aca="false">-MIN(N54/MAX(1,Inputs!$E$69*12),M57+N53)</f>
        <v>-1071.42857142857</v>
      </c>
      <c r="O55" s="67" t="n">
        <f aca="false">-MIN(O54/MAX(1,Inputs!$E$69*12),N57+O53)</f>
        <v>-1085.31746031746</v>
      </c>
      <c r="P55" s="67" t="n">
        <f aca="false">-MIN(P54/MAX(1,Inputs!$E$69*12),O57+P53)</f>
        <v>-1099.20634920635</v>
      </c>
      <c r="Q55" s="67" t="n">
        <f aca="false">-MIN(Q54/MAX(1,Inputs!$E$69*12),P57+Q53)</f>
        <v>-1113.09523809524</v>
      </c>
      <c r="R55" s="67" t="n">
        <f aca="false">-MIN(R54/MAX(1,Inputs!$E$69*12),Q57+R53)</f>
        <v>-1126.98412698413</v>
      </c>
      <c r="S55" s="67" t="n">
        <f aca="false">-MIN(S54/MAX(1,Inputs!$E$69*12),R57+S53)</f>
        <v>-1140.87301587302</v>
      </c>
      <c r="T55" s="67" t="n">
        <f aca="false">-MIN(T54/MAX(1,Inputs!$E$69*12),S57+T53)</f>
        <v>-1154.76190476191</v>
      </c>
      <c r="U55" s="67" t="n">
        <f aca="false">-MIN(U54/MAX(1,Inputs!$E$69*12),T57+U53)</f>
        <v>-1168.65079365079</v>
      </c>
      <c r="V55" s="67" t="n">
        <f aca="false">-MIN(V54/MAX(1,Inputs!$E$69*12),U57+V53)</f>
        <v>-1182.53968253968</v>
      </c>
      <c r="W55" s="67" t="n">
        <f aca="false">-MIN(W54/MAX(1,Inputs!$E$69*12),V57+W53)</f>
        <v>-1196.42857142857</v>
      </c>
      <c r="X55" s="67" t="n">
        <f aca="false">-MIN(X54/MAX(1,Inputs!$E$69*12),W57+X53)</f>
        <v>-1210.31746031746</v>
      </c>
      <c r="Y55" s="67" t="n">
        <f aca="false">-MIN(Y54/MAX(1,Inputs!$E$69*12),X57+Y53)</f>
        <v>-1224.20634920635</v>
      </c>
      <c r="Z55" s="67" t="n">
        <f aca="false">-MIN(Z54/MAX(1,Inputs!$E$69*12),Y57+Z53)</f>
        <v>-1238.09523809524</v>
      </c>
      <c r="AA55" s="67" t="n">
        <f aca="false">-MIN(AA54/MAX(1,Inputs!$E$69*12),Z57+AA53)</f>
        <v>-1251.98412698413</v>
      </c>
      <c r="AB55" s="67" t="n">
        <f aca="false">-MIN(AB54/MAX(1,Inputs!$E$69*12),AA57+AB53)</f>
        <v>-1265.87301587302</v>
      </c>
      <c r="AC55" s="67" t="n">
        <f aca="false">-MIN(AC54/MAX(1,Inputs!$E$69*12),AB57+AC53)</f>
        <v>-1279.76190476191</v>
      </c>
      <c r="AD55" s="67" t="n">
        <f aca="false">-MIN(AD54/MAX(1,Inputs!$E$69*12),AC57+AD53)</f>
        <v>-1293.65079365079</v>
      </c>
      <c r="AE55" s="67" t="n">
        <f aca="false">-MIN(AE54/MAX(1,Inputs!$E$69*12),AD57+AE53)</f>
        <v>-1307.53968253968</v>
      </c>
      <c r="AF55" s="67" t="n">
        <f aca="false">-MIN(AF54/MAX(1,Inputs!$E$69*12),AE57+AF53)</f>
        <v>-1321.42857142857</v>
      </c>
      <c r="AG55" s="67" t="n">
        <f aca="false">-MIN(AG54/MAX(1,Inputs!$E$69*12),AF57+AG53)</f>
        <v>-1335.31746031746</v>
      </c>
      <c r="AH55" s="67" t="n">
        <f aca="false">-MIN(AH54/MAX(1,Inputs!$E$69*12),AG57+AH53)</f>
        <v>-1349.20634920635</v>
      </c>
      <c r="AI55" s="67" t="n">
        <f aca="false">-MIN(AI54/MAX(1,Inputs!$E$69*12),AH57+AI53)</f>
        <v>-1363.09523809524</v>
      </c>
      <c r="AJ55" s="67" t="n">
        <f aca="false">-MIN(AJ54/MAX(1,Inputs!$E$69*12),AI57+AJ53)</f>
        <v>-1376.98412698413</v>
      </c>
      <c r="AK55" s="67" t="n">
        <f aca="false">-MIN(AK54/MAX(1,Inputs!$E$69*12),AJ57+AK53)</f>
        <v>-1390.87301587302</v>
      </c>
      <c r="AL55" s="67" t="n">
        <f aca="false">-MIN(AL54/MAX(1,Inputs!$E$69*12),AK57+AL53)</f>
        <v>-1404.76190476191</v>
      </c>
      <c r="AM55" s="67" t="n">
        <f aca="false">-MIN(AM54/MAX(1,Inputs!$E$69*12),AL57+AM53)</f>
        <v>-1418.6507936508</v>
      </c>
      <c r="AN55" s="67" t="n">
        <f aca="false">-MIN(AN54/MAX(1,Inputs!$E$69*12),AM57+AN53)</f>
        <v>-1432.53968253968</v>
      </c>
      <c r="AO55" s="67" t="n">
        <f aca="false">-MIN(AO54/MAX(1,Inputs!$E$69*12),AN57+AO53)</f>
        <v>-1446.42857142857</v>
      </c>
      <c r="AP55" s="67" t="n">
        <f aca="false">-MIN(AP54/MAX(1,Inputs!$E$69*12),AO57+AP53)</f>
        <v>-1460.31746031746</v>
      </c>
      <c r="AQ55" s="67" t="n">
        <f aca="false">-MIN(AQ54/MAX(1,Inputs!$E$69*12),AP57+AQ53)</f>
        <v>-1474.20634920635</v>
      </c>
      <c r="AR55" s="67" t="n">
        <f aca="false">-MIN(AR54/MAX(1,Inputs!$E$69*12),AQ57+AR53)</f>
        <v>-1488.09523809524</v>
      </c>
      <c r="AS55" s="67" t="n">
        <f aca="false">-MIN(AS54/MAX(1,Inputs!$E$69*12),AR57+AS53)</f>
        <v>-1501.98412698413</v>
      </c>
      <c r="AT55" s="67" t="n">
        <f aca="false">-MIN(AT54/MAX(1,Inputs!$E$69*12),AS57+AT53)</f>
        <v>-1515.87301587302</v>
      </c>
      <c r="AU55" s="67" t="n">
        <f aca="false">-MIN(AU54/MAX(1,Inputs!$E$69*12),AT57+AU53)</f>
        <v>-1529.76190476191</v>
      </c>
      <c r="AV55" s="67" t="n">
        <f aca="false">-MIN(AV54/MAX(1,Inputs!$E$69*12),AU57+AV53)</f>
        <v>-1543.6507936508</v>
      </c>
      <c r="AW55" s="67" t="n">
        <f aca="false">-MIN(AW54/MAX(1,Inputs!$E$69*12),AV57+AW53)</f>
        <v>-1557.53968253968</v>
      </c>
      <c r="AX55" s="67" t="n">
        <f aca="false">-MIN(AX54/MAX(1,Inputs!$E$69*12),AW57+AX53)</f>
        <v>-1571.42857142857</v>
      </c>
      <c r="AY55" s="67" t="n">
        <f aca="false">-MIN(AY54/MAX(1,Inputs!$E$69*12),AX57+AY53)</f>
        <v>-1585.31746031746</v>
      </c>
      <c r="AZ55" s="67" t="n">
        <f aca="false">-MIN(AZ54/MAX(1,Inputs!$E$69*12),AY57+AZ53)</f>
        <v>-1599.20634920635</v>
      </c>
      <c r="BA55" s="67" t="n">
        <f aca="false">-MIN(BA54/MAX(1,Inputs!$E$69*12),AZ57+BA53)</f>
        <v>-1613.09523809524</v>
      </c>
      <c r="BB55" s="67" t="n">
        <f aca="false">-MIN(BB54/MAX(1,Inputs!$E$69*12),BA57+BB53)</f>
        <v>-1626.98412698413</v>
      </c>
      <c r="BC55" s="67" t="n">
        <f aca="false">-MIN(BC54/MAX(1,Inputs!$E$69*12),BB57+BC53)</f>
        <v>-1640.87301587302</v>
      </c>
      <c r="BD55" s="67" t="n">
        <f aca="false">-MIN(BD54/MAX(1,Inputs!$E$69*12),BC57+BD53)</f>
        <v>-1654.76190476191</v>
      </c>
      <c r="BE55" s="67" t="n">
        <f aca="false">-MIN(BE54/MAX(1,Inputs!$E$69*12),BD57+BE53)</f>
        <v>-1668.65079365079</v>
      </c>
      <c r="BF55" s="67" t="n">
        <f aca="false">-MIN(BF54/MAX(1,Inputs!$E$69*12),BE57+BF53)</f>
        <v>-1682.53968253968</v>
      </c>
      <c r="BG55" s="67" t="n">
        <f aca="false">-MIN(BG54/MAX(1,Inputs!$E$69*12),BF57+BG53)</f>
        <v>-1696.42857142857</v>
      </c>
      <c r="BH55" s="67" t="n">
        <f aca="false">-MIN(BH54/MAX(1,Inputs!$E$69*12),BG57+BH53)</f>
        <v>-1710.31746031746</v>
      </c>
      <c r="BI55" s="67" t="n">
        <f aca="false">-MIN(BI54/MAX(1,Inputs!$E$69*12),BH57+BI53)</f>
        <v>-1724.20634920635</v>
      </c>
      <c r="BJ55" s="67" t="n">
        <f aca="false">-MIN(BJ54/MAX(1,Inputs!$E$69*12),BI57+BJ53)</f>
        <v>-1738.09523809524</v>
      </c>
    </row>
    <row r="56" customFormat="false" ht="15" hidden="false" customHeight="false" outlineLevel="0" collapsed="false">
      <c r="A56" s="6" t="s">
        <v>418</v>
      </c>
      <c r="C56" s="67" t="n">
        <f aca="false">C55</f>
        <v>-1071.42857142857</v>
      </c>
      <c r="D56" s="67" t="n">
        <f aca="false">C56+D55</f>
        <v>-2142.85714285714</v>
      </c>
      <c r="E56" s="67" t="n">
        <f aca="false">D56+E55</f>
        <v>-3214.28571428571</v>
      </c>
      <c r="F56" s="67" t="n">
        <f aca="false">E56+F55</f>
        <v>-4285.71428571429</v>
      </c>
      <c r="G56" s="67" t="n">
        <f aca="false">F56+G55</f>
        <v>-5357.14285714286</v>
      </c>
      <c r="H56" s="67" t="n">
        <f aca="false">G56+H55</f>
        <v>-6428.57142857143</v>
      </c>
      <c r="I56" s="67" t="n">
        <f aca="false">H56+I55</f>
        <v>-7500</v>
      </c>
      <c r="J56" s="67" t="n">
        <f aca="false">I56+J55</f>
        <v>-8571.42857142857</v>
      </c>
      <c r="K56" s="67" t="n">
        <f aca="false">J56+K55</f>
        <v>-9642.85714285714</v>
      </c>
      <c r="L56" s="67" t="n">
        <f aca="false">K56+L55</f>
        <v>-10714.2857142857</v>
      </c>
      <c r="M56" s="67" t="n">
        <f aca="false">L56+M55</f>
        <v>-11785.7142857143</v>
      </c>
      <c r="N56" s="67" t="n">
        <f aca="false">M56+N55</f>
        <v>-12857.1428571429</v>
      </c>
      <c r="O56" s="67" t="n">
        <f aca="false">N56+O55</f>
        <v>-13942.4603174603</v>
      </c>
      <c r="P56" s="67" t="n">
        <f aca="false">O56+P55</f>
        <v>-15041.6666666667</v>
      </c>
      <c r="Q56" s="67" t="n">
        <f aca="false">P56+Q55</f>
        <v>-16154.7619047619</v>
      </c>
      <c r="R56" s="67" t="n">
        <f aca="false">Q56+R55</f>
        <v>-17281.746031746</v>
      </c>
      <c r="S56" s="67" t="n">
        <f aca="false">R56+S55</f>
        <v>-18422.619047619</v>
      </c>
      <c r="T56" s="67" t="n">
        <f aca="false">S56+T55</f>
        <v>-19577.380952381</v>
      </c>
      <c r="U56" s="67" t="n">
        <f aca="false">T56+U55</f>
        <v>-20746.0317460317</v>
      </c>
      <c r="V56" s="67" t="n">
        <f aca="false">U56+V55</f>
        <v>-21928.5714285714</v>
      </c>
      <c r="W56" s="67" t="n">
        <f aca="false">V56+W55</f>
        <v>-23125</v>
      </c>
      <c r="X56" s="67" t="n">
        <f aca="false">W56+X55</f>
        <v>-24335.3174603175</v>
      </c>
      <c r="Y56" s="67" t="n">
        <f aca="false">X56+Y55</f>
        <v>-25559.5238095238</v>
      </c>
      <c r="Z56" s="67" t="n">
        <f aca="false">Y56+Z55</f>
        <v>-26797.6190476191</v>
      </c>
      <c r="AA56" s="67" t="n">
        <f aca="false">Z56+AA55</f>
        <v>-28049.6031746032</v>
      </c>
      <c r="AB56" s="67" t="n">
        <f aca="false">AA56+AB55</f>
        <v>-29315.4761904762</v>
      </c>
      <c r="AC56" s="67" t="n">
        <f aca="false">AB56+AC55</f>
        <v>-30595.2380952381</v>
      </c>
      <c r="AD56" s="67" t="n">
        <f aca="false">AC56+AD55</f>
        <v>-31888.8888888889</v>
      </c>
      <c r="AE56" s="67" t="n">
        <f aca="false">AD56+AE55</f>
        <v>-33196.4285714286</v>
      </c>
      <c r="AF56" s="67" t="n">
        <f aca="false">AE56+AF55</f>
        <v>-34517.8571428572</v>
      </c>
      <c r="AG56" s="67" t="n">
        <f aca="false">AF56+AG55</f>
        <v>-35853.1746031746</v>
      </c>
      <c r="AH56" s="67" t="n">
        <f aca="false">AG56+AH55</f>
        <v>-37202.380952381</v>
      </c>
      <c r="AI56" s="67" t="n">
        <f aca="false">AH56+AI55</f>
        <v>-38565.4761904762</v>
      </c>
      <c r="AJ56" s="67" t="n">
        <f aca="false">AI56+AJ55</f>
        <v>-39942.4603174603</v>
      </c>
      <c r="AK56" s="67" t="n">
        <f aca="false">AJ56+AK55</f>
        <v>-41333.3333333334</v>
      </c>
      <c r="AL56" s="67" t="n">
        <f aca="false">AK56+AL55</f>
        <v>-42738.0952380953</v>
      </c>
      <c r="AM56" s="67" t="n">
        <f aca="false">AL56+AM55</f>
        <v>-44156.7460317461</v>
      </c>
      <c r="AN56" s="67" t="n">
        <f aca="false">AM56+AN55</f>
        <v>-45589.2857142857</v>
      </c>
      <c r="AO56" s="67" t="n">
        <f aca="false">AN56+AO55</f>
        <v>-47035.7142857143</v>
      </c>
      <c r="AP56" s="67" t="n">
        <f aca="false">AO56+AP55</f>
        <v>-48496.0317460318</v>
      </c>
      <c r="AQ56" s="67" t="n">
        <f aca="false">AP56+AQ55</f>
        <v>-49970.2380952381</v>
      </c>
      <c r="AR56" s="67" t="n">
        <f aca="false">AQ56+AR55</f>
        <v>-51458.3333333334</v>
      </c>
      <c r="AS56" s="67" t="n">
        <f aca="false">AR56+AS55</f>
        <v>-52960.3174603175</v>
      </c>
      <c r="AT56" s="67" t="n">
        <f aca="false">AS56+AT55</f>
        <v>-54476.1904761905</v>
      </c>
      <c r="AU56" s="67" t="n">
        <f aca="false">AT56+AU55</f>
        <v>-56005.9523809524</v>
      </c>
      <c r="AV56" s="67" t="n">
        <f aca="false">AU56+AV55</f>
        <v>-57549.6031746032</v>
      </c>
      <c r="AW56" s="67" t="n">
        <f aca="false">AV56+AW55</f>
        <v>-59107.1428571429</v>
      </c>
      <c r="AX56" s="67" t="n">
        <f aca="false">AW56+AX55</f>
        <v>-60678.5714285715</v>
      </c>
      <c r="AY56" s="67" t="n">
        <f aca="false">AX56+AY55</f>
        <v>-62263.8888888889</v>
      </c>
      <c r="AZ56" s="67" t="n">
        <f aca="false">AY56+AZ55</f>
        <v>-63863.0952380953</v>
      </c>
      <c r="BA56" s="67" t="n">
        <f aca="false">AZ56+BA55</f>
        <v>-65476.1904761905</v>
      </c>
      <c r="BB56" s="67" t="n">
        <f aca="false">BA56+BB55</f>
        <v>-67103.1746031746</v>
      </c>
      <c r="BC56" s="67" t="n">
        <f aca="false">BB56+BC55</f>
        <v>-68744.0476190477</v>
      </c>
      <c r="BD56" s="67" t="n">
        <f aca="false">BC56+BD55</f>
        <v>-70398.8095238096</v>
      </c>
      <c r="BE56" s="67" t="n">
        <f aca="false">BD56+BE55</f>
        <v>-72067.4603174604</v>
      </c>
      <c r="BF56" s="67" t="n">
        <f aca="false">BE56+BF55</f>
        <v>-73750.0000000001</v>
      </c>
      <c r="BG56" s="67" t="n">
        <f aca="false">BF56+BG55</f>
        <v>-75446.4285714286</v>
      </c>
      <c r="BH56" s="67" t="n">
        <f aca="false">BG56+BH55</f>
        <v>-77156.7460317461</v>
      </c>
      <c r="BI56" s="67" t="n">
        <f aca="false">BH56+BI55</f>
        <v>-78880.9523809524</v>
      </c>
      <c r="BJ56" s="67" t="n">
        <f aca="false">BI56+BJ55</f>
        <v>-80619.0476190477</v>
      </c>
    </row>
    <row r="57" customFormat="false" ht="15" hidden="false" customHeight="false" outlineLevel="0" collapsed="false">
      <c r="A57" s="4" t="s">
        <v>92</v>
      </c>
      <c r="C57" s="73" t="n">
        <f aca="false">C54+C56</f>
        <v>88928.5714285714</v>
      </c>
      <c r="D57" s="73" t="n">
        <f aca="false">D54+D56</f>
        <v>87857.1428571429</v>
      </c>
      <c r="E57" s="73" t="n">
        <f aca="false">E54+E56</f>
        <v>86785.7142857143</v>
      </c>
      <c r="F57" s="73" t="n">
        <f aca="false">F54+F56</f>
        <v>85714.2857142857</v>
      </c>
      <c r="G57" s="73" t="n">
        <f aca="false">G54+G56</f>
        <v>84642.8571428571</v>
      </c>
      <c r="H57" s="73" t="n">
        <f aca="false">H54+H56</f>
        <v>83571.4285714286</v>
      </c>
      <c r="I57" s="73" t="n">
        <f aca="false">I54+I56</f>
        <v>82500</v>
      </c>
      <c r="J57" s="73" t="n">
        <f aca="false">J54+J56</f>
        <v>81428.5714285714</v>
      </c>
      <c r="K57" s="73" t="n">
        <f aca="false">K54+K56</f>
        <v>80357.1428571429</v>
      </c>
      <c r="L57" s="73" t="n">
        <f aca="false">L54+L56</f>
        <v>79285.7142857143</v>
      </c>
      <c r="M57" s="73" t="n">
        <f aca="false">M54+M56</f>
        <v>78214.2857142857</v>
      </c>
      <c r="N57" s="73" t="n">
        <f aca="false">N54+N56</f>
        <v>77142.8571428571</v>
      </c>
      <c r="O57" s="73" t="n">
        <f aca="false">O54+O56</f>
        <v>77224.2063492064</v>
      </c>
      <c r="P57" s="73" t="n">
        <f aca="false">P54+P56</f>
        <v>77291.6666666667</v>
      </c>
      <c r="Q57" s="73" t="n">
        <f aca="false">Q54+Q56</f>
        <v>77345.2380952381</v>
      </c>
      <c r="R57" s="73" t="n">
        <f aca="false">R54+R56</f>
        <v>77384.9206349207</v>
      </c>
      <c r="S57" s="73" t="n">
        <f aca="false">S54+S56</f>
        <v>77410.7142857143</v>
      </c>
      <c r="T57" s="73" t="n">
        <f aca="false">T54+T56</f>
        <v>77422.6190476191</v>
      </c>
      <c r="U57" s="73" t="n">
        <f aca="false">U54+U56</f>
        <v>77420.634920635</v>
      </c>
      <c r="V57" s="73" t="n">
        <f aca="false">V54+V56</f>
        <v>77404.761904762</v>
      </c>
      <c r="W57" s="73" t="n">
        <f aca="false">W54+W56</f>
        <v>77375</v>
      </c>
      <c r="X57" s="73" t="n">
        <f aca="false">X54+X56</f>
        <v>77331.3492063493</v>
      </c>
      <c r="Y57" s="73" t="n">
        <f aca="false">Y54+Y56</f>
        <v>77273.8095238096</v>
      </c>
      <c r="Z57" s="73" t="n">
        <f aca="false">Z54+Z56</f>
        <v>77202.380952381</v>
      </c>
      <c r="AA57" s="73" t="n">
        <f aca="false">AA54+AA56</f>
        <v>77117.0634920636</v>
      </c>
      <c r="AB57" s="73" t="n">
        <f aca="false">AB54+AB56</f>
        <v>77017.8571428572</v>
      </c>
      <c r="AC57" s="73" t="n">
        <f aca="false">AC54+AC56</f>
        <v>76904.761904762</v>
      </c>
      <c r="AD57" s="73" t="n">
        <f aca="false">AD54+AD56</f>
        <v>76777.7777777779</v>
      </c>
      <c r="AE57" s="73" t="n">
        <f aca="false">AE54+AE56</f>
        <v>76636.9047619048</v>
      </c>
      <c r="AF57" s="73" t="n">
        <f aca="false">AF54+AF56</f>
        <v>76482.1428571429</v>
      </c>
      <c r="AG57" s="73" t="n">
        <f aca="false">AG54+AG56</f>
        <v>76313.4920634921</v>
      </c>
      <c r="AH57" s="73" t="n">
        <f aca="false">AH54+AH56</f>
        <v>76130.9523809525</v>
      </c>
      <c r="AI57" s="73" t="n">
        <f aca="false">AI54+AI56</f>
        <v>75934.5238095239</v>
      </c>
      <c r="AJ57" s="73" t="n">
        <f aca="false">AJ54+AJ56</f>
        <v>75724.2063492065</v>
      </c>
      <c r="AK57" s="73" t="n">
        <f aca="false">AK54+AK56</f>
        <v>75500.0000000001</v>
      </c>
      <c r="AL57" s="73" t="n">
        <f aca="false">AL54+AL56</f>
        <v>75261.9047619049</v>
      </c>
      <c r="AM57" s="73" t="n">
        <f aca="false">AM54+AM56</f>
        <v>75009.9206349207</v>
      </c>
      <c r="AN57" s="73" t="n">
        <f aca="false">AN54+AN56</f>
        <v>74744.0476190477</v>
      </c>
      <c r="AO57" s="73" t="n">
        <f aca="false">AO54+AO56</f>
        <v>74464.2857142858</v>
      </c>
      <c r="AP57" s="73" t="n">
        <f aca="false">AP54+AP56</f>
        <v>74170.634920635</v>
      </c>
      <c r="AQ57" s="73" t="n">
        <f aca="false">AQ54+AQ56</f>
        <v>73863.0952380954</v>
      </c>
      <c r="AR57" s="73" t="n">
        <f aca="false">AR54+AR56</f>
        <v>73541.6666666668</v>
      </c>
      <c r="AS57" s="73" t="n">
        <f aca="false">AS54+AS56</f>
        <v>73206.3492063493</v>
      </c>
      <c r="AT57" s="73" t="n">
        <f aca="false">AT54+AT56</f>
        <v>72857.142857143</v>
      </c>
      <c r="AU57" s="73" t="n">
        <f aca="false">AU54+AU56</f>
        <v>72494.0476190478</v>
      </c>
      <c r="AV57" s="73" t="n">
        <f aca="false">AV54+AV56</f>
        <v>72117.0634920636</v>
      </c>
      <c r="AW57" s="73" t="n">
        <f aca="false">AW54+AW56</f>
        <v>71726.1904761906</v>
      </c>
      <c r="AX57" s="73" t="n">
        <f aca="false">AX54+AX56</f>
        <v>71321.4285714287</v>
      </c>
      <c r="AY57" s="73" t="n">
        <f aca="false">AY54+AY56</f>
        <v>70902.7777777779</v>
      </c>
      <c r="AZ57" s="73" t="n">
        <f aca="false">AZ54+AZ56</f>
        <v>70470.2380952382</v>
      </c>
      <c r="BA57" s="73" t="n">
        <f aca="false">BA54+BA56</f>
        <v>70023.8095238096</v>
      </c>
      <c r="BB57" s="73" t="n">
        <f aca="false">BB54+BB56</f>
        <v>69563.4920634922</v>
      </c>
      <c r="BC57" s="73" t="n">
        <f aca="false">BC54+BC56</f>
        <v>69089.2857142858</v>
      </c>
      <c r="BD57" s="73" t="n">
        <f aca="false">BD54+BD56</f>
        <v>68601.1904761906</v>
      </c>
      <c r="BE57" s="73" t="n">
        <f aca="false">BE54+BE56</f>
        <v>68099.2063492064</v>
      </c>
      <c r="BF57" s="73" t="n">
        <f aca="false">BF54+BF56</f>
        <v>67583.3333333334</v>
      </c>
      <c r="BG57" s="73" t="n">
        <f aca="false">BG54+BG56</f>
        <v>67053.5714285715</v>
      </c>
      <c r="BH57" s="73" t="n">
        <f aca="false">BH54+BH56</f>
        <v>66509.9206349207</v>
      </c>
      <c r="BI57" s="73" t="n">
        <f aca="false">BI54+BI56</f>
        <v>65952.380952381</v>
      </c>
      <c r="BJ57" s="73" t="n">
        <f aca="false">BJ54+BJ56</f>
        <v>65380.9523809524</v>
      </c>
    </row>
    <row r="59" customFormat="false" ht="15.75" hidden="false" customHeight="true" outlineLevel="0" collapsed="false">
      <c r="A59" s="7" t="s">
        <v>419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customFormat="false" ht="15" hidden="false" customHeight="false" outlineLevel="0" collapsed="false">
      <c r="A60" s="6" t="s">
        <v>420</v>
      </c>
      <c r="C60" s="67" t="n">
        <f aca="false">0</f>
        <v>0</v>
      </c>
      <c r="D60" s="67" t="n">
        <f aca="false">C63</f>
        <v>80000</v>
      </c>
      <c r="E60" s="67" t="n">
        <f aca="false">D63</f>
        <v>78666.6666666667</v>
      </c>
      <c r="F60" s="67" t="n">
        <f aca="false">E63</f>
        <v>77333.3333333333</v>
      </c>
      <c r="G60" s="67" t="n">
        <f aca="false">F63</f>
        <v>76000</v>
      </c>
      <c r="H60" s="67" t="n">
        <f aca="false">G63</f>
        <v>74666.6666666667</v>
      </c>
      <c r="I60" s="67" t="n">
        <f aca="false">H63</f>
        <v>73333.3333333334</v>
      </c>
      <c r="J60" s="67" t="n">
        <f aca="false">I63</f>
        <v>72000</v>
      </c>
      <c r="K60" s="67" t="n">
        <f aca="false">J63</f>
        <v>70666.6666666667</v>
      </c>
      <c r="L60" s="67" t="n">
        <f aca="false">K63</f>
        <v>69333.3333333334</v>
      </c>
      <c r="M60" s="67" t="n">
        <f aca="false">L63</f>
        <v>68000</v>
      </c>
      <c r="N60" s="67" t="n">
        <f aca="false">M63</f>
        <v>66666.6666666667</v>
      </c>
      <c r="O60" s="67" t="n">
        <f aca="false">N63</f>
        <v>65333.3333333334</v>
      </c>
      <c r="P60" s="67" t="n">
        <f aca="false">O63</f>
        <v>64000</v>
      </c>
      <c r="Q60" s="67" t="n">
        <f aca="false">P63</f>
        <v>62666.6666666667</v>
      </c>
      <c r="R60" s="67" t="n">
        <f aca="false">Q63</f>
        <v>61333.3333333334</v>
      </c>
      <c r="S60" s="67" t="n">
        <f aca="false">R63</f>
        <v>60000</v>
      </c>
      <c r="T60" s="67" t="n">
        <f aca="false">S63</f>
        <v>58666.6666666667</v>
      </c>
      <c r="U60" s="67" t="n">
        <f aca="false">T63</f>
        <v>57333.3333333334</v>
      </c>
      <c r="V60" s="67" t="n">
        <f aca="false">U63</f>
        <v>56000</v>
      </c>
      <c r="W60" s="67" t="n">
        <f aca="false">V63</f>
        <v>54666.6666666667</v>
      </c>
      <c r="X60" s="67" t="n">
        <f aca="false">W63</f>
        <v>53333.3333333334</v>
      </c>
      <c r="Y60" s="67" t="n">
        <f aca="false">X63</f>
        <v>52000</v>
      </c>
      <c r="Z60" s="67" t="n">
        <f aca="false">Y63</f>
        <v>50666.6666666667</v>
      </c>
      <c r="AA60" s="67" t="n">
        <f aca="false">Z63</f>
        <v>49333.3333333334</v>
      </c>
      <c r="AB60" s="67" t="n">
        <f aca="false">AA63</f>
        <v>48000</v>
      </c>
      <c r="AC60" s="67" t="n">
        <f aca="false">AB63</f>
        <v>46666.6666666667</v>
      </c>
      <c r="AD60" s="67" t="n">
        <f aca="false">AC63</f>
        <v>45333.3333333333</v>
      </c>
      <c r="AE60" s="67" t="n">
        <f aca="false">AD63</f>
        <v>44000</v>
      </c>
      <c r="AF60" s="67" t="n">
        <f aca="false">AE63</f>
        <v>42666.6666666667</v>
      </c>
      <c r="AG60" s="67" t="n">
        <f aca="false">AF63</f>
        <v>41333.3333333333</v>
      </c>
      <c r="AH60" s="67" t="n">
        <f aca="false">AG63</f>
        <v>40000</v>
      </c>
      <c r="AI60" s="67" t="n">
        <f aca="false">AH63</f>
        <v>38666.6666666667</v>
      </c>
      <c r="AJ60" s="67" t="n">
        <f aca="false">AI63</f>
        <v>37333.3333333333</v>
      </c>
      <c r="AK60" s="67" t="n">
        <f aca="false">AJ63</f>
        <v>36000</v>
      </c>
      <c r="AL60" s="67" t="n">
        <f aca="false">AK63</f>
        <v>34666.6666666667</v>
      </c>
      <c r="AM60" s="67" t="n">
        <f aca="false">AL63</f>
        <v>33333.3333333333</v>
      </c>
      <c r="AN60" s="67" t="n">
        <f aca="false">AM63</f>
        <v>32000</v>
      </c>
      <c r="AO60" s="67" t="n">
        <f aca="false">AN63</f>
        <v>30666.6666666667</v>
      </c>
      <c r="AP60" s="67" t="n">
        <f aca="false">AO63</f>
        <v>29333.3333333333</v>
      </c>
      <c r="AQ60" s="67" t="n">
        <f aca="false">AP63</f>
        <v>28000</v>
      </c>
      <c r="AR60" s="67" t="n">
        <f aca="false">AQ63</f>
        <v>26666.6666666667</v>
      </c>
      <c r="AS60" s="67" t="n">
        <f aca="false">AR63</f>
        <v>25333.3333333333</v>
      </c>
      <c r="AT60" s="67" t="n">
        <f aca="false">AS63</f>
        <v>24000</v>
      </c>
      <c r="AU60" s="67" t="n">
        <f aca="false">AT63</f>
        <v>22666.6666666667</v>
      </c>
      <c r="AV60" s="67" t="n">
        <f aca="false">AU63</f>
        <v>21333.3333333333</v>
      </c>
      <c r="AW60" s="67" t="n">
        <f aca="false">AV63</f>
        <v>20000</v>
      </c>
      <c r="AX60" s="67" t="n">
        <f aca="false">AW63</f>
        <v>18666.6666666667</v>
      </c>
      <c r="AY60" s="67" t="n">
        <f aca="false">AX63</f>
        <v>17333.3333333333</v>
      </c>
      <c r="AZ60" s="67" t="n">
        <f aca="false">AY63</f>
        <v>16000</v>
      </c>
      <c r="BA60" s="67" t="n">
        <f aca="false">AZ63</f>
        <v>14666.6666666667</v>
      </c>
      <c r="BB60" s="67" t="n">
        <f aca="false">BA63</f>
        <v>13333.3333333333</v>
      </c>
      <c r="BC60" s="67" t="n">
        <f aca="false">BB63</f>
        <v>12000</v>
      </c>
      <c r="BD60" s="67" t="n">
        <f aca="false">BC63</f>
        <v>10666.6666666667</v>
      </c>
      <c r="BE60" s="67" t="n">
        <f aca="false">BD63</f>
        <v>9333.33333333333</v>
      </c>
      <c r="BF60" s="67" t="n">
        <f aca="false">BE63</f>
        <v>8000</v>
      </c>
      <c r="BG60" s="67" t="n">
        <f aca="false">BF63</f>
        <v>6666.66666666667</v>
      </c>
      <c r="BH60" s="67" t="n">
        <f aca="false">BG63</f>
        <v>5333.33333333333</v>
      </c>
      <c r="BI60" s="67" t="n">
        <f aca="false">BH63</f>
        <v>4000</v>
      </c>
      <c r="BJ60" s="67" t="n">
        <f aca="false">BI63</f>
        <v>2666.66666666667</v>
      </c>
    </row>
    <row r="61" customFormat="false" ht="15" hidden="false" customHeight="false" outlineLevel="0" collapsed="false">
      <c r="A61" s="6" t="s">
        <v>85</v>
      </c>
      <c r="C61" s="67" t="n">
        <f aca="false">IF(C$4=1,Inputs!$E$59,0)</f>
        <v>80000</v>
      </c>
      <c r="D61" s="67" t="n">
        <f aca="false">IF(D$4=1,Inputs!$E$59,0)</f>
        <v>0</v>
      </c>
      <c r="E61" s="67" t="n">
        <f aca="false">IF(E$4=1,Inputs!$E$59,0)</f>
        <v>0</v>
      </c>
      <c r="F61" s="67" t="n">
        <f aca="false">IF(F$4=1,Inputs!$E$59,0)</f>
        <v>0</v>
      </c>
      <c r="G61" s="67" t="n">
        <f aca="false">IF(G$4=1,Inputs!$E$59,0)</f>
        <v>0</v>
      </c>
      <c r="H61" s="67" t="n">
        <f aca="false">IF(H$4=1,Inputs!$E$59,0)</f>
        <v>0</v>
      </c>
      <c r="I61" s="67" t="n">
        <f aca="false">IF(I$4=1,Inputs!$E$59,0)</f>
        <v>0</v>
      </c>
      <c r="J61" s="67" t="n">
        <f aca="false">IF(J$4=1,Inputs!$E$59,0)</f>
        <v>0</v>
      </c>
      <c r="K61" s="67" t="n">
        <f aca="false">IF(K$4=1,Inputs!$E$59,0)</f>
        <v>0</v>
      </c>
      <c r="L61" s="67" t="n">
        <f aca="false">IF(L$4=1,Inputs!$E$59,0)</f>
        <v>0</v>
      </c>
      <c r="M61" s="67" t="n">
        <f aca="false">IF(M$4=1,Inputs!$E$59,0)</f>
        <v>0</v>
      </c>
      <c r="N61" s="67" t="n">
        <f aca="false">IF(N$4=1,Inputs!$E$59,0)</f>
        <v>0</v>
      </c>
      <c r="O61" s="67" t="n">
        <f aca="false">IF(O$4=1,Inputs!$E$59,0)</f>
        <v>0</v>
      </c>
      <c r="P61" s="67" t="n">
        <f aca="false">IF(P$4=1,Inputs!$E$59,0)</f>
        <v>0</v>
      </c>
      <c r="Q61" s="67" t="n">
        <f aca="false">IF(Q$4=1,Inputs!$E$59,0)</f>
        <v>0</v>
      </c>
      <c r="R61" s="67" t="n">
        <f aca="false">IF(R$4=1,Inputs!$E$59,0)</f>
        <v>0</v>
      </c>
      <c r="S61" s="67" t="n">
        <f aca="false">IF(S$4=1,Inputs!$E$59,0)</f>
        <v>0</v>
      </c>
      <c r="T61" s="67" t="n">
        <f aca="false">IF(T$4=1,Inputs!$E$59,0)</f>
        <v>0</v>
      </c>
      <c r="U61" s="67" t="n">
        <f aca="false">IF(U$4=1,Inputs!$E$59,0)</f>
        <v>0</v>
      </c>
      <c r="V61" s="67" t="n">
        <f aca="false">IF(V$4=1,Inputs!$E$59,0)</f>
        <v>0</v>
      </c>
      <c r="W61" s="67" t="n">
        <f aca="false">IF(W$4=1,Inputs!$E$59,0)</f>
        <v>0</v>
      </c>
      <c r="X61" s="67" t="n">
        <f aca="false">IF(X$4=1,Inputs!$E$59,0)</f>
        <v>0</v>
      </c>
      <c r="Y61" s="67" t="n">
        <f aca="false">IF(Y$4=1,Inputs!$E$59,0)</f>
        <v>0</v>
      </c>
      <c r="Z61" s="67" t="n">
        <f aca="false">IF(Z$4=1,Inputs!$E$59,0)</f>
        <v>0</v>
      </c>
      <c r="AA61" s="67" t="n">
        <f aca="false">IF(AA$4=1,Inputs!$E$59,0)</f>
        <v>0</v>
      </c>
      <c r="AB61" s="67" t="n">
        <f aca="false">IF(AB$4=1,Inputs!$E$59,0)</f>
        <v>0</v>
      </c>
      <c r="AC61" s="67" t="n">
        <f aca="false">IF(AC$4=1,Inputs!$E$59,0)</f>
        <v>0</v>
      </c>
      <c r="AD61" s="67" t="n">
        <f aca="false">IF(AD$4=1,Inputs!$E$59,0)</f>
        <v>0</v>
      </c>
      <c r="AE61" s="67" t="n">
        <f aca="false">IF(AE$4=1,Inputs!$E$59,0)</f>
        <v>0</v>
      </c>
      <c r="AF61" s="67" t="n">
        <f aca="false">IF(AF$4=1,Inputs!$E$59,0)</f>
        <v>0</v>
      </c>
      <c r="AG61" s="67" t="n">
        <f aca="false">IF(AG$4=1,Inputs!$E$59,0)</f>
        <v>0</v>
      </c>
      <c r="AH61" s="67" t="n">
        <f aca="false">IF(AH$4=1,Inputs!$E$59,0)</f>
        <v>0</v>
      </c>
      <c r="AI61" s="67" t="n">
        <f aca="false">IF(AI$4=1,Inputs!$E$59,0)</f>
        <v>0</v>
      </c>
      <c r="AJ61" s="67" t="n">
        <f aca="false">IF(AJ$4=1,Inputs!$E$59,0)</f>
        <v>0</v>
      </c>
      <c r="AK61" s="67" t="n">
        <f aca="false">IF(AK$4=1,Inputs!$E$59,0)</f>
        <v>0</v>
      </c>
      <c r="AL61" s="67" t="n">
        <f aca="false">IF(AL$4=1,Inputs!$E$59,0)</f>
        <v>0</v>
      </c>
      <c r="AM61" s="67" t="n">
        <f aca="false">IF(AM$4=1,Inputs!$E$59,0)</f>
        <v>0</v>
      </c>
      <c r="AN61" s="67" t="n">
        <f aca="false">IF(AN$4=1,Inputs!$E$59,0)</f>
        <v>0</v>
      </c>
      <c r="AO61" s="67" t="n">
        <f aca="false">IF(AO$4=1,Inputs!$E$59,0)</f>
        <v>0</v>
      </c>
      <c r="AP61" s="67" t="n">
        <f aca="false">IF(AP$4=1,Inputs!$E$59,0)</f>
        <v>0</v>
      </c>
      <c r="AQ61" s="67" t="n">
        <f aca="false">IF(AQ$4=1,Inputs!$E$59,0)</f>
        <v>0</v>
      </c>
      <c r="AR61" s="67" t="n">
        <f aca="false">IF(AR$4=1,Inputs!$E$59,0)</f>
        <v>0</v>
      </c>
      <c r="AS61" s="67" t="n">
        <f aca="false">IF(AS$4=1,Inputs!$E$59,0)</f>
        <v>0</v>
      </c>
      <c r="AT61" s="67" t="n">
        <f aca="false">IF(AT$4=1,Inputs!$E$59,0)</f>
        <v>0</v>
      </c>
      <c r="AU61" s="67" t="n">
        <f aca="false">IF(AU$4=1,Inputs!$E$59,0)</f>
        <v>0</v>
      </c>
      <c r="AV61" s="67" t="n">
        <f aca="false">IF(AV$4=1,Inputs!$E$59,0)</f>
        <v>0</v>
      </c>
      <c r="AW61" s="67" t="n">
        <f aca="false">IF(AW$4=1,Inputs!$E$59,0)</f>
        <v>0</v>
      </c>
      <c r="AX61" s="67" t="n">
        <f aca="false">IF(AX$4=1,Inputs!$E$59,0)</f>
        <v>0</v>
      </c>
      <c r="AY61" s="67" t="n">
        <f aca="false">IF(AY$4=1,Inputs!$E$59,0)</f>
        <v>0</v>
      </c>
      <c r="AZ61" s="67" t="n">
        <f aca="false">IF(AZ$4=1,Inputs!$E$59,0)</f>
        <v>0</v>
      </c>
      <c r="BA61" s="67" t="n">
        <f aca="false">IF(BA$4=1,Inputs!$E$59,0)</f>
        <v>0</v>
      </c>
      <c r="BB61" s="67" t="n">
        <f aca="false">IF(BB$4=1,Inputs!$E$59,0)</f>
        <v>0</v>
      </c>
      <c r="BC61" s="67" t="n">
        <f aca="false">IF(BC$4=1,Inputs!$E$59,0)</f>
        <v>0</v>
      </c>
      <c r="BD61" s="67" t="n">
        <f aca="false">IF(BD$4=1,Inputs!$E$59,0)</f>
        <v>0</v>
      </c>
      <c r="BE61" s="67" t="n">
        <f aca="false">IF(BE$4=1,Inputs!$E$59,0)</f>
        <v>0</v>
      </c>
      <c r="BF61" s="67" t="n">
        <f aca="false">IF(BF$4=1,Inputs!$E$59,0)</f>
        <v>0</v>
      </c>
      <c r="BG61" s="67" t="n">
        <f aca="false">IF(BG$4=1,Inputs!$E$59,0)</f>
        <v>0</v>
      </c>
      <c r="BH61" s="67" t="n">
        <f aca="false">IF(BH$4=1,Inputs!$E$59,0)</f>
        <v>0</v>
      </c>
      <c r="BI61" s="67" t="n">
        <f aca="false">IF(BI$4=1,Inputs!$E$59,0)</f>
        <v>0</v>
      </c>
      <c r="BJ61" s="67" t="n">
        <f aca="false">IF(BJ$4=1,Inputs!$E$59,0)</f>
        <v>0</v>
      </c>
    </row>
    <row r="62" customFormat="false" ht="15" hidden="false" customHeight="false" outlineLevel="0" collapsed="false">
      <c r="A62" s="6" t="s">
        <v>86</v>
      </c>
      <c r="C62" s="67" t="n">
        <f aca="false">-MIN(C60,Inputs!$E$59/MAX(1,Inputs!$E$61*12))</f>
        <v>-0</v>
      </c>
      <c r="D62" s="67" t="n">
        <f aca="false">-MIN(D60,Inputs!$E$59/MAX(1,Inputs!$E$61*12))</f>
        <v>-1333.33333333333</v>
      </c>
      <c r="E62" s="67" t="n">
        <f aca="false">-MIN(E60,Inputs!$E$59/MAX(1,Inputs!$E$61*12))</f>
        <v>-1333.33333333333</v>
      </c>
      <c r="F62" s="67" t="n">
        <f aca="false">-MIN(F60,Inputs!$E$59/MAX(1,Inputs!$E$61*12))</f>
        <v>-1333.33333333333</v>
      </c>
      <c r="G62" s="67" t="n">
        <f aca="false">-MIN(G60,Inputs!$E$59/MAX(1,Inputs!$E$61*12))</f>
        <v>-1333.33333333333</v>
      </c>
      <c r="H62" s="67" t="n">
        <f aca="false">-MIN(H60,Inputs!$E$59/MAX(1,Inputs!$E$61*12))</f>
        <v>-1333.33333333333</v>
      </c>
      <c r="I62" s="67" t="n">
        <f aca="false">-MIN(I60,Inputs!$E$59/MAX(1,Inputs!$E$61*12))</f>
        <v>-1333.33333333333</v>
      </c>
      <c r="J62" s="67" t="n">
        <f aca="false">-MIN(J60,Inputs!$E$59/MAX(1,Inputs!$E$61*12))</f>
        <v>-1333.33333333333</v>
      </c>
      <c r="K62" s="67" t="n">
        <f aca="false">-MIN(K60,Inputs!$E$59/MAX(1,Inputs!$E$61*12))</f>
        <v>-1333.33333333333</v>
      </c>
      <c r="L62" s="67" t="n">
        <f aca="false">-MIN(L60,Inputs!$E$59/MAX(1,Inputs!$E$61*12))</f>
        <v>-1333.33333333333</v>
      </c>
      <c r="M62" s="67" t="n">
        <f aca="false">-MIN(M60,Inputs!$E$59/MAX(1,Inputs!$E$61*12))</f>
        <v>-1333.33333333333</v>
      </c>
      <c r="N62" s="67" t="n">
        <f aca="false">-MIN(N60,Inputs!$E$59/MAX(1,Inputs!$E$61*12))</f>
        <v>-1333.33333333333</v>
      </c>
      <c r="O62" s="67" t="n">
        <f aca="false">-MIN(O60,Inputs!$E$59/MAX(1,Inputs!$E$61*12))</f>
        <v>-1333.33333333333</v>
      </c>
      <c r="P62" s="67" t="n">
        <f aca="false">-MIN(P60,Inputs!$E$59/MAX(1,Inputs!$E$61*12))</f>
        <v>-1333.33333333333</v>
      </c>
      <c r="Q62" s="67" t="n">
        <f aca="false">-MIN(Q60,Inputs!$E$59/MAX(1,Inputs!$E$61*12))</f>
        <v>-1333.33333333333</v>
      </c>
      <c r="R62" s="67" t="n">
        <f aca="false">-MIN(R60,Inputs!$E$59/MAX(1,Inputs!$E$61*12))</f>
        <v>-1333.33333333333</v>
      </c>
      <c r="S62" s="67" t="n">
        <f aca="false">-MIN(S60,Inputs!$E$59/MAX(1,Inputs!$E$61*12))</f>
        <v>-1333.33333333333</v>
      </c>
      <c r="T62" s="67" t="n">
        <f aca="false">-MIN(T60,Inputs!$E$59/MAX(1,Inputs!$E$61*12))</f>
        <v>-1333.33333333333</v>
      </c>
      <c r="U62" s="67" t="n">
        <f aca="false">-MIN(U60,Inputs!$E$59/MAX(1,Inputs!$E$61*12))</f>
        <v>-1333.33333333333</v>
      </c>
      <c r="V62" s="67" t="n">
        <f aca="false">-MIN(V60,Inputs!$E$59/MAX(1,Inputs!$E$61*12))</f>
        <v>-1333.33333333333</v>
      </c>
      <c r="W62" s="67" t="n">
        <f aca="false">-MIN(W60,Inputs!$E$59/MAX(1,Inputs!$E$61*12))</f>
        <v>-1333.33333333333</v>
      </c>
      <c r="X62" s="67" t="n">
        <f aca="false">-MIN(X60,Inputs!$E$59/MAX(1,Inputs!$E$61*12))</f>
        <v>-1333.33333333333</v>
      </c>
      <c r="Y62" s="67" t="n">
        <f aca="false">-MIN(Y60,Inputs!$E$59/MAX(1,Inputs!$E$61*12))</f>
        <v>-1333.33333333333</v>
      </c>
      <c r="Z62" s="67" t="n">
        <f aca="false">-MIN(Z60,Inputs!$E$59/MAX(1,Inputs!$E$61*12))</f>
        <v>-1333.33333333333</v>
      </c>
      <c r="AA62" s="67" t="n">
        <f aca="false">-MIN(AA60,Inputs!$E$59/MAX(1,Inputs!$E$61*12))</f>
        <v>-1333.33333333333</v>
      </c>
      <c r="AB62" s="67" t="n">
        <f aca="false">-MIN(AB60,Inputs!$E$59/MAX(1,Inputs!$E$61*12))</f>
        <v>-1333.33333333333</v>
      </c>
      <c r="AC62" s="67" t="n">
        <f aca="false">-MIN(AC60,Inputs!$E$59/MAX(1,Inputs!$E$61*12))</f>
        <v>-1333.33333333333</v>
      </c>
      <c r="AD62" s="67" t="n">
        <f aca="false">-MIN(AD60,Inputs!$E$59/MAX(1,Inputs!$E$61*12))</f>
        <v>-1333.33333333333</v>
      </c>
      <c r="AE62" s="67" t="n">
        <f aca="false">-MIN(AE60,Inputs!$E$59/MAX(1,Inputs!$E$61*12))</f>
        <v>-1333.33333333333</v>
      </c>
      <c r="AF62" s="67" t="n">
        <f aca="false">-MIN(AF60,Inputs!$E$59/MAX(1,Inputs!$E$61*12))</f>
        <v>-1333.33333333333</v>
      </c>
      <c r="AG62" s="67" t="n">
        <f aca="false">-MIN(AG60,Inputs!$E$59/MAX(1,Inputs!$E$61*12))</f>
        <v>-1333.33333333333</v>
      </c>
      <c r="AH62" s="67" t="n">
        <f aca="false">-MIN(AH60,Inputs!$E$59/MAX(1,Inputs!$E$61*12))</f>
        <v>-1333.33333333333</v>
      </c>
      <c r="AI62" s="67" t="n">
        <f aca="false">-MIN(AI60,Inputs!$E$59/MAX(1,Inputs!$E$61*12))</f>
        <v>-1333.33333333333</v>
      </c>
      <c r="AJ62" s="67" t="n">
        <f aca="false">-MIN(AJ60,Inputs!$E$59/MAX(1,Inputs!$E$61*12))</f>
        <v>-1333.33333333333</v>
      </c>
      <c r="AK62" s="67" t="n">
        <f aca="false">-MIN(AK60,Inputs!$E$59/MAX(1,Inputs!$E$61*12))</f>
        <v>-1333.33333333333</v>
      </c>
      <c r="AL62" s="67" t="n">
        <f aca="false">-MIN(AL60,Inputs!$E$59/MAX(1,Inputs!$E$61*12))</f>
        <v>-1333.33333333333</v>
      </c>
      <c r="AM62" s="67" t="n">
        <f aca="false">-MIN(AM60,Inputs!$E$59/MAX(1,Inputs!$E$61*12))</f>
        <v>-1333.33333333333</v>
      </c>
      <c r="AN62" s="67" t="n">
        <f aca="false">-MIN(AN60,Inputs!$E$59/MAX(1,Inputs!$E$61*12))</f>
        <v>-1333.33333333333</v>
      </c>
      <c r="AO62" s="67" t="n">
        <f aca="false">-MIN(AO60,Inputs!$E$59/MAX(1,Inputs!$E$61*12))</f>
        <v>-1333.33333333333</v>
      </c>
      <c r="AP62" s="67" t="n">
        <f aca="false">-MIN(AP60,Inputs!$E$59/MAX(1,Inputs!$E$61*12))</f>
        <v>-1333.33333333333</v>
      </c>
      <c r="AQ62" s="67" t="n">
        <f aca="false">-MIN(AQ60,Inputs!$E$59/MAX(1,Inputs!$E$61*12))</f>
        <v>-1333.33333333333</v>
      </c>
      <c r="AR62" s="67" t="n">
        <f aca="false">-MIN(AR60,Inputs!$E$59/MAX(1,Inputs!$E$61*12))</f>
        <v>-1333.33333333333</v>
      </c>
      <c r="AS62" s="67" t="n">
        <f aca="false">-MIN(AS60,Inputs!$E$59/MAX(1,Inputs!$E$61*12))</f>
        <v>-1333.33333333333</v>
      </c>
      <c r="AT62" s="67" t="n">
        <f aca="false">-MIN(AT60,Inputs!$E$59/MAX(1,Inputs!$E$61*12))</f>
        <v>-1333.33333333333</v>
      </c>
      <c r="AU62" s="67" t="n">
        <f aca="false">-MIN(AU60,Inputs!$E$59/MAX(1,Inputs!$E$61*12))</f>
        <v>-1333.33333333333</v>
      </c>
      <c r="AV62" s="67" t="n">
        <f aca="false">-MIN(AV60,Inputs!$E$59/MAX(1,Inputs!$E$61*12))</f>
        <v>-1333.33333333333</v>
      </c>
      <c r="AW62" s="67" t="n">
        <f aca="false">-MIN(AW60,Inputs!$E$59/MAX(1,Inputs!$E$61*12))</f>
        <v>-1333.33333333333</v>
      </c>
      <c r="AX62" s="67" t="n">
        <f aca="false">-MIN(AX60,Inputs!$E$59/MAX(1,Inputs!$E$61*12))</f>
        <v>-1333.33333333333</v>
      </c>
      <c r="AY62" s="67" t="n">
        <f aca="false">-MIN(AY60,Inputs!$E$59/MAX(1,Inputs!$E$61*12))</f>
        <v>-1333.33333333333</v>
      </c>
      <c r="AZ62" s="67" t="n">
        <f aca="false">-MIN(AZ60,Inputs!$E$59/MAX(1,Inputs!$E$61*12))</f>
        <v>-1333.33333333333</v>
      </c>
      <c r="BA62" s="67" t="n">
        <f aca="false">-MIN(BA60,Inputs!$E$59/MAX(1,Inputs!$E$61*12))</f>
        <v>-1333.33333333333</v>
      </c>
      <c r="BB62" s="67" t="n">
        <f aca="false">-MIN(BB60,Inputs!$E$59/MAX(1,Inputs!$E$61*12))</f>
        <v>-1333.33333333333</v>
      </c>
      <c r="BC62" s="67" t="n">
        <f aca="false">-MIN(BC60,Inputs!$E$59/MAX(1,Inputs!$E$61*12))</f>
        <v>-1333.33333333333</v>
      </c>
      <c r="BD62" s="67" t="n">
        <f aca="false">-MIN(BD60,Inputs!$E$59/MAX(1,Inputs!$E$61*12))</f>
        <v>-1333.33333333333</v>
      </c>
      <c r="BE62" s="67" t="n">
        <f aca="false">-MIN(BE60,Inputs!$E$59/MAX(1,Inputs!$E$61*12))</f>
        <v>-1333.33333333333</v>
      </c>
      <c r="BF62" s="67" t="n">
        <f aca="false">-MIN(BF60,Inputs!$E$59/MAX(1,Inputs!$E$61*12))</f>
        <v>-1333.33333333333</v>
      </c>
      <c r="BG62" s="67" t="n">
        <f aca="false">-MIN(BG60,Inputs!$E$59/MAX(1,Inputs!$E$61*12))</f>
        <v>-1333.33333333333</v>
      </c>
      <c r="BH62" s="67" t="n">
        <f aca="false">-MIN(BH60,Inputs!$E$59/MAX(1,Inputs!$E$61*12))</f>
        <v>-1333.33333333333</v>
      </c>
      <c r="BI62" s="67" t="n">
        <f aca="false">-MIN(BI60,Inputs!$E$59/MAX(1,Inputs!$E$61*12))</f>
        <v>-1333.33333333333</v>
      </c>
      <c r="BJ62" s="67" t="n">
        <f aca="false">-MIN(BJ60,Inputs!$E$59/MAX(1,Inputs!$E$61*12))</f>
        <v>-1333.33333333333</v>
      </c>
    </row>
    <row r="63" customFormat="false" ht="15" hidden="false" customHeight="false" outlineLevel="0" collapsed="false">
      <c r="A63" s="4" t="s">
        <v>421</v>
      </c>
      <c r="C63" s="73" t="n">
        <f aca="false">C60+C61+C62</f>
        <v>80000</v>
      </c>
      <c r="D63" s="73" t="n">
        <f aca="false">D60+D61+D62</f>
        <v>78666.6666666667</v>
      </c>
      <c r="E63" s="73" t="n">
        <f aca="false">E60+E61+E62</f>
        <v>77333.3333333333</v>
      </c>
      <c r="F63" s="73" t="n">
        <f aca="false">F60+F61+F62</f>
        <v>76000</v>
      </c>
      <c r="G63" s="73" t="n">
        <f aca="false">G60+G61+G62</f>
        <v>74666.6666666667</v>
      </c>
      <c r="H63" s="73" t="n">
        <f aca="false">H60+H61+H62</f>
        <v>73333.3333333334</v>
      </c>
      <c r="I63" s="73" t="n">
        <f aca="false">I60+I61+I62</f>
        <v>72000</v>
      </c>
      <c r="J63" s="73" t="n">
        <f aca="false">J60+J61+J62</f>
        <v>70666.6666666667</v>
      </c>
      <c r="K63" s="73" t="n">
        <f aca="false">K60+K61+K62</f>
        <v>69333.3333333334</v>
      </c>
      <c r="L63" s="73" t="n">
        <f aca="false">L60+L61+L62</f>
        <v>68000</v>
      </c>
      <c r="M63" s="73" t="n">
        <f aca="false">M60+M61+M62</f>
        <v>66666.6666666667</v>
      </c>
      <c r="N63" s="73" t="n">
        <f aca="false">N60+N61+N62</f>
        <v>65333.3333333334</v>
      </c>
      <c r="O63" s="73" t="n">
        <f aca="false">O60+O61+O62</f>
        <v>64000</v>
      </c>
      <c r="P63" s="73" t="n">
        <f aca="false">P60+P61+P62</f>
        <v>62666.6666666667</v>
      </c>
      <c r="Q63" s="73" t="n">
        <f aca="false">Q60+Q61+Q62</f>
        <v>61333.3333333334</v>
      </c>
      <c r="R63" s="73" t="n">
        <f aca="false">R60+R61+R62</f>
        <v>60000</v>
      </c>
      <c r="S63" s="73" t="n">
        <f aca="false">S60+S61+S62</f>
        <v>58666.6666666667</v>
      </c>
      <c r="T63" s="73" t="n">
        <f aca="false">T60+T61+T62</f>
        <v>57333.3333333334</v>
      </c>
      <c r="U63" s="73" t="n">
        <f aca="false">U60+U61+U62</f>
        <v>56000</v>
      </c>
      <c r="V63" s="73" t="n">
        <f aca="false">V60+V61+V62</f>
        <v>54666.6666666667</v>
      </c>
      <c r="W63" s="73" t="n">
        <f aca="false">W60+W61+W62</f>
        <v>53333.3333333334</v>
      </c>
      <c r="X63" s="73" t="n">
        <f aca="false">X60+X61+X62</f>
        <v>52000</v>
      </c>
      <c r="Y63" s="73" t="n">
        <f aca="false">Y60+Y61+Y62</f>
        <v>50666.6666666667</v>
      </c>
      <c r="Z63" s="73" t="n">
        <f aca="false">Z60+Z61+Z62</f>
        <v>49333.3333333334</v>
      </c>
      <c r="AA63" s="73" t="n">
        <f aca="false">AA60+AA61+AA62</f>
        <v>48000</v>
      </c>
      <c r="AB63" s="73" t="n">
        <f aca="false">AB60+AB61+AB62</f>
        <v>46666.6666666667</v>
      </c>
      <c r="AC63" s="73" t="n">
        <f aca="false">AC60+AC61+AC62</f>
        <v>45333.3333333333</v>
      </c>
      <c r="AD63" s="73" t="n">
        <f aca="false">AD60+AD61+AD62</f>
        <v>44000</v>
      </c>
      <c r="AE63" s="73" t="n">
        <f aca="false">AE60+AE61+AE62</f>
        <v>42666.6666666667</v>
      </c>
      <c r="AF63" s="73" t="n">
        <f aca="false">AF60+AF61+AF62</f>
        <v>41333.3333333333</v>
      </c>
      <c r="AG63" s="73" t="n">
        <f aca="false">AG60+AG61+AG62</f>
        <v>40000</v>
      </c>
      <c r="AH63" s="73" t="n">
        <f aca="false">AH60+AH61+AH62</f>
        <v>38666.6666666667</v>
      </c>
      <c r="AI63" s="73" t="n">
        <f aca="false">AI60+AI61+AI62</f>
        <v>37333.3333333333</v>
      </c>
      <c r="AJ63" s="73" t="n">
        <f aca="false">AJ60+AJ61+AJ62</f>
        <v>36000</v>
      </c>
      <c r="AK63" s="73" t="n">
        <f aca="false">AK60+AK61+AK62</f>
        <v>34666.6666666667</v>
      </c>
      <c r="AL63" s="73" t="n">
        <f aca="false">AL60+AL61+AL62</f>
        <v>33333.3333333333</v>
      </c>
      <c r="AM63" s="73" t="n">
        <f aca="false">AM60+AM61+AM62</f>
        <v>32000</v>
      </c>
      <c r="AN63" s="73" t="n">
        <f aca="false">AN60+AN61+AN62</f>
        <v>30666.6666666667</v>
      </c>
      <c r="AO63" s="73" t="n">
        <f aca="false">AO60+AO61+AO62</f>
        <v>29333.3333333333</v>
      </c>
      <c r="AP63" s="73" t="n">
        <f aca="false">AP60+AP61+AP62</f>
        <v>28000</v>
      </c>
      <c r="AQ63" s="73" t="n">
        <f aca="false">AQ60+AQ61+AQ62</f>
        <v>26666.6666666667</v>
      </c>
      <c r="AR63" s="73" t="n">
        <f aca="false">AR60+AR61+AR62</f>
        <v>25333.3333333333</v>
      </c>
      <c r="AS63" s="73" t="n">
        <f aca="false">AS60+AS61+AS62</f>
        <v>24000</v>
      </c>
      <c r="AT63" s="73" t="n">
        <f aca="false">AT60+AT61+AT62</f>
        <v>22666.6666666667</v>
      </c>
      <c r="AU63" s="73" t="n">
        <f aca="false">AU60+AU61+AU62</f>
        <v>21333.3333333333</v>
      </c>
      <c r="AV63" s="73" t="n">
        <f aca="false">AV60+AV61+AV62</f>
        <v>20000</v>
      </c>
      <c r="AW63" s="73" t="n">
        <f aca="false">AW60+AW61+AW62</f>
        <v>18666.6666666667</v>
      </c>
      <c r="AX63" s="73" t="n">
        <f aca="false">AX60+AX61+AX62</f>
        <v>17333.3333333333</v>
      </c>
      <c r="AY63" s="73" t="n">
        <f aca="false">AY60+AY61+AY62</f>
        <v>16000</v>
      </c>
      <c r="AZ63" s="73" t="n">
        <f aca="false">AZ60+AZ61+AZ62</f>
        <v>14666.6666666667</v>
      </c>
      <c r="BA63" s="73" t="n">
        <f aca="false">BA60+BA61+BA62</f>
        <v>13333.3333333333</v>
      </c>
      <c r="BB63" s="73" t="n">
        <f aca="false">BB60+BB61+BB62</f>
        <v>12000</v>
      </c>
      <c r="BC63" s="73" t="n">
        <f aca="false">BC60+BC61+BC62</f>
        <v>10666.6666666667</v>
      </c>
      <c r="BD63" s="73" t="n">
        <f aca="false">BD60+BD61+BD62</f>
        <v>9333.33333333333</v>
      </c>
      <c r="BE63" s="73" t="n">
        <f aca="false">BE60+BE61+BE62</f>
        <v>8000</v>
      </c>
      <c r="BF63" s="73" t="n">
        <f aca="false">BF60+BF61+BF62</f>
        <v>6666.66666666667</v>
      </c>
      <c r="BG63" s="73" t="n">
        <f aca="false">BG60+BG61+BG62</f>
        <v>5333.33333333333</v>
      </c>
      <c r="BH63" s="73" t="n">
        <f aca="false">BH60+BH61+BH62</f>
        <v>4000</v>
      </c>
      <c r="BI63" s="73" t="n">
        <f aca="false">BI60+BI61+BI62</f>
        <v>2666.66666666667</v>
      </c>
      <c r="BJ63" s="73" t="n">
        <f aca="false">BJ60+BJ61+BJ62</f>
        <v>1333.33333333333</v>
      </c>
    </row>
    <row r="65" customFormat="false" ht="15.75" hidden="false" customHeight="true" outlineLevel="0" collapsed="false">
      <c r="A65" s="7" t="s">
        <v>307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customFormat="false" ht="15" hidden="false" customHeight="false" outlineLevel="0" collapsed="false">
      <c r="A66" s="6" t="s">
        <v>90</v>
      </c>
      <c r="C66" s="67" t="n">
        <f aca="false">C22*Inputs!$E$64/30</f>
        <v>34794.24</v>
      </c>
      <c r="D66" s="67" t="n">
        <f aca="false">D22*Inputs!$E$64/30</f>
        <v>36791.04</v>
      </c>
      <c r="E66" s="67" t="n">
        <f aca="false">E22*Inputs!$E$64/30</f>
        <v>38787.84</v>
      </c>
      <c r="F66" s="67" t="n">
        <f aca="false">F22*Inputs!$E$64/30</f>
        <v>38787.84</v>
      </c>
      <c r="G66" s="67" t="n">
        <f aca="false">G22*Inputs!$E$64/30</f>
        <v>38787.84</v>
      </c>
      <c r="H66" s="67" t="n">
        <f aca="false">H22*Inputs!$E$64/30</f>
        <v>38787.84</v>
      </c>
      <c r="I66" s="67" t="n">
        <f aca="false">I22*Inputs!$E$64/30</f>
        <v>38787.84</v>
      </c>
      <c r="J66" s="67" t="n">
        <f aca="false">J22*Inputs!$E$64/30</f>
        <v>38787.84</v>
      </c>
      <c r="K66" s="67" t="n">
        <f aca="false">K22*Inputs!$E$64/30</f>
        <v>38787.84</v>
      </c>
      <c r="L66" s="67" t="n">
        <f aca="false">L22*Inputs!$E$64/30</f>
        <v>38787.84</v>
      </c>
      <c r="M66" s="67" t="n">
        <f aca="false">M22*Inputs!$E$64/30</f>
        <v>45676.8</v>
      </c>
      <c r="N66" s="67" t="n">
        <f aca="false">N22*Inputs!$E$64/30</f>
        <v>45676.8</v>
      </c>
      <c r="O66" s="67" t="n">
        <f aca="false">O22*Inputs!$E$64/30</f>
        <v>42191.225856</v>
      </c>
      <c r="P66" s="67" t="n">
        <f aca="false">P22*Inputs!$E$64/30</f>
        <v>42191.225856</v>
      </c>
      <c r="Q66" s="67" t="n">
        <f aca="false">Q22*Inputs!$E$64/30</f>
        <v>42191.225856</v>
      </c>
      <c r="R66" s="67" t="n">
        <f aca="false">R22*Inputs!$E$64/30</f>
        <v>42191.225856</v>
      </c>
      <c r="S66" s="67" t="n">
        <f aca="false">S22*Inputs!$E$64/30</f>
        <v>42191.225856</v>
      </c>
      <c r="T66" s="67" t="n">
        <f aca="false">T22*Inputs!$E$64/30</f>
        <v>42191.225856</v>
      </c>
      <c r="U66" s="67" t="n">
        <f aca="false">U22*Inputs!$E$64/30</f>
        <v>42191.225856</v>
      </c>
      <c r="V66" s="67" t="n">
        <f aca="false">V22*Inputs!$E$64/30</f>
        <v>42191.225856</v>
      </c>
      <c r="W66" s="67" t="n">
        <f aca="false">W22*Inputs!$E$64/30</f>
        <v>42191.225856</v>
      </c>
      <c r="X66" s="67" t="n">
        <f aca="false">X22*Inputs!$E$64/30</f>
        <v>42191.225856</v>
      </c>
      <c r="Y66" s="67" t="n">
        <f aca="false">Y22*Inputs!$E$64/30</f>
        <v>49499.72352</v>
      </c>
      <c r="Z66" s="67" t="n">
        <f aca="false">Z22*Inputs!$E$64/30</f>
        <v>49499.72352</v>
      </c>
      <c r="AA66" s="67" t="n">
        <f aca="false">AA22*Inputs!$E$64/30</f>
        <v>45961.8072136704</v>
      </c>
      <c r="AB66" s="67" t="n">
        <f aca="false">AB22*Inputs!$E$64/30</f>
        <v>45961.8072136704</v>
      </c>
      <c r="AC66" s="67" t="n">
        <f aca="false">AC22*Inputs!$E$64/30</f>
        <v>45961.8072136704</v>
      </c>
      <c r="AD66" s="67" t="n">
        <f aca="false">AD22*Inputs!$E$64/30</f>
        <v>45961.8072136704</v>
      </c>
      <c r="AE66" s="67" t="n">
        <f aca="false">AE22*Inputs!$E$64/30</f>
        <v>45961.8072136704</v>
      </c>
      <c r="AF66" s="67" t="n">
        <f aca="false">AF22*Inputs!$E$64/30</f>
        <v>45961.8072136704</v>
      </c>
      <c r="AG66" s="67" t="n">
        <f aca="false">AG22*Inputs!$E$64/30</f>
        <v>45961.8072136704</v>
      </c>
      <c r="AH66" s="67" t="n">
        <f aca="false">AH22*Inputs!$E$64/30</f>
        <v>45961.8072136704</v>
      </c>
      <c r="AI66" s="67" t="n">
        <f aca="false">AI22*Inputs!$E$64/30</f>
        <v>45961.8072136704</v>
      </c>
      <c r="AJ66" s="67" t="n">
        <f aca="false">AJ22*Inputs!$E$64/30</f>
        <v>45961.8072136704</v>
      </c>
      <c r="AK66" s="67" t="n">
        <f aca="false">AK22*Inputs!$E$64/30</f>
        <v>53715.392385408</v>
      </c>
      <c r="AL66" s="67" t="n">
        <f aca="false">AL22*Inputs!$E$64/30</f>
        <v>53715.392385408</v>
      </c>
      <c r="AM66" s="67" t="n">
        <f aca="false">AM22*Inputs!$E$64/30</f>
        <v>50146.5114200099</v>
      </c>
      <c r="AN66" s="67" t="n">
        <f aca="false">AN22*Inputs!$E$64/30</f>
        <v>50146.5114200099</v>
      </c>
      <c r="AO66" s="67" t="n">
        <f aca="false">AO22*Inputs!$E$64/30</f>
        <v>50146.5114200099</v>
      </c>
      <c r="AP66" s="67" t="n">
        <f aca="false">AP22*Inputs!$E$64/30</f>
        <v>50146.5114200099</v>
      </c>
      <c r="AQ66" s="67" t="n">
        <f aca="false">AQ22*Inputs!$E$64/30</f>
        <v>50146.5114200099</v>
      </c>
      <c r="AR66" s="67" t="n">
        <f aca="false">AR22*Inputs!$E$64/30</f>
        <v>50146.5114200099</v>
      </c>
      <c r="AS66" s="67" t="n">
        <f aca="false">AS22*Inputs!$E$64/30</f>
        <v>50146.5114200099</v>
      </c>
      <c r="AT66" s="67" t="n">
        <f aca="false">AT22*Inputs!$E$64/30</f>
        <v>50146.5114200099</v>
      </c>
      <c r="AU66" s="67" t="n">
        <f aca="false">AU22*Inputs!$E$64/30</f>
        <v>50146.5114200099</v>
      </c>
      <c r="AV66" s="67" t="n">
        <f aca="false">AV22*Inputs!$E$64/30</f>
        <v>50146.5114200099</v>
      </c>
      <c r="AW66" s="67" t="n">
        <f aca="false">AW22*Inputs!$E$64/30</f>
        <v>58372.2899287063</v>
      </c>
      <c r="AX66" s="67" t="n">
        <f aca="false">AX22*Inputs!$E$64/30</f>
        <v>58372.2899287063</v>
      </c>
      <c r="AY66" s="67" t="n">
        <f aca="false">AY22*Inputs!$E$64/30</f>
        <v>54798.8969030988</v>
      </c>
      <c r="AZ66" s="67" t="n">
        <f aca="false">AZ22*Inputs!$E$64/30</f>
        <v>54798.8969030988</v>
      </c>
      <c r="BA66" s="67" t="n">
        <f aca="false">BA22*Inputs!$E$64/30</f>
        <v>54798.8969030988</v>
      </c>
      <c r="BB66" s="67" t="n">
        <f aca="false">BB22*Inputs!$E$64/30</f>
        <v>54798.8969030988</v>
      </c>
      <c r="BC66" s="67" t="n">
        <f aca="false">BC22*Inputs!$E$64/30</f>
        <v>54798.8969030988</v>
      </c>
      <c r="BD66" s="67" t="n">
        <f aca="false">BD22*Inputs!$E$64/30</f>
        <v>54798.8969030988</v>
      </c>
      <c r="BE66" s="67" t="n">
        <f aca="false">BE22*Inputs!$E$64/30</f>
        <v>54798.8969030988</v>
      </c>
      <c r="BF66" s="67" t="n">
        <f aca="false">BF22*Inputs!$E$64/30</f>
        <v>54798.8969030988</v>
      </c>
      <c r="BG66" s="67" t="n">
        <f aca="false">BG22*Inputs!$E$64/30</f>
        <v>54798.8969030988</v>
      </c>
      <c r="BH66" s="67" t="n">
        <f aca="false">BH22*Inputs!$E$64/30</f>
        <v>54798.8969030988</v>
      </c>
      <c r="BI66" s="67" t="n">
        <f aca="false">BI22*Inputs!$E$64/30</f>
        <v>63525.6253229748</v>
      </c>
      <c r="BJ66" s="67" t="n">
        <f aca="false">BJ22*Inputs!$E$64/30</f>
        <v>63525.6253229748</v>
      </c>
    </row>
    <row r="67" customFormat="false" ht="15" hidden="false" customHeight="false" outlineLevel="0" collapsed="false">
      <c r="A67" s="6" t="s">
        <v>91</v>
      </c>
      <c r="C67" s="67" t="n">
        <f aca="false">-C28*Inputs!$E$65/30</f>
        <v>3688.04937142857</v>
      </c>
      <c r="D67" s="67" t="n">
        <f aca="false">-D28*Inputs!$E$65/30</f>
        <v>3899.2928</v>
      </c>
      <c r="E67" s="67" t="n">
        <f aca="false">-E28*Inputs!$E$65/30</f>
        <v>4110.53622857143</v>
      </c>
      <c r="F67" s="67" t="n">
        <f aca="false">-F28*Inputs!$E$65/30</f>
        <v>4110.53622857143</v>
      </c>
      <c r="G67" s="67" t="n">
        <f aca="false">-G28*Inputs!$E$65/30</f>
        <v>4110.53622857143</v>
      </c>
      <c r="H67" s="67" t="n">
        <f aca="false">-H28*Inputs!$E$65/30</f>
        <v>4110.53622857143</v>
      </c>
      <c r="I67" s="67" t="n">
        <f aca="false">-I28*Inputs!$E$65/30</f>
        <v>4110.53622857143</v>
      </c>
      <c r="J67" s="67" t="n">
        <f aca="false">-J28*Inputs!$E$65/30</f>
        <v>4110.53622857143</v>
      </c>
      <c r="K67" s="67" t="n">
        <f aca="false">-K28*Inputs!$E$65/30</f>
        <v>4110.53622857143</v>
      </c>
      <c r="L67" s="67" t="n">
        <f aca="false">-L28*Inputs!$E$65/30</f>
        <v>4110.53622857143</v>
      </c>
      <c r="M67" s="67" t="n">
        <f aca="false">-M28*Inputs!$E$65/30</f>
        <v>4796.53028571429</v>
      </c>
      <c r="N67" s="67" t="n">
        <f aca="false">-N28*Inputs!$E$65/30</f>
        <v>4796.53028571429</v>
      </c>
      <c r="O67" s="67" t="n">
        <f aca="false">-O28*Inputs!$E$65/30</f>
        <v>4487.54799689143</v>
      </c>
      <c r="P67" s="67" t="n">
        <f aca="false">-P28*Inputs!$E$65/30</f>
        <v>4487.54799689143</v>
      </c>
      <c r="Q67" s="67" t="n">
        <f aca="false">-Q28*Inputs!$E$65/30</f>
        <v>4487.54799689143</v>
      </c>
      <c r="R67" s="67" t="n">
        <f aca="false">-R28*Inputs!$E$65/30</f>
        <v>4487.54799689143</v>
      </c>
      <c r="S67" s="67" t="n">
        <f aca="false">-S28*Inputs!$E$65/30</f>
        <v>4487.54799689143</v>
      </c>
      <c r="T67" s="67" t="n">
        <f aca="false">-T28*Inputs!$E$65/30</f>
        <v>4487.54799689143</v>
      </c>
      <c r="U67" s="67" t="n">
        <f aca="false">-U28*Inputs!$E$65/30</f>
        <v>4487.54799689143</v>
      </c>
      <c r="V67" s="67" t="n">
        <f aca="false">-V28*Inputs!$E$65/30</f>
        <v>4487.54799689143</v>
      </c>
      <c r="W67" s="67" t="n">
        <f aca="false">-W28*Inputs!$E$65/30</f>
        <v>4487.54799689143</v>
      </c>
      <c r="X67" s="67" t="n">
        <f aca="false">-X28*Inputs!$E$65/30</f>
        <v>4487.54799689143</v>
      </c>
      <c r="Y67" s="67" t="n">
        <f aca="false">-Y28*Inputs!$E$65/30</f>
        <v>5215.31909211429</v>
      </c>
      <c r="Z67" s="67" t="n">
        <f aca="false">-Z28*Inputs!$E$65/30</f>
        <v>5215.31909211429</v>
      </c>
      <c r="AA67" s="67" t="n">
        <f aca="false">-AA28*Inputs!$E$65/30</f>
        <v>4906.97784710532</v>
      </c>
      <c r="AB67" s="67" t="n">
        <f aca="false">-AB28*Inputs!$E$65/30</f>
        <v>4906.97784710532</v>
      </c>
      <c r="AC67" s="67" t="n">
        <f aca="false">-AC28*Inputs!$E$65/30</f>
        <v>4906.97784710532</v>
      </c>
      <c r="AD67" s="67" t="n">
        <f aca="false">-AD28*Inputs!$E$65/30</f>
        <v>4906.97784710532</v>
      </c>
      <c r="AE67" s="67" t="n">
        <f aca="false">-AE28*Inputs!$E$65/30</f>
        <v>4906.97784710532</v>
      </c>
      <c r="AF67" s="67" t="n">
        <f aca="false">-AF28*Inputs!$E$65/30</f>
        <v>4906.97784710532</v>
      </c>
      <c r="AG67" s="67" t="n">
        <f aca="false">-AG28*Inputs!$E$65/30</f>
        <v>4906.97784710532</v>
      </c>
      <c r="AH67" s="67" t="n">
        <f aca="false">-AH28*Inputs!$E$65/30</f>
        <v>4906.97784710532</v>
      </c>
      <c r="AI67" s="67" t="n">
        <f aca="false">-AI28*Inputs!$E$65/30</f>
        <v>4906.97784710532</v>
      </c>
      <c r="AJ67" s="67" t="n">
        <f aca="false">-AJ28*Inputs!$E$65/30</f>
        <v>4906.97784710532</v>
      </c>
      <c r="AK67" s="67" t="n">
        <f aca="false">-AK28*Inputs!$E$65/30</f>
        <v>5679.07020202725</v>
      </c>
      <c r="AL67" s="67" t="n">
        <f aca="false">-AL28*Inputs!$E$65/30</f>
        <v>5679.07020202725</v>
      </c>
      <c r="AM67" s="67" t="n">
        <f aca="false">-AM28*Inputs!$E$65/30</f>
        <v>5374.39779921564</v>
      </c>
      <c r="AN67" s="67" t="n">
        <f aca="false">-AN28*Inputs!$E$65/30</f>
        <v>5374.39779921564</v>
      </c>
      <c r="AO67" s="67" t="n">
        <f aca="false">-AO28*Inputs!$E$65/30</f>
        <v>5374.39779921564</v>
      </c>
      <c r="AP67" s="67" t="n">
        <f aca="false">-AP28*Inputs!$E$65/30</f>
        <v>5374.39779921564</v>
      </c>
      <c r="AQ67" s="67" t="n">
        <f aca="false">-AQ28*Inputs!$E$65/30</f>
        <v>5374.39779921564</v>
      </c>
      <c r="AR67" s="67" t="n">
        <f aca="false">-AR28*Inputs!$E$65/30</f>
        <v>5374.39779921564</v>
      </c>
      <c r="AS67" s="67" t="n">
        <f aca="false">-AS28*Inputs!$E$65/30</f>
        <v>5374.39779921564</v>
      </c>
      <c r="AT67" s="67" t="n">
        <f aca="false">-AT28*Inputs!$E$65/30</f>
        <v>5374.39779921564</v>
      </c>
      <c r="AU67" s="67" t="n">
        <f aca="false">-AU28*Inputs!$E$65/30</f>
        <v>5374.39779921564</v>
      </c>
      <c r="AV67" s="67" t="n">
        <f aca="false">-AV28*Inputs!$E$65/30</f>
        <v>5374.39779921564</v>
      </c>
      <c r="AW67" s="67" t="n">
        <f aca="false">-AW28*Inputs!$E$65/30</f>
        <v>6193.51057855232</v>
      </c>
      <c r="AX67" s="67" t="n">
        <f aca="false">-AX28*Inputs!$E$65/30</f>
        <v>6193.51057855232</v>
      </c>
      <c r="AY67" s="67" t="n">
        <f aca="false">-AY28*Inputs!$E$65/30</f>
        <v>5896.17828259713</v>
      </c>
      <c r="AZ67" s="67" t="n">
        <f aca="false">-AZ28*Inputs!$E$65/30</f>
        <v>5896.17828259713</v>
      </c>
      <c r="BA67" s="67" t="n">
        <f aca="false">-BA28*Inputs!$E$65/30</f>
        <v>5896.17828259713</v>
      </c>
      <c r="BB67" s="67" t="n">
        <f aca="false">-BB28*Inputs!$E$65/30</f>
        <v>5896.17828259713</v>
      </c>
      <c r="BC67" s="67" t="n">
        <f aca="false">-BC28*Inputs!$E$65/30</f>
        <v>5896.17828259713</v>
      </c>
      <c r="BD67" s="67" t="n">
        <f aca="false">-BD28*Inputs!$E$65/30</f>
        <v>5896.17828259713</v>
      </c>
      <c r="BE67" s="67" t="n">
        <f aca="false">-BE28*Inputs!$E$65/30</f>
        <v>5896.17828259713</v>
      </c>
      <c r="BF67" s="67" t="n">
        <f aca="false">-BF28*Inputs!$E$65/30</f>
        <v>5896.17828259713</v>
      </c>
      <c r="BG67" s="67" t="n">
        <f aca="false">-BG28*Inputs!$E$65/30</f>
        <v>5896.17828259713</v>
      </c>
      <c r="BH67" s="67" t="n">
        <f aca="false">-BH28*Inputs!$E$65/30</f>
        <v>5896.17828259713</v>
      </c>
      <c r="BI67" s="67" t="n">
        <f aca="false">-BI28*Inputs!$E$65/30</f>
        <v>6765.17503019541</v>
      </c>
      <c r="BJ67" s="67" t="n">
        <f aca="false">-BJ28*Inputs!$E$65/30</f>
        <v>6765.17503019541</v>
      </c>
    </row>
    <row r="68" customFormat="false" ht="15" hidden="false" customHeight="false" outlineLevel="0" collapsed="false">
      <c r="A68" s="6" t="s">
        <v>94</v>
      </c>
      <c r="C68" s="67" t="n">
        <f aca="false">-C28*Inputs!$E$66/30</f>
        <v>22128.2962285714</v>
      </c>
      <c r="D68" s="67" t="n">
        <f aca="false">-D28*Inputs!$E$66/30</f>
        <v>23395.7568</v>
      </c>
      <c r="E68" s="67" t="n">
        <f aca="false">-E28*Inputs!$E$66/30</f>
        <v>24663.2173714286</v>
      </c>
      <c r="F68" s="67" t="n">
        <f aca="false">-F28*Inputs!$E$66/30</f>
        <v>24663.2173714286</v>
      </c>
      <c r="G68" s="67" t="n">
        <f aca="false">-G28*Inputs!$E$66/30</f>
        <v>24663.2173714286</v>
      </c>
      <c r="H68" s="67" t="n">
        <f aca="false">-H28*Inputs!$E$66/30</f>
        <v>24663.2173714286</v>
      </c>
      <c r="I68" s="67" t="n">
        <f aca="false">-I28*Inputs!$E$66/30</f>
        <v>24663.2173714286</v>
      </c>
      <c r="J68" s="67" t="n">
        <f aca="false">-J28*Inputs!$E$66/30</f>
        <v>24663.2173714286</v>
      </c>
      <c r="K68" s="67" t="n">
        <f aca="false">-K28*Inputs!$E$66/30</f>
        <v>24663.2173714286</v>
      </c>
      <c r="L68" s="67" t="n">
        <f aca="false">-L28*Inputs!$E$66/30</f>
        <v>24663.2173714286</v>
      </c>
      <c r="M68" s="67" t="n">
        <f aca="false">-M28*Inputs!$E$66/30</f>
        <v>28779.1817142857</v>
      </c>
      <c r="N68" s="67" t="n">
        <f aca="false">-N28*Inputs!$E$66/30</f>
        <v>28779.1817142857</v>
      </c>
      <c r="O68" s="67" t="n">
        <f aca="false">-O28*Inputs!$E$66/30</f>
        <v>26925.2879813486</v>
      </c>
      <c r="P68" s="67" t="n">
        <f aca="false">-P28*Inputs!$E$66/30</f>
        <v>26925.2879813486</v>
      </c>
      <c r="Q68" s="67" t="n">
        <f aca="false">-Q28*Inputs!$E$66/30</f>
        <v>26925.2879813486</v>
      </c>
      <c r="R68" s="67" t="n">
        <f aca="false">-R28*Inputs!$E$66/30</f>
        <v>26925.2879813486</v>
      </c>
      <c r="S68" s="67" t="n">
        <f aca="false">-S28*Inputs!$E$66/30</f>
        <v>26925.2879813486</v>
      </c>
      <c r="T68" s="67" t="n">
        <f aca="false">-T28*Inputs!$E$66/30</f>
        <v>26925.2879813486</v>
      </c>
      <c r="U68" s="67" t="n">
        <f aca="false">-U28*Inputs!$E$66/30</f>
        <v>26925.2879813486</v>
      </c>
      <c r="V68" s="67" t="n">
        <f aca="false">-V28*Inputs!$E$66/30</f>
        <v>26925.2879813486</v>
      </c>
      <c r="W68" s="67" t="n">
        <f aca="false">-W28*Inputs!$E$66/30</f>
        <v>26925.2879813486</v>
      </c>
      <c r="X68" s="67" t="n">
        <f aca="false">-X28*Inputs!$E$66/30</f>
        <v>26925.2879813486</v>
      </c>
      <c r="Y68" s="67" t="n">
        <f aca="false">-Y28*Inputs!$E$66/30</f>
        <v>31291.9145526857</v>
      </c>
      <c r="Z68" s="67" t="n">
        <f aca="false">-Z28*Inputs!$E$66/30</f>
        <v>31291.9145526857</v>
      </c>
      <c r="AA68" s="67" t="n">
        <f aca="false">-AA28*Inputs!$E$66/30</f>
        <v>29441.8670826319</v>
      </c>
      <c r="AB68" s="67" t="n">
        <f aca="false">-AB28*Inputs!$E$66/30</f>
        <v>29441.8670826319</v>
      </c>
      <c r="AC68" s="67" t="n">
        <f aca="false">-AC28*Inputs!$E$66/30</f>
        <v>29441.8670826319</v>
      </c>
      <c r="AD68" s="67" t="n">
        <f aca="false">-AD28*Inputs!$E$66/30</f>
        <v>29441.8670826319</v>
      </c>
      <c r="AE68" s="67" t="n">
        <f aca="false">-AE28*Inputs!$E$66/30</f>
        <v>29441.8670826319</v>
      </c>
      <c r="AF68" s="67" t="n">
        <f aca="false">-AF28*Inputs!$E$66/30</f>
        <v>29441.8670826319</v>
      </c>
      <c r="AG68" s="67" t="n">
        <f aca="false">-AG28*Inputs!$E$66/30</f>
        <v>29441.8670826319</v>
      </c>
      <c r="AH68" s="67" t="n">
        <f aca="false">-AH28*Inputs!$E$66/30</f>
        <v>29441.8670826319</v>
      </c>
      <c r="AI68" s="67" t="n">
        <f aca="false">-AI28*Inputs!$E$66/30</f>
        <v>29441.8670826319</v>
      </c>
      <c r="AJ68" s="67" t="n">
        <f aca="false">-AJ28*Inputs!$E$66/30</f>
        <v>29441.8670826319</v>
      </c>
      <c r="AK68" s="67" t="n">
        <f aca="false">-AK28*Inputs!$E$66/30</f>
        <v>34074.4212121635</v>
      </c>
      <c r="AL68" s="67" t="n">
        <f aca="false">-AL28*Inputs!$E$66/30</f>
        <v>34074.4212121635</v>
      </c>
      <c r="AM68" s="67" t="n">
        <f aca="false">-AM28*Inputs!$E$66/30</f>
        <v>32246.3867952939</v>
      </c>
      <c r="AN68" s="67" t="n">
        <f aca="false">-AN28*Inputs!$E$66/30</f>
        <v>32246.3867952939</v>
      </c>
      <c r="AO68" s="67" t="n">
        <f aca="false">-AO28*Inputs!$E$66/30</f>
        <v>32246.3867952939</v>
      </c>
      <c r="AP68" s="67" t="n">
        <f aca="false">-AP28*Inputs!$E$66/30</f>
        <v>32246.3867952939</v>
      </c>
      <c r="AQ68" s="67" t="n">
        <f aca="false">-AQ28*Inputs!$E$66/30</f>
        <v>32246.3867952939</v>
      </c>
      <c r="AR68" s="67" t="n">
        <f aca="false">-AR28*Inputs!$E$66/30</f>
        <v>32246.3867952939</v>
      </c>
      <c r="AS68" s="67" t="n">
        <f aca="false">-AS28*Inputs!$E$66/30</f>
        <v>32246.3867952939</v>
      </c>
      <c r="AT68" s="67" t="n">
        <f aca="false">-AT28*Inputs!$E$66/30</f>
        <v>32246.3867952939</v>
      </c>
      <c r="AU68" s="67" t="n">
        <f aca="false">-AU28*Inputs!$E$66/30</f>
        <v>32246.3867952939</v>
      </c>
      <c r="AV68" s="67" t="n">
        <f aca="false">-AV28*Inputs!$E$66/30</f>
        <v>32246.3867952939</v>
      </c>
      <c r="AW68" s="67" t="n">
        <f aca="false">-AW28*Inputs!$E$66/30</f>
        <v>37161.0634713139</v>
      </c>
      <c r="AX68" s="67" t="n">
        <f aca="false">-AX28*Inputs!$E$66/30</f>
        <v>37161.0634713139</v>
      </c>
      <c r="AY68" s="67" t="n">
        <f aca="false">-AY28*Inputs!$E$66/30</f>
        <v>35377.0696955828</v>
      </c>
      <c r="AZ68" s="67" t="n">
        <f aca="false">-AZ28*Inputs!$E$66/30</f>
        <v>35377.0696955828</v>
      </c>
      <c r="BA68" s="67" t="n">
        <f aca="false">-BA28*Inputs!$E$66/30</f>
        <v>35377.0696955828</v>
      </c>
      <c r="BB68" s="67" t="n">
        <f aca="false">-BB28*Inputs!$E$66/30</f>
        <v>35377.0696955828</v>
      </c>
      <c r="BC68" s="67" t="n">
        <f aca="false">-BC28*Inputs!$E$66/30</f>
        <v>35377.0696955828</v>
      </c>
      <c r="BD68" s="67" t="n">
        <f aca="false">-BD28*Inputs!$E$66/30</f>
        <v>35377.0696955828</v>
      </c>
      <c r="BE68" s="67" t="n">
        <f aca="false">-BE28*Inputs!$E$66/30</f>
        <v>35377.0696955828</v>
      </c>
      <c r="BF68" s="67" t="n">
        <f aca="false">-BF28*Inputs!$E$66/30</f>
        <v>35377.0696955828</v>
      </c>
      <c r="BG68" s="67" t="n">
        <f aca="false">-BG28*Inputs!$E$66/30</f>
        <v>35377.0696955828</v>
      </c>
      <c r="BH68" s="67" t="n">
        <f aca="false">-BH28*Inputs!$E$66/30</f>
        <v>35377.0696955828</v>
      </c>
      <c r="BI68" s="67" t="n">
        <f aca="false">-BI28*Inputs!$E$66/30</f>
        <v>40591.0501811724</v>
      </c>
      <c r="BJ68" s="67" t="n">
        <f aca="false">-BJ28*Inputs!$E$66/30</f>
        <v>40591.0501811724</v>
      </c>
    </row>
    <row r="69" customFormat="false" ht="15" hidden="false" customHeight="false" outlineLevel="0" collapsed="false">
      <c r="A69" s="6" t="s">
        <v>332</v>
      </c>
      <c r="C69" s="67" t="n">
        <f aca="false">-C66</f>
        <v>-34794.24</v>
      </c>
      <c r="D69" s="67" t="n">
        <f aca="false">C66-D66</f>
        <v>-1996.80000000001</v>
      </c>
      <c r="E69" s="67" t="n">
        <f aca="false">D66-E66</f>
        <v>-1996.8</v>
      </c>
      <c r="F69" s="67" t="n">
        <f aca="false">E66-F66</f>
        <v>0</v>
      </c>
      <c r="G69" s="67" t="n">
        <f aca="false">F66-G66</f>
        <v>0</v>
      </c>
      <c r="H69" s="67" t="n">
        <f aca="false">G66-H66</f>
        <v>0</v>
      </c>
      <c r="I69" s="67" t="n">
        <f aca="false">H66-I66</f>
        <v>0</v>
      </c>
      <c r="J69" s="67" t="n">
        <f aca="false">I66-J66</f>
        <v>0</v>
      </c>
      <c r="K69" s="67" t="n">
        <f aca="false">J66-K66</f>
        <v>0</v>
      </c>
      <c r="L69" s="67" t="n">
        <f aca="false">K66-L66</f>
        <v>0</v>
      </c>
      <c r="M69" s="67" t="n">
        <f aca="false">L66-M66</f>
        <v>-6888.96000000001</v>
      </c>
      <c r="N69" s="67" t="n">
        <f aca="false">M66-N66</f>
        <v>0</v>
      </c>
      <c r="O69" s="67" t="n">
        <f aca="false">N66-O66</f>
        <v>3485.574144</v>
      </c>
      <c r="P69" s="67" t="n">
        <f aca="false">O66-P66</f>
        <v>0</v>
      </c>
      <c r="Q69" s="67" t="n">
        <f aca="false">P66-Q66</f>
        <v>0</v>
      </c>
      <c r="R69" s="67" t="n">
        <f aca="false">Q66-R66</f>
        <v>0</v>
      </c>
      <c r="S69" s="67" t="n">
        <f aca="false">R66-S66</f>
        <v>0</v>
      </c>
      <c r="T69" s="67" t="n">
        <f aca="false">S66-T66</f>
        <v>0</v>
      </c>
      <c r="U69" s="67" t="n">
        <f aca="false">T66-U66</f>
        <v>0</v>
      </c>
      <c r="V69" s="67" t="n">
        <f aca="false">U66-V66</f>
        <v>0</v>
      </c>
      <c r="W69" s="67" t="n">
        <f aca="false">V66-W66</f>
        <v>0</v>
      </c>
      <c r="X69" s="67" t="n">
        <f aca="false">W66-X66</f>
        <v>0</v>
      </c>
      <c r="Y69" s="67" t="n">
        <f aca="false">X66-Y66</f>
        <v>-7308.497664</v>
      </c>
      <c r="Z69" s="67" t="n">
        <f aca="false">Y66-Z66</f>
        <v>0</v>
      </c>
      <c r="AA69" s="67" t="n">
        <f aca="false">Z66-AA66</f>
        <v>3537.91630632961</v>
      </c>
      <c r="AB69" s="67" t="n">
        <f aca="false">AA66-AB66</f>
        <v>0</v>
      </c>
      <c r="AC69" s="67" t="n">
        <f aca="false">AB66-AC66</f>
        <v>0</v>
      </c>
      <c r="AD69" s="67" t="n">
        <f aca="false">AC66-AD66</f>
        <v>0</v>
      </c>
      <c r="AE69" s="67" t="n">
        <f aca="false">AD66-AE66</f>
        <v>0</v>
      </c>
      <c r="AF69" s="67" t="n">
        <f aca="false">AE66-AF66</f>
        <v>0</v>
      </c>
      <c r="AG69" s="67" t="n">
        <f aca="false">AF66-AG66</f>
        <v>0</v>
      </c>
      <c r="AH69" s="67" t="n">
        <f aca="false">AG66-AH66</f>
        <v>0</v>
      </c>
      <c r="AI69" s="67" t="n">
        <f aca="false">AH66-AI66</f>
        <v>0</v>
      </c>
      <c r="AJ69" s="67" t="n">
        <f aca="false">AI66-AJ66</f>
        <v>0</v>
      </c>
      <c r="AK69" s="67" t="n">
        <f aca="false">AJ66-AK66</f>
        <v>-7753.58517173761</v>
      </c>
      <c r="AL69" s="67" t="n">
        <f aca="false">AK66-AL66</f>
        <v>0</v>
      </c>
      <c r="AM69" s="67" t="n">
        <f aca="false">AL66-AM66</f>
        <v>3568.88096539813</v>
      </c>
      <c r="AN69" s="67" t="n">
        <f aca="false">AM66-AN66</f>
        <v>0</v>
      </c>
      <c r="AO69" s="67" t="n">
        <f aca="false">AN66-AO66</f>
        <v>0</v>
      </c>
      <c r="AP69" s="67" t="n">
        <f aca="false">AO66-AP66</f>
        <v>0</v>
      </c>
      <c r="AQ69" s="67" t="n">
        <f aca="false">AP66-AQ66</f>
        <v>0</v>
      </c>
      <c r="AR69" s="67" t="n">
        <f aca="false">AQ66-AR66</f>
        <v>0</v>
      </c>
      <c r="AS69" s="67" t="n">
        <f aca="false">AR66-AS66</f>
        <v>0</v>
      </c>
      <c r="AT69" s="67" t="n">
        <f aca="false">AS66-AT66</f>
        <v>0</v>
      </c>
      <c r="AU69" s="67" t="n">
        <f aca="false">AT66-AU66</f>
        <v>0</v>
      </c>
      <c r="AV69" s="67" t="n">
        <f aca="false">AU66-AV66</f>
        <v>0</v>
      </c>
      <c r="AW69" s="67" t="n">
        <f aca="false">AV66-AW66</f>
        <v>-8225.77850869642</v>
      </c>
      <c r="AX69" s="67" t="n">
        <f aca="false">AW66-AX66</f>
        <v>0</v>
      </c>
      <c r="AY69" s="67" t="n">
        <f aca="false">AX66-AY66</f>
        <v>3573.39302560753</v>
      </c>
      <c r="AZ69" s="67" t="n">
        <f aca="false">AY66-AZ66</f>
        <v>0</v>
      </c>
      <c r="BA69" s="67" t="n">
        <f aca="false">AZ66-BA66</f>
        <v>0</v>
      </c>
      <c r="BB69" s="67" t="n">
        <f aca="false">BA66-BB66</f>
        <v>0</v>
      </c>
      <c r="BC69" s="67" t="n">
        <f aca="false">BB66-BC66</f>
        <v>0</v>
      </c>
      <c r="BD69" s="67" t="n">
        <f aca="false">BC66-BD66</f>
        <v>0</v>
      </c>
      <c r="BE69" s="67" t="n">
        <f aca="false">BD66-BE66</f>
        <v>0</v>
      </c>
      <c r="BF69" s="67" t="n">
        <f aca="false">BE66-BF66</f>
        <v>0</v>
      </c>
      <c r="BG69" s="67" t="n">
        <f aca="false">BF66-BG66</f>
        <v>0</v>
      </c>
      <c r="BH69" s="67" t="n">
        <f aca="false">BG66-BH66</f>
        <v>0</v>
      </c>
      <c r="BI69" s="67" t="n">
        <f aca="false">BH66-BI66</f>
        <v>-8726.72841987603</v>
      </c>
      <c r="BJ69" s="67" t="n">
        <f aca="false">BI66-BJ66</f>
        <v>0</v>
      </c>
    </row>
    <row r="70" customFormat="false" ht="15" hidden="false" customHeight="false" outlineLevel="0" collapsed="false">
      <c r="A70" s="6" t="s">
        <v>333</v>
      </c>
      <c r="C70" s="67" t="n">
        <f aca="false">-C67</f>
        <v>-3688.04937142857</v>
      </c>
      <c r="D70" s="67" t="n">
        <f aca="false">C67-D67</f>
        <v>-211.243428571429</v>
      </c>
      <c r="E70" s="67" t="n">
        <f aca="false">D67-E67</f>
        <v>-211.243428571429</v>
      </c>
      <c r="F70" s="67" t="n">
        <f aca="false">E67-F67</f>
        <v>0</v>
      </c>
      <c r="G70" s="67" t="n">
        <f aca="false">F67-G67</f>
        <v>0</v>
      </c>
      <c r="H70" s="67" t="n">
        <f aca="false">G67-H67</f>
        <v>0</v>
      </c>
      <c r="I70" s="67" t="n">
        <f aca="false">H67-I67</f>
        <v>0</v>
      </c>
      <c r="J70" s="67" t="n">
        <f aca="false">I67-J67</f>
        <v>0</v>
      </c>
      <c r="K70" s="67" t="n">
        <f aca="false">J67-K67</f>
        <v>0</v>
      </c>
      <c r="L70" s="67" t="n">
        <f aca="false">K67-L67</f>
        <v>0</v>
      </c>
      <c r="M70" s="67" t="n">
        <f aca="false">L67-M67</f>
        <v>-685.994057142857</v>
      </c>
      <c r="N70" s="67" t="n">
        <f aca="false">M67-N67</f>
        <v>0</v>
      </c>
      <c r="O70" s="67" t="n">
        <f aca="false">N67-O67</f>
        <v>308.982288822858</v>
      </c>
      <c r="P70" s="67" t="n">
        <f aca="false">O67-P67</f>
        <v>0</v>
      </c>
      <c r="Q70" s="67" t="n">
        <f aca="false">P67-Q67</f>
        <v>0</v>
      </c>
      <c r="R70" s="67" t="n">
        <f aca="false">Q67-R67</f>
        <v>0</v>
      </c>
      <c r="S70" s="67" t="n">
        <f aca="false">R67-S67</f>
        <v>0</v>
      </c>
      <c r="T70" s="67" t="n">
        <f aca="false">S67-T67</f>
        <v>0</v>
      </c>
      <c r="U70" s="67" t="n">
        <f aca="false">T67-U67</f>
        <v>0</v>
      </c>
      <c r="V70" s="67" t="n">
        <f aca="false">U67-V67</f>
        <v>0</v>
      </c>
      <c r="W70" s="67" t="n">
        <f aca="false">V67-W67</f>
        <v>0</v>
      </c>
      <c r="X70" s="67" t="n">
        <f aca="false">W67-X67</f>
        <v>0</v>
      </c>
      <c r="Y70" s="67" t="n">
        <f aca="false">X67-Y67</f>
        <v>-727.771095222858</v>
      </c>
      <c r="Z70" s="67" t="n">
        <f aca="false">Y67-Z67</f>
        <v>0</v>
      </c>
      <c r="AA70" s="67" t="n">
        <f aca="false">Z67-AA67</f>
        <v>308.34124500897</v>
      </c>
      <c r="AB70" s="67" t="n">
        <f aca="false">AA67-AB67</f>
        <v>0</v>
      </c>
      <c r="AC70" s="67" t="n">
        <f aca="false">AB67-AC67</f>
        <v>0</v>
      </c>
      <c r="AD70" s="67" t="n">
        <f aca="false">AC67-AD67</f>
        <v>0</v>
      </c>
      <c r="AE70" s="67" t="n">
        <f aca="false">AD67-AE67</f>
        <v>0</v>
      </c>
      <c r="AF70" s="67" t="n">
        <f aca="false">AE67-AF67</f>
        <v>0</v>
      </c>
      <c r="AG70" s="67" t="n">
        <f aca="false">AF67-AG67</f>
        <v>0</v>
      </c>
      <c r="AH70" s="67" t="n">
        <f aca="false">AG67-AH67</f>
        <v>0</v>
      </c>
      <c r="AI70" s="67" t="n">
        <f aca="false">AH67-AI67</f>
        <v>0</v>
      </c>
      <c r="AJ70" s="67" t="n">
        <f aca="false">AI67-AJ67</f>
        <v>0</v>
      </c>
      <c r="AK70" s="67" t="n">
        <f aca="false">AJ67-AK67</f>
        <v>-772.092354921931</v>
      </c>
      <c r="AL70" s="67" t="n">
        <f aca="false">AK67-AL67</f>
        <v>0</v>
      </c>
      <c r="AM70" s="67" t="n">
        <f aca="false">AL67-AM67</f>
        <v>304.672402811604</v>
      </c>
      <c r="AN70" s="67" t="n">
        <f aca="false">AM67-AN67</f>
        <v>0</v>
      </c>
      <c r="AO70" s="67" t="n">
        <f aca="false">AN67-AO67</f>
        <v>0</v>
      </c>
      <c r="AP70" s="67" t="n">
        <f aca="false">AO67-AP67</f>
        <v>0</v>
      </c>
      <c r="AQ70" s="67" t="n">
        <f aca="false">AP67-AQ67</f>
        <v>0</v>
      </c>
      <c r="AR70" s="67" t="n">
        <f aca="false">AQ67-AR67</f>
        <v>0</v>
      </c>
      <c r="AS70" s="67" t="n">
        <f aca="false">AR67-AS67</f>
        <v>0</v>
      </c>
      <c r="AT70" s="67" t="n">
        <f aca="false">AS67-AT67</f>
        <v>0</v>
      </c>
      <c r="AU70" s="67" t="n">
        <f aca="false">AT67-AU67</f>
        <v>0</v>
      </c>
      <c r="AV70" s="67" t="n">
        <f aca="false">AU67-AV67</f>
        <v>0</v>
      </c>
      <c r="AW70" s="67" t="n">
        <f aca="false">AV67-AW67</f>
        <v>-819.112779336676</v>
      </c>
      <c r="AX70" s="67" t="n">
        <f aca="false">AW67-AX67</f>
        <v>0</v>
      </c>
      <c r="AY70" s="67" t="n">
        <f aca="false">AX67-AY67</f>
        <v>297.332295955191</v>
      </c>
      <c r="AZ70" s="67" t="n">
        <f aca="false">AY67-AZ67</f>
        <v>0</v>
      </c>
      <c r="BA70" s="67" t="n">
        <f aca="false">AZ67-BA67</f>
        <v>0</v>
      </c>
      <c r="BB70" s="67" t="n">
        <f aca="false">BA67-BB67</f>
        <v>0</v>
      </c>
      <c r="BC70" s="67" t="n">
        <f aca="false">BB67-BC67</f>
        <v>0</v>
      </c>
      <c r="BD70" s="67" t="n">
        <f aca="false">BC67-BD67</f>
        <v>0</v>
      </c>
      <c r="BE70" s="67" t="n">
        <f aca="false">BD67-BE67</f>
        <v>0</v>
      </c>
      <c r="BF70" s="67" t="n">
        <f aca="false">BE67-BF67</f>
        <v>0</v>
      </c>
      <c r="BG70" s="67" t="n">
        <f aca="false">BF67-BG67</f>
        <v>0</v>
      </c>
      <c r="BH70" s="67" t="n">
        <f aca="false">BG67-BH67</f>
        <v>0</v>
      </c>
      <c r="BI70" s="67" t="n">
        <f aca="false">BH67-BI67</f>
        <v>-868.996747598279</v>
      </c>
      <c r="BJ70" s="67" t="n">
        <f aca="false">BI67-BJ67</f>
        <v>0</v>
      </c>
    </row>
    <row r="71" customFormat="false" ht="15" hidden="false" customHeight="false" outlineLevel="0" collapsed="false">
      <c r="A71" s="6" t="s">
        <v>334</v>
      </c>
      <c r="C71" s="67" t="n">
        <f aca="false">C68</f>
        <v>22128.2962285714</v>
      </c>
      <c r="D71" s="67" t="n">
        <f aca="false">D68-C68</f>
        <v>1267.46057142857</v>
      </c>
      <c r="E71" s="67" t="n">
        <f aca="false">E68-D68</f>
        <v>1267.46057142858</v>
      </c>
      <c r="F71" s="67" t="n">
        <f aca="false">F68-E68</f>
        <v>0</v>
      </c>
      <c r="G71" s="67" t="n">
        <f aca="false">G68-F68</f>
        <v>0</v>
      </c>
      <c r="H71" s="67" t="n">
        <f aca="false">H68-G68</f>
        <v>0</v>
      </c>
      <c r="I71" s="67" t="n">
        <f aca="false">I68-H68</f>
        <v>0</v>
      </c>
      <c r="J71" s="67" t="n">
        <f aca="false">J68-I68</f>
        <v>0</v>
      </c>
      <c r="K71" s="67" t="n">
        <f aca="false">K68-J68</f>
        <v>0</v>
      </c>
      <c r="L71" s="67" t="n">
        <f aca="false">L68-K68</f>
        <v>0</v>
      </c>
      <c r="M71" s="67" t="n">
        <f aca="false">M68-L68</f>
        <v>4115.96434285715</v>
      </c>
      <c r="N71" s="67" t="n">
        <f aca="false">N68-M68</f>
        <v>0</v>
      </c>
      <c r="O71" s="67" t="n">
        <f aca="false">O68-N68</f>
        <v>-1853.89373293715</v>
      </c>
      <c r="P71" s="67" t="n">
        <f aca="false">P68-O68</f>
        <v>0</v>
      </c>
      <c r="Q71" s="67" t="n">
        <f aca="false">Q68-P68</f>
        <v>0</v>
      </c>
      <c r="R71" s="67" t="n">
        <f aca="false">R68-Q68</f>
        <v>0</v>
      </c>
      <c r="S71" s="67" t="n">
        <f aca="false">S68-R68</f>
        <v>0</v>
      </c>
      <c r="T71" s="67" t="n">
        <f aca="false">T68-S68</f>
        <v>0</v>
      </c>
      <c r="U71" s="67" t="n">
        <f aca="false">U68-T68</f>
        <v>0</v>
      </c>
      <c r="V71" s="67" t="n">
        <f aca="false">V68-U68</f>
        <v>0</v>
      </c>
      <c r="W71" s="67" t="n">
        <f aca="false">W68-V68</f>
        <v>0</v>
      </c>
      <c r="X71" s="67" t="n">
        <f aca="false">X68-W68</f>
        <v>0</v>
      </c>
      <c r="Y71" s="67" t="n">
        <f aca="false">Y68-X68</f>
        <v>4366.62657133715</v>
      </c>
      <c r="Z71" s="67" t="n">
        <f aca="false">Z68-Y68</f>
        <v>0</v>
      </c>
      <c r="AA71" s="67" t="n">
        <f aca="false">AA68-Z68</f>
        <v>-1850.04747005382</v>
      </c>
      <c r="AB71" s="67" t="n">
        <f aca="false">AB68-AA68</f>
        <v>0</v>
      </c>
      <c r="AC71" s="67" t="n">
        <f aca="false">AC68-AB68</f>
        <v>0</v>
      </c>
      <c r="AD71" s="67" t="n">
        <f aca="false">AD68-AC68</f>
        <v>0</v>
      </c>
      <c r="AE71" s="67" t="n">
        <f aca="false">AE68-AD68</f>
        <v>0</v>
      </c>
      <c r="AF71" s="67" t="n">
        <f aca="false">AF68-AE68</f>
        <v>0</v>
      </c>
      <c r="AG71" s="67" t="n">
        <f aca="false">AG68-AF68</f>
        <v>0</v>
      </c>
      <c r="AH71" s="67" t="n">
        <f aca="false">AH68-AG68</f>
        <v>0</v>
      </c>
      <c r="AI71" s="67" t="n">
        <f aca="false">AI68-AH68</f>
        <v>0</v>
      </c>
      <c r="AJ71" s="67" t="n">
        <f aca="false">AJ68-AI68</f>
        <v>0</v>
      </c>
      <c r="AK71" s="67" t="n">
        <f aca="false">AK68-AJ68</f>
        <v>4632.55412953159</v>
      </c>
      <c r="AL71" s="67" t="n">
        <f aca="false">AL68-AK68</f>
        <v>0</v>
      </c>
      <c r="AM71" s="67" t="n">
        <f aca="false">AM68-AL68</f>
        <v>-1828.03441686963</v>
      </c>
      <c r="AN71" s="67" t="n">
        <f aca="false">AN68-AM68</f>
        <v>0</v>
      </c>
      <c r="AO71" s="67" t="n">
        <f aca="false">AO68-AN68</f>
        <v>0</v>
      </c>
      <c r="AP71" s="67" t="n">
        <f aca="false">AP68-AO68</f>
        <v>0</v>
      </c>
      <c r="AQ71" s="67" t="n">
        <f aca="false">AQ68-AP68</f>
        <v>0</v>
      </c>
      <c r="AR71" s="67" t="n">
        <f aca="false">AR68-AQ68</f>
        <v>0</v>
      </c>
      <c r="AS71" s="67" t="n">
        <f aca="false">AS68-AR68</f>
        <v>0</v>
      </c>
      <c r="AT71" s="67" t="n">
        <f aca="false">AT68-AS68</f>
        <v>0</v>
      </c>
      <c r="AU71" s="67" t="n">
        <f aca="false">AU68-AT68</f>
        <v>0</v>
      </c>
      <c r="AV71" s="67" t="n">
        <f aca="false">AV68-AU68</f>
        <v>0</v>
      </c>
      <c r="AW71" s="67" t="n">
        <f aca="false">AW68-AV68</f>
        <v>4914.67667602006</v>
      </c>
      <c r="AX71" s="67" t="n">
        <f aca="false">AX68-AW68</f>
        <v>0</v>
      </c>
      <c r="AY71" s="67" t="n">
        <f aca="false">AY68-AX68</f>
        <v>-1783.99377573114</v>
      </c>
      <c r="AZ71" s="67" t="n">
        <f aca="false">AZ68-AY68</f>
        <v>0</v>
      </c>
      <c r="BA71" s="67" t="n">
        <f aca="false">BA68-AZ68</f>
        <v>0</v>
      </c>
      <c r="BB71" s="67" t="n">
        <f aca="false">BB68-BA68</f>
        <v>0</v>
      </c>
      <c r="BC71" s="67" t="n">
        <f aca="false">BC68-BB68</f>
        <v>0</v>
      </c>
      <c r="BD71" s="67" t="n">
        <f aca="false">BD68-BC68</f>
        <v>0</v>
      </c>
      <c r="BE71" s="67" t="n">
        <f aca="false">BE68-BD68</f>
        <v>0</v>
      </c>
      <c r="BF71" s="67" t="n">
        <f aca="false">BF68-BE68</f>
        <v>0</v>
      </c>
      <c r="BG71" s="67" t="n">
        <f aca="false">BG68-BF68</f>
        <v>0</v>
      </c>
      <c r="BH71" s="67" t="n">
        <f aca="false">BH68-BG68</f>
        <v>0</v>
      </c>
      <c r="BI71" s="67" t="n">
        <f aca="false">BI68-BH68</f>
        <v>5213.98048558967</v>
      </c>
      <c r="BJ71" s="67" t="n">
        <f aca="false">BJ68-BI68</f>
        <v>0</v>
      </c>
    </row>
    <row r="73" customFormat="false" ht="15.75" hidden="false" customHeight="true" outlineLevel="0" collapsed="false">
      <c r="A73" s="7" t="s">
        <v>422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customFormat="false" ht="15" hidden="false" customHeight="false" outlineLevel="0" collapsed="false">
      <c r="A74" s="4" t="s">
        <v>52</v>
      </c>
      <c r="C74" s="73" t="n">
        <f aca="false">C50-C55+C69+C70+C71</f>
        <v>-14679.0409264762</v>
      </c>
      <c r="D74" s="73" t="n">
        <f aca="false">D50-D55+D69+D70+D71</f>
        <v>3993.28994907936</v>
      </c>
      <c r="E74" s="73" t="n">
        <f aca="false">E50-E55+E69+E70+E71</f>
        <v>7255.9410944762</v>
      </c>
      <c r="F74" s="73" t="n">
        <f aca="false">F50-F55+F69+F70+F71</f>
        <v>8203.98506273016</v>
      </c>
      <c r="G74" s="73" t="n">
        <f aca="false">G50-G55+G69+G70+G71</f>
        <v>8211.44617384128</v>
      </c>
      <c r="H74" s="73" t="n">
        <f aca="false">H50-H55+H69+H70+H71</f>
        <v>8218.90728495239</v>
      </c>
      <c r="I74" s="73" t="n">
        <f aca="false">I50-I55+I69+I70+I71</f>
        <v>8226.3683960635</v>
      </c>
      <c r="J74" s="73" t="n">
        <f aca="false">J50-J55+J69+J70+J71</f>
        <v>8233.82950717461</v>
      </c>
      <c r="K74" s="73" t="n">
        <f aca="false">K50-K55+K69+K70+K71</f>
        <v>8241.29061828572</v>
      </c>
      <c r="L74" s="73" t="n">
        <f aca="false">L50-L55+L69+L70+L71</f>
        <v>8248.75172939683</v>
      </c>
      <c r="M74" s="73" t="n">
        <f aca="false">M50-M55+M69+M70+M71</f>
        <v>16648.0335307936</v>
      </c>
      <c r="N74" s="73" t="n">
        <f aca="false">N50-N55+N69+N70+N71</f>
        <v>20114.4843561905</v>
      </c>
      <c r="O74" s="73" t="n">
        <f aca="false">O50-O55+O69+O70+O71</f>
        <v>12436.1676102362</v>
      </c>
      <c r="P74" s="73" t="n">
        <f aca="false">P50-P55+P69+P70+P71</f>
        <v>10505.8826881282</v>
      </c>
      <c r="Q74" s="73" t="n">
        <f aca="false">Q50-Q55+Q69+Q70+Q71</f>
        <v>10516.260465906</v>
      </c>
      <c r="R74" s="73" t="n">
        <f aca="false">R50-R55+R69+R70+R71</f>
        <v>10526.6382436838</v>
      </c>
      <c r="S74" s="73" t="n">
        <f aca="false">S50-S55+S69+S70+S71</f>
        <v>10537.0160214616</v>
      </c>
      <c r="T74" s="73" t="n">
        <f aca="false">T50-T55+T69+T70+T71</f>
        <v>10547.3937992393</v>
      </c>
      <c r="U74" s="73" t="n">
        <f aca="false">U50-U55+U69+U70+U71</f>
        <v>10557.7715770171</v>
      </c>
      <c r="V74" s="73" t="n">
        <f aca="false">V50-V55+V69+V70+V71</f>
        <v>10568.1493547949</v>
      </c>
      <c r="W74" s="73" t="n">
        <f aca="false">W50-W55+W69+W70+W71</f>
        <v>10578.5271325727</v>
      </c>
      <c r="X74" s="73" t="n">
        <f aca="false">X50-X55+X69+X70+X71</f>
        <v>10588.9049103505</v>
      </c>
      <c r="Y74" s="73" t="n">
        <f aca="false">Y50-Y55+Y69+Y70+Y71</f>
        <v>19502.1652584523</v>
      </c>
      <c r="Z74" s="73" t="n">
        <f aca="false">Z50-Z55+Z69+Z70+Z71</f>
        <v>23182.1852241158</v>
      </c>
      <c r="AA74" s="73" t="n">
        <f aca="false">AA50-AA55+AA69+AA70+AA71</f>
        <v>15129.4697169395</v>
      </c>
      <c r="AB74" s="73" t="n">
        <f aca="false">AB50-AB55+AB69+AB70+AB71</f>
        <v>13143.6374134325</v>
      </c>
      <c r="AC74" s="73" t="n">
        <f aca="false">AC50-AC55+AC69+AC70+AC71</f>
        <v>13154.0151912102</v>
      </c>
      <c r="AD74" s="73" t="n">
        <f aca="false">AD50-AD55+AD69+AD70+AD71</f>
        <v>13164.392968988</v>
      </c>
      <c r="AE74" s="73" t="n">
        <f aca="false">AE50-AE55+AE69+AE70+AE71</f>
        <v>13174.7707467658</v>
      </c>
      <c r="AF74" s="73" t="n">
        <f aca="false">AF50-AF55+AF69+AF70+AF71</f>
        <v>13185.1485245436</v>
      </c>
      <c r="AG74" s="73" t="n">
        <f aca="false">AG50-AG55+AG69+AG70+AG71</f>
        <v>13195.5263023214</v>
      </c>
      <c r="AH74" s="73" t="n">
        <f aca="false">AH50-AH55+AH69+AH70+AH71</f>
        <v>13205.9040800991</v>
      </c>
      <c r="AI74" s="73" t="n">
        <f aca="false">AI50-AI55+AI69+AI70+AI71</f>
        <v>13216.2818578769</v>
      </c>
      <c r="AJ74" s="73" t="n">
        <f aca="false">AJ50-AJ55+AJ69+AJ70+AJ71</f>
        <v>13226.6596356547</v>
      </c>
      <c r="AK74" s="73" t="n">
        <f aca="false">AK50-AK55+AK69+AK70+AK71</f>
        <v>22682.1055322893</v>
      </c>
      <c r="AL74" s="73" t="n">
        <f aca="false">AL50-AL55+AL69+AL70+AL71</f>
        <v>26585.6067071951</v>
      </c>
      <c r="AM74" s="73" t="n">
        <f aca="false">AM50-AM55+AM69+AM70+AM71</f>
        <v>18155.5559832589</v>
      </c>
      <c r="AN74" s="73" t="n">
        <f aca="false">AN50-AN55+AN69+AN70+AN71</f>
        <v>16120.4148096966</v>
      </c>
      <c r="AO74" s="73" t="n">
        <f aca="false">AO50-AO55+AO69+AO70+AO71</f>
        <v>16130.7925874744</v>
      </c>
      <c r="AP74" s="73" t="n">
        <f aca="false">AP50-AP55+AP69+AP70+AP71</f>
        <v>16141.1703652522</v>
      </c>
      <c r="AQ74" s="73" t="n">
        <f aca="false">AQ50-AQ55+AQ69+AQ70+AQ71</f>
        <v>16151.5481430299</v>
      </c>
      <c r="AR74" s="73" t="n">
        <f aca="false">AR50-AR55+AR69+AR70+AR71</f>
        <v>16161.9259208077</v>
      </c>
      <c r="AS74" s="73" t="n">
        <f aca="false">AS50-AS55+AS69+AS70+AS71</f>
        <v>16172.3036985855</v>
      </c>
      <c r="AT74" s="73" t="n">
        <f aca="false">AT50-AT55+AT69+AT70+AT71</f>
        <v>16182.6814763633</v>
      </c>
      <c r="AU74" s="73" t="n">
        <f aca="false">AU50-AU55+AU69+AU70+AU71</f>
        <v>16193.059254141</v>
      </c>
      <c r="AV74" s="73" t="n">
        <f aca="false">AV50-AV55+AV69+AV70+AV71</f>
        <v>16203.4370319188</v>
      </c>
      <c r="AW74" s="73" t="n">
        <f aca="false">AW50-AW55+AW69+AW70+AW71</f>
        <v>26234.0875769919</v>
      </c>
      <c r="AX74" s="73" t="n">
        <f aca="false">AX50-AX55+AX69+AX70+AX71</f>
        <v>30374.6799667827</v>
      </c>
      <c r="AY74" s="73" t="n">
        <f aca="false">AY50-AY55+AY69+AY70+AY71</f>
        <v>21567.7953616171</v>
      </c>
      <c r="AZ74" s="73" t="n">
        <f aca="false">AZ50-AZ55+AZ69+AZ70+AZ71</f>
        <v>19491.4415935633</v>
      </c>
      <c r="BA74" s="73" t="n">
        <f aca="false">BA50-BA55+BA69+BA70+BA71</f>
        <v>19501.8193713411</v>
      </c>
      <c r="BB74" s="73" t="n">
        <f aca="false">BB50-BB55+BB69+BB70+BB71</f>
        <v>19512.1971491189</v>
      </c>
      <c r="BC74" s="73" t="n">
        <f aca="false">BC50-BC55+BC69+BC70+BC71</f>
        <v>19522.5749268967</v>
      </c>
      <c r="BD74" s="73" t="n">
        <f aca="false">BD50-BD55+BD69+BD70+BD71</f>
        <v>19532.9527046744</v>
      </c>
      <c r="BE74" s="73" t="n">
        <f aca="false">BE50-BE55+BE69+BE70+BE71</f>
        <v>19543.3304824522</v>
      </c>
      <c r="BF74" s="73" t="n">
        <f aca="false">BF50-BF55+BF69+BF70+BF71</f>
        <v>19553.70826023</v>
      </c>
      <c r="BG74" s="73" t="n">
        <f aca="false">BG50-BG55+BG69+BG70+BG71</f>
        <v>19564.0860380078</v>
      </c>
      <c r="BH74" s="73" t="n">
        <f aca="false">BH50-BH55+BH69+BH70+BH71</f>
        <v>19574.4638157856</v>
      </c>
      <c r="BI74" s="73" t="n">
        <f aca="false">BI50-BI55+BI69+BI70+BI71</f>
        <v>30215.3489723869</v>
      </c>
      <c r="BJ74" s="73" t="n">
        <f aca="false">BJ50-BJ55+BJ69+BJ70+BJ71</f>
        <v>34607.4714320493</v>
      </c>
    </row>
    <row r="75" customFormat="false" ht="15" hidden="false" customHeight="false" outlineLevel="0" collapsed="false">
      <c r="A75" s="6" t="s">
        <v>423</v>
      </c>
      <c r="C75" s="67" t="n">
        <f aca="false">-C53</f>
        <v>-90000</v>
      </c>
      <c r="D75" s="67" t="n">
        <f aca="false">-D53</f>
        <v>-0</v>
      </c>
      <c r="E75" s="67" t="n">
        <f aca="false">-E53</f>
        <v>-0</v>
      </c>
      <c r="F75" s="67" t="n">
        <f aca="false">-F53</f>
        <v>-0</v>
      </c>
      <c r="G75" s="67" t="n">
        <f aca="false">-G53</f>
        <v>-0</v>
      </c>
      <c r="H75" s="67" t="n">
        <f aca="false">-H53</f>
        <v>-0</v>
      </c>
      <c r="I75" s="67" t="n">
        <f aca="false">-I53</f>
        <v>-0</v>
      </c>
      <c r="J75" s="67" t="n">
        <f aca="false">-J53</f>
        <v>-0</v>
      </c>
      <c r="K75" s="67" t="n">
        <f aca="false">-K53</f>
        <v>-0</v>
      </c>
      <c r="L75" s="67" t="n">
        <f aca="false">-L53</f>
        <v>-0</v>
      </c>
      <c r="M75" s="67" t="n">
        <f aca="false">-M53</f>
        <v>-0</v>
      </c>
      <c r="N75" s="67" t="n">
        <f aca="false">-N53</f>
        <v>-0</v>
      </c>
      <c r="O75" s="67" t="n">
        <f aca="false">-O53</f>
        <v>-1166.66666666667</v>
      </c>
      <c r="P75" s="67" t="n">
        <f aca="false">-P53</f>
        <v>-1166.66666666667</v>
      </c>
      <c r="Q75" s="67" t="n">
        <f aca="false">-Q53</f>
        <v>-1166.66666666667</v>
      </c>
      <c r="R75" s="67" t="n">
        <f aca="false">-R53</f>
        <v>-1166.66666666667</v>
      </c>
      <c r="S75" s="67" t="n">
        <f aca="false">-S53</f>
        <v>-1166.66666666667</v>
      </c>
      <c r="T75" s="67" t="n">
        <f aca="false">-T53</f>
        <v>-1166.66666666667</v>
      </c>
      <c r="U75" s="67" t="n">
        <f aca="false">-U53</f>
        <v>-1166.66666666667</v>
      </c>
      <c r="V75" s="67" t="n">
        <f aca="false">-V53</f>
        <v>-1166.66666666667</v>
      </c>
      <c r="W75" s="67" t="n">
        <f aca="false">-W53</f>
        <v>-1166.66666666667</v>
      </c>
      <c r="X75" s="67" t="n">
        <f aca="false">-X53</f>
        <v>-1166.66666666667</v>
      </c>
      <c r="Y75" s="67" t="n">
        <f aca="false">-Y53</f>
        <v>-1166.66666666667</v>
      </c>
      <c r="Z75" s="67" t="n">
        <f aca="false">-Z53</f>
        <v>-1166.66666666667</v>
      </c>
      <c r="AA75" s="67" t="n">
        <f aca="false">-AA53</f>
        <v>-1166.66666666667</v>
      </c>
      <c r="AB75" s="67" t="n">
        <f aca="false">-AB53</f>
        <v>-1166.66666666667</v>
      </c>
      <c r="AC75" s="67" t="n">
        <f aca="false">-AC53</f>
        <v>-1166.66666666667</v>
      </c>
      <c r="AD75" s="67" t="n">
        <f aca="false">-AD53</f>
        <v>-1166.66666666667</v>
      </c>
      <c r="AE75" s="67" t="n">
        <f aca="false">-AE53</f>
        <v>-1166.66666666667</v>
      </c>
      <c r="AF75" s="67" t="n">
        <f aca="false">-AF53</f>
        <v>-1166.66666666667</v>
      </c>
      <c r="AG75" s="67" t="n">
        <f aca="false">-AG53</f>
        <v>-1166.66666666667</v>
      </c>
      <c r="AH75" s="67" t="n">
        <f aca="false">-AH53</f>
        <v>-1166.66666666667</v>
      </c>
      <c r="AI75" s="67" t="n">
        <f aca="false">-AI53</f>
        <v>-1166.66666666667</v>
      </c>
      <c r="AJ75" s="67" t="n">
        <f aca="false">-AJ53</f>
        <v>-1166.66666666667</v>
      </c>
      <c r="AK75" s="67" t="n">
        <f aca="false">-AK53</f>
        <v>-1166.66666666667</v>
      </c>
      <c r="AL75" s="67" t="n">
        <f aca="false">-AL53</f>
        <v>-1166.66666666667</v>
      </c>
      <c r="AM75" s="67" t="n">
        <f aca="false">-AM53</f>
        <v>-1166.66666666667</v>
      </c>
      <c r="AN75" s="67" t="n">
        <f aca="false">-AN53</f>
        <v>-1166.66666666667</v>
      </c>
      <c r="AO75" s="67" t="n">
        <f aca="false">-AO53</f>
        <v>-1166.66666666667</v>
      </c>
      <c r="AP75" s="67" t="n">
        <f aca="false">-AP53</f>
        <v>-1166.66666666667</v>
      </c>
      <c r="AQ75" s="67" t="n">
        <f aca="false">-AQ53</f>
        <v>-1166.66666666667</v>
      </c>
      <c r="AR75" s="67" t="n">
        <f aca="false">-AR53</f>
        <v>-1166.66666666667</v>
      </c>
      <c r="AS75" s="67" t="n">
        <f aca="false">-AS53</f>
        <v>-1166.66666666667</v>
      </c>
      <c r="AT75" s="67" t="n">
        <f aca="false">-AT53</f>
        <v>-1166.66666666667</v>
      </c>
      <c r="AU75" s="67" t="n">
        <f aca="false">-AU53</f>
        <v>-1166.66666666667</v>
      </c>
      <c r="AV75" s="67" t="n">
        <f aca="false">-AV53</f>
        <v>-1166.66666666667</v>
      </c>
      <c r="AW75" s="67" t="n">
        <f aca="false">-AW53</f>
        <v>-1166.66666666667</v>
      </c>
      <c r="AX75" s="67" t="n">
        <f aca="false">-AX53</f>
        <v>-1166.66666666667</v>
      </c>
      <c r="AY75" s="67" t="n">
        <f aca="false">-AY53</f>
        <v>-1166.66666666667</v>
      </c>
      <c r="AZ75" s="67" t="n">
        <f aca="false">-AZ53</f>
        <v>-1166.66666666667</v>
      </c>
      <c r="BA75" s="67" t="n">
        <f aca="false">-BA53</f>
        <v>-1166.66666666667</v>
      </c>
      <c r="BB75" s="67" t="n">
        <f aca="false">-BB53</f>
        <v>-1166.66666666667</v>
      </c>
      <c r="BC75" s="67" t="n">
        <f aca="false">-BC53</f>
        <v>-1166.66666666667</v>
      </c>
      <c r="BD75" s="67" t="n">
        <f aca="false">-BD53</f>
        <v>-1166.66666666667</v>
      </c>
      <c r="BE75" s="67" t="n">
        <f aca="false">-BE53</f>
        <v>-1166.66666666667</v>
      </c>
      <c r="BF75" s="67" t="n">
        <f aca="false">-BF53</f>
        <v>-1166.66666666667</v>
      </c>
      <c r="BG75" s="67" t="n">
        <f aca="false">-BG53</f>
        <v>-1166.66666666667</v>
      </c>
      <c r="BH75" s="67" t="n">
        <f aca="false">-BH53</f>
        <v>-1166.66666666667</v>
      </c>
      <c r="BI75" s="67" t="n">
        <f aca="false">-BI53</f>
        <v>-1166.66666666667</v>
      </c>
      <c r="BJ75" s="67" t="n">
        <f aca="false">-BJ53</f>
        <v>-1166.66666666667</v>
      </c>
    </row>
    <row r="76" customFormat="false" ht="15" hidden="false" customHeight="false" outlineLevel="0" collapsed="false">
      <c r="A76" s="6" t="s">
        <v>64</v>
      </c>
      <c r="C76" s="67" t="n">
        <f aca="false">IF(C$4=1,Inputs!$E$58,0)</f>
        <v>60000</v>
      </c>
      <c r="D76" s="67" t="n">
        <f aca="false">IF(D$4=1,Inputs!$E$58,0)</f>
        <v>0</v>
      </c>
      <c r="E76" s="67" t="n">
        <f aca="false">IF(E$4=1,Inputs!$E$58,0)</f>
        <v>0</v>
      </c>
      <c r="F76" s="67" t="n">
        <f aca="false">IF(F$4=1,Inputs!$E$58,0)</f>
        <v>0</v>
      </c>
      <c r="G76" s="67" t="n">
        <f aca="false">IF(G$4=1,Inputs!$E$58,0)</f>
        <v>0</v>
      </c>
      <c r="H76" s="67" t="n">
        <f aca="false">IF(H$4=1,Inputs!$E$58,0)</f>
        <v>0</v>
      </c>
      <c r="I76" s="67" t="n">
        <f aca="false">IF(I$4=1,Inputs!$E$58,0)</f>
        <v>0</v>
      </c>
      <c r="J76" s="67" t="n">
        <f aca="false">IF(J$4=1,Inputs!$E$58,0)</f>
        <v>0</v>
      </c>
      <c r="K76" s="67" t="n">
        <f aca="false">IF(K$4=1,Inputs!$E$58,0)</f>
        <v>0</v>
      </c>
      <c r="L76" s="67" t="n">
        <f aca="false">IF(L$4=1,Inputs!$E$58,0)</f>
        <v>0</v>
      </c>
      <c r="M76" s="67" t="n">
        <f aca="false">IF(M$4=1,Inputs!$E$58,0)</f>
        <v>0</v>
      </c>
      <c r="N76" s="67" t="n">
        <f aca="false">IF(N$4=1,Inputs!$E$58,0)</f>
        <v>0</v>
      </c>
      <c r="O76" s="67" t="n">
        <f aca="false">IF(O$4=1,Inputs!$E$58,0)</f>
        <v>0</v>
      </c>
      <c r="P76" s="67" t="n">
        <f aca="false">IF(P$4=1,Inputs!$E$58,0)</f>
        <v>0</v>
      </c>
      <c r="Q76" s="67" t="n">
        <f aca="false">IF(Q$4=1,Inputs!$E$58,0)</f>
        <v>0</v>
      </c>
      <c r="R76" s="67" t="n">
        <f aca="false">IF(R$4=1,Inputs!$E$58,0)</f>
        <v>0</v>
      </c>
      <c r="S76" s="67" t="n">
        <f aca="false">IF(S$4=1,Inputs!$E$58,0)</f>
        <v>0</v>
      </c>
      <c r="T76" s="67" t="n">
        <f aca="false">IF(T$4=1,Inputs!$E$58,0)</f>
        <v>0</v>
      </c>
      <c r="U76" s="67" t="n">
        <f aca="false">IF(U$4=1,Inputs!$E$58,0)</f>
        <v>0</v>
      </c>
      <c r="V76" s="67" t="n">
        <f aca="false">IF(V$4=1,Inputs!$E$58,0)</f>
        <v>0</v>
      </c>
      <c r="W76" s="67" t="n">
        <f aca="false">IF(W$4=1,Inputs!$E$58,0)</f>
        <v>0</v>
      </c>
      <c r="X76" s="67" t="n">
        <f aca="false">IF(X$4=1,Inputs!$E$58,0)</f>
        <v>0</v>
      </c>
      <c r="Y76" s="67" t="n">
        <f aca="false">IF(Y$4=1,Inputs!$E$58,0)</f>
        <v>0</v>
      </c>
      <c r="Z76" s="67" t="n">
        <f aca="false">IF(Z$4=1,Inputs!$E$58,0)</f>
        <v>0</v>
      </c>
      <c r="AA76" s="67" t="n">
        <f aca="false">IF(AA$4=1,Inputs!$E$58,0)</f>
        <v>0</v>
      </c>
      <c r="AB76" s="67" t="n">
        <f aca="false">IF(AB$4=1,Inputs!$E$58,0)</f>
        <v>0</v>
      </c>
      <c r="AC76" s="67" t="n">
        <f aca="false">IF(AC$4=1,Inputs!$E$58,0)</f>
        <v>0</v>
      </c>
      <c r="AD76" s="67" t="n">
        <f aca="false">IF(AD$4=1,Inputs!$E$58,0)</f>
        <v>0</v>
      </c>
      <c r="AE76" s="67" t="n">
        <f aca="false">IF(AE$4=1,Inputs!$E$58,0)</f>
        <v>0</v>
      </c>
      <c r="AF76" s="67" t="n">
        <f aca="false">IF(AF$4=1,Inputs!$E$58,0)</f>
        <v>0</v>
      </c>
      <c r="AG76" s="67" t="n">
        <f aca="false">IF(AG$4=1,Inputs!$E$58,0)</f>
        <v>0</v>
      </c>
      <c r="AH76" s="67" t="n">
        <f aca="false">IF(AH$4=1,Inputs!$E$58,0)</f>
        <v>0</v>
      </c>
      <c r="AI76" s="67" t="n">
        <f aca="false">IF(AI$4=1,Inputs!$E$58,0)</f>
        <v>0</v>
      </c>
      <c r="AJ76" s="67" t="n">
        <f aca="false">IF(AJ$4=1,Inputs!$E$58,0)</f>
        <v>0</v>
      </c>
      <c r="AK76" s="67" t="n">
        <f aca="false">IF(AK$4=1,Inputs!$E$58,0)</f>
        <v>0</v>
      </c>
      <c r="AL76" s="67" t="n">
        <f aca="false">IF(AL$4=1,Inputs!$E$58,0)</f>
        <v>0</v>
      </c>
      <c r="AM76" s="67" t="n">
        <f aca="false">IF(AM$4=1,Inputs!$E$58,0)</f>
        <v>0</v>
      </c>
      <c r="AN76" s="67" t="n">
        <f aca="false">IF(AN$4=1,Inputs!$E$58,0)</f>
        <v>0</v>
      </c>
      <c r="AO76" s="67" t="n">
        <f aca="false">IF(AO$4=1,Inputs!$E$58,0)</f>
        <v>0</v>
      </c>
      <c r="AP76" s="67" t="n">
        <f aca="false">IF(AP$4=1,Inputs!$E$58,0)</f>
        <v>0</v>
      </c>
      <c r="AQ76" s="67" t="n">
        <f aca="false">IF(AQ$4=1,Inputs!$E$58,0)</f>
        <v>0</v>
      </c>
      <c r="AR76" s="67" t="n">
        <f aca="false">IF(AR$4=1,Inputs!$E$58,0)</f>
        <v>0</v>
      </c>
      <c r="AS76" s="67" t="n">
        <f aca="false">IF(AS$4=1,Inputs!$E$58,0)</f>
        <v>0</v>
      </c>
      <c r="AT76" s="67" t="n">
        <f aca="false">IF(AT$4=1,Inputs!$E$58,0)</f>
        <v>0</v>
      </c>
      <c r="AU76" s="67" t="n">
        <f aca="false">IF(AU$4=1,Inputs!$E$58,0)</f>
        <v>0</v>
      </c>
      <c r="AV76" s="67" t="n">
        <f aca="false">IF(AV$4=1,Inputs!$E$58,0)</f>
        <v>0</v>
      </c>
      <c r="AW76" s="67" t="n">
        <f aca="false">IF(AW$4=1,Inputs!$E$58,0)</f>
        <v>0</v>
      </c>
      <c r="AX76" s="67" t="n">
        <f aca="false">IF(AX$4=1,Inputs!$E$58,0)</f>
        <v>0</v>
      </c>
      <c r="AY76" s="67" t="n">
        <f aca="false">IF(AY$4=1,Inputs!$E$58,0)</f>
        <v>0</v>
      </c>
      <c r="AZ76" s="67" t="n">
        <f aca="false">IF(AZ$4=1,Inputs!$E$58,0)</f>
        <v>0</v>
      </c>
      <c r="BA76" s="67" t="n">
        <f aca="false">IF(BA$4=1,Inputs!$E$58,0)</f>
        <v>0</v>
      </c>
      <c r="BB76" s="67" t="n">
        <f aca="false">IF(BB$4=1,Inputs!$E$58,0)</f>
        <v>0</v>
      </c>
      <c r="BC76" s="67" t="n">
        <f aca="false">IF(BC$4=1,Inputs!$E$58,0)</f>
        <v>0</v>
      </c>
      <c r="BD76" s="67" t="n">
        <f aca="false">IF(BD$4=1,Inputs!$E$58,0)</f>
        <v>0</v>
      </c>
      <c r="BE76" s="67" t="n">
        <f aca="false">IF(BE$4=1,Inputs!$E$58,0)</f>
        <v>0</v>
      </c>
      <c r="BF76" s="67" t="n">
        <f aca="false">IF(BF$4=1,Inputs!$E$58,0)</f>
        <v>0</v>
      </c>
      <c r="BG76" s="67" t="n">
        <f aca="false">IF(BG$4=1,Inputs!$E$58,0)</f>
        <v>0</v>
      </c>
      <c r="BH76" s="67" t="n">
        <f aca="false">IF(BH$4=1,Inputs!$E$58,0)</f>
        <v>0</v>
      </c>
      <c r="BI76" s="67" t="n">
        <f aca="false">IF(BI$4=1,Inputs!$E$58,0)</f>
        <v>0</v>
      </c>
      <c r="BJ76" s="67" t="n">
        <f aca="false">IF(BJ$4=1,Inputs!$E$58,0)</f>
        <v>0</v>
      </c>
    </row>
    <row r="77" customFormat="false" ht="15" hidden="false" customHeight="false" outlineLevel="0" collapsed="false">
      <c r="A77" s="6" t="s">
        <v>54</v>
      </c>
      <c r="C77" s="67" t="n">
        <f aca="false">C76+C61+C62</f>
        <v>140000</v>
      </c>
      <c r="D77" s="67" t="n">
        <f aca="false">D76+D61+D62</f>
        <v>-1333.33333333333</v>
      </c>
      <c r="E77" s="67" t="n">
        <f aca="false">E76+E61+E62</f>
        <v>-1333.33333333333</v>
      </c>
      <c r="F77" s="67" t="n">
        <f aca="false">F76+F61+F62</f>
        <v>-1333.33333333333</v>
      </c>
      <c r="G77" s="67" t="n">
        <f aca="false">G76+G61+G62</f>
        <v>-1333.33333333333</v>
      </c>
      <c r="H77" s="67" t="n">
        <f aca="false">H76+H61+H62</f>
        <v>-1333.33333333333</v>
      </c>
      <c r="I77" s="67" t="n">
        <f aca="false">I76+I61+I62</f>
        <v>-1333.33333333333</v>
      </c>
      <c r="J77" s="67" t="n">
        <f aca="false">J76+J61+J62</f>
        <v>-1333.33333333333</v>
      </c>
      <c r="K77" s="67" t="n">
        <f aca="false">K76+K61+K62</f>
        <v>-1333.33333333333</v>
      </c>
      <c r="L77" s="67" t="n">
        <f aca="false">L76+L61+L62</f>
        <v>-1333.33333333333</v>
      </c>
      <c r="M77" s="67" t="n">
        <f aca="false">M76+M61+M62</f>
        <v>-1333.33333333333</v>
      </c>
      <c r="N77" s="67" t="n">
        <f aca="false">N76+N61+N62</f>
        <v>-1333.33333333333</v>
      </c>
      <c r="O77" s="67" t="n">
        <f aca="false">O76+O61+O62</f>
        <v>-1333.33333333333</v>
      </c>
      <c r="P77" s="67" t="n">
        <f aca="false">P76+P61+P62</f>
        <v>-1333.33333333333</v>
      </c>
      <c r="Q77" s="67" t="n">
        <f aca="false">Q76+Q61+Q62</f>
        <v>-1333.33333333333</v>
      </c>
      <c r="R77" s="67" t="n">
        <f aca="false">R76+R61+R62</f>
        <v>-1333.33333333333</v>
      </c>
      <c r="S77" s="67" t="n">
        <f aca="false">S76+S61+S62</f>
        <v>-1333.33333333333</v>
      </c>
      <c r="T77" s="67" t="n">
        <f aca="false">T76+T61+T62</f>
        <v>-1333.33333333333</v>
      </c>
      <c r="U77" s="67" t="n">
        <f aca="false">U76+U61+U62</f>
        <v>-1333.33333333333</v>
      </c>
      <c r="V77" s="67" t="n">
        <f aca="false">V76+V61+V62</f>
        <v>-1333.33333333333</v>
      </c>
      <c r="W77" s="67" t="n">
        <f aca="false">W76+W61+W62</f>
        <v>-1333.33333333333</v>
      </c>
      <c r="X77" s="67" t="n">
        <f aca="false">X76+X61+X62</f>
        <v>-1333.33333333333</v>
      </c>
      <c r="Y77" s="67" t="n">
        <f aca="false">Y76+Y61+Y62</f>
        <v>-1333.33333333333</v>
      </c>
      <c r="Z77" s="67" t="n">
        <f aca="false">Z76+Z61+Z62</f>
        <v>-1333.33333333333</v>
      </c>
      <c r="AA77" s="67" t="n">
        <f aca="false">AA76+AA61+AA62</f>
        <v>-1333.33333333333</v>
      </c>
      <c r="AB77" s="67" t="n">
        <f aca="false">AB76+AB61+AB62</f>
        <v>-1333.33333333333</v>
      </c>
      <c r="AC77" s="67" t="n">
        <f aca="false">AC76+AC61+AC62</f>
        <v>-1333.33333333333</v>
      </c>
      <c r="AD77" s="67" t="n">
        <f aca="false">AD76+AD61+AD62</f>
        <v>-1333.33333333333</v>
      </c>
      <c r="AE77" s="67" t="n">
        <f aca="false">AE76+AE61+AE62</f>
        <v>-1333.33333333333</v>
      </c>
      <c r="AF77" s="67" t="n">
        <f aca="false">AF76+AF61+AF62</f>
        <v>-1333.33333333333</v>
      </c>
      <c r="AG77" s="67" t="n">
        <f aca="false">AG76+AG61+AG62</f>
        <v>-1333.33333333333</v>
      </c>
      <c r="AH77" s="67" t="n">
        <f aca="false">AH76+AH61+AH62</f>
        <v>-1333.33333333333</v>
      </c>
      <c r="AI77" s="67" t="n">
        <f aca="false">AI76+AI61+AI62</f>
        <v>-1333.33333333333</v>
      </c>
      <c r="AJ77" s="67" t="n">
        <f aca="false">AJ76+AJ61+AJ62</f>
        <v>-1333.33333333333</v>
      </c>
      <c r="AK77" s="67" t="n">
        <f aca="false">AK76+AK61+AK62</f>
        <v>-1333.33333333333</v>
      </c>
      <c r="AL77" s="67" t="n">
        <f aca="false">AL76+AL61+AL62</f>
        <v>-1333.33333333333</v>
      </c>
      <c r="AM77" s="67" t="n">
        <f aca="false">AM76+AM61+AM62</f>
        <v>-1333.33333333333</v>
      </c>
      <c r="AN77" s="67" t="n">
        <f aca="false">AN76+AN61+AN62</f>
        <v>-1333.33333333333</v>
      </c>
      <c r="AO77" s="67" t="n">
        <f aca="false">AO76+AO61+AO62</f>
        <v>-1333.33333333333</v>
      </c>
      <c r="AP77" s="67" t="n">
        <f aca="false">AP76+AP61+AP62</f>
        <v>-1333.33333333333</v>
      </c>
      <c r="AQ77" s="67" t="n">
        <f aca="false">AQ76+AQ61+AQ62</f>
        <v>-1333.33333333333</v>
      </c>
      <c r="AR77" s="67" t="n">
        <f aca="false">AR76+AR61+AR62</f>
        <v>-1333.33333333333</v>
      </c>
      <c r="AS77" s="67" t="n">
        <f aca="false">AS76+AS61+AS62</f>
        <v>-1333.33333333333</v>
      </c>
      <c r="AT77" s="67" t="n">
        <f aca="false">AT76+AT61+AT62</f>
        <v>-1333.33333333333</v>
      </c>
      <c r="AU77" s="67" t="n">
        <f aca="false">AU76+AU61+AU62</f>
        <v>-1333.33333333333</v>
      </c>
      <c r="AV77" s="67" t="n">
        <f aca="false">AV76+AV61+AV62</f>
        <v>-1333.33333333333</v>
      </c>
      <c r="AW77" s="67" t="n">
        <f aca="false">AW76+AW61+AW62</f>
        <v>-1333.33333333333</v>
      </c>
      <c r="AX77" s="67" t="n">
        <f aca="false">AX76+AX61+AX62</f>
        <v>-1333.33333333333</v>
      </c>
      <c r="AY77" s="67" t="n">
        <f aca="false">AY76+AY61+AY62</f>
        <v>-1333.33333333333</v>
      </c>
      <c r="AZ77" s="67" t="n">
        <f aca="false">AZ76+AZ61+AZ62</f>
        <v>-1333.33333333333</v>
      </c>
      <c r="BA77" s="67" t="n">
        <f aca="false">BA76+BA61+BA62</f>
        <v>-1333.33333333333</v>
      </c>
      <c r="BB77" s="67" t="n">
        <f aca="false">BB76+BB61+BB62</f>
        <v>-1333.33333333333</v>
      </c>
      <c r="BC77" s="67" t="n">
        <f aca="false">BC76+BC61+BC62</f>
        <v>-1333.33333333333</v>
      </c>
      <c r="BD77" s="67" t="n">
        <f aca="false">BD76+BD61+BD62</f>
        <v>-1333.33333333333</v>
      </c>
      <c r="BE77" s="67" t="n">
        <f aca="false">BE76+BE61+BE62</f>
        <v>-1333.33333333333</v>
      </c>
      <c r="BF77" s="67" t="n">
        <f aca="false">BF76+BF61+BF62</f>
        <v>-1333.33333333333</v>
      </c>
      <c r="BG77" s="67" t="n">
        <f aca="false">BG76+BG61+BG62</f>
        <v>-1333.33333333333</v>
      </c>
      <c r="BH77" s="67" t="n">
        <f aca="false">BH76+BH61+BH62</f>
        <v>-1333.33333333333</v>
      </c>
      <c r="BI77" s="67" t="n">
        <f aca="false">BI76+BI61+BI62</f>
        <v>-1333.33333333333</v>
      </c>
      <c r="BJ77" s="67" t="n">
        <f aca="false">BJ76+BJ61+BJ62</f>
        <v>-1333.33333333333</v>
      </c>
    </row>
    <row r="78" customFormat="false" ht="15" hidden="false" customHeight="false" outlineLevel="0" collapsed="false">
      <c r="A78" s="115" t="s">
        <v>424</v>
      </c>
      <c r="C78" s="68" t="n">
        <f aca="false">C74+C75+C77</f>
        <v>35320.9590735238</v>
      </c>
      <c r="D78" s="68" t="n">
        <f aca="false">D74+D75+D77</f>
        <v>2659.95661574603</v>
      </c>
      <c r="E78" s="68" t="n">
        <f aca="false">E74+E75+E77</f>
        <v>5922.60776114287</v>
      </c>
      <c r="F78" s="68" t="n">
        <f aca="false">F74+F75+F77</f>
        <v>6870.65172939683</v>
      </c>
      <c r="G78" s="68" t="n">
        <f aca="false">G74+G75+G77</f>
        <v>6878.11284050794</v>
      </c>
      <c r="H78" s="68" t="n">
        <f aca="false">H74+H75+H77</f>
        <v>6885.57395161905</v>
      </c>
      <c r="I78" s="68" t="n">
        <f aca="false">I74+I75+I77</f>
        <v>6893.03506273016</v>
      </c>
      <c r="J78" s="68" t="n">
        <f aca="false">J74+J75+J77</f>
        <v>6900.49617384128</v>
      </c>
      <c r="K78" s="68" t="n">
        <f aca="false">K74+K75+K77</f>
        <v>6907.95728495239</v>
      </c>
      <c r="L78" s="68" t="n">
        <f aca="false">L74+L75+L77</f>
        <v>6915.4183960635</v>
      </c>
      <c r="M78" s="68" t="n">
        <f aca="false">M74+M75+M77</f>
        <v>15314.7001974603</v>
      </c>
      <c r="N78" s="68" t="n">
        <f aca="false">N74+N75+N77</f>
        <v>18781.1510228571</v>
      </c>
      <c r="O78" s="68" t="n">
        <f aca="false">O74+O75+O77</f>
        <v>9936.16761023616</v>
      </c>
      <c r="P78" s="68" t="n">
        <f aca="false">P74+P75+P77</f>
        <v>8005.88268812823</v>
      </c>
      <c r="Q78" s="68" t="n">
        <f aca="false">Q74+Q75+Q77</f>
        <v>8016.26046590601</v>
      </c>
      <c r="R78" s="68" t="n">
        <f aca="false">R74+R75+R77</f>
        <v>8026.63824368379</v>
      </c>
      <c r="S78" s="68" t="n">
        <f aca="false">S74+S75+S77</f>
        <v>8037.01602146157</v>
      </c>
      <c r="T78" s="68" t="n">
        <f aca="false">T74+T75+T77</f>
        <v>8047.39379923935</v>
      </c>
      <c r="U78" s="68" t="n">
        <f aca="false">U74+U75+U77</f>
        <v>8057.77157701712</v>
      </c>
      <c r="V78" s="68" t="n">
        <f aca="false">V74+V75+V77</f>
        <v>8068.14935479491</v>
      </c>
      <c r="W78" s="68" t="n">
        <f aca="false">W74+W75+W77</f>
        <v>8078.52713257268</v>
      </c>
      <c r="X78" s="68" t="n">
        <f aca="false">X74+X75+X77</f>
        <v>8088.90491035046</v>
      </c>
      <c r="Y78" s="68" t="n">
        <f aca="false">Y74+Y75+Y77</f>
        <v>17002.1652584523</v>
      </c>
      <c r="Z78" s="68" t="n">
        <f aca="false">Z74+Z75+Z77</f>
        <v>20682.1852241158</v>
      </c>
      <c r="AA78" s="68" t="n">
        <f aca="false">AA74+AA75+AA77</f>
        <v>12629.4697169395</v>
      </c>
      <c r="AB78" s="68" t="n">
        <f aca="false">AB74+AB75+AB77</f>
        <v>10643.6374134325</v>
      </c>
      <c r="AC78" s="68" t="n">
        <f aca="false">AC74+AC75+AC77</f>
        <v>10654.0151912102</v>
      </c>
      <c r="AD78" s="68" t="n">
        <f aca="false">AD74+AD75+AD77</f>
        <v>10664.392968988</v>
      </c>
      <c r="AE78" s="68" t="n">
        <f aca="false">AE74+AE75+AE77</f>
        <v>10674.7707467658</v>
      </c>
      <c r="AF78" s="68" t="n">
        <f aca="false">AF74+AF75+AF77</f>
        <v>10685.1485245436</v>
      </c>
      <c r="AG78" s="68" t="n">
        <f aca="false">AG74+AG75+AG77</f>
        <v>10695.5263023214</v>
      </c>
      <c r="AH78" s="68" t="n">
        <f aca="false">AH74+AH75+AH77</f>
        <v>10705.9040800991</v>
      </c>
      <c r="AI78" s="68" t="n">
        <f aca="false">AI74+AI75+AI77</f>
        <v>10716.2818578769</v>
      </c>
      <c r="AJ78" s="68" t="n">
        <f aca="false">AJ74+AJ75+AJ77</f>
        <v>10726.6596356547</v>
      </c>
      <c r="AK78" s="68" t="n">
        <f aca="false">AK74+AK75+AK77</f>
        <v>20182.1055322893</v>
      </c>
      <c r="AL78" s="68" t="n">
        <f aca="false">AL74+AL75+AL77</f>
        <v>24085.6067071951</v>
      </c>
      <c r="AM78" s="68" t="n">
        <f aca="false">AM74+AM75+AM77</f>
        <v>15655.5559832589</v>
      </c>
      <c r="AN78" s="68" t="n">
        <f aca="false">AN74+AN75+AN77</f>
        <v>13620.4148096966</v>
      </c>
      <c r="AO78" s="68" t="n">
        <f aca="false">AO74+AO75+AO77</f>
        <v>13630.7925874744</v>
      </c>
      <c r="AP78" s="68" t="n">
        <f aca="false">AP74+AP75+AP77</f>
        <v>13641.1703652522</v>
      </c>
      <c r="AQ78" s="68" t="n">
        <f aca="false">AQ74+AQ75+AQ77</f>
        <v>13651.5481430299</v>
      </c>
      <c r="AR78" s="68" t="n">
        <f aca="false">AR74+AR75+AR77</f>
        <v>13661.9259208077</v>
      </c>
      <c r="AS78" s="68" t="n">
        <f aca="false">AS74+AS75+AS77</f>
        <v>13672.3036985855</v>
      </c>
      <c r="AT78" s="68" t="n">
        <f aca="false">AT74+AT75+AT77</f>
        <v>13682.6814763633</v>
      </c>
      <c r="AU78" s="68" t="n">
        <f aca="false">AU74+AU75+AU77</f>
        <v>13693.059254141</v>
      </c>
      <c r="AV78" s="68" t="n">
        <f aca="false">AV74+AV75+AV77</f>
        <v>13703.4370319188</v>
      </c>
      <c r="AW78" s="68" t="n">
        <f aca="false">AW74+AW75+AW77</f>
        <v>23734.0875769919</v>
      </c>
      <c r="AX78" s="68" t="n">
        <f aca="false">AX74+AX75+AX77</f>
        <v>27874.6799667827</v>
      </c>
      <c r="AY78" s="68" t="n">
        <f aca="false">AY74+AY75+AY77</f>
        <v>19067.7953616171</v>
      </c>
      <c r="AZ78" s="68" t="n">
        <f aca="false">AZ74+AZ75+AZ77</f>
        <v>16991.4415935633</v>
      </c>
      <c r="BA78" s="68" t="n">
        <f aca="false">BA74+BA75+BA77</f>
        <v>17001.8193713411</v>
      </c>
      <c r="BB78" s="68" t="n">
        <f aca="false">BB74+BB75+BB77</f>
        <v>17012.1971491189</v>
      </c>
      <c r="BC78" s="68" t="n">
        <f aca="false">BC74+BC75+BC77</f>
        <v>17022.5749268967</v>
      </c>
      <c r="BD78" s="68" t="n">
        <f aca="false">BD74+BD75+BD77</f>
        <v>17032.9527046744</v>
      </c>
      <c r="BE78" s="68" t="n">
        <f aca="false">BE74+BE75+BE77</f>
        <v>17043.3304824522</v>
      </c>
      <c r="BF78" s="68" t="n">
        <f aca="false">BF74+BF75+BF77</f>
        <v>17053.70826023</v>
      </c>
      <c r="BG78" s="68" t="n">
        <f aca="false">BG74+BG75+BG77</f>
        <v>17064.0860380078</v>
      </c>
      <c r="BH78" s="68" t="n">
        <f aca="false">BH74+BH75+BH77</f>
        <v>17074.4638157856</v>
      </c>
      <c r="BI78" s="68" t="n">
        <f aca="false">BI74+BI75+BI77</f>
        <v>27715.3489723869</v>
      </c>
      <c r="BJ78" s="68" t="n">
        <f aca="false">BJ74+BJ75+BJ77</f>
        <v>32107.4714320493</v>
      </c>
    </row>
    <row r="79" customFormat="false" ht="15" hidden="false" customHeight="false" outlineLevel="0" collapsed="false">
      <c r="A79" s="6" t="s">
        <v>335</v>
      </c>
      <c r="C79" s="67" t="n">
        <f aca="false">0</f>
        <v>0</v>
      </c>
      <c r="D79" s="67" t="n">
        <f aca="false">C80</f>
        <v>35320.9590735238</v>
      </c>
      <c r="E79" s="67" t="n">
        <f aca="false">D80</f>
        <v>37980.9156892698</v>
      </c>
      <c r="F79" s="67" t="n">
        <f aca="false">E80</f>
        <v>43903.5234504127</v>
      </c>
      <c r="G79" s="67" t="n">
        <f aca="false">F80</f>
        <v>50774.1751798095</v>
      </c>
      <c r="H79" s="67" t="n">
        <f aca="false">G80</f>
        <v>57652.2880203175</v>
      </c>
      <c r="I79" s="67" t="n">
        <f aca="false">H80</f>
        <v>64537.8619719365</v>
      </c>
      <c r="J79" s="67" t="n">
        <f aca="false">I80</f>
        <v>71430.8970346667</v>
      </c>
      <c r="K79" s="67" t="n">
        <f aca="false">J80</f>
        <v>78331.393208508</v>
      </c>
      <c r="L79" s="67" t="n">
        <f aca="false">K80</f>
        <v>85239.3504934604</v>
      </c>
      <c r="M79" s="67" t="n">
        <f aca="false">L80</f>
        <v>92154.7688895239</v>
      </c>
      <c r="N79" s="67" t="n">
        <f aca="false">M80</f>
        <v>107469.469086984</v>
      </c>
      <c r="O79" s="67" t="n">
        <f aca="false">N80</f>
        <v>126250.620109841</v>
      </c>
      <c r="P79" s="67" t="n">
        <f aca="false">O80</f>
        <v>136186.787720078</v>
      </c>
      <c r="Q79" s="67" t="n">
        <f aca="false">P80</f>
        <v>144192.670408206</v>
      </c>
      <c r="R79" s="67" t="n">
        <f aca="false">Q80</f>
        <v>152208.930874112</v>
      </c>
      <c r="S79" s="67" t="n">
        <f aca="false">R80</f>
        <v>160235.569117796</v>
      </c>
      <c r="T79" s="67" t="n">
        <f aca="false">S80</f>
        <v>168272.585139257</v>
      </c>
      <c r="U79" s="67" t="n">
        <f aca="false">T80</f>
        <v>176319.978938496</v>
      </c>
      <c r="V79" s="67" t="n">
        <f aca="false">U80</f>
        <v>184377.750515514</v>
      </c>
      <c r="W79" s="67" t="n">
        <f aca="false">V80</f>
        <v>192445.899870308</v>
      </c>
      <c r="X79" s="67" t="n">
        <f aca="false">W80</f>
        <v>200524.427002881</v>
      </c>
      <c r="Y79" s="67" t="n">
        <f aca="false">X80</f>
        <v>208613.331913232</v>
      </c>
      <c r="Z79" s="67" t="n">
        <f aca="false">Y80</f>
        <v>225615.497171684</v>
      </c>
      <c r="AA79" s="67" t="n">
        <f aca="false">Z80</f>
        <v>246297.6823958</v>
      </c>
      <c r="AB79" s="67" t="n">
        <f aca="false">AA80</f>
        <v>258927.152112739</v>
      </c>
      <c r="AC79" s="67" t="n">
        <f aca="false">AB80</f>
        <v>269570.789526172</v>
      </c>
      <c r="AD79" s="67" t="n">
        <f aca="false">AC80</f>
        <v>280224.804717382</v>
      </c>
      <c r="AE79" s="67" t="n">
        <f aca="false">AD80</f>
        <v>290889.19768637</v>
      </c>
      <c r="AF79" s="67" t="n">
        <f aca="false">AE80</f>
        <v>301563.968433136</v>
      </c>
      <c r="AG79" s="67" t="n">
        <f aca="false">AF80</f>
        <v>312249.116957679</v>
      </c>
      <c r="AH79" s="67" t="n">
        <f aca="false">AG80</f>
        <v>322944.643260001</v>
      </c>
      <c r="AI79" s="67" t="n">
        <f aca="false">AH80</f>
        <v>333650.5473401</v>
      </c>
      <c r="AJ79" s="67" t="n">
        <f aca="false">AI80</f>
        <v>344366.829197977</v>
      </c>
      <c r="AK79" s="67" t="n">
        <f aca="false">AJ80</f>
        <v>355093.488833631</v>
      </c>
      <c r="AL79" s="67" t="n">
        <f aca="false">AK80</f>
        <v>375275.594365921</v>
      </c>
      <c r="AM79" s="67" t="n">
        <f aca="false">AL80</f>
        <v>399361.201073116</v>
      </c>
      <c r="AN79" s="67" t="n">
        <f aca="false">AM80</f>
        <v>415016.757056375</v>
      </c>
      <c r="AO79" s="67" t="n">
        <f aca="false">AN80</f>
        <v>428637.171866071</v>
      </c>
      <c r="AP79" s="67" t="n">
        <f aca="false">AO80</f>
        <v>442267.964453546</v>
      </c>
      <c r="AQ79" s="67" t="n">
        <f aca="false">AP80</f>
        <v>455909.134818798</v>
      </c>
      <c r="AR79" s="67" t="n">
        <f aca="false">AQ80</f>
        <v>469560.682961828</v>
      </c>
      <c r="AS79" s="67" t="n">
        <f aca="false">AR80</f>
        <v>483222.608882636</v>
      </c>
      <c r="AT79" s="67" t="n">
        <f aca="false">AS80</f>
        <v>496894.912581221</v>
      </c>
      <c r="AU79" s="67" t="n">
        <f aca="false">AT80</f>
        <v>510577.594057584</v>
      </c>
      <c r="AV79" s="67" t="n">
        <f aca="false">AU80</f>
        <v>524270.653311725</v>
      </c>
      <c r="AW79" s="67" t="n">
        <f aca="false">AV80</f>
        <v>537974.090343644</v>
      </c>
      <c r="AX79" s="67" t="n">
        <f aca="false">AW80</f>
        <v>561708.177920636</v>
      </c>
      <c r="AY79" s="67" t="n">
        <f aca="false">AX80</f>
        <v>589582.857887419</v>
      </c>
      <c r="AZ79" s="67" t="n">
        <f aca="false">AY80</f>
        <v>608650.653249036</v>
      </c>
      <c r="BA79" s="67" t="n">
        <f aca="false">AZ80</f>
        <v>625642.094842599</v>
      </c>
      <c r="BB79" s="67" t="n">
        <f aca="false">BA80</f>
        <v>642643.91421394</v>
      </c>
      <c r="BC79" s="67" t="n">
        <f aca="false">BB80</f>
        <v>659656.111363059</v>
      </c>
      <c r="BD79" s="67" t="n">
        <f aca="false">BC80</f>
        <v>676678.686289956</v>
      </c>
      <c r="BE79" s="67" t="n">
        <f aca="false">BD80</f>
        <v>693711.63899463</v>
      </c>
      <c r="BF79" s="67" t="n">
        <f aca="false">BE80</f>
        <v>710754.969477082</v>
      </c>
      <c r="BG79" s="67" t="n">
        <f aca="false">BF80</f>
        <v>727808.677737312</v>
      </c>
      <c r="BH79" s="67" t="n">
        <f aca="false">BG80</f>
        <v>744872.76377532</v>
      </c>
      <c r="BI79" s="67" t="n">
        <f aca="false">BH80</f>
        <v>761947.227591106</v>
      </c>
      <c r="BJ79" s="67" t="n">
        <f aca="false">BI80</f>
        <v>789662.576563493</v>
      </c>
    </row>
    <row r="80" customFormat="false" ht="15" hidden="false" customHeight="false" outlineLevel="0" collapsed="false">
      <c r="A80" s="115" t="s">
        <v>87</v>
      </c>
      <c r="C80" s="68" t="n">
        <f aca="false">C79+C78</f>
        <v>35320.9590735238</v>
      </c>
      <c r="D80" s="68" t="n">
        <f aca="false">D79+D78</f>
        <v>37980.9156892698</v>
      </c>
      <c r="E80" s="68" t="n">
        <f aca="false">E79+E78</f>
        <v>43903.5234504127</v>
      </c>
      <c r="F80" s="68" t="n">
        <f aca="false">F79+F78</f>
        <v>50774.1751798095</v>
      </c>
      <c r="G80" s="68" t="n">
        <f aca="false">G79+G78</f>
        <v>57652.2880203175</v>
      </c>
      <c r="H80" s="68" t="n">
        <f aca="false">H79+H78</f>
        <v>64537.8619719365</v>
      </c>
      <c r="I80" s="68" t="n">
        <f aca="false">I79+I78</f>
        <v>71430.8970346667</v>
      </c>
      <c r="J80" s="68" t="n">
        <f aca="false">J79+J78</f>
        <v>78331.393208508</v>
      </c>
      <c r="K80" s="68" t="n">
        <f aca="false">K79+K78</f>
        <v>85239.3504934604</v>
      </c>
      <c r="L80" s="68" t="n">
        <f aca="false">L79+L78</f>
        <v>92154.7688895239</v>
      </c>
      <c r="M80" s="68" t="n">
        <f aca="false">M79+M78</f>
        <v>107469.469086984</v>
      </c>
      <c r="N80" s="68" t="n">
        <f aca="false">N79+N78</f>
        <v>126250.620109841</v>
      </c>
      <c r="O80" s="68" t="n">
        <f aca="false">O79+O78</f>
        <v>136186.787720078</v>
      </c>
      <c r="P80" s="68" t="n">
        <f aca="false">P79+P78</f>
        <v>144192.670408206</v>
      </c>
      <c r="Q80" s="68" t="n">
        <f aca="false">Q79+Q78</f>
        <v>152208.930874112</v>
      </c>
      <c r="R80" s="68" t="n">
        <f aca="false">R79+R78</f>
        <v>160235.569117796</v>
      </c>
      <c r="S80" s="68" t="n">
        <f aca="false">S79+S78</f>
        <v>168272.585139257</v>
      </c>
      <c r="T80" s="68" t="n">
        <f aca="false">T79+T78</f>
        <v>176319.978938496</v>
      </c>
      <c r="U80" s="68" t="n">
        <f aca="false">U79+U78</f>
        <v>184377.750515514</v>
      </c>
      <c r="V80" s="68" t="n">
        <f aca="false">V79+V78</f>
        <v>192445.899870308</v>
      </c>
      <c r="W80" s="68" t="n">
        <f aca="false">W79+W78</f>
        <v>200524.427002881</v>
      </c>
      <c r="X80" s="68" t="n">
        <f aca="false">X79+X78</f>
        <v>208613.331913232</v>
      </c>
      <c r="Y80" s="68" t="n">
        <f aca="false">Y79+Y78</f>
        <v>225615.497171684</v>
      </c>
      <c r="Z80" s="68" t="n">
        <f aca="false">Z79+Z78</f>
        <v>246297.6823958</v>
      </c>
      <c r="AA80" s="68" t="n">
        <f aca="false">AA79+AA78</f>
        <v>258927.152112739</v>
      </c>
      <c r="AB80" s="68" t="n">
        <f aca="false">AB79+AB78</f>
        <v>269570.789526172</v>
      </c>
      <c r="AC80" s="68" t="n">
        <f aca="false">AC79+AC78</f>
        <v>280224.804717382</v>
      </c>
      <c r="AD80" s="68" t="n">
        <f aca="false">AD79+AD78</f>
        <v>290889.19768637</v>
      </c>
      <c r="AE80" s="68" t="n">
        <f aca="false">AE79+AE78</f>
        <v>301563.968433136</v>
      </c>
      <c r="AF80" s="68" t="n">
        <f aca="false">AF79+AF78</f>
        <v>312249.116957679</v>
      </c>
      <c r="AG80" s="68" t="n">
        <f aca="false">AG79+AG78</f>
        <v>322944.643260001</v>
      </c>
      <c r="AH80" s="68" t="n">
        <f aca="false">AH79+AH78</f>
        <v>333650.5473401</v>
      </c>
      <c r="AI80" s="68" t="n">
        <f aca="false">AI79+AI78</f>
        <v>344366.829197977</v>
      </c>
      <c r="AJ80" s="68" t="n">
        <f aca="false">AJ79+AJ78</f>
        <v>355093.488833631</v>
      </c>
      <c r="AK80" s="68" t="n">
        <f aca="false">AK79+AK78</f>
        <v>375275.594365921</v>
      </c>
      <c r="AL80" s="68" t="n">
        <f aca="false">AL79+AL78</f>
        <v>399361.201073116</v>
      </c>
      <c r="AM80" s="68" t="n">
        <f aca="false">AM79+AM78</f>
        <v>415016.757056375</v>
      </c>
      <c r="AN80" s="68" t="n">
        <f aca="false">AN79+AN78</f>
        <v>428637.171866071</v>
      </c>
      <c r="AO80" s="68" t="n">
        <f aca="false">AO79+AO78</f>
        <v>442267.964453546</v>
      </c>
      <c r="AP80" s="68" t="n">
        <f aca="false">AP79+AP78</f>
        <v>455909.134818798</v>
      </c>
      <c r="AQ80" s="68" t="n">
        <f aca="false">AQ79+AQ78</f>
        <v>469560.682961828</v>
      </c>
      <c r="AR80" s="68" t="n">
        <f aca="false">AR79+AR78</f>
        <v>483222.608882636</v>
      </c>
      <c r="AS80" s="68" t="n">
        <f aca="false">AS79+AS78</f>
        <v>496894.912581221</v>
      </c>
      <c r="AT80" s="68" t="n">
        <f aca="false">AT79+AT78</f>
        <v>510577.594057584</v>
      </c>
      <c r="AU80" s="68" t="n">
        <f aca="false">AU79+AU78</f>
        <v>524270.653311725</v>
      </c>
      <c r="AV80" s="68" t="n">
        <f aca="false">AV79+AV78</f>
        <v>537974.090343644</v>
      </c>
      <c r="AW80" s="68" t="n">
        <f aca="false">AW79+AW78</f>
        <v>561708.177920636</v>
      </c>
      <c r="AX80" s="68" t="n">
        <f aca="false">AX79+AX78</f>
        <v>589582.857887419</v>
      </c>
      <c r="AY80" s="68" t="n">
        <f aca="false">AY79+AY78</f>
        <v>608650.653249036</v>
      </c>
      <c r="AZ80" s="68" t="n">
        <f aca="false">AZ79+AZ78</f>
        <v>625642.094842599</v>
      </c>
      <c r="BA80" s="68" t="n">
        <f aca="false">BA79+BA78</f>
        <v>642643.91421394</v>
      </c>
      <c r="BB80" s="68" t="n">
        <f aca="false">BB79+BB78</f>
        <v>659656.111363059</v>
      </c>
      <c r="BC80" s="68" t="n">
        <f aca="false">BC79+BC78</f>
        <v>676678.686289956</v>
      </c>
      <c r="BD80" s="68" t="n">
        <f aca="false">BD79+BD78</f>
        <v>693711.63899463</v>
      </c>
      <c r="BE80" s="68" t="n">
        <f aca="false">BE79+BE78</f>
        <v>710754.969477082</v>
      </c>
      <c r="BF80" s="68" t="n">
        <f aca="false">BF79+BF78</f>
        <v>727808.677737312</v>
      </c>
      <c r="BG80" s="68" t="n">
        <f aca="false">BG79+BG78</f>
        <v>744872.76377532</v>
      </c>
      <c r="BH80" s="68" t="n">
        <f aca="false">BH79+BH78</f>
        <v>761947.227591106</v>
      </c>
      <c r="BI80" s="68" t="n">
        <f aca="false">BI79+BI78</f>
        <v>789662.576563493</v>
      </c>
      <c r="BJ80" s="68" t="n">
        <f aca="false">BJ79+BJ78</f>
        <v>821770.047995542</v>
      </c>
    </row>
    <row r="81" customFormat="false" ht="15" hidden="false" customHeight="false" outlineLevel="0" collapsed="false">
      <c r="A81" s="121" t="s">
        <v>425</v>
      </c>
      <c r="C81" s="119" t="n">
        <f aca="false">IF(C41&gt;0,1,0)</f>
        <v>1</v>
      </c>
      <c r="D81" s="119" t="n">
        <f aca="false">IF(D41&gt;0,1,0)</f>
        <v>1</v>
      </c>
      <c r="E81" s="119" t="n">
        <f aca="false">IF(E41&gt;0,1,0)</f>
        <v>1</v>
      </c>
      <c r="F81" s="119" t="n">
        <f aca="false">IF(F41&gt;0,1,0)</f>
        <v>1</v>
      </c>
      <c r="G81" s="119" t="n">
        <f aca="false">IF(G41&gt;0,1,0)</f>
        <v>1</v>
      </c>
      <c r="H81" s="119" t="n">
        <f aca="false">IF(H41&gt;0,1,0)</f>
        <v>1</v>
      </c>
      <c r="I81" s="119" t="n">
        <f aca="false">IF(I41&gt;0,1,0)</f>
        <v>1</v>
      </c>
      <c r="J81" s="119" t="n">
        <f aca="false">IF(J41&gt;0,1,0)</f>
        <v>1</v>
      </c>
      <c r="K81" s="119" t="n">
        <f aca="false">IF(K41&gt;0,1,0)</f>
        <v>1</v>
      </c>
      <c r="L81" s="119" t="n">
        <f aca="false">IF(L41&gt;0,1,0)</f>
        <v>1</v>
      </c>
      <c r="M81" s="119" t="n">
        <f aca="false">IF(M41&gt;0,1,0)</f>
        <v>1</v>
      </c>
      <c r="N81" s="119" t="n">
        <f aca="false">IF(N41&gt;0,1,0)</f>
        <v>1</v>
      </c>
      <c r="O81" s="119" t="n">
        <f aca="false">IF(O41&gt;0,1,0)</f>
        <v>1</v>
      </c>
      <c r="P81" s="119" t="n">
        <f aca="false">IF(P41&gt;0,1,0)</f>
        <v>1</v>
      </c>
      <c r="Q81" s="119" t="n">
        <f aca="false">IF(Q41&gt;0,1,0)</f>
        <v>1</v>
      </c>
      <c r="R81" s="119" t="n">
        <f aca="false">IF(R41&gt;0,1,0)</f>
        <v>1</v>
      </c>
      <c r="S81" s="119" t="n">
        <f aca="false">IF(S41&gt;0,1,0)</f>
        <v>1</v>
      </c>
      <c r="T81" s="119" t="n">
        <f aca="false">IF(T41&gt;0,1,0)</f>
        <v>1</v>
      </c>
      <c r="U81" s="119" t="n">
        <f aca="false">IF(U41&gt;0,1,0)</f>
        <v>1</v>
      </c>
      <c r="V81" s="119" t="n">
        <f aca="false">IF(V41&gt;0,1,0)</f>
        <v>1</v>
      </c>
      <c r="W81" s="119" t="n">
        <f aca="false">IF(W41&gt;0,1,0)</f>
        <v>1</v>
      </c>
      <c r="X81" s="119" t="n">
        <f aca="false">IF(X41&gt;0,1,0)</f>
        <v>1</v>
      </c>
      <c r="Y81" s="119" t="n">
        <f aca="false">IF(Y41&gt;0,1,0)</f>
        <v>1</v>
      </c>
      <c r="Z81" s="119" t="n">
        <f aca="false">IF(Z41&gt;0,1,0)</f>
        <v>1</v>
      </c>
      <c r="AA81" s="119" t="n">
        <f aca="false">IF(AA41&gt;0,1,0)</f>
        <v>1</v>
      </c>
      <c r="AB81" s="119" t="n">
        <f aca="false">IF(AB41&gt;0,1,0)</f>
        <v>1</v>
      </c>
      <c r="AC81" s="119" t="n">
        <f aca="false">IF(AC41&gt;0,1,0)</f>
        <v>1</v>
      </c>
      <c r="AD81" s="119" t="n">
        <f aca="false">IF(AD41&gt;0,1,0)</f>
        <v>1</v>
      </c>
      <c r="AE81" s="119" t="n">
        <f aca="false">IF(AE41&gt;0,1,0)</f>
        <v>1</v>
      </c>
      <c r="AF81" s="119" t="n">
        <f aca="false">IF(AF41&gt;0,1,0)</f>
        <v>1</v>
      </c>
      <c r="AG81" s="119" t="n">
        <f aca="false">IF(AG41&gt;0,1,0)</f>
        <v>1</v>
      </c>
      <c r="AH81" s="119" t="n">
        <f aca="false">IF(AH41&gt;0,1,0)</f>
        <v>1</v>
      </c>
      <c r="AI81" s="119" t="n">
        <f aca="false">IF(AI41&gt;0,1,0)</f>
        <v>1</v>
      </c>
      <c r="AJ81" s="119" t="n">
        <f aca="false">IF(AJ41&gt;0,1,0)</f>
        <v>1</v>
      </c>
      <c r="AK81" s="119" t="n">
        <f aca="false">IF(AK41&gt;0,1,0)</f>
        <v>1</v>
      </c>
      <c r="AL81" s="119" t="n">
        <f aca="false">IF(AL41&gt;0,1,0)</f>
        <v>1</v>
      </c>
      <c r="AM81" s="119" t="n">
        <f aca="false">IF(AM41&gt;0,1,0)</f>
        <v>1</v>
      </c>
      <c r="AN81" s="119" t="n">
        <f aca="false">IF(AN41&gt;0,1,0)</f>
        <v>1</v>
      </c>
      <c r="AO81" s="119" t="n">
        <f aca="false">IF(AO41&gt;0,1,0)</f>
        <v>1</v>
      </c>
      <c r="AP81" s="119" t="n">
        <f aca="false">IF(AP41&gt;0,1,0)</f>
        <v>1</v>
      </c>
      <c r="AQ81" s="119" t="n">
        <f aca="false">IF(AQ41&gt;0,1,0)</f>
        <v>1</v>
      </c>
      <c r="AR81" s="119" t="n">
        <f aca="false">IF(AR41&gt;0,1,0)</f>
        <v>1</v>
      </c>
      <c r="AS81" s="119" t="n">
        <f aca="false">IF(AS41&gt;0,1,0)</f>
        <v>1</v>
      </c>
      <c r="AT81" s="119" t="n">
        <f aca="false">IF(AT41&gt;0,1,0)</f>
        <v>1</v>
      </c>
      <c r="AU81" s="119" t="n">
        <f aca="false">IF(AU41&gt;0,1,0)</f>
        <v>1</v>
      </c>
      <c r="AV81" s="119" t="n">
        <f aca="false">IF(AV41&gt;0,1,0)</f>
        <v>1</v>
      </c>
      <c r="AW81" s="119" t="n">
        <f aca="false">IF(AW41&gt;0,1,0)</f>
        <v>1</v>
      </c>
      <c r="AX81" s="119" t="n">
        <f aca="false">IF(AX41&gt;0,1,0)</f>
        <v>1</v>
      </c>
      <c r="AY81" s="119" t="n">
        <f aca="false">IF(AY41&gt;0,1,0)</f>
        <v>1</v>
      </c>
      <c r="AZ81" s="119" t="n">
        <f aca="false">IF(AZ41&gt;0,1,0)</f>
        <v>1</v>
      </c>
      <c r="BA81" s="119" t="n">
        <f aca="false">IF(BA41&gt;0,1,0)</f>
        <v>1</v>
      </c>
      <c r="BB81" s="119" t="n">
        <f aca="false">IF(BB41&gt;0,1,0)</f>
        <v>1</v>
      </c>
      <c r="BC81" s="119" t="n">
        <f aca="false">IF(BC41&gt;0,1,0)</f>
        <v>1</v>
      </c>
      <c r="BD81" s="119" t="n">
        <f aca="false">IF(BD41&gt;0,1,0)</f>
        <v>1</v>
      </c>
      <c r="BE81" s="119" t="n">
        <f aca="false">IF(BE41&gt;0,1,0)</f>
        <v>1</v>
      </c>
      <c r="BF81" s="119" t="n">
        <f aca="false">IF(BF41&gt;0,1,0)</f>
        <v>1</v>
      </c>
      <c r="BG81" s="119" t="n">
        <f aca="false">IF(BG41&gt;0,1,0)</f>
        <v>1</v>
      </c>
      <c r="BH81" s="119" t="n">
        <f aca="false">IF(BH41&gt;0,1,0)</f>
        <v>1</v>
      </c>
      <c r="BI81" s="119" t="n">
        <f aca="false">IF(BI41&gt;0,1,0)</f>
        <v>1</v>
      </c>
      <c r="BJ81" s="119" t="n">
        <f aca="false">IF(BJ41&gt;0,1,0)</f>
        <v>1</v>
      </c>
    </row>
    <row r="83" customFormat="false" ht="15.75" hidden="false" customHeight="true" outlineLevel="0" collapsed="false">
      <c r="A83" s="7" t="s">
        <v>426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customFormat="false" ht="15" hidden="false" customHeight="false" outlineLevel="0" collapsed="false">
      <c r="A84" s="121" t="s">
        <v>427</v>
      </c>
      <c r="C84" s="119" t="n">
        <f aca="false">IF(C50&gt;0,1,0)</f>
        <v>1</v>
      </c>
      <c r="D84" s="119" t="n">
        <f aca="false">IF(D50&gt;0,1,0)</f>
        <v>1</v>
      </c>
      <c r="E84" s="119" t="n">
        <f aca="false">IF(E50&gt;0,1,0)</f>
        <v>1</v>
      </c>
      <c r="F84" s="119" t="n">
        <f aca="false">IF(F50&gt;0,1,0)</f>
        <v>1</v>
      </c>
      <c r="G84" s="119" t="n">
        <f aca="false">IF(G50&gt;0,1,0)</f>
        <v>1</v>
      </c>
      <c r="H84" s="119" t="n">
        <f aca="false">IF(H50&gt;0,1,0)</f>
        <v>1</v>
      </c>
      <c r="I84" s="119" t="n">
        <f aca="false">IF(I50&gt;0,1,0)</f>
        <v>1</v>
      </c>
      <c r="J84" s="119" t="n">
        <f aca="false">IF(J50&gt;0,1,0)</f>
        <v>1</v>
      </c>
      <c r="K84" s="119" t="n">
        <f aca="false">IF(K50&gt;0,1,0)</f>
        <v>1</v>
      </c>
      <c r="L84" s="119" t="n">
        <f aca="false">IF(L50&gt;0,1,0)</f>
        <v>1</v>
      </c>
      <c r="M84" s="119" t="n">
        <f aca="false">IF(M50&gt;0,1,0)</f>
        <v>1</v>
      </c>
      <c r="N84" s="119" t="n">
        <f aca="false">IF(N50&gt;0,1,0)</f>
        <v>1</v>
      </c>
      <c r="O84" s="119" t="n">
        <f aca="false">IF(O50&gt;0,1,0)</f>
        <v>1</v>
      </c>
      <c r="P84" s="119" t="n">
        <f aca="false">IF(P50&gt;0,1,0)</f>
        <v>1</v>
      </c>
      <c r="Q84" s="119" t="n">
        <f aca="false">IF(Q50&gt;0,1,0)</f>
        <v>1</v>
      </c>
      <c r="R84" s="119" t="n">
        <f aca="false">IF(R50&gt;0,1,0)</f>
        <v>1</v>
      </c>
      <c r="S84" s="119" t="n">
        <f aca="false">IF(S50&gt;0,1,0)</f>
        <v>1</v>
      </c>
      <c r="T84" s="119" t="n">
        <f aca="false">IF(T50&gt;0,1,0)</f>
        <v>1</v>
      </c>
      <c r="U84" s="119" t="n">
        <f aca="false">IF(U50&gt;0,1,0)</f>
        <v>1</v>
      </c>
      <c r="V84" s="119" t="n">
        <f aca="false">IF(V50&gt;0,1,0)</f>
        <v>1</v>
      </c>
      <c r="W84" s="119" t="n">
        <f aca="false">IF(W50&gt;0,1,0)</f>
        <v>1</v>
      </c>
      <c r="X84" s="119" t="n">
        <f aca="false">IF(X50&gt;0,1,0)</f>
        <v>1</v>
      </c>
      <c r="Y84" s="119" t="n">
        <f aca="false">IF(Y50&gt;0,1,0)</f>
        <v>1</v>
      </c>
      <c r="Z84" s="119" t="n">
        <f aca="false">IF(Z50&gt;0,1,0)</f>
        <v>1</v>
      </c>
      <c r="AA84" s="119" t="n">
        <f aca="false">IF(AA50&gt;0,1,0)</f>
        <v>1</v>
      </c>
      <c r="AB84" s="119" t="n">
        <f aca="false">IF(AB50&gt;0,1,0)</f>
        <v>1</v>
      </c>
      <c r="AC84" s="119" t="n">
        <f aca="false">IF(AC50&gt;0,1,0)</f>
        <v>1</v>
      </c>
      <c r="AD84" s="119" t="n">
        <f aca="false">IF(AD50&gt;0,1,0)</f>
        <v>1</v>
      </c>
      <c r="AE84" s="119" t="n">
        <f aca="false">IF(AE50&gt;0,1,0)</f>
        <v>1</v>
      </c>
      <c r="AF84" s="119" t="n">
        <f aca="false">IF(AF50&gt;0,1,0)</f>
        <v>1</v>
      </c>
      <c r="AG84" s="119" t="n">
        <f aca="false">IF(AG50&gt;0,1,0)</f>
        <v>1</v>
      </c>
      <c r="AH84" s="119" t="n">
        <f aca="false">IF(AH50&gt;0,1,0)</f>
        <v>1</v>
      </c>
      <c r="AI84" s="119" t="n">
        <f aca="false">IF(AI50&gt;0,1,0)</f>
        <v>1</v>
      </c>
      <c r="AJ84" s="119" t="n">
        <f aca="false">IF(AJ50&gt;0,1,0)</f>
        <v>1</v>
      </c>
      <c r="AK84" s="119" t="n">
        <f aca="false">IF(AK50&gt;0,1,0)</f>
        <v>1</v>
      </c>
      <c r="AL84" s="119" t="n">
        <f aca="false">IF(AL50&gt;0,1,0)</f>
        <v>1</v>
      </c>
      <c r="AM84" s="119" t="n">
        <f aca="false">IF(AM50&gt;0,1,0)</f>
        <v>1</v>
      </c>
      <c r="AN84" s="119" t="n">
        <f aca="false">IF(AN50&gt;0,1,0)</f>
        <v>1</v>
      </c>
      <c r="AO84" s="119" t="n">
        <f aca="false">IF(AO50&gt;0,1,0)</f>
        <v>1</v>
      </c>
      <c r="AP84" s="119" t="n">
        <f aca="false">IF(AP50&gt;0,1,0)</f>
        <v>1</v>
      </c>
      <c r="AQ84" s="119" t="n">
        <f aca="false">IF(AQ50&gt;0,1,0)</f>
        <v>1</v>
      </c>
      <c r="AR84" s="119" t="n">
        <f aca="false">IF(AR50&gt;0,1,0)</f>
        <v>1</v>
      </c>
      <c r="AS84" s="119" t="n">
        <f aca="false">IF(AS50&gt;0,1,0)</f>
        <v>1</v>
      </c>
      <c r="AT84" s="119" t="n">
        <f aca="false">IF(AT50&gt;0,1,0)</f>
        <v>1</v>
      </c>
      <c r="AU84" s="119" t="n">
        <f aca="false">IF(AU50&gt;0,1,0)</f>
        <v>1</v>
      </c>
      <c r="AV84" s="119" t="n">
        <f aca="false">IF(AV50&gt;0,1,0)</f>
        <v>1</v>
      </c>
      <c r="AW84" s="119" t="n">
        <f aca="false">IF(AW50&gt;0,1,0)</f>
        <v>1</v>
      </c>
      <c r="AX84" s="119" t="n">
        <f aca="false">IF(AX50&gt;0,1,0)</f>
        <v>1</v>
      </c>
      <c r="AY84" s="119" t="n">
        <f aca="false">IF(AY50&gt;0,1,0)</f>
        <v>1</v>
      </c>
      <c r="AZ84" s="119" t="n">
        <f aca="false">IF(AZ50&gt;0,1,0)</f>
        <v>1</v>
      </c>
      <c r="BA84" s="119" t="n">
        <f aca="false">IF(BA50&gt;0,1,0)</f>
        <v>1</v>
      </c>
      <c r="BB84" s="119" t="n">
        <f aca="false">IF(BB50&gt;0,1,0)</f>
        <v>1</v>
      </c>
      <c r="BC84" s="119" t="n">
        <f aca="false">IF(BC50&gt;0,1,0)</f>
        <v>1</v>
      </c>
      <c r="BD84" s="119" t="n">
        <f aca="false">IF(BD50&gt;0,1,0)</f>
        <v>1</v>
      </c>
      <c r="BE84" s="119" t="n">
        <f aca="false">IF(BE50&gt;0,1,0)</f>
        <v>1</v>
      </c>
      <c r="BF84" s="119" t="n">
        <f aca="false">IF(BF50&gt;0,1,0)</f>
        <v>1</v>
      </c>
      <c r="BG84" s="119" t="n">
        <f aca="false">IF(BG50&gt;0,1,0)</f>
        <v>1</v>
      </c>
      <c r="BH84" s="119" t="n">
        <f aca="false">IF(BH50&gt;0,1,0)</f>
        <v>1</v>
      </c>
      <c r="BI84" s="119" t="n">
        <f aca="false">IF(BI50&gt;0,1,0)</f>
        <v>1</v>
      </c>
      <c r="BJ84" s="119" t="n">
        <f aca="false">IF(BJ50&gt;0,1,0)</f>
        <v>1</v>
      </c>
    </row>
    <row r="85" customFormat="false" ht="15" hidden="false" customHeight="false" outlineLevel="0" collapsed="false">
      <c r="A85" s="6" t="s">
        <v>428</v>
      </c>
      <c r="C85" s="67" t="n">
        <f aca="false">C74+C75</f>
        <v>-104679.040926476</v>
      </c>
      <c r="D85" s="67" t="n">
        <f aca="false">D74+D75</f>
        <v>3993.28994907936</v>
      </c>
      <c r="E85" s="67" t="n">
        <f aca="false">E74+E75</f>
        <v>7255.9410944762</v>
      </c>
      <c r="F85" s="67" t="n">
        <f aca="false">F74+F75</f>
        <v>8203.98506273016</v>
      </c>
      <c r="G85" s="67" t="n">
        <f aca="false">G74+G75</f>
        <v>8211.44617384128</v>
      </c>
      <c r="H85" s="67" t="n">
        <f aca="false">H74+H75</f>
        <v>8218.90728495239</v>
      </c>
      <c r="I85" s="67" t="n">
        <f aca="false">I74+I75</f>
        <v>8226.3683960635</v>
      </c>
      <c r="J85" s="67" t="n">
        <f aca="false">J74+J75</f>
        <v>8233.82950717461</v>
      </c>
      <c r="K85" s="67" t="n">
        <f aca="false">K74+K75</f>
        <v>8241.29061828572</v>
      </c>
      <c r="L85" s="67" t="n">
        <f aca="false">L74+L75</f>
        <v>8248.75172939683</v>
      </c>
      <c r="M85" s="67" t="n">
        <f aca="false">M74+M75</f>
        <v>16648.0335307936</v>
      </c>
      <c r="N85" s="67" t="n">
        <f aca="false">N74+N75</f>
        <v>20114.4843561905</v>
      </c>
      <c r="O85" s="67" t="n">
        <f aca="false">O74+O75</f>
        <v>11269.5009435695</v>
      </c>
      <c r="P85" s="67" t="n">
        <f aca="false">P74+P75</f>
        <v>9339.21602146157</v>
      </c>
      <c r="Q85" s="67" t="n">
        <f aca="false">Q74+Q75</f>
        <v>9349.59379923935</v>
      </c>
      <c r="R85" s="67" t="n">
        <f aca="false">R74+R75</f>
        <v>9359.97157701713</v>
      </c>
      <c r="S85" s="67" t="n">
        <f aca="false">S74+S75</f>
        <v>9370.3493547949</v>
      </c>
      <c r="T85" s="67" t="n">
        <f aca="false">T74+T75</f>
        <v>9380.72713257268</v>
      </c>
      <c r="U85" s="67" t="n">
        <f aca="false">U74+U75</f>
        <v>9391.10491035046</v>
      </c>
      <c r="V85" s="67" t="n">
        <f aca="false">V74+V75</f>
        <v>9401.48268812824</v>
      </c>
      <c r="W85" s="67" t="n">
        <f aca="false">W74+W75</f>
        <v>9411.86046590602</v>
      </c>
      <c r="X85" s="67" t="n">
        <f aca="false">X74+X75</f>
        <v>9422.23824368379</v>
      </c>
      <c r="Y85" s="67" t="n">
        <f aca="false">Y74+Y75</f>
        <v>18335.4985917857</v>
      </c>
      <c r="Z85" s="67" t="n">
        <f aca="false">Z74+Z75</f>
        <v>22015.5185574492</v>
      </c>
      <c r="AA85" s="67" t="n">
        <f aca="false">AA74+AA75</f>
        <v>13962.8030502728</v>
      </c>
      <c r="AB85" s="67" t="n">
        <f aca="false">AB74+AB75</f>
        <v>11976.9707467658</v>
      </c>
      <c r="AC85" s="67" t="n">
        <f aca="false">AC74+AC75</f>
        <v>11987.3485245436</v>
      </c>
      <c r="AD85" s="67" t="n">
        <f aca="false">AD74+AD75</f>
        <v>11997.7263023214</v>
      </c>
      <c r="AE85" s="67" t="n">
        <f aca="false">AE74+AE75</f>
        <v>12008.1040800991</v>
      </c>
      <c r="AF85" s="67" t="n">
        <f aca="false">AF74+AF75</f>
        <v>12018.4818578769</v>
      </c>
      <c r="AG85" s="67" t="n">
        <f aca="false">AG74+AG75</f>
        <v>12028.8596356547</v>
      </c>
      <c r="AH85" s="67" t="n">
        <f aca="false">AH74+AH75</f>
        <v>12039.2374134325</v>
      </c>
      <c r="AI85" s="67" t="n">
        <f aca="false">AI74+AI75</f>
        <v>12049.6151912102</v>
      </c>
      <c r="AJ85" s="67" t="n">
        <f aca="false">AJ74+AJ75</f>
        <v>12059.992968988</v>
      </c>
      <c r="AK85" s="67" t="n">
        <f aca="false">AK74+AK75</f>
        <v>21515.4388656227</v>
      </c>
      <c r="AL85" s="67" t="n">
        <f aca="false">AL74+AL75</f>
        <v>25418.9400405284</v>
      </c>
      <c r="AM85" s="67" t="n">
        <f aca="false">AM74+AM75</f>
        <v>16988.8893165923</v>
      </c>
      <c r="AN85" s="67" t="n">
        <f aca="false">AN74+AN75</f>
        <v>14953.74814303</v>
      </c>
      <c r="AO85" s="67" t="n">
        <f aca="false">AO74+AO75</f>
        <v>14964.1259208077</v>
      </c>
      <c r="AP85" s="67" t="n">
        <f aca="false">AP74+AP75</f>
        <v>14974.5036985855</v>
      </c>
      <c r="AQ85" s="67" t="n">
        <f aca="false">AQ74+AQ75</f>
        <v>14984.8814763633</v>
      </c>
      <c r="AR85" s="67" t="n">
        <f aca="false">AR74+AR75</f>
        <v>14995.2592541411</v>
      </c>
      <c r="AS85" s="67" t="n">
        <f aca="false">AS74+AS75</f>
        <v>15005.6370319188</v>
      </c>
      <c r="AT85" s="67" t="n">
        <f aca="false">AT74+AT75</f>
        <v>15016.0148096966</v>
      </c>
      <c r="AU85" s="67" t="n">
        <f aca="false">AU74+AU75</f>
        <v>15026.3925874744</v>
      </c>
      <c r="AV85" s="67" t="n">
        <f aca="false">AV74+AV75</f>
        <v>15036.7703652522</v>
      </c>
      <c r="AW85" s="67" t="n">
        <f aca="false">AW74+AW75</f>
        <v>25067.4209103252</v>
      </c>
      <c r="AX85" s="67" t="n">
        <f aca="false">AX74+AX75</f>
        <v>29208.013300116</v>
      </c>
      <c r="AY85" s="67" t="n">
        <f aca="false">AY74+AY75</f>
        <v>20401.1286949505</v>
      </c>
      <c r="AZ85" s="67" t="n">
        <f aca="false">AZ74+AZ75</f>
        <v>18324.7749268967</v>
      </c>
      <c r="BA85" s="67" t="n">
        <f aca="false">BA74+BA75</f>
        <v>18335.1527046744</v>
      </c>
      <c r="BB85" s="67" t="n">
        <f aca="false">BB74+BB75</f>
        <v>18345.5304824522</v>
      </c>
      <c r="BC85" s="67" t="n">
        <f aca="false">BC74+BC75</f>
        <v>18355.90826023</v>
      </c>
      <c r="BD85" s="67" t="n">
        <f aca="false">BD74+BD75</f>
        <v>18366.2860380078</v>
      </c>
      <c r="BE85" s="67" t="n">
        <f aca="false">BE74+BE75</f>
        <v>18376.6638157856</v>
      </c>
      <c r="BF85" s="67" t="n">
        <f aca="false">BF74+BF75</f>
        <v>18387.0415935633</v>
      </c>
      <c r="BG85" s="67" t="n">
        <f aca="false">BG74+BG75</f>
        <v>18397.4193713411</v>
      </c>
      <c r="BH85" s="67" t="n">
        <f aca="false">BH74+BH75</f>
        <v>18407.7971491189</v>
      </c>
      <c r="BI85" s="67" t="n">
        <f aca="false">BI74+BI75</f>
        <v>29048.6823057202</v>
      </c>
      <c r="BJ85" s="67" t="n">
        <f aca="false">BJ74+BJ75</f>
        <v>33440.8047653826</v>
      </c>
    </row>
    <row r="86" customFormat="false" ht="15" hidden="false" customHeight="false" outlineLevel="0" collapsed="false">
      <c r="A86" s="6" t="s">
        <v>429</v>
      </c>
      <c r="C86" s="67" t="n">
        <f aca="false">C85</f>
        <v>-104679.040926476</v>
      </c>
      <c r="D86" s="67" t="n">
        <f aca="false">C86+D85</f>
        <v>-100685.750977397</v>
      </c>
      <c r="E86" s="67" t="n">
        <f aca="false">D86+E85</f>
        <v>-93429.8098829206</v>
      </c>
      <c r="F86" s="67" t="n">
        <f aca="false">E86+F85</f>
        <v>-85225.8248201905</v>
      </c>
      <c r="G86" s="67" t="n">
        <f aca="false">F86+G85</f>
        <v>-77014.3786463492</v>
      </c>
      <c r="H86" s="67" t="n">
        <f aca="false">G86+H85</f>
        <v>-68795.4713613968</v>
      </c>
      <c r="I86" s="67" t="n">
        <f aca="false">H86+I85</f>
        <v>-60569.1029653333</v>
      </c>
      <c r="J86" s="67" t="n">
        <f aca="false">I86+J85</f>
        <v>-52335.2734581587</v>
      </c>
      <c r="K86" s="67" t="n">
        <f aca="false">J86+K85</f>
        <v>-44093.982839873</v>
      </c>
      <c r="L86" s="67" t="n">
        <f aca="false">K86+L85</f>
        <v>-35845.2311104761</v>
      </c>
      <c r="M86" s="67" t="n">
        <f aca="false">L86+M85</f>
        <v>-19197.1975796825</v>
      </c>
      <c r="N86" s="67" t="n">
        <f aca="false">M86+N85</f>
        <v>917.286776508008</v>
      </c>
      <c r="O86" s="67" t="n">
        <f aca="false">N86+O85</f>
        <v>12186.7877200775</v>
      </c>
      <c r="P86" s="67" t="n">
        <f aca="false">O86+P85</f>
        <v>21526.0037415391</v>
      </c>
      <c r="Q86" s="67" t="n">
        <f aca="false">P86+Q85</f>
        <v>30875.5975407784</v>
      </c>
      <c r="R86" s="67" t="n">
        <f aca="false">Q86+R85</f>
        <v>40235.5691177955</v>
      </c>
      <c r="S86" s="67" t="n">
        <f aca="false">R86+S85</f>
        <v>49605.9184725905</v>
      </c>
      <c r="T86" s="67" t="n">
        <f aca="false">S86+T85</f>
        <v>58986.6456051631</v>
      </c>
      <c r="U86" s="67" t="n">
        <f aca="false">T86+U85</f>
        <v>68377.7505155136</v>
      </c>
      <c r="V86" s="67" t="n">
        <f aca="false">U86+V85</f>
        <v>77779.2332036418</v>
      </c>
      <c r="W86" s="67" t="n">
        <f aca="false">V86+W85</f>
        <v>87191.0936695478</v>
      </c>
      <c r="X86" s="67" t="n">
        <f aca="false">W86+X85</f>
        <v>96613.3319132316</v>
      </c>
      <c r="Y86" s="67" t="n">
        <f aca="false">X86+Y85</f>
        <v>114948.830505017</v>
      </c>
      <c r="Z86" s="67" t="n">
        <f aca="false">Y86+Z85</f>
        <v>136964.349062466</v>
      </c>
      <c r="AA86" s="67" t="n">
        <f aca="false">Z86+AA85</f>
        <v>150927.152112739</v>
      </c>
      <c r="AB86" s="67" t="n">
        <f aca="false">AA86+AB85</f>
        <v>162904.122859505</v>
      </c>
      <c r="AC86" s="67" t="n">
        <f aca="false">AB86+AC85</f>
        <v>174891.471384049</v>
      </c>
      <c r="AD86" s="67" t="n">
        <f aca="false">AC86+AD85</f>
        <v>186889.19768637</v>
      </c>
      <c r="AE86" s="67" t="n">
        <f aca="false">AD86+AE85</f>
        <v>198897.301766469</v>
      </c>
      <c r="AF86" s="67" t="n">
        <f aca="false">AE86+AF85</f>
        <v>210915.783624346</v>
      </c>
      <c r="AG86" s="67" t="n">
        <f aca="false">AF86+AG85</f>
        <v>222944.643260001</v>
      </c>
      <c r="AH86" s="67" t="n">
        <f aca="false">AG86+AH85</f>
        <v>234983.880673433</v>
      </c>
      <c r="AI86" s="67" t="n">
        <f aca="false">AH86+AI85</f>
        <v>247033.495864643</v>
      </c>
      <c r="AJ86" s="67" t="n">
        <f aca="false">AI86+AJ85</f>
        <v>259093.488833631</v>
      </c>
      <c r="AK86" s="67" t="n">
        <f aca="false">AJ86+AK85</f>
        <v>280608.927699254</v>
      </c>
      <c r="AL86" s="67" t="n">
        <f aca="false">AK86+AL85</f>
        <v>306027.867739783</v>
      </c>
      <c r="AM86" s="67" t="n">
        <f aca="false">AL86+AM85</f>
        <v>323016.757056375</v>
      </c>
      <c r="AN86" s="67" t="n">
        <f aca="false">AM86+AN85</f>
        <v>337970.505199405</v>
      </c>
      <c r="AO86" s="67" t="n">
        <f aca="false">AN86+AO85</f>
        <v>352934.631120212</v>
      </c>
      <c r="AP86" s="67" t="n">
        <f aca="false">AO86+AP85</f>
        <v>367909.134818798</v>
      </c>
      <c r="AQ86" s="67" t="n">
        <f aca="false">AP86+AQ85</f>
        <v>382894.016295161</v>
      </c>
      <c r="AR86" s="67" t="n">
        <f aca="false">AQ86+AR85</f>
        <v>397889.275549302</v>
      </c>
      <c r="AS86" s="67" t="n">
        <f aca="false">AR86+AS85</f>
        <v>412894.912581221</v>
      </c>
      <c r="AT86" s="67" t="n">
        <f aca="false">AS86+AT85</f>
        <v>427910.927390918</v>
      </c>
      <c r="AU86" s="67" t="n">
        <f aca="false">AT86+AU85</f>
        <v>442937.319978392</v>
      </c>
      <c r="AV86" s="67" t="n">
        <f aca="false">AU86+AV85</f>
        <v>457974.090343644</v>
      </c>
      <c r="AW86" s="67" t="n">
        <f aca="false">AV86+AW85</f>
        <v>483041.511253969</v>
      </c>
      <c r="AX86" s="67" t="n">
        <f aca="false">AW86+AX85</f>
        <v>512249.524554085</v>
      </c>
      <c r="AY86" s="67" t="n">
        <f aca="false">AX86+AY85</f>
        <v>532650.653249036</v>
      </c>
      <c r="AZ86" s="67" t="n">
        <f aca="false">AY86+AZ85</f>
        <v>550975.428175933</v>
      </c>
      <c r="BA86" s="67" t="n">
        <f aca="false">AZ86+BA85</f>
        <v>569310.580880607</v>
      </c>
      <c r="BB86" s="67" t="n">
        <f aca="false">BA86+BB85</f>
        <v>587656.111363059</v>
      </c>
      <c r="BC86" s="67" t="n">
        <f aca="false">BB86+BC85</f>
        <v>606012.019623289</v>
      </c>
      <c r="BD86" s="67" t="n">
        <f aca="false">BC86+BD85</f>
        <v>624378.305661297</v>
      </c>
      <c r="BE86" s="67" t="n">
        <f aca="false">BD86+BE85</f>
        <v>642754.969477083</v>
      </c>
      <c r="BF86" s="67" t="n">
        <f aca="false">BE86+BF85</f>
        <v>661142.011070646</v>
      </c>
      <c r="BG86" s="67" t="n">
        <f aca="false">BF86+BG85</f>
        <v>679539.430441987</v>
      </c>
      <c r="BH86" s="67" t="n">
        <f aca="false">BG86+BH85</f>
        <v>697947.227591106</v>
      </c>
      <c r="BI86" s="67" t="n">
        <f aca="false">BH86+BI85</f>
        <v>726995.909896826</v>
      </c>
      <c r="BJ86" s="67" t="n">
        <f aca="false">BI86+BJ85</f>
        <v>760436.714662209</v>
      </c>
    </row>
    <row r="87" customFormat="false" ht="15" hidden="false" customHeight="false" outlineLevel="0" collapsed="false">
      <c r="A87" s="121" t="s">
        <v>430</v>
      </c>
      <c r="C87" s="67" t="n">
        <f aca="false">C86</f>
        <v>-104679.040926476</v>
      </c>
      <c r="D87" s="67" t="n">
        <f aca="false">MIN(C87,D86)</f>
        <v>-104679.040926476</v>
      </c>
      <c r="E87" s="67" t="n">
        <f aca="false">MIN(D87,E86)</f>
        <v>-104679.040926476</v>
      </c>
      <c r="F87" s="67" t="n">
        <f aca="false">MIN(E87,F86)</f>
        <v>-104679.040926476</v>
      </c>
      <c r="G87" s="67" t="n">
        <f aca="false">MIN(F87,G86)</f>
        <v>-104679.040926476</v>
      </c>
      <c r="H87" s="67" t="n">
        <f aca="false">MIN(G87,H86)</f>
        <v>-104679.040926476</v>
      </c>
      <c r="I87" s="67" t="n">
        <f aca="false">MIN(H87,I86)</f>
        <v>-104679.040926476</v>
      </c>
      <c r="J87" s="67" t="n">
        <f aca="false">MIN(I87,J86)</f>
        <v>-104679.040926476</v>
      </c>
      <c r="K87" s="67" t="n">
        <f aca="false">MIN(J87,K86)</f>
        <v>-104679.040926476</v>
      </c>
      <c r="L87" s="67" t="n">
        <f aca="false">MIN(K87,L86)</f>
        <v>-104679.040926476</v>
      </c>
      <c r="M87" s="67" t="n">
        <f aca="false">MIN(L87,M86)</f>
        <v>-104679.040926476</v>
      </c>
      <c r="N87" s="67" t="n">
        <f aca="false">MIN(M87,N86)</f>
        <v>-104679.040926476</v>
      </c>
      <c r="O87" s="67" t="n">
        <f aca="false">MIN(N87,O86)</f>
        <v>-104679.040926476</v>
      </c>
      <c r="P87" s="67" t="n">
        <f aca="false">MIN(O87,P86)</f>
        <v>-104679.040926476</v>
      </c>
      <c r="Q87" s="67" t="n">
        <f aca="false">MIN(P87,Q86)</f>
        <v>-104679.040926476</v>
      </c>
      <c r="R87" s="67" t="n">
        <f aca="false">MIN(Q87,R86)</f>
        <v>-104679.040926476</v>
      </c>
      <c r="S87" s="67" t="n">
        <f aca="false">MIN(R87,S86)</f>
        <v>-104679.040926476</v>
      </c>
      <c r="T87" s="67" t="n">
        <f aca="false">MIN(S87,T86)</f>
        <v>-104679.040926476</v>
      </c>
      <c r="U87" s="67" t="n">
        <f aca="false">MIN(T87,U86)</f>
        <v>-104679.040926476</v>
      </c>
      <c r="V87" s="67" t="n">
        <f aca="false">MIN(U87,V86)</f>
        <v>-104679.040926476</v>
      </c>
      <c r="W87" s="67" t="n">
        <f aca="false">MIN(V87,W86)</f>
        <v>-104679.040926476</v>
      </c>
      <c r="X87" s="67" t="n">
        <f aca="false">MIN(W87,X86)</f>
        <v>-104679.040926476</v>
      </c>
      <c r="Y87" s="67" t="n">
        <f aca="false">MIN(X87,Y86)</f>
        <v>-104679.040926476</v>
      </c>
      <c r="Z87" s="67" t="n">
        <f aca="false">MIN(Y87,Z86)</f>
        <v>-104679.040926476</v>
      </c>
      <c r="AA87" s="67" t="n">
        <f aca="false">MIN(Z87,AA86)</f>
        <v>-104679.040926476</v>
      </c>
      <c r="AB87" s="67" t="n">
        <f aca="false">MIN(AA87,AB86)</f>
        <v>-104679.040926476</v>
      </c>
      <c r="AC87" s="67" t="n">
        <f aca="false">MIN(AB87,AC86)</f>
        <v>-104679.040926476</v>
      </c>
      <c r="AD87" s="67" t="n">
        <f aca="false">MIN(AC87,AD86)</f>
        <v>-104679.040926476</v>
      </c>
      <c r="AE87" s="67" t="n">
        <f aca="false">MIN(AD87,AE86)</f>
        <v>-104679.040926476</v>
      </c>
      <c r="AF87" s="67" t="n">
        <f aca="false">MIN(AE87,AF86)</f>
        <v>-104679.040926476</v>
      </c>
      <c r="AG87" s="67" t="n">
        <f aca="false">MIN(AF87,AG86)</f>
        <v>-104679.040926476</v>
      </c>
      <c r="AH87" s="67" t="n">
        <f aca="false">MIN(AG87,AH86)</f>
        <v>-104679.040926476</v>
      </c>
      <c r="AI87" s="67" t="n">
        <f aca="false">MIN(AH87,AI86)</f>
        <v>-104679.040926476</v>
      </c>
      <c r="AJ87" s="67" t="n">
        <f aca="false">MIN(AI87,AJ86)</f>
        <v>-104679.040926476</v>
      </c>
      <c r="AK87" s="67" t="n">
        <f aca="false">MIN(AJ87,AK86)</f>
        <v>-104679.040926476</v>
      </c>
      <c r="AL87" s="67" t="n">
        <f aca="false">MIN(AK87,AL86)</f>
        <v>-104679.040926476</v>
      </c>
      <c r="AM87" s="67" t="n">
        <f aca="false">MIN(AL87,AM86)</f>
        <v>-104679.040926476</v>
      </c>
      <c r="AN87" s="67" t="n">
        <f aca="false">MIN(AM87,AN86)</f>
        <v>-104679.040926476</v>
      </c>
      <c r="AO87" s="67" t="n">
        <f aca="false">MIN(AN87,AO86)</f>
        <v>-104679.040926476</v>
      </c>
      <c r="AP87" s="67" t="n">
        <f aca="false">MIN(AO87,AP86)</f>
        <v>-104679.040926476</v>
      </c>
      <c r="AQ87" s="67" t="n">
        <f aca="false">MIN(AP87,AQ86)</f>
        <v>-104679.040926476</v>
      </c>
      <c r="AR87" s="67" t="n">
        <f aca="false">MIN(AQ87,AR86)</f>
        <v>-104679.040926476</v>
      </c>
      <c r="AS87" s="67" t="n">
        <f aca="false">MIN(AR87,AS86)</f>
        <v>-104679.040926476</v>
      </c>
      <c r="AT87" s="67" t="n">
        <f aca="false">MIN(AS87,AT86)</f>
        <v>-104679.040926476</v>
      </c>
      <c r="AU87" s="67" t="n">
        <f aca="false">MIN(AT87,AU86)</f>
        <v>-104679.040926476</v>
      </c>
      <c r="AV87" s="67" t="n">
        <f aca="false">MIN(AU87,AV86)</f>
        <v>-104679.040926476</v>
      </c>
      <c r="AW87" s="67" t="n">
        <f aca="false">MIN(AV87,AW86)</f>
        <v>-104679.040926476</v>
      </c>
      <c r="AX87" s="67" t="n">
        <f aca="false">MIN(AW87,AX86)</f>
        <v>-104679.040926476</v>
      </c>
      <c r="AY87" s="67" t="n">
        <f aca="false">MIN(AX87,AY86)</f>
        <v>-104679.040926476</v>
      </c>
      <c r="AZ87" s="67" t="n">
        <f aca="false">MIN(AY87,AZ86)</f>
        <v>-104679.040926476</v>
      </c>
      <c r="BA87" s="67" t="n">
        <f aca="false">MIN(AZ87,BA86)</f>
        <v>-104679.040926476</v>
      </c>
      <c r="BB87" s="67" t="n">
        <f aca="false">MIN(BA87,BB86)</f>
        <v>-104679.040926476</v>
      </c>
      <c r="BC87" s="67" t="n">
        <f aca="false">MIN(BB87,BC86)</f>
        <v>-104679.040926476</v>
      </c>
      <c r="BD87" s="67" t="n">
        <f aca="false">MIN(BC87,BD86)</f>
        <v>-104679.040926476</v>
      </c>
      <c r="BE87" s="67" t="n">
        <f aca="false">MIN(BD87,BE86)</f>
        <v>-104679.040926476</v>
      </c>
      <c r="BF87" s="67" t="n">
        <f aca="false">MIN(BE87,BF86)</f>
        <v>-104679.040926476</v>
      </c>
      <c r="BG87" s="67" t="n">
        <f aca="false">MIN(BF87,BG86)</f>
        <v>-104679.040926476</v>
      </c>
      <c r="BH87" s="67" t="n">
        <f aca="false">MIN(BG87,BH86)</f>
        <v>-104679.040926476</v>
      </c>
      <c r="BI87" s="67" t="n">
        <f aca="false">MIN(BH87,BI86)</f>
        <v>-104679.040926476</v>
      </c>
      <c r="BJ87" s="67" t="n">
        <f aca="false">MIN(BI87,BJ86)</f>
        <v>-104679.040926476</v>
      </c>
    </row>
    <row r="88" customFormat="false" ht="15" hidden="false" customHeight="false" outlineLevel="0" collapsed="false">
      <c r="A88" s="121" t="s">
        <v>431</v>
      </c>
      <c r="C88" s="119" t="n">
        <f aca="false">IF(AND(C86&gt;=0,C87&lt;0),1,0)</f>
        <v>0</v>
      </c>
      <c r="D88" s="119" t="n">
        <f aca="false">IF(AND(D86&gt;=0,D87&lt;0),1,0)</f>
        <v>0</v>
      </c>
      <c r="E88" s="119" t="n">
        <f aca="false">IF(AND(E86&gt;=0,E87&lt;0),1,0)</f>
        <v>0</v>
      </c>
      <c r="F88" s="119" t="n">
        <f aca="false">IF(AND(F86&gt;=0,F87&lt;0),1,0)</f>
        <v>0</v>
      </c>
      <c r="G88" s="119" t="n">
        <f aca="false">IF(AND(G86&gt;=0,G87&lt;0),1,0)</f>
        <v>0</v>
      </c>
      <c r="H88" s="119" t="n">
        <f aca="false">IF(AND(H86&gt;=0,H87&lt;0),1,0)</f>
        <v>0</v>
      </c>
      <c r="I88" s="119" t="n">
        <f aca="false">IF(AND(I86&gt;=0,I87&lt;0),1,0)</f>
        <v>0</v>
      </c>
      <c r="J88" s="119" t="n">
        <f aca="false">IF(AND(J86&gt;=0,J87&lt;0),1,0)</f>
        <v>0</v>
      </c>
      <c r="K88" s="119" t="n">
        <f aca="false">IF(AND(K86&gt;=0,K87&lt;0),1,0)</f>
        <v>0</v>
      </c>
      <c r="L88" s="119" t="n">
        <f aca="false">IF(AND(L86&gt;=0,L87&lt;0),1,0)</f>
        <v>0</v>
      </c>
      <c r="M88" s="119" t="n">
        <f aca="false">IF(AND(M86&gt;=0,M87&lt;0),1,0)</f>
        <v>0</v>
      </c>
      <c r="N88" s="119" t="n">
        <f aca="false">IF(AND(N86&gt;=0,N87&lt;0),1,0)</f>
        <v>1</v>
      </c>
      <c r="O88" s="119" t="n">
        <f aca="false">IF(AND(O86&gt;=0,O87&lt;0),1,0)</f>
        <v>1</v>
      </c>
      <c r="P88" s="119" t="n">
        <f aca="false">IF(AND(P86&gt;=0,P87&lt;0),1,0)</f>
        <v>1</v>
      </c>
      <c r="Q88" s="119" t="n">
        <f aca="false">IF(AND(Q86&gt;=0,Q87&lt;0),1,0)</f>
        <v>1</v>
      </c>
      <c r="R88" s="119" t="n">
        <f aca="false">IF(AND(R86&gt;=0,R87&lt;0),1,0)</f>
        <v>1</v>
      </c>
      <c r="S88" s="119" t="n">
        <f aca="false">IF(AND(S86&gt;=0,S87&lt;0),1,0)</f>
        <v>1</v>
      </c>
      <c r="T88" s="119" t="n">
        <f aca="false">IF(AND(T86&gt;=0,T87&lt;0),1,0)</f>
        <v>1</v>
      </c>
      <c r="U88" s="119" t="n">
        <f aca="false">IF(AND(U86&gt;=0,U87&lt;0),1,0)</f>
        <v>1</v>
      </c>
      <c r="V88" s="119" t="n">
        <f aca="false">IF(AND(V86&gt;=0,V87&lt;0),1,0)</f>
        <v>1</v>
      </c>
      <c r="W88" s="119" t="n">
        <f aca="false">IF(AND(W86&gt;=0,W87&lt;0),1,0)</f>
        <v>1</v>
      </c>
      <c r="X88" s="119" t="n">
        <f aca="false">IF(AND(X86&gt;=0,X87&lt;0),1,0)</f>
        <v>1</v>
      </c>
      <c r="Y88" s="119" t="n">
        <f aca="false">IF(AND(Y86&gt;=0,Y87&lt;0),1,0)</f>
        <v>1</v>
      </c>
      <c r="Z88" s="119" t="n">
        <f aca="false">IF(AND(Z86&gt;=0,Z87&lt;0),1,0)</f>
        <v>1</v>
      </c>
      <c r="AA88" s="119" t="n">
        <f aca="false">IF(AND(AA86&gt;=0,AA87&lt;0),1,0)</f>
        <v>1</v>
      </c>
      <c r="AB88" s="119" t="n">
        <f aca="false">IF(AND(AB86&gt;=0,AB87&lt;0),1,0)</f>
        <v>1</v>
      </c>
      <c r="AC88" s="119" t="n">
        <f aca="false">IF(AND(AC86&gt;=0,AC87&lt;0),1,0)</f>
        <v>1</v>
      </c>
      <c r="AD88" s="119" t="n">
        <f aca="false">IF(AND(AD86&gt;=0,AD87&lt;0),1,0)</f>
        <v>1</v>
      </c>
      <c r="AE88" s="119" t="n">
        <f aca="false">IF(AND(AE86&gt;=0,AE87&lt;0),1,0)</f>
        <v>1</v>
      </c>
      <c r="AF88" s="119" t="n">
        <f aca="false">IF(AND(AF86&gt;=0,AF87&lt;0),1,0)</f>
        <v>1</v>
      </c>
      <c r="AG88" s="119" t="n">
        <f aca="false">IF(AND(AG86&gt;=0,AG87&lt;0),1,0)</f>
        <v>1</v>
      </c>
      <c r="AH88" s="119" t="n">
        <f aca="false">IF(AND(AH86&gt;=0,AH87&lt;0),1,0)</f>
        <v>1</v>
      </c>
      <c r="AI88" s="119" t="n">
        <f aca="false">IF(AND(AI86&gt;=0,AI87&lt;0),1,0)</f>
        <v>1</v>
      </c>
      <c r="AJ88" s="119" t="n">
        <f aca="false">IF(AND(AJ86&gt;=0,AJ87&lt;0),1,0)</f>
        <v>1</v>
      </c>
      <c r="AK88" s="119" t="n">
        <f aca="false">IF(AND(AK86&gt;=0,AK87&lt;0),1,0)</f>
        <v>1</v>
      </c>
      <c r="AL88" s="119" t="n">
        <f aca="false">IF(AND(AL86&gt;=0,AL87&lt;0),1,0)</f>
        <v>1</v>
      </c>
      <c r="AM88" s="119" t="n">
        <f aca="false">IF(AND(AM86&gt;=0,AM87&lt;0),1,0)</f>
        <v>1</v>
      </c>
      <c r="AN88" s="119" t="n">
        <f aca="false">IF(AND(AN86&gt;=0,AN87&lt;0),1,0)</f>
        <v>1</v>
      </c>
      <c r="AO88" s="119" t="n">
        <f aca="false">IF(AND(AO86&gt;=0,AO87&lt;0),1,0)</f>
        <v>1</v>
      </c>
      <c r="AP88" s="119" t="n">
        <f aca="false">IF(AND(AP86&gt;=0,AP87&lt;0),1,0)</f>
        <v>1</v>
      </c>
      <c r="AQ88" s="119" t="n">
        <f aca="false">IF(AND(AQ86&gt;=0,AQ87&lt;0),1,0)</f>
        <v>1</v>
      </c>
      <c r="AR88" s="119" t="n">
        <f aca="false">IF(AND(AR86&gt;=0,AR87&lt;0),1,0)</f>
        <v>1</v>
      </c>
      <c r="AS88" s="119" t="n">
        <f aca="false">IF(AND(AS86&gt;=0,AS87&lt;0),1,0)</f>
        <v>1</v>
      </c>
      <c r="AT88" s="119" t="n">
        <f aca="false">IF(AND(AT86&gt;=0,AT87&lt;0),1,0)</f>
        <v>1</v>
      </c>
      <c r="AU88" s="119" t="n">
        <f aca="false">IF(AND(AU86&gt;=0,AU87&lt;0),1,0)</f>
        <v>1</v>
      </c>
      <c r="AV88" s="119" t="n">
        <f aca="false">IF(AND(AV86&gt;=0,AV87&lt;0),1,0)</f>
        <v>1</v>
      </c>
      <c r="AW88" s="119" t="n">
        <f aca="false">IF(AND(AW86&gt;=0,AW87&lt;0),1,0)</f>
        <v>1</v>
      </c>
      <c r="AX88" s="119" t="n">
        <f aca="false">IF(AND(AX86&gt;=0,AX87&lt;0),1,0)</f>
        <v>1</v>
      </c>
      <c r="AY88" s="119" t="n">
        <f aca="false">IF(AND(AY86&gt;=0,AY87&lt;0),1,0)</f>
        <v>1</v>
      </c>
      <c r="AZ88" s="119" t="n">
        <f aca="false">IF(AND(AZ86&gt;=0,AZ87&lt;0),1,0)</f>
        <v>1</v>
      </c>
      <c r="BA88" s="119" t="n">
        <f aca="false">IF(AND(BA86&gt;=0,BA87&lt;0),1,0)</f>
        <v>1</v>
      </c>
      <c r="BB88" s="119" t="n">
        <f aca="false">IF(AND(BB86&gt;=0,BB87&lt;0),1,0)</f>
        <v>1</v>
      </c>
      <c r="BC88" s="119" t="n">
        <f aca="false">IF(AND(BC86&gt;=0,BC87&lt;0),1,0)</f>
        <v>1</v>
      </c>
      <c r="BD88" s="119" t="n">
        <f aca="false">IF(AND(BD86&gt;=0,BD87&lt;0),1,0)</f>
        <v>1</v>
      </c>
      <c r="BE88" s="119" t="n">
        <f aca="false">IF(AND(BE86&gt;=0,BE87&lt;0),1,0)</f>
        <v>1</v>
      </c>
      <c r="BF88" s="119" t="n">
        <f aca="false">IF(AND(BF86&gt;=0,BF87&lt;0),1,0)</f>
        <v>1</v>
      </c>
      <c r="BG88" s="119" t="n">
        <f aca="false">IF(AND(BG86&gt;=0,BG87&lt;0),1,0)</f>
        <v>1</v>
      </c>
      <c r="BH88" s="119" t="n">
        <f aca="false">IF(AND(BH86&gt;=0,BH87&lt;0),1,0)</f>
        <v>1</v>
      </c>
      <c r="BI88" s="119" t="n">
        <f aca="false">IF(AND(BI86&gt;=0,BI87&lt;0),1,0)</f>
        <v>1</v>
      </c>
      <c r="BJ88" s="119" t="n">
        <f aca="false">IF(AND(BJ86&gt;=0,BJ87&lt;0),1,0)</f>
        <v>1</v>
      </c>
    </row>
    <row r="89" customFormat="false" ht="15" hidden="false" customHeight="false" outlineLevel="0" collapsed="false">
      <c r="A89" s="6" t="s">
        <v>432</v>
      </c>
      <c r="C89" s="67" t="n">
        <f aca="false">C74-C45*(1-Inputs!$E$70)+C75</f>
        <v>-104231.37425981</v>
      </c>
      <c r="D89" s="67" t="n">
        <f aca="false">D74-D45*(1-Inputs!$E$70)+D75</f>
        <v>4437.22606019048</v>
      </c>
      <c r="E89" s="67" t="n">
        <f aca="false">E74-E45*(1-Inputs!$E$70)+E75</f>
        <v>7692.4160944762</v>
      </c>
      <c r="F89" s="67" t="n">
        <f aca="false">F74-F45*(1-Inputs!$E$70)+F75</f>
        <v>8632.99895161905</v>
      </c>
      <c r="G89" s="67" t="n">
        <f aca="false">G74-G45*(1-Inputs!$E$70)+G75</f>
        <v>8632.99895161905</v>
      </c>
      <c r="H89" s="67" t="n">
        <f aca="false">H74-H45*(1-Inputs!$E$70)+H75</f>
        <v>8632.99895161905</v>
      </c>
      <c r="I89" s="67" t="n">
        <f aca="false">I74-I45*(1-Inputs!$E$70)+I75</f>
        <v>8632.99895161905</v>
      </c>
      <c r="J89" s="67" t="n">
        <f aca="false">J74-J45*(1-Inputs!$E$70)+J75</f>
        <v>8632.99895161905</v>
      </c>
      <c r="K89" s="67" t="n">
        <f aca="false">K74-K45*(1-Inputs!$E$70)+K75</f>
        <v>8632.99895161905</v>
      </c>
      <c r="L89" s="67" t="n">
        <f aca="false">L74-L45*(1-Inputs!$E$70)+L75</f>
        <v>8632.99895161905</v>
      </c>
      <c r="M89" s="67" t="n">
        <f aca="false">M74-M45*(1-Inputs!$E$70)+M75</f>
        <v>17024.8196419048</v>
      </c>
      <c r="N89" s="67" t="n">
        <f aca="false">N74-N45*(1-Inputs!$E$70)+N75</f>
        <v>20483.8093561905</v>
      </c>
      <c r="O89" s="67" t="n">
        <f aca="false">O74-O45*(1-Inputs!$E$70)+O75</f>
        <v>11631.3648324584</v>
      </c>
      <c r="P89" s="67" t="n">
        <f aca="false">P74-P45*(1-Inputs!$E$70)+P75</f>
        <v>9693.61879923934</v>
      </c>
      <c r="Q89" s="67" t="n">
        <f aca="false">Q74-Q45*(1-Inputs!$E$70)+Q75</f>
        <v>9696.53546590601</v>
      </c>
      <c r="R89" s="67" t="n">
        <f aca="false">R74-R45*(1-Inputs!$E$70)+R75</f>
        <v>9699.45213257268</v>
      </c>
      <c r="S89" s="67" t="n">
        <f aca="false">S74-S45*(1-Inputs!$E$70)+S75</f>
        <v>9702.36879923935</v>
      </c>
      <c r="T89" s="67" t="n">
        <f aca="false">T74-T45*(1-Inputs!$E$70)+T75</f>
        <v>9705.28546590601</v>
      </c>
      <c r="U89" s="67" t="n">
        <f aca="false">U74-U45*(1-Inputs!$E$70)+U75</f>
        <v>9708.20213257268</v>
      </c>
      <c r="V89" s="67" t="n">
        <f aca="false">V74-V45*(1-Inputs!$E$70)+V75</f>
        <v>9711.11879923935</v>
      </c>
      <c r="W89" s="67" t="n">
        <f aca="false">W74-W45*(1-Inputs!$E$70)+W75</f>
        <v>9714.03546590602</v>
      </c>
      <c r="X89" s="67" t="n">
        <f aca="false">X74-X45*(1-Inputs!$E$70)+X75</f>
        <v>9716.95213257268</v>
      </c>
      <c r="Y89" s="67" t="n">
        <f aca="false">Y74-Y45*(1-Inputs!$E$70)+Y75</f>
        <v>18622.7513695634</v>
      </c>
      <c r="Z89" s="67" t="n">
        <f aca="false">Z74-Z45*(1-Inputs!$E$70)+Z75</f>
        <v>22295.3102241158</v>
      </c>
      <c r="AA89" s="67" t="n">
        <f aca="false">AA74-AA45*(1-Inputs!$E$70)+AA75</f>
        <v>14235.1336058283</v>
      </c>
      <c r="AB89" s="67" t="n">
        <f aca="false">AB74-AB45*(1-Inputs!$E$70)+AB75</f>
        <v>12241.8401912102</v>
      </c>
      <c r="AC89" s="67" t="n">
        <f aca="false">AC74-AC45*(1-Inputs!$E$70)+AC75</f>
        <v>12244.7568578769</v>
      </c>
      <c r="AD89" s="67" t="n">
        <f aca="false">AD74-AD45*(1-Inputs!$E$70)+AD75</f>
        <v>12247.6735245436</v>
      </c>
      <c r="AE89" s="67" t="n">
        <f aca="false">AE74-AE45*(1-Inputs!$E$70)+AE75</f>
        <v>12250.5901912102</v>
      </c>
      <c r="AF89" s="67" t="n">
        <f aca="false">AF74-AF45*(1-Inputs!$E$70)+AF75</f>
        <v>12253.5068578769</v>
      </c>
      <c r="AG89" s="67" t="n">
        <f aca="false">AG74-AG45*(1-Inputs!$E$70)+AG75</f>
        <v>12256.4235245436</v>
      </c>
      <c r="AH89" s="67" t="n">
        <f aca="false">AH74-AH45*(1-Inputs!$E$70)+AH75</f>
        <v>12259.3401912102</v>
      </c>
      <c r="AI89" s="67" t="n">
        <f aca="false">AI74-AI45*(1-Inputs!$E$70)+AI75</f>
        <v>12262.2568578769</v>
      </c>
      <c r="AJ89" s="67" t="n">
        <f aca="false">AJ74-AJ45*(1-Inputs!$E$70)+AJ75</f>
        <v>12265.1735245436</v>
      </c>
      <c r="AK89" s="67" t="n">
        <f aca="false">AK74-AK45*(1-Inputs!$E$70)+AK75</f>
        <v>21713.1583100671</v>
      </c>
      <c r="AL89" s="67" t="n">
        <f aca="false">AL74-AL45*(1-Inputs!$E$70)+AL75</f>
        <v>25609.1983738617</v>
      </c>
      <c r="AM89" s="67" t="n">
        <f aca="false">AM74-AM45*(1-Inputs!$E$70)+AM75</f>
        <v>17171.6865388145</v>
      </c>
      <c r="AN89" s="67" t="n">
        <f aca="false">AN74-AN45*(1-Inputs!$E$70)+AN75</f>
        <v>15129.0842541411</v>
      </c>
      <c r="AO89" s="67" t="n">
        <f aca="false">AO74-AO45*(1-Inputs!$E$70)+AO75</f>
        <v>15132.0009208077</v>
      </c>
      <c r="AP89" s="67" t="n">
        <f aca="false">AP74-AP45*(1-Inputs!$E$70)+AP75</f>
        <v>15134.9175874744</v>
      </c>
      <c r="AQ89" s="67" t="n">
        <f aca="false">AQ74-AQ45*(1-Inputs!$E$70)+AQ75</f>
        <v>15137.8342541411</v>
      </c>
      <c r="AR89" s="67" t="n">
        <f aca="false">AR74-AR45*(1-Inputs!$E$70)+AR75</f>
        <v>15140.7509208077</v>
      </c>
      <c r="AS89" s="67" t="n">
        <f aca="false">AS74-AS45*(1-Inputs!$E$70)+AS75</f>
        <v>15143.6675874744</v>
      </c>
      <c r="AT89" s="67" t="n">
        <f aca="false">AT74-AT45*(1-Inputs!$E$70)+AT75</f>
        <v>15146.5842541411</v>
      </c>
      <c r="AU89" s="67" t="n">
        <f aca="false">AU74-AU45*(1-Inputs!$E$70)+AU75</f>
        <v>15149.5009208077</v>
      </c>
      <c r="AV89" s="67" t="n">
        <f aca="false">AV74-AV45*(1-Inputs!$E$70)+AV75</f>
        <v>15152.4175874744</v>
      </c>
      <c r="AW89" s="67" t="n">
        <f aca="false">AW74-AW45*(1-Inputs!$E$70)+AW75</f>
        <v>25175.6070214363</v>
      </c>
      <c r="AX89" s="67" t="n">
        <f aca="false">AX74-AX45*(1-Inputs!$E$70)+AX75</f>
        <v>29308.738300116</v>
      </c>
      <c r="AY89" s="67" t="n">
        <f aca="false">AY74-AY45*(1-Inputs!$E$70)+AY75</f>
        <v>20494.3925838393</v>
      </c>
      <c r="AZ89" s="67" t="n">
        <f aca="false">AZ74-AZ45*(1-Inputs!$E$70)+AZ75</f>
        <v>18410.5777046745</v>
      </c>
      <c r="BA89" s="67" t="n">
        <f aca="false">BA74-BA45*(1-Inputs!$E$70)+BA75</f>
        <v>18413.4943713411</v>
      </c>
      <c r="BB89" s="67" t="n">
        <f aca="false">BB74-BB45*(1-Inputs!$E$70)+BB75</f>
        <v>18416.4110380078</v>
      </c>
      <c r="BC89" s="67" t="n">
        <f aca="false">BC74-BC45*(1-Inputs!$E$70)+BC75</f>
        <v>18419.3277046744</v>
      </c>
      <c r="BD89" s="67" t="n">
        <f aca="false">BD74-BD45*(1-Inputs!$E$70)+BD75</f>
        <v>18422.2443713411</v>
      </c>
      <c r="BE89" s="67" t="n">
        <f aca="false">BE74-BE45*(1-Inputs!$E$70)+BE75</f>
        <v>18425.1610380078</v>
      </c>
      <c r="BF89" s="67" t="n">
        <f aca="false">BF74-BF45*(1-Inputs!$E$70)+BF75</f>
        <v>18428.0777046744</v>
      </c>
      <c r="BG89" s="67" t="n">
        <f aca="false">BG74-BG45*(1-Inputs!$E$70)+BG75</f>
        <v>18430.9943713411</v>
      </c>
      <c r="BH89" s="67" t="n">
        <f aca="false">BH74-BH45*(1-Inputs!$E$70)+BH75</f>
        <v>18433.9110380078</v>
      </c>
      <c r="BI89" s="67" t="n">
        <f aca="false">BI74-BI45*(1-Inputs!$E$70)+BI75</f>
        <v>29067.335083498</v>
      </c>
      <c r="BJ89" s="67" t="n">
        <f aca="false">BJ74-BJ45*(1-Inputs!$E$70)+BJ75</f>
        <v>33451.9964320493</v>
      </c>
    </row>
    <row r="91" customFormat="false" ht="15.75" hidden="false" customHeight="true" outlineLevel="0" collapsed="false">
      <c r="A91" s="7" t="s">
        <v>433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customFormat="false" ht="15" hidden="false" customHeight="false" outlineLevel="0" collapsed="false">
      <c r="A92" s="6" t="s">
        <v>97</v>
      </c>
      <c r="C92" s="67" t="n">
        <f aca="false">C76</f>
        <v>60000</v>
      </c>
      <c r="D92" s="67" t="n">
        <f aca="false">C92+D76</f>
        <v>60000</v>
      </c>
      <c r="E92" s="67" t="n">
        <f aca="false">D92+E76</f>
        <v>60000</v>
      </c>
      <c r="F92" s="67" t="n">
        <f aca="false">E92+F76</f>
        <v>60000</v>
      </c>
      <c r="G92" s="67" t="n">
        <f aca="false">F92+G76</f>
        <v>60000</v>
      </c>
      <c r="H92" s="67" t="n">
        <f aca="false">G92+H76</f>
        <v>60000</v>
      </c>
      <c r="I92" s="67" t="n">
        <f aca="false">H92+I76</f>
        <v>60000</v>
      </c>
      <c r="J92" s="67" t="n">
        <f aca="false">I92+J76</f>
        <v>60000</v>
      </c>
      <c r="K92" s="67" t="n">
        <f aca="false">J92+K76</f>
        <v>60000</v>
      </c>
      <c r="L92" s="67" t="n">
        <f aca="false">K92+L76</f>
        <v>60000</v>
      </c>
      <c r="M92" s="67" t="n">
        <f aca="false">L92+M76</f>
        <v>60000</v>
      </c>
      <c r="N92" s="67" t="n">
        <f aca="false">M92+N76</f>
        <v>60000</v>
      </c>
      <c r="O92" s="67" t="n">
        <f aca="false">N92+O76</f>
        <v>60000</v>
      </c>
      <c r="P92" s="67" t="n">
        <f aca="false">O92+P76</f>
        <v>60000</v>
      </c>
      <c r="Q92" s="67" t="n">
        <f aca="false">P92+Q76</f>
        <v>60000</v>
      </c>
      <c r="R92" s="67" t="n">
        <f aca="false">Q92+R76</f>
        <v>60000</v>
      </c>
      <c r="S92" s="67" t="n">
        <f aca="false">R92+S76</f>
        <v>60000</v>
      </c>
      <c r="T92" s="67" t="n">
        <f aca="false">S92+T76</f>
        <v>60000</v>
      </c>
      <c r="U92" s="67" t="n">
        <f aca="false">T92+U76</f>
        <v>60000</v>
      </c>
      <c r="V92" s="67" t="n">
        <f aca="false">U92+V76</f>
        <v>60000</v>
      </c>
      <c r="W92" s="67" t="n">
        <f aca="false">V92+W76</f>
        <v>60000</v>
      </c>
      <c r="X92" s="67" t="n">
        <f aca="false">W92+X76</f>
        <v>60000</v>
      </c>
      <c r="Y92" s="67" t="n">
        <f aca="false">X92+Y76</f>
        <v>60000</v>
      </c>
      <c r="Z92" s="67" t="n">
        <f aca="false">Y92+Z76</f>
        <v>60000</v>
      </c>
      <c r="AA92" s="67" t="n">
        <f aca="false">Z92+AA76</f>
        <v>60000</v>
      </c>
      <c r="AB92" s="67" t="n">
        <f aca="false">AA92+AB76</f>
        <v>60000</v>
      </c>
      <c r="AC92" s="67" t="n">
        <f aca="false">AB92+AC76</f>
        <v>60000</v>
      </c>
      <c r="AD92" s="67" t="n">
        <f aca="false">AC92+AD76</f>
        <v>60000</v>
      </c>
      <c r="AE92" s="67" t="n">
        <f aca="false">AD92+AE76</f>
        <v>60000</v>
      </c>
      <c r="AF92" s="67" t="n">
        <f aca="false">AE92+AF76</f>
        <v>60000</v>
      </c>
      <c r="AG92" s="67" t="n">
        <f aca="false">AF92+AG76</f>
        <v>60000</v>
      </c>
      <c r="AH92" s="67" t="n">
        <f aca="false">AG92+AH76</f>
        <v>60000</v>
      </c>
      <c r="AI92" s="67" t="n">
        <f aca="false">AH92+AI76</f>
        <v>60000</v>
      </c>
      <c r="AJ92" s="67" t="n">
        <f aca="false">AI92+AJ76</f>
        <v>60000</v>
      </c>
      <c r="AK92" s="67" t="n">
        <f aca="false">AJ92+AK76</f>
        <v>60000</v>
      </c>
      <c r="AL92" s="67" t="n">
        <f aca="false">AK92+AL76</f>
        <v>60000</v>
      </c>
      <c r="AM92" s="67" t="n">
        <f aca="false">AL92+AM76</f>
        <v>60000</v>
      </c>
      <c r="AN92" s="67" t="n">
        <f aca="false">AM92+AN76</f>
        <v>60000</v>
      </c>
      <c r="AO92" s="67" t="n">
        <f aca="false">AN92+AO76</f>
        <v>60000</v>
      </c>
      <c r="AP92" s="67" t="n">
        <f aca="false">AO92+AP76</f>
        <v>60000</v>
      </c>
      <c r="AQ92" s="67" t="n">
        <f aca="false">AP92+AQ76</f>
        <v>60000</v>
      </c>
      <c r="AR92" s="67" t="n">
        <f aca="false">AQ92+AR76</f>
        <v>60000</v>
      </c>
      <c r="AS92" s="67" t="n">
        <f aca="false">AR92+AS76</f>
        <v>60000</v>
      </c>
      <c r="AT92" s="67" t="n">
        <f aca="false">AS92+AT76</f>
        <v>60000</v>
      </c>
      <c r="AU92" s="67" t="n">
        <f aca="false">AT92+AU76</f>
        <v>60000</v>
      </c>
      <c r="AV92" s="67" t="n">
        <f aca="false">AU92+AV76</f>
        <v>60000</v>
      </c>
      <c r="AW92" s="67" t="n">
        <f aca="false">AV92+AW76</f>
        <v>60000</v>
      </c>
      <c r="AX92" s="67" t="n">
        <f aca="false">AW92+AX76</f>
        <v>60000</v>
      </c>
      <c r="AY92" s="67" t="n">
        <f aca="false">AX92+AY76</f>
        <v>60000</v>
      </c>
      <c r="AZ92" s="67" t="n">
        <f aca="false">AY92+AZ76</f>
        <v>60000</v>
      </c>
      <c r="BA92" s="67" t="n">
        <f aca="false">AZ92+BA76</f>
        <v>60000</v>
      </c>
      <c r="BB92" s="67" t="n">
        <f aca="false">BA92+BB76</f>
        <v>60000</v>
      </c>
      <c r="BC92" s="67" t="n">
        <f aca="false">BB92+BC76</f>
        <v>60000</v>
      </c>
      <c r="BD92" s="67" t="n">
        <f aca="false">BC92+BD76</f>
        <v>60000</v>
      </c>
      <c r="BE92" s="67" t="n">
        <f aca="false">BD92+BE76</f>
        <v>60000</v>
      </c>
      <c r="BF92" s="67" t="n">
        <f aca="false">BE92+BF76</f>
        <v>60000</v>
      </c>
      <c r="BG92" s="67" t="n">
        <f aca="false">BF92+BG76</f>
        <v>60000</v>
      </c>
      <c r="BH92" s="67" t="n">
        <f aca="false">BG92+BH76</f>
        <v>60000</v>
      </c>
      <c r="BI92" s="67" t="n">
        <f aca="false">BH92+BI76</f>
        <v>60000</v>
      </c>
      <c r="BJ92" s="67" t="n">
        <f aca="false">BI92+BJ76</f>
        <v>60000</v>
      </c>
    </row>
    <row r="93" customFormat="false" ht="15" hidden="false" customHeight="false" outlineLevel="0" collapsed="false">
      <c r="A93" s="6" t="s">
        <v>98</v>
      </c>
      <c r="C93" s="67" t="n">
        <f aca="false">C50</f>
        <v>603.523644952383</v>
      </c>
      <c r="D93" s="67" t="n">
        <f aca="false">C93+D50</f>
        <v>4465.96787974604</v>
      </c>
      <c r="E93" s="67" t="n">
        <f aca="false">D93+E50</f>
        <v>11591.0632599365</v>
      </c>
      <c r="F93" s="67" t="n">
        <f aca="false">E93+F50</f>
        <v>18723.6197512381</v>
      </c>
      <c r="G93" s="67" t="n">
        <f aca="false">F93+G50</f>
        <v>25863.6373536508</v>
      </c>
      <c r="H93" s="67" t="n">
        <f aca="false">G93+H50</f>
        <v>33011.1160671746</v>
      </c>
      <c r="I93" s="67" t="n">
        <f aca="false">H93+I50</f>
        <v>40166.0558918096</v>
      </c>
      <c r="J93" s="67" t="n">
        <f aca="false">I93+J50</f>
        <v>47328.4568275556</v>
      </c>
      <c r="K93" s="67" t="n">
        <f aca="false">J93+K50</f>
        <v>54498.3188744127</v>
      </c>
      <c r="L93" s="67" t="n">
        <f aca="false">K93+L50</f>
        <v>61675.642032381</v>
      </c>
      <c r="M93" s="67" t="n">
        <f aca="false">L93+M50</f>
        <v>80711.2367060318</v>
      </c>
      <c r="N93" s="67" t="n">
        <f aca="false">M93+N50</f>
        <v>99754.2924907937</v>
      </c>
      <c r="O93" s="67" t="n">
        <f aca="false">N93+O50</f>
        <v>109164.479940827</v>
      </c>
      <c r="P93" s="67" t="n">
        <f aca="false">O93+P50</f>
        <v>118571.156279749</v>
      </c>
      <c r="Q93" s="67" t="n">
        <f aca="false">P93+Q50</f>
        <v>127974.321507559</v>
      </c>
      <c r="R93" s="67" t="n">
        <f aca="false">Q93+R50</f>
        <v>137373.975624259</v>
      </c>
      <c r="S93" s="67" t="n">
        <f aca="false">R93+S50</f>
        <v>146770.118629848</v>
      </c>
      <c r="T93" s="67" t="n">
        <f aca="false">S93+T50</f>
        <v>156162.750524325</v>
      </c>
      <c r="U93" s="67" t="n">
        <f aca="false">T93+U50</f>
        <v>165551.871307691</v>
      </c>
      <c r="V93" s="67" t="n">
        <f aca="false">U93+V50</f>
        <v>174937.480979947</v>
      </c>
      <c r="W93" s="67" t="n">
        <f aca="false">V93+W50</f>
        <v>184319.579541091</v>
      </c>
      <c r="X93" s="67" t="n">
        <f aca="false">W93+X50</f>
        <v>193698.166991124</v>
      </c>
      <c r="Y93" s="67" t="n">
        <f aca="false">X93+Y50</f>
        <v>215645.768088255</v>
      </c>
      <c r="Z93" s="67" t="n">
        <f aca="false">Y93+Z50</f>
        <v>237589.858074276</v>
      </c>
      <c r="AA93" s="67" t="n">
        <f aca="false">Z93+AA50</f>
        <v>249471.133582947</v>
      </c>
      <c r="AB93" s="67" t="n">
        <f aca="false">AA93+AB50</f>
        <v>261348.897980506</v>
      </c>
      <c r="AC93" s="67" t="n">
        <f aca="false">AB93+AC50</f>
        <v>273223.151266954</v>
      </c>
      <c r="AD93" s="67" t="n">
        <f aca="false">AC93+AD50</f>
        <v>285093.893442292</v>
      </c>
      <c r="AE93" s="67" t="n">
        <f aca="false">AD93+AE50</f>
        <v>296961.124506518</v>
      </c>
      <c r="AF93" s="67" t="n">
        <f aca="false">AE93+AF50</f>
        <v>308824.844459633</v>
      </c>
      <c r="AG93" s="67" t="n">
        <f aca="false">AF93+AG50</f>
        <v>320685.053301637</v>
      </c>
      <c r="AH93" s="67" t="n">
        <f aca="false">AG93+AH50</f>
        <v>332541.751032529</v>
      </c>
      <c r="AI93" s="67" t="n">
        <f aca="false">AH93+AI50</f>
        <v>344394.937652311</v>
      </c>
      <c r="AJ93" s="67" t="n">
        <f aca="false">AI93+AJ50</f>
        <v>356244.613160982</v>
      </c>
      <c r="AK93" s="67" t="n">
        <f aca="false">AJ93+AK50</f>
        <v>381428.969074526</v>
      </c>
      <c r="AL93" s="67" t="n">
        <f aca="false">AK93+AL50</f>
        <v>406609.813876959</v>
      </c>
      <c r="AM93" s="67" t="n">
        <f aca="false">AL93+AM50</f>
        <v>421301.200115227</v>
      </c>
      <c r="AN93" s="67" t="n">
        <f aca="false">AM93+AN50</f>
        <v>435989.075242384</v>
      </c>
      <c r="AO93" s="67" t="n">
        <f aca="false">AN93+AO50</f>
        <v>450673.43925843</v>
      </c>
      <c r="AP93" s="67" t="n">
        <f aca="false">AO93+AP50</f>
        <v>465354.292163365</v>
      </c>
      <c r="AQ93" s="67" t="n">
        <f aca="false">AP93+AQ50</f>
        <v>480031.633957188</v>
      </c>
      <c r="AR93" s="67" t="n">
        <f aca="false">AQ93+AR50</f>
        <v>494705.464639901</v>
      </c>
      <c r="AS93" s="67" t="n">
        <f aca="false">AR93+AS50</f>
        <v>509375.784211502</v>
      </c>
      <c r="AT93" s="67" t="n">
        <f aca="false">AS93+AT50</f>
        <v>524042.592671992</v>
      </c>
      <c r="AU93" s="67" t="n">
        <f aca="false">AT93+AU50</f>
        <v>538705.890021371</v>
      </c>
      <c r="AV93" s="67" t="n">
        <f aca="false">AU93+AV50</f>
        <v>553365.676259639</v>
      </c>
      <c r="AW93" s="67" t="n">
        <f aca="false">AV93+AW50</f>
        <v>582172.438766105</v>
      </c>
      <c r="AX93" s="67" t="n">
        <f aca="false">AW93+AX50</f>
        <v>610975.690161459</v>
      </c>
      <c r="AY93" s="67" t="n">
        <f aca="false">AX93+AY50</f>
        <v>628871.436516927</v>
      </c>
      <c r="AZ93" s="67" t="n">
        <f aca="false">AY93+AZ50</f>
        <v>646763.671761284</v>
      </c>
      <c r="BA93" s="67" t="n">
        <f aca="false">AZ93+BA50</f>
        <v>664652.39589453</v>
      </c>
      <c r="BB93" s="67" t="n">
        <f aca="false">BA93+BB50</f>
        <v>682537.608916664</v>
      </c>
      <c r="BC93" s="67" t="n">
        <f aca="false">BB93+BC50</f>
        <v>700419.310827688</v>
      </c>
      <c r="BD93" s="67" t="n">
        <f aca="false">BC93+BD50</f>
        <v>718297.5016276</v>
      </c>
      <c r="BE93" s="67" t="n">
        <f aca="false">BD93+BE50</f>
        <v>736172.181316402</v>
      </c>
      <c r="BF93" s="67" t="n">
        <f aca="false">BE93+BF50</f>
        <v>754043.349894092</v>
      </c>
      <c r="BG93" s="67" t="n">
        <f aca="false">BF93+BG50</f>
        <v>771911.007360671</v>
      </c>
      <c r="BH93" s="67" t="n">
        <f aca="false">BG93+BH50</f>
        <v>789775.153716139</v>
      </c>
      <c r="BI93" s="67" t="n">
        <f aca="false">BH93+BI50</f>
        <v>822648.041021205</v>
      </c>
      <c r="BJ93" s="67" t="n">
        <f aca="false">BI93+BJ50</f>
        <v>855517.417215159</v>
      </c>
    </row>
    <row r="94" customFormat="false" ht="15" hidden="false" customHeight="false" outlineLevel="0" collapsed="false">
      <c r="A94" s="4" t="s">
        <v>93</v>
      </c>
      <c r="C94" s="73" t="n">
        <f aca="false">C80+C66+C67+C57</f>
        <v>162731.819873524</v>
      </c>
      <c r="D94" s="73" t="n">
        <f aca="false">D80+D66+D67+D57</f>
        <v>166528.391346413</v>
      </c>
      <c r="E94" s="73" t="n">
        <f aca="false">E80+E66+E67+E57</f>
        <v>173587.613964698</v>
      </c>
      <c r="F94" s="73" t="n">
        <f aca="false">F80+F66+F67+F57</f>
        <v>179386.837122667</v>
      </c>
      <c r="G94" s="73" t="n">
        <f aca="false">G80+G66+G67+G57</f>
        <v>185193.521391746</v>
      </c>
      <c r="H94" s="73" t="n">
        <f aca="false">H80+H66+H67+H57</f>
        <v>191007.666771937</v>
      </c>
      <c r="I94" s="73" t="n">
        <f aca="false">I80+I66+I67+I57</f>
        <v>196829.273263238</v>
      </c>
      <c r="J94" s="73" t="n">
        <f aca="false">J80+J66+J67+J57</f>
        <v>202658.340865651</v>
      </c>
      <c r="K94" s="73" t="n">
        <f aca="false">K80+K66+K67+K57</f>
        <v>208494.869579175</v>
      </c>
      <c r="L94" s="73" t="n">
        <f aca="false">L80+L66+L67+L57</f>
        <v>214338.85940381</v>
      </c>
      <c r="M94" s="73" t="n">
        <f aca="false">M80+M66+M67+M57</f>
        <v>236157.085086984</v>
      </c>
      <c r="N94" s="73" t="n">
        <f aca="false">N80+N66+N67+N57</f>
        <v>253866.807538413</v>
      </c>
      <c r="O94" s="73" t="n">
        <f aca="false">O80+O66+O67+O57</f>
        <v>260089.767922175</v>
      </c>
      <c r="P94" s="73" t="n">
        <f aca="false">P80+P66+P67+P57</f>
        <v>268163.110927764</v>
      </c>
      <c r="Q94" s="73" t="n">
        <f aca="false">Q80+Q66+Q67+Q57</f>
        <v>276232.942822241</v>
      </c>
      <c r="R94" s="73" t="n">
        <f aca="false">R80+R66+R67+R57</f>
        <v>284299.263605608</v>
      </c>
      <c r="S94" s="73" t="n">
        <f aca="false">S80+S66+S67+S57</f>
        <v>292362.073277863</v>
      </c>
      <c r="T94" s="73" t="n">
        <f aca="false">T80+T66+T67+T57</f>
        <v>300421.371839007</v>
      </c>
      <c r="U94" s="73" t="n">
        <f aca="false">U80+U66+U67+U57</f>
        <v>308477.15928904</v>
      </c>
      <c r="V94" s="73" t="n">
        <f aca="false">V80+V66+V67+V57</f>
        <v>316529.435627962</v>
      </c>
      <c r="W94" s="73" t="n">
        <f aca="false">W80+W66+W67+W57</f>
        <v>324578.200855773</v>
      </c>
      <c r="X94" s="73" t="n">
        <f aca="false">X80+X66+X67+X57</f>
        <v>332623.454972472</v>
      </c>
      <c r="Y94" s="73" t="n">
        <f aca="false">Y80+Y66+Y67+Y57</f>
        <v>357604.349307608</v>
      </c>
      <c r="Z94" s="73" t="n">
        <f aca="false">Z80+Z66+Z67+Z57</f>
        <v>378215.105960295</v>
      </c>
      <c r="AA94" s="73" t="n">
        <f aca="false">AA80+AA66+AA67+AA57</f>
        <v>386913.000665578</v>
      </c>
      <c r="AB94" s="73" t="n">
        <f aca="false">AB80+AB66+AB67+AB57</f>
        <v>397457.431729805</v>
      </c>
      <c r="AC94" s="73" t="n">
        <f aca="false">AC80+AC66+AC67+AC57</f>
        <v>407998.35168292</v>
      </c>
      <c r="AD94" s="73" t="n">
        <f aca="false">AD80+AD66+AD67+AD57</f>
        <v>418535.760524924</v>
      </c>
      <c r="AE94" s="73" t="n">
        <f aca="false">AE80+AE66+AE67+AE57</f>
        <v>429069.658255816</v>
      </c>
      <c r="AF94" s="73" t="n">
        <f aca="false">AF80+AF66+AF67+AF57</f>
        <v>439600.044875598</v>
      </c>
      <c r="AG94" s="73" t="n">
        <f aca="false">AG80+AG66+AG67+AG57</f>
        <v>450126.920384269</v>
      </c>
      <c r="AH94" s="73" t="n">
        <f aca="false">AH80+AH66+AH67+AH57</f>
        <v>460650.284781828</v>
      </c>
      <c r="AI94" s="73" t="n">
        <f aca="false">AI80+AI66+AI67+AI57</f>
        <v>471170.138068276</v>
      </c>
      <c r="AJ94" s="73" t="n">
        <f aca="false">AJ80+AJ66+AJ67+AJ57</f>
        <v>481686.480243614</v>
      </c>
      <c r="AK94" s="73" t="n">
        <f aca="false">AK80+AK66+AK67+AK57</f>
        <v>510170.056953356</v>
      </c>
      <c r="AL94" s="73" t="n">
        <f aca="false">AL80+AL66+AL67+AL57</f>
        <v>534017.568422456</v>
      </c>
      <c r="AM94" s="73" t="n">
        <f aca="false">AM80+AM66+AM67+AM57</f>
        <v>545547.586910521</v>
      </c>
      <c r="AN94" s="73" t="n">
        <f aca="false">AN80+AN66+AN67+AN57</f>
        <v>558902.128704345</v>
      </c>
      <c r="AO94" s="73" t="n">
        <f aca="false">AO80+AO66+AO67+AO57</f>
        <v>572253.159387057</v>
      </c>
      <c r="AP94" s="73" t="n">
        <f aca="false">AP80+AP66+AP67+AP57</f>
        <v>585600.678958659</v>
      </c>
      <c r="AQ94" s="73" t="n">
        <f aca="false">AQ80+AQ66+AQ67+AQ57</f>
        <v>598944.687419149</v>
      </c>
      <c r="AR94" s="73" t="n">
        <f aca="false">AR80+AR66+AR67+AR57</f>
        <v>612285.184768528</v>
      </c>
      <c r="AS94" s="73" t="n">
        <f aca="false">AS80+AS66+AS67+AS57</f>
        <v>625622.171006796</v>
      </c>
      <c r="AT94" s="73" t="n">
        <f aca="false">AT80+AT66+AT67+AT57</f>
        <v>638955.646133953</v>
      </c>
      <c r="AU94" s="73" t="n">
        <f aca="false">AU80+AU66+AU67+AU57</f>
        <v>652285.610149999</v>
      </c>
      <c r="AV94" s="73" t="n">
        <f aca="false">AV80+AV66+AV67+AV57</f>
        <v>665612.063054933</v>
      </c>
      <c r="AW94" s="73" t="n">
        <f aca="false">AW80+AW66+AW67+AW57</f>
        <v>698000.168904085</v>
      </c>
      <c r="AX94" s="73" t="n">
        <f aca="false">AX80+AX66+AX67+AX57</f>
        <v>725470.086966106</v>
      </c>
      <c r="AY94" s="73" t="n">
        <f aca="false">AY80+AY66+AY67+AY57</f>
        <v>740248.50621251</v>
      </c>
      <c r="AZ94" s="73" t="n">
        <f aca="false">AZ80+AZ66+AZ67+AZ57</f>
        <v>756807.408123533</v>
      </c>
      <c r="BA94" s="73" t="n">
        <f aca="false">BA80+BA66+BA67+BA57</f>
        <v>773362.798923446</v>
      </c>
      <c r="BB94" s="73" t="n">
        <f aca="false">BB80+BB66+BB67+BB57</f>
        <v>789914.678612247</v>
      </c>
      <c r="BC94" s="73" t="n">
        <f aca="false">BC80+BC66+BC67+BC57</f>
        <v>806463.047189937</v>
      </c>
      <c r="BD94" s="73" t="n">
        <f aca="false">BD80+BD66+BD67+BD57</f>
        <v>823007.904656517</v>
      </c>
      <c r="BE94" s="73" t="n">
        <f aca="false">BE80+BE66+BE67+BE57</f>
        <v>839549.251011985</v>
      </c>
      <c r="BF94" s="73" t="n">
        <f aca="false">BF80+BF66+BF67+BF57</f>
        <v>856087.086256342</v>
      </c>
      <c r="BG94" s="73" t="n">
        <f aca="false">BG80+BG66+BG67+BG57</f>
        <v>872621.410389588</v>
      </c>
      <c r="BH94" s="73" t="n">
        <f aca="false">BH80+BH66+BH67+BH57</f>
        <v>889152.223411722</v>
      </c>
      <c r="BI94" s="73" t="n">
        <f aca="false">BI80+BI66+BI67+BI57</f>
        <v>925905.757869044</v>
      </c>
      <c r="BJ94" s="73" t="n">
        <f aca="false">BJ80+BJ66+BJ67+BJ57</f>
        <v>957441.800729665</v>
      </c>
    </row>
    <row r="95" customFormat="false" ht="15" hidden="false" customHeight="false" outlineLevel="0" collapsed="false">
      <c r="A95" s="6" t="s">
        <v>96</v>
      </c>
      <c r="C95" s="67" t="n">
        <f aca="false">C68+C63</f>
        <v>102128.296228571</v>
      </c>
      <c r="D95" s="67" t="n">
        <f aca="false">D68+D63</f>
        <v>102062.423466667</v>
      </c>
      <c r="E95" s="67" t="n">
        <f aca="false">E68+E63</f>
        <v>101996.550704762</v>
      </c>
      <c r="F95" s="67" t="n">
        <f aca="false">F68+F63</f>
        <v>100663.217371429</v>
      </c>
      <c r="G95" s="67" t="n">
        <f aca="false">G68+G63</f>
        <v>99329.8840380953</v>
      </c>
      <c r="H95" s="67" t="n">
        <f aca="false">H68+H63</f>
        <v>97996.5507047619</v>
      </c>
      <c r="I95" s="67" t="n">
        <f aca="false">I68+I63</f>
        <v>96663.2173714286</v>
      </c>
      <c r="J95" s="67" t="n">
        <f aca="false">J68+J63</f>
        <v>95329.8840380953</v>
      </c>
      <c r="K95" s="67" t="n">
        <f aca="false">K68+K63</f>
        <v>93996.550704762</v>
      </c>
      <c r="L95" s="67" t="n">
        <f aca="false">L68+L63</f>
        <v>92663.2173714286</v>
      </c>
      <c r="M95" s="67" t="n">
        <f aca="false">M68+M63</f>
        <v>95445.8483809524</v>
      </c>
      <c r="N95" s="67" t="n">
        <f aca="false">N68+N63</f>
        <v>94112.5150476191</v>
      </c>
      <c r="O95" s="67" t="n">
        <f aca="false">O68+O63</f>
        <v>90925.2879813486</v>
      </c>
      <c r="P95" s="67" t="n">
        <f aca="false">P68+P63</f>
        <v>89591.9546480153</v>
      </c>
      <c r="Q95" s="67" t="n">
        <f aca="false">Q68+Q63</f>
        <v>88258.621314682</v>
      </c>
      <c r="R95" s="67" t="n">
        <f aca="false">R68+R63</f>
        <v>86925.2879813486</v>
      </c>
      <c r="S95" s="67" t="n">
        <f aca="false">S68+S63</f>
        <v>85591.9546480153</v>
      </c>
      <c r="T95" s="67" t="n">
        <f aca="false">T68+T63</f>
        <v>84258.6213146819</v>
      </c>
      <c r="U95" s="67" t="n">
        <f aca="false">U68+U63</f>
        <v>82925.2879813486</v>
      </c>
      <c r="V95" s="67" t="n">
        <f aca="false">V68+V63</f>
        <v>81591.9546480153</v>
      </c>
      <c r="W95" s="67" t="n">
        <f aca="false">W68+W63</f>
        <v>80258.6213146819</v>
      </c>
      <c r="X95" s="67" t="n">
        <f aca="false">X68+X63</f>
        <v>78925.2879813486</v>
      </c>
      <c r="Y95" s="67" t="n">
        <f aca="false">Y68+Y63</f>
        <v>81958.5812193524</v>
      </c>
      <c r="Z95" s="67" t="n">
        <f aca="false">Z68+Z63</f>
        <v>80625.2478860191</v>
      </c>
      <c r="AA95" s="67" t="n">
        <f aca="false">AA68+AA63</f>
        <v>77441.8670826319</v>
      </c>
      <c r="AB95" s="67" t="n">
        <f aca="false">AB68+AB63</f>
        <v>76108.5337492986</v>
      </c>
      <c r="AC95" s="67" t="n">
        <f aca="false">AC68+AC63</f>
        <v>74775.2004159652</v>
      </c>
      <c r="AD95" s="67" t="n">
        <f aca="false">AD68+AD63</f>
        <v>73441.8670826319</v>
      </c>
      <c r="AE95" s="67" t="n">
        <f aca="false">AE68+AE63</f>
        <v>72108.5337492986</v>
      </c>
      <c r="AF95" s="67" t="n">
        <f aca="false">AF68+AF63</f>
        <v>70775.2004159652</v>
      </c>
      <c r="AG95" s="67" t="n">
        <f aca="false">AG68+AG63</f>
        <v>69441.8670826319</v>
      </c>
      <c r="AH95" s="67" t="n">
        <f aca="false">AH68+AH63</f>
        <v>68108.5337492986</v>
      </c>
      <c r="AI95" s="67" t="n">
        <f aca="false">AI68+AI63</f>
        <v>66775.2004159652</v>
      </c>
      <c r="AJ95" s="67" t="n">
        <f aca="false">AJ68+AJ63</f>
        <v>65441.8670826319</v>
      </c>
      <c r="AK95" s="67" t="n">
        <f aca="false">AK68+AK63</f>
        <v>68741.0878788302</v>
      </c>
      <c r="AL95" s="67" t="n">
        <f aca="false">AL68+AL63</f>
        <v>67407.7545454968</v>
      </c>
      <c r="AM95" s="67" t="n">
        <f aca="false">AM68+AM63</f>
        <v>64246.3867952938</v>
      </c>
      <c r="AN95" s="67" t="n">
        <f aca="false">AN68+AN63</f>
        <v>62913.0534619605</v>
      </c>
      <c r="AO95" s="67" t="n">
        <f aca="false">AO68+AO63</f>
        <v>61579.7201286272</v>
      </c>
      <c r="AP95" s="67" t="n">
        <f aca="false">AP68+AP63</f>
        <v>60246.3867952938</v>
      </c>
      <c r="AQ95" s="67" t="n">
        <f aca="false">AQ68+AQ63</f>
        <v>58913.0534619605</v>
      </c>
      <c r="AR95" s="67" t="n">
        <f aca="false">AR68+AR63</f>
        <v>57579.7201286272</v>
      </c>
      <c r="AS95" s="67" t="n">
        <f aca="false">AS68+AS63</f>
        <v>56246.3867952938</v>
      </c>
      <c r="AT95" s="67" t="n">
        <f aca="false">AT68+AT63</f>
        <v>54913.0534619605</v>
      </c>
      <c r="AU95" s="67" t="n">
        <f aca="false">AU68+AU63</f>
        <v>53579.7201286272</v>
      </c>
      <c r="AV95" s="67" t="n">
        <f aca="false">AV68+AV63</f>
        <v>52246.3867952939</v>
      </c>
      <c r="AW95" s="67" t="n">
        <f aca="false">AW68+AW63</f>
        <v>55827.7301379806</v>
      </c>
      <c r="AX95" s="67" t="n">
        <f aca="false">AX68+AX63</f>
        <v>54494.3968046472</v>
      </c>
      <c r="AY95" s="67" t="n">
        <f aca="false">AY68+AY63</f>
        <v>51377.0696955828</v>
      </c>
      <c r="AZ95" s="67" t="n">
        <f aca="false">AZ68+AZ63</f>
        <v>50043.7363622494</v>
      </c>
      <c r="BA95" s="67" t="n">
        <f aca="false">BA68+BA63</f>
        <v>48710.4030289161</v>
      </c>
      <c r="BB95" s="67" t="n">
        <f aca="false">BB68+BB63</f>
        <v>47377.0696955828</v>
      </c>
      <c r="BC95" s="67" t="n">
        <f aca="false">BC68+BC63</f>
        <v>46043.7363622494</v>
      </c>
      <c r="BD95" s="67" t="n">
        <f aca="false">BD68+BD63</f>
        <v>44710.4030289161</v>
      </c>
      <c r="BE95" s="67" t="n">
        <f aca="false">BE68+BE63</f>
        <v>43377.0696955828</v>
      </c>
      <c r="BF95" s="67" t="n">
        <f aca="false">BF68+BF63</f>
        <v>42043.7363622494</v>
      </c>
      <c r="BG95" s="67" t="n">
        <f aca="false">BG68+BG63</f>
        <v>40710.4030289161</v>
      </c>
      <c r="BH95" s="67" t="n">
        <f aca="false">BH68+BH63</f>
        <v>39377.0696955828</v>
      </c>
      <c r="BI95" s="67" t="n">
        <f aca="false">BI68+BI63</f>
        <v>43257.7168478391</v>
      </c>
      <c r="BJ95" s="67" t="n">
        <f aca="false">BJ68+BJ63</f>
        <v>41924.3835145058</v>
      </c>
    </row>
    <row r="96" customFormat="false" ht="15" hidden="false" customHeight="false" outlineLevel="0" collapsed="false">
      <c r="A96" s="6" t="s">
        <v>99</v>
      </c>
      <c r="C96" s="67" t="n">
        <f aca="false">C92+C93</f>
        <v>60603.5236449524</v>
      </c>
      <c r="D96" s="67" t="n">
        <f aca="false">D92+D93</f>
        <v>64465.967879746</v>
      </c>
      <c r="E96" s="67" t="n">
        <f aca="false">E92+E93</f>
        <v>71591.0632599365</v>
      </c>
      <c r="F96" s="67" t="n">
        <f aca="false">F92+F93</f>
        <v>78723.6197512381</v>
      </c>
      <c r="G96" s="67" t="n">
        <f aca="false">G92+G93</f>
        <v>85863.6373536508</v>
      </c>
      <c r="H96" s="67" t="n">
        <f aca="false">H92+H93</f>
        <v>93011.1160671746</v>
      </c>
      <c r="I96" s="67" t="n">
        <f aca="false">I92+I93</f>
        <v>100166.05589181</v>
      </c>
      <c r="J96" s="67" t="n">
        <f aca="false">J92+J93</f>
        <v>107328.456827556</v>
      </c>
      <c r="K96" s="67" t="n">
        <f aca="false">K92+K93</f>
        <v>114498.318874413</v>
      </c>
      <c r="L96" s="67" t="n">
        <f aca="false">L92+L93</f>
        <v>121675.642032381</v>
      </c>
      <c r="M96" s="67" t="n">
        <f aca="false">M92+M93</f>
        <v>140711.236706032</v>
      </c>
      <c r="N96" s="67" t="n">
        <f aca="false">N92+N93</f>
        <v>159754.292490794</v>
      </c>
      <c r="O96" s="67" t="n">
        <f aca="false">O92+O93</f>
        <v>169164.479940827</v>
      </c>
      <c r="P96" s="67" t="n">
        <f aca="false">P92+P93</f>
        <v>178571.156279749</v>
      </c>
      <c r="Q96" s="67" t="n">
        <f aca="false">Q92+Q93</f>
        <v>187974.321507559</v>
      </c>
      <c r="R96" s="67" t="n">
        <f aca="false">R92+R93</f>
        <v>197373.975624259</v>
      </c>
      <c r="S96" s="67" t="n">
        <f aca="false">S92+S93</f>
        <v>206770.118629848</v>
      </c>
      <c r="T96" s="67" t="n">
        <f aca="false">T92+T93</f>
        <v>216162.750524325</v>
      </c>
      <c r="U96" s="67" t="n">
        <f aca="false">U92+U93</f>
        <v>225551.871307691</v>
      </c>
      <c r="V96" s="67" t="n">
        <f aca="false">V92+V93</f>
        <v>234937.480979947</v>
      </c>
      <c r="W96" s="67" t="n">
        <f aca="false">W92+W93</f>
        <v>244319.579541091</v>
      </c>
      <c r="X96" s="67" t="n">
        <f aca="false">X92+X93</f>
        <v>253698.166991124</v>
      </c>
      <c r="Y96" s="67" t="n">
        <f aca="false">Y92+Y93</f>
        <v>275645.768088255</v>
      </c>
      <c r="Z96" s="67" t="n">
        <f aca="false">Z92+Z93</f>
        <v>297589.858074276</v>
      </c>
      <c r="AA96" s="67" t="n">
        <f aca="false">AA92+AA93</f>
        <v>309471.133582947</v>
      </c>
      <c r="AB96" s="67" t="n">
        <f aca="false">AB92+AB93</f>
        <v>321348.897980506</v>
      </c>
      <c r="AC96" s="67" t="n">
        <f aca="false">AC92+AC93</f>
        <v>333223.151266954</v>
      </c>
      <c r="AD96" s="67" t="n">
        <f aca="false">AD92+AD93</f>
        <v>345093.893442292</v>
      </c>
      <c r="AE96" s="67" t="n">
        <f aca="false">AE92+AE93</f>
        <v>356961.124506518</v>
      </c>
      <c r="AF96" s="67" t="n">
        <f aca="false">AF92+AF93</f>
        <v>368824.844459633</v>
      </c>
      <c r="AG96" s="67" t="n">
        <f aca="false">AG92+AG93</f>
        <v>380685.053301637</v>
      </c>
      <c r="AH96" s="67" t="n">
        <f aca="false">AH92+AH93</f>
        <v>392541.751032529</v>
      </c>
      <c r="AI96" s="67" t="n">
        <f aca="false">AI92+AI93</f>
        <v>404394.937652311</v>
      </c>
      <c r="AJ96" s="67" t="n">
        <f aca="false">AJ92+AJ93</f>
        <v>416244.613160982</v>
      </c>
      <c r="AK96" s="67" t="n">
        <f aca="false">AK92+AK93</f>
        <v>441428.969074526</v>
      </c>
      <c r="AL96" s="67" t="n">
        <f aca="false">AL92+AL93</f>
        <v>466609.813876959</v>
      </c>
      <c r="AM96" s="67" t="n">
        <f aca="false">AM92+AM93</f>
        <v>481301.200115227</v>
      </c>
      <c r="AN96" s="67" t="n">
        <f aca="false">AN92+AN93</f>
        <v>495989.075242384</v>
      </c>
      <c r="AO96" s="67" t="n">
        <f aca="false">AO92+AO93</f>
        <v>510673.43925843</v>
      </c>
      <c r="AP96" s="67" t="n">
        <f aca="false">AP92+AP93</f>
        <v>525354.292163365</v>
      </c>
      <c r="AQ96" s="67" t="n">
        <f aca="false">AQ92+AQ93</f>
        <v>540031.633957188</v>
      </c>
      <c r="AR96" s="67" t="n">
        <f aca="false">AR92+AR93</f>
        <v>554705.464639901</v>
      </c>
      <c r="AS96" s="67" t="n">
        <f aca="false">AS92+AS93</f>
        <v>569375.784211502</v>
      </c>
      <c r="AT96" s="67" t="n">
        <f aca="false">AT92+AT93</f>
        <v>584042.592671992</v>
      </c>
      <c r="AU96" s="67" t="n">
        <f aca="false">AU92+AU93</f>
        <v>598705.890021371</v>
      </c>
      <c r="AV96" s="67" t="n">
        <f aca="false">AV92+AV93</f>
        <v>613365.676259639</v>
      </c>
      <c r="AW96" s="67" t="n">
        <f aca="false">AW92+AW93</f>
        <v>642172.438766105</v>
      </c>
      <c r="AX96" s="67" t="n">
        <f aca="false">AX92+AX93</f>
        <v>670975.690161459</v>
      </c>
      <c r="AY96" s="67" t="n">
        <f aca="false">AY92+AY93</f>
        <v>688871.436516927</v>
      </c>
      <c r="AZ96" s="67" t="n">
        <f aca="false">AZ92+AZ93</f>
        <v>706763.671761284</v>
      </c>
      <c r="BA96" s="67" t="n">
        <f aca="false">BA92+BA93</f>
        <v>724652.39589453</v>
      </c>
      <c r="BB96" s="67" t="n">
        <f aca="false">BB92+BB93</f>
        <v>742537.608916664</v>
      </c>
      <c r="BC96" s="67" t="n">
        <f aca="false">BC92+BC93</f>
        <v>760419.310827688</v>
      </c>
      <c r="BD96" s="67" t="n">
        <f aca="false">BD92+BD93</f>
        <v>778297.5016276</v>
      </c>
      <c r="BE96" s="67" t="n">
        <f aca="false">BE92+BE93</f>
        <v>796172.181316402</v>
      </c>
      <c r="BF96" s="67" t="n">
        <f aca="false">BF92+BF93</f>
        <v>814043.349894092</v>
      </c>
      <c r="BG96" s="67" t="n">
        <f aca="false">BG92+BG93</f>
        <v>831911.007360671</v>
      </c>
      <c r="BH96" s="67" t="n">
        <f aca="false">BH92+BH93</f>
        <v>849775.153716139</v>
      </c>
      <c r="BI96" s="67" t="n">
        <f aca="false">BI92+BI93</f>
        <v>882648.041021205</v>
      </c>
      <c r="BJ96" s="67" t="n">
        <f aca="false">BJ92+BJ93</f>
        <v>915517.417215159</v>
      </c>
    </row>
    <row r="97" customFormat="false" ht="15" hidden="false" customHeight="false" outlineLevel="0" collapsed="false">
      <c r="A97" s="4" t="s">
        <v>100</v>
      </c>
      <c r="C97" s="73" t="n">
        <f aca="false">C95+C96</f>
        <v>162731.819873524</v>
      </c>
      <c r="D97" s="73" t="n">
        <f aca="false">D95+D96</f>
        <v>166528.391346413</v>
      </c>
      <c r="E97" s="73" t="n">
        <f aca="false">E95+E96</f>
        <v>173587.613964698</v>
      </c>
      <c r="F97" s="73" t="n">
        <f aca="false">F95+F96</f>
        <v>179386.837122667</v>
      </c>
      <c r="G97" s="73" t="n">
        <f aca="false">G95+G96</f>
        <v>185193.521391746</v>
      </c>
      <c r="H97" s="73" t="n">
        <f aca="false">H95+H96</f>
        <v>191007.666771937</v>
      </c>
      <c r="I97" s="73" t="n">
        <f aca="false">I95+I96</f>
        <v>196829.273263238</v>
      </c>
      <c r="J97" s="73" t="n">
        <f aca="false">J95+J96</f>
        <v>202658.340865651</v>
      </c>
      <c r="K97" s="73" t="n">
        <f aca="false">K95+K96</f>
        <v>208494.869579175</v>
      </c>
      <c r="L97" s="73" t="n">
        <f aca="false">L95+L96</f>
        <v>214338.85940381</v>
      </c>
      <c r="M97" s="73" t="n">
        <f aca="false">M95+M96</f>
        <v>236157.085086984</v>
      </c>
      <c r="N97" s="73" t="n">
        <f aca="false">N95+N96</f>
        <v>253866.807538413</v>
      </c>
      <c r="O97" s="73" t="n">
        <f aca="false">O95+O96</f>
        <v>260089.767922175</v>
      </c>
      <c r="P97" s="73" t="n">
        <f aca="false">P95+P96</f>
        <v>268163.110927764</v>
      </c>
      <c r="Q97" s="73" t="n">
        <f aca="false">Q95+Q96</f>
        <v>276232.942822241</v>
      </c>
      <c r="R97" s="73" t="n">
        <f aca="false">R95+R96</f>
        <v>284299.263605608</v>
      </c>
      <c r="S97" s="73" t="n">
        <f aca="false">S95+S96</f>
        <v>292362.073277863</v>
      </c>
      <c r="T97" s="73" t="n">
        <f aca="false">T95+T96</f>
        <v>300421.371839007</v>
      </c>
      <c r="U97" s="73" t="n">
        <f aca="false">U95+U96</f>
        <v>308477.15928904</v>
      </c>
      <c r="V97" s="73" t="n">
        <f aca="false">V95+V96</f>
        <v>316529.435627962</v>
      </c>
      <c r="W97" s="73" t="n">
        <f aca="false">W95+W96</f>
        <v>324578.200855773</v>
      </c>
      <c r="X97" s="73" t="n">
        <f aca="false">X95+X96</f>
        <v>332623.454972472</v>
      </c>
      <c r="Y97" s="73" t="n">
        <f aca="false">Y95+Y96</f>
        <v>357604.349307608</v>
      </c>
      <c r="Z97" s="73" t="n">
        <f aca="false">Z95+Z96</f>
        <v>378215.105960295</v>
      </c>
      <c r="AA97" s="73" t="n">
        <f aca="false">AA95+AA96</f>
        <v>386913.000665578</v>
      </c>
      <c r="AB97" s="73" t="n">
        <f aca="false">AB95+AB96</f>
        <v>397457.431729805</v>
      </c>
      <c r="AC97" s="73" t="n">
        <f aca="false">AC95+AC96</f>
        <v>407998.35168292</v>
      </c>
      <c r="AD97" s="73" t="n">
        <f aca="false">AD95+AD96</f>
        <v>418535.760524924</v>
      </c>
      <c r="AE97" s="73" t="n">
        <f aca="false">AE95+AE96</f>
        <v>429069.658255816</v>
      </c>
      <c r="AF97" s="73" t="n">
        <f aca="false">AF95+AF96</f>
        <v>439600.044875598</v>
      </c>
      <c r="AG97" s="73" t="n">
        <f aca="false">AG95+AG96</f>
        <v>450126.920384269</v>
      </c>
      <c r="AH97" s="73" t="n">
        <f aca="false">AH95+AH96</f>
        <v>460650.284781828</v>
      </c>
      <c r="AI97" s="73" t="n">
        <f aca="false">AI95+AI96</f>
        <v>471170.138068276</v>
      </c>
      <c r="AJ97" s="73" t="n">
        <f aca="false">AJ95+AJ96</f>
        <v>481686.480243614</v>
      </c>
      <c r="AK97" s="73" t="n">
        <f aca="false">AK95+AK96</f>
        <v>510170.056953356</v>
      </c>
      <c r="AL97" s="73" t="n">
        <f aca="false">AL95+AL96</f>
        <v>534017.568422456</v>
      </c>
      <c r="AM97" s="73" t="n">
        <f aca="false">AM95+AM96</f>
        <v>545547.586910521</v>
      </c>
      <c r="AN97" s="73" t="n">
        <f aca="false">AN95+AN96</f>
        <v>558902.128704344</v>
      </c>
      <c r="AO97" s="73" t="n">
        <f aca="false">AO95+AO96</f>
        <v>572253.159387057</v>
      </c>
      <c r="AP97" s="73" t="n">
        <f aca="false">AP95+AP96</f>
        <v>585600.678958658</v>
      </c>
      <c r="AQ97" s="73" t="n">
        <f aca="false">AQ95+AQ96</f>
        <v>598944.687419149</v>
      </c>
      <c r="AR97" s="73" t="n">
        <f aca="false">AR95+AR96</f>
        <v>612285.184768528</v>
      </c>
      <c r="AS97" s="73" t="n">
        <f aca="false">AS95+AS96</f>
        <v>625622.171006796</v>
      </c>
      <c r="AT97" s="73" t="n">
        <f aca="false">AT95+AT96</f>
        <v>638955.646133953</v>
      </c>
      <c r="AU97" s="73" t="n">
        <f aca="false">AU95+AU96</f>
        <v>652285.610149999</v>
      </c>
      <c r="AV97" s="73" t="n">
        <f aca="false">AV95+AV96</f>
        <v>665612.063054933</v>
      </c>
      <c r="AW97" s="73" t="n">
        <f aca="false">AW95+AW96</f>
        <v>698000.168904085</v>
      </c>
      <c r="AX97" s="73" t="n">
        <f aca="false">AX95+AX96</f>
        <v>725470.086966106</v>
      </c>
      <c r="AY97" s="73" t="n">
        <f aca="false">AY95+AY96</f>
        <v>740248.506212509</v>
      </c>
      <c r="AZ97" s="73" t="n">
        <f aca="false">AZ95+AZ96</f>
        <v>756807.408123533</v>
      </c>
      <c r="BA97" s="73" t="n">
        <f aca="false">BA95+BA96</f>
        <v>773362.798923446</v>
      </c>
      <c r="BB97" s="73" t="n">
        <f aca="false">BB95+BB96</f>
        <v>789914.678612247</v>
      </c>
      <c r="BC97" s="73" t="n">
        <f aca="false">BC95+BC96</f>
        <v>806463.047189937</v>
      </c>
      <c r="BD97" s="73" t="n">
        <f aca="false">BD95+BD96</f>
        <v>823007.904656517</v>
      </c>
      <c r="BE97" s="73" t="n">
        <f aca="false">BE95+BE96</f>
        <v>839549.251011985</v>
      </c>
      <c r="BF97" s="73" t="n">
        <f aca="false">BF95+BF96</f>
        <v>856087.086256342</v>
      </c>
      <c r="BG97" s="73" t="n">
        <f aca="false">BG95+BG96</f>
        <v>872621.410389587</v>
      </c>
      <c r="BH97" s="73" t="n">
        <f aca="false">BH95+BH96</f>
        <v>889152.223411722</v>
      </c>
      <c r="BI97" s="73" t="n">
        <f aca="false">BI95+BI96</f>
        <v>925905.757869044</v>
      </c>
      <c r="BJ97" s="73" t="n">
        <f aca="false">BJ95+BJ96</f>
        <v>957441.800729664</v>
      </c>
    </row>
    <row r="98" customFormat="false" ht="15" hidden="false" customHeight="false" outlineLevel="0" collapsed="false">
      <c r="A98" s="6" t="s">
        <v>434</v>
      </c>
      <c r="C98" s="67" t="n">
        <f aca="false">C94-C97</f>
        <v>0</v>
      </c>
      <c r="D98" s="67" t="n">
        <f aca="false">D94-D97</f>
        <v>0</v>
      </c>
      <c r="E98" s="67" t="n">
        <f aca="false">E94-E97</f>
        <v>0</v>
      </c>
      <c r="F98" s="67" t="n">
        <f aca="false">F94-F97</f>
        <v>0</v>
      </c>
      <c r="G98" s="67" t="n">
        <f aca="false">G94-G97</f>
        <v>0</v>
      </c>
      <c r="H98" s="67" t="n">
        <f aca="false">H94-H97</f>
        <v>0</v>
      </c>
      <c r="I98" s="67" t="n">
        <f aca="false">I94-I97</f>
        <v>0</v>
      </c>
      <c r="J98" s="67" t="n">
        <f aca="false">J94-J97</f>
        <v>0</v>
      </c>
      <c r="K98" s="67" t="n">
        <f aca="false">K94-K97</f>
        <v>0</v>
      </c>
      <c r="L98" s="67" t="n">
        <f aca="false">L94-L97</f>
        <v>0</v>
      </c>
      <c r="M98" s="67" t="n">
        <f aca="false">M94-M97</f>
        <v>0</v>
      </c>
      <c r="N98" s="67" t="n">
        <f aca="false">N94-N97</f>
        <v>0</v>
      </c>
      <c r="O98" s="67" t="n">
        <f aca="false">O94-O97</f>
        <v>0</v>
      </c>
      <c r="P98" s="67" t="n">
        <f aca="false">P94-P97</f>
        <v>0</v>
      </c>
      <c r="Q98" s="67" t="n">
        <f aca="false">Q94-Q97</f>
        <v>0</v>
      </c>
      <c r="R98" s="67" t="n">
        <f aca="false">R94-R97</f>
        <v>0</v>
      </c>
      <c r="S98" s="67" t="n">
        <f aca="false">S94-S97</f>
        <v>0</v>
      </c>
      <c r="T98" s="67" t="n">
        <f aca="false">T94-T97</f>
        <v>0</v>
      </c>
      <c r="U98" s="67" t="n">
        <f aca="false">U94-U97</f>
        <v>0</v>
      </c>
      <c r="V98" s="67" t="n">
        <f aca="false">V94-V97</f>
        <v>0</v>
      </c>
      <c r="W98" s="67" t="n">
        <f aca="false">W94-W97</f>
        <v>0</v>
      </c>
      <c r="X98" s="67" t="n">
        <f aca="false">X94-X97</f>
        <v>0</v>
      </c>
      <c r="Y98" s="67" t="n">
        <f aca="false">Y94-Y97</f>
        <v>0</v>
      </c>
      <c r="Z98" s="67" t="n">
        <f aca="false">Z94-Z97</f>
        <v>0</v>
      </c>
      <c r="AA98" s="67" t="n">
        <f aca="false">AA94-AA97</f>
        <v>0</v>
      </c>
      <c r="AB98" s="67" t="n">
        <f aca="false">AB94-AB97</f>
        <v>0</v>
      </c>
      <c r="AC98" s="67" t="n">
        <f aca="false">AC94-AC97</f>
        <v>0</v>
      </c>
      <c r="AD98" s="67" t="n">
        <f aca="false">AD94-AD97</f>
        <v>0</v>
      </c>
      <c r="AE98" s="67" t="n">
        <f aca="false">AE94-AE97</f>
        <v>0</v>
      </c>
      <c r="AF98" s="67" t="n">
        <f aca="false">AF94-AF97</f>
        <v>0</v>
      </c>
      <c r="AG98" s="67" t="n">
        <f aca="false">AG94-AG97</f>
        <v>0</v>
      </c>
      <c r="AH98" s="67" t="n">
        <f aca="false">AH94-AH97</f>
        <v>0</v>
      </c>
      <c r="AI98" s="67" t="n">
        <f aca="false">AI94-AI97</f>
        <v>0</v>
      </c>
      <c r="AJ98" s="67" t="n">
        <f aca="false">AJ94-AJ97</f>
        <v>0</v>
      </c>
      <c r="AK98" s="67" t="n">
        <f aca="false">AK94-AK97</f>
        <v>0</v>
      </c>
      <c r="AL98" s="67" t="n">
        <f aca="false">AL94-AL97</f>
        <v>0</v>
      </c>
      <c r="AM98" s="67" t="n">
        <f aca="false">AM94-AM97</f>
        <v>0</v>
      </c>
      <c r="AN98" s="67" t="n">
        <f aca="false">AN94-AN97</f>
        <v>0</v>
      </c>
      <c r="AO98" s="67" t="n">
        <f aca="false">AO94-AO97</f>
        <v>0</v>
      </c>
      <c r="AP98" s="67" t="n">
        <f aca="false">AP94-AP97</f>
        <v>0</v>
      </c>
      <c r="AQ98" s="67" t="n">
        <f aca="false">AQ94-AQ97</f>
        <v>0</v>
      </c>
      <c r="AR98" s="67" t="n">
        <f aca="false">AR94-AR97</f>
        <v>0</v>
      </c>
      <c r="AS98" s="67" t="n">
        <f aca="false">AS94-AS97</f>
        <v>0</v>
      </c>
      <c r="AT98" s="67" t="n">
        <f aca="false">AT94-AT97</f>
        <v>0</v>
      </c>
      <c r="AU98" s="67" t="n">
        <f aca="false">AU94-AU97</f>
        <v>0</v>
      </c>
      <c r="AV98" s="67" t="n">
        <f aca="false">AV94-AV97</f>
        <v>0</v>
      </c>
      <c r="AW98" s="67" t="n">
        <f aca="false">AW94-AW97</f>
        <v>0</v>
      </c>
      <c r="AX98" s="67" t="n">
        <f aca="false">AX94-AX97</f>
        <v>0</v>
      </c>
      <c r="AY98" s="67" t="n">
        <f aca="false">AY94-AY97</f>
        <v>0</v>
      </c>
      <c r="AZ98" s="67" t="n">
        <f aca="false">AZ94-AZ97</f>
        <v>0</v>
      </c>
      <c r="BA98" s="67" t="n">
        <f aca="false">BA94-BA97</f>
        <v>0</v>
      </c>
      <c r="BB98" s="67" t="n">
        <f aca="false">BB94-BB97</f>
        <v>0</v>
      </c>
      <c r="BC98" s="67" t="n">
        <f aca="false">BC94-BC97</f>
        <v>0</v>
      </c>
      <c r="BD98" s="67" t="n">
        <f aca="false">BD94-BD97</f>
        <v>0</v>
      </c>
      <c r="BE98" s="67" t="n">
        <f aca="false">BE94-BE97</f>
        <v>0</v>
      </c>
      <c r="BF98" s="67" t="n">
        <f aca="false">BF94-BF97</f>
        <v>0</v>
      </c>
      <c r="BG98" s="67" t="n">
        <f aca="false">BG94-BG97</f>
        <v>0</v>
      </c>
      <c r="BH98" s="67" t="n">
        <f aca="false">BH94-BH97</f>
        <v>0</v>
      </c>
      <c r="BI98" s="67" t="n">
        <f aca="false">BI94-BI97</f>
        <v>0</v>
      </c>
      <c r="BJ98" s="67" t="n">
        <f aca="false">BJ94-BJ97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435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338</v>
      </c>
    </row>
    <row r="3" customFormat="false" ht="15" hidden="false" customHeight="false" outlineLevel="0" collapsed="false">
      <c r="A3" s="33" t="s">
        <v>339</v>
      </c>
      <c r="C3" s="50" t="s">
        <v>340</v>
      </c>
      <c r="D3" s="50" t="s">
        <v>341</v>
      </c>
      <c r="E3" s="50" t="s">
        <v>342</v>
      </c>
      <c r="F3" s="50" t="s">
        <v>343</v>
      </c>
      <c r="G3" s="50" t="s">
        <v>344</v>
      </c>
      <c r="H3" s="50" t="s">
        <v>345</v>
      </c>
      <c r="I3" s="50" t="s">
        <v>346</v>
      </c>
      <c r="J3" s="50" t="s">
        <v>347</v>
      </c>
      <c r="K3" s="50" t="s">
        <v>348</v>
      </c>
      <c r="L3" s="50" t="s">
        <v>349</v>
      </c>
      <c r="M3" s="50" t="s">
        <v>350</v>
      </c>
      <c r="N3" s="50" t="s">
        <v>351</v>
      </c>
      <c r="O3" s="50" t="s">
        <v>352</v>
      </c>
      <c r="P3" s="50" t="s">
        <v>353</v>
      </c>
      <c r="Q3" s="50" t="s">
        <v>354</v>
      </c>
      <c r="R3" s="50" t="s">
        <v>355</v>
      </c>
      <c r="S3" s="50" t="s">
        <v>356</v>
      </c>
      <c r="T3" s="50" t="s">
        <v>357</v>
      </c>
      <c r="U3" s="50" t="s">
        <v>358</v>
      </c>
      <c r="V3" s="50" t="s">
        <v>359</v>
      </c>
      <c r="W3" s="50" t="s">
        <v>360</v>
      </c>
      <c r="X3" s="50" t="s">
        <v>361</v>
      </c>
      <c r="Y3" s="50" t="s">
        <v>362</v>
      </c>
      <c r="Z3" s="50" t="s">
        <v>363</v>
      </c>
      <c r="AA3" s="50" t="s">
        <v>364</v>
      </c>
      <c r="AB3" s="50" t="s">
        <v>365</v>
      </c>
      <c r="AC3" s="50" t="s">
        <v>366</v>
      </c>
      <c r="AD3" s="50" t="s">
        <v>367</v>
      </c>
      <c r="AE3" s="50" t="s">
        <v>368</v>
      </c>
      <c r="AF3" s="50" t="s">
        <v>369</v>
      </c>
      <c r="AG3" s="50" t="s">
        <v>370</v>
      </c>
      <c r="AH3" s="50" t="s">
        <v>371</v>
      </c>
      <c r="AI3" s="50" t="s">
        <v>372</v>
      </c>
      <c r="AJ3" s="50" t="s">
        <v>373</v>
      </c>
      <c r="AK3" s="50" t="s">
        <v>374</v>
      </c>
      <c r="AL3" s="50" t="s">
        <v>375</v>
      </c>
      <c r="AM3" s="50" t="s">
        <v>376</v>
      </c>
      <c r="AN3" s="50" t="s">
        <v>377</v>
      </c>
      <c r="AO3" s="50" t="s">
        <v>378</v>
      </c>
      <c r="AP3" s="50" t="s">
        <v>379</v>
      </c>
      <c r="AQ3" s="50" t="s">
        <v>380</v>
      </c>
      <c r="AR3" s="50" t="s">
        <v>381</v>
      </c>
      <c r="AS3" s="50" t="s">
        <v>382</v>
      </c>
      <c r="AT3" s="50" t="s">
        <v>383</v>
      </c>
      <c r="AU3" s="50" t="s">
        <v>384</v>
      </c>
      <c r="AV3" s="50" t="s">
        <v>385</v>
      </c>
      <c r="AW3" s="50" t="s">
        <v>386</v>
      </c>
      <c r="AX3" s="50" t="s">
        <v>387</v>
      </c>
      <c r="AY3" s="50" t="s">
        <v>388</v>
      </c>
      <c r="AZ3" s="50" t="s">
        <v>389</v>
      </c>
      <c r="BA3" s="50" t="s">
        <v>390</v>
      </c>
      <c r="BB3" s="50" t="s">
        <v>391</v>
      </c>
      <c r="BC3" s="50" t="s">
        <v>392</v>
      </c>
      <c r="BD3" s="50" t="s">
        <v>393</v>
      </c>
      <c r="BE3" s="50" t="s">
        <v>394</v>
      </c>
      <c r="BF3" s="50" t="s">
        <v>395</v>
      </c>
      <c r="BG3" s="50" t="s">
        <v>396</v>
      </c>
      <c r="BH3" s="50" t="s">
        <v>397</v>
      </c>
      <c r="BI3" s="50" t="s">
        <v>398</v>
      </c>
      <c r="BJ3" s="50" t="s">
        <v>399</v>
      </c>
    </row>
    <row r="4" customFormat="false" ht="15" hidden="false" customHeight="false" outlineLevel="0" collapsed="false">
      <c r="A4" s="72" t="s">
        <v>400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  <c r="AM4" s="72" t="n">
        <v>37</v>
      </c>
      <c r="AN4" s="72" t="n">
        <v>38</v>
      </c>
      <c r="AO4" s="72" t="n">
        <v>39</v>
      </c>
      <c r="AP4" s="72" t="n">
        <v>40</v>
      </c>
      <c r="AQ4" s="72" t="n">
        <v>41</v>
      </c>
      <c r="AR4" s="72" t="n">
        <v>42</v>
      </c>
      <c r="AS4" s="72" t="n">
        <v>43</v>
      </c>
      <c r="AT4" s="72" t="n">
        <v>44</v>
      </c>
      <c r="AU4" s="72" t="n">
        <v>45</v>
      </c>
      <c r="AV4" s="72" t="n">
        <v>46</v>
      </c>
      <c r="AW4" s="72" t="n">
        <v>47</v>
      </c>
      <c r="AX4" s="72" t="n">
        <v>48</v>
      </c>
      <c r="AY4" s="72" t="n">
        <v>49</v>
      </c>
      <c r="AZ4" s="72" t="n">
        <v>50</v>
      </c>
      <c r="BA4" s="72" t="n">
        <v>51</v>
      </c>
      <c r="BB4" s="72" t="n">
        <v>52</v>
      </c>
      <c r="BC4" s="72" t="n">
        <v>53</v>
      </c>
      <c r="BD4" s="72" t="n">
        <v>54</v>
      </c>
      <c r="BE4" s="72" t="n">
        <v>55</v>
      </c>
      <c r="BF4" s="72" t="n">
        <v>56</v>
      </c>
      <c r="BG4" s="72" t="n">
        <v>57</v>
      </c>
      <c r="BH4" s="72" t="n">
        <v>58</v>
      </c>
      <c r="BI4" s="72" t="n">
        <v>59</v>
      </c>
      <c r="BJ4" s="72" t="n">
        <v>60</v>
      </c>
    </row>
    <row r="5" customFormat="false" ht="15" hidden="false" customHeight="false" outlineLevel="0" collapsed="false">
      <c r="A5" s="72" t="s">
        <v>155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  <c r="AM5" s="72" t="n">
        <f aca="false">ROUNDUP(AM4*1/12,0)</f>
        <v>4</v>
      </c>
      <c r="AN5" s="72" t="n">
        <f aca="false">ROUNDUP(AN4*1/12,0)</f>
        <v>4</v>
      </c>
      <c r="AO5" s="72" t="n">
        <f aca="false">ROUNDUP(AO4*1/12,0)</f>
        <v>4</v>
      </c>
      <c r="AP5" s="72" t="n">
        <f aca="false">ROUNDUP(AP4*1/12,0)</f>
        <v>4</v>
      </c>
      <c r="AQ5" s="72" t="n">
        <f aca="false">ROUNDUP(AQ4*1/12,0)</f>
        <v>4</v>
      </c>
      <c r="AR5" s="72" t="n">
        <f aca="false">ROUNDUP(AR4*1/12,0)</f>
        <v>4</v>
      </c>
      <c r="AS5" s="72" t="n">
        <f aca="false">ROUNDUP(AS4*1/12,0)</f>
        <v>4</v>
      </c>
      <c r="AT5" s="72" t="n">
        <f aca="false">ROUNDUP(AT4*1/12,0)</f>
        <v>4</v>
      </c>
      <c r="AU5" s="72" t="n">
        <f aca="false">ROUNDUP(AU4*1/12,0)</f>
        <v>4</v>
      </c>
      <c r="AV5" s="72" t="n">
        <f aca="false">ROUNDUP(AV4*1/12,0)</f>
        <v>4</v>
      </c>
      <c r="AW5" s="72" t="n">
        <f aca="false">ROUNDUP(AW4*1/12,0)</f>
        <v>4</v>
      </c>
      <c r="AX5" s="72" t="n">
        <f aca="false">ROUNDUP(AX4*1/12,0)</f>
        <v>4</v>
      </c>
      <c r="AY5" s="72" t="n">
        <f aca="false">ROUNDUP(AY4*1/12,0)</f>
        <v>5</v>
      </c>
      <c r="AZ5" s="72" t="n">
        <f aca="false">ROUNDUP(AZ4*1/12,0)</f>
        <v>5</v>
      </c>
      <c r="BA5" s="72" t="n">
        <f aca="false">ROUNDUP(BA4*1/12,0)</f>
        <v>5</v>
      </c>
      <c r="BB5" s="72" t="n">
        <f aca="false">ROUNDUP(BB4*1/12,0)</f>
        <v>5</v>
      </c>
      <c r="BC5" s="72" t="n">
        <f aca="false">ROUNDUP(BC4*1/12,0)</f>
        <v>5</v>
      </c>
      <c r="BD5" s="72" t="n">
        <f aca="false">ROUNDUP(BD4*1/12,0)</f>
        <v>5</v>
      </c>
      <c r="BE5" s="72" t="n">
        <f aca="false">ROUNDUP(BE4*1/12,0)</f>
        <v>5</v>
      </c>
      <c r="BF5" s="72" t="n">
        <f aca="false">ROUNDUP(BF4*1/12,0)</f>
        <v>5</v>
      </c>
      <c r="BG5" s="72" t="n">
        <f aca="false">ROUNDUP(BG4*1/12,0)</f>
        <v>5</v>
      </c>
      <c r="BH5" s="72" t="n">
        <f aca="false">ROUNDUP(BH4*1/12,0)</f>
        <v>5</v>
      </c>
      <c r="BI5" s="72" t="n">
        <f aca="false">ROUNDUP(BI4*1/12,0)</f>
        <v>5</v>
      </c>
      <c r="BJ5" s="72" t="n">
        <f aca="false">ROUNDUP(BJ4*1/12,0)</f>
        <v>5</v>
      </c>
    </row>
    <row r="7" customFormat="false" ht="15.75" hidden="false" customHeight="true" outlineLevel="0" collapsed="false">
      <c r="A7" s="7" t="s">
        <v>436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437</v>
      </c>
      <c r="C8" s="118" t="n">
        <f aca="false">Inputs!$E$42*(1+Inputs!$E$44)^(C$5-1)*MAX(0,MIN(1,C$4*1-Inputs!$E$45+1))/1</f>
        <v>5</v>
      </c>
      <c r="D8" s="118" t="n">
        <f aca="false">Inputs!$E$42*(1+Inputs!$E$44)^(D$5-1)*MAX(0,MIN(1,D$4*1-Inputs!$E$45+1))/1</f>
        <v>5</v>
      </c>
      <c r="E8" s="118" t="n">
        <f aca="false">Inputs!$E$42*(1+Inputs!$E$44)^(E$5-1)*MAX(0,MIN(1,E$4*1-Inputs!$E$45+1))/1</f>
        <v>5</v>
      </c>
      <c r="F8" s="118" t="n">
        <f aca="false">Inputs!$E$42*(1+Inputs!$E$44)^(F$5-1)*MAX(0,MIN(1,F$4*1-Inputs!$E$45+1))/1</f>
        <v>5</v>
      </c>
      <c r="G8" s="118" t="n">
        <f aca="false">Inputs!$E$42*(1+Inputs!$E$44)^(G$5-1)*MAX(0,MIN(1,G$4*1-Inputs!$E$45+1))/1</f>
        <v>5</v>
      </c>
      <c r="H8" s="118" t="n">
        <f aca="false">Inputs!$E$42*(1+Inputs!$E$44)^(H$5-1)*MAX(0,MIN(1,H$4*1-Inputs!$E$45+1))/1</f>
        <v>5</v>
      </c>
      <c r="I8" s="118" t="n">
        <f aca="false">Inputs!$E$42*(1+Inputs!$E$44)^(I$5-1)*MAX(0,MIN(1,I$4*1-Inputs!$E$45+1))/1</f>
        <v>5</v>
      </c>
      <c r="J8" s="118" t="n">
        <f aca="false">Inputs!$E$42*(1+Inputs!$E$44)^(J$5-1)*MAX(0,MIN(1,J$4*1-Inputs!$E$45+1))/1</f>
        <v>5</v>
      </c>
      <c r="K8" s="118" t="n">
        <f aca="false">Inputs!$E$42*(1+Inputs!$E$44)^(K$5-1)*MAX(0,MIN(1,K$4*1-Inputs!$E$45+1))/1</f>
        <v>5</v>
      </c>
      <c r="L8" s="118" t="n">
        <f aca="false">Inputs!$E$42*(1+Inputs!$E$44)^(L$5-1)*MAX(0,MIN(1,L$4*1-Inputs!$E$45+1))/1</f>
        <v>5</v>
      </c>
      <c r="M8" s="118" t="n">
        <f aca="false">Inputs!$E$42*(1+Inputs!$E$44)^(M$5-1)*MAX(0,MIN(1,M$4*1-Inputs!$E$45+1))/1</f>
        <v>5</v>
      </c>
      <c r="N8" s="118" t="n">
        <f aca="false">Inputs!$E$42*(1+Inputs!$E$44)^(N$5-1)*MAX(0,MIN(1,N$4*1-Inputs!$E$45+1))/1</f>
        <v>5</v>
      </c>
      <c r="O8" s="118" t="n">
        <f aca="false">Inputs!$E$42*(1+Inputs!$E$44)^(O$5-1)*MAX(0,MIN(1,O$4*1-Inputs!$E$45+1))/1</f>
        <v>5.3</v>
      </c>
      <c r="P8" s="118" t="n">
        <f aca="false">Inputs!$E$42*(1+Inputs!$E$44)^(P$5-1)*MAX(0,MIN(1,P$4*1-Inputs!$E$45+1))/1</f>
        <v>5.3</v>
      </c>
      <c r="Q8" s="118" t="n">
        <f aca="false">Inputs!$E$42*(1+Inputs!$E$44)^(Q$5-1)*MAX(0,MIN(1,Q$4*1-Inputs!$E$45+1))/1</f>
        <v>5.3</v>
      </c>
      <c r="R8" s="118" t="n">
        <f aca="false">Inputs!$E$42*(1+Inputs!$E$44)^(R$5-1)*MAX(0,MIN(1,R$4*1-Inputs!$E$45+1))/1</f>
        <v>5.3</v>
      </c>
      <c r="S8" s="118" t="n">
        <f aca="false">Inputs!$E$42*(1+Inputs!$E$44)^(S$5-1)*MAX(0,MIN(1,S$4*1-Inputs!$E$45+1))/1</f>
        <v>5.3</v>
      </c>
      <c r="T8" s="118" t="n">
        <f aca="false">Inputs!$E$42*(1+Inputs!$E$44)^(T$5-1)*MAX(0,MIN(1,T$4*1-Inputs!$E$45+1))/1</f>
        <v>5.3</v>
      </c>
      <c r="U8" s="118" t="n">
        <f aca="false">Inputs!$E$42*(1+Inputs!$E$44)^(U$5-1)*MAX(0,MIN(1,U$4*1-Inputs!$E$45+1))/1</f>
        <v>5.3</v>
      </c>
      <c r="V8" s="118" t="n">
        <f aca="false">Inputs!$E$42*(1+Inputs!$E$44)^(V$5-1)*MAX(0,MIN(1,V$4*1-Inputs!$E$45+1))/1</f>
        <v>5.3</v>
      </c>
      <c r="W8" s="118" t="n">
        <f aca="false">Inputs!$E$42*(1+Inputs!$E$44)^(W$5-1)*MAX(0,MIN(1,W$4*1-Inputs!$E$45+1))/1</f>
        <v>5.3</v>
      </c>
      <c r="X8" s="118" t="n">
        <f aca="false">Inputs!$E$42*(1+Inputs!$E$44)^(X$5-1)*MAX(0,MIN(1,X$4*1-Inputs!$E$45+1))/1</f>
        <v>5.3</v>
      </c>
      <c r="Y8" s="118" t="n">
        <f aca="false">Inputs!$E$42*(1+Inputs!$E$44)^(Y$5-1)*MAX(0,MIN(1,Y$4*1-Inputs!$E$45+1))/1</f>
        <v>5.3</v>
      </c>
      <c r="Z8" s="118" t="n">
        <f aca="false">Inputs!$E$42*(1+Inputs!$E$44)^(Z$5-1)*MAX(0,MIN(1,Z$4*1-Inputs!$E$45+1))/1</f>
        <v>5.3</v>
      </c>
      <c r="AA8" s="118" t="n">
        <f aca="false">Inputs!$E$42*(1+Inputs!$E$44)^(AA$5-1)*MAX(0,MIN(1,AA$4*1-Inputs!$E$45+1))/1</f>
        <v>5.618</v>
      </c>
      <c r="AB8" s="118" t="n">
        <f aca="false">Inputs!$E$42*(1+Inputs!$E$44)^(AB$5-1)*MAX(0,MIN(1,AB$4*1-Inputs!$E$45+1))/1</f>
        <v>5.618</v>
      </c>
      <c r="AC8" s="118" t="n">
        <f aca="false">Inputs!$E$42*(1+Inputs!$E$44)^(AC$5-1)*MAX(0,MIN(1,AC$4*1-Inputs!$E$45+1))/1</f>
        <v>5.618</v>
      </c>
      <c r="AD8" s="118" t="n">
        <f aca="false">Inputs!$E$42*(1+Inputs!$E$44)^(AD$5-1)*MAX(0,MIN(1,AD$4*1-Inputs!$E$45+1))/1</f>
        <v>5.618</v>
      </c>
      <c r="AE8" s="118" t="n">
        <f aca="false">Inputs!$E$42*(1+Inputs!$E$44)^(AE$5-1)*MAX(0,MIN(1,AE$4*1-Inputs!$E$45+1))/1</f>
        <v>5.618</v>
      </c>
      <c r="AF8" s="118" t="n">
        <f aca="false">Inputs!$E$42*(1+Inputs!$E$44)^(AF$5-1)*MAX(0,MIN(1,AF$4*1-Inputs!$E$45+1))/1</f>
        <v>5.618</v>
      </c>
      <c r="AG8" s="118" t="n">
        <f aca="false">Inputs!$E$42*(1+Inputs!$E$44)^(AG$5-1)*MAX(0,MIN(1,AG$4*1-Inputs!$E$45+1))/1</f>
        <v>5.618</v>
      </c>
      <c r="AH8" s="118" t="n">
        <f aca="false">Inputs!$E$42*(1+Inputs!$E$44)^(AH$5-1)*MAX(0,MIN(1,AH$4*1-Inputs!$E$45+1))/1</f>
        <v>5.618</v>
      </c>
      <c r="AI8" s="118" t="n">
        <f aca="false">Inputs!$E$42*(1+Inputs!$E$44)^(AI$5-1)*MAX(0,MIN(1,AI$4*1-Inputs!$E$45+1))/1</f>
        <v>5.618</v>
      </c>
      <c r="AJ8" s="118" t="n">
        <f aca="false">Inputs!$E$42*(1+Inputs!$E$44)^(AJ$5-1)*MAX(0,MIN(1,AJ$4*1-Inputs!$E$45+1))/1</f>
        <v>5.618</v>
      </c>
      <c r="AK8" s="118" t="n">
        <f aca="false">Inputs!$E$42*(1+Inputs!$E$44)^(AK$5-1)*MAX(0,MIN(1,AK$4*1-Inputs!$E$45+1))/1</f>
        <v>5.618</v>
      </c>
      <c r="AL8" s="118" t="n">
        <f aca="false">Inputs!$E$42*(1+Inputs!$E$44)^(AL$5-1)*MAX(0,MIN(1,AL$4*1-Inputs!$E$45+1))/1</f>
        <v>5.618</v>
      </c>
      <c r="AM8" s="118" t="n">
        <f aca="false">Inputs!$E$42*(1+Inputs!$E$44)^(AM$5-1)*MAX(0,MIN(1,AM$4*1-Inputs!$E$45+1))/1</f>
        <v>5.95508</v>
      </c>
      <c r="AN8" s="118" t="n">
        <f aca="false">Inputs!$E$42*(1+Inputs!$E$44)^(AN$5-1)*MAX(0,MIN(1,AN$4*1-Inputs!$E$45+1))/1</f>
        <v>5.95508</v>
      </c>
      <c r="AO8" s="118" t="n">
        <f aca="false">Inputs!$E$42*(1+Inputs!$E$44)^(AO$5-1)*MAX(0,MIN(1,AO$4*1-Inputs!$E$45+1))/1</f>
        <v>5.95508</v>
      </c>
      <c r="AP8" s="118" t="n">
        <f aca="false">Inputs!$E$42*(1+Inputs!$E$44)^(AP$5-1)*MAX(0,MIN(1,AP$4*1-Inputs!$E$45+1))/1</f>
        <v>5.95508</v>
      </c>
      <c r="AQ8" s="118" t="n">
        <f aca="false">Inputs!$E$42*(1+Inputs!$E$44)^(AQ$5-1)*MAX(0,MIN(1,AQ$4*1-Inputs!$E$45+1))/1</f>
        <v>5.95508</v>
      </c>
      <c r="AR8" s="118" t="n">
        <f aca="false">Inputs!$E$42*(1+Inputs!$E$44)^(AR$5-1)*MAX(0,MIN(1,AR$4*1-Inputs!$E$45+1))/1</f>
        <v>5.95508</v>
      </c>
      <c r="AS8" s="118" t="n">
        <f aca="false">Inputs!$E$42*(1+Inputs!$E$44)^(AS$5-1)*MAX(0,MIN(1,AS$4*1-Inputs!$E$45+1))/1</f>
        <v>5.95508</v>
      </c>
      <c r="AT8" s="118" t="n">
        <f aca="false">Inputs!$E$42*(1+Inputs!$E$44)^(AT$5-1)*MAX(0,MIN(1,AT$4*1-Inputs!$E$45+1))/1</f>
        <v>5.95508</v>
      </c>
      <c r="AU8" s="118" t="n">
        <f aca="false">Inputs!$E$42*(1+Inputs!$E$44)^(AU$5-1)*MAX(0,MIN(1,AU$4*1-Inputs!$E$45+1))/1</f>
        <v>5.95508</v>
      </c>
      <c r="AV8" s="118" t="n">
        <f aca="false">Inputs!$E$42*(1+Inputs!$E$44)^(AV$5-1)*MAX(0,MIN(1,AV$4*1-Inputs!$E$45+1))/1</f>
        <v>5.95508</v>
      </c>
      <c r="AW8" s="118" t="n">
        <f aca="false">Inputs!$E$42*(1+Inputs!$E$44)^(AW$5-1)*MAX(0,MIN(1,AW$4*1-Inputs!$E$45+1))/1</f>
        <v>5.95508</v>
      </c>
      <c r="AX8" s="118" t="n">
        <f aca="false">Inputs!$E$42*(1+Inputs!$E$44)^(AX$5-1)*MAX(0,MIN(1,AX$4*1-Inputs!$E$45+1))/1</f>
        <v>5.95508</v>
      </c>
      <c r="AY8" s="118" t="n">
        <f aca="false">Inputs!$E$42*(1+Inputs!$E$44)^(AY$5-1)*MAX(0,MIN(1,AY$4*1-Inputs!$E$45+1))/1</f>
        <v>6.3123848</v>
      </c>
      <c r="AZ8" s="118" t="n">
        <f aca="false">Inputs!$E$42*(1+Inputs!$E$44)^(AZ$5-1)*MAX(0,MIN(1,AZ$4*1-Inputs!$E$45+1))/1</f>
        <v>6.3123848</v>
      </c>
      <c r="BA8" s="118" t="n">
        <f aca="false">Inputs!$E$42*(1+Inputs!$E$44)^(BA$5-1)*MAX(0,MIN(1,BA$4*1-Inputs!$E$45+1))/1</f>
        <v>6.3123848</v>
      </c>
      <c r="BB8" s="118" t="n">
        <f aca="false">Inputs!$E$42*(1+Inputs!$E$44)^(BB$5-1)*MAX(0,MIN(1,BB$4*1-Inputs!$E$45+1))/1</f>
        <v>6.3123848</v>
      </c>
      <c r="BC8" s="118" t="n">
        <f aca="false">Inputs!$E$42*(1+Inputs!$E$44)^(BC$5-1)*MAX(0,MIN(1,BC$4*1-Inputs!$E$45+1))/1</f>
        <v>6.3123848</v>
      </c>
      <c r="BD8" s="118" t="n">
        <f aca="false">Inputs!$E$42*(1+Inputs!$E$44)^(BD$5-1)*MAX(0,MIN(1,BD$4*1-Inputs!$E$45+1))/1</f>
        <v>6.3123848</v>
      </c>
      <c r="BE8" s="118" t="n">
        <f aca="false">Inputs!$E$42*(1+Inputs!$E$44)^(BE$5-1)*MAX(0,MIN(1,BE$4*1-Inputs!$E$45+1))/1</f>
        <v>6.3123848</v>
      </c>
      <c r="BF8" s="118" t="n">
        <f aca="false">Inputs!$E$42*(1+Inputs!$E$44)^(BF$5-1)*MAX(0,MIN(1,BF$4*1-Inputs!$E$45+1))/1</f>
        <v>6.3123848</v>
      </c>
      <c r="BG8" s="118" t="n">
        <f aca="false">Inputs!$E$42*(1+Inputs!$E$44)^(BG$5-1)*MAX(0,MIN(1,BG$4*1-Inputs!$E$45+1))/1</f>
        <v>6.3123848</v>
      </c>
      <c r="BH8" s="118" t="n">
        <f aca="false">Inputs!$E$42*(1+Inputs!$E$44)^(BH$5-1)*MAX(0,MIN(1,BH$4*1-Inputs!$E$45+1))/1</f>
        <v>6.3123848</v>
      </c>
      <c r="BI8" s="118" t="n">
        <f aca="false">Inputs!$E$42*(1+Inputs!$E$44)^(BI$5-1)*MAX(0,MIN(1,BI$4*1-Inputs!$E$45+1))/1</f>
        <v>6.3123848</v>
      </c>
      <c r="BJ8" s="118" t="n">
        <f aca="false">Inputs!$E$42*(1+Inputs!$E$44)^(BJ$5-1)*MAX(0,MIN(1,BJ$4*1-Inputs!$E$45+1))/1</f>
        <v>6.3123848</v>
      </c>
    </row>
    <row r="9" customFormat="false" ht="15" hidden="false" customHeight="false" outlineLevel="0" collapsed="false">
      <c r="A9" s="6" t="s">
        <v>438</v>
      </c>
      <c r="C9" s="118" t="n">
        <f aca="false">Inputs!$E$46*(1+Inputs!$E$48)^(C$5-1)*MAX(0,MIN(1,C$4*1-Inputs!$E$49+1))/1</f>
        <v>7</v>
      </c>
      <c r="D9" s="118" t="n">
        <f aca="false">Inputs!$E$46*(1+Inputs!$E$48)^(D$5-1)*MAX(0,MIN(1,D$4*1-Inputs!$E$49+1))/1</f>
        <v>7</v>
      </c>
      <c r="E9" s="118" t="n">
        <f aca="false">Inputs!$E$46*(1+Inputs!$E$48)^(E$5-1)*MAX(0,MIN(1,E$4*1-Inputs!$E$49+1))/1</f>
        <v>7</v>
      </c>
      <c r="F9" s="118" t="n">
        <f aca="false">Inputs!$E$46*(1+Inputs!$E$48)^(F$5-1)*MAX(0,MIN(1,F$4*1-Inputs!$E$49+1))/1</f>
        <v>7</v>
      </c>
      <c r="G9" s="118" t="n">
        <f aca="false">Inputs!$E$46*(1+Inputs!$E$48)^(G$5-1)*MAX(0,MIN(1,G$4*1-Inputs!$E$49+1))/1</f>
        <v>7</v>
      </c>
      <c r="H9" s="118" t="n">
        <f aca="false">Inputs!$E$46*(1+Inputs!$E$48)^(H$5-1)*MAX(0,MIN(1,H$4*1-Inputs!$E$49+1))/1</f>
        <v>7</v>
      </c>
      <c r="I9" s="118" t="n">
        <f aca="false">Inputs!$E$46*(1+Inputs!$E$48)^(I$5-1)*MAX(0,MIN(1,I$4*1-Inputs!$E$49+1))/1</f>
        <v>7</v>
      </c>
      <c r="J9" s="118" t="n">
        <f aca="false">Inputs!$E$46*(1+Inputs!$E$48)^(J$5-1)*MAX(0,MIN(1,J$4*1-Inputs!$E$49+1))/1</f>
        <v>7</v>
      </c>
      <c r="K9" s="118" t="n">
        <f aca="false">Inputs!$E$46*(1+Inputs!$E$48)^(K$5-1)*MAX(0,MIN(1,K$4*1-Inputs!$E$49+1))/1</f>
        <v>7</v>
      </c>
      <c r="L9" s="118" t="n">
        <f aca="false">Inputs!$E$46*(1+Inputs!$E$48)^(L$5-1)*MAX(0,MIN(1,L$4*1-Inputs!$E$49+1))/1</f>
        <v>7</v>
      </c>
      <c r="M9" s="118" t="n">
        <f aca="false">Inputs!$E$46*(1+Inputs!$E$48)^(M$5-1)*MAX(0,MIN(1,M$4*1-Inputs!$E$49+1))/1</f>
        <v>7</v>
      </c>
      <c r="N9" s="118" t="n">
        <f aca="false">Inputs!$E$46*(1+Inputs!$E$48)^(N$5-1)*MAX(0,MIN(1,N$4*1-Inputs!$E$49+1))/1</f>
        <v>7</v>
      </c>
      <c r="O9" s="118" t="n">
        <f aca="false">Inputs!$E$46*(1+Inputs!$E$48)^(O$5-1)*MAX(0,MIN(1,O$4*1-Inputs!$E$49+1))/1</f>
        <v>7.42</v>
      </c>
      <c r="P9" s="118" t="n">
        <f aca="false">Inputs!$E$46*(1+Inputs!$E$48)^(P$5-1)*MAX(0,MIN(1,P$4*1-Inputs!$E$49+1))/1</f>
        <v>7.42</v>
      </c>
      <c r="Q9" s="118" t="n">
        <f aca="false">Inputs!$E$46*(1+Inputs!$E$48)^(Q$5-1)*MAX(0,MIN(1,Q$4*1-Inputs!$E$49+1))/1</f>
        <v>7.42</v>
      </c>
      <c r="R9" s="118" t="n">
        <f aca="false">Inputs!$E$46*(1+Inputs!$E$48)^(R$5-1)*MAX(0,MIN(1,R$4*1-Inputs!$E$49+1))/1</f>
        <v>7.42</v>
      </c>
      <c r="S9" s="118" t="n">
        <f aca="false">Inputs!$E$46*(1+Inputs!$E$48)^(S$5-1)*MAX(0,MIN(1,S$4*1-Inputs!$E$49+1))/1</f>
        <v>7.42</v>
      </c>
      <c r="T9" s="118" t="n">
        <f aca="false">Inputs!$E$46*(1+Inputs!$E$48)^(T$5-1)*MAX(0,MIN(1,T$4*1-Inputs!$E$49+1))/1</f>
        <v>7.42</v>
      </c>
      <c r="U9" s="118" t="n">
        <f aca="false">Inputs!$E$46*(1+Inputs!$E$48)^(U$5-1)*MAX(0,MIN(1,U$4*1-Inputs!$E$49+1))/1</f>
        <v>7.42</v>
      </c>
      <c r="V9" s="118" t="n">
        <f aca="false">Inputs!$E$46*(1+Inputs!$E$48)^(V$5-1)*MAX(0,MIN(1,V$4*1-Inputs!$E$49+1))/1</f>
        <v>7.42</v>
      </c>
      <c r="W9" s="118" t="n">
        <f aca="false">Inputs!$E$46*(1+Inputs!$E$48)^(W$5-1)*MAX(0,MIN(1,W$4*1-Inputs!$E$49+1))/1</f>
        <v>7.42</v>
      </c>
      <c r="X9" s="118" t="n">
        <f aca="false">Inputs!$E$46*(1+Inputs!$E$48)^(X$5-1)*MAX(0,MIN(1,X$4*1-Inputs!$E$49+1))/1</f>
        <v>7.42</v>
      </c>
      <c r="Y9" s="118" t="n">
        <f aca="false">Inputs!$E$46*(1+Inputs!$E$48)^(Y$5-1)*MAX(0,MIN(1,Y$4*1-Inputs!$E$49+1))/1</f>
        <v>7.42</v>
      </c>
      <c r="Z9" s="118" t="n">
        <f aca="false">Inputs!$E$46*(1+Inputs!$E$48)^(Z$5-1)*MAX(0,MIN(1,Z$4*1-Inputs!$E$49+1))/1</f>
        <v>7.42</v>
      </c>
      <c r="AA9" s="118" t="n">
        <f aca="false">Inputs!$E$46*(1+Inputs!$E$48)^(AA$5-1)*MAX(0,MIN(1,AA$4*1-Inputs!$E$49+1))/1</f>
        <v>7.8652</v>
      </c>
      <c r="AB9" s="118" t="n">
        <f aca="false">Inputs!$E$46*(1+Inputs!$E$48)^(AB$5-1)*MAX(0,MIN(1,AB$4*1-Inputs!$E$49+1))/1</f>
        <v>7.8652</v>
      </c>
      <c r="AC9" s="118" t="n">
        <f aca="false">Inputs!$E$46*(1+Inputs!$E$48)^(AC$5-1)*MAX(0,MIN(1,AC$4*1-Inputs!$E$49+1))/1</f>
        <v>7.8652</v>
      </c>
      <c r="AD9" s="118" t="n">
        <f aca="false">Inputs!$E$46*(1+Inputs!$E$48)^(AD$5-1)*MAX(0,MIN(1,AD$4*1-Inputs!$E$49+1))/1</f>
        <v>7.8652</v>
      </c>
      <c r="AE9" s="118" t="n">
        <f aca="false">Inputs!$E$46*(1+Inputs!$E$48)^(AE$5-1)*MAX(0,MIN(1,AE$4*1-Inputs!$E$49+1))/1</f>
        <v>7.8652</v>
      </c>
      <c r="AF9" s="118" t="n">
        <f aca="false">Inputs!$E$46*(1+Inputs!$E$48)^(AF$5-1)*MAX(0,MIN(1,AF$4*1-Inputs!$E$49+1))/1</f>
        <v>7.8652</v>
      </c>
      <c r="AG9" s="118" t="n">
        <f aca="false">Inputs!$E$46*(1+Inputs!$E$48)^(AG$5-1)*MAX(0,MIN(1,AG$4*1-Inputs!$E$49+1))/1</f>
        <v>7.8652</v>
      </c>
      <c r="AH9" s="118" t="n">
        <f aca="false">Inputs!$E$46*(1+Inputs!$E$48)^(AH$5-1)*MAX(0,MIN(1,AH$4*1-Inputs!$E$49+1))/1</f>
        <v>7.8652</v>
      </c>
      <c r="AI9" s="118" t="n">
        <f aca="false">Inputs!$E$46*(1+Inputs!$E$48)^(AI$5-1)*MAX(0,MIN(1,AI$4*1-Inputs!$E$49+1))/1</f>
        <v>7.8652</v>
      </c>
      <c r="AJ9" s="118" t="n">
        <f aca="false">Inputs!$E$46*(1+Inputs!$E$48)^(AJ$5-1)*MAX(0,MIN(1,AJ$4*1-Inputs!$E$49+1))/1</f>
        <v>7.8652</v>
      </c>
      <c r="AK9" s="118" t="n">
        <f aca="false">Inputs!$E$46*(1+Inputs!$E$48)^(AK$5-1)*MAX(0,MIN(1,AK$4*1-Inputs!$E$49+1))/1</f>
        <v>7.8652</v>
      </c>
      <c r="AL9" s="118" t="n">
        <f aca="false">Inputs!$E$46*(1+Inputs!$E$48)^(AL$5-1)*MAX(0,MIN(1,AL$4*1-Inputs!$E$49+1))/1</f>
        <v>7.8652</v>
      </c>
      <c r="AM9" s="118" t="n">
        <f aca="false">Inputs!$E$46*(1+Inputs!$E$48)^(AM$5-1)*MAX(0,MIN(1,AM$4*1-Inputs!$E$49+1))/1</f>
        <v>8.337112</v>
      </c>
      <c r="AN9" s="118" t="n">
        <f aca="false">Inputs!$E$46*(1+Inputs!$E$48)^(AN$5-1)*MAX(0,MIN(1,AN$4*1-Inputs!$E$49+1))/1</f>
        <v>8.337112</v>
      </c>
      <c r="AO9" s="118" t="n">
        <f aca="false">Inputs!$E$46*(1+Inputs!$E$48)^(AO$5-1)*MAX(0,MIN(1,AO$4*1-Inputs!$E$49+1))/1</f>
        <v>8.337112</v>
      </c>
      <c r="AP9" s="118" t="n">
        <f aca="false">Inputs!$E$46*(1+Inputs!$E$48)^(AP$5-1)*MAX(0,MIN(1,AP$4*1-Inputs!$E$49+1))/1</f>
        <v>8.337112</v>
      </c>
      <c r="AQ9" s="118" t="n">
        <f aca="false">Inputs!$E$46*(1+Inputs!$E$48)^(AQ$5-1)*MAX(0,MIN(1,AQ$4*1-Inputs!$E$49+1))/1</f>
        <v>8.337112</v>
      </c>
      <c r="AR9" s="118" t="n">
        <f aca="false">Inputs!$E$46*(1+Inputs!$E$48)^(AR$5-1)*MAX(0,MIN(1,AR$4*1-Inputs!$E$49+1))/1</f>
        <v>8.337112</v>
      </c>
      <c r="AS9" s="118" t="n">
        <f aca="false">Inputs!$E$46*(1+Inputs!$E$48)^(AS$5-1)*MAX(0,MIN(1,AS$4*1-Inputs!$E$49+1))/1</f>
        <v>8.337112</v>
      </c>
      <c r="AT9" s="118" t="n">
        <f aca="false">Inputs!$E$46*(1+Inputs!$E$48)^(AT$5-1)*MAX(0,MIN(1,AT$4*1-Inputs!$E$49+1))/1</f>
        <v>8.337112</v>
      </c>
      <c r="AU9" s="118" t="n">
        <f aca="false">Inputs!$E$46*(1+Inputs!$E$48)^(AU$5-1)*MAX(0,MIN(1,AU$4*1-Inputs!$E$49+1))/1</f>
        <v>8.337112</v>
      </c>
      <c r="AV9" s="118" t="n">
        <f aca="false">Inputs!$E$46*(1+Inputs!$E$48)^(AV$5-1)*MAX(0,MIN(1,AV$4*1-Inputs!$E$49+1))/1</f>
        <v>8.337112</v>
      </c>
      <c r="AW9" s="118" t="n">
        <f aca="false">Inputs!$E$46*(1+Inputs!$E$48)^(AW$5-1)*MAX(0,MIN(1,AW$4*1-Inputs!$E$49+1))/1</f>
        <v>8.337112</v>
      </c>
      <c r="AX9" s="118" t="n">
        <f aca="false">Inputs!$E$46*(1+Inputs!$E$48)^(AX$5-1)*MAX(0,MIN(1,AX$4*1-Inputs!$E$49+1))/1</f>
        <v>8.337112</v>
      </c>
      <c r="AY9" s="118" t="n">
        <f aca="false">Inputs!$E$46*(1+Inputs!$E$48)^(AY$5-1)*MAX(0,MIN(1,AY$4*1-Inputs!$E$49+1))/1</f>
        <v>8.83733872</v>
      </c>
      <c r="AZ9" s="118" t="n">
        <f aca="false">Inputs!$E$46*(1+Inputs!$E$48)^(AZ$5-1)*MAX(0,MIN(1,AZ$4*1-Inputs!$E$49+1))/1</f>
        <v>8.83733872</v>
      </c>
      <c r="BA9" s="118" t="n">
        <f aca="false">Inputs!$E$46*(1+Inputs!$E$48)^(BA$5-1)*MAX(0,MIN(1,BA$4*1-Inputs!$E$49+1))/1</f>
        <v>8.83733872</v>
      </c>
      <c r="BB9" s="118" t="n">
        <f aca="false">Inputs!$E$46*(1+Inputs!$E$48)^(BB$5-1)*MAX(0,MIN(1,BB$4*1-Inputs!$E$49+1))/1</f>
        <v>8.83733872</v>
      </c>
      <c r="BC9" s="118" t="n">
        <f aca="false">Inputs!$E$46*(1+Inputs!$E$48)^(BC$5-1)*MAX(0,MIN(1,BC$4*1-Inputs!$E$49+1))/1</f>
        <v>8.83733872</v>
      </c>
      <c r="BD9" s="118" t="n">
        <f aca="false">Inputs!$E$46*(1+Inputs!$E$48)^(BD$5-1)*MAX(0,MIN(1,BD$4*1-Inputs!$E$49+1))/1</f>
        <v>8.83733872</v>
      </c>
      <c r="BE9" s="118" t="n">
        <f aca="false">Inputs!$E$46*(1+Inputs!$E$48)^(BE$5-1)*MAX(0,MIN(1,BE$4*1-Inputs!$E$49+1))/1</f>
        <v>8.83733872</v>
      </c>
      <c r="BF9" s="118" t="n">
        <f aca="false">Inputs!$E$46*(1+Inputs!$E$48)^(BF$5-1)*MAX(0,MIN(1,BF$4*1-Inputs!$E$49+1))/1</f>
        <v>8.83733872</v>
      </c>
      <c r="BG9" s="118" t="n">
        <f aca="false">Inputs!$E$46*(1+Inputs!$E$48)^(BG$5-1)*MAX(0,MIN(1,BG$4*1-Inputs!$E$49+1))/1</f>
        <v>8.83733872</v>
      </c>
      <c r="BH9" s="118" t="n">
        <f aca="false">Inputs!$E$46*(1+Inputs!$E$48)^(BH$5-1)*MAX(0,MIN(1,BH$4*1-Inputs!$E$49+1))/1</f>
        <v>8.83733872</v>
      </c>
      <c r="BI9" s="118" t="n">
        <f aca="false">Inputs!$E$46*(1+Inputs!$E$48)^(BI$5-1)*MAX(0,MIN(1,BI$4*1-Inputs!$E$49+1))/1</f>
        <v>8.83733872</v>
      </c>
      <c r="BJ9" s="118" t="n">
        <f aca="false">Inputs!$E$46*(1+Inputs!$E$48)^(BJ$5-1)*MAX(0,MIN(1,BJ$4*1-Inputs!$E$49+1))/1</f>
        <v>8.83733872</v>
      </c>
    </row>
    <row r="10" customFormat="false" ht="15" hidden="false" customHeight="false" outlineLevel="0" collapsed="false">
      <c r="A10" s="6" t="s">
        <v>439</v>
      </c>
      <c r="C10" s="118" t="n">
        <f aca="false">Inputs!$E$50*(1+Inputs!$E$52)^(C$5-1)*MAX(0,MIN(1,C$4*1-Inputs!$E$53+1))/1</f>
        <v>1.5</v>
      </c>
      <c r="D10" s="118" t="n">
        <f aca="false">Inputs!$E$50*(1+Inputs!$E$52)^(D$5-1)*MAX(0,MIN(1,D$4*1-Inputs!$E$53+1))/1</f>
        <v>1.5</v>
      </c>
      <c r="E10" s="118" t="n">
        <f aca="false">Inputs!$E$50*(1+Inputs!$E$52)^(E$5-1)*MAX(0,MIN(1,E$4*1-Inputs!$E$53+1))/1</f>
        <v>1.5</v>
      </c>
      <c r="F10" s="118" t="n">
        <f aca="false">Inputs!$E$50*(1+Inputs!$E$52)^(F$5-1)*MAX(0,MIN(1,F$4*1-Inputs!$E$53+1))/1</f>
        <v>1.5</v>
      </c>
      <c r="G10" s="118" t="n">
        <f aca="false">Inputs!$E$50*(1+Inputs!$E$52)^(G$5-1)*MAX(0,MIN(1,G$4*1-Inputs!$E$53+1))/1</f>
        <v>1.5</v>
      </c>
      <c r="H10" s="118" t="n">
        <f aca="false">Inputs!$E$50*(1+Inputs!$E$52)^(H$5-1)*MAX(0,MIN(1,H$4*1-Inputs!$E$53+1))/1</f>
        <v>1.5</v>
      </c>
      <c r="I10" s="118" t="n">
        <f aca="false">Inputs!$E$50*(1+Inputs!$E$52)^(I$5-1)*MAX(0,MIN(1,I$4*1-Inputs!$E$53+1))/1</f>
        <v>1.5</v>
      </c>
      <c r="J10" s="118" t="n">
        <f aca="false">Inputs!$E$50*(1+Inputs!$E$52)^(J$5-1)*MAX(0,MIN(1,J$4*1-Inputs!$E$53+1))/1</f>
        <v>1.5</v>
      </c>
      <c r="K10" s="118" t="n">
        <f aca="false">Inputs!$E$50*(1+Inputs!$E$52)^(K$5-1)*MAX(0,MIN(1,K$4*1-Inputs!$E$53+1))/1</f>
        <v>1.5</v>
      </c>
      <c r="L10" s="118" t="n">
        <f aca="false">Inputs!$E$50*(1+Inputs!$E$52)^(L$5-1)*MAX(0,MIN(1,L$4*1-Inputs!$E$53+1))/1</f>
        <v>1.5</v>
      </c>
      <c r="M10" s="118" t="n">
        <f aca="false">Inputs!$E$50*(1+Inputs!$E$52)^(M$5-1)*MAX(0,MIN(1,M$4*1-Inputs!$E$53+1))/1</f>
        <v>1.5</v>
      </c>
      <c r="N10" s="118" t="n">
        <f aca="false">Inputs!$E$50*(1+Inputs!$E$52)^(N$5-1)*MAX(0,MIN(1,N$4*1-Inputs!$E$53+1))/1</f>
        <v>1.5</v>
      </c>
      <c r="O10" s="118" t="n">
        <f aca="false">Inputs!$E$50*(1+Inputs!$E$52)^(O$5-1)*MAX(0,MIN(1,O$4*1-Inputs!$E$53+1))/1</f>
        <v>1.5</v>
      </c>
      <c r="P10" s="118" t="n">
        <f aca="false">Inputs!$E$50*(1+Inputs!$E$52)^(P$5-1)*MAX(0,MIN(1,P$4*1-Inputs!$E$53+1))/1</f>
        <v>1.5</v>
      </c>
      <c r="Q10" s="118" t="n">
        <f aca="false">Inputs!$E$50*(1+Inputs!$E$52)^(Q$5-1)*MAX(0,MIN(1,Q$4*1-Inputs!$E$53+1))/1</f>
        <v>1.5</v>
      </c>
      <c r="R10" s="118" t="n">
        <f aca="false">Inputs!$E$50*(1+Inputs!$E$52)^(R$5-1)*MAX(0,MIN(1,R$4*1-Inputs!$E$53+1))/1</f>
        <v>1.5</v>
      </c>
      <c r="S10" s="118" t="n">
        <f aca="false">Inputs!$E$50*(1+Inputs!$E$52)^(S$5-1)*MAX(0,MIN(1,S$4*1-Inputs!$E$53+1))/1</f>
        <v>1.5</v>
      </c>
      <c r="T10" s="118" t="n">
        <f aca="false">Inputs!$E$50*(1+Inputs!$E$52)^(T$5-1)*MAX(0,MIN(1,T$4*1-Inputs!$E$53+1))/1</f>
        <v>1.5</v>
      </c>
      <c r="U10" s="118" t="n">
        <f aca="false">Inputs!$E$50*(1+Inputs!$E$52)^(U$5-1)*MAX(0,MIN(1,U$4*1-Inputs!$E$53+1))/1</f>
        <v>1.5</v>
      </c>
      <c r="V10" s="118" t="n">
        <f aca="false">Inputs!$E$50*(1+Inputs!$E$52)^(V$5-1)*MAX(0,MIN(1,V$4*1-Inputs!$E$53+1))/1</f>
        <v>1.5</v>
      </c>
      <c r="W10" s="118" t="n">
        <f aca="false">Inputs!$E$50*(1+Inputs!$E$52)^(W$5-1)*MAX(0,MIN(1,W$4*1-Inputs!$E$53+1))/1</f>
        <v>1.5</v>
      </c>
      <c r="X10" s="118" t="n">
        <f aca="false">Inputs!$E$50*(1+Inputs!$E$52)^(X$5-1)*MAX(0,MIN(1,X$4*1-Inputs!$E$53+1))/1</f>
        <v>1.5</v>
      </c>
      <c r="Y10" s="118" t="n">
        <f aca="false">Inputs!$E$50*(1+Inputs!$E$52)^(Y$5-1)*MAX(0,MIN(1,Y$4*1-Inputs!$E$53+1))/1</f>
        <v>1.5</v>
      </c>
      <c r="Z10" s="118" t="n">
        <f aca="false">Inputs!$E$50*(1+Inputs!$E$52)^(Z$5-1)*MAX(0,MIN(1,Z$4*1-Inputs!$E$53+1))/1</f>
        <v>1.5</v>
      </c>
      <c r="AA10" s="118" t="n">
        <f aca="false">Inputs!$E$50*(1+Inputs!$E$52)^(AA$5-1)*MAX(0,MIN(1,AA$4*1-Inputs!$E$53+1))/1</f>
        <v>1.5</v>
      </c>
      <c r="AB10" s="118" t="n">
        <f aca="false">Inputs!$E$50*(1+Inputs!$E$52)^(AB$5-1)*MAX(0,MIN(1,AB$4*1-Inputs!$E$53+1))/1</f>
        <v>1.5</v>
      </c>
      <c r="AC10" s="118" t="n">
        <f aca="false">Inputs!$E$50*(1+Inputs!$E$52)^(AC$5-1)*MAX(0,MIN(1,AC$4*1-Inputs!$E$53+1))/1</f>
        <v>1.5</v>
      </c>
      <c r="AD10" s="118" t="n">
        <f aca="false">Inputs!$E$50*(1+Inputs!$E$52)^(AD$5-1)*MAX(0,MIN(1,AD$4*1-Inputs!$E$53+1))/1</f>
        <v>1.5</v>
      </c>
      <c r="AE10" s="118" t="n">
        <f aca="false">Inputs!$E$50*(1+Inputs!$E$52)^(AE$5-1)*MAX(0,MIN(1,AE$4*1-Inputs!$E$53+1))/1</f>
        <v>1.5</v>
      </c>
      <c r="AF10" s="118" t="n">
        <f aca="false">Inputs!$E$50*(1+Inputs!$E$52)^(AF$5-1)*MAX(0,MIN(1,AF$4*1-Inputs!$E$53+1))/1</f>
        <v>1.5</v>
      </c>
      <c r="AG10" s="118" t="n">
        <f aca="false">Inputs!$E$50*(1+Inputs!$E$52)^(AG$5-1)*MAX(0,MIN(1,AG$4*1-Inputs!$E$53+1))/1</f>
        <v>1.5</v>
      </c>
      <c r="AH10" s="118" t="n">
        <f aca="false">Inputs!$E$50*(1+Inputs!$E$52)^(AH$5-1)*MAX(0,MIN(1,AH$4*1-Inputs!$E$53+1))/1</f>
        <v>1.5</v>
      </c>
      <c r="AI10" s="118" t="n">
        <f aca="false">Inputs!$E$50*(1+Inputs!$E$52)^(AI$5-1)*MAX(0,MIN(1,AI$4*1-Inputs!$E$53+1))/1</f>
        <v>1.5</v>
      </c>
      <c r="AJ10" s="118" t="n">
        <f aca="false">Inputs!$E$50*(1+Inputs!$E$52)^(AJ$5-1)*MAX(0,MIN(1,AJ$4*1-Inputs!$E$53+1))/1</f>
        <v>1.5</v>
      </c>
      <c r="AK10" s="118" t="n">
        <f aca="false">Inputs!$E$50*(1+Inputs!$E$52)^(AK$5-1)*MAX(0,MIN(1,AK$4*1-Inputs!$E$53+1))/1</f>
        <v>1.5</v>
      </c>
      <c r="AL10" s="118" t="n">
        <f aca="false">Inputs!$E$50*(1+Inputs!$E$52)^(AL$5-1)*MAX(0,MIN(1,AL$4*1-Inputs!$E$53+1))/1</f>
        <v>1.5</v>
      </c>
      <c r="AM10" s="118" t="n">
        <f aca="false">Inputs!$E$50*(1+Inputs!$E$52)^(AM$5-1)*MAX(0,MIN(1,AM$4*1-Inputs!$E$53+1))/1</f>
        <v>1.5</v>
      </c>
      <c r="AN10" s="118" t="n">
        <f aca="false">Inputs!$E$50*(1+Inputs!$E$52)^(AN$5-1)*MAX(0,MIN(1,AN$4*1-Inputs!$E$53+1))/1</f>
        <v>1.5</v>
      </c>
      <c r="AO10" s="118" t="n">
        <f aca="false">Inputs!$E$50*(1+Inputs!$E$52)^(AO$5-1)*MAX(0,MIN(1,AO$4*1-Inputs!$E$53+1))/1</f>
        <v>1.5</v>
      </c>
      <c r="AP10" s="118" t="n">
        <f aca="false">Inputs!$E$50*(1+Inputs!$E$52)^(AP$5-1)*MAX(0,MIN(1,AP$4*1-Inputs!$E$53+1))/1</f>
        <v>1.5</v>
      </c>
      <c r="AQ10" s="118" t="n">
        <f aca="false">Inputs!$E$50*(1+Inputs!$E$52)^(AQ$5-1)*MAX(0,MIN(1,AQ$4*1-Inputs!$E$53+1))/1</f>
        <v>1.5</v>
      </c>
      <c r="AR10" s="118" t="n">
        <f aca="false">Inputs!$E$50*(1+Inputs!$E$52)^(AR$5-1)*MAX(0,MIN(1,AR$4*1-Inputs!$E$53+1))/1</f>
        <v>1.5</v>
      </c>
      <c r="AS10" s="118" t="n">
        <f aca="false">Inputs!$E$50*(1+Inputs!$E$52)^(AS$5-1)*MAX(0,MIN(1,AS$4*1-Inputs!$E$53+1))/1</f>
        <v>1.5</v>
      </c>
      <c r="AT10" s="118" t="n">
        <f aca="false">Inputs!$E$50*(1+Inputs!$E$52)^(AT$5-1)*MAX(0,MIN(1,AT$4*1-Inputs!$E$53+1))/1</f>
        <v>1.5</v>
      </c>
      <c r="AU10" s="118" t="n">
        <f aca="false">Inputs!$E$50*(1+Inputs!$E$52)^(AU$5-1)*MAX(0,MIN(1,AU$4*1-Inputs!$E$53+1))/1</f>
        <v>1.5</v>
      </c>
      <c r="AV10" s="118" t="n">
        <f aca="false">Inputs!$E$50*(1+Inputs!$E$52)^(AV$5-1)*MAX(0,MIN(1,AV$4*1-Inputs!$E$53+1))/1</f>
        <v>1.5</v>
      </c>
      <c r="AW10" s="118" t="n">
        <f aca="false">Inputs!$E$50*(1+Inputs!$E$52)^(AW$5-1)*MAX(0,MIN(1,AW$4*1-Inputs!$E$53+1))/1</f>
        <v>1.5</v>
      </c>
      <c r="AX10" s="118" t="n">
        <f aca="false">Inputs!$E$50*(1+Inputs!$E$52)^(AX$5-1)*MAX(0,MIN(1,AX$4*1-Inputs!$E$53+1))/1</f>
        <v>1.5</v>
      </c>
      <c r="AY10" s="118" t="n">
        <f aca="false">Inputs!$E$50*(1+Inputs!$E$52)^(AY$5-1)*MAX(0,MIN(1,AY$4*1-Inputs!$E$53+1))/1</f>
        <v>1.5</v>
      </c>
      <c r="AZ10" s="118" t="n">
        <f aca="false">Inputs!$E$50*(1+Inputs!$E$52)^(AZ$5-1)*MAX(0,MIN(1,AZ$4*1-Inputs!$E$53+1))/1</f>
        <v>1.5</v>
      </c>
      <c r="BA10" s="118" t="n">
        <f aca="false">Inputs!$E$50*(1+Inputs!$E$52)^(BA$5-1)*MAX(0,MIN(1,BA$4*1-Inputs!$E$53+1))/1</f>
        <v>1.5</v>
      </c>
      <c r="BB10" s="118" t="n">
        <f aca="false">Inputs!$E$50*(1+Inputs!$E$52)^(BB$5-1)*MAX(0,MIN(1,BB$4*1-Inputs!$E$53+1))/1</f>
        <v>1.5</v>
      </c>
      <c r="BC10" s="118" t="n">
        <f aca="false">Inputs!$E$50*(1+Inputs!$E$52)^(BC$5-1)*MAX(0,MIN(1,BC$4*1-Inputs!$E$53+1))/1</f>
        <v>1.5</v>
      </c>
      <c r="BD10" s="118" t="n">
        <f aca="false">Inputs!$E$50*(1+Inputs!$E$52)^(BD$5-1)*MAX(0,MIN(1,BD$4*1-Inputs!$E$53+1))/1</f>
        <v>1.5</v>
      </c>
      <c r="BE10" s="118" t="n">
        <f aca="false">Inputs!$E$50*(1+Inputs!$E$52)^(BE$5-1)*MAX(0,MIN(1,BE$4*1-Inputs!$E$53+1))/1</f>
        <v>1.5</v>
      </c>
      <c r="BF10" s="118" t="n">
        <f aca="false">Inputs!$E$50*(1+Inputs!$E$52)^(BF$5-1)*MAX(0,MIN(1,BF$4*1-Inputs!$E$53+1))/1</f>
        <v>1.5</v>
      </c>
      <c r="BG10" s="118" t="n">
        <f aca="false">Inputs!$E$50*(1+Inputs!$E$52)^(BG$5-1)*MAX(0,MIN(1,BG$4*1-Inputs!$E$53+1))/1</f>
        <v>1.5</v>
      </c>
      <c r="BH10" s="118" t="n">
        <f aca="false">Inputs!$E$50*(1+Inputs!$E$52)^(BH$5-1)*MAX(0,MIN(1,BH$4*1-Inputs!$E$53+1))/1</f>
        <v>1.5</v>
      </c>
      <c r="BI10" s="118" t="n">
        <f aca="false">Inputs!$E$50*(1+Inputs!$E$52)^(BI$5-1)*MAX(0,MIN(1,BI$4*1-Inputs!$E$53+1))/1</f>
        <v>1.5</v>
      </c>
      <c r="BJ10" s="118" t="n">
        <f aca="false">Inputs!$E$50*(1+Inputs!$E$52)^(BJ$5-1)*MAX(0,MIN(1,BJ$4*1-Inputs!$E$53+1))/1</f>
        <v>1.5</v>
      </c>
    </row>
    <row r="11" customFormat="false" ht="15" hidden="false" customHeight="false" outlineLevel="0" collapsed="false">
      <c r="A11" s="115" t="s">
        <v>440</v>
      </c>
      <c r="C11" s="122" t="n">
        <f aca="false">C8+C9+C10</f>
        <v>13.5</v>
      </c>
      <c r="D11" s="122" t="n">
        <f aca="false">D8+D9+D10</f>
        <v>13.5</v>
      </c>
      <c r="E11" s="122" t="n">
        <f aca="false">E8+E9+E10</f>
        <v>13.5</v>
      </c>
      <c r="F11" s="122" t="n">
        <f aca="false">F8+F9+F10</f>
        <v>13.5</v>
      </c>
      <c r="G11" s="122" t="n">
        <f aca="false">G8+G9+G10</f>
        <v>13.5</v>
      </c>
      <c r="H11" s="122" t="n">
        <f aca="false">H8+H9+H10</f>
        <v>13.5</v>
      </c>
      <c r="I11" s="122" t="n">
        <f aca="false">I8+I9+I10</f>
        <v>13.5</v>
      </c>
      <c r="J11" s="122" t="n">
        <f aca="false">J8+J9+J10</f>
        <v>13.5</v>
      </c>
      <c r="K11" s="122" t="n">
        <f aca="false">K8+K9+K10</f>
        <v>13.5</v>
      </c>
      <c r="L11" s="122" t="n">
        <f aca="false">L8+L9+L10</f>
        <v>13.5</v>
      </c>
      <c r="M11" s="122" t="n">
        <f aca="false">M8+M9+M10</f>
        <v>13.5</v>
      </c>
      <c r="N11" s="122" t="n">
        <f aca="false">N8+N9+N10</f>
        <v>13.5</v>
      </c>
      <c r="O11" s="122" t="n">
        <f aca="false">O8+O9+O10</f>
        <v>14.22</v>
      </c>
      <c r="P11" s="122" t="n">
        <f aca="false">P8+P9+P10</f>
        <v>14.22</v>
      </c>
      <c r="Q11" s="122" t="n">
        <f aca="false">Q8+Q9+Q10</f>
        <v>14.22</v>
      </c>
      <c r="R11" s="122" t="n">
        <f aca="false">R8+R9+R10</f>
        <v>14.22</v>
      </c>
      <c r="S11" s="122" t="n">
        <f aca="false">S8+S9+S10</f>
        <v>14.22</v>
      </c>
      <c r="T11" s="122" t="n">
        <f aca="false">T8+T9+T10</f>
        <v>14.22</v>
      </c>
      <c r="U11" s="122" t="n">
        <f aca="false">U8+U9+U10</f>
        <v>14.22</v>
      </c>
      <c r="V11" s="122" t="n">
        <f aca="false">V8+V9+V10</f>
        <v>14.22</v>
      </c>
      <c r="W11" s="122" t="n">
        <f aca="false">W8+W9+W10</f>
        <v>14.22</v>
      </c>
      <c r="X11" s="122" t="n">
        <f aca="false">X8+X9+X10</f>
        <v>14.22</v>
      </c>
      <c r="Y11" s="122" t="n">
        <f aca="false">Y8+Y9+Y10</f>
        <v>14.22</v>
      </c>
      <c r="Z11" s="122" t="n">
        <f aca="false">Z8+Z9+Z10</f>
        <v>14.22</v>
      </c>
      <c r="AA11" s="122" t="n">
        <f aca="false">AA8+AA9+AA10</f>
        <v>14.9832</v>
      </c>
      <c r="AB11" s="122" t="n">
        <f aca="false">AB8+AB9+AB10</f>
        <v>14.9832</v>
      </c>
      <c r="AC11" s="122" t="n">
        <f aca="false">AC8+AC9+AC10</f>
        <v>14.9832</v>
      </c>
      <c r="AD11" s="122" t="n">
        <f aca="false">AD8+AD9+AD10</f>
        <v>14.9832</v>
      </c>
      <c r="AE11" s="122" t="n">
        <f aca="false">AE8+AE9+AE10</f>
        <v>14.9832</v>
      </c>
      <c r="AF11" s="122" t="n">
        <f aca="false">AF8+AF9+AF10</f>
        <v>14.9832</v>
      </c>
      <c r="AG11" s="122" t="n">
        <f aca="false">AG8+AG9+AG10</f>
        <v>14.9832</v>
      </c>
      <c r="AH11" s="122" t="n">
        <f aca="false">AH8+AH9+AH10</f>
        <v>14.9832</v>
      </c>
      <c r="AI11" s="122" t="n">
        <f aca="false">AI8+AI9+AI10</f>
        <v>14.9832</v>
      </c>
      <c r="AJ11" s="122" t="n">
        <f aca="false">AJ8+AJ9+AJ10</f>
        <v>14.9832</v>
      </c>
      <c r="AK11" s="122" t="n">
        <f aca="false">AK8+AK9+AK10</f>
        <v>14.9832</v>
      </c>
      <c r="AL11" s="122" t="n">
        <f aca="false">AL8+AL9+AL10</f>
        <v>14.9832</v>
      </c>
      <c r="AM11" s="122" t="n">
        <f aca="false">AM8+AM9+AM10</f>
        <v>15.792192</v>
      </c>
      <c r="AN11" s="122" t="n">
        <f aca="false">AN8+AN9+AN10</f>
        <v>15.792192</v>
      </c>
      <c r="AO11" s="122" t="n">
        <f aca="false">AO8+AO9+AO10</f>
        <v>15.792192</v>
      </c>
      <c r="AP11" s="122" t="n">
        <f aca="false">AP8+AP9+AP10</f>
        <v>15.792192</v>
      </c>
      <c r="AQ11" s="122" t="n">
        <f aca="false">AQ8+AQ9+AQ10</f>
        <v>15.792192</v>
      </c>
      <c r="AR11" s="122" t="n">
        <f aca="false">AR8+AR9+AR10</f>
        <v>15.792192</v>
      </c>
      <c r="AS11" s="122" t="n">
        <f aca="false">AS8+AS9+AS10</f>
        <v>15.792192</v>
      </c>
      <c r="AT11" s="122" t="n">
        <f aca="false">AT8+AT9+AT10</f>
        <v>15.792192</v>
      </c>
      <c r="AU11" s="122" t="n">
        <f aca="false">AU8+AU9+AU10</f>
        <v>15.792192</v>
      </c>
      <c r="AV11" s="122" t="n">
        <f aca="false">AV8+AV9+AV10</f>
        <v>15.792192</v>
      </c>
      <c r="AW11" s="122" t="n">
        <f aca="false">AW8+AW9+AW10</f>
        <v>15.792192</v>
      </c>
      <c r="AX11" s="122" t="n">
        <f aca="false">AX8+AX9+AX10</f>
        <v>15.792192</v>
      </c>
      <c r="AY11" s="122" t="n">
        <f aca="false">AY8+AY9+AY10</f>
        <v>16.64972352</v>
      </c>
      <c r="AZ11" s="122" t="n">
        <f aca="false">AZ8+AZ9+AZ10</f>
        <v>16.64972352</v>
      </c>
      <c r="BA11" s="122" t="n">
        <f aca="false">BA8+BA9+BA10</f>
        <v>16.64972352</v>
      </c>
      <c r="BB11" s="122" t="n">
        <f aca="false">BB8+BB9+BB10</f>
        <v>16.64972352</v>
      </c>
      <c r="BC11" s="122" t="n">
        <f aca="false">BC8+BC9+BC10</f>
        <v>16.64972352</v>
      </c>
      <c r="BD11" s="122" t="n">
        <f aca="false">BD8+BD9+BD10</f>
        <v>16.64972352</v>
      </c>
      <c r="BE11" s="122" t="n">
        <f aca="false">BE8+BE9+BE10</f>
        <v>16.64972352</v>
      </c>
      <c r="BF11" s="122" t="n">
        <f aca="false">BF8+BF9+BF10</f>
        <v>16.64972352</v>
      </c>
      <c r="BG11" s="122" t="n">
        <f aca="false">BG8+BG9+BG10</f>
        <v>16.64972352</v>
      </c>
      <c r="BH11" s="122" t="n">
        <f aca="false">BH8+BH9+BH10</f>
        <v>16.64972352</v>
      </c>
      <c r="BI11" s="122" t="n">
        <f aca="false">BI8+BI9+BI10</f>
        <v>16.64972352</v>
      </c>
      <c r="BJ11" s="122" t="n">
        <f aca="false">BJ8+BJ9+BJ10</f>
        <v>16.64972352</v>
      </c>
    </row>
    <row r="13" customFormat="false" ht="15.75" hidden="false" customHeight="true" outlineLevel="0" collapsed="false">
      <c r="A13" s="7" t="s">
        <v>441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442</v>
      </c>
      <c r="C14" s="67" t="n">
        <f aca="false">-C8*Inputs!$E$43/12*1*(1+Inputs!$E$54)*(1+Inputs!$E$55)^(C$5-1)</f>
        <v>-20533.3333333333</v>
      </c>
      <c r="D14" s="67" t="n">
        <f aca="false">-D8*Inputs!$E$43/12*1*(1+Inputs!$E$54)*(1+Inputs!$E$55)^(D$5-1)</f>
        <v>-20533.3333333333</v>
      </c>
      <c r="E14" s="67" t="n">
        <f aca="false">-E8*Inputs!$E$43/12*1*(1+Inputs!$E$54)*(1+Inputs!$E$55)^(E$5-1)</f>
        <v>-20533.3333333333</v>
      </c>
      <c r="F14" s="67" t="n">
        <f aca="false">-F8*Inputs!$E$43/12*1*(1+Inputs!$E$54)*(1+Inputs!$E$55)^(F$5-1)</f>
        <v>-20533.3333333333</v>
      </c>
      <c r="G14" s="67" t="n">
        <f aca="false">-G8*Inputs!$E$43/12*1*(1+Inputs!$E$54)*(1+Inputs!$E$55)^(G$5-1)</f>
        <v>-20533.3333333333</v>
      </c>
      <c r="H14" s="67" t="n">
        <f aca="false">-H8*Inputs!$E$43/12*1*(1+Inputs!$E$54)*(1+Inputs!$E$55)^(H$5-1)</f>
        <v>-20533.3333333333</v>
      </c>
      <c r="I14" s="67" t="n">
        <f aca="false">-I8*Inputs!$E$43/12*1*(1+Inputs!$E$54)*(1+Inputs!$E$55)^(I$5-1)</f>
        <v>-20533.3333333333</v>
      </c>
      <c r="J14" s="67" t="n">
        <f aca="false">-J8*Inputs!$E$43/12*1*(1+Inputs!$E$54)*(1+Inputs!$E$55)^(J$5-1)</f>
        <v>-20533.3333333333</v>
      </c>
      <c r="K14" s="67" t="n">
        <f aca="false">-K8*Inputs!$E$43/12*1*(1+Inputs!$E$54)*(1+Inputs!$E$55)^(K$5-1)</f>
        <v>-20533.3333333333</v>
      </c>
      <c r="L14" s="67" t="n">
        <f aca="false">-L8*Inputs!$E$43/12*1*(1+Inputs!$E$54)*(1+Inputs!$E$55)^(L$5-1)</f>
        <v>-20533.3333333333</v>
      </c>
      <c r="M14" s="67" t="n">
        <f aca="false">-M8*Inputs!$E$43/12*1*(1+Inputs!$E$54)*(1+Inputs!$E$55)^(M$5-1)</f>
        <v>-20533.3333333333</v>
      </c>
      <c r="N14" s="67" t="n">
        <f aca="false">-N8*Inputs!$E$43/12*1*(1+Inputs!$E$54)*(1+Inputs!$E$55)^(N$5-1)</f>
        <v>-20533.3333333333</v>
      </c>
      <c r="O14" s="67" t="n">
        <f aca="false">-O8*Inputs!$E$43/12*1*(1+Inputs!$E$54)*(1+Inputs!$E$55)^(O$5-1)</f>
        <v>-22418.2933333333</v>
      </c>
      <c r="P14" s="67" t="n">
        <f aca="false">-P8*Inputs!$E$43/12*1*(1+Inputs!$E$54)*(1+Inputs!$E$55)^(P$5-1)</f>
        <v>-22418.2933333333</v>
      </c>
      <c r="Q14" s="67" t="n">
        <f aca="false">-Q8*Inputs!$E$43/12*1*(1+Inputs!$E$54)*(1+Inputs!$E$55)^(Q$5-1)</f>
        <v>-22418.2933333333</v>
      </c>
      <c r="R14" s="67" t="n">
        <f aca="false">-R8*Inputs!$E$43/12*1*(1+Inputs!$E$54)*(1+Inputs!$E$55)^(R$5-1)</f>
        <v>-22418.2933333333</v>
      </c>
      <c r="S14" s="67" t="n">
        <f aca="false">-S8*Inputs!$E$43/12*1*(1+Inputs!$E$54)*(1+Inputs!$E$55)^(S$5-1)</f>
        <v>-22418.2933333333</v>
      </c>
      <c r="T14" s="67" t="n">
        <f aca="false">-T8*Inputs!$E$43/12*1*(1+Inputs!$E$54)*(1+Inputs!$E$55)^(T$5-1)</f>
        <v>-22418.2933333333</v>
      </c>
      <c r="U14" s="67" t="n">
        <f aca="false">-U8*Inputs!$E$43/12*1*(1+Inputs!$E$54)*(1+Inputs!$E$55)^(U$5-1)</f>
        <v>-22418.2933333333</v>
      </c>
      <c r="V14" s="67" t="n">
        <f aca="false">-V8*Inputs!$E$43/12*1*(1+Inputs!$E$54)*(1+Inputs!$E$55)^(V$5-1)</f>
        <v>-22418.2933333333</v>
      </c>
      <c r="W14" s="67" t="n">
        <f aca="false">-W8*Inputs!$E$43/12*1*(1+Inputs!$E$54)*(1+Inputs!$E$55)^(W$5-1)</f>
        <v>-22418.2933333333</v>
      </c>
      <c r="X14" s="67" t="n">
        <f aca="false">-X8*Inputs!$E$43/12*1*(1+Inputs!$E$54)*(1+Inputs!$E$55)^(X$5-1)</f>
        <v>-22418.2933333333</v>
      </c>
      <c r="Y14" s="67" t="n">
        <f aca="false">-Y8*Inputs!$E$43/12*1*(1+Inputs!$E$54)*(1+Inputs!$E$55)^(Y$5-1)</f>
        <v>-22418.2933333333</v>
      </c>
      <c r="Z14" s="67" t="n">
        <f aca="false">-Z8*Inputs!$E$43/12*1*(1+Inputs!$E$54)*(1+Inputs!$E$55)^(Z$5-1)</f>
        <v>-22418.2933333333</v>
      </c>
      <c r="AA14" s="67" t="n">
        <f aca="false">-AA8*Inputs!$E$43/12*1*(1+Inputs!$E$54)*(1+Inputs!$E$55)^(AA$5-1)</f>
        <v>-24476.2926613333</v>
      </c>
      <c r="AB14" s="67" t="n">
        <f aca="false">-AB8*Inputs!$E$43/12*1*(1+Inputs!$E$54)*(1+Inputs!$E$55)^(AB$5-1)</f>
        <v>-24476.2926613333</v>
      </c>
      <c r="AC14" s="67" t="n">
        <f aca="false">-AC8*Inputs!$E$43/12*1*(1+Inputs!$E$54)*(1+Inputs!$E$55)^(AC$5-1)</f>
        <v>-24476.2926613333</v>
      </c>
      <c r="AD14" s="67" t="n">
        <f aca="false">-AD8*Inputs!$E$43/12*1*(1+Inputs!$E$54)*(1+Inputs!$E$55)^(AD$5-1)</f>
        <v>-24476.2926613333</v>
      </c>
      <c r="AE14" s="67" t="n">
        <f aca="false">-AE8*Inputs!$E$43/12*1*(1+Inputs!$E$54)*(1+Inputs!$E$55)^(AE$5-1)</f>
        <v>-24476.2926613333</v>
      </c>
      <c r="AF14" s="67" t="n">
        <f aca="false">-AF8*Inputs!$E$43/12*1*(1+Inputs!$E$54)*(1+Inputs!$E$55)^(AF$5-1)</f>
        <v>-24476.2926613333</v>
      </c>
      <c r="AG14" s="67" t="n">
        <f aca="false">-AG8*Inputs!$E$43/12*1*(1+Inputs!$E$54)*(1+Inputs!$E$55)^(AG$5-1)</f>
        <v>-24476.2926613333</v>
      </c>
      <c r="AH14" s="67" t="n">
        <f aca="false">-AH8*Inputs!$E$43/12*1*(1+Inputs!$E$54)*(1+Inputs!$E$55)^(AH$5-1)</f>
        <v>-24476.2926613333</v>
      </c>
      <c r="AI14" s="67" t="n">
        <f aca="false">-AI8*Inputs!$E$43/12*1*(1+Inputs!$E$54)*(1+Inputs!$E$55)^(AI$5-1)</f>
        <v>-24476.2926613333</v>
      </c>
      <c r="AJ14" s="67" t="n">
        <f aca="false">-AJ8*Inputs!$E$43/12*1*(1+Inputs!$E$54)*(1+Inputs!$E$55)^(AJ$5-1)</f>
        <v>-24476.2926613333</v>
      </c>
      <c r="AK14" s="67" t="n">
        <f aca="false">-AK8*Inputs!$E$43/12*1*(1+Inputs!$E$54)*(1+Inputs!$E$55)^(AK$5-1)</f>
        <v>-24476.2926613333</v>
      </c>
      <c r="AL14" s="67" t="n">
        <f aca="false">-AL8*Inputs!$E$43/12*1*(1+Inputs!$E$54)*(1+Inputs!$E$55)^(AL$5-1)</f>
        <v>-24476.2926613333</v>
      </c>
      <c r="AM14" s="67" t="n">
        <f aca="false">-AM8*Inputs!$E$43/12*1*(1+Inputs!$E$54)*(1+Inputs!$E$55)^(AM$5-1)</f>
        <v>-26723.2163276437</v>
      </c>
      <c r="AN14" s="67" t="n">
        <f aca="false">-AN8*Inputs!$E$43/12*1*(1+Inputs!$E$54)*(1+Inputs!$E$55)^(AN$5-1)</f>
        <v>-26723.2163276437</v>
      </c>
      <c r="AO14" s="67" t="n">
        <f aca="false">-AO8*Inputs!$E$43/12*1*(1+Inputs!$E$54)*(1+Inputs!$E$55)^(AO$5-1)</f>
        <v>-26723.2163276437</v>
      </c>
      <c r="AP14" s="67" t="n">
        <f aca="false">-AP8*Inputs!$E$43/12*1*(1+Inputs!$E$54)*(1+Inputs!$E$55)^(AP$5-1)</f>
        <v>-26723.2163276437</v>
      </c>
      <c r="AQ14" s="67" t="n">
        <f aca="false">-AQ8*Inputs!$E$43/12*1*(1+Inputs!$E$54)*(1+Inputs!$E$55)^(AQ$5-1)</f>
        <v>-26723.2163276437</v>
      </c>
      <c r="AR14" s="67" t="n">
        <f aca="false">-AR8*Inputs!$E$43/12*1*(1+Inputs!$E$54)*(1+Inputs!$E$55)^(AR$5-1)</f>
        <v>-26723.2163276437</v>
      </c>
      <c r="AS14" s="67" t="n">
        <f aca="false">-AS8*Inputs!$E$43/12*1*(1+Inputs!$E$54)*(1+Inputs!$E$55)^(AS$5-1)</f>
        <v>-26723.2163276437</v>
      </c>
      <c r="AT14" s="67" t="n">
        <f aca="false">-AT8*Inputs!$E$43/12*1*(1+Inputs!$E$54)*(1+Inputs!$E$55)^(AT$5-1)</f>
        <v>-26723.2163276437</v>
      </c>
      <c r="AU14" s="67" t="n">
        <f aca="false">-AU8*Inputs!$E$43/12*1*(1+Inputs!$E$54)*(1+Inputs!$E$55)^(AU$5-1)</f>
        <v>-26723.2163276437</v>
      </c>
      <c r="AV14" s="67" t="n">
        <f aca="false">-AV8*Inputs!$E$43/12*1*(1+Inputs!$E$54)*(1+Inputs!$E$55)^(AV$5-1)</f>
        <v>-26723.2163276437</v>
      </c>
      <c r="AW14" s="67" t="n">
        <f aca="false">-AW8*Inputs!$E$43/12*1*(1+Inputs!$E$54)*(1+Inputs!$E$55)^(AW$5-1)</f>
        <v>-26723.2163276437</v>
      </c>
      <c r="AX14" s="67" t="n">
        <f aca="false">-AX8*Inputs!$E$43/12*1*(1+Inputs!$E$54)*(1+Inputs!$E$55)^(AX$5-1)</f>
        <v>-26723.2163276437</v>
      </c>
      <c r="AY14" s="67" t="n">
        <f aca="false">-AY8*Inputs!$E$43/12*1*(1+Inputs!$E$54)*(1+Inputs!$E$55)^(AY$5-1)</f>
        <v>-29176.4075865214</v>
      </c>
      <c r="AZ14" s="67" t="n">
        <f aca="false">-AZ8*Inputs!$E$43/12*1*(1+Inputs!$E$54)*(1+Inputs!$E$55)^(AZ$5-1)</f>
        <v>-29176.4075865214</v>
      </c>
      <c r="BA14" s="67" t="n">
        <f aca="false">-BA8*Inputs!$E$43/12*1*(1+Inputs!$E$54)*(1+Inputs!$E$55)^(BA$5-1)</f>
        <v>-29176.4075865214</v>
      </c>
      <c r="BB14" s="67" t="n">
        <f aca="false">-BB8*Inputs!$E$43/12*1*(1+Inputs!$E$54)*(1+Inputs!$E$55)^(BB$5-1)</f>
        <v>-29176.4075865214</v>
      </c>
      <c r="BC14" s="67" t="n">
        <f aca="false">-BC8*Inputs!$E$43/12*1*(1+Inputs!$E$54)*(1+Inputs!$E$55)^(BC$5-1)</f>
        <v>-29176.4075865214</v>
      </c>
      <c r="BD14" s="67" t="n">
        <f aca="false">-BD8*Inputs!$E$43/12*1*(1+Inputs!$E$54)*(1+Inputs!$E$55)^(BD$5-1)</f>
        <v>-29176.4075865214</v>
      </c>
      <c r="BE14" s="67" t="n">
        <f aca="false">-BE8*Inputs!$E$43/12*1*(1+Inputs!$E$54)*(1+Inputs!$E$55)^(BE$5-1)</f>
        <v>-29176.4075865214</v>
      </c>
      <c r="BF14" s="67" t="n">
        <f aca="false">-BF8*Inputs!$E$43/12*1*(1+Inputs!$E$54)*(1+Inputs!$E$55)^(BF$5-1)</f>
        <v>-29176.4075865214</v>
      </c>
      <c r="BG14" s="67" t="n">
        <f aca="false">-BG8*Inputs!$E$43/12*1*(1+Inputs!$E$54)*(1+Inputs!$E$55)^(BG$5-1)</f>
        <v>-29176.4075865214</v>
      </c>
      <c r="BH14" s="67" t="n">
        <f aca="false">-BH8*Inputs!$E$43/12*1*(1+Inputs!$E$54)*(1+Inputs!$E$55)^(BH$5-1)</f>
        <v>-29176.4075865214</v>
      </c>
      <c r="BI14" s="67" t="n">
        <f aca="false">-BI8*Inputs!$E$43/12*1*(1+Inputs!$E$54)*(1+Inputs!$E$55)^(BI$5-1)</f>
        <v>-29176.4075865214</v>
      </c>
      <c r="BJ14" s="67" t="n">
        <f aca="false">-BJ8*Inputs!$E$43/12*1*(1+Inputs!$E$54)*(1+Inputs!$E$55)^(BJ$5-1)</f>
        <v>-29176.4075865214</v>
      </c>
    </row>
    <row r="15" customFormat="false" ht="15" hidden="false" customHeight="false" outlineLevel="0" collapsed="false">
      <c r="A15" s="6" t="s">
        <v>443</v>
      </c>
      <c r="C15" s="67" t="n">
        <f aca="false">-C9*Inputs!$E$47/12*1*(1+Inputs!$E$54)*(1+Inputs!$E$55)^(C$5-1)</f>
        <v>-20253.3333333333</v>
      </c>
      <c r="D15" s="67" t="n">
        <f aca="false">-D9*Inputs!$E$47/12*1*(1+Inputs!$E$54)*(1+Inputs!$E$55)^(D$5-1)</f>
        <v>-20253.3333333333</v>
      </c>
      <c r="E15" s="67" t="n">
        <f aca="false">-E9*Inputs!$E$47/12*1*(1+Inputs!$E$54)*(1+Inputs!$E$55)^(E$5-1)</f>
        <v>-20253.3333333333</v>
      </c>
      <c r="F15" s="67" t="n">
        <f aca="false">-F9*Inputs!$E$47/12*1*(1+Inputs!$E$54)*(1+Inputs!$E$55)^(F$5-1)</f>
        <v>-20253.3333333333</v>
      </c>
      <c r="G15" s="67" t="n">
        <f aca="false">-G9*Inputs!$E$47/12*1*(1+Inputs!$E$54)*(1+Inputs!$E$55)^(G$5-1)</f>
        <v>-20253.3333333333</v>
      </c>
      <c r="H15" s="67" t="n">
        <f aca="false">-H9*Inputs!$E$47/12*1*(1+Inputs!$E$54)*(1+Inputs!$E$55)^(H$5-1)</f>
        <v>-20253.3333333333</v>
      </c>
      <c r="I15" s="67" t="n">
        <f aca="false">-I9*Inputs!$E$47/12*1*(1+Inputs!$E$54)*(1+Inputs!$E$55)^(I$5-1)</f>
        <v>-20253.3333333333</v>
      </c>
      <c r="J15" s="67" t="n">
        <f aca="false">-J9*Inputs!$E$47/12*1*(1+Inputs!$E$54)*(1+Inputs!$E$55)^(J$5-1)</f>
        <v>-20253.3333333333</v>
      </c>
      <c r="K15" s="67" t="n">
        <f aca="false">-K9*Inputs!$E$47/12*1*(1+Inputs!$E$54)*(1+Inputs!$E$55)^(K$5-1)</f>
        <v>-20253.3333333333</v>
      </c>
      <c r="L15" s="67" t="n">
        <f aca="false">-L9*Inputs!$E$47/12*1*(1+Inputs!$E$54)*(1+Inputs!$E$55)^(L$5-1)</f>
        <v>-20253.3333333333</v>
      </c>
      <c r="M15" s="67" t="n">
        <f aca="false">-M9*Inputs!$E$47/12*1*(1+Inputs!$E$54)*(1+Inputs!$E$55)^(M$5-1)</f>
        <v>-20253.3333333333</v>
      </c>
      <c r="N15" s="67" t="n">
        <f aca="false">-N9*Inputs!$E$47/12*1*(1+Inputs!$E$54)*(1+Inputs!$E$55)^(N$5-1)</f>
        <v>-20253.3333333333</v>
      </c>
      <c r="O15" s="67" t="n">
        <f aca="false">-O9*Inputs!$E$47/12*1*(1+Inputs!$E$54)*(1+Inputs!$E$55)^(O$5-1)</f>
        <v>-22112.5893333333</v>
      </c>
      <c r="P15" s="67" t="n">
        <f aca="false">-P9*Inputs!$E$47/12*1*(1+Inputs!$E$54)*(1+Inputs!$E$55)^(P$5-1)</f>
        <v>-22112.5893333333</v>
      </c>
      <c r="Q15" s="67" t="n">
        <f aca="false">-Q9*Inputs!$E$47/12*1*(1+Inputs!$E$54)*(1+Inputs!$E$55)^(Q$5-1)</f>
        <v>-22112.5893333333</v>
      </c>
      <c r="R15" s="67" t="n">
        <f aca="false">-R9*Inputs!$E$47/12*1*(1+Inputs!$E$54)*(1+Inputs!$E$55)^(R$5-1)</f>
        <v>-22112.5893333333</v>
      </c>
      <c r="S15" s="67" t="n">
        <f aca="false">-S9*Inputs!$E$47/12*1*(1+Inputs!$E$54)*(1+Inputs!$E$55)^(S$5-1)</f>
        <v>-22112.5893333333</v>
      </c>
      <c r="T15" s="67" t="n">
        <f aca="false">-T9*Inputs!$E$47/12*1*(1+Inputs!$E$54)*(1+Inputs!$E$55)^(T$5-1)</f>
        <v>-22112.5893333333</v>
      </c>
      <c r="U15" s="67" t="n">
        <f aca="false">-U9*Inputs!$E$47/12*1*(1+Inputs!$E$54)*(1+Inputs!$E$55)^(U$5-1)</f>
        <v>-22112.5893333333</v>
      </c>
      <c r="V15" s="67" t="n">
        <f aca="false">-V9*Inputs!$E$47/12*1*(1+Inputs!$E$54)*(1+Inputs!$E$55)^(V$5-1)</f>
        <v>-22112.5893333333</v>
      </c>
      <c r="W15" s="67" t="n">
        <f aca="false">-W9*Inputs!$E$47/12*1*(1+Inputs!$E$54)*(1+Inputs!$E$55)^(W$5-1)</f>
        <v>-22112.5893333333</v>
      </c>
      <c r="X15" s="67" t="n">
        <f aca="false">-X9*Inputs!$E$47/12*1*(1+Inputs!$E$54)*(1+Inputs!$E$55)^(X$5-1)</f>
        <v>-22112.5893333333</v>
      </c>
      <c r="Y15" s="67" t="n">
        <f aca="false">-Y9*Inputs!$E$47/12*1*(1+Inputs!$E$54)*(1+Inputs!$E$55)^(Y$5-1)</f>
        <v>-22112.5893333333</v>
      </c>
      <c r="Z15" s="67" t="n">
        <f aca="false">-Z9*Inputs!$E$47/12*1*(1+Inputs!$E$54)*(1+Inputs!$E$55)^(Z$5-1)</f>
        <v>-22112.5893333333</v>
      </c>
      <c r="AA15" s="67" t="n">
        <f aca="false">-AA9*Inputs!$E$47/12*1*(1+Inputs!$E$54)*(1+Inputs!$E$55)^(AA$5-1)</f>
        <v>-24142.5250341333</v>
      </c>
      <c r="AB15" s="67" t="n">
        <f aca="false">-AB9*Inputs!$E$47/12*1*(1+Inputs!$E$54)*(1+Inputs!$E$55)^(AB$5-1)</f>
        <v>-24142.5250341333</v>
      </c>
      <c r="AC15" s="67" t="n">
        <f aca="false">-AC9*Inputs!$E$47/12*1*(1+Inputs!$E$54)*(1+Inputs!$E$55)^(AC$5-1)</f>
        <v>-24142.5250341333</v>
      </c>
      <c r="AD15" s="67" t="n">
        <f aca="false">-AD9*Inputs!$E$47/12*1*(1+Inputs!$E$54)*(1+Inputs!$E$55)^(AD$5-1)</f>
        <v>-24142.5250341333</v>
      </c>
      <c r="AE15" s="67" t="n">
        <f aca="false">-AE9*Inputs!$E$47/12*1*(1+Inputs!$E$54)*(1+Inputs!$E$55)^(AE$5-1)</f>
        <v>-24142.5250341333</v>
      </c>
      <c r="AF15" s="67" t="n">
        <f aca="false">-AF9*Inputs!$E$47/12*1*(1+Inputs!$E$54)*(1+Inputs!$E$55)^(AF$5-1)</f>
        <v>-24142.5250341333</v>
      </c>
      <c r="AG15" s="67" t="n">
        <f aca="false">-AG9*Inputs!$E$47/12*1*(1+Inputs!$E$54)*(1+Inputs!$E$55)^(AG$5-1)</f>
        <v>-24142.5250341333</v>
      </c>
      <c r="AH15" s="67" t="n">
        <f aca="false">-AH9*Inputs!$E$47/12*1*(1+Inputs!$E$54)*(1+Inputs!$E$55)^(AH$5-1)</f>
        <v>-24142.5250341333</v>
      </c>
      <c r="AI15" s="67" t="n">
        <f aca="false">-AI9*Inputs!$E$47/12*1*(1+Inputs!$E$54)*(1+Inputs!$E$55)^(AI$5-1)</f>
        <v>-24142.5250341333</v>
      </c>
      <c r="AJ15" s="67" t="n">
        <f aca="false">-AJ9*Inputs!$E$47/12*1*(1+Inputs!$E$54)*(1+Inputs!$E$55)^(AJ$5-1)</f>
        <v>-24142.5250341333</v>
      </c>
      <c r="AK15" s="67" t="n">
        <f aca="false">-AK9*Inputs!$E$47/12*1*(1+Inputs!$E$54)*(1+Inputs!$E$55)^(AK$5-1)</f>
        <v>-24142.5250341333</v>
      </c>
      <c r="AL15" s="67" t="n">
        <f aca="false">-AL9*Inputs!$E$47/12*1*(1+Inputs!$E$54)*(1+Inputs!$E$55)^(AL$5-1)</f>
        <v>-24142.5250341333</v>
      </c>
      <c r="AM15" s="67" t="n">
        <f aca="false">-AM9*Inputs!$E$47/12*1*(1+Inputs!$E$54)*(1+Inputs!$E$55)^(AM$5-1)</f>
        <v>-26358.8088322668</v>
      </c>
      <c r="AN15" s="67" t="n">
        <f aca="false">-AN9*Inputs!$E$47/12*1*(1+Inputs!$E$54)*(1+Inputs!$E$55)^(AN$5-1)</f>
        <v>-26358.8088322668</v>
      </c>
      <c r="AO15" s="67" t="n">
        <f aca="false">-AO9*Inputs!$E$47/12*1*(1+Inputs!$E$54)*(1+Inputs!$E$55)^(AO$5-1)</f>
        <v>-26358.8088322668</v>
      </c>
      <c r="AP15" s="67" t="n">
        <f aca="false">-AP9*Inputs!$E$47/12*1*(1+Inputs!$E$54)*(1+Inputs!$E$55)^(AP$5-1)</f>
        <v>-26358.8088322668</v>
      </c>
      <c r="AQ15" s="67" t="n">
        <f aca="false">-AQ9*Inputs!$E$47/12*1*(1+Inputs!$E$54)*(1+Inputs!$E$55)^(AQ$5-1)</f>
        <v>-26358.8088322668</v>
      </c>
      <c r="AR15" s="67" t="n">
        <f aca="false">-AR9*Inputs!$E$47/12*1*(1+Inputs!$E$54)*(1+Inputs!$E$55)^(AR$5-1)</f>
        <v>-26358.8088322668</v>
      </c>
      <c r="AS15" s="67" t="n">
        <f aca="false">-AS9*Inputs!$E$47/12*1*(1+Inputs!$E$54)*(1+Inputs!$E$55)^(AS$5-1)</f>
        <v>-26358.8088322668</v>
      </c>
      <c r="AT15" s="67" t="n">
        <f aca="false">-AT9*Inputs!$E$47/12*1*(1+Inputs!$E$54)*(1+Inputs!$E$55)^(AT$5-1)</f>
        <v>-26358.8088322668</v>
      </c>
      <c r="AU15" s="67" t="n">
        <f aca="false">-AU9*Inputs!$E$47/12*1*(1+Inputs!$E$54)*(1+Inputs!$E$55)^(AU$5-1)</f>
        <v>-26358.8088322668</v>
      </c>
      <c r="AV15" s="67" t="n">
        <f aca="false">-AV9*Inputs!$E$47/12*1*(1+Inputs!$E$54)*(1+Inputs!$E$55)^(AV$5-1)</f>
        <v>-26358.8088322668</v>
      </c>
      <c r="AW15" s="67" t="n">
        <f aca="false">-AW9*Inputs!$E$47/12*1*(1+Inputs!$E$54)*(1+Inputs!$E$55)^(AW$5-1)</f>
        <v>-26358.8088322668</v>
      </c>
      <c r="AX15" s="67" t="n">
        <f aca="false">-AX9*Inputs!$E$47/12*1*(1+Inputs!$E$54)*(1+Inputs!$E$55)^(AX$5-1)</f>
        <v>-26358.8088322668</v>
      </c>
      <c r="AY15" s="67" t="n">
        <f aca="false">-AY9*Inputs!$E$47/12*1*(1+Inputs!$E$54)*(1+Inputs!$E$55)^(AY$5-1)</f>
        <v>-28778.5474830689</v>
      </c>
      <c r="AZ15" s="67" t="n">
        <f aca="false">-AZ9*Inputs!$E$47/12*1*(1+Inputs!$E$54)*(1+Inputs!$E$55)^(AZ$5-1)</f>
        <v>-28778.5474830689</v>
      </c>
      <c r="BA15" s="67" t="n">
        <f aca="false">-BA9*Inputs!$E$47/12*1*(1+Inputs!$E$54)*(1+Inputs!$E$55)^(BA$5-1)</f>
        <v>-28778.5474830689</v>
      </c>
      <c r="BB15" s="67" t="n">
        <f aca="false">-BB9*Inputs!$E$47/12*1*(1+Inputs!$E$54)*(1+Inputs!$E$55)^(BB$5-1)</f>
        <v>-28778.5474830689</v>
      </c>
      <c r="BC15" s="67" t="n">
        <f aca="false">-BC9*Inputs!$E$47/12*1*(1+Inputs!$E$54)*(1+Inputs!$E$55)^(BC$5-1)</f>
        <v>-28778.5474830689</v>
      </c>
      <c r="BD15" s="67" t="n">
        <f aca="false">-BD9*Inputs!$E$47/12*1*(1+Inputs!$E$54)*(1+Inputs!$E$55)^(BD$5-1)</f>
        <v>-28778.5474830689</v>
      </c>
      <c r="BE15" s="67" t="n">
        <f aca="false">-BE9*Inputs!$E$47/12*1*(1+Inputs!$E$54)*(1+Inputs!$E$55)^(BE$5-1)</f>
        <v>-28778.5474830689</v>
      </c>
      <c r="BF15" s="67" t="n">
        <f aca="false">-BF9*Inputs!$E$47/12*1*(1+Inputs!$E$54)*(1+Inputs!$E$55)^(BF$5-1)</f>
        <v>-28778.5474830689</v>
      </c>
      <c r="BG15" s="67" t="n">
        <f aca="false">-BG9*Inputs!$E$47/12*1*(1+Inputs!$E$54)*(1+Inputs!$E$55)^(BG$5-1)</f>
        <v>-28778.5474830689</v>
      </c>
      <c r="BH15" s="67" t="n">
        <f aca="false">-BH9*Inputs!$E$47/12*1*(1+Inputs!$E$54)*(1+Inputs!$E$55)^(BH$5-1)</f>
        <v>-28778.5474830689</v>
      </c>
      <c r="BI15" s="67" t="n">
        <f aca="false">-BI9*Inputs!$E$47/12*1*(1+Inputs!$E$54)*(1+Inputs!$E$55)^(BI$5-1)</f>
        <v>-28778.5474830689</v>
      </c>
      <c r="BJ15" s="67" t="n">
        <f aca="false">-BJ9*Inputs!$E$47/12*1*(1+Inputs!$E$54)*(1+Inputs!$E$55)^(BJ$5-1)</f>
        <v>-28778.5474830689</v>
      </c>
    </row>
    <row r="16" customFormat="false" ht="15" hidden="false" customHeight="false" outlineLevel="0" collapsed="false">
      <c r="A16" s="6" t="s">
        <v>444</v>
      </c>
      <c r="C16" s="67" t="n">
        <f aca="false">-C10*Inputs!$E$51/12*1*(1+Inputs!$E$54)*(1+Inputs!$E$55)^(C$5-1)</f>
        <v>-8680</v>
      </c>
      <c r="D16" s="67" t="n">
        <f aca="false">-D10*Inputs!$E$51/12*1*(1+Inputs!$E$54)*(1+Inputs!$E$55)^(D$5-1)</f>
        <v>-8680</v>
      </c>
      <c r="E16" s="67" t="n">
        <f aca="false">-E10*Inputs!$E$51/12*1*(1+Inputs!$E$54)*(1+Inputs!$E$55)^(E$5-1)</f>
        <v>-8680</v>
      </c>
      <c r="F16" s="67" t="n">
        <f aca="false">-F10*Inputs!$E$51/12*1*(1+Inputs!$E$54)*(1+Inputs!$E$55)^(F$5-1)</f>
        <v>-8680</v>
      </c>
      <c r="G16" s="67" t="n">
        <f aca="false">-G10*Inputs!$E$51/12*1*(1+Inputs!$E$54)*(1+Inputs!$E$55)^(G$5-1)</f>
        <v>-8680</v>
      </c>
      <c r="H16" s="67" t="n">
        <f aca="false">-H10*Inputs!$E$51/12*1*(1+Inputs!$E$54)*(1+Inputs!$E$55)^(H$5-1)</f>
        <v>-8680</v>
      </c>
      <c r="I16" s="67" t="n">
        <f aca="false">-I10*Inputs!$E$51/12*1*(1+Inputs!$E$54)*(1+Inputs!$E$55)^(I$5-1)</f>
        <v>-8680</v>
      </c>
      <c r="J16" s="67" t="n">
        <f aca="false">-J10*Inputs!$E$51/12*1*(1+Inputs!$E$54)*(1+Inputs!$E$55)^(J$5-1)</f>
        <v>-8680</v>
      </c>
      <c r="K16" s="67" t="n">
        <f aca="false">-K10*Inputs!$E$51/12*1*(1+Inputs!$E$54)*(1+Inputs!$E$55)^(K$5-1)</f>
        <v>-8680</v>
      </c>
      <c r="L16" s="67" t="n">
        <f aca="false">-L10*Inputs!$E$51/12*1*(1+Inputs!$E$54)*(1+Inputs!$E$55)^(L$5-1)</f>
        <v>-8680</v>
      </c>
      <c r="M16" s="67" t="n">
        <f aca="false">-M10*Inputs!$E$51/12*1*(1+Inputs!$E$54)*(1+Inputs!$E$55)^(M$5-1)</f>
        <v>-8680</v>
      </c>
      <c r="N16" s="67" t="n">
        <f aca="false">-N10*Inputs!$E$51/12*1*(1+Inputs!$E$54)*(1+Inputs!$E$55)^(N$5-1)</f>
        <v>-8680</v>
      </c>
      <c r="O16" s="67" t="n">
        <f aca="false">-O10*Inputs!$E$51/12*1*(1+Inputs!$E$54)*(1+Inputs!$E$55)^(O$5-1)</f>
        <v>-8940.4</v>
      </c>
      <c r="P16" s="67" t="n">
        <f aca="false">-P10*Inputs!$E$51/12*1*(1+Inputs!$E$54)*(1+Inputs!$E$55)^(P$5-1)</f>
        <v>-8940.4</v>
      </c>
      <c r="Q16" s="67" t="n">
        <f aca="false">-Q10*Inputs!$E$51/12*1*(1+Inputs!$E$54)*(1+Inputs!$E$55)^(Q$5-1)</f>
        <v>-8940.4</v>
      </c>
      <c r="R16" s="67" t="n">
        <f aca="false">-R10*Inputs!$E$51/12*1*(1+Inputs!$E$54)*(1+Inputs!$E$55)^(R$5-1)</f>
        <v>-8940.4</v>
      </c>
      <c r="S16" s="67" t="n">
        <f aca="false">-S10*Inputs!$E$51/12*1*(1+Inputs!$E$54)*(1+Inputs!$E$55)^(S$5-1)</f>
        <v>-8940.4</v>
      </c>
      <c r="T16" s="67" t="n">
        <f aca="false">-T10*Inputs!$E$51/12*1*(1+Inputs!$E$54)*(1+Inputs!$E$55)^(T$5-1)</f>
        <v>-8940.4</v>
      </c>
      <c r="U16" s="67" t="n">
        <f aca="false">-U10*Inputs!$E$51/12*1*(1+Inputs!$E$54)*(1+Inputs!$E$55)^(U$5-1)</f>
        <v>-8940.4</v>
      </c>
      <c r="V16" s="67" t="n">
        <f aca="false">-V10*Inputs!$E$51/12*1*(1+Inputs!$E$54)*(1+Inputs!$E$55)^(V$5-1)</f>
        <v>-8940.4</v>
      </c>
      <c r="W16" s="67" t="n">
        <f aca="false">-W10*Inputs!$E$51/12*1*(1+Inputs!$E$54)*(1+Inputs!$E$55)^(W$5-1)</f>
        <v>-8940.4</v>
      </c>
      <c r="X16" s="67" t="n">
        <f aca="false">-X10*Inputs!$E$51/12*1*(1+Inputs!$E$54)*(1+Inputs!$E$55)^(X$5-1)</f>
        <v>-8940.4</v>
      </c>
      <c r="Y16" s="67" t="n">
        <f aca="false">-Y10*Inputs!$E$51/12*1*(1+Inputs!$E$54)*(1+Inputs!$E$55)^(Y$5-1)</f>
        <v>-8940.4</v>
      </c>
      <c r="Z16" s="67" t="n">
        <f aca="false">-Z10*Inputs!$E$51/12*1*(1+Inputs!$E$54)*(1+Inputs!$E$55)^(Z$5-1)</f>
        <v>-8940.4</v>
      </c>
      <c r="AA16" s="67" t="n">
        <f aca="false">-AA10*Inputs!$E$51/12*1*(1+Inputs!$E$54)*(1+Inputs!$E$55)^(AA$5-1)</f>
        <v>-9208.612</v>
      </c>
      <c r="AB16" s="67" t="n">
        <f aca="false">-AB10*Inputs!$E$51/12*1*(1+Inputs!$E$54)*(1+Inputs!$E$55)^(AB$5-1)</f>
        <v>-9208.612</v>
      </c>
      <c r="AC16" s="67" t="n">
        <f aca="false">-AC10*Inputs!$E$51/12*1*(1+Inputs!$E$54)*(1+Inputs!$E$55)^(AC$5-1)</f>
        <v>-9208.612</v>
      </c>
      <c r="AD16" s="67" t="n">
        <f aca="false">-AD10*Inputs!$E$51/12*1*(1+Inputs!$E$54)*(1+Inputs!$E$55)^(AD$5-1)</f>
        <v>-9208.612</v>
      </c>
      <c r="AE16" s="67" t="n">
        <f aca="false">-AE10*Inputs!$E$51/12*1*(1+Inputs!$E$54)*(1+Inputs!$E$55)^(AE$5-1)</f>
        <v>-9208.612</v>
      </c>
      <c r="AF16" s="67" t="n">
        <f aca="false">-AF10*Inputs!$E$51/12*1*(1+Inputs!$E$54)*(1+Inputs!$E$55)^(AF$5-1)</f>
        <v>-9208.612</v>
      </c>
      <c r="AG16" s="67" t="n">
        <f aca="false">-AG10*Inputs!$E$51/12*1*(1+Inputs!$E$54)*(1+Inputs!$E$55)^(AG$5-1)</f>
        <v>-9208.612</v>
      </c>
      <c r="AH16" s="67" t="n">
        <f aca="false">-AH10*Inputs!$E$51/12*1*(1+Inputs!$E$54)*(1+Inputs!$E$55)^(AH$5-1)</f>
        <v>-9208.612</v>
      </c>
      <c r="AI16" s="67" t="n">
        <f aca="false">-AI10*Inputs!$E$51/12*1*(1+Inputs!$E$54)*(1+Inputs!$E$55)^(AI$5-1)</f>
        <v>-9208.612</v>
      </c>
      <c r="AJ16" s="67" t="n">
        <f aca="false">-AJ10*Inputs!$E$51/12*1*(1+Inputs!$E$54)*(1+Inputs!$E$55)^(AJ$5-1)</f>
        <v>-9208.612</v>
      </c>
      <c r="AK16" s="67" t="n">
        <f aca="false">-AK10*Inputs!$E$51/12*1*(1+Inputs!$E$54)*(1+Inputs!$E$55)^(AK$5-1)</f>
        <v>-9208.612</v>
      </c>
      <c r="AL16" s="67" t="n">
        <f aca="false">-AL10*Inputs!$E$51/12*1*(1+Inputs!$E$54)*(1+Inputs!$E$55)^(AL$5-1)</f>
        <v>-9208.612</v>
      </c>
      <c r="AM16" s="67" t="n">
        <f aca="false">-AM10*Inputs!$E$51/12*1*(1+Inputs!$E$54)*(1+Inputs!$E$55)^(AM$5-1)</f>
        <v>-9484.87036</v>
      </c>
      <c r="AN16" s="67" t="n">
        <f aca="false">-AN10*Inputs!$E$51/12*1*(1+Inputs!$E$54)*(1+Inputs!$E$55)^(AN$5-1)</f>
        <v>-9484.87036</v>
      </c>
      <c r="AO16" s="67" t="n">
        <f aca="false">-AO10*Inputs!$E$51/12*1*(1+Inputs!$E$54)*(1+Inputs!$E$55)^(AO$5-1)</f>
        <v>-9484.87036</v>
      </c>
      <c r="AP16" s="67" t="n">
        <f aca="false">-AP10*Inputs!$E$51/12*1*(1+Inputs!$E$54)*(1+Inputs!$E$55)^(AP$5-1)</f>
        <v>-9484.87036</v>
      </c>
      <c r="AQ16" s="67" t="n">
        <f aca="false">-AQ10*Inputs!$E$51/12*1*(1+Inputs!$E$54)*(1+Inputs!$E$55)^(AQ$5-1)</f>
        <v>-9484.87036</v>
      </c>
      <c r="AR16" s="67" t="n">
        <f aca="false">-AR10*Inputs!$E$51/12*1*(1+Inputs!$E$54)*(1+Inputs!$E$55)^(AR$5-1)</f>
        <v>-9484.87036</v>
      </c>
      <c r="AS16" s="67" t="n">
        <f aca="false">-AS10*Inputs!$E$51/12*1*(1+Inputs!$E$54)*(1+Inputs!$E$55)^(AS$5-1)</f>
        <v>-9484.87036</v>
      </c>
      <c r="AT16" s="67" t="n">
        <f aca="false">-AT10*Inputs!$E$51/12*1*(1+Inputs!$E$54)*(1+Inputs!$E$55)^(AT$5-1)</f>
        <v>-9484.87036</v>
      </c>
      <c r="AU16" s="67" t="n">
        <f aca="false">-AU10*Inputs!$E$51/12*1*(1+Inputs!$E$54)*(1+Inputs!$E$55)^(AU$5-1)</f>
        <v>-9484.87036</v>
      </c>
      <c r="AV16" s="67" t="n">
        <f aca="false">-AV10*Inputs!$E$51/12*1*(1+Inputs!$E$54)*(1+Inputs!$E$55)^(AV$5-1)</f>
        <v>-9484.87036</v>
      </c>
      <c r="AW16" s="67" t="n">
        <f aca="false">-AW10*Inputs!$E$51/12*1*(1+Inputs!$E$54)*(1+Inputs!$E$55)^(AW$5-1)</f>
        <v>-9484.87036</v>
      </c>
      <c r="AX16" s="67" t="n">
        <f aca="false">-AX10*Inputs!$E$51/12*1*(1+Inputs!$E$54)*(1+Inputs!$E$55)^(AX$5-1)</f>
        <v>-9484.87036</v>
      </c>
      <c r="AY16" s="67" t="n">
        <f aca="false">-AY10*Inputs!$E$51/12*1*(1+Inputs!$E$54)*(1+Inputs!$E$55)^(AY$5-1)</f>
        <v>-9769.4164708</v>
      </c>
      <c r="AZ16" s="67" t="n">
        <f aca="false">-AZ10*Inputs!$E$51/12*1*(1+Inputs!$E$54)*(1+Inputs!$E$55)^(AZ$5-1)</f>
        <v>-9769.4164708</v>
      </c>
      <c r="BA16" s="67" t="n">
        <f aca="false">-BA10*Inputs!$E$51/12*1*(1+Inputs!$E$54)*(1+Inputs!$E$55)^(BA$5-1)</f>
        <v>-9769.4164708</v>
      </c>
      <c r="BB16" s="67" t="n">
        <f aca="false">-BB10*Inputs!$E$51/12*1*(1+Inputs!$E$54)*(1+Inputs!$E$55)^(BB$5-1)</f>
        <v>-9769.4164708</v>
      </c>
      <c r="BC16" s="67" t="n">
        <f aca="false">-BC10*Inputs!$E$51/12*1*(1+Inputs!$E$54)*(1+Inputs!$E$55)^(BC$5-1)</f>
        <v>-9769.4164708</v>
      </c>
      <c r="BD16" s="67" t="n">
        <f aca="false">-BD10*Inputs!$E$51/12*1*(1+Inputs!$E$54)*(1+Inputs!$E$55)^(BD$5-1)</f>
        <v>-9769.4164708</v>
      </c>
      <c r="BE16" s="67" t="n">
        <f aca="false">-BE10*Inputs!$E$51/12*1*(1+Inputs!$E$54)*(1+Inputs!$E$55)^(BE$5-1)</f>
        <v>-9769.4164708</v>
      </c>
      <c r="BF16" s="67" t="n">
        <f aca="false">-BF10*Inputs!$E$51/12*1*(1+Inputs!$E$54)*(1+Inputs!$E$55)^(BF$5-1)</f>
        <v>-9769.4164708</v>
      </c>
      <c r="BG16" s="67" t="n">
        <f aca="false">-BG10*Inputs!$E$51/12*1*(1+Inputs!$E$54)*(1+Inputs!$E$55)^(BG$5-1)</f>
        <v>-9769.4164708</v>
      </c>
      <c r="BH16" s="67" t="n">
        <f aca="false">-BH10*Inputs!$E$51/12*1*(1+Inputs!$E$54)*(1+Inputs!$E$55)^(BH$5-1)</f>
        <v>-9769.4164708</v>
      </c>
      <c r="BI16" s="67" t="n">
        <f aca="false">-BI10*Inputs!$E$51/12*1*(1+Inputs!$E$54)*(1+Inputs!$E$55)^(BI$5-1)</f>
        <v>-9769.4164708</v>
      </c>
      <c r="BJ16" s="67" t="n">
        <f aca="false">-BJ10*Inputs!$E$51/12*1*(1+Inputs!$E$54)*(1+Inputs!$E$55)^(BJ$5-1)</f>
        <v>-9769.4164708</v>
      </c>
    </row>
    <row r="17" customFormat="false" ht="15" hidden="false" customHeight="false" outlineLevel="0" collapsed="false">
      <c r="A17" s="115" t="s">
        <v>445</v>
      </c>
      <c r="C17" s="68" t="n">
        <f aca="false">C14+C15+C16</f>
        <v>-49466.6666666667</v>
      </c>
      <c r="D17" s="68" t="n">
        <f aca="false">D14+D15+D16</f>
        <v>-49466.6666666667</v>
      </c>
      <c r="E17" s="68" t="n">
        <f aca="false">E14+E15+E16</f>
        <v>-49466.6666666667</v>
      </c>
      <c r="F17" s="68" t="n">
        <f aca="false">F14+F15+F16</f>
        <v>-49466.6666666667</v>
      </c>
      <c r="G17" s="68" t="n">
        <f aca="false">G14+G15+G16</f>
        <v>-49466.6666666667</v>
      </c>
      <c r="H17" s="68" t="n">
        <f aca="false">H14+H15+H16</f>
        <v>-49466.6666666667</v>
      </c>
      <c r="I17" s="68" t="n">
        <f aca="false">I14+I15+I16</f>
        <v>-49466.6666666667</v>
      </c>
      <c r="J17" s="68" t="n">
        <f aca="false">J14+J15+J16</f>
        <v>-49466.6666666667</v>
      </c>
      <c r="K17" s="68" t="n">
        <f aca="false">K14+K15+K16</f>
        <v>-49466.6666666667</v>
      </c>
      <c r="L17" s="68" t="n">
        <f aca="false">L14+L15+L16</f>
        <v>-49466.6666666667</v>
      </c>
      <c r="M17" s="68" t="n">
        <f aca="false">M14+M15+M16</f>
        <v>-49466.6666666667</v>
      </c>
      <c r="N17" s="68" t="n">
        <f aca="false">N14+N15+N16</f>
        <v>-49466.6666666667</v>
      </c>
      <c r="O17" s="68" t="n">
        <f aca="false">O14+O15+O16</f>
        <v>-53471.2826666667</v>
      </c>
      <c r="P17" s="68" t="n">
        <f aca="false">P14+P15+P16</f>
        <v>-53471.2826666667</v>
      </c>
      <c r="Q17" s="68" t="n">
        <f aca="false">Q14+Q15+Q16</f>
        <v>-53471.2826666667</v>
      </c>
      <c r="R17" s="68" t="n">
        <f aca="false">R14+R15+R16</f>
        <v>-53471.2826666667</v>
      </c>
      <c r="S17" s="68" t="n">
        <f aca="false">S14+S15+S16</f>
        <v>-53471.2826666667</v>
      </c>
      <c r="T17" s="68" t="n">
        <f aca="false">T14+T15+T16</f>
        <v>-53471.2826666667</v>
      </c>
      <c r="U17" s="68" t="n">
        <f aca="false">U14+U15+U16</f>
        <v>-53471.2826666667</v>
      </c>
      <c r="V17" s="68" t="n">
        <f aca="false">V14+V15+V16</f>
        <v>-53471.2826666667</v>
      </c>
      <c r="W17" s="68" t="n">
        <f aca="false">W14+W15+W16</f>
        <v>-53471.2826666667</v>
      </c>
      <c r="X17" s="68" t="n">
        <f aca="false">X14+X15+X16</f>
        <v>-53471.2826666667</v>
      </c>
      <c r="Y17" s="68" t="n">
        <f aca="false">Y14+Y15+Y16</f>
        <v>-53471.2826666667</v>
      </c>
      <c r="Z17" s="68" t="n">
        <f aca="false">Z14+Z15+Z16</f>
        <v>-53471.2826666667</v>
      </c>
      <c r="AA17" s="68" t="n">
        <f aca="false">AA14+AA15+AA16</f>
        <v>-57827.4296954667</v>
      </c>
      <c r="AB17" s="68" t="n">
        <f aca="false">AB14+AB15+AB16</f>
        <v>-57827.4296954667</v>
      </c>
      <c r="AC17" s="68" t="n">
        <f aca="false">AC14+AC15+AC16</f>
        <v>-57827.4296954667</v>
      </c>
      <c r="AD17" s="68" t="n">
        <f aca="false">AD14+AD15+AD16</f>
        <v>-57827.4296954667</v>
      </c>
      <c r="AE17" s="68" t="n">
        <f aca="false">AE14+AE15+AE16</f>
        <v>-57827.4296954667</v>
      </c>
      <c r="AF17" s="68" t="n">
        <f aca="false">AF14+AF15+AF16</f>
        <v>-57827.4296954667</v>
      </c>
      <c r="AG17" s="68" t="n">
        <f aca="false">AG14+AG15+AG16</f>
        <v>-57827.4296954667</v>
      </c>
      <c r="AH17" s="68" t="n">
        <f aca="false">AH14+AH15+AH16</f>
        <v>-57827.4296954667</v>
      </c>
      <c r="AI17" s="68" t="n">
        <f aca="false">AI14+AI15+AI16</f>
        <v>-57827.4296954667</v>
      </c>
      <c r="AJ17" s="68" t="n">
        <f aca="false">AJ14+AJ15+AJ16</f>
        <v>-57827.4296954667</v>
      </c>
      <c r="AK17" s="68" t="n">
        <f aca="false">AK14+AK15+AK16</f>
        <v>-57827.4296954667</v>
      </c>
      <c r="AL17" s="68" t="n">
        <f aca="false">AL14+AL15+AL16</f>
        <v>-57827.4296954667</v>
      </c>
      <c r="AM17" s="68" t="n">
        <f aca="false">AM14+AM15+AM16</f>
        <v>-62566.8955199105</v>
      </c>
      <c r="AN17" s="68" t="n">
        <f aca="false">AN14+AN15+AN16</f>
        <v>-62566.8955199105</v>
      </c>
      <c r="AO17" s="68" t="n">
        <f aca="false">AO14+AO15+AO16</f>
        <v>-62566.8955199105</v>
      </c>
      <c r="AP17" s="68" t="n">
        <f aca="false">AP14+AP15+AP16</f>
        <v>-62566.8955199105</v>
      </c>
      <c r="AQ17" s="68" t="n">
        <f aca="false">AQ14+AQ15+AQ16</f>
        <v>-62566.8955199105</v>
      </c>
      <c r="AR17" s="68" t="n">
        <f aca="false">AR14+AR15+AR16</f>
        <v>-62566.8955199105</v>
      </c>
      <c r="AS17" s="68" t="n">
        <f aca="false">AS14+AS15+AS16</f>
        <v>-62566.8955199105</v>
      </c>
      <c r="AT17" s="68" t="n">
        <f aca="false">AT14+AT15+AT16</f>
        <v>-62566.8955199105</v>
      </c>
      <c r="AU17" s="68" t="n">
        <f aca="false">AU14+AU15+AU16</f>
        <v>-62566.8955199105</v>
      </c>
      <c r="AV17" s="68" t="n">
        <f aca="false">AV14+AV15+AV16</f>
        <v>-62566.8955199105</v>
      </c>
      <c r="AW17" s="68" t="n">
        <f aca="false">AW14+AW15+AW16</f>
        <v>-62566.8955199105</v>
      </c>
      <c r="AX17" s="68" t="n">
        <f aca="false">AX14+AX15+AX16</f>
        <v>-62566.8955199105</v>
      </c>
      <c r="AY17" s="68" t="n">
        <f aca="false">AY14+AY15+AY16</f>
        <v>-67724.3715403903</v>
      </c>
      <c r="AZ17" s="68" t="n">
        <f aca="false">AZ14+AZ15+AZ16</f>
        <v>-67724.3715403903</v>
      </c>
      <c r="BA17" s="68" t="n">
        <f aca="false">BA14+BA15+BA16</f>
        <v>-67724.3715403903</v>
      </c>
      <c r="BB17" s="68" t="n">
        <f aca="false">BB14+BB15+BB16</f>
        <v>-67724.3715403903</v>
      </c>
      <c r="BC17" s="68" t="n">
        <f aca="false">BC14+BC15+BC16</f>
        <v>-67724.3715403903</v>
      </c>
      <c r="BD17" s="68" t="n">
        <f aca="false">BD14+BD15+BD16</f>
        <v>-67724.3715403903</v>
      </c>
      <c r="BE17" s="68" t="n">
        <f aca="false">BE14+BE15+BE16</f>
        <v>-67724.3715403903</v>
      </c>
      <c r="BF17" s="68" t="n">
        <f aca="false">BF14+BF15+BF16</f>
        <v>-67724.3715403903</v>
      </c>
      <c r="BG17" s="68" t="n">
        <f aca="false">BG14+BG15+BG16</f>
        <v>-67724.3715403903</v>
      </c>
      <c r="BH17" s="68" t="n">
        <f aca="false">BH14+BH15+BH16</f>
        <v>-67724.3715403903</v>
      </c>
      <c r="BI17" s="68" t="n">
        <f aca="false">BI14+BI15+BI16</f>
        <v>-67724.3715403903</v>
      </c>
      <c r="BJ17" s="68" t="n">
        <f aca="false">BJ14+BJ15+BJ16</f>
        <v>-67724.3715403903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33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446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447</v>
      </c>
    </row>
    <row r="4" customFormat="false" ht="15.75" hidden="false" customHeight="true" outlineLevel="0" collapsed="false">
      <c r="A4" s="7" t="s">
        <v>448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339</v>
      </c>
      <c r="C5" s="50" t="s">
        <v>340</v>
      </c>
      <c r="D5" s="50" t="s">
        <v>341</v>
      </c>
      <c r="E5" s="50" t="s">
        <v>342</v>
      </c>
      <c r="F5" s="50" t="s">
        <v>343</v>
      </c>
      <c r="G5" s="50" t="s">
        <v>344</v>
      </c>
      <c r="H5" s="50" t="s">
        <v>345</v>
      </c>
      <c r="I5" s="50" t="s">
        <v>346</v>
      </c>
      <c r="J5" s="50" t="s">
        <v>347</v>
      </c>
      <c r="K5" s="50" t="s">
        <v>348</v>
      </c>
      <c r="L5" s="50" t="s">
        <v>349</v>
      </c>
      <c r="M5" s="50" t="s">
        <v>350</v>
      </c>
      <c r="N5" s="50" t="s">
        <v>351</v>
      </c>
      <c r="O5" s="50" t="s">
        <v>352</v>
      </c>
      <c r="P5" s="50" t="s">
        <v>353</v>
      </c>
      <c r="Q5" s="50" t="s">
        <v>354</v>
      </c>
      <c r="R5" s="50" t="s">
        <v>355</v>
      </c>
      <c r="S5" s="50" t="s">
        <v>356</v>
      </c>
      <c r="T5" s="50" t="s">
        <v>357</v>
      </c>
      <c r="U5" s="50" t="s">
        <v>358</v>
      </c>
      <c r="V5" s="50" t="s">
        <v>359</v>
      </c>
      <c r="W5" s="50" t="s">
        <v>360</v>
      </c>
      <c r="X5" s="50" t="s">
        <v>361</v>
      </c>
      <c r="Y5" s="50" t="s">
        <v>362</v>
      </c>
      <c r="Z5" s="50" t="s">
        <v>363</v>
      </c>
      <c r="AA5" s="50" t="s">
        <v>364</v>
      </c>
      <c r="AB5" s="50" t="s">
        <v>365</v>
      </c>
      <c r="AC5" s="50" t="s">
        <v>366</v>
      </c>
      <c r="AD5" s="50" t="s">
        <v>367</v>
      </c>
      <c r="AE5" s="50" t="s">
        <v>368</v>
      </c>
      <c r="AF5" s="50" t="s">
        <v>369</v>
      </c>
      <c r="AG5" s="50" t="s">
        <v>370</v>
      </c>
      <c r="AH5" s="50" t="s">
        <v>371</v>
      </c>
      <c r="AI5" s="50" t="s">
        <v>372</v>
      </c>
      <c r="AJ5" s="50" t="s">
        <v>373</v>
      </c>
      <c r="AK5" s="50" t="s">
        <v>374</v>
      </c>
      <c r="AL5" s="50" t="s">
        <v>375</v>
      </c>
      <c r="AM5" s="50" t="s">
        <v>376</v>
      </c>
      <c r="AN5" s="50" t="s">
        <v>377</v>
      </c>
      <c r="AO5" s="50" t="s">
        <v>378</v>
      </c>
      <c r="AP5" s="50" t="s">
        <v>379</v>
      </c>
      <c r="AQ5" s="50" t="s">
        <v>380</v>
      </c>
      <c r="AR5" s="50" t="s">
        <v>381</v>
      </c>
      <c r="AS5" s="50" t="s">
        <v>382</v>
      </c>
      <c r="AT5" s="50" t="s">
        <v>383</v>
      </c>
      <c r="AU5" s="50" t="s">
        <v>384</v>
      </c>
      <c r="AV5" s="50" t="s">
        <v>385</v>
      </c>
      <c r="AW5" s="50" t="s">
        <v>386</v>
      </c>
      <c r="AX5" s="50" t="s">
        <v>387</v>
      </c>
      <c r="AY5" s="50" t="s">
        <v>388</v>
      </c>
      <c r="AZ5" s="50" t="s">
        <v>389</v>
      </c>
      <c r="BA5" s="50" t="s">
        <v>390</v>
      </c>
      <c r="BB5" s="50" t="s">
        <v>391</v>
      </c>
      <c r="BC5" s="50" t="s">
        <v>392</v>
      </c>
      <c r="BD5" s="50" t="s">
        <v>393</v>
      </c>
      <c r="BE5" s="50" t="s">
        <v>394</v>
      </c>
      <c r="BF5" s="50" t="s">
        <v>395</v>
      </c>
      <c r="BG5" s="50" t="s">
        <v>396</v>
      </c>
      <c r="BH5" s="50" t="s">
        <v>397</v>
      </c>
      <c r="BI5" s="50" t="s">
        <v>398</v>
      </c>
      <c r="BJ5" s="50" t="s">
        <v>399</v>
      </c>
    </row>
    <row r="6" customFormat="false" ht="15" hidden="false" customHeight="false" outlineLevel="0" collapsed="false">
      <c r="A6" s="72" t="s">
        <v>400</v>
      </c>
      <c r="C6" s="72" t="n">
        <v>1</v>
      </c>
      <c r="D6" s="72" t="n">
        <v>2</v>
      </c>
      <c r="E6" s="72" t="n">
        <v>3</v>
      </c>
      <c r="F6" s="72" t="n">
        <v>4</v>
      </c>
      <c r="G6" s="72" t="n">
        <v>5</v>
      </c>
      <c r="H6" s="72" t="n">
        <v>6</v>
      </c>
      <c r="I6" s="72" t="n">
        <v>7</v>
      </c>
      <c r="J6" s="72" t="n">
        <v>8</v>
      </c>
      <c r="K6" s="72" t="n">
        <v>9</v>
      </c>
      <c r="L6" s="72" t="n">
        <v>10</v>
      </c>
      <c r="M6" s="72" t="n">
        <v>11</v>
      </c>
      <c r="N6" s="72" t="n">
        <v>12</v>
      </c>
      <c r="O6" s="72" t="n">
        <v>13</v>
      </c>
      <c r="P6" s="72" t="n">
        <v>14</v>
      </c>
      <c r="Q6" s="72" t="n">
        <v>15</v>
      </c>
      <c r="R6" s="72" t="n">
        <v>16</v>
      </c>
      <c r="S6" s="72" t="n">
        <v>17</v>
      </c>
      <c r="T6" s="72" t="n">
        <v>18</v>
      </c>
      <c r="U6" s="72" t="n">
        <v>19</v>
      </c>
      <c r="V6" s="72" t="n">
        <v>20</v>
      </c>
      <c r="W6" s="72" t="n">
        <v>21</v>
      </c>
      <c r="X6" s="72" t="n">
        <v>22</v>
      </c>
      <c r="Y6" s="72" t="n">
        <v>23</v>
      </c>
      <c r="Z6" s="72" t="n">
        <v>24</v>
      </c>
      <c r="AA6" s="72" t="n">
        <v>25</v>
      </c>
      <c r="AB6" s="72" t="n">
        <v>26</v>
      </c>
      <c r="AC6" s="72" t="n">
        <v>27</v>
      </c>
      <c r="AD6" s="72" t="n">
        <v>28</v>
      </c>
      <c r="AE6" s="72" t="n">
        <v>29</v>
      </c>
      <c r="AF6" s="72" t="n">
        <v>30</v>
      </c>
      <c r="AG6" s="72" t="n">
        <v>31</v>
      </c>
      <c r="AH6" s="72" t="n">
        <v>32</v>
      </c>
      <c r="AI6" s="72" t="n">
        <v>33</v>
      </c>
      <c r="AJ6" s="72" t="n">
        <v>34</v>
      </c>
      <c r="AK6" s="72" t="n">
        <v>35</v>
      </c>
      <c r="AL6" s="72" t="n">
        <v>36</v>
      </c>
      <c r="AM6" s="72" t="n">
        <v>37</v>
      </c>
      <c r="AN6" s="72" t="n">
        <v>38</v>
      </c>
      <c r="AO6" s="72" t="n">
        <v>39</v>
      </c>
      <c r="AP6" s="72" t="n">
        <v>40</v>
      </c>
      <c r="AQ6" s="72" t="n">
        <v>41</v>
      </c>
      <c r="AR6" s="72" t="n">
        <v>42</v>
      </c>
      <c r="AS6" s="72" t="n">
        <v>43</v>
      </c>
      <c r="AT6" s="72" t="n">
        <v>44</v>
      </c>
      <c r="AU6" s="72" t="n">
        <v>45</v>
      </c>
      <c r="AV6" s="72" t="n">
        <v>46</v>
      </c>
      <c r="AW6" s="72" t="n">
        <v>47</v>
      </c>
      <c r="AX6" s="72" t="n">
        <v>48</v>
      </c>
      <c r="AY6" s="72" t="n">
        <v>49</v>
      </c>
      <c r="AZ6" s="72" t="n">
        <v>50</v>
      </c>
      <c r="BA6" s="72" t="n">
        <v>51</v>
      </c>
      <c r="BB6" s="72" t="n">
        <v>52</v>
      </c>
      <c r="BC6" s="72" t="n">
        <v>53</v>
      </c>
      <c r="BD6" s="72" t="n">
        <v>54</v>
      </c>
      <c r="BE6" s="72" t="n">
        <v>55</v>
      </c>
      <c r="BF6" s="72" t="n">
        <v>56</v>
      </c>
      <c r="BG6" s="72" t="n">
        <v>57</v>
      </c>
      <c r="BH6" s="72" t="n">
        <v>58</v>
      </c>
      <c r="BI6" s="72" t="n">
        <v>59</v>
      </c>
      <c r="BJ6" s="72" t="n">
        <v>60</v>
      </c>
    </row>
    <row r="7" customFormat="false" ht="15" hidden="false" customHeight="false" outlineLevel="0" collapsed="false">
      <c r="A7" s="72" t="s">
        <v>155</v>
      </c>
      <c r="C7" s="72" t="n">
        <f aca="false">ROUNDUP(C6*1/12,0)</f>
        <v>1</v>
      </c>
      <c r="D7" s="72" t="n">
        <f aca="false">ROUNDUP(D6*1/12,0)</f>
        <v>1</v>
      </c>
      <c r="E7" s="72" t="n">
        <f aca="false">ROUNDUP(E6*1/12,0)</f>
        <v>1</v>
      </c>
      <c r="F7" s="72" t="n">
        <f aca="false">ROUNDUP(F6*1/12,0)</f>
        <v>1</v>
      </c>
      <c r="G7" s="72" t="n">
        <f aca="false">ROUNDUP(G6*1/12,0)</f>
        <v>1</v>
      </c>
      <c r="H7" s="72" t="n">
        <f aca="false">ROUNDUP(H6*1/12,0)</f>
        <v>1</v>
      </c>
      <c r="I7" s="72" t="n">
        <f aca="false">ROUNDUP(I6*1/12,0)</f>
        <v>1</v>
      </c>
      <c r="J7" s="72" t="n">
        <f aca="false">ROUNDUP(J6*1/12,0)</f>
        <v>1</v>
      </c>
      <c r="K7" s="72" t="n">
        <f aca="false">ROUNDUP(K6*1/12,0)</f>
        <v>1</v>
      </c>
      <c r="L7" s="72" t="n">
        <f aca="false">ROUNDUP(L6*1/12,0)</f>
        <v>1</v>
      </c>
      <c r="M7" s="72" t="n">
        <f aca="false">ROUNDUP(M6*1/12,0)</f>
        <v>1</v>
      </c>
      <c r="N7" s="72" t="n">
        <f aca="false">ROUNDUP(N6*1/12,0)</f>
        <v>1</v>
      </c>
      <c r="O7" s="72" t="n">
        <f aca="false">ROUNDUP(O6*1/12,0)</f>
        <v>2</v>
      </c>
      <c r="P7" s="72" t="n">
        <f aca="false">ROUNDUP(P6*1/12,0)</f>
        <v>2</v>
      </c>
      <c r="Q7" s="72" t="n">
        <f aca="false">ROUNDUP(Q6*1/12,0)</f>
        <v>2</v>
      </c>
      <c r="R7" s="72" t="n">
        <f aca="false">ROUNDUP(R6*1/12,0)</f>
        <v>2</v>
      </c>
      <c r="S7" s="72" t="n">
        <f aca="false">ROUNDUP(S6*1/12,0)</f>
        <v>2</v>
      </c>
      <c r="T7" s="72" t="n">
        <f aca="false">ROUNDUP(T6*1/12,0)</f>
        <v>2</v>
      </c>
      <c r="U7" s="72" t="n">
        <f aca="false">ROUNDUP(U6*1/12,0)</f>
        <v>2</v>
      </c>
      <c r="V7" s="72" t="n">
        <f aca="false">ROUNDUP(V6*1/12,0)</f>
        <v>2</v>
      </c>
      <c r="W7" s="72" t="n">
        <f aca="false">ROUNDUP(W6*1/12,0)</f>
        <v>2</v>
      </c>
      <c r="X7" s="72" t="n">
        <f aca="false">ROUNDUP(X6*1/12,0)</f>
        <v>2</v>
      </c>
      <c r="Y7" s="72" t="n">
        <f aca="false">ROUNDUP(Y6*1/12,0)</f>
        <v>2</v>
      </c>
      <c r="Z7" s="72" t="n">
        <f aca="false">ROUNDUP(Z6*1/12,0)</f>
        <v>2</v>
      </c>
      <c r="AA7" s="72" t="n">
        <f aca="false">ROUNDUP(AA6*1/12,0)</f>
        <v>3</v>
      </c>
      <c r="AB7" s="72" t="n">
        <f aca="false">ROUNDUP(AB6*1/12,0)</f>
        <v>3</v>
      </c>
      <c r="AC7" s="72" t="n">
        <f aca="false">ROUNDUP(AC6*1/12,0)</f>
        <v>3</v>
      </c>
      <c r="AD7" s="72" t="n">
        <f aca="false">ROUNDUP(AD6*1/12,0)</f>
        <v>3</v>
      </c>
      <c r="AE7" s="72" t="n">
        <f aca="false">ROUNDUP(AE6*1/12,0)</f>
        <v>3</v>
      </c>
      <c r="AF7" s="72" t="n">
        <f aca="false">ROUNDUP(AF6*1/12,0)</f>
        <v>3</v>
      </c>
      <c r="AG7" s="72" t="n">
        <f aca="false">ROUNDUP(AG6*1/12,0)</f>
        <v>3</v>
      </c>
      <c r="AH7" s="72" t="n">
        <f aca="false">ROUNDUP(AH6*1/12,0)</f>
        <v>3</v>
      </c>
      <c r="AI7" s="72" t="n">
        <f aca="false">ROUNDUP(AI6*1/12,0)</f>
        <v>3</v>
      </c>
      <c r="AJ7" s="72" t="n">
        <f aca="false">ROUNDUP(AJ6*1/12,0)</f>
        <v>3</v>
      </c>
      <c r="AK7" s="72" t="n">
        <f aca="false">ROUNDUP(AK6*1/12,0)</f>
        <v>3</v>
      </c>
      <c r="AL7" s="72" t="n">
        <f aca="false">ROUNDUP(AL6*1/12,0)</f>
        <v>3</v>
      </c>
      <c r="AM7" s="72" t="n">
        <f aca="false">ROUNDUP(AM6*1/12,0)</f>
        <v>4</v>
      </c>
      <c r="AN7" s="72" t="n">
        <f aca="false">ROUNDUP(AN6*1/12,0)</f>
        <v>4</v>
      </c>
      <c r="AO7" s="72" t="n">
        <f aca="false">ROUNDUP(AO6*1/12,0)</f>
        <v>4</v>
      </c>
      <c r="AP7" s="72" t="n">
        <f aca="false">ROUNDUP(AP6*1/12,0)</f>
        <v>4</v>
      </c>
      <c r="AQ7" s="72" t="n">
        <f aca="false">ROUNDUP(AQ6*1/12,0)</f>
        <v>4</v>
      </c>
      <c r="AR7" s="72" t="n">
        <f aca="false">ROUNDUP(AR6*1/12,0)</f>
        <v>4</v>
      </c>
      <c r="AS7" s="72" t="n">
        <f aca="false">ROUNDUP(AS6*1/12,0)</f>
        <v>4</v>
      </c>
      <c r="AT7" s="72" t="n">
        <f aca="false">ROUNDUP(AT6*1/12,0)</f>
        <v>4</v>
      </c>
      <c r="AU7" s="72" t="n">
        <f aca="false">ROUNDUP(AU6*1/12,0)</f>
        <v>4</v>
      </c>
      <c r="AV7" s="72" t="n">
        <f aca="false">ROUNDUP(AV6*1/12,0)</f>
        <v>4</v>
      </c>
      <c r="AW7" s="72" t="n">
        <f aca="false">ROUNDUP(AW6*1/12,0)</f>
        <v>4</v>
      </c>
      <c r="AX7" s="72" t="n">
        <f aca="false">ROUNDUP(AX6*1/12,0)</f>
        <v>4</v>
      </c>
      <c r="AY7" s="72" t="n">
        <f aca="false">ROUNDUP(AY6*1/12,0)</f>
        <v>5</v>
      </c>
      <c r="AZ7" s="72" t="n">
        <f aca="false">ROUNDUP(AZ6*1/12,0)</f>
        <v>5</v>
      </c>
      <c r="BA7" s="72" t="n">
        <f aca="false">ROUNDUP(BA6*1/12,0)</f>
        <v>5</v>
      </c>
      <c r="BB7" s="72" t="n">
        <f aca="false">ROUNDUP(BB6*1/12,0)</f>
        <v>5</v>
      </c>
      <c r="BC7" s="72" t="n">
        <f aca="false">ROUNDUP(BC6*1/12,0)</f>
        <v>5</v>
      </c>
      <c r="BD7" s="72" t="n">
        <f aca="false">ROUNDUP(BD6*1/12,0)</f>
        <v>5</v>
      </c>
      <c r="BE7" s="72" t="n">
        <f aca="false">ROUNDUP(BE6*1/12,0)</f>
        <v>5</v>
      </c>
      <c r="BF7" s="72" t="n">
        <f aca="false">ROUNDUP(BF6*1/12,0)</f>
        <v>5</v>
      </c>
      <c r="BG7" s="72" t="n">
        <f aca="false">ROUNDUP(BG6*1/12,0)</f>
        <v>5</v>
      </c>
      <c r="BH7" s="72" t="n">
        <f aca="false">ROUNDUP(BH6*1/12,0)</f>
        <v>5</v>
      </c>
      <c r="BI7" s="72" t="n">
        <f aca="false">ROUNDUP(BI6*1/12,0)</f>
        <v>5</v>
      </c>
      <c r="BJ7" s="72" t="n">
        <f aca="false">ROUNDUP(BJ6*1/12,0)</f>
        <v>5</v>
      </c>
    </row>
    <row r="9" customFormat="false" ht="15.75" hidden="false" customHeight="true" outlineLevel="0" collapsed="false">
      <c r="A9" s="7" t="s">
        <v>249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38" t="s">
        <v>401</v>
      </c>
      <c r="C10" s="74" t="n">
        <f aca="false">MIN(1,Inputs!$B$9+(1-Inputs!$B$9)*(C$6-1)/MAX(1,Inputs!$B$8))</f>
        <v>0.85</v>
      </c>
      <c r="D10" s="74" t="n">
        <f aca="false">MIN(1,Inputs!$B$9+(1-Inputs!$B$9)*(D$6-1)/MAX(1,Inputs!$B$8))</f>
        <v>0.9</v>
      </c>
      <c r="E10" s="74" t="n">
        <f aca="false">MIN(1,Inputs!$B$9+(1-Inputs!$B$9)*(E$6-1)/MAX(1,Inputs!$B$8))</f>
        <v>0.95</v>
      </c>
      <c r="F10" s="74" t="n">
        <f aca="false">MIN(1,Inputs!$B$9+(1-Inputs!$B$9)*(F$6-1)/MAX(1,Inputs!$B$8))</f>
        <v>1</v>
      </c>
      <c r="G10" s="74" t="n">
        <f aca="false">MIN(1,Inputs!$B$9+(1-Inputs!$B$9)*(G$6-1)/MAX(1,Inputs!$B$8))</f>
        <v>1</v>
      </c>
      <c r="H10" s="74" t="n">
        <f aca="false">MIN(1,Inputs!$B$9+(1-Inputs!$B$9)*(H$6-1)/MAX(1,Inputs!$B$8))</f>
        <v>1</v>
      </c>
      <c r="I10" s="74" t="n">
        <f aca="false">MIN(1,Inputs!$B$9+(1-Inputs!$B$9)*(I$6-1)/MAX(1,Inputs!$B$8))</f>
        <v>1</v>
      </c>
      <c r="J10" s="74" t="n">
        <f aca="false">MIN(1,Inputs!$B$9+(1-Inputs!$B$9)*(J$6-1)/MAX(1,Inputs!$B$8))</f>
        <v>1</v>
      </c>
      <c r="K10" s="74" t="n">
        <f aca="false">MIN(1,Inputs!$B$9+(1-Inputs!$B$9)*(K$6-1)/MAX(1,Inputs!$B$8))</f>
        <v>1</v>
      </c>
      <c r="L10" s="74" t="n">
        <f aca="false">MIN(1,Inputs!$B$9+(1-Inputs!$B$9)*(L$6-1)/MAX(1,Inputs!$B$8))</f>
        <v>1</v>
      </c>
      <c r="M10" s="74" t="n">
        <f aca="false">MIN(1,Inputs!$B$9+(1-Inputs!$B$9)*(M$6-1)/MAX(1,Inputs!$B$8))</f>
        <v>1</v>
      </c>
      <c r="N10" s="74" t="n">
        <f aca="false">MIN(1,Inputs!$B$9+(1-Inputs!$B$9)*(N$6-1)/MAX(1,Inputs!$B$8))</f>
        <v>1</v>
      </c>
      <c r="O10" s="74" t="n">
        <f aca="false">MIN(1,Inputs!$B$9+(1-Inputs!$B$9)*(O$6-1)/MAX(1,Inputs!$B$8))</f>
        <v>1</v>
      </c>
      <c r="P10" s="74" t="n">
        <f aca="false">MIN(1,Inputs!$B$9+(1-Inputs!$B$9)*(P$6-1)/MAX(1,Inputs!$B$8))</f>
        <v>1</v>
      </c>
      <c r="Q10" s="74" t="n">
        <f aca="false">MIN(1,Inputs!$B$9+(1-Inputs!$B$9)*(Q$6-1)/MAX(1,Inputs!$B$8))</f>
        <v>1</v>
      </c>
      <c r="R10" s="74" t="n">
        <f aca="false">MIN(1,Inputs!$B$9+(1-Inputs!$B$9)*(R$6-1)/MAX(1,Inputs!$B$8))</f>
        <v>1</v>
      </c>
      <c r="S10" s="74" t="n">
        <f aca="false">MIN(1,Inputs!$B$9+(1-Inputs!$B$9)*(S$6-1)/MAX(1,Inputs!$B$8))</f>
        <v>1</v>
      </c>
      <c r="T10" s="74" t="n">
        <f aca="false">MIN(1,Inputs!$B$9+(1-Inputs!$B$9)*(T$6-1)/MAX(1,Inputs!$B$8))</f>
        <v>1</v>
      </c>
      <c r="U10" s="74" t="n">
        <f aca="false">MIN(1,Inputs!$B$9+(1-Inputs!$B$9)*(U$6-1)/MAX(1,Inputs!$B$8))</f>
        <v>1</v>
      </c>
      <c r="V10" s="74" t="n">
        <f aca="false">MIN(1,Inputs!$B$9+(1-Inputs!$B$9)*(V$6-1)/MAX(1,Inputs!$B$8))</f>
        <v>1</v>
      </c>
      <c r="W10" s="74" t="n">
        <f aca="false">MIN(1,Inputs!$B$9+(1-Inputs!$B$9)*(W$6-1)/MAX(1,Inputs!$B$8))</f>
        <v>1</v>
      </c>
      <c r="X10" s="74" t="n">
        <f aca="false">MIN(1,Inputs!$B$9+(1-Inputs!$B$9)*(X$6-1)/MAX(1,Inputs!$B$8))</f>
        <v>1</v>
      </c>
      <c r="Y10" s="74" t="n">
        <f aca="false">MIN(1,Inputs!$B$9+(1-Inputs!$B$9)*(Y$6-1)/MAX(1,Inputs!$B$8))</f>
        <v>1</v>
      </c>
      <c r="Z10" s="74" t="n">
        <f aca="false">MIN(1,Inputs!$B$9+(1-Inputs!$B$9)*(Z$6-1)/MAX(1,Inputs!$B$8))</f>
        <v>1</v>
      </c>
      <c r="AA10" s="74" t="n">
        <f aca="false">MIN(1,Inputs!$B$9+(1-Inputs!$B$9)*(AA$6-1)/MAX(1,Inputs!$B$8))</f>
        <v>1</v>
      </c>
      <c r="AB10" s="74" t="n">
        <f aca="false">MIN(1,Inputs!$B$9+(1-Inputs!$B$9)*(AB$6-1)/MAX(1,Inputs!$B$8))</f>
        <v>1</v>
      </c>
      <c r="AC10" s="74" t="n">
        <f aca="false">MIN(1,Inputs!$B$9+(1-Inputs!$B$9)*(AC$6-1)/MAX(1,Inputs!$B$8))</f>
        <v>1</v>
      </c>
      <c r="AD10" s="74" t="n">
        <f aca="false">MIN(1,Inputs!$B$9+(1-Inputs!$B$9)*(AD$6-1)/MAX(1,Inputs!$B$8))</f>
        <v>1</v>
      </c>
      <c r="AE10" s="74" t="n">
        <f aca="false">MIN(1,Inputs!$B$9+(1-Inputs!$B$9)*(AE$6-1)/MAX(1,Inputs!$B$8))</f>
        <v>1</v>
      </c>
      <c r="AF10" s="74" t="n">
        <f aca="false">MIN(1,Inputs!$B$9+(1-Inputs!$B$9)*(AF$6-1)/MAX(1,Inputs!$B$8))</f>
        <v>1</v>
      </c>
      <c r="AG10" s="74" t="n">
        <f aca="false">MIN(1,Inputs!$B$9+(1-Inputs!$B$9)*(AG$6-1)/MAX(1,Inputs!$B$8))</f>
        <v>1</v>
      </c>
      <c r="AH10" s="74" t="n">
        <f aca="false">MIN(1,Inputs!$B$9+(1-Inputs!$B$9)*(AH$6-1)/MAX(1,Inputs!$B$8))</f>
        <v>1</v>
      </c>
      <c r="AI10" s="74" t="n">
        <f aca="false">MIN(1,Inputs!$B$9+(1-Inputs!$B$9)*(AI$6-1)/MAX(1,Inputs!$B$8))</f>
        <v>1</v>
      </c>
      <c r="AJ10" s="74" t="n">
        <f aca="false">MIN(1,Inputs!$B$9+(1-Inputs!$B$9)*(AJ$6-1)/MAX(1,Inputs!$B$8))</f>
        <v>1</v>
      </c>
      <c r="AK10" s="74" t="n">
        <f aca="false">MIN(1,Inputs!$B$9+(1-Inputs!$B$9)*(AK$6-1)/MAX(1,Inputs!$B$8))</f>
        <v>1</v>
      </c>
      <c r="AL10" s="74" t="n">
        <f aca="false">MIN(1,Inputs!$B$9+(1-Inputs!$B$9)*(AL$6-1)/MAX(1,Inputs!$B$8))</f>
        <v>1</v>
      </c>
      <c r="AM10" s="74" t="n">
        <f aca="false">MIN(1,Inputs!$B$9+(1-Inputs!$B$9)*(AM$6-1)/MAX(1,Inputs!$B$8))</f>
        <v>1</v>
      </c>
      <c r="AN10" s="74" t="n">
        <f aca="false">MIN(1,Inputs!$B$9+(1-Inputs!$B$9)*(AN$6-1)/MAX(1,Inputs!$B$8))</f>
        <v>1</v>
      </c>
      <c r="AO10" s="74" t="n">
        <f aca="false">MIN(1,Inputs!$B$9+(1-Inputs!$B$9)*(AO$6-1)/MAX(1,Inputs!$B$8))</f>
        <v>1</v>
      </c>
      <c r="AP10" s="74" t="n">
        <f aca="false">MIN(1,Inputs!$B$9+(1-Inputs!$B$9)*(AP$6-1)/MAX(1,Inputs!$B$8))</f>
        <v>1</v>
      </c>
      <c r="AQ10" s="74" t="n">
        <f aca="false">MIN(1,Inputs!$B$9+(1-Inputs!$B$9)*(AQ$6-1)/MAX(1,Inputs!$B$8))</f>
        <v>1</v>
      </c>
      <c r="AR10" s="74" t="n">
        <f aca="false">MIN(1,Inputs!$B$9+(1-Inputs!$B$9)*(AR$6-1)/MAX(1,Inputs!$B$8))</f>
        <v>1</v>
      </c>
      <c r="AS10" s="74" t="n">
        <f aca="false">MIN(1,Inputs!$B$9+(1-Inputs!$B$9)*(AS$6-1)/MAX(1,Inputs!$B$8))</f>
        <v>1</v>
      </c>
      <c r="AT10" s="74" t="n">
        <f aca="false">MIN(1,Inputs!$B$9+(1-Inputs!$B$9)*(AT$6-1)/MAX(1,Inputs!$B$8))</f>
        <v>1</v>
      </c>
      <c r="AU10" s="74" t="n">
        <f aca="false">MIN(1,Inputs!$B$9+(1-Inputs!$B$9)*(AU$6-1)/MAX(1,Inputs!$B$8))</f>
        <v>1</v>
      </c>
      <c r="AV10" s="74" t="n">
        <f aca="false">MIN(1,Inputs!$B$9+(1-Inputs!$B$9)*(AV$6-1)/MAX(1,Inputs!$B$8))</f>
        <v>1</v>
      </c>
      <c r="AW10" s="74" t="n">
        <f aca="false">MIN(1,Inputs!$B$9+(1-Inputs!$B$9)*(AW$6-1)/MAX(1,Inputs!$B$8))</f>
        <v>1</v>
      </c>
      <c r="AX10" s="74" t="n">
        <f aca="false">MIN(1,Inputs!$B$9+(1-Inputs!$B$9)*(AX$6-1)/MAX(1,Inputs!$B$8))</f>
        <v>1</v>
      </c>
      <c r="AY10" s="74" t="n">
        <f aca="false">MIN(1,Inputs!$B$9+(1-Inputs!$B$9)*(AY$6-1)/MAX(1,Inputs!$B$8))</f>
        <v>1</v>
      </c>
      <c r="AZ10" s="74" t="n">
        <f aca="false">MIN(1,Inputs!$B$9+(1-Inputs!$B$9)*(AZ$6-1)/MAX(1,Inputs!$B$8))</f>
        <v>1</v>
      </c>
      <c r="BA10" s="74" t="n">
        <f aca="false">MIN(1,Inputs!$B$9+(1-Inputs!$B$9)*(BA$6-1)/MAX(1,Inputs!$B$8))</f>
        <v>1</v>
      </c>
      <c r="BB10" s="74" t="n">
        <f aca="false">MIN(1,Inputs!$B$9+(1-Inputs!$B$9)*(BB$6-1)/MAX(1,Inputs!$B$8))</f>
        <v>1</v>
      </c>
      <c r="BC10" s="74" t="n">
        <f aca="false">MIN(1,Inputs!$B$9+(1-Inputs!$B$9)*(BC$6-1)/MAX(1,Inputs!$B$8))</f>
        <v>1</v>
      </c>
      <c r="BD10" s="74" t="n">
        <f aca="false">MIN(1,Inputs!$B$9+(1-Inputs!$B$9)*(BD$6-1)/MAX(1,Inputs!$B$8))</f>
        <v>1</v>
      </c>
      <c r="BE10" s="74" t="n">
        <f aca="false">MIN(1,Inputs!$B$9+(1-Inputs!$B$9)*(BE$6-1)/MAX(1,Inputs!$B$8))</f>
        <v>1</v>
      </c>
      <c r="BF10" s="74" t="n">
        <f aca="false">MIN(1,Inputs!$B$9+(1-Inputs!$B$9)*(BF$6-1)/MAX(1,Inputs!$B$8))</f>
        <v>1</v>
      </c>
      <c r="BG10" s="74" t="n">
        <f aca="false">MIN(1,Inputs!$B$9+(1-Inputs!$B$9)*(BG$6-1)/MAX(1,Inputs!$B$8))</f>
        <v>1</v>
      </c>
      <c r="BH10" s="74" t="n">
        <f aca="false">MIN(1,Inputs!$B$9+(1-Inputs!$B$9)*(BH$6-1)/MAX(1,Inputs!$B$8))</f>
        <v>1</v>
      </c>
      <c r="BI10" s="74" t="n">
        <f aca="false">MIN(1,Inputs!$B$9+(1-Inputs!$B$9)*(BI$6-1)/MAX(1,Inputs!$B$8))</f>
        <v>1</v>
      </c>
      <c r="BJ10" s="74" t="n">
        <f aca="false">MIN(1,Inputs!$B$9+(1-Inputs!$B$9)*(BJ$6-1)/MAX(1,Inputs!$B$8))</f>
        <v>1</v>
      </c>
    </row>
    <row r="11" customFormat="false" ht="15" hidden="false" customHeight="false" outlineLevel="0" collapsed="false">
      <c r="A11" s="6" t="s">
        <v>402</v>
      </c>
      <c r="C11" s="118" t="n">
        <f aca="false">IF(MOD(C$6-1,12)&gt;=10,1+Inputs!$B$14,1-Inputs!$B$14/5)</f>
        <v>0.96</v>
      </c>
      <c r="D11" s="118" t="n">
        <f aca="false">IF(MOD(D$6-1,12)&gt;=10,1+Inputs!$B$14,1-Inputs!$B$14/5)</f>
        <v>0.96</v>
      </c>
      <c r="E11" s="118" t="n">
        <f aca="false">IF(MOD(E$6-1,12)&gt;=10,1+Inputs!$B$14,1-Inputs!$B$14/5)</f>
        <v>0.96</v>
      </c>
      <c r="F11" s="118" t="n">
        <f aca="false">IF(MOD(F$6-1,12)&gt;=10,1+Inputs!$B$14,1-Inputs!$B$14/5)</f>
        <v>0.96</v>
      </c>
      <c r="G11" s="118" t="n">
        <f aca="false">IF(MOD(G$6-1,12)&gt;=10,1+Inputs!$B$14,1-Inputs!$B$14/5)</f>
        <v>0.96</v>
      </c>
      <c r="H11" s="118" t="n">
        <f aca="false">IF(MOD(H$6-1,12)&gt;=10,1+Inputs!$B$14,1-Inputs!$B$14/5)</f>
        <v>0.96</v>
      </c>
      <c r="I11" s="118" t="n">
        <f aca="false">IF(MOD(I$6-1,12)&gt;=10,1+Inputs!$B$14,1-Inputs!$B$14/5)</f>
        <v>0.96</v>
      </c>
      <c r="J11" s="118" t="n">
        <f aca="false">IF(MOD(J$6-1,12)&gt;=10,1+Inputs!$B$14,1-Inputs!$B$14/5)</f>
        <v>0.96</v>
      </c>
      <c r="K11" s="118" t="n">
        <f aca="false">IF(MOD(K$6-1,12)&gt;=10,1+Inputs!$B$14,1-Inputs!$B$14/5)</f>
        <v>0.96</v>
      </c>
      <c r="L11" s="118" t="n">
        <f aca="false">IF(MOD(L$6-1,12)&gt;=10,1+Inputs!$B$14,1-Inputs!$B$14/5)</f>
        <v>0.96</v>
      </c>
      <c r="M11" s="118" t="n">
        <f aca="false">IF(MOD(M$6-1,12)&gt;=10,1+Inputs!$B$14,1-Inputs!$B$14/5)</f>
        <v>1.2</v>
      </c>
      <c r="N11" s="118" t="n">
        <f aca="false">IF(MOD(N$6-1,12)&gt;=10,1+Inputs!$B$14,1-Inputs!$B$14/5)</f>
        <v>1.2</v>
      </c>
      <c r="O11" s="118" t="n">
        <f aca="false">IF(MOD(O$6-1,12)&gt;=10,1+Inputs!$B$14,1-Inputs!$B$14/5)</f>
        <v>0.96</v>
      </c>
      <c r="P11" s="118" t="n">
        <f aca="false">IF(MOD(P$6-1,12)&gt;=10,1+Inputs!$B$14,1-Inputs!$B$14/5)</f>
        <v>0.96</v>
      </c>
      <c r="Q11" s="118" t="n">
        <f aca="false">IF(MOD(Q$6-1,12)&gt;=10,1+Inputs!$B$14,1-Inputs!$B$14/5)</f>
        <v>0.96</v>
      </c>
      <c r="R11" s="118" t="n">
        <f aca="false">IF(MOD(R$6-1,12)&gt;=10,1+Inputs!$B$14,1-Inputs!$B$14/5)</f>
        <v>0.96</v>
      </c>
      <c r="S11" s="118" t="n">
        <f aca="false">IF(MOD(S$6-1,12)&gt;=10,1+Inputs!$B$14,1-Inputs!$B$14/5)</f>
        <v>0.96</v>
      </c>
      <c r="T11" s="118" t="n">
        <f aca="false">IF(MOD(T$6-1,12)&gt;=10,1+Inputs!$B$14,1-Inputs!$B$14/5)</f>
        <v>0.96</v>
      </c>
      <c r="U11" s="118" t="n">
        <f aca="false">IF(MOD(U$6-1,12)&gt;=10,1+Inputs!$B$14,1-Inputs!$B$14/5)</f>
        <v>0.96</v>
      </c>
      <c r="V11" s="118" t="n">
        <f aca="false">IF(MOD(V$6-1,12)&gt;=10,1+Inputs!$B$14,1-Inputs!$B$14/5)</f>
        <v>0.96</v>
      </c>
      <c r="W11" s="118" t="n">
        <f aca="false">IF(MOD(W$6-1,12)&gt;=10,1+Inputs!$B$14,1-Inputs!$B$14/5)</f>
        <v>0.96</v>
      </c>
      <c r="X11" s="118" t="n">
        <f aca="false">IF(MOD(X$6-1,12)&gt;=10,1+Inputs!$B$14,1-Inputs!$B$14/5)</f>
        <v>0.96</v>
      </c>
      <c r="Y11" s="118" t="n">
        <f aca="false">IF(MOD(Y$6-1,12)&gt;=10,1+Inputs!$B$14,1-Inputs!$B$14/5)</f>
        <v>1.2</v>
      </c>
      <c r="Z11" s="118" t="n">
        <f aca="false">IF(MOD(Z$6-1,12)&gt;=10,1+Inputs!$B$14,1-Inputs!$B$14/5)</f>
        <v>1.2</v>
      </c>
      <c r="AA11" s="118" t="n">
        <f aca="false">IF(MOD(AA$6-1,12)&gt;=10,1+Inputs!$B$14,1-Inputs!$B$14/5)</f>
        <v>0.96</v>
      </c>
      <c r="AB11" s="118" t="n">
        <f aca="false">IF(MOD(AB$6-1,12)&gt;=10,1+Inputs!$B$14,1-Inputs!$B$14/5)</f>
        <v>0.96</v>
      </c>
      <c r="AC11" s="118" t="n">
        <f aca="false">IF(MOD(AC$6-1,12)&gt;=10,1+Inputs!$B$14,1-Inputs!$B$14/5)</f>
        <v>0.96</v>
      </c>
      <c r="AD11" s="118" t="n">
        <f aca="false">IF(MOD(AD$6-1,12)&gt;=10,1+Inputs!$B$14,1-Inputs!$B$14/5)</f>
        <v>0.96</v>
      </c>
      <c r="AE11" s="118" t="n">
        <f aca="false">IF(MOD(AE$6-1,12)&gt;=10,1+Inputs!$B$14,1-Inputs!$B$14/5)</f>
        <v>0.96</v>
      </c>
      <c r="AF11" s="118" t="n">
        <f aca="false">IF(MOD(AF$6-1,12)&gt;=10,1+Inputs!$B$14,1-Inputs!$B$14/5)</f>
        <v>0.96</v>
      </c>
      <c r="AG11" s="118" t="n">
        <f aca="false">IF(MOD(AG$6-1,12)&gt;=10,1+Inputs!$B$14,1-Inputs!$B$14/5)</f>
        <v>0.96</v>
      </c>
      <c r="AH11" s="118" t="n">
        <f aca="false">IF(MOD(AH$6-1,12)&gt;=10,1+Inputs!$B$14,1-Inputs!$B$14/5)</f>
        <v>0.96</v>
      </c>
      <c r="AI11" s="118" t="n">
        <f aca="false">IF(MOD(AI$6-1,12)&gt;=10,1+Inputs!$B$14,1-Inputs!$B$14/5)</f>
        <v>0.96</v>
      </c>
      <c r="AJ11" s="118" t="n">
        <f aca="false">IF(MOD(AJ$6-1,12)&gt;=10,1+Inputs!$B$14,1-Inputs!$B$14/5)</f>
        <v>0.96</v>
      </c>
      <c r="AK11" s="118" t="n">
        <f aca="false">IF(MOD(AK$6-1,12)&gt;=10,1+Inputs!$B$14,1-Inputs!$B$14/5)</f>
        <v>1.2</v>
      </c>
      <c r="AL11" s="118" t="n">
        <f aca="false">IF(MOD(AL$6-1,12)&gt;=10,1+Inputs!$B$14,1-Inputs!$B$14/5)</f>
        <v>1.2</v>
      </c>
      <c r="AM11" s="118" t="n">
        <f aca="false">IF(MOD(AM$6-1,12)&gt;=10,1+Inputs!$B$14,1-Inputs!$B$14/5)</f>
        <v>0.96</v>
      </c>
      <c r="AN11" s="118" t="n">
        <f aca="false">IF(MOD(AN$6-1,12)&gt;=10,1+Inputs!$B$14,1-Inputs!$B$14/5)</f>
        <v>0.96</v>
      </c>
      <c r="AO11" s="118" t="n">
        <f aca="false">IF(MOD(AO$6-1,12)&gt;=10,1+Inputs!$B$14,1-Inputs!$B$14/5)</f>
        <v>0.96</v>
      </c>
      <c r="AP11" s="118" t="n">
        <f aca="false">IF(MOD(AP$6-1,12)&gt;=10,1+Inputs!$B$14,1-Inputs!$B$14/5)</f>
        <v>0.96</v>
      </c>
      <c r="AQ11" s="118" t="n">
        <f aca="false">IF(MOD(AQ$6-1,12)&gt;=10,1+Inputs!$B$14,1-Inputs!$B$14/5)</f>
        <v>0.96</v>
      </c>
      <c r="AR11" s="118" t="n">
        <f aca="false">IF(MOD(AR$6-1,12)&gt;=10,1+Inputs!$B$14,1-Inputs!$B$14/5)</f>
        <v>0.96</v>
      </c>
      <c r="AS11" s="118" t="n">
        <f aca="false">IF(MOD(AS$6-1,12)&gt;=10,1+Inputs!$B$14,1-Inputs!$B$14/5)</f>
        <v>0.96</v>
      </c>
      <c r="AT11" s="118" t="n">
        <f aca="false">IF(MOD(AT$6-1,12)&gt;=10,1+Inputs!$B$14,1-Inputs!$B$14/5)</f>
        <v>0.96</v>
      </c>
      <c r="AU11" s="118" t="n">
        <f aca="false">IF(MOD(AU$6-1,12)&gt;=10,1+Inputs!$B$14,1-Inputs!$B$14/5)</f>
        <v>0.96</v>
      </c>
      <c r="AV11" s="118" t="n">
        <f aca="false">IF(MOD(AV$6-1,12)&gt;=10,1+Inputs!$B$14,1-Inputs!$B$14/5)</f>
        <v>0.96</v>
      </c>
      <c r="AW11" s="118" t="n">
        <f aca="false">IF(MOD(AW$6-1,12)&gt;=10,1+Inputs!$B$14,1-Inputs!$B$14/5)</f>
        <v>1.2</v>
      </c>
      <c r="AX11" s="118" t="n">
        <f aca="false">IF(MOD(AX$6-1,12)&gt;=10,1+Inputs!$B$14,1-Inputs!$B$14/5)</f>
        <v>1.2</v>
      </c>
      <c r="AY11" s="118" t="n">
        <f aca="false">IF(MOD(AY$6-1,12)&gt;=10,1+Inputs!$B$14,1-Inputs!$B$14/5)</f>
        <v>0.96</v>
      </c>
      <c r="AZ11" s="118" t="n">
        <f aca="false">IF(MOD(AZ$6-1,12)&gt;=10,1+Inputs!$B$14,1-Inputs!$B$14/5)</f>
        <v>0.96</v>
      </c>
      <c r="BA11" s="118" t="n">
        <f aca="false">IF(MOD(BA$6-1,12)&gt;=10,1+Inputs!$B$14,1-Inputs!$B$14/5)</f>
        <v>0.96</v>
      </c>
      <c r="BB11" s="118" t="n">
        <f aca="false">IF(MOD(BB$6-1,12)&gt;=10,1+Inputs!$B$14,1-Inputs!$B$14/5)</f>
        <v>0.96</v>
      </c>
      <c r="BC11" s="118" t="n">
        <f aca="false">IF(MOD(BC$6-1,12)&gt;=10,1+Inputs!$B$14,1-Inputs!$B$14/5)</f>
        <v>0.96</v>
      </c>
      <c r="BD11" s="118" t="n">
        <f aca="false">IF(MOD(BD$6-1,12)&gt;=10,1+Inputs!$B$14,1-Inputs!$B$14/5)</f>
        <v>0.96</v>
      </c>
      <c r="BE11" s="118" t="n">
        <f aca="false">IF(MOD(BE$6-1,12)&gt;=10,1+Inputs!$B$14,1-Inputs!$B$14/5)</f>
        <v>0.96</v>
      </c>
      <c r="BF11" s="118" t="n">
        <f aca="false">IF(MOD(BF$6-1,12)&gt;=10,1+Inputs!$B$14,1-Inputs!$B$14/5)</f>
        <v>0.96</v>
      </c>
      <c r="BG11" s="118" t="n">
        <f aca="false">IF(MOD(BG$6-1,12)&gt;=10,1+Inputs!$B$14,1-Inputs!$B$14/5)</f>
        <v>0.96</v>
      </c>
      <c r="BH11" s="118" t="n">
        <f aca="false">IF(MOD(BH$6-1,12)&gt;=10,1+Inputs!$B$14,1-Inputs!$B$14/5)</f>
        <v>0.96</v>
      </c>
      <c r="BI11" s="118" t="n">
        <f aca="false">IF(MOD(BI$6-1,12)&gt;=10,1+Inputs!$B$14,1-Inputs!$B$14/5)</f>
        <v>1.2</v>
      </c>
      <c r="BJ11" s="118" t="n">
        <f aca="false">IF(MOD(BJ$6-1,12)&gt;=10,1+Inputs!$B$14,1-Inputs!$B$14/5)</f>
        <v>1.2</v>
      </c>
    </row>
    <row r="12" customFormat="false" ht="15" hidden="false" customHeight="false" outlineLevel="0" collapsed="false">
      <c r="A12" s="6" t="s">
        <v>403</v>
      </c>
      <c r="C12" s="118" t="n">
        <f aca="false">Inputs!$B$7*(1+Inputs!$B$10)^(C$7-1)*MAX(0,C10+C11-1)</f>
        <v>243</v>
      </c>
      <c r="D12" s="118" t="n">
        <f aca="false">Inputs!$B$7*(1+Inputs!$B$10)^(D$7-1)*MAX(0,D10+D11-1)</f>
        <v>258</v>
      </c>
      <c r="E12" s="118" t="n">
        <f aca="false">Inputs!$B$7*(1+Inputs!$B$10)^(E$7-1)*MAX(0,E10+E11-1)</f>
        <v>273</v>
      </c>
      <c r="F12" s="118" t="n">
        <f aca="false">Inputs!$B$7*(1+Inputs!$B$10)^(F$7-1)*MAX(0,F10+F11-1)</f>
        <v>288</v>
      </c>
      <c r="G12" s="118" t="n">
        <f aca="false">Inputs!$B$7*(1+Inputs!$B$10)^(G$7-1)*MAX(0,G10+G11-1)</f>
        <v>288</v>
      </c>
      <c r="H12" s="118" t="n">
        <f aca="false">Inputs!$B$7*(1+Inputs!$B$10)^(H$7-1)*MAX(0,H10+H11-1)</f>
        <v>288</v>
      </c>
      <c r="I12" s="118" t="n">
        <f aca="false">Inputs!$B$7*(1+Inputs!$B$10)^(I$7-1)*MAX(0,I10+I11-1)</f>
        <v>288</v>
      </c>
      <c r="J12" s="118" t="n">
        <f aca="false">Inputs!$B$7*(1+Inputs!$B$10)^(J$7-1)*MAX(0,J10+J11-1)</f>
        <v>288</v>
      </c>
      <c r="K12" s="118" t="n">
        <f aca="false">Inputs!$B$7*(1+Inputs!$B$10)^(K$7-1)*MAX(0,K10+K11-1)</f>
        <v>288</v>
      </c>
      <c r="L12" s="118" t="n">
        <f aca="false">Inputs!$B$7*(1+Inputs!$B$10)^(L$7-1)*MAX(0,L10+L11-1)</f>
        <v>288</v>
      </c>
      <c r="M12" s="118" t="n">
        <f aca="false">Inputs!$B$7*(1+Inputs!$B$10)^(M$7-1)*MAX(0,M10+M11-1)</f>
        <v>360</v>
      </c>
      <c r="N12" s="118" t="n">
        <f aca="false">Inputs!$B$7*(1+Inputs!$B$10)^(N$7-1)*MAX(0,N10+N11-1)</f>
        <v>360</v>
      </c>
      <c r="O12" s="118" t="n">
        <f aca="false">Inputs!$B$7*(1+Inputs!$B$10)^(O$7-1)*MAX(0,O10+O11-1)</f>
        <v>290.88</v>
      </c>
      <c r="P12" s="118" t="n">
        <f aca="false">Inputs!$B$7*(1+Inputs!$B$10)^(P$7-1)*MAX(0,P10+P11-1)</f>
        <v>290.88</v>
      </c>
      <c r="Q12" s="118" t="n">
        <f aca="false">Inputs!$B$7*(1+Inputs!$B$10)^(Q$7-1)*MAX(0,Q10+Q11-1)</f>
        <v>290.88</v>
      </c>
      <c r="R12" s="118" t="n">
        <f aca="false">Inputs!$B$7*(1+Inputs!$B$10)^(R$7-1)*MAX(0,R10+R11-1)</f>
        <v>290.88</v>
      </c>
      <c r="S12" s="118" t="n">
        <f aca="false">Inputs!$B$7*(1+Inputs!$B$10)^(S$7-1)*MAX(0,S10+S11-1)</f>
        <v>290.88</v>
      </c>
      <c r="T12" s="118" t="n">
        <f aca="false">Inputs!$B$7*(1+Inputs!$B$10)^(T$7-1)*MAX(0,T10+T11-1)</f>
        <v>290.88</v>
      </c>
      <c r="U12" s="118" t="n">
        <f aca="false">Inputs!$B$7*(1+Inputs!$B$10)^(U$7-1)*MAX(0,U10+U11-1)</f>
        <v>290.88</v>
      </c>
      <c r="V12" s="118" t="n">
        <f aca="false">Inputs!$B$7*(1+Inputs!$B$10)^(V$7-1)*MAX(0,V10+V11-1)</f>
        <v>290.88</v>
      </c>
      <c r="W12" s="118" t="n">
        <f aca="false">Inputs!$B$7*(1+Inputs!$B$10)^(W$7-1)*MAX(0,W10+W11-1)</f>
        <v>290.88</v>
      </c>
      <c r="X12" s="118" t="n">
        <f aca="false">Inputs!$B$7*(1+Inputs!$B$10)^(X$7-1)*MAX(0,X10+X11-1)</f>
        <v>290.88</v>
      </c>
      <c r="Y12" s="118" t="n">
        <f aca="false">Inputs!$B$7*(1+Inputs!$B$10)^(Y$7-1)*MAX(0,Y10+Y11-1)</f>
        <v>363.6</v>
      </c>
      <c r="Z12" s="118" t="n">
        <f aca="false">Inputs!$B$7*(1+Inputs!$B$10)^(Z$7-1)*MAX(0,Z10+Z11-1)</f>
        <v>363.6</v>
      </c>
      <c r="AA12" s="118" t="n">
        <f aca="false">Inputs!$B$7*(1+Inputs!$B$10)^(AA$7-1)*MAX(0,AA10+AA11-1)</f>
        <v>293.7888</v>
      </c>
      <c r="AB12" s="118" t="n">
        <f aca="false">Inputs!$B$7*(1+Inputs!$B$10)^(AB$7-1)*MAX(0,AB10+AB11-1)</f>
        <v>293.7888</v>
      </c>
      <c r="AC12" s="118" t="n">
        <f aca="false">Inputs!$B$7*(1+Inputs!$B$10)^(AC$7-1)*MAX(0,AC10+AC11-1)</f>
        <v>293.7888</v>
      </c>
      <c r="AD12" s="118" t="n">
        <f aca="false">Inputs!$B$7*(1+Inputs!$B$10)^(AD$7-1)*MAX(0,AD10+AD11-1)</f>
        <v>293.7888</v>
      </c>
      <c r="AE12" s="118" t="n">
        <f aca="false">Inputs!$B$7*(1+Inputs!$B$10)^(AE$7-1)*MAX(0,AE10+AE11-1)</f>
        <v>293.7888</v>
      </c>
      <c r="AF12" s="118" t="n">
        <f aca="false">Inputs!$B$7*(1+Inputs!$B$10)^(AF$7-1)*MAX(0,AF10+AF11-1)</f>
        <v>293.7888</v>
      </c>
      <c r="AG12" s="118" t="n">
        <f aca="false">Inputs!$B$7*(1+Inputs!$B$10)^(AG$7-1)*MAX(0,AG10+AG11-1)</f>
        <v>293.7888</v>
      </c>
      <c r="AH12" s="118" t="n">
        <f aca="false">Inputs!$B$7*(1+Inputs!$B$10)^(AH$7-1)*MAX(0,AH10+AH11-1)</f>
        <v>293.7888</v>
      </c>
      <c r="AI12" s="118" t="n">
        <f aca="false">Inputs!$B$7*(1+Inputs!$B$10)^(AI$7-1)*MAX(0,AI10+AI11-1)</f>
        <v>293.7888</v>
      </c>
      <c r="AJ12" s="118" t="n">
        <f aca="false">Inputs!$B$7*(1+Inputs!$B$10)^(AJ$7-1)*MAX(0,AJ10+AJ11-1)</f>
        <v>293.7888</v>
      </c>
      <c r="AK12" s="118" t="n">
        <f aca="false">Inputs!$B$7*(1+Inputs!$B$10)^(AK$7-1)*MAX(0,AK10+AK11-1)</f>
        <v>367.236</v>
      </c>
      <c r="AL12" s="118" t="n">
        <f aca="false">Inputs!$B$7*(1+Inputs!$B$10)^(AL$7-1)*MAX(0,AL10+AL11-1)</f>
        <v>367.236</v>
      </c>
      <c r="AM12" s="118" t="n">
        <f aca="false">Inputs!$B$7*(1+Inputs!$B$10)^(AM$7-1)*MAX(0,AM10+AM11-1)</f>
        <v>296.726688</v>
      </c>
      <c r="AN12" s="118" t="n">
        <f aca="false">Inputs!$B$7*(1+Inputs!$B$10)^(AN$7-1)*MAX(0,AN10+AN11-1)</f>
        <v>296.726688</v>
      </c>
      <c r="AO12" s="118" t="n">
        <f aca="false">Inputs!$B$7*(1+Inputs!$B$10)^(AO$7-1)*MAX(0,AO10+AO11-1)</f>
        <v>296.726688</v>
      </c>
      <c r="AP12" s="118" t="n">
        <f aca="false">Inputs!$B$7*(1+Inputs!$B$10)^(AP$7-1)*MAX(0,AP10+AP11-1)</f>
        <v>296.726688</v>
      </c>
      <c r="AQ12" s="118" t="n">
        <f aca="false">Inputs!$B$7*(1+Inputs!$B$10)^(AQ$7-1)*MAX(0,AQ10+AQ11-1)</f>
        <v>296.726688</v>
      </c>
      <c r="AR12" s="118" t="n">
        <f aca="false">Inputs!$B$7*(1+Inputs!$B$10)^(AR$7-1)*MAX(0,AR10+AR11-1)</f>
        <v>296.726688</v>
      </c>
      <c r="AS12" s="118" t="n">
        <f aca="false">Inputs!$B$7*(1+Inputs!$B$10)^(AS$7-1)*MAX(0,AS10+AS11-1)</f>
        <v>296.726688</v>
      </c>
      <c r="AT12" s="118" t="n">
        <f aca="false">Inputs!$B$7*(1+Inputs!$B$10)^(AT$7-1)*MAX(0,AT10+AT11-1)</f>
        <v>296.726688</v>
      </c>
      <c r="AU12" s="118" t="n">
        <f aca="false">Inputs!$B$7*(1+Inputs!$B$10)^(AU$7-1)*MAX(0,AU10+AU11-1)</f>
        <v>296.726688</v>
      </c>
      <c r="AV12" s="118" t="n">
        <f aca="false">Inputs!$B$7*(1+Inputs!$B$10)^(AV$7-1)*MAX(0,AV10+AV11-1)</f>
        <v>296.726688</v>
      </c>
      <c r="AW12" s="118" t="n">
        <f aca="false">Inputs!$B$7*(1+Inputs!$B$10)^(AW$7-1)*MAX(0,AW10+AW11-1)</f>
        <v>370.90836</v>
      </c>
      <c r="AX12" s="118" t="n">
        <f aca="false">Inputs!$B$7*(1+Inputs!$B$10)^(AX$7-1)*MAX(0,AX10+AX11-1)</f>
        <v>370.90836</v>
      </c>
      <c r="AY12" s="118" t="n">
        <f aca="false">Inputs!$B$7*(1+Inputs!$B$10)^(AY$7-1)*MAX(0,AY10+AY11-1)</f>
        <v>299.69395488</v>
      </c>
      <c r="AZ12" s="118" t="n">
        <f aca="false">Inputs!$B$7*(1+Inputs!$B$10)^(AZ$7-1)*MAX(0,AZ10+AZ11-1)</f>
        <v>299.69395488</v>
      </c>
      <c r="BA12" s="118" t="n">
        <f aca="false">Inputs!$B$7*(1+Inputs!$B$10)^(BA$7-1)*MAX(0,BA10+BA11-1)</f>
        <v>299.69395488</v>
      </c>
      <c r="BB12" s="118" t="n">
        <f aca="false">Inputs!$B$7*(1+Inputs!$B$10)^(BB$7-1)*MAX(0,BB10+BB11-1)</f>
        <v>299.69395488</v>
      </c>
      <c r="BC12" s="118" t="n">
        <f aca="false">Inputs!$B$7*(1+Inputs!$B$10)^(BC$7-1)*MAX(0,BC10+BC11-1)</f>
        <v>299.69395488</v>
      </c>
      <c r="BD12" s="118" t="n">
        <f aca="false">Inputs!$B$7*(1+Inputs!$B$10)^(BD$7-1)*MAX(0,BD10+BD11-1)</f>
        <v>299.69395488</v>
      </c>
      <c r="BE12" s="118" t="n">
        <f aca="false">Inputs!$B$7*(1+Inputs!$B$10)^(BE$7-1)*MAX(0,BE10+BE11-1)</f>
        <v>299.69395488</v>
      </c>
      <c r="BF12" s="118" t="n">
        <f aca="false">Inputs!$B$7*(1+Inputs!$B$10)^(BF$7-1)*MAX(0,BF10+BF11-1)</f>
        <v>299.69395488</v>
      </c>
      <c r="BG12" s="118" t="n">
        <f aca="false">Inputs!$B$7*(1+Inputs!$B$10)^(BG$7-1)*MAX(0,BG10+BG11-1)</f>
        <v>299.69395488</v>
      </c>
      <c r="BH12" s="118" t="n">
        <f aca="false">Inputs!$B$7*(1+Inputs!$B$10)^(BH$7-1)*MAX(0,BH10+BH11-1)</f>
        <v>299.69395488</v>
      </c>
      <c r="BI12" s="118" t="n">
        <f aca="false">Inputs!$B$7*(1+Inputs!$B$10)^(BI$7-1)*MAX(0,BI10+BI11-1)</f>
        <v>374.6174436</v>
      </c>
      <c r="BJ12" s="118" t="n">
        <f aca="false">Inputs!$B$7*(1+Inputs!$B$10)^(BJ$7-1)*MAX(0,BJ10+BJ11-1)</f>
        <v>374.6174436</v>
      </c>
    </row>
    <row r="13" customFormat="false" ht="15" hidden="false" customHeight="false" outlineLevel="0" collapsed="false">
      <c r="A13" s="6" t="s">
        <v>404</v>
      </c>
      <c r="C13" s="118" t="n">
        <f aca="false">Inputs!$B$13*52/12*1</f>
        <v>26</v>
      </c>
      <c r="D13" s="118" t="n">
        <f aca="false">Inputs!$B$13*52/12*1</f>
        <v>26</v>
      </c>
      <c r="E13" s="118" t="n">
        <f aca="false">Inputs!$B$13*52/12*1</f>
        <v>26</v>
      </c>
      <c r="F13" s="118" t="n">
        <f aca="false">Inputs!$B$13*52/12*1</f>
        <v>26</v>
      </c>
      <c r="G13" s="118" t="n">
        <f aca="false">Inputs!$B$13*52/12*1</f>
        <v>26</v>
      </c>
      <c r="H13" s="118" t="n">
        <f aca="false">Inputs!$B$13*52/12*1</f>
        <v>26</v>
      </c>
      <c r="I13" s="118" t="n">
        <f aca="false">Inputs!$B$13*52/12*1</f>
        <v>26</v>
      </c>
      <c r="J13" s="118" t="n">
        <f aca="false">Inputs!$B$13*52/12*1</f>
        <v>26</v>
      </c>
      <c r="K13" s="118" t="n">
        <f aca="false">Inputs!$B$13*52/12*1</f>
        <v>26</v>
      </c>
      <c r="L13" s="118" t="n">
        <f aca="false">Inputs!$B$13*52/12*1</f>
        <v>26</v>
      </c>
      <c r="M13" s="118" t="n">
        <f aca="false">Inputs!$B$13*52/12*1</f>
        <v>26</v>
      </c>
      <c r="N13" s="118" t="n">
        <f aca="false">Inputs!$B$13*52/12*1</f>
        <v>26</v>
      </c>
      <c r="O13" s="118" t="n">
        <f aca="false">Inputs!$B$13*52/12*1</f>
        <v>26</v>
      </c>
      <c r="P13" s="118" t="n">
        <f aca="false">Inputs!$B$13*52/12*1</f>
        <v>26</v>
      </c>
      <c r="Q13" s="118" t="n">
        <f aca="false">Inputs!$B$13*52/12*1</f>
        <v>26</v>
      </c>
      <c r="R13" s="118" t="n">
        <f aca="false">Inputs!$B$13*52/12*1</f>
        <v>26</v>
      </c>
      <c r="S13" s="118" t="n">
        <f aca="false">Inputs!$B$13*52/12*1</f>
        <v>26</v>
      </c>
      <c r="T13" s="118" t="n">
        <f aca="false">Inputs!$B$13*52/12*1</f>
        <v>26</v>
      </c>
      <c r="U13" s="118" t="n">
        <f aca="false">Inputs!$B$13*52/12*1</f>
        <v>26</v>
      </c>
      <c r="V13" s="118" t="n">
        <f aca="false">Inputs!$B$13*52/12*1</f>
        <v>26</v>
      </c>
      <c r="W13" s="118" t="n">
        <f aca="false">Inputs!$B$13*52/12*1</f>
        <v>26</v>
      </c>
      <c r="X13" s="118" t="n">
        <f aca="false">Inputs!$B$13*52/12*1</f>
        <v>26</v>
      </c>
      <c r="Y13" s="118" t="n">
        <f aca="false">Inputs!$B$13*52/12*1</f>
        <v>26</v>
      </c>
      <c r="Z13" s="118" t="n">
        <f aca="false">Inputs!$B$13*52/12*1</f>
        <v>26</v>
      </c>
      <c r="AA13" s="118" t="n">
        <f aca="false">Inputs!$B$13*52/12*1</f>
        <v>26</v>
      </c>
      <c r="AB13" s="118" t="n">
        <f aca="false">Inputs!$B$13*52/12*1</f>
        <v>26</v>
      </c>
      <c r="AC13" s="118" t="n">
        <f aca="false">Inputs!$B$13*52/12*1</f>
        <v>26</v>
      </c>
      <c r="AD13" s="118" t="n">
        <f aca="false">Inputs!$B$13*52/12*1</f>
        <v>26</v>
      </c>
      <c r="AE13" s="118" t="n">
        <f aca="false">Inputs!$B$13*52/12*1</f>
        <v>26</v>
      </c>
      <c r="AF13" s="118" t="n">
        <f aca="false">Inputs!$B$13*52/12*1</f>
        <v>26</v>
      </c>
      <c r="AG13" s="118" t="n">
        <f aca="false">Inputs!$B$13*52/12*1</f>
        <v>26</v>
      </c>
      <c r="AH13" s="118" t="n">
        <f aca="false">Inputs!$B$13*52/12*1</f>
        <v>26</v>
      </c>
      <c r="AI13" s="118" t="n">
        <f aca="false">Inputs!$B$13*52/12*1</f>
        <v>26</v>
      </c>
      <c r="AJ13" s="118" t="n">
        <f aca="false">Inputs!$B$13*52/12*1</f>
        <v>26</v>
      </c>
      <c r="AK13" s="118" t="n">
        <f aca="false">Inputs!$B$13*52/12*1</f>
        <v>26</v>
      </c>
      <c r="AL13" s="118" t="n">
        <f aca="false">Inputs!$B$13*52/12*1</f>
        <v>26</v>
      </c>
      <c r="AM13" s="118" t="n">
        <f aca="false">Inputs!$B$13*52/12*1</f>
        <v>26</v>
      </c>
      <c r="AN13" s="118" t="n">
        <f aca="false">Inputs!$B$13*52/12*1</f>
        <v>26</v>
      </c>
      <c r="AO13" s="118" t="n">
        <f aca="false">Inputs!$B$13*52/12*1</f>
        <v>26</v>
      </c>
      <c r="AP13" s="118" t="n">
        <f aca="false">Inputs!$B$13*52/12*1</f>
        <v>26</v>
      </c>
      <c r="AQ13" s="118" t="n">
        <f aca="false">Inputs!$B$13*52/12*1</f>
        <v>26</v>
      </c>
      <c r="AR13" s="118" t="n">
        <f aca="false">Inputs!$B$13*52/12*1</f>
        <v>26</v>
      </c>
      <c r="AS13" s="118" t="n">
        <f aca="false">Inputs!$B$13*52/12*1</f>
        <v>26</v>
      </c>
      <c r="AT13" s="118" t="n">
        <f aca="false">Inputs!$B$13*52/12*1</f>
        <v>26</v>
      </c>
      <c r="AU13" s="118" t="n">
        <f aca="false">Inputs!$B$13*52/12*1</f>
        <v>26</v>
      </c>
      <c r="AV13" s="118" t="n">
        <f aca="false">Inputs!$B$13*52/12*1</f>
        <v>26</v>
      </c>
      <c r="AW13" s="118" t="n">
        <f aca="false">Inputs!$B$13*52/12*1</f>
        <v>26</v>
      </c>
      <c r="AX13" s="118" t="n">
        <f aca="false">Inputs!$B$13*52/12*1</f>
        <v>26</v>
      </c>
      <c r="AY13" s="118" t="n">
        <f aca="false">Inputs!$B$13*52/12*1</f>
        <v>26</v>
      </c>
      <c r="AZ13" s="118" t="n">
        <f aca="false">Inputs!$B$13*52/12*1</f>
        <v>26</v>
      </c>
      <c r="BA13" s="118" t="n">
        <f aca="false">Inputs!$B$13*52/12*1</f>
        <v>26</v>
      </c>
      <c r="BB13" s="118" t="n">
        <f aca="false">Inputs!$B$13*52/12*1</f>
        <v>26</v>
      </c>
      <c r="BC13" s="118" t="n">
        <f aca="false">Inputs!$B$13*52/12*1</f>
        <v>26</v>
      </c>
      <c r="BD13" s="118" t="n">
        <f aca="false">Inputs!$B$13*52/12*1</f>
        <v>26</v>
      </c>
      <c r="BE13" s="118" t="n">
        <f aca="false">Inputs!$B$13*52/12*1</f>
        <v>26</v>
      </c>
      <c r="BF13" s="118" t="n">
        <f aca="false">Inputs!$B$13*52/12*1</f>
        <v>26</v>
      </c>
      <c r="BG13" s="118" t="n">
        <f aca="false">Inputs!$B$13*52/12*1</f>
        <v>26</v>
      </c>
      <c r="BH13" s="118" t="n">
        <f aca="false">Inputs!$B$13*52/12*1</f>
        <v>26</v>
      </c>
      <c r="BI13" s="118" t="n">
        <f aca="false">Inputs!$B$13*52/12*1</f>
        <v>26</v>
      </c>
      <c r="BJ13" s="118" t="n">
        <f aca="false">Inputs!$B$13*52/12*1</f>
        <v>26</v>
      </c>
    </row>
    <row r="14" customFormat="false" ht="15" hidden="false" customHeight="false" outlineLevel="0" collapsed="false">
      <c r="A14" s="6" t="s">
        <v>235</v>
      </c>
      <c r="C14" s="119" t="n">
        <f aca="false">C12*C13</f>
        <v>6318</v>
      </c>
      <c r="D14" s="119" t="n">
        <f aca="false">D12*D13</f>
        <v>6708</v>
      </c>
      <c r="E14" s="119" t="n">
        <f aca="false">E12*E13</f>
        <v>7098</v>
      </c>
      <c r="F14" s="119" t="n">
        <f aca="false">F12*F13</f>
        <v>7488</v>
      </c>
      <c r="G14" s="119" t="n">
        <f aca="false">G12*G13</f>
        <v>7488</v>
      </c>
      <c r="H14" s="119" t="n">
        <f aca="false">H12*H13</f>
        <v>7488</v>
      </c>
      <c r="I14" s="119" t="n">
        <f aca="false">I12*I13</f>
        <v>7488</v>
      </c>
      <c r="J14" s="119" t="n">
        <f aca="false">J12*J13</f>
        <v>7488</v>
      </c>
      <c r="K14" s="119" t="n">
        <f aca="false">K12*K13</f>
        <v>7488</v>
      </c>
      <c r="L14" s="119" t="n">
        <f aca="false">L12*L13</f>
        <v>7488</v>
      </c>
      <c r="M14" s="119" t="n">
        <f aca="false">M12*M13</f>
        <v>9360</v>
      </c>
      <c r="N14" s="119" t="n">
        <f aca="false">N12*N13</f>
        <v>9360</v>
      </c>
      <c r="O14" s="119" t="n">
        <f aca="false">O12*O13</f>
        <v>7562.88</v>
      </c>
      <c r="P14" s="119" t="n">
        <f aca="false">P12*P13</f>
        <v>7562.88</v>
      </c>
      <c r="Q14" s="119" t="n">
        <f aca="false">Q12*Q13</f>
        <v>7562.88</v>
      </c>
      <c r="R14" s="119" t="n">
        <f aca="false">R12*R13</f>
        <v>7562.88</v>
      </c>
      <c r="S14" s="119" t="n">
        <f aca="false">S12*S13</f>
        <v>7562.88</v>
      </c>
      <c r="T14" s="119" t="n">
        <f aca="false">T12*T13</f>
        <v>7562.88</v>
      </c>
      <c r="U14" s="119" t="n">
        <f aca="false">U12*U13</f>
        <v>7562.88</v>
      </c>
      <c r="V14" s="119" t="n">
        <f aca="false">V12*V13</f>
        <v>7562.88</v>
      </c>
      <c r="W14" s="119" t="n">
        <f aca="false">W12*W13</f>
        <v>7562.88</v>
      </c>
      <c r="X14" s="119" t="n">
        <f aca="false">X12*X13</f>
        <v>7562.88</v>
      </c>
      <c r="Y14" s="119" t="n">
        <f aca="false">Y12*Y13</f>
        <v>9453.6</v>
      </c>
      <c r="Z14" s="119" t="n">
        <f aca="false">Z12*Z13</f>
        <v>9453.6</v>
      </c>
      <c r="AA14" s="119" t="n">
        <f aca="false">AA12*AA13</f>
        <v>7638.5088</v>
      </c>
      <c r="AB14" s="119" t="n">
        <f aca="false">AB12*AB13</f>
        <v>7638.5088</v>
      </c>
      <c r="AC14" s="119" t="n">
        <f aca="false">AC12*AC13</f>
        <v>7638.5088</v>
      </c>
      <c r="AD14" s="119" t="n">
        <f aca="false">AD12*AD13</f>
        <v>7638.5088</v>
      </c>
      <c r="AE14" s="119" t="n">
        <f aca="false">AE12*AE13</f>
        <v>7638.5088</v>
      </c>
      <c r="AF14" s="119" t="n">
        <f aca="false">AF12*AF13</f>
        <v>7638.5088</v>
      </c>
      <c r="AG14" s="119" t="n">
        <f aca="false">AG12*AG13</f>
        <v>7638.5088</v>
      </c>
      <c r="AH14" s="119" t="n">
        <f aca="false">AH12*AH13</f>
        <v>7638.5088</v>
      </c>
      <c r="AI14" s="119" t="n">
        <f aca="false">AI12*AI13</f>
        <v>7638.5088</v>
      </c>
      <c r="AJ14" s="119" t="n">
        <f aca="false">AJ12*AJ13</f>
        <v>7638.5088</v>
      </c>
      <c r="AK14" s="119" t="n">
        <f aca="false">AK12*AK13</f>
        <v>9548.136</v>
      </c>
      <c r="AL14" s="119" t="n">
        <f aca="false">AL12*AL13</f>
        <v>9548.136</v>
      </c>
      <c r="AM14" s="119" t="n">
        <f aca="false">AM12*AM13</f>
        <v>7714.893888</v>
      </c>
      <c r="AN14" s="119" t="n">
        <f aca="false">AN12*AN13</f>
        <v>7714.893888</v>
      </c>
      <c r="AO14" s="119" t="n">
        <f aca="false">AO12*AO13</f>
        <v>7714.893888</v>
      </c>
      <c r="AP14" s="119" t="n">
        <f aca="false">AP12*AP13</f>
        <v>7714.893888</v>
      </c>
      <c r="AQ14" s="119" t="n">
        <f aca="false">AQ12*AQ13</f>
        <v>7714.893888</v>
      </c>
      <c r="AR14" s="119" t="n">
        <f aca="false">AR12*AR13</f>
        <v>7714.893888</v>
      </c>
      <c r="AS14" s="119" t="n">
        <f aca="false">AS12*AS13</f>
        <v>7714.893888</v>
      </c>
      <c r="AT14" s="119" t="n">
        <f aca="false">AT12*AT13</f>
        <v>7714.893888</v>
      </c>
      <c r="AU14" s="119" t="n">
        <f aca="false">AU12*AU13</f>
        <v>7714.893888</v>
      </c>
      <c r="AV14" s="119" t="n">
        <f aca="false">AV12*AV13</f>
        <v>7714.893888</v>
      </c>
      <c r="AW14" s="119" t="n">
        <f aca="false">AW12*AW13</f>
        <v>9643.61736</v>
      </c>
      <c r="AX14" s="119" t="n">
        <f aca="false">AX12*AX13</f>
        <v>9643.61736</v>
      </c>
      <c r="AY14" s="119" t="n">
        <f aca="false">AY12*AY13</f>
        <v>7792.04282688</v>
      </c>
      <c r="AZ14" s="119" t="n">
        <f aca="false">AZ12*AZ13</f>
        <v>7792.04282688</v>
      </c>
      <c r="BA14" s="119" t="n">
        <f aca="false">BA12*BA13</f>
        <v>7792.04282688</v>
      </c>
      <c r="BB14" s="119" t="n">
        <f aca="false">BB12*BB13</f>
        <v>7792.04282688</v>
      </c>
      <c r="BC14" s="119" t="n">
        <f aca="false">BC12*BC13</f>
        <v>7792.04282688</v>
      </c>
      <c r="BD14" s="119" t="n">
        <f aca="false">BD12*BD13</f>
        <v>7792.04282688</v>
      </c>
      <c r="BE14" s="119" t="n">
        <f aca="false">BE12*BE13</f>
        <v>7792.04282688</v>
      </c>
      <c r="BF14" s="119" t="n">
        <f aca="false">BF12*BF13</f>
        <v>7792.04282688</v>
      </c>
      <c r="BG14" s="119" t="n">
        <f aca="false">BG12*BG13</f>
        <v>7792.04282688</v>
      </c>
      <c r="BH14" s="119" t="n">
        <f aca="false">BH12*BH13</f>
        <v>7792.04282688</v>
      </c>
      <c r="BI14" s="119" t="n">
        <f aca="false">BI12*BI13</f>
        <v>9740.0535336</v>
      </c>
      <c r="BJ14" s="119" t="n">
        <f aca="false">BJ12*BJ13</f>
        <v>9740.0535336</v>
      </c>
    </row>
    <row r="15" customFormat="false" ht="15" hidden="false" customHeight="false" outlineLevel="0" collapsed="false">
      <c r="A15" s="6" t="s">
        <v>405</v>
      </c>
      <c r="C15" s="120" t="n">
        <f aca="false">Inputs!$B$11*(1+Inputs!$B$12)^(C$7-1)</f>
        <v>11</v>
      </c>
      <c r="D15" s="120" t="n">
        <f aca="false">Inputs!$B$11*(1+Inputs!$B$12)^(D$7-1)</f>
        <v>11</v>
      </c>
      <c r="E15" s="120" t="n">
        <f aca="false">Inputs!$B$11*(1+Inputs!$B$12)^(E$7-1)</f>
        <v>11</v>
      </c>
      <c r="F15" s="120" t="n">
        <f aca="false">Inputs!$B$11*(1+Inputs!$B$12)^(F$7-1)</f>
        <v>11</v>
      </c>
      <c r="G15" s="120" t="n">
        <f aca="false">Inputs!$B$11*(1+Inputs!$B$12)^(G$7-1)</f>
        <v>11</v>
      </c>
      <c r="H15" s="120" t="n">
        <f aca="false">Inputs!$B$11*(1+Inputs!$B$12)^(H$7-1)</f>
        <v>11</v>
      </c>
      <c r="I15" s="120" t="n">
        <f aca="false">Inputs!$B$11*(1+Inputs!$B$12)^(I$7-1)</f>
        <v>11</v>
      </c>
      <c r="J15" s="120" t="n">
        <f aca="false">Inputs!$B$11*(1+Inputs!$B$12)^(J$7-1)</f>
        <v>11</v>
      </c>
      <c r="K15" s="120" t="n">
        <f aca="false">Inputs!$B$11*(1+Inputs!$B$12)^(K$7-1)</f>
        <v>11</v>
      </c>
      <c r="L15" s="120" t="n">
        <f aca="false">Inputs!$B$11*(1+Inputs!$B$12)^(L$7-1)</f>
        <v>11</v>
      </c>
      <c r="M15" s="120" t="n">
        <f aca="false">Inputs!$B$11*(1+Inputs!$B$12)^(M$7-1)</f>
        <v>11</v>
      </c>
      <c r="N15" s="120" t="n">
        <f aca="false">Inputs!$B$11*(1+Inputs!$B$12)^(N$7-1)</f>
        <v>11</v>
      </c>
      <c r="O15" s="120" t="n">
        <f aca="false">Inputs!$B$11*(1+Inputs!$B$12)^(O$7-1)</f>
        <v>11.22</v>
      </c>
      <c r="P15" s="120" t="n">
        <f aca="false">Inputs!$B$11*(1+Inputs!$B$12)^(P$7-1)</f>
        <v>11.22</v>
      </c>
      <c r="Q15" s="120" t="n">
        <f aca="false">Inputs!$B$11*(1+Inputs!$B$12)^(Q$7-1)</f>
        <v>11.22</v>
      </c>
      <c r="R15" s="120" t="n">
        <f aca="false">Inputs!$B$11*(1+Inputs!$B$12)^(R$7-1)</f>
        <v>11.22</v>
      </c>
      <c r="S15" s="120" t="n">
        <f aca="false">Inputs!$B$11*(1+Inputs!$B$12)^(S$7-1)</f>
        <v>11.22</v>
      </c>
      <c r="T15" s="120" t="n">
        <f aca="false">Inputs!$B$11*(1+Inputs!$B$12)^(T$7-1)</f>
        <v>11.22</v>
      </c>
      <c r="U15" s="120" t="n">
        <f aca="false">Inputs!$B$11*(1+Inputs!$B$12)^(U$7-1)</f>
        <v>11.22</v>
      </c>
      <c r="V15" s="120" t="n">
        <f aca="false">Inputs!$B$11*(1+Inputs!$B$12)^(V$7-1)</f>
        <v>11.22</v>
      </c>
      <c r="W15" s="120" t="n">
        <f aca="false">Inputs!$B$11*(1+Inputs!$B$12)^(W$7-1)</f>
        <v>11.22</v>
      </c>
      <c r="X15" s="120" t="n">
        <f aca="false">Inputs!$B$11*(1+Inputs!$B$12)^(X$7-1)</f>
        <v>11.22</v>
      </c>
      <c r="Y15" s="120" t="n">
        <f aca="false">Inputs!$B$11*(1+Inputs!$B$12)^(Y$7-1)</f>
        <v>11.22</v>
      </c>
      <c r="Z15" s="120" t="n">
        <f aca="false">Inputs!$B$11*(1+Inputs!$B$12)^(Z$7-1)</f>
        <v>11.22</v>
      </c>
      <c r="AA15" s="120" t="n">
        <f aca="false">Inputs!$B$11*(1+Inputs!$B$12)^(AA$7-1)</f>
        <v>11.4444</v>
      </c>
      <c r="AB15" s="120" t="n">
        <f aca="false">Inputs!$B$11*(1+Inputs!$B$12)^(AB$7-1)</f>
        <v>11.4444</v>
      </c>
      <c r="AC15" s="120" t="n">
        <f aca="false">Inputs!$B$11*(1+Inputs!$B$12)^(AC$7-1)</f>
        <v>11.4444</v>
      </c>
      <c r="AD15" s="120" t="n">
        <f aca="false">Inputs!$B$11*(1+Inputs!$B$12)^(AD$7-1)</f>
        <v>11.4444</v>
      </c>
      <c r="AE15" s="120" t="n">
        <f aca="false">Inputs!$B$11*(1+Inputs!$B$12)^(AE$7-1)</f>
        <v>11.4444</v>
      </c>
      <c r="AF15" s="120" t="n">
        <f aca="false">Inputs!$B$11*(1+Inputs!$B$12)^(AF$7-1)</f>
        <v>11.4444</v>
      </c>
      <c r="AG15" s="120" t="n">
        <f aca="false">Inputs!$B$11*(1+Inputs!$B$12)^(AG$7-1)</f>
        <v>11.4444</v>
      </c>
      <c r="AH15" s="120" t="n">
        <f aca="false">Inputs!$B$11*(1+Inputs!$B$12)^(AH$7-1)</f>
        <v>11.4444</v>
      </c>
      <c r="AI15" s="120" t="n">
        <f aca="false">Inputs!$B$11*(1+Inputs!$B$12)^(AI$7-1)</f>
        <v>11.4444</v>
      </c>
      <c r="AJ15" s="120" t="n">
        <f aca="false">Inputs!$B$11*(1+Inputs!$B$12)^(AJ$7-1)</f>
        <v>11.4444</v>
      </c>
      <c r="AK15" s="120" t="n">
        <f aca="false">Inputs!$B$11*(1+Inputs!$B$12)^(AK$7-1)</f>
        <v>11.4444</v>
      </c>
      <c r="AL15" s="120" t="n">
        <f aca="false">Inputs!$B$11*(1+Inputs!$B$12)^(AL$7-1)</f>
        <v>11.4444</v>
      </c>
      <c r="AM15" s="120" t="n">
        <f aca="false">Inputs!$B$11*(1+Inputs!$B$12)^(AM$7-1)</f>
        <v>11.673288</v>
      </c>
      <c r="AN15" s="120" t="n">
        <f aca="false">Inputs!$B$11*(1+Inputs!$B$12)^(AN$7-1)</f>
        <v>11.673288</v>
      </c>
      <c r="AO15" s="120" t="n">
        <f aca="false">Inputs!$B$11*(1+Inputs!$B$12)^(AO$7-1)</f>
        <v>11.673288</v>
      </c>
      <c r="AP15" s="120" t="n">
        <f aca="false">Inputs!$B$11*(1+Inputs!$B$12)^(AP$7-1)</f>
        <v>11.673288</v>
      </c>
      <c r="AQ15" s="120" t="n">
        <f aca="false">Inputs!$B$11*(1+Inputs!$B$12)^(AQ$7-1)</f>
        <v>11.673288</v>
      </c>
      <c r="AR15" s="120" t="n">
        <f aca="false">Inputs!$B$11*(1+Inputs!$B$12)^(AR$7-1)</f>
        <v>11.673288</v>
      </c>
      <c r="AS15" s="120" t="n">
        <f aca="false">Inputs!$B$11*(1+Inputs!$B$12)^(AS$7-1)</f>
        <v>11.673288</v>
      </c>
      <c r="AT15" s="120" t="n">
        <f aca="false">Inputs!$B$11*(1+Inputs!$B$12)^(AT$7-1)</f>
        <v>11.673288</v>
      </c>
      <c r="AU15" s="120" t="n">
        <f aca="false">Inputs!$B$11*(1+Inputs!$B$12)^(AU$7-1)</f>
        <v>11.673288</v>
      </c>
      <c r="AV15" s="120" t="n">
        <f aca="false">Inputs!$B$11*(1+Inputs!$B$12)^(AV$7-1)</f>
        <v>11.673288</v>
      </c>
      <c r="AW15" s="120" t="n">
        <f aca="false">Inputs!$B$11*(1+Inputs!$B$12)^(AW$7-1)</f>
        <v>11.673288</v>
      </c>
      <c r="AX15" s="120" t="n">
        <f aca="false">Inputs!$B$11*(1+Inputs!$B$12)^(AX$7-1)</f>
        <v>11.673288</v>
      </c>
      <c r="AY15" s="120" t="n">
        <f aca="false">Inputs!$B$11*(1+Inputs!$B$12)^(AY$7-1)</f>
        <v>11.90675376</v>
      </c>
      <c r="AZ15" s="120" t="n">
        <f aca="false">Inputs!$B$11*(1+Inputs!$B$12)^(AZ$7-1)</f>
        <v>11.90675376</v>
      </c>
      <c r="BA15" s="120" t="n">
        <f aca="false">Inputs!$B$11*(1+Inputs!$B$12)^(BA$7-1)</f>
        <v>11.90675376</v>
      </c>
      <c r="BB15" s="120" t="n">
        <f aca="false">Inputs!$B$11*(1+Inputs!$B$12)^(BB$7-1)</f>
        <v>11.90675376</v>
      </c>
      <c r="BC15" s="120" t="n">
        <f aca="false">Inputs!$B$11*(1+Inputs!$B$12)^(BC$7-1)</f>
        <v>11.90675376</v>
      </c>
      <c r="BD15" s="120" t="n">
        <f aca="false">Inputs!$B$11*(1+Inputs!$B$12)^(BD$7-1)</f>
        <v>11.90675376</v>
      </c>
      <c r="BE15" s="120" t="n">
        <f aca="false">Inputs!$B$11*(1+Inputs!$B$12)^(BE$7-1)</f>
        <v>11.90675376</v>
      </c>
      <c r="BF15" s="120" t="n">
        <f aca="false">Inputs!$B$11*(1+Inputs!$B$12)^(BF$7-1)</f>
        <v>11.90675376</v>
      </c>
      <c r="BG15" s="120" t="n">
        <f aca="false">Inputs!$B$11*(1+Inputs!$B$12)^(BG$7-1)</f>
        <v>11.90675376</v>
      </c>
      <c r="BH15" s="120" t="n">
        <f aca="false">Inputs!$B$11*(1+Inputs!$B$12)^(BH$7-1)</f>
        <v>11.90675376</v>
      </c>
      <c r="BI15" s="120" t="n">
        <f aca="false">Inputs!$B$11*(1+Inputs!$B$12)^(BI$7-1)</f>
        <v>11.90675376</v>
      </c>
      <c r="BJ15" s="120" t="n">
        <f aca="false">Inputs!$B$11*(1+Inputs!$B$12)^(BJ$7-1)</f>
        <v>11.90675376</v>
      </c>
    </row>
    <row r="16" customFormat="false" ht="15" hidden="false" customHeight="false" outlineLevel="0" collapsed="false">
      <c r="A16" s="6" t="s">
        <v>406</v>
      </c>
      <c r="C16" s="67" t="n">
        <f aca="false">C14*C15</f>
        <v>69498</v>
      </c>
      <c r="D16" s="67" t="n">
        <f aca="false">D14*D15</f>
        <v>73788</v>
      </c>
      <c r="E16" s="67" t="n">
        <f aca="false">E14*E15</f>
        <v>78078</v>
      </c>
      <c r="F16" s="67" t="n">
        <f aca="false">F14*F15</f>
        <v>82368</v>
      </c>
      <c r="G16" s="67" t="n">
        <f aca="false">G14*G15</f>
        <v>82368</v>
      </c>
      <c r="H16" s="67" t="n">
        <f aca="false">H14*H15</f>
        <v>82368</v>
      </c>
      <c r="I16" s="67" t="n">
        <f aca="false">I14*I15</f>
        <v>82368</v>
      </c>
      <c r="J16" s="67" t="n">
        <f aca="false">J14*J15</f>
        <v>82368</v>
      </c>
      <c r="K16" s="67" t="n">
        <f aca="false">K14*K15</f>
        <v>82368</v>
      </c>
      <c r="L16" s="67" t="n">
        <f aca="false">L14*L15</f>
        <v>82368</v>
      </c>
      <c r="M16" s="67" t="n">
        <f aca="false">M14*M15</f>
        <v>102960</v>
      </c>
      <c r="N16" s="67" t="n">
        <f aca="false">N14*N15</f>
        <v>102960</v>
      </c>
      <c r="O16" s="67" t="n">
        <f aca="false">O14*O15</f>
        <v>84855.5136</v>
      </c>
      <c r="P16" s="67" t="n">
        <f aca="false">P14*P15</f>
        <v>84855.5136</v>
      </c>
      <c r="Q16" s="67" t="n">
        <f aca="false">Q14*Q15</f>
        <v>84855.5136</v>
      </c>
      <c r="R16" s="67" t="n">
        <f aca="false">R14*R15</f>
        <v>84855.5136</v>
      </c>
      <c r="S16" s="67" t="n">
        <f aca="false">S14*S15</f>
        <v>84855.5136</v>
      </c>
      <c r="T16" s="67" t="n">
        <f aca="false">T14*T15</f>
        <v>84855.5136</v>
      </c>
      <c r="U16" s="67" t="n">
        <f aca="false">U14*U15</f>
        <v>84855.5136</v>
      </c>
      <c r="V16" s="67" t="n">
        <f aca="false">V14*V15</f>
        <v>84855.5136</v>
      </c>
      <c r="W16" s="67" t="n">
        <f aca="false">W14*W15</f>
        <v>84855.5136</v>
      </c>
      <c r="X16" s="67" t="n">
        <f aca="false">X14*X15</f>
        <v>84855.5136</v>
      </c>
      <c r="Y16" s="67" t="n">
        <f aca="false">Y14*Y15</f>
        <v>106069.392</v>
      </c>
      <c r="Z16" s="67" t="n">
        <f aca="false">Z14*Z15</f>
        <v>106069.392</v>
      </c>
      <c r="AA16" s="67" t="n">
        <f aca="false">AA14*AA15</f>
        <v>87418.15011072</v>
      </c>
      <c r="AB16" s="67" t="n">
        <f aca="false">AB14*AB15</f>
        <v>87418.15011072</v>
      </c>
      <c r="AC16" s="67" t="n">
        <f aca="false">AC14*AC15</f>
        <v>87418.15011072</v>
      </c>
      <c r="AD16" s="67" t="n">
        <f aca="false">AD14*AD15</f>
        <v>87418.15011072</v>
      </c>
      <c r="AE16" s="67" t="n">
        <f aca="false">AE14*AE15</f>
        <v>87418.15011072</v>
      </c>
      <c r="AF16" s="67" t="n">
        <f aca="false">AF14*AF15</f>
        <v>87418.15011072</v>
      </c>
      <c r="AG16" s="67" t="n">
        <f aca="false">AG14*AG15</f>
        <v>87418.15011072</v>
      </c>
      <c r="AH16" s="67" t="n">
        <f aca="false">AH14*AH15</f>
        <v>87418.15011072</v>
      </c>
      <c r="AI16" s="67" t="n">
        <f aca="false">AI14*AI15</f>
        <v>87418.15011072</v>
      </c>
      <c r="AJ16" s="67" t="n">
        <f aca="false">AJ14*AJ15</f>
        <v>87418.15011072</v>
      </c>
      <c r="AK16" s="67" t="n">
        <f aca="false">AK14*AK15</f>
        <v>109272.6876384</v>
      </c>
      <c r="AL16" s="67" t="n">
        <f aca="false">AL14*AL15</f>
        <v>109272.6876384</v>
      </c>
      <c r="AM16" s="67" t="n">
        <f aca="false">AM14*AM15</f>
        <v>90058.1782440638</v>
      </c>
      <c r="AN16" s="67" t="n">
        <f aca="false">AN14*AN15</f>
        <v>90058.1782440638</v>
      </c>
      <c r="AO16" s="67" t="n">
        <f aca="false">AO14*AO15</f>
        <v>90058.1782440638</v>
      </c>
      <c r="AP16" s="67" t="n">
        <f aca="false">AP14*AP15</f>
        <v>90058.1782440638</v>
      </c>
      <c r="AQ16" s="67" t="n">
        <f aca="false">AQ14*AQ15</f>
        <v>90058.1782440638</v>
      </c>
      <c r="AR16" s="67" t="n">
        <f aca="false">AR14*AR15</f>
        <v>90058.1782440638</v>
      </c>
      <c r="AS16" s="67" t="n">
        <f aca="false">AS14*AS15</f>
        <v>90058.1782440638</v>
      </c>
      <c r="AT16" s="67" t="n">
        <f aca="false">AT14*AT15</f>
        <v>90058.1782440638</v>
      </c>
      <c r="AU16" s="67" t="n">
        <f aca="false">AU14*AU15</f>
        <v>90058.1782440638</v>
      </c>
      <c r="AV16" s="67" t="n">
        <f aca="false">AV14*AV15</f>
        <v>90058.1782440638</v>
      </c>
      <c r="AW16" s="67" t="n">
        <f aca="false">AW14*AW15</f>
        <v>112572.72280508</v>
      </c>
      <c r="AX16" s="67" t="n">
        <f aca="false">AX14*AX15</f>
        <v>112572.72280508</v>
      </c>
      <c r="AY16" s="67" t="n">
        <f aca="false">AY14*AY15</f>
        <v>92777.9352270345</v>
      </c>
      <c r="AZ16" s="67" t="n">
        <f aca="false">AZ14*AZ15</f>
        <v>92777.9352270345</v>
      </c>
      <c r="BA16" s="67" t="n">
        <f aca="false">BA14*BA15</f>
        <v>92777.9352270345</v>
      </c>
      <c r="BB16" s="67" t="n">
        <f aca="false">BB14*BB15</f>
        <v>92777.9352270345</v>
      </c>
      <c r="BC16" s="67" t="n">
        <f aca="false">BC14*BC15</f>
        <v>92777.9352270345</v>
      </c>
      <c r="BD16" s="67" t="n">
        <f aca="false">BD14*BD15</f>
        <v>92777.9352270345</v>
      </c>
      <c r="BE16" s="67" t="n">
        <f aca="false">BE14*BE15</f>
        <v>92777.9352270345</v>
      </c>
      <c r="BF16" s="67" t="n">
        <f aca="false">BF14*BF15</f>
        <v>92777.9352270345</v>
      </c>
      <c r="BG16" s="67" t="n">
        <f aca="false">BG14*BG15</f>
        <v>92777.9352270345</v>
      </c>
      <c r="BH16" s="67" t="n">
        <f aca="false">BH14*BH15</f>
        <v>92777.9352270345</v>
      </c>
      <c r="BI16" s="67" t="n">
        <f aca="false">BI14*BI15</f>
        <v>115972.419033793</v>
      </c>
      <c r="BJ16" s="67" t="n">
        <f aca="false">BJ14*BJ15</f>
        <v>115972.419033793</v>
      </c>
    </row>
    <row r="18" customFormat="false" ht="15.75" hidden="false" customHeight="true" outlineLevel="0" collapsed="false">
      <c r="A18" s="7" t="s">
        <v>265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6" t="s">
        <v>61</v>
      </c>
      <c r="C19" s="118" t="n">
        <f aca="false">Inputs!$B$17*C10*(1+Inputs!$B$18)^(C$7-1)</f>
        <v>11.05</v>
      </c>
      <c r="D19" s="118" t="n">
        <f aca="false">Inputs!$B$17*D10*(1+Inputs!$B$18)^(D$7-1)</f>
        <v>11.7</v>
      </c>
      <c r="E19" s="118" t="n">
        <f aca="false">Inputs!$B$17*E10*(1+Inputs!$B$18)^(E$7-1)</f>
        <v>12.35</v>
      </c>
      <c r="F19" s="118" t="n">
        <f aca="false">Inputs!$B$17*F10*(1+Inputs!$B$18)^(F$7-1)</f>
        <v>13</v>
      </c>
      <c r="G19" s="118" t="n">
        <f aca="false">Inputs!$B$17*G10*(1+Inputs!$B$18)^(G$7-1)</f>
        <v>13</v>
      </c>
      <c r="H19" s="118" t="n">
        <f aca="false">Inputs!$B$17*H10*(1+Inputs!$B$18)^(H$7-1)</f>
        <v>13</v>
      </c>
      <c r="I19" s="118" t="n">
        <f aca="false">Inputs!$B$17*I10*(1+Inputs!$B$18)^(I$7-1)</f>
        <v>13</v>
      </c>
      <c r="J19" s="118" t="n">
        <f aca="false">Inputs!$B$17*J10*(1+Inputs!$B$18)^(J$7-1)</f>
        <v>13</v>
      </c>
      <c r="K19" s="118" t="n">
        <f aca="false">Inputs!$B$17*K10*(1+Inputs!$B$18)^(K$7-1)</f>
        <v>13</v>
      </c>
      <c r="L19" s="118" t="n">
        <f aca="false">Inputs!$B$17*L10*(1+Inputs!$B$18)^(L$7-1)</f>
        <v>13</v>
      </c>
      <c r="M19" s="118" t="n">
        <f aca="false">Inputs!$B$17*M10*(1+Inputs!$B$18)^(M$7-1)</f>
        <v>13</v>
      </c>
      <c r="N19" s="118" t="n">
        <f aca="false">Inputs!$B$17*N10*(1+Inputs!$B$18)^(N$7-1)</f>
        <v>13</v>
      </c>
      <c r="O19" s="118" t="n">
        <f aca="false">Inputs!$B$17*O10*(1+Inputs!$B$18)^(O$7-1)</f>
        <v>14.04</v>
      </c>
      <c r="P19" s="118" t="n">
        <f aca="false">Inputs!$B$17*P10*(1+Inputs!$B$18)^(P$7-1)</f>
        <v>14.04</v>
      </c>
      <c r="Q19" s="118" t="n">
        <f aca="false">Inputs!$B$17*Q10*(1+Inputs!$B$18)^(Q$7-1)</f>
        <v>14.04</v>
      </c>
      <c r="R19" s="118" t="n">
        <f aca="false">Inputs!$B$17*R10*(1+Inputs!$B$18)^(R$7-1)</f>
        <v>14.04</v>
      </c>
      <c r="S19" s="118" t="n">
        <f aca="false">Inputs!$B$17*S10*(1+Inputs!$B$18)^(S$7-1)</f>
        <v>14.04</v>
      </c>
      <c r="T19" s="118" t="n">
        <f aca="false">Inputs!$B$17*T10*(1+Inputs!$B$18)^(T$7-1)</f>
        <v>14.04</v>
      </c>
      <c r="U19" s="118" t="n">
        <f aca="false">Inputs!$B$17*U10*(1+Inputs!$B$18)^(U$7-1)</f>
        <v>14.04</v>
      </c>
      <c r="V19" s="118" t="n">
        <f aca="false">Inputs!$B$17*V10*(1+Inputs!$B$18)^(V$7-1)</f>
        <v>14.04</v>
      </c>
      <c r="W19" s="118" t="n">
        <f aca="false">Inputs!$B$17*W10*(1+Inputs!$B$18)^(W$7-1)</f>
        <v>14.04</v>
      </c>
      <c r="X19" s="118" t="n">
        <f aca="false">Inputs!$B$17*X10*(1+Inputs!$B$18)^(X$7-1)</f>
        <v>14.04</v>
      </c>
      <c r="Y19" s="118" t="n">
        <f aca="false">Inputs!$B$17*Y10*(1+Inputs!$B$18)^(Y$7-1)</f>
        <v>14.04</v>
      </c>
      <c r="Z19" s="118" t="n">
        <f aca="false">Inputs!$B$17*Z10*(1+Inputs!$B$18)^(Z$7-1)</f>
        <v>14.04</v>
      </c>
      <c r="AA19" s="118" t="n">
        <f aca="false">Inputs!$B$17*AA10*(1+Inputs!$B$18)^(AA$7-1)</f>
        <v>15.1632</v>
      </c>
      <c r="AB19" s="118" t="n">
        <f aca="false">Inputs!$B$17*AB10*(1+Inputs!$B$18)^(AB$7-1)</f>
        <v>15.1632</v>
      </c>
      <c r="AC19" s="118" t="n">
        <f aca="false">Inputs!$B$17*AC10*(1+Inputs!$B$18)^(AC$7-1)</f>
        <v>15.1632</v>
      </c>
      <c r="AD19" s="118" t="n">
        <f aca="false">Inputs!$B$17*AD10*(1+Inputs!$B$18)^(AD$7-1)</f>
        <v>15.1632</v>
      </c>
      <c r="AE19" s="118" t="n">
        <f aca="false">Inputs!$B$17*AE10*(1+Inputs!$B$18)^(AE$7-1)</f>
        <v>15.1632</v>
      </c>
      <c r="AF19" s="118" t="n">
        <f aca="false">Inputs!$B$17*AF10*(1+Inputs!$B$18)^(AF$7-1)</f>
        <v>15.1632</v>
      </c>
      <c r="AG19" s="118" t="n">
        <f aca="false">Inputs!$B$17*AG10*(1+Inputs!$B$18)^(AG$7-1)</f>
        <v>15.1632</v>
      </c>
      <c r="AH19" s="118" t="n">
        <f aca="false">Inputs!$B$17*AH10*(1+Inputs!$B$18)^(AH$7-1)</f>
        <v>15.1632</v>
      </c>
      <c r="AI19" s="118" t="n">
        <f aca="false">Inputs!$B$17*AI10*(1+Inputs!$B$18)^(AI$7-1)</f>
        <v>15.1632</v>
      </c>
      <c r="AJ19" s="118" t="n">
        <f aca="false">Inputs!$B$17*AJ10*(1+Inputs!$B$18)^(AJ$7-1)</f>
        <v>15.1632</v>
      </c>
      <c r="AK19" s="118" t="n">
        <f aca="false">Inputs!$B$17*AK10*(1+Inputs!$B$18)^(AK$7-1)</f>
        <v>15.1632</v>
      </c>
      <c r="AL19" s="118" t="n">
        <f aca="false">Inputs!$B$17*AL10*(1+Inputs!$B$18)^(AL$7-1)</f>
        <v>15.1632</v>
      </c>
      <c r="AM19" s="118" t="n">
        <f aca="false">Inputs!$B$17*AM10*(1+Inputs!$B$18)^(AM$7-1)</f>
        <v>16.376256</v>
      </c>
      <c r="AN19" s="118" t="n">
        <f aca="false">Inputs!$B$17*AN10*(1+Inputs!$B$18)^(AN$7-1)</f>
        <v>16.376256</v>
      </c>
      <c r="AO19" s="118" t="n">
        <f aca="false">Inputs!$B$17*AO10*(1+Inputs!$B$18)^(AO$7-1)</f>
        <v>16.376256</v>
      </c>
      <c r="AP19" s="118" t="n">
        <f aca="false">Inputs!$B$17*AP10*(1+Inputs!$B$18)^(AP$7-1)</f>
        <v>16.376256</v>
      </c>
      <c r="AQ19" s="118" t="n">
        <f aca="false">Inputs!$B$17*AQ10*(1+Inputs!$B$18)^(AQ$7-1)</f>
        <v>16.376256</v>
      </c>
      <c r="AR19" s="118" t="n">
        <f aca="false">Inputs!$B$17*AR10*(1+Inputs!$B$18)^(AR$7-1)</f>
        <v>16.376256</v>
      </c>
      <c r="AS19" s="118" t="n">
        <f aca="false">Inputs!$B$17*AS10*(1+Inputs!$B$18)^(AS$7-1)</f>
        <v>16.376256</v>
      </c>
      <c r="AT19" s="118" t="n">
        <f aca="false">Inputs!$B$17*AT10*(1+Inputs!$B$18)^(AT$7-1)</f>
        <v>16.376256</v>
      </c>
      <c r="AU19" s="118" t="n">
        <f aca="false">Inputs!$B$17*AU10*(1+Inputs!$B$18)^(AU$7-1)</f>
        <v>16.376256</v>
      </c>
      <c r="AV19" s="118" t="n">
        <f aca="false">Inputs!$B$17*AV10*(1+Inputs!$B$18)^(AV$7-1)</f>
        <v>16.376256</v>
      </c>
      <c r="AW19" s="118" t="n">
        <f aca="false">Inputs!$B$17*AW10*(1+Inputs!$B$18)^(AW$7-1)</f>
        <v>16.376256</v>
      </c>
      <c r="AX19" s="118" t="n">
        <f aca="false">Inputs!$B$17*AX10*(1+Inputs!$B$18)^(AX$7-1)</f>
        <v>16.376256</v>
      </c>
      <c r="AY19" s="118" t="n">
        <f aca="false">Inputs!$B$17*AY10*(1+Inputs!$B$18)^(AY$7-1)</f>
        <v>17.68635648</v>
      </c>
      <c r="AZ19" s="118" t="n">
        <f aca="false">Inputs!$B$17*AZ10*(1+Inputs!$B$18)^(AZ$7-1)</f>
        <v>17.68635648</v>
      </c>
      <c r="BA19" s="118" t="n">
        <f aca="false">Inputs!$B$17*BA10*(1+Inputs!$B$18)^(BA$7-1)</f>
        <v>17.68635648</v>
      </c>
      <c r="BB19" s="118" t="n">
        <f aca="false">Inputs!$B$17*BB10*(1+Inputs!$B$18)^(BB$7-1)</f>
        <v>17.68635648</v>
      </c>
      <c r="BC19" s="118" t="n">
        <f aca="false">Inputs!$B$17*BC10*(1+Inputs!$B$18)^(BC$7-1)</f>
        <v>17.68635648</v>
      </c>
      <c r="BD19" s="118" t="n">
        <f aca="false">Inputs!$B$17*BD10*(1+Inputs!$B$18)^(BD$7-1)</f>
        <v>17.68635648</v>
      </c>
      <c r="BE19" s="118" t="n">
        <f aca="false">Inputs!$B$17*BE10*(1+Inputs!$B$18)^(BE$7-1)</f>
        <v>17.68635648</v>
      </c>
      <c r="BF19" s="118" t="n">
        <f aca="false">Inputs!$B$17*BF10*(1+Inputs!$B$18)^(BF$7-1)</f>
        <v>17.68635648</v>
      </c>
      <c r="BG19" s="118" t="n">
        <f aca="false">Inputs!$B$17*BG10*(1+Inputs!$B$18)^(BG$7-1)</f>
        <v>17.68635648</v>
      </c>
      <c r="BH19" s="118" t="n">
        <f aca="false">Inputs!$B$17*BH10*(1+Inputs!$B$18)^(BH$7-1)</f>
        <v>17.68635648</v>
      </c>
      <c r="BI19" s="118" t="n">
        <f aca="false">Inputs!$B$17*BI10*(1+Inputs!$B$18)^(BI$7-1)</f>
        <v>17.68635648</v>
      </c>
      <c r="BJ19" s="118" t="n">
        <f aca="false">Inputs!$B$17*BJ10*(1+Inputs!$B$18)^(BJ$7-1)</f>
        <v>17.68635648</v>
      </c>
    </row>
    <row r="20" customFormat="false" ht="15" hidden="false" customHeight="false" outlineLevel="0" collapsed="false">
      <c r="A20" s="6" t="s">
        <v>407</v>
      </c>
      <c r="C20" s="67" t="n">
        <f aca="false">Inputs!$B$19*(1+Inputs!$B$12)^(C$7-1)</f>
        <v>500</v>
      </c>
      <c r="D20" s="67" t="n">
        <f aca="false">Inputs!$B$19*(1+Inputs!$B$12)^(D$7-1)</f>
        <v>500</v>
      </c>
      <c r="E20" s="67" t="n">
        <f aca="false">Inputs!$B$19*(1+Inputs!$B$12)^(E$7-1)</f>
        <v>500</v>
      </c>
      <c r="F20" s="67" t="n">
        <f aca="false">Inputs!$B$19*(1+Inputs!$B$12)^(F$7-1)</f>
        <v>500</v>
      </c>
      <c r="G20" s="67" t="n">
        <f aca="false">Inputs!$B$19*(1+Inputs!$B$12)^(G$7-1)</f>
        <v>500</v>
      </c>
      <c r="H20" s="67" t="n">
        <f aca="false">Inputs!$B$19*(1+Inputs!$B$12)^(H$7-1)</f>
        <v>500</v>
      </c>
      <c r="I20" s="67" t="n">
        <f aca="false">Inputs!$B$19*(1+Inputs!$B$12)^(I$7-1)</f>
        <v>500</v>
      </c>
      <c r="J20" s="67" t="n">
        <f aca="false">Inputs!$B$19*(1+Inputs!$B$12)^(J$7-1)</f>
        <v>500</v>
      </c>
      <c r="K20" s="67" t="n">
        <f aca="false">Inputs!$B$19*(1+Inputs!$B$12)^(K$7-1)</f>
        <v>500</v>
      </c>
      <c r="L20" s="67" t="n">
        <f aca="false">Inputs!$B$19*(1+Inputs!$B$12)^(L$7-1)</f>
        <v>500</v>
      </c>
      <c r="M20" s="67" t="n">
        <f aca="false">Inputs!$B$19*(1+Inputs!$B$12)^(M$7-1)</f>
        <v>500</v>
      </c>
      <c r="N20" s="67" t="n">
        <f aca="false">Inputs!$B$19*(1+Inputs!$B$12)^(N$7-1)</f>
        <v>500</v>
      </c>
      <c r="O20" s="67" t="n">
        <f aca="false">Inputs!$B$19*(1+Inputs!$B$12)^(O$7-1)</f>
        <v>510</v>
      </c>
      <c r="P20" s="67" t="n">
        <f aca="false">Inputs!$B$19*(1+Inputs!$B$12)^(P$7-1)</f>
        <v>510</v>
      </c>
      <c r="Q20" s="67" t="n">
        <f aca="false">Inputs!$B$19*(1+Inputs!$B$12)^(Q$7-1)</f>
        <v>510</v>
      </c>
      <c r="R20" s="67" t="n">
        <f aca="false">Inputs!$B$19*(1+Inputs!$B$12)^(R$7-1)</f>
        <v>510</v>
      </c>
      <c r="S20" s="67" t="n">
        <f aca="false">Inputs!$B$19*(1+Inputs!$B$12)^(S$7-1)</f>
        <v>510</v>
      </c>
      <c r="T20" s="67" t="n">
        <f aca="false">Inputs!$B$19*(1+Inputs!$B$12)^(T$7-1)</f>
        <v>510</v>
      </c>
      <c r="U20" s="67" t="n">
        <f aca="false">Inputs!$B$19*(1+Inputs!$B$12)^(U$7-1)</f>
        <v>510</v>
      </c>
      <c r="V20" s="67" t="n">
        <f aca="false">Inputs!$B$19*(1+Inputs!$B$12)^(V$7-1)</f>
        <v>510</v>
      </c>
      <c r="W20" s="67" t="n">
        <f aca="false">Inputs!$B$19*(1+Inputs!$B$12)^(W$7-1)</f>
        <v>510</v>
      </c>
      <c r="X20" s="67" t="n">
        <f aca="false">Inputs!$B$19*(1+Inputs!$B$12)^(X$7-1)</f>
        <v>510</v>
      </c>
      <c r="Y20" s="67" t="n">
        <f aca="false">Inputs!$B$19*(1+Inputs!$B$12)^(Y$7-1)</f>
        <v>510</v>
      </c>
      <c r="Z20" s="67" t="n">
        <f aca="false">Inputs!$B$19*(1+Inputs!$B$12)^(Z$7-1)</f>
        <v>510</v>
      </c>
      <c r="AA20" s="67" t="n">
        <f aca="false">Inputs!$B$19*(1+Inputs!$B$12)^(AA$7-1)</f>
        <v>520.2</v>
      </c>
      <c r="AB20" s="67" t="n">
        <f aca="false">Inputs!$B$19*(1+Inputs!$B$12)^(AB$7-1)</f>
        <v>520.2</v>
      </c>
      <c r="AC20" s="67" t="n">
        <f aca="false">Inputs!$B$19*(1+Inputs!$B$12)^(AC$7-1)</f>
        <v>520.2</v>
      </c>
      <c r="AD20" s="67" t="n">
        <f aca="false">Inputs!$B$19*(1+Inputs!$B$12)^(AD$7-1)</f>
        <v>520.2</v>
      </c>
      <c r="AE20" s="67" t="n">
        <f aca="false">Inputs!$B$19*(1+Inputs!$B$12)^(AE$7-1)</f>
        <v>520.2</v>
      </c>
      <c r="AF20" s="67" t="n">
        <f aca="false">Inputs!$B$19*(1+Inputs!$B$12)^(AF$7-1)</f>
        <v>520.2</v>
      </c>
      <c r="AG20" s="67" t="n">
        <f aca="false">Inputs!$B$19*(1+Inputs!$B$12)^(AG$7-1)</f>
        <v>520.2</v>
      </c>
      <c r="AH20" s="67" t="n">
        <f aca="false">Inputs!$B$19*(1+Inputs!$B$12)^(AH$7-1)</f>
        <v>520.2</v>
      </c>
      <c r="AI20" s="67" t="n">
        <f aca="false">Inputs!$B$19*(1+Inputs!$B$12)^(AI$7-1)</f>
        <v>520.2</v>
      </c>
      <c r="AJ20" s="67" t="n">
        <f aca="false">Inputs!$B$19*(1+Inputs!$B$12)^(AJ$7-1)</f>
        <v>520.2</v>
      </c>
      <c r="AK20" s="67" t="n">
        <f aca="false">Inputs!$B$19*(1+Inputs!$B$12)^(AK$7-1)</f>
        <v>520.2</v>
      </c>
      <c r="AL20" s="67" t="n">
        <f aca="false">Inputs!$B$19*(1+Inputs!$B$12)^(AL$7-1)</f>
        <v>520.2</v>
      </c>
      <c r="AM20" s="67" t="n">
        <f aca="false">Inputs!$B$19*(1+Inputs!$B$12)^(AM$7-1)</f>
        <v>530.604</v>
      </c>
      <c r="AN20" s="67" t="n">
        <f aca="false">Inputs!$B$19*(1+Inputs!$B$12)^(AN$7-1)</f>
        <v>530.604</v>
      </c>
      <c r="AO20" s="67" t="n">
        <f aca="false">Inputs!$B$19*(1+Inputs!$B$12)^(AO$7-1)</f>
        <v>530.604</v>
      </c>
      <c r="AP20" s="67" t="n">
        <f aca="false">Inputs!$B$19*(1+Inputs!$B$12)^(AP$7-1)</f>
        <v>530.604</v>
      </c>
      <c r="AQ20" s="67" t="n">
        <f aca="false">Inputs!$B$19*(1+Inputs!$B$12)^(AQ$7-1)</f>
        <v>530.604</v>
      </c>
      <c r="AR20" s="67" t="n">
        <f aca="false">Inputs!$B$19*(1+Inputs!$B$12)^(AR$7-1)</f>
        <v>530.604</v>
      </c>
      <c r="AS20" s="67" t="n">
        <f aca="false">Inputs!$B$19*(1+Inputs!$B$12)^(AS$7-1)</f>
        <v>530.604</v>
      </c>
      <c r="AT20" s="67" t="n">
        <f aca="false">Inputs!$B$19*(1+Inputs!$B$12)^(AT$7-1)</f>
        <v>530.604</v>
      </c>
      <c r="AU20" s="67" t="n">
        <f aca="false">Inputs!$B$19*(1+Inputs!$B$12)^(AU$7-1)</f>
        <v>530.604</v>
      </c>
      <c r="AV20" s="67" t="n">
        <f aca="false">Inputs!$B$19*(1+Inputs!$B$12)^(AV$7-1)</f>
        <v>530.604</v>
      </c>
      <c r="AW20" s="67" t="n">
        <f aca="false">Inputs!$B$19*(1+Inputs!$B$12)^(AW$7-1)</f>
        <v>530.604</v>
      </c>
      <c r="AX20" s="67" t="n">
        <f aca="false">Inputs!$B$19*(1+Inputs!$B$12)^(AX$7-1)</f>
        <v>530.604</v>
      </c>
      <c r="AY20" s="67" t="n">
        <f aca="false">Inputs!$B$19*(1+Inputs!$B$12)^(AY$7-1)</f>
        <v>541.21608</v>
      </c>
      <c r="AZ20" s="67" t="n">
        <f aca="false">Inputs!$B$19*(1+Inputs!$B$12)^(AZ$7-1)</f>
        <v>541.21608</v>
      </c>
      <c r="BA20" s="67" t="n">
        <f aca="false">Inputs!$B$19*(1+Inputs!$B$12)^(BA$7-1)</f>
        <v>541.21608</v>
      </c>
      <c r="BB20" s="67" t="n">
        <f aca="false">Inputs!$B$19*(1+Inputs!$B$12)^(BB$7-1)</f>
        <v>541.21608</v>
      </c>
      <c r="BC20" s="67" t="n">
        <f aca="false">Inputs!$B$19*(1+Inputs!$B$12)^(BC$7-1)</f>
        <v>541.21608</v>
      </c>
      <c r="BD20" s="67" t="n">
        <f aca="false">Inputs!$B$19*(1+Inputs!$B$12)^(BD$7-1)</f>
        <v>541.21608</v>
      </c>
      <c r="BE20" s="67" t="n">
        <f aca="false">Inputs!$B$19*(1+Inputs!$B$12)^(BE$7-1)</f>
        <v>541.21608</v>
      </c>
      <c r="BF20" s="67" t="n">
        <f aca="false">Inputs!$B$19*(1+Inputs!$B$12)^(BF$7-1)</f>
        <v>541.21608</v>
      </c>
      <c r="BG20" s="67" t="n">
        <f aca="false">Inputs!$B$19*(1+Inputs!$B$12)^(BG$7-1)</f>
        <v>541.21608</v>
      </c>
      <c r="BH20" s="67" t="n">
        <f aca="false">Inputs!$B$19*(1+Inputs!$B$12)^(BH$7-1)</f>
        <v>541.21608</v>
      </c>
      <c r="BI20" s="67" t="n">
        <f aca="false">Inputs!$B$19*(1+Inputs!$B$12)^(BI$7-1)</f>
        <v>541.21608</v>
      </c>
      <c r="BJ20" s="67" t="n">
        <f aca="false">Inputs!$B$19*(1+Inputs!$B$12)^(BJ$7-1)</f>
        <v>541.21608</v>
      </c>
    </row>
    <row r="21" customFormat="false" ht="15" hidden="false" customHeight="false" outlineLevel="0" collapsed="false">
      <c r="A21" s="6" t="s">
        <v>59</v>
      </c>
      <c r="C21" s="67" t="n">
        <f aca="false">C19*C20*52/12*1</f>
        <v>23941.6666666667</v>
      </c>
      <c r="D21" s="67" t="n">
        <f aca="false">D19*D20*52/12*1</f>
        <v>25350</v>
      </c>
      <c r="E21" s="67" t="n">
        <f aca="false">E19*E20*52/12*1</f>
        <v>26758.3333333333</v>
      </c>
      <c r="F21" s="67" t="n">
        <f aca="false">F19*F20*52/12*1</f>
        <v>28166.6666666667</v>
      </c>
      <c r="G21" s="67" t="n">
        <f aca="false">G19*G20*52/12*1</f>
        <v>28166.6666666667</v>
      </c>
      <c r="H21" s="67" t="n">
        <f aca="false">H19*H20*52/12*1</f>
        <v>28166.6666666667</v>
      </c>
      <c r="I21" s="67" t="n">
        <f aca="false">I19*I20*52/12*1</f>
        <v>28166.6666666667</v>
      </c>
      <c r="J21" s="67" t="n">
        <f aca="false">J19*J20*52/12*1</f>
        <v>28166.6666666667</v>
      </c>
      <c r="K21" s="67" t="n">
        <f aca="false">K19*K20*52/12*1</f>
        <v>28166.6666666667</v>
      </c>
      <c r="L21" s="67" t="n">
        <f aca="false">L19*L20*52/12*1</f>
        <v>28166.6666666667</v>
      </c>
      <c r="M21" s="67" t="n">
        <f aca="false">M19*M20*52/12*1</f>
        <v>28166.6666666667</v>
      </c>
      <c r="N21" s="67" t="n">
        <f aca="false">N19*N20*52/12*1</f>
        <v>28166.6666666667</v>
      </c>
      <c r="O21" s="67" t="n">
        <f aca="false">O19*O20*52/12*1</f>
        <v>31028.4</v>
      </c>
      <c r="P21" s="67" t="n">
        <f aca="false">P19*P20*52/12*1</f>
        <v>31028.4</v>
      </c>
      <c r="Q21" s="67" t="n">
        <f aca="false">Q19*Q20*52/12*1</f>
        <v>31028.4</v>
      </c>
      <c r="R21" s="67" t="n">
        <f aca="false">R19*R20*52/12*1</f>
        <v>31028.4</v>
      </c>
      <c r="S21" s="67" t="n">
        <f aca="false">S19*S20*52/12*1</f>
        <v>31028.4</v>
      </c>
      <c r="T21" s="67" t="n">
        <f aca="false">T19*T20*52/12*1</f>
        <v>31028.4</v>
      </c>
      <c r="U21" s="67" t="n">
        <f aca="false">U19*U20*52/12*1</f>
        <v>31028.4</v>
      </c>
      <c r="V21" s="67" t="n">
        <f aca="false">V19*V20*52/12*1</f>
        <v>31028.4</v>
      </c>
      <c r="W21" s="67" t="n">
        <f aca="false">W19*W20*52/12*1</f>
        <v>31028.4</v>
      </c>
      <c r="X21" s="67" t="n">
        <f aca="false">X19*X20*52/12*1</f>
        <v>31028.4</v>
      </c>
      <c r="Y21" s="67" t="n">
        <f aca="false">Y19*Y20*52/12*1</f>
        <v>31028.4</v>
      </c>
      <c r="Z21" s="67" t="n">
        <f aca="false">Z19*Z20*52/12*1</f>
        <v>31028.4</v>
      </c>
      <c r="AA21" s="67" t="n">
        <f aca="false">AA19*AA20*52/12*1</f>
        <v>34180.88544</v>
      </c>
      <c r="AB21" s="67" t="n">
        <f aca="false">AB19*AB20*52/12*1</f>
        <v>34180.88544</v>
      </c>
      <c r="AC21" s="67" t="n">
        <f aca="false">AC19*AC20*52/12*1</f>
        <v>34180.88544</v>
      </c>
      <c r="AD21" s="67" t="n">
        <f aca="false">AD19*AD20*52/12*1</f>
        <v>34180.88544</v>
      </c>
      <c r="AE21" s="67" t="n">
        <f aca="false">AE19*AE20*52/12*1</f>
        <v>34180.88544</v>
      </c>
      <c r="AF21" s="67" t="n">
        <f aca="false">AF19*AF20*52/12*1</f>
        <v>34180.88544</v>
      </c>
      <c r="AG21" s="67" t="n">
        <f aca="false">AG19*AG20*52/12*1</f>
        <v>34180.88544</v>
      </c>
      <c r="AH21" s="67" t="n">
        <f aca="false">AH19*AH20*52/12*1</f>
        <v>34180.88544</v>
      </c>
      <c r="AI21" s="67" t="n">
        <f aca="false">AI19*AI20*52/12*1</f>
        <v>34180.88544</v>
      </c>
      <c r="AJ21" s="67" t="n">
        <f aca="false">AJ19*AJ20*52/12*1</f>
        <v>34180.88544</v>
      </c>
      <c r="AK21" s="67" t="n">
        <f aca="false">AK19*AK20*52/12*1</f>
        <v>34180.88544</v>
      </c>
      <c r="AL21" s="67" t="n">
        <f aca="false">AL19*AL20*52/12*1</f>
        <v>34180.88544</v>
      </c>
      <c r="AM21" s="67" t="n">
        <f aca="false">AM19*AM20*52/12*1</f>
        <v>37653.663400704</v>
      </c>
      <c r="AN21" s="67" t="n">
        <f aca="false">AN19*AN20*52/12*1</f>
        <v>37653.663400704</v>
      </c>
      <c r="AO21" s="67" t="n">
        <f aca="false">AO19*AO20*52/12*1</f>
        <v>37653.663400704</v>
      </c>
      <c r="AP21" s="67" t="n">
        <f aca="false">AP19*AP20*52/12*1</f>
        <v>37653.663400704</v>
      </c>
      <c r="AQ21" s="67" t="n">
        <f aca="false">AQ19*AQ20*52/12*1</f>
        <v>37653.663400704</v>
      </c>
      <c r="AR21" s="67" t="n">
        <f aca="false">AR19*AR20*52/12*1</f>
        <v>37653.663400704</v>
      </c>
      <c r="AS21" s="67" t="n">
        <f aca="false">AS19*AS20*52/12*1</f>
        <v>37653.663400704</v>
      </c>
      <c r="AT21" s="67" t="n">
        <f aca="false">AT19*AT20*52/12*1</f>
        <v>37653.663400704</v>
      </c>
      <c r="AU21" s="67" t="n">
        <f aca="false">AU19*AU20*52/12*1</f>
        <v>37653.663400704</v>
      </c>
      <c r="AV21" s="67" t="n">
        <f aca="false">AV19*AV20*52/12*1</f>
        <v>37653.663400704</v>
      </c>
      <c r="AW21" s="67" t="n">
        <f aca="false">AW19*AW20*52/12*1</f>
        <v>37653.663400704</v>
      </c>
      <c r="AX21" s="67" t="n">
        <f aca="false">AX19*AX20*52/12*1</f>
        <v>37653.663400704</v>
      </c>
      <c r="AY21" s="67" t="n">
        <f aca="false">AY19*AY20*52/12*1</f>
        <v>41479.2756022155</v>
      </c>
      <c r="AZ21" s="67" t="n">
        <f aca="false">AZ19*AZ20*52/12*1</f>
        <v>41479.2756022155</v>
      </c>
      <c r="BA21" s="67" t="n">
        <f aca="false">BA19*BA20*52/12*1</f>
        <v>41479.2756022155</v>
      </c>
      <c r="BB21" s="67" t="n">
        <f aca="false">BB19*BB20*52/12*1</f>
        <v>41479.2756022155</v>
      </c>
      <c r="BC21" s="67" t="n">
        <f aca="false">BC19*BC20*52/12*1</f>
        <v>41479.2756022155</v>
      </c>
      <c r="BD21" s="67" t="n">
        <f aca="false">BD19*BD20*52/12*1</f>
        <v>41479.2756022155</v>
      </c>
      <c r="BE21" s="67" t="n">
        <f aca="false">BE19*BE20*52/12*1</f>
        <v>41479.2756022155</v>
      </c>
      <c r="BF21" s="67" t="n">
        <f aca="false">BF19*BF20*52/12*1</f>
        <v>41479.2756022155</v>
      </c>
      <c r="BG21" s="67" t="n">
        <f aca="false">BG19*BG20*52/12*1</f>
        <v>41479.2756022155</v>
      </c>
      <c r="BH21" s="67" t="n">
        <f aca="false">BH19*BH20*52/12*1</f>
        <v>41479.2756022155</v>
      </c>
      <c r="BI21" s="67" t="n">
        <f aca="false">BI19*BI20*52/12*1</f>
        <v>41479.2756022155</v>
      </c>
      <c r="BJ21" s="67" t="n">
        <f aca="false">BJ19*BJ20*52/12*1</f>
        <v>41479.2756022155</v>
      </c>
    </row>
    <row r="23" customFormat="false" ht="15.75" hidden="false" customHeight="true" outlineLevel="0" collapsed="false">
      <c r="A23" s="7" t="s">
        <v>44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customFormat="false" ht="15" hidden="false" customHeight="false" outlineLevel="0" collapsed="false">
      <c r="A24" s="115" t="s">
        <v>44</v>
      </c>
      <c r="C24" s="68" t="n">
        <f aca="false">C16+C21</f>
        <v>93439.6666666667</v>
      </c>
      <c r="D24" s="68" t="n">
        <f aca="false">D16+D21</f>
        <v>99138</v>
      </c>
      <c r="E24" s="68" t="n">
        <f aca="false">E16+E21</f>
        <v>104836.333333333</v>
      </c>
      <c r="F24" s="68" t="n">
        <f aca="false">F16+F21</f>
        <v>110534.666666667</v>
      </c>
      <c r="G24" s="68" t="n">
        <f aca="false">G16+G21</f>
        <v>110534.666666667</v>
      </c>
      <c r="H24" s="68" t="n">
        <f aca="false">H16+H21</f>
        <v>110534.666666667</v>
      </c>
      <c r="I24" s="68" t="n">
        <f aca="false">I16+I21</f>
        <v>110534.666666667</v>
      </c>
      <c r="J24" s="68" t="n">
        <f aca="false">J16+J21</f>
        <v>110534.666666667</v>
      </c>
      <c r="K24" s="68" t="n">
        <f aca="false">K16+K21</f>
        <v>110534.666666667</v>
      </c>
      <c r="L24" s="68" t="n">
        <f aca="false">L16+L21</f>
        <v>110534.666666667</v>
      </c>
      <c r="M24" s="68" t="n">
        <f aca="false">M16+M21</f>
        <v>131126.666666667</v>
      </c>
      <c r="N24" s="68" t="n">
        <f aca="false">N16+N21</f>
        <v>131126.666666667</v>
      </c>
      <c r="O24" s="68" t="n">
        <f aca="false">O16+O21</f>
        <v>115883.9136</v>
      </c>
      <c r="P24" s="68" t="n">
        <f aca="false">P16+P21</f>
        <v>115883.9136</v>
      </c>
      <c r="Q24" s="68" t="n">
        <f aca="false">Q16+Q21</f>
        <v>115883.9136</v>
      </c>
      <c r="R24" s="68" t="n">
        <f aca="false">R16+R21</f>
        <v>115883.9136</v>
      </c>
      <c r="S24" s="68" t="n">
        <f aca="false">S16+S21</f>
        <v>115883.9136</v>
      </c>
      <c r="T24" s="68" t="n">
        <f aca="false">T16+T21</f>
        <v>115883.9136</v>
      </c>
      <c r="U24" s="68" t="n">
        <f aca="false">U16+U21</f>
        <v>115883.9136</v>
      </c>
      <c r="V24" s="68" t="n">
        <f aca="false">V16+V21</f>
        <v>115883.9136</v>
      </c>
      <c r="W24" s="68" t="n">
        <f aca="false">W16+W21</f>
        <v>115883.9136</v>
      </c>
      <c r="X24" s="68" t="n">
        <f aca="false">X16+X21</f>
        <v>115883.9136</v>
      </c>
      <c r="Y24" s="68" t="n">
        <f aca="false">Y16+Y21</f>
        <v>137097.792</v>
      </c>
      <c r="Z24" s="68" t="n">
        <f aca="false">Z16+Z21</f>
        <v>137097.792</v>
      </c>
      <c r="AA24" s="68" t="n">
        <f aca="false">AA16+AA21</f>
        <v>121599.03555072</v>
      </c>
      <c r="AB24" s="68" t="n">
        <f aca="false">AB16+AB21</f>
        <v>121599.03555072</v>
      </c>
      <c r="AC24" s="68" t="n">
        <f aca="false">AC16+AC21</f>
        <v>121599.03555072</v>
      </c>
      <c r="AD24" s="68" t="n">
        <f aca="false">AD16+AD21</f>
        <v>121599.03555072</v>
      </c>
      <c r="AE24" s="68" t="n">
        <f aca="false">AE16+AE21</f>
        <v>121599.03555072</v>
      </c>
      <c r="AF24" s="68" t="n">
        <f aca="false">AF16+AF21</f>
        <v>121599.03555072</v>
      </c>
      <c r="AG24" s="68" t="n">
        <f aca="false">AG16+AG21</f>
        <v>121599.03555072</v>
      </c>
      <c r="AH24" s="68" t="n">
        <f aca="false">AH16+AH21</f>
        <v>121599.03555072</v>
      </c>
      <c r="AI24" s="68" t="n">
        <f aca="false">AI16+AI21</f>
        <v>121599.03555072</v>
      </c>
      <c r="AJ24" s="68" t="n">
        <f aca="false">AJ16+AJ21</f>
        <v>121599.03555072</v>
      </c>
      <c r="AK24" s="68" t="n">
        <f aca="false">AK16+AK21</f>
        <v>143453.5730784</v>
      </c>
      <c r="AL24" s="68" t="n">
        <f aca="false">AL16+AL21</f>
        <v>143453.5730784</v>
      </c>
      <c r="AM24" s="68" t="n">
        <f aca="false">AM16+AM21</f>
        <v>127711.841644768</v>
      </c>
      <c r="AN24" s="68" t="n">
        <f aca="false">AN16+AN21</f>
        <v>127711.841644768</v>
      </c>
      <c r="AO24" s="68" t="n">
        <f aca="false">AO16+AO21</f>
        <v>127711.841644768</v>
      </c>
      <c r="AP24" s="68" t="n">
        <f aca="false">AP16+AP21</f>
        <v>127711.841644768</v>
      </c>
      <c r="AQ24" s="68" t="n">
        <f aca="false">AQ16+AQ21</f>
        <v>127711.841644768</v>
      </c>
      <c r="AR24" s="68" t="n">
        <f aca="false">AR16+AR21</f>
        <v>127711.841644768</v>
      </c>
      <c r="AS24" s="68" t="n">
        <f aca="false">AS16+AS21</f>
        <v>127711.841644768</v>
      </c>
      <c r="AT24" s="68" t="n">
        <f aca="false">AT16+AT21</f>
        <v>127711.841644768</v>
      </c>
      <c r="AU24" s="68" t="n">
        <f aca="false">AU16+AU21</f>
        <v>127711.841644768</v>
      </c>
      <c r="AV24" s="68" t="n">
        <f aca="false">AV16+AV21</f>
        <v>127711.841644768</v>
      </c>
      <c r="AW24" s="68" t="n">
        <f aca="false">AW16+AW21</f>
        <v>150226.386205784</v>
      </c>
      <c r="AX24" s="68" t="n">
        <f aca="false">AX16+AX21</f>
        <v>150226.386205784</v>
      </c>
      <c r="AY24" s="68" t="n">
        <f aca="false">AY16+AY21</f>
        <v>134257.21082925</v>
      </c>
      <c r="AZ24" s="68" t="n">
        <f aca="false">AZ16+AZ21</f>
        <v>134257.21082925</v>
      </c>
      <c r="BA24" s="68" t="n">
        <f aca="false">BA16+BA21</f>
        <v>134257.21082925</v>
      </c>
      <c r="BB24" s="68" t="n">
        <f aca="false">BB16+BB21</f>
        <v>134257.21082925</v>
      </c>
      <c r="BC24" s="68" t="n">
        <f aca="false">BC16+BC21</f>
        <v>134257.21082925</v>
      </c>
      <c r="BD24" s="68" t="n">
        <f aca="false">BD16+BD21</f>
        <v>134257.21082925</v>
      </c>
      <c r="BE24" s="68" t="n">
        <f aca="false">BE16+BE21</f>
        <v>134257.21082925</v>
      </c>
      <c r="BF24" s="68" t="n">
        <f aca="false">BF16+BF21</f>
        <v>134257.21082925</v>
      </c>
      <c r="BG24" s="68" t="n">
        <f aca="false">BG16+BG21</f>
        <v>134257.21082925</v>
      </c>
      <c r="BH24" s="68" t="n">
        <f aca="false">BH16+BH21</f>
        <v>134257.21082925</v>
      </c>
      <c r="BI24" s="68" t="n">
        <f aca="false">BI16+BI21</f>
        <v>157451.694636009</v>
      </c>
      <c r="BJ24" s="68" t="n">
        <f aca="false">BJ16+BJ21</f>
        <v>157451.694636009</v>
      </c>
    </row>
    <row r="26" customFormat="false" ht="15.75" hidden="false" customHeight="true" outlineLevel="0" collapsed="false">
      <c r="A26" s="7" t="s">
        <v>76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customFormat="false" ht="15" hidden="false" customHeight="false" outlineLevel="0" collapsed="false">
      <c r="A27" s="6" t="s">
        <v>408</v>
      </c>
      <c r="C27" s="67" t="n">
        <f aca="false">-(C16*Inputs!$B$24+C21*Inputs!$B$25)</f>
        <v>-25981.865</v>
      </c>
      <c r="D27" s="67" t="n">
        <f aca="false">-(D16*Inputs!$B$24+D21*Inputs!$B$25)</f>
        <v>-27561.69</v>
      </c>
      <c r="E27" s="67" t="n">
        <f aca="false">-(E16*Inputs!$B$24+E21*Inputs!$B$25)</f>
        <v>-29141.515</v>
      </c>
      <c r="F27" s="67" t="n">
        <f aca="false">-(F16*Inputs!$B$24+F21*Inputs!$B$25)</f>
        <v>-30721.34</v>
      </c>
      <c r="G27" s="67" t="n">
        <f aca="false">-(G16*Inputs!$B$24+G21*Inputs!$B$25)</f>
        <v>-30721.34</v>
      </c>
      <c r="H27" s="67" t="n">
        <f aca="false">-(H16*Inputs!$B$24+H21*Inputs!$B$25)</f>
        <v>-30721.34</v>
      </c>
      <c r="I27" s="67" t="n">
        <f aca="false">-(I16*Inputs!$B$24+I21*Inputs!$B$25)</f>
        <v>-30721.34</v>
      </c>
      <c r="J27" s="67" t="n">
        <f aca="false">-(J16*Inputs!$B$24+J21*Inputs!$B$25)</f>
        <v>-30721.34</v>
      </c>
      <c r="K27" s="67" t="n">
        <f aca="false">-(K16*Inputs!$B$24+K21*Inputs!$B$25)</f>
        <v>-30721.34</v>
      </c>
      <c r="L27" s="67" t="n">
        <f aca="false">-(L16*Inputs!$B$24+L21*Inputs!$B$25)</f>
        <v>-30721.34</v>
      </c>
      <c r="M27" s="67" t="n">
        <f aca="false">-(M16*Inputs!$B$24+M21*Inputs!$B$25)</f>
        <v>-35972.3</v>
      </c>
      <c r="N27" s="67" t="n">
        <f aca="false">-(N16*Inputs!$B$24+N21*Inputs!$B$25)</f>
        <v>-35972.3</v>
      </c>
      <c r="O27" s="67" t="n">
        <f aca="false">-(O16*Inputs!$B$24+O21*Inputs!$B$25)</f>
        <v>-32342.953968</v>
      </c>
      <c r="P27" s="67" t="n">
        <f aca="false">-(P16*Inputs!$B$24+P21*Inputs!$B$25)</f>
        <v>-32342.953968</v>
      </c>
      <c r="Q27" s="67" t="n">
        <f aca="false">-(Q16*Inputs!$B$24+Q21*Inputs!$B$25)</f>
        <v>-32342.953968</v>
      </c>
      <c r="R27" s="67" t="n">
        <f aca="false">-(R16*Inputs!$B$24+R21*Inputs!$B$25)</f>
        <v>-32342.953968</v>
      </c>
      <c r="S27" s="67" t="n">
        <f aca="false">-(S16*Inputs!$B$24+S21*Inputs!$B$25)</f>
        <v>-32342.953968</v>
      </c>
      <c r="T27" s="67" t="n">
        <f aca="false">-(T16*Inputs!$B$24+T21*Inputs!$B$25)</f>
        <v>-32342.953968</v>
      </c>
      <c r="U27" s="67" t="n">
        <f aca="false">-(U16*Inputs!$B$24+U21*Inputs!$B$25)</f>
        <v>-32342.953968</v>
      </c>
      <c r="V27" s="67" t="n">
        <f aca="false">-(V16*Inputs!$B$24+V21*Inputs!$B$25)</f>
        <v>-32342.953968</v>
      </c>
      <c r="W27" s="67" t="n">
        <f aca="false">-(W16*Inputs!$B$24+W21*Inputs!$B$25)</f>
        <v>-32342.953968</v>
      </c>
      <c r="X27" s="67" t="n">
        <f aca="false">-(X16*Inputs!$B$24+X21*Inputs!$B$25)</f>
        <v>-32342.953968</v>
      </c>
      <c r="Y27" s="67" t="n">
        <f aca="false">-(Y16*Inputs!$B$24+Y21*Inputs!$B$25)</f>
        <v>-37752.49296</v>
      </c>
      <c r="Z27" s="67" t="n">
        <f aca="false">-(Z16*Inputs!$B$24+Z21*Inputs!$B$25)</f>
        <v>-37752.49296</v>
      </c>
      <c r="AA27" s="67" t="n">
        <f aca="false">-(AA16*Inputs!$B$24+AA21*Inputs!$B$25)</f>
        <v>-34084.0337550336</v>
      </c>
      <c r="AB27" s="67" t="n">
        <f aca="false">-(AB16*Inputs!$B$24+AB21*Inputs!$B$25)</f>
        <v>-34084.0337550336</v>
      </c>
      <c r="AC27" s="67" t="n">
        <f aca="false">-(AC16*Inputs!$B$24+AC21*Inputs!$B$25)</f>
        <v>-34084.0337550336</v>
      </c>
      <c r="AD27" s="67" t="n">
        <f aca="false">-(AD16*Inputs!$B$24+AD21*Inputs!$B$25)</f>
        <v>-34084.0337550336</v>
      </c>
      <c r="AE27" s="67" t="n">
        <f aca="false">-(AE16*Inputs!$B$24+AE21*Inputs!$B$25)</f>
        <v>-34084.0337550336</v>
      </c>
      <c r="AF27" s="67" t="n">
        <f aca="false">-(AF16*Inputs!$B$24+AF21*Inputs!$B$25)</f>
        <v>-34084.0337550336</v>
      </c>
      <c r="AG27" s="67" t="n">
        <f aca="false">-(AG16*Inputs!$B$24+AG21*Inputs!$B$25)</f>
        <v>-34084.0337550336</v>
      </c>
      <c r="AH27" s="67" t="n">
        <f aca="false">-(AH16*Inputs!$B$24+AH21*Inputs!$B$25)</f>
        <v>-34084.0337550336</v>
      </c>
      <c r="AI27" s="67" t="n">
        <f aca="false">-(AI16*Inputs!$B$24+AI21*Inputs!$B$25)</f>
        <v>-34084.0337550336</v>
      </c>
      <c r="AJ27" s="67" t="n">
        <f aca="false">-(AJ16*Inputs!$B$24+AJ21*Inputs!$B$25)</f>
        <v>-34084.0337550336</v>
      </c>
      <c r="AK27" s="67" t="n">
        <f aca="false">-(AK16*Inputs!$B$24+AK21*Inputs!$B$25)</f>
        <v>-39656.940824592</v>
      </c>
      <c r="AL27" s="67" t="n">
        <f aca="false">-(AL16*Inputs!$B$24+AL21*Inputs!$B$25)</f>
        <v>-39656.940824592</v>
      </c>
      <c r="AM27" s="67" t="n">
        <f aca="false">-(AM16*Inputs!$B$24+AM21*Inputs!$B$25)</f>
        <v>-35955.3493254791</v>
      </c>
      <c r="AN27" s="67" t="n">
        <f aca="false">-(AN16*Inputs!$B$24+AN21*Inputs!$B$25)</f>
        <v>-35955.3493254791</v>
      </c>
      <c r="AO27" s="67" t="n">
        <f aca="false">-(AO16*Inputs!$B$24+AO21*Inputs!$B$25)</f>
        <v>-35955.3493254791</v>
      </c>
      <c r="AP27" s="67" t="n">
        <f aca="false">-(AP16*Inputs!$B$24+AP21*Inputs!$B$25)</f>
        <v>-35955.3493254791</v>
      </c>
      <c r="AQ27" s="67" t="n">
        <f aca="false">-(AQ16*Inputs!$B$24+AQ21*Inputs!$B$25)</f>
        <v>-35955.3493254791</v>
      </c>
      <c r="AR27" s="67" t="n">
        <f aca="false">-(AR16*Inputs!$B$24+AR21*Inputs!$B$25)</f>
        <v>-35955.3493254791</v>
      </c>
      <c r="AS27" s="67" t="n">
        <f aca="false">-(AS16*Inputs!$B$24+AS21*Inputs!$B$25)</f>
        <v>-35955.3493254791</v>
      </c>
      <c r="AT27" s="67" t="n">
        <f aca="false">-(AT16*Inputs!$B$24+AT21*Inputs!$B$25)</f>
        <v>-35955.3493254791</v>
      </c>
      <c r="AU27" s="67" t="n">
        <f aca="false">-(AU16*Inputs!$B$24+AU21*Inputs!$B$25)</f>
        <v>-35955.3493254791</v>
      </c>
      <c r="AV27" s="67" t="n">
        <f aca="false">-(AV16*Inputs!$B$24+AV21*Inputs!$B$25)</f>
        <v>-35955.3493254791</v>
      </c>
      <c r="AW27" s="67" t="n">
        <f aca="false">-(AW16*Inputs!$B$24+AW21*Inputs!$B$25)</f>
        <v>-41696.5581885382</v>
      </c>
      <c r="AX27" s="67" t="n">
        <f aca="false">-(AX16*Inputs!$B$24+AX21*Inputs!$B$25)</f>
        <v>-41696.5581885382</v>
      </c>
      <c r="AY27" s="67" t="n">
        <f aca="false">-(AY16*Inputs!$B$24+AY21*Inputs!$B$25)</f>
        <v>-37968.7235656582</v>
      </c>
      <c r="AZ27" s="67" t="n">
        <f aca="false">-(AZ16*Inputs!$B$24+AZ21*Inputs!$B$25)</f>
        <v>-37968.7235656582</v>
      </c>
      <c r="BA27" s="67" t="n">
        <f aca="false">-(BA16*Inputs!$B$24+BA21*Inputs!$B$25)</f>
        <v>-37968.7235656582</v>
      </c>
      <c r="BB27" s="67" t="n">
        <f aca="false">-(BB16*Inputs!$B$24+BB21*Inputs!$B$25)</f>
        <v>-37968.7235656582</v>
      </c>
      <c r="BC27" s="67" t="n">
        <f aca="false">-(BC16*Inputs!$B$24+BC21*Inputs!$B$25)</f>
        <v>-37968.7235656582</v>
      </c>
      <c r="BD27" s="67" t="n">
        <f aca="false">-(BD16*Inputs!$B$24+BD21*Inputs!$B$25)</f>
        <v>-37968.7235656582</v>
      </c>
      <c r="BE27" s="67" t="n">
        <f aca="false">-(BE16*Inputs!$B$24+BE21*Inputs!$B$25)</f>
        <v>-37968.7235656582</v>
      </c>
      <c r="BF27" s="67" t="n">
        <f aca="false">-(BF16*Inputs!$B$24+BF21*Inputs!$B$25)</f>
        <v>-37968.7235656582</v>
      </c>
      <c r="BG27" s="67" t="n">
        <f aca="false">-(BG16*Inputs!$B$24+BG21*Inputs!$B$25)</f>
        <v>-37968.7235656582</v>
      </c>
      <c r="BH27" s="67" t="n">
        <f aca="false">-(BH16*Inputs!$B$24+BH21*Inputs!$B$25)</f>
        <v>-37968.7235656582</v>
      </c>
      <c r="BI27" s="67" t="n">
        <f aca="false">-(BI16*Inputs!$B$24+BI21*Inputs!$B$25)</f>
        <v>-43883.3169363816</v>
      </c>
      <c r="BJ27" s="67" t="n">
        <f aca="false">-(BJ16*Inputs!$B$24+BJ21*Inputs!$B$25)</f>
        <v>-43883.3169363816</v>
      </c>
    </row>
    <row r="28" customFormat="false" ht="15" hidden="false" customHeight="false" outlineLevel="0" collapsed="false">
      <c r="A28" s="6" t="s">
        <v>409</v>
      </c>
      <c r="C28" s="67" t="n">
        <f aca="false">-C16*Inputs!$B$24*Inputs!$B$26*100/MAX(1,100-100*Inputs!$B$26)</f>
        <v>-2190.35831460674</v>
      </c>
      <c r="D28" s="67" t="n">
        <f aca="false">-D16*Inputs!$B$24*Inputs!$B$26*100/MAX(1,100-100*Inputs!$B$26)</f>
        <v>-2325.56561797753</v>
      </c>
      <c r="E28" s="67" t="n">
        <f aca="false">-E16*Inputs!$B$24*Inputs!$B$26*100/MAX(1,100-100*Inputs!$B$26)</f>
        <v>-2460.77292134832</v>
      </c>
      <c r="F28" s="67" t="n">
        <f aca="false">-F16*Inputs!$B$24*Inputs!$B$26*100/MAX(1,100-100*Inputs!$B$26)</f>
        <v>-2595.9802247191</v>
      </c>
      <c r="G28" s="67" t="n">
        <f aca="false">-G16*Inputs!$B$24*Inputs!$B$26*100/MAX(1,100-100*Inputs!$B$26)</f>
        <v>-2595.9802247191</v>
      </c>
      <c r="H28" s="67" t="n">
        <f aca="false">-H16*Inputs!$B$24*Inputs!$B$26*100/MAX(1,100-100*Inputs!$B$26)</f>
        <v>-2595.9802247191</v>
      </c>
      <c r="I28" s="67" t="n">
        <f aca="false">-I16*Inputs!$B$24*Inputs!$B$26*100/MAX(1,100-100*Inputs!$B$26)</f>
        <v>-2595.9802247191</v>
      </c>
      <c r="J28" s="67" t="n">
        <f aca="false">-J16*Inputs!$B$24*Inputs!$B$26*100/MAX(1,100-100*Inputs!$B$26)</f>
        <v>-2595.9802247191</v>
      </c>
      <c r="K28" s="67" t="n">
        <f aca="false">-K16*Inputs!$B$24*Inputs!$B$26*100/MAX(1,100-100*Inputs!$B$26)</f>
        <v>-2595.9802247191</v>
      </c>
      <c r="L28" s="67" t="n">
        <f aca="false">-L16*Inputs!$B$24*Inputs!$B$26*100/MAX(1,100-100*Inputs!$B$26)</f>
        <v>-2595.9802247191</v>
      </c>
      <c r="M28" s="67" t="n">
        <f aca="false">-M16*Inputs!$B$24*Inputs!$B$26*100/MAX(1,100-100*Inputs!$B$26)</f>
        <v>-3244.97528089888</v>
      </c>
      <c r="N28" s="67" t="n">
        <f aca="false">-N16*Inputs!$B$24*Inputs!$B$26*100/MAX(1,100-100*Inputs!$B$26)</f>
        <v>-3244.97528089888</v>
      </c>
      <c r="O28" s="67" t="n">
        <f aca="false">-O16*Inputs!$B$24*Inputs!$B$26*100/MAX(1,100-100*Inputs!$B$26)</f>
        <v>-2674.37882750562</v>
      </c>
      <c r="P28" s="67" t="n">
        <f aca="false">-P16*Inputs!$B$24*Inputs!$B$26*100/MAX(1,100-100*Inputs!$B$26)</f>
        <v>-2674.37882750562</v>
      </c>
      <c r="Q28" s="67" t="n">
        <f aca="false">-Q16*Inputs!$B$24*Inputs!$B$26*100/MAX(1,100-100*Inputs!$B$26)</f>
        <v>-2674.37882750562</v>
      </c>
      <c r="R28" s="67" t="n">
        <f aca="false">-R16*Inputs!$B$24*Inputs!$B$26*100/MAX(1,100-100*Inputs!$B$26)</f>
        <v>-2674.37882750562</v>
      </c>
      <c r="S28" s="67" t="n">
        <f aca="false">-S16*Inputs!$B$24*Inputs!$B$26*100/MAX(1,100-100*Inputs!$B$26)</f>
        <v>-2674.37882750562</v>
      </c>
      <c r="T28" s="67" t="n">
        <f aca="false">-T16*Inputs!$B$24*Inputs!$B$26*100/MAX(1,100-100*Inputs!$B$26)</f>
        <v>-2674.37882750562</v>
      </c>
      <c r="U28" s="67" t="n">
        <f aca="false">-U16*Inputs!$B$24*Inputs!$B$26*100/MAX(1,100-100*Inputs!$B$26)</f>
        <v>-2674.37882750562</v>
      </c>
      <c r="V28" s="67" t="n">
        <f aca="false">-V16*Inputs!$B$24*Inputs!$B$26*100/MAX(1,100-100*Inputs!$B$26)</f>
        <v>-2674.37882750562</v>
      </c>
      <c r="W28" s="67" t="n">
        <f aca="false">-W16*Inputs!$B$24*Inputs!$B$26*100/MAX(1,100-100*Inputs!$B$26)</f>
        <v>-2674.37882750562</v>
      </c>
      <c r="X28" s="67" t="n">
        <f aca="false">-X16*Inputs!$B$24*Inputs!$B$26*100/MAX(1,100-100*Inputs!$B$26)</f>
        <v>-2674.37882750562</v>
      </c>
      <c r="Y28" s="67" t="n">
        <f aca="false">-Y16*Inputs!$B$24*Inputs!$B$26*100/MAX(1,100-100*Inputs!$B$26)</f>
        <v>-3342.97353438202</v>
      </c>
      <c r="Z28" s="67" t="n">
        <f aca="false">-Z16*Inputs!$B$24*Inputs!$B$26*100/MAX(1,100-100*Inputs!$B$26)</f>
        <v>-3342.97353438202</v>
      </c>
      <c r="AA28" s="67" t="n">
        <f aca="false">-AA16*Inputs!$B$24*Inputs!$B$26*100/MAX(1,100-100*Inputs!$B$26)</f>
        <v>-2755.14506809629</v>
      </c>
      <c r="AB28" s="67" t="n">
        <f aca="false">-AB16*Inputs!$B$24*Inputs!$B$26*100/MAX(1,100-100*Inputs!$B$26)</f>
        <v>-2755.14506809629</v>
      </c>
      <c r="AC28" s="67" t="n">
        <f aca="false">-AC16*Inputs!$B$24*Inputs!$B$26*100/MAX(1,100-100*Inputs!$B$26)</f>
        <v>-2755.14506809629</v>
      </c>
      <c r="AD28" s="67" t="n">
        <f aca="false">-AD16*Inputs!$B$24*Inputs!$B$26*100/MAX(1,100-100*Inputs!$B$26)</f>
        <v>-2755.14506809629</v>
      </c>
      <c r="AE28" s="67" t="n">
        <f aca="false">-AE16*Inputs!$B$24*Inputs!$B$26*100/MAX(1,100-100*Inputs!$B$26)</f>
        <v>-2755.14506809629</v>
      </c>
      <c r="AF28" s="67" t="n">
        <f aca="false">-AF16*Inputs!$B$24*Inputs!$B$26*100/MAX(1,100-100*Inputs!$B$26)</f>
        <v>-2755.14506809629</v>
      </c>
      <c r="AG28" s="67" t="n">
        <f aca="false">-AG16*Inputs!$B$24*Inputs!$B$26*100/MAX(1,100-100*Inputs!$B$26)</f>
        <v>-2755.14506809629</v>
      </c>
      <c r="AH28" s="67" t="n">
        <f aca="false">-AH16*Inputs!$B$24*Inputs!$B$26*100/MAX(1,100-100*Inputs!$B$26)</f>
        <v>-2755.14506809629</v>
      </c>
      <c r="AI28" s="67" t="n">
        <f aca="false">-AI16*Inputs!$B$24*Inputs!$B$26*100/MAX(1,100-100*Inputs!$B$26)</f>
        <v>-2755.14506809629</v>
      </c>
      <c r="AJ28" s="67" t="n">
        <f aca="false">-AJ16*Inputs!$B$24*Inputs!$B$26*100/MAX(1,100-100*Inputs!$B$26)</f>
        <v>-2755.14506809629</v>
      </c>
      <c r="AK28" s="67" t="n">
        <f aca="false">-AK16*Inputs!$B$24*Inputs!$B$26*100/MAX(1,100-100*Inputs!$B$26)</f>
        <v>-3443.93133512036</v>
      </c>
      <c r="AL28" s="67" t="n">
        <f aca="false">-AL16*Inputs!$B$24*Inputs!$B$26*100/MAX(1,100-100*Inputs!$B$26)</f>
        <v>-3443.93133512036</v>
      </c>
      <c r="AM28" s="67" t="n">
        <f aca="false">-AM16*Inputs!$B$24*Inputs!$B$26*100/MAX(1,100-100*Inputs!$B$26)</f>
        <v>-2838.3504491528</v>
      </c>
      <c r="AN28" s="67" t="n">
        <f aca="false">-AN16*Inputs!$B$24*Inputs!$B$26*100/MAX(1,100-100*Inputs!$B$26)</f>
        <v>-2838.3504491528</v>
      </c>
      <c r="AO28" s="67" t="n">
        <f aca="false">-AO16*Inputs!$B$24*Inputs!$B$26*100/MAX(1,100-100*Inputs!$B$26)</f>
        <v>-2838.3504491528</v>
      </c>
      <c r="AP28" s="67" t="n">
        <f aca="false">-AP16*Inputs!$B$24*Inputs!$B$26*100/MAX(1,100-100*Inputs!$B$26)</f>
        <v>-2838.3504491528</v>
      </c>
      <c r="AQ28" s="67" t="n">
        <f aca="false">-AQ16*Inputs!$B$24*Inputs!$B$26*100/MAX(1,100-100*Inputs!$B$26)</f>
        <v>-2838.3504491528</v>
      </c>
      <c r="AR28" s="67" t="n">
        <f aca="false">-AR16*Inputs!$B$24*Inputs!$B$26*100/MAX(1,100-100*Inputs!$B$26)</f>
        <v>-2838.3504491528</v>
      </c>
      <c r="AS28" s="67" t="n">
        <f aca="false">-AS16*Inputs!$B$24*Inputs!$B$26*100/MAX(1,100-100*Inputs!$B$26)</f>
        <v>-2838.3504491528</v>
      </c>
      <c r="AT28" s="67" t="n">
        <f aca="false">-AT16*Inputs!$B$24*Inputs!$B$26*100/MAX(1,100-100*Inputs!$B$26)</f>
        <v>-2838.3504491528</v>
      </c>
      <c r="AU28" s="67" t="n">
        <f aca="false">-AU16*Inputs!$B$24*Inputs!$B$26*100/MAX(1,100-100*Inputs!$B$26)</f>
        <v>-2838.3504491528</v>
      </c>
      <c r="AV28" s="67" t="n">
        <f aca="false">-AV16*Inputs!$B$24*Inputs!$B$26*100/MAX(1,100-100*Inputs!$B$26)</f>
        <v>-2838.3504491528</v>
      </c>
      <c r="AW28" s="67" t="n">
        <f aca="false">-AW16*Inputs!$B$24*Inputs!$B$26*100/MAX(1,100-100*Inputs!$B$26)</f>
        <v>-3547.938061441</v>
      </c>
      <c r="AX28" s="67" t="n">
        <f aca="false">-AX16*Inputs!$B$24*Inputs!$B$26*100/MAX(1,100-100*Inputs!$B$26)</f>
        <v>-3547.938061441</v>
      </c>
      <c r="AY28" s="67" t="n">
        <f aca="false">-AY16*Inputs!$B$24*Inputs!$B$26*100/MAX(1,100-100*Inputs!$B$26)</f>
        <v>-2924.06863271721</v>
      </c>
      <c r="AZ28" s="67" t="n">
        <f aca="false">-AZ16*Inputs!$B$24*Inputs!$B$26*100/MAX(1,100-100*Inputs!$B$26)</f>
        <v>-2924.06863271721</v>
      </c>
      <c r="BA28" s="67" t="n">
        <f aca="false">-BA16*Inputs!$B$24*Inputs!$B$26*100/MAX(1,100-100*Inputs!$B$26)</f>
        <v>-2924.06863271721</v>
      </c>
      <c r="BB28" s="67" t="n">
        <f aca="false">-BB16*Inputs!$B$24*Inputs!$B$26*100/MAX(1,100-100*Inputs!$B$26)</f>
        <v>-2924.06863271721</v>
      </c>
      <c r="BC28" s="67" t="n">
        <f aca="false">-BC16*Inputs!$B$24*Inputs!$B$26*100/MAX(1,100-100*Inputs!$B$26)</f>
        <v>-2924.06863271721</v>
      </c>
      <c r="BD28" s="67" t="n">
        <f aca="false">-BD16*Inputs!$B$24*Inputs!$B$26*100/MAX(1,100-100*Inputs!$B$26)</f>
        <v>-2924.06863271721</v>
      </c>
      <c r="BE28" s="67" t="n">
        <f aca="false">-BE16*Inputs!$B$24*Inputs!$B$26*100/MAX(1,100-100*Inputs!$B$26)</f>
        <v>-2924.06863271721</v>
      </c>
      <c r="BF28" s="67" t="n">
        <f aca="false">-BF16*Inputs!$B$24*Inputs!$B$26*100/MAX(1,100-100*Inputs!$B$26)</f>
        <v>-2924.06863271721</v>
      </c>
      <c r="BG28" s="67" t="n">
        <f aca="false">-BG16*Inputs!$B$24*Inputs!$B$26*100/MAX(1,100-100*Inputs!$B$26)</f>
        <v>-2924.06863271721</v>
      </c>
      <c r="BH28" s="67" t="n">
        <f aca="false">-BH16*Inputs!$B$24*Inputs!$B$26*100/MAX(1,100-100*Inputs!$B$26)</f>
        <v>-2924.06863271721</v>
      </c>
      <c r="BI28" s="67" t="n">
        <f aca="false">-BI16*Inputs!$B$24*Inputs!$B$26*100/MAX(1,100-100*Inputs!$B$26)</f>
        <v>-3655.08579089651</v>
      </c>
      <c r="BJ28" s="67" t="n">
        <f aca="false">-BJ16*Inputs!$B$24*Inputs!$B$26*100/MAX(1,100-100*Inputs!$B$26)</f>
        <v>-3655.08579089651</v>
      </c>
    </row>
    <row r="29" customFormat="false" ht="15" hidden="false" customHeight="false" outlineLevel="0" collapsed="false">
      <c r="A29" s="6" t="s">
        <v>410</v>
      </c>
      <c r="C29" s="67" t="n">
        <f aca="false">-C24*Inputs!$B$27</f>
        <v>-3457.26766666667</v>
      </c>
      <c r="D29" s="67" t="n">
        <f aca="false">-D24*Inputs!$B$27</f>
        <v>-3668.106</v>
      </c>
      <c r="E29" s="67" t="n">
        <f aca="false">-E24*Inputs!$B$27</f>
        <v>-3878.94433333333</v>
      </c>
      <c r="F29" s="67" t="n">
        <f aca="false">-F24*Inputs!$B$27</f>
        <v>-4089.78266666667</v>
      </c>
      <c r="G29" s="67" t="n">
        <f aca="false">-G24*Inputs!$B$27</f>
        <v>-4089.78266666667</v>
      </c>
      <c r="H29" s="67" t="n">
        <f aca="false">-H24*Inputs!$B$27</f>
        <v>-4089.78266666667</v>
      </c>
      <c r="I29" s="67" t="n">
        <f aca="false">-I24*Inputs!$B$27</f>
        <v>-4089.78266666667</v>
      </c>
      <c r="J29" s="67" t="n">
        <f aca="false">-J24*Inputs!$B$27</f>
        <v>-4089.78266666667</v>
      </c>
      <c r="K29" s="67" t="n">
        <f aca="false">-K24*Inputs!$B$27</f>
        <v>-4089.78266666667</v>
      </c>
      <c r="L29" s="67" t="n">
        <f aca="false">-L24*Inputs!$B$27</f>
        <v>-4089.78266666667</v>
      </c>
      <c r="M29" s="67" t="n">
        <f aca="false">-M24*Inputs!$B$27</f>
        <v>-4851.68666666667</v>
      </c>
      <c r="N29" s="67" t="n">
        <f aca="false">-N24*Inputs!$B$27</f>
        <v>-4851.68666666667</v>
      </c>
      <c r="O29" s="67" t="n">
        <f aca="false">-O24*Inputs!$B$27</f>
        <v>-4287.7048032</v>
      </c>
      <c r="P29" s="67" t="n">
        <f aca="false">-P24*Inputs!$B$27</f>
        <v>-4287.7048032</v>
      </c>
      <c r="Q29" s="67" t="n">
        <f aca="false">-Q24*Inputs!$B$27</f>
        <v>-4287.7048032</v>
      </c>
      <c r="R29" s="67" t="n">
        <f aca="false">-R24*Inputs!$B$27</f>
        <v>-4287.7048032</v>
      </c>
      <c r="S29" s="67" t="n">
        <f aca="false">-S24*Inputs!$B$27</f>
        <v>-4287.7048032</v>
      </c>
      <c r="T29" s="67" t="n">
        <f aca="false">-T24*Inputs!$B$27</f>
        <v>-4287.7048032</v>
      </c>
      <c r="U29" s="67" t="n">
        <f aca="false">-U24*Inputs!$B$27</f>
        <v>-4287.7048032</v>
      </c>
      <c r="V29" s="67" t="n">
        <f aca="false">-V24*Inputs!$B$27</f>
        <v>-4287.7048032</v>
      </c>
      <c r="W29" s="67" t="n">
        <f aca="false">-W24*Inputs!$B$27</f>
        <v>-4287.7048032</v>
      </c>
      <c r="X29" s="67" t="n">
        <f aca="false">-X24*Inputs!$B$27</f>
        <v>-4287.7048032</v>
      </c>
      <c r="Y29" s="67" t="n">
        <f aca="false">-Y24*Inputs!$B$27</f>
        <v>-5072.618304</v>
      </c>
      <c r="Z29" s="67" t="n">
        <f aca="false">-Z24*Inputs!$B$27</f>
        <v>-5072.618304</v>
      </c>
      <c r="AA29" s="67" t="n">
        <f aca="false">-AA24*Inputs!$B$27</f>
        <v>-4499.16431537664</v>
      </c>
      <c r="AB29" s="67" t="n">
        <f aca="false">-AB24*Inputs!$B$27</f>
        <v>-4499.16431537664</v>
      </c>
      <c r="AC29" s="67" t="n">
        <f aca="false">-AC24*Inputs!$B$27</f>
        <v>-4499.16431537664</v>
      </c>
      <c r="AD29" s="67" t="n">
        <f aca="false">-AD24*Inputs!$B$27</f>
        <v>-4499.16431537664</v>
      </c>
      <c r="AE29" s="67" t="n">
        <f aca="false">-AE24*Inputs!$B$27</f>
        <v>-4499.16431537664</v>
      </c>
      <c r="AF29" s="67" t="n">
        <f aca="false">-AF24*Inputs!$B$27</f>
        <v>-4499.16431537664</v>
      </c>
      <c r="AG29" s="67" t="n">
        <f aca="false">-AG24*Inputs!$B$27</f>
        <v>-4499.16431537664</v>
      </c>
      <c r="AH29" s="67" t="n">
        <f aca="false">-AH24*Inputs!$B$27</f>
        <v>-4499.16431537664</v>
      </c>
      <c r="AI29" s="67" t="n">
        <f aca="false">-AI24*Inputs!$B$27</f>
        <v>-4499.16431537664</v>
      </c>
      <c r="AJ29" s="67" t="n">
        <f aca="false">-AJ24*Inputs!$B$27</f>
        <v>-4499.16431537664</v>
      </c>
      <c r="AK29" s="67" t="n">
        <f aca="false">-AK24*Inputs!$B$27</f>
        <v>-5307.7822039008</v>
      </c>
      <c r="AL29" s="67" t="n">
        <f aca="false">-AL24*Inputs!$B$27</f>
        <v>-5307.7822039008</v>
      </c>
      <c r="AM29" s="67" t="n">
        <f aca="false">-AM24*Inputs!$B$27</f>
        <v>-4725.33814085641</v>
      </c>
      <c r="AN29" s="67" t="n">
        <f aca="false">-AN24*Inputs!$B$27</f>
        <v>-4725.33814085641</v>
      </c>
      <c r="AO29" s="67" t="n">
        <f aca="false">-AO24*Inputs!$B$27</f>
        <v>-4725.33814085641</v>
      </c>
      <c r="AP29" s="67" t="n">
        <f aca="false">-AP24*Inputs!$B$27</f>
        <v>-4725.33814085641</v>
      </c>
      <c r="AQ29" s="67" t="n">
        <f aca="false">-AQ24*Inputs!$B$27</f>
        <v>-4725.33814085641</v>
      </c>
      <c r="AR29" s="67" t="n">
        <f aca="false">-AR24*Inputs!$B$27</f>
        <v>-4725.33814085641</v>
      </c>
      <c r="AS29" s="67" t="n">
        <f aca="false">-AS24*Inputs!$B$27</f>
        <v>-4725.33814085641</v>
      </c>
      <c r="AT29" s="67" t="n">
        <f aca="false">-AT24*Inputs!$B$27</f>
        <v>-4725.33814085641</v>
      </c>
      <c r="AU29" s="67" t="n">
        <f aca="false">-AU24*Inputs!$B$27</f>
        <v>-4725.33814085641</v>
      </c>
      <c r="AV29" s="67" t="n">
        <f aca="false">-AV24*Inputs!$B$27</f>
        <v>-4725.33814085641</v>
      </c>
      <c r="AW29" s="67" t="n">
        <f aca="false">-AW24*Inputs!$B$27</f>
        <v>-5558.376289614</v>
      </c>
      <c r="AX29" s="67" t="n">
        <f aca="false">-AX24*Inputs!$B$27</f>
        <v>-5558.376289614</v>
      </c>
      <c r="AY29" s="67" t="n">
        <f aca="false">-AY24*Inputs!$B$27</f>
        <v>-4967.51680068225</v>
      </c>
      <c r="AZ29" s="67" t="n">
        <f aca="false">-AZ24*Inputs!$B$27</f>
        <v>-4967.51680068225</v>
      </c>
      <c r="BA29" s="67" t="n">
        <f aca="false">-BA24*Inputs!$B$27</f>
        <v>-4967.51680068225</v>
      </c>
      <c r="BB29" s="67" t="n">
        <f aca="false">-BB24*Inputs!$B$27</f>
        <v>-4967.51680068225</v>
      </c>
      <c r="BC29" s="67" t="n">
        <f aca="false">-BC24*Inputs!$B$27</f>
        <v>-4967.51680068225</v>
      </c>
      <c r="BD29" s="67" t="n">
        <f aca="false">-BD24*Inputs!$B$27</f>
        <v>-4967.51680068225</v>
      </c>
      <c r="BE29" s="67" t="n">
        <f aca="false">-BE24*Inputs!$B$27</f>
        <v>-4967.51680068225</v>
      </c>
      <c r="BF29" s="67" t="n">
        <f aca="false">-BF24*Inputs!$B$27</f>
        <v>-4967.51680068225</v>
      </c>
      <c r="BG29" s="67" t="n">
        <f aca="false">-BG24*Inputs!$B$27</f>
        <v>-4967.51680068225</v>
      </c>
      <c r="BH29" s="67" t="n">
        <f aca="false">-BH24*Inputs!$B$27</f>
        <v>-4967.51680068225</v>
      </c>
      <c r="BI29" s="67" t="n">
        <f aca="false">-BI24*Inputs!$B$27</f>
        <v>-5825.71270153232</v>
      </c>
      <c r="BJ29" s="67" t="n">
        <f aca="false">-BJ24*Inputs!$B$27</f>
        <v>-5825.71270153232</v>
      </c>
    </row>
    <row r="30" customFormat="false" ht="15" hidden="false" customHeight="false" outlineLevel="0" collapsed="false">
      <c r="A30" s="4" t="s">
        <v>76</v>
      </c>
      <c r="C30" s="73" t="n">
        <f aca="false">C27+C28+C29</f>
        <v>-31629.4909812734</v>
      </c>
      <c r="D30" s="73" t="n">
        <f aca="false">D27+D28+D29</f>
        <v>-33555.3616179775</v>
      </c>
      <c r="E30" s="73" t="n">
        <f aca="false">E27+E28+E29</f>
        <v>-35481.2322546816</v>
      </c>
      <c r="F30" s="73" t="n">
        <f aca="false">F27+F28+F29</f>
        <v>-37407.1028913858</v>
      </c>
      <c r="G30" s="73" t="n">
        <f aca="false">G27+G28+G29</f>
        <v>-37407.1028913858</v>
      </c>
      <c r="H30" s="73" t="n">
        <f aca="false">H27+H28+H29</f>
        <v>-37407.1028913858</v>
      </c>
      <c r="I30" s="73" t="n">
        <f aca="false">I27+I28+I29</f>
        <v>-37407.1028913858</v>
      </c>
      <c r="J30" s="73" t="n">
        <f aca="false">J27+J28+J29</f>
        <v>-37407.1028913858</v>
      </c>
      <c r="K30" s="73" t="n">
        <f aca="false">K27+K28+K29</f>
        <v>-37407.1028913858</v>
      </c>
      <c r="L30" s="73" t="n">
        <f aca="false">L27+L28+L29</f>
        <v>-37407.1028913858</v>
      </c>
      <c r="M30" s="73" t="n">
        <f aca="false">M27+M28+M29</f>
        <v>-44068.9619475656</v>
      </c>
      <c r="N30" s="73" t="n">
        <f aca="false">N27+N28+N29</f>
        <v>-44068.9619475656</v>
      </c>
      <c r="O30" s="73" t="n">
        <f aca="false">O27+O28+O29</f>
        <v>-39305.0375987056</v>
      </c>
      <c r="P30" s="73" t="n">
        <f aca="false">P27+P28+P29</f>
        <v>-39305.0375987056</v>
      </c>
      <c r="Q30" s="73" t="n">
        <f aca="false">Q27+Q28+Q29</f>
        <v>-39305.0375987056</v>
      </c>
      <c r="R30" s="73" t="n">
        <f aca="false">R27+R28+R29</f>
        <v>-39305.0375987056</v>
      </c>
      <c r="S30" s="73" t="n">
        <f aca="false">S27+S28+S29</f>
        <v>-39305.0375987056</v>
      </c>
      <c r="T30" s="73" t="n">
        <f aca="false">T27+T28+T29</f>
        <v>-39305.0375987056</v>
      </c>
      <c r="U30" s="73" t="n">
        <f aca="false">U27+U28+U29</f>
        <v>-39305.0375987056</v>
      </c>
      <c r="V30" s="73" t="n">
        <f aca="false">V27+V28+V29</f>
        <v>-39305.0375987056</v>
      </c>
      <c r="W30" s="73" t="n">
        <f aca="false">W27+W28+W29</f>
        <v>-39305.0375987056</v>
      </c>
      <c r="X30" s="73" t="n">
        <f aca="false">X27+X28+X29</f>
        <v>-39305.0375987056</v>
      </c>
      <c r="Y30" s="73" t="n">
        <f aca="false">Y27+Y28+Y29</f>
        <v>-46168.084798382</v>
      </c>
      <c r="Z30" s="73" t="n">
        <f aca="false">Z27+Z28+Z29</f>
        <v>-46168.084798382</v>
      </c>
      <c r="AA30" s="73" t="n">
        <f aca="false">AA27+AA28+AA29</f>
        <v>-41338.3431385065</v>
      </c>
      <c r="AB30" s="73" t="n">
        <f aca="false">AB27+AB28+AB29</f>
        <v>-41338.3431385065</v>
      </c>
      <c r="AC30" s="73" t="n">
        <f aca="false">AC27+AC28+AC29</f>
        <v>-41338.3431385065</v>
      </c>
      <c r="AD30" s="73" t="n">
        <f aca="false">AD27+AD28+AD29</f>
        <v>-41338.3431385065</v>
      </c>
      <c r="AE30" s="73" t="n">
        <f aca="false">AE27+AE28+AE29</f>
        <v>-41338.3431385065</v>
      </c>
      <c r="AF30" s="73" t="n">
        <f aca="false">AF27+AF28+AF29</f>
        <v>-41338.3431385065</v>
      </c>
      <c r="AG30" s="73" t="n">
        <f aca="false">AG27+AG28+AG29</f>
        <v>-41338.3431385065</v>
      </c>
      <c r="AH30" s="73" t="n">
        <f aca="false">AH27+AH28+AH29</f>
        <v>-41338.3431385065</v>
      </c>
      <c r="AI30" s="73" t="n">
        <f aca="false">AI27+AI28+AI29</f>
        <v>-41338.3431385065</v>
      </c>
      <c r="AJ30" s="73" t="n">
        <f aca="false">AJ27+AJ28+AJ29</f>
        <v>-41338.3431385065</v>
      </c>
      <c r="AK30" s="73" t="n">
        <f aca="false">AK27+AK28+AK29</f>
        <v>-48408.6543636132</v>
      </c>
      <c r="AL30" s="73" t="n">
        <f aca="false">AL27+AL28+AL29</f>
        <v>-48408.6543636132</v>
      </c>
      <c r="AM30" s="73" t="n">
        <f aca="false">AM27+AM28+AM29</f>
        <v>-43519.0379154884</v>
      </c>
      <c r="AN30" s="73" t="n">
        <f aca="false">AN27+AN28+AN29</f>
        <v>-43519.0379154884</v>
      </c>
      <c r="AO30" s="73" t="n">
        <f aca="false">AO27+AO28+AO29</f>
        <v>-43519.0379154884</v>
      </c>
      <c r="AP30" s="73" t="n">
        <f aca="false">AP27+AP28+AP29</f>
        <v>-43519.0379154884</v>
      </c>
      <c r="AQ30" s="73" t="n">
        <f aca="false">AQ27+AQ28+AQ29</f>
        <v>-43519.0379154884</v>
      </c>
      <c r="AR30" s="73" t="n">
        <f aca="false">AR27+AR28+AR29</f>
        <v>-43519.0379154884</v>
      </c>
      <c r="AS30" s="73" t="n">
        <f aca="false">AS27+AS28+AS29</f>
        <v>-43519.0379154884</v>
      </c>
      <c r="AT30" s="73" t="n">
        <f aca="false">AT27+AT28+AT29</f>
        <v>-43519.0379154884</v>
      </c>
      <c r="AU30" s="73" t="n">
        <f aca="false">AU27+AU28+AU29</f>
        <v>-43519.0379154884</v>
      </c>
      <c r="AV30" s="73" t="n">
        <f aca="false">AV27+AV28+AV29</f>
        <v>-43519.0379154884</v>
      </c>
      <c r="AW30" s="73" t="n">
        <f aca="false">AW27+AW28+AW29</f>
        <v>-50802.8725395932</v>
      </c>
      <c r="AX30" s="73" t="n">
        <f aca="false">AX27+AX28+AX29</f>
        <v>-50802.8725395932</v>
      </c>
      <c r="AY30" s="73" t="n">
        <f aca="false">AY27+AY28+AY29</f>
        <v>-45860.3089990576</v>
      </c>
      <c r="AZ30" s="73" t="n">
        <f aca="false">AZ27+AZ28+AZ29</f>
        <v>-45860.3089990576</v>
      </c>
      <c r="BA30" s="73" t="n">
        <f aca="false">BA27+BA28+BA29</f>
        <v>-45860.3089990576</v>
      </c>
      <c r="BB30" s="73" t="n">
        <f aca="false">BB27+BB28+BB29</f>
        <v>-45860.3089990576</v>
      </c>
      <c r="BC30" s="73" t="n">
        <f aca="false">BC27+BC28+BC29</f>
        <v>-45860.3089990576</v>
      </c>
      <c r="BD30" s="73" t="n">
        <f aca="false">BD27+BD28+BD29</f>
        <v>-45860.3089990576</v>
      </c>
      <c r="BE30" s="73" t="n">
        <f aca="false">BE27+BE28+BE29</f>
        <v>-45860.3089990576</v>
      </c>
      <c r="BF30" s="73" t="n">
        <f aca="false">BF27+BF28+BF29</f>
        <v>-45860.3089990576</v>
      </c>
      <c r="BG30" s="73" t="n">
        <f aca="false">BG27+BG28+BG29</f>
        <v>-45860.3089990576</v>
      </c>
      <c r="BH30" s="73" t="n">
        <f aca="false">BH27+BH28+BH29</f>
        <v>-45860.3089990576</v>
      </c>
      <c r="BI30" s="73" t="n">
        <f aca="false">BI27+BI28+BI29</f>
        <v>-53364.1154288104</v>
      </c>
      <c r="BJ30" s="73" t="n">
        <f aca="false">BJ27+BJ28+BJ29</f>
        <v>-53364.1154288104</v>
      </c>
    </row>
    <row r="31" customFormat="false" ht="15" hidden="false" customHeight="false" outlineLevel="0" collapsed="false">
      <c r="A31" s="115" t="s">
        <v>45</v>
      </c>
      <c r="C31" s="68" t="n">
        <f aca="false">C24+C30</f>
        <v>61810.1756853933</v>
      </c>
      <c r="D31" s="68" t="n">
        <f aca="false">D24+D30</f>
        <v>65582.6383820225</v>
      </c>
      <c r="E31" s="68" t="n">
        <f aca="false">E24+E30</f>
        <v>69355.1010786517</v>
      </c>
      <c r="F31" s="68" t="n">
        <f aca="false">F24+F30</f>
        <v>73127.5637752809</v>
      </c>
      <c r="G31" s="68" t="n">
        <f aca="false">G24+G30</f>
        <v>73127.5637752809</v>
      </c>
      <c r="H31" s="68" t="n">
        <f aca="false">H24+H30</f>
        <v>73127.5637752809</v>
      </c>
      <c r="I31" s="68" t="n">
        <f aca="false">I24+I30</f>
        <v>73127.5637752809</v>
      </c>
      <c r="J31" s="68" t="n">
        <f aca="false">J24+J30</f>
        <v>73127.5637752809</v>
      </c>
      <c r="K31" s="68" t="n">
        <f aca="false">K24+K30</f>
        <v>73127.5637752809</v>
      </c>
      <c r="L31" s="68" t="n">
        <f aca="false">L24+L30</f>
        <v>73127.5637752809</v>
      </c>
      <c r="M31" s="68" t="n">
        <f aca="false">M24+M30</f>
        <v>87057.7047191011</v>
      </c>
      <c r="N31" s="68" t="n">
        <f aca="false">N24+N30</f>
        <v>87057.7047191011</v>
      </c>
      <c r="O31" s="68" t="n">
        <f aca="false">O24+O30</f>
        <v>76578.8760012944</v>
      </c>
      <c r="P31" s="68" t="n">
        <f aca="false">P24+P30</f>
        <v>76578.8760012944</v>
      </c>
      <c r="Q31" s="68" t="n">
        <f aca="false">Q24+Q30</f>
        <v>76578.8760012944</v>
      </c>
      <c r="R31" s="68" t="n">
        <f aca="false">R24+R30</f>
        <v>76578.8760012944</v>
      </c>
      <c r="S31" s="68" t="n">
        <f aca="false">S24+S30</f>
        <v>76578.8760012944</v>
      </c>
      <c r="T31" s="68" t="n">
        <f aca="false">T24+T30</f>
        <v>76578.8760012944</v>
      </c>
      <c r="U31" s="68" t="n">
        <f aca="false">U24+U30</f>
        <v>76578.8760012944</v>
      </c>
      <c r="V31" s="68" t="n">
        <f aca="false">V24+V30</f>
        <v>76578.8760012944</v>
      </c>
      <c r="W31" s="68" t="n">
        <f aca="false">W24+W30</f>
        <v>76578.8760012944</v>
      </c>
      <c r="X31" s="68" t="n">
        <f aca="false">X24+X30</f>
        <v>76578.8760012944</v>
      </c>
      <c r="Y31" s="68" t="n">
        <f aca="false">Y24+Y30</f>
        <v>90929.707201618</v>
      </c>
      <c r="Z31" s="68" t="n">
        <f aca="false">Z24+Z30</f>
        <v>90929.707201618</v>
      </c>
      <c r="AA31" s="68" t="n">
        <f aca="false">AA24+AA30</f>
        <v>80260.6924122135</v>
      </c>
      <c r="AB31" s="68" t="n">
        <f aca="false">AB24+AB30</f>
        <v>80260.6924122135</v>
      </c>
      <c r="AC31" s="68" t="n">
        <f aca="false">AC24+AC30</f>
        <v>80260.6924122135</v>
      </c>
      <c r="AD31" s="68" t="n">
        <f aca="false">AD24+AD30</f>
        <v>80260.6924122135</v>
      </c>
      <c r="AE31" s="68" t="n">
        <f aca="false">AE24+AE30</f>
        <v>80260.6924122135</v>
      </c>
      <c r="AF31" s="68" t="n">
        <f aca="false">AF24+AF30</f>
        <v>80260.6924122135</v>
      </c>
      <c r="AG31" s="68" t="n">
        <f aca="false">AG24+AG30</f>
        <v>80260.6924122135</v>
      </c>
      <c r="AH31" s="68" t="n">
        <f aca="false">AH24+AH30</f>
        <v>80260.6924122135</v>
      </c>
      <c r="AI31" s="68" t="n">
        <f aca="false">AI24+AI30</f>
        <v>80260.6924122135</v>
      </c>
      <c r="AJ31" s="68" t="n">
        <f aca="false">AJ24+AJ30</f>
        <v>80260.6924122135</v>
      </c>
      <c r="AK31" s="68" t="n">
        <f aca="false">AK24+AK30</f>
        <v>95044.9187147869</v>
      </c>
      <c r="AL31" s="68" t="n">
        <f aca="false">AL24+AL30</f>
        <v>95044.9187147869</v>
      </c>
      <c r="AM31" s="68" t="n">
        <f aca="false">AM24+AM30</f>
        <v>84192.8037292794</v>
      </c>
      <c r="AN31" s="68" t="n">
        <f aca="false">AN24+AN30</f>
        <v>84192.8037292794</v>
      </c>
      <c r="AO31" s="68" t="n">
        <f aca="false">AO24+AO30</f>
        <v>84192.8037292794</v>
      </c>
      <c r="AP31" s="68" t="n">
        <f aca="false">AP24+AP30</f>
        <v>84192.8037292794</v>
      </c>
      <c r="AQ31" s="68" t="n">
        <f aca="false">AQ24+AQ30</f>
        <v>84192.8037292794</v>
      </c>
      <c r="AR31" s="68" t="n">
        <f aca="false">AR24+AR30</f>
        <v>84192.8037292794</v>
      </c>
      <c r="AS31" s="68" t="n">
        <f aca="false">AS24+AS30</f>
        <v>84192.8037292794</v>
      </c>
      <c r="AT31" s="68" t="n">
        <f aca="false">AT24+AT30</f>
        <v>84192.8037292794</v>
      </c>
      <c r="AU31" s="68" t="n">
        <f aca="false">AU24+AU30</f>
        <v>84192.8037292794</v>
      </c>
      <c r="AV31" s="68" t="n">
        <f aca="false">AV24+AV30</f>
        <v>84192.8037292794</v>
      </c>
      <c r="AW31" s="68" t="n">
        <f aca="false">AW24+AW30</f>
        <v>99423.5136661905</v>
      </c>
      <c r="AX31" s="68" t="n">
        <f aca="false">AX24+AX30</f>
        <v>99423.5136661905</v>
      </c>
      <c r="AY31" s="68" t="n">
        <f aca="false">AY24+AY30</f>
        <v>88396.9018301924</v>
      </c>
      <c r="AZ31" s="68" t="n">
        <f aca="false">AZ24+AZ30</f>
        <v>88396.9018301924</v>
      </c>
      <c r="BA31" s="68" t="n">
        <f aca="false">BA24+BA30</f>
        <v>88396.9018301924</v>
      </c>
      <c r="BB31" s="68" t="n">
        <f aca="false">BB24+BB30</f>
        <v>88396.9018301924</v>
      </c>
      <c r="BC31" s="68" t="n">
        <f aca="false">BC24+BC30</f>
        <v>88396.9018301924</v>
      </c>
      <c r="BD31" s="68" t="n">
        <f aca="false">BD24+BD30</f>
        <v>88396.9018301924</v>
      </c>
      <c r="BE31" s="68" t="n">
        <f aca="false">BE24+BE30</f>
        <v>88396.9018301924</v>
      </c>
      <c r="BF31" s="68" t="n">
        <f aca="false">BF24+BF30</f>
        <v>88396.9018301924</v>
      </c>
      <c r="BG31" s="68" t="n">
        <f aca="false">BG24+BG30</f>
        <v>88396.9018301924</v>
      </c>
      <c r="BH31" s="68" t="n">
        <f aca="false">BH24+BH30</f>
        <v>88396.9018301924</v>
      </c>
      <c r="BI31" s="68" t="n">
        <f aca="false">BI24+BI30</f>
        <v>104087.579207198</v>
      </c>
      <c r="BJ31" s="68" t="n">
        <f aca="false">BJ24+BJ30</f>
        <v>104087.579207198</v>
      </c>
    </row>
    <row r="33" customFormat="false" ht="15.75" hidden="false" customHeight="true" outlineLevel="0" collapsed="false">
      <c r="A33" s="7" t="s">
        <v>47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customFormat="false" ht="15" hidden="false" customHeight="false" outlineLevel="0" collapsed="false">
      <c r="A34" s="6" t="s">
        <v>323</v>
      </c>
      <c r="C34" s="67" t="n">
        <f aca="false">C112</f>
        <v>-49466.6666666667</v>
      </c>
      <c r="D34" s="67" t="n">
        <f aca="false">D112</f>
        <v>-49466.6666666667</v>
      </c>
      <c r="E34" s="67" t="n">
        <f aca="false">E112</f>
        <v>-49466.6666666667</v>
      </c>
      <c r="F34" s="67" t="n">
        <f aca="false">F112</f>
        <v>-49466.6666666667</v>
      </c>
      <c r="G34" s="67" t="n">
        <f aca="false">G112</f>
        <v>-49466.6666666667</v>
      </c>
      <c r="H34" s="67" t="n">
        <f aca="false">H112</f>
        <v>-49466.6666666667</v>
      </c>
      <c r="I34" s="67" t="n">
        <f aca="false">I112</f>
        <v>-49466.6666666667</v>
      </c>
      <c r="J34" s="67" t="n">
        <f aca="false">J112</f>
        <v>-49466.6666666667</v>
      </c>
      <c r="K34" s="67" t="n">
        <f aca="false">K112</f>
        <v>-49466.6666666667</v>
      </c>
      <c r="L34" s="67" t="n">
        <f aca="false">L112</f>
        <v>-49466.6666666667</v>
      </c>
      <c r="M34" s="67" t="n">
        <f aca="false">M112</f>
        <v>-49466.6666666667</v>
      </c>
      <c r="N34" s="67" t="n">
        <f aca="false">N112</f>
        <v>-49466.6666666667</v>
      </c>
      <c r="O34" s="67" t="n">
        <f aca="false">O112</f>
        <v>-53471.2826666667</v>
      </c>
      <c r="P34" s="67" t="n">
        <f aca="false">P112</f>
        <v>-53471.2826666667</v>
      </c>
      <c r="Q34" s="67" t="n">
        <f aca="false">Q112</f>
        <v>-53471.2826666667</v>
      </c>
      <c r="R34" s="67" t="n">
        <f aca="false">R112</f>
        <v>-53471.2826666667</v>
      </c>
      <c r="S34" s="67" t="n">
        <f aca="false">S112</f>
        <v>-53471.2826666667</v>
      </c>
      <c r="T34" s="67" t="n">
        <f aca="false">T112</f>
        <v>-53471.2826666667</v>
      </c>
      <c r="U34" s="67" t="n">
        <f aca="false">U112</f>
        <v>-53471.2826666667</v>
      </c>
      <c r="V34" s="67" t="n">
        <f aca="false">V112</f>
        <v>-53471.2826666667</v>
      </c>
      <c r="W34" s="67" t="n">
        <f aca="false">W112</f>
        <v>-53471.2826666667</v>
      </c>
      <c r="X34" s="67" t="n">
        <f aca="false">X112</f>
        <v>-53471.2826666667</v>
      </c>
      <c r="Y34" s="67" t="n">
        <f aca="false">Y112</f>
        <v>-53471.2826666667</v>
      </c>
      <c r="Z34" s="67" t="n">
        <f aca="false">Z112</f>
        <v>-53471.2826666667</v>
      </c>
      <c r="AA34" s="67" t="n">
        <f aca="false">AA112</f>
        <v>-57827.4296954667</v>
      </c>
      <c r="AB34" s="67" t="n">
        <f aca="false">AB112</f>
        <v>-57827.4296954667</v>
      </c>
      <c r="AC34" s="67" t="n">
        <f aca="false">AC112</f>
        <v>-57827.4296954667</v>
      </c>
      <c r="AD34" s="67" t="n">
        <f aca="false">AD112</f>
        <v>-57827.4296954667</v>
      </c>
      <c r="AE34" s="67" t="n">
        <f aca="false">AE112</f>
        <v>-57827.4296954667</v>
      </c>
      <c r="AF34" s="67" t="n">
        <f aca="false">AF112</f>
        <v>-57827.4296954667</v>
      </c>
      <c r="AG34" s="67" t="n">
        <f aca="false">AG112</f>
        <v>-57827.4296954667</v>
      </c>
      <c r="AH34" s="67" t="n">
        <f aca="false">AH112</f>
        <v>-57827.4296954667</v>
      </c>
      <c r="AI34" s="67" t="n">
        <f aca="false">AI112</f>
        <v>-57827.4296954667</v>
      </c>
      <c r="AJ34" s="67" t="n">
        <f aca="false">AJ112</f>
        <v>-57827.4296954667</v>
      </c>
      <c r="AK34" s="67" t="n">
        <f aca="false">AK112</f>
        <v>-57827.4296954667</v>
      </c>
      <c r="AL34" s="67" t="n">
        <f aca="false">AL112</f>
        <v>-57827.4296954667</v>
      </c>
      <c r="AM34" s="67" t="n">
        <f aca="false">AM112</f>
        <v>-62566.8955199105</v>
      </c>
      <c r="AN34" s="67" t="n">
        <f aca="false">AN112</f>
        <v>-62566.8955199105</v>
      </c>
      <c r="AO34" s="67" t="n">
        <f aca="false">AO112</f>
        <v>-62566.8955199105</v>
      </c>
      <c r="AP34" s="67" t="n">
        <f aca="false">AP112</f>
        <v>-62566.8955199105</v>
      </c>
      <c r="AQ34" s="67" t="n">
        <f aca="false">AQ112</f>
        <v>-62566.8955199105</v>
      </c>
      <c r="AR34" s="67" t="n">
        <f aca="false">AR112</f>
        <v>-62566.8955199105</v>
      </c>
      <c r="AS34" s="67" t="n">
        <f aca="false">AS112</f>
        <v>-62566.8955199105</v>
      </c>
      <c r="AT34" s="67" t="n">
        <f aca="false">AT112</f>
        <v>-62566.8955199105</v>
      </c>
      <c r="AU34" s="67" t="n">
        <f aca="false">AU112</f>
        <v>-62566.8955199105</v>
      </c>
      <c r="AV34" s="67" t="n">
        <f aca="false">AV112</f>
        <v>-62566.8955199105</v>
      </c>
      <c r="AW34" s="67" t="n">
        <f aca="false">AW112</f>
        <v>-62566.8955199105</v>
      </c>
      <c r="AX34" s="67" t="n">
        <f aca="false">AX112</f>
        <v>-62566.8955199105</v>
      </c>
      <c r="AY34" s="67" t="n">
        <f aca="false">AY112</f>
        <v>-67724.3715403903</v>
      </c>
      <c r="AZ34" s="67" t="n">
        <f aca="false">AZ112</f>
        <v>-67724.3715403903</v>
      </c>
      <c r="BA34" s="67" t="n">
        <f aca="false">BA112</f>
        <v>-67724.3715403903</v>
      </c>
      <c r="BB34" s="67" t="n">
        <f aca="false">BB112</f>
        <v>-67724.3715403903</v>
      </c>
      <c r="BC34" s="67" t="n">
        <f aca="false">BC112</f>
        <v>-67724.3715403903</v>
      </c>
      <c r="BD34" s="67" t="n">
        <f aca="false">BD112</f>
        <v>-67724.3715403903</v>
      </c>
      <c r="BE34" s="67" t="n">
        <f aca="false">BE112</f>
        <v>-67724.3715403903</v>
      </c>
      <c r="BF34" s="67" t="n">
        <f aca="false">BF112</f>
        <v>-67724.3715403903</v>
      </c>
      <c r="BG34" s="67" t="n">
        <f aca="false">BG112</f>
        <v>-67724.3715403903</v>
      </c>
      <c r="BH34" s="67" t="n">
        <f aca="false">BH112</f>
        <v>-67724.3715403903</v>
      </c>
      <c r="BI34" s="67" t="n">
        <f aca="false">BI112</f>
        <v>-67724.3715403903</v>
      </c>
      <c r="BJ34" s="67" t="n">
        <f aca="false">BJ112</f>
        <v>-67724.3715403903</v>
      </c>
    </row>
    <row r="35" customFormat="false" ht="15" hidden="false" customHeight="false" outlineLevel="0" collapsed="false">
      <c r="A35" s="6" t="s">
        <v>324</v>
      </c>
      <c r="C35" s="67" t="n">
        <f aca="false">-Inputs!$B$30*1</f>
        <v>-12000</v>
      </c>
      <c r="D35" s="67" t="n">
        <f aca="false">-Inputs!$B$30*1</f>
        <v>-12000</v>
      </c>
      <c r="E35" s="67" t="n">
        <f aca="false">-Inputs!$B$30*1</f>
        <v>-12000</v>
      </c>
      <c r="F35" s="67" t="n">
        <f aca="false">-Inputs!$B$30*1</f>
        <v>-12000</v>
      </c>
      <c r="G35" s="67" t="n">
        <f aca="false">-Inputs!$B$30*1</f>
        <v>-12000</v>
      </c>
      <c r="H35" s="67" t="n">
        <f aca="false">-Inputs!$B$30*1</f>
        <v>-12000</v>
      </c>
      <c r="I35" s="67" t="n">
        <f aca="false">-Inputs!$B$30*1</f>
        <v>-12000</v>
      </c>
      <c r="J35" s="67" t="n">
        <f aca="false">-Inputs!$B$30*1</f>
        <v>-12000</v>
      </c>
      <c r="K35" s="67" t="n">
        <f aca="false">-Inputs!$B$30*1</f>
        <v>-12000</v>
      </c>
      <c r="L35" s="67" t="n">
        <f aca="false">-Inputs!$B$30*1</f>
        <v>-12000</v>
      </c>
      <c r="M35" s="67" t="n">
        <f aca="false">-Inputs!$B$30*1</f>
        <v>-12000</v>
      </c>
      <c r="N35" s="67" t="n">
        <f aca="false">-Inputs!$B$30*1</f>
        <v>-12000</v>
      </c>
      <c r="O35" s="67" t="n">
        <f aca="false">-Inputs!$B$30*1</f>
        <v>-12000</v>
      </c>
      <c r="P35" s="67" t="n">
        <f aca="false">-Inputs!$B$30*1</f>
        <v>-12000</v>
      </c>
      <c r="Q35" s="67" t="n">
        <f aca="false">-Inputs!$B$30*1</f>
        <v>-12000</v>
      </c>
      <c r="R35" s="67" t="n">
        <f aca="false">-Inputs!$B$30*1</f>
        <v>-12000</v>
      </c>
      <c r="S35" s="67" t="n">
        <f aca="false">-Inputs!$B$30*1</f>
        <v>-12000</v>
      </c>
      <c r="T35" s="67" t="n">
        <f aca="false">-Inputs!$B$30*1</f>
        <v>-12000</v>
      </c>
      <c r="U35" s="67" t="n">
        <f aca="false">-Inputs!$B$30*1</f>
        <v>-12000</v>
      </c>
      <c r="V35" s="67" t="n">
        <f aca="false">-Inputs!$B$30*1</f>
        <v>-12000</v>
      </c>
      <c r="W35" s="67" t="n">
        <f aca="false">-Inputs!$B$30*1</f>
        <v>-12000</v>
      </c>
      <c r="X35" s="67" t="n">
        <f aca="false">-Inputs!$B$30*1</f>
        <v>-12000</v>
      </c>
      <c r="Y35" s="67" t="n">
        <f aca="false">-Inputs!$B$30*1</f>
        <v>-12000</v>
      </c>
      <c r="Z35" s="67" t="n">
        <f aca="false">-Inputs!$B$30*1</f>
        <v>-12000</v>
      </c>
      <c r="AA35" s="67" t="n">
        <f aca="false">-Inputs!$B$30*1</f>
        <v>-12000</v>
      </c>
      <c r="AB35" s="67" t="n">
        <f aca="false">-Inputs!$B$30*1</f>
        <v>-12000</v>
      </c>
      <c r="AC35" s="67" t="n">
        <f aca="false">-Inputs!$B$30*1</f>
        <v>-12000</v>
      </c>
      <c r="AD35" s="67" t="n">
        <f aca="false">-Inputs!$B$30*1</f>
        <v>-12000</v>
      </c>
      <c r="AE35" s="67" t="n">
        <f aca="false">-Inputs!$B$30*1</f>
        <v>-12000</v>
      </c>
      <c r="AF35" s="67" t="n">
        <f aca="false">-Inputs!$B$30*1</f>
        <v>-12000</v>
      </c>
      <c r="AG35" s="67" t="n">
        <f aca="false">-Inputs!$B$30*1</f>
        <v>-12000</v>
      </c>
      <c r="AH35" s="67" t="n">
        <f aca="false">-Inputs!$B$30*1</f>
        <v>-12000</v>
      </c>
      <c r="AI35" s="67" t="n">
        <f aca="false">-Inputs!$B$30*1</f>
        <v>-12000</v>
      </c>
      <c r="AJ35" s="67" t="n">
        <f aca="false">-Inputs!$B$30*1</f>
        <v>-12000</v>
      </c>
      <c r="AK35" s="67" t="n">
        <f aca="false">-Inputs!$B$30*1</f>
        <v>-12000</v>
      </c>
      <c r="AL35" s="67" t="n">
        <f aca="false">-Inputs!$B$30*1</f>
        <v>-12000</v>
      </c>
      <c r="AM35" s="67" t="n">
        <f aca="false">-Inputs!$B$30*1</f>
        <v>-12000</v>
      </c>
      <c r="AN35" s="67" t="n">
        <f aca="false">-Inputs!$B$30*1</f>
        <v>-12000</v>
      </c>
      <c r="AO35" s="67" t="n">
        <f aca="false">-Inputs!$B$30*1</f>
        <v>-12000</v>
      </c>
      <c r="AP35" s="67" t="n">
        <f aca="false">-Inputs!$B$30*1</f>
        <v>-12000</v>
      </c>
      <c r="AQ35" s="67" t="n">
        <f aca="false">-Inputs!$B$30*1</f>
        <v>-12000</v>
      </c>
      <c r="AR35" s="67" t="n">
        <f aca="false">-Inputs!$B$30*1</f>
        <v>-12000</v>
      </c>
      <c r="AS35" s="67" t="n">
        <f aca="false">-Inputs!$B$30*1</f>
        <v>-12000</v>
      </c>
      <c r="AT35" s="67" t="n">
        <f aca="false">-Inputs!$B$30*1</f>
        <v>-12000</v>
      </c>
      <c r="AU35" s="67" t="n">
        <f aca="false">-Inputs!$B$30*1</f>
        <v>-12000</v>
      </c>
      <c r="AV35" s="67" t="n">
        <f aca="false">-Inputs!$B$30*1</f>
        <v>-12000</v>
      </c>
      <c r="AW35" s="67" t="n">
        <f aca="false">-Inputs!$B$30*1</f>
        <v>-12000</v>
      </c>
      <c r="AX35" s="67" t="n">
        <f aca="false">-Inputs!$B$30*1</f>
        <v>-12000</v>
      </c>
      <c r="AY35" s="67" t="n">
        <f aca="false">-Inputs!$B$30*1</f>
        <v>-12000</v>
      </c>
      <c r="AZ35" s="67" t="n">
        <f aca="false">-Inputs!$B$30*1</f>
        <v>-12000</v>
      </c>
      <c r="BA35" s="67" t="n">
        <f aca="false">-Inputs!$B$30*1</f>
        <v>-12000</v>
      </c>
      <c r="BB35" s="67" t="n">
        <f aca="false">-Inputs!$B$30*1</f>
        <v>-12000</v>
      </c>
      <c r="BC35" s="67" t="n">
        <f aca="false">-Inputs!$B$30*1</f>
        <v>-12000</v>
      </c>
      <c r="BD35" s="67" t="n">
        <f aca="false">-Inputs!$B$30*1</f>
        <v>-12000</v>
      </c>
      <c r="BE35" s="67" t="n">
        <f aca="false">-Inputs!$B$30*1</f>
        <v>-12000</v>
      </c>
      <c r="BF35" s="67" t="n">
        <f aca="false">-Inputs!$B$30*1</f>
        <v>-12000</v>
      </c>
      <c r="BG35" s="67" t="n">
        <f aca="false">-Inputs!$B$30*1</f>
        <v>-12000</v>
      </c>
      <c r="BH35" s="67" t="n">
        <f aca="false">-Inputs!$B$30*1</f>
        <v>-12000</v>
      </c>
      <c r="BI35" s="67" t="n">
        <f aca="false">-Inputs!$B$30*1</f>
        <v>-12000</v>
      </c>
      <c r="BJ35" s="67" t="n">
        <f aca="false">-Inputs!$B$30*1</f>
        <v>-12000</v>
      </c>
    </row>
    <row r="36" customFormat="false" ht="15" hidden="false" customHeight="false" outlineLevel="0" collapsed="false">
      <c r="A36" s="6" t="s">
        <v>325</v>
      </c>
      <c r="C36" s="67" t="n">
        <f aca="false">-Inputs!$B$31*1</f>
        <v>-4000</v>
      </c>
      <c r="D36" s="67" t="n">
        <f aca="false">-Inputs!$B$31*1</f>
        <v>-4000</v>
      </c>
      <c r="E36" s="67" t="n">
        <f aca="false">-Inputs!$B$31*1</f>
        <v>-4000</v>
      </c>
      <c r="F36" s="67" t="n">
        <f aca="false">-Inputs!$B$31*1</f>
        <v>-4000</v>
      </c>
      <c r="G36" s="67" t="n">
        <f aca="false">-Inputs!$B$31*1</f>
        <v>-4000</v>
      </c>
      <c r="H36" s="67" t="n">
        <f aca="false">-Inputs!$B$31*1</f>
        <v>-4000</v>
      </c>
      <c r="I36" s="67" t="n">
        <f aca="false">-Inputs!$B$31*1</f>
        <v>-4000</v>
      </c>
      <c r="J36" s="67" t="n">
        <f aca="false">-Inputs!$B$31*1</f>
        <v>-4000</v>
      </c>
      <c r="K36" s="67" t="n">
        <f aca="false">-Inputs!$B$31*1</f>
        <v>-4000</v>
      </c>
      <c r="L36" s="67" t="n">
        <f aca="false">-Inputs!$B$31*1</f>
        <v>-4000</v>
      </c>
      <c r="M36" s="67" t="n">
        <f aca="false">-Inputs!$B$31*1</f>
        <v>-4000</v>
      </c>
      <c r="N36" s="67" t="n">
        <f aca="false">-Inputs!$B$31*1</f>
        <v>-4000</v>
      </c>
      <c r="O36" s="67" t="n">
        <f aca="false">-Inputs!$B$31*1</f>
        <v>-4000</v>
      </c>
      <c r="P36" s="67" t="n">
        <f aca="false">-Inputs!$B$31*1</f>
        <v>-4000</v>
      </c>
      <c r="Q36" s="67" t="n">
        <f aca="false">-Inputs!$B$31*1</f>
        <v>-4000</v>
      </c>
      <c r="R36" s="67" t="n">
        <f aca="false">-Inputs!$B$31*1</f>
        <v>-4000</v>
      </c>
      <c r="S36" s="67" t="n">
        <f aca="false">-Inputs!$B$31*1</f>
        <v>-4000</v>
      </c>
      <c r="T36" s="67" t="n">
        <f aca="false">-Inputs!$B$31*1</f>
        <v>-4000</v>
      </c>
      <c r="U36" s="67" t="n">
        <f aca="false">-Inputs!$B$31*1</f>
        <v>-4000</v>
      </c>
      <c r="V36" s="67" t="n">
        <f aca="false">-Inputs!$B$31*1</f>
        <v>-4000</v>
      </c>
      <c r="W36" s="67" t="n">
        <f aca="false">-Inputs!$B$31*1</f>
        <v>-4000</v>
      </c>
      <c r="X36" s="67" t="n">
        <f aca="false">-Inputs!$B$31*1</f>
        <v>-4000</v>
      </c>
      <c r="Y36" s="67" t="n">
        <f aca="false">-Inputs!$B$31*1</f>
        <v>-4000</v>
      </c>
      <c r="Z36" s="67" t="n">
        <f aca="false">-Inputs!$B$31*1</f>
        <v>-4000</v>
      </c>
      <c r="AA36" s="67" t="n">
        <f aca="false">-Inputs!$B$31*1</f>
        <v>-4000</v>
      </c>
      <c r="AB36" s="67" t="n">
        <f aca="false">-Inputs!$B$31*1</f>
        <v>-4000</v>
      </c>
      <c r="AC36" s="67" t="n">
        <f aca="false">-Inputs!$B$31*1</f>
        <v>-4000</v>
      </c>
      <c r="AD36" s="67" t="n">
        <f aca="false">-Inputs!$B$31*1</f>
        <v>-4000</v>
      </c>
      <c r="AE36" s="67" t="n">
        <f aca="false">-Inputs!$B$31*1</f>
        <v>-4000</v>
      </c>
      <c r="AF36" s="67" t="n">
        <f aca="false">-Inputs!$B$31*1</f>
        <v>-4000</v>
      </c>
      <c r="AG36" s="67" t="n">
        <f aca="false">-Inputs!$B$31*1</f>
        <v>-4000</v>
      </c>
      <c r="AH36" s="67" t="n">
        <f aca="false">-Inputs!$B$31*1</f>
        <v>-4000</v>
      </c>
      <c r="AI36" s="67" t="n">
        <f aca="false">-Inputs!$B$31*1</f>
        <v>-4000</v>
      </c>
      <c r="AJ36" s="67" t="n">
        <f aca="false">-Inputs!$B$31*1</f>
        <v>-4000</v>
      </c>
      <c r="AK36" s="67" t="n">
        <f aca="false">-Inputs!$B$31*1</f>
        <v>-4000</v>
      </c>
      <c r="AL36" s="67" t="n">
        <f aca="false">-Inputs!$B$31*1</f>
        <v>-4000</v>
      </c>
      <c r="AM36" s="67" t="n">
        <f aca="false">-Inputs!$B$31*1</f>
        <v>-4000</v>
      </c>
      <c r="AN36" s="67" t="n">
        <f aca="false">-Inputs!$B$31*1</f>
        <v>-4000</v>
      </c>
      <c r="AO36" s="67" t="n">
        <f aca="false">-Inputs!$B$31*1</f>
        <v>-4000</v>
      </c>
      <c r="AP36" s="67" t="n">
        <f aca="false">-Inputs!$B$31*1</f>
        <v>-4000</v>
      </c>
      <c r="AQ36" s="67" t="n">
        <f aca="false">-Inputs!$B$31*1</f>
        <v>-4000</v>
      </c>
      <c r="AR36" s="67" t="n">
        <f aca="false">-Inputs!$B$31*1</f>
        <v>-4000</v>
      </c>
      <c r="AS36" s="67" t="n">
        <f aca="false">-Inputs!$B$31*1</f>
        <v>-4000</v>
      </c>
      <c r="AT36" s="67" t="n">
        <f aca="false">-Inputs!$B$31*1</f>
        <v>-4000</v>
      </c>
      <c r="AU36" s="67" t="n">
        <f aca="false">-Inputs!$B$31*1</f>
        <v>-4000</v>
      </c>
      <c r="AV36" s="67" t="n">
        <f aca="false">-Inputs!$B$31*1</f>
        <v>-4000</v>
      </c>
      <c r="AW36" s="67" t="n">
        <f aca="false">-Inputs!$B$31*1</f>
        <v>-4000</v>
      </c>
      <c r="AX36" s="67" t="n">
        <f aca="false">-Inputs!$B$31*1</f>
        <v>-4000</v>
      </c>
      <c r="AY36" s="67" t="n">
        <f aca="false">-Inputs!$B$31*1</f>
        <v>-4000</v>
      </c>
      <c r="AZ36" s="67" t="n">
        <f aca="false">-Inputs!$B$31*1</f>
        <v>-4000</v>
      </c>
      <c r="BA36" s="67" t="n">
        <f aca="false">-Inputs!$B$31*1</f>
        <v>-4000</v>
      </c>
      <c r="BB36" s="67" t="n">
        <f aca="false">-Inputs!$B$31*1</f>
        <v>-4000</v>
      </c>
      <c r="BC36" s="67" t="n">
        <f aca="false">-Inputs!$B$31*1</f>
        <v>-4000</v>
      </c>
      <c r="BD36" s="67" t="n">
        <f aca="false">-Inputs!$B$31*1</f>
        <v>-4000</v>
      </c>
      <c r="BE36" s="67" t="n">
        <f aca="false">-Inputs!$B$31*1</f>
        <v>-4000</v>
      </c>
      <c r="BF36" s="67" t="n">
        <f aca="false">-Inputs!$B$31*1</f>
        <v>-4000</v>
      </c>
      <c r="BG36" s="67" t="n">
        <f aca="false">-Inputs!$B$31*1</f>
        <v>-4000</v>
      </c>
      <c r="BH36" s="67" t="n">
        <f aca="false">-Inputs!$B$31*1</f>
        <v>-4000</v>
      </c>
      <c r="BI36" s="67" t="n">
        <f aca="false">-Inputs!$B$31*1</f>
        <v>-4000</v>
      </c>
      <c r="BJ36" s="67" t="n">
        <f aca="false">-Inputs!$B$31*1</f>
        <v>-4000</v>
      </c>
    </row>
    <row r="37" customFormat="false" ht="15" hidden="false" customHeight="false" outlineLevel="0" collapsed="false">
      <c r="A37" s="6" t="s">
        <v>326</v>
      </c>
      <c r="C37" s="67" t="n">
        <f aca="false">-C19*Inputs!$B$20*52/12*1*Inputs!$B$21</f>
        <v>-2274.45833333333</v>
      </c>
      <c r="D37" s="67" t="n">
        <f aca="false">-D19*Inputs!$B$20*52/12*1*Inputs!$B$21</f>
        <v>-2408.25</v>
      </c>
      <c r="E37" s="67" t="n">
        <f aca="false">-E19*Inputs!$B$20*52/12*1*Inputs!$B$21</f>
        <v>-2542.04166666667</v>
      </c>
      <c r="F37" s="67" t="n">
        <f aca="false">-F19*Inputs!$B$20*52/12*1*Inputs!$B$21</f>
        <v>-2675.83333333333</v>
      </c>
      <c r="G37" s="67" t="n">
        <f aca="false">-G19*Inputs!$B$20*52/12*1*Inputs!$B$21</f>
        <v>-2675.83333333333</v>
      </c>
      <c r="H37" s="67" t="n">
        <f aca="false">-H19*Inputs!$B$20*52/12*1*Inputs!$B$21</f>
        <v>-2675.83333333333</v>
      </c>
      <c r="I37" s="67" t="n">
        <f aca="false">-I19*Inputs!$B$20*52/12*1*Inputs!$B$21</f>
        <v>-2675.83333333333</v>
      </c>
      <c r="J37" s="67" t="n">
        <f aca="false">-J19*Inputs!$B$20*52/12*1*Inputs!$B$21</f>
        <v>-2675.83333333333</v>
      </c>
      <c r="K37" s="67" t="n">
        <f aca="false">-K19*Inputs!$B$20*52/12*1*Inputs!$B$21</f>
        <v>-2675.83333333333</v>
      </c>
      <c r="L37" s="67" t="n">
        <f aca="false">-L19*Inputs!$B$20*52/12*1*Inputs!$B$21</f>
        <v>-2675.83333333333</v>
      </c>
      <c r="M37" s="67" t="n">
        <f aca="false">-M19*Inputs!$B$20*52/12*1*Inputs!$B$21</f>
        <v>-2675.83333333333</v>
      </c>
      <c r="N37" s="67" t="n">
        <f aca="false">-N19*Inputs!$B$20*52/12*1*Inputs!$B$21</f>
        <v>-2675.83333333333</v>
      </c>
      <c r="O37" s="67" t="n">
        <f aca="false">-O19*Inputs!$B$20*52/12*1*Inputs!$B$21</f>
        <v>-2889.9</v>
      </c>
      <c r="P37" s="67" t="n">
        <f aca="false">-P19*Inputs!$B$20*52/12*1*Inputs!$B$21</f>
        <v>-2889.9</v>
      </c>
      <c r="Q37" s="67" t="n">
        <f aca="false">-Q19*Inputs!$B$20*52/12*1*Inputs!$B$21</f>
        <v>-2889.9</v>
      </c>
      <c r="R37" s="67" t="n">
        <f aca="false">-R19*Inputs!$B$20*52/12*1*Inputs!$B$21</f>
        <v>-2889.9</v>
      </c>
      <c r="S37" s="67" t="n">
        <f aca="false">-S19*Inputs!$B$20*52/12*1*Inputs!$B$21</f>
        <v>-2889.9</v>
      </c>
      <c r="T37" s="67" t="n">
        <f aca="false">-T19*Inputs!$B$20*52/12*1*Inputs!$B$21</f>
        <v>-2889.9</v>
      </c>
      <c r="U37" s="67" t="n">
        <f aca="false">-U19*Inputs!$B$20*52/12*1*Inputs!$B$21</f>
        <v>-2889.9</v>
      </c>
      <c r="V37" s="67" t="n">
        <f aca="false">-V19*Inputs!$B$20*52/12*1*Inputs!$B$21</f>
        <v>-2889.9</v>
      </c>
      <c r="W37" s="67" t="n">
        <f aca="false">-W19*Inputs!$B$20*52/12*1*Inputs!$B$21</f>
        <v>-2889.9</v>
      </c>
      <c r="X37" s="67" t="n">
        <f aca="false">-X19*Inputs!$B$20*52/12*1*Inputs!$B$21</f>
        <v>-2889.9</v>
      </c>
      <c r="Y37" s="67" t="n">
        <f aca="false">-Y19*Inputs!$B$20*52/12*1*Inputs!$B$21</f>
        <v>-2889.9</v>
      </c>
      <c r="Z37" s="67" t="n">
        <f aca="false">-Z19*Inputs!$B$20*52/12*1*Inputs!$B$21</f>
        <v>-2889.9</v>
      </c>
      <c r="AA37" s="67" t="n">
        <f aca="false">-AA19*Inputs!$B$20*52/12*1*Inputs!$B$21</f>
        <v>-3121.092</v>
      </c>
      <c r="AB37" s="67" t="n">
        <f aca="false">-AB19*Inputs!$B$20*52/12*1*Inputs!$B$21</f>
        <v>-3121.092</v>
      </c>
      <c r="AC37" s="67" t="n">
        <f aca="false">-AC19*Inputs!$B$20*52/12*1*Inputs!$B$21</f>
        <v>-3121.092</v>
      </c>
      <c r="AD37" s="67" t="n">
        <f aca="false">-AD19*Inputs!$B$20*52/12*1*Inputs!$B$21</f>
        <v>-3121.092</v>
      </c>
      <c r="AE37" s="67" t="n">
        <f aca="false">-AE19*Inputs!$B$20*52/12*1*Inputs!$B$21</f>
        <v>-3121.092</v>
      </c>
      <c r="AF37" s="67" t="n">
        <f aca="false">-AF19*Inputs!$B$20*52/12*1*Inputs!$B$21</f>
        <v>-3121.092</v>
      </c>
      <c r="AG37" s="67" t="n">
        <f aca="false">-AG19*Inputs!$B$20*52/12*1*Inputs!$B$21</f>
        <v>-3121.092</v>
      </c>
      <c r="AH37" s="67" t="n">
        <f aca="false">-AH19*Inputs!$B$20*52/12*1*Inputs!$B$21</f>
        <v>-3121.092</v>
      </c>
      <c r="AI37" s="67" t="n">
        <f aca="false">-AI19*Inputs!$B$20*52/12*1*Inputs!$B$21</f>
        <v>-3121.092</v>
      </c>
      <c r="AJ37" s="67" t="n">
        <f aca="false">-AJ19*Inputs!$B$20*52/12*1*Inputs!$B$21</f>
        <v>-3121.092</v>
      </c>
      <c r="AK37" s="67" t="n">
        <f aca="false">-AK19*Inputs!$B$20*52/12*1*Inputs!$B$21</f>
        <v>-3121.092</v>
      </c>
      <c r="AL37" s="67" t="n">
        <f aca="false">-AL19*Inputs!$B$20*52/12*1*Inputs!$B$21</f>
        <v>-3121.092</v>
      </c>
      <c r="AM37" s="67" t="n">
        <f aca="false">-AM19*Inputs!$B$20*52/12*1*Inputs!$B$21</f>
        <v>-3370.77936</v>
      </c>
      <c r="AN37" s="67" t="n">
        <f aca="false">-AN19*Inputs!$B$20*52/12*1*Inputs!$B$21</f>
        <v>-3370.77936</v>
      </c>
      <c r="AO37" s="67" t="n">
        <f aca="false">-AO19*Inputs!$B$20*52/12*1*Inputs!$B$21</f>
        <v>-3370.77936</v>
      </c>
      <c r="AP37" s="67" t="n">
        <f aca="false">-AP19*Inputs!$B$20*52/12*1*Inputs!$B$21</f>
        <v>-3370.77936</v>
      </c>
      <c r="AQ37" s="67" t="n">
        <f aca="false">-AQ19*Inputs!$B$20*52/12*1*Inputs!$B$21</f>
        <v>-3370.77936</v>
      </c>
      <c r="AR37" s="67" t="n">
        <f aca="false">-AR19*Inputs!$B$20*52/12*1*Inputs!$B$21</f>
        <v>-3370.77936</v>
      </c>
      <c r="AS37" s="67" t="n">
        <f aca="false">-AS19*Inputs!$B$20*52/12*1*Inputs!$B$21</f>
        <v>-3370.77936</v>
      </c>
      <c r="AT37" s="67" t="n">
        <f aca="false">-AT19*Inputs!$B$20*52/12*1*Inputs!$B$21</f>
        <v>-3370.77936</v>
      </c>
      <c r="AU37" s="67" t="n">
        <f aca="false">-AU19*Inputs!$B$20*52/12*1*Inputs!$B$21</f>
        <v>-3370.77936</v>
      </c>
      <c r="AV37" s="67" t="n">
        <f aca="false">-AV19*Inputs!$B$20*52/12*1*Inputs!$B$21</f>
        <v>-3370.77936</v>
      </c>
      <c r="AW37" s="67" t="n">
        <f aca="false">-AW19*Inputs!$B$20*52/12*1*Inputs!$B$21</f>
        <v>-3370.77936</v>
      </c>
      <c r="AX37" s="67" t="n">
        <f aca="false">-AX19*Inputs!$B$20*52/12*1*Inputs!$B$21</f>
        <v>-3370.77936</v>
      </c>
      <c r="AY37" s="67" t="n">
        <f aca="false">-AY19*Inputs!$B$20*52/12*1*Inputs!$B$21</f>
        <v>-3640.4417088</v>
      </c>
      <c r="AZ37" s="67" t="n">
        <f aca="false">-AZ19*Inputs!$B$20*52/12*1*Inputs!$B$21</f>
        <v>-3640.4417088</v>
      </c>
      <c r="BA37" s="67" t="n">
        <f aca="false">-BA19*Inputs!$B$20*52/12*1*Inputs!$B$21</f>
        <v>-3640.4417088</v>
      </c>
      <c r="BB37" s="67" t="n">
        <f aca="false">-BB19*Inputs!$B$20*52/12*1*Inputs!$B$21</f>
        <v>-3640.4417088</v>
      </c>
      <c r="BC37" s="67" t="n">
        <f aca="false">-BC19*Inputs!$B$20*52/12*1*Inputs!$B$21</f>
        <v>-3640.4417088</v>
      </c>
      <c r="BD37" s="67" t="n">
        <f aca="false">-BD19*Inputs!$B$20*52/12*1*Inputs!$B$21</f>
        <v>-3640.4417088</v>
      </c>
      <c r="BE37" s="67" t="n">
        <f aca="false">-BE19*Inputs!$B$20*52/12*1*Inputs!$B$21</f>
        <v>-3640.4417088</v>
      </c>
      <c r="BF37" s="67" t="n">
        <f aca="false">-BF19*Inputs!$B$20*52/12*1*Inputs!$B$21</f>
        <v>-3640.4417088</v>
      </c>
      <c r="BG37" s="67" t="n">
        <f aca="false">-BG19*Inputs!$B$20*52/12*1*Inputs!$B$21</f>
        <v>-3640.4417088</v>
      </c>
      <c r="BH37" s="67" t="n">
        <f aca="false">-BH19*Inputs!$B$20*52/12*1*Inputs!$B$21</f>
        <v>-3640.4417088</v>
      </c>
      <c r="BI37" s="67" t="n">
        <f aca="false">-BI19*Inputs!$B$20*52/12*1*Inputs!$B$21</f>
        <v>-3640.4417088</v>
      </c>
      <c r="BJ37" s="67" t="n">
        <f aca="false">-BJ19*Inputs!$B$20*52/12*1*Inputs!$B$21</f>
        <v>-3640.4417088</v>
      </c>
    </row>
    <row r="38" customFormat="false" ht="15" hidden="false" customHeight="false" outlineLevel="0" collapsed="false">
      <c r="A38" s="6" t="s">
        <v>327</v>
      </c>
      <c r="C38" s="67" t="n">
        <f aca="false">-Inputs!$B$32*1</f>
        <v>-1000</v>
      </c>
      <c r="D38" s="67" t="n">
        <f aca="false">-Inputs!$B$32*1</f>
        <v>-1000</v>
      </c>
      <c r="E38" s="67" t="n">
        <f aca="false">-Inputs!$B$32*1</f>
        <v>-1000</v>
      </c>
      <c r="F38" s="67" t="n">
        <f aca="false">-Inputs!$B$32*1</f>
        <v>-1000</v>
      </c>
      <c r="G38" s="67" t="n">
        <f aca="false">-Inputs!$B$32*1</f>
        <v>-1000</v>
      </c>
      <c r="H38" s="67" t="n">
        <f aca="false">-Inputs!$B$32*1</f>
        <v>-1000</v>
      </c>
      <c r="I38" s="67" t="n">
        <f aca="false">-Inputs!$B$32*1</f>
        <v>-1000</v>
      </c>
      <c r="J38" s="67" t="n">
        <f aca="false">-Inputs!$B$32*1</f>
        <v>-1000</v>
      </c>
      <c r="K38" s="67" t="n">
        <f aca="false">-Inputs!$B$32*1</f>
        <v>-1000</v>
      </c>
      <c r="L38" s="67" t="n">
        <f aca="false">-Inputs!$B$32*1</f>
        <v>-1000</v>
      </c>
      <c r="M38" s="67" t="n">
        <f aca="false">-Inputs!$B$32*1</f>
        <v>-1000</v>
      </c>
      <c r="N38" s="67" t="n">
        <f aca="false">-Inputs!$B$32*1</f>
        <v>-1000</v>
      </c>
      <c r="O38" s="67" t="n">
        <f aca="false">-Inputs!$B$32*1</f>
        <v>-1000</v>
      </c>
      <c r="P38" s="67" t="n">
        <f aca="false">-Inputs!$B$32*1</f>
        <v>-1000</v>
      </c>
      <c r="Q38" s="67" t="n">
        <f aca="false">-Inputs!$B$32*1</f>
        <v>-1000</v>
      </c>
      <c r="R38" s="67" t="n">
        <f aca="false">-Inputs!$B$32*1</f>
        <v>-1000</v>
      </c>
      <c r="S38" s="67" t="n">
        <f aca="false">-Inputs!$B$32*1</f>
        <v>-1000</v>
      </c>
      <c r="T38" s="67" t="n">
        <f aca="false">-Inputs!$B$32*1</f>
        <v>-1000</v>
      </c>
      <c r="U38" s="67" t="n">
        <f aca="false">-Inputs!$B$32*1</f>
        <v>-1000</v>
      </c>
      <c r="V38" s="67" t="n">
        <f aca="false">-Inputs!$B$32*1</f>
        <v>-1000</v>
      </c>
      <c r="W38" s="67" t="n">
        <f aca="false">-Inputs!$B$32*1</f>
        <v>-1000</v>
      </c>
      <c r="X38" s="67" t="n">
        <f aca="false">-Inputs!$B$32*1</f>
        <v>-1000</v>
      </c>
      <c r="Y38" s="67" t="n">
        <f aca="false">-Inputs!$B$32*1</f>
        <v>-1000</v>
      </c>
      <c r="Z38" s="67" t="n">
        <f aca="false">-Inputs!$B$32*1</f>
        <v>-1000</v>
      </c>
      <c r="AA38" s="67" t="n">
        <f aca="false">-Inputs!$B$32*1</f>
        <v>-1000</v>
      </c>
      <c r="AB38" s="67" t="n">
        <f aca="false">-Inputs!$B$32*1</f>
        <v>-1000</v>
      </c>
      <c r="AC38" s="67" t="n">
        <f aca="false">-Inputs!$B$32*1</f>
        <v>-1000</v>
      </c>
      <c r="AD38" s="67" t="n">
        <f aca="false">-Inputs!$B$32*1</f>
        <v>-1000</v>
      </c>
      <c r="AE38" s="67" t="n">
        <f aca="false">-Inputs!$B$32*1</f>
        <v>-1000</v>
      </c>
      <c r="AF38" s="67" t="n">
        <f aca="false">-Inputs!$B$32*1</f>
        <v>-1000</v>
      </c>
      <c r="AG38" s="67" t="n">
        <f aca="false">-Inputs!$B$32*1</f>
        <v>-1000</v>
      </c>
      <c r="AH38" s="67" t="n">
        <f aca="false">-Inputs!$B$32*1</f>
        <v>-1000</v>
      </c>
      <c r="AI38" s="67" t="n">
        <f aca="false">-Inputs!$B$32*1</f>
        <v>-1000</v>
      </c>
      <c r="AJ38" s="67" t="n">
        <f aca="false">-Inputs!$B$32*1</f>
        <v>-1000</v>
      </c>
      <c r="AK38" s="67" t="n">
        <f aca="false">-Inputs!$B$32*1</f>
        <v>-1000</v>
      </c>
      <c r="AL38" s="67" t="n">
        <f aca="false">-Inputs!$B$32*1</f>
        <v>-1000</v>
      </c>
      <c r="AM38" s="67" t="n">
        <f aca="false">-Inputs!$B$32*1</f>
        <v>-1000</v>
      </c>
      <c r="AN38" s="67" t="n">
        <f aca="false">-Inputs!$B$32*1</f>
        <v>-1000</v>
      </c>
      <c r="AO38" s="67" t="n">
        <f aca="false">-Inputs!$B$32*1</f>
        <v>-1000</v>
      </c>
      <c r="AP38" s="67" t="n">
        <f aca="false">-Inputs!$B$32*1</f>
        <v>-1000</v>
      </c>
      <c r="AQ38" s="67" t="n">
        <f aca="false">-Inputs!$B$32*1</f>
        <v>-1000</v>
      </c>
      <c r="AR38" s="67" t="n">
        <f aca="false">-Inputs!$B$32*1</f>
        <v>-1000</v>
      </c>
      <c r="AS38" s="67" t="n">
        <f aca="false">-Inputs!$B$32*1</f>
        <v>-1000</v>
      </c>
      <c r="AT38" s="67" t="n">
        <f aca="false">-Inputs!$B$32*1</f>
        <v>-1000</v>
      </c>
      <c r="AU38" s="67" t="n">
        <f aca="false">-Inputs!$B$32*1</f>
        <v>-1000</v>
      </c>
      <c r="AV38" s="67" t="n">
        <f aca="false">-Inputs!$B$32*1</f>
        <v>-1000</v>
      </c>
      <c r="AW38" s="67" t="n">
        <f aca="false">-Inputs!$B$32*1</f>
        <v>-1000</v>
      </c>
      <c r="AX38" s="67" t="n">
        <f aca="false">-Inputs!$B$32*1</f>
        <v>-1000</v>
      </c>
      <c r="AY38" s="67" t="n">
        <f aca="false">-Inputs!$B$32*1</f>
        <v>-1000</v>
      </c>
      <c r="AZ38" s="67" t="n">
        <f aca="false">-Inputs!$B$32*1</f>
        <v>-1000</v>
      </c>
      <c r="BA38" s="67" t="n">
        <f aca="false">-Inputs!$B$32*1</f>
        <v>-1000</v>
      </c>
      <c r="BB38" s="67" t="n">
        <f aca="false">-Inputs!$B$32*1</f>
        <v>-1000</v>
      </c>
      <c r="BC38" s="67" t="n">
        <f aca="false">-Inputs!$B$32*1</f>
        <v>-1000</v>
      </c>
      <c r="BD38" s="67" t="n">
        <f aca="false">-Inputs!$B$32*1</f>
        <v>-1000</v>
      </c>
      <c r="BE38" s="67" t="n">
        <f aca="false">-Inputs!$B$32*1</f>
        <v>-1000</v>
      </c>
      <c r="BF38" s="67" t="n">
        <f aca="false">-Inputs!$B$32*1</f>
        <v>-1000</v>
      </c>
      <c r="BG38" s="67" t="n">
        <f aca="false">-Inputs!$B$32*1</f>
        <v>-1000</v>
      </c>
      <c r="BH38" s="67" t="n">
        <f aca="false">-Inputs!$B$32*1</f>
        <v>-1000</v>
      </c>
      <c r="BI38" s="67" t="n">
        <f aca="false">-Inputs!$B$32*1</f>
        <v>-1000</v>
      </c>
      <c r="BJ38" s="67" t="n">
        <f aca="false">-Inputs!$B$32*1</f>
        <v>-1000</v>
      </c>
    </row>
    <row r="39" customFormat="false" ht="15" hidden="false" customHeight="false" outlineLevel="0" collapsed="false">
      <c r="A39" s="6" t="s">
        <v>328</v>
      </c>
      <c r="C39" s="67" t="n">
        <f aca="false">-C24*Inputs!$B$33</f>
        <v>-2055.67266666667</v>
      </c>
      <c r="D39" s="67" t="n">
        <f aca="false">-D24*Inputs!$B$33</f>
        <v>-2181.036</v>
      </c>
      <c r="E39" s="67" t="n">
        <f aca="false">-E24*Inputs!$B$33</f>
        <v>-2306.39933333333</v>
      </c>
      <c r="F39" s="67" t="n">
        <f aca="false">-F24*Inputs!$B$33</f>
        <v>-2431.76266666667</v>
      </c>
      <c r="G39" s="67" t="n">
        <f aca="false">-G24*Inputs!$B$33</f>
        <v>-2431.76266666667</v>
      </c>
      <c r="H39" s="67" t="n">
        <f aca="false">-H24*Inputs!$B$33</f>
        <v>-2431.76266666667</v>
      </c>
      <c r="I39" s="67" t="n">
        <f aca="false">-I24*Inputs!$B$33</f>
        <v>-2431.76266666667</v>
      </c>
      <c r="J39" s="67" t="n">
        <f aca="false">-J24*Inputs!$B$33</f>
        <v>-2431.76266666667</v>
      </c>
      <c r="K39" s="67" t="n">
        <f aca="false">-K24*Inputs!$B$33</f>
        <v>-2431.76266666667</v>
      </c>
      <c r="L39" s="67" t="n">
        <f aca="false">-L24*Inputs!$B$33</f>
        <v>-2431.76266666667</v>
      </c>
      <c r="M39" s="67" t="n">
        <f aca="false">-M24*Inputs!$B$33</f>
        <v>-2884.78666666667</v>
      </c>
      <c r="N39" s="67" t="n">
        <f aca="false">-N24*Inputs!$B$33</f>
        <v>-2884.78666666667</v>
      </c>
      <c r="O39" s="67" t="n">
        <f aca="false">-O24*Inputs!$B$33</f>
        <v>-2549.4460992</v>
      </c>
      <c r="P39" s="67" t="n">
        <f aca="false">-P24*Inputs!$B$33</f>
        <v>-2549.4460992</v>
      </c>
      <c r="Q39" s="67" t="n">
        <f aca="false">-Q24*Inputs!$B$33</f>
        <v>-2549.4460992</v>
      </c>
      <c r="R39" s="67" t="n">
        <f aca="false">-R24*Inputs!$B$33</f>
        <v>-2549.4460992</v>
      </c>
      <c r="S39" s="67" t="n">
        <f aca="false">-S24*Inputs!$B$33</f>
        <v>-2549.4460992</v>
      </c>
      <c r="T39" s="67" t="n">
        <f aca="false">-T24*Inputs!$B$33</f>
        <v>-2549.4460992</v>
      </c>
      <c r="U39" s="67" t="n">
        <f aca="false">-U24*Inputs!$B$33</f>
        <v>-2549.4460992</v>
      </c>
      <c r="V39" s="67" t="n">
        <f aca="false">-V24*Inputs!$B$33</f>
        <v>-2549.4460992</v>
      </c>
      <c r="W39" s="67" t="n">
        <f aca="false">-W24*Inputs!$B$33</f>
        <v>-2549.4460992</v>
      </c>
      <c r="X39" s="67" t="n">
        <f aca="false">-X24*Inputs!$B$33</f>
        <v>-2549.4460992</v>
      </c>
      <c r="Y39" s="67" t="n">
        <f aca="false">-Y24*Inputs!$B$33</f>
        <v>-3016.151424</v>
      </c>
      <c r="Z39" s="67" t="n">
        <f aca="false">-Z24*Inputs!$B$33</f>
        <v>-3016.151424</v>
      </c>
      <c r="AA39" s="67" t="n">
        <f aca="false">-AA24*Inputs!$B$33</f>
        <v>-2675.17878211584</v>
      </c>
      <c r="AB39" s="67" t="n">
        <f aca="false">-AB24*Inputs!$B$33</f>
        <v>-2675.17878211584</v>
      </c>
      <c r="AC39" s="67" t="n">
        <f aca="false">-AC24*Inputs!$B$33</f>
        <v>-2675.17878211584</v>
      </c>
      <c r="AD39" s="67" t="n">
        <f aca="false">-AD24*Inputs!$B$33</f>
        <v>-2675.17878211584</v>
      </c>
      <c r="AE39" s="67" t="n">
        <f aca="false">-AE24*Inputs!$B$33</f>
        <v>-2675.17878211584</v>
      </c>
      <c r="AF39" s="67" t="n">
        <f aca="false">-AF24*Inputs!$B$33</f>
        <v>-2675.17878211584</v>
      </c>
      <c r="AG39" s="67" t="n">
        <f aca="false">-AG24*Inputs!$B$33</f>
        <v>-2675.17878211584</v>
      </c>
      <c r="AH39" s="67" t="n">
        <f aca="false">-AH24*Inputs!$B$33</f>
        <v>-2675.17878211584</v>
      </c>
      <c r="AI39" s="67" t="n">
        <f aca="false">-AI24*Inputs!$B$33</f>
        <v>-2675.17878211584</v>
      </c>
      <c r="AJ39" s="67" t="n">
        <f aca="false">-AJ24*Inputs!$B$33</f>
        <v>-2675.17878211584</v>
      </c>
      <c r="AK39" s="67" t="n">
        <f aca="false">-AK24*Inputs!$B$33</f>
        <v>-3155.9786077248</v>
      </c>
      <c r="AL39" s="67" t="n">
        <f aca="false">-AL24*Inputs!$B$33</f>
        <v>-3155.9786077248</v>
      </c>
      <c r="AM39" s="67" t="n">
        <f aca="false">-AM24*Inputs!$B$33</f>
        <v>-2809.66051618489</v>
      </c>
      <c r="AN39" s="67" t="n">
        <f aca="false">-AN24*Inputs!$B$33</f>
        <v>-2809.66051618489</v>
      </c>
      <c r="AO39" s="67" t="n">
        <f aca="false">-AO24*Inputs!$B$33</f>
        <v>-2809.66051618489</v>
      </c>
      <c r="AP39" s="67" t="n">
        <f aca="false">-AP24*Inputs!$B$33</f>
        <v>-2809.66051618489</v>
      </c>
      <c r="AQ39" s="67" t="n">
        <f aca="false">-AQ24*Inputs!$B$33</f>
        <v>-2809.66051618489</v>
      </c>
      <c r="AR39" s="67" t="n">
        <f aca="false">-AR24*Inputs!$B$33</f>
        <v>-2809.66051618489</v>
      </c>
      <c r="AS39" s="67" t="n">
        <f aca="false">-AS24*Inputs!$B$33</f>
        <v>-2809.66051618489</v>
      </c>
      <c r="AT39" s="67" t="n">
        <f aca="false">-AT24*Inputs!$B$33</f>
        <v>-2809.66051618489</v>
      </c>
      <c r="AU39" s="67" t="n">
        <f aca="false">-AU24*Inputs!$B$33</f>
        <v>-2809.66051618489</v>
      </c>
      <c r="AV39" s="67" t="n">
        <f aca="false">-AV24*Inputs!$B$33</f>
        <v>-2809.66051618489</v>
      </c>
      <c r="AW39" s="67" t="n">
        <f aca="false">-AW24*Inputs!$B$33</f>
        <v>-3304.98049652724</v>
      </c>
      <c r="AX39" s="67" t="n">
        <f aca="false">-AX24*Inputs!$B$33</f>
        <v>-3304.98049652724</v>
      </c>
      <c r="AY39" s="67" t="n">
        <f aca="false">-AY24*Inputs!$B$33</f>
        <v>-2953.6586382435</v>
      </c>
      <c r="AZ39" s="67" t="n">
        <f aca="false">-AZ24*Inputs!$B$33</f>
        <v>-2953.6586382435</v>
      </c>
      <c r="BA39" s="67" t="n">
        <f aca="false">-BA24*Inputs!$B$33</f>
        <v>-2953.6586382435</v>
      </c>
      <c r="BB39" s="67" t="n">
        <f aca="false">-BB24*Inputs!$B$33</f>
        <v>-2953.6586382435</v>
      </c>
      <c r="BC39" s="67" t="n">
        <f aca="false">-BC24*Inputs!$B$33</f>
        <v>-2953.6586382435</v>
      </c>
      <c r="BD39" s="67" t="n">
        <f aca="false">-BD24*Inputs!$B$33</f>
        <v>-2953.6586382435</v>
      </c>
      <c r="BE39" s="67" t="n">
        <f aca="false">-BE24*Inputs!$B$33</f>
        <v>-2953.6586382435</v>
      </c>
      <c r="BF39" s="67" t="n">
        <f aca="false">-BF24*Inputs!$B$33</f>
        <v>-2953.6586382435</v>
      </c>
      <c r="BG39" s="67" t="n">
        <f aca="false">-BG24*Inputs!$B$33</f>
        <v>-2953.6586382435</v>
      </c>
      <c r="BH39" s="67" t="n">
        <f aca="false">-BH24*Inputs!$B$33</f>
        <v>-2953.6586382435</v>
      </c>
      <c r="BI39" s="67" t="n">
        <f aca="false">-BI24*Inputs!$B$33</f>
        <v>-3463.93728199219</v>
      </c>
      <c r="BJ39" s="67" t="n">
        <f aca="false">-BJ24*Inputs!$B$33</f>
        <v>-3463.93728199219</v>
      </c>
    </row>
    <row r="40" customFormat="false" ht="15" hidden="false" customHeight="false" outlineLevel="0" collapsed="false">
      <c r="A40" s="6" t="s">
        <v>329</v>
      </c>
      <c r="C40" s="67" t="n">
        <f aca="false">-C16*Inputs!$B$34</f>
        <v>-2015.442</v>
      </c>
      <c r="D40" s="67" t="n">
        <f aca="false">-D16*Inputs!$B$34</f>
        <v>-2139.852</v>
      </c>
      <c r="E40" s="67" t="n">
        <f aca="false">-E16*Inputs!$B$34</f>
        <v>-2264.262</v>
      </c>
      <c r="F40" s="67" t="n">
        <f aca="false">-F16*Inputs!$B$34</f>
        <v>-2388.672</v>
      </c>
      <c r="G40" s="67" t="n">
        <f aca="false">-G16*Inputs!$B$34</f>
        <v>-2388.672</v>
      </c>
      <c r="H40" s="67" t="n">
        <f aca="false">-H16*Inputs!$B$34</f>
        <v>-2388.672</v>
      </c>
      <c r="I40" s="67" t="n">
        <f aca="false">-I16*Inputs!$B$34</f>
        <v>-2388.672</v>
      </c>
      <c r="J40" s="67" t="n">
        <f aca="false">-J16*Inputs!$B$34</f>
        <v>-2388.672</v>
      </c>
      <c r="K40" s="67" t="n">
        <f aca="false">-K16*Inputs!$B$34</f>
        <v>-2388.672</v>
      </c>
      <c r="L40" s="67" t="n">
        <f aca="false">-L16*Inputs!$B$34</f>
        <v>-2388.672</v>
      </c>
      <c r="M40" s="67" t="n">
        <f aca="false">-M16*Inputs!$B$34</f>
        <v>-2985.84</v>
      </c>
      <c r="N40" s="67" t="n">
        <f aca="false">-N16*Inputs!$B$34</f>
        <v>-2985.84</v>
      </c>
      <c r="O40" s="67" t="n">
        <f aca="false">-O16*Inputs!$B$34</f>
        <v>-2460.8098944</v>
      </c>
      <c r="P40" s="67" t="n">
        <f aca="false">-P16*Inputs!$B$34</f>
        <v>-2460.8098944</v>
      </c>
      <c r="Q40" s="67" t="n">
        <f aca="false">-Q16*Inputs!$B$34</f>
        <v>-2460.8098944</v>
      </c>
      <c r="R40" s="67" t="n">
        <f aca="false">-R16*Inputs!$B$34</f>
        <v>-2460.8098944</v>
      </c>
      <c r="S40" s="67" t="n">
        <f aca="false">-S16*Inputs!$B$34</f>
        <v>-2460.8098944</v>
      </c>
      <c r="T40" s="67" t="n">
        <f aca="false">-T16*Inputs!$B$34</f>
        <v>-2460.8098944</v>
      </c>
      <c r="U40" s="67" t="n">
        <f aca="false">-U16*Inputs!$B$34</f>
        <v>-2460.8098944</v>
      </c>
      <c r="V40" s="67" t="n">
        <f aca="false">-V16*Inputs!$B$34</f>
        <v>-2460.8098944</v>
      </c>
      <c r="W40" s="67" t="n">
        <f aca="false">-W16*Inputs!$B$34</f>
        <v>-2460.8098944</v>
      </c>
      <c r="X40" s="67" t="n">
        <f aca="false">-X16*Inputs!$B$34</f>
        <v>-2460.8098944</v>
      </c>
      <c r="Y40" s="67" t="n">
        <f aca="false">-Y16*Inputs!$B$34</f>
        <v>-3076.012368</v>
      </c>
      <c r="Z40" s="67" t="n">
        <f aca="false">-Z16*Inputs!$B$34</f>
        <v>-3076.012368</v>
      </c>
      <c r="AA40" s="67" t="n">
        <f aca="false">-AA16*Inputs!$B$34</f>
        <v>-2535.12635321088</v>
      </c>
      <c r="AB40" s="67" t="n">
        <f aca="false">-AB16*Inputs!$B$34</f>
        <v>-2535.12635321088</v>
      </c>
      <c r="AC40" s="67" t="n">
        <f aca="false">-AC16*Inputs!$B$34</f>
        <v>-2535.12635321088</v>
      </c>
      <c r="AD40" s="67" t="n">
        <f aca="false">-AD16*Inputs!$B$34</f>
        <v>-2535.12635321088</v>
      </c>
      <c r="AE40" s="67" t="n">
        <f aca="false">-AE16*Inputs!$B$34</f>
        <v>-2535.12635321088</v>
      </c>
      <c r="AF40" s="67" t="n">
        <f aca="false">-AF16*Inputs!$B$34</f>
        <v>-2535.12635321088</v>
      </c>
      <c r="AG40" s="67" t="n">
        <f aca="false">-AG16*Inputs!$B$34</f>
        <v>-2535.12635321088</v>
      </c>
      <c r="AH40" s="67" t="n">
        <f aca="false">-AH16*Inputs!$B$34</f>
        <v>-2535.12635321088</v>
      </c>
      <c r="AI40" s="67" t="n">
        <f aca="false">-AI16*Inputs!$B$34</f>
        <v>-2535.12635321088</v>
      </c>
      <c r="AJ40" s="67" t="n">
        <f aca="false">-AJ16*Inputs!$B$34</f>
        <v>-2535.12635321088</v>
      </c>
      <c r="AK40" s="67" t="n">
        <f aca="false">-AK16*Inputs!$B$34</f>
        <v>-3168.9079415136</v>
      </c>
      <c r="AL40" s="67" t="n">
        <f aca="false">-AL16*Inputs!$B$34</f>
        <v>-3168.9079415136</v>
      </c>
      <c r="AM40" s="67" t="n">
        <f aca="false">-AM16*Inputs!$B$34</f>
        <v>-2611.68716907785</v>
      </c>
      <c r="AN40" s="67" t="n">
        <f aca="false">-AN16*Inputs!$B$34</f>
        <v>-2611.68716907785</v>
      </c>
      <c r="AO40" s="67" t="n">
        <f aca="false">-AO16*Inputs!$B$34</f>
        <v>-2611.68716907785</v>
      </c>
      <c r="AP40" s="67" t="n">
        <f aca="false">-AP16*Inputs!$B$34</f>
        <v>-2611.68716907785</v>
      </c>
      <c r="AQ40" s="67" t="n">
        <f aca="false">-AQ16*Inputs!$B$34</f>
        <v>-2611.68716907785</v>
      </c>
      <c r="AR40" s="67" t="n">
        <f aca="false">-AR16*Inputs!$B$34</f>
        <v>-2611.68716907785</v>
      </c>
      <c r="AS40" s="67" t="n">
        <f aca="false">-AS16*Inputs!$B$34</f>
        <v>-2611.68716907785</v>
      </c>
      <c r="AT40" s="67" t="n">
        <f aca="false">-AT16*Inputs!$B$34</f>
        <v>-2611.68716907785</v>
      </c>
      <c r="AU40" s="67" t="n">
        <f aca="false">-AU16*Inputs!$B$34</f>
        <v>-2611.68716907785</v>
      </c>
      <c r="AV40" s="67" t="n">
        <f aca="false">-AV16*Inputs!$B$34</f>
        <v>-2611.68716907785</v>
      </c>
      <c r="AW40" s="67" t="n">
        <f aca="false">-AW16*Inputs!$B$34</f>
        <v>-3264.60896134731</v>
      </c>
      <c r="AX40" s="67" t="n">
        <f aca="false">-AX16*Inputs!$B$34</f>
        <v>-3264.60896134731</v>
      </c>
      <c r="AY40" s="67" t="n">
        <f aca="false">-AY16*Inputs!$B$34</f>
        <v>-2690.560121584</v>
      </c>
      <c r="AZ40" s="67" t="n">
        <f aca="false">-AZ16*Inputs!$B$34</f>
        <v>-2690.560121584</v>
      </c>
      <c r="BA40" s="67" t="n">
        <f aca="false">-BA16*Inputs!$B$34</f>
        <v>-2690.560121584</v>
      </c>
      <c r="BB40" s="67" t="n">
        <f aca="false">-BB16*Inputs!$B$34</f>
        <v>-2690.560121584</v>
      </c>
      <c r="BC40" s="67" t="n">
        <f aca="false">-BC16*Inputs!$B$34</f>
        <v>-2690.560121584</v>
      </c>
      <c r="BD40" s="67" t="n">
        <f aca="false">-BD16*Inputs!$B$34</f>
        <v>-2690.560121584</v>
      </c>
      <c r="BE40" s="67" t="n">
        <f aca="false">-BE16*Inputs!$B$34</f>
        <v>-2690.560121584</v>
      </c>
      <c r="BF40" s="67" t="n">
        <f aca="false">-BF16*Inputs!$B$34</f>
        <v>-2690.560121584</v>
      </c>
      <c r="BG40" s="67" t="n">
        <f aca="false">-BG16*Inputs!$B$34</f>
        <v>-2690.560121584</v>
      </c>
      <c r="BH40" s="67" t="n">
        <f aca="false">-BH16*Inputs!$B$34</f>
        <v>-2690.560121584</v>
      </c>
      <c r="BI40" s="67" t="n">
        <f aca="false">-BI16*Inputs!$B$34</f>
        <v>-3363.20015198</v>
      </c>
      <c r="BJ40" s="67" t="n">
        <f aca="false">-BJ16*Inputs!$B$34</f>
        <v>-3363.20015198</v>
      </c>
    </row>
    <row r="41" customFormat="false" ht="15" hidden="false" customHeight="false" outlineLevel="0" collapsed="false">
      <c r="A41" s="6" t="s">
        <v>330</v>
      </c>
      <c r="C41" s="67" t="n">
        <f aca="false">-Inputs!$B$35*1</f>
        <v>-2800</v>
      </c>
      <c r="D41" s="67" t="n">
        <f aca="false">-Inputs!$B$35*1</f>
        <v>-2800</v>
      </c>
      <c r="E41" s="67" t="n">
        <f aca="false">-Inputs!$B$35*1</f>
        <v>-2800</v>
      </c>
      <c r="F41" s="67" t="n">
        <f aca="false">-Inputs!$B$35*1</f>
        <v>-2800</v>
      </c>
      <c r="G41" s="67" t="n">
        <f aca="false">-Inputs!$B$35*1</f>
        <v>-2800</v>
      </c>
      <c r="H41" s="67" t="n">
        <f aca="false">-Inputs!$B$35*1</f>
        <v>-2800</v>
      </c>
      <c r="I41" s="67" t="n">
        <f aca="false">-Inputs!$B$35*1</f>
        <v>-2800</v>
      </c>
      <c r="J41" s="67" t="n">
        <f aca="false">-Inputs!$B$35*1</f>
        <v>-2800</v>
      </c>
      <c r="K41" s="67" t="n">
        <f aca="false">-Inputs!$B$35*1</f>
        <v>-2800</v>
      </c>
      <c r="L41" s="67" t="n">
        <f aca="false">-Inputs!$B$35*1</f>
        <v>-2800</v>
      </c>
      <c r="M41" s="67" t="n">
        <f aca="false">-Inputs!$B$35*1</f>
        <v>-2800</v>
      </c>
      <c r="N41" s="67" t="n">
        <f aca="false">-Inputs!$B$35*1</f>
        <v>-2800</v>
      </c>
      <c r="O41" s="67" t="n">
        <f aca="false">-Inputs!$B$35*1</f>
        <v>-2800</v>
      </c>
      <c r="P41" s="67" t="n">
        <f aca="false">-Inputs!$B$35*1</f>
        <v>-2800</v>
      </c>
      <c r="Q41" s="67" t="n">
        <f aca="false">-Inputs!$B$35*1</f>
        <v>-2800</v>
      </c>
      <c r="R41" s="67" t="n">
        <f aca="false">-Inputs!$B$35*1</f>
        <v>-2800</v>
      </c>
      <c r="S41" s="67" t="n">
        <f aca="false">-Inputs!$B$35*1</f>
        <v>-2800</v>
      </c>
      <c r="T41" s="67" t="n">
        <f aca="false">-Inputs!$B$35*1</f>
        <v>-2800</v>
      </c>
      <c r="U41" s="67" t="n">
        <f aca="false">-Inputs!$B$35*1</f>
        <v>-2800</v>
      </c>
      <c r="V41" s="67" t="n">
        <f aca="false">-Inputs!$B$35*1</f>
        <v>-2800</v>
      </c>
      <c r="W41" s="67" t="n">
        <f aca="false">-Inputs!$B$35*1</f>
        <v>-2800</v>
      </c>
      <c r="X41" s="67" t="n">
        <f aca="false">-Inputs!$B$35*1</f>
        <v>-2800</v>
      </c>
      <c r="Y41" s="67" t="n">
        <f aca="false">-Inputs!$B$35*1</f>
        <v>-2800</v>
      </c>
      <c r="Z41" s="67" t="n">
        <f aca="false">-Inputs!$B$35*1</f>
        <v>-2800</v>
      </c>
      <c r="AA41" s="67" t="n">
        <f aca="false">-Inputs!$B$35*1</f>
        <v>-2800</v>
      </c>
      <c r="AB41" s="67" t="n">
        <f aca="false">-Inputs!$B$35*1</f>
        <v>-2800</v>
      </c>
      <c r="AC41" s="67" t="n">
        <f aca="false">-Inputs!$B$35*1</f>
        <v>-2800</v>
      </c>
      <c r="AD41" s="67" t="n">
        <f aca="false">-Inputs!$B$35*1</f>
        <v>-2800</v>
      </c>
      <c r="AE41" s="67" t="n">
        <f aca="false">-Inputs!$B$35*1</f>
        <v>-2800</v>
      </c>
      <c r="AF41" s="67" t="n">
        <f aca="false">-Inputs!$B$35*1</f>
        <v>-2800</v>
      </c>
      <c r="AG41" s="67" t="n">
        <f aca="false">-Inputs!$B$35*1</f>
        <v>-2800</v>
      </c>
      <c r="AH41" s="67" t="n">
        <f aca="false">-Inputs!$B$35*1</f>
        <v>-2800</v>
      </c>
      <c r="AI41" s="67" t="n">
        <f aca="false">-Inputs!$B$35*1</f>
        <v>-2800</v>
      </c>
      <c r="AJ41" s="67" t="n">
        <f aca="false">-Inputs!$B$35*1</f>
        <v>-2800</v>
      </c>
      <c r="AK41" s="67" t="n">
        <f aca="false">-Inputs!$B$35*1</f>
        <v>-2800</v>
      </c>
      <c r="AL41" s="67" t="n">
        <f aca="false">-Inputs!$B$35*1</f>
        <v>-2800</v>
      </c>
      <c r="AM41" s="67" t="n">
        <f aca="false">-Inputs!$B$35*1</f>
        <v>-2800</v>
      </c>
      <c r="AN41" s="67" t="n">
        <f aca="false">-Inputs!$B$35*1</f>
        <v>-2800</v>
      </c>
      <c r="AO41" s="67" t="n">
        <f aca="false">-Inputs!$B$35*1</f>
        <v>-2800</v>
      </c>
      <c r="AP41" s="67" t="n">
        <f aca="false">-Inputs!$B$35*1</f>
        <v>-2800</v>
      </c>
      <c r="AQ41" s="67" t="n">
        <f aca="false">-Inputs!$B$35*1</f>
        <v>-2800</v>
      </c>
      <c r="AR41" s="67" t="n">
        <f aca="false">-Inputs!$B$35*1</f>
        <v>-2800</v>
      </c>
      <c r="AS41" s="67" t="n">
        <f aca="false">-Inputs!$B$35*1</f>
        <v>-2800</v>
      </c>
      <c r="AT41" s="67" t="n">
        <f aca="false">-Inputs!$B$35*1</f>
        <v>-2800</v>
      </c>
      <c r="AU41" s="67" t="n">
        <f aca="false">-Inputs!$B$35*1</f>
        <v>-2800</v>
      </c>
      <c r="AV41" s="67" t="n">
        <f aca="false">-Inputs!$B$35*1</f>
        <v>-2800</v>
      </c>
      <c r="AW41" s="67" t="n">
        <f aca="false">-Inputs!$B$35*1</f>
        <v>-2800</v>
      </c>
      <c r="AX41" s="67" t="n">
        <f aca="false">-Inputs!$B$35*1</f>
        <v>-2800</v>
      </c>
      <c r="AY41" s="67" t="n">
        <f aca="false">-Inputs!$B$35*1</f>
        <v>-2800</v>
      </c>
      <c r="AZ41" s="67" t="n">
        <f aca="false">-Inputs!$B$35*1</f>
        <v>-2800</v>
      </c>
      <c r="BA41" s="67" t="n">
        <f aca="false">-Inputs!$B$35*1</f>
        <v>-2800</v>
      </c>
      <c r="BB41" s="67" t="n">
        <f aca="false">-Inputs!$B$35*1</f>
        <v>-2800</v>
      </c>
      <c r="BC41" s="67" t="n">
        <f aca="false">-Inputs!$B$35*1</f>
        <v>-2800</v>
      </c>
      <c r="BD41" s="67" t="n">
        <f aca="false">-Inputs!$B$35*1</f>
        <v>-2800</v>
      </c>
      <c r="BE41" s="67" t="n">
        <f aca="false">-Inputs!$B$35*1</f>
        <v>-2800</v>
      </c>
      <c r="BF41" s="67" t="n">
        <f aca="false">-Inputs!$B$35*1</f>
        <v>-2800</v>
      </c>
      <c r="BG41" s="67" t="n">
        <f aca="false">-Inputs!$B$35*1</f>
        <v>-2800</v>
      </c>
      <c r="BH41" s="67" t="n">
        <f aca="false">-Inputs!$B$35*1</f>
        <v>-2800</v>
      </c>
      <c r="BI41" s="67" t="n">
        <f aca="false">-Inputs!$B$35*1</f>
        <v>-2800</v>
      </c>
      <c r="BJ41" s="67" t="n">
        <f aca="false">-Inputs!$B$35*1</f>
        <v>-2800</v>
      </c>
    </row>
    <row r="42" customFormat="false" ht="15" hidden="false" customHeight="false" outlineLevel="0" collapsed="false">
      <c r="A42" s="115" t="s">
        <v>77</v>
      </c>
      <c r="C42" s="68" t="n">
        <f aca="false">C34+C35+C36+C37+C38+C39+C40+C41</f>
        <v>-75612.2396666667</v>
      </c>
      <c r="D42" s="68" t="n">
        <f aca="false">D34+D35+D36+D37+D38+D39+D40+D41</f>
        <v>-75995.8046666667</v>
      </c>
      <c r="E42" s="68" t="n">
        <f aca="false">E34+E35+E36+E37+E38+E39+E40+E41</f>
        <v>-76379.3696666667</v>
      </c>
      <c r="F42" s="68" t="n">
        <f aca="false">F34+F35+F36+F37+F38+F39+F40+F41</f>
        <v>-76762.9346666667</v>
      </c>
      <c r="G42" s="68" t="n">
        <f aca="false">G34+G35+G36+G37+G38+G39+G40+G41</f>
        <v>-76762.9346666667</v>
      </c>
      <c r="H42" s="68" t="n">
        <f aca="false">H34+H35+H36+H37+H38+H39+H40+H41</f>
        <v>-76762.9346666667</v>
      </c>
      <c r="I42" s="68" t="n">
        <f aca="false">I34+I35+I36+I37+I38+I39+I40+I41</f>
        <v>-76762.9346666667</v>
      </c>
      <c r="J42" s="68" t="n">
        <f aca="false">J34+J35+J36+J37+J38+J39+J40+J41</f>
        <v>-76762.9346666667</v>
      </c>
      <c r="K42" s="68" t="n">
        <f aca="false">K34+K35+K36+K37+K38+K39+K40+K41</f>
        <v>-76762.9346666667</v>
      </c>
      <c r="L42" s="68" t="n">
        <f aca="false">L34+L35+L36+L37+L38+L39+L40+L41</f>
        <v>-76762.9346666667</v>
      </c>
      <c r="M42" s="68" t="n">
        <f aca="false">M34+M35+M36+M37+M38+M39+M40+M41</f>
        <v>-77813.1266666667</v>
      </c>
      <c r="N42" s="68" t="n">
        <f aca="false">N34+N35+N36+N37+N38+N39+N40+N41</f>
        <v>-77813.1266666667</v>
      </c>
      <c r="O42" s="68" t="n">
        <f aca="false">O34+O35+O36+O37+O38+O39+O40+O41</f>
        <v>-81171.4386602667</v>
      </c>
      <c r="P42" s="68" t="n">
        <f aca="false">P34+P35+P36+P37+P38+P39+P40+P41</f>
        <v>-81171.4386602667</v>
      </c>
      <c r="Q42" s="68" t="n">
        <f aca="false">Q34+Q35+Q36+Q37+Q38+Q39+Q40+Q41</f>
        <v>-81171.4386602667</v>
      </c>
      <c r="R42" s="68" t="n">
        <f aca="false">R34+R35+R36+R37+R38+R39+R40+R41</f>
        <v>-81171.4386602667</v>
      </c>
      <c r="S42" s="68" t="n">
        <f aca="false">S34+S35+S36+S37+S38+S39+S40+S41</f>
        <v>-81171.4386602667</v>
      </c>
      <c r="T42" s="68" t="n">
        <f aca="false">T34+T35+T36+T37+T38+T39+T40+T41</f>
        <v>-81171.4386602667</v>
      </c>
      <c r="U42" s="68" t="n">
        <f aca="false">U34+U35+U36+U37+U38+U39+U40+U41</f>
        <v>-81171.4386602667</v>
      </c>
      <c r="V42" s="68" t="n">
        <f aca="false">V34+V35+V36+V37+V38+V39+V40+V41</f>
        <v>-81171.4386602667</v>
      </c>
      <c r="W42" s="68" t="n">
        <f aca="false">W34+W35+W36+W37+W38+W39+W40+W41</f>
        <v>-81171.4386602667</v>
      </c>
      <c r="X42" s="68" t="n">
        <f aca="false">X34+X35+X36+X37+X38+X39+X40+X41</f>
        <v>-81171.4386602667</v>
      </c>
      <c r="Y42" s="68" t="n">
        <f aca="false">Y34+Y35+Y36+Y37+Y38+Y39+Y40+Y41</f>
        <v>-82253.3464586667</v>
      </c>
      <c r="Z42" s="68" t="n">
        <f aca="false">Z34+Z35+Z36+Z37+Z38+Z39+Z40+Z41</f>
        <v>-82253.3464586667</v>
      </c>
      <c r="AA42" s="68" t="n">
        <f aca="false">AA34+AA35+AA36+AA37+AA38+AA39+AA40+AA41</f>
        <v>-85958.8268307934</v>
      </c>
      <c r="AB42" s="68" t="n">
        <f aca="false">AB34+AB35+AB36+AB37+AB38+AB39+AB40+AB41</f>
        <v>-85958.8268307934</v>
      </c>
      <c r="AC42" s="68" t="n">
        <f aca="false">AC34+AC35+AC36+AC37+AC38+AC39+AC40+AC41</f>
        <v>-85958.8268307934</v>
      </c>
      <c r="AD42" s="68" t="n">
        <f aca="false">AD34+AD35+AD36+AD37+AD38+AD39+AD40+AD41</f>
        <v>-85958.8268307934</v>
      </c>
      <c r="AE42" s="68" t="n">
        <f aca="false">AE34+AE35+AE36+AE37+AE38+AE39+AE40+AE41</f>
        <v>-85958.8268307934</v>
      </c>
      <c r="AF42" s="68" t="n">
        <f aca="false">AF34+AF35+AF36+AF37+AF38+AF39+AF40+AF41</f>
        <v>-85958.8268307934</v>
      </c>
      <c r="AG42" s="68" t="n">
        <f aca="false">AG34+AG35+AG36+AG37+AG38+AG39+AG40+AG41</f>
        <v>-85958.8268307934</v>
      </c>
      <c r="AH42" s="68" t="n">
        <f aca="false">AH34+AH35+AH36+AH37+AH38+AH39+AH40+AH41</f>
        <v>-85958.8268307934</v>
      </c>
      <c r="AI42" s="68" t="n">
        <f aca="false">AI34+AI35+AI36+AI37+AI38+AI39+AI40+AI41</f>
        <v>-85958.8268307934</v>
      </c>
      <c r="AJ42" s="68" t="n">
        <f aca="false">AJ34+AJ35+AJ36+AJ37+AJ38+AJ39+AJ40+AJ41</f>
        <v>-85958.8268307934</v>
      </c>
      <c r="AK42" s="68" t="n">
        <f aca="false">AK34+AK35+AK36+AK37+AK38+AK39+AK40+AK41</f>
        <v>-87073.4082447051</v>
      </c>
      <c r="AL42" s="68" t="n">
        <f aca="false">AL34+AL35+AL36+AL37+AL38+AL39+AL40+AL41</f>
        <v>-87073.4082447051</v>
      </c>
      <c r="AM42" s="68" t="n">
        <f aca="false">AM34+AM35+AM36+AM37+AM38+AM39+AM40+AM41</f>
        <v>-91159.0225651733</v>
      </c>
      <c r="AN42" s="68" t="n">
        <f aca="false">AN34+AN35+AN36+AN37+AN38+AN39+AN40+AN41</f>
        <v>-91159.0225651733</v>
      </c>
      <c r="AO42" s="68" t="n">
        <f aca="false">AO34+AO35+AO36+AO37+AO38+AO39+AO40+AO41</f>
        <v>-91159.0225651733</v>
      </c>
      <c r="AP42" s="68" t="n">
        <f aca="false">AP34+AP35+AP36+AP37+AP38+AP39+AP40+AP41</f>
        <v>-91159.0225651733</v>
      </c>
      <c r="AQ42" s="68" t="n">
        <f aca="false">AQ34+AQ35+AQ36+AQ37+AQ38+AQ39+AQ40+AQ41</f>
        <v>-91159.0225651733</v>
      </c>
      <c r="AR42" s="68" t="n">
        <f aca="false">AR34+AR35+AR36+AR37+AR38+AR39+AR40+AR41</f>
        <v>-91159.0225651733</v>
      </c>
      <c r="AS42" s="68" t="n">
        <f aca="false">AS34+AS35+AS36+AS37+AS38+AS39+AS40+AS41</f>
        <v>-91159.0225651733</v>
      </c>
      <c r="AT42" s="68" t="n">
        <f aca="false">AT34+AT35+AT36+AT37+AT38+AT39+AT40+AT41</f>
        <v>-91159.0225651733</v>
      </c>
      <c r="AU42" s="68" t="n">
        <f aca="false">AU34+AU35+AU36+AU37+AU38+AU39+AU40+AU41</f>
        <v>-91159.0225651733</v>
      </c>
      <c r="AV42" s="68" t="n">
        <f aca="false">AV34+AV35+AV36+AV37+AV38+AV39+AV40+AV41</f>
        <v>-91159.0225651733</v>
      </c>
      <c r="AW42" s="68" t="n">
        <f aca="false">AW34+AW35+AW36+AW37+AW38+AW39+AW40+AW41</f>
        <v>-92307.2643377851</v>
      </c>
      <c r="AX42" s="68" t="n">
        <f aca="false">AX34+AX35+AX36+AX37+AX38+AX39+AX40+AX41</f>
        <v>-92307.2643377851</v>
      </c>
      <c r="AY42" s="68" t="n">
        <f aca="false">AY34+AY35+AY36+AY37+AY38+AY39+AY40+AY41</f>
        <v>-96809.0320090178</v>
      </c>
      <c r="AZ42" s="68" t="n">
        <f aca="false">AZ34+AZ35+AZ36+AZ37+AZ38+AZ39+AZ40+AZ41</f>
        <v>-96809.0320090178</v>
      </c>
      <c r="BA42" s="68" t="n">
        <f aca="false">BA34+BA35+BA36+BA37+BA38+BA39+BA40+BA41</f>
        <v>-96809.0320090178</v>
      </c>
      <c r="BB42" s="68" t="n">
        <f aca="false">BB34+BB35+BB36+BB37+BB38+BB39+BB40+BB41</f>
        <v>-96809.0320090178</v>
      </c>
      <c r="BC42" s="68" t="n">
        <f aca="false">BC34+BC35+BC36+BC37+BC38+BC39+BC40+BC41</f>
        <v>-96809.0320090178</v>
      </c>
      <c r="BD42" s="68" t="n">
        <f aca="false">BD34+BD35+BD36+BD37+BD38+BD39+BD40+BD41</f>
        <v>-96809.0320090178</v>
      </c>
      <c r="BE42" s="68" t="n">
        <f aca="false">BE34+BE35+BE36+BE37+BE38+BE39+BE40+BE41</f>
        <v>-96809.0320090178</v>
      </c>
      <c r="BF42" s="68" t="n">
        <f aca="false">BF34+BF35+BF36+BF37+BF38+BF39+BF40+BF41</f>
        <v>-96809.0320090178</v>
      </c>
      <c r="BG42" s="68" t="n">
        <f aca="false">BG34+BG35+BG36+BG37+BG38+BG39+BG40+BG41</f>
        <v>-96809.0320090178</v>
      </c>
      <c r="BH42" s="68" t="n">
        <f aca="false">BH34+BH35+BH36+BH37+BH38+BH39+BH40+BH41</f>
        <v>-96809.0320090178</v>
      </c>
      <c r="BI42" s="68" t="n">
        <f aca="false">BI34+BI35+BI36+BI37+BI38+BI39+BI40+BI41</f>
        <v>-97991.9506831625</v>
      </c>
      <c r="BJ42" s="68" t="n">
        <f aca="false">BJ34+BJ35+BJ36+BJ37+BJ38+BJ39+BJ40+BJ41</f>
        <v>-97991.9506831625</v>
      </c>
    </row>
    <row r="43" customFormat="false" ht="15" hidden="false" customHeight="false" outlineLevel="0" collapsed="false">
      <c r="A43" s="115" t="s">
        <v>48</v>
      </c>
      <c r="C43" s="68" t="n">
        <f aca="false">C31+C42</f>
        <v>-13802.0639812734</v>
      </c>
      <c r="D43" s="68" t="n">
        <f aca="false">D31+D42</f>
        <v>-10413.1662846442</v>
      </c>
      <c r="E43" s="68" t="n">
        <f aca="false">E31+E42</f>
        <v>-7024.26858801498</v>
      </c>
      <c r="F43" s="68" t="n">
        <f aca="false">F31+F42</f>
        <v>-3635.37089138577</v>
      </c>
      <c r="G43" s="68" t="n">
        <f aca="false">G31+G42</f>
        <v>-3635.37089138577</v>
      </c>
      <c r="H43" s="68" t="n">
        <f aca="false">H31+H42</f>
        <v>-3635.37089138577</v>
      </c>
      <c r="I43" s="68" t="n">
        <f aca="false">I31+I42</f>
        <v>-3635.37089138577</v>
      </c>
      <c r="J43" s="68" t="n">
        <f aca="false">J31+J42</f>
        <v>-3635.37089138577</v>
      </c>
      <c r="K43" s="68" t="n">
        <f aca="false">K31+K42</f>
        <v>-3635.37089138577</v>
      </c>
      <c r="L43" s="68" t="n">
        <f aca="false">L31+L42</f>
        <v>-3635.37089138577</v>
      </c>
      <c r="M43" s="68" t="n">
        <f aca="false">M31+M42</f>
        <v>9244.57805243447</v>
      </c>
      <c r="N43" s="68" t="n">
        <f aca="false">N31+N42</f>
        <v>9244.57805243447</v>
      </c>
      <c r="O43" s="68" t="n">
        <f aca="false">O31+O42</f>
        <v>-4592.56265897227</v>
      </c>
      <c r="P43" s="68" t="n">
        <f aca="false">P31+P42</f>
        <v>-4592.56265897227</v>
      </c>
      <c r="Q43" s="68" t="n">
        <f aca="false">Q31+Q42</f>
        <v>-4592.56265897227</v>
      </c>
      <c r="R43" s="68" t="n">
        <f aca="false">R31+R42</f>
        <v>-4592.56265897227</v>
      </c>
      <c r="S43" s="68" t="n">
        <f aca="false">S31+S42</f>
        <v>-4592.56265897227</v>
      </c>
      <c r="T43" s="68" t="n">
        <f aca="false">T31+T42</f>
        <v>-4592.56265897227</v>
      </c>
      <c r="U43" s="68" t="n">
        <f aca="false">U31+U42</f>
        <v>-4592.56265897227</v>
      </c>
      <c r="V43" s="68" t="n">
        <f aca="false">V31+V42</f>
        <v>-4592.56265897227</v>
      </c>
      <c r="W43" s="68" t="n">
        <f aca="false">W31+W42</f>
        <v>-4592.56265897227</v>
      </c>
      <c r="X43" s="68" t="n">
        <f aca="false">X31+X42</f>
        <v>-4592.56265897227</v>
      </c>
      <c r="Y43" s="68" t="n">
        <f aca="false">Y31+Y42</f>
        <v>8676.36074295135</v>
      </c>
      <c r="Z43" s="68" t="n">
        <f aca="false">Z31+Z42</f>
        <v>8676.36074295135</v>
      </c>
      <c r="AA43" s="68" t="n">
        <f aca="false">AA31+AA42</f>
        <v>-5698.13441857991</v>
      </c>
      <c r="AB43" s="68" t="n">
        <f aca="false">AB31+AB42</f>
        <v>-5698.13441857991</v>
      </c>
      <c r="AC43" s="68" t="n">
        <f aca="false">AC31+AC42</f>
        <v>-5698.13441857991</v>
      </c>
      <c r="AD43" s="68" t="n">
        <f aca="false">AD31+AD42</f>
        <v>-5698.13441857991</v>
      </c>
      <c r="AE43" s="68" t="n">
        <f aca="false">AE31+AE42</f>
        <v>-5698.13441857991</v>
      </c>
      <c r="AF43" s="68" t="n">
        <f aca="false">AF31+AF42</f>
        <v>-5698.13441857991</v>
      </c>
      <c r="AG43" s="68" t="n">
        <f aca="false">AG31+AG42</f>
        <v>-5698.13441857991</v>
      </c>
      <c r="AH43" s="68" t="n">
        <f aca="false">AH31+AH42</f>
        <v>-5698.13441857991</v>
      </c>
      <c r="AI43" s="68" t="n">
        <f aca="false">AI31+AI42</f>
        <v>-5698.13441857991</v>
      </c>
      <c r="AJ43" s="68" t="n">
        <f aca="false">AJ31+AJ42</f>
        <v>-5698.13441857991</v>
      </c>
      <c r="AK43" s="68" t="n">
        <f aca="false">AK31+AK42</f>
        <v>7971.51047008176</v>
      </c>
      <c r="AL43" s="68" t="n">
        <f aca="false">AL31+AL42</f>
        <v>7971.51047008176</v>
      </c>
      <c r="AM43" s="68" t="n">
        <f aca="false">AM31+AM42</f>
        <v>-6966.21883589383</v>
      </c>
      <c r="AN43" s="68" t="n">
        <f aca="false">AN31+AN42</f>
        <v>-6966.21883589383</v>
      </c>
      <c r="AO43" s="68" t="n">
        <f aca="false">AO31+AO42</f>
        <v>-6966.21883589383</v>
      </c>
      <c r="AP43" s="68" t="n">
        <f aca="false">AP31+AP42</f>
        <v>-6966.21883589383</v>
      </c>
      <c r="AQ43" s="68" t="n">
        <f aca="false">AQ31+AQ42</f>
        <v>-6966.21883589383</v>
      </c>
      <c r="AR43" s="68" t="n">
        <f aca="false">AR31+AR42</f>
        <v>-6966.21883589383</v>
      </c>
      <c r="AS43" s="68" t="n">
        <f aca="false">AS31+AS42</f>
        <v>-6966.21883589383</v>
      </c>
      <c r="AT43" s="68" t="n">
        <f aca="false">AT31+AT42</f>
        <v>-6966.21883589383</v>
      </c>
      <c r="AU43" s="68" t="n">
        <f aca="false">AU31+AU42</f>
        <v>-6966.21883589383</v>
      </c>
      <c r="AV43" s="68" t="n">
        <f aca="false">AV31+AV42</f>
        <v>-6966.21883589383</v>
      </c>
      <c r="AW43" s="68" t="n">
        <f aca="false">AW31+AW42</f>
        <v>7116.24932840544</v>
      </c>
      <c r="AX43" s="68" t="n">
        <f aca="false">AX31+AX42</f>
        <v>7116.24932840544</v>
      </c>
      <c r="AY43" s="68" t="n">
        <f aca="false">AY31+AY42</f>
        <v>-8412.13017882544</v>
      </c>
      <c r="AZ43" s="68" t="n">
        <f aca="false">AZ31+AZ42</f>
        <v>-8412.13017882544</v>
      </c>
      <c r="BA43" s="68" t="n">
        <f aca="false">BA31+BA42</f>
        <v>-8412.13017882544</v>
      </c>
      <c r="BB43" s="68" t="n">
        <f aca="false">BB31+BB42</f>
        <v>-8412.13017882544</v>
      </c>
      <c r="BC43" s="68" t="n">
        <f aca="false">BC31+BC42</f>
        <v>-8412.13017882544</v>
      </c>
      <c r="BD43" s="68" t="n">
        <f aca="false">BD31+BD42</f>
        <v>-8412.13017882544</v>
      </c>
      <c r="BE43" s="68" t="n">
        <f aca="false">BE31+BE42</f>
        <v>-8412.13017882544</v>
      </c>
      <c r="BF43" s="68" t="n">
        <f aca="false">BF31+BF42</f>
        <v>-8412.13017882544</v>
      </c>
      <c r="BG43" s="68" t="n">
        <f aca="false">BG31+BG42</f>
        <v>-8412.13017882544</v>
      </c>
      <c r="BH43" s="68" t="n">
        <f aca="false">BH31+BH42</f>
        <v>-8412.13017882544</v>
      </c>
      <c r="BI43" s="68" t="n">
        <f aca="false">BI31+BI42</f>
        <v>6095.62852403571</v>
      </c>
      <c r="BJ43" s="68" t="n">
        <f aca="false">BJ31+BJ42</f>
        <v>6095.62852403571</v>
      </c>
    </row>
    <row r="45" customFormat="false" ht="15.75" hidden="false" customHeight="true" outlineLevel="0" collapsed="false">
      <c r="A45" s="7" t="s">
        <v>411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customFormat="false" ht="15" hidden="false" customHeight="false" outlineLevel="0" collapsed="false">
      <c r="A46" s="4" t="s">
        <v>79</v>
      </c>
      <c r="C46" s="73" t="n">
        <f aca="false">C43+C57</f>
        <v>-14873.492552702</v>
      </c>
      <c r="D46" s="73" t="n">
        <f aca="false">D43+D57</f>
        <v>-11484.5948560728</v>
      </c>
      <c r="E46" s="73" t="n">
        <f aca="false">E43+E57</f>
        <v>-8095.69715944355</v>
      </c>
      <c r="F46" s="73" t="n">
        <f aca="false">F43+F57</f>
        <v>-4706.79946281434</v>
      </c>
      <c r="G46" s="73" t="n">
        <f aca="false">G43+G57</f>
        <v>-4706.79946281434</v>
      </c>
      <c r="H46" s="73" t="n">
        <f aca="false">H43+H57</f>
        <v>-4706.79946281434</v>
      </c>
      <c r="I46" s="73" t="n">
        <f aca="false">I43+I57</f>
        <v>-4706.79946281434</v>
      </c>
      <c r="J46" s="73" t="n">
        <f aca="false">J43+J57</f>
        <v>-4706.79946281434</v>
      </c>
      <c r="K46" s="73" t="n">
        <f aca="false">K43+K57</f>
        <v>-4706.79946281434</v>
      </c>
      <c r="L46" s="73" t="n">
        <f aca="false">L43+L57</f>
        <v>-4706.79946281434</v>
      </c>
      <c r="M46" s="73" t="n">
        <f aca="false">M43+M57</f>
        <v>8173.1494810059</v>
      </c>
      <c r="N46" s="73" t="n">
        <f aca="false">N43+N57</f>
        <v>8173.1494810059</v>
      </c>
      <c r="O46" s="73" t="n">
        <f aca="false">O43+O57</f>
        <v>-5677.88011928973</v>
      </c>
      <c r="P46" s="73" t="n">
        <f aca="false">P43+P57</f>
        <v>-5691.76900817862</v>
      </c>
      <c r="Q46" s="73" t="n">
        <f aca="false">Q43+Q57</f>
        <v>-5705.65789706751</v>
      </c>
      <c r="R46" s="73" t="n">
        <f aca="false">R43+R57</f>
        <v>-5719.54678595639</v>
      </c>
      <c r="S46" s="73" t="n">
        <f aca="false">S43+S57</f>
        <v>-5733.43567484528</v>
      </c>
      <c r="T46" s="73" t="n">
        <f aca="false">T43+T57</f>
        <v>-5747.32456373417</v>
      </c>
      <c r="U46" s="73" t="n">
        <f aca="false">U43+U57</f>
        <v>-5761.21345262306</v>
      </c>
      <c r="V46" s="73" t="n">
        <f aca="false">V43+V57</f>
        <v>-5775.10234151195</v>
      </c>
      <c r="W46" s="73" t="n">
        <f aca="false">W43+W57</f>
        <v>-5788.99123040084</v>
      </c>
      <c r="X46" s="73" t="n">
        <f aca="false">X43+X57</f>
        <v>-5802.88011928973</v>
      </c>
      <c r="Y46" s="73" t="n">
        <f aca="false">Y43+Y57</f>
        <v>7452.154393745</v>
      </c>
      <c r="Z46" s="73" t="n">
        <f aca="false">Z43+Z57</f>
        <v>7438.26550485611</v>
      </c>
      <c r="AA46" s="73" t="n">
        <f aca="false">AA43+AA57</f>
        <v>-6950.11854556404</v>
      </c>
      <c r="AB46" s="73" t="n">
        <f aca="false">AB43+AB57</f>
        <v>-6964.00743445293</v>
      </c>
      <c r="AC46" s="73" t="n">
        <f aca="false">AC43+AC57</f>
        <v>-6977.89632334182</v>
      </c>
      <c r="AD46" s="73" t="n">
        <f aca="false">AD43+AD57</f>
        <v>-6991.78521223071</v>
      </c>
      <c r="AE46" s="73" t="n">
        <f aca="false">AE43+AE57</f>
        <v>-7005.67410111959</v>
      </c>
      <c r="AF46" s="73" t="n">
        <f aca="false">AF43+AF57</f>
        <v>-7019.56299000848</v>
      </c>
      <c r="AG46" s="73" t="n">
        <f aca="false">AG43+AG57</f>
        <v>-7033.45187889737</v>
      </c>
      <c r="AH46" s="73" t="n">
        <f aca="false">AH43+AH57</f>
        <v>-7047.34076778626</v>
      </c>
      <c r="AI46" s="73" t="n">
        <f aca="false">AI43+AI57</f>
        <v>-7061.22965667515</v>
      </c>
      <c r="AJ46" s="73" t="n">
        <f aca="false">AJ43+AJ57</f>
        <v>-7075.11854556404</v>
      </c>
      <c r="AK46" s="73" t="n">
        <f aca="false">AK43+AK57</f>
        <v>6580.63745420874</v>
      </c>
      <c r="AL46" s="73" t="n">
        <f aca="false">AL43+AL57</f>
        <v>6566.74856531986</v>
      </c>
      <c r="AM46" s="73" t="n">
        <f aca="false">AM43+AM57</f>
        <v>-8384.86962954462</v>
      </c>
      <c r="AN46" s="73" t="n">
        <f aca="false">AN43+AN57</f>
        <v>-8398.75851843351</v>
      </c>
      <c r="AO46" s="73" t="n">
        <f aca="false">AO43+AO57</f>
        <v>-8412.6474073224</v>
      </c>
      <c r="AP46" s="73" t="n">
        <f aca="false">AP43+AP57</f>
        <v>-8426.53629621129</v>
      </c>
      <c r="AQ46" s="73" t="n">
        <f aca="false">AQ43+AQ57</f>
        <v>-8440.42518510018</v>
      </c>
      <c r="AR46" s="73" t="n">
        <f aca="false">AR43+AR57</f>
        <v>-8454.31407398907</v>
      </c>
      <c r="AS46" s="73" t="n">
        <f aca="false">AS43+AS57</f>
        <v>-8468.20296287796</v>
      </c>
      <c r="AT46" s="73" t="n">
        <f aca="false">AT43+AT57</f>
        <v>-8482.09185176685</v>
      </c>
      <c r="AU46" s="73" t="n">
        <f aca="false">AU43+AU57</f>
        <v>-8495.98074065574</v>
      </c>
      <c r="AV46" s="73" t="n">
        <f aca="false">AV43+AV57</f>
        <v>-8509.86962954462</v>
      </c>
      <c r="AW46" s="73" t="n">
        <f aca="false">AW43+AW57</f>
        <v>5558.70964586575</v>
      </c>
      <c r="AX46" s="73" t="n">
        <f aca="false">AX43+AX57</f>
        <v>5544.82075697686</v>
      </c>
      <c r="AY46" s="73" t="n">
        <f aca="false">AY43+AY57</f>
        <v>-9997.4476391429</v>
      </c>
      <c r="AZ46" s="73" t="n">
        <f aca="false">AZ43+AZ57</f>
        <v>-10011.3365280318</v>
      </c>
      <c r="BA46" s="73" t="n">
        <f aca="false">BA43+BA57</f>
        <v>-10025.2254169207</v>
      </c>
      <c r="BB46" s="73" t="n">
        <f aca="false">BB43+BB57</f>
        <v>-10039.1143058096</v>
      </c>
      <c r="BC46" s="73" t="n">
        <f aca="false">BC43+BC57</f>
        <v>-10053.0031946985</v>
      </c>
      <c r="BD46" s="73" t="n">
        <f aca="false">BD43+BD57</f>
        <v>-10066.8920835873</v>
      </c>
      <c r="BE46" s="73" t="n">
        <f aca="false">BE43+BE57</f>
        <v>-10080.7809724762</v>
      </c>
      <c r="BF46" s="73" t="n">
        <f aca="false">BF43+BF57</f>
        <v>-10094.6698613651</v>
      </c>
      <c r="BG46" s="73" t="n">
        <f aca="false">BG43+BG57</f>
        <v>-10108.558750254</v>
      </c>
      <c r="BH46" s="73" t="n">
        <f aca="false">BH43+BH57</f>
        <v>-10122.4476391429</v>
      </c>
      <c r="BI46" s="73" t="n">
        <f aca="false">BI43+BI57</f>
        <v>4371.42217482936</v>
      </c>
      <c r="BJ46" s="73" t="n">
        <f aca="false">BJ43+BJ57</f>
        <v>4357.53328594047</v>
      </c>
    </row>
    <row r="47" customFormat="false" ht="15" hidden="false" customHeight="false" outlineLevel="0" collapsed="false">
      <c r="A47" s="6" t="s">
        <v>412</v>
      </c>
      <c r="C47" s="67" t="n">
        <f aca="false">-(C62+C63+C65)/2*Inputs!$B$60/12</f>
        <v>-566.666666666667</v>
      </c>
      <c r="D47" s="67" t="n">
        <f aca="false">-(D62+D63+D65)/2*Inputs!$B$60/12</f>
        <v>-561.944444444445</v>
      </c>
      <c r="E47" s="67" t="n">
        <f aca="false">-(E62+E63+E65)/2*Inputs!$B$60/12</f>
        <v>-552.5</v>
      </c>
      <c r="F47" s="67" t="n">
        <f aca="false">-(F62+F63+F65)/2*Inputs!$B$60/12</f>
        <v>-543.055555555556</v>
      </c>
      <c r="G47" s="67" t="n">
        <f aca="false">-(G62+G63+G65)/2*Inputs!$B$60/12</f>
        <v>-533.611111111111</v>
      </c>
      <c r="H47" s="67" t="n">
        <f aca="false">-(H62+H63+H65)/2*Inputs!$B$60/12</f>
        <v>-524.166666666667</v>
      </c>
      <c r="I47" s="67" t="n">
        <f aca="false">-(I62+I63+I65)/2*Inputs!$B$60/12</f>
        <v>-514.722222222222</v>
      </c>
      <c r="J47" s="67" t="n">
        <f aca="false">-(J62+J63+J65)/2*Inputs!$B$60/12</f>
        <v>-505.277777777778</v>
      </c>
      <c r="K47" s="67" t="n">
        <f aca="false">-(K62+K63+K65)/2*Inputs!$B$60/12</f>
        <v>-495.833333333334</v>
      </c>
      <c r="L47" s="67" t="n">
        <f aca="false">-(L62+L63+L65)/2*Inputs!$B$60/12</f>
        <v>-486.388888888889</v>
      </c>
      <c r="M47" s="67" t="n">
        <f aca="false">-(M62+M63+M65)/2*Inputs!$B$60/12</f>
        <v>-476.944444444445</v>
      </c>
      <c r="N47" s="67" t="n">
        <f aca="false">-(N62+N63+N65)/2*Inputs!$B$60/12</f>
        <v>-467.5</v>
      </c>
      <c r="O47" s="67" t="n">
        <f aca="false">-(O62+O63+O65)/2*Inputs!$B$60/12</f>
        <v>-458.055555555556</v>
      </c>
      <c r="P47" s="67" t="n">
        <f aca="false">-(P62+P63+P65)/2*Inputs!$B$60/12</f>
        <v>-448.611111111111</v>
      </c>
      <c r="Q47" s="67" t="n">
        <f aca="false">-(Q62+Q63+Q65)/2*Inputs!$B$60/12</f>
        <v>-439.166666666667</v>
      </c>
      <c r="R47" s="67" t="n">
        <f aca="false">-(R62+R63+R65)/2*Inputs!$B$60/12</f>
        <v>-429.722222222222</v>
      </c>
      <c r="S47" s="67" t="n">
        <f aca="false">-(S62+S63+S65)/2*Inputs!$B$60/12</f>
        <v>-420.277777777778</v>
      </c>
      <c r="T47" s="67" t="n">
        <f aca="false">-(T62+T63+T65)/2*Inputs!$B$60/12</f>
        <v>-410.833333333334</v>
      </c>
      <c r="U47" s="67" t="n">
        <f aca="false">-(U62+U63+U65)/2*Inputs!$B$60/12</f>
        <v>-401.388888888889</v>
      </c>
      <c r="V47" s="67" t="n">
        <f aca="false">-(V62+V63+V65)/2*Inputs!$B$60/12</f>
        <v>-391.944444444445</v>
      </c>
      <c r="W47" s="67" t="n">
        <f aca="false">-(W62+W63+W65)/2*Inputs!$B$60/12</f>
        <v>-382.5</v>
      </c>
      <c r="X47" s="67" t="n">
        <f aca="false">-(X62+X63+X65)/2*Inputs!$B$60/12</f>
        <v>-373.055555555556</v>
      </c>
      <c r="Y47" s="67" t="n">
        <f aca="false">-(Y62+Y63+Y65)/2*Inputs!$B$60/12</f>
        <v>-363.611111111111</v>
      </c>
      <c r="Z47" s="67" t="n">
        <f aca="false">-(Z62+Z63+Z65)/2*Inputs!$B$60/12</f>
        <v>-354.166666666667</v>
      </c>
      <c r="AA47" s="67" t="n">
        <f aca="false">-(AA62+AA63+AA65)/2*Inputs!$B$60/12</f>
        <v>-344.722222222222</v>
      </c>
      <c r="AB47" s="67" t="n">
        <f aca="false">-(AB62+AB63+AB65)/2*Inputs!$B$60/12</f>
        <v>-335.277777777778</v>
      </c>
      <c r="AC47" s="67" t="n">
        <f aca="false">-(AC62+AC63+AC65)/2*Inputs!$B$60/12</f>
        <v>-325.833333333333</v>
      </c>
      <c r="AD47" s="67" t="n">
        <f aca="false">-(AD62+AD63+AD65)/2*Inputs!$B$60/12</f>
        <v>-316.388888888889</v>
      </c>
      <c r="AE47" s="67" t="n">
        <f aca="false">-(AE62+AE63+AE65)/2*Inputs!$B$60/12</f>
        <v>-306.944444444445</v>
      </c>
      <c r="AF47" s="67" t="n">
        <f aca="false">-(AF62+AF63+AF65)/2*Inputs!$B$60/12</f>
        <v>-297.5</v>
      </c>
      <c r="AG47" s="67" t="n">
        <f aca="false">-(AG62+AG63+AG65)/2*Inputs!$B$60/12</f>
        <v>-288.055555555556</v>
      </c>
      <c r="AH47" s="67" t="n">
        <f aca="false">-(AH62+AH63+AH65)/2*Inputs!$B$60/12</f>
        <v>-278.611111111111</v>
      </c>
      <c r="AI47" s="67" t="n">
        <f aca="false">-(AI62+AI63+AI65)/2*Inputs!$B$60/12</f>
        <v>-269.166666666667</v>
      </c>
      <c r="AJ47" s="67" t="n">
        <f aca="false">-(AJ62+AJ63+AJ65)/2*Inputs!$B$60/12</f>
        <v>-259.722222222222</v>
      </c>
      <c r="AK47" s="67" t="n">
        <f aca="false">-(AK62+AK63+AK65)/2*Inputs!$B$60/12</f>
        <v>-250.277777777778</v>
      </c>
      <c r="AL47" s="67" t="n">
        <f aca="false">-(AL62+AL63+AL65)/2*Inputs!$B$60/12</f>
        <v>-240.833333333333</v>
      </c>
      <c r="AM47" s="67" t="n">
        <f aca="false">-(AM62+AM63+AM65)/2*Inputs!$B$60/12</f>
        <v>-231.388888888889</v>
      </c>
      <c r="AN47" s="67" t="n">
        <f aca="false">-(AN62+AN63+AN65)/2*Inputs!$B$60/12</f>
        <v>-221.944444444444</v>
      </c>
      <c r="AO47" s="67" t="n">
        <f aca="false">-(AO62+AO63+AO65)/2*Inputs!$B$60/12</f>
        <v>-212.5</v>
      </c>
      <c r="AP47" s="67" t="n">
        <f aca="false">-(AP62+AP63+AP65)/2*Inputs!$B$60/12</f>
        <v>-203.055555555556</v>
      </c>
      <c r="AQ47" s="67" t="n">
        <f aca="false">-(AQ62+AQ63+AQ65)/2*Inputs!$B$60/12</f>
        <v>-193.611111111111</v>
      </c>
      <c r="AR47" s="67" t="n">
        <f aca="false">-(AR62+AR63+AR65)/2*Inputs!$B$60/12</f>
        <v>-184.166666666667</v>
      </c>
      <c r="AS47" s="67" t="n">
        <f aca="false">-(AS62+AS63+AS65)/2*Inputs!$B$60/12</f>
        <v>-174.722222222222</v>
      </c>
      <c r="AT47" s="67" t="n">
        <f aca="false">-(AT62+AT63+AT65)/2*Inputs!$B$60/12</f>
        <v>-165.277777777778</v>
      </c>
      <c r="AU47" s="67" t="n">
        <f aca="false">-(AU62+AU63+AU65)/2*Inputs!$B$60/12</f>
        <v>-155.833333333333</v>
      </c>
      <c r="AV47" s="67" t="n">
        <f aca="false">-(AV62+AV63+AV65)/2*Inputs!$B$60/12</f>
        <v>-146.388888888889</v>
      </c>
      <c r="AW47" s="67" t="n">
        <f aca="false">-(AW62+AW63+AW65)/2*Inputs!$B$60/12</f>
        <v>-136.944444444444</v>
      </c>
      <c r="AX47" s="67" t="n">
        <f aca="false">-(AX62+AX63+AX65)/2*Inputs!$B$60/12</f>
        <v>-127.5</v>
      </c>
      <c r="AY47" s="67" t="n">
        <f aca="false">-(AY62+AY63+AY65)/2*Inputs!$B$60/12</f>
        <v>-118.055555555556</v>
      </c>
      <c r="AZ47" s="67" t="n">
        <f aca="false">-(AZ62+AZ63+AZ65)/2*Inputs!$B$60/12</f>
        <v>-108.611111111111</v>
      </c>
      <c r="BA47" s="67" t="n">
        <f aca="false">-(BA62+BA63+BA65)/2*Inputs!$B$60/12</f>
        <v>-99.1666666666667</v>
      </c>
      <c r="BB47" s="67" t="n">
        <f aca="false">-(BB62+BB63+BB65)/2*Inputs!$B$60/12</f>
        <v>-89.7222222222222</v>
      </c>
      <c r="BC47" s="67" t="n">
        <f aca="false">-(BC62+BC63+BC65)/2*Inputs!$B$60/12</f>
        <v>-80.2777777777778</v>
      </c>
      <c r="BD47" s="67" t="n">
        <f aca="false">-(BD62+BD63+BD65)/2*Inputs!$B$60/12</f>
        <v>-70.8333333333333</v>
      </c>
      <c r="BE47" s="67" t="n">
        <f aca="false">-(BE62+BE63+BE65)/2*Inputs!$B$60/12</f>
        <v>-61.3888888888889</v>
      </c>
      <c r="BF47" s="67" t="n">
        <f aca="false">-(BF62+BF63+BF65)/2*Inputs!$B$60/12</f>
        <v>-51.9444444444444</v>
      </c>
      <c r="BG47" s="67" t="n">
        <f aca="false">-(BG62+BG63+BG65)/2*Inputs!$B$60/12</f>
        <v>-42.5</v>
      </c>
      <c r="BH47" s="67" t="n">
        <f aca="false">-(BH62+BH63+BH65)/2*Inputs!$B$60/12</f>
        <v>-33.0555555555556</v>
      </c>
      <c r="BI47" s="67" t="n">
        <f aca="false">-(BI62+BI63+BI65)/2*Inputs!$B$60/12</f>
        <v>-23.6111111111111</v>
      </c>
      <c r="BJ47" s="67" t="n">
        <f aca="false">-(BJ62+BJ63+BJ65)/2*Inputs!$B$60/12</f>
        <v>-14.1666666666667</v>
      </c>
    </row>
    <row r="48" customFormat="false" ht="15" hidden="false" customHeight="false" outlineLevel="0" collapsed="false">
      <c r="A48" s="115" t="s">
        <v>81</v>
      </c>
      <c r="C48" s="68" t="n">
        <f aca="false">C46+C47</f>
        <v>-15440.1592193686</v>
      </c>
      <c r="D48" s="68" t="n">
        <f aca="false">D46+D47</f>
        <v>-12046.5393005172</v>
      </c>
      <c r="E48" s="68" t="n">
        <f aca="false">E46+E47</f>
        <v>-8648.19715944355</v>
      </c>
      <c r="F48" s="68" t="n">
        <f aca="false">F46+F47</f>
        <v>-5249.8550183699</v>
      </c>
      <c r="G48" s="68" t="n">
        <f aca="false">G46+G47</f>
        <v>-5240.41057392545</v>
      </c>
      <c r="H48" s="68" t="n">
        <f aca="false">H46+H47</f>
        <v>-5230.96612948101</v>
      </c>
      <c r="I48" s="68" t="n">
        <f aca="false">I46+I47</f>
        <v>-5221.52168503656</v>
      </c>
      <c r="J48" s="68" t="n">
        <f aca="false">J46+J47</f>
        <v>-5212.07724059212</v>
      </c>
      <c r="K48" s="68" t="n">
        <f aca="false">K46+K47</f>
        <v>-5202.63279614768</v>
      </c>
      <c r="L48" s="68" t="n">
        <f aca="false">L46+L47</f>
        <v>-5193.18835170323</v>
      </c>
      <c r="M48" s="68" t="n">
        <f aca="false">M46+M47</f>
        <v>7696.20503656146</v>
      </c>
      <c r="N48" s="68" t="n">
        <f aca="false">N46+N47</f>
        <v>7705.6494810059</v>
      </c>
      <c r="O48" s="68" t="n">
        <f aca="false">O46+O47</f>
        <v>-6135.93567484528</v>
      </c>
      <c r="P48" s="68" t="n">
        <f aca="false">P46+P47</f>
        <v>-6140.38011928973</v>
      </c>
      <c r="Q48" s="68" t="n">
        <f aca="false">Q46+Q47</f>
        <v>-6144.82456373417</v>
      </c>
      <c r="R48" s="68" t="n">
        <f aca="false">R46+R47</f>
        <v>-6149.26900817862</v>
      </c>
      <c r="S48" s="68" t="n">
        <f aca="false">S46+S47</f>
        <v>-6153.71345262306</v>
      </c>
      <c r="T48" s="68" t="n">
        <f aca="false">T46+T47</f>
        <v>-6158.15789706751</v>
      </c>
      <c r="U48" s="68" t="n">
        <f aca="false">U46+U47</f>
        <v>-6162.60234151195</v>
      </c>
      <c r="V48" s="68" t="n">
        <f aca="false">V46+V47</f>
        <v>-6167.04678595639</v>
      </c>
      <c r="W48" s="68" t="n">
        <f aca="false">W46+W47</f>
        <v>-6171.49123040084</v>
      </c>
      <c r="X48" s="68" t="n">
        <f aca="false">X46+X47</f>
        <v>-6175.93567484528</v>
      </c>
      <c r="Y48" s="68" t="n">
        <f aca="false">Y46+Y47</f>
        <v>7088.54328263389</v>
      </c>
      <c r="Z48" s="68" t="n">
        <f aca="false">Z46+Z47</f>
        <v>7084.09883818945</v>
      </c>
      <c r="AA48" s="68" t="n">
        <f aca="false">AA46+AA47</f>
        <v>-7294.84076778626</v>
      </c>
      <c r="AB48" s="68" t="n">
        <f aca="false">AB46+AB47</f>
        <v>-7299.28521223071</v>
      </c>
      <c r="AC48" s="68" t="n">
        <f aca="false">AC46+AC47</f>
        <v>-7303.72965667515</v>
      </c>
      <c r="AD48" s="68" t="n">
        <f aca="false">AD46+AD47</f>
        <v>-7308.17410111959</v>
      </c>
      <c r="AE48" s="68" t="n">
        <f aca="false">AE46+AE47</f>
        <v>-7312.61854556404</v>
      </c>
      <c r="AF48" s="68" t="n">
        <f aca="false">AF46+AF47</f>
        <v>-7317.06299000848</v>
      </c>
      <c r="AG48" s="68" t="n">
        <f aca="false">AG46+AG47</f>
        <v>-7321.50743445293</v>
      </c>
      <c r="AH48" s="68" t="n">
        <f aca="false">AH46+AH47</f>
        <v>-7325.95187889737</v>
      </c>
      <c r="AI48" s="68" t="n">
        <f aca="false">AI46+AI47</f>
        <v>-7330.39632334182</v>
      </c>
      <c r="AJ48" s="68" t="n">
        <f aca="false">AJ46+AJ47</f>
        <v>-7334.84076778626</v>
      </c>
      <c r="AK48" s="68" t="n">
        <f aca="false">AK46+AK47</f>
        <v>6330.35967643097</v>
      </c>
      <c r="AL48" s="68" t="n">
        <f aca="false">AL46+AL47</f>
        <v>6325.91523198652</v>
      </c>
      <c r="AM48" s="68" t="n">
        <f aca="false">AM46+AM47</f>
        <v>-8616.25851843351</v>
      </c>
      <c r="AN48" s="68" t="n">
        <f aca="false">AN46+AN47</f>
        <v>-8620.70296287796</v>
      </c>
      <c r="AO48" s="68" t="n">
        <f aca="false">AO46+AO47</f>
        <v>-8625.1474073224</v>
      </c>
      <c r="AP48" s="68" t="n">
        <f aca="false">AP46+AP47</f>
        <v>-8629.59185176685</v>
      </c>
      <c r="AQ48" s="68" t="n">
        <f aca="false">AQ46+AQ47</f>
        <v>-8634.03629621129</v>
      </c>
      <c r="AR48" s="68" t="n">
        <f aca="false">AR46+AR47</f>
        <v>-8638.48074065574</v>
      </c>
      <c r="AS48" s="68" t="n">
        <f aca="false">AS46+AS47</f>
        <v>-8642.92518510018</v>
      </c>
      <c r="AT48" s="68" t="n">
        <f aca="false">AT46+AT47</f>
        <v>-8647.36962954462</v>
      </c>
      <c r="AU48" s="68" t="n">
        <f aca="false">AU46+AU47</f>
        <v>-8651.81407398907</v>
      </c>
      <c r="AV48" s="68" t="n">
        <f aca="false">AV46+AV47</f>
        <v>-8656.25851843351</v>
      </c>
      <c r="AW48" s="68" t="n">
        <f aca="false">AW46+AW47</f>
        <v>5421.76520142131</v>
      </c>
      <c r="AX48" s="68" t="n">
        <f aca="false">AX46+AX47</f>
        <v>5417.32075697686</v>
      </c>
      <c r="AY48" s="68" t="n">
        <f aca="false">AY46+AY47</f>
        <v>-10115.5031946985</v>
      </c>
      <c r="AZ48" s="68" t="n">
        <f aca="false">AZ46+AZ47</f>
        <v>-10119.9476391429</v>
      </c>
      <c r="BA48" s="68" t="n">
        <f aca="false">BA46+BA47</f>
        <v>-10124.3920835873</v>
      </c>
      <c r="BB48" s="68" t="n">
        <f aca="false">BB46+BB47</f>
        <v>-10128.8365280318</v>
      </c>
      <c r="BC48" s="68" t="n">
        <f aca="false">BC46+BC47</f>
        <v>-10133.2809724762</v>
      </c>
      <c r="BD48" s="68" t="n">
        <f aca="false">BD46+BD47</f>
        <v>-10137.7254169207</v>
      </c>
      <c r="BE48" s="68" t="n">
        <f aca="false">BE46+BE47</f>
        <v>-10142.1698613651</v>
      </c>
      <c r="BF48" s="68" t="n">
        <f aca="false">BF46+BF47</f>
        <v>-10146.6143058096</v>
      </c>
      <c r="BG48" s="68" t="n">
        <f aca="false">BG46+BG47</f>
        <v>-10151.058750254</v>
      </c>
      <c r="BH48" s="68" t="n">
        <f aca="false">BH46+BH47</f>
        <v>-10155.5031946985</v>
      </c>
      <c r="BI48" s="68" t="n">
        <f aca="false">BI46+BI47</f>
        <v>4347.81106371825</v>
      </c>
      <c r="BJ48" s="68" t="n">
        <f aca="false">BJ46+BJ47</f>
        <v>4343.36661927381</v>
      </c>
    </row>
    <row r="49" customFormat="false" ht="15" hidden="false" customHeight="false" outlineLevel="0" collapsed="false">
      <c r="A49" s="121" t="s">
        <v>413</v>
      </c>
      <c r="C49" s="67" t="n">
        <f aca="false">C48</f>
        <v>-15440.1592193686</v>
      </c>
      <c r="D49" s="67" t="n">
        <f aca="false">C49+D48</f>
        <v>-27486.6985198858</v>
      </c>
      <c r="E49" s="67" t="n">
        <f aca="false">D49+E48</f>
        <v>-36134.8956793294</v>
      </c>
      <c r="F49" s="67" t="n">
        <f aca="false">E49+F48</f>
        <v>-41384.7506976993</v>
      </c>
      <c r="G49" s="67" t="n">
        <f aca="false">F49+G48</f>
        <v>-46625.1612716248</v>
      </c>
      <c r="H49" s="67" t="n">
        <f aca="false">G49+H48</f>
        <v>-51856.1274011058</v>
      </c>
      <c r="I49" s="67" t="n">
        <f aca="false">H49+I48</f>
        <v>-57077.6490861423</v>
      </c>
      <c r="J49" s="67" t="n">
        <f aca="false">I49+J48</f>
        <v>-62289.7263267344</v>
      </c>
      <c r="K49" s="67" t="n">
        <f aca="false">J49+K48</f>
        <v>-67492.3591228821</v>
      </c>
      <c r="L49" s="67" t="n">
        <f aca="false">K49+L48</f>
        <v>-72685.5474745853</v>
      </c>
      <c r="M49" s="67" t="n">
        <f aca="false">L49+M48</f>
        <v>-64989.3424380239</v>
      </c>
      <c r="N49" s="67" t="n">
        <f aca="false">M49+N48</f>
        <v>-57283.692957018</v>
      </c>
      <c r="O49" s="67" t="n">
        <f aca="false">N49+O48</f>
        <v>-63419.6286318633</v>
      </c>
      <c r="P49" s="67" t="n">
        <f aca="false">O49+P48</f>
        <v>-69560.008751153</v>
      </c>
      <c r="Q49" s="67" t="n">
        <f aca="false">P49+Q48</f>
        <v>-75704.8333148872</v>
      </c>
      <c r="R49" s="67" t="n">
        <f aca="false">Q49+R48</f>
        <v>-81854.1023230658</v>
      </c>
      <c r="S49" s="67" t="n">
        <f aca="false">R49+S48</f>
        <v>-88007.8157756889</v>
      </c>
      <c r="T49" s="67" t="n">
        <f aca="false">S49+T48</f>
        <v>-94165.9736727564</v>
      </c>
      <c r="U49" s="67" t="n">
        <f aca="false">T49+U48</f>
        <v>-100328.576014268</v>
      </c>
      <c r="V49" s="67" t="n">
        <f aca="false">U49+V48</f>
        <v>-106495.622800225</v>
      </c>
      <c r="W49" s="67" t="n">
        <f aca="false">V49+W48</f>
        <v>-112667.114030626</v>
      </c>
      <c r="X49" s="67" t="n">
        <f aca="false">W49+X48</f>
        <v>-118843.049705471</v>
      </c>
      <c r="Y49" s="67" t="n">
        <f aca="false">X49+Y48</f>
        <v>-111754.506422837</v>
      </c>
      <c r="Z49" s="67" t="n">
        <f aca="false">Y49+Z48</f>
        <v>-104670.407584648</v>
      </c>
      <c r="AA49" s="67" t="n">
        <f aca="false">Z49+AA48</f>
        <v>-111965.248352434</v>
      </c>
      <c r="AB49" s="67" t="n">
        <f aca="false">AA49+AB48</f>
        <v>-119264.533564664</v>
      </c>
      <c r="AC49" s="67" t="n">
        <f aca="false">AB49+AC48</f>
        <v>-126568.26322134</v>
      </c>
      <c r="AD49" s="67" t="n">
        <f aca="false">AC49+AD48</f>
        <v>-133876.437322459</v>
      </c>
      <c r="AE49" s="67" t="n">
        <f aca="false">AD49+AE48</f>
        <v>-141189.055868023</v>
      </c>
      <c r="AF49" s="67" t="n">
        <f aca="false">AE49+AF48</f>
        <v>-148506.118858032</v>
      </c>
      <c r="AG49" s="67" t="n">
        <f aca="false">AF49+AG48</f>
        <v>-155827.626292485</v>
      </c>
      <c r="AH49" s="67" t="n">
        <f aca="false">AG49+AH48</f>
        <v>-163153.578171382</v>
      </c>
      <c r="AI49" s="67" t="n">
        <f aca="false">AH49+AI48</f>
        <v>-170483.974494724</v>
      </c>
      <c r="AJ49" s="67" t="n">
        <f aca="false">AI49+AJ48</f>
        <v>-177818.81526251</v>
      </c>
      <c r="AK49" s="67" t="n">
        <f aca="false">AJ49+AK48</f>
        <v>-171488.455586079</v>
      </c>
      <c r="AL49" s="67" t="n">
        <f aca="false">AK49+AL48</f>
        <v>-165162.540354093</v>
      </c>
      <c r="AM49" s="67" t="n">
        <f aca="false">AL49+AM48</f>
        <v>-173778.798872526</v>
      </c>
      <c r="AN49" s="67" t="n">
        <f aca="false">AM49+AN48</f>
        <v>-182399.501835404</v>
      </c>
      <c r="AO49" s="67" t="n">
        <f aca="false">AN49+AO48</f>
        <v>-191024.649242726</v>
      </c>
      <c r="AP49" s="67" t="n">
        <f aca="false">AO49+AP48</f>
        <v>-199654.241094493</v>
      </c>
      <c r="AQ49" s="67" t="n">
        <f aca="false">AP49+AQ48</f>
        <v>-208288.277390705</v>
      </c>
      <c r="AR49" s="67" t="n">
        <f aca="false">AQ49+AR48</f>
        <v>-216926.75813136</v>
      </c>
      <c r="AS49" s="67" t="n">
        <f aca="false">AR49+AS48</f>
        <v>-225569.683316461</v>
      </c>
      <c r="AT49" s="67" t="n">
        <f aca="false">AS49+AT48</f>
        <v>-234217.052946005</v>
      </c>
      <c r="AU49" s="67" t="n">
        <f aca="false">AT49+AU48</f>
        <v>-242868.867019994</v>
      </c>
      <c r="AV49" s="67" t="n">
        <f aca="false">AU49+AV48</f>
        <v>-251525.125538428</v>
      </c>
      <c r="AW49" s="67" t="n">
        <f aca="false">AV49+AW48</f>
        <v>-246103.360337006</v>
      </c>
      <c r="AX49" s="67" t="n">
        <f aca="false">AW49+AX48</f>
        <v>-240686.03958003</v>
      </c>
      <c r="AY49" s="67" t="n">
        <f aca="false">AX49+AY48</f>
        <v>-250801.542774728</v>
      </c>
      <c r="AZ49" s="67" t="n">
        <f aca="false">AY49+AZ48</f>
        <v>-260921.490413871</v>
      </c>
      <c r="BA49" s="67" t="n">
        <f aca="false">AZ49+BA48</f>
        <v>-271045.882497458</v>
      </c>
      <c r="BB49" s="67" t="n">
        <f aca="false">BA49+BB48</f>
        <v>-281174.71902549</v>
      </c>
      <c r="BC49" s="67" t="n">
        <f aca="false">BB49+BC48</f>
        <v>-291307.999997966</v>
      </c>
      <c r="BD49" s="67" t="n">
        <f aca="false">BC49+BD48</f>
        <v>-301445.725414887</v>
      </c>
      <c r="BE49" s="67" t="n">
        <f aca="false">BD49+BE48</f>
        <v>-311587.895276252</v>
      </c>
      <c r="BF49" s="67" t="n">
        <f aca="false">BE49+BF48</f>
        <v>-321734.509582062</v>
      </c>
      <c r="BG49" s="67" t="n">
        <f aca="false">BF49+BG48</f>
        <v>-331885.568332316</v>
      </c>
      <c r="BH49" s="67" t="n">
        <f aca="false">BG49+BH48</f>
        <v>-342041.071527014</v>
      </c>
      <c r="BI49" s="67" t="n">
        <f aca="false">BH49+BI48</f>
        <v>-337693.260463296</v>
      </c>
      <c r="BJ49" s="67" t="n">
        <f aca="false">BI49+BJ48</f>
        <v>-333349.893844022</v>
      </c>
    </row>
    <row r="50" customFormat="false" ht="15" hidden="false" customHeight="false" outlineLevel="0" collapsed="false">
      <c r="A50" s="121" t="s">
        <v>414</v>
      </c>
      <c r="C50" s="67" t="n">
        <f aca="false">MAX(0,C49)</f>
        <v>0</v>
      </c>
      <c r="D50" s="67" t="n">
        <f aca="false">MAX(C50,D49)</f>
        <v>0</v>
      </c>
      <c r="E50" s="67" t="n">
        <f aca="false">MAX(D50,E49)</f>
        <v>0</v>
      </c>
      <c r="F50" s="67" t="n">
        <f aca="false">MAX(E50,F49)</f>
        <v>0</v>
      </c>
      <c r="G50" s="67" t="n">
        <f aca="false">MAX(F50,G49)</f>
        <v>0</v>
      </c>
      <c r="H50" s="67" t="n">
        <f aca="false">MAX(G50,H49)</f>
        <v>0</v>
      </c>
      <c r="I50" s="67" t="n">
        <f aca="false">MAX(H50,I49)</f>
        <v>0</v>
      </c>
      <c r="J50" s="67" t="n">
        <f aca="false">MAX(I50,J49)</f>
        <v>0</v>
      </c>
      <c r="K50" s="67" t="n">
        <f aca="false">MAX(J50,K49)</f>
        <v>0</v>
      </c>
      <c r="L50" s="67" t="n">
        <f aca="false">MAX(K50,L49)</f>
        <v>0</v>
      </c>
      <c r="M50" s="67" t="n">
        <f aca="false">MAX(L50,M49)</f>
        <v>0</v>
      </c>
      <c r="N50" s="67" t="n">
        <f aca="false">MAX(M50,N49)</f>
        <v>0</v>
      </c>
      <c r="O50" s="67" t="n">
        <f aca="false">MAX(N50,O49)</f>
        <v>0</v>
      </c>
      <c r="P50" s="67" t="n">
        <f aca="false">MAX(O50,P49)</f>
        <v>0</v>
      </c>
      <c r="Q50" s="67" t="n">
        <f aca="false">MAX(P50,Q49)</f>
        <v>0</v>
      </c>
      <c r="R50" s="67" t="n">
        <f aca="false">MAX(Q50,R49)</f>
        <v>0</v>
      </c>
      <c r="S50" s="67" t="n">
        <f aca="false">MAX(R50,S49)</f>
        <v>0</v>
      </c>
      <c r="T50" s="67" t="n">
        <f aca="false">MAX(S50,T49)</f>
        <v>0</v>
      </c>
      <c r="U50" s="67" t="n">
        <f aca="false">MAX(T50,U49)</f>
        <v>0</v>
      </c>
      <c r="V50" s="67" t="n">
        <f aca="false">MAX(U50,V49)</f>
        <v>0</v>
      </c>
      <c r="W50" s="67" t="n">
        <f aca="false">MAX(V50,W49)</f>
        <v>0</v>
      </c>
      <c r="X50" s="67" t="n">
        <f aca="false">MAX(W50,X49)</f>
        <v>0</v>
      </c>
      <c r="Y50" s="67" t="n">
        <f aca="false">MAX(X50,Y49)</f>
        <v>0</v>
      </c>
      <c r="Z50" s="67" t="n">
        <f aca="false">MAX(Y50,Z49)</f>
        <v>0</v>
      </c>
      <c r="AA50" s="67" t="n">
        <f aca="false">MAX(Z50,AA49)</f>
        <v>0</v>
      </c>
      <c r="AB50" s="67" t="n">
        <f aca="false">MAX(AA50,AB49)</f>
        <v>0</v>
      </c>
      <c r="AC50" s="67" t="n">
        <f aca="false">MAX(AB50,AC49)</f>
        <v>0</v>
      </c>
      <c r="AD50" s="67" t="n">
        <f aca="false">MAX(AC50,AD49)</f>
        <v>0</v>
      </c>
      <c r="AE50" s="67" t="n">
        <f aca="false">MAX(AD50,AE49)</f>
        <v>0</v>
      </c>
      <c r="AF50" s="67" t="n">
        <f aca="false">MAX(AE50,AF49)</f>
        <v>0</v>
      </c>
      <c r="AG50" s="67" t="n">
        <f aca="false">MAX(AF50,AG49)</f>
        <v>0</v>
      </c>
      <c r="AH50" s="67" t="n">
        <f aca="false">MAX(AG50,AH49)</f>
        <v>0</v>
      </c>
      <c r="AI50" s="67" t="n">
        <f aca="false">MAX(AH50,AI49)</f>
        <v>0</v>
      </c>
      <c r="AJ50" s="67" t="n">
        <f aca="false">MAX(AI50,AJ49)</f>
        <v>0</v>
      </c>
      <c r="AK50" s="67" t="n">
        <f aca="false">MAX(AJ50,AK49)</f>
        <v>0</v>
      </c>
      <c r="AL50" s="67" t="n">
        <f aca="false">MAX(AK50,AL49)</f>
        <v>0</v>
      </c>
      <c r="AM50" s="67" t="n">
        <f aca="false">MAX(AL50,AM49)</f>
        <v>0</v>
      </c>
      <c r="AN50" s="67" t="n">
        <f aca="false">MAX(AM50,AN49)</f>
        <v>0</v>
      </c>
      <c r="AO50" s="67" t="n">
        <f aca="false">MAX(AN50,AO49)</f>
        <v>0</v>
      </c>
      <c r="AP50" s="67" t="n">
        <f aca="false">MAX(AO50,AP49)</f>
        <v>0</v>
      </c>
      <c r="AQ50" s="67" t="n">
        <f aca="false">MAX(AP50,AQ49)</f>
        <v>0</v>
      </c>
      <c r="AR50" s="67" t="n">
        <f aca="false">MAX(AQ50,AR49)</f>
        <v>0</v>
      </c>
      <c r="AS50" s="67" t="n">
        <f aca="false">MAX(AR50,AS49)</f>
        <v>0</v>
      </c>
      <c r="AT50" s="67" t="n">
        <f aca="false">MAX(AS50,AT49)</f>
        <v>0</v>
      </c>
      <c r="AU50" s="67" t="n">
        <f aca="false">MAX(AT50,AU49)</f>
        <v>0</v>
      </c>
      <c r="AV50" s="67" t="n">
        <f aca="false">MAX(AU50,AV49)</f>
        <v>0</v>
      </c>
      <c r="AW50" s="67" t="n">
        <f aca="false">MAX(AV50,AW49)</f>
        <v>0</v>
      </c>
      <c r="AX50" s="67" t="n">
        <f aca="false">MAX(AW50,AX49)</f>
        <v>0</v>
      </c>
      <c r="AY50" s="67" t="n">
        <f aca="false">MAX(AX50,AY49)</f>
        <v>0</v>
      </c>
      <c r="AZ50" s="67" t="n">
        <f aca="false">MAX(AY50,AZ49)</f>
        <v>0</v>
      </c>
      <c r="BA50" s="67" t="n">
        <f aca="false">MAX(AZ50,BA49)</f>
        <v>0</v>
      </c>
      <c r="BB50" s="67" t="n">
        <f aca="false">MAX(BA50,BB49)</f>
        <v>0</v>
      </c>
      <c r="BC50" s="67" t="n">
        <f aca="false">MAX(BB50,BC49)</f>
        <v>0</v>
      </c>
      <c r="BD50" s="67" t="n">
        <f aca="false">MAX(BC50,BD49)</f>
        <v>0</v>
      </c>
      <c r="BE50" s="67" t="n">
        <f aca="false">MAX(BD50,BE49)</f>
        <v>0</v>
      </c>
      <c r="BF50" s="67" t="n">
        <f aca="false">MAX(BE50,BF49)</f>
        <v>0</v>
      </c>
      <c r="BG50" s="67" t="n">
        <f aca="false">MAX(BF50,BG49)</f>
        <v>0</v>
      </c>
      <c r="BH50" s="67" t="n">
        <f aca="false">MAX(BG50,BH49)</f>
        <v>0</v>
      </c>
      <c r="BI50" s="67" t="n">
        <f aca="false">MAX(BH50,BI49)</f>
        <v>0</v>
      </c>
      <c r="BJ50" s="67" t="n">
        <f aca="false">MAX(BI50,BJ49)</f>
        <v>0</v>
      </c>
    </row>
    <row r="51" customFormat="false" ht="15" hidden="false" customHeight="false" outlineLevel="0" collapsed="false">
      <c r="A51" s="6" t="s">
        <v>82</v>
      </c>
      <c r="C51" s="67" t="n">
        <f aca="false">-C50*Inputs!$B$70</f>
        <v>-0</v>
      </c>
      <c r="D51" s="67" t="n">
        <f aca="false">-(D50-C50)*Inputs!$B$70</f>
        <v>-0</v>
      </c>
      <c r="E51" s="67" t="n">
        <f aca="false">-(E50-D50)*Inputs!$B$70</f>
        <v>-0</v>
      </c>
      <c r="F51" s="67" t="n">
        <f aca="false">-(F50-E50)*Inputs!$B$70</f>
        <v>-0</v>
      </c>
      <c r="G51" s="67" t="n">
        <f aca="false">-(G50-F50)*Inputs!$B$70</f>
        <v>-0</v>
      </c>
      <c r="H51" s="67" t="n">
        <f aca="false">-(H50-G50)*Inputs!$B$70</f>
        <v>-0</v>
      </c>
      <c r="I51" s="67" t="n">
        <f aca="false">-(I50-H50)*Inputs!$B$70</f>
        <v>-0</v>
      </c>
      <c r="J51" s="67" t="n">
        <f aca="false">-(J50-I50)*Inputs!$B$70</f>
        <v>-0</v>
      </c>
      <c r="K51" s="67" t="n">
        <f aca="false">-(K50-J50)*Inputs!$B$70</f>
        <v>-0</v>
      </c>
      <c r="L51" s="67" t="n">
        <f aca="false">-(L50-K50)*Inputs!$B$70</f>
        <v>-0</v>
      </c>
      <c r="M51" s="67" t="n">
        <f aca="false">-(M50-L50)*Inputs!$B$70</f>
        <v>-0</v>
      </c>
      <c r="N51" s="67" t="n">
        <f aca="false">-(N50-M50)*Inputs!$B$70</f>
        <v>-0</v>
      </c>
      <c r="O51" s="67" t="n">
        <f aca="false">-(O50-N50)*Inputs!$B$70</f>
        <v>-0</v>
      </c>
      <c r="P51" s="67" t="n">
        <f aca="false">-(P50-O50)*Inputs!$B$70</f>
        <v>-0</v>
      </c>
      <c r="Q51" s="67" t="n">
        <f aca="false">-(Q50-P50)*Inputs!$B$70</f>
        <v>-0</v>
      </c>
      <c r="R51" s="67" t="n">
        <f aca="false">-(R50-Q50)*Inputs!$B$70</f>
        <v>-0</v>
      </c>
      <c r="S51" s="67" t="n">
        <f aca="false">-(S50-R50)*Inputs!$B$70</f>
        <v>-0</v>
      </c>
      <c r="T51" s="67" t="n">
        <f aca="false">-(T50-S50)*Inputs!$B$70</f>
        <v>-0</v>
      </c>
      <c r="U51" s="67" t="n">
        <f aca="false">-(U50-T50)*Inputs!$B$70</f>
        <v>-0</v>
      </c>
      <c r="V51" s="67" t="n">
        <f aca="false">-(V50-U50)*Inputs!$B$70</f>
        <v>-0</v>
      </c>
      <c r="W51" s="67" t="n">
        <f aca="false">-(W50-V50)*Inputs!$B$70</f>
        <v>-0</v>
      </c>
      <c r="X51" s="67" t="n">
        <f aca="false">-(X50-W50)*Inputs!$B$70</f>
        <v>-0</v>
      </c>
      <c r="Y51" s="67" t="n">
        <f aca="false">-(Y50-X50)*Inputs!$B$70</f>
        <v>-0</v>
      </c>
      <c r="Z51" s="67" t="n">
        <f aca="false">-(Z50-Y50)*Inputs!$B$70</f>
        <v>-0</v>
      </c>
      <c r="AA51" s="67" t="n">
        <f aca="false">-(AA50-Z50)*Inputs!$B$70</f>
        <v>-0</v>
      </c>
      <c r="AB51" s="67" t="n">
        <f aca="false">-(AB50-AA50)*Inputs!$B$70</f>
        <v>-0</v>
      </c>
      <c r="AC51" s="67" t="n">
        <f aca="false">-(AC50-AB50)*Inputs!$B$70</f>
        <v>-0</v>
      </c>
      <c r="AD51" s="67" t="n">
        <f aca="false">-(AD50-AC50)*Inputs!$B$70</f>
        <v>-0</v>
      </c>
      <c r="AE51" s="67" t="n">
        <f aca="false">-(AE50-AD50)*Inputs!$B$70</f>
        <v>-0</v>
      </c>
      <c r="AF51" s="67" t="n">
        <f aca="false">-(AF50-AE50)*Inputs!$B$70</f>
        <v>-0</v>
      </c>
      <c r="AG51" s="67" t="n">
        <f aca="false">-(AG50-AF50)*Inputs!$B$70</f>
        <v>-0</v>
      </c>
      <c r="AH51" s="67" t="n">
        <f aca="false">-(AH50-AG50)*Inputs!$B$70</f>
        <v>-0</v>
      </c>
      <c r="AI51" s="67" t="n">
        <f aca="false">-(AI50-AH50)*Inputs!$B$70</f>
        <v>-0</v>
      </c>
      <c r="AJ51" s="67" t="n">
        <f aca="false">-(AJ50-AI50)*Inputs!$B$70</f>
        <v>-0</v>
      </c>
      <c r="AK51" s="67" t="n">
        <f aca="false">-(AK50-AJ50)*Inputs!$B$70</f>
        <v>-0</v>
      </c>
      <c r="AL51" s="67" t="n">
        <f aca="false">-(AL50-AK50)*Inputs!$B$70</f>
        <v>-0</v>
      </c>
      <c r="AM51" s="67" t="n">
        <f aca="false">-(AM50-AL50)*Inputs!$B$70</f>
        <v>-0</v>
      </c>
      <c r="AN51" s="67" t="n">
        <f aca="false">-(AN50-AM50)*Inputs!$B$70</f>
        <v>-0</v>
      </c>
      <c r="AO51" s="67" t="n">
        <f aca="false">-(AO50-AN50)*Inputs!$B$70</f>
        <v>-0</v>
      </c>
      <c r="AP51" s="67" t="n">
        <f aca="false">-(AP50-AO50)*Inputs!$B$70</f>
        <v>-0</v>
      </c>
      <c r="AQ51" s="67" t="n">
        <f aca="false">-(AQ50-AP50)*Inputs!$B$70</f>
        <v>-0</v>
      </c>
      <c r="AR51" s="67" t="n">
        <f aca="false">-(AR50-AQ50)*Inputs!$B$70</f>
        <v>-0</v>
      </c>
      <c r="AS51" s="67" t="n">
        <f aca="false">-(AS50-AR50)*Inputs!$B$70</f>
        <v>-0</v>
      </c>
      <c r="AT51" s="67" t="n">
        <f aca="false">-(AT50-AS50)*Inputs!$B$70</f>
        <v>-0</v>
      </c>
      <c r="AU51" s="67" t="n">
        <f aca="false">-(AU50-AT50)*Inputs!$B$70</f>
        <v>-0</v>
      </c>
      <c r="AV51" s="67" t="n">
        <f aca="false">-(AV50-AU50)*Inputs!$B$70</f>
        <v>-0</v>
      </c>
      <c r="AW51" s="67" t="n">
        <f aca="false">-(AW50-AV50)*Inputs!$B$70</f>
        <v>-0</v>
      </c>
      <c r="AX51" s="67" t="n">
        <f aca="false">-(AX50-AW50)*Inputs!$B$70</f>
        <v>-0</v>
      </c>
      <c r="AY51" s="67" t="n">
        <f aca="false">-(AY50-AX50)*Inputs!$B$70</f>
        <v>-0</v>
      </c>
      <c r="AZ51" s="67" t="n">
        <f aca="false">-(AZ50-AY50)*Inputs!$B$70</f>
        <v>-0</v>
      </c>
      <c r="BA51" s="67" t="n">
        <f aca="false">-(BA50-AZ50)*Inputs!$B$70</f>
        <v>-0</v>
      </c>
      <c r="BB51" s="67" t="n">
        <f aca="false">-(BB50-BA50)*Inputs!$B$70</f>
        <v>-0</v>
      </c>
      <c r="BC51" s="67" t="n">
        <f aca="false">-(BC50-BB50)*Inputs!$B$70</f>
        <v>-0</v>
      </c>
      <c r="BD51" s="67" t="n">
        <f aca="false">-(BD50-BC50)*Inputs!$B$70</f>
        <v>-0</v>
      </c>
      <c r="BE51" s="67" t="n">
        <f aca="false">-(BE50-BD50)*Inputs!$B$70</f>
        <v>-0</v>
      </c>
      <c r="BF51" s="67" t="n">
        <f aca="false">-(BF50-BE50)*Inputs!$B$70</f>
        <v>-0</v>
      </c>
      <c r="BG51" s="67" t="n">
        <f aca="false">-(BG50-BF50)*Inputs!$B$70</f>
        <v>-0</v>
      </c>
      <c r="BH51" s="67" t="n">
        <f aca="false">-(BH50-BG50)*Inputs!$B$70</f>
        <v>-0</v>
      </c>
      <c r="BI51" s="67" t="n">
        <f aca="false">-(BI50-BH50)*Inputs!$B$70</f>
        <v>-0</v>
      </c>
      <c r="BJ51" s="67" t="n">
        <f aca="false">-(BJ50-BI50)*Inputs!$B$70</f>
        <v>-0</v>
      </c>
    </row>
    <row r="52" customFormat="false" ht="15" hidden="false" customHeight="false" outlineLevel="0" collapsed="false">
      <c r="A52" s="115" t="s">
        <v>50</v>
      </c>
      <c r="C52" s="68" t="n">
        <f aca="false">C48+C51</f>
        <v>-15440.1592193686</v>
      </c>
      <c r="D52" s="68" t="n">
        <f aca="false">D48+D51</f>
        <v>-12046.5393005172</v>
      </c>
      <c r="E52" s="68" t="n">
        <f aca="false">E48+E51</f>
        <v>-8648.19715944355</v>
      </c>
      <c r="F52" s="68" t="n">
        <f aca="false">F48+F51</f>
        <v>-5249.8550183699</v>
      </c>
      <c r="G52" s="68" t="n">
        <f aca="false">G48+G51</f>
        <v>-5240.41057392545</v>
      </c>
      <c r="H52" s="68" t="n">
        <f aca="false">H48+H51</f>
        <v>-5230.96612948101</v>
      </c>
      <c r="I52" s="68" t="n">
        <f aca="false">I48+I51</f>
        <v>-5221.52168503656</v>
      </c>
      <c r="J52" s="68" t="n">
        <f aca="false">J48+J51</f>
        <v>-5212.07724059212</v>
      </c>
      <c r="K52" s="68" t="n">
        <f aca="false">K48+K51</f>
        <v>-5202.63279614768</v>
      </c>
      <c r="L52" s="68" t="n">
        <f aca="false">L48+L51</f>
        <v>-5193.18835170323</v>
      </c>
      <c r="M52" s="68" t="n">
        <f aca="false">M48+M51</f>
        <v>7696.20503656146</v>
      </c>
      <c r="N52" s="68" t="n">
        <f aca="false">N48+N51</f>
        <v>7705.6494810059</v>
      </c>
      <c r="O52" s="68" t="n">
        <f aca="false">O48+O51</f>
        <v>-6135.93567484528</v>
      </c>
      <c r="P52" s="68" t="n">
        <f aca="false">P48+P51</f>
        <v>-6140.38011928973</v>
      </c>
      <c r="Q52" s="68" t="n">
        <f aca="false">Q48+Q51</f>
        <v>-6144.82456373417</v>
      </c>
      <c r="R52" s="68" t="n">
        <f aca="false">R48+R51</f>
        <v>-6149.26900817862</v>
      </c>
      <c r="S52" s="68" t="n">
        <f aca="false">S48+S51</f>
        <v>-6153.71345262306</v>
      </c>
      <c r="T52" s="68" t="n">
        <f aca="false">T48+T51</f>
        <v>-6158.15789706751</v>
      </c>
      <c r="U52" s="68" t="n">
        <f aca="false">U48+U51</f>
        <v>-6162.60234151195</v>
      </c>
      <c r="V52" s="68" t="n">
        <f aca="false">V48+V51</f>
        <v>-6167.04678595639</v>
      </c>
      <c r="W52" s="68" t="n">
        <f aca="false">W48+W51</f>
        <v>-6171.49123040084</v>
      </c>
      <c r="X52" s="68" t="n">
        <f aca="false">X48+X51</f>
        <v>-6175.93567484528</v>
      </c>
      <c r="Y52" s="68" t="n">
        <f aca="false">Y48+Y51</f>
        <v>7088.54328263389</v>
      </c>
      <c r="Z52" s="68" t="n">
        <f aca="false">Z48+Z51</f>
        <v>7084.09883818945</v>
      </c>
      <c r="AA52" s="68" t="n">
        <f aca="false">AA48+AA51</f>
        <v>-7294.84076778626</v>
      </c>
      <c r="AB52" s="68" t="n">
        <f aca="false">AB48+AB51</f>
        <v>-7299.28521223071</v>
      </c>
      <c r="AC52" s="68" t="n">
        <f aca="false">AC48+AC51</f>
        <v>-7303.72965667515</v>
      </c>
      <c r="AD52" s="68" t="n">
        <f aca="false">AD48+AD51</f>
        <v>-7308.17410111959</v>
      </c>
      <c r="AE52" s="68" t="n">
        <f aca="false">AE48+AE51</f>
        <v>-7312.61854556404</v>
      </c>
      <c r="AF52" s="68" t="n">
        <f aca="false">AF48+AF51</f>
        <v>-7317.06299000848</v>
      </c>
      <c r="AG52" s="68" t="n">
        <f aca="false">AG48+AG51</f>
        <v>-7321.50743445293</v>
      </c>
      <c r="AH52" s="68" t="n">
        <f aca="false">AH48+AH51</f>
        <v>-7325.95187889737</v>
      </c>
      <c r="AI52" s="68" t="n">
        <f aca="false">AI48+AI51</f>
        <v>-7330.39632334182</v>
      </c>
      <c r="AJ52" s="68" t="n">
        <f aca="false">AJ48+AJ51</f>
        <v>-7334.84076778626</v>
      </c>
      <c r="AK52" s="68" t="n">
        <f aca="false">AK48+AK51</f>
        <v>6330.35967643097</v>
      </c>
      <c r="AL52" s="68" t="n">
        <f aca="false">AL48+AL51</f>
        <v>6325.91523198652</v>
      </c>
      <c r="AM52" s="68" t="n">
        <f aca="false">AM48+AM51</f>
        <v>-8616.25851843351</v>
      </c>
      <c r="AN52" s="68" t="n">
        <f aca="false">AN48+AN51</f>
        <v>-8620.70296287796</v>
      </c>
      <c r="AO52" s="68" t="n">
        <f aca="false">AO48+AO51</f>
        <v>-8625.1474073224</v>
      </c>
      <c r="AP52" s="68" t="n">
        <f aca="false">AP48+AP51</f>
        <v>-8629.59185176685</v>
      </c>
      <c r="AQ52" s="68" t="n">
        <f aca="false">AQ48+AQ51</f>
        <v>-8634.03629621129</v>
      </c>
      <c r="AR52" s="68" t="n">
        <f aca="false">AR48+AR51</f>
        <v>-8638.48074065574</v>
      </c>
      <c r="AS52" s="68" t="n">
        <f aca="false">AS48+AS51</f>
        <v>-8642.92518510018</v>
      </c>
      <c r="AT52" s="68" t="n">
        <f aca="false">AT48+AT51</f>
        <v>-8647.36962954462</v>
      </c>
      <c r="AU52" s="68" t="n">
        <f aca="false">AU48+AU51</f>
        <v>-8651.81407398907</v>
      </c>
      <c r="AV52" s="68" t="n">
        <f aca="false">AV48+AV51</f>
        <v>-8656.25851843351</v>
      </c>
      <c r="AW52" s="68" t="n">
        <f aca="false">AW48+AW51</f>
        <v>5421.76520142131</v>
      </c>
      <c r="AX52" s="68" t="n">
        <f aca="false">AX48+AX51</f>
        <v>5417.32075697686</v>
      </c>
      <c r="AY52" s="68" t="n">
        <f aca="false">AY48+AY51</f>
        <v>-10115.5031946985</v>
      </c>
      <c r="AZ52" s="68" t="n">
        <f aca="false">AZ48+AZ51</f>
        <v>-10119.9476391429</v>
      </c>
      <c r="BA52" s="68" t="n">
        <f aca="false">BA48+BA51</f>
        <v>-10124.3920835873</v>
      </c>
      <c r="BB52" s="68" t="n">
        <f aca="false">BB48+BB51</f>
        <v>-10128.8365280318</v>
      </c>
      <c r="BC52" s="68" t="n">
        <f aca="false">BC48+BC51</f>
        <v>-10133.2809724762</v>
      </c>
      <c r="BD52" s="68" t="n">
        <f aca="false">BD48+BD51</f>
        <v>-10137.7254169207</v>
      </c>
      <c r="BE52" s="68" t="n">
        <f aca="false">BE48+BE51</f>
        <v>-10142.1698613651</v>
      </c>
      <c r="BF52" s="68" t="n">
        <f aca="false">BF48+BF51</f>
        <v>-10146.6143058096</v>
      </c>
      <c r="BG52" s="68" t="n">
        <f aca="false">BG48+BG51</f>
        <v>-10151.058750254</v>
      </c>
      <c r="BH52" s="68" t="n">
        <f aca="false">BH48+BH51</f>
        <v>-10155.5031946985</v>
      </c>
      <c r="BI52" s="68" t="n">
        <f aca="false">BI48+BI51</f>
        <v>4347.81106371825</v>
      </c>
      <c r="BJ52" s="68" t="n">
        <f aca="false">BJ48+BJ51</f>
        <v>4343.36661927381</v>
      </c>
    </row>
    <row r="54" customFormat="false" ht="15.75" hidden="false" customHeight="true" outlineLevel="0" collapsed="false">
      <c r="A54" s="7" t="s">
        <v>415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customFormat="false" ht="15" hidden="false" customHeight="false" outlineLevel="0" collapsed="false">
      <c r="A55" s="6" t="s">
        <v>416</v>
      </c>
      <c r="C55" s="67" t="n">
        <f aca="false">IF(C$6=1,Inputs!$B$38,0)+IF(C$7&gt;1,Inputs!$B$39*1/12,0)</f>
        <v>90000</v>
      </c>
      <c r="D55" s="67" t="n">
        <f aca="false">IF(D$6=1,Inputs!$B$38,0)+IF(D$7&gt;1,Inputs!$B$39*1/12,0)</f>
        <v>0</v>
      </c>
      <c r="E55" s="67" t="n">
        <f aca="false">IF(E$6=1,Inputs!$B$38,0)+IF(E$7&gt;1,Inputs!$B$39*1/12,0)</f>
        <v>0</v>
      </c>
      <c r="F55" s="67" t="n">
        <f aca="false">IF(F$6=1,Inputs!$B$38,0)+IF(F$7&gt;1,Inputs!$B$39*1/12,0)</f>
        <v>0</v>
      </c>
      <c r="G55" s="67" t="n">
        <f aca="false">IF(G$6=1,Inputs!$B$38,0)+IF(G$7&gt;1,Inputs!$B$39*1/12,0)</f>
        <v>0</v>
      </c>
      <c r="H55" s="67" t="n">
        <f aca="false">IF(H$6=1,Inputs!$B$38,0)+IF(H$7&gt;1,Inputs!$B$39*1/12,0)</f>
        <v>0</v>
      </c>
      <c r="I55" s="67" t="n">
        <f aca="false">IF(I$6=1,Inputs!$B$38,0)+IF(I$7&gt;1,Inputs!$B$39*1/12,0)</f>
        <v>0</v>
      </c>
      <c r="J55" s="67" t="n">
        <f aca="false">IF(J$6=1,Inputs!$B$38,0)+IF(J$7&gt;1,Inputs!$B$39*1/12,0)</f>
        <v>0</v>
      </c>
      <c r="K55" s="67" t="n">
        <f aca="false">IF(K$6=1,Inputs!$B$38,0)+IF(K$7&gt;1,Inputs!$B$39*1/12,0)</f>
        <v>0</v>
      </c>
      <c r="L55" s="67" t="n">
        <f aca="false">IF(L$6=1,Inputs!$B$38,0)+IF(L$7&gt;1,Inputs!$B$39*1/12,0)</f>
        <v>0</v>
      </c>
      <c r="M55" s="67" t="n">
        <f aca="false">IF(M$6=1,Inputs!$B$38,0)+IF(M$7&gt;1,Inputs!$B$39*1/12,0)</f>
        <v>0</v>
      </c>
      <c r="N55" s="67" t="n">
        <f aca="false">IF(N$6=1,Inputs!$B$38,0)+IF(N$7&gt;1,Inputs!$B$39*1/12,0)</f>
        <v>0</v>
      </c>
      <c r="O55" s="67" t="n">
        <f aca="false">IF(O$6=1,Inputs!$B$38,0)+IF(O$7&gt;1,Inputs!$B$39*1/12,0)</f>
        <v>1166.66666666667</v>
      </c>
      <c r="P55" s="67" t="n">
        <f aca="false">IF(P$6=1,Inputs!$B$38,0)+IF(P$7&gt;1,Inputs!$B$39*1/12,0)</f>
        <v>1166.66666666667</v>
      </c>
      <c r="Q55" s="67" t="n">
        <f aca="false">IF(Q$6=1,Inputs!$B$38,0)+IF(Q$7&gt;1,Inputs!$B$39*1/12,0)</f>
        <v>1166.66666666667</v>
      </c>
      <c r="R55" s="67" t="n">
        <f aca="false">IF(R$6=1,Inputs!$B$38,0)+IF(R$7&gt;1,Inputs!$B$39*1/12,0)</f>
        <v>1166.66666666667</v>
      </c>
      <c r="S55" s="67" t="n">
        <f aca="false">IF(S$6=1,Inputs!$B$38,0)+IF(S$7&gt;1,Inputs!$B$39*1/12,0)</f>
        <v>1166.66666666667</v>
      </c>
      <c r="T55" s="67" t="n">
        <f aca="false">IF(T$6=1,Inputs!$B$38,0)+IF(T$7&gt;1,Inputs!$B$39*1/12,0)</f>
        <v>1166.66666666667</v>
      </c>
      <c r="U55" s="67" t="n">
        <f aca="false">IF(U$6=1,Inputs!$B$38,0)+IF(U$7&gt;1,Inputs!$B$39*1/12,0)</f>
        <v>1166.66666666667</v>
      </c>
      <c r="V55" s="67" t="n">
        <f aca="false">IF(V$6=1,Inputs!$B$38,0)+IF(V$7&gt;1,Inputs!$B$39*1/12,0)</f>
        <v>1166.66666666667</v>
      </c>
      <c r="W55" s="67" t="n">
        <f aca="false">IF(W$6=1,Inputs!$B$38,0)+IF(W$7&gt;1,Inputs!$B$39*1/12,0)</f>
        <v>1166.66666666667</v>
      </c>
      <c r="X55" s="67" t="n">
        <f aca="false">IF(X$6=1,Inputs!$B$38,0)+IF(X$7&gt;1,Inputs!$B$39*1/12,0)</f>
        <v>1166.66666666667</v>
      </c>
      <c r="Y55" s="67" t="n">
        <f aca="false">IF(Y$6=1,Inputs!$B$38,0)+IF(Y$7&gt;1,Inputs!$B$39*1/12,0)</f>
        <v>1166.66666666667</v>
      </c>
      <c r="Z55" s="67" t="n">
        <f aca="false">IF(Z$6=1,Inputs!$B$38,0)+IF(Z$7&gt;1,Inputs!$B$39*1/12,0)</f>
        <v>1166.66666666667</v>
      </c>
      <c r="AA55" s="67" t="n">
        <f aca="false">IF(AA$6=1,Inputs!$B$38,0)+IF(AA$7&gt;1,Inputs!$B$39*1/12,0)</f>
        <v>1166.66666666667</v>
      </c>
      <c r="AB55" s="67" t="n">
        <f aca="false">IF(AB$6=1,Inputs!$B$38,0)+IF(AB$7&gt;1,Inputs!$B$39*1/12,0)</f>
        <v>1166.66666666667</v>
      </c>
      <c r="AC55" s="67" t="n">
        <f aca="false">IF(AC$6=1,Inputs!$B$38,0)+IF(AC$7&gt;1,Inputs!$B$39*1/12,0)</f>
        <v>1166.66666666667</v>
      </c>
      <c r="AD55" s="67" t="n">
        <f aca="false">IF(AD$6=1,Inputs!$B$38,0)+IF(AD$7&gt;1,Inputs!$B$39*1/12,0)</f>
        <v>1166.66666666667</v>
      </c>
      <c r="AE55" s="67" t="n">
        <f aca="false">IF(AE$6=1,Inputs!$B$38,0)+IF(AE$7&gt;1,Inputs!$B$39*1/12,0)</f>
        <v>1166.66666666667</v>
      </c>
      <c r="AF55" s="67" t="n">
        <f aca="false">IF(AF$6=1,Inputs!$B$38,0)+IF(AF$7&gt;1,Inputs!$B$39*1/12,0)</f>
        <v>1166.66666666667</v>
      </c>
      <c r="AG55" s="67" t="n">
        <f aca="false">IF(AG$6=1,Inputs!$B$38,0)+IF(AG$7&gt;1,Inputs!$B$39*1/12,0)</f>
        <v>1166.66666666667</v>
      </c>
      <c r="AH55" s="67" t="n">
        <f aca="false">IF(AH$6=1,Inputs!$B$38,0)+IF(AH$7&gt;1,Inputs!$B$39*1/12,0)</f>
        <v>1166.66666666667</v>
      </c>
      <c r="AI55" s="67" t="n">
        <f aca="false">IF(AI$6=1,Inputs!$B$38,0)+IF(AI$7&gt;1,Inputs!$B$39*1/12,0)</f>
        <v>1166.66666666667</v>
      </c>
      <c r="AJ55" s="67" t="n">
        <f aca="false">IF(AJ$6=1,Inputs!$B$38,0)+IF(AJ$7&gt;1,Inputs!$B$39*1/12,0)</f>
        <v>1166.66666666667</v>
      </c>
      <c r="AK55" s="67" t="n">
        <f aca="false">IF(AK$6=1,Inputs!$B$38,0)+IF(AK$7&gt;1,Inputs!$B$39*1/12,0)</f>
        <v>1166.66666666667</v>
      </c>
      <c r="AL55" s="67" t="n">
        <f aca="false">IF(AL$6=1,Inputs!$B$38,0)+IF(AL$7&gt;1,Inputs!$B$39*1/12,0)</f>
        <v>1166.66666666667</v>
      </c>
      <c r="AM55" s="67" t="n">
        <f aca="false">IF(AM$6=1,Inputs!$B$38,0)+IF(AM$7&gt;1,Inputs!$B$39*1/12,0)</f>
        <v>1166.66666666667</v>
      </c>
      <c r="AN55" s="67" t="n">
        <f aca="false">IF(AN$6=1,Inputs!$B$38,0)+IF(AN$7&gt;1,Inputs!$B$39*1/12,0)</f>
        <v>1166.66666666667</v>
      </c>
      <c r="AO55" s="67" t="n">
        <f aca="false">IF(AO$6=1,Inputs!$B$38,0)+IF(AO$7&gt;1,Inputs!$B$39*1/12,0)</f>
        <v>1166.66666666667</v>
      </c>
      <c r="AP55" s="67" t="n">
        <f aca="false">IF(AP$6=1,Inputs!$B$38,0)+IF(AP$7&gt;1,Inputs!$B$39*1/12,0)</f>
        <v>1166.66666666667</v>
      </c>
      <c r="AQ55" s="67" t="n">
        <f aca="false">IF(AQ$6=1,Inputs!$B$38,0)+IF(AQ$7&gt;1,Inputs!$B$39*1/12,0)</f>
        <v>1166.66666666667</v>
      </c>
      <c r="AR55" s="67" t="n">
        <f aca="false">IF(AR$6=1,Inputs!$B$38,0)+IF(AR$7&gt;1,Inputs!$B$39*1/12,0)</f>
        <v>1166.66666666667</v>
      </c>
      <c r="AS55" s="67" t="n">
        <f aca="false">IF(AS$6=1,Inputs!$B$38,0)+IF(AS$7&gt;1,Inputs!$B$39*1/12,0)</f>
        <v>1166.66666666667</v>
      </c>
      <c r="AT55" s="67" t="n">
        <f aca="false">IF(AT$6=1,Inputs!$B$38,0)+IF(AT$7&gt;1,Inputs!$B$39*1/12,0)</f>
        <v>1166.66666666667</v>
      </c>
      <c r="AU55" s="67" t="n">
        <f aca="false">IF(AU$6=1,Inputs!$B$38,0)+IF(AU$7&gt;1,Inputs!$B$39*1/12,0)</f>
        <v>1166.66666666667</v>
      </c>
      <c r="AV55" s="67" t="n">
        <f aca="false">IF(AV$6=1,Inputs!$B$38,0)+IF(AV$7&gt;1,Inputs!$B$39*1/12,0)</f>
        <v>1166.66666666667</v>
      </c>
      <c r="AW55" s="67" t="n">
        <f aca="false">IF(AW$6=1,Inputs!$B$38,0)+IF(AW$7&gt;1,Inputs!$B$39*1/12,0)</f>
        <v>1166.66666666667</v>
      </c>
      <c r="AX55" s="67" t="n">
        <f aca="false">IF(AX$6=1,Inputs!$B$38,0)+IF(AX$7&gt;1,Inputs!$B$39*1/12,0)</f>
        <v>1166.66666666667</v>
      </c>
      <c r="AY55" s="67" t="n">
        <f aca="false">IF(AY$6=1,Inputs!$B$38,0)+IF(AY$7&gt;1,Inputs!$B$39*1/12,0)</f>
        <v>1166.66666666667</v>
      </c>
      <c r="AZ55" s="67" t="n">
        <f aca="false">IF(AZ$6=1,Inputs!$B$38,0)+IF(AZ$7&gt;1,Inputs!$B$39*1/12,0)</f>
        <v>1166.66666666667</v>
      </c>
      <c r="BA55" s="67" t="n">
        <f aca="false">IF(BA$6=1,Inputs!$B$38,0)+IF(BA$7&gt;1,Inputs!$B$39*1/12,0)</f>
        <v>1166.66666666667</v>
      </c>
      <c r="BB55" s="67" t="n">
        <f aca="false">IF(BB$6=1,Inputs!$B$38,0)+IF(BB$7&gt;1,Inputs!$B$39*1/12,0)</f>
        <v>1166.66666666667</v>
      </c>
      <c r="BC55" s="67" t="n">
        <f aca="false">IF(BC$6=1,Inputs!$B$38,0)+IF(BC$7&gt;1,Inputs!$B$39*1/12,0)</f>
        <v>1166.66666666667</v>
      </c>
      <c r="BD55" s="67" t="n">
        <f aca="false">IF(BD$6=1,Inputs!$B$38,0)+IF(BD$7&gt;1,Inputs!$B$39*1/12,0)</f>
        <v>1166.66666666667</v>
      </c>
      <c r="BE55" s="67" t="n">
        <f aca="false">IF(BE$6=1,Inputs!$B$38,0)+IF(BE$7&gt;1,Inputs!$B$39*1/12,0)</f>
        <v>1166.66666666667</v>
      </c>
      <c r="BF55" s="67" t="n">
        <f aca="false">IF(BF$6=1,Inputs!$B$38,0)+IF(BF$7&gt;1,Inputs!$B$39*1/12,0)</f>
        <v>1166.66666666667</v>
      </c>
      <c r="BG55" s="67" t="n">
        <f aca="false">IF(BG$6=1,Inputs!$B$38,0)+IF(BG$7&gt;1,Inputs!$B$39*1/12,0)</f>
        <v>1166.66666666667</v>
      </c>
      <c r="BH55" s="67" t="n">
        <f aca="false">IF(BH$6=1,Inputs!$B$38,0)+IF(BH$7&gt;1,Inputs!$B$39*1/12,0)</f>
        <v>1166.66666666667</v>
      </c>
      <c r="BI55" s="67" t="n">
        <f aca="false">IF(BI$6=1,Inputs!$B$38,0)+IF(BI$7&gt;1,Inputs!$B$39*1/12,0)</f>
        <v>1166.66666666667</v>
      </c>
      <c r="BJ55" s="67" t="n">
        <f aca="false">IF(BJ$6=1,Inputs!$B$38,0)+IF(BJ$7&gt;1,Inputs!$B$39*1/12,0)</f>
        <v>1166.66666666667</v>
      </c>
    </row>
    <row r="56" customFormat="false" ht="15" hidden="false" customHeight="false" outlineLevel="0" collapsed="false">
      <c r="A56" s="6" t="s">
        <v>417</v>
      </c>
      <c r="C56" s="67" t="n">
        <f aca="false">C55</f>
        <v>90000</v>
      </c>
      <c r="D56" s="67" t="n">
        <f aca="false">C56+D55</f>
        <v>90000</v>
      </c>
      <c r="E56" s="67" t="n">
        <f aca="false">D56+E55</f>
        <v>90000</v>
      </c>
      <c r="F56" s="67" t="n">
        <f aca="false">E56+F55</f>
        <v>90000</v>
      </c>
      <c r="G56" s="67" t="n">
        <f aca="false">F56+G55</f>
        <v>90000</v>
      </c>
      <c r="H56" s="67" t="n">
        <f aca="false">G56+H55</f>
        <v>90000</v>
      </c>
      <c r="I56" s="67" t="n">
        <f aca="false">H56+I55</f>
        <v>90000</v>
      </c>
      <c r="J56" s="67" t="n">
        <f aca="false">I56+J55</f>
        <v>90000</v>
      </c>
      <c r="K56" s="67" t="n">
        <f aca="false">J56+K55</f>
        <v>90000</v>
      </c>
      <c r="L56" s="67" t="n">
        <f aca="false">K56+L55</f>
        <v>90000</v>
      </c>
      <c r="M56" s="67" t="n">
        <f aca="false">L56+M55</f>
        <v>90000</v>
      </c>
      <c r="N56" s="67" t="n">
        <f aca="false">M56+N55</f>
        <v>90000</v>
      </c>
      <c r="O56" s="67" t="n">
        <f aca="false">N56+O55</f>
        <v>91166.6666666667</v>
      </c>
      <c r="P56" s="67" t="n">
        <f aca="false">O56+P55</f>
        <v>92333.3333333333</v>
      </c>
      <c r="Q56" s="67" t="n">
        <f aca="false">P56+Q55</f>
        <v>93500</v>
      </c>
      <c r="R56" s="67" t="n">
        <f aca="false">Q56+R55</f>
        <v>94666.6666666667</v>
      </c>
      <c r="S56" s="67" t="n">
        <f aca="false">R56+S55</f>
        <v>95833.3333333334</v>
      </c>
      <c r="T56" s="67" t="n">
        <f aca="false">S56+T55</f>
        <v>97000</v>
      </c>
      <c r="U56" s="67" t="n">
        <f aca="false">T56+U55</f>
        <v>98166.6666666667</v>
      </c>
      <c r="V56" s="67" t="n">
        <f aca="false">U56+V55</f>
        <v>99333.3333333334</v>
      </c>
      <c r="W56" s="67" t="n">
        <f aca="false">V56+W55</f>
        <v>100500</v>
      </c>
      <c r="X56" s="67" t="n">
        <f aca="false">W56+X55</f>
        <v>101666.666666667</v>
      </c>
      <c r="Y56" s="67" t="n">
        <f aca="false">X56+Y55</f>
        <v>102833.333333333</v>
      </c>
      <c r="Z56" s="67" t="n">
        <f aca="false">Y56+Z55</f>
        <v>104000</v>
      </c>
      <c r="AA56" s="67" t="n">
        <f aca="false">Z56+AA55</f>
        <v>105166.666666667</v>
      </c>
      <c r="AB56" s="67" t="n">
        <f aca="false">AA56+AB55</f>
        <v>106333.333333333</v>
      </c>
      <c r="AC56" s="67" t="n">
        <f aca="false">AB56+AC55</f>
        <v>107500</v>
      </c>
      <c r="AD56" s="67" t="n">
        <f aca="false">AC56+AD55</f>
        <v>108666.666666667</v>
      </c>
      <c r="AE56" s="67" t="n">
        <f aca="false">AD56+AE55</f>
        <v>109833.333333333</v>
      </c>
      <c r="AF56" s="67" t="n">
        <f aca="false">AE56+AF55</f>
        <v>111000</v>
      </c>
      <c r="AG56" s="67" t="n">
        <f aca="false">AF56+AG55</f>
        <v>112166.666666667</v>
      </c>
      <c r="AH56" s="67" t="n">
        <f aca="false">AG56+AH55</f>
        <v>113333.333333333</v>
      </c>
      <c r="AI56" s="67" t="n">
        <f aca="false">AH56+AI55</f>
        <v>114500</v>
      </c>
      <c r="AJ56" s="67" t="n">
        <f aca="false">AI56+AJ55</f>
        <v>115666.666666667</v>
      </c>
      <c r="AK56" s="67" t="n">
        <f aca="false">AJ56+AK55</f>
        <v>116833.333333333</v>
      </c>
      <c r="AL56" s="67" t="n">
        <f aca="false">AK56+AL55</f>
        <v>118000</v>
      </c>
      <c r="AM56" s="67" t="n">
        <f aca="false">AL56+AM55</f>
        <v>119166.666666667</v>
      </c>
      <c r="AN56" s="67" t="n">
        <f aca="false">AM56+AN55</f>
        <v>120333.333333333</v>
      </c>
      <c r="AO56" s="67" t="n">
        <f aca="false">AN56+AO55</f>
        <v>121500</v>
      </c>
      <c r="AP56" s="67" t="n">
        <f aca="false">AO56+AP55</f>
        <v>122666.666666667</v>
      </c>
      <c r="AQ56" s="67" t="n">
        <f aca="false">AP56+AQ55</f>
        <v>123833.333333333</v>
      </c>
      <c r="AR56" s="67" t="n">
        <f aca="false">AQ56+AR55</f>
        <v>125000</v>
      </c>
      <c r="AS56" s="67" t="n">
        <f aca="false">AR56+AS55</f>
        <v>126166.666666667</v>
      </c>
      <c r="AT56" s="67" t="n">
        <f aca="false">AS56+AT55</f>
        <v>127333.333333333</v>
      </c>
      <c r="AU56" s="67" t="n">
        <f aca="false">AT56+AU55</f>
        <v>128500</v>
      </c>
      <c r="AV56" s="67" t="n">
        <f aca="false">AU56+AV55</f>
        <v>129666.666666667</v>
      </c>
      <c r="AW56" s="67" t="n">
        <f aca="false">AV56+AW55</f>
        <v>130833.333333334</v>
      </c>
      <c r="AX56" s="67" t="n">
        <f aca="false">AW56+AX55</f>
        <v>132000</v>
      </c>
      <c r="AY56" s="67" t="n">
        <f aca="false">AX56+AY55</f>
        <v>133166.666666667</v>
      </c>
      <c r="AZ56" s="67" t="n">
        <f aca="false">AY56+AZ55</f>
        <v>134333.333333334</v>
      </c>
      <c r="BA56" s="67" t="n">
        <f aca="false">AZ56+BA55</f>
        <v>135500</v>
      </c>
      <c r="BB56" s="67" t="n">
        <f aca="false">BA56+BB55</f>
        <v>136666.666666667</v>
      </c>
      <c r="BC56" s="67" t="n">
        <f aca="false">BB56+BC55</f>
        <v>137833.333333333</v>
      </c>
      <c r="BD56" s="67" t="n">
        <f aca="false">BC56+BD55</f>
        <v>139000</v>
      </c>
      <c r="BE56" s="67" t="n">
        <f aca="false">BD56+BE55</f>
        <v>140166.666666667</v>
      </c>
      <c r="BF56" s="67" t="n">
        <f aca="false">BE56+BF55</f>
        <v>141333.333333333</v>
      </c>
      <c r="BG56" s="67" t="n">
        <f aca="false">BF56+BG55</f>
        <v>142500</v>
      </c>
      <c r="BH56" s="67" t="n">
        <f aca="false">BG56+BH55</f>
        <v>143666.666666667</v>
      </c>
      <c r="BI56" s="67" t="n">
        <f aca="false">BH56+BI55</f>
        <v>144833.333333333</v>
      </c>
      <c r="BJ56" s="67" t="n">
        <f aca="false">BI56+BJ55</f>
        <v>146000</v>
      </c>
    </row>
    <row r="57" customFormat="false" ht="15" hidden="false" customHeight="false" outlineLevel="0" collapsed="false">
      <c r="A57" s="6" t="s">
        <v>78</v>
      </c>
      <c r="C57" s="67" t="n">
        <f aca="false">-MIN(C56/MAX(1,Inputs!$B$69*12),C55)</f>
        <v>-1071.42857142857</v>
      </c>
      <c r="D57" s="67" t="n">
        <f aca="false">-MIN(D56/MAX(1,Inputs!$B$69*12),C59+D55)</f>
        <v>-1071.42857142857</v>
      </c>
      <c r="E57" s="67" t="n">
        <f aca="false">-MIN(E56/MAX(1,Inputs!$B$69*12),D59+E55)</f>
        <v>-1071.42857142857</v>
      </c>
      <c r="F57" s="67" t="n">
        <f aca="false">-MIN(F56/MAX(1,Inputs!$B$69*12),E59+F55)</f>
        <v>-1071.42857142857</v>
      </c>
      <c r="G57" s="67" t="n">
        <f aca="false">-MIN(G56/MAX(1,Inputs!$B$69*12),F59+G55)</f>
        <v>-1071.42857142857</v>
      </c>
      <c r="H57" s="67" t="n">
        <f aca="false">-MIN(H56/MAX(1,Inputs!$B$69*12),G59+H55)</f>
        <v>-1071.42857142857</v>
      </c>
      <c r="I57" s="67" t="n">
        <f aca="false">-MIN(I56/MAX(1,Inputs!$B$69*12),H59+I55)</f>
        <v>-1071.42857142857</v>
      </c>
      <c r="J57" s="67" t="n">
        <f aca="false">-MIN(J56/MAX(1,Inputs!$B$69*12),I59+J55)</f>
        <v>-1071.42857142857</v>
      </c>
      <c r="K57" s="67" t="n">
        <f aca="false">-MIN(K56/MAX(1,Inputs!$B$69*12),J59+K55)</f>
        <v>-1071.42857142857</v>
      </c>
      <c r="L57" s="67" t="n">
        <f aca="false">-MIN(L56/MAX(1,Inputs!$B$69*12),K59+L55)</f>
        <v>-1071.42857142857</v>
      </c>
      <c r="M57" s="67" t="n">
        <f aca="false">-MIN(M56/MAX(1,Inputs!$B$69*12),L59+M55)</f>
        <v>-1071.42857142857</v>
      </c>
      <c r="N57" s="67" t="n">
        <f aca="false">-MIN(N56/MAX(1,Inputs!$B$69*12),M59+N55)</f>
        <v>-1071.42857142857</v>
      </c>
      <c r="O57" s="67" t="n">
        <f aca="false">-MIN(O56/MAX(1,Inputs!$B$69*12),N59+O55)</f>
        <v>-1085.31746031746</v>
      </c>
      <c r="P57" s="67" t="n">
        <f aca="false">-MIN(P56/MAX(1,Inputs!$B$69*12),O59+P55)</f>
        <v>-1099.20634920635</v>
      </c>
      <c r="Q57" s="67" t="n">
        <f aca="false">-MIN(Q56/MAX(1,Inputs!$B$69*12),P59+Q55)</f>
        <v>-1113.09523809524</v>
      </c>
      <c r="R57" s="67" t="n">
        <f aca="false">-MIN(R56/MAX(1,Inputs!$B$69*12),Q59+R55)</f>
        <v>-1126.98412698413</v>
      </c>
      <c r="S57" s="67" t="n">
        <f aca="false">-MIN(S56/MAX(1,Inputs!$B$69*12),R59+S55)</f>
        <v>-1140.87301587302</v>
      </c>
      <c r="T57" s="67" t="n">
        <f aca="false">-MIN(T56/MAX(1,Inputs!$B$69*12),S59+T55)</f>
        <v>-1154.76190476191</v>
      </c>
      <c r="U57" s="67" t="n">
        <f aca="false">-MIN(U56/MAX(1,Inputs!$B$69*12),T59+U55)</f>
        <v>-1168.65079365079</v>
      </c>
      <c r="V57" s="67" t="n">
        <f aca="false">-MIN(V56/MAX(1,Inputs!$B$69*12),U59+V55)</f>
        <v>-1182.53968253968</v>
      </c>
      <c r="W57" s="67" t="n">
        <f aca="false">-MIN(W56/MAX(1,Inputs!$B$69*12),V59+W55)</f>
        <v>-1196.42857142857</v>
      </c>
      <c r="X57" s="67" t="n">
        <f aca="false">-MIN(X56/MAX(1,Inputs!$B$69*12),W59+X55)</f>
        <v>-1210.31746031746</v>
      </c>
      <c r="Y57" s="67" t="n">
        <f aca="false">-MIN(Y56/MAX(1,Inputs!$B$69*12),X59+Y55)</f>
        <v>-1224.20634920635</v>
      </c>
      <c r="Z57" s="67" t="n">
        <f aca="false">-MIN(Z56/MAX(1,Inputs!$B$69*12),Y59+Z55)</f>
        <v>-1238.09523809524</v>
      </c>
      <c r="AA57" s="67" t="n">
        <f aca="false">-MIN(AA56/MAX(1,Inputs!$B$69*12),Z59+AA55)</f>
        <v>-1251.98412698413</v>
      </c>
      <c r="AB57" s="67" t="n">
        <f aca="false">-MIN(AB56/MAX(1,Inputs!$B$69*12),AA59+AB55)</f>
        <v>-1265.87301587302</v>
      </c>
      <c r="AC57" s="67" t="n">
        <f aca="false">-MIN(AC56/MAX(1,Inputs!$B$69*12),AB59+AC55)</f>
        <v>-1279.76190476191</v>
      </c>
      <c r="AD57" s="67" t="n">
        <f aca="false">-MIN(AD56/MAX(1,Inputs!$B$69*12),AC59+AD55)</f>
        <v>-1293.65079365079</v>
      </c>
      <c r="AE57" s="67" t="n">
        <f aca="false">-MIN(AE56/MAX(1,Inputs!$B$69*12),AD59+AE55)</f>
        <v>-1307.53968253968</v>
      </c>
      <c r="AF57" s="67" t="n">
        <f aca="false">-MIN(AF56/MAX(1,Inputs!$B$69*12),AE59+AF55)</f>
        <v>-1321.42857142857</v>
      </c>
      <c r="AG57" s="67" t="n">
        <f aca="false">-MIN(AG56/MAX(1,Inputs!$B$69*12),AF59+AG55)</f>
        <v>-1335.31746031746</v>
      </c>
      <c r="AH57" s="67" t="n">
        <f aca="false">-MIN(AH56/MAX(1,Inputs!$B$69*12),AG59+AH55)</f>
        <v>-1349.20634920635</v>
      </c>
      <c r="AI57" s="67" t="n">
        <f aca="false">-MIN(AI56/MAX(1,Inputs!$B$69*12),AH59+AI55)</f>
        <v>-1363.09523809524</v>
      </c>
      <c r="AJ57" s="67" t="n">
        <f aca="false">-MIN(AJ56/MAX(1,Inputs!$B$69*12),AI59+AJ55)</f>
        <v>-1376.98412698413</v>
      </c>
      <c r="AK57" s="67" t="n">
        <f aca="false">-MIN(AK56/MAX(1,Inputs!$B$69*12),AJ59+AK55)</f>
        <v>-1390.87301587302</v>
      </c>
      <c r="AL57" s="67" t="n">
        <f aca="false">-MIN(AL56/MAX(1,Inputs!$B$69*12),AK59+AL55)</f>
        <v>-1404.76190476191</v>
      </c>
      <c r="AM57" s="67" t="n">
        <f aca="false">-MIN(AM56/MAX(1,Inputs!$B$69*12),AL59+AM55)</f>
        <v>-1418.6507936508</v>
      </c>
      <c r="AN57" s="67" t="n">
        <f aca="false">-MIN(AN56/MAX(1,Inputs!$B$69*12),AM59+AN55)</f>
        <v>-1432.53968253968</v>
      </c>
      <c r="AO57" s="67" t="n">
        <f aca="false">-MIN(AO56/MAX(1,Inputs!$B$69*12),AN59+AO55)</f>
        <v>-1446.42857142857</v>
      </c>
      <c r="AP57" s="67" t="n">
        <f aca="false">-MIN(AP56/MAX(1,Inputs!$B$69*12),AO59+AP55)</f>
        <v>-1460.31746031746</v>
      </c>
      <c r="AQ57" s="67" t="n">
        <f aca="false">-MIN(AQ56/MAX(1,Inputs!$B$69*12),AP59+AQ55)</f>
        <v>-1474.20634920635</v>
      </c>
      <c r="AR57" s="67" t="n">
        <f aca="false">-MIN(AR56/MAX(1,Inputs!$B$69*12),AQ59+AR55)</f>
        <v>-1488.09523809524</v>
      </c>
      <c r="AS57" s="67" t="n">
        <f aca="false">-MIN(AS56/MAX(1,Inputs!$B$69*12),AR59+AS55)</f>
        <v>-1501.98412698413</v>
      </c>
      <c r="AT57" s="67" t="n">
        <f aca="false">-MIN(AT56/MAX(1,Inputs!$B$69*12),AS59+AT55)</f>
        <v>-1515.87301587302</v>
      </c>
      <c r="AU57" s="67" t="n">
        <f aca="false">-MIN(AU56/MAX(1,Inputs!$B$69*12),AT59+AU55)</f>
        <v>-1529.76190476191</v>
      </c>
      <c r="AV57" s="67" t="n">
        <f aca="false">-MIN(AV56/MAX(1,Inputs!$B$69*12),AU59+AV55)</f>
        <v>-1543.6507936508</v>
      </c>
      <c r="AW57" s="67" t="n">
        <f aca="false">-MIN(AW56/MAX(1,Inputs!$B$69*12),AV59+AW55)</f>
        <v>-1557.53968253968</v>
      </c>
      <c r="AX57" s="67" t="n">
        <f aca="false">-MIN(AX56/MAX(1,Inputs!$B$69*12),AW59+AX55)</f>
        <v>-1571.42857142857</v>
      </c>
      <c r="AY57" s="67" t="n">
        <f aca="false">-MIN(AY56/MAX(1,Inputs!$B$69*12),AX59+AY55)</f>
        <v>-1585.31746031746</v>
      </c>
      <c r="AZ57" s="67" t="n">
        <f aca="false">-MIN(AZ56/MAX(1,Inputs!$B$69*12),AY59+AZ55)</f>
        <v>-1599.20634920635</v>
      </c>
      <c r="BA57" s="67" t="n">
        <f aca="false">-MIN(BA56/MAX(1,Inputs!$B$69*12),AZ59+BA55)</f>
        <v>-1613.09523809524</v>
      </c>
      <c r="BB57" s="67" t="n">
        <f aca="false">-MIN(BB56/MAX(1,Inputs!$B$69*12),BA59+BB55)</f>
        <v>-1626.98412698413</v>
      </c>
      <c r="BC57" s="67" t="n">
        <f aca="false">-MIN(BC56/MAX(1,Inputs!$B$69*12),BB59+BC55)</f>
        <v>-1640.87301587302</v>
      </c>
      <c r="BD57" s="67" t="n">
        <f aca="false">-MIN(BD56/MAX(1,Inputs!$B$69*12),BC59+BD55)</f>
        <v>-1654.76190476191</v>
      </c>
      <c r="BE57" s="67" t="n">
        <f aca="false">-MIN(BE56/MAX(1,Inputs!$B$69*12),BD59+BE55)</f>
        <v>-1668.65079365079</v>
      </c>
      <c r="BF57" s="67" t="n">
        <f aca="false">-MIN(BF56/MAX(1,Inputs!$B$69*12),BE59+BF55)</f>
        <v>-1682.53968253968</v>
      </c>
      <c r="BG57" s="67" t="n">
        <f aca="false">-MIN(BG56/MAX(1,Inputs!$B$69*12),BF59+BG55)</f>
        <v>-1696.42857142857</v>
      </c>
      <c r="BH57" s="67" t="n">
        <f aca="false">-MIN(BH56/MAX(1,Inputs!$B$69*12),BG59+BH55)</f>
        <v>-1710.31746031746</v>
      </c>
      <c r="BI57" s="67" t="n">
        <f aca="false">-MIN(BI56/MAX(1,Inputs!$B$69*12),BH59+BI55)</f>
        <v>-1724.20634920635</v>
      </c>
      <c r="BJ57" s="67" t="n">
        <f aca="false">-MIN(BJ56/MAX(1,Inputs!$B$69*12),BI59+BJ55)</f>
        <v>-1738.09523809524</v>
      </c>
    </row>
    <row r="58" customFormat="false" ht="15" hidden="false" customHeight="false" outlineLevel="0" collapsed="false">
      <c r="A58" s="6" t="s">
        <v>418</v>
      </c>
      <c r="C58" s="67" t="n">
        <f aca="false">C57</f>
        <v>-1071.42857142857</v>
      </c>
      <c r="D58" s="67" t="n">
        <f aca="false">C58+D57</f>
        <v>-2142.85714285714</v>
      </c>
      <c r="E58" s="67" t="n">
        <f aca="false">D58+E57</f>
        <v>-3214.28571428571</v>
      </c>
      <c r="F58" s="67" t="n">
        <f aca="false">E58+F57</f>
        <v>-4285.71428571429</v>
      </c>
      <c r="G58" s="67" t="n">
        <f aca="false">F58+G57</f>
        <v>-5357.14285714286</v>
      </c>
      <c r="H58" s="67" t="n">
        <f aca="false">G58+H57</f>
        <v>-6428.57142857143</v>
      </c>
      <c r="I58" s="67" t="n">
        <f aca="false">H58+I57</f>
        <v>-7500</v>
      </c>
      <c r="J58" s="67" t="n">
        <f aca="false">I58+J57</f>
        <v>-8571.42857142857</v>
      </c>
      <c r="K58" s="67" t="n">
        <f aca="false">J58+K57</f>
        <v>-9642.85714285714</v>
      </c>
      <c r="L58" s="67" t="n">
        <f aca="false">K58+L57</f>
        <v>-10714.2857142857</v>
      </c>
      <c r="M58" s="67" t="n">
        <f aca="false">L58+M57</f>
        <v>-11785.7142857143</v>
      </c>
      <c r="N58" s="67" t="n">
        <f aca="false">M58+N57</f>
        <v>-12857.1428571429</v>
      </c>
      <c r="O58" s="67" t="n">
        <f aca="false">N58+O57</f>
        <v>-13942.4603174603</v>
      </c>
      <c r="P58" s="67" t="n">
        <f aca="false">O58+P57</f>
        <v>-15041.6666666667</v>
      </c>
      <c r="Q58" s="67" t="n">
        <f aca="false">P58+Q57</f>
        <v>-16154.7619047619</v>
      </c>
      <c r="R58" s="67" t="n">
        <f aca="false">Q58+R57</f>
        <v>-17281.746031746</v>
      </c>
      <c r="S58" s="67" t="n">
        <f aca="false">R58+S57</f>
        <v>-18422.619047619</v>
      </c>
      <c r="T58" s="67" t="n">
        <f aca="false">S58+T57</f>
        <v>-19577.380952381</v>
      </c>
      <c r="U58" s="67" t="n">
        <f aca="false">T58+U57</f>
        <v>-20746.0317460317</v>
      </c>
      <c r="V58" s="67" t="n">
        <f aca="false">U58+V57</f>
        <v>-21928.5714285714</v>
      </c>
      <c r="W58" s="67" t="n">
        <f aca="false">V58+W57</f>
        <v>-23125</v>
      </c>
      <c r="X58" s="67" t="n">
        <f aca="false">W58+X57</f>
        <v>-24335.3174603175</v>
      </c>
      <c r="Y58" s="67" t="n">
        <f aca="false">X58+Y57</f>
        <v>-25559.5238095238</v>
      </c>
      <c r="Z58" s="67" t="n">
        <f aca="false">Y58+Z57</f>
        <v>-26797.6190476191</v>
      </c>
      <c r="AA58" s="67" t="n">
        <f aca="false">Z58+AA57</f>
        <v>-28049.6031746032</v>
      </c>
      <c r="AB58" s="67" t="n">
        <f aca="false">AA58+AB57</f>
        <v>-29315.4761904762</v>
      </c>
      <c r="AC58" s="67" t="n">
        <f aca="false">AB58+AC57</f>
        <v>-30595.2380952381</v>
      </c>
      <c r="AD58" s="67" t="n">
        <f aca="false">AC58+AD57</f>
        <v>-31888.8888888889</v>
      </c>
      <c r="AE58" s="67" t="n">
        <f aca="false">AD58+AE57</f>
        <v>-33196.4285714286</v>
      </c>
      <c r="AF58" s="67" t="n">
        <f aca="false">AE58+AF57</f>
        <v>-34517.8571428572</v>
      </c>
      <c r="AG58" s="67" t="n">
        <f aca="false">AF58+AG57</f>
        <v>-35853.1746031746</v>
      </c>
      <c r="AH58" s="67" t="n">
        <f aca="false">AG58+AH57</f>
        <v>-37202.380952381</v>
      </c>
      <c r="AI58" s="67" t="n">
        <f aca="false">AH58+AI57</f>
        <v>-38565.4761904762</v>
      </c>
      <c r="AJ58" s="67" t="n">
        <f aca="false">AI58+AJ57</f>
        <v>-39942.4603174603</v>
      </c>
      <c r="AK58" s="67" t="n">
        <f aca="false">AJ58+AK57</f>
        <v>-41333.3333333334</v>
      </c>
      <c r="AL58" s="67" t="n">
        <f aca="false">AK58+AL57</f>
        <v>-42738.0952380953</v>
      </c>
      <c r="AM58" s="67" t="n">
        <f aca="false">AL58+AM57</f>
        <v>-44156.7460317461</v>
      </c>
      <c r="AN58" s="67" t="n">
        <f aca="false">AM58+AN57</f>
        <v>-45589.2857142857</v>
      </c>
      <c r="AO58" s="67" t="n">
        <f aca="false">AN58+AO57</f>
        <v>-47035.7142857143</v>
      </c>
      <c r="AP58" s="67" t="n">
        <f aca="false">AO58+AP57</f>
        <v>-48496.0317460318</v>
      </c>
      <c r="AQ58" s="67" t="n">
        <f aca="false">AP58+AQ57</f>
        <v>-49970.2380952381</v>
      </c>
      <c r="AR58" s="67" t="n">
        <f aca="false">AQ58+AR57</f>
        <v>-51458.3333333334</v>
      </c>
      <c r="AS58" s="67" t="n">
        <f aca="false">AR58+AS57</f>
        <v>-52960.3174603175</v>
      </c>
      <c r="AT58" s="67" t="n">
        <f aca="false">AS58+AT57</f>
        <v>-54476.1904761905</v>
      </c>
      <c r="AU58" s="67" t="n">
        <f aca="false">AT58+AU57</f>
        <v>-56005.9523809524</v>
      </c>
      <c r="AV58" s="67" t="n">
        <f aca="false">AU58+AV57</f>
        <v>-57549.6031746032</v>
      </c>
      <c r="AW58" s="67" t="n">
        <f aca="false">AV58+AW57</f>
        <v>-59107.1428571429</v>
      </c>
      <c r="AX58" s="67" t="n">
        <f aca="false">AW58+AX57</f>
        <v>-60678.5714285715</v>
      </c>
      <c r="AY58" s="67" t="n">
        <f aca="false">AX58+AY57</f>
        <v>-62263.8888888889</v>
      </c>
      <c r="AZ58" s="67" t="n">
        <f aca="false">AY58+AZ57</f>
        <v>-63863.0952380953</v>
      </c>
      <c r="BA58" s="67" t="n">
        <f aca="false">AZ58+BA57</f>
        <v>-65476.1904761905</v>
      </c>
      <c r="BB58" s="67" t="n">
        <f aca="false">BA58+BB57</f>
        <v>-67103.1746031746</v>
      </c>
      <c r="BC58" s="67" t="n">
        <f aca="false">BB58+BC57</f>
        <v>-68744.0476190477</v>
      </c>
      <c r="BD58" s="67" t="n">
        <f aca="false">BC58+BD57</f>
        <v>-70398.8095238096</v>
      </c>
      <c r="BE58" s="67" t="n">
        <f aca="false">BD58+BE57</f>
        <v>-72067.4603174604</v>
      </c>
      <c r="BF58" s="67" t="n">
        <f aca="false">BE58+BF57</f>
        <v>-73750.0000000001</v>
      </c>
      <c r="BG58" s="67" t="n">
        <f aca="false">BF58+BG57</f>
        <v>-75446.4285714286</v>
      </c>
      <c r="BH58" s="67" t="n">
        <f aca="false">BG58+BH57</f>
        <v>-77156.7460317461</v>
      </c>
      <c r="BI58" s="67" t="n">
        <f aca="false">BH58+BI57</f>
        <v>-78880.9523809524</v>
      </c>
      <c r="BJ58" s="67" t="n">
        <f aca="false">BI58+BJ57</f>
        <v>-80619.0476190477</v>
      </c>
    </row>
    <row r="59" customFormat="false" ht="15" hidden="false" customHeight="false" outlineLevel="0" collapsed="false">
      <c r="A59" s="4" t="s">
        <v>92</v>
      </c>
      <c r="C59" s="73" t="n">
        <f aca="false">C56+C58</f>
        <v>88928.5714285714</v>
      </c>
      <c r="D59" s="73" t="n">
        <f aca="false">D56+D58</f>
        <v>87857.1428571429</v>
      </c>
      <c r="E59" s="73" t="n">
        <f aca="false">E56+E58</f>
        <v>86785.7142857143</v>
      </c>
      <c r="F59" s="73" t="n">
        <f aca="false">F56+F58</f>
        <v>85714.2857142857</v>
      </c>
      <c r="G59" s="73" t="n">
        <f aca="false">G56+G58</f>
        <v>84642.8571428571</v>
      </c>
      <c r="H59" s="73" t="n">
        <f aca="false">H56+H58</f>
        <v>83571.4285714286</v>
      </c>
      <c r="I59" s="73" t="n">
        <f aca="false">I56+I58</f>
        <v>82500</v>
      </c>
      <c r="J59" s="73" t="n">
        <f aca="false">J56+J58</f>
        <v>81428.5714285714</v>
      </c>
      <c r="K59" s="73" t="n">
        <f aca="false">K56+K58</f>
        <v>80357.1428571429</v>
      </c>
      <c r="L59" s="73" t="n">
        <f aca="false">L56+L58</f>
        <v>79285.7142857143</v>
      </c>
      <c r="M59" s="73" t="n">
        <f aca="false">M56+M58</f>
        <v>78214.2857142857</v>
      </c>
      <c r="N59" s="73" t="n">
        <f aca="false">N56+N58</f>
        <v>77142.8571428571</v>
      </c>
      <c r="O59" s="73" t="n">
        <f aca="false">O56+O58</f>
        <v>77224.2063492064</v>
      </c>
      <c r="P59" s="73" t="n">
        <f aca="false">P56+P58</f>
        <v>77291.6666666667</v>
      </c>
      <c r="Q59" s="73" t="n">
        <f aca="false">Q56+Q58</f>
        <v>77345.2380952381</v>
      </c>
      <c r="R59" s="73" t="n">
        <f aca="false">R56+R58</f>
        <v>77384.9206349207</v>
      </c>
      <c r="S59" s="73" t="n">
        <f aca="false">S56+S58</f>
        <v>77410.7142857143</v>
      </c>
      <c r="T59" s="73" t="n">
        <f aca="false">T56+T58</f>
        <v>77422.6190476191</v>
      </c>
      <c r="U59" s="73" t="n">
        <f aca="false">U56+U58</f>
        <v>77420.634920635</v>
      </c>
      <c r="V59" s="73" t="n">
        <f aca="false">V56+V58</f>
        <v>77404.761904762</v>
      </c>
      <c r="W59" s="73" t="n">
        <f aca="false">W56+W58</f>
        <v>77375</v>
      </c>
      <c r="X59" s="73" t="n">
        <f aca="false">X56+X58</f>
        <v>77331.3492063493</v>
      </c>
      <c r="Y59" s="73" t="n">
        <f aca="false">Y56+Y58</f>
        <v>77273.8095238096</v>
      </c>
      <c r="Z59" s="73" t="n">
        <f aca="false">Z56+Z58</f>
        <v>77202.380952381</v>
      </c>
      <c r="AA59" s="73" t="n">
        <f aca="false">AA56+AA58</f>
        <v>77117.0634920636</v>
      </c>
      <c r="AB59" s="73" t="n">
        <f aca="false">AB56+AB58</f>
        <v>77017.8571428572</v>
      </c>
      <c r="AC59" s="73" t="n">
        <f aca="false">AC56+AC58</f>
        <v>76904.761904762</v>
      </c>
      <c r="AD59" s="73" t="n">
        <f aca="false">AD56+AD58</f>
        <v>76777.7777777779</v>
      </c>
      <c r="AE59" s="73" t="n">
        <f aca="false">AE56+AE58</f>
        <v>76636.9047619048</v>
      </c>
      <c r="AF59" s="73" t="n">
        <f aca="false">AF56+AF58</f>
        <v>76482.1428571429</v>
      </c>
      <c r="AG59" s="73" t="n">
        <f aca="false">AG56+AG58</f>
        <v>76313.4920634921</v>
      </c>
      <c r="AH59" s="73" t="n">
        <f aca="false">AH56+AH58</f>
        <v>76130.9523809525</v>
      </c>
      <c r="AI59" s="73" t="n">
        <f aca="false">AI56+AI58</f>
        <v>75934.5238095239</v>
      </c>
      <c r="AJ59" s="73" t="n">
        <f aca="false">AJ56+AJ58</f>
        <v>75724.2063492065</v>
      </c>
      <c r="AK59" s="73" t="n">
        <f aca="false">AK56+AK58</f>
        <v>75500.0000000001</v>
      </c>
      <c r="AL59" s="73" t="n">
        <f aca="false">AL56+AL58</f>
        <v>75261.9047619049</v>
      </c>
      <c r="AM59" s="73" t="n">
        <f aca="false">AM56+AM58</f>
        <v>75009.9206349207</v>
      </c>
      <c r="AN59" s="73" t="n">
        <f aca="false">AN56+AN58</f>
        <v>74744.0476190477</v>
      </c>
      <c r="AO59" s="73" t="n">
        <f aca="false">AO56+AO58</f>
        <v>74464.2857142858</v>
      </c>
      <c r="AP59" s="73" t="n">
        <f aca="false">AP56+AP58</f>
        <v>74170.634920635</v>
      </c>
      <c r="AQ59" s="73" t="n">
        <f aca="false">AQ56+AQ58</f>
        <v>73863.0952380954</v>
      </c>
      <c r="AR59" s="73" t="n">
        <f aca="false">AR56+AR58</f>
        <v>73541.6666666668</v>
      </c>
      <c r="AS59" s="73" t="n">
        <f aca="false">AS56+AS58</f>
        <v>73206.3492063493</v>
      </c>
      <c r="AT59" s="73" t="n">
        <f aca="false">AT56+AT58</f>
        <v>72857.142857143</v>
      </c>
      <c r="AU59" s="73" t="n">
        <f aca="false">AU56+AU58</f>
        <v>72494.0476190478</v>
      </c>
      <c r="AV59" s="73" t="n">
        <f aca="false">AV56+AV58</f>
        <v>72117.0634920636</v>
      </c>
      <c r="AW59" s="73" t="n">
        <f aca="false">AW56+AW58</f>
        <v>71726.1904761906</v>
      </c>
      <c r="AX59" s="73" t="n">
        <f aca="false">AX56+AX58</f>
        <v>71321.4285714287</v>
      </c>
      <c r="AY59" s="73" t="n">
        <f aca="false">AY56+AY58</f>
        <v>70902.7777777779</v>
      </c>
      <c r="AZ59" s="73" t="n">
        <f aca="false">AZ56+AZ58</f>
        <v>70470.2380952382</v>
      </c>
      <c r="BA59" s="73" t="n">
        <f aca="false">BA56+BA58</f>
        <v>70023.8095238096</v>
      </c>
      <c r="BB59" s="73" t="n">
        <f aca="false">BB56+BB58</f>
        <v>69563.4920634922</v>
      </c>
      <c r="BC59" s="73" t="n">
        <f aca="false">BC56+BC58</f>
        <v>69089.2857142858</v>
      </c>
      <c r="BD59" s="73" t="n">
        <f aca="false">BD56+BD58</f>
        <v>68601.1904761906</v>
      </c>
      <c r="BE59" s="73" t="n">
        <f aca="false">BE56+BE58</f>
        <v>68099.2063492064</v>
      </c>
      <c r="BF59" s="73" t="n">
        <f aca="false">BF56+BF58</f>
        <v>67583.3333333334</v>
      </c>
      <c r="BG59" s="73" t="n">
        <f aca="false">BG56+BG58</f>
        <v>67053.5714285715</v>
      </c>
      <c r="BH59" s="73" t="n">
        <f aca="false">BH56+BH58</f>
        <v>66509.9206349207</v>
      </c>
      <c r="BI59" s="73" t="n">
        <f aca="false">BI56+BI58</f>
        <v>65952.380952381</v>
      </c>
      <c r="BJ59" s="73" t="n">
        <f aca="false">BJ56+BJ58</f>
        <v>65380.9523809524</v>
      </c>
    </row>
    <row r="61" customFormat="false" ht="15.75" hidden="false" customHeight="true" outlineLevel="0" collapsed="false">
      <c r="A61" s="7" t="s">
        <v>419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customFormat="false" ht="15" hidden="false" customHeight="false" outlineLevel="0" collapsed="false">
      <c r="A62" s="6" t="s">
        <v>420</v>
      </c>
      <c r="C62" s="67" t="n">
        <f aca="false">0</f>
        <v>0</v>
      </c>
      <c r="D62" s="67" t="n">
        <f aca="false">C65</f>
        <v>80000</v>
      </c>
      <c r="E62" s="67" t="n">
        <f aca="false">D65</f>
        <v>78666.6666666667</v>
      </c>
      <c r="F62" s="67" t="n">
        <f aca="false">E65</f>
        <v>77333.3333333333</v>
      </c>
      <c r="G62" s="67" t="n">
        <f aca="false">F65</f>
        <v>76000</v>
      </c>
      <c r="H62" s="67" t="n">
        <f aca="false">G65</f>
        <v>74666.6666666667</v>
      </c>
      <c r="I62" s="67" t="n">
        <f aca="false">H65</f>
        <v>73333.3333333334</v>
      </c>
      <c r="J62" s="67" t="n">
        <f aca="false">I65</f>
        <v>72000</v>
      </c>
      <c r="K62" s="67" t="n">
        <f aca="false">J65</f>
        <v>70666.6666666667</v>
      </c>
      <c r="L62" s="67" t="n">
        <f aca="false">K65</f>
        <v>69333.3333333334</v>
      </c>
      <c r="M62" s="67" t="n">
        <f aca="false">L65</f>
        <v>68000</v>
      </c>
      <c r="N62" s="67" t="n">
        <f aca="false">M65</f>
        <v>66666.6666666667</v>
      </c>
      <c r="O62" s="67" t="n">
        <f aca="false">N65</f>
        <v>65333.3333333334</v>
      </c>
      <c r="P62" s="67" t="n">
        <f aca="false">O65</f>
        <v>64000</v>
      </c>
      <c r="Q62" s="67" t="n">
        <f aca="false">P65</f>
        <v>62666.6666666667</v>
      </c>
      <c r="R62" s="67" t="n">
        <f aca="false">Q65</f>
        <v>61333.3333333334</v>
      </c>
      <c r="S62" s="67" t="n">
        <f aca="false">R65</f>
        <v>60000</v>
      </c>
      <c r="T62" s="67" t="n">
        <f aca="false">S65</f>
        <v>58666.6666666667</v>
      </c>
      <c r="U62" s="67" t="n">
        <f aca="false">T65</f>
        <v>57333.3333333334</v>
      </c>
      <c r="V62" s="67" t="n">
        <f aca="false">U65</f>
        <v>56000</v>
      </c>
      <c r="W62" s="67" t="n">
        <f aca="false">V65</f>
        <v>54666.6666666667</v>
      </c>
      <c r="X62" s="67" t="n">
        <f aca="false">W65</f>
        <v>53333.3333333334</v>
      </c>
      <c r="Y62" s="67" t="n">
        <f aca="false">X65</f>
        <v>52000</v>
      </c>
      <c r="Z62" s="67" t="n">
        <f aca="false">Y65</f>
        <v>50666.6666666667</v>
      </c>
      <c r="AA62" s="67" t="n">
        <f aca="false">Z65</f>
        <v>49333.3333333334</v>
      </c>
      <c r="AB62" s="67" t="n">
        <f aca="false">AA65</f>
        <v>48000</v>
      </c>
      <c r="AC62" s="67" t="n">
        <f aca="false">AB65</f>
        <v>46666.6666666667</v>
      </c>
      <c r="AD62" s="67" t="n">
        <f aca="false">AC65</f>
        <v>45333.3333333333</v>
      </c>
      <c r="AE62" s="67" t="n">
        <f aca="false">AD65</f>
        <v>44000</v>
      </c>
      <c r="AF62" s="67" t="n">
        <f aca="false">AE65</f>
        <v>42666.6666666667</v>
      </c>
      <c r="AG62" s="67" t="n">
        <f aca="false">AF65</f>
        <v>41333.3333333333</v>
      </c>
      <c r="AH62" s="67" t="n">
        <f aca="false">AG65</f>
        <v>40000</v>
      </c>
      <c r="AI62" s="67" t="n">
        <f aca="false">AH65</f>
        <v>38666.6666666667</v>
      </c>
      <c r="AJ62" s="67" t="n">
        <f aca="false">AI65</f>
        <v>37333.3333333333</v>
      </c>
      <c r="AK62" s="67" t="n">
        <f aca="false">AJ65</f>
        <v>36000</v>
      </c>
      <c r="AL62" s="67" t="n">
        <f aca="false">AK65</f>
        <v>34666.6666666667</v>
      </c>
      <c r="AM62" s="67" t="n">
        <f aca="false">AL65</f>
        <v>33333.3333333333</v>
      </c>
      <c r="AN62" s="67" t="n">
        <f aca="false">AM65</f>
        <v>32000</v>
      </c>
      <c r="AO62" s="67" t="n">
        <f aca="false">AN65</f>
        <v>30666.6666666667</v>
      </c>
      <c r="AP62" s="67" t="n">
        <f aca="false">AO65</f>
        <v>29333.3333333333</v>
      </c>
      <c r="AQ62" s="67" t="n">
        <f aca="false">AP65</f>
        <v>28000</v>
      </c>
      <c r="AR62" s="67" t="n">
        <f aca="false">AQ65</f>
        <v>26666.6666666667</v>
      </c>
      <c r="AS62" s="67" t="n">
        <f aca="false">AR65</f>
        <v>25333.3333333333</v>
      </c>
      <c r="AT62" s="67" t="n">
        <f aca="false">AS65</f>
        <v>24000</v>
      </c>
      <c r="AU62" s="67" t="n">
        <f aca="false">AT65</f>
        <v>22666.6666666667</v>
      </c>
      <c r="AV62" s="67" t="n">
        <f aca="false">AU65</f>
        <v>21333.3333333333</v>
      </c>
      <c r="AW62" s="67" t="n">
        <f aca="false">AV65</f>
        <v>20000</v>
      </c>
      <c r="AX62" s="67" t="n">
        <f aca="false">AW65</f>
        <v>18666.6666666667</v>
      </c>
      <c r="AY62" s="67" t="n">
        <f aca="false">AX65</f>
        <v>17333.3333333333</v>
      </c>
      <c r="AZ62" s="67" t="n">
        <f aca="false">AY65</f>
        <v>16000</v>
      </c>
      <c r="BA62" s="67" t="n">
        <f aca="false">AZ65</f>
        <v>14666.6666666667</v>
      </c>
      <c r="BB62" s="67" t="n">
        <f aca="false">BA65</f>
        <v>13333.3333333333</v>
      </c>
      <c r="BC62" s="67" t="n">
        <f aca="false">BB65</f>
        <v>12000</v>
      </c>
      <c r="BD62" s="67" t="n">
        <f aca="false">BC65</f>
        <v>10666.6666666667</v>
      </c>
      <c r="BE62" s="67" t="n">
        <f aca="false">BD65</f>
        <v>9333.33333333333</v>
      </c>
      <c r="BF62" s="67" t="n">
        <f aca="false">BE65</f>
        <v>8000</v>
      </c>
      <c r="BG62" s="67" t="n">
        <f aca="false">BF65</f>
        <v>6666.66666666667</v>
      </c>
      <c r="BH62" s="67" t="n">
        <f aca="false">BG65</f>
        <v>5333.33333333333</v>
      </c>
      <c r="BI62" s="67" t="n">
        <f aca="false">BH65</f>
        <v>4000</v>
      </c>
      <c r="BJ62" s="67" t="n">
        <f aca="false">BI65</f>
        <v>2666.66666666667</v>
      </c>
    </row>
    <row r="63" customFormat="false" ht="15" hidden="false" customHeight="false" outlineLevel="0" collapsed="false">
      <c r="A63" s="6" t="s">
        <v>85</v>
      </c>
      <c r="C63" s="67" t="n">
        <f aca="false">IF(C$6=1,Inputs!$B$59,0)</f>
        <v>80000</v>
      </c>
      <c r="D63" s="67" t="n">
        <f aca="false">IF(D$6=1,Inputs!$B$59,0)</f>
        <v>0</v>
      </c>
      <c r="E63" s="67" t="n">
        <f aca="false">IF(E$6=1,Inputs!$B$59,0)</f>
        <v>0</v>
      </c>
      <c r="F63" s="67" t="n">
        <f aca="false">IF(F$6=1,Inputs!$B$59,0)</f>
        <v>0</v>
      </c>
      <c r="G63" s="67" t="n">
        <f aca="false">IF(G$6=1,Inputs!$B$59,0)</f>
        <v>0</v>
      </c>
      <c r="H63" s="67" t="n">
        <f aca="false">IF(H$6=1,Inputs!$B$59,0)</f>
        <v>0</v>
      </c>
      <c r="I63" s="67" t="n">
        <f aca="false">IF(I$6=1,Inputs!$B$59,0)</f>
        <v>0</v>
      </c>
      <c r="J63" s="67" t="n">
        <f aca="false">IF(J$6=1,Inputs!$B$59,0)</f>
        <v>0</v>
      </c>
      <c r="K63" s="67" t="n">
        <f aca="false">IF(K$6=1,Inputs!$B$59,0)</f>
        <v>0</v>
      </c>
      <c r="L63" s="67" t="n">
        <f aca="false">IF(L$6=1,Inputs!$B$59,0)</f>
        <v>0</v>
      </c>
      <c r="M63" s="67" t="n">
        <f aca="false">IF(M$6=1,Inputs!$B$59,0)</f>
        <v>0</v>
      </c>
      <c r="N63" s="67" t="n">
        <f aca="false">IF(N$6=1,Inputs!$B$59,0)</f>
        <v>0</v>
      </c>
      <c r="O63" s="67" t="n">
        <f aca="false">IF(O$6=1,Inputs!$B$59,0)</f>
        <v>0</v>
      </c>
      <c r="P63" s="67" t="n">
        <f aca="false">IF(P$6=1,Inputs!$B$59,0)</f>
        <v>0</v>
      </c>
      <c r="Q63" s="67" t="n">
        <f aca="false">IF(Q$6=1,Inputs!$B$59,0)</f>
        <v>0</v>
      </c>
      <c r="R63" s="67" t="n">
        <f aca="false">IF(R$6=1,Inputs!$B$59,0)</f>
        <v>0</v>
      </c>
      <c r="S63" s="67" t="n">
        <f aca="false">IF(S$6=1,Inputs!$B$59,0)</f>
        <v>0</v>
      </c>
      <c r="T63" s="67" t="n">
        <f aca="false">IF(T$6=1,Inputs!$B$59,0)</f>
        <v>0</v>
      </c>
      <c r="U63" s="67" t="n">
        <f aca="false">IF(U$6=1,Inputs!$B$59,0)</f>
        <v>0</v>
      </c>
      <c r="V63" s="67" t="n">
        <f aca="false">IF(V$6=1,Inputs!$B$59,0)</f>
        <v>0</v>
      </c>
      <c r="W63" s="67" t="n">
        <f aca="false">IF(W$6=1,Inputs!$B$59,0)</f>
        <v>0</v>
      </c>
      <c r="X63" s="67" t="n">
        <f aca="false">IF(X$6=1,Inputs!$B$59,0)</f>
        <v>0</v>
      </c>
      <c r="Y63" s="67" t="n">
        <f aca="false">IF(Y$6=1,Inputs!$B$59,0)</f>
        <v>0</v>
      </c>
      <c r="Z63" s="67" t="n">
        <f aca="false">IF(Z$6=1,Inputs!$B$59,0)</f>
        <v>0</v>
      </c>
      <c r="AA63" s="67" t="n">
        <f aca="false">IF(AA$6=1,Inputs!$B$59,0)</f>
        <v>0</v>
      </c>
      <c r="AB63" s="67" t="n">
        <f aca="false">IF(AB$6=1,Inputs!$B$59,0)</f>
        <v>0</v>
      </c>
      <c r="AC63" s="67" t="n">
        <f aca="false">IF(AC$6=1,Inputs!$B$59,0)</f>
        <v>0</v>
      </c>
      <c r="AD63" s="67" t="n">
        <f aca="false">IF(AD$6=1,Inputs!$B$59,0)</f>
        <v>0</v>
      </c>
      <c r="AE63" s="67" t="n">
        <f aca="false">IF(AE$6=1,Inputs!$B$59,0)</f>
        <v>0</v>
      </c>
      <c r="AF63" s="67" t="n">
        <f aca="false">IF(AF$6=1,Inputs!$B$59,0)</f>
        <v>0</v>
      </c>
      <c r="AG63" s="67" t="n">
        <f aca="false">IF(AG$6=1,Inputs!$B$59,0)</f>
        <v>0</v>
      </c>
      <c r="AH63" s="67" t="n">
        <f aca="false">IF(AH$6=1,Inputs!$B$59,0)</f>
        <v>0</v>
      </c>
      <c r="AI63" s="67" t="n">
        <f aca="false">IF(AI$6=1,Inputs!$B$59,0)</f>
        <v>0</v>
      </c>
      <c r="AJ63" s="67" t="n">
        <f aca="false">IF(AJ$6=1,Inputs!$B$59,0)</f>
        <v>0</v>
      </c>
      <c r="AK63" s="67" t="n">
        <f aca="false">IF(AK$6=1,Inputs!$B$59,0)</f>
        <v>0</v>
      </c>
      <c r="AL63" s="67" t="n">
        <f aca="false">IF(AL$6=1,Inputs!$B$59,0)</f>
        <v>0</v>
      </c>
      <c r="AM63" s="67" t="n">
        <f aca="false">IF(AM$6=1,Inputs!$B$59,0)</f>
        <v>0</v>
      </c>
      <c r="AN63" s="67" t="n">
        <f aca="false">IF(AN$6=1,Inputs!$B$59,0)</f>
        <v>0</v>
      </c>
      <c r="AO63" s="67" t="n">
        <f aca="false">IF(AO$6=1,Inputs!$B$59,0)</f>
        <v>0</v>
      </c>
      <c r="AP63" s="67" t="n">
        <f aca="false">IF(AP$6=1,Inputs!$B$59,0)</f>
        <v>0</v>
      </c>
      <c r="AQ63" s="67" t="n">
        <f aca="false">IF(AQ$6=1,Inputs!$B$59,0)</f>
        <v>0</v>
      </c>
      <c r="AR63" s="67" t="n">
        <f aca="false">IF(AR$6=1,Inputs!$B$59,0)</f>
        <v>0</v>
      </c>
      <c r="AS63" s="67" t="n">
        <f aca="false">IF(AS$6=1,Inputs!$B$59,0)</f>
        <v>0</v>
      </c>
      <c r="AT63" s="67" t="n">
        <f aca="false">IF(AT$6=1,Inputs!$B$59,0)</f>
        <v>0</v>
      </c>
      <c r="AU63" s="67" t="n">
        <f aca="false">IF(AU$6=1,Inputs!$B$59,0)</f>
        <v>0</v>
      </c>
      <c r="AV63" s="67" t="n">
        <f aca="false">IF(AV$6=1,Inputs!$B$59,0)</f>
        <v>0</v>
      </c>
      <c r="AW63" s="67" t="n">
        <f aca="false">IF(AW$6=1,Inputs!$B$59,0)</f>
        <v>0</v>
      </c>
      <c r="AX63" s="67" t="n">
        <f aca="false">IF(AX$6=1,Inputs!$B$59,0)</f>
        <v>0</v>
      </c>
      <c r="AY63" s="67" t="n">
        <f aca="false">IF(AY$6=1,Inputs!$B$59,0)</f>
        <v>0</v>
      </c>
      <c r="AZ63" s="67" t="n">
        <f aca="false">IF(AZ$6=1,Inputs!$B$59,0)</f>
        <v>0</v>
      </c>
      <c r="BA63" s="67" t="n">
        <f aca="false">IF(BA$6=1,Inputs!$B$59,0)</f>
        <v>0</v>
      </c>
      <c r="BB63" s="67" t="n">
        <f aca="false">IF(BB$6=1,Inputs!$B$59,0)</f>
        <v>0</v>
      </c>
      <c r="BC63" s="67" t="n">
        <f aca="false">IF(BC$6=1,Inputs!$B$59,0)</f>
        <v>0</v>
      </c>
      <c r="BD63" s="67" t="n">
        <f aca="false">IF(BD$6=1,Inputs!$B$59,0)</f>
        <v>0</v>
      </c>
      <c r="BE63" s="67" t="n">
        <f aca="false">IF(BE$6=1,Inputs!$B$59,0)</f>
        <v>0</v>
      </c>
      <c r="BF63" s="67" t="n">
        <f aca="false">IF(BF$6=1,Inputs!$B$59,0)</f>
        <v>0</v>
      </c>
      <c r="BG63" s="67" t="n">
        <f aca="false">IF(BG$6=1,Inputs!$B$59,0)</f>
        <v>0</v>
      </c>
      <c r="BH63" s="67" t="n">
        <f aca="false">IF(BH$6=1,Inputs!$B$59,0)</f>
        <v>0</v>
      </c>
      <c r="BI63" s="67" t="n">
        <f aca="false">IF(BI$6=1,Inputs!$B$59,0)</f>
        <v>0</v>
      </c>
      <c r="BJ63" s="67" t="n">
        <f aca="false">IF(BJ$6=1,Inputs!$B$59,0)</f>
        <v>0</v>
      </c>
    </row>
    <row r="64" customFormat="false" ht="15" hidden="false" customHeight="false" outlineLevel="0" collapsed="false">
      <c r="A64" s="6" t="s">
        <v>86</v>
      </c>
      <c r="C64" s="67" t="n">
        <f aca="false">-MIN(C62,Inputs!$B$59/MAX(1,Inputs!$B$61*12))</f>
        <v>-0</v>
      </c>
      <c r="D64" s="67" t="n">
        <f aca="false">-MIN(D62,Inputs!$B$59/MAX(1,Inputs!$B$61*12))</f>
        <v>-1333.33333333333</v>
      </c>
      <c r="E64" s="67" t="n">
        <f aca="false">-MIN(E62,Inputs!$B$59/MAX(1,Inputs!$B$61*12))</f>
        <v>-1333.33333333333</v>
      </c>
      <c r="F64" s="67" t="n">
        <f aca="false">-MIN(F62,Inputs!$B$59/MAX(1,Inputs!$B$61*12))</f>
        <v>-1333.33333333333</v>
      </c>
      <c r="G64" s="67" t="n">
        <f aca="false">-MIN(G62,Inputs!$B$59/MAX(1,Inputs!$B$61*12))</f>
        <v>-1333.33333333333</v>
      </c>
      <c r="H64" s="67" t="n">
        <f aca="false">-MIN(H62,Inputs!$B$59/MAX(1,Inputs!$B$61*12))</f>
        <v>-1333.33333333333</v>
      </c>
      <c r="I64" s="67" t="n">
        <f aca="false">-MIN(I62,Inputs!$B$59/MAX(1,Inputs!$B$61*12))</f>
        <v>-1333.33333333333</v>
      </c>
      <c r="J64" s="67" t="n">
        <f aca="false">-MIN(J62,Inputs!$B$59/MAX(1,Inputs!$B$61*12))</f>
        <v>-1333.33333333333</v>
      </c>
      <c r="K64" s="67" t="n">
        <f aca="false">-MIN(K62,Inputs!$B$59/MAX(1,Inputs!$B$61*12))</f>
        <v>-1333.33333333333</v>
      </c>
      <c r="L64" s="67" t="n">
        <f aca="false">-MIN(L62,Inputs!$B$59/MAX(1,Inputs!$B$61*12))</f>
        <v>-1333.33333333333</v>
      </c>
      <c r="M64" s="67" t="n">
        <f aca="false">-MIN(M62,Inputs!$B$59/MAX(1,Inputs!$B$61*12))</f>
        <v>-1333.33333333333</v>
      </c>
      <c r="N64" s="67" t="n">
        <f aca="false">-MIN(N62,Inputs!$B$59/MAX(1,Inputs!$B$61*12))</f>
        <v>-1333.33333333333</v>
      </c>
      <c r="O64" s="67" t="n">
        <f aca="false">-MIN(O62,Inputs!$B$59/MAX(1,Inputs!$B$61*12))</f>
        <v>-1333.33333333333</v>
      </c>
      <c r="P64" s="67" t="n">
        <f aca="false">-MIN(P62,Inputs!$B$59/MAX(1,Inputs!$B$61*12))</f>
        <v>-1333.33333333333</v>
      </c>
      <c r="Q64" s="67" t="n">
        <f aca="false">-MIN(Q62,Inputs!$B$59/MAX(1,Inputs!$B$61*12))</f>
        <v>-1333.33333333333</v>
      </c>
      <c r="R64" s="67" t="n">
        <f aca="false">-MIN(R62,Inputs!$B$59/MAX(1,Inputs!$B$61*12))</f>
        <v>-1333.33333333333</v>
      </c>
      <c r="S64" s="67" t="n">
        <f aca="false">-MIN(S62,Inputs!$B$59/MAX(1,Inputs!$B$61*12))</f>
        <v>-1333.33333333333</v>
      </c>
      <c r="T64" s="67" t="n">
        <f aca="false">-MIN(T62,Inputs!$B$59/MAX(1,Inputs!$B$61*12))</f>
        <v>-1333.33333333333</v>
      </c>
      <c r="U64" s="67" t="n">
        <f aca="false">-MIN(U62,Inputs!$B$59/MAX(1,Inputs!$B$61*12))</f>
        <v>-1333.33333333333</v>
      </c>
      <c r="V64" s="67" t="n">
        <f aca="false">-MIN(V62,Inputs!$B$59/MAX(1,Inputs!$B$61*12))</f>
        <v>-1333.33333333333</v>
      </c>
      <c r="W64" s="67" t="n">
        <f aca="false">-MIN(W62,Inputs!$B$59/MAX(1,Inputs!$B$61*12))</f>
        <v>-1333.33333333333</v>
      </c>
      <c r="X64" s="67" t="n">
        <f aca="false">-MIN(X62,Inputs!$B$59/MAX(1,Inputs!$B$61*12))</f>
        <v>-1333.33333333333</v>
      </c>
      <c r="Y64" s="67" t="n">
        <f aca="false">-MIN(Y62,Inputs!$B$59/MAX(1,Inputs!$B$61*12))</f>
        <v>-1333.33333333333</v>
      </c>
      <c r="Z64" s="67" t="n">
        <f aca="false">-MIN(Z62,Inputs!$B$59/MAX(1,Inputs!$B$61*12))</f>
        <v>-1333.33333333333</v>
      </c>
      <c r="AA64" s="67" t="n">
        <f aca="false">-MIN(AA62,Inputs!$B$59/MAX(1,Inputs!$B$61*12))</f>
        <v>-1333.33333333333</v>
      </c>
      <c r="AB64" s="67" t="n">
        <f aca="false">-MIN(AB62,Inputs!$B$59/MAX(1,Inputs!$B$61*12))</f>
        <v>-1333.33333333333</v>
      </c>
      <c r="AC64" s="67" t="n">
        <f aca="false">-MIN(AC62,Inputs!$B$59/MAX(1,Inputs!$B$61*12))</f>
        <v>-1333.33333333333</v>
      </c>
      <c r="AD64" s="67" t="n">
        <f aca="false">-MIN(AD62,Inputs!$B$59/MAX(1,Inputs!$B$61*12))</f>
        <v>-1333.33333333333</v>
      </c>
      <c r="AE64" s="67" t="n">
        <f aca="false">-MIN(AE62,Inputs!$B$59/MAX(1,Inputs!$B$61*12))</f>
        <v>-1333.33333333333</v>
      </c>
      <c r="AF64" s="67" t="n">
        <f aca="false">-MIN(AF62,Inputs!$B$59/MAX(1,Inputs!$B$61*12))</f>
        <v>-1333.33333333333</v>
      </c>
      <c r="AG64" s="67" t="n">
        <f aca="false">-MIN(AG62,Inputs!$B$59/MAX(1,Inputs!$B$61*12))</f>
        <v>-1333.33333333333</v>
      </c>
      <c r="AH64" s="67" t="n">
        <f aca="false">-MIN(AH62,Inputs!$B$59/MAX(1,Inputs!$B$61*12))</f>
        <v>-1333.33333333333</v>
      </c>
      <c r="AI64" s="67" t="n">
        <f aca="false">-MIN(AI62,Inputs!$B$59/MAX(1,Inputs!$B$61*12))</f>
        <v>-1333.33333333333</v>
      </c>
      <c r="AJ64" s="67" t="n">
        <f aca="false">-MIN(AJ62,Inputs!$B$59/MAX(1,Inputs!$B$61*12))</f>
        <v>-1333.33333333333</v>
      </c>
      <c r="AK64" s="67" t="n">
        <f aca="false">-MIN(AK62,Inputs!$B$59/MAX(1,Inputs!$B$61*12))</f>
        <v>-1333.33333333333</v>
      </c>
      <c r="AL64" s="67" t="n">
        <f aca="false">-MIN(AL62,Inputs!$B$59/MAX(1,Inputs!$B$61*12))</f>
        <v>-1333.33333333333</v>
      </c>
      <c r="AM64" s="67" t="n">
        <f aca="false">-MIN(AM62,Inputs!$B$59/MAX(1,Inputs!$B$61*12))</f>
        <v>-1333.33333333333</v>
      </c>
      <c r="AN64" s="67" t="n">
        <f aca="false">-MIN(AN62,Inputs!$B$59/MAX(1,Inputs!$B$61*12))</f>
        <v>-1333.33333333333</v>
      </c>
      <c r="AO64" s="67" t="n">
        <f aca="false">-MIN(AO62,Inputs!$B$59/MAX(1,Inputs!$B$61*12))</f>
        <v>-1333.33333333333</v>
      </c>
      <c r="AP64" s="67" t="n">
        <f aca="false">-MIN(AP62,Inputs!$B$59/MAX(1,Inputs!$B$61*12))</f>
        <v>-1333.33333333333</v>
      </c>
      <c r="AQ64" s="67" t="n">
        <f aca="false">-MIN(AQ62,Inputs!$B$59/MAX(1,Inputs!$B$61*12))</f>
        <v>-1333.33333333333</v>
      </c>
      <c r="AR64" s="67" t="n">
        <f aca="false">-MIN(AR62,Inputs!$B$59/MAX(1,Inputs!$B$61*12))</f>
        <v>-1333.33333333333</v>
      </c>
      <c r="AS64" s="67" t="n">
        <f aca="false">-MIN(AS62,Inputs!$B$59/MAX(1,Inputs!$B$61*12))</f>
        <v>-1333.33333333333</v>
      </c>
      <c r="AT64" s="67" t="n">
        <f aca="false">-MIN(AT62,Inputs!$B$59/MAX(1,Inputs!$B$61*12))</f>
        <v>-1333.33333333333</v>
      </c>
      <c r="AU64" s="67" t="n">
        <f aca="false">-MIN(AU62,Inputs!$B$59/MAX(1,Inputs!$B$61*12))</f>
        <v>-1333.33333333333</v>
      </c>
      <c r="AV64" s="67" t="n">
        <f aca="false">-MIN(AV62,Inputs!$B$59/MAX(1,Inputs!$B$61*12))</f>
        <v>-1333.33333333333</v>
      </c>
      <c r="AW64" s="67" t="n">
        <f aca="false">-MIN(AW62,Inputs!$B$59/MAX(1,Inputs!$B$61*12))</f>
        <v>-1333.33333333333</v>
      </c>
      <c r="AX64" s="67" t="n">
        <f aca="false">-MIN(AX62,Inputs!$B$59/MAX(1,Inputs!$B$61*12))</f>
        <v>-1333.33333333333</v>
      </c>
      <c r="AY64" s="67" t="n">
        <f aca="false">-MIN(AY62,Inputs!$B$59/MAX(1,Inputs!$B$61*12))</f>
        <v>-1333.33333333333</v>
      </c>
      <c r="AZ64" s="67" t="n">
        <f aca="false">-MIN(AZ62,Inputs!$B$59/MAX(1,Inputs!$B$61*12))</f>
        <v>-1333.33333333333</v>
      </c>
      <c r="BA64" s="67" t="n">
        <f aca="false">-MIN(BA62,Inputs!$B$59/MAX(1,Inputs!$B$61*12))</f>
        <v>-1333.33333333333</v>
      </c>
      <c r="BB64" s="67" t="n">
        <f aca="false">-MIN(BB62,Inputs!$B$59/MAX(1,Inputs!$B$61*12))</f>
        <v>-1333.33333333333</v>
      </c>
      <c r="BC64" s="67" t="n">
        <f aca="false">-MIN(BC62,Inputs!$B$59/MAX(1,Inputs!$B$61*12))</f>
        <v>-1333.33333333333</v>
      </c>
      <c r="BD64" s="67" t="n">
        <f aca="false">-MIN(BD62,Inputs!$B$59/MAX(1,Inputs!$B$61*12))</f>
        <v>-1333.33333333333</v>
      </c>
      <c r="BE64" s="67" t="n">
        <f aca="false">-MIN(BE62,Inputs!$B$59/MAX(1,Inputs!$B$61*12))</f>
        <v>-1333.33333333333</v>
      </c>
      <c r="BF64" s="67" t="n">
        <f aca="false">-MIN(BF62,Inputs!$B$59/MAX(1,Inputs!$B$61*12))</f>
        <v>-1333.33333333333</v>
      </c>
      <c r="BG64" s="67" t="n">
        <f aca="false">-MIN(BG62,Inputs!$B$59/MAX(1,Inputs!$B$61*12))</f>
        <v>-1333.33333333333</v>
      </c>
      <c r="BH64" s="67" t="n">
        <f aca="false">-MIN(BH62,Inputs!$B$59/MAX(1,Inputs!$B$61*12))</f>
        <v>-1333.33333333333</v>
      </c>
      <c r="BI64" s="67" t="n">
        <f aca="false">-MIN(BI62,Inputs!$B$59/MAX(1,Inputs!$B$61*12))</f>
        <v>-1333.33333333333</v>
      </c>
      <c r="BJ64" s="67" t="n">
        <f aca="false">-MIN(BJ62,Inputs!$B$59/MAX(1,Inputs!$B$61*12))</f>
        <v>-1333.33333333333</v>
      </c>
    </row>
    <row r="65" customFormat="false" ht="15" hidden="false" customHeight="false" outlineLevel="0" collapsed="false">
      <c r="A65" s="4" t="s">
        <v>421</v>
      </c>
      <c r="C65" s="73" t="n">
        <f aca="false">C62+C63+C64</f>
        <v>80000</v>
      </c>
      <c r="D65" s="73" t="n">
        <f aca="false">D62+D63+D64</f>
        <v>78666.6666666667</v>
      </c>
      <c r="E65" s="73" t="n">
        <f aca="false">E62+E63+E64</f>
        <v>77333.3333333333</v>
      </c>
      <c r="F65" s="73" t="n">
        <f aca="false">F62+F63+F64</f>
        <v>76000</v>
      </c>
      <c r="G65" s="73" t="n">
        <f aca="false">G62+G63+G64</f>
        <v>74666.6666666667</v>
      </c>
      <c r="H65" s="73" t="n">
        <f aca="false">H62+H63+H64</f>
        <v>73333.3333333334</v>
      </c>
      <c r="I65" s="73" t="n">
        <f aca="false">I62+I63+I64</f>
        <v>72000</v>
      </c>
      <c r="J65" s="73" t="n">
        <f aca="false">J62+J63+J64</f>
        <v>70666.6666666667</v>
      </c>
      <c r="K65" s="73" t="n">
        <f aca="false">K62+K63+K64</f>
        <v>69333.3333333334</v>
      </c>
      <c r="L65" s="73" t="n">
        <f aca="false">L62+L63+L64</f>
        <v>68000</v>
      </c>
      <c r="M65" s="73" t="n">
        <f aca="false">M62+M63+M64</f>
        <v>66666.6666666667</v>
      </c>
      <c r="N65" s="73" t="n">
        <f aca="false">N62+N63+N64</f>
        <v>65333.3333333334</v>
      </c>
      <c r="O65" s="73" t="n">
        <f aca="false">O62+O63+O64</f>
        <v>64000</v>
      </c>
      <c r="P65" s="73" t="n">
        <f aca="false">P62+P63+P64</f>
        <v>62666.6666666667</v>
      </c>
      <c r="Q65" s="73" t="n">
        <f aca="false">Q62+Q63+Q64</f>
        <v>61333.3333333334</v>
      </c>
      <c r="R65" s="73" t="n">
        <f aca="false">R62+R63+R64</f>
        <v>60000</v>
      </c>
      <c r="S65" s="73" t="n">
        <f aca="false">S62+S63+S64</f>
        <v>58666.6666666667</v>
      </c>
      <c r="T65" s="73" t="n">
        <f aca="false">T62+T63+T64</f>
        <v>57333.3333333334</v>
      </c>
      <c r="U65" s="73" t="n">
        <f aca="false">U62+U63+U64</f>
        <v>56000</v>
      </c>
      <c r="V65" s="73" t="n">
        <f aca="false">V62+V63+V64</f>
        <v>54666.6666666667</v>
      </c>
      <c r="W65" s="73" t="n">
        <f aca="false">W62+W63+W64</f>
        <v>53333.3333333334</v>
      </c>
      <c r="X65" s="73" t="n">
        <f aca="false">X62+X63+X64</f>
        <v>52000</v>
      </c>
      <c r="Y65" s="73" t="n">
        <f aca="false">Y62+Y63+Y64</f>
        <v>50666.6666666667</v>
      </c>
      <c r="Z65" s="73" t="n">
        <f aca="false">Z62+Z63+Z64</f>
        <v>49333.3333333334</v>
      </c>
      <c r="AA65" s="73" t="n">
        <f aca="false">AA62+AA63+AA64</f>
        <v>48000</v>
      </c>
      <c r="AB65" s="73" t="n">
        <f aca="false">AB62+AB63+AB64</f>
        <v>46666.6666666667</v>
      </c>
      <c r="AC65" s="73" t="n">
        <f aca="false">AC62+AC63+AC64</f>
        <v>45333.3333333333</v>
      </c>
      <c r="AD65" s="73" t="n">
        <f aca="false">AD62+AD63+AD64</f>
        <v>44000</v>
      </c>
      <c r="AE65" s="73" t="n">
        <f aca="false">AE62+AE63+AE64</f>
        <v>42666.6666666667</v>
      </c>
      <c r="AF65" s="73" t="n">
        <f aca="false">AF62+AF63+AF64</f>
        <v>41333.3333333333</v>
      </c>
      <c r="AG65" s="73" t="n">
        <f aca="false">AG62+AG63+AG64</f>
        <v>40000</v>
      </c>
      <c r="AH65" s="73" t="n">
        <f aca="false">AH62+AH63+AH64</f>
        <v>38666.6666666667</v>
      </c>
      <c r="AI65" s="73" t="n">
        <f aca="false">AI62+AI63+AI64</f>
        <v>37333.3333333333</v>
      </c>
      <c r="AJ65" s="73" t="n">
        <f aca="false">AJ62+AJ63+AJ64</f>
        <v>36000</v>
      </c>
      <c r="AK65" s="73" t="n">
        <f aca="false">AK62+AK63+AK64</f>
        <v>34666.6666666667</v>
      </c>
      <c r="AL65" s="73" t="n">
        <f aca="false">AL62+AL63+AL64</f>
        <v>33333.3333333333</v>
      </c>
      <c r="AM65" s="73" t="n">
        <f aca="false">AM62+AM63+AM64</f>
        <v>32000</v>
      </c>
      <c r="AN65" s="73" t="n">
        <f aca="false">AN62+AN63+AN64</f>
        <v>30666.6666666667</v>
      </c>
      <c r="AO65" s="73" t="n">
        <f aca="false">AO62+AO63+AO64</f>
        <v>29333.3333333333</v>
      </c>
      <c r="AP65" s="73" t="n">
        <f aca="false">AP62+AP63+AP64</f>
        <v>28000</v>
      </c>
      <c r="AQ65" s="73" t="n">
        <f aca="false">AQ62+AQ63+AQ64</f>
        <v>26666.6666666667</v>
      </c>
      <c r="AR65" s="73" t="n">
        <f aca="false">AR62+AR63+AR64</f>
        <v>25333.3333333333</v>
      </c>
      <c r="AS65" s="73" t="n">
        <f aca="false">AS62+AS63+AS64</f>
        <v>24000</v>
      </c>
      <c r="AT65" s="73" t="n">
        <f aca="false">AT62+AT63+AT64</f>
        <v>22666.6666666667</v>
      </c>
      <c r="AU65" s="73" t="n">
        <f aca="false">AU62+AU63+AU64</f>
        <v>21333.3333333333</v>
      </c>
      <c r="AV65" s="73" t="n">
        <f aca="false">AV62+AV63+AV64</f>
        <v>20000</v>
      </c>
      <c r="AW65" s="73" t="n">
        <f aca="false">AW62+AW63+AW64</f>
        <v>18666.6666666667</v>
      </c>
      <c r="AX65" s="73" t="n">
        <f aca="false">AX62+AX63+AX64</f>
        <v>17333.3333333333</v>
      </c>
      <c r="AY65" s="73" t="n">
        <f aca="false">AY62+AY63+AY64</f>
        <v>16000</v>
      </c>
      <c r="AZ65" s="73" t="n">
        <f aca="false">AZ62+AZ63+AZ64</f>
        <v>14666.6666666667</v>
      </c>
      <c r="BA65" s="73" t="n">
        <f aca="false">BA62+BA63+BA64</f>
        <v>13333.3333333333</v>
      </c>
      <c r="BB65" s="73" t="n">
        <f aca="false">BB62+BB63+BB64</f>
        <v>12000</v>
      </c>
      <c r="BC65" s="73" t="n">
        <f aca="false">BC62+BC63+BC64</f>
        <v>10666.6666666667</v>
      </c>
      <c r="BD65" s="73" t="n">
        <f aca="false">BD62+BD63+BD64</f>
        <v>9333.33333333333</v>
      </c>
      <c r="BE65" s="73" t="n">
        <f aca="false">BE62+BE63+BE64</f>
        <v>8000</v>
      </c>
      <c r="BF65" s="73" t="n">
        <f aca="false">BF62+BF63+BF64</f>
        <v>6666.66666666667</v>
      </c>
      <c r="BG65" s="73" t="n">
        <f aca="false">BG62+BG63+BG64</f>
        <v>5333.33333333333</v>
      </c>
      <c r="BH65" s="73" t="n">
        <f aca="false">BH62+BH63+BH64</f>
        <v>4000</v>
      </c>
      <c r="BI65" s="73" t="n">
        <f aca="false">BI62+BI63+BI64</f>
        <v>2666.66666666667</v>
      </c>
      <c r="BJ65" s="73" t="n">
        <f aca="false">BJ62+BJ63+BJ64</f>
        <v>1333.33333333333</v>
      </c>
    </row>
    <row r="67" customFormat="false" ht="15.75" hidden="false" customHeight="true" outlineLevel="0" collapsed="false">
      <c r="A67" s="7" t="s">
        <v>307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customFormat="false" ht="15" hidden="false" customHeight="false" outlineLevel="0" collapsed="false">
      <c r="A68" s="6" t="s">
        <v>90</v>
      </c>
      <c r="C68" s="67" t="n">
        <f aca="false">C24*Inputs!$B$64/30</f>
        <v>28031.9</v>
      </c>
      <c r="D68" s="67" t="n">
        <f aca="false">D24*Inputs!$B$64/30</f>
        <v>29741.4</v>
      </c>
      <c r="E68" s="67" t="n">
        <f aca="false">E24*Inputs!$B$64/30</f>
        <v>31450.9</v>
      </c>
      <c r="F68" s="67" t="n">
        <f aca="false">F24*Inputs!$B$64/30</f>
        <v>33160.4</v>
      </c>
      <c r="G68" s="67" t="n">
        <f aca="false">G24*Inputs!$B$64/30</f>
        <v>33160.4</v>
      </c>
      <c r="H68" s="67" t="n">
        <f aca="false">H24*Inputs!$B$64/30</f>
        <v>33160.4</v>
      </c>
      <c r="I68" s="67" t="n">
        <f aca="false">I24*Inputs!$B$64/30</f>
        <v>33160.4</v>
      </c>
      <c r="J68" s="67" t="n">
        <f aca="false">J24*Inputs!$B$64/30</f>
        <v>33160.4</v>
      </c>
      <c r="K68" s="67" t="n">
        <f aca="false">K24*Inputs!$B$64/30</f>
        <v>33160.4</v>
      </c>
      <c r="L68" s="67" t="n">
        <f aca="false">L24*Inputs!$B$64/30</f>
        <v>33160.4</v>
      </c>
      <c r="M68" s="67" t="n">
        <f aca="false">M24*Inputs!$B$64/30</f>
        <v>39338</v>
      </c>
      <c r="N68" s="67" t="n">
        <f aca="false">N24*Inputs!$B$64/30</f>
        <v>39338</v>
      </c>
      <c r="O68" s="67" t="n">
        <f aca="false">O24*Inputs!$B$64/30</f>
        <v>34765.17408</v>
      </c>
      <c r="P68" s="67" t="n">
        <f aca="false">P24*Inputs!$B$64/30</f>
        <v>34765.17408</v>
      </c>
      <c r="Q68" s="67" t="n">
        <f aca="false">Q24*Inputs!$B$64/30</f>
        <v>34765.17408</v>
      </c>
      <c r="R68" s="67" t="n">
        <f aca="false">R24*Inputs!$B$64/30</f>
        <v>34765.17408</v>
      </c>
      <c r="S68" s="67" t="n">
        <f aca="false">S24*Inputs!$B$64/30</f>
        <v>34765.17408</v>
      </c>
      <c r="T68" s="67" t="n">
        <f aca="false">T24*Inputs!$B$64/30</f>
        <v>34765.17408</v>
      </c>
      <c r="U68" s="67" t="n">
        <f aca="false">U24*Inputs!$B$64/30</f>
        <v>34765.17408</v>
      </c>
      <c r="V68" s="67" t="n">
        <f aca="false">V24*Inputs!$B$64/30</f>
        <v>34765.17408</v>
      </c>
      <c r="W68" s="67" t="n">
        <f aca="false">W24*Inputs!$B$64/30</f>
        <v>34765.17408</v>
      </c>
      <c r="X68" s="67" t="n">
        <f aca="false">X24*Inputs!$B$64/30</f>
        <v>34765.17408</v>
      </c>
      <c r="Y68" s="67" t="n">
        <f aca="false">Y24*Inputs!$B$64/30</f>
        <v>41129.3376</v>
      </c>
      <c r="Z68" s="67" t="n">
        <f aca="false">Z24*Inputs!$B$64/30</f>
        <v>41129.3376</v>
      </c>
      <c r="AA68" s="67" t="n">
        <f aca="false">AA24*Inputs!$B$64/30</f>
        <v>36479.710665216</v>
      </c>
      <c r="AB68" s="67" t="n">
        <f aca="false">AB24*Inputs!$B$64/30</f>
        <v>36479.710665216</v>
      </c>
      <c r="AC68" s="67" t="n">
        <f aca="false">AC24*Inputs!$B$64/30</f>
        <v>36479.710665216</v>
      </c>
      <c r="AD68" s="67" t="n">
        <f aca="false">AD24*Inputs!$B$64/30</f>
        <v>36479.710665216</v>
      </c>
      <c r="AE68" s="67" t="n">
        <f aca="false">AE24*Inputs!$B$64/30</f>
        <v>36479.710665216</v>
      </c>
      <c r="AF68" s="67" t="n">
        <f aca="false">AF24*Inputs!$B$64/30</f>
        <v>36479.710665216</v>
      </c>
      <c r="AG68" s="67" t="n">
        <f aca="false">AG24*Inputs!$B$64/30</f>
        <v>36479.710665216</v>
      </c>
      <c r="AH68" s="67" t="n">
        <f aca="false">AH24*Inputs!$B$64/30</f>
        <v>36479.710665216</v>
      </c>
      <c r="AI68" s="67" t="n">
        <f aca="false">AI24*Inputs!$B$64/30</f>
        <v>36479.710665216</v>
      </c>
      <c r="AJ68" s="67" t="n">
        <f aca="false">AJ24*Inputs!$B$64/30</f>
        <v>36479.710665216</v>
      </c>
      <c r="AK68" s="67" t="n">
        <f aca="false">AK24*Inputs!$B$64/30</f>
        <v>43036.07192352</v>
      </c>
      <c r="AL68" s="67" t="n">
        <f aca="false">AL24*Inputs!$B$64/30</f>
        <v>43036.07192352</v>
      </c>
      <c r="AM68" s="67" t="n">
        <f aca="false">AM24*Inputs!$B$64/30</f>
        <v>38313.5524934303</v>
      </c>
      <c r="AN68" s="67" t="n">
        <f aca="false">AN24*Inputs!$B$64/30</f>
        <v>38313.5524934303</v>
      </c>
      <c r="AO68" s="67" t="n">
        <f aca="false">AO24*Inputs!$B$64/30</f>
        <v>38313.5524934303</v>
      </c>
      <c r="AP68" s="67" t="n">
        <f aca="false">AP24*Inputs!$B$64/30</f>
        <v>38313.5524934303</v>
      </c>
      <c r="AQ68" s="67" t="n">
        <f aca="false">AQ24*Inputs!$B$64/30</f>
        <v>38313.5524934303</v>
      </c>
      <c r="AR68" s="67" t="n">
        <f aca="false">AR24*Inputs!$B$64/30</f>
        <v>38313.5524934303</v>
      </c>
      <c r="AS68" s="67" t="n">
        <f aca="false">AS24*Inputs!$B$64/30</f>
        <v>38313.5524934303</v>
      </c>
      <c r="AT68" s="67" t="n">
        <f aca="false">AT24*Inputs!$B$64/30</f>
        <v>38313.5524934303</v>
      </c>
      <c r="AU68" s="67" t="n">
        <f aca="false">AU24*Inputs!$B$64/30</f>
        <v>38313.5524934303</v>
      </c>
      <c r="AV68" s="67" t="n">
        <f aca="false">AV24*Inputs!$B$64/30</f>
        <v>38313.5524934303</v>
      </c>
      <c r="AW68" s="67" t="n">
        <f aca="false">AW24*Inputs!$B$64/30</f>
        <v>45067.9158617351</v>
      </c>
      <c r="AX68" s="67" t="n">
        <f aca="false">AX24*Inputs!$B$64/30</f>
        <v>45067.9158617351</v>
      </c>
      <c r="AY68" s="67" t="n">
        <f aca="false">AY24*Inputs!$B$64/30</f>
        <v>40277.163248775</v>
      </c>
      <c r="AZ68" s="67" t="n">
        <f aca="false">AZ24*Inputs!$B$64/30</f>
        <v>40277.163248775</v>
      </c>
      <c r="BA68" s="67" t="n">
        <f aca="false">BA24*Inputs!$B$64/30</f>
        <v>40277.163248775</v>
      </c>
      <c r="BB68" s="67" t="n">
        <f aca="false">BB24*Inputs!$B$64/30</f>
        <v>40277.163248775</v>
      </c>
      <c r="BC68" s="67" t="n">
        <f aca="false">BC24*Inputs!$B$64/30</f>
        <v>40277.163248775</v>
      </c>
      <c r="BD68" s="67" t="n">
        <f aca="false">BD24*Inputs!$B$64/30</f>
        <v>40277.163248775</v>
      </c>
      <c r="BE68" s="67" t="n">
        <f aca="false">BE24*Inputs!$B$64/30</f>
        <v>40277.163248775</v>
      </c>
      <c r="BF68" s="67" t="n">
        <f aca="false">BF24*Inputs!$B$64/30</f>
        <v>40277.163248775</v>
      </c>
      <c r="BG68" s="67" t="n">
        <f aca="false">BG24*Inputs!$B$64/30</f>
        <v>40277.163248775</v>
      </c>
      <c r="BH68" s="67" t="n">
        <f aca="false">BH24*Inputs!$B$64/30</f>
        <v>40277.163248775</v>
      </c>
      <c r="BI68" s="67" t="n">
        <f aca="false">BI24*Inputs!$B$64/30</f>
        <v>47235.5083908026</v>
      </c>
      <c r="BJ68" s="67" t="n">
        <f aca="false">BJ24*Inputs!$B$64/30</f>
        <v>47235.5083908026</v>
      </c>
    </row>
    <row r="69" customFormat="false" ht="15" hidden="false" customHeight="false" outlineLevel="0" collapsed="false">
      <c r="A69" s="6" t="s">
        <v>91</v>
      </c>
      <c r="C69" s="67" t="n">
        <f aca="false">-C30*Inputs!$B$65/30</f>
        <v>3162.94909812734</v>
      </c>
      <c r="D69" s="67" t="n">
        <f aca="false">-D30*Inputs!$B$65/30</f>
        <v>3355.53616179775</v>
      </c>
      <c r="E69" s="67" t="n">
        <f aca="false">-E30*Inputs!$B$65/30</f>
        <v>3548.12322546816</v>
      </c>
      <c r="F69" s="67" t="n">
        <f aca="false">-F30*Inputs!$B$65/30</f>
        <v>3740.71028913858</v>
      </c>
      <c r="G69" s="67" t="n">
        <f aca="false">-G30*Inputs!$B$65/30</f>
        <v>3740.71028913858</v>
      </c>
      <c r="H69" s="67" t="n">
        <f aca="false">-H30*Inputs!$B$65/30</f>
        <v>3740.71028913858</v>
      </c>
      <c r="I69" s="67" t="n">
        <f aca="false">-I30*Inputs!$B$65/30</f>
        <v>3740.71028913858</v>
      </c>
      <c r="J69" s="67" t="n">
        <f aca="false">-J30*Inputs!$B$65/30</f>
        <v>3740.71028913858</v>
      </c>
      <c r="K69" s="67" t="n">
        <f aca="false">-K30*Inputs!$B$65/30</f>
        <v>3740.71028913858</v>
      </c>
      <c r="L69" s="67" t="n">
        <f aca="false">-L30*Inputs!$B$65/30</f>
        <v>3740.71028913858</v>
      </c>
      <c r="M69" s="67" t="n">
        <f aca="false">-M30*Inputs!$B$65/30</f>
        <v>4406.89619475656</v>
      </c>
      <c r="N69" s="67" t="n">
        <f aca="false">-N30*Inputs!$B$65/30</f>
        <v>4406.89619475656</v>
      </c>
      <c r="O69" s="67" t="n">
        <f aca="false">-O30*Inputs!$B$65/30</f>
        <v>3930.50375987056</v>
      </c>
      <c r="P69" s="67" t="n">
        <f aca="false">-P30*Inputs!$B$65/30</f>
        <v>3930.50375987056</v>
      </c>
      <c r="Q69" s="67" t="n">
        <f aca="false">-Q30*Inputs!$B$65/30</f>
        <v>3930.50375987056</v>
      </c>
      <c r="R69" s="67" t="n">
        <f aca="false">-R30*Inputs!$B$65/30</f>
        <v>3930.50375987056</v>
      </c>
      <c r="S69" s="67" t="n">
        <f aca="false">-S30*Inputs!$B$65/30</f>
        <v>3930.50375987056</v>
      </c>
      <c r="T69" s="67" t="n">
        <f aca="false">-T30*Inputs!$B$65/30</f>
        <v>3930.50375987056</v>
      </c>
      <c r="U69" s="67" t="n">
        <f aca="false">-U30*Inputs!$B$65/30</f>
        <v>3930.50375987056</v>
      </c>
      <c r="V69" s="67" t="n">
        <f aca="false">-V30*Inputs!$B$65/30</f>
        <v>3930.50375987056</v>
      </c>
      <c r="W69" s="67" t="n">
        <f aca="false">-W30*Inputs!$B$65/30</f>
        <v>3930.50375987056</v>
      </c>
      <c r="X69" s="67" t="n">
        <f aca="false">-X30*Inputs!$B$65/30</f>
        <v>3930.50375987056</v>
      </c>
      <c r="Y69" s="67" t="n">
        <f aca="false">-Y30*Inputs!$B$65/30</f>
        <v>4616.8084798382</v>
      </c>
      <c r="Z69" s="67" t="n">
        <f aca="false">-Z30*Inputs!$B$65/30</f>
        <v>4616.8084798382</v>
      </c>
      <c r="AA69" s="67" t="n">
        <f aca="false">-AA30*Inputs!$B$65/30</f>
        <v>4133.83431385065</v>
      </c>
      <c r="AB69" s="67" t="n">
        <f aca="false">-AB30*Inputs!$B$65/30</f>
        <v>4133.83431385065</v>
      </c>
      <c r="AC69" s="67" t="n">
        <f aca="false">-AC30*Inputs!$B$65/30</f>
        <v>4133.83431385065</v>
      </c>
      <c r="AD69" s="67" t="n">
        <f aca="false">-AD30*Inputs!$B$65/30</f>
        <v>4133.83431385065</v>
      </c>
      <c r="AE69" s="67" t="n">
        <f aca="false">-AE30*Inputs!$B$65/30</f>
        <v>4133.83431385065</v>
      </c>
      <c r="AF69" s="67" t="n">
        <f aca="false">-AF30*Inputs!$B$65/30</f>
        <v>4133.83431385065</v>
      </c>
      <c r="AG69" s="67" t="n">
        <f aca="false">-AG30*Inputs!$B$65/30</f>
        <v>4133.83431385065</v>
      </c>
      <c r="AH69" s="67" t="n">
        <f aca="false">-AH30*Inputs!$B$65/30</f>
        <v>4133.83431385065</v>
      </c>
      <c r="AI69" s="67" t="n">
        <f aca="false">-AI30*Inputs!$B$65/30</f>
        <v>4133.83431385065</v>
      </c>
      <c r="AJ69" s="67" t="n">
        <f aca="false">-AJ30*Inputs!$B$65/30</f>
        <v>4133.83431385065</v>
      </c>
      <c r="AK69" s="67" t="n">
        <f aca="false">-AK30*Inputs!$B$65/30</f>
        <v>4840.86543636132</v>
      </c>
      <c r="AL69" s="67" t="n">
        <f aca="false">-AL30*Inputs!$B$65/30</f>
        <v>4840.86543636132</v>
      </c>
      <c r="AM69" s="67" t="n">
        <f aca="false">-AM30*Inputs!$B$65/30</f>
        <v>4351.90379154883</v>
      </c>
      <c r="AN69" s="67" t="n">
        <f aca="false">-AN30*Inputs!$B$65/30</f>
        <v>4351.90379154883</v>
      </c>
      <c r="AO69" s="67" t="n">
        <f aca="false">-AO30*Inputs!$B$65/30</f>
        <v>4351.90379154883</v>
      </c>
      <c r="AP69" s="67" t="n">
        <f aca="false">-AP30*Inputs!$B$65/30</f>
        <v>4351.90379154883</v>
      </c>
      <c r="AQ69" s="67" t="n">
        <f aca="false">-AQ30*Inputs!$B$65/30</f>
        <v>4351.90379154883</v>
      </c>
      <c r="AR69" s="67" t="n">
        <f aca="false">-AR30*Inputs!$B$65/30</f>
        <v>4351.90379154883</v>
      </c>
      <c r="AS69" s="67" t="n">
        <f aca="false">-AS30*Inputs!$B$65/30</f>
        <v>4351.90379154883</v>
      </c>
      <c r="AT69" s="67" t="n">
        <f aca="false">-AT30*Inputs!$B$65/30</f>
        <v>4351.90379154883</v>
      </c>
      <c r="AU69" s="67" t="n">
        <f aca="false">-AU30*Inputs!$B$65/30</f>
        <v>4351.90379154883</v>
      </c>
      <c r="AV69" s="67" t="n">
        <f aca="false">-AV30*Inputs!$B$65/30</f>
        <v>4351.90379154883</v>
      </c>
      <c r="AW69" s="67" t="n">
        <f aca="false">-AW30*Inputs!$B$65/30</f>
        <v>5080.28725395932</v>
      </c>
      <c r="AX69" s="67" t="n">
        <f aca="false">-AX30*Inputs!$B$65/30</f>
        <v>5080.28725395932</v>
      </c>
      <c r="AY69" s="67" t="n">
        <f aca="false">-AY30*Inputs!$B$65/30</f>
        <v>4586.03089990576</v>
      </c>
      <c r="AZ69" s="67" t="n">
        <f aca="false">-AZ30*Inputs!$B$65/30</f>
        <v>4586.03089990576</v>
      </c>
      <c r="BA69" s="67" t="n">
        <f aca="false">-BA30*Inputs!$B$65/30</f>
        <v>4586.03089990576</v>
      </c>
      <c r="BB69" s="67" t="n">
        <f aca="false">-BB30*Inputs!$B$65/30</f>
        <v>4586.03089990576</v>
      </c>
      <c r="BC69" s="67" t="n">
        <f aca="false">-BC30*Inputs!$B$65/30</f>
        <v>4586.03089990576</v>
      </c>
      <c r="BD69" s="67" t="n">
        <f aca="false">-BD30*Inputs!$B$65/30</f>
        <v>4586.03089990576</v>
      </c>
      <c r="BE69" s="67" t="n">
        <f aca="false">-BE30*Inputs!$B$65/30</f>
        <v>4586.03089990576</v>
      </c>
      <c r="BF69" s="67" t="n">
        <f aca="false">-BF30*Inputs!$B$65/30</f>
        <v>4586.03089990576</v>
      </c>
      <c r="BG69" s="67" t="n">
        <f aca="false">-BG30*Inputs!$B$65/30</f>
        <v>4586.03089990576</v>
      </c>
      <c r="BH69" s="67" t="n">
        <f aca="false">-BH30*Inputs!$B$65/30</f>
        <v>4586.03089990576</v>
      </c>
      <c r="BI69" s="67" t="n">
        <f aca="false">-BI30*Inputs!$B$65/30</f>
        <v>5336.41154288104</v>
      </c>
      <c r="BJ69" s="67" t="n">
        <f aca="false">-BJ30*Inputs!$B$65/30</f>
        <v>5336.41154288104</v>
      </c>
    </row>
    <row r="70" customFormat="false" ht="15" hidden="false" customHeight="false" outlineLevel="0" collapsed="false">
      <c r="A70" s="6" t="s">
        <v>94</v>
      </c>
      <c r="C70" s="67" t="n">
        <f aca="false">-C30*Inputs!$B$66/30</f>
        <v>18977.694588764</v>
      </c>
      <c r="D70" s="67" t="n">
        <f aca="false">-D30*Inputs!$B$66/30</f>
        <v>20133.2169707865</v>
      </c>
      <c r="E70" s="67" t="n">
        <f aca="false">-E30*Inputs!$B$66/30</f>
        <v>21288.739352809</v>
      </c>
      <c r="F70" s="67" t="n">
        <f aca="false">-F30*Inputs!$B$66/30</f>
        <v>22444.2617348315</v>
      </c>
      <c r="G70" s="67" t="n">
        <f aca="false">-G30*Inputs!$B$66/30</f>
        <v>22444.2617348315</v>
      </c>
      <c r="H70" s="67" t="n">
        <f aca="false">-H30*Inputs!$B$66/30</f>
        <v>22444.2617348315</v>
      </c>
      <c r="I70" s="67" t="n">
        <f aca="false">-I30*Inputs!$B$66/30</f>
        <v>22444.2617348315</v>
      </c>
      <c r="J70" s="67" t="n">
        <f aca="false">-J30*Inputs!$B$66/30</f>
        <v>22444.2617348315</v>
      </c>
      <c r="K70" s="67" t="n">
        <f aca="false">-K30*Inputs!$B$66/30</f>
        <v>22444.2617348315</v>
      </c>
      <c r="L70" s="67" t="n">
        <f aca="false">-L30*Inputs!$B$66/30</f>
        <v>22444.2617348315</v>
      </c>
      <c r="M70" s="67" t="n">
        <f aca="false">-M30*Inputs!$B$66/30</f>
        <v>26441.3771685393</v>
      </c>
      <c r="N70" s="67" t="n">
        <f aca="false">-N30*Inputs!$B$66/30</f>
        <v>26441.3771685393</v>
      </c>
      <c r="O70" s="67" t="n">
        <f aca="false">-O30*Inputs!$B$66/30</f>
        <v>23583.0225592234</v>
      </c>
      <c r="P70" s="67" t="n">
        <f aca="false">-P30*Inputs!$B$66/30</f>
        <v>23583.0225592234</v>
      </c>
      <c r="Q70" s="67" t="n">
        <f aca="false">-Q30*Inputs!$B$66/30</f>
        <v>23583.0225592234</v>
      </c>
      <c r="R70" s="67" t="n">
        <f aca="false">-R30*Inputs!$B$66/30</f>
        <v>23583.0225592234</v>
      </c>
      <c r="S70" s="67" t="n">
        <f aca="false">-S30*Inputs!$B$66/30</f>
        <v>23583.0225592234</v>
      </c>
      <c r="T70" s="67" t="n">
        <f aca="false">-T30*Inputs!$B$66/30</f>
        <v>23583.0225592234</v>
      </c>
      <c r="U70" s="67" t="n">
        <f aca="false">-U30*Inputs!$B$66/30</f>
        <v>23583.0225592234</v>
      </c>
      <c r="V70" s="67" t="n">
        <f aca="false">-V30*Inputs!$B$66/30</f>
        <v>23583.0225592234</v>
      </c>
      <c r="W70" s="67" t="n">
        <f aca="false">-W30*Inputs!$B$66/30</f>
        <v>23583.0225592234</v>
      </c>
      <c r="X70" s="67" t="n">
        <f aca="false">-X30*Inputs!$B$66/30</f>
        <v>23583.0225592234</v>
      </c>
      <c r="Y70" s="67" t="n">
        <f aca="false">-Y30*Inputs!$B$66/30</f>
        <v>27700.8508790292</v>
      </c>
      <c r="Z70" s="67" t="n">
        <f aca="false">-Z30*Inputs!$B$66/30</f>
        <v>27700.8508790292</v>
      </c>
      <c r="AA70" s="67" t="n">
        <f aca="false">-AA30*Inputs!$B$66/30</f>
        <v>24803.0058831039</v>
      </c>
      <c r="AB70" s="67" t="n">
        <f aca="false">-AB30*Inputs!$B$66/30</f>
        <v>24803.0058831039</v>
      </c>
      <c r="AC70" s="67" t="n">
        <f aca="false">-AC30*Inputs!$B$66/30</f>
        <v>24803.0058831039</v>
      </c>
      <c r="AD70" s="67" t="n">
        <f aca="false">-AD30*Inputs!$B$66/30</f>
        <v>24803.0058831039</v>
      </c>
      <c r="AE70" s="67" t="n">
        <f aca="false">-AE30*Inputs!$B$66/30</f>
        <v>24803.0058831039</v>
      </c>
      <c r="AF70" s="67" t="n">
        <f aca="false">-AF30*Inputs!$B$66/30</f>
        <v>24803.0058831039</v>
      </c>
      <c r="AG70" s="67" t="n">
        <f aca="false">-AG30*Inputs!$B$66/30</f>
        <v>24803.0058831039</v>
      </c>
      <c r="AH70" s="67" t="n">
        <f aca="false">-AH30*Inputs!$B$66/30</f>
        <v>24803.0058831039</v>
      </c>
      <c r="AI70" s="67" t="n">
        <f aca="false">-AI30*Inputs!$B$66/30</f>
        <v>24803.0058831039</v>
      </c>
      <c r="AJ70" s="67" t="n">
        <f aca="false">-AJ30*Inputs!$B$66/30</f>
        <v>24803.0058831039</v>
      </c>
      <c r="AK70" s="67" t="n">
        <f aca="false">-AK30*Inputs!$B$66/30</f>
        <v>29045.1926181679</v>
      </c>
      <c r="AL70" s="67" t="n">
        <f aca="false">-AL30*Inputs!$B$66/30</f>
        <v>29045.1926181679</v>
      </c>
      <c r="AM70" s="67" t="n">
        <f aca="false">-AM30*Inputs!$B$66/30</f>
        <v>26111.422749293</v>
      </c>
      <c r="AN70" s="67" t="n">
        <f aca="false">-AN30*Inputs!$B$66/30</f>
        <v>26111.422749293</v>
      </c>
      <c r="AO70" s="67" t="n">
        <f aca="false">-AO30*Inputs!$B$66/30</f>
        <v>26111.422749293</v>
      </c>
      <c r="AP70" s="67" t="n">
        <f aca="false">-AP30*Inputs!$B$66/30</f>
        <v>26111.422749293</v>
      </c>
      <c r="AQ70" s="67" t="n">
        <f aca="false">-AQ30*Inputs!$B$66/30</f>
        <v>26111.422749293</v>
      </c>
      <c r="AR70" s="67" t="n">
        <f aca="false">-AR30*Inputs!$B$66/30</f>
        <v>26111.422749293</v>
      </c>
      <c r="AS70" s="67" t="n">
        <f aca="false">-AS30*Inputs!$B$66/30</f>
        <v>26111.422749293</v>
      </c>
      <c r="AT70" s="67" t="n">
        <f aca="false">-AT30*Inputs!$B$66/30</f>
        <v>26111.422749293</v>
      </c>
      <c r="AU70" s="67" t="n">
        <f aca="false">-AU30*Inputs!$B$66/30</f>
        <v>26111.422749293</v>
      </c>
      <c r="AV70" s="67" t="n">
        <f aca="false">-AV30*Inputs!$B$66/30</f>
        <v>26111.422749293</v>
      </c>
      <c r="AW70" s="67" t="n">
        <f aca="false">-AW30*Inputs!$B$66/30</f>
        <v>30481.7235237559</v>
      </c>
      <c r="AX70" s="67" t="n">
        <f aca="false">-AX30*Inputs!$B$66/30</f>
        <v>30481.7235237559</v>
      </c>
      <c r="AY70" s="67" t="n">
        <f aca="false">-AY30*Inputs!$B$66/30</f>
        <v>27516.1853994346</v>
      </c>
      <c r="AZ70" s="67" t="n">
        <f aca="false">-AZ30*Inputs!$B$66/30</f>
        <v>27516.1853994346</v>
      </c>
      <c r="BA70" s="67" t="n">
        <f aca="false">-BA30*Inputs!$B$66/30</f>
        <v>27516.1853994346</v>
      </c>
      <c r="BB70" s="67" t="n">
        <f aca="false">-BB30*Inputs!$B$66/30</f>
        <v>27516.1853994346</v>
      </c>
      <c r="BC70" s="67" t="n">
        <f aca="false">-BC30*Inputs!$B$66/30</f>
        <v>27516.1853994346</v>
      </c>
      <c r="BD70" s="67" t="n">
        <f aca="false">-BD30*Inputs!$B$66/30</f>
        <v>27516.1853994346</v>
      </c>
      <c r="BE70" s="67" t="n">
        <f aca="false">-BE30*Inputs!$B$66/30</f>
        <v>27516.1853994346</v>
      </c>
      <c r="BF70" s="67" t="n">
        <f aca="false">-BF30*Inputs!$B$66/30</f>
        <v>27516.1853994346</v>
      </c>
      <c r="BG70" s="67" t="n">
        <f aca="false">-BG30*Inputs!$B$66/30</f>
        <v>27516.1853994346</v>
      </c>
      <c r="BH70" s="67" t="n">
        <f aca="false">-BH30*Inputs!$B$66/30</f>
        <v>27516.1853994346</v>
      </c>
      <c r="BI70" s="67" t="n">
        <f aca="false">-BI30*Inputs!$B$66/30</f>
        <v>32018.4692572863</v>
      </c>
      <c r="BJ70" s="67" t="n">
        <f aca="false">-BJ30*Inputs!$B$66/30</f>
        <v>32018.4692572863</v>
      </c>
    </row>
    <row r="71" customFormat="false" ht="15" hidden="false" customHeight="false" outlineLevel="0" collapsed="false">
      <c r="A71" s="6" t="s">
        <v>332</v>
      </c>
      <c r="C71" s="67" t="n">
        <f aca="false">-C68</f>
        <v>-28031.9</v>
      </c>
      <c r="D71" s="67" t="n">
        <f aca="false">C68-D68</f>
        <v>-1709.5</v>
      </c>
      <c r="E71" s="67" t="n">
        <f aca="false">D68-E68</f>
        <v>-1709.5</v>
      </c>
      <c r="F71" s="67" t="n">
        <f aca="false">E68-F68</f>
        <v>-1709.5</v>
      </c>
      <c r="G71" s="67" t="n">
        <f aca="false">F68-G68</f>
        <v>0</v>
      </c>
      <c r="H71" s="67" t="n">
        <f aca="false">G68-H68</f>
        <v>0</v>
      </c>
      <c r="I71" s="67" t="n">
        <f aca="false">H68-I68</f>
        <v>0</v>
      </c>
      <c r="J71" s="67" t="n">
        <f aca="false">I68-J68</f>
        <v>0</v>
      </c>
      <c r="K71" s="67" t="n">
        <f aca="false">J68-K68</f>
        <v>0</v>
      </c>
      <c r="L71" s="67" t="n">
        <f aca="false">K68-L68</f>
        <v>0</v>
      </c>
      <c r="M71" s="67" t="n">
        <f aca="false">L68-M68</f>
        <v>-6177.60000000001</v>
      </c>
      <c r="N71" s="67" t="n">
        <f aca="false">M68-N68</f>
        <v>0</v>
      </c>
      <c r="O71" s="67" t="n">
        <f aca="false">N68-O68</f>
        <v>4572.82592</v>
      </c>
      <c r="P71" s="67" t="n">
        <f aca="false">O68-P68</f>
        <v>0</v>
      </c>
      <c r="Q71" s="67" t="n">
        <f aca="false">P68-Q68</f>
        <v>0</v>
      </c>
      <c r="R71" s="67" t="n">
        <f aca="false">Q68-R68</f>
        <v>0</v>
      </c>
      <c r="S71" s="67" t="n">
        <f aca="false">R68-S68</f>
        <v>0</v>
      </c>
      <c r="T71" s="67" t="n">
        <f aca="false">S68-T68</f>
        <v>0</v>
      </c>
      <c r="U71" s="67" t="n">
        <f aca="false">T68-U68</f>
        <v>0</v>
      </c>
      <c r="V71" s="67" t="n">
        <f aca="false">U68-V68</f>
        <v>0</v>
      </c>
      <c r="W71" s="67" t="n">
        <f aca="false">V68-W68</f>
        <v>0</v>
      </c>
      <c r="X71" s="67" t="n">
        <f aca="false">W68-X68</f>
        <v>0</v>
      </c>
      <c r="Y71" s="67" t="n">
        <f aca="false">X68-Y68</f>
        <v>-6364.16352000001</v>
      </c>
      <c r="Z71" s="67" t="n">
        <f aca="false">Y68-Z68</f>
        <v>0</v>
      </c>
      <c r="AA71" s="67" t="n">
        <f aca="false">Z68-AA68</f>
        <v>4649.62693478401</v>
      </c>
      <c r="AB71" s="67" t="n">
        <f aca="false">AA68-AB68</f>
        <v>0</v>
      </c>
      <c r="AC71" s="67" t="n">
        <f aca="false">AB68-AC68</f>
        <v>0</v>
      </c>
      <c r="AD71" s="67" t="n">
        <f aca="false">AC68-AD68</f>
        <v>0</v>
      </c>
      <c r="AE71" s="67" t="n">
        <f aca="false">AD68-AE68</f>
        <v>0</v>
      </c>
      <c r="AF71" s="67" t="n">
        <f aca="false">AE68-AF68</f>
        <v>0</v>
      </c>
      <c r="AG71" s="67" t="n">
        <f aca="false">AF68-AG68</f>
        <v>0</v>
      </c>
      <c r="AH71" s="67" t="n">
        <f aca="false">AG68-AH68</f>
        <v>0</v>
      </c>
      <c r="AI71" s="67" t="n">
        <f aca="false">AH68-AI68</f>
        <v>0</v>
      </c>
      <c r="AJ71" s="67" t="n">
        <f aca="false">AI68-AJ68</f>
        <v>0</v>
      </c>
      <c r="AK71" s="67" t="n">
        <f aca="false">AJ68-AK68</f>
        <v>-6556.36125830399</v>
      </c>
      <c r="AL71" s="67" t="n">
        <f aca="false">AK68-AL68</f>
        <v>0</v>
      </c>
      <c r="AM71" s="67" t="n">
        <f aca="false">AL68-AM68</f>
        <v>4722.51943008967</v>
      </c>
      <c r="AN71" s="67" t="n">
        <f aca="false">AM68-AN68</f>
        <v>0</v>
      </c>
      <c r="AO71" s="67" t="n">
        <f aca="false">AN68-AO68</f>
        <v>0</v>
      </c>
      <c r="AP71" s="67" t="n">
        <f aca="false">AO68-AP68</f>
        <v>0</v>
      </c>
      <c r="AQ71" s="67" t="n">
        <f aca="false">AP68-AQ68</f>
        <v>0</v>
      </c>
      <c r="AR71" s="67" t="n">
        <f aca="false">AQ68-AR68</f>
        <v>0</v>
      </c>
      <c r="AS71" s="67" t="n">
        <f aca="false">AR68-AS68</f>
        <v>0</v>
      </c>
      <c r="AT71" s="67" t="n">
        <f aca="false">AS68-AT68</f>
        <v>0</v>
      </c>
      <c r="AU71" s="67" t="n">
        <f aca="false">AT68-AU68</f>
        <v>0</v>
      </c>
      <c r="AV71" s="67" t="n">
        <f aca="false">AU68-AV68</f>
        <v>0</v>
      </c>
      <c r="AW71" s="67" t="n">
        <f aca="false">AV68-AW68</f>
        <v>-6754.36336830479</v>
      </c>
      <c r="AX71" s="67" t="n">
        <f aca="false">AW68-AX68</f>
        <v>0</v>
      </c>
      <c r="AY71" s="67" t="n">
        <f aca="false">AX68-AY68</f>
        <v>4790.75261296013</v>
      </c>
      <c r="AZ71" s="67" t="n">
        <f aca="false">AY68-AZ68</f>
        <v>0</v>
      </c>
      <c r="BA71" s="67" t="n">
        <f aca="false">AZ68-BA68</f>
        <v>0</v>
      </c>
      <c r="BB71" s="67" t="n">
        <f aca="false">BA68-BB68</f>
        <v>0</v>
      </c>
      <c r="BC71" s="67" t="n">
        <f aca="false">BB68-BC68</f>
        <v>0</v>
      </c>
      <c r="BD71" s="67" t="n">
        <f aca="false">BC68-BD68</f>
        <v>0</v>
      </c>
      <c r="BE71" s="67" t="n">
        <f aca="false">BD68-BE68</f>
        <v>0</v>
      </c>
      <c r="BF71" s="67" t="n">
        <f aca="false">BE68-BF68</f>
        <v>0</v>
      </c>
      <c r="BG71" s="67" t="n">
        <f aca="false">BF68-BG68</f>
        <v>0</v>
      </c>
      <c r="BH71" s="67" t="n">
        <f aca="false">BG68-BH68</f>
        <v>0</v>
      </c>
      <c r="BI71" s="67" t="n">
        <f aca="false">BH68-BI68</f>
        <v>-6958.3451420276</v>
      </c>
      <c r="BJ71" s="67" t="n">
        <f aca="false">BI68-BJ68</f>
        <v>0</v>
      </c>
    </row>
    <row r="72" customFormat="false" ht="15" hidden="false" customHeight="false" outlineLevel="0" collapsed="false">
      <c r="A72" s="6" t="s">
        <v>333</v>
      </c>
      <c r="C72" s="67" t="n">
        <f aca="false">-C69</f>
        <v>-3162.94909812734</v>
      </c>
      <c r="D72" s="67" t="n">
        <f aca="false">C69-D69</f>
        <v>-192.587063670411</v>
      </c>
      <c r="E72" s="67" t="n">
        <f aca="false">D69-E69</f>
        <v>-192.587063670413</v>
      </c>
      <c r="F72" s="67" t="n">
        <f aca="false">E69-F69</f>
        <v>-192.587063670413</v>
      </c>
      <c r="G72" s="67" t="n">
        <f aca="false">F69-G69</f>
        <v>0</v>
      </c>
      <c r="H72" s="67" t="n">
        <f aca="false">G69-H69</f>
        <v>0</v>
      </c>
      <c r="I72" s="67" t="n">
        <f aca="false">H69-I69</f>
        <v>0</v>
      </c>
      <c r="J72" s="67" t="n">
        <f aca="false">I69-J69</f>
        <v>0</v>
      </c>
      <c r="K72" s="67" t="n">
        <f aca="false">J69-K69</f>
        <v>0</v>
      </c>
      <c r="L72" s="67" t="n">
        <f aca="false">K69-L69</f>
        <v>0</v>
      </c>
      <c r="M72" s="67" t="n">
        <f aca="false">L69-M69</f>
        <v>-666.185905617978</v>
      </c>
      <c r="N72" s="67" t="n">
        <f aca="false">M69-N69</f>
        <v>0</v>
      </c>
      <c r="O72" s="67" t="n">
        <f aca="false">N69-O69</f>
        <v>476.392434885992</v>
      </c>
      <c r="P72" s="67" t="n">
        <f aca="false">O69-P69</f>
        <v>0</v>
      </c>
      <c r="Q72" s="67" t="n">
        <f aca="false">P69-Q69</f>
        <v>0</v>
      </c>
      <c r="R72" s="67" t="n">
        <f aca="false">Q69-R69</f>
        <v>0</v>
      </c>
      <c r="S72" s="67" t="n">
        <f aca="false">R69-S69</f>
        <v>0</v>
      </c>
      <c r="T72" s="67" t="n">
        <f aca="false">S69-T69</f>
        <v>0</v>
      </c>
      <c r="U72" s="67" t="n">
        <f aca="false">T69-U69</f>
        <v>0</v>
      </c>
      <c r="V72" s="67" t="n">
        <f aca="false">U69-V69</f>
        <v>0</v>
      </c>
      <c r="W72" s="67" t="n">
        <f aca="false">V69-W69</f>
        <v>0</v>
      </c>
      <c r="X72" s="67" t="n">
        <f aca="false">W69-X69</f>
        <v>0</v>
      </c>
      <c r="Y72" s="67" t="n">
        <f aca="false">X69-Y69</f>
        <v>-686.304719967641</v>
      </c>
      <c r="Z72" s="67" t="n">
        <f aca="false">Y69-Z69</f>
        <v>0</v>
      </c>
      <c r="AA72" s="67" t="n">
        <f aca="false">Z69-AA69</f>
        <v>482.97416598755</v>
      </c>
      <c r="AB72" s="67" t="n">
        <f aca="false">AA69-AB69</f>
        <v>0</v>
      </c>
      <c r="AC72" s="67" t="n">
        <f aca="false">AB69-AC69</f>
        <v>0</v>
      </c>
      <c r="AD72" s="67" t="n">
        <f aca="false">AC69-AD69</f>
        <v>0</v>
      </c>
      <c r="AE72" s="67" t="n">
        <f aca="false">AD69-AE69</f>
        <v>0</v>
      </c>
      <c r="AF72" s="67" t="n">
        <f aca="false">AE69-AF69</f>
        <v>0</v>
      </c>
      <c r="AG72" s="67" t="n">
        <f aca="false">AF69-AG69</f>
        <v>0</v>
      </c>
      <c r="AH72" s="67" t="n">
        <f aca="false">AG69-AH69</f>
        <v>0</v>
      </c>
      <c r="AI72" s="67" t="n">
        <f aca="false">AH69-AI69</f>
        <v>0</v>
      </c>
      <c r="AJ72" s="67" t="n">
        <f aca="false">AI69-AJ69</f>
        <v>0</v>
      </c>
      <c r="AK72" s="67" t="n">
        <f aca="false">AJ69-AK69</f>
        <v>-707.031122510663</v>
      </c>
      <c r="AL72" s="67" t="n">
        <f aca="false">AK69-AL69</f>
        <v>0</v>
      </c>
      <c r="AM72" s="67" t="n">
        <f aca="false">AL69-AM69</f>
        <v>488.961644812483</v>
      </c>
      <c r="AN72" s="67" t="n">
        <f aca="false">AM69-AN69</f>
        <v>0</v>
      </c>
      <c r="AO72" s="67" t="n">
        <f aca="false">AN69-AO69</f>
        <v>0</v>
      </c>
      <c r="AP72" s="67" t="n">
        <f aca="false">AO69-AP69</f>
        <v>0</v>
      </c>
      <c r="AQ72" s="67" t="n">
        <f aca="false">AP69-AQ69</f>
        <v>0</v>
      </c>
      <c r="AR72" s="67" t="n">
        <f aca="false">AQ69-AR69</f>
        <v>0</v>
      </c>
      <c r="AS72" s="67" t="n">
        <f aca="false">AR69-AS69</f>
        <v>0</v>
      </c>
      <c r="AT72" s="67" t="n">
        <f aca="false">AS69-AT69</f>
        <v>0</v>
      </c>
      <c r="AU72" s="67" t="n">
        <f aca="false">AT69-AU69</f>
        <v>0</v>
      </c>
      <c r="AV72" s="67" t="n">
        <f aca="false">AU69-AV69</f>
        <v>0</v>
      </c>
      <c r="AW72" s="67" t="n">
        <f aca="false">AV69-AW69</f>
        <v>-728.383462410487</v>
      </c>
      <c r="AX72" s="67" t="n">
        <f aca="false">AW69-AX69</f>
        <v>0</v>
      </c>
      <c r="AY72" s="67" t="n">
        <f aca="false">AX69-AY69</f>
        <v>494.25635405356</v>
      </c>
      <c r="AZ72" s="67" t="n">
        <f aca="false">AY69-AZ69</f>
        <v>0</v>
      </c>
      <c r="BA72" s="67" t="n">
        <f aca="false">AZ69-BA69</f>
        <v>0</v>
      </c>
      <c r="BB72" s="67" t="n">
        <f aca="false">BA69-BB69</f>
        <v>0</v>
      </c>
      <c r="BC72" s="67" t="n">
        <f aca="false">BB69-BC69</f>
        <v>0</v>
      </c>
      <c r="BD72" s="67" t="n">
        <f aca="false">BC69-BD69</f>
        <v>0</v>
      </c>
      <c r="BE72" s="67" t="n">
        <f aca="false">BD69-BE69</f>
        <v>0</v>
      </c>
      <c r="BF72" s="67" t="n">
        <f aca="false">BE69-BF69</f>
        <v>0</v>
      </c>
      <c r="BG72" s="67" t="n">
        <f aca="false">BF69-BG69</f>
        <v>0</v>
      </c>
      <c r="BH72" s="67" t="n">
        <f aca="false">BG69-BH69</f>
        <v>0</v>
      </c>
      <c r="BI72" s="67" t="n">
        <f aca="false">BH69-BI69</f>
        <v>-750.380642975283</v>
      </c>
      <c r="BJ72" s="67" t="n">
        <f aca="false">BI69-BJ69</f>
        <v>0</v>
      </c>
    </row>
    <row r="73" customFormat="false" ht="15" hidden="false" customHeight="false" outlineLevel="0" collapsed="false">
      <c r="A73" s="6" t="s">
        <v>334</v>
      </c>
      <c r="C73" s="67" t="n">
        <f aca="false">C70</f>
        <v>18977.694588764</v>
      </c>
      <c r="D73" s="67" t="n">
        <f aca="false">D70-C70</f>
        <v>1155.52238202246</v>
      </c>
      <c r="E73" s="67" t="n">
        <f aca="false">E70-D70</f>
        <v>1155.52238202247</v>
      </c>
      <c r="F73" s="67" t="n">
        <f aca="false">F70-E70</f>
        <v>1155.52238202247</v>
      </c>
      <c r="G73" s="67" t="n">
        <f aca="false">G70-F70</f>
        <v>0</v>
      </c>
      <c r="H73" s="67" t="n">
        <f aca="false">H70-G70</f>
        <v>0</v>
      </c>
      <c r="I73" s="67" t="n">
        <f aca="false">I70-H70</f>
        <v>0</v>
      </c>
      <c r="J73" s="67" t="n">
        <f aca="false">J70-I70</f>
        <v>0</v>
      </c>
      <c r="K73" s="67" t="n">
        <f aca="false">K70-J70</f>
        <v>0</v>
      </c>
      <c r="L73" s="67" t="n">
        <f aca="false">L70-K70</f>
        <v>0</v>
      </c>
      <c r="M73" s="67" t="n">
        <f aca="false">M70-L70</f>
        <v>3997.11543370787</v>
      </c>
      <c r="N73" s="67" t="n">
        <f aca="false">N70-M70</f>
        <v>0</v>
      </c>
      <c r="O73" s="67" t="n">
        <f aca="false">O70-N70</f>
        <v>-2858.35460931596</v>
      </c>
      <c r="P73" s="67" t="n">
        <f aca="false">P70-O70</f>
        <v>0</v>
      </c>
      <c r="Q73" s="67" t="n">
        <f aca="false">Q70-P70</f>
        <v>0</v>
      </c>
      <c r="R73" s="67" t="n">
        <f aca="false">R70-Q70</f>
        <v>0</v>
      </c>
      <c r="S73" s="67" t="n">
        <f aca="false">S70-R70</f>
        <v>0</v>
      </c>
      <c r="T73" s="67" t="n">
        <f aca="false">T70-S70</f>
        <v>0</v>
      </c>
      <c r="U73" s="67" t="n">
        <f aca="false">U70-T70</f>
        <v>0</v>
      </c>
      <c r="V73" s="67" t="n">
        <f aca="false">V70-U70</f>
        <v>0</v>
      </c>
      <c r="W73" s="67" t="n">
        <f aca="false">W70-V70</f>
        <v>0</v>
      </c>
      <c r="X73" s="67" t="n">
        <f aca="false">X70-W70</f>
        <v>0</v>
      </c>
      <c r="Y73" s="67" t="n">
        <f aca="false">Y70-X70</f>
        <v>4117.82831980585</v>
      </c>
      <c r="Z73" s="67" t="n">
        <f aca="false">Z70-Y70</f>
        <v>0</v>
      </c>
      <c r="AA73" s="67" t="n">
        <f aca="false">AA70-Z70</f>
        <v>-2897.8449959253</v>
      </c>
      <c r="AB73" s="67" t="n">
        <f aca="false">AB70-AA70</f>
        <v>0</v>
      </c>
      <c r="AC73" s="67" t="n">
        <f aca="false">AC70-AB70</f>
        <v>0</v>
      </c>
      <c r="AD73" s="67" t="n">
        <f aca="false">AD70-AC70</f>
        <v>0</v>
      </c>
      <c r="AE73" s="67" t="n">
        <f aca="false">AE70-AD70</f>
        <v>0</v>
      </c>
      <c r="AF73" s="67" t="n">
        <f aca="false">AF70-AE70</f>
        <v>0</v>
      </c>
      <c r="AG73" s="67" t="n">
        <f aca="false">AG70-AF70</f>
        <v>0</v>
      </c>
      <c r="AH73" s="67" t="n">
        <f aca="false">AH70-AG70</f>
        <v>0</v>
      </c>
      <c r="AI73" s="67" t="n">
        <f aca="false">AI70-AH70</f>
        <v>0</v>
      </c>
      <c r="AJ73" s="67" t="n">
        <f aca="false">AJ70-AI70</f>
        <v>0</v>
      </c>
      <c r="AK73" s="67" t="n">
        <f aca="false">AK70-AJ70</f>
        <v>4242.18673506398</v>
      </c>
      <c r="AL73" s="67" t="n">
        <f aca="false">AL70-AK70</f>
        <v>0</v>
      </c>
      <c r="AM73" s="67" t="n">
        <f aca="false">AM70-AL70</f>
        <v>-2933.76986887489</v>
      </c>
      <c r="AN73" s="67" t="n">
        <f aca="false">AN70-AM70</f>
        <v>0</v>
      </c>
      <c r="AO73" s="67" t="n">
        <f aca="false">AO70-AN70</f>
        <v>0</v>
      </c>
      <c r="AP73" s="67" t="n">
        <f aca="false">AP70-AO70</f>
        <v>0</v>
      </c>
      <c r="AQ73" s="67" t="n">
        <f aca="false">AQ70-AP70</f>
        <v>0</v>
      </c>
      <c r="AR73" s="67" t="n">
        <f aca="false">AR70-AQ70</f>
        <v>0</v>
      </c>
      <c r="AS73" s="67" t="n">
        <f aca="false">AS70-AR70</f>
        <v>0</v>
      </c>
      <c r="AT73" s="67" t="n">
        <f aca="false">AT70-AS70</f>
        <v>0</v>
      </c>
      <c r="AU73" s="67" t="n">
        <f aca="false">AU70-AT70</f>
        <v>0</v>
      </c>
      <c r="AV73" s="67" t="n">
        <f aca="false">AV70-AU70</f>
        <v>0</v>
      </c>
      <c r="AW73" s="67" t="n">
        <f aca="false">AW70-AV70</f>
        <v>4370.30077446291</v>
      </c>
      <c r="AX73" s="67" t="n">
        <f aca="false">AX70-AW70</f>
        <v>0</v>
      </c>
      <c r="AY73" s="67" t="n">
        <f aca="false">AY70-AX70</f>
        <v>-2965.53812432136</v>
      </c>
      <c r="AZ73" s="67" t="n">
        <f aca="false">AZ70-AY70</f>
        <v>0</v>
      </c>
      <c r="BA73" s="67" t="n">
        <f aca="false">BA70-AZ70</f>
        <v>0</v>
      </c>
      <c r="BB73" s="67" t="n">
        <f aca="false">BB70-BA70</f>
        <v>0</v>
      </c>
      <c r="BC73" s="67" t="n">
        <f aca="false">BC70-BB70</f>
        <v>0</v>
      </c>
      <c r="BD73" s="67" t="n">
        <f aca="false">BD70-BC70</f>
        <v>0</v>
      </c>
      <c r="BE73" s="67" t="n">
        <f aca="false">BE70-BD70</f>
        <v>0</v>
      </c>
      <c r="BF73" s="67" t="n">
        <f aca="false">BF70-BE70</f>
        <v>0</v>
      </c>
      <c r="BG73" s="67" t="n">
        <f aca="false">BG70-BF70</f>
        <v>0</v>
      </c>
      <c r="BH73" s="67" t="n">
        <f aca="false">BH70-BG70</f>
        <v>0</v>
      </c>
      <c r="BI73" s="67" t="n">
        <f aca="false">BI70-BH70</f>
        <v>4502.28385785169</v>
      </c>
      <c r="BJ73" s="67" t="n">
        <f aca="false">BJ70-BI70</f>
        <v>0</v>
      </c>
    </row>
    <row r="75" customFormat="false" ht="15.75" hidden="false" customHeight="true" outlineLevel="0" collapsed="false">
      <c r="A75" s="7" t="s">
        <v>422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customFormat="false" ht="15" hidden="false" customHeight="false" outlineLevel="0" collapsed="false">
      <c r="A76" s="4" t="s">
        <v>52</v>
      </c>
      <c r="C76" s="73" t="n">
        <f aca="false">C52-C57+C71+C72+C73</f>
        <v>-26585.8851573034</v>
      </c>
      <c r="D76" s="73" t="n">
        <f aca="false">D52-D57+D71+D72+D73</f>
        <v>-11721.6754107366</v>
      </c>
      <c r="E76" s="73" t="n">
        <f aca="false">E52-E57+E71+E72+E73</f>
        <v>-8323.33326966292</v>
      </c>
      <c r="F76" s="73" t="n">
        <f aca="false">F52-F57+F71+F72+F73</f>
        <v>-4924.99112858926</v>
      </c>
      <c r="G76" s="73" t="n">
        <f aca="false">G52-G57+G71+G72+G73</f>
        <v>-4168.98200249688</v>
      </c>
      <c r="H76" s="73" t="n">
        <f aca="false">H52-H57+H71+H72+H73</f>
        <v>-4159.53755805244</v>
      </c>
      <c r="I76" s="73" t="n">
        <f aca="false">I52-I57+I71+I72+I73</f>
        <v>-4150.09311360799</v>
      </c>
      <c r="J76" s="73" t="n">
        <f aca="false">J52-J57+J71+J72+J73</f>
        <v>-4140.64866916355</v>
      </c>
      <c r="K76" s="73" t="n">
        <f aca="false">K52-K57+K71+K72+K73</f>
        <v>-4131.2042247191</v>
      </c>
      <c r="L76" s="73" t="n">
        <f aca="false">L52-L57+L71+L72+L73</f>
        <v>-4121.75978027466</v>
      </c>
      <c r="M76" s="73" t="n">
        <f aca="false">M52-M57+M71+M72+M73</f>
        <v>5920.96313607991</v>
      </c>
      <c r="N76" s="73" t="n">
        <f aca="false">N52-N57+N71+N72+N73</f>
        <v>8777.07805243447</v>
      </c>
      <c r="O76" s="73" t="n">
        <f aca="false">O52-O57+O71+O72+O73</f>
        <v>-2859.75446895778</v>
      </c>
      <c r="P76" s="73" t="n">
        <f aca="false">P52-P57+P71+P72+P73</f>
        <v>-5041.17377008338</v>
      </c>
      <c r="Q76" s="73" t="n">
        <f aca="false">Q52-Q57+Q71+Q72+Q73</f>
        <v>-5031.72932563893</v>
      </c>
      <c r="R76" s="73" t="n">
        <f aca="false">R52-R57+R71+R72+R73</f>
        <v>-5022.28488119449</v>
      </c>
      <c r="S76" s="73" t="n">
        <f aca="false">S52-S57+S71+S72+S73</f>
        <v>-5012.84043675005</v>
      </c>
      <c r="T76" s="73" t="n">
        <f aca="false">T52-T57+T71+T72+T73</f>
        <v>-5003.3959923056</v>
      </c>
      <c r="U76" s="73" t="n">
        <f aca="false">U52-U57+U71+U72+U73</f>
        <v>-4993.95154786116</v>
      </c>
      <c r="V76" s="73" t="n">
        <f aca="false">V52-V57+V71+V72+V73</f>
        <v>-4984.50710341671</v>
      </c>
      <c r="W76" s="73" t="n">
        <f aca="false">W52-W57+W71+W72+W73</f>
        <v>-4975.06265897227</v>
      </c>
      <c r="X76" s="73" t="n">
        <f aca="false">X52-X57+X71+X72+X73</f>
        <v>-4965.61821452782</v>
      </c>
      <c r="Y76" s="73" t="n">
        <f aca="false">Y52-Y57+Y71+Y72+Y73</f>
        <v>5380.10971167844</v>
      </c>
      <c r="Z76" s="73" t="n">
        <f aca="false">Z52-Z57+Z71+Z72+Z73</f>
        <v>8322.19407628468</v>
      </c>
      <c r="AA76" s="73" t="n">
        <f aca="false">AA52-AA57+AA71+AA72+AA73</f>
        <v>-3808.10053595587</v>
      </c>
      <c r="AB76" s="73" t="n">
        <f aca="false">AB52-AB57+AB71+AB72+AB73</f>
        <v>-6033.41219635769</v>
      </c>
      <c r="AC76" s="73" t="n">
        <f aca="false">AC52-AC57+AC71+AC72+AC73</f>
        <v>-6023.96775191324</v>
      </c>
      <c r="AD76" s="73" t="n">
        <f aca="false">AD52-AD57+AD71+AD72+AD73</f>
        <v>-6014.5233074688</v>
      </c>
      <c r="AE76" s="73" t="n">
        <f aca="false">AE52-AE57+AE71+AE72+AE73</f>
        <v>-6005.07886302435</v>
      </c>
      <c r="AF76" s="73" t="n">
        <f aca="false">AF52-AF57+AF71+AF72+AF73</f>
        <v>-5995.63441857991</v>
      </c>
      <c r="AG76" s="73" t="n">
        <f aca="false">AG52-AG57+AG71+AG72+AG73</f>
        <v>-5986.18997413547</v>
      </c>
      <c r="AH76" s="73" t="n">
        <f aca="false">AH52-AH57+AH71+AH72+AH73</f>
        <v>-5976.74552969102</v>
      </c>
      <c r="AI76" s="73" t="n">
        <f aca="false">AI52-AI57+AI71+AI72+AI73</f>
        <v>-5967.30108524658</v>
      </c>
      <c r="AJ76" s="73" t="n">
        <f aca="false">AJ52-AJ57+AJ71+AJ72+AJ73</f>
        <v>-5957.85664080213</v>
      </c>
      <c r="AK76" s="73" t="n">
        <f aca="false">AK52-AK57+AK71+AK72+AK73</f>
        <v>4700.02704655331</v>
      </c>
      <c r="AL76" s="73" t="n">
        <f aca="false">AL52-AL57+AL71+AL72+AL73</f>
        <v>7730.67713674843</v>
      </c>
      <c r="AM76" s="73" t="n">
        <f aca="false">AM52-AM57+AM71+AM72+AM73</f>
        <v>-4919.89651875546</v>
      </c>
      <c r="AN76" s="73" t="n">
        <f aca="false">AN52-AN57+AN71+AN72+AN73</f>
        <v>-7188.16328033827</v>
      </c>
      <c r="AO76" s="73" t="n">
        <f aca="false">AO52-AO57+AO71+AO72+AO73</f>
        <v>-7178.71883589383</v>
      </c>
      <c r="AP76" s="73" t="n">
        <f aca="false">AP52-AP57+AP71+AP72+AP73</f>
        <v>-7169.27439144938</v>
      </c>
      <c r="AQ76" s="73" t="n">
        <f aca="false">AQ52-AQ57+AQ71+AQ72+AQ73</f>
        <v>-7159.82994700494</v>
      </c>
      <c r="AR76" s="73" t="n">
        <f aca="false">AR52-AR57+AR71+AR72+AR73</f>
        <v>-7150.3855025605</v>
      </c>
      <c r="AS76" s="73" t="n">
        <f aca="false">AS52-AS57+AS71+AS72+AS73</f>
        <v>-7140.94105811605</v>
      </c>
      <c r="AT76" s="73" t="n">
        <f aca="false">AT52-AT57+AT71+AT72+AT73</f>
        <v>-7131.49661367161</v>
      </c>
      <c r="AU76" s="73" t="n">
        <f aca="false">AU52-AU57+AU71+AU72+AU73</f>
        <v>-7122.05216922716</v>
      </c>
      <c r="AV76" s="73" t="n">
        <f aca="false">AV52-AV57+AV71+AV72+AV73</f>
        <v>-7112.60772478272</v>
      </c>
      <c r="AW76" s="73" t="n">
        <f aca="false">AW52-AW57+AW71+AW72+AW73</f>
        <v>3866.85882770863</v>
      </c>
      <c r="AX76" s="73" t="n">
        <f aca="false">AX52-AX57+AX71+AX72+AX73</f>
        <v>6988.74932840544</v>
      </c>
      <c r="AY76" s="73" t="n">
        <f aca="false">AY52-AY57+AY71+AY72+AY73</f>
        <v>-6210.71489168866</v>
      </c>
      <c r="AZ76" s="73" t="n">
        <f aca="false">AZ52-AZ57+AZ71+AZ72+AZ73</f>
        <v>-8520.74128993655</v>
      </c>
      <c r="BA76" s="73" t="n">
        <f aca="false">BA52-BA57+BA71+BA72+BA73</f>
        <v>-8511.2968454921</v>
      </c>
      <c r="BB76" s="73" t="n">
        <f aca="false">BB52-BB57+BB71+BB72+BB73</f>
        <v>-8501.85240104766</v>
      </c>
      <c r="BC76" s="73" t="n">
        <f aca="false">BC52-BC57+BC71+BC72+BC73</f>
        <v>-8492.40795660321</v>
      </c>
      <c r="BD76" s="73" t="n">
        <f aca="false">BD52-BD57+BD71+BD72+BD73</f>
        <v>-8482.96351215877</v>
      </c>
      <c r="BE76" s="73" t="n">
        <f aca="false">BE52-BE57+BE71+BE72+BE73</f>
        <v>-8473.51906771432</v>
      </c>
      <c r="BF76" s="73" t="n">
        <f aca="false">BF52-BF57+BF71+BF72+BF73</f>
        <v>-8464.07462326988</v>
      </c>
      <c r="BG76" s="73" t="n">
        <f aca="false">BG52-BG57+BG71+BG72+BG73</f>
        <v>-8454.63017882544</v>
      </c>
      <c r="BH76" s="73" t="n">
        <f aca="false">BH52-BH57+BH71+BH72+BH73</f>
        <v>-8445.18573438099</v>
      </c>
      <c r="BI76" s="73" t="n">
        <f aca="false">BI52-BI57+BI71+BI72+BI73</f>
        <v>2865.57548577341</v>
      </c>
      <c r="BJ76" s="73" t="n">
        <f aca="false">BJ52-BJ57+BJ71+BJ72+BJ73</f>
        <v>6081.46185736904</v>
      </c>
    </row>
    <row r="77" customFormat="false" ht="15" hidden="false" customHeight="false" outlineLevel="0" collapsed="false">
      <c r="A77" s="6" t="s">
        <v>423</v>
      </c>
      <c r="C77" s="67" t="n">
        <f aca="false">-C55</f>
        <v>-90000</v>
      </c>
      <c r="D77" s="67" t="n">
        <f aca="false">-D55</f>
        <v>-0</v>
      </c>
      <c r="E77" s="67" t="n">
        <f aca="false">-E55</f>
        <v>-0</v>
      </c>
      <c r="F77" s="67" t="n">
        <f aca="false">-F55</f>
        <v>-0</v>
      </c>
      <c r="G77" s="67" t="n">
        <f aca="false">-G55</f>
        <v>-0</v>
      </c>
      <c r="H77" s="67" t="n">
        <f aca="false">-H55</f>
        <v>-0</v>
      </c>
      <c r="I77" s="67" t="n">
        <f aca="false">-I55</f>
        <v>-0</v>
      </c>
      <c r="J77" s="67" t="n">
        <f aca="false">-J55</f>
        <v>-0</v>
      </c>
      <c r="K77" s="67" t="n">
        <f aca="false">-K55</f>
        <v>-0</v>
      </c>
      <c r="L77" s="67" t="n">
        <f aca="false">-L55</f>
        <v>-0</v>
      </c>
      <c r="M77" s="67" t="n">
        <f aca="false">-M55</f>
        <v>-0</v>
      </c>
      <c r="N77" s="67" t="n">
        <f aca="false">-N55</f>
        <v>-0</v>
      </c>
      <c r="O77" s="67" t="n">
        <f aca="false">-O55</f>
        <v>-1166.66666666667</v>
      </c>
      <c r="P77" s="67" t="n">
        <f aca="false">-P55</f>
        <v>-1166.66666666667</v>
      </c>
      <c r="Q77" s="67" t="n">
        <f aca="false">-Q55</f>
        <v>-1166.66666666667</v>
      </c>
      <c r="R77" s="67" t="n">
        <f aca="false">-R55</f>
        <v>-1166.66666666667</v>
      </c>
      <c r="S77" s="67" t="n">
        <f aca="false">-S55</f>
        <v>-1166.66666666667</v>
      </c>
      <c r="T77" s="67" t="n">
        <f aca="false">-T55</f>
        <v>-1166.66666666667</v>
      </c>
      <c r="U77" s="67" t="n">
        <f aca="false">-U55</f>
        <v>-1166.66666666667</v>
      </c>
      <c r="V77" s="67" t="n">
        <f aca="false">-V55</f>
        <v>-1166.66666666667</v>
      </c>
      <c r="W77" s="67" t="n">
        <f aca="false">-W55</f>
        <v>-1166.66666666667</v>
      </c>
      <c r="X77" s="67" t="n">
        <f aca="false">-X55</f>
        <v>-1166.66666666667</v>
      </c>
      <c r="Y77" s="67" t="n">
        <f aca="false">-Y55</f>
        <v>-1166.66666666667</v>
      </c>
      <c r="Z77" s="67" t="n">
        <f aca="false">-Z55</f>
        <v>-1166.66666666667</v>
      </c>
      <c r="AA77" s="67" t="n">
        <f aca="false">-AA55</f>
        <v>-1166.66666666667</v>
      </c>
      <c r="AB77" s="67" t="n">
        <f aca="false">-AB55</f>
        <v>-1166.66666666667</v>
      </c>
      <c r="AC77" s="67" t="n">
        <f aca="false">-AC55</f>
        <v>-1166.66666666667</v>
      </c>
      <c r="AD77" s="67" t="n">
        <f aca="false">-AD55</f>
        <v>-1166.66666666667</v>
      </c>
      <c r="AE77" s="67" t="n">
        <f aca="false">-AE55</f>
        <v>-1166.66666666667</v>
      </c>
      <c r="AF77" s="67" t="n">
        <f aca="false">-AF55</f>
        <v>-1166.66666666667</v>
      </c>
      <c r="AG77" s="67" t="n">
        <f aca="false">-AG55</f>
        <v>-1166.66666666667</v>
      </c>
      <c r="AH77" s="67" t="n">
        <f aca="false">-AH55</f>
        <v>-1166.66666666667</v>
      </c>
      <c r="AI77" s="67" t="n">
        <f aca="false">-AI55</f>
        <v>-1166.66666666667</v>
      </c>
      <c r="AJ77" s="67" t="n">
        <f aca="false">-AJ55</f>
        <v>-1166.66666666667</v>
      </c>
      <c r="AK77" s="67" t="n">
        <f aca="false">-AK55</f>
        <v>-1166.66666666667</v>
      </c>
      <c r="AL77" s="67" t="n">
        <f aca="false">-AL55</f>
        <v>-1166.66666666667</v>
      </c>
      <c r="AM77" s="67" t="n">
        <f aca="false">-AM55</f>
        <v>-1166.66666666667</v>
      </c>
      <c r="AN77" s="67" t="n">
        <f aca="false">-AN55</f>
        <v>-1166.66666666667</v>
      </c>
      <c r="AO77" s="67" t="n">
        <f aca="false">-AO55</f>
        <v>-1166.66666666667</v>
      </c>
      <c r="AP77" s="67" t="n">
        <f aca="false">-AP55</f>
        <v>-1166.66666666667</v>
      </c>
      <c r="AQ77" s="67" t="n">
        <f aca="false">-AQ55</f>
        <v>-1166.66666666667</v>
      </c>
      <c r="AR77" s="67" t="n">
        <f aca="false">-AR55</f>
        <v>-1166.66666666667</v>
      </c>
      <c r="AS77" s="67" t="n">
        <f aca="false">-AS55</f>
        <v>-1166.66666666667</v>
      </c>
      <c r="AT77" s="67" t="n">
        <f aca="false">-AT55</f>
        <v>-1166.66666666667</v>
      </c>
      <c r="AU77" s="67" t="n">
        <f aca="false">-AU55</f>
        <v>-1166.66666666667</v>
      </c>
      <c r="AV77" s="67" t="n">
        <f aca="false">-AV55</f>
        <v>-1166.66666666667</v>
      </c>
      <c r="AW77" s="67" t="n">
        <f aca="false">-AW55</f>
        <v>-1166.66666666667</v>
      </c>
      <c r="AX77" s="67" t="n">
        <f aca="false">-AX55</f>
        <v>-1166.66666666667</v>
      </c>
      <c r="AY77" s="67" t="n">
        <f aca="false">-AY55</f>
        <v>-1166.66666666667</v>
      </c>
      <c r="AZ77" s="67" t="n">
        <f aca="false">-AZ55</f>
        <v>-1166.66666666667</v>
      </c>
      <c r="BA77" s="67" t="n">
        <f aca="false">-BA55</f>
        <v>-1166.66666666667</v>
      </c>
      <c r="BB77" s="67" t="n">
        <f aca="false">-BB55</f>
        <v>-1166.66666666667</v>
      </c>
      <c r="BC77" s="67" t="n">
        <f aca="false">-BC55</f>
        <v>-1166.66666666667</v>
      </c>
      <c r="BD77" s="67" t="n">
        <f aca="false">-BD55</f>
        <v>-1166.66666666667</v>
      </c>
      <c r="BE77" s="67" t="n">
        <f aca="false">-BE55</f>
        <v>-1166.66666666667</v>
      </c>
      <c r="BF77" s="67" t="n">
        <f aca="false">-BF55</f>
        <v>-1166.66666666667</v>
      </c>
      <c r="BG77" s="67" t="n">
        <f aca="false">-BG55</f>
        <v>-1166.66666666667</v>
      </c>
      <c r="BH77" s="67" t="n">
        <f aca="false">-BH55</f>
        <v>-1166.66666666667</v>
      </c>
      <c r="BI77" s="67" t="n">
        <f aca="false">-BI55</f>
        <v>-1166.66666666667</v>
      </c>
      <c r="BJ77" s="67" t="n">
        <f aca="false">-BJ55</f>
        <v>-1166.66666666667</v>
      </c>
    </row>
    <row r="78" customFormat="false" ht="15" hidden="false" customHeight="false" outlineLevel="0" collapsed="false">
      <c r="A78" s="6" t="s">
        <v>64</v>
      </c>
      <c r="C78" s="67" t="n">
        <f aca="false">IF(C$6=1,Inputs!$B$58,0)</f>
        <v>60000</v>
      </c>
      <c r="D78" s="67" t="n">
        <f aca="false">IF(D$6=1,Inputs!$B$58,0)</f>
        <v>0</v>
      </c>
      <c r="E78" s="67" t="n">
        <f aca="false">IF(E$6=1,Inputs!$B$58,0)</f>
        <v>0</v>
      </c>
      <c r="F78" s="67" t="n">
        <f aca="false">IF(F$6=1,Inputs!$B$58,0)</f>
        <v>0</v>
      </c>
      <c r="G78" s="67" t="n">
        <f aca="false">IF(G$6=1,Inputs!$B$58,0)</f>
        <v>0</v>
      </c>
      <c r="H78" s="67" t="n">
        <f aca="false">IF(H$6=1,Inputs!$B$58,0)</f>
        <v>0</v>
      </c>
      <c r="I78" s="67" t="n">
        <f aca="false">IF(I$6=1,Inputs!$B$58,0)</f>
        <v>0</v>
      </c>
      <c r="J78" s="67" t="n">
        <f aca="false">IF(J$6=1,Inputs!$B$58,0)</f>
        <v>0</v>
      </c>
      <c r="K78" s="67" t="n">
        <f aca="false">IF(K$6=1,Inputs!$B$58,0)</f>
        <v>0</v>
      </c>
      <c r="L78" s="67" t="n">
        <f aca="false">IF(L$6=1,Inputs!$B$58,0)</f>
        <v>0</v>
      </c>
      <c r="M78" s="67" t="n">
        <f aca="false">IF(M$6=1,Inputs!$B$58,0)</f>
        <v>0</v>
      </c>
      <c r="N78" s="67" t="n">
        <f aca="false">IF(N$6=1,Inputs!$B$58,0)</f>
        <v>0</v>
      </c>
      <c r="O78" s="67" t="n">
        <f aca="false">IF(O$6=1,Inputs!$B$58,0)</f>
        <v>0</v>
      </c>
      <c r="P78" s="67" t="n">
        <f aca="false">IF(P$6=1,Inputs!$B$58,0)</f>
        <v>0</v>
      </c>
      <c r="Q78" s="67" t="n">
        <f aca="false">IF(Q$6=1,Inputs!$B$58,0)</f>
        <v>0</v>
      </c>
      <c r="R78" s="67" t="n">
        <f aca="false">IF(R$6=1,Inputs!$B$58,0)</f>
        <v>0</v>
      </c>
      <c r="S78" s="67" t="n">
        <f aca="false">IF(S$6=1,Inputs!$B$58,0)</f>
        <v>0</v>
      </c>
      <c r="T78" s="67" t="n">
        <f aca="false">IF(T$6=1,Inputs!$B$58,0)</f>
        <v>0</v>
      </c>
      <c r="U78" s="67" t="n">
        <f aca="false">IF(U$6=1,Inputs!$B$58,0)</f>
        <v>0</v>
      </c>
      <c r="V78" s="67" t="n">
        <f aca="false">IF(V$6=1,Inputs!$B$58,0)</f>
        <v>0</v>
      </c>
      <c r="W78" s="67" t="n">
        <f aca="false">IF(W$6=1,Inputs!$B$58,0)</f>
        <v>0</v>
      </c>
      <c r="X78" s="67" t="n">
        <f aca="false">IF(X$6=1,Inputs!$B$58,0)</f>
        <v>0</v>
      </c>
      <c r="Y78" s="67" t="n">
        <f aca="false">IF(Y$6=1,Inputs!$B$58,0)</f>
        <v>0</v>
      </c>
      <c r="Z78" s="67" t="n">
        <f aca="false">IF(Z$6=1,Inputs!$B$58,0)</f>
        <v>0</v>
      </c>
      <c r="AA78" s="67" t="n">
        <f aca="false">IF(AA$6=1,Inputs!$B$58,0)</f>
        <v>0</v>
      </c>
      <c r="AB78" s="67" t="n">
        <f aca="false">IF(AB$6=1,Inputs!$B$58,0)</f>
        <v>0</v>
      </c>
      <c r="AC78" s="67" t="n">
        <f aca="false">IF(AC$6=1,Inputs!$B$58,0)</f>
        <v>0</v>
      </c>
      <c r="AD78" s="67" t="n">
        <f aca="false">IF(AD$6=1,Inputs!$B$58,0)</f>
        <v>0</v>
      </c>
      <c r="AE78" s="67" t="n">
        <f aca="false">IF(AE$6=1,Inputs!$B$58,0)</f>
        <v>0</v>
      </c>
      <c r="AF78" s="67" t="n">
        <f aca="false">IF(AF$6=1,Inputs!$B$58,0)</f>
        <v>0</v>
      </c>
      <c r="AG78" s="67" t="n">
        <f aca="false">IF(AG$6=1,Inputs!$B$58,0)</f>
        <v>0</v>
      </c>
      <c r="AH78" s="67" t="n">
        <f aca="false">IF(AH$6=1,Inputs!$B$58,0)</f>
        <v>0</v>
      </c>
      <c r="AI78" s="67" t="n">
        <f aca="false">IF(AI$6=1,Inputs!$B$58,0)</f>
        <v>0</v>
      </c>
      <c r="AJ78" s="67" t="n">
        <f aca="false">IF(AJ$6=1,Inputs!$B$58,0)</f>
        <v>0</v>
      </c>
      <c r="AK78" s="67" t="n">
        <f aca="false">IF(AK$6=1,Inputs!$B$58,0)</f>
        <v>0</v>
      </c>
      <c r="AL78" s="67" t="n">
        <f aca="false">IF(AL$6=1,Inputs!$B$58,0)</f>
        <v>0</v>
      </c>
      <c r="AM78" s="67" t="n">
        <f aca="false">IF(AM$6=1,Inputs!$B$58,0)</f>
        <v>0</v>
      </c>
      <c r="AN78" s="67" t="n">
        <f aca="false">IF(AN$6=1,Inputs!$B$58,0)</f>
        <v>0</v>
      </c>
      <c r="AO78" s="67" t="n">
        <f aca="false">IF(AO$6=1,Inputs!$B$58,0)</f>
        <v>0</v>
      </c>
      <c r="AP78" s="67" t="n">
        <f aca="false">IF(AP$6=1,Inputs!$B$58,0)</f>
        <v>0</v>
      </c>
      <c r="AQ78" s="67" t="n">
        <f aca="false">IF(AQ$6=1,Inputs!$B$58,0)</f>
        <v>0</v>
      </c>
      <c r="AR78" s="67" t="n">
        <f aca="false">IF(AR$6=1,Inputs!$B$58,0)</f>
        <v>0</v>
      </c>
      <c r="AS78" s="67" t="n">
        <f aca="false">IF(AS$6=1,Inputs!$B$58,0)</f>
        <v>0</v>
      </c>
      <c r="AT78" s="67" t="n">
        <f aca="false">IF(AT$6=1,Inputs!$B$58,0)</f>
        <v>0</v>
      </c>
      <c r="AU78" s="67" t="n">
        <f aca="false">IF(AU$6=1,Inputs!$B$58,0)</f>
        <v>0</v>
      </c>
      <c r="AV78" s="67" t="n">
        <f aca="false">IF(AV$6=1,Inputs!$B$58,0)</f>
        <v>0</v>
      </c>
      <c r="AW78" s="67" t="n">
        <f aca="false">IF(AW$6=1,Inputs!$B$58,0)</f>
        <v>0</v>
      </c>
      <c r="AX78" s="67" t="n">
        <f aca="false">IF(AX$6=1,Inputs!$B$58,0)</f>
        <v>0</v>
      </c>
      <c r="AY78" s="67" t="n">
        <f aca="false">IF(AY$6=1,Inputs!$B$58,0)</f>
        <v>0</v>
      </c>
      <c r="AZ78" s="67" t="n">
        <f aca="false">IF(AZ$6=1,Inputs!$B$58,0)</f>
        <v>0</v>
      </c>
      <c r="BA78" s="67" t="n">
        <f aca="false">IF(BA$6=1,Inputs!$B$58,0)</f>
        <v>0</v>
      </c>
      <c r="BB78" s="67" t="n">
        <f aca="false">IF(BB$6=1,Inputs!$B$58,0)</f>
        <v>0</v>
      </c>
      <c r="BC78" s="67" t="n">
        <f aca="false">IF(BC$6=1,Inputs!$B$58,0)</f>
        <v>0</v>
      </c>
      <c r="BD78" s="67" t="n">
        <f aca="false">IF(BD$6=1,Inputs!$B$58,0)</f>
        <v>0</v>
      </c>
      <c r="BE78" s="67" t="n">
        <f aca="false">IF(BE$6=1,Inputs!$B$58,0)</f>
        <v>0</v>
      </c>
      <c r="BF78" s="67" t="n">
        <f aca="false">IF(BF$6=1,Inputs!$B$58,0)</f>
        <v>0</v>
      </c>
      <c r="BG78" s="67" t="n">
        <f aca="false">IF(BG$6=1,Inputs!$B$58,0)</f>
        <v>0</v>
      </c>
      <c r="BH78" s="67" t="n">
        <f aca="false">IF(BH$6=1,Inputs!$B$58,0)</f>
        <v>0</v>
      </c>
      <c r="BI78" s="67" t="n">
        <f aca="false">IF(BI$6=1,Inputs!$B$58,0)</f>
        <v>0</v>
      </c>
      <c r="BJ78" s="67" t="n">
        <f aca="false">IF(BJ$6=1,Inputs!$B$58,0)</f>
        <v>0</v>
      </c>
    </row>
    <row r="79" customFormat="false" ht="15" hidden="false" customHeight="false" outlineLevel="0" collapsed="false">
      <c r="A79" s="6" t="s">
        <v>54</v>
      </c>
      <c r="C79" s="67" t="n">
        <f aca="false">C78+C63+C64</f>
        <v>140000</v>
      </c>
      <c r="D79" s="67" t="n">
        <f aca="false">D78+D63+D64</f>
        <v>-1333.33333333333</v>
      </c>
      <c r="E79" s="67" t="n">
        <f aca="false">E78+E63+E64</f>
        <v>-1333.33333333333</v>
      </c>
      <c r="F79" s="67" t="n">
        <f aca="false">F78+F63+F64</f>
        <v>-1333.33333333333</v>
      </c>
      <c r="G79" s="67" t="n">
        <f aca="false">G78+G63+G64</f>
        <v>-1333.33333333333</v>
      </c>
      <c r="H79" s="67" t="n">
        <f aca="false">H78+H63+H64</f>
        <v>-1333.33333333333</v>
      </c>
      <c r="I79" s="67" t="n">
        <f aca="false">I78+I63+I64</f>
        <v>-1333.33333333333</v>
      </c>
      <c r="J79" s="67" t="n">
        <f aca="false">J78+J63+J64</f>
        <v>-1333.33333333333</v>
      </c>
      <c r="K79" s="67" t="n">
        <f aca="false">K78+K63+K64</f>
        <v>-1333.33333333333</v>
      </c>
      <c r="L79" s="67" t="n">
        <f aca="false">L78+L63+L64</f>
        <v>-1333.33333333333</v>
      </c>
      <c r="M79" s="67" t="n">
        <f aca="false">M78+M63+M64</f>
        <v>-1333.33333333333</v>
      </c>
      <c r="N79" s="67" t="n">
        <f aca="false">N78+N63+N64</f>
        <v>-1333.33333333333</v>
      </c>
      <c r="O79" s="67" t="n">
        <f aca="false">O78+O63+O64</f>
        <v>-1333.33333333333</v>
      </c>
      <c r="P79" s="67" t="n">
        <f aca="false">P78+P63+P64</f>
        <v>-1333.33333333333</v>
      </c>
      <c r="Q79" s="67" t="n">
        <f aca="false">Q78+Q63+Q64</f>
        <v>-1333.33333333333</v>
      </c>
      <c r="R79" s="67" t="n">
        <f aca="false">R78+R63+R64</f>
        <v>-1333.33333333333</v>
      </c>
      <c r="S79" s="67" t="n">
        <f aca="false">S78+S63+S64</f>
        <v>-1333.33333333333</v>
      </c>
      <c r="T79" s="67" t="n">
        <f aca="false">T78+T63+T64</f>
        <v>-1333.33333333333</v>
      </c>
      <c r="U79" s="67" t="n">
        <f aca="false">U78+U63+U64</f>
        <v>-1333.33333333333</v>
      </c>
      <c r="V79" s="67" t="n">
        <f aca="false">V78+V63+V64</f>
        <v>-1333.33333333333</v>
      </c>
      <c r="W79" s="67" t="n">
        <f aca="false">W78+W63+W64</f>
        <v>-1333.33333333333</v>
      </c>
      <c r="X79" s="67" t="n">
        <f aca="false">X78+X63+X64</f>
        <v>-1333.33333333333</v>
      </c>
      <c r="Y79" s="67" t="n">
        <f aca="false">Y78+Y63+Y64</f>
        <v>-1333.33333333333</v>
      </c>
      <c r="Z79" s="67" t="n">
        <f aca="false">Z78+Z63+Z64</f>
        <v>-1333.33333333333</v>
      </c>
      <c r="AA79" s="67" t="n">
        <f aca="false">AA78+AA63+AA64</f>
        <v>-1333.33333333333</v>
      </c>
      <c r="AB79" s="67" t="n">
        <f aca="false">AB78+AB63+AB64</f>
        <v>-1333.33333333333</v>
      </c>
      <c r="AC79" s="67" t="n">
        <f aca="false">AC78+AC63+AC64</f>
        <v>-1333.33333333333</v>
      </c>
      <c r="AD79" s="67" t="n">
        <f aca="false">AD78+AD63+AD64</f>
        <v>-1333.33333333333</v>
      </c>
      <c r="AE79" s="67" t="n">
        <f aca="false">AE78+AE63+AE64</f>
        <v>-1333.33333333333</v>
      </c>
      <c r="AF79" s="67" t="n">
        <f aca="false">AF78+AF63+AF64</f>
        <v>-1333.33333333333</v>
      </c>
      <c r="AG79" s="67" t="n">
        <f aca="false">AG78+AG63+AG64</f>
        <v>-1333.33333333333</v>
      </c>
      <c r="AH79" s="67" t="n">
        <f aca="false">AH78+AH63+AH64</f>
        <v>-1333.33333333333</v>
      </c>
      <c r="AI79" s="67" t="n">
        <f aca="false">AI78+AI63+AI64</f>
        <v>-1333.33333333333</v>
      </c>
      <c r="AJ79" s="67" t="n">
        <f aca="false">AJ78+AJ63+AJ64</f>
        <v>-1333.33333333333</v>
      </c>
      <c r="AK79" s="67" t="n">
        <f aca="false">AK78+AK63+AK64</f>
        <v>-1333.33333333333</v>
      </c>
      <c r="AL79" s="67" t="n">
        <f aca="false">AL78+AL63+AL64</f>
        <v>-1333.33333333333</v>
      </c>
      <c r="AM79" s="67" t="n">
        <f aca="false">AM78+AM63+AM64</f>
        <v>-1333.33333333333</v>
      </c>
      <c r="AN79" s="67" t="n">
        <f aca="false">AN78+AN63+AN64</f>
        <v>-1333.33333333333</v>
      </c>
      <c r="AO79" s="67" t="n">
        <f aca="false">AO78+AO63+AO64</f>
        <v>-1333.33333333333</v>
      </c>
      <c r="AP79" s="67" t="n">
        <f aca="false">AP78+AP63+AP64</f>
        <v>-1333.33333333333</v>
      </c>
      <c r="AQ79" s="67" t="n">
        <f aca="false">AQ78+AQ63+AQ64</f>
        <v>-1333.33333333333</v>
      </c>
      <c r="AR79" s="67" t="n">
        <f aca="false">AR78+AR63+AR64</f>
        <v>-1333.33333333333</v>
      </c>
      <c r="AS79" s="67" t="n">
        <f aca="false">AS78+AS63+AS64</f>
        <v>-1333.33333333333</v>
      </c>
      <c r="AT79" s="67" t="n">
        <f aca="false">AT78+AT63+AT64</f>
        <v>-1333.33333333333</v>
      </c>
      <c r="AU79" s="67" t="n">
        <f aca="false">AU78+AU63+AU64</f>
        <v>-1333.33333333333</v>
      </c>
      <c r="AV79" s="67" t="n">
        <f aca="false">AV78+AV63+AV64</f>
        <v>-1333.33333333333</v>
      </c>
      <c r="AW79" s="67" t="n">
        <f aca="false">AW78+AW63+AW64</f>
        <v>-1333.33333333333</v>
      </c>
      <c r="AX79" s="67" t="n">
        <f aca="false">AX78+AX63+AX64</f>
        <v>-1333.33333333333</v>
      </c>
      <c r="AY79" s="67" t="n">
        <f aca="false">AY78+AY63+AY64</f>
        <v>-1333.33333333333</v>
      </c>
      <c r="AZ79" s="67" t="n">
        <f aca="false">AZ78+AZ63+AZ64</f>
        <v>-1333.33333333333</v>
      </c>
      <c r="BA79" s="67" t="n">
        <f aca="false">BA78+BA63+BA64</f>
        <v>-1333.33333333333</v>
      </c>
      <c r="BB79" s="67" t="n">
        <f aca="false">BB78+BB63+BB64</f>
        <v>-1333.33333333333</v>
      </c>
      <c r="BC79" s="67" t="n">
        <f aca="false">BC78+BC63+BC64</f>
        <v>-1333.33333333333</v>
      </c>
      <c r="BD79" s="67" t="n">
        <f aca="false">BD78+BD63+BD64</f>
        <v>-1333.33333333333</v>
      </c>
      <c r="BE79" s="67" t="n">
        <f aca="false">BE78+BE63+BE64</f>
        <v>-1333.33333333333</v>
      </c>
      <c r="BF79" s="67" t="n">
        <f aca="false">BF78+BF63+BF64</f>
        <v>-1333.33333333333</v>
      </c>
      <c r="BG79" s="67" t="n">
        <f aca="false">BG78+BG63+BG64</f>
        <v>-1333.33333333333</v>
      </c>
      <c r="BH79" s="67" t="n">
        <f aca="false">BH78+BH63+BH64</f>
        <v>-1333.33333333333</v>
      </c>
      <c r="BI79" s="67" t="n">
        <f aca="false">BI78+BI63+BI64</f>
        <v>-1333.33333333333</v>
      </c>
      <c r="BJ79" s="67" t="n">
        <f aca="false">BJ78+BJ63+BJ64</f>
        <v>-1333.33333333333</v>
      </c>
    </row>
    <row r="80" customFormat="false" ht="15" hidden="false" customHeight="false" outlineLevel="0" collapsed="false">
      <c r="A80" s="115" t="s">
        <v>424</v>
      </c>
      <c r="C80" s="68" t="n">
        <f aca="false">C76+C77+C79</f>
        <v>23414.1148426966</v>
      </c>
      <c r="D80" s="68" t="n">
        <f aca="false">D76+D77+D79</f>
        <v>-13055.0087440699</v>
      </c>
      <c r="E80" s="68" t="n">
        <f aca="false">E76+E77+E79</f>
        <v>-9656.66660299626</v>
      </c>
      <c r="F80" s="68" t="n">
        <f aca="false">F76+F77+F79</f>
        <v>-6258.3244619226</v>
      </c>
      <c r="G80" s="68" t="n">
        <f aca="false">G76+G77+G79</f>
        <v>-5502.31533583021</v>
      </c>
      <c r="H80" s="68" t="n">
        <f aca="false">H76+H77+H79</f>
        <v>-5492.87089138577</v>
      </c>
      <c r="I80" s="68" t="n">
        <f aca="false">I76+I77+I79</f>
        <v>-5483.42644694133</v>
      </c>
      <c r="J80" s="68" t="n">
        <f aca="false">J76+J77+J79</f>
        <v>-5473.98200249688</v>
      </c>
      <c r="K80" s="68" t="n">
        <f aca="false">K76+K77+K79</f>
        <v>-5464.53755805244</v>
      </c>
      <c r="L80" s="68" t="n">
        <f aca="false">L76+L77+L79</f>
        <v>-5455.09311360799</v>
      </c>
      <c r="M80" s="68" t="n">
        <f aca="false">M76+M77+M79</f>
        <v>4587.62980274658</v>
      </c>
      <c r="N80" s="68" t="n">
        <f aca="false">N76+N77+N79</f>
        <v>7443.74471910114</v>
      </c>
      <c r="O80" s="68" t="n">
        <f aca="false">O76+O77+O79</f>
        <v>-5359.75446895778</v>
      </c>
      <c r="P80" s="68" t="n">
        <f aca="false">P76+P77+P79</f>
        <v>-7541.17377008338</v>
      </c>
      <c r="Q80" s="68" t="n">
        <f aca="false">Q76+Q77+Q79</f>
        <v>-7531.72932563893</v>
      </c>
      <c r="R80" s="68" t="n">
        <f aca="false">R76+R77+R79</f>
        <v>-7522.28488119449</v>
      </c>
      <c r="S80" s="68" t="n">
        <f aca="false">S76+S77+S79</f>
        <v>-7512.84043675005</v>
      </c>
      <c r="T80" s="68" t="n">
        <f aca="false">T76+T77+T79</f>
        <v>-7503.3959923056</v>
      </c>
      <c r="U80" s="68" t="n">
        <f aca="false">U76+U77+U79</f>
        <v>-7493.95154786116</v>
      </c>
      <c r="V80" s="68" t="n">
        <f aca="false">V76+V77+V79</f>
        <v>-7484.50710341671</v>
      </c>
      <c r="W80" s="68" t="n">
        <f aca="false">W76+W77+W79</f>
        <v>-7475.06265897227</v>
      </c>
      <c r="X80" s="68" t="n">
        <f aca="false">X76+X77+X79</f>
        <v>-7465.61821452782</v>
      </c>
      <c r="Y80" s="68" t="n">
        <f aca="false">Y76+Y77+Y79</f>
        <v>2880.10971167844</v>
      </c>
      <c r="Z80" s="68" t="n">
        <f aca="false">Z76+Z77+Z79</f>
        <v>5822.19407628468</v>
      </c>
      <c r="AA80" s="68" t="n">
        <f aca="false">AA76+AA77+AA79</f>
        <v>-6308.10053595587</v>
      </c>
      <c r="AB80" s="68" t="n">
        <f aca="false">AB76+AB77+AB79</f>
        <v>-8533.41219635769</v>
      </c>
      <c r="AC80" s="68" t="n">
        <f aca="false">AC76+AC77+AC79</f>
        <v>-8523.96775191324</v>
      </c>
      <c r="AD80" s="68" t="n">
        <f aca="false">AD76+AD77+AD79</f>
        <v>-8514.5233074688</v>
      </c>
      <c r="AE80" s="68" t="n">
        <f aca="false">AE76+AE77+AE79</f>
        <v>-8505.07886302436</v>
      </c>
      <c r="AF80" s="68" t="n">
        <f aca="false">AF76+AF77+AF79</f>
        <v>-8495.63441857991</v>
      </c>
      <c r="AG80" s="68" t="n">
        <f aca="false">AG76+AG77+AG79</f>
        <v>-8486.18997413547</v>
      </c>
      <c r="AH80" s="68" t="n">
        <f aca="false">AH76+AH77+AH79</f>
        <v>-8476.74552969102</v>
      </c>
      <c r="AI80" s="68" t="n">
        <f aca="false">AI76+AI77+AI79</f>
        <v>-8467.30108524658</v>
      </c>
      <c r="AJ80" s="68" t="n">
        <f aca="false">AJ76+AJ77+AJ79</f>
        <v>-8457.85664080213</v>
      </c>
      <c r="AK80" s="68" t="n">
        <f aca="false">AK76+AK77+AK79</f>
        <v>2200.02704655331</v>
      </c>
      <c r="AL80" s="68" t="n">
        <f aca="false">AL76+AL77+AL79</f>
        <v>5230.67713674843</v>
      </c>
      <c r="AM80" s="68" t="n">
        <f aca="false">AM76+AM77+AM79</f>
        <v>-7419.89651875546</v>
      </c>
      <c r="AN80" s="68" t="n">
        <f aca="false">AN76+AN77+AN79</f>
        <v>-9688.16328033827</v>
      </c>
      <c r="AO80" s="68" t="n">
        <f aca="false">AO76+AO77+AO79</f>
        <v>-9678.71883589383</v>
      </c>
      <c r="AP80" s="68" t="n">
        <f aca="false">AP76+AP77+AP79</f>
        <v>-9669.27439144938</v>
      </c>
      <c r="AQ80" s="68" t="n">
        <f aca="false">AQ76+AQ77+AQ79</f>
        <v>-9659.82994700494</v>
      </c>
      <c r="AR80" s="68" t="n">
        <f aca="false">AR76+AR77+AR79</f>
        <v>-9650.3855025605</v>
      </c>
      <c r="AS80" s="68" t="n">
        <f aca="false">AS76+AS77+AS79</f>
        <v>-9640.94105811605</v>
      </c>
      <c r="AT80" s="68" t="n">
        <f aca="false">AT76+AT77+AT79</f>
        <v>-9631.49661367161</v>
      </c>
      <c r="AU80" s="68" t="n">
        <f aca="false">AU76+AU77+AU79</f>
        <v>-9622.05216922716</v>
      </c>
      <c r="AV80" s="68" t="n">
        <f aca="false">AV76+AV77+AV79</f>
        <v>-9612.60772478272</v>
      </c>
      <c r="AW80" s="68" t="n">
        <f aca="false">AW76+AW77+AW79</f>
        <v>1366.85882770863</v>
      </c>
      <c r="AX80" s="68" t="n">
        <f aca="false">AX76+AX77+AX79</f>
        <v>4488.74932840544</v>
      </c>
      <c r="AY80" s="68" t="n">
        <f aca="false">AY76+AY77+AY79</f>
        <v>-8710.71489168866</v>
      </c>
      <c r="AZ80" s="68" t="n">
        <f aca="false">AZ76+AZ77+AZ79</f>
        <v>-11020.7412899365</v>
      </c>
      <c r="BA80" s="68" t="n">
        <f aca="false">BA76+BA77+BA79</f>
        <v>-11011.2968454921</v>
      </c>
      <c r="BB80" s="68" t="n">
        <f aca="false">BB76+BB77+BB79</f>
        <v>-11001.8524010477</v>
      </c>
      <c r="BC80" s="68" t="n">
        <f aca="false">BC76+BC77+BC79</f>
        <v>-10992.4079566032</v>
      </c>
      <c r="BD80" s="68" t="n">
        <f aca="false">BD76+BD77+BD79</f>
        <v>-10982.9635121588</v>
      </c>
      <c r="BE80" s="68" t="n">
        <f aca="false">BE76+BE77+BE79</f>
        <v>-10973.5190677143</v>
      </c>
      <c r="BF80" s="68" t="n">
        <f aca="false">BF76+BF77+BF79</f>
        <v>-10964.0746232699</v>
      </c>
      <c r="BG80" s="68" t="n">
        <f aca="false">BG76+BG77+BG79</f>
        <v>-10954.6301788254</v>
      </c>
      <c r="BH80" s="68" t="n">
        <f aca="false">BH76+BH77+BH79</f>
        <v>-10945.185734381</v>
      </c>
      <c r="BI80" s="68" t="n">
        <f aca="false">BI76+BI77+BI79</f>
        <v>365.575485773413</v>
      </c>
      <c r="BJ80" s="68" t="n">
        <f aca="false">BJ76+BJ77+BJ79</f>
        <v>3581.46185736904</v>
      </c>
    </row>
    <row r="81" customFormat="false" ht="15" hidden="false" customHeight="false" outlineLevel="0" collapsed="false">
      <c r="A81" s="6" t="s">
        <v>335</v>
      </c>
      <c r="C81" s="67" t="n">
        <f aca="false">0</f>
        <v>0</v>
      </c>
      <c r="D81" s="67" t="n">
        <f aca="false">C82</f>
        <v>23414.1148426966</v>
      </c>
      <c r="E81" s="67" t="n">
        <f aca="false">D82</f>
        <v>10359.1060986267</v>
      </c>
      <c r="F81" s="67" t="n">
        <f aca="false">E82</f>
        <v>702.43949563047</v>
      </c>
      <c r="G81" s="67" t="n">
        <f aca="false">F82</f>
        <v>-5555.88496629213</v>
      </c>
      <c r="H81" s="67" t="n">
        <f aca="false">G82</f>
        <v>-11058.2003021223</v>
      </c>
      <c r="I81" s="67" t="n">
        <f aca="false">H82</f>
        <v>-16551.0711935081</v>
      </c>
      <c r="J81" s="67" t="n">
        <f aca="false">I82</f>
        <v>-22034.4976404494</v>
      </c>
      <c r="K81" s="67" t="n">
        <f aca="false">J82</f>
        <v>-27508.4796429463</v>
      </c>
      <c r="L81" s="67" t="n">
        <f aca="false">K82</f>
        <v>-32973.0172009988</v>
      </c>
      <c r="M81" s="67" t="n">
        <f aca="false">L82</f>
        <v>-38428.1103146068</v>
      </c>
      <c r="N81" s="67" t="n">
        <f aca="false">M82</f>
        <v>-33840.4805118602</v>
      </c>
      <c r="O81" s="67" t="n">
        <f aca="false">N82</f>
        <v>-26396.735792759</v>
      </c>
      <c r="P81" s="67" t="n">
        <f aca="false">O82</f>
        <v>-31756.4902617168</v>
      </c>
      <c r="Q81" s="67" t="n">
        <f aca="false">P82</f>
        <v>-39297.6640318002</v>
      </c>
      <c r="R81" s="67" t="n">
        <f aca="false">Q82</f>
        <v>-46829.3933574391</v>
      </c>
      <c r="S81" s="67" t="n">
        <f aca="false">R82</f>
        <v>-54351.6782386336</v>
      </c>
      <c r="T81" s="67" t="n">
        <f aca="false">S82</f>
        <v>-61864.5186753837</v>
      </c>
      <c r="U81" s="67" t="n">
        <f aca="false">T82</f>
        <v>-69367.9146676893</v>
      </c>
      <c r="V81" s="67" t="n">
        <f aca="false">U82</f>
        <v>-76861.8662155504</v>
      </c>
      <c r="W81" s="67" t="n">
        <f aca="false">V82</f>
        <v>-84346.3733189671</v>
      </c>
      <c r="X81" s="67" t="n">
        <f aca="false">W82</f>
        <v>-91821.4359779394</v>
      </c>
      <c r="Y81" s="67" t="n">
        <f aca="false">X82</f>
        <v>-99287.0541924672</v>
      </c>
      <c r="Z81" s="67" t="n">
        <f aca="false">Y82</f>
        <v>-96406.9444807888</v>
      </c>
      <c r="AA81" s="67" t="n">
        <f aca="false">Z82</f>
        <v>-90584.7504045041</v>
      </c>
      <c r="AB81" s="67" t="n">
        <f aca="false">AA82</f>
        <v>-96892.85094046</v>
      </c>
      <c r="AC81" s="67" t="n">
        <f aca="false">AB82</f>
        <v>-105426.263136818</v>
      </c>
      <c r="AD81" s="67" t="n">
        <f aca="false">AC82</f>
        <v>-113950.230888731</v>
      </c>
      <c r="AE81" s="67" t="n">
        <f aca="false">AD82</f>
        <v>-122464.7541962</v>
      </c>
      <c r="AF81" s="67" t="n">
        <f aca="false">AE82</f>
        <v>-130969.833059224</v>
      </c>
      <c r="AG81" s="67" t="n">
        <f aca="false">AF82</f>
        <v>-139465.467477804</v>
      </c>
      <c r="AH81" s="67" t="n">
        <f aca="false">AG82</f>
        <v>-147951.657451939</v>
      </c>
      <c r="AI81" s="67" t="n">
        <f aca="false">AH82</f>
        <v>-156428.40298163</v>
      </c>
      <c r="AJ81" s="67" t="n">
        <f aca="false">AI82</f>
        <v>-164895.704066877</v>
      </c>
      <c r="AK81" s="67" t="n">
        <f aca="false">AJ82</f>
        <v>-173353.560707679</v>
      </c>
      <c r="AL81" s="67" t="n">
        <f aca="false">AK82</f>
        <v>-171153.533661126</v>
      </c>
      <c r="AM81" s="67" t="n">
        <f aca="false">AL82</f>
        <v>-165922.856524377</v>
      </c>
      <c r="AN81" s="67" t="n">
        <f aca="false">AM82</f>
        <v>-173342.753043133</v>
      </c>
      <c r="AO81" s="67" t="n">
        <f aca="false">AN82</f>
        <v>-183030.916323471</v>
      </c>
      <c r="AP81" s="67" t="n">
        <f aca="false">AO82</f>
        <v>-192709.635159365</v>
      </c>
      <c r="AQ81" s="67" t="n">
        <f aca="false">AP82</f>
        <v>-202378.909550814</v>
      </c>
      <c r="AR81" s="67" t="n">
        <f aca="false">AQ82</f>
        <v>-212038.739497819</v>
      </c>
      <c r="AS81" s="67" t="n">
        <f aca="false">AR82</f>
        <v>-221689.12500038</v>
      </c>
      <c r="AT81" s="67" t="n">
        <f aca="false">AS82</f>
        <v>-231330.066058496</v>
      </c>
      <c r="AU81" s="67" t="n">
        <f aca="false">AT82</f>
        <v>-240961.562672168</v>
      </c>
      <c r="AV81" s="67" t="n">
        <f aca="false">AU82</f>
        <v>-250583.614841395</v>
      </c>
      <c r="AW81" s="67" t="n">
        <f aca="false">AV82</f>
        <v>-260196.222566177</v>
      </c>
      <c r="AX81" s="67" t="n">
        <f aca="false">AW82</f>
        <v>-258829.363738469</v>
      </c>
      <c r="AY81" s="67" t="n">
        <f aca="false">AX82</f>
        <v>-254340.614410063</v>
      </c>
      <c r="AZ81" s="67" t="n">
        <f aca="false">AY82</f>
        <v>-263051.329301752</v>
      </c>
      <c r="BA81" s="67" t="n">
        <f aca="false">AZ82</f>
        <v>-274072.070591689</v>
      </c>
      <c r="BB81" s="67" t="n">
        <f aca="false">BA82</f>
        <v>-285083.367437181</v>
      </c>
      <c r="BC81" s="67" t="n">
        <f aca="false">BB82</f>
        <v>-296085.219838228</v>
      </c>
      <c r="BD81" s="67" t="n">
        <f aca="false">BC82</f>
        <v>-307077.627794831</v>
      </c>
      <c r="BE81" s="67" t="n">
        <f aca="false">BD82</f>
        <v>-318060.59130699</v>
      </c>
      <c r="BF81" s="67" t="n">
        <f aca="false">BE82</f>
        <v>-329034.110374705</v>
      </c>
      <c r="BG81" s="67" t="n">
        <f aca="false">BF82</f>
        <v>-339998.184997975</v>
      </c>
      <c r="BH81" s="67" t="n">
        <f aca="false">BG82</f>
        <v>-350952.8151768</v>
      </c>
      <c r="BI81" s="67" t="n">
        <f aca="false">BH82</f>
        <v>-361898.000911181</v>
      </c>
      <c r="BJ81" s="67" t="n">
        <f aca="false">BI82</f>
        <v>-361532.425425408</v>
      </c>
    </row>
    <row r="82" customFormat="false" ht="15" hidden="false" customHeight="false" outlineLevel="0" collapsed="false">
      <c r="A82" s="115" t="s">
        <v>87</v>
      </c>
      <c r="C82" s="68" t="n">
        <f aca="false">C81+C80</f>
        <v>23414.1148426966</v>
      </c>
      <c r="D82" s="68" t="n">
        <f aca="false">D81+D80</f>
        <v>10359.1060986267</v>
      </c>
      <c r="E82" s="68" t="n">
        <f aca="false">E81+E80</f>
        <v>702.43949563047</v>
      </c>
      <c r="F82" s="68" t="n">
        <f aca="false">F81+F80</f>
        <v>-5555.88496629213</v>
      </c>
      <c r="G82" s="68" t="n">
        <f aca="false">G81+G80</f>
        <v>-11058.2003021223</v>
      </c>
      <c r="H82" s="68" t="n">
        <f aca="false">H81+H80</f>
        <v>-16551.0711935081</v>
      </c>
      <c r="I82" s="68" t="n">
        <f aca="false">I81+I80</f>
        <v>-22034.4976404494</v>
      </c>
      <c r="J82" s="68" t="n">
        <f aca="false">J81+J80</f>
        <v>-27508.4796429463</v>
      </c>
      <c r="K82" s="68" t="n">
        <f aca="false">K81+K80</f>
        <v>-32973.0172009988</v>
      </c>
      <c r="L82" s="68" t="n">
        <f aca="false">L81+L80</f>
        <v>-38428.1103146068</v>
      </c>
      <c r="M82" s="68" t="n">
        <f aca="false">M81+M80</f>
        <v>-33840.4805118602</v>
      </c>
      <c r="N82" s="68" t="n">
        <f aca="false">N81+N80</f>
        <v>-26396.735792759</v>
      </c>
      <c r="O82" s="68" t="n">
        <f aca="false">O81+O80</f>
        <v>-31756.4902617168</v>
      </c>
      <c r="P82" s="68" t="n">
        <f aca="false">P81+P80</f>
        <v>-39297.6640318002</v>
      </c>
      <c r="Q82" s="68" t="n">
        <f aca="false">Q81+Q80</f>
        <v>-46829.3933574391</v>
      </c>
      <c r="R82" s="68" t="n">
        <f aca="false">R81+R80</f>
        <v>-54351.6782386336</v>
      </c>
      <c r="S82" s="68" t="n">
        <f aca="false">S81+S80</f>
        <v>-61864.5186753837</v>
      </c>
      <c r="T82" s="68" t="n">
        <f aca="false">T81+T80</f>
        <v>-69367.9146676893</v>
      </c>
      <c r="U82" s="68" t="n">
        <f aca="false">U81+U80</f>
        <v>-76861.8662155504</v>
      </c>
      <c r="V82" s="68" t="n">
        <f aca="false">V81+V80</f>
        <v>-84346.3733189671</v>
      </c>
      <c r="W82" s="68" t="n">
        <f aca="false">W81+W80</f>
        <v>-91821.4359779394</v>
      </c>
      <c r="X82" s="68" t="n">
        <f aca="false">X81+X80</f>
        <v>-99287.0541924672</v>
      </c>
      <c r="Y82" s="68" t="n">
        <f aca="false">Y81+Y80</f>
        <v>-96406.9444807888</v>
      </c>
      <c r="Z82" s="68" t="n">
        <f aca="false">Z81+Z80</f>
        <v>-90584.7504045041</v>
      </c>
      <c r="AA82" s="68" t="n">
        <f aca="false">AA81+AA80</f>
        <v>-96892.85094046</v>
      </c>
      <c r="AB82" s="68" t="n">
        <f aca="false">AB81+AB80</f>
        <v>-105426.263136818</v>
      </c>
      <c r="AC82" s="68" t="n">
        <f aca="false">AC81+AC80</f>
        <v>-113950.230888731</v>
      </c>
      <c r="AD82" s="68" t="n">
        <f aca="false">AD81+AD80</f>
        <v>-122464.7541962</v>
      </c>
      <c r="AE82" s="68" t="n">
        <f aca="false">AE81+AE80</f>
        <v>-130969.833059224</v>
      </c>
      <c r="AF82" s="68" t="n">
        <f aca="false">AF81+AF80</f>
        <v>-139465.467477804</v>
      </c>
      <c r="AG82" s="68" t="n">
        <f aca="false">AG81+AG80</f>
        <v>-147951.657451939</v>
      </c>
      <c r="AH82" s="68" t="n">
        <f aca="false">AH81+AH80</f>
        <v>-156428.40298163</v>
      </c>
      <c r="AI82" s="68" t="n">
        <f aca="false">AI81+AI80</f>
        <v>-164895.704066877</v>
      </c>
      <c r="AJ82" s="68" t="n">
        <f aca="false">AJ81+AJ80</f>
        <v>-173353.560707679</v>
      </c>
      <c r="AK82" s="68" t="n">
        <f aca="false">AK81+AK80</f>
        <v>-171153.533661126</v>
      </c>
      <c r="AL82" s="68" t="n">
        <f aca="false">AL81+AL80</f>
        <v>-165922.856524377</v>
      </c>
      <c r="AM82" s="68" t="n">
        <f aca="false">AM81+AM80</f>
        <v>-173342.753043133</v>
      </c>
      <c r="AN82" s="68" t="n">
        <f aca="false">AN81+AN80</f>
        <v>-183030.916323471</v>
      </c>
      <c r="AO82" s="68" t="n">
        <f aca="false">AO81+AO80</f>
        <v>-192709.635159365</v>
      </c>
      <c r="AP82" s="68" t="n">
        <f aca="false">AP81+AP80</f>
        <v>-202378.909550814</v>
      </c>
      <c r="AQ82" s="68" t="n">
        <f aca="false">AQ81+AQ80</f>
        <v>-212038.739497819</v>
      </c>
      <c r="AR82" s="68" t="n">
        <f aca="false">AR81+AR80</f>
        <v>-221689.12500038</v>
      </c>
      <c r="AS82" s="68" t="n">
        <f aca="false">AS81+AS80</f>
        <v>-231330.066058496</v>
      </c>
      <c r="AT82" s="68" t="n">
        <f aca="false">AT81+AT80</f>
        <v>-240961.562672168</v>
      </c>
      <c r="AU82" s="68" t="n">
        <f aca="false">AU81+AU80</f>
        <v>-250583.614841395</v>
      </c>
      <c r="AV82" s="68" t="n">
        <f aca="false">AV81+AV80</f>
        <v>-260196.222566177</v>
      </c>
      <c r="AW82" s="68" t="n">
        <f aca="false">AW81+AW80</f>
        <v>-258829.363738469</v>
      </c>
      <c r="AX82" s="68" t="n">
        <f aca="false">AX81+AX80</f>
        <v>-254340.614410063</v>
      </c>
      <c r="AY82" s="68" t="n">
        <f aca="false">AY81+AY80</f>
        <v>-263051.329301752</v>
      </c>
      <c r="AZ82" s="68" t="n">
        <f aca="false">AZ81+AZ80</f>
        <v>-274072.070591689</v>
      </c>
      <c r="BA82" s="68" t="n">
        <f aca="false">BA81+BA80</f>
        <v>-285083.367437181</v>
      </c>
      <c r="BB82" s="68" t="n">
        <f aca="false">BB81+BB80</f>
        <v>-296085.219838228</v>
      </c>
      <c r="BC82" s="68" t="n">
        <f aca="false">BC81+BC80</f>
        <v>-307077.627794831</v>
      </c>
      <c r="BD82" s="68" t="n">
        <f aca="false">BD81+BD80</f>
        <v>-318060.59130699</v>
      </c>
      <c r="BE82" s="68" t="n">
        <f aca="false">BE81+BE80</f>
        <v>-329034.110374705</v>
      </c>
      <c r="BF82" s="68" t="n">
        <f aca="false">BF81+BF80</f>
        <v>-339998.184997975</v>
      </c>
      <c r="BG82" s="68" t="n">
        <f aca="false">BG81+BG80</f>
        <v>-350952.8151768</v>
      </c>
      <c r="BH82" s="68" t="n">
        <f aca="false">BH81+BH80</f>
        <v>-361898.000911181</v>
      </c>
      <c r="BI82" s="68" t="n">
        <f aca="false">BI81+BI80</f>
        <v>-361532.425425408</v>
      </c>
      <c r="BJ82" s="68" t="n">
        <f aca="false">BJ81+BJ80</f>
        <v>-357950.963568038</v>
      </c>
    </row>
    <row r="83" customFormat="false" ht="15" hidden="false" customHeight="false" outlineLevel="0" collapsed="false">
      <c r="A83" s="121" t="s">
        <v>425</v>
      </c>
      <c r="C83" s="119" t="n">
        <f aca="false">IF(C43&gt;0,1,0)</f>
        <v>0</v>
      </c>
      <c r="D83" s="119" t="n">
        <f aca="false">IF(D43&gt;0,1,0)</f>
        <v>0</v>
      </c>
      <c r="E83" s="119" t="n">
        <f aca="false">IF(E43&gt;0,1,0)</f>
        <v>0</v>
      </c>
      <c r="F83" s="119" t="n">
        <f aca="false">IF(F43&gt;0,1,0)</f>
        <v>0</v>
      </c>
      <c r="G83" s="119" t="n">
        <f aca="false">IF(G43&gt;0,1,0)</f>
        <v>0</v>
      </c>
      <c r="H83" s="119" t="n">
        <f aca="false">IF(H43&gt;0,1,0)</f>
        <v>0</v>
      </c>
      <c r="I83" s="119" t="n">
        <f aca="false">IF(I43&gt;0,1,0)</f>
        <v>0</v>
      </c>
      <c r="J83" s="119" t="n">
        <f aca="false">IF(J43&gt;0,1,0)</f>
        <v>0</v>
      </c>
      <c r="K83" s="119" t="n">
        <f aca="false">IF(K43&gt;0,1,0)</f>
        <v>0</v>
      </c>
      <c r="L83" s="119" t="n">
        <f aca="false">IF(L43&gt;0,1,0)</f>
        <v>0</v>
      </c>
      <c r="M83" s="119" t="n">
        <f aca="false">IF(M43&gt;0,1,0)</f>
        <v>1</v>
      </c>
      <c r="N83" s="119" t="n">
        <f aca="false">IF(N43&gt;0,1,0)</f>
        <v>1</v>
      </c>
      <c r="O83" s="119" t="n">
        <f aca="false">IF(O43&gt;0,1,0)</f>
        <v>0</v>
      </c>
      <c r="P83" s="119" t="n">
        <f aca="false">IF(P43&gt;0,1,0)</f>
        <v>0</v>
      </c>
      <c r="Q83" s="119" t="n">
        <f aca="false">IF(Q43&gt;0,1,0)</f>
        <v>0</v>
      </c>
      <c r="R83" s="119" t="n">
        <f aca="false">IF(R43&gt;0,1,0)</f>
        <v>0</v>
      </c>
      <c r="S83" s="119" t="n">
        <f aca="false">IF(S43&gt;0,1,0)</f>
        <v>0</v>
      </c>
      <c r="T83" s="119" t="n">
        <f aca="false">IF(T43&gt;0,1,0)</f>
        <v>0</v>
      </c>
      <c r="U83" s="119" t="n">
        <f aca="false">IF(U43&gt;0,1,0)</f>
        <v>0</v>
      </c>
      <c r="V83" s="119" t="n">
        <f aca="false">IF(V43&gt;0,1,0)</f>
        <v>0</v>
      </c>
      <c r="W83" s="119" t="n">
        <f aca="false">IF(W43&gt;0,1,0)</f>
        <v>0</v>
      </c>
      <c r="X83" s="119" t="n">
        <f aca="false">IF(X43&gt;0,1,0)</f>
        <v>0</v>
      </c>
      <c r="Y83" s="119" t="n">
        <f aca="false">IF(Y43&gt;0,1,0)</f>
        <v>1</v>
      </c>
      <c r="Z83" s="119" t="n">
        <f aca="false">IF(Z43&gt;0,1,0)</f>
        <v>1</v>
      </c>
      <c r="AA83" s="119" t="n">
        <f aca="false">IF(AA43&gt;0,1,0)</f>
        <v>0</v>
      </c>
      <c r="AB83" s="119" t="n">
        <f aca="false">IF(AB43&gt;0,1,0)</f>
        <v>0</v>
      </c>
      <c r="AC83" s="119" t="n">
        <f aca="false">IF(AC43&gt;0,1,0)</f>
        <v>0</v>
      </c>
      <c r="AD83" s="119" t="n">
        <f aca="false">IF(AD43&gt;0,1,0)</f>
        <v>0</v>
      </c>
      <c r="AE83" s="119" t="n">
        <f aca="false">IF(AE43&gt;0,1,0)</f>
        <v>0</v>
      </c>
      <c r="AF83" s="119" t="n">
        <f aca="false">IF(AF43&gt;0,1,0)</f>
        <v>0</v>
      </c>
      <c r="AG83" s="119" t="n">
        <f aca="false">IF(AG43&gt;0,1,0)</f>
        <v>0</v>
      </c>
      <c r="AH83" s="119" t="n">
        <f aca="false">IF(AH43&gt;0,1,0)</f>
        <v>0</v>
      </c>
      <c r="AI83" s="119" t="n">
        <f aca="false">IF(AI43&gt;0,1,0)</f>
        <v>0</v>
      </c>
      <c r="AJ83" s="119" t="n">
        <f aca="false">IF(AJ43&gt;0,1,0)</f>
        <v>0</v>
      </c>
      <c r="AK83" s="119" t="n">
        <f aca="false">IF(AK43&gt;0,1,0)</f>
        <v>1</v>
      </c>
      <c r="AL83" s="119" t="n">
        <f aca="false">IF(AL43&gt;0,1,0)</f>
        <v>1</v>
      </c>
      <c r="AM83" s="119" t="n">
        <f aca="false">IF(AM43&gt;0,1,0)</f>
        <v>0</v>
      </c>
      <c r="AN83" s="119" t="n">
        <f aca="false">IF(AN43&gt;0,1,0)</f>
        <v>0</v>
      </c>
      <c r="AO83" s="119" t="n">
        <f aca="false">IF(AO43&gt;0,1,0)</f>
        <v>0</v>
      </c>
      <c r="AP83" s="119" t="n">
        <f aca="false">IF(AP43&gt;0,1,0)</f>
        <v>0</v>
      </c>
      <c r="AQ83" s="119" t="n">
        <f aca="false">IF(AQ43&gt;0,1,0)</f>
        <v>0</v>
      </c>
      <c r="AR83" s="119" t="n">
        <f aca="false">IF(AR43&gt;0,1,0)</f>
        <v>0</v>
      </c>
      <c r="AS83" s="119" t="n">
        <f aca="false">IF(AS43&gt;0,1,0)</f>
        <v>0</v>
      </c>
      <c r="AT83" s="119" t="n">
        <f aca="false">IF(AT43&gt;0,1,0)</f>
        <v>0</v>
      </c>
      <c r="AU83" s="119" t="n">
        <f aca="false">IF(AU43&gt;0,1,0)</f>
        <v>0</v>
      </c>
      <c r="AV83" s="119" t="n">
        <f aca="false">IF(AV43&gt;0,1,0)</f>
        <v>0</v>
      </c>
      <c r="AW83" s="119" t="n">
        <f aca="false">IF(AW43&gt;0,1,0)</f>
        <v>1</v>
      </c>
      <c r="AX83" s="119" t="n">
        <f aca="false">IF(AX43&gt;0,1,0)</f>
        <v>1</v>
      </c>
      <c r="AY83" s="119" t="n">
        <f aca="false">IF(AY43&gt;0,1,0)</f>
        <v>0</v>
      </c>
      <c r="AZ83" s="119" t="n">
        <f aca="false">IF(AZ43&gt;0,1,0)</f>
        <v>0</v>
      </c>
      <c r="BA83" s="119" t="n">
        <f aca="false">IF(BA43&gt;0,1,0)</f>
        <v>0</v>
      </c>
      <c r="BB83" s="119" t="n">
        <f aca="false">IF(BB43&gt;0,1,0)</f>
        <v>0</v>
      </c>
      <c r="BC83" s="119" t="n">
        <f aca="false">IF(BC43&gt;0,1,0)</f>
        <v>0</v>
      </c>
      <c r="BD83" s="119" t="n">
        <f aca="false">IF(BD43&gt;0,1,0)</f>
        <v>0</v>
      </c>
      <c r="BE83" s="119" t="n">
        <f aca="false">IF(BE43&gt;0,1,0)</f>
        <v>0</v>
      </c>
      <c r="BF83" s="119" t="n">
        <f aca="false">IF(BF43&gt;0,1,0)</f>
        <v>0</v>
      </c>
      <c r="BG83" s="119" t="n">
        <f aca="false">IF(BG43&gt;0,1,0)</f>
        <v>0</v>
      </c>
      <c r="BH83" s="119" t="n">
        <f aca="false">IF(BH43&gt;0,1,0)</f>
        <v>0</v>
      </c>
      <c r="BI83" s="119" t="n">
        <f aca="false">IF(BI43&gt;0,1,0)</f>
        <v>1</v>
      </c>
      <c r="BJ83" s="119" t="n">
        <f aca="false">IF(BJ43&gt;0,1,0)</f>
        <v>1</v>
      </c>
    </row>
    <row r="85" customFormat="false" ht="15.75" hidden="false" customHeight="true" outlineLevel="0" collapsed="false">
      <c r="A85" s="7" t="s">
        <v>426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customFormat="false" ht="15" hidden="false" customHeight="false" outlineLevel="0" collapsed="false">
      <c r="A86" s="121" t="s">
        <v>427</v>
      </c>
      <c r="C86" s="119" t="n">
        <f aca="false">IF(C52&gt;0,1,0)</f>
        <v>0</v>
      </c>
      <c r="D86" s="119" t="n">
        <f aca="false">IF(D52&gt;0,1,0)</f>
        <v>0</v>
      </c>
      <c r="E86" s="119" t="n">
        <f aca="false">IF(E52&gt;0,1,0)</f>
        <v>0</v>
      </c>
      <c r="F86" s="119" t="n">
        <f aca="false">IF(F52&gt;0,1,0)</f>
        <v>0</v>
      </c>
      <c r="G86" s="119" t="n">
        <f aca="false">IF(G52&gt;0,1,0)</f>
        <v>0</v>
      </c>
      <c r="H86" s="119" t="n">
        <f aca="false">IF(H52&gt;0,1,0)</f>
        <v>0</v>
      </c>
      <c r="I86" s="119" t="n">
        <f aca="false">IF(I52&gt;0,1,0)</f>
        <v>0</v>
      </c>
      <c r="J86" s="119" t="n">
        <f aca="false">IF(J52&gt;0,1,0)</f>
        <v>0</v>
      </c>
      <c r="K86" s="119" t="n">
        <f aca="false">IF(K52&gt;0,1,0)</f>
        <v>0</v>
      </c>
      <c r="L86" s="119" t="n">
        <f aca="false">IF(L52&gt;0,1,0)</f>
        <v>0</v>
      </c>
      <c r="M86" s="119" t="n">
        <f aca="false">IF(M52&gt;0,1,0)</f>
        <v>1</v>
      </c>
      <c r="N86" s="119" t="n">
        <f aca="false">IF(N52&gt;0,1,0)</f>
        <v>1</v>
      </c>
      <c r="O86" s="119" t="n">
        <f aca="false">IF(O52&gt;0,1,0)</f>
        <v>0</v>
      </c>
      <c r="P86" s="119" t="n">
        <f aca="false">IF(P52&gt;0,1,0)</f>
        <v>0</v>
      </c>
      <c r="Q86" s="119" t="n">
        <f aca="false">IF(Q52&gt;0,1,0)</f>
        <v>0</v>
      </c>
      <c r="R86" s="119" t="n">
        <f aca="false">IF(R52&gt;0,1,0)</f>
        <v>0</v>
      </c>
      <c r="S86" s="119" t="n">
        <f aca="false">IF(S52&gt;0,1,0)</f>
        <v>0</v>
      </c>
      <c r="T86" s="119" t="n">
        <f aca="false">IF(T52&gt;0,1,0)</f>
        <v>0</v>
      </c>
      <c r="U86" s="119" t="n">
        <f aca="false">IF(U52&gt;0,1,0)</f>
        <v>0</v>
      </c>
      <c r="V86" s="119" t="n">
        <f aca="false">IF(V52&gt;0,1,0)</f>
        <v>0</v>
      </c>
      <c r="W86" s="119" t="n">
        <f aca="false">IF(W52&gt;0,1,0)</f>
        <v>0</v>
      </c>
      <c r="X86" s="119" t="n">
        <f aca="false">IF(X52&gt;0,1,0)</f>
        <v>0</v>
      </c>
      <c r="Y86" s="119" t="n">
        <f aca="false">IF(Y52&gt;0,1,0)</f>
        <v>1</v>
      </c>
      <c r="Z86" s="119" t="n">
        <f aca="false">IF(Z52&gt;0,1,0)</f>
        <v>1</v>
      </c>
      <c r="AA86" s="119" t="n">
        <f aca="false">IF(AA52&gt;0,1,0)</f>
        <v>0</v>
      </c>
      <c r="AB86" s="119" t="n">
        <f aca="false">IF(AB52&gt;0,1,0)</f>
        <v>0</v>
      </c>
      <c r="AC86" s="119" t="n">
        <f aca="false">IF(AC52&gt;0,1,0)</f>
        <v>0</v>
      </c>
      <c r="AD86" s="119" t="n">
        <f aca="false">IF(AD52&gt;0,1,0)</f>
        <v>0</v>
      </c>
      <c r="AE86" s="119" t="n">
        <f aca="false">IF(AE52&gt;0,1,0)</f>
        <v>0</v>
      </c>
      <c r="AF86" s="119" t="n">
        <f aca="false">IF(AF52&gt;0,1,0)</f>
        <v>0</v>
      </c>
      <c r="AG86" s="119" t="n">
        <f aca="false">IF(AG52&gt;0,1,0)</f>
        <v>0</v>
      </c>
      <c r="AH86" s="119" t="n">
        <f aca="false">IF(AH52&gt;0,1,0)</f>
        <v>0</v>
      </c>
      <c r="AI86" s="119" t="n">
        <f aca="false">IF(AI52&gt;0,1,0)</f>
        <v>0</v>
      </c>
      <c r="AJ86" s="119" t="n">
        <f aca="false">IF(AJ52&gt;0,1,0)</f>
        <v>0</v>
      </c>
      <c r="AK86" s="119" t="n">
        <f aca="false">IF(AK52&gt;0,1,0)</f>
        <v>1</v>
      </c>
      <c r="AL86" s="119" t="n">
        <f aca="false">IF(AL52&gt;0,1,0)</f>
        <v>1</v>
      </c>
      <c r="AM86" s="119" t="n">
        <f aca="false">IF(AM52&gt;0,1,0)</f>
        <v>0</v>
      </c>
      <c r="AN86" s="119" t="n">
        <f aca="false">IF(AN52&gt;0,1,0)</f>
        <v>0</v>
      </c>
      <c r="AO86" s="119" t="n">
        <f aca="false">IF(AO52&gt;0,1,0)</f>
        <v>0</v>
      </c>
      <c r="AP86" s="119" t="n">
        <f aca="false">IF(AP52&gt;0,1,0)</f>
        <v>0</v>
      </c>
      <c r="AQ86" s="119" t="n">
        <f aca="false">IF(AQ52&gt;0,1,0)</f>
        <v>0</v>
      </c>
      <c r="AR86" s="119" t="n">
        <f aca="false">IF(AR52&gt;0,1,0)</f>
        <v>0</v>
      </c>
      <c r="AS86" s="119" t="n">
        <f aca="false">IF(AS52&gt;0,1,0)</f>
        <v>0</v>
      </c>
      <c r="AT86" s="119" t="n">
        <f aca="false">IF(AT52&gt;0,1,0)</f>
        <v>0</v>
      </c>
      <c r="AU86" s="119" t="n">
        <f aca="false">IF(AU52&gt;0,1,0)</f>
        <v>0</v>
      </c>
      <c r="AV86" s="119" t="n">
        <f aca="false">IF(AV52&gt;0,1,0)</f>
        <v>0</v>
      </c>
      <c r="AW86" s="119" t="n">
        <f aca="false">IF(AW52&gt;0,1,0)</f>
        <v>1</v>
      </c>
      <c r="AX86" s="119" t="n">
        <f aca="false">IF(AX52&gt;0,1,0)</f>
        <v>1</v>
      </c>
      <c r="AY86" s="119" t="n">
        <f aca="false">IF(AY52&gt;0,1,0)</f>
        <v>0</v>
      </c>
      <c r="AZ86" s="119" t="n">
        <f aca="false">IF(AZ52&gt;0,1,0)</f>
        <v>0</v>
      </c>
      <c r="BA86" s="119" t="n">
        <f aca="false">IF(BA52&gt;0,1,0)</f>
        <v>0</v>
      </c>
      <c r="BB86" s="119" t="n">
        <f aca="false">IF(BB52&gt;0,1,0)</f>
        <v>0</v>
      </c>
      <c r="BC86" s="119" t="n">
        <f aca="false">IF(BC52&gt;0,1,0)</f>
        <v>0</v>
      </c>
      <c r="BD86" s="119" t="n">
        <f aca="false">IF(BD52&gt;0,1,0)</f>
        <v>0</v>
      </c>
      <c r="BE86" s="119" t="n">
        <f aca="false">IF(BE52&gt;0,1,0)</f>
        <v>0</v>
      </c>
      <c r="BF86" s="119" t="n">
        <f aca="false">IF(BF52&gt;0,1,0)</f>
        <v>0</v>
      </c>
      <c r="BG86" s="119" t="n">
        <f aca="false">IF(BG52&gt;0,1,0)</f>
        <v>0</v>
      </c>
      <c r="BH86" s="119" t="n">
        <f aca="false">IF(BH52&gt;0,1,0)</f>
        <v>0</v>
      </c>
      <c r="BI86" s="119" t="n">
        <f aca="false">IF(BI52&gt;0,1,0)</f>
        <v>1</v>
      </c>
      <c r="BJ86" s="119" t="n">
        <f aca="false">IF(BJ52&gt;0,1,0)</f>
        <v>1</v>
      </c>
    </row>
    <row r="87" customFormat="false" ht="15" hidden="false" customHeight="false" outlineLevel="0" collapsed="false">
      <c r="A87" s="6" t="s">
        <v>428</v>
      </c>
      <c r="C87" s="67" t="n">
        <f aca="false">C76+C77</f>
        <v>-116585.885157303</v>
      </c>
      <c r="D87" s="67" t="n">
        <f aca="false">D76+D77</f>
        <v>-11721.6754107366</v>
      </c>
      <c r="E87" s="67" t="n">
        <f aca="false">E76+E77</f>
        <v>-8323.33326966292</v>
      </c>
      <c r="F87" s="67" t="n">
        <f aca="false">F76+F77</f>
        <v>-4924.99112858926</v>
      </c>
      <c r="G87" s="67" t="n">
        <f aca="false">G76+G77</f>
        <v>-4168.98200249688</v>
      </c>
      <c r="H87" s="67" t="n">
        <f aca="false">H76+H77</f>
        <v>-4159.53755805244</v>
      </c>
      <c r="I87" s="67" t="n">
        <f aca="false">I76+I77</f>
        <v>-4150.09311360799</v>
      </c>
      <c r="J87" s="67" t="n">
        <f aca="false">J76+J77</f>
        <v>-4140.64866916355</v>
      </c>
      <c r="K87" s="67" t="n">
        <f aca="false">K76+K77</f>
        <v>-4131.2042247191</v>
      </c>
      <c r="L87" s="67" t="n">
        <f aca="false">L76+L77</f>
        <v>-4121.75978027466</v>
      </c>
      <c r="M87" s="67" t="n">
        <f aca="false">M76+M77</f>
        <v>5920.96313607991</v>
      </c>
      <c r="N87" s="67" t="n">
        <f aca="false">N76+N77</f>
        <v>8777.07805243447</v>
      </c>
      <c r="O87" s="67" t="n">
        <f aca="false">O76+O77</f>
        <v>-4026.42113562445</v>
      </c>
      <c r="P87" s="67" t="n">
        <f aca="false">P76+P77</f>
        <v>-6207.84043675005</v>
      </c>
      <c r="Q87" s="67" t="n">
        <f aca="false">Q76+Q77</f>
        <v>-6198.3959923056</v>
      </c>
      <c r="R87" s="67" t="n">
        <f aca="false">R76+R77</f>
        <v>-6188.95154786116</v>
      </c>
      <c r="S87" s="67" t="n">
        <f aca="false">S76+S77</f>
        <v>-6179.50710341671</v>
      </c>
      <c r="T87" s="67" t="n">
        <f aca="false">T76+T77</f>
        <v>-6170.06265897227</v>
      </c>
      <c r="U87" s="67" t="n">
        <f aca="false">U76+U77</f>
        <v>-6160.61821452782</v>
      </c>
      <c r="V87" s="67" t="n">
        <f aca="false">V76+V77</f>
        <v>-6151.17377008338</v>
      </c>
      <c r="W87" s="67" t="n">
        <f aca="false">W76+W77</f>
        <v>-6141.72932563893</v>
      </c>
      <c r="X87" s="67" t="n">
        <f aca="false">X76+X77</f>
        <v>-6132.28488119449</v>
      </c>
      <c r="Y87" s="67" t="n">
        <f aca="false">Y76+Y77</f>
        <v>4213.44304501177</v>
      </c>
      <c r="Z87" s="67" t="n">
        <f aca="false">Z76+Z77</f>
        <v>7155.52740961802</v>
      </c>
      <c r="AA87" s="67" t="n">
        <f aca="false">AA76+AA77</f>
        <v>-4974.76720262254</v>
      </c>
      <c r="AB87" s="67" t="n">
        <f aca="false">AB76+AB77</f>
        <v>-7200.07886302436</v>
      </c>
      <c r="AC87" s="67" t="n">
        <f aca="false">AC76+AC77</f>
        <v>-7190.63441857991</v>
      </c>
      <c r="AD87" s="67" t="n">
        <f aca="false">AD76+AD77</f>
        <v>-7181.18997413547</v>
      </c>
      <c r="AE87" s="67" t="n">
        <f aca="false">AE76+AE77</f>
        <v>-7171.74552969102</v>
      </c>
      <c r="AF87" s="67" t="n">
        <f aca="false">AF76+AF77</f>
        <v>-7162.30108524658</v>
      </c>
      <c r="AG87" s="67" t="n">
        <f aca="false">AG76+AG77</f>
        <v>-7152.85664080213</v>
      </c>
      <c r="AH87" s="67" t="n">
        <f aca="false">AH76+AH77</f>
        <v>-7143.41219635769</v>
      </c>
      <c r="AI87" s="67" t="n">
        <f aca="false">AI76+AI77</f>
        <v>-7133.96775191324</v>
      </c>
      <c r="AJ87" s="67" t="n">
        <f aca="false">AJ76+AJ77</f>
        <v>-7124.5233074688</v>
      </c>
      <c r="AK87" s="67" t="n">
        <f aca="false">AK76+AK77</f>
        <v>3533.36037988664</v>
      </c>
      <c r="AL87" s="67" t="n">
        <f aca="false">AL76+AL77</f>
        <v>6564.01047008176</v>
      </c>
      <c r="AM87" s="67" t="n">
        <f aca="false">AM76+AM77</f>
        <v>-6086.56318542212</v>
      </c>
      <c r="AN87" s="67" t="n">
        <f aca="false">AN76+AN77</f>
        <v>-8354.82994700494</v>
      </c>
      <c r="AO87" s="67" t="n">
        <f aca="false">AO76+AO77</f>
        <v>-8345.3855025605</v>
      </c>
      <c r="AP87" s="67" t="n">
        <f aca="false">AP76+AP77</f>
        <v>-8335.94105811605</v>
      </c>
      <c r="AQ87" s="67" t="n">
        <f aca="false">AQ76+AQ77</f>
        <v>-8326.49661367161</v>
      </c>
      <c r="AR87" s="67" t="n">
        <f aca="false">AR76+AR77</f>
        <v>-8317.05216922716</v>
      </c>
      <c r="AS87" s="67" t="n">
        <f aca="false">AS76+AS77</f>
        <v>-8307.60772478272</v>
      </c>
      <c r="AT87" s="67" t="n">
        <f aca="false">AT76+AT77</f>
        <v>-8298.16328033827</v>
      </c>
      <c r="AU87" s="67" t="n">
        <f aca="false">AU76+AU77</f>
        <v>-8288.71883589383</v>
      </c>
      <c r="AV87" s="67" t="n">
        <f aca="false">AV76+AV77</f>
        <v>-8279.27439144938</v>
      </c>
      <c r="AW87" s="67" t="n">
        <f aca="false">AW76+AW77</f>
        <v>2700.19216104196</v>
      </c>
      <c r="AX87" s="67" t="n">
        <f aca="false">AX76+AX77</f>
        <v>5822.08266173877</v>
      </c>
      <c r="AY87" s="67" t="n">
        <f aca="false">AY76+AY77</f>
        <v>-7377.38155835533</v>
      </c>
      <c r="AZ87" s="67" t="n">
        <f aca="false">AZ76+AZ77</f>
        <v>-9687.40795660321</v>
      </c>
      <c r="BA87" s="67" t="n">
        <f aca="false">BA76+BA77</f>
        <v>-9677.96351215877</v>
      </c>
      <c r="BB87" s="67" t="n">
        <f aca="false">BB76+BB77</f>
        <v>-9668.51906771432</v>
      </c>
      <c r="BC87" s="67" t="n">
        <f aca="false">BC76+BC77</f>
        <v>-9659.07462326988</v>
      </c>
      <c r="BD87" s="67" t="n">
        <f aca="false">BD76+BD77</f>
        <v>-9649.63017882544</v>
      </c>
      <c r="BE87" s="67" t="n">
        <f aca="false">BE76+BE77</f>
        <v>-9640.18573438099</v>
      </c>
      <c r="BF87" s="67" t="n">
        <f aca="false">BF76+BF77</f>
        <v>-9630.74128993655</v>
      </c>
      <c r="BG87" s="67" t="n">
        <f aca="false">BG76+BG77</f>
        <v>-9621.2968454921</v>
      </c>
      <c r="BH87" s="67" t="n">
        <f aca="false">BH76+BH77</f>
        <v>-9611.85240104766</v>
      </c>
      <c r="BI87" s="67" t="n">
        <f aca="false">BI76+BI77</f>
        <v>1698.90881910675</v>
      </c>
      <c r="BJ87" s="67" t="n">
        <f aca="false">BJ76+BJ77</f>
        <v>4914.79519070238</v>
      </c>
    </row>
    <row r="88" customFormat="false" ht="15" hidden="false" customHeight="false" outlineLevel="0" collapsed="false">
      <c r="A88" s="6" t="s">
        <v>429</v>
      </c>
      <c r="C88" s="67" t="n">
        <f aca="false">C87</f>
        <v>-116585.885157303</v>
      </c>
      <c r="D88" s="67" t="n">
        <f aca="false">C88+D87</f>
        <v>-128307.56056804</v>
      </c>
      <c r="E88" s="67" t="n">
        <f aca="false">D88+E87</f>
        <v>-136630.893837703</v>
      </c>
      <c r="F88" s="67" t="n">
        <f aca="false">E88+F87</f>
        <v>-141555.884966292</v>
      </c>
      <c r="G88" s="67" t="n">
        <f aca="false">F88+G87</f>
        <v>-145724.866968789</v>
      </c>
      <c r="H88" s="67" t="n">
        <f aca="false">G88+H87</f>
        <v>-149884.404526841</v>
      </c>
      <c r="I88" s="67" t="n">
        <f aca="false">H88+I87</f>
        <v>-154034.497640449</v>
      </c>
      <c r="J88" s="67" t="n">
        <f aca="false">I88+J87</f>
        <v>-158175.146309613</v>
      </c>
      <c r="K88" s="67" t="n">
        <f aca="false">J88+K87</f>
        <v>-162306.350534332</v>
      </c>
      <c r="L88" s="67" t="n">
        <f aca="false">K88+L87</f>
        <v>-166428.110314607</v>
      </c>
      <c r="M88" s="67" t="n">
        <f aca="false">L88+M87</f>
        <v>-160507.147178527</v>
      </c>
      <c r="N88" s="67" t="n">
        <f aca="false">M88+N87</f>
        <v>-151730.069126092</v>
      </c>
      <c r="O88" s="67" t="n">
        <f aca="false">N88+O87</f>
        <v>-155756.490261717</v>
      </c>
      <c r="P88" s="67" t="n">
        <f aca="false">O88+P87</f>
        <v>-161964.330698467</v>
      </c>
      <c r="Q88" s="67" t="n">
        <f aca="false">P88+Q87</f>
        <v>-168162.726690772</v>
      </c>
      <c r="R88" s="67" t="n">
        <f aca="false">Q88+R87</f>
        <v>-174351.678238634</v>
      </c>
      <c r="S88" s="67" t="n">
        <f aca="false">R88+S87</f>
        <v>-180531.18534205</v>
      </c>
      <c r="T88" s="67" t="n">
        <f aca="false">S88+T87</f>
        <v>-186701.248001023</v>
      </c>
      <c r="U88" s="67" t="n">
        <f aca="false">T88+U87</f>
        <v>-192861.86621555</v>
      </c>
      <c r="V88" s="67" t="n">
        <f aca="false">U88+V87</f>
        <v>-199013.039985634</v>
      </c>
      <c r="W88" s="67" t="n">
        <f aca="false">V88+W87</f>
        <v>-205154.769311273</v>
      </c>
      <c r="X88" s="67" t="n">
        <f aca="false">W88+X87</f>
        <v>-211287.054192467</v>
      </c>
      <c r="Y88" s="67" t="n">
        <f aca="false">X88+Y87</f>
        <v>-207073.611147455</v>
      </c>
      <c r="Z88" s="67" t="n">
        <f aca="false">Y88+Z87</f>
        <v>-199918.083737837</v>
      </c>
      <c r="AA88" s="67" t="n">
        <f aca="false">Z88+AA87</f>
        <v>-204892.85094046</v>
      </c>
      <c r="AB88" s="67" t="n">
        <f aca="false">AA88+AB87</f>
        <v>-212092.929803484</v>
      </c>
      <c r="AC88" s="67" t="n">
        <f aca="false">AB88+AC87</f>
        <v>-219283.564222064</v>
      </c>
      <c r="AD88" s="67" t="n">
        <f aca="false">AC88+AD87</f>
        <v>-226464.7541962</v>
      </c>
      <c r="AE88" s="67" t="n">
        <f aca="false">AD88+AE87</f>
        <v>-233636.499725891</v>
      </c>
      <c r="AF88" s="67" t="n">
        <f aca="false">AE88+AF87</f>
        <v>-240798.800811137</v>
      </c>
      <c r="AG88" s="67" t="n">
        <f aca="false">AF88+AG87</f>
        <v>-247951.657451939</v>
      </c>
      <c r="AH88" s="67" t="n">
        <f aca="false">AG88+AH87</f>
        <v>-255095.069648297</v>
      </c>
      <c r="AI88" s="67" t="n">
        <f aca="false">AH88+AI87</f>
        <v>-262229.03740021</v>
      </c>
      <c r="AJ88" s="67" t="n">
        <f aca="false">AI88+AJ87</f>
        <v>-269353.560707679</v>
      </c>
      <c r="AK88" s="67" t="n">
        <f aca="false">AJ88+AK87</f>
        <v>-265820.200327793</v>
      </c>
      <c r="AL88" s="67" t="n">
        <f aca="false">AK88+AL87</f>
        <v>-259256.189857711</v>
      </c>
      <c r="AM88" s="67" t="n">
        <f aca="false">AL88+AM87</f>
        <v>-265342.753043133</v>
      </c>
      <c r="AN88" s="67" t="n">
        <f aca="false">AM88+AN87</f>
        <v>-273697.582990138</v>
      </c>
      <c r="AO88" s="67" t="n">
        <f aca="false">AN88+AO87</f>
        <v>-282042.968492698</v>
      </c>
      <c r="AP88" s="67" t="n">
        <f aca="false">AO88+AP87</f>
        <v>-290378.909550814</v>
      </c>
      <c r="AQ88" s="67" t="n">
        <f aca="false">AP88+AQ87</f>
        <v>-298705.406164486</v>
      </c>
      <c r="AR88" s="67" t="n">
        <f aca="false">AQ88+AR87</f>
        <v>-307022.458333713</v>
      </c>
      <c r="AS88" s="67" t="n">
        <f aca="false">AR88+AS87</f>
        <v>-315330.066058496</v>
      </c>
      <c r="AT88" s="67" t="n">
        <f aca="false">AS88+AT87</f>
        <v>-323628.229338834</v>
      </c>
      <c r="AU88" s="67" t="n">
        <f aca="false">AT88+AU87</f>
        <v>-331916.948174728</v>
      </c>
      <c r="AV88" s="67" t="n">
        <f aca="false">AU88+AV87</f>
        <v>-340196.222566177</v>
      </c>
      <c r="AW88" s="67" t="n">
        <f aca="false">AV88+AW87</f>
        <v>-337496.030405135</v>
      </c>
      <c r="AX88" s="67" t="n">
        <f aca="false">AW88+AX87</f>
        <v>-331673.947743397</v>
      </c>
      <c r="AY88" s="67" t="n">
        <f aca="false">AX88+AY87</f>
        <v>-339051.329301752</v>
      </c>
      <c r="AZ88" s="67" t="n">
        <f aca="false">AY88+AZ87</f>
        <v>-348738.737258355</v>
      </c>
      <c r="BA88" s="67" t="n">
        <f aca="false">AZ88+BA87</f>
        <v>-358416.700770514</v>
      </c>
      <c r="BB88" s="67" t="n">
        <f aca="false">BA88+BB87</f>
        <v>-368085.219838228</v>
      </c>
      <c r="BC88" s="67" t="n">
        <f aca="false">BB88+BC87</f>
        <v>-377744.294461498</v>
      </c>
      <c r="BD88" s="67" t="n">
        <f aca="false">BC88+BD87</f>
        <v>-387393.924640324</v>
      </c>
      <c r="BE88" s="67" t="n">
        <f aca="false">BD88+BE87</f>
        <v>-397034.110374705</v>
      </c>
      <c r="BF88" s="67" t="n">
        <f aca="false">BE88+BF87</f>
        <v>-406664.851664641</v>
      </c>
      <c r="BG88" s="67" t="n">
        <f aca="false">BF88+BG87</f>
        <v>-416286.148510133</v>
      </c>
      <c r="BH88" s="67" t="n">
        <f aca="false">BG88+BH87</f>
        <v>-425898.000911181</v>
      </c>
      <c r="BI88" s="67" t="n">
        <f aca="false">BH88+BI87</f>
        <v>-424199.092092074</v>
      </c>
      <c r="BJ88" s="67" t="n">
        <f aca="false">BI88+BJ87</f>
        <v>-419284.296901372</v>
      </c>
    </row>
    <row r="89" customFormat="false" ht="15" hidden="false" customHeight="false" outlineLevel="0" collapsed="false">
      <c r="A89" s="121" t="s">
        <v>430</v>
      </c>
      <c r="C89" s="67" t="n">
        <f aca="false">C88</f>
        <v>-116585.885157303</v>
      </c>
      <c r="D89" s="67" t="n">
        <f aca="false">MIN(C89,D88)</f>
        <v>-128307.56056804</v>
      </c>
      <c r="E89" s="67" t="n">
        <f aca="false">MIN(D89,E88)</f>
        <v>-136630.893837703</v>
      </c>
      <c r="F89" s="67" t="n">
        <f aca="false">MIN(E89,F88)</f>
        <v>-141555.884966292</v>
      </c>
      <c r="G89" s="67" t="n">
        <f aca="false">MIN(F89,G88)</f>
        <v>-145724.866968789</v>
      </c>
      <c r="H89" s="67" t="n">
        <f aca="false">MIN(G89,H88)</f>
        <v>-149884.404526841</v>
      </c>
      <c r="I89" s="67" t="n">
        <f aca="false">MIN(H89,I88)</f>
        <v>-154034.497640449</v>
      </c>
      <c r="J89" s="67" t="n">
        <f aca="false">MIN(I89,J88)</f>
        <v>-158175.146309613</v>
      </c>
      <c r="K89" s="67" t="n">
        <f aca="false">MIN(J89,K88)</f>
        <v>-162306.350534332</v>
      </c>
      <c r="L89" s="67" t="n">
        <f aca="false">MIN(K89,L88)</f>
        <v>-166428.110314607</v>
      </c>
      <c r="M89" s="67" t="n">
        <f aca="false">MIN(L89,M88)</f>
        <v>-166428.110314607</v>
      </c>
      <c r="N89" s="67" t="n">
        <f aca="false">MIN(M89,N88)</f>
        <v>-166428.110314607</v>
      </c>
      <c r="O89" s="67" t="n">
        <f aca="false">MIN(N89,O88)</f>
        <v>-166428.110314607</v>
      </c>
      <c r="P89" s="67" t="n">
        <f aca="false">MIN(O89,P88)</f>
        <v>-166428.110314607</v>
      </c>
      <c r="Q89" s="67" t="n">
        <f aca="false">MIN(P89,Q88)</f>
        <v>-168162.726690772</v>
      </c>
      <c r="R89" s="67" t="n">
        <f aca="false">MIN(Q89,R88)</f>
        <v>-174351.678238634</v>
      </c>
      <c r="S89" s="67" t="n">
        <f aca="false">MIN(R89,S88)</f>
        <v>-180531.18534205</v>
      </c>
      <c r="T89" s="67" t="n">
        <f aca="false">MIN(S89,T88)</f>
        <v>-186701.248001023</v>
      </c>
      <c r="U89" s="67" t="n">
        <f aca="false">MIN(T89,U88)</f>
        <v>-192861.86621555</v>
      </c>
      <c r="V89" s="67" t="n">
        <f aca="false">MIN(U89,V88)</f>
        <v>-199013.039985634</v>
      </c>
      <c r="W89" s="67" t="n">
        <f aca="false">MIN(V89,W88)</f>
        <v>-205154.769311273</v>
      </c>
      <c r="X89" s="67" t="n">
        <f aca="false">MIN(W89,X88)</f>
        <v>-211287.054192467</v>
      </c>
      <c r="Y89" s="67" t="n">
        <f aca="false">MIN(X89,Y88)</f>
        <v>-211287.054192467</v>
      </c>
      <c r="Z89" s="67" t="n">
        <f aca="false">MIN(Y89,Z88)</f>
        <v>-211287.054192467</v>
      </c>
      <c r="AA89" s="67" t="n">
        <f aca="false">MIN(Z89,AA88)</f>
        <v>-211287.054192467</v>
      </c>
      <c r="AB89" s="67" t="n">
        <f aca="false">MIN(AA89,AB88)</f>
        <v>-212092.929803484</v>
      </c>
      <c r="AC89" s="67" t="n">
        <f aca="false">MIN(AB89,AC88)</f>
        <v>-219283.564222064</v>
      </c>
      <c r="AD89" s="67" t="n">
        <f aca="false">MIN(AC89,AD88)</f>
        <v>-226464.7541962</v>
      </c>
      <c r="AE89" s="67" t="n">
        <f aca="false">MIN(AD89,AE88)</f>
        <v>-233636.499725891</v>
      </c>
      <c r="AF89" s="67" t="n">
        <f aca="false">MIN(AE89,AF88)</f>
        <v>-240798.800811137</v>
      </c>
      <c r="AG89" s="67" t="n">
        <f aca="false">MIN(AF89,AG88)</f>
        <v>-247951.657451939</v>
      </c>
      <c r="AH89" s="67" t="n">
        <f aca="false">MIN(AG89,AH88)</f>
        <v>-255095.069648297</v>
      </c>
      <c r="AI89" s="67" t="n">
        <f aca="false">MIN(AH89,AI88)</f>
        <v>-262229.03740021</v>
      </c>
      <c r="AJ89" s="67" t="n">
        <f aca="false">MIN(AI89,AJ88)</f>
        <v>-269353.560707679</v>
      </c>
      <c r="AK89" s="67" t="n">
        <f aca="false">MIN(AJ89,AK88)</f>
        <v>-269353.560707679</v>
      </c>
      <c r="AL89" s="67" t="n">
        <f aca="false">MIN(AK89,AL88)</f>
        <v>-269353.560707679</v>
      </c>
      <c r="AM89" s="67" t="n">
        <f aca="false">MIN(AL89,AM88)</f>
        <v>-269353.560707679</v>
      </c>
      <c r="AN89" s="67" t="n">
        <f aca="false">MIN(AM89,AN88)</f>
        <v>-273697.582990138</v>
      </c>
      <c r="AO89" s="67" t="n">
        <f aca="false">MIN(AN89,AO88)</f>
        <v>-282042.968492698</v>
      </c>
      <c r="AP89" s="67" t="n">
        <f aca="false">MIN(AO89,AP88)</f>
        <v>-290378.909550814</v>
      </c>
      <c r="AQ89" s="67" t="n">
        <f aca="false">MIN(AP89,AQ88)</f>
        <v>-298705.406164486</v>
      </c>
      <c r="AR89" s="67" t="n">
        <f aca="false">MIN(AQ89,AR88)</f>
        <v>-307022.458333713</v>
      </c>
      <c r="AS89" s="67" t="n">
        <f aca="false">MIN(AR89,AS88)</f>
        <v>-315330.066058496</v>
      </c>
      <c r="AT89" s="67" t="n">
        <f aca="false">MIN(AS89,AT88)</f>
        <v>-323628.229338834</v>
      </c>
      <c r="AU89" s="67" t="n">
        <f aca="false">MIN(AT89,AU88)</f>
        <v>-331916.948174728</v>
      </c>
      <c r="AV89" s="67" t="n">
        <f aca="false">MIN(AU89,AV88)</f>
        <v>-340196.222566177</v>
      </c>
      <c r="AW89" s="67" t="n">
        <f aca="false">MIN(AV89,AW88)</f>
        <v>-340196.222566177</v>
      </c>
      <c r="AX89" s="67" t="n">
        <f aca="false">MIN(AW89,AX88)</f>
        <v>-340196.222566177</v>
      </c>
      <c r="AY89" s="67" t="n">
        <f aca="false">MIN(AX89,AY88)</f>
        <v>-340196.222566177</v>
      </c>
      <c r="AZ89" s="67" t="n">
        <f aca="false">MIN(AY89,AZ88)</f>
        <v>-348738.737258355</v>
      </c>
      <c r="BA89" s="67" t="n">
        <f aca="false">MIN(AZ89,BA88)</f>
        <v>-358416.700770514</v>
      </c>
      <c r="BB89" s="67" t="n">
        <f aca="false">MIN(BA89,BB88)</f>
        <v>-368085.219838228</v>
      </c>
      <c r="BC89" s="67" t="n">
        <f aca="false">MIN(BB89,BC88)</f>
        <v>-377744.294461498</v>
      </c>
      <c r="BD89" s="67" t="n">
        <f aca="false">MIN(BC89,BD88)</f>
        <v>-387393.924640324</v>
      </c>
      <c r="BE89" s="67" t="n">
        <f aca="false">MIN(BD89,BE88)</f>
        <v>-397034.110374705</v>
      </c>
      <c r="BF89" s="67" t="n">
        <f aca="false">MIN(BE89,BF88)</f>
        <v>-406664.851664641</v>
      </c>
      <c r="BG89" s="67" t="n">
        <f aca="false">MIN(BF89,BG88)</f>
        <v>-416286.148510133</v>
      </c>
      <c r="BH89" s="67" t="n">
        <f aca="false">MIN(BG89,BH88)</f>
        <v>-425898.000911181</v>
      </c>
      <c r="BI89" s="67" t="n">
        <f aca="false">MIN(BH89,BI88)</f>
        <v>-425898.000911181</v>
      </c>
      <c r="BJ89" s="67" t="n">
        <f aca="false">MIN(BI89,BJ88)</f>
        <v>-425898.000911181</v>
      </c>
    </row>
    <row r="90" customFormat="false" ht="15" hidden="false" customHeight="false" outlineLevel="0" collapsed="false">
      <c r="A90" s="121" t="s">
        <v>431</v>
      </c>
      <c r="C90" s="119" t="n">
        <f aca="false">IF(AND(C88&gt;=0,C89&lt;0),1,0)</f>
        <v>0</v>
      </c>
      <c r="D90" s="119" t="n">
        <f aca="false">IF(AND(D88&gt;=0,D89&lt;0),1,0)</f>
        <v>0</v>
      </c>
      <c r="E90" s="119" t="n">
        <f aca="false">IF(AND(E88&gt;=0,E89&lt;0),1,0)</f>
        <v>0</v>
      </c>
      <c r="F90" s="119" t="n">
        <f aca="false">IF(AND(F88&gt;=0,F89&lt;0),1,0)</f>
        <v>0</v>
      </c>
      <c r="G90" s="119" t="n">
        <f aca="false">IF(AND(G88&gt;=0,G89&lt;0),1,0)</f>
        <v>0</v>
      </c>
      <c r="H90" s="119" t="n">
        <f aca="false">IF(AND(H88&gt;=0,H89&lt;0),1,0)</f>
        <v>0</v>
      </c>
      <c r="I90" s="119" t="n">
        <f aca="false">IF(AND(I88&gt;=0,I89&lt;0),1,0)</f>
        <v>0</v>
      </c>
      <c r="J90" s="119" t="n">
        <f aca="false">IF(AND(J88&gt;=0,J89&lt;0),1,0)</f>
        <v>0</v>
      </c>
      <c r="K90" s="119" t="n">
        <f aca="false">IF(AND(K88&gt;=0,K89&lt;0),1,0)</f>
        <v>0</v>
      </c>
      <c r="L90" s="119" t="n">
        <f aca="false">IF(AND(L88&gt;=0,L89&lt;0),1,0)</f>
        <v>0</v>
      </c>
      <c r="M90" s="119" t="n">
        <f aca="false">IF(AND(M88&gt;=0,M89&lt;0),1,0)</f>
        <v>0</v>
      </c>
      <c r="N90" s="119" t="n">
        <f aca="false">IF(AND(N88&gt;=0,N89&lt;0),1,0)</f>
        <v>0</v>
      </c>
      <c r="O90" s="119" t="n">
        <f aca="false">IF(AND(O88&gt;=0,O89&lt;0),1,0)</f>
        <v>0</v>
      </c>
      <c r="P90" s="119" t="n">
        <f aca="false">IF(AND(P88&gt;=0,P89&lt;0),1,0)</f>
        <v>0</v>
      </c>
      <c r="Q90" s="119" t="n">
        <f aca="false">IF(AND(Q88&gt;=0,Q89&lt;0),1,0)</f>
        <v>0</v>
      </c>
      <c r="R90" s="119" t="n">
        <f aca="false">IF(AND(R88&gt;=0,R89&lt;0),1,0)</f>
        <v>0</v>
      </c>
      <c r="S90" s="119" t="n">
        <f aca="false">IF(AND(S88&gt;=0,S89&lt;0),1,0)</f>
        <v>0</v>
      </c>
      <c r="T90" s="119" t="n">
        <f aca="false">IF(AND(T88&gt;=0,T89&lt;0),1,0)</f>
        <v>0</v>
      </c>
      <c r="U90" s="119" t="n">
        <f aca="false">IF(AND(U88&gt;=0,U89&lt;0),1,0)</f>
        <v>0</v>
      </c>
      <c r="V90" s="119" t="n">
        <f aca="false">IF(AND(V88&gt;=0,V89&lt;0),1,0)</f>
        <v>0</v>
      </c>
      <c r="W90" s="119" t="n">
        <f aca="false">IF(AND(W88&gt;=0,W89&lt;0),1,0)</f>
        <v>0</v>
      </c>
      <c r="X90" s="119" t="n">
        <f aca="false">IF(AND(X88&gt;=0,X89&lt;0),1,0)</f>
        <v>0</v>
      </c>
      <c r="Y90" s="119" t="n">
        <f aca="false">IF(AND(Y88&gt;=0,Y89&lt;0),1,0)</f>
        <v>0</v>
      </c>
      <c r="Z90" s="119" t="n">
        <f aca="false">IF(AND(Z88&gt;=0,Z89&lt;0),1,0)</f>
        <v>0</v>
      </c>
      <c r="AA90" s="119" t="n">
        <f aca="false">IF(AND(AA88&gt;=0,AA89&lt;0),1,0)</f>
        <v>0</v>
      </c>
      <c r="AB90" s="119" t="n">
        <f aca="false">IF(AND(AB88&gt;=0,AB89&lt;0),1,0)</f>
        <v>0</v>
      </c>
      <c r="AC90" s="119" t="n">
        <f aca="false">IF(AND(AC88&gt;=0,AC89&lt;0),1,0)</f>
        <v>0</v>
      </c>
      <c r="AD90" s="119" t="n">
        <f aca="false">IF(AND(AD88&gt;=0,AD89&lt;0),1,0)</f>
        <v>0</v>
      </c>
      <c r="AE90" s="119" t="n">
        <f aca="false">IF(AND(AE88&gt;=0,AE89&lt;0),1,0)</f>
        <v>0</v>
      </c>
      <c r="AF90" s="119" t="n">
        <f aca="false">IF(AND(AF88&gt;=0,AF89&lt;0),1,0)</f>
        <v>0</v>
      </c>
      <c r="AG90" s="119" t="n">
        <f aca="false">IF(AND(AG88&gt;=0,AG89&lt;0),1,0)</f>
        <v>0</v>
      </c>
      <c r="AH90" s="119" t="n">
        <f aca="false">IF(AND(AH88&gt;=0,AH89&lt;0),1,0)</f>
        <v>0</v>
      </c>
      <c r="AI90" s="119" t="n">
        <f aca="false">IF(AND(AI88&gt;=0,AI89&lt;0),1,0)</f>
        <v>0</v>
      </c>
      <c r="AJ90" s="119" t="n">
        <f aca="false">IF(AND(AJ88&gt;=0,AJ89&lt;0),1,0)</f>
        <v>0</v>
      </c>
      <c r="AK90" s="119" t="n">
        <f aca="false">IF(AND(AK88&gt;=0,AK89&lt;0),1,0)</f>
        <v>0</v>
      </c>
      <c r="AL90" s="119" t="n">
        <f aca="false">IF(AND(AL88&gt;=0,AL89&lt;0),1,0)</f>
        <v>0</v>
      </c>
      <c r="AM90" s="119" t="n">
        <f aca="false">IF(AND(AM88&gt;=0,AM89&lt;0),1,0)</f>
        <v>0</v>
      </c>
      <c r="AN90" s="119" t="n">
        <f aca="false">IF(AND(AN88&gt;=0,AN89&lt;0),1,0)</f>
        <v>0</v>
      </c>
      <c r="AO90" s="119" t="n">
        <f aca="false">IF(AND(AO88&gt;=0,AO89&lt;0),1,0)</f>
        <v>0</v>
      </c>
      <c r="AP90" s="119" t="n">
        <f aca="false">IF(AND(AP88&gt;=0,AP89&lt;0),1,0)</f>
        <v>0</v>
      </c>
      <c r="AQ90" s="119" t="n">
        <f aca="false">IF(AND(AQ88&gt;=0,AQ89&lt;0),1,0)</f>
        <v>0</v>
      </c>
      <c r="AR90" s="119" t="n">
        <f aca="false">IF(AND(AR88&gt;=0,AR89&lt;0),1,0)</f>
        <v>0</v>
      </c>
      <c r="AS90" s="119" t="n">
        <f aca="false">IF(AND(AS88&gt;=0,AS89&lt;0),1,0)</f>
        <v>0</v>
      </c>
      <c r="AT90" s="119" t="n">
        <f aca="false">IF(AND(AT88&gt;=0,AT89&lt;0),1,0)</f>
        <v>0</v>
      </c>
      <c r="AU90" s="119" t="n">
        <f aca="false">IF(AND(AU88&gt;=0,AU89&lt;0),1,0)</f>
        <v>0</v>
      </c>
      <c r="AV90" s="119" t="n">
        <f aca="false">IF(AND(AV88&gt;=0,AV89&lt;0),1,0)</f>
        <v>0</v>
      </c>
      <c r="AW90" s="119" t="n">
        <f aca="false">IF(AND(AW88&gt;=0,AW89&lt;0),1,0)</f>
        <v>0</v>
      </c>
      <c r="AX90" s="119" t="n">
        <f aca="false">IF(AND(AX88&gt;=0,AX89&lt;0),1,0)</f>
        <v>0</v>
      </c>
      <c r="AY90" s="119" t="n">
        <f aca="false">IF(AND(AY88&gt;=0,AY89&lt;0),1,0)</f>
        <v>0</v>
      </c>
      <c r="AZ90" s="119" t="n">
        <f aca="false">IF(AND(AZ88&gt;=0,AZ89&lt;0),1,0)</f>
        <v>0</v>
      </c>
      <c r="BA90" s="119" t="n">
        <f aca="false">IF(AND(BA88&gt;=0,BA89&lt;0),1,0)</f>
        <v>0</v>
      </c>
      <c r="BB90" s="119" t="n">
        <f aca="false">IF(AND(BB88&gt;=0,BB89&lt;0),1,0)</f>
        <v>0</v>
      </c>
      <c r="BC90" s="119" t="n">
        <f aca="false">IF(AND(BC88&gt;=0,BC89&lt;0),1,0)</f>
        <v>0</v>
      </c>
      <c r="BD90" s="119" t="n">
        <f aca="false">IF(AND(BD88&gt;=0,BD89&lt;0),1,0)</f>
        <v>0</v>
      </c>
      <c r="BE90" s="119" t="n">
        <f aca="false">IF(AND(BE88&gt;=0,BE89&lt;0),1,0)</f>
        <v>0</v>
      </c>
      <c r="BF90" s="119" t="n">
        <f aca="false">IF(AND(BF88&gt;=0,BF89&lt;0),1,0)</f>
        <v>0</v>
      </c>
      <c r="BG90" s="119" t="n">
        <f aca="false">IF(AND(BG88&gt;=0,BG89&lt;0),1,0)</f>
        <v>0</v>
      </c>
      <c r="BH90" s="119" t="n">
        <f aca="false">IF(AND(BH88&gt;=0,BH89&lt;0),1,0)</f>
        <v>0</v>
      </c>
      <c r="BI90" s="119" t="n">
        <f aca="false">IF(AND(BI88&gt;=0,BI89&lt;0),1,0)</f>
        <v>0</v>
      </c>
      <c r="BJ90" s="119" t="n">
        <f aca="false">IF(AND(BJ88&gt;=0,BJ89&lt;0),1,0)</f>
        <v>0</v>
      </c>
    </row>
    <row r="91" customFormat="false" ht="15" hidden="false" customHeight="false" outlineLevel="0" collapsed="false">
      <c r="A91" s="6" t="s">
        <v>432</v>
      </c>
      <c r="C91" s="67" t="n">
        <f aca="false">C76-C47*(1-Inputs!$B$70)+C77</f>
        <v>-116138.218490637</v>
      </c>
      <c r="D91" s="67" t="n">
        <f aca="false">D76-D47*(1-Inputs!$B$70)+D77</f>
        <v>-11277.7392996255</v>
      </c>
      <c r="E91" s="67" t="n">
        <f aca="false">E76-E47*(1-Inputs!$B$70)+E77</f>
        <v>-7886.85826966292</v>
      </c>
      <c r="F91" s="67" t="n">
        <f aca="false">F76-F47*(1-Inputs!$B$70)+F77</f>
        <v>-4495.97723970037</v>
      </c>
      <c r="G91" s="67" t="n">
        <f aca="false">G76-G47*(1-Inputs!$B$70)+G77</f>
        <v>-3747.4292247191</v>
      </c>
      <c r="H91" s="67" t="n">
        <f aca="false">H76-H47*(1-Inputs!$B$70)+H77</f>
        <v>-3745.44589138577</v>
      </c>
      <c r="I91" s="67" t="n">
        <f aca="false">I76-I47*(1-Inputs!$B$70)+I77</f>
        <v>-3743.46255805244</v>
      </c>
      <c r="J91" s="67" t="n">
        <f aca="false">J76-J47*(1-Inputs!$B$70)+J77</f>
        <v>-3741.4792247191</v>
      </c>
      <c r="K91" s="67" t="n">
        <f aca="false">K76-K47*(1-Inputs!$B$70)+K77</f>
        <v>-3739.49589138577</v>
      </c>
      <c r="L91" s="67" t="n">
        <f aca="false">L76-L47*(1-Inputs!$B$70)+L77</f>
        <v>-3737.51255805244</v>
      </c>
      <c r="M91" s="67" t="n">
        <f aca="false">M76-M47*(1-Inputs!$B$70)+M77</f>
        <v>6297.74924719103</v>
      </c>
      <c r="N91" s="67" t="n">
        <f aca="false">N76-N47*(1-Inputs!$B$70)+N77</f>
        <v>9146.40305243447</v>
      </c>
      <c r="O91" s="67" t="n">
        <f aca="false">O76-O47*(1-Inputs!$B$70)+O77</f>
        <v>-3664.55724673556</v>
      </c>
      <c r="P91" s="67" t="n">
        <f aca="false">P76-P47*(1-Inputs!$B$70)+P77</f>
        <v>-5853.43765897227</v>
      </c>
      <c r="Q91" s="67" t="n">
        <f aca="false">Q76-Q47*(1-Inputs!$B$70)+Q77</f>
        <v>-5851.45432563893</v>
      </c>
      <c r="R91" s="67" t="n">
        <f aca="false">R76-R47*(1-Inputs!$B$70)+R77</f>
        <v>-5849.4709923056</v>
      </c>
      <c r="S91" s="67" t="n">
        <f aca="false">S76-S47*(1-Inputs!$B$70)+S77</f>
        <v>-5847.48765897227</v>
      </c>
      <c r="T91" s="67" t="n">
        <f aca="false">T76-T47*(1-Inputs!$B$70)+T77</f>
        <v>-5845.50432563893</v>
      </c>
      <c r="U91" s="67" t="n">
        <f aca="false">U76-U47*(1-Inputs!$B$70)+U77</f>
        <v>-5843.5209923056</v>
      </c>
      <c r="V91" s="67" t="n">
        <f aca="false">V76-V47*(1-Inputs!$B$70)+V77</f>
        <v>-5841.53765897227</v>
      </c>
      <c r="W91" s="67" t="n">
        <f aca="false">W76-W47*(1-Inputs!$B$70)+W77</f>
        <v>-5839.55432563893</v>
      </c>
      <c r="X91" s="67" t="n">
        <f aca="false">X76-X47*(1-Inputs!$B$70)+X77</f>
        <v>-5837.5709923056</v>
      </c>
      <c r="Y91" s="67" t="n">
        <f aca="false">Y76-Y47*(1-Inputs!$B$70)+Y77</f>
        <v>4500.69582278955</v>
      </c>
      <c r="Z91" s="67" t="n">
        <f aca="false">Z76-Z47*(1-Inputs!$B$70)+Z77</f>
        <v>7435.31907628468</v>
      </c>
      <c r="AA91" s="67" t="n">
        <f aca="false">AA76-AA47*(1-Inputs!$B$70)+AA77</f>
        <v>-4702.43664706699</v>
      </c>
      <c r="AB91" s="67" t="n">
        <f aca="false">AB76-AB47*(1-Inputs!$B$70)+AB77</f>
        <v>-6935.20941857991</v>
      </c>
      <c r="AC91" s="67" t="n">
        <f aca="false">AC76-AC47*(1-Inputs!$B$70)+AC77</f>
        <v>-6933.22608524658</v>
      </c>
      <c r="AD91" s="67" t="n">
        <f aca="false">AD76-AD47*(1-Inputs!$B$70)+AD77</f>
        <v>-6931.24275191324</v>
      </c>
      <c r="AE91" s="67" t="n">
        <f aca="false">AE76-AE47*(1-Inputs!$B$70)+AE77</f>
        <v>-6929.25941857991</v>
      </c>
      <c r="AF91" s="67" t="n">
        <f aca="false">AF76-AF47*(1-Inputs!$B$70)+AF77</f>
        <v>-6927.27608524658</v>
      </c>
      <c r="AG91" s="67" t="n">
        <f aca="false">AG76-AG47*(1-Inputs!$B$70)+AG77</f>
        <v>-6925.29275191324</v>
      </c>
      <c r="AH91" s="67" t="n">
        <f aca="false">AH76-AH47*(1-Inputs!$B$70)+AH77</f>
        <v>-6923.30941857991</v>
      </c>
      <c r="AI91" s="67" t="n">
        <f aca="false">AI76-AI47*(1-Inputs!$B$70)+AI77</f>
        <v>-6921.32608524658</v>
      </c>
      <c r="AJ91" s="67" t="n">
        <f aca="false">AJ76-AJ47*(1-Inputs!$B$70)+AJ77</f>
        <v>-6919.34275191324</v>
      </c>
      <c r="AK91" s="67" t="n">
        <f aca="false">AK76-AK47*(1-Inputs!$B$70)+AK77</f>
        <v>3731.07982433108</v>
      </c>
      <c r="AL91" s="67" t="n">
        <f aca="false">AL76-AL47*(1-Inputs!$B$70)+AL77</f>
        <v>6754.26880341509</v>
      </c>
      <c r="AM91" s="67" t="n">
        <f aca="false">AM76-AM47*(1-Inputs!$B$70)+AM77</f>
        <v>-5903.7659631999</v>
      </c>
      <c r="AN91" s="67" t="n">
        <f aca="false">AN76-AN47*(1-Inputs!$B$70)+AN77</f>
        <v>-8179.49383589383</v>
      </c>
      <c r="AO91" s="67" t="n">
        <f aca="false">AO76-AO47*(1-Inputs!$B$70)+AO77</f>
        <v>-8177.5105025605</v>
      </c>
      <c r="AP91" s="67" t="n">
        <f aca="false">AP76-AP47*(1-Inputs!$B$70)+AP77</f>
        <v>-8175.52716922716</v>
      </c>
      <c r="AQ91" s="67" t="n">
        <f aca="false">AQ76-AQ47*(1-Inputs!$B$70)+AQ77</f>
        <v>-8173.54383589383</v>
      </c>
      <c r="AR91" s="67" t="n">
        <f aca="false">AR76-AR47*(1-Inputs!$B$70)+AR77</f>
        <v>-8171.5605025605</v>
      </c>
      <c r="AS91" s="67" t="n">
        <f aca="false">AS76-AS47*(1-Inputs!$B$70)+AS77</f>
        <v>-8169.57716922716</v>
      </c>
      <c r="AT91" s="67" t="n">
        <f aca="false">AT76-AT47*(1-Inputs!$B$70)+AT77</f>
        <v>-8167.59383589383</v>
      </c>
      <c r="AU91" s="67" t="n">
        <f aca="false">AU76-AU47*(1-Inputs!$B$70)+AU77</f>
        <v>-8165.6105025605</v>
      </c>
      <c r="AV91" s="67" t="n">
        <f aca="false">AV76-AV47*(1-Inputs!$B$70)+AV77</f>
        <v>-8163.62716922716</v>
      </c>
      <c r="AW91" s="67" t="n">
        <f aca="false">AW76-AW47*(1-Inputs!$B$70)+AW77</f>
        <v>2808.37827215307</v>
      </c>
      <c r="AX91" s="67" t="n">
        <f aca="false">AX76-AX47*(1-Inputs!$B$70)+AX77</f>
        <v>5922.80766173877</v>
      </c>
      <c r="AY91" s="67" t="n">
        <f aca="false">AY76-AY47*(1-Inputs!$B$70)+AY77</f>
        <v>-7284.11766946644</v>
      </c>
      <c r="AZ91" s="67" t="n">
        <f aca="false">AZ76-AZ47*(1-Inputs!$B$70)+AZ77</f>
        <v>-9601.60517882544</v>
      </c>
      <c r="BA91" s="67" t="n">
        <f aca="false">BA76-BA47*(1-Inputs!$B$70)+BA77</f>
        <v>-9599.6218454921</v>
      </c>
      <c r="BB91" s="67" t="n">
        <f aca="false">BB76-BB47*(1-Inputs!$B$70)+BB77</f>
        <v>-9597.63851215877</v>
      </c>
      <c r="BC91" s="67" t="n">
        <f aca="false">BC76-BC47*(1-Inputs!$B$70)+BC77</f>
        <v>-9595.65517882544</v>
      </c>
      <c r="BD91" s="67" t="n">
        <f aca="false">BD76-BD47*(1-Inputs!$B$70)+BD77</f>
        <v>-9593.6718454921</v>
      </c>
      <c r="BE91" s="67" t="n">
        <f aca="false">BE76-BE47*(1-Inputs!$B$70)+BE77</f>
        <v>-9591.68851215877</v>
      </c>
      <c r="BF91" s="67" t="n">
        <f aca="false">BF76-BF47*(1-Inputs!$B$70)+BF77</f>
        <v>-9589.70517882544</v>
      </c>
      <c r="BG91" s="67" t="n">
        <f aca="false">BG76-BG47*(1-Inputs!$B$70)+BG77</f>
        <v>-9587.7218454921</v>
      </c>
      <c r="BH91" s="67" t="n">
        <f aca="false">BH76-BH47*(1-Inputs!$B$70)+BH77</f>
        <v>-9585.73851215877</v>
      </c>
      <c r="BI91" s="67" t="n">
        <f aca="false">BI76-BI47*(1-Inputs!$B$70)+BI77</f>
        <v>1717.56159688452</v>
      </c>
      <c r="BJ91" s="67" t="n">
        <f aca="false">BJ76-BJ47*(1-Inputs!$B$70)+BJ77</f>
        <v>4925.98685736904</v>
      </c>
    </row>
    <row r="93" customFormat="false" ht="15.75" hidden="false" customHeight="true" outlineLevel="0" collapsed="false">
      <c r="A93" s="7" t="s">
        <v>433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customFormat="false" ht="15" hidden="false" customHeight="false" outlineLevel="0" collapsed="false">
      <c r="A94" s="6" t="s">
        <v>97</v>
      </c>
      <c r="C94" s="67" t="n">
        <f aca="false">C78</f>
        <v>60000</v>
      </c>
      <c r="D94" s="67" t="n">
        <f aca="false">C94+D78</f>
        <v>60000</v>
      </c>
      <c r="E94" s="67" t="n">
        <f aca="false">D94+E78</f>
        <v>60000</v>
      </c>
      <c r="F94" s="67" t="n">
        <f aca="false">E94+F78</f>
        <v>60000</v>
      </c>
      <c r="G94" s="67" t="n">
        <f aca="false">F94+G78</f>
        <v>60000</v>
      </c>
      <c r="H94" s="67" t="n">
        <f aca="false">G94+H78</f>
        <v>60000</v>
      </c>
      <c r="I94" s="67" t="n">
        <f aca="false">H94+I78</f>
        <v>60000</v>
      </c>
      <c r="J94" s="67" t="n">
        <f aca="false">I94+J78</f>
        <v>60000</v>
      </c>
      <c r="K94" s="67" t="n">
        <f aca="false">J94+K78</f>
        <v>60000</v>
      </c>
      <c r="L94" s="67" t="n">
        <f aca="false">K94+L78</f>
        <v>60000</v>
      </c>
      <c r="M94" s="67" t="n">
        <f aca="false">L94+M78</f>
        <v>60000</v>
      </c>
      <c r="N94" s="67" t="n">
        <f aca="false">M94+N78</f>
        <v>60000</v>
      </c>
      <c r="O94" s="67" t="n">
        <f aca="false">N94+O78</f>
        <v>60000</v>
      </c>
      <c r="P94" s="67" t="n">
        <f aca="false">O94+P78</f>
        <v>60000</v>
      </c>
      <c r="Q94" s="67" t="n">
        <f aca="false">P94+Q78</f>
        <v>60000</v>
      </c>
      <c r="R94" s="67" t="n">
        <f aca="false">Q94+R78</f>
        <v>60000</v>
      </c>
      <c r="S94" s="67" t="n">
        <f aca="false">R94+S78</f>
        <v>60000</v>
      </c>
      <c r="T94" s="67" t="n">
        <f aca="false">S94+T78</f>
        <v>60000</v>
      </c>
      <c r="U94" s="67" t="n">
        <f aca="false">T94+U78</f>
        <v>60000</v>
      </c>
      <c r="V94" s="67" t="n">
        <f aca="false">U94+V78</f>
        <v>60000</v>
      </c>
      <c r="W94" s="67" t="n">
        <f aca="false">V94+W78</f>
        <v>60000</v>
      </c>
      <c r="X94" s="67" t="n">
        <f aca="false">W94+X78</f>
        <v>60000</v>
      </c>
      <c r="Y94" s="67" t="n">
        <f aca="false">X94+Y78</f>
        <v>60000</v>
      </c>
      <c r="Z94" s="67" t="n">
        <f aca="false">Y94+Z78</f>
        <v>60000</v>
      </c>
      <c r="AA94" s="67" t="n">
        <f aca="false">Z94+AA78</f>
        <v>60000</v>
      </c>
      <c r="AB94" s="67" t="n">
        <f aca="false">AA94+AB78</f>
        <v>60000</v>
      </c>
      <c r="AC94" s="67" t="n">
        <f aca="false">AB94+AC78</f>
        <v>60000</v>
      </c>
      <c r="AD94" s="67" t="n">
        <f aca="false">AC94+AD78</f>
        <v>60000</v>
      </c>
      <c r="AE94" s="67" t="n">
        <f aca="false">AD94+AE78</f>
        <v>60000</v>
      </c>
      <c r="AF94" s="67" t="n">
        <f aca="false">AE94+AF78</f>
        <v>60000</v>
      </c>
      <c r="AG94" s="67" t="n">
        <f aca="false">AF94+AG78</f>
        <v>60000</v>
      </c>
      <c r="AH94" s="67" t="n">
        <f aca="false">AG94+AH78</f>
        <v>60000</v>
      </c>
      <c r="AI94" s="67" t="n">
        <f aca="false">AH94+AI78</f>
        <v>60000</v>
      </c>
      <c r="AJ94" s="67" t="n">
        <f aca="false">AI94+AJ78</f>
        <v>60000</v>
      </c>
      <c r="AK94" s="67" t="n">
        <f aca="false">AJ94+AK78</f>
        <v>60000</v>
      </c>
      <c r="AL94" s="67" t="n">
        <f aca="false">AK94+AL78</f>
        <v>60000</v>
      </c>
      <c r="AM94" s="67" t="n">
        <f aca="false">AL94+AM78</f>
        <v>60000</v>
      </c>
      <c r="AN94" s="67" t="n">
        <f aca="false">AM94+AN78</f>
        <v>60000</v>
      </c>
      <c r="AO94" s="67" t="n">
        <f aca="false">AN94+AO78</f>
        <v>60000</v>
      </c>
      <c r="AP94" s="67" t="n">
        <f aca="false">AO94+AP78</f>
        <v>60000</v>
      </c>
      <c r="AQ94" s="67" t="n">
        <f aca="false">AP94+AQ78</f>
        <v>60000</v>
      </c>
      <c r="AR94" s="67" t="n">
        <f aca="false">AQ94+AR78</f>
        <v>60000</v>
      </c>
      <c r="AS94" s="67" t="n">
        <f aca="false">AR94+AS78</f>
        <v>60000</v>
      </c>
      <c r="AT94" s="67" t="n">
        <f aca="false">AS94+AT78</f>
        <v>60000</v>
      </c>
      <c r="AU94" s="67" t="n">
        <f aca="false">AT94+AU78</f>
        <v>60000</v>
      </c>
      <c r="AV94" s="67" t="n">
        <f aca="false">AU94+AV78</f>
        <v>60000</v>
      </c>
      <c r="AW94" s="67" t="n">
        <f aca="false">AV94+AW78</f>
        <v>60000</v>
      </c>
      <c r="AX94" s="67" t="n">
        <f aca="false">AW94+AX78</f>
        <v>60000</v>
      </c>
      <c r="AY94" s="67" t="n">
        <f aca="false">AX94+AY78</f>
        <v>60000</v>
      </c>
      <c r="AZ94" s="67" t="n">
        <f aca="false">AY94+AZ78</f>
        <v>60000</v>
      </c>
      <c r="BA94" s="67" t="n">
        <f aca="false">AZ94+BA78</f>
        <v>60000</v>
      </c>
      <c r="BB94" s="67" t="n">
        <f aca="false">BA94+BB78</f>
        <v>60000</v>
      </c>
      <c r="BC94" s="67" t="n">
        <f aca="false">BB94+BC78</f>
        <v>60000</v>
      </c>
      <c r="BD94" s="67" t="n">
        <f aca="false">BC94+BD78</f>
        <v>60000</v>
      </c>
      <c r="BE94" s="67" t="n">
        <f aca="false">BD94+BE78</f>
        <v>60000</v>
      </c>
      <c r="BF94" s="67" t="n">
        <f aca="false">BE94+BF78</f>
        <v>60000</v>
      </c>
      <c r="BG94" s="67" t="n">
        <f aca="false">BF94+BG78</f>
        <v>60000</v>
      </c>
      <c r="BH94" s="67" t="n">
        <f aca="false">BG94+BH78</f>
        <v>60000</v>
      </c>
      <c r="BI94" s="67" t="n">
        <f aca="false">BH94+BI78</f>
        <v>60000</v>
      </c>
      <c r="BJ94" s="67" t="n">
        <f aca="false">BI94+BJ78</f>
        <v>60000</v>
      </c>
    </row>
    <row r="95" customFormat="false" ht="15" hidden="false" customHeight="false" outlineLevel="0" collapsed="false">
      <c r="A95" s="6" t="s">
        <v>98</v>
      </c>
      <c r="C95" s="67" t="n">
        <f aca="false">C52</f>
        <v>-15440.1592193686</v>
      </c>
      <c r="D95" s="67" t="n">
        <f aca="false">C95+D52</f>
        <v>-27486.6985198858</v>
      </c>
      <c r="E95" s="67" t="n">
        <f aca="false">D95+E52</f>
        <v>-36134.8956793294</v>
      </c>
      <c r="F95" s="67" t="n">
        <f aca="false">E95+F52</f>
        <v>-41384.7506976993</v>
      </c>
      <c r="G95" s="67" t="n">
        <f aca="false">F95+G52</f>
        <v>-46625.1612716248</v>
      </c>
      <c r="H95" s="67" t="n">
        <f aca="false">G95+H52</f>
        <v>-51856.1274011058</v>
      </c>
      <c r="I95" s="67" t="n">
        <f aca="false">H95+I52</f>
        <v>-57077.6490861423</v>
      </c>
      <c r="J95" s="67" t="n">
        <f aca="false">I95+J52</f>
        <v>-62289.7263267344</v>
      </c>
      <c r="K95" s="67" t="n">
        <f aca="false">J95+K52</f>
        <v>-67492.3591228821</v>
      </c>
      <c r="L95" s="67" t="n">
        <f aca="false">K95+L52</f>
        <v>-72685.5474745853</v>
      </c>
      <c r="M95" s="67" t="n">
        <f aca="false">L95+M52</f>
        <v>-64989.3424380239</v>
      </c>
      <c r="N95" s="67" t="n">
        <f aca="false">M95+N52</f>
        <v>-57283.692957018</v>
      </c>
      <c r="O95" s="67" t="n">
        <f aca="false">N95+O52</f>
        <v>-63419.6286318633</v>
      </c>
      <c r="P95" s="67" t="n">
        <f aca="false">O95+P52</f>
        <v>-69560.008751153</v>
      </c>
      <c r="Q95" s="67" t="n">
        <f aca="false">P95+Q52</f>
        <v>-75704.8333148872</v>
      </c>
      <c r="R95" s="67" t="n">
        <f aca="false">Q95+R52</f>
        <v>-81854.1023230658</v>
      </c>
      <c r="S95" s="67" t="n">
        <f aca="false">R95+S52</f>
        <v>-88007.8157756889</v>
      </c>
      <c r="T95" s="67" t="n">
        <f aca="false">S95+T52</f>
        <v>-94165.9736727564</v>
      </c>
      <c r="U95" s="67" t="n">
        <f aca="false">T95+U52</f>
        <v>-100328.576014268</v>
      </c>
      <c r="V95" s="67" t="n">
        <f aca="false">U95+V52</f>
        <v>-106495.622800225</v>
      </c>
      <c r="W95" s="67" t="n">
        <f aca="false">V95+W52</f>
        <v>-112667.114030626</v>
      </c>
      <c r="X95" s="67" t="n">
        <f aca="false">W95+X52</f>
        <v>-118843.049705471</v>
      </c>
      <c r="Y95" s="67" t="n">
        <f aca="false">X95+Y52</f>
        <v>-111754.506422837</v>
      </c>
      <c r="Z95" s="67" t="n">
        <f aca="false">Y95+Z52</f>
        <v>-104670.407584648</v>
      </c>
      <c r="AA95" s="67" t="n">
        <f aca="false">Z95+AA52</f>
        <v>-111965.248352434</v>
      </c>
      <c r="AB95" s="67" t="n">
        <f aca="false">AA95+AB52</f>
        <v>-119264.533564664</v>
      </c>
      <c r="AC95" s="67" t="n">
        <f aca="false">AB95+AC52</f>
        <v>-126568.26322134</v>
      </c>
      <c r="AD95" s="67" t="n">
        <f aca="false">AC95+AD52</f>
        <v>-133876.437322459</v>
      </c>
      <c r="AE95" s="67" t="n">
        <f aca="false">AD95+AE52</f>
        <v>-141189.055868023</v>
      </c>
      <c r="AF95" s="67" t="n">
        <f aca="false">AE95+AF52</f>
        <v>-148506.118858032</v>
      </c>
      <c r="AG95" s="67" t="n">
        <f aca="false">AF95+AG52</f>
        <v>-155827.626292485</v>
      </c>
      <c r="AH95" s="67" t="n">
        <f aca="false">AG95+AH52</f>
        <v>-163153.578171382</v>
      </c>
      <c r="AI95" s="67" t="n">
        <f aca="false">AH95+AI52</f>
        <v>-170483.974494724</v>
      </c>
      <c r="AJ95" s="67" t="n">
        <f aca="false">AI95+AJ52</f>
        <v>-177818.81526251</v>
      </c>
      <c r="AK95" s="67" t="n">
        <f aca="false">AJ95+AK52</f>
        <v>-171488.455586079</v>
      </c>
      <c r="AL95" s="67" t="n">
        <f aca="false">AK95+AL52</f>
        <v>-165162.540354093</v>
      </c>
      <c r="AM95" s="67" t="n">
        <f aca="false">AL95+AM52</f>
        <v>-173778.798872526</v>
      </c>
      <c r="AN95" s="67" t="n">
        <f aca="false">AM95+AN52</f>
        <v>-182399.501835404</v>
      </c>
      <c r="AO95" s="67" t="n">
        <f aca="false">AN95+AO52</f>
        <v>-191024.649242726</v>
      </c>
      <c r="AP95" s="67" t="n">
        <f aca="false">AO95+AP52</f>
        <v>-199654.241094493</v>
      </c>
      <c r="AQ95" s="67" t="n">
        <f aca="false">AP95+AQ52</f>
        <v>-208288.277390705</v>
      </c>
      <c r="AR95" s="67" t="n">
        <f aca="false">AQ95+AR52</f>
        <v>-216926.75813136</v>
      </c>
      <c r="AS95" s="67" t="n">
        <f aca="false">AR95+AS52</f>
        <v>-225569.683316461</v>
      </c>
      <c r="AT95" s="67" t="n">
        <f aca="false">AS95+AT52</f>
        <v>-234217.052946005</v>
      </c>
      <c r="AU95" s="67" t="n">
        <f aca="false">AT95+AU52</f>
        <v>-242868.867019994</v>
      </c>
      <c r="AV95" s="67" t="n">
        <f aca="false">AU95+AV52</f>
        <v>-251525.125538428</v>
      </c>
      <c r="AW95" s="67" t="n">
        <f aca="false">AV95+AW52</f>
        <v>-246103.360337006</v>
      </c>
      <c r="AX95" s="67" t="n">
        <f aca="false">AW95+AX52</f>
        <v>-240686.03958003</v>
      </c>
      <c r="AY95" s="67" t="n">
        <f aca="false">AX95+AY52</f>
        <v>-250801.542774728</v>
      </c>
      <c r="AZ95" s="67" t="n">
        <f aca="false">AY95+AZ52</f>
        <v>-260921.490413871</v>
      </c>
      <c r="BA95" s="67" t="n">
        <f aca="false">AZ95+BA52</f>
        <v>-271045.882497458</v>
      </c>
      <c r="BB95" s="67" t="n">
        <f aca="false">BA95+BB52</f>
        <v>-281174.71902549</v>
      </c>
      <c r="BC95" s="67" t="n">
        <f aca="false">BB95+BC52</f>
        <v>-291307.999997966</v>
      </c>
      <c r="BD95" s="67" t="n">
        <f aca="false">BC95+BD52</f>
        <v>-301445.725414887</v>
      </c>
      <c r="BE95" s="67" t="n">
        <f aca="false">BD95+BE52</f>
        <v>-311587.895276252</v>
      </c>
      <c r="BF95" s="67" t="n">
        <f aca="false">BE95+BF52</f>
        <v>-321734.509582062</v>
      </c>
      <c r="BG95" s="67" t="n">
        <f aca="false">BF95+BG52</f>
        <v>-331885.568332316</v>
      </c>
      <c r="BH95" s="67" t="n">
        <f aca="false">BG95+BH52</f>
        <v>-342041.071527014</v>
      </c>
      <c r="BI95" s="67" t="n">
        <f aca="false">BH95+BI52</f>
        <v>-337693.260463296</v>
      </c>
      <c r="BJ95" s="67" t="n">
        <f aca="false">BI95+BJ52</f>
        <v>-333349.893844022</v>
      </c>
    </row>
    <row r="96" customFormat="false" ht="15" hidden="false" customHeight="false" outlineLevel="0" collapsed="false">
      <c r="A96" s="4" t="s">
        <v>93</v>
      </c>
      <c r="C96" s="73" t="n">
        <f aca="false">C82+C68+C69+C59</f>
        <v>143537.535369395</v>
      </c>
      <c r="D96" s="73" t="n">
        <f aca="false">D82+D68+D69+D59</f>
        <v>131313.185117567</v>
      </c>
      <c r="E96" s="73" t="n">
        <f aca="false">E82+E68+E69+E59</f>
        <v>122487.177006813</v>
      </c>
      <c r="F96" s="73" t="n">
        <f aca="false">F82+F68+F69+F59</f>
        <v>117059.511037132</v>
      </c>
      <c r="G96" s="73" t="n">
        <f aca="false">G82+G68+G69+G59</f>
        <v>110485.767129873</v>
      </c>
      <c r="H96" s="73" t="n">
        <f aca="false">H82+H68+H69+H59</f>
        <v>103921.467667059</v>
      </c>
      <c r="I96" s="73" t="n">
        <f aca="false">I82+I68+I69+I59</f>
        <v>97366.6126486891</v>
      </c>
      <c r="J96" s="73" t="n">
        <f aca="false">J82+J68+J69+J59</f>
        <v>90821.2020747637</v>
      </c>
      <c r="K96" s="73" t="n">
        <f aca="false">K82+K68+K69+K59</f>
        <v>84285.2359452827</v>
      </c>
      <c r="L96" s="73" t="n">
        <f aca="false">L82+L68+L69+L59</f>
        <v>77758.7142602461</v>
      </c>
      <c r="M96" s="73" t="n">
        <f aca="false">M82+M68+M69+M59</f>
        <v>88118.7013971821</v>
      </c>
      <c r="N96" s="73" t="n">
        <f aca="false">N82+N68+N69+N59</f>
        <v>94491.0175448547</v>
      </c>
      <c r="O96" s="73" t="n">
        <f aca="false">O82+O68+O69+O59</f>
        <v>84163.3939273601</v>
      </c>
      <c r="P96" s="73" t="n">
        <f aca="false">P82+P68+P69+P59</f>
        <v>76689.6804747371</v>
      </c>
      <c r="Q96" s="73" t="n">
        <f aca="false">Q82+Q68+Q69+Q59</f>
        <v>69211.5225776696</v>
      </c>
      <c r="R96" s="73" t="n">
        <f aca="false">R82+R68+R69+R59</f>
        <v>61728.9202361576</v>
      </c>
      <c r="S96" s="73" t="n">
        <f aca="false">S82+S68+S69+S59</f>
        <v>54241.8734502012</v>
      </c>
      <c r="T96" s="73" t="n">
        <f aca="false">T82+T68+T69+T59</f>
        <v>46750.3822198004</v>
      </c>
      <c r="U96" s="73" t="n">
        <f aca="false">U82+U68+U69+U59</f>
        <v>39254.4465449551</v>
      </c>
      <c r="V96" s="73" t="n">
        <f aca="false">V82+V68+V69+V59</f>
        <v>31754.0664256654</v>
      </c>
      <c r="W96" s="73" t="n">
        <f aca="false">W82+W68+W69+W59</f>
        <v>24249.2418619312</v>
      </c>
      <c r="X96" s="73" t="n">
        <f aca="false">X82+X68+X69+X59</f>
        <v>16739.9728537526</v>
      </c>
      <c r="Y96" s="73" t="n">
        <f aca="false">Y82+Y68+Y69+Y59</f>
        <v>26613.011122859</v>
      </c>
      <c r="Z96" s="73" t="n">
        <f aca="false">Z82+Z68+Z69+Z59</f>
        <v>32363.7766277151</v>
      </c>
      <c r="AA96" s="73" t="n">
        <f aca="false">AA82+AA68+AA69+AA59</f>
        <v>20837.7575306702</v>
      </c>
      <c r="AB96" s="73" t="n">
        <f aca="false">AB82+AB68+AB69+AB59</f>
        <v>12205.1389851062</v>
      </c>
      <c r="AC96" s="73" t="n">
        <f aca="false">AC82+AC68+AC69+AC59</f>
        <v>3568.07599509772</v>
      </c>
      <c r="AD96" s="73" t="n">
        <f aca="false">AD82+AD68+AD69+AD59</f>
        <v>-5073.43143935521</v>
      </c>
      <c r="AE96" s="73" t="n">
        <f aca="false">AE82+AE68+AE69+AE59</f>
        <v>-13719.3833182526</v>
      </c>
      <c r="AF96" s="73" t="n">
        <f aca="false">AF82+AF68+AF69+AF59</f>
        <v>-22369.7796415944</v>
      </c>
      <c r="AG96" s="73" t="n">
        <f aca="false">AG82+AG68+AG69+AG59</f>
        <v>-31024.6204093807</v>
      </c>
      <c r="AH96" s="73" t="n">
        <f aca="false">AH82+AH68+AH69+AH59</f>
        <v>-39683.9056216114</v>
      </c>
      <c r="AI96" s="73" t="n">
        <f aca="false">AI82+AI68+AI69+AI59</f>
        <v>-48347.6352782865</v>
      </c>
      <c r="AJ96" s="73" t="n">
        <f aca="false">AJ82+AJ68+AJ69+AJ59</f>
        <v>-57015.8093794061</v>
      </c>
      <c r="AK96" s="73" t="n">
        <f aca="false">AK82+AK68+AK69+AK59</f>
        <v>-47776.5963012445</v>
      </c>
      <c r="AL96" s="73" t="n">
        <f aca="false">AL82+AL68+AL69+AL59</f>
        <v>-42784.0144025913</v>
      </c>
      <c r="AM96" s="73" t="n">
        <f aca="false">AM82+AM68+AM69+AM59</f>
        <v>-55667.376123233</v>
      </c>
      <c r="AN96" s="73" t="n">
        <f aca="false">AN82+AN68+AN69+AN59</f>
        <v>-65621.4124194443</v>
      </c>
      <c r="AO96" s="73" t="n">
        <f aca="false">AO82+AO68+AO69+AO59</f>
        <v>-75579.8931601</v>
      </c>
      <c r="AP96" s="73" t="n">
        <f aca="false">AP82+AP68+AP69+AP59</f>
        <v>-85542.8183452002</v>
      </c>
      <c r="AQ96" s="73" t="n">
        <f aca="false">AQ82+AQ68+AQ69+AQ59</f>
        <v>-95510.1879747448</v>
      </c>
      <c r="AR96" s="73" t="n">
        <f aca="false">AR82+AR68+AR69+AR59</f>
        <v>-105482.002048734</v>
      </c>
      <c r="AS96" s="73" t="n">
        <f aca="false">AS82+AS68+AS69+AS59</f>
        <v>-115458.260567167</v>
      </c>
      <c r="AT96" s="73" t="n">
        <f aca="false">AT82+AT68+AT69+AT59</f>
        <v>-125438.963530045</v>
      </c>
      <c r="AU96" s="73" t="n">
        <f aca="false">AU82+AU68+AU69+AU59</f>
        <v>-135424.110937368</v>
      </c>
      <c r="AV96" s="73" t="n">
        <f aca="false">AV82+AV68+AV69+AV59</f>
        <v>-145413.702789135</v>
      </c>
      <c r="AW96" s="73" t="n">
        <f aca="false">AW82+AW68+AW69+AW59</f>
        <v>-136954.970146584</v>
      </c>
      <c r="AX96" s="73" t="n">
        <f aca="false">AX82+AX68+AX69+AX59</f>
        <v>-132870.98272294</v>
      </c>
      <c r="AY96" s="73" t="n">
        <f aca="false">AY82+AY68+AY69+AY59</f>
        <v>-147285.357375293</v>
      </c>
      <c r="AZ96" s="73" t="n">
        <f aca="false">AZ82+AZ68+AZ69+AZ59</f>
        <v>-158738.63834777</v>
      </c>
      <c r="BA96" s="73" t="n">
        <f aca="false">BA82+BA68+BA69+BA59</f>
        <v>-170196.36376469</v>
      </c>
      <c r="BB96" s="73" t="n">
        <f aca="false">BB82+BB68+BB69+BB59</f>
        <v>-181658.533626055</v>
      </c>
      <c r="BC96" s="73" t="n">
        <f aca="false">BC82+BC68+BC69+BC59</f>
        <v>-193125.147931865</v>
      </c>
      <c r="BD96" s="73" t="n">
        <f aca="false">BD82+BD68+BD69+BD59</f>
        <v>-204596.206682119</v>
      </c>
      <c r="BE96" s="73" t="n">
        <f aca="false">BE82+BE68+BE69+BE59</f>
        <v>-216071.709876817</v>
      </c>
      <c r="BF96" s="73" t="n">
        <f aca="false">BF82+BF68+BF69+BF59</f>
        <v>-227551.65751596</v>
      </c>
      <c r="BG96" s="73" t="n">
        <f aca="false">BG82+BG68+BG69+BG59</f>
        <v>-239036.049599548</v>
      </c>
      <c r="BH96" s="73" t="n">
        <f aca="false">BH82+BH68+BH69+BH59</f>
        <v>-250524.886127579</v>
      </c>
      <c r="BI96" s="73" t="n">
        <f aca="false">BI82+BI68+BI69+BI59</f>
        <v>-243008.124539343</v>
      </c>
      <c r="BJ96" s="73" t="n">
        <f aca="false">BJ82+BJ68+BJ69+BJ59</f>
        <v>-239998.091253402</v>
      </c>
    </row>
    <row r="97" customFormat="false" ht="15" hidden="false" customHeight="false" outlineLevel="0" collapsed="false">
      <c r="A97" s="6" t="s">
        <v>96</v>
      </c>
      <c r="C97" s="67" t="n">
        <f aca="false">C70+C65</f>
        <v>98977.6945887641</v>
      </c>
      <c r="D97" s="67" t="n">
        <f aca="false">D70+D65</f>
        <v>98799.8836374532</v>
      </c>
      <c r="E97" s="67" t="n">
        <f aca="false">E70+E65</f>
        <v>98622.0726861423</v>
      </c>
      <c r="F97" s="67" t="n">
        <f aca="false">F70+F65</f>
        <v>98444.2617348315</v>
      </c>
      <c r="G97" s="67" t="n">
        <f aca="false">G70+G65</f>
        <v>97110.9284014982</v>
      </c>
      <c r="H97" s="67" t="n">
        <f aca="false">H70+H65</f>
        <v>95777.5950681648</v>
      </c>
      <c r="I97" s="67" t="n">
        <f aca="false">I70+I65</f>
        <v>94444.2617348315</v>
      </c>
      <c r="J97" s="67" t="n">
        <f aca="false">J70+J65</f>
        <v>93110.9284014982</v>
      </c>
      <c r="K97" s="67" t="n">
        <f aca="false">K70+K65</f>
        <v>91777.5950681648</v>
      </c>
      <c r="L97" s="67" t="n">
        <f aca="false">L70+L65</f>
        <v>90444.2617348315</v>
      </c>
      <c r="M97" s="67" t="n">
        <f aca="false">M70+M65</f>
        <v>93108.043835206</v>
      </c>
      <c r="N97" s="67" t="n">
        <f aca="false">N70+N65</f>
        <v>91774.7105018727</v>
      </c>
      <c r="O97" s="67" t="n">
        <f aca="false">O70+O65</f>
        <v>87583.0225592234</v>
      </c>
      <c r="P97" s="67" t="n">
        <f aca="false">P70+P65</f>
        <v>86249.6892258901</v>
      </c>
      <c r="Q97" s="67" t="n">
        <f aca="false">Q70+Q65</f>
        <v>84916.3558925568</v>
      </c>
      <c r="R97" s="67" t="n">
        <f aca="false">R70+R65</f>
        <v>83583.0225592234</v>
      </c>
      <c r="S97" s="67" t="n">
        <f aca="false">S70+S65</f>
        <v>82249.6892258901</v>
      </c>
      <c r="T97" s="67" t="n">
        <f aca="false">T70+T65</f>
        <v>80916.3558925567</v>
      </c>
      <c r="U97" s="67" t="n">
        <f aca="false">U70+U65</f>
        <v>79583.0225592234</v>
      </c>
      <c r="V97" s="67" t="n">
        <f aca="false">V70+V65</f>
        <v>78249.6892258901</v>
      </c>
      <c r="W97" s="67" t="n">
        <f aca="false">W70+W65</f>
        <v>76916.3558925567</v>
      </c>
      <c r="X97" s="67" t="n">
        <f aca="false">X70+X65</f>
        <v>75583.0225592234</v>
      </c>
      <c r="Y97" s="67" t="n">
        <f aca="false">Y70+Y65</f>
        <v>78367.5175456959</v>
      </c>
      <c r="Z97" s="67" t="n">
        <f aca="false">Z70+Z65</f>
        <v>77034.1842123626</v>
      </c>
      <c r="AA97" s="67" t="n">
        <f aca="false">AA70+AA65</f>
        <v>72803.0058831039</v>
      </c>
      <c r="AB97" s="67" t="n">
        <f aca="false">AB70+AB65</f>
        <v>71469.6725497706</v>
      </c>
      <c r="AC97" s="67" t="n">
        <f aca="false">AC70+AC65</f>
        <v>70136.3392164373</v>
      </c>
      <c r="AD97" s="67" t="n">
        <f aca="false">AD70+AD65</f>
        <v>68803.0058831039</v>
      </c>
      <c r="AE97" s="67" t="n">
        <f aca="false">AE70+AE65</f>
        <v>67469.6725497706</v>
      </c>
      <c r="AF97" s="67" t="n">
        <f aca="false">AF70+AF65</f>
        <v>66136.3392164373</v>
      </c>
      <c r="AG97" s="67" t="n">
        <f aca="false">AG70+AG65</f>
        <v>64803.0058831039</v>
      </c>
      <c r="AH97" s="67" t="n">
        <f aca="false">AH70+AH65</f>
        <v>63469.6725497706</v>
      </c>
      <c r="AI97" s="67" t="n">
        <f aca="false">AI70+AI65</f>
        <v>62136.3392164373</v>
      </c>
      <c r="AJ97" s="67" t="n">
        <f aca="false">AJ70+AJ65</f>
        <v>60803.0058831039</v>
      </c>
      <c r="AK97" s="67" t="n">
        <f aca="false">AK70+AK65</f>
        <v>63711.8592848346</v>
      </c>
      <c r="AL97" s="67" t="n">
        <f aca="false">AL70+AL65</f>
        <v>62378.5259515012</v>
      </c>
      <c r="AM97" s="67" t="n">
        <f aca="false">AM70+AM65</f>
        <v>58111.422749293</v>
      </c>
      <c r="AN97" s="67" t="n">
        <f aca="false">AN70+AN65</f>
        <v>56778.0894159597</v>
      </c>
      <c r="AO97" s="67" t="n">
        <f aca="false">AO70+AO65</f>
        <v>55444.7560826263</v>
      </c>
      <c r="AP97" s="67" t="n">
        <f aca="false">AP70+AP65</f>
        <v>54111.422749293</v>
      </c>
      <c r="AQ97" s="67" t="n">
        <f aca="false">AQ70+AQ65</f>
        <v>52778.0894159597</v>
      </c>
      <c r="AR97" s="67" t="n">
        <f aca="false">AR70+AR65</f>
        <v>51444.7560826263</v>
      </c>
      <c r="AS97" s="67" t="n">
        <f aca="false">AS70+AS65</f>
        <v>50111.422749293</v>
      </c>
      <c r="AT97" s="67" t="n">
        <f aca="false">AT70+AT65</f>
        <v>48778.0894159597</v>
      </c>
      <c r="AU97" s="67" t="n">
        <f aca="false">AU70+AU65</f>
        <v>47444.7560826263</v>
      </c>
      <c r="AV97" s="67" t="n">
        <f aca="false">AV70+AV65</f>
        <v>46111.422749293</v>
      </c>
      <c r="AW97" s="67" t="n">
        <f aca="false">AW70+AW65</f>
        <v>49148.3901904226</v>
      </c>
      <c r="AX97" s="67" t="n">
        <f aca="false">AX70+AX65</f>
        <v>47815.0568570893</v>
      </c>
      <c r="AY97" s="67" t="n">
        <f aca="false">AY70+AY65</f>
        <v>43516.1853994346</v>
      </c>
      <c r="AZ97" s="67" t="n">
        <f aca="false">AZ70+AZ65</f>
        <v>42182.8520661012</v>
      </c>
      <c r="BA97" s="67" t="n">
        <f aca="false">BA70+BA65</f>
        <v>40849.5187327679</v>
      </c>
      <c r="BB97" s="67" t="n">
        <f aca="false">BB70+BB65</f>
        <v>39516.1853994346</v>
      </c>
      <c r="BC97" s="67" t="n">
        <f aca="false">BC70+BC65</f>
        <v>38182.8520661012</v>
      </c>
      <c r="BD97" s="67" t="n">
        <f aca="false">BD70+BD65</f>
        <v>36849.5187327679</v>
      </c>
      <c r="BE97" s="67" t="n">
        <f aca="false">BE70+BE65</f>
        <v>35516.1853994346</v>
      </c>
      <c r="BF97" s="67" t="n">
        <f aca="false">BF70+BF65</f>
        <v>34182.8520661012</v>
      </c>
      <c r="BG97" s="67" t="n">
        <f aca="false">BG70+BG65</f>
        <v>32849.5187327679</v>
      </c>
      <c r="BH97" s="67" t="n">
        <f aca="false">BH70+BH65</f>
        <v>31516.1853994346</v>
      </c>
      <c r="BI97" s="67" t="n">
        <f aca="false">BI70+BI65</f>
        <v>34685.1359239529</v>
      </c>
      <c r="BJ97" s="67" t="n">
        <f aca="false">BJ70+BJ65</f>
        <v>33351.8025906196</v>
      </c>
    </row>
    <row r="98" customFormat="false" ht="15" hidden="false" customHeight="false" outlineLevel="0" collapsed="false">
      <c r="A98" s="6" t="s">
        <v>99</v>
      </c>
      <c r="C98" s="67" t="n">
        <f aca="false">C94+C95</f>
        <v>44559.8407806314</v>
      </c>
      <c r="D98" s="67" t="n">
        <f aca="false">D94+D95</f>
        <v>32513.3014801142</v>
      </c>
      <c r="E98" s="67" t="n">
        <f aca="false">E94+E95</f>
        <v>23865.1043206706</v>
      </c>
      <c r="F98" s="67" t="n">
        <f aca="false">F94+F95</f>
        <v>18615.2493023007</v>
      </c>
      <c r="G98" s="67" t="n">
        <f aca="false">G94+G95</f>
        <v>13374.8387283753</v>
      </c>
      <c r="H98" s="67" t="n">
        <f aca="false">H94+H95</f>
        <v>8143.87259889425</v>
      </c>
      <c r="I98" s="67" t="n">
        <f aca="false">I94+I95</f>
        <v>2922.35091385768</v>
      </c>
      <c r="J98" s="67" t="n">
        <f aca="false">J94+J95</f>
        <v>-2289.72632673444</v>
      </c>
      <c r="K98" s="67" t="n">
        <f aca="false">K94+K95</f>
        <v>-7492.35912288212</v>
      </c>
      <c r="L98" s="67" t="n">
        <f aca="false">L94+L95</f>
        <v>-12685.5474745853</v>
      </c>
      <c r="M98" s="67" t="n">
        <f aca="false">M94+M95</f>
        <v>-4989.34243802389</v>
      </c>
      <c r="N98" s="67" t="n">
        <f aca="false">N94+N95</f>
        <v>2716.30704298201</v>
      </c>
      <c r="O98" s="67" t="n">
        <f aca="false">O94+O95</f>
        <v>-3419.62863186327</v>
      </c>
      <c r="P98" s="67" t="n">
        <f aca="false">P94+P95</f>
        <v>-9560.008751153</v>
      </c>
      <c r="Q98" s="67" t="n">
        <f aca="false">Q94+Q95</f>
        <v>-15704.8333148872</v>
      </c>
      <c r="R98" s="67" t="n">
        <f aca="false">R94+R95</f>
        <v>-21854.1023230658</v>
      </c>
      <c r="S98" s="67" t="n">
        <f aca="false">S94+S95</f>
        <v>-28007.8157756889</v>
      </c>
      <c r="T98" s="67" t="n">
        <f aca="false">T94+T95</f>
        <v>-34165.9736727564</v>
      </c>
      <c r="U98" s="67" t="n">
        <f aca="false">U94+U95</f>
        <v>-40328.5760142683</v>
      </c>
      <c r="V98" s="67" t="n">
        <f aca="false">V94+V95</f>
        <v>-46495.6228002247</v>
      </c>
      <c r="W98" s="67" t="n">
        <f aca="false">W94+W95</f>
        <v>-52667.1140306256</v>
      </c>
      <c r="X98" s="67" t="n">
        <f aca="false">X94+X95</f>
        <v>-58843.0497054708</v>
      </c>
      <c r="Y98" s="67" t="n">
        <f aca="false">Y94+Y95</f>
        <v>-51754.5064228369</v>
      </c>
      <c r="Z98" s="67" t="n">
        <f aca="false">Z94+Z95</f>
        <v>-44670.4075846475</v>
      </c>
      <c r="AA98" s="67" t="n">
        <f aca="false">AA94+AA95</f>
        <v>-51965.2483524338</v>
      </c>
      <c r="AB98" s="67" t="n">
        <f aca="false">AB94+AB95</f>
        <v>-59264.5335646645</v>
      </c>
      <c r="AC98" s="67" t="n">
        <f aca="false">AC94+AC95</f>
        <v>-66568.2632213396</v>
      </c>
      <c r="AD98" s="67" t="n">
        <f aca="false">AD94+AD95</f>
        <v>-73876.4373224592</v>
      </c>
      <c r="AE98" s="67" t="n">
        <f aca="false">AE94+AE95</f>
        <v>-81189.0558680233</v>
      </c>
      <c r="AF98" s="67" t="n">
        <f aca="false">AF94+AF95</f>
        <v>-88506.1188580317</v>
      </c>
      <c r="AG98" s="67" t="n">
        <f aca="false">AG94+AG95</f>
        <v>-95827.6262924846</v>
      </c>
      <c r="AH98" s="67" t="n">
        <f aca="false">AH94+AH95</f>
        <v>-103153.578171382</v>
      </c>
      <c r="AI98" s="67" t="n">
        <f aca="false">AI94+AI95</f>
        <v>-110483.974494724</v>
      </c>
      <c r="AJ98" s="67" t="n">
        <f aca="false">AJ94+AJ95</f>
        <v>-117818.81526251</v>
      </c>
      <c r="AK98" s="67" t="n">
        <f aca="false">AK94+AK95</f>
        <v>-111488.455586079</v>
      </c>
      <c r="AL98" s="67" t="n">
        <f aca="false">AL94+AL95</f>
        <v>-105162.540354093</v>
      </c>
      <c r="AM98" s="67" t="n">
        <f aca="false">AM94+AM95</f>
        <v>-113778.798872526</v>
      </c>
      <c r="AN98" s="67" t="n">
        <f aca="false">AN94+AN95</f>
        <v>-122399.501835404</v>
      </c>
      <c r="AO98" s="67" t="n">
        <f aca="false">AO94+AO95</f>
        <v>-131024.649242726</v>
      </c>
      <c r="AP98" s="67" t="n">
        <f aca="false">AP94+AP95</f>
        <v>-139654.241094493</v>
      </c>
      <c r="AQ98" s="67" t="n">
        <f aca="false">AQ94+AQ95</f>
        <v>-148288.277390705</v>
      </c>
      <c r="AR98" s="67" t="n">
        <f aca="false">AR94+AR95</f>
        <v>-156926.75813136</v>
      </c>
      <c r="AS98" s="67" t="n">
        <f aca="false">AS94+AS95</f>
        <v>-165569.683316461</v>
      </c>
      <c r="AT98" s="67" t="n">
        <f aca="false">AT94+AT95</f>
        <v>-174217.052946005</v>
      </c>
      <c r="AU98" s="67" t="n">
        <f aca="false">AU94+AU95</f>
        <v>-182868.867019994</v>
      </c>
      <c r="AV98" s="67" t="n">
        <f aca="false">AV94+AV95</f>
        <v>-191525.125538428</v>
      </c>
      <c r="AW98" s="67" t="n">
        <f aca="false">AW94+AW95</f>
        <v>-186103.360337006</v>
      </c>
      <c r="AX98" s="67" t="n">
        <f aca="false">AX94+AX95</f>
        <v>-180686.03958003</v>
      </c>
      <c r="AY98" s="67" t="n">
        <f aca="false">AY94+AY95</f>
        <v>-190801.542774728</v>
      </c>
      <c r="AZ98" s="67" t="n">
        <f aca="false">AZ94+AZ95</f>
        <v>-200921.490413871</v>
      </c>
      <c r="BA98" s="67" t="n">
        <f aca="false">BA94+BA95</f>
        <v>-211045.882497458</v>
      </c>
      <c r="BB98" s="67" t="n">
        <f aca="false">BB94+BB95</f>
        <v>-221174.71902549</v>
      </c>
      <c r="BC98" s="67" t="n">
        <f aca="false">BC94+BC95</f>
        <v>-231307.999997966</v>
      </c>
      <c r="BD98" s="67" t="n">
        <f aca="false">BD94+BD95</f>
        <v>-241445.725414887</v>
      </c>
      <c r="BE98" s="67" t="n">
        <f aca="false">BE94+BE95</f>
        <v>-251587.895276252</v>
      </c>
      <c r="BF98" s="67" t="n">
        <f aca="false">BF94+BF95</f>
        <v>-261734.509582062</v>
      </c>
      <c r="BG98" s="67" t="n">
        <f aca="false">BG94+BG95</f>
        <v>-271885.568332316</v>
      </c>
      <c r="BH98" s="67" t="n">
        <f aca="false">BH94+BH95</f>
        <v>-282041.071527014</v>
      </c>
      <c r="BI98" s="67" t="n">
        <f aca="false">BI94+BI95</f>
        <v>-277693.260463296</v>
      </c>
      <c r="BJ98" s="67" t="n">
        <f aca="false">BJ94+BJ95</f>
        <v>-273349.893844022</v>
      </c>
    </row>
    <row r="99" customFormat="false" ht="15" hidden="false" customHeight="false" outlineLevel="0" collapsed="false">
      <c r="A99" s="4" t="s">
        <v>100</v>
      </c>
      <c r="C99" s="73" t="n">
        <f aca="false">C97+C98</f>
        <v>143537.535369395</v>
      </c>
      <c r="D99" s="73" t="n">
        <f aca="false">D97+D98</f>
        <v>131313.185117567</v>
      </c>
      <c r="E99" s="73" t="n">
        <f aca="false">E97+E98</f>
        <v>122487.177006813</v>
      </c>
      <c r="F99" s="73" t="n">
        <f aca="false">F97+F98</f>
        <v>117059.511037132</v>
      </c>
      <c r="G99" s="73" t="n">
        <f aca="false">G97+G98</f>
        <v>110485.767129873</v>
      </c>
      <c r="H99" s="73" t="n">
        <f aca="false">H97+H98</f>
        <v>103921.467667059</v>
      </c>
      <c r="I99" s="73" t="n">
        <f aca="false">I97+I98</f>
        <v>97366.6126486892</v>
      </c>
      <c r="J99" s="73" t="n">
        <f aca="false">J97+J98</f>
        <v>90821.2020747637</v>
      </c>
      <c r="K99" s="73" t="n">
        <f aca="false">K97+K98</f>
        <v>84285.2359452827</v>
      </c>
      <c r="L99" s="73" t="n">
        <f aca="false">L97+L98</f>
        <v>77758.7142602462</v>
      </c>
      <c r="M99" s="73" t="n">
        <f aca="false">M97+M98</f>
        <v>88118.7013971822</v>
      </c>
      <c r="N99" s="73" t="n">
        <f aca="false">N97+N98</f>
        <v>94491.0175448547</v>
      </c>
      <c r="O99" s="73" t="n">
        <f aca="false">O97+O98</f>
        <v>84163.3939273602</v>
      </c>
      <c r="P99" s="73" t="n">
        <f aca="false">P97+P98</f>
        <v>76689.6804747371</v>
      </c>
      <c r="Q99" s="73" t="n">
        <f aca="false">Q97+Q98</f>
        <v>69211.5225776696</v>
      </c>
      <c r="R99" s="73" t="n">
        <f aca="false">R97+R98</f>
        <v>61728.9202361576</v>
      </c>
      <c r="S99" s="73" t="n">
        <f aca="false">S97+S98</f>
        <v>54241.8734502012</v>
      </c>
      <c r="T99" s="73" t="n">
        <f aca="false">T97+T98</f>
        <v>46750.3822198004</v>
      </c>
      <c r="U99" s="73" t="n">
        <f aca="false">U97+U98</f>
        <v>39254.4465449551</v>
      </c>
      <c r="V99" s="73" t="n">
        <f aca="false">V97+V98</f>
        <v>31754.0664256654</v>
      </c>
      <c r="W99" s="73" t="n">
        <f aca="false">W97+W98</f>
        <v>24249.2418619312</v>
      </c>
      <c r="X99" s="73" t="n">
        <f aca="false">X97+X98</f>
        <v>16739.9728537526</v>
      </c>
      <c r="Y99" s="73" t="n">
        <f aca="false">Y97+Y98</f>
        <v>26613.011122859</v>
      </c>
      <c r="Z99" s="73" t="n">
        <f aca="false">Z97+Z98</f>
        <v>32363.7766277151</v>
      </c>
      <c r="AA99" s="73" t="n">
        <f aca="false">AA97+AA98</f>
        <v>20837.7575306702</v>
      </c>
      <c r="AB99" s="73" t="n">
        <f aca="false">AB97+AB98</f>
        <v>12205.1389851061</v>
      </c>
      <c r="AC99" s="73" t="n">
        <f aca="false">AC97+AC98</f>
        <v>3568.07599509765</v>
      </c>
      <c r="AD99" s="73" t="n">
        <f aca="false">AD97+AD98</f>
        <v>-5073.43143935528</v>
      </c>
      <c r="AE99" s="73" t="n">
        <f aca="false">AE97+AE98</f>
        <v>-13719.3833182527</v>
      </c>
      <c r="AF99" s="73" t="n">
        <f aca="false">AF97+AF98</f>
        <v>-22369.7796415945</v>
      </c>
      <c r="AG99" s="73" t="n">
        <f aca="false">AG97+AG98</f>
        <v>-31024.6204093807</v>
      </c>
      <c r="AH99" s="73" t="n">
        <f aca="false">AH97+AH98</f>
        <v>-39683.9056216114</v>
      </c>
      <c r="AI99" s="73" t="n">
        <f aca="false">AI97+AI98</f>
        <v>-48347.6352782866</v>
      </c>
      <c r="AJ99" s="73" t="n">
        <f aca="false">AJ97+AJ98</f>
        <v>-57015.8093794062</v>
      </c>
      <c r="AK99" s="73" t="n">
        <f aca="false">AK97+AK98</f>
        <v>-47776.5963012446</v>
      </c>
      <c r="AL99" s="73" t="n">
        <f aca="false">AL97+AL98</f>
        <v>-42784.0144025914</v>
      </c>
      <c r="AM99" s="73" t="n">
        <f aca="false">AM97+AM98</f>
        <v>-55667.3761232331</v>
      </c>
      <c r="AN99" s="73" t="n">
        <f aca="false">AN97+AN98</f>
        <v>-65621.4124194444</v>
      </c>
      <c r="AO99" s="73" t="n">
        <f aca="false">AO97+AO98</f>
        <v>-75579.8931601001</v>
      </c>
      <c r="AP99" s="73" t="n">
        <f aca="false">AP97+AP98</f>
        <v>-85542.8183452003</v>
      </c>
      <c r="AQ99" s="73" t="n">
        <f aca="false">AQ97+AQ98</f>
        <v>-95510.1879747449</v>
      </c>
      <c r="AR99" s="73" t="n">
        <f aca="false">AR97+AR98</f>
        <v>-105482.002048734</v>
      </c>
      <c r="AS99" s="73" t="n">
        <f aca="false">AS97+AS98</f>
        <v>-115458.260567168</v>
      </c>
      <c r="AT99" s="73" t="n">
        <f aca="false">AT97+AT98</f>
        <v>-125438.963530045</v>
      </c>
      <c r="AU99" s="73" t="n">
        <f aca="false">AU97+AU98</f>
        <v>-135424.110937368</v>
      </c>
      <c r="AV99" s="73" t="n">
        <f aca="false">AV97+AV98</f>
        <v>-145413.702789135</v>
      </c>
      <c r="AW99" s="73" t="n">
        <f aca="false">AW97+AW98</f>
        <v>-136954.970146584</v>
      </c>
      <c r="AX99" s="73" t="n">
        <f aca="false">AX97+AX98</f>
        <v>-132870.98272294</v>
      </c>
      <c r="AY99" s="73" t="n">
        <f aca="false">AY97+AY98</f>
        <v>-147285.357375293</v>
      </c>
      <c r="AZ99" s="73" t="n">
        <f aca="false">AZ97+AZ98</f>
        <v>-158738.63834777</v>
      </c>
      <c r="BA99" s="73" t="n">
        <f aca="false">BA97+BA98</f>
        <v>-170196.36376469</v>
      </c>
      <c r="BB99" s="73" t="n">
        <f aca="false">BB97+BB98</f>
        <v>-181658.533626056</v>
      </c>
      <c r="BC99" s="73" t="n">
        <f aca="false">BC97+BC98</f>
        <v>-193125.147931865</v>
      </c>
      <c r="BD99" s="73" t="n">
        <f aca="false">BD97+BD98</f>
        <v>-204596.206682119</v>
      </c>
      <c r="BE99" s="73" t="n">
        <f aca="false">BE97+BE98</f>
        <v>-216071.709876818</v>
      </c>
      <c r="BF99" s="73" t="n">
        <f aca="false">BF97+BF98</f>
        <v>-227551.65751596</v>
      </c>
      <c r="BG99" s="73" t="n">
        <f aca="false">BG97+BG98</f>
        <v>-239036.049599548</v>
      </c>
      <c r="BH99" s="73" t="n">
        <f aca="false">BH97+BH98</f>
        <v>-250524.886127579</v>
      </c>
      <c r="BI99" s="73" t="n">
        <f aca="false">BI97+BI98</f>
        <v>-243008.124539343</v>
      </c>
      <c r="BJ99" s="73" t="n">
        <f aca="false">BJ97+BJ98</f>
        <v>-239998.091253402</v>
      </c>
    </row>
    <row r="100" customFormat="false" ht="15" hidden="false" customHeight="false" outlineLevel="0" collapsed="false">
      <c r="A100" s="6" t="s">
        <v>434</v>
      </c>
      <c r="C100" s="67" t="n">
        <f aca="false">C96-C99</f>
        <v>0</v>
      </c>
      <c r="D100" s="67" t="n">
        <f aca="false">D96-D99</f>
        <v>0</v>
      </c>
      <c r="E100" s="67" t="n">
        <f aca="false">E96-E99</f>
        <v>0</v>
      </c>
      <c r="F100" s="67" t="n">
        <f aca="false">F96-F99</f>
        <v>0</v>
      </c>
      <c r="G100" s="67" t="n">
        <f aca="false">G96-G99</f>
        <v>0</v>
      </c>
      <c r="H100" s="67" t="n">
        <f aca="false">H96-H99</f>
        <v>0</v>
      </c>
      <c r="I100" s="67" t="n">
        <f aca="false">I96-I99</f>
        <v>0</v>
      </c>
      <c r="J100" s="67" t="n">
        <f aca="false">J96-J99</f>
        <v>0</v>
      </c>
      <c r="K100" s="67" t="n">
        <f aca="false">K96-K99</f>
        <v>0</v>
      </c>
      <c r="L100" s="67" t="n">
        <f aca="false">L96-L99</f>
        <v>0</v>
      </c>
      <c r="M100" s="67" t="n">
        <f aca="false">M96-M99</f>
        <v>0</v>
      </c>
      <c r="N100" s="67" t="n">
        <f aca="false">N96-N99</f>
        <v>0</v>
      </c>
      <c r="O100" s="67" t="n">
        <f aca="false">O96-O99</f>
        <v>0</v>
      </c>
      <c r="P100" s="67" t="n">
        <f aca="false">P96-P99</f>
        <v>0</v>
      </c>
      <c r="Q100" s="67" t="n">
        <f aca="false">Q96-Q99</f>
        <v>0</v>
      </c>
      <c r="R100" s="67" t="n">
        <f aca="false">R96-R99</f>
        <v>0</v>
      </c>
      <c r="S100" s="67" t="n">
        <f aca="false">S96-S99</f>
        <v>0</v>
      </c>
      <c r="T100" s="67" t="n">
        <f aca="false">T96-T99</f>
        <v>0</v>
      </c>
      <c r="U100" s="67" t="n">
        <f aca="false">U96-U99</f>
        <v>0</v>
      </c>
      <c r="V100" s="67" t="n">
        <f aca="false">V96-V99</f>
        <v>0</v>
      </c>
      <c r="W100" s="67" t="n">
        <f aca="false">W96-W99</f>
        <v>0</v>
      </c>
      <c r="X100" s="67" t="n">
        <f aca="false">X96-X99</f>
        <v>0</v>
      </c>
      <c r="Y100" s="67" t="n">
        <f aca="false">Y96-Y99</f>
        <v>0</v>
      </c>
      <c r="Z100" s="67" t="n">
        <f aca="false">Z96-Z99</f>
        <v>0</v>
      </c>
      <c r="AA100" s="67" t="n">
        <f aca="false">AA96-AA99</f>
        <v>0</v>
      </c>
      <c r="AB100" s="67" t="n">
        <f aca="false">AB96-AB99</f>
        <v>6.54836185276508E-011</v>
      </c>
      <c r="AC100" s="67" t="n">
        <f aca="false">AC96-AC99</f>
        <v>7.27595761418343E-011</v>
      </c>
      <c r="AD100" s="67" t="n">
        <f aca="false">AD96-AD99</f>
        <v>7.27595761418343E-011</v>
      </c>
      <c r="AE100" s="67" t="n">
        <f aca="false">AE96-AE99</f>
        <v>7.27595761418343E-011</v>
      </c>
      <c r="AF100" s="67" t="n">
        <f aca="false">AF96-AF99</f>
        <v>0</v>
      </c>
      <c r="AG100" s="67" t="n">
        <f aca="false">AG96-AG99</f>
        <v>0</v>
      </c>
      <c r="AH100" s="67" t="n">
        <f aca="false">AH96-AH99</f>
        <v>0</v>
      </c>
      <c r="AI100" s="67" t="n">
        <f aca="false">AI96-AI99</f>
        <v>0</v>
      </c>
      <c r="AJ100" s="67" t="n">
        <f aca="false">AJ96-AJ99</f>
        <v>0</v>
      </c>
      <c r="AK100" s="67" t="n">
        <f aca="false">AK96-AK99</f>
        <v>0</v>
      </c>
      <c r="AL100" s="67" t="n">
        <f aca="false">AL96-AL99</f>
        <v>0</v>
      </c>
      <c r="AM100" s="67" t="n">
        <f aca="false">AM96-AM99</f>
        <v>0</v>
      </c>
      <c r="AN100" s="67" t="n">
        <f aca="false">AN96-AN99</f>
        <v>0</v>
      </c>
      <c r="AO100" s="67" t="n">
        <f aca="false">AO96-AO99</f>
        <v>0</v>
      </c>
      <c r="AP100" s="67" t="n">
        <f aca="false">AP96-AP99</f>
        <v>0</v>
      </c>
      <c r="AQ100" s="67" t="n">
        <f aca="false">AQ96-AQ99</f>
        <v>0</v>
      </c>
      <c r="AR100" s="67" t="n">
        <f aca="false">AR96-AR99</f>
        <v>0</v>
      </c>
      <c r="AS100" s="67" t="n">
        <f aca="false">AS96-AS99</f>
        <v>0</v>
      </c>
      <c r="AT100" s="67" t="n">
        <f aca="false">AT96-AT99</f>
        <v>0</v>
      </c>
      <c r="AU100" s="67" t="n">
        <f aca="false">AU96-AU99</f>
        <v>0</v>
      </c>
      <c r="AV100" s="67" t="n">
        <f aca="false">AV96-AV99</f>
        <v>0</v>
      </c>
      <c r="AW100" s="67" t="n">
        <f aca="false">AW96-AW99</f>
        <v>0</v>
      </c>
      <c r="AX100" s="67" t="n">
        <f aca="false">AX96-AX99</f>
        <v>0</v>
      </c>
      <c r="AY100" s="67" t="n">
        <f aca="false">AY96-AY99</f>
        <v>0</v>
      </c>
      <c r="AZ100" s="67" t="n">
        <f aca="false">AZ96-AZ99</f>
        <v>0</v>
      </c>
      <c r="BA100" s="67" t="n">
        <f aca="false">BA96-BA99</f>
        <v>0</v>
      </c>
      <c r="BB100" s="67" t="n">
        <f aca="false">BB96-BB99</f>
        <v>0</v>
      </c>
      <c r="BC100" s="67" t="n">
        <f aca="false">BC96-BC99</f>
        <v>0</v>
      </c>
      <c r="BD100" s="67" t="n">
        <f aca="false">BD96-BD99</f>
        <v>0</v>
      </c>
      <c r="BE100" s="67" t="n">
        <f aca="false">BE96-BE99</f>
        <v>0</v>
      </c>
      <c r="BF100" s="67" t="n">
        <f aca="false">BF96-BF99</f>
        <v>0</v>
      </c>
      <c r="BG100" s="67" t="n">
        <f aca="false">BG96-BG99</f>
        <v>0</v>
      </c>
      <c r="BH100" s="67" t="n">
        <f aca="false">BH96-BH99</f>
        <v>0</v>
      </c>
      <c r="BI100" s="67" t="n">
        <f aca="false">BI96-BI99</f>
        <v>0</v>
      </c>
      <c r="BJ100" s="67" t="n">
        <f aca="false">BJ96-BJ99</f>
        <v>0</v>
      </c>
    </row>
    <row r="102" customFormat="false" ht="15.75" hidden="false" customHeight="true" outlineLevel="0" collapsed="false">
      <c r="A102" s="7" t="s">
        <v>436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customFormat="false" ht="15" hidden="false" customHeight="false" outlineLevel="0" collapsed="false">
      <c r="A103" s="6" t="s">
        <v>437</v>
      </c>
      <c r="C103" s="118" t="n">
        <f aca="false">Inputs!$B$42*(1+Inputs!$B$44)^(C$7-1)*MAX(0,MIN(1,C$6*1-Inputs!$B$45+1))/1</f>
        <v>5</v>
      </c>
      <c r="D103" s="118" t="n">
        <f aca="false">Inputs!$B$42*(1+Inputs!$B$44)^(D$7-1)*MAX(0,MIN(1,D$6*1-Inputs!$B$45+1))/1</f>
        <v>5</v>
      </c>
      <c r="E103" s="118" t="n">
        <f aca="false">Inputs!$B$42*(1+Inputs!$B$44)^(E$7-1)*MAX(0,MIN(1,E$6*1-Inputs!$B$45+1))/1</f>
        <v>5</v>
      </c>
      <c r="F103" s="118" t="n">
        <f aca="false">Inputs!$B$42*(1+Inputs!$B$44)^(F$7-1)*MAX(0,MIN(1,F$6*1-Inputs!$B$45+1))/1</f>
        <v>5</v>
      </c>
      <c r="G103" s="118" t="n">
        <f aca="false">Inputs!$B$42*(1+Inputs!$B$44)^(G$7-1)*MAX(0,MIN(1,G$6*1-Inputs!$B$45+1))/1</f>
        <v>5</v>
      </c>
      <c r="H103" s="118" t="n">
        <f aca="false">Inputs!$B$42*(1+Inputs!$B$44)^(H$7-1)*MAX(0,MIN(1,H$6*1-Inputs!$B$45+1))/1</f>
        <v>5</v>
      </c>
      <c r="I103" s="118" t="n">
        <f aca="false">Inputs!$B$42*(1+Inputs!$B$44)^(I$7-1)*MAX(0,MIN(1,I$6*1-Inputs!$B$45+1))/1</f>
        <v>5</v>
      </c>
      <c r="J103" s="118" t="n">
        <f aca="false">Inputs!$B$42*(1+Inputs!$B$44)^(J$7-1)*MAX(0,MIN(1,J$6*1-Inputs!$B$45+1))/1</f>
        <v>5</v>
      </c>
      <c r="K103" s="118" t="n">
        <f aca="false">Inputs!$B$42*(1+Inputs!$B$44)^(K$7-1)*MAX(0,MIN(1,K$6*1-Inputs!$B$45+1))/1</f>
        <v>5</v>
      </c>
      <c r="L103" s="118" t="n">
        <f aca="false">Inputs!$B$42*(1+Inputs!$B$44)^(L$7-1)*MAX(0,MIN(1,L$6*1-Inputs!$B$45+1))/1</f>
        <v>5</v>
      </c>
      <c r="M103" s="118" t="n">
        <f aca="false">Inputs!$B$42*(1+Inputs!$B$44)^(M$7-1)*MAX(0,MIN(1,M$6*1-Inputs!$B$45+1))/1</f>
        <v>5</v>
      </c>
      <c r="N103" s="118" t="n">
        <f aca="false">Inputs!$B$42*(1+Inputs!$B$44)^(N$7-1)*MAX(0,MIN(1,N$6*1-Inputs!$B$45+1))/1</f>
        <v>5</v>
      </c>
      <c r="O103" s="118" t="n">
        <f aca="false">Inputs!$B$42*(1+Inputs!$B$44)^(O$7-1)*MAX(0,MIN(1,O$6*1-Inputs!$B$45+1))/1</f>
        <v>5.3</v>
      </c>
      <c r="P103" s="118" t="n">
        <f aca="false">Inputs!$B$42*(1+Inputs!$B$44)^(P$7-1)*MAX(0,MIN(1,P$6*1-Inputs!$B$45+1))/1</f>
        <v>5.3</v>
      </c>
      <c r="Q103" s="118" t="n">
        <f aca="false">Inputs!$B$42*(1+Inputs!$B$44)^(Q$7-1)*MAX(0,MIN(1,Q$6*1-Inputs!$B$45+1))/1</f>
        <v>5.3</v>
      </c>
      <c r="R103" s="118" t="n">
        <f aca="false">Inputs!$B$42*(1+Inputs!$B$44)^(R$7-1)*MAX(0,MIN(1,R$6*1-Inputs!$B$45+1))/1</f>
        <v>5.3</v>
      </c>
      <c r="S103" s="118" t="n">
        <f aca="false">Inputs!$B$42*(1+Inputs!$B$44)^(S$7-1)*MAX(0,MIN(1,S$6*1-Inputs!$B$45+1))/1</f>
        <v>5.3</v>
      </c>
      <c r="T103" s="118" t="n">
        <f aca="false">Inputs!$B$42*(1+Inputs!$B$44)^(T$7-1)*MAX(0,MIN(1,T$6*1-Inputs!$B$45+1))/1</f>
        <v>5.3</v>
      </c>
      <c r="U103" s="118" t="n">
        <f aca="false">Inputs!$B$42*(1+Inputs!$B$44)^(U$7-1)*MAX(0,MIN(1,U$6*1-Inputs!$B$45+1))/1</f>
        <v>5.3</v>
      </c>
      <c r="V103" s="118" t="n">
        <f aca="false">Inputs!$B$42*(1+Inputs!$B$44)^(V$7-1)*MAX(0,MIN(1,V$6*1-Inputs!$B$45+1))/1</f>
        <v>5.3</v>
      </c>
      <c r="W103" s="118" t="n">
        <f aca="false">Inputs!$B$42*(1+Inputs!$B$44)^(W$7-1)*MAX(0,MIN(1,W$6*1-Inputs!$B$45+1))/1</f>
        <v>5.3</v>
      </c>
      <c r="X103" s="118" t="n">
        <f aca="false">Inputs!$B$42*(1+Inputs!$B$44)^(X$7-1)*MAX(0,MIN(1,X$6*1-Inputs!$B$45+1))/1</f>
        <v>5.3</v>
      </c>
      <c r="Y103" s="118" t="n">
        <f aca="false">Inputs!$B$42*(1+Inputs!$B$44)^(Y$7-1)*MAX(0,MIN(1,Y$6*1-Inputs!$B$45+1))/1</f>
        <v>5.3</v>
      </c>
      <c r="Z103" s="118" t="n">
        <f aca="false">Inputs!$B$42*(1+Inputs!$B$44)^(Z$7-1)*MAX(0,MIN(1,Z$6*1-Inputs!$B$45+1))/1</f>
        <v>5.3</v>
      </c>
      <c r="AA103" s="118" t="n">
        <f aca="false">Inputs!$B$42*(1+Inputs!$B$44)^(AA$7-1)*MAX(0,MIN(1,AA$6*1-Inputs!$B$45+1))/1</f>
        <v>5.618</v>
      </c>
      <c r="AB103" s="118" t="n">
        <f aca="false">Inputs!$B$42*(1+Inputs!$B$44)^(AB$7-1)*MAX(0,MIN(1,AB$6*1-Inputs!$B$45+1))/1</f>
        <v>5.618</v>
      </c>
      <c r="AC103" s="118" t="n">
        <f aca="false">Inputs!$B$42*(1+Inputs!$B$44)^(AC$7-1)*MAX(0,MIN(1,AC$6*1-Inputs!$B$45+1))/1</f>
        <v>5.618</v>
      </c>
      <c r="AD103" s="118" t="n">
        <f aca="false">Inputs!$B$42*(1+Inputs!$B$44)^(AD$7-1)*MAX(0,MIN(1,AD$6*1-Inputs!$B$45+1))/1</f>
        <v>5.618</v>
      </c>
      <c r="AE103" s="118" t="n">
        <f aca="false">Inputs!$B$42*(1+Inputs!$B$44)^(AE$7-1)*MAX(0,MIN(1,AE$6*1-Inputs!$B$45+1))/1</f>
        <v>5.618</v>
      </c>
      <c r="AF103" s="118" t="n">
        <f aca="false">Inputs!$B$42*(1+Inputs!$B$44)^(AF$7-1)*MAX(0,MIN(1,AF$6*1-Inputs!$B$45+1))/1</f>
        <v>5.618</v>
      </c>
      <c r="AG103" s="118" t="n">
        <f aca="false">Inputs!$B$42*(1+Inputs!$B$44)^(AG$7-1)*MAX(0,MIN(1,AG$6*1-Inputs!$B$45+1))/1</f>
        <v>5.618</v>
      </c>
      <c r="AH103" s="118" t="n">
        <f aca="false">Inputs!$B$42*(1+Inputs!$B$44)^(AH$7-1)*MAX(0,MIN(1,AH$6*1-Inputs!$B$45+1))/1</f>
        <v>5.618</v>
      </c>
      <c r="AI103" s="118" t="n">
        <f aca="false">Inputs!$B$42*(1+Inputs!$B$44)^(AI$7-1)*MAX(0,MIN(1,AI$6*1-Inputs!$B$45+1))/1</f>
        <v>5.618</v>
      </c>
      <c r="AJ103" s="118" t="n">
        <f aca="false">Inputs!$B$42*(1+Inputs!$B$44)^(AJ$7-1)*MAX(0,MIN(1,AJ$6*1-Inputs!$B$45+1))/1</f>
        <v>5.618</v>
      </c>
      <c r="AK103" s="118" t="n">
        <f aca="false">Inputs!$B$42*(1+Inputs!$B$44)^(AK$7-1)*MAX(0,MIN(1,AK$6*1-Inputs!$B$45+1))/1</f>
        <v>5.618</v>
      </c>
      <c r="AL103" s="118" t="n">
        <f aca="false">Inputs!$B$42*(1+Inputs!$B$44)^(AL$7-1)*MAX(0,MIN(1,AL$6*1-Inputs!$B$45+1))/1</f>
        <v>5.618</v>
      </c>
      <c r="AM103" s="118" t="n">
        <f aca="false">Inputs!$B$42*(1+Inputs!$B$44)^(AM$7-1)*MAX(0,MIN(1,AM$6*1-Inputs!$B$45+1))/1</f>
        <v>5.95508</v>
      </c>
      <c r="AN103" s="118" t="n">
        <f aca="false">Inputs!$B$42*(1+Inputs!$B$44)^(AN$7-1)*MAX(0,MIN(1,AN$6*1-Inputs!$B$45+1))/1</f>
        <v>5.95508</v>
      </c>
      <c r="AO103" s="118" t="n">
        <f aca="false">Inputs!$B$42*(1+Inputs!$B$44)^(AO$7-1)*MAX(0,MIN(1,AO$6*1-Inputs!$B$45+1))/1</f>
        <v>5.95508</v>
      </c>
      <c r="AP103" s="118" t="n">
        <f aca="false">Inputs!$B$42*(1+Inputs!$B$44)^(AP$7-1)*MAX(0,MIN(1,AP$6*1-Inputs!$B$45+1))/1</f>
        <v>5.95508</v>
      </c>
      <c r="AQ103" s="118" t="n">
        <f aca="false">Inputs!$B$42*(1+Inputs!$B$44)^(AQ$7-1)*MAX(0,MIN(1,AQ$6*1-Inputs!$B$45+1))/1</f>
        <v>5.95508</v>
      </c>
      <c r="AR103" s="118" t="n">
        <f aca="false">Inputs!$B$42*(1+Inputs!$B$44)^(AR$7-1)*MAX(0,MIN(1,AR$6*1-Inputs!$B$45+1))/1</f>
        <v>5.95508</v>
      </c>
      <c r="AS103" s="118" t="n">
        <f aca="false">Inputs!$B$42*(1+Inputs!$B$44)^(AS$7-1)*MAX(0,MIN(1,AS$6*1-Inputs!$B$45+1))/1</f>
        <v>5.95508</v>
      </c>
      <c r="AT103" s="118" t="n">
        <f aca="false">Inputs!$B$42*(1+Inputs!$B$44)^(AT$7-1)*MAX(0,MIN(1,AT$6*1-Inputs!$B$45+1))/1</f>
        <v>5.95508</v>
      </c>
      <c r="AU103" s="118" t="n">
        <f aca="false">Inputs!$B$42*(1+Inputs!$B$44)^(AU$7-1)*MAX(0,MIN(1,AU$6*1-Inputs!$B$45+1))/1</f>
        <v>5.95508</v>
      </c>
      <c r="AV103" s="118" t="n">
        <f aca="false">Inputs!$B$42*(1+Inputs!$B$44)^(AV$7-1)*MAX(0,MIN(1,AV$6*1-Inputs!$B$45+1))/1</f>
        <v>5.95508</v>
      </c>
      <c r="AW103" s="118" t="n">
        <f aca="false">Inputs!$B$42*(1+Inputs!$B$44)^(AW$7-1)*MAX(0,MIN(1,AW$6*1-Inputs!$B$45+1))/1</f>
        <v>5.95508</v>
      </c>
      <c r="AX103" s="118" t="n">
        <f aca="false">Inputs!$B$42*(1+Inputs!$B$44)^(AX$7-1)*MAX(0,MIN(1,AX$6*1-Inputs!$B$45+1))/1</f>
        <v>5.95508</v>
      </c>
      <c r="AY103" s="118" t="n">
        <f aca="false">Inputs!$B$42*(1+Inputs!$B$44)^(AY$7-1)*MAX(0,MIN(1,AY$6*1-Inputs!$B$45+1))/1</f>
        <v>6.3123848</v>
      </c>
      <c r="AZ103" s="118" t="n">
        <f aca="false">Inputs!$B$42*(1+Inputs!$B$44)^(AZ$7-1)*MAX(0,MIN(1,AZ$6*1-Inputs!$B$45+1))/1</f>
        <v>6.3123848</v>
      </c>
      <c r="BA103" s="118" t="n">
        <f aca="false">Inputs!$B$42*(1+Inputs!$B$44)^(BA$7-1)*MAX(0,MIN(1,BA$6*1-Inputs!$B$45+1))/1</f>
        <v>6.3123848</v>
      </c>
      <c r="BB103" s="118" t="n">
        <f aca="false">Inputs!$B$42*(1+Inputs!$B$44)^(BB$7-1)*MAX(0,MIN(1,BB$6*1-Inputs!$B$45+1))/1</f>
        <v>6.3123848</v>
      </c>
      <c r="BC103" s="118" t="n">
        <f aca="false">Inputs!$B$42*(1+Inputs!$B$44)^(BC$7-1)*MAX(0,MIN(1,BC$6*1-Inputs!$B$45+1))/1</f>
        <v>6.3123848</v>
      </c>
      <c r="BD103" s="118" t="n">
        <f aca="false">Inputs!$B$42*(1+Inputs!$B$44)^(BD$7-1)*MAX(0,MIN(1,BD$6*1-Inputs!$B$45+1))/1</f>
        <v>6.3123848</v>
      </c>
      <c r="BE103" s="118" t="n">
        <f aca="false">Inputs!$B$42*(1+Inputs!$B$44)^(BE$7-1)*MAX(0,MIN(1,BE$6*1-Inputs!$B$45+1))/1</f>
        <v>6.3123848</v>
      </c>
      <c r="BF103" s="118" t="n">
        <f aca="false">Inputs!$B$42*(1+Inputs!$B$44)^(BF$7-1)*MAX(0,MIN(1,BF$6*1-Inputs!$B$45+1))/1</f>
        <v>6.3123848</v>
      </c>
      <c r="BG103" s="118" t="n">
        <f aca="false">Inputs!$B$42*(1+Inputs!$B$44)^(BG$7-1)*MAX(0,MIN(1,BG$6*1-Inputs!$B$45+1))/1</f>
        <v>6.3123848</v>
      </c>
      <c r="BH103" s="118" t="n">
        <f aca="false">Inputs!$B$42*(1+Inputs!$B$44)^(BH$7-1)*MAX(0,MIN(1,BH$6*1-Inputs!$B$45+1))/1</f>
        <v>6.3123848</v>
      </c>
      <c r="BI103" s="118" t="n">
        <f aca="false">Inputs!$B$42*(1+Inputs!$B$44)^(BI$7-1)*MAX(0,MIN(1,BI$6*1-Inputs!$B$45+1))/1</f>
        <v>6.3123848</v>
      </c>
      <c r="BJ103" s="118" t="n">
        <f aca="false">Inputs!$B$42*(1+Inputs!$B$44)^(BJ$7-1)*MAX(0,MIN(1,BJ$6*1-Inputs!$B$45+1))/1</f>
        <v>6.3123848</v>
      </c>
    </row>
    <row r="104" customFormat="false" ht="15" hidden="false" customHeight="false" outlineLevel="0" collapsed="false">
      <c r="A104" s="6" t="s">
        <v>438</v>
      </c>
      <c r="C104" s="118" t="n">
        <f aca="false">Inputs!$B$46*(1+Inputs!$B$48)^(C$7-1)*MAX(0,MIN(1,C$6*1-Inputs!$B$49+1))/1</f>
        <v>7</v>
      </c>
      <c r="D104" s="118" t="n">
        <f aca="false">Inputs!$B$46*(1+Inputs!$B$48)^(D$7-1)*MAX(0,MIN(1,D$6*1-Inputs!$B$49+1))/1</f>
        <v>7</v>
      </c>
      <c r="E104" s="118" t="n">
        <f aca="false">Inputs!$B$46*(1+Inputs!$B$48)^(E$7-1)*MAX(0,MIN(1,E$6*1-Inputs!$B$49+1))/1</f>
        <v>7</v>
      </c>
      <c r="F104" s="118" t="n">
        <f aca="false">Inputs!$B$46*(1+Inputs!$B$48)^(F$7-1)*MAX(0,MIN(1,F$6*1-Inputs!$B$49+1))/1</f>
        <v>7</v>
      </c>
      <c r="G104" s="118" t="n">
        <f aca="false">Inputs!$B$46*(1+Inputs!$B$48)^(G$7-1)*MAX(0,MIN(1,G$6*1-Inputs!$B$49+1))/1</f>
        <v>7</v>
      </c>
      <c r="H104" s="118" t="n">
        <f aca="false">Inputs!$B$46*(1+Inputs!$B$48)^(H$7-1)*MAX(0,MIN(1,H$6*1-Inputs!$B$49+1))/1</f>
        <v>7</v>
      </c>
      <c r="I104" s="118" t="n">
        <f aca="false">Inputs!$B$46*(1+Inputs!$B$48)^(I$7-1)*MAX(0,MIN(1,I$6*1-Inputs!$B$49+1))/1</f>
        <v>7</v>
      </c>
      <c r="J104" s="118" t="n">
        <f aca="false">Inputs!$B$46*(1+Inputs!$B$48)^(J$7-1)*MAX(0,MIN(1,J$6*1-Inputs!$B$49+1))/1</f>
        <v>7</v>
      </c>
      <c r="K104" s="118" t="n">
        <f aca="false">Inputs!$B$46*(1+Inputs!$B$48)^(K$7-1)*MAX(0,MIN(1,K$6*1-Inputs!$B$49+1))/1</f>
        <v>7</v>
      </c>
      <c r="L104" s="118" t="n">
        <f aca="false">Inputs!$B$46*(1+Inputs!$B$48)^(L$7-1)*MAX(0,MIN(1,L$6*1-Inputs!$B$49+1))/1</f>
        <v>7</v>
      </c>
      <c r="M104" s="118" t="n">
        <f aca="false">Inputs!$B$46*(1+Inputs!$B$48)^(M$7-1)*MAX(0,MIN(1,M$6*1-Inputs!$B$49+1))/1</f>
        <v>7</v>
      </c>
      <c r="N104" s="118" t="n">
        <f aca="false">Inputs!$B$46*(1+Inputs!$B$48)^(N$7-1)*MAX(0,MIN(1,N$6*1-Inputs!$B$49+1))/1</f>
        <v>7</v>
      </c>
      <c r="O104" s="118" t="n">
        <f aca="false">Inputs!$B$46*(1+Inputs!$B$48)^(O$7-1)*MAX(0,MIN(1,O$6*1-Inputs!$B$49+1))/1</f>
        <v>7.42</v>
      </c>
      <c r="P104" s="118" t="n">
        <f aca="false">Inputs!$B$46*(1+Inputs!$B$48)^(P$7-1)*MAX(0,MIN(1,P$6*1-Inputs!$B$49+1))/1</f>
        <v>7.42</v>
      </c>
      <c r="Q104" s="118" t="n">
        <f aca="false">Inputs!$B$46*(1+Inputs!$B$48)^(Q$7-1)*MAX(0,MIN(1,Q$6*1-Inputs!$B$49+1))/1</f>
        <v>7.42</v>
      </c>
      <c r="R104" s="118" t="n">
        <f aca="false">Inputs!$B$46*(1+Inputs!$B$48)^(R$7-1)*MAX(0,MIN(1,R$6*1-Inputs!$B$49+1))/1</f>
        <v>7.42</v>
      </c>
      <c r="S104" s="118" t="n">
        <f aca="false">Inputs!$B$46*(1+Inputs!$B$48)^(S$7-1)*MAX(0,MIN(1,S$6*1-Inputs!$B$49+1))/1</f>
        <v>7.42</v>
      </c>
      <c r="T104" s="118" t="n">
        <f aca="false">Inputs!$B$46*(1+Inputs!$B$48)^(T$7-1)*MAX(0,MIN(1,T$6*1-Inputs!$B$49+1))/1</f>
        <v>7.42</v>
      </c>
      <c r="U104" s="118" t="n">
        <f aca="false">Inputs!$B$46*(1+Inputs!$B$48)^(U$7-1)*MAX(0,MIN(1,U$6*1-Inputs!$B$49+1))/1</f>
        <v>7.42</v>
      </c>
      <c r="V104" s="118" t="n">
        <f aca="false">Inputs!$B$46*(1+Inputs!$B$48)^(V$7-1)*MAX(0,MIN(1,V$6*1-Inputs!$B$49+1))/1</f>
        <v>7.42</v>
      </c>
      <c r="W104" s="118" t="n">
        <f aca="false">Inputs!$B$46*(1+Inputs!$B$48)^(W$7-1)*MAX(0,MIN(1,W$6*1-Inputs!$B$49+1))/1</f>
        <v>7.42</v>
      </c>
      <c r="X104" s="118" t="n">
        <f aca="false">Inputs!$B$46*(1+Inputs!$B$48)^(X$7-1)*MAX(0,MIN(1,X$6*1-Inputs!$B$49+1))/1</f>
        <v>7.42</v>
      </c>
      <c r="Y104" s="118" t="n">
        <f aca="false">Inputs!$B$46*(1+Inputs!$B$48)^(Y$7-1)*MAX(0,MIN(1,Y$6*1-Inputs!$B$49+1))/1</f>
        <v>7.42</v>
      </c>
      <c r="Z104" s="118" t="n">
        <f aca="false">Inputs!$B$46*(1+Inputs!$B$48)^(Z$7-1)*MAX(0,MIN(1,Z$6*1-Inputs!$B$49+1))/1</f>
        <v>7.42</v>
      </c>
      <c r="AA104" s="118" t="n">
        <f aca="false">Inputs!$B$46*(1+Inputs!$B$48)^(AA$7-1)*MAX(0,MIN(1,AA$6*1-Inputs!$B$49+1))/1</f>
        <v>7.8652</v>
      </c>
      <c r="AB104" s="118" t="n">
        <f aca="false">Inputs!$B$46*(1+Inputs!$B$48)^(AB$7-1)*MAX(0,MIN(1,AB$6*1-Inputs!$B$49+1))/1</f>
        <v>7.8652</v>
      </c>
      <c r="AC104" s="118" t="n">
        <f aca="false">Inputs!$B$46*(1+Inputs!$B$48)^(AC$7-1)*MAX(0,MIN(1,AC$6*1-Inputs!$B$49+1))/1</f>
        <v>7.8652</v>
      </c>
      <c r="AD104" s="118" t="n">
        <f aca="false">Inputs!$B$46*(1+Inputs!$B$48)^(AD$7-1)*MAX(0,MIN(1,AD$6*1-Inputs!$B$49+1))/1</f>
        <v>7.8652</v>
      </c>
      <c r="AE104" s="118" t="n">
        <f aca="false">Inputs!$B$46*(1+Inputs!$B$48)^(AE$7-1)*MAX(0,MIN(1,AE$6*1-Inputs!$B$49+1))/1</f>
        <v>7.8652</v>
      </c>
      <c r="AF104" s="118" t="n">
        <f aca="false">Inputs!$B$46*(1+Inputs!$B$48)^(AF$7-1)*MAX(0,MIN(1,AF$6*1-Inputs!$B$49+1))/1</f>
        <v>7.8652</v>
      </c>
      <c r="AG104" s="118" t="n">
        <f aca="false">Inputs!$B$46*(1+Inputs!$B$48)^(AG$7-1)*MAX(0,MIN(1,AG$6*1-Inputs!$B$49+1))/1</f>
        <v>7.8652</v>
      </c>
      <c r="AH104" s="118" t="n">
        <f aca="false">Inputs!$B$46*(1+Inputs!$B$48)^(AH$7-1)*MAX(0,MIN(1,AH$6*1-Inputs!$B$49+1))/1</f>
        <v>7.8652</v>
      </c>
      <c r="AI104" s="118" t="n">
        <f aca="false">Inputs!$B$46*(1+Inputs!$B$48)^(AI$7-1)*MAX(0,MIN(1,AI$6*1-Inputs!$B$49+1))/1</f>
        <v>7.8652</v>
      </c>
      <c r="AJ104" s="118" t="n">
        <f aca="false">Inputs!$B$46*(1+Inputs!$B$48)^(AJ$7-1)*MAX(0,MIN(1,AJ$6*1-Inputs!$B$49+1))/1</f>
        <v>7.8652</v>
      </c>
      <c r="AK104" s="118" t="n">
        <f aca="false">Inputs!$B$46*(1+Inputs!$B$48)^(AK$7-1)*MAX(0,MIN(1,AK$6*1-Inputs!$B$49+1))/1</f>
        <v>7.8652</v>
      </c>
      <c r="AL104" s="118" t="n">
        <f aca="false">Inputs!$B$46*(1+Inputs!$B$48)^(AL$7-1)*MAX(0,MIN(1,AL$6*1-Inputs!$B$49+1))/1</f>
        <v>7.8652</v>
      </c>
      <c r="AM104" s="118" t="n">
        <f aca="false">Inputs!$B$46*(1+Inputs!$B$48)^(AM$7-1)*MAX(0,MIN(1,AM$6*1-Inputs!$B$49+1))/1</f>
        <v>8.337112</v>
      </c>
      <c r="AN104" s="118" t="n">
        <f aca="false">Inputs!$B$46*(1+Inputs!$B$48)^(AN$7-1)*MAX(0,MIN(1,AN$6*1-Inputs!$B$49+1))/1</f>
        <v>8.337112</v>
      </c>
      <c r="AO104" s="118" t="n">
        <f aca="false">Inputs!$B$46*(1+Inputs!$B$48)^(AO$7-1)*MAX(0,MIN(1,AO$6*1-Inputs!$B$49+1))/1</f>
        <v>8.337112</v>
      </c>
      <c r="AP104" s="118" t="n">
        <f aca="false">Inputs!$B$46*(1+Inputs!$B$48)^(AP$7-1)*MAX(0,MIN(1,AP$6*1-Inputs!$B$49+1))/1</f>
        <v>8.337112</v>
      </c>
      <c r="AQ104" s="118" t="n">
        <f aca="false">Inputs!$B$46*(1+Inputs!$B$48)^(AQ$7-1)*MAX(0,MIN(1,AQ$6*1-Inputs!$B$49+1))/1</f>
        <v>8.337112</v>
      </c>
      <c r="AR104" s="118" t="n">
        <f aca="false">Inputs!$B$46*(1+Inputs!$B$48)^(AR$7-1)*MAX(0,MIN(1,AR$6*1-Inputs!$B$49+1))/1</f>
        <v>8.337112</v>
      </c>
      <c r="AS104" s="118" t="n">
        <f aca="false">Inputs!$B$46*(1+Inputs!$B$48)^(AS$7-1)*MAX(0,MIN(1,AS$6*1-Inputs!$B$49+1))/1</f>
        <v>8.337112</v>
      </c>
      <c r="AT104" s="118" t="n">
        <f aca="false">Inputs!$B$46*(1+Inputs!$B$48)^(AT$7-1)*MAX(0,MIN(1,AT$6*1-Inputs!$B$49+1))/1</f>
        <v>8.337112</v>
      </c>
      <c r="AU104" s="118" t="n">
        <f aca="false">Inputs!$B$46*(1+Inputs!$B$48)^(AU$7-1)*MAX(0,MIN(1,AU$6*1-Inputs!$B$49+1))/1</f>
        <v>8.337112</v>
      </c>
      <c r="AV104" s="118" t="n">
        <f aca="false">Inputs!$B$46*(1+Inputs!$B$48)^(AV$7-1)*MAX(0,MIN(1,AV$6*1-Inputs!$B$49+1))/1</f>
        <v>8.337112</v>
      </c>
      <c r="AW104" s="118" t="n">
        <f aca="false">Inputs!$B$46*(1+Inputs!$B$48)^(AW$7-1)*MAX(0,MIN(1,AW$6*1-Inputs!$B$49+1))/1</f>
        <v>8.337112</v>
      </c>
      <c r="AX104" s="118" t="n">
        <f aca="false">Inputs!$B$46*(1+Inputs!$B$48)^(AX$7-1)*MAX(0,MIN(1,AX$6*1-Inputs!$B$49+1))/1</f>
        <v>8.337112</v>
      </c>
      <c r="AY104" s="118" t="n">
        <f aca="false">Inputs!$B$46*(1+Inputs!$B$48)^(AY$7-1)*MAX(0,MIN(1,AY$6*1-Inputs!$B$49+1))/1</f>
        <v>8.83733872</v>
      </c>
      <c r="AZ104" s="118" t="n">
        <f aca="false">Inputs!$B$46*(1+Inputs!$B$48)^(AZ$7-1)*MAX(0,MIN(1,AZ$6*1-Inputs!$B$49+1))/1</f>
        <v>8.83733872</v>
      </c>
      <c r="BA104" s="118" t="n">
        <f aca="false">Inputs!$B$46*(1+Inputs!$B$48)^(BA$7-1)*MAX(0,MIN(1,BA$6*1-Inputs!$B$49+1))/1</f>
        <v>8.83733872</v>
      </c>
      <c r="BB104" s="118" t="n">
        <f aca="false">Inputs!$B$46*(1+Inputs!$B$48)^(BB$7-1)*MAX(0,MIN(1,BB$6*1-Inputs!$B$49+1))/1</f>
        <v>8.83733872</v>
      </c>
      <c r="BC104" s="118" t="n">
        <f aca="false">Inputs!$B$46*(1+Inputs!$B$48)^(BC$7-1)*MAX(0,MIN(1,BC$6*1-Inputs!$B$49+1))/1</f>
        <v>8.83733872</v>
      </c>
      <c r="BD104" s="118" t="n">
        <f aca="false">Inputs!$B$46*(1+Inputs!$B$48)^(BD$7-1)*MAX(0,MIN(1,BD$6*1-Inputs!$B$49+1))/1</f>
        <v>8.83733872</v>
      </c>
      <c r="BE104" s="118" t="n">
        <f aca="false">Inputs!$B$46*(1+Inputs!$B$48)^(BE$7-1)*MAX(0,MIN(1,BE$6*1-Inputs!$B$49+1))/1</f>
        <v>8.83733872</v>
      </c>
      <c r="BF104" s="118" t="n">
        <f aca="false">Inputs!$B$46*(1+Inputs!$B$48)^(BF$7-1)*MAX(0,MIN(1,BF$6*1-Inputs!$B$49+1))/1</f>
        <v>8.83733872</v>
      </c>
      <c r="BG104" s="118" t="n">
        <f aca="false">Inputs!$B$46*(1+Inputs!$B$48)^(BG$7-1)*MAX(0,MIN(1,BG$6*1-Inputs!$B$49+1))/1</f>
        <v>8.83733872</v>
      </c>
      <c r="BH104" s="118" t="n">
        <f aca="false">Inputs!$B$46*(1+Inputs!$B$48)^(BH$7-1)*MAX(0,MIN(1,BH$6*1-Inputs!$B$49+1))/1</f>
        <v>8.83733872</v>
      </c>
      <c r="BI104" s="118" t="n">
        <f aca="false">Inputs!$B$46*(1+Inputs!$B$48)^(BI$7-1)*MAX(0,MIN(1,BI$6*1-Inputs!$B$49+1))/1</f>
        <v>8.83733872</v>
      </c>
      <c r="BJ104" s="118" t="n">
        <f aca="false">Inputs!$B$46*(1+Inputs!$B$48)^(BJ$7-1)*MAX(0,MIN(1,BJ$6*1-Inputs!$B$49+1))/1</f>
        <v>8.83733872</v>
      </c>
    </row>
    <row r="105" customFormat="false" ht="15" hidden="false" customHeight="false" outlineLevel="0" collapsed="false">
      <c r="A105" s="6" t="s">
        <v>439</v>
      </c>
      <c r="C105" s="118" t="n">
        <f aca="false">Inputs!$B$50*(1+Inputs!$B$52)^(C$7-1)*MAX(0,MIN(1,C$6*1-Inputs!$B$53+1))/1</f>
        <v>1.5</v>
      </c>
      <c r="D105" s="118" t="n">
        <f aca="false">Inputs!$B$50*(1+Inputs!$B$52)^(D$7-1)*MAX(0,MIN(1,D$6*1-Inputs!$B$53+1))/1</f>
        <v>1.5</v>
      </c>
      <c r="E105" s="118" t="n">
        <f aca="false">Inputs!$B$50*(1+Inputs!$B$52)^(E$7-1)*MAX(0,MIN(1,E$6*1-Inputs!$B$53+1))/1</f>
        <v>1.5</v>
      </c>
      <c r="F105" s="118" t="n">
        <f aca="false">Inputs!$B$50*(1+Inputs!$B$52)^(F$7-1)*MAX(0,MIN(1,F$6*1-Inputs!$B$53+1))/1</f>
        <v>1.5</v>
      </c>
      <c r="G105" s="118" t="n">
        <f aca="false">Inputs!$B$50*(1+Inputs!$B$52)^(G$7-1)*MAX(0,MIN(1,G$6*1-Inputs!$B$53+1))/1</f>
        <v>1.5</v>
      </c>
      <c r="H105" s="118" t="n">
        <f aca="false">Inputs!$B$50*(1+Inputs!$B$52)^(H$7-1)*MAX(0,MIN(1,H$6*1-Inputs!$B$53+1))/1</f>
        <v>1.5</v>
      </c>
      <c r="I105" s="118" t="n">
        <f aca="false">Inputs!$B$50*(1+Inputs!$B$52)^(I$7-1)*MAX(0,MIN(1,I$6*1-Inputs!$B$53+1))/1</f>
        <v>1.5</v>
      </c>
      <c r="J105" s="118" t="n">
        <f aca="false">Inputs!$B$50*(1+Inputs!$B$52)^(J$7-1)*MAX(0,MIN(1,J$6*1-Inputs!$B$53+1))/1</f>
        <v>1.5</v>
      </c>
      <c r="K105" s="118" t="n">
        <f aca="false">Inputs!$B$50*(1+Inputs!$B$52)^(K$7-1)*MAX(0,MIN(1,K$6*1-Inputs!$B$53+1))/1</f>
        <v>1.5</v>
      </c>
      <c r="L105" s="118" t="n">
        <f aca="false">Inputs!$B$50*(1+Inputs!$B$52)^(L$7-1)*MAX(0,MIN(1,L$6*1-Inputs!$B$53+1))/1</f>
        <v>1.5</v>
      </c>
      <c r="M105" s="118" t="n">
        <f aca="false">Inputs!$B$50*(1+Inputs!$B$52)^(M$7-1)*MAX(0,MIN(1,M$6*1-Inputs!$B$53+1))/1</f>
        <v>1.5</v>
      </c>
      <c r="N105" s="118" t="n">
        <f aca="false">Inputs!$B$50*(1+Inputs!$B$52)^(N$7-1)*MAX(0,MIN(1,N$6*1-Inputs!$B$53+1))/1</f>
        <v>1.5</v>
      </c>
      <c r="O105" s="118" t="n">
        <f aca="false">Inputs!$B$50*(1+Inputs!$B$52)^(O$7-1)*MAX(0,MIN(1,O$6*1-Inputs!$B$53+1))/1</f>
        <v>1.5</v>
      </c>
      <c r="P105" s="118" t="n">
        <f aca="false">Inputs!$B$50*(1+Inputs!$B$52)^(P$7-1)*MAX(0,MIN(1,P$6*1-Inputs!$B$53+1))/1</f>
        <v>1.5</v>
      </c>
      <c r="Q105" s="118" t="n">
        <f aca="false">Inputs!$B$50*(1+Inputs!$B$52)^(Q$7-1)*MAX(0,MIN(1,Q$6*1-Inputs!$B$53+1))/1</f>
        <v>1.5</v>
      </c>
      <c r="R105" s="118" t="n">
        <f aca="false">Inputs!$B$50*(1+Inputs!$B$52)^(R$7-1)*MAX(0,MIN(1,R$6*1-Inputs!$B$53+1))/1</f>
        <v>1.5</v>
      </c>
      <c r="S105" s="118" t="n">
        <f aca="false">Inputs!$B$50*(1+Inputs!$B$52)^(S$7-1)*MAX(0,MIN(1,S$6*1-Inputs!$B$53+1))/1</f>
        <v>1.5</v>
      </c>
      <c r="T105" s="118" t="n">
        <f aca="false">Inputs!$B$50*(1+Inputs!$B$52)^(T$7-1)*MAX(0,MIN(1,T$6*1-Inputs!$B$53+1))/1</f>
        <v>1.5</v>
      </c>
      <c r="U105" s="118" t="n">
        <f aca="false">Inputs!$B$50*(1+Inputs!$B$52)^(U$7-1)*MAX(0,MIN(1,U$6*1-Inputs!$B$53+1))/1</f>
        <v>1.5</v>
      </c>
      <c r="V105" s="118" t="n">
        <f aca="false">Inputs!$B$50*(1+Inputs!$B$52)^(V$7-1)*MAX(0,MIN(1,V$6*1-Inputs!$B$53+1))/1</f>
        <v>1.5</v>
      </c>
      <c r="W105" s="118" t="n">
        <f aca="false">Inputs!$B$50*(1+Inputs!$B$52)^(W$7-1)*MAX(0,MIN(1,W$6*1-Inputs!$B$53+1))/1</f>
        <v>1.5</v>
      </c>
      <c r="X105" s="118" t="n">
        <f aca="false">Inputs!$B$50*(1+Inputs!$B$52)^(X$7-1)*MAX(0,MIN(1,X$6*1-Inputs!$B$53+1))/1</f>
        <v>1.5</v>
      </c>
      <c r="Y105" s="118" t="n">
        <f aca="false">Inputs!$B$50*(1+Inputs!$B$52)^(Y$7-1)*MAX(0,MIN(1,Y$6*1-Inputs!$B$53+1))/1</f>
        <v>1.5</v>
      </c>
      <c r="Z105" s="118" t="n">
        <f aca="false">Inputs!$B$50*(1+Inputs!$B$52)^(Z$7-1)*MAX(0,MIN(1,Z$6*1-Inputs!$B$53+1))/1</f>
        <v>1.5</v>
      </c>
      <c r="AA105" s="118" t="n">
        <f aca="false">Inputs!$B$50*(1+Inputs!$B$52)^(AA$7-1)*MAX(0,MIN(1,AA$6*1-Inputs!$B$53+1))/1</f>
        <v>1.5</v>
      </c>
      <c r="AB105" s="118" t="n">
        <f aca="false">Inputs!$B$50*(1+Inputs!$B$52)^(AB$7-1)*MAX(0,MIN(1,AB$6*1-Inputs!$B$53+1))/1</f>
        <v>1.5</v>
      </c>
      <c r="AC105" s="118" t="n">
        <f aca="false">Inputs!$B$50*(1+Inputs!$B$52)^(AC$7-1)*MAX(0,MIN(1,AC$6*1-Inputs!$B$53+1))/1</f>
        <v>1.5</v>
      </c>
      <c r="AD105" s="118" t="n">
        <f aca="false">Inputs!$B$50*(1+Inputs!$B$52)^(AD$7-1)*MAX(0,MIN(1,AD$6*1-Inputs!$B$53+1))/1</f>
        <v>1.5</v>
      </c>
      <c r="AE105" s="118" t="n">
        <f aca="false">Inputs!$B$50*(1+Inputs!$B$52)^(AE$7-1)*MAX(0,MIN(1,AE$6*1-Inputs!$B$53+1))/1</f>
        <v>1.5</v>
      </c>
      <c r="AF105" s="118" t="n">
        <f aca="false">Inputs!$B$50*(1+Inputs!$B$52)^(AF$7-1)*MAX(0,MIN(1,AF$6*1-Inputs!$B$53+1))/1</f>
        <v>1.5</v>
      </c>
      <c r="AG105" s="118" t="n">
        <f aca="false">Inputs!$B$50*(1+Inputs!$B$52)^(AG$7-1)*MAX(0,MIN(1,AG$6*1-Inputs!$B$53+1))/1</f>
        <v>1.5</v>
      </c>
      <c r="AH105" s="118" t="n">
        <f aca="false">Inputs!$B$50*(1+Inputs!$B$52)^(AH$7-1)*MAX(0,MIN(1,AH$6*1-Inputs!$B$53+1))/1</f>
        <v>1.5</v>
      </c>
      <c r="AI105" s="118" t="n">
        <f aca="false">Inputs!$B$50*(1+Inputs!$B$52)^(AI$7-1)*MAX(0,MIN(1,AI$6*1-Inputs!$B$53+1))/1</f>
        <v>1.5</v>
      </c>
      <c r="AJ105" s="118" t="n">
        <f aca="false">Inputs!$B$50*(1+Inputs!$B$52)^(AJ$7-1)*MAX(0,MIN(1,AJ$6*1-Inputs!$B$53+1))/1</f>
        <v>1.5</v>
      </c>
      <c r="AK105" s="118" t="n">
        <f aca="false">Inputs!$B$50*(1+Inputs!$B$52)^(AK$7-1)*MAX(0,MIN(1,AK$6*1-Inputs!$B$53+1))/1</f>
        <v>1.5</v>
      </c>
      <c r="AL105" s="118" t="n">
        <f aca="false">Inputs!$B$50*(1+Inputs!$B$52)^(AL$7-1)*MAX(0,MIN(1,AL$6*1-Inputs!$B$53+1))/1</f>
        <v>1.5</v>
      </c>
      <c r="AM105" s="118" t="n">
        <f aca="false">Inputs!$B$50*(1+Inputs!$B$52)^(AM$7-1)*MAX(0,MIN(1,AM$6*1-Inputs!$B$53+1))/1</f>
        <v>1.5</v>
      </c>
      <c r="AN105" s="118" t="n">
        <f aca="false">Inputs!$B$50*(1+Inputs!$B$52)^(AN$7-1)*MAX(0,MIN(1,AN$6*1-Inputs!$B$53+1))/1</f>
        <v>1.5</v>
      </c>
      <c r="AO105" s="118" t="n">
        <f aca="false">Inputs!$B$50*(1+Inputs!$B$52)^(AO$7-1)*MAX(0,MIN(1,AO$6*1-Inputs!$B$53+1))/1</f>
        <v>1.5</v>
      </c>
      <c r="AP105" s="118" t="n">
        <f aca="false">Inputs!$B$50*(1+Inputs!$B$52)^(AP$7-1)*MAX(0,MIN(1,AP$6*1-Inputs!$B$53+1))/1</f>
        <v>1.5</v>
      </c>
      <c r="AQ105" s="118" t="n">
        <f aca="false">Inputs!$B$50*(1+Inputs!$B$52)^(AQ$7-1)*MAX(0,MIN(1,AQ$6*1-Inputs!$B$53+1))/1</f>
        <v>1.5</v>
      </c>
      <c r="AR105" s="118" t="n">
        <f aca="false">Inputs!$B$50*(1+Inputs!$B$52)^(AR$7-1)*MAX(0,MIN(1,AR$6*1-Inputs!$B$53+1))/1</f>
        <v>1.5</v>
      </c>
      <c r="AS105" s="118" t="n">
        <f aca="false">Inputs!$B$50*(1+Inputs!$B$52)^(AS$7-1)*MAX(0,MIN(1,AS$6*1-Inputs!$B$53+1))/1</f>
        <v>1.5</v>
      </c>
      <c r="AT105" s="118" t="n">
        <f aca="false">Inputs!$B$50*(1+Inputs!$B$52)^(AT$7-1)*MAX(0,MIN(1,AT$6*1-Inputs!$B$53+1))/1</f>
        <v>1.5</v>
      </c>
      <c r="AU105" s="118" t="n">
        <f aca="false">Inputs!$B$50*(1+Inputs!$B$52)^(AU$7-1)*MAX(0,MIN(1,AU$6*1-Inputs!$B$53+1))/1</f>
        <v>1.5</v>
      </c>
      <c r="AV105" s="118" t="n">
        <f aca="false">Inputs!$B$50*(1+Inputs!$B$52)^(AV$7-1)*MAX(0,MIN(1,AV$6*1-Inputs!$B$53+1))/1</f>
        <v>1.5</v>
      </c>
      <c r="AW105" s="118" t="n">
        <f aca="false">Inputs!$B$50*(1+Inputs!$B$52)^(AW$7-1)*MAX(0,MIN(1,AW$6*1-Inputs!$B$53+1))/1</f>
        <v>1.5</v>
      </c>
      <c r="AX105" s="118" t="n">
        <f aca="false">Inputs!$B$50*(1+Inputs!$B$52)^(AX$7-1)*MAX(0,MIN(1,AX$6*1-Inputs!$B$53+1))/1</f>
        <v>1.5</v>
      </c>
      <c r="AY105" s="118" t="n">
        <f aca="false">Inputs!$B$50*(1+Inputs!$B$52)^(AY$7-1)*MAX(0,MIN(1,AY$6*1-Inputs!$B$53+1))/1</f>
        <v>1.5</v>
      </c>
      <c r="AZ105" s="118" t="n">
        <f aca="false">Inputs!$B$50*(1+Inputs!$B$52)^(AZ$7-1)*MAX(0,MIN(1,AZ$6*1-Inputs!$B$53+1))/1</f>
        <v>1.5</v>
      </c>
      <c r="BA105" s="118" t="n">
        <f aca="false">Inputs!$B$50*(1+Inputs!$B$52)^(BA$7-1)*MAX(0,MIN(1,BA$6*1-Inputs!$B$53+1))/1</f>
        <v>1.5</v>
      </c>
      <c r="BB105" s="118" t="n">
        <f aca="false">Inputs!$B$50*(1+Inputs!$B$52)^(BB$7-1)*MAX(0,MIN(1,BB$6*1-Inputs!$B$53+1))/1</f>
        <v>1.5</v>
      </c>
      <c r="BC105" s="118" t="n">
        <f aca="false">Inputs!$B$50*(1+Inputs!$B$52)^(BC$7-1)*MAX(0,MIN(1,BC$6*1-Inputs!$B$53+1))/1</f>
        <v>1.5</v>
      </c>
      <c r="BD105" s="118" t="n">
        <f aca="false">Inputs!$B$50*(1+Inputs!$B$52)^(BD$7-1)*MAX(0,MIN(1,BD$6*1-Inputs!$B$53+1))/1</f>
        <v>1.5</v>
      </c>
      <c r="BE105" s="118" t="n">
        <f aca="false">Inputs!$B$50*(1+Inputs!$B$52)^(BE$7-1)*MAX(0,MIN(1,BE$6*1-Inputs!$B$53+1))/1</f>
        <v>1.5</v>
      </c>
      <c r="BF105" s="118" t="n">
        <f aca="false">Inputs!$B$50*(1+Inputs!$B$52)^(BF$7-1)*MAX(0,MIN(1,BF$6*1-Inputs!$B$53+1))/1</f>
        <v>1.5</v>
      </c>
      <c r="BG105" s="118" t="n">
        <f aca="false">Inputs!$B$50*(1+Inputs!$B$52)^(BG$7-1)*MAX(0,MIN(1,BG$6*1-Inputs!$B$53+1))/1</f>
        <v>1.5</v>
      </c>
      <c r="BH105" s="118" t="n">
        <f aca="false">Inputs!$B$50*(1+Inputs!$B$52)^(BH$7-1)*MAX(0,MIN(1,BH$6*1-Inputs!$B$53+1))/1</f>
        <v>1.5</v>
      </c>
      <c r="BI105" s="118" t="n">
        <f aca="false">Inputs!$B$50*(1+Inputs!$B$52)^(BI$7-1)*MAX(0,MIN(1,BI$6*1-Inputs!$B$53+1))/1</f>
        <v>1.5</v>
      </c>
      <c r="BJ105" s="118" t="n">
        <f aca="false">Inputs!$B$50*(1+Inputs!$B$52)^(BJ$7-1)*MAX(0,MIN(1,BJ$6*1-Inputs!$B$53+1))/1</f>
        <v>1.5</v>
      </c>
    </row>
    <row r="106" customFormat="false" ht="15" hidden="false" customHeight="false" outlineLevel="0" collapsed="false">
      <c r="A106" s="115" t="s">
        <v>440</v>
      </c>
      <c r="C106" s="122" t="n">
        <f aca="false">C103+C104+C105</f>
        <v>13.5</v>
      </c>
      <c r="D106" s="122" t="n">
        <f aca="false">D103+D104+D105</f>
        <v>13.5</v>
      </c>
      <c r="E106" s="122" t="n">
        <f aca="false">E103+E104+E105</f>
        <v>13.5</v>
      </c>
      <c r="F106" s="122" t="n">
        <f aca="false">F103+F104+F105</f>
        <v>13.5</v>
      </c>
      <c r="G106" s="122" t="n">
        <f aca="false">G103+G104+G105</f>
        <v>13.5</v>
      </c>
      <c r="H106" s="122" t="n">
        <f aca="false">H103+H104+H105</f>
        <v>13.5</v>
      </c>
      <c r="I106" s="122" t="n">
        <f aca="false">I103+I104+I105</f>
        <v>13.5</v>
      </c>
      <c r="J106" s="122" t="n">
        <f aca="false">J103+J104+J105</f>
        <v>13.5</v>
      </c>
      <c r="K106" s="122" t="n">
        <f aca="false">K103+K104+K105</f>
        <v>13.5</v>
      </c>
      <c r="L106" s="122" t="n">
        <f aca="false">L103+L104+L105</f>
        <v>13.5</v>
      </c>
      <c r="M106" s="122" t="n">
        <f aca="false">M103+M104+M105</f>
        <v>13.5</v>
      </c>
      <c r="N106" s="122" t="n">
        <f aca="false">N103+N104+N105</f>
        <v>13.5</v>
      </c>
      <c r="O106" s="122" t="n">
        <f aca="false">O103+O104+O105</f>
        <v>14.22</v>
      </c>
      <c r="P106" s="122" t="n">
        <f aca="false">P103+P104+P105</f>
        <v>14.22</v>
      </c>
      <c r="Q106" s="122" t="n">
        <f aca="false">Q103+Q104+Q105</f>
        <v>14.22</v>
      </c>
      <c r="R106" s="122" t="n">
        <f aca="false">R103+R104+R105</f>
        <v>14.22</v>
      </c>
      <c r="S106" s="122" t="n">
        <f aca="false">S103+S104+S105</f>
        <v>14.22</v>
      </c>
      <c r="T106" s="122" t="n">
        <f aca="false">T103+T104+T105</f>
        <v>14.22</v>
      </c>
      <c r="U106" s="122" t="n">
        <f aca="false">U103+U104+U105</f>
        <v>14.22</v>
      </c>
      <c r="V106" s="122" t="n">
        <f aca="false">V103+V104+V105</f>
        <v>14.22</v>
      </c>
      <c r="W106" s="122" t="n">
        <f aca="false">W103+W104+W105</f>
        <v>14.22</v>
      </c>
      <c r="X106" s="122" t="n">
        <f aca="false">X103+X104+X105</f>
        <v>14.22</v>
      </c>
      <c r="Y106" s="122" t="n">
        <f aca="false">Y103+Y104+Y105</f>
        <v>14.22</v>
      </c>
      <c r="Z106" s="122" t="n">
        <f aca="false">Z103+Z104+Z105</f>
        <v>14.22</v>
      </c>
      <c r="AA106" s="122" t="n">
        <f aca="false">AA103+AA104+AA105</f>
        <v>14.9832</v>
      </c>
      <c r="AB106" s="122" t="n">
        <f aca="false">AB103+AB104+AB105</f>
        <v>14.9832</v>
      </c>
      <c r="AC106" s="122" t="n">
        <f aca="false">AC103+AC104+AC105</f>
        <v>14.9832</v>
      </c>
      <c r="AD106" s="122" t="n">
        <f aca="false">AD103+AD104+AD105</f>
        <v>14.9832</v>
      </c>
      <c r="AE106" s="122" t="n">
        <f aca="false">AE103+AE104+AE105</f>
        <v>14.9832</v>
      </c>
      <c r="AF106" s="122" t="n">
        <f aca="false">AF103+AF104+AF105</f>
        <v>14.9832</v>
      </c>
      <c r="AG106" s="122" t="n">
        <f aca="false">AG103+AG104+AG105</f>
        <v>14.9832</v>
      </c>
      <c r="AH106" s="122" t="n">
        <f aca="false">AH103+AH104+AH105</f>
        <v>14.9832</v>
      </c>
      <c r="AI106" s="122" t="n">
        <f aca="false">AI103+AI104+AI105</f>
        <v>14.9832</v>
      </c>
      <c r="AJ106" s="122" t="n">
        <f aca="false">AJ103+AJ104+AJ105</f>
        <v>14.9832</v>
      </c>
      <c r="AK106" s="122" t="n">
        <f aca="false">AK103+AK104+AK105</f>
        <v>14.9832</v>
      </c>
      <c r="AL106" s="122" t="n">
        <f aca="false">AL103+AL104+AL105</f>
        <v>14.9832</v>
      </c>
      <c r="AM106" s="122" t="n">
        <f aca="false">AM103+AM104+AM105</f>
        <v>15.792192</v>
      </c>
      <c r="AN106" s="122" t="n">
        <f aca="false">AN103+AN104+AN105</f>
        <v>15.792192</v>
      </c>
      <c r="AO106" s="122" t="n">
        <f aca="false">AO103+AO104+AO105</f>
        <v>15.792192</v>
      </c>
      <c r="AP106" s="122" t="n">
        <f aca="false">AP103+AP104+AP105</f>
        <v>15.792192</v>
      </c>
      <c r="AQ106" s="122" t="n">
        <f aca="false">AQ103+AQ104+AQ105</f>
        <v>15.792192</v>
      </c>
      <c r="AR106" s="122" t="n">
        <f aca="false">AR103+AR104+AR105</f>
        <v>15.792192</v>
      </c>
      <c r="AS106" s="122" t="n">
        <f aca="false">AS103+AS104+AS105</f>
        <v>15.792192</v>
      </c>
      <c r="AT106" s="122" t="n">
        <f aca="false">AT103+AT104+AT105</f>
        <v>15.792192</v>
      </c>
      <c r="AU106" s="122" t="n">
        <f aca="false">AU103+AU104+AU105</f>
        <v>15.792192</v>
      </c>
      <c r="AV106" s="122" t="n">
        <f aca="false">AV103+AV104+AV105</f>
        <v>15.792192</v>
      </c>
      <c r="AW106" s="122" t="n">
        <f aca="false">AW103+AW104+AW105</f>
        <v>15.792192</v>
      </c>
      <c r="AX106" s="122" t="n">
        <f aca="false">AX103+AX104+AX105</f>
        <v>15.792192</v>
      </c>
      <c r="AY106" s="122" t="n">
        <f aca="false">AY103+AY104+AY105</f>
        <v>16.64972352</v>
      </c>
      <c r="AZ106" s="122" t="n">
        <f aca="false">AZ103+AZ104+AZ105</f>
        <v>16.64972352</v>
      </c>
      <c r="BA106" s="122" t="n">
        <f aca="false">BA103+BA104+BA105</f>
        <v>16.64972352</v>
      </c>
      <c r="BB106" s="122" t="n">
        <f aca="false">BB103+BB104+BB105</f>
        <v>16.64972352</v>
      </c>
      <c r="BC106" s="122" t="n">
        <f aca="false">BC103+BC104+BC105</f>
        <v>16.64972352</v>
      </c>
      <c r="BD106" s="122" t="n">
        <f aca="false">BD103+BD104+BD105</f>
        <v>16.64972352</v>
      </c>
      <c r="BE106" s="122" t="n">
        <f aca="false">BE103+BE104+BE105</f>
        <v>16.64972352</v>
      </c>
      <c r="BF106" s="122" t="n">
        <f aca="false">BF103+BF104+BF105</f>
        <v>16.64972352</v>
      </c>
      <c r="BG106" s="122" t="n">
        <f aca="false">BG103+BG104+BG105</f>
        <v>16.64972352</v>
      </c>
      <c r="BH106" s="122" t="n">
        <f aca="false">BH103+BH104+BH105</f>
        <v>16.64972352</v>
      </c>
      <c r="BI106" s="122" t="n">
        <f aca="false">BI103+BI104+BI105</f>
        <v>16.64972352</v>
      </c>
      <c r="BJ106" s="122" t="n">
        <f aca="false">BJ103+BJ104+BJ105</f>
        <v>16.64972352</v>
      </c>
    </row>
    <row r="108" customFormat="false" ht="15.75" hidden="false" customHeight="true" outlineLevel="0" collapsed="false">
      <c r="A108" s="7" t="s">
        <v>441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customFormat="false" ht="15" hidden="false" customHeight="false" outlineLevel="0" collapsed="false">
      <c r="A109" s="6" t="s">
        <v>442</v>
      </c>
      <c r="C109" s="67" t="n">
        <f aca="false">-C103*Inputs!$B$43/12*1*(1+Inputs!$B$54)*(1+Inputs!$B$55)^(C$7-1)</f>
        <v>-20533.3333333333</v>
      </c>
      <c r="D109" s="67" t="n">
        <f aca="false">-D103*Inputs!$B$43/12*1*(1+Inputs!$B$54)*(1+Inputs!$B$55)^(D$7-1)</f>
        <v>-20533.3333333333</v>
      </c>
      <c r="E109" s="67" t="n">
        <f aca="false">-E103*Inputs!$B$43/12*1*(1+Inputs!$B$54)*(1+Inputs!$B$55)^(E$7-1)</f>
        <v>-20533.3333333333</v>
      </c>
      <c r="F109" s="67" t="n">
        <f aca="false">-F103*Inputs!$B$43/12*1*(1+Inputs!$B$54)*(1+Inputs!$B$55)^(F$7-1)</f>
        <v>-20533.3333333333</v>
      </c>
      <c r="G109" s="67" t="n">
        <f aca="false">-G103*Inputs!$B$43/12*1*(1+Inputs!$B$54)*(1+Inputs!$B$55)^(G$7-1)</f>
        <v>-20533.3333333333</v>
      </c>
      <c r="H109" s="67" t="n">
        <f aca="false">-H103*Inputs!$B$43/12*1*(1+Inputs!$B$54)*(1+Inputs!$B$55)^(H$7-1)</f>
        <v>-20533.3333333333</v>
      </c>
      <c r="I109" s="67" t="n">
        <f aca="false">-I103*Inputs!$B$43/12*1*(1+Inputs!$B$54)*(1+Inputs!$B$55)^(I$7-1)</f>
        <v>-20533.3333333333</v>
      </c>
      <c r="J109" s="67" t="n">
        <f aca="false">-J103*Inputs!$B$43/12*1*(1+Inputs!$B$54)*(1+Inputs!$B$55)^(J$7-1)</f>
        <v>-20533.3333333333</v>
      </c>
      <c r="K109" s="67" t="n">
        <f aca="false">-K103*Inputs!$B$43/12*1*(1+Inputs!$B$54)*(1+Inputs!$B$55)^(K$7-1)</f>
        <v>-20533.3333333333</v>
      </c>
      <c r="L109" s="67" t="n">
        <f aca="false">-L103*Inputs!$B$43/12*1*(1+Inputs!$B$54)*(1+Inputs!$B$55)^(L$7-1)</f>
        <v>-20533.3333333333</v>
      </c>
      <c r="M109" s="67" t="n">
        <f aca="false">-M103*Inputs!$B$43/12*1*(1+Inputs!$B$54)*(1+Inputs!$B$55)^(M$7-1)</f>
        <v>-20533.3333333333</v>
      </c>
      <c r="N109" s="67" t="n">
        <f aca="false">-N103*Inputs!$B$43/12*1*(1+Inputs!$B$54)*(1+Inputs!$B$55)^(N$7-1)</f>
        <v>-20533.3333333333</v>
      </c>
      <c r="O109" s="67" t="n">
        <f aca="false">-O103*Inputs!$B$43/12*1*(1+Inputs!$B$54)*(1+Inputs!$B$55)^(O$7-1)</f>
        <v>-22418.2933333333</v>
      </c>
      <c r="P109" s="67" t="n">
        <f aca="false">-P103*Inputs!$B$43/12*1*(1+Inputs!$B$54)*(1+Inputs!$B$55)^(P$7-1)</f>
        <v>-22418.2933333333</v>
      </c>
      <c r="Q109" s="67" t="n">
        <f aca="false">-Q103*Inputs!$B$43/12*1*(1+Inputs!$B$54)*(1+Inputs!$B$55)^(Q$7-1)</f>
        <v>-22418.2933333333</v>
      </c>
      <c r="R109" s="67" t="n">
        <f aca="false">-R103*Inputs!$B$43/12*1*(1+Inputs!$B$54)*(1+Inputs!$B$55)^(R$7-1)</f>
        <v>-22418.2933333333</v>
      </c>
      <c r="S109" s="67" t="n">
        <f aca="false">-S103*Inputs!$B$43/12*1*(1+Inputs!$B$54)*(1+Inputs!$B$55)^(S$7-1)</f>
        <v>-22418.2933333333</v>
      </c>
      <c r="T109" s="67" t="n">
        <f aca="false">-T103*Inputs!$B$43/12*1*(1+Inputs!$B$54)*(1+Inputs!$B$55)^(T$7-1)</f>
        <v>-22418.2933333333</v>
      </c>
      <c r="U109" s="67" t="n">
        <f aca="false">-U103*Inputs!$B$43/12*1*(1+Inputs!$B$54)*(1+Inputs!$B$55)^(U$7-1)</f>
        <v>-22418.2933333333</v>
      </c>
      <c r="V109" s="67" t="n">
        <f aca="false">-V103*Inputs!$B$43/12*1*(1+Inputs!$B$54)*(1+Inputs!$B$55)^(V$7-1)</f>
        <v>-22418.2933333333</v>
      </c>
      <c r="W109" s="67" t="n">
        <f aca="false">-W103*Inputs!$B$43/12*1*(1+Inputs!$B$54)*(1+Inputs!$B$55)^(W$7-1)</f>
        <v>-22418.2933333333</v>
      </c>
      <c r="X109" s="67" t="n">
        <f aca="false">-X103*Inputs!$B$43/12*1*(1+Inputs!$B$54)*(1+Inputs!$B$55)^(X$7-1)</f>
        <v>-22418.2933333333</v>
      </c>
      <c r="Y109" s="67" t="n">
        <f aca="false">-Y103*Inputs!$B$43/12*1*(1+Inputs!$B$54)*(1+Inputs!$B$55)^(Y$7-1)</f>
        <v>-22418.2933333333</v>
      </c>
      <c r="Z109" s="67" t="n">
        <f aca="false">-Z103*Inputs!$B$43/12*1*(1+Inputs!$B$54)*(1+Inputs!$B$55)^(Z$7-1)</f>
        <v>-22418.2933333333</v>
      </c>
      <c r="AA109" s="67" t="n">
        <f aca="false">-AA103*Inputs!$B$43/12*1*(1+Inputs!$B$54)*(1+Inputs!$B$55)^(AA$7-1)</f>
        <v>-24476.2926613333</v>
      </c>
      <c r="AB109" s="67" t="n">
        <f aca="false">-AB103*Inputs!$B$43/12*1*(1+Inputs!$B$54)*(1+Inputs!$B$55)^(AB$7-1)</f>
        <v>-24476.2926613333</v>
      </c>
      <c r="AC109" s="67" t="n">
        <f aca="false">-AC103*Inputs!$B$43/12*1*(1+Inputs!$B$54)*(1+Inputs!$B$55)^(AC$7-1)</f>
        <v>-24476.2926613333</v>
      </c>
      <c r="AD109" s="67" t="n">
        <f aca="false">-AD103*Inputs!$B$43/12*1*(1+Inputs!$B$54)*(1+Inputs!$B$55)^(AD$7-1)</f>
        <v>-24476.2926613333</v>
      </c>
      <c r="AE109" s="67" t="n">
        <f aca="false">-AE103*Inputs!$B$43/12*1*(1+Inputs!$B$54)*(1+Inputs!$B$55)^(AE$7-1)</f>
        <v>-24476.2926613333</v>
      </c>
      <c r="AF109" s="67" t="n">
        <f aca="false">-AF103*Inputs!$B$43/12*1*(1+Inputs!$B$54)*(1+Inputs!$B$55)^(AF$7-1)</f>
        <v>-24476.2926613333</v>
      </c>
      <c r="AG109" s="67" t="n">
        <f aca="false">-AG103*Inputs!$B$43/12*1*(1+Inputs!$B$54)*(1+Inputs!$B$55)^(AG$7-1)</f>
        <v>-24476.2926613333</v>
      </c>
      <c r="AH109" s="67" t="n">
        <f aca="false">-AH103*Inputs!$B$43/12*1*(1+Inputs!$B$54)*(1+Inputs!$B$55)^(AH$7-1)</f>
        <v>-24476.2926613333</v>
      </c>
      <c r="AI109" s="67" t="n">
        <f aca="false">-AI103*Inputs!$B$43/12*1*(1+Inputs!$B$54)*(1+Inputs!$B$55)^(AI$7-1)</f>
        <v>-24476.2926613333</v>
      </c>
      <c r="AJ109" s="67" t="n">
        <f aca="false">-AJ103*Inputs!$B$43/12*1*(1+Inputs!$B$54)*(1+Inputs!$B$55)^(AJ$7-1)</f>
        <v>-24476.2926613333</v>
      </c>
      <c r="AK109" s="67" t="n">
        <f aca="false">-AK103*Inputs!$B$43/12*1*(1+Inputs!$B$54)*(1+Inputs!$B$55)^(AK$7-1)</f>
        <v>-24476.2926613333</v>
      </c>
      <c r="AL109" s="67" t="n">
        <f aca="false">-AL103*Inputs!$B$43/12*1*(1+Inputs!$B$54)*(1+Inputs!$B$55)^(AL$7-1)</f>
        <v>-24476.2926613333</v>
      </c>
      <c r="AM109" s="67" t="n">
        <f aca="false">-AM103*Inputs!$B$43/12*1*(1+Inputs!$B$54)*(1+Inputs!$B$55)^(AM$7-1)</f>
        <v>-26723.2163276437</v>
      </c>
      <c r="AN109" s="67" t="n">
        <f aca="false">-AN103*Inputs!$B$43/12*1*(1+Inputs!$B$54)*(1+Inputs!$B$55)^(AN$7-1)</f>
        <v>-26723.2163276437</v>
      </c>
      <c r="AO109" s="67" t="n">
        <f aca="false">-AO103*Inputs!$B$43/12*1*(1+Inputs!$B$54)*(1+Inputs!$B$55)^(AO$7-1)</f>
        <v>-26723.2163276437</v>
      </c>
      <c r="AP109" s="67" t="n">
        <f aca="false">-AP103*Inputs!$B$43/12*1*(1+Inputs!$B$54)*(1+Inputs!$B$55)^(AP$7-1)</f>
        <v>-26723.2163276437</v>
      </c>
      <c r="AQ109" s="67" t="n">
        <f aca="false">-AQ103*Inputs!$B$43/12*1*(1+Inputs!$B$54)*(1+Inputs!$B$55)^(AQ$7-1)</f>
        <v>-26723.2163276437</v>
      </c>
      <c r="AR109" s="67" t="n">
        <f aca="false">-AR103*Inputs!$B$43/12*1*(1+Inputs!$B$54)*(1+Inputs!$B$55)^(AR$7-1)</f>
        <v>-26723.2163276437</v>
      </c>
      <c r="AS109" s="67" t="n">
        <f aca="false">-AS103*Inputs!$B$43/12*1*(1+Inputs!$B$54)*(1+Inputs!$B$55)^(AS$7-1)</f>
        <v>-26723.2163276437</v>
      </c>
      <c r="AT109" s="67" t="n">
        <f aca="false">-AT103*Inputs!$B$43/12*1*(1+Inputs!$B$54)*(1+Inputs!$B$55)^(AT$7-1)</f>
        <v>-26723.2163276437</v>
      </c>
      <c r="AU109" s="67" t="n">
        <f aca="false">-AU103*Inputs!$B$43/12*1*(1+Inputs!$B$54)*(1+Inputs!$B$55)^(AU$7-1)</f>
        <v>-26723.2163276437</v>
      </c>
      <c r="AV109" s="67" t="n">
        <f aca="false">-AV103*Inputs!$B$43/12*1*(1+Inputs!$B$54)*(1+Inputs!$B$55)^(AV$7-1)</f>
        <v>-26723.2163276437</v>
      </c>
      <c r="AW109" s="67" t="n">
        <f aca="false">-AW103*Inputs!$B$43/12*1*(1+Inputs!$B$54)*(1+Inputs!$B$55)^(AW$7-1)</f>
        <v>-26723.2163276437</v>
      </c>
      <c r="AX109" s="67" t="n">
        <f aca="false">-AX103*Inputs!$B$43/12*1*(1+Inputs!$B$54)*(1+Inputs!$B$55)^(AX$7-1)</f>
        <v>-26723.2163276437</v>
      </c>
      <c r="AY109" s="67" t="n">
        <f aca="false">-AY103*Inputs!$B$43/12*1*(1+Inputs!$B$54)*(1+Inputs!$B$55)^(AY$7-1)</f>
        <v>-29176.4075865214</v>
      </c>
      <c r="AZ109" s="67" t="n">
        <f aca="false">-AZ103*Inputs!$B$43/12*1*(1+Inputs!$B$54)*(1+Inputs!$B$55)^(AZ$7-1)</f>
        <v>-29176.4075865214</v>
      </c>
      <c r="BA109" s="67" t="n">
        <f aca="false">-BA103*Inputs!$B$43/12*1*(1+Inputs!$B$54)*(1+Inputs!$B$55)^(BA$7-1)</f>
        <v>-29176.4075865214</v>
      </c>
      <c r="BB109" s="67" t="n">
        <f aca="false">-BB103*Inputs!$B$43/12*1*(1+Inputs!$B$54)*(1+Inputs!$B$55)^(BB$7-1)</f>
        <v>-29176.4075865214</v>
      </c>
      <c r="BC109" s="67" t="n">
        <f aca="false">-BC103*Inputs!$B$43/12*1*(1+Inputs!$B$54)*(1+Inputs!$B$55)^(BC$7-1)</f>
        <v>-29176.4075865214</v>
      </c>
      <c r="BD109" s="67" t="n">
        <f aca="false">-BD103*Inputs!$B$43/12*1*(1+Inputs!$B$54)*(1+Inputs!$B$55)^(BD$7-1)</f>
        <v>-29176.4075865214</v>
      </c>
      <c r="BE109" s="67" t="n">
        <f aca="false">-BE103*Inputs!$B$43/12*1*(1+Inputs!$B$54)*(1+Inputs!$B$55)^(BE$7-1)</f>
        <v>-29176.4075865214</v>
      </c>
      <c r="BF109" s="67" t="n">
        <f aca="false">-BF103*Inputs!$B$43/12*1*(1+Inputs!$B$54)*(1+Inputs!$B$55)^(BF$7-1)</f>
        <v>-29176.4075865214</v>
      </c>
      <c r="BG109" s="67" t="n">
        <f aca="false">-BG103*Inputs!$B$43/12*1*(1+Inputs!$B$54)*(1+Inputs!$B$55)^(BG$7-1)</f>
        <v>-29176.4075865214</v>
      </c>
      <c r="BH109" s="67" t="n">
        <f aca="false">-BH103*Inputs!$B$43/12*1*(1+Inputs!$B$54)*(1+Inputs!$B$55)^(BH$7-1)</f>
        <v>-29176.4075865214</v>
      </c>
      <c r="BI109" s="67" t="n">
        <f aca="false">-BI103*Inputs!$B$43/12*1*(1+Inputs!$B$54)*(1+Inputs!$B$55)^(BI$7-1)</f>
        <v>-29176.4075865214</v>
      </c>
      <c r="BJ109" s="67" t="n">
        <f aca="false">-BJ103*Inputs!$B$43/12*1*(1+Inputs!$B$54)*(1+Inputs!$B$55)^(BJ$7-1)</f>
        <v>-29176.4075865214</v>
      </c>
    </row>
    <row r="110" customFormat="false" ht="15" hidden="false" customHeight="false" outlineLevel="0" collapsed="false">
      <c r="A110" s="6" t="s">
        <v>443</v>
      </c>
      <c r="C110" s="67" t="n">
        <f aca="false">-C104*Inputs!$B$47/12*1*(1+Inputs!$B$54)*(1+Inputs!$B$55)^(C$7-1)</f>
        <v>-20253.3333333333</v>
      </c>
      <c r="D110" s="67" t="n">
        <f aca="false">-D104*Inputs!$B$47/12*1*(1+Inputs!$B$54)*(1+Inputs!$B$55)^(D$7-1)</f>
        <v>-20253.3333333333</v>
      </c>
      <c r="E110" s="67" t="n">
        <f aca="false">-E104*Inputs!$B$47/12*1*(1+Inputs!$B$54)*(1+Inputs!$B$55)^(E$7-1)</f>
        <v>-20253.3333333333</v>
      </c>
      <c r="F110" s="67" t="n">
        <f aca="false">-F104*Inputs!$B$47/12*1*(1+Inputs!$B$54)*(1+Inputs!$B$55)^(F$7-1)</f>
        <v>-20253.3333333333</v>
      </c>
      <c r="G110" s="67" t="n">
        <f aca="false">-G104*Inputs!$B$47/12*1*(1+Inputs!$B$54)*(1+Inputs!$B$55)^(G$7-1)</f>
        <v>-20253.3333333333</v>
      </c>
      <c r="H110" s="67" t="n">
        <f aca="false">-H104*Inputs!$B$47/12*1*(1+Inputs!$B$54)*(1+Inputs!$B$55)^(H$7-1)</f>
        <v>-20253.3333333333</v>
      </c>
      <c r="I110" s="67" t="n">
        <f aca="false">-I104*Inputs!$B$47/12*1*(1+Inputs!$B$54)*(1+Inputs!$B$55)^(I$7-1)</f>
        <v>-20253.3333333333</v>
      </c>
      <c r="J110" s="67" t="n">
        <f aca="false">-J104*Inputs!$B$47/12*1*(1+Inputs!$B$54)*(1+Inputs!$B$55)^(J$7-1)</f>
        <v>-20253.3333333333</v>
      </c>
      <c r="K110" s="67" t="n">
        <f aca="false">-K104*Inputs!$B$47/12*1*(1+Inputs!$B$54)*(1+Inputs!$B$55)^(K$7-1)</f>
        <v>-20253.3333333333</v>
      </c>
      <c r="L110" s="67" t="n">
        <f aca="false">-L104*Inputs!$B$47/12*1*(1+Inputs!$B$54)*(1+Inputs!$B$55)^(L$7-1)</f>
        <v>-20253.3333333333</v>
      </c>
      <c r="M110" s="67" t="n">
        <f aca="false">-M104*Inputs!$B$47/12*1*(1+Inputs!$B$54)*(1+Inputs!$B$55)^(M$7-1)</f>
        <v>-20253.3333333333</v>
      </c>
      <c r="N110" s="67" t="n">
        <f aca="false">-N104*Inputs!$B$47/12*1*(1+Inputs!$B$54)*(1+Inputs!$B$55)^(N$7-1)</f>
        <v>-20253.3333333333</v>
      </c>
      <c r="O110" s="67" t="n">
        <f aca="false">-O104*Inputs!$B$47/12*1*(1+Inputs!$B$54)*(1+Inputs!$B$55)^(O$7-1)</f>
        <v>-22112.5893333333</v>
      </c>
      <c r="P110" s="67" t="n">
        <f aca="false">-P104*Inputs!$B$47/12*1*(1+Inputs!$B$54)*(1+Inputs!$B$55)^(P$7-1)</f>
        <v>-22112.5893333333</v>
      </c>
      <c r="Q110" s="67" t="n">
        <f aca="false">-Q104*Inputs!$B$47/12*1*(1+Inputs!$B$54)*(1+Inputs!$B$55)^(Q$7-1)</f>
        <v>-22112.5893333333</v>
      </c>
      <c r="R110" s="67" t="n">
        <f aca="false">-R104*Inputs!$B$47/12*1*(1+Inputs!$B$54)*(1+Inputs!$B$55)^(R$7-1)</f>
        <v>-22112.5893333333</v>
      </c>
      <c r="S110" s="67" t="n">
        <f aca="false">-S104*Inputs!$B$47/12*1*(1+Inputs!$B$54)*(1+Inputs!$B$55)^(S$7-1)</f>
        <v>-22112.5893333333</v>
      </c>
      <c r="T110" s="67" t="n">
        <f aca="false">-T104*Inputs!$B$47/12*1*(1+Inputs!$B$54)*(1+Inputs!$B$55)^(T$7-1)</f>
        <v>-22112.5893333333</v>
      </c>
      <c r="U110" s="67" t="n">
        <f aca="false">-U104*Inputs!$B$47/12*1*(1+Inputs!$B$54)*(1+Inputs!$B$55)^(U$7-1)</f>
        <v>-22112.5893333333</v>
      </c>
      <c r="V110" s="67" t="n">
        <f aca="false">-V104*Inputs!$B$47/12*1*(1+Inputs!$B$54)*(1+Inputs!$B$55)^(V$7-1)</f>
        <v>-22112.5893333333</v>
      </c>
      <c r="W110" s="67" t="n">
        <f aca="false">-W104*Inputs!$B$47/12*1*(1+Inputs!$B$54)*(1+Inputs!$B$55)^(W$7-1)</f>
        <v>-22112.5893333333</v>
      </c>
      <c r="X110" s="67" t="n">
        <f aca="false">-X104*Inputs!$B$47/12*1*(1+Inputs!$B$54)*(1+Inputs!$B$55)^(X$7-1)</f>
        <v>-22112.5893333333</v>
      </c>
      <c r="Y110" s="67" t="n">
        <f aca="false">-Y104*Inputs!$B$47/12*1*(1+Inputs!$B$54)*(1+Inputs!$B$55)^(Y$7-1)</f>
        <v>-22112.5893333333</v>
      </c>
      <c r="Z110" s="67" t="n">
        <f aca="false">-Z104*Inputs!$B$47/12*1*(1+Inputs!$B$54)*(1+Inputs!$B$55)^(Z$7-1)</f>
        <v>-22112.5893333333</v>
      </c>
      <c r="AA110" s="67" t="n">
        <f aca="false">-AA104*Inputs!$B$47/12*1*(1+Inputs!$B$54)*(1+Inputs!$B$55)^(AA$7-1)</f>
        <v>-24142.5250341333</v>
      </c>
      <c r="AB110" s="67" t="n">
        <f aca="false">-AB104*Inputs!$B$47/12*1*(1+Inputs!$B$54)*(1+Inputs!$B$55)^(AB$7-1)</f>
        <v>-24142.5250341333</v>
      </c>
      <c r="AC110" s="67" t="n">
        <f aca="false">-AC104*Inputs!$B$47/12*1*(1+Inputs!$B$54)*(1+Inputs!$B$55)^(AC$7-1)</f>
        <v>-24142.5250341333</v>
      </c>
      <c r="AD110" s="67" t="n">
        <f aca="false">-AD104*Inputs!$B$47/12*1*(1+Inputs!$B$54)*(1+Inputs!$B$55)^(AD$7-1)</f>
        <v>-24142.5250341333</v>
      </c>
      <c r="AE110" s="67" t="n">
        <f aca="false">-AE104*Inputs!$B$47/12*1*(1+Inputs!$B$54)*(1+Inputs!$B$55)^(AE$7-1)</f>
        <v>-24142.5250341333</v>
      </c>
      <c r="AF110" s="67" t="n">
        <f aca="false">-AF104*Inputs!$B$47/12*1*(1+Inputs!$B$54)*(1+Inputs!$B$55)^(AF$7-1)</f>
        <v>-24142.5250341333</v>
      </c>
      <c r="AG110" s="67" t="n">
        <f aca="false">-AG104*Inputs!$B$47/12*1*(1+Inputs!$B$54)*(1+Inputs!$B$55)^(AG$7-1)</f>
        <v>-24142.5250341333</v>
      </c>
      <c r="AH110" s="67" t="n">
        <f aca="false">-AH104*Inputs!$B$47/12*1*(1+Inputs!$B$54)*(1+Inputs!$B$55)^(AH$7-1)</f>
        <v>-24142.5250341333</v>
      </c>
      <c r="AI110" s="67" t="n">
        <f aca="false">-AI104*Inputs!$B$47/12*1*(1+Inputs!$B$54)*(1+Inputs!$B$55)^(AI$7-1)</f>
        <v>-24142.5250341333</v>
      </c>
      <c r="AJ110" s="67" t="n">
        <f aca="false">-AJ104*Inputs!$B$47/12*1*(1+Inputs!$B$54)*(1+Inputs!$B$55)^(AJ$7-1)</f>
        <v>-24142.5250341333</v>
      </c>
      <c r="AK110" s="67" t="n">
        <f aca="false">-AK104*Inputs!$B$47/12*1*(1+Inputs!$B$54)*(1+Inputs!$B$55)^(AK$7-1)</f>
        <v>-24142.5250341333</v>
      </c>
      <c r="AL110" s="67" t="n">
        <f aca="false">-AL104*Inputs!$B$47/12*1*(1+Inputs!$B$54)*(1+Inputs!$B$55)^(AL$7-1)</f>
        <v>-24142.5250341333</v>
      </c>
      <c r="AM110" s="67" t="n">
        <f aca="false">-AM104*Inputs!$B$47/12*1*(1+Inputs!$B$54)*(1+Inputs!$B$55)^(AM$7-1)</f>
        <v>-26358.8088322668</v>
      </c>
      <c r="AN110" s="67" t="n">
        <f aca="false">-AN104*Inputs!$B$47/12*1*(1+Inputs!$B$54)*(1+Inputs!$B$55)^(AN$7-1)</f>
        <v>-26358.8088322668</v>
      </c>
      <c r="AO110" s="67" t="n">
        <f aca="false">-AO104*Inputs!$B$47/12*1*(1+Inputs!$B$54)*(1+Inputs!$B$55)^(AO$7-1)</f>
        <v>-26358.8088322668</v>
      </c>
      <c r="AP110" s="67" t="n">
        <f aca="false">-AP104*Inputs!$B$47/12*1*(1+Inputs!$B$54)*(1+Inputs!$B$55)^(AP$7-1)</f>
        <v>-26358.8088322668</v>
      </c>
      <c r="AQ110" s="67" t="n">
        <f aca="false">-AQ104*Inputs!$B$47/12*1*(1+Inputs!$B$54)*(1+Inputs!$B$55)^(AQ$7-1)</f>
        <v>-26358.8088322668</v>
      </c>
      <c r="AR110" s="67" t="n">
        <f aca="false">-AR104*Inputs!$B$47/12*1*(1+Inputs!$B$54)*(1+Inputs!$B$55)^(AR$7-1)</f>
        <v>-26358.8088322668</v>
      </c>
      <c r="AS110" s="67" t="n">
        <f aca="false">-AS104*Inputs!$B$47/12*1*(1+Inputs!$B$54)*(1+Inputs!$B$55)^(AS$7-1)</f>
        <v>-26358.8088322668</v>
      </c>
      <c r="AT110" s="67" t="n">
        <f aca="false">-AT104*Inputs!$B$47/12*1*(1+Inputs!$B$54)*(1+Inputs!$B$55)^(AT$7-1)</f>
        <v>-26358.8088322668</v>
      </c>
      <c r="AU110" s="67" t="n">
        <f aca="false">-AU104*Inputs!$B$47/12*1*(1+Inputs!$B$54)*(1+Inputs!$B$55)^(AU$7-1)</f>
        <v>-26358.8088322668</v>
      </c>
      <c r="AV110" s="67" t="n">
        <f aca="false">-AV104*Inputs!$B$47/12*1*(1+Inputs!$B$54)*(1+Inputs!$B$55)^(AV$7-1)</f>
        <v>-26358.8088322668</v>
      </c>
      <c r="AW110" s="67" t="n">
        <f aca="false">-AW104*Inputs!$B$47/12*1*(1+Inputs!$B$54)*(1+Inputs!$B$55)^(AW$7-1)</f>
        <v>-26358.8088322668</v>
      </c>
      <c r="AX110" s="67" t="n">
        <f aca="false">-AX104*Inputs!$B$47/12*1*(1+Inputs!$B$54)*(1+Inputs!$B$55)^(AX$7-1)</f>
        <v>-26358.8088322668</v>
      </c>
      <c r="AY110" s="67" t="n">
        <f aca="false">-AY104*Inputs!$B$47/12*1*(1+Inputs!$B$54)*(1+Inputs!$B$55)^(AY$7-1)</f>
        <v>-28778.5474830689</v>
      </c>
      <c r="AZ110" s="67" t="n">
        <f aca="false">-AZ104*Inputs!$B$47/12*1*(1+Inputs!$B$54)*(1+Inputs!$B$55)^(AZ$7-1)</f>
        <v>-28778.5474830689</v>
      </c>
      <c r="BA110" s="67" t="n">
        <f aca="false">-BA104*Inputs!$B$47/12*1*(1+Inputs!$B$54)*(1+Inputs!$B$55)^(BA$7-1)</f>
        <v>-28778.5474830689</v>
      </c>
      <c r="BB110" s="67" t="n">
        <f aca="false">-BB104*Inputs!$B$47/12*1*(1+Inputs!$B$54)*(1+Inputs!$B$55)^(BB$7-1)</f>
        <v>-28778.5474830689</v>
      </c>
      <c r="BC110" s="67" t="n">
        <f aca="false">-BC104*Inputs!$B$47/12*1*(1+Inputs!$B$54)*(1+Inputs!$B$55)^(BC$7-1)</f>
        <v>-28778.5474830689</v>
      </c>
      <c r="BD110" s="67" t="n">
        <f aca="false">-BD104*Inputs!$B$47/12*1*(1+Inputs!$B$54)*(1+Inputs!$B$55)^(BD$7-1)</f>
        <v>-28778.5474830689</v>
      </c>
      <c r="BE110" s="67" t="n">
        <f aca="false">-BE104*Inputs!$B$47/12*1*(1+Inputs!$B$54)*(1+Inputs!$B$55)^(BE$7-1)</f>
        <v>-28778.5474830689</v>
      </c>
      <c r="BF110" s="67" t="n">
        <f aca="false">-BF104*Inputs!$B$47/12*1*(1+Inputs!$B$54)*(1+Inputs!$B$55)^(BF$7-1)</f>
        <v>-28778.5474830689</v>
      </c>
      <c r="BG110" s="67" t="n">
        <f aca="false">-BG104*Inputs!$B$47/12*1*(1+Inputs!$B$54)*(1+Inputs!$B$55)^(BG$7-1)</f>
        <v>-28778.5474830689</v>
      </c>
      <c r="BH110" s="67" t="n">
        <f aca="false">-BH104*Inputs!$B$47/12*1*(1+Inputs!$B$54)*(1+Inputs!$B$55)^(BH$7-1)</f>
        <v>-28778.5474830689</v>
      </c>
      <c r="BI110" s="67" t="n">
        <f aca="false">-BI104*Inputs!$B$47/12*1*(1+Inputs!$B$54)*(1+Inputs!$B$55)^(BI$7-1)</f>
        <v>-28778.5474830689</v>
      </c>
      <c r="BJ110" s="67" t="n">
        <f aca="false">-BJ104*Inputs!$B$47/12*1*(1+Inputs!$B$54)*(1+Inputs!$B$55)^(BJ$7-1)</f>
        <v>-28778.5474830689</v>
      </c>
    </row>
    <row r="111" customFormat="false" ht="15" hidden="false" customHeight="false" outlineLevel="0" collapsed="false">
      <c r="A111" s="6" t="s">
        <v>444</v>
      </c>
      <c r="C111" s="67" t="n">
        <f aca="false">-C105*Inputs!$B$51/12*1*(1+Inputs!$B$54)*(1+Inputs!$B$55)^(C$7-1)</f>
        <v>-8680</v>
      </c>
      <c r="D111" s="67" t="n">
        <f aca="false">-D105*Inputs!$B$51/12*1*(1+Inputs!$B$54)*(1+Inputs!$B$55)^(D$7-1)</f>
        <v>-8680</v>
      </c>
      <c r="E111" s="67" t="n">
        <f aca="false">-E105*Inputs!$B$51/12*1*(1+Inputs!$B$54)*(1+Inputs!$B$55)^(E$7-1)</f>
        <v>-8680</v>
      </c>
      <c r="F111" s="67" t="n">
        <f aca="false">-F105*Inputs!$B$51/12*1*(1+Inputs!$B$54)*(1+Inputs!$B$55)^(F$7-1)</f>
        <v>-8680</v>
      </c>
      <c r="G111" s="67" t="n">
        <f aca="false">-G105*Inputs!$B$51/12*1*(1+Inputs!$B$54)*(1+Inputs!$B$55)^(G$7-1)</f>
        <v>-8680</v>
      </c>
      <c r="H111" s="67" t="n">
        <f aca="false">-H105*Inputs!$B$51/12*1*(1+Inputs!$B$54)*(1+Inputs!$B$55)^(H$7-1)</f>
        <v>-8680</v>
      </c>
      <c r="I111" s="67" t="n">
        <f aca="false">-I105*Inputs!$B$51/12*1*(1+Inputs!$B$54)*(1+Inputs!$B$55)^(I$7-1)</f>
        <v>-8680</v>
      </c>
      <c r="J111" s="67" t="n">
        <f aca="false">-J105*Inputs!$B$51/12*1*(1+Inputs!$B$54)*(1+Inputs!$B$55)^(J$7-1)</f>
        <v>-8680</v>
      </c>
      <c r="K111" s="67" t="n">
        <f aca="false">-K105*Inputs!$B$51/12*1*(1+Inputs!$B$54)*(1+Inputs!$B$55)^(K$7-1)</f>
        <v>-8680</v>
      </c>
      <c r="L111" s="67" t="n">
        <f aca="false">-L105*Inputs!$B$51/12*1*(1+Inputs!$B$54)*(1+Inputs!$B$55)^(L$7-1)</f>
        <v>-8680</v>
      </c>
      <c r="M111" s="67" t="n">
        <f aca="false">-M105*Inputs!$B$51/12*1*(1+Inputs!$B$54)*(1+Inputs!$B$55)^(M$7-1)</f>
        <v>-8680</v>
      </c>
      <c r="N111" s="67" t="n">
        <f aca="false">-N105*Inputs!$B$51/12*1*(1+Inputs!$B$54)*(1+Inputs!$B$55)^(N$7-1)</f>
        <v>-8680</v>
      </c>
      <c r="O111" s="67" t="n">
        <f aca="false">-O105*Inputs!$B$51/12*1*(1+Inputs!$B$54)*(1+Inputs!$B$55)^(O$7-1)</f>
        <v>-8940.4</v>
      </c>
      <c r="P111" s="67" t="n">
        <f aca="false">-P105*Inputs!$B$51/12*1*(1+Inputs!$B$54)*(1+Inputs!$B$55)^(P$7-1)</f>
        <v>-8940.4</v>
      </c>
      <c r="Q111" s="67" t="n">
        <f aca="false">-Q105*Inputs!$B$51/12*1*(1+Inputs!$B$54)*(1+Inputs!$B$55)^(Q$7-1)</f>
        <v>-8940.4</v>
      </c>
      <c r="R111" s="67" t="n">
        <f aca="false">-R105*Inputs!$B$51/12*1*(1+Inputs!$B$54)*(1+Inputs!$B$55)^(R$7-1)</f>
        <v>-8940.4</v>
      </c>
      <c r="S111" s="67" t="n">
        <f aca="false">-S105*Inputs!$B$51/12*1*(1+Inputs!$B$54)*(1+Inputs!$B$55)^(S$7-1)</f>
        <v>-8940.4</v>
      </c>
      <c r="T111" s="67" t="n">
        <f aca="false">-T105*Inputs!$B$51/12*1*(1+Inputs!$B$54)*(1+Inputs!$B$55)^(T$7-1)</f>
        <v>-8940.4</v>
      </c>
      <c r="U111" s="67" t="n">
        <f aca="false">-U105*Inputs!$B$51/12*1*(1+Inputs!$B$54)*(1+Inputs!$B$55)^(U$7-1)</f>
        <v>-8940.4</v>
      </c>
      <c r="V111" s="67" t="n">
        <f aca="false">-V105*Inputs!$B$51/12*1*(1+Inputs!$B$54)*(1+Inputs!$B$55)^(V$7-1)</f>
        <v>-8940.4</v>
      </c>
      <c r="W111" s="67" t="n">
        <f aca="false">-W105*Inputs!$B$51/12*1*(1+Inputs!$B$54)*(1+Inputs!$B$55)^(W$7-1)</f>
        <v>-8940.4</v>
      </c>
      <c r="X111" s="67" t="n">
        <f aca="false">-X105*Inputs!$B$51/12*1*(1+Inputs!$B$54)*(1+Inputs!$B$55)^(X$7-1)</f>
        <v>-8940.4</v>
      </c>
      <c r="Y111" s="67" t="n">
        <f aca="false">-Y105*Inputs!$B$51/12*1*(1+Inputs!$B$54)*(1+Inputs!$B$55)^(Y$7-1)</f>
        <v>-8940.4</v>
      </c>
      <c r="Z111" s="67" t="n">
        <f aca="false">-Z105*Inputs!$B$51/12*1*(1+Inputs!$B$54)*(1+Inputs!$B$55)^(Z$7-1)</f>
        <v>-8940.4</v>
      </c>
      <c r="AA111" s="67" t="n">
        <f aca="false">-AA105*Inputs!$B$51/12*1*(1+Inputs!$B$54)*(1+Inputs!$B$55)^(AA$7-1)</f>
        <v>-9208.612</v>
      </c>
      <c r="AB111" s="67" t="n">
        <f aca="false">-AB105*Inputs!$B$51/12*1*(1+Inputs!$B$54)*(1+Inputs!$B$55)^(AB$7-1)</f>
        <v>-9208.612</v>
      </c>
      <c r="AC111" s="67" t="n">
        <f aca="false">-AC105*Inputs!$B$51/12*1*(1+Inputs!$B$54)*(1+Inputs!$B$55)^(AC$7-1)</f>
        <v>-9208.612</v>
      </c>
      <c r="AD111" s="67" t="n">
        <f aca="false">-AD105*Inputs!$B$51/12*1*(1+Inputs!$B$54)*(1+Inputs!$B$55)^(AD$7-1)</f>
        <v>-9208.612</v>
      </c>
      <c r="AE111" s="67" t="n">
        <f aca="false">-AE105*Inputs!$B$51/12*1*(1+Inputs!$B$54)*(1+Inputs!$B$55)^(AE$7-1)</f>
        <v>-9208.612</v>
      </c>
      <c r="AF111" s="67" t="n">
        <f aca="false">-AF105*Inputs!$B$51/12*1*(1+Inputs!$B$54)*(1+Inputs!$B$55)^(AF$7-1)</f>
        <v>-9208.612</v>
      </c>
      <c r="AG111" s="67" t="n">
        <f aca="false">-AG105*Inputs!$B$51/12*1*(1+Inputs!$B$54)*(1+Inputs!$B$55)^(AG$7-1)</f>
        <v>-9208.612</v>
      </c>
      <c r="AH111" s="67" t="n">
        <f aca="false">-AH105*Inputs!$B$51/12*1*(1+Inputs!$B$54)*(1+Inputs!$B$55)^(AH$7-1)</f>
        <v>-9208.612</v>
      </c>
      <c r="AI111" s="67" t="n">
        <f aca="false">-AI105*Inputs!$B$51/12*1*(1+Inputs!$B$54)*(1+Inputs!$B$55)^(AI$7-1)</f>
        <v>-9208.612</v>
      </c>
      <c r="AJ111" s="67" t="n">
        <f aca="false">-AJ105*Inputs!$B$51/12*1*(1+Inputs!$B$54)*(1+Inputs!$B$55)^(AJ$7-1)</f>
        <v>-9208.612</v>
      </c>
      <c r="AK111" s="67" t="n">
        <f aca="false">-AK105*Inputs!$B$51/12*1*(1+Inputs!$B$54)*(1+Inputs!$B$55)^(AK$7-1)</f>
        <v>-9208.612</v>
      </c>
      <c r="AL111" s="67" t="n">
        <f aca="false">-AL105*Inputs!$B$51/12*1*(1+Inputs!$B$54)*(1+Inputs!$B$55)^(AL$7-1)</f>
        <v>-9208.612</v>
      </c>
      <c r="AM111" s="67" t="n">
        <f aca="false">-AM105*Inputs!$B$51/12*1*(1+Inputs!$B$54)*(1+Inputs!$B$55)^(AM$7-1)</f>
        <v>-9484.87036</v>
      </c>
      <c r="AN111" s="67" t="n">
        <f aca="false">-AN105*Inputs!$B$51/12*1*(1+Inputs!$B$54)*(1+Inputs!$B$55)^(AN$7-1)</f>
        <v>-9484.87036</v>
      </c>
      <c r="AO111" s="67" t="n">
        <f aca="false">-AO105*Inputs!$B$51/12*1*(1+Inputs!$B$54)*(1+Inputs!$B$55)^(AO$7-1)</f>
        <v>-9484.87036</v>
      </c>
      <c r="AP111" s="67" t="n">
        <f aca="false">-AP105*Inputs!$B$51/12*1*(1+Inputs!$B$54)*(1+Inputs!$B$55)^(AP$7-1)</f>
        <v>-9484.87036</v>
      </c>
      <c r="AQ111" s="67" t="n">
        <f aca="false">-AQ105*Inputs!$B$51/12*1*(1+Inputs!$B$54)*(1+Inputs!$B$55)^(AQ$7-1)</f>
        <v>-9484.87036</v>
      </c>
      <c r="AR111" s="67" t="n">
        <f aca="false">-AR105*Inputs!$B$51/12*1*(1+Inputs!$B$54)*(1+Inputs!$B$55)^(AR$7-1)</f>
        <v>-9484.87036</v>
      </c>
      <c r="AS111" s="67" t="n">
        <f aca="false">-AS105*Inputs!$B$51/12*1*(1+Inputs!$B$54)*(1+Inputs!$B$55)^(AS$7-1)</f>
        <v>-9484.87036</v>
      </c>
      <c r="AT111" s="67" t="n">
        <f aca="false">-AT105*Inputs!$B$51/12*1*(1+Inputs!$B$54)*(1+Inputs!$B$55)^(AT$7-1)</f>
        <v>-9484.87036</v>
      </c>
      <c r="AU111" s="67" t="n">
        <f aca="false">-AU105*Inputs!$B$51/12*1*(1+Inputs!$B$54)*(1+Inputs!$B$55)^(AU$7-1)</f>
        <v>-9484.87036</v>
      </c>
      <c r="AV111" s="67" t="n">
        <f aca="false">-AV105*Inputs!$B$51/12*1*(1+Inputs!$B$54)*(1+Inputs!$B$55)^(AV$7-1)</f>
        <v>-9484.87036</v>
      </c>
      <c r="AW111" s="67" t="n">
        <f aca="false">-AW105*Inputs!$B$51/12*1*(1+Inputs!$B$54)*(1+Inputs!$B$55)^(AW$7-1)</f>
        <v>-9484.87036</v>
      </c>
      <c r="AX111" s="67" t="n">
        <f aca="false">-AX105*Inputs!$B$51/12*1*(1+Inputs!$B$54)*(1+Inputs!$B$55)^(AX$7-1)</f>
        <v>-9484.87036</v>
      </c>
      <c r="AY111" s="67" t="n">
        <f aca="false">-AY105*Inputs!$B$51/12*1*(1+Inputs!$B$54)*(1+Inputs!$B$55)^(AY$7-1)</f>
        <v>-9769.4164708</v>
      </c>
      <c r="AZ111" s="67" t="n">
        <f aca="false">-AZ105*Inputs!$B$51/12*1*(1+Inputs!$B$54)*(1+Inputs!$B$55)^(AZ$7-1)</f>
        <v>-9769.4164708</v>
      </c>
      <c r="BA111" s="67" t="n">
        <f aca="false">-BA105*Inputs!$B$51/12*1*(1+Inputs!$B$54)*(1+Inputs!$B$55)^(BA$7-1)</f>
        <v>-9769.4164708</v>
      </c>
      <c r="BB111" s="67" t="n">
        <f aca="false">-BB105*Inputs!$B$51/12*1*(1+Inputs!$B$54)*(1+Inputs!$B$55)^(BB$7-1)</f>
        <v>-9769.4164708</v>
      </c>
      <c r="BC111" s="67" t="n">
        <f aca="false">-BC105*Inputs!$B$51/12*1*(1+Inputs!$B$54)*(1+Inputs!$B$55)^(BC$7-1)</f>
        <v>-9769.4164708</v>
      </c>
      <c r="BD111" s="67" t="n">
        <f aca="false">-BD105*Inputs!$B$51/12*1*(1+Inputs!$B$54)*(1+Inputs!$B$55)^(BD$7-1)</f>
        <v>-9769.4164708</v>
      </c>
      <c r="BE111" s="67" t="n">
        <f aca="false">-BE105*Inputs!$B$51/12*1*(1+Inputs!$B$54)*(1+Inputs!$B$55)^(BE$7-1)</f>
        <v>-9769.4164708</v>
      </c>
      <c r="BF111" s="67" t="n">
        <f aca="false">-BF105*Inputs!$B$51/12*1*(1+Inputs!$B$54)*(1+Inputs!$B$55)^(BF$7-1)</f>
        <v>-9769.4164708</v>
      </c>
      <c r="BG111" s="67" t="n">
        <f aca="false">-BG105*Inputs!$B$51/12*1*(1+Inputs!$B$54)*(1+Inputs!$B$55)^(BG$7-1)</f>
        <v>-9769.4164708</v>
      </c>
      <c r="BH111" s="67" t="n">
        <f aca="false">-BH105*Inputs!$B$51/12*1*(1+Inputs!$B$54)*(1+Inputs!$B$55)^(BH$7-1)</f>
        <v>-9769.4164708</v>
      </c>
      <c r="BI111" s="67" t="n">
        <f aca="false">-BI105*Inputs!$B$51/12*1*(1+Inputs!$B$54)*(1+Inputs!$B$55)^(BI$7-1)</f>
        <v>-9769.4164708</v>
      </c>
      <c r="BJ111" s="67" t="n">
        <f aca="false">-BJ105*Inputs!$B$51/12*1*(1+Inputs!$B$54)*(1+Inputs!$B$55)^(BJ$7-1)</f>
        <v>-9769.4164708</v>
      </c>
    </row>
    <row r="112" customFormat="false" ht="15" hidden="false" customHeight="false" outlineLevel="0" collapsed="false">
      <c r="A112" s="115" t="s">
        <v>445</v>
      </c>
      <c r="C112" s="68" t="n">
        <f aca="false">C109+C110+C111</f>
        <v>-49466.6666666667</v>
      </c>
      <c r="D112" s="68" t="n">
        <f aca="false">D109+D110+D111</f>
        <v>-49466.6666666667</v>
      </c>
      <c r="E112" s="68" t="n">
        <f aca="false">E109+E110+E111</f>
        <v>-49466.6666666667</v>
      </c>
      <c r="F112" s="68" t="n">
        <f aca="false">F109+F110+F111</f>
        <v>-49466.6666666667</v>
      </c>
      <c r="G112" s="68" t="n">
        <f aca="false">G109+G110+G111</f>
        <v>-49466.6666666667</v>
      </c>
      <c r="H112" s="68" t="n">
        <f aca="false">H109+H110+H111</f>
        <v>-49466.6666666667</v>
      </c>
      <c r="I112" s="68" t="n">
        <f aca="false">I109+I110+I111</f>
        <v>-49466.6666666667</v>
      </c>
      <c r="J112" s="68" t="n">
        <f aca="false">J109+J110+J111</f>
        <v>-49466.6666666667</v>
      </c>
      <c r="K112" s="68" t="n">
        <f aca="false">K109+K110+K111</f>
        <v>-49466.6666666667</v>
      </c>
      <c r="L112" s="68" t="n">
        <f aca="false">L109+L110+L111</f>
        <v>-49466.6666666667</v>
      </c>
      <c r="M112" s="68" t="n">
        <f aca="false">M109+M110+M111</f>
        <v>-49466.6666666667</v>
      </c>
      <c r="N112" s="68" t="n">
        <f aca="false">N109+N110+N111</f>
        <v>-49466.6666666667</v>
      </c>
      <c r="O112" s="68" t="n">
        <f aca="false">O109+O110+O111</f>
        <v>-53471.2826666667</v>
      </c>
      <c r="P112" s="68" t="n">
        <f aca="false">P109+P110+P111</f>
        <v>-53471.2826666667</v>
      </c>
      <c r="Q112" s="68" t="n">
        <f aca="false">Q109+Q110+Q111</f>
        <v>-53471.2826666667</v>
      </c>
      <c r="R112" s="68" t="n">
        <f aca="false">R109+R110+R111</f>
        <v>-53471.2826666667</v>
      </c>
      <c r="S112" s="68" t="n">
        <f aca="false">S109+S110+S111</f>
        <v>-53471.2826666667</v>
      </c>
      <c r="T112" s="68" t="n">
        <f aca="false">T109+T110+T111</f>
        <v>-53471.2826666667</v>
      </c>
      <c r="U112" s="68" t="n">
        <f aca="false">U109+U110+U111</f>
        <v>-53471.2826666667</v>
      </c>
      <c r="V112" s="68" t="n">
        <f aca="false">V109+V110+V111</f>
        <v>-53471.2826666667</v>
      </c>
      <c r="W112" s="68" t="n">
        <f aca="false">W109+W110+W111</f>
        <v>-53471.2826666667</v>
      </c>
      <c r="X112" s="68" t="n">
        <f aca="false">X109+X110+X111</f>
        <v>-53471.2826666667</v>
      </c>
      <c r="Y112" s="68" t="n">
        <f aca="false">Y109+Y110+Y111</f>
        <v>-53471.2826666667</v>
      </c>
      <c r="Z112" s="68" t="n">
        <f aca="false">Z109+Z110+Z111</f>
        <v>-53471.2826666667</v>
      </c>
      <c r="AA112" s="68" t="n">
        <f aca="false">AA109+AA110+AA111</f>
        <v>-57827.4296954667</v>
      </c>
      <c r="AB112" s="68" t="n">
        <f aca="false">AB109+AB110+AB111</f>
        <v>-57827.4296954667</v>
      </c>
      <c r="AC112" s="68" t="n">
        <f aca="false">AC109+AC110+AC111</f>
        <v>-57827.4296954667</v>
      </c>
      <c r="AD112" s="68" t="n">
        <f aca="false">AD109+AD110+AD111</f>
        <v>-57827.4296954667</v>
      </c>
      <c r="AE112" s="68" t="n">
        <f aca="false">AE109+AE110+AE111</f>
        <v>-57827.4296954667</v>
      </c>
      <c r="AF112" s="68" t="n">
        <f aca="false">AF109+AF110+AF111</f>
        <v>-57827.4296954667</v>
      </c>
      <c r="AG112" s="68" t="n">
        <f aca="false">AG109+AG110+AG111</f>
        <v>-57827.4296954667</v>
      </c>
      <c r="AH112" s="68" t="n">
        <f aca="false">AH109+AH110+AH111</f>
        <v>-57827.4296954667</v>
      </c>
      <c r="AI112" s="68" t="n">
        <f aca="false">AI109+AI110+AI111</f>
        <v>-57827.4296954667</v>
      </c>
      <c r="AJ112" s="68" t="n">
        <f aca="false">AJ109+AJ110+AJ111</f>
        <v>-57827.4296954667</v>
      </c>
      <c r="AK112" s="68" t="n">
        <f aca="false">AK109+AK110+AK111</f>
        <v>-57827.4296954667</v>
      </c>
      <c r="AL112" s="68" t="n">
        <f aca="false">AL109+AL110+AL111</f>
        <v>-57827.4296954667</v>
      </c>
      <c r="AM112" s="68" t="n">
        <f aca="false">AM109+AM110+AM111</f>
        <v>-62566.8955199105</v>
      </c>
      <c r="AN112" s="68" t="n">
        <f aca="false">AN109+AN110+AN111</f>
        <v>-62566.8955199105</v>
      </c>
      <c r="AO112" s="68" t="n">
        <f aca="false">AO109+AO110+AO111</f>
        <v>-62566.8955199105</v>
      </c>
      <c r="AP112" s="68" t="n">
        <f aca="false">AP109+AP110+AP111</f>
        <v>-62566.8955199105</v>
      </c>
      <c r="AQ112" s="68" t="n">
        <f aca="false">AQ109+AQ110+AQ111</f>
        <v>-62566.8955199105</v>
      </c>
      <c r="AR112" s="68" t="n">
        <f aca="false">AR109+AR110+AR111</f>
        <v>-62566.8955199105</v>
      </c>
      <c r="AS112" s="68" t="n">
        <f aca="false">AS109+AS110+AS111</f>
        <v>-62566.8955199105</v>
      </c>
      <c r="AT112" s="68" t="n">
        <f aca="false">AT109+AT110+AT111</f>
        <v>-62566.8955199105</v>
      </c>
      <c r="AU112" s="68" t="n">
        <f aca="false">AU109+AU110+AU111</f>
        <v>-62566.8955199105</v>
      </c>
      <c r="AV112" s="68" t="n">
        <f aca="false">AV109+AV110+AV111</f>
        <v>-62566.8955199105</v>
      </c>
      <c r="AW112" s="68" t="n">
        <f aca="false">AW109+AW110+AW111</f>
        <v>-62566.8955199105</v>
      </c>
      <c r="AX112" s="68" t="n">
        <f aca="false">AX109+AX110+AX111</f>
        <v>-62566.8955199105</v>
      </c>
      <c r="AY112" s="68" t="n">
        <f aca="false">AY109+AY110+AY111</f>
        <v>-67724.3715403903</v>
      </c>
      <c r="AZ112" s="68" t="n">
        <f aca="false">AZ109+AZ110+AZ111</f>
        <v>-67724.3715403903</v>
      </c>
      <c r="BA112" s="68" t="n">
        <f aca="false">BA109+BA110+BA111</f>
        <v>-67724.3715403903</v>
      </c>
      <c r="BB112" s="68" t="n">
        <f aca="false">BB109+BB110+BB111</f>
        <v>-67724.3715403903</v>
      </c>
      <c r="BC112" s="68" t="n">
        <f aca="false">BC109+BC110+BC111</f>
        <v>-67724.3715403903</v>
      </c>
      <c r="BD112" s="68" t="n">
        <f aca="false">BD109+BD110+BD111</f>
        <v>-67724.3715403903</v>
      </c>
      <c r="BE112" s="68" t="n">
        <f aca="false">BE109+BE110+BE111</f>
        <v>-67724.3715403903</v>
      </c>
      <c r="BF112" s="68" t="n">
        <f aca="false">BF109+BF110+BF111</f>
        <v>-67724.3715403903</v>
      </c>
      <c r="BG112" s="68" t="n">
        <f aca="false">BG109+BG110+BG111</f>
        <v>-67724.3715403903</v>
      </c>
      <c r="BH112" s="68" t="n">
        <f aca="false">BH109+BH110+BH111</f>
        <v>-67724.3715403903</v>
      </c>
      <c r="BI112" s="68" t="n">
        <f aca="false">BI109+BI110+BI111</f>
        <v>-67724.3715403903</v>
      </c>
      <c r="BJ112" s="68" t="n">
        <f aca="false">BJ109+BJ110+BJ111</f>
        <v>-67724.3715403903</v>
      </c>
    </row>
    <row r="115" customFormat="false" ht="15.75" hidden="false" customHeight="true" outlineLevel="0" collapsed="false">
      <c r="A115" s="7" t="s">
        <v>449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customFormat="false" ht="15" hidden="false" customHeight="false" outlineLevel="0" collapsed="false">
      <c r="A116" s="33" t="s">
        <v>339</v>
      </c>
      <c r="C116" s="50" t="s">
        <v>340</v>
      </c>
      <c r="D116" s="50" t="s">
        <v>341</v>
      </c>
      <c r="E116" s="50" t="s">
        <v>342</v>
      </c>
      <c r="F116" s="50" t="s">
        <v>343</v>
      </c>
      <c r="G116" s="50" t="s">
        <v>344</v>
      </c>
      <c r="H116" s="50" t="s">
        <v>345</v>
      </c>
      <c r="I116" s="50" t="s">
        <v>346</v>
      </c>
      <c r="J116" s="50" t="s">
        <v>347</v>
      </c>
      <c r="K116" s="50" t="s">
        <v>348</v>
      </c>
      <c r="L116" s="50" t="s">
        <v>349</v>
      </c>
      <c r="M116" s="50" t="s">
        <v>350</v>
      </c>
      <c r="N116" s="50" t="s">
        <v>351</v>
      </c>
      <c r="O116" s="50" t="s">
        <v>352</v>
      </c>
      <c r="P116" s="50" t="s">
        <v>353</v>
      </c>
      <c r="Q116" s="50" t="s">
        <v>354</v>
      </c>
      <c r="R116" s="50" t="s">
        <v>355</v>
      </c>
      <c r="S116" s="50" t="s">
        <v>356</v>
      </c>
      <c r="T116" s="50" t="s">
        <v>357</v>
      </c>
      <c r="U116" s="50" t="s">
        <v>358</v>
      </c>
      <c r="V116" s="50" t="s">
        <v>359</v>
      </c>
      <c r="W116" s="50" t="s">
        <v>360</v>
      </c>
      <c r="X116" s="50" t="s">
        <v>361</v>
      </c>
      <c r="Y116" s="50" t="s">
        <v>362</v>
      </c>
      <c r="Z116" s="50" t="s">
        <v>363</v>
      </c>
      <c r="AA116" s="50" t="s">
        <v>364</v>
      </c>
      <c r="AB116" s="50" t="s">
        <v>365</v>
      </c>
      <c r="AC116" s="50" t="s">
        <v>366</v>
      </c>
      <c r="AD116" s="50" t="s">
        <v>367</v>
      </c>
      <c r="AE116" s="50" t="s">
        <v>368</v>
      </c>
      <c r="AF116" s="50" t="s">
        <v>369</v>
      </c>
      <c r="AG116" s="50" t="s">
        <v>370</v>
      </c>
      <c r="AH116" s="50" t="s">
        <v>371</v>
      </c>
      <c r="AI116" s="50" t="s">
        <v>372</v>
      </c>
      <c r="AJ116" s="50" t="s">
        <v>373</v>
      </c>
      <c r="AK116" s="50" t="s">
        <v>374</v>
      </c>
      <c r="AL116" s="50" t="s">
        <v>375</v>
      </c>
      <c r="AM116" s="50" t="s">
        <v>376</v>
      </c>
      <c r="AN116" s="50" t="s">
        <v>377</v>
      </c>
      <c r="AO116" s="50" t="s">
        <v>378</v>
      </c>
      <c r="AP116" s="50" t="s">
        <v>379</v>
      </c>
      <c r="AQ116" s="50" t="s">
        <v>380</v>
      </c>
      <c r="AR116" s="50" t="s">
        <v>381</v>
      </c>
      <c r="AS116" s="50" t="s">
        <v>382</v>
      </c>
      <c r="AT116" s="50" t="s">
        <v>383</v>
      </c>
      <c r="AU116" s="50" t="s">
        <v>384</v>
      </c>
      <c r="AV116" s="50" t="s">
        <v>385</v>
      </c>
      <c r="AW116" s="50" t="s">
        <v>386</v>
      </c>
      <c r="AX116" s="50" t="s">
        <v>387</v>
      </c>
      <c r="AY116" s="50" t="s">
        <v>388</v>
      </c>
      <c r="AZ116" s="50" t="s">
        <v>389</v>
      </c>
      <c r="BA116" s="50" t="s">
        <v>390</v>
      </c>
      <c r="BB116" s="50" t="s">
        <v>391</v>
      </c>
      <c r="BC116" s="50" t="s">
        <v>392</v>
      </c>
      <c r="BD116" s="50" t="s">
        <v>393</v>
      </c>
      <c r="BE116" s="50" t="s">
        <v>394</v>
      </c>
      <c r="BF116" s="50" t="s">
        <v>395</v>
      </c>
      <c r="BG116" s="50" t="s">
        <v>396</v>
      </c>
      <c r="BH116" s="50" t="s">
        <v>397</v>
      </c>
      <c r="BI116" s="50" t="s">
        <v>398</v>
      </c>
      <c r="BJ116" s="50" t="s">
        <v>399</v>
      </c>
    </row>
    <row r="117" customFormat="false" ht="15" hidden="false" customHeight="false" outlineLevel="0" collapsed="false">
      <c r="A117" s="72" t="s">
        <v>400</v>
      </c>
      <c r="C117" s="72" t="n">
        <v>1</v>
      </c>
      <c r="D117" s="72" t="n">
        <v>2</v>
      </c>
      <c r="E117" s="72" t="n">
        <v>3</v>
      </c>
      <c r="F117" s="72" t="n">
        <v>4</v>
      </c>
      <c r="G117" s="72" t="n">
        <v>5</v>
      </c>
      <c r="H117" s="72" t="n">
        <v>6</v>
      </c>
      <c r="I117" s="72" t="n">
        <v>7</v>
      </c>
      <c r="J117" s="72" t="n">
        <v>8</v>
      </c>
      <c r="K117" s="72" t="n">
        <v>9</v>
      </c>
      <c r="L117" s="72" t="n">
        <v>10</v>
      </c>
      <c r="M117" s="72" t="n">
        <v>11</v>
      </c>
      <c r="N117" s="72" t="n">
        <v>12</v>
      </c>
      <c r="O117" s="72" t="n">
        <v>13</v>
      </c>
      <c r="P117" s="72" t="n">
        <v>14</v>
      </c>
      <c r="Q117" s="72" t="n">
        <v>15</v>
      </c>
      <c r="R117" s="72" t="n">
        <v>16</v>
      </c>
      <c r="S117" s="72" t="n">
        <v>17</v>
      </c>
      <c r="T117" s="72" t="n">
        <v>18</v>
      </c>
      <c r="U117" s="72" t="n">
        <v>19</v>
      </c>
      <c r="V117" s="72" t="n">
        <v>20</v>
      </c>
      <c r="W117" s="72" t="n">
        <v>21</v>
      </c>
      <c r="X117" s="72" t="n">
        <v>22</v>
      </c>
      <c r="Y117" s="72" t="n">
        <v>23</v>
      </c>
      <c r="Z117" s="72" t="n">
        <v>24</v>
      </c>
      <c r="AA117" s="72" t="n">
        <v>25</v>
      </c>
      <c r="AB117" s="72" t="n">
        <v>26</v>
      </c>
      <c r="AC117" s="72" t="n">
        <v>27</v>
      </c>
      <c r="AD117" s="72" t="n">
        <v>28</v>
      </c>
      <c r="AE117" s="72" t="n">
        <v>29</v>
      </c>
      <c r="AF117" s="72" t="n">
        <v>30</v>
      </c>
      <c r="AG117" s="72" t="n">
        <v>31</v>
      </c>
      <c r="AH117" s="72" t="n">
        <v>32</v>
      </c>
      <c r="AI117" s="72" t="n">
        <v>33</v>
      </c>
      <c r="AJ117" s="72" t="n">
        <v>34</v>
      </c>
      <c r="AK117" s="72" t="n">
        <v>35</v>
      </c>
      <c r="AL117" s="72" t="n">
        <v>36</v>
      </c>
      <c r="AM117" s="72" t="n">
        <v>37</v>
      </c>
      <c r="AN117" s="72" t="n">
        <v>38</v>
      </c>
      <c r="AO117" s="72" t="n">
        <v>39</v>
      </c>
      <c r="AP117" s="72" t="n">
        <v>40</v>
      </c>
      <c r="AQ117" s="72" t="n">
        <v>41</v>
      </c>
      <c r="AR117" s="72" t="n">
        <v>42</v>
      </c>
      <c r="AS117" s="72" t="n">
        <v>43</v>
      </c>
      <c r="AT117" s="72" t="n">
        <v>44</v>
      </c>
      <c r="AU117" s="72" t="n">
        <v>45</v>
      </c>
      <c r="AV117" s="72" t="n">
        <v>46</v>
      </c>
      <c r="AW117" s="72" t="n">
        <v>47</v>
      </c>
      <c r="AX117" s="72" t="n">
        <v>48</v>
      </c>
      <c r="AY117" s="72" t="n">
        <v>49</v>
      </c>
      <c r="AZ117" s="72" t="n">
        <v>50</v>
      </c>
      <c r="BA117" s="72" t="n">
        <v>51</v>
      </c>
      <c r="BB117" s="72" t="n">
        <v>52</v>
      </c>
      <c r="BC117" s="72" t="n">
        <v>53</v>
      </c>
      <c r="BD117" s="72" t="n">
        <v>54</v>
      </c>
      <c r="BE117" s="72" t="n">
        <v>55</v>
      </c>
      <c r="BF117" s="72" t="n">
        <v>56</v>
      </c>
      <c r="BG117" s="72" t="n">
        <v>57</v>
      </c>
      <c r="BH117" s="72" t="n">
        <v>58</v>
      </c>
      <c r="BI117" s="72" t="n">
        <v>59</v>
      </c>
      <c r="BJ117" s="72" t="n">
        <v>60</v>
      </c>
    </row>
    <row r="118" customFormat="false" ht="15" hidden="false" customHeight="false" outlineLevel="0" collapsed="false">
      <c r="A118" s="72" t="s">
        <v>155</v>
      </c>
      <c r="C118" s="72" t="n">
        <f aca="false">ROUNDUP(C117*1/12,0)</f>
        <v>1</v>
      </c>
      <c r="D118" s="72" t="n">
        <f aca="false">ROUNDUP(D117*1/12,0)</f>
        <v>1</v>
      </c>
      <c r="E118" s="72" t="n">
        <f aca="false">ROUNDUP(E117*1/12,0)</f>
        <v>1</v>
      </c>
      <c r="F118" s="72" t="n">
        <f aca="false">ROUNDUP(F117*1/12,0)</f>
        <v>1</v>
      </c>
      <c r="G118" s="72" t="n">
        <f aca="false">ROUNDUP(G117*1/12,0)</f>
        <v>1</v>
      </c>
      <c r="H118" s="72" t="n">
        <f aca="false">ROUNDUP(H117*1/12,0)</f>
        <v>1</v>
      </c>
      <c r="I118" s="72" t="n">
        <f aca="false">ROUNDUP(I117*1/12,0)</f>
        <v>1</v>
      </c>
      <c r="J118" s="72" t="n">
        <f aca="false">ROUNDUP(J117*1/12,0)</f>
        <v>1</v>
      </c>
      <c r="K118" s="72" t="n">
        <f aca="false">ROUNDUP(K117*1/12,0)</f>
        <v>1</v>
      </c>
      <c r="L118" s="72" t="n">
        <f aca="false">ROUNDUP(L117*1/12,0)</f>
        <v>1</v>
      </c>
      <c r="M118" s="72" t="n">
        <f aca="false">ROUNDUP(M117*1/12,0)</f>
        <v>1</v>
      </c>
      <c r="N118" s="72" t="n">
        <f aca="false">ROUNDUP(N117*1/12,0)</f>
        <v>1</v>
      </c>
      <c r="O118" s="72" t="n">
        <f aca="false">ROUNDUP(O117*1/12,0)</f>
        <v>2</v>
      </c>
      <c r="P118" s="72" t="n">
        <f aca="false">ROUNDUP(P117*1/12,0)</f>
        <v>2</v>
      </c>
      <c r="Q118" s="72" t="n">
        <f aca="false">ROUNDUP(Q117*1/12,0)</f>
        <v>2</v>
      </c>
      <c r="R118" s="72" t="n">
        <f aca="false">ROUNDUP(R117*1/12,0)</f>
        <v>2</v>
      </c>
      <c r="S118" s="72" t="n">
        <f aca="false">ROUNDUP(S117*1/12,0)</f>
        <v>2</v>
      </c>
      <c r="T118" s="72" t="n">
        <f aca="false">ROUNDUP(T117*1/12,0)</f>
        <v>2</v>
      </c>
      <c r="U118" s="72" t="n">
        <f aca="false">ROUNDUP(U117*1/12,0)</f>
        <v>2</v>
      </c>
      <c r="V118" s="72" t="n">
        <f aca="false">ROUNDUP(V117*1/12,0)</f>
        <v>2</v>
      </c>
      <c r="W118" s="72" t="n">
        <f aca="false">ROUNDUP(W117*1/12,0)</f>
        <v>2</v>
      </c>
      <c r="X118" s="72" t="n">
        <f aca="false">ROUNDUP(X117*1/12,0)</f>
        <v>2</v>
      </c>
      <c r="Y118" s="72" t="n">
        <f aca="false">ROUNDUP(Y117*1/12,0)</f>
        <v>2</v>
      </c>
      <c r="Z118" s="72" t="n">
        <f aca="false">ROUNDUP(Z117*1/12,0)</f>
        <v>2</v>
      </c>
      <c r="AA118" s="72" t="n">
        <f aca="false">ROUNDUP(AA117*1/12,0)</f>
        <v>3</v>
      </c>
      <c r="AB118" s="72" t="n">
        <f aca="false">ROUNDUP(AB117*1/12,0)</f>
        <v>3</v>
      </c>
      <c r="AC118" s="72" t="n">
        <f aca="false">ROUNDUP(AC117*1/12,0)</f>
        <v>3</v>
      </c>
      <c r="AD118" s="72" t="n">
        <f aca="false">ROUNDUP(AD117*1/12,0)</f>
        <v>3</v>
      </c>
      <c r="AE118" s="72" t="n">
        <f aca="false">ROUNDUP(AE117*1/12,0)</f>
        <v>3</v>
      </c>
      <c r="AF118" s="72" t="n">
        <f aca="false">ROUNDUP(AF117*1/12,0)</f>
        <v>3</v>
      </c>
      <c r="AG118" s="72" t="n">
        <f aca="false">ROUNDUP(AG117*1/12,0)</f>
        <v>3</v>
      </c>
      <c r="AH118" s="72" t="n">
        <f aca="false">ROUNDUP(AH117*1/12,0)</f>
        <v>3</v>
      </c>
      <c r="AI118" s="72" t="n">
        <f aca="false">ROUNDUP(AI117*1/12,0)</f>
        <v>3</v>
      </c>
      <c r="AJ118" s="72" t="n">
        <f aca="false">ROUNDUP(AJ117*1/12,0)</f>
        <v>3</v>
      </c>
      <c r="AK118" s="72" t="n">
        <f aca="false">ROUNDUP(AK117*1/12,0)</f>
        <v>3</v>
      </c>
      <c r="AL118" s="72" t="n">
        <f aca="false">ROUNDUP(AL117*1/12,0)</f>
        <v>3</v>
      </c>
      <c r="AM118" s="72" t="n">
        <f aca="false">ROUNDUP(AM117*1/12,0)</f>
        <v>4</v>
      </c>
      <c r="AN118" s="72" t="n">
        <f aca="false">ROUNDUP(AN117*1/12,0)</f>
        <v>4</v>
      </c>
      <c r="AO118" s="72" t="n">
        <f aca="false">ROUNDUP(AO117*1/12,0)</f>
        <v>4</v>
      </c>
      <c r="AP118" s="72" t="n">
        <f aca="false">ROUNDUP(AP117*1/12,0)</f>
        <v>4</v>
      </c>
      <c r="AQ118" s="72" t="n">
        <f aca="false">ROUNDUP(AQ117*1/12,0)</f>
        <v>4</v>
      </c>
      <c r="AR118" s="72" t="n">
        <f aca="false">ROUNDUP(AR117*1/12,0)</f>
        <v>4</v>
      </c>
      <c r="AS118" s="72" t="n">
        <f aca="false">ROUNDUP(AS117*1/12,0)</f>
        <v>4</v>
      </c>
      <c r="AT118" s="72" t="n">
        <f aca="false">ROUNDUP(AT117*1/12,0)</f>
        <v>4</v>
      </c>
      <c r="AU118" s="72" t="n">
        <f aca="false">ROUNDUP(AU117*1/12,0)</f>
        <v>4</v>
      </c>
      <c r="AV118" s="72" t="n">
        <f aca="false">ROUNDUP(AV117*1/12,0)</f>
        <v>4</v>
      </c>
      <c r="AW118" s="72" t="n">
        <f aca="false">ROUNDUP(AW117*1/12,0)</f>
        <v>4</v>
      </c>
      <c r="AX118" s="72" t="n">
        <f aca="false">ROUNDUP(AX117*1/12,0)</f>
        <v>4</v>
      </c>
      <c r="AY118" s="72" t="n">
        <f aca="false">ROUNDUP(AY117*1/12,0)</f>
        <v>5</v>
      </c>
      <c r="AZ118" s="72" t="n">
        <f aca="false">ROUNDUP(AZ117*1/12,0)</f>
        <v>5</v>
      </c>
      <c r="BA118" s="72" t="n">
        <f aca="false">ROUNDUP(BA117*1/12,0)</f>
        <v>5</v>
      </c>
      <c r="BB118" s="72" t="n">
        <f aca="false">ROUNDUP(BB117*1/12,0)</f>
        <v>5</v>
      </c>
      <c r="BC118" s="72" t="n">
        <f aca="false">ROUNDUP(BC117*1/12,0)</f>
        <v>5</v>
      </c>
      <c r="BD118" s="72" t="n">
        <f aca="false">ROUNDUP(BD117*1/12,0)</f>
        <v>5</v>
      </c>
      <c r="BE118" s="72" t="n">
        <f aca="false">ROUNDUP(BE117*1/12,0)</f>
        <v>5</v>
      </c>
      <c r="BF118" s="72" t="n">
        <f aca="false">ROUNDUP(BF117*1/12,0)</f>
        <v>5</v>
      </c>
      <c r="BG118" s="72" t="n">
        <f aca="false">ROUNDUP(BG117*1/12,0)</f>
        <v>5</v>
      </c>
      <c r="BH118" s="72" t="n">
        <f aca="false">ROUNDUP(BH117*1/12,0)</f>
        <v>5</v>
      </c>
      <c r="BI118" s="72" t="n">
        <f aca="false">ROUNDUP(BI117*1/12,0)</f>
        <v>5</v>
      </c>
      <c r="BJ118" s="72" t="n">
        <f aca="false">ROUNDUP(BJ117*1/12,0)</f>
        <v>5</v>
      </c>
    </row>
    <row r="120" customFormat="false" ht="15.75" hidden="false" customHeight="true" outlineLevel="0" collapsed="false">
      <c r="A120" s="7" t="s">
        <v>249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customFormat="false" ht="15" hidden="false" customHeight="false" outlineLevel="0" collapsed="false">
      <c r="A121" s="38" t="s">
        <v>401</v>
      </c>
      <c r="C121" s="74" t="n">
        <f aca="false">MIN(1,Inputs!$C$9+(1-Inputs!$C$9)*(C$117-1)/MAX(1,Inputs!$C$8))</f>
        <v>0.9</v>
      </c>
      <c r="D121" s="74" t="n">
        <f aca="false">MIN(1,Inputs!$C$9+(1-Inputs!$C$9)*(D$117-1)/MAX(1,Inputs!$C$8))</f>
        <v>0.95</v>
      </c>
      <c r="E121" s="74" t="n">
        <f aca="false">MIN(1,Inputs!$C$9+(1-Inputs!$C$9)*(E$117-1)/MAX(1,Inputs!$C$8))</f>
        <v>1</v>
      </c>
      <c r="F121" s="74" t="n">
        <f aca="false">MIN(1,Inputs!$C$9+(1-Inputs!$C$9)*(F$117-1)/MAX(1,Inputs!$C$8))</f>
        <v>1</v>
      </c>
      <c r="G121" s="74" t="n">
        <f aca="false">MIN(1,Inputs!$C$9+(1-Inputs!$C$9)*(G$117-1)/MAX(1,Inputs!$C$8))</f>
        <v>1</v>
      </c>
      <c r="H121" s="74" t="n">
        <f aca="false">MIN(1,Inputs!$C$9+(1-Inputs!$C$9)*(H$117-1)/MAX(1,Inputs!$C$8))</f>
        <v>1</v>
      </c>
      <c r="I121" s="74" t="n">
        <f aca="false">MIN(1,Inputs!$C$9+(1-Inputs!$C$9)*(I$117-1)/MAX(1,Inputs!$C$8))</f>
        <v>1</v>
      </c>
      <c r="J121" s="74" t="n">
        <f aca="false">MIN(1,Inputs!$C$9+(1-Inputs!$C$9)*(J$117-1)/MAX(1,Inputs!$C$8))</f>
        <v>1</v>
      </c>
      <c r="K121" s="74" t="n">
        <f aca="false">MIN(1,Inputs!$C$9+(1-Inputs!$C$9)*(K$117-1)/MAX(1,Inputs!$C$8))</f>
        <v>1</v>
      </c>
      <c r="L121" s="74" t="n">
        <f aca="false">MIN(1,Inputs!$C$9+(1-Inputs!$C$9)*(L$117-1)/MAX(1,Inputs!$C$8))</f>
        <v>1</v>
      </c>
      <c r="M121" s="74" t="n">
        <f aca="false">MIN(1,Inputs!$C$9+(1-Inputs!$C$9)*(M$117-1)/MAX(1,Inputs!$C$8))</f>
        <v>1</v>
      </c>
      <c r="N121" s="74" t="n">
        <f aca="false">MIN(1,Inputs!$C$9+(1-Inputs!$C$9)*(N$117-1)/MAX(1,Inputs!$C$8))</f>
        <v>1</v>
      </c>
      <c r="O121" s="74" t="n">
        <f aca="false">MIN(1,Inputs!$C$9+(1-Inputs!$C$9)*(O$117-1)/MAX(1,Inputs!$C$8))</f>
        <v>1</v>
      </c>
      <c r="P121" s="74" t="n">
        <f aca="false">MIN(1,Inputs!$C$9+(1-Inputs!$C$9)*(P$117-1)/MAX(1,Inputs!$C$8))</f>
        <v>1</v>
      </c>
      <c r="Q121" s="74" t="n">
        <f aca="false">MIN(1,Inputs!$C$9+(1-Inputs!$C$9)*(Q$117-1)/MAX(1,Inputs!$C$8))</f>
        <v>1</v>
      </c>
      <c r="R121" s="74" t="n">
        <f aca="false">MIN(1,Inputs!$C$9+(1-Inputs!$C$9)*(R$117-1)/MAX(1,Inputs!$C$8))</f>
        <v>1</v>
      </c>
      <c r="S121" s="74" t="n">
        <f aca="false">MIN(1,Inputs!$C$9+(1-Inputs!$C$9)*(S$117-1)/MAX(1,Inputs!$C$8))</f>
        <v>1</v>
      </c>
      <c r="T121" s="74" t="n">
        <f aca="false">MIN(1,Inputs!$C$9+(1-Inputs!$C$9)*(T$117-1)/MAX(1,Inputs!$C$8))</f>
        <v>1</v>
      </c>
      <c r="U121" s="74" t="n">
        <f aca="false">MIN(1,Inputs!$C$9+(1-Inputs!$C$9)*(U$117-1)/MAX(1,Inputs!$C$8))</f>
        <v>1</v>
      </c>
      <c r="V121" s="74" t="n">
        <f aca="false">MIN(1,Inputs!$C$9+(1-Inputs!$C$9)*(V$117-1)/MAX(1,Inputs!$C$8))</f>
        <v>1</v>
      </c>
      <c r="W121" s="74" t="n">
        <f aca="false">MIN(1,Inputs!$C$9+(1-Inputs!$C$9)*(W$117-1)/MAX(1,Inputs!$C$8))</f>
        <v>1</v>
      </c>
      <c r="X121" s="74" t="n">
        <f aca="false">MIN(1,Inputs!$C$9+(1-Inputs!$C$9)*(X$117-1)/MAX(1,Inputs!$C$8))</f>
        <v>1</v>
      </c>
      <c r="Y121" s="74" t="n">
        <f aca="false">MIN(1,Inputs!$C$9+(1-Inputs!$C$9)*(Y$117-1)/MAX(1,Inputs!$C$8))</f>
        <v>1</v>
      </c>
      <c r="Z121" s="74" t="n">
        <f aca="false">MIN(1,Inputs!$C$9+(1-Inputs!$C$9)*(Z$117-1)/MAX(1,Inputs!$C$8))</f>
        <v>1</v>
      </c>
      <c r="AA121" s="74" t="n">
        <f aca="false">MIN(1,Inputs!$C$9+(1-Inputs!$C$9)*(AA$117-1)/MAX(1,Inputs!$C$8))</f>
        <v>1</v>
      </c>
      <c r="AB121" s="74" t="n">
        <f aca="false">MIN(1,Inputs!$C$9+(1-Inputs!$C$9)*(AB$117-1)/MAX(1,Inputs!$C$8))</f>
        <v>1</v>
      </c>
      <c r="AC121" s="74" t="n">
        <f aca="false">MIN(1,Inputs!$C$9+(1-Inputs!$C$9)*(AC$117-1)/MAX(1,Inputs!$C$8))</f>
        <v>1</v>
      </c>
      <c r="AD121" s="74" t="n">
        <f aca="false">MIN(1,Inputs!$C$9+(1-Inputs!$C$9)*(AD$117-1)/MAX(1,Inputs!$C$8))</f>
        <v>1</v>
      </c>
      <c r="AE121" s="74" t="n">
        <f aca="false">MIN(1,Inputs!$C$9+(1-Inputs!$C$9)*(AE$117-1)/MAX(1,Inputs!$C$8))</f>
        <v>1</v>
      </c>
      <c r="AF121" s="74" t="n">
        <f aca="false">MIN(1,Inputs!$C$9+(1-Inputs!$C$9)*(AF$117-1)/MAX(1,Inputs!$C$8))</f>
        <v>1</v>
      </c>
      <c r="AG121" s="74" t="n">
        <f aca="false">MIN(1,Inputs!$C$9+(1-Inputs!$C$9)*(AG$117-1)/MAX(1,Inputs!$C$8))</f>
        <v>1</v>
      </c>
      <c r="AH121" s="74" t="n">
        <f aca="false">MIN(1,Inputs!$C$9+(1-Inputs!$C$9)*(AH$117-1)/MAX(1,Inputs!$C$8))</f>
        <v>1</v>
      </c>
      <c r="AI121" s="74" t="n">
        <f aca="false">MIN(1,Inputs!$C$9+(1-Inputs!$C$9)*(AI$117-1)/MAX(1,Inputs!$C$8))</f>
        <v>1</v>
      </c>
      <c r="AJ121" s="74" t="n">
        <f aca="false">MIN(1,Inputs!$C$9+(1-Inputs!$C$9)*(AJ$117-1)/MAX(1,Inputs!$C$8))</f>
        <v>1</v>
      </c>
      <c r="AK121" s="74" t="n">
        <f aca="false">MIN(1,Inputs!$C$9+(1-Inputs!$C$9)*(AK$117-1)/MAX(1,Inputs!$C$8))</f>
        <v>1</v>
      </c>
      <c r="AL121" s="74" t="n">
        <f aca="false">MIN(1,Inputs!$C$9+(1-Inputs!$C$9)*(AL$117-1)/MAX(1,Inputs!$C$8))</f>
        <v>1</v>
      </c>
      <c r="AM121" s="74" t="n">
        <f aca="false">MIN(1,Inputs!$C$9+(1-Inputs!$C$9)*(AM$117-1)/MAX(1,Inputs!$C$8))</f>
        <v>1</v>
      </c>
      <c r="AN121" s="74" t="n">
        <f aca="false">MIN(1,Inputs!$C$9+(1-Inputs!$C$9)*(AN$117-1)/MAX(1,Inputs!$C$8))</f>
        <v>1</v>
      </c>
      <c r="AO121" s="74" t="n">
        <f aca="false">MIN(1,Inputs!$C$9+(1-Inputs!$C$9)*(AO$117-1)/MAX(1,Inputs!$C$8))</f>
        <v>1</v>
      </c>
      <c r="AP121" s="74" t="n">
        <f aca="false">MIN(1,Inputs!$C$9+(1-Inputs!$C$9)*(AP$117-1)/MAX(1,Inputs!$C$8))</f>
        <v>1</v>
      </c>
      <c r="AQ121" s="74" t="n">
        <f aca="false">MIN(1,Inputs!$C$9+(1-Inputs!$C$9)*(AQ$117-1)/MAX(1,Inputs!$C$8))</f>
        <v>1</v>
      </c>
      <c r="AR121" s="74" t="n">
        <f aca="false">MIN(1,Inputs!$C$9+(1-Inputs!$C$9)*(AR$117-1)/MAX(1,Inputs!$C$8))</f>
        <v>1</v>
      </c>
      <c r="AS121" s="74" t="n">
        <f aca="false">MIN(1,Inputs!$C$9+(1-Inputs!$C$9)*(AS$117-1)/MAX(1,Inputs!$C$8))</f>
        <v>1</v>
      </c>
      <c r="AT121" s="74" t="n">
        <f aca="false">MIN(1,Inputs!$C$9+(1-Inputs!$C$9)*(AT$117-1)/MAX(1,Inputs!$C$8))</f>
        <v>1</v>
      </c>
      <c r="AU121" s="74" t="n">
        <f aca="false">MIN(1,Inputs!$C$9+(1-Inputs!$C$9)*(AU$117-1)/MAX(1,Inputs!$C$8))</f>
        <v>1</v>
      </c>
      <c r="AV121" s="74" t="n">
        <f aca="false">MIN(1,Inputs!$C$9+(1-Inputs!$C$9)*(AV$117-1)/MAX(1,Inputs!$C$8))</f>
        <v>1</v>
      </c>
      <c r="AW121" s="74" t="n">
        <f aca="false">MIN(1,Inputs!$C$9+(1-Inputs!$C$9)*(AW$117-1)/MAX(1,Inputs!$C$8))</f>
        <v>1</v>
      </c>
      <c r="AX121" s="74" t="n">
        <f aca="false">MIN(1,Inputs!$C$9+(1-Inputs!$C$9)*(AX$117-1)/MAX(1,Inputs!$C$8))</f>
        <v>1</v>
      </c>
      <c r="AY121" s="74" t="n">
        <f aca="false">MIN(1,Inputs!$C$9+(1-Inputs!$C$9)*(AY$117-1)/MAX(1,Inputs!$C$8))</f>
        <v>1</v>
      </c>
      <c r="AZ121" s="74" t="n">
        <f aca="false">MIN(1,Inputs!$C$9+(1-Inputs!$C$9)*(AZ$117-1)/MAX(1,Inputs!$C$8))</f>
        <v>1</v>
      </c>
      <c r="BA121" s="74" t="n">
        <f aca="false">MIN(1,Inputs!$C$9+(1-Inputs!$C$9)*(BA$117-1)/MAX(1,Inputs!$C$8))</f>
        <v>1</v>
      </c>
      <c r="BB121" s="74" t="n">
        <f aca="false">MIN(1,Inputs!$C$9+(1-Inputs!$C$9)*(BB$117-1)/MAX(1,Inputs!$C$8))</f>
        <v>1</v>
      </c>
      <c r="BC121" s="74" t="n">
        <f aca="false">MIN(1,Inputs!$C$9+(1-Inputs!$C$9)*(BC$117-1)/MAX(1,Inputs!$C$8))</f>
        <v>1</v>
      </c>
      <c r="BD121" s="74" t="n">
        <f aca="false">MIN(1,Inputs!$C$9+(1-Inputs!$C$9)*(BD$117-1)/MAX(1,Inputs!$C$8))</f>
        <v>1</v>
      </c>
      <c r="BE121" s="74" t="n">
        <f aca="false">MIN(1,Inputs!$C$9+(1-Inputs!$C$9)*(BE$117-1)/MAX(1,Inputs!$C$8))</f>
        <v>1</v>
      </c>
      <c r="BF121" s="74" t="n">
        <f aca="false">MIN(1,Inputs!$C$9+(1-Inputs!$C$9)*(BF$117-1)/MAX(1,Inputs!$C$8))</f>
        <v>1</v>
      </c>
      <c r="BG121" s="74" t="n">
        <f aca="false">MIN(1,Inputs!$C$9+(1-Inputs!$C$9)*(BG$117-1)/MAX(1,Inputs!$C$8))</f>
        <v>1</v>
      </c>
      <c r="BH121" s="74" t="n">
        <f aca="false">MIN(1,Inputs!$C$9+(1-Inputs!$C$9)*(BH$117-1)/MAX(1,Inputs!$C$8))</f>
        <v>1</v>
      </c>
      <c r="BI121" s="74" t="n">
        <f aca="false">MIN(1,Inputs!$C$9+(1-Inputs!$C$9)*(BI$117-1)/MAX(1,Inputs!$C$8))</f>
        <v>1</v>
      </c>
      <c r="BJ121" s="74" t="n">
        <f aca="false">MIN(1,Inputs!$C$9+(1-Inputs!$C$9)*(BJ$117-1)/MAX(1,Inputs!$C$8))</f>
        <v>1</v>
      </c>
    </row>
    <row r="122" customFormat="false" ht="15" hidden="false" customHeight="false" outlineLevel="0" collapsed="false">
      <c r="A122" s="6" t="s">
        <v>402</v>
      </c>
      <c r="C122" s="118" t="n">
        <f aca="false">IF(MOD(C$117-1,12)&gt;=10,1+Inputs!$C$14,1-Inputs!$C$14/5)</f>
        <v>0.96</v>
      </c>
      <c r="D122" s="118" t="n">
        <f aca="false">IF(MOD(D$117-1,12)&gt;=10,1+Inputs!$C$14,1-Inputs!$C$14/5)</f>
        <v>0.96</v>
      </c>
      <c r="E122" s="118" t="n">
        <f aca="false">IF(MOD(E$117-1,12)&gt;=10,1+Inputs!$C$14,1-Inputs!$C$14/5)</f>
        <v>0.96</v>
      </c>
      <c r="F122" s="118" t="n">
        <f aca="false">IF(MOD(F$117-1,12)&gt;=10,1+Inputs!$C$14,1-Inputs!$C$14/5)</f>
        <v>0.96</v>
      </c>
      <c r="G122" s="118" t="n">
        <f aca="false">IF(MOD(G$117-1,12)&gt;=10,1+Inputs!$C$14,1-Inputs!$C$14/5)</f>
        <v>0.96</v>
      </c>
      <c r="H122" s="118" t="n">
        <f aca="false">IF(MOD(H$117-1,12)&gt;=10,1+Inputs!$C$14,1-Inputs!$C$14/5)</f>
        <v>0.96</v>
      </c>
      <c r="I122" s="118" t="n">
        <f aca="false">IF(MOD(I$117-1,12)&gt;=10,1+Inputs!$C$14,1-Inputs!$C$14/5)</f>
        <v>0.96</v>
      </c>
      <c r="J122" s="118" t="n">
        <f aca="false">IF(MOD(J$117-1,12)&gt;=10,1+Inputs!$C$14,1-Inputs!$C$14/5)</f>
        <v>0.96</v>
      </c>
      <c r="K122" s="118" t="n">
        <f aca="false">IF(MOD(K$117-1,12)&gt;=10,1+Inputs!$C$14,1-Inputs!$C$14/5)</f>
        <v>0.96</v>
      </c>
      <c r="L122" s="118" t="n">
        <f aca="false">IF(MOD(L$117-1,12)&gt;=10,1+Inputs!$C$14,1-Inputs!$C$14/5)</f>
        <v>0.96</v>
      </c>
      <c r="M122" s="118" t="n">
        <f aca="false">IF(MOD(M$117-1,12)&gt;=10,1+Inputs!$C$14,1-Inputs!$C$14/5)</f>
        <v>1.2</v>
      </c>
      <c r="N122" s="118" t="n">
        <f aca="false">IF(MOD(N$117-1,12)&gt;=10,1+Inputs!$C$14,1-Inputs!$C$14/5)</f>
        <v>1.2</v>
      </c>
      <c r="O122" s="118" t="n">
        <f aca="false">IF(MOD(O$117-1,12)&gt;=10,1+Inputs!$C$14,1-Inputs!$C$14/5)</f>
        <v>0.96</v>
      </c>
      <c r="P122" s="118" t="n">
        <f aca="false">IF(MOD(P$117-1,12)&gt;=10,1+Inputs!$C$14,1-Inputs!$C$14/5)</f>
        <v>0.96</v>
      </c>
      <c r="Q122" s="118" t="n">
        <f aca="false">IF(MOD(Q$117-1,12)&gt;=10,1+Inputs!$C$14,1-Inputs!$C$14/5)</f>
        <v>0.96</v>
      </c>
      <c r="R122" s="118" t="n">
        <f aca="false">IF(MOD(R$117-1,12)&gt;=10,1+Inputs!$C$14,1-Inputs!$C$14/5)</f>
        <v>0.96</v>
      </c>
      <c r="S122" s="118" t="n">
        <f aca="false">IF(MOD(S$117-1,12)&gt;=10,1+Inputs!$C$14,1-Inputs!$C$14/5)</f>
        <v>0.96</v>
      </c>
      <c r="T122" s="118" t="n">
        <f aca="false">IF(MOD(T$117-1,12)&gt;=10,1+Inputs!$C$14,1-Inputs!$C$14/5)</f>
        <v>0.96</v>
      </c>
      <c r="U122" s="118" t="n">
        <f aca="false">IF(MOD(U$117-1,12)&gt;=10,1+Inputs!$C$14,1-Inputs!$C$14/5)</f>
        <v>0.96</v>
      </c>
      <c r="V122" s="118" t="n">
        <f aca="false">IF(MOD(V$117-1,12)&gt;=10,1+Inputs!$C$14,1-Inputs!$C$14/5)</f>
        <v>0.96</v>
      </c>
      <c r="W122" s="118" t="n">
        <f aca="false">IF(MOD(W$117-1,12)&gt;=10,1+Inputs!$C$14,1-Inputs!$C$14/5)</f>
        <v>0.96</v>
      </c>
      <c r="X122" s="118" t="n">
        <f aca="false">IF(MOD(X$117-1,12)&gt;=10,1+Inputs!$C$14,1-Inputs!$C$14/5)</f>
        <v>0.96</v>
      </c>
      <c r="Y122" s="118" t="n">
        <f aca="false">IF(MOD(Y$117-1,12)&gt;=10,1+Inputs!$C$14,1-Inputs!$C$14/5)</f>
        <v>1.2</v>
      </c>
      <c r="Z122" s="118" t="n">
        <f aca="false">IF(MOD(Z$117-1,12)&gt;=10,1+Inputs!$C$14,1-Inputs!$C$14/5)</f>
        <v>1.2</v>
      </c>
      <c r="AA122" s="118" t="n">
        <f aca="false">IF(MOD(AA$117-1,12)&gt;=10,1+Inputs!$C$14,1-Inputs!$C$14/5)</f>
        <v>0.96</v>
      </c>
      <c r="AB122" s="118" t="n">
        <f aca="false">IF(MOD(AB$117-1,12)&gt;=10,1+Inputs!$C$14,1-Inputs!$C$14/5)</f>
        <v>0.96</v>
      </c>
      <c r="AC122" s="118" t="n">
        <f aca="false">IF(MOD(AC$117-1,12)&gt;=10,1+Inputs!$C$14,1-Inputs!$C$14/5)</f>
        <v>0.96</v>
      </c>
      <c r="AD122" s="118" t="n">
        <f aca="false">IF(MOD(AD$117-1,12)&gt;=10,1+Inputs!$C$14,1-Inputs!$C$14/5)</f>
        <v>0.96</v>
      </c>
      <c r="AE122" s="118" t="n">
        <f aca="false">IF(MOD(AE$117-1,12)&gt;=10,1+Inputs!$C$14,1-Inputs!$C$14/5)</f>
        <v>0.96</v>
      </c>
      <c r="AF122" s="118" t="n">
        <f aca="false">IF(MOD(AF$117-1,12)&gt;=10,1+Inputs!$C$14,1-Inputs!$C$14/5)</f>
        <v>0.96</v>
      </c>
      <c r="AG122" s="118" t="n">
        <f aca="false">IF(MOD(AG$117-1,12)&gt;=10,1+Inputs!$C$14,1-Inputs!$C$14/5)</f>
        <v>0.96</v>
      </c>
      <c r="AH122" s="118" t="n">
        <f aca="false">IF(MOD(AH$117-1,12)&gt;=10,1+Inputs!$C$14,1-Inputs!$C$14/5)</f>
        <v>0.96</v>
      </c>
      <c r="AI122" s="118" t="n">
        <f aca="false">IF(MOD(AI$117-1,12)&gt;=10,1+Inputs!$C$14,1-Inputs!$C$14/5)</f>
        <v>0.96</v>
      </c>
      <c r="AJ122" s="118" t="n">
        <f aca="false">IF(MOD(AJ$117-1,12)&gt;=10,1+Inputs!$C$14,1-Inputs!$C$14/5)</f>
        <v>0.96</v>
      </c>
      <c r="AK122" s="118" t="n">
        <f aca="false">IF(MOD(AK$117-1,12)&gt;=10,1+Inputs!$C$14,1-Inputs!$C$14/5)</f>
        <v>1.2</v>
      </c>
      <c r="AL122" s="118" t="n">
        <f aca="false">IF(MOD(AL$117-1,12)&gt;=10,1+Inputs!$C$14,1-Inputs!$C$14/5)</f>
        <v>1.2</v>
      </c>
      <c r="AM122" s="118" t="n">
        <f aca="false">IF(MOD(AM$117-1,12)&gt;=10,1+Inputs!$C$14,1-Inputs!$C$14/5)</f>
        <v>0.96</v>
      </c>
      <c r="AN122" s="118" t="n">
        <f aca="false">IF(MOD(AN$117-1,12)&gt;=10,1+Inputs!$C$14,1-Inputs!$C$14/5)</f>
        <v>0.96</v>
      </c>
      <c r="AO122" s="118" t="n">
        <f aca="false">IF(MOD(AO$117-1,12)&gt;=10,1+Inputs!$C$14,1-Inputs!$C$14/5)</f>
        <v>0.96</v>
      </c>
      <c r="AP122" s="118" t="n">
        <f aca="false">IF(MOD(AP$117-1,12)&gt;=10,1+Inputs!$C$14,1-Inputs!$C$14/5)</f>
        <v>0.96</v>
      </c>
      <c r="AQ122" s="118" t="n">
        <f aca="false">IF(MOD(AQ$117-1,12)&gt;=10,1+Inputs!$C$14,1-Inputs!$C$14/5)</f>
        <v>0.96</v>
      </c>
      <c r="AR122" s="118" t="n">
        <f aca="false">IF(MOD(AR$117-1,12)&gt;=10,1+Inputs!$C$14,1-Inputs!$C$14/5)</f>
        <v>0.96</v>
      </c>
      <c r="AS122" s="118" t="n">
        <f aca="false">IF(MOD(AS$117-1,12)&gt;=10,1+Inputs!$C$14,1-Inputs!$C$14/5)</f>
        <v>0.96</v>
      </c>
      <c r="AT122" s="118" t="n">
        <f aca="false">IF(MOD(AT$117-1,12)&gt;=10,1+Inputs!$C$14,1-Inputs!$C$14/5)</f>
        <v>0.96</v>
      </c>
      <c r="AU122" s="118" t="n">
        <f aca="false">IF(MOD(AU$117-1,12)&gt;=10,1+Inputs!$C$14,1-Inputs!$C$14/5)</f>
        <v>0.96</v>
      </c>
      <c r="AV122" s="118" t="n">
        <f aca="false">IF(MOD(AV$117-1,12)&gt;=10,1+Inputs!$C$14,1-Inputs!$C$14/5)</f>
        <v>0.96</v>
      </c>
      <c r="AW122" s="118" t="n">
        <f aca="false">IF(MOD(AW$117-1,12)&gt;=10,1+Inputs!$C$14,1-Inputs!$C$14/5)</f>
        <v>1.2</v>
      </c>
      <c r="AX122" s="118" t="n">
        <f aca="false">IF(MOD(AX$117-1,12)&gt;=10,1+Inputs!$C$14,1-Inputs!$C$14/5)</f>
        <v>1.2</v>
      </c>
      <c r="AY122" s="118" t="n">
        <f aca="false">IF(MOD(AY$117-1,12)&gt;=10,1+Inputs!$C$14,1-Inputs!$C$14/5)</f>
        <v>0.96</v>
      </c>
      <c r="AZ122" s="118" t="n">
        <f aca="false">IF(MOD(AZ$117-1,12)&gt;=10,1+Inputs!$C$14,1-Inputs!$C$14/5)</f>
        <v>0.96</v>
      </c>
      <c r="BA122" s="118" t="n">
        <f aca="false">IF(MOD(BA$117-1,12)&gt;=10,1+Inputs!$C$14,1-Inputs!$C$14/5)</f>
        <v>0.96</v>
      </c>
      <c r="BB122" s="118" t="n">
        <f aca="false">IF(MOD(BB$117-1,12)&gt;=10,1+Inputs!$C$14,1-Inputs!$C$14/5)</f>
        <v>0.96</v>
      </c>
      <c r="BC122" s="118" t="n">
        <f aca="false">IF(MOD(BC$117-1,12)&gt;=10,1+Inputs!$C$14,1-Inputs!$C$14/5)</f>
        <v>0.96</v>
      </c>
      <c r="BD122" s="118" t="n">
        <f aca="false">IF(MOD(BD$117-1,12)&gt;=10,1+Inputs!$C$14,1-Inputs!$C$14/5)</f>
        <v>0.96</v>
      </c>
      <c r="BE122" s="118" t="n">
        <f aca="false">IF(MOD(BE$117-1,12)&gt;=10,1+Inputs!$C$14,1-Inputs!$C$14/5)</f>
        <v>0.96</v>
      </c>
      <c r="BF122" s="118" t="n">
        <f aca="false">IF(MOD(BF$117-1,12)&gt;=10,1+Inputs!$C$14,1-Inputs!$C$14/5)</f>
        <v>0.96</v>
      </c>
      <c r="BG122" s="118" t="n">
        <f aca="false">IF(MOD(BG$117-1,12)&gt;=10,1+Inputs!$C$14,1-Inputs!$C$14/5)</f>
        <v>0.96</v>
      </c>
      <c r="BH122" s="118" t="n">
        <f aca="false">IF(MOD(BH$117-1,12)&gt;=10,1+Inputs!$C$14,1-Inputs!$C$14/5)</f>
        <v>0.96</v>
      </c>
      <c r="BI122" s="118" t="n">
        <f aca="false">IF(MOD(BI$117-1,12)&gt;=10,1+Inputs!$C$14,1-Inputs!$C$14/5)</f>
        <v>1.2</v>
      </c>
      <c r="BJ122" s="118" t="n">
        <f aca="false">IF(MOD(BJ$117-1,12)&gt;=10,1+Inputs!$C$14,1-Inputs!$C$14/5)</f>
        <v>1.2</v>
      </c>
    </row>
    <row r="123" customFormat="false" ht="15" hidden="false" customHeight="false" outlineLevel="0" collapsed="false">
      <c r="A123" s="6" t="s">
        <v>403</v>
      </c>
      <c r="C123" s="118" t="n">
        <f aca="false">Inputs!$C$7*(1+Inputs!$C$10)^(C$118-1)*MAX(0,C121+C122-1)</f>
        <v>275.2</v>
      </c>
      <c r="D123" s="118" t="n">
        <f aca="false">Inputs!$C$7*(1+Inputs!$C$10)^(D$118-1)*MAX(0,D121+D122-1)</f>
        <v>291.2</v>
      </c>
      <c r="E123" s="118" t="n">
        <f aca="false">Inputs!$C$7*(1+Inputs!$C$10)^(E$118-1)*MAX(0,E121+E122-1)</f>
        <v>307.2</v>
      </c>
      <c r="F123" s="118" t="n">
        <f aca="false">Inputs!$C$7*(1+Inputs!$C$10)^(F$118-1)*MAX(0,F121+F122-1)</f>
        <v>307.2</v>
      </c>
      <c r="G123" s="118" t="n">
        <f aca="false">Inputs!$C$7*(1+Inputs!$C$10)^(G$118-1)*MAX(0,G121+G122-1)</f>
        <v>307.2</v>
      </c>
      <c r="H123" s="118" t="n">
        <f aca="false">Inputs!$C$7*(1+Inputs!$C$10)^(H$118-1)*MAX(0,H121+H122-1)</f>
        <v>307.2</v>
      </c>
      <c r="I123" s="118" t="n">
        <f aca="false">Inputs!$C$7*(1+Inputs!$C$10)^(I$118-1)*MAX(0,I121+I122-1)</f>
        <v>307.2</v>
      </c>
      <c r="J123" s="118" t="n">
        <f aca="false">Inputs!$C$7*(1+Inputs!$C$10)^(J$118-1)*MAX(0,J121+J122-1)</f>
        <v>307.2</v>
      </c>
      <c r="K123" s="118" t="n">
        <f aca="false">Inputs!$C$7*(1+Inputs!$C$10)^(K$118-1)*MAX(0,K121+K122-1)</f>
        <v>307.2</v>
      </c>
      <c r="L123" s="118" t="n">
        <f aca="false">Inputs!$C$7*(1+Inputs!$C$10)^(L$118-1)*MAX(0,L121+L122-1)</f>
        <v>307.2</v>
      </c>
      <c r="M123" s="118" t="n">
        <f aca="false">Inputs!$C$7*(1+Inputs!$C$10)^(M$118-1)*MAX(0,M121+M122-1)</f>
        <v>384</v>
      </c>
      <c r="N123" s="118" t="n">
        <f aca="false">Inputs!$C$7*(1+Inputs!$C$10)^(N$118-1)*MAX(0,N121+N122-1)</f>
        <v>384</v>
      </c>
      <c r="O123" s="118" t="n">
        <f aca="false">Inputs!$C$7*(1+Inputs!$C$10)^(O$118-1)*MAX(0,O121+O122-1)</f>
        <v>316.416</v>
      </c>
      <c r="P123" s="118" t="n">
        <f aca="false">Inputs!$C$7*(1+Inputs!$C$10)^(P$118-1)*MAX(0,P121+P122-1)</f>
        <v>316.416</v>
      </c>
      <c r="Q123" s="118" t="n">
        <f aca="false">Inputs!$C$7*(1+Inputs!$C$10)^(Q$118-1)*MAX(0,Q121+Q122-1)</f>
        <v>316.416</v>
      </c>
      <c r="R123" s="118" t="n">
        <f aca="false">Inputs!$C$7*(1+Inputs!$C$10)^(R$118-1)*MAX(0,R121+R122-1)</f>
        <v>316.416</v>
      </c>
      <c r="S123" s="118" t="n">
        <f aca="false">Inputs!$C$7*(1+Inputs!$C$10)^(S$118-1)*MAX(0,S121+S122-1)</f>
        <v>316.416</v>
      </c>
      <c r="T123" s="118" t="n">
        <f aca="false">Inputs!$C$7*(1+Inputs!$C$10)^(T$118-1)*MAX(0,T121+T122-1)</f>
        <v>316.416</v>
      </c>
      <c r="U123" s="118" t="n">
        <f aca="false">Inputs!$C$7*(1+Inputs!$C$10)^(U$118-1)*MAX(0,U121+U122-1)</f>
        <v>316.416</v>
      </c>
      <c r="V123" s="118" t="n">
        <f aca="false">Inputs!$C$7*(1+Inputs!$C$10)^(V$118-1)*MAX(0,V121+V122-1)</f>
        <v>316.416</v>
      </c>
      <c r="W123" s="118" t="n">
        <f aca="false">Inputs!$C$7*(1+Inputs!$C$10)^(W$118-1)*MAX(0,W121+W122-1)</f>
        <v>316.416</v>
      </c>
      <c r="X123" s="118" t="n">
        <f aca="false">Inputs!$C$7*(1+Inputs!$C$10)^(X$118-1)*MAX(0,X121+X122-1)</f>
        <v>316.416</v>
      </c>
      <c r="Y123" s="118" t="n">
        <f aca="false">Inputs!$C$7*(1+Inputs!$C$10)^(Y$118-1)*MAX(0,Y121+Y122-1)</f>
        <v>395.52</v>
      </c>
      <c r="Z123" s="118" t="n">
        <f aca="false">Inputs!$C$7*(1+Inputs!$C$10)^(Z$118-1)*MAX(0,Z121+Z122-1)</f>
        <v>395.52</v>
      </c>
      <c r="AA123" s="118" t="n">
        <f aca="false">Inputs!$C$7*(1+Inputs!$C$10)^(AA$118-1)*MAX(0,AA121+AA122-1)</f>
        <v>325.90848</v>
      </c>
      <c r="AB123" s="118" t="n">
        <f aca="false">Inputs!$C$7*(1+Inputs!$C$10)^(AB$118-1)*MAX(0,AB121+AB122-1)</f>
        <v>325.90848</v>
      </c>
      <c r="AC123" s="118" t="n">
        <f aca="false">Inputs!$C$7*(1+Inputs!$C$10)^(AC$118-1)*MAX(0,AC121+AC122-1)</f>
        <v>325.90848</v>
      </c>
      <c r="AD123" s="118" t="n">
        <f aca="false">Inputs!$C$7*(1+Inputs!$C$10)^(AD$118-1)*MAX(0,AD121+AD122-1)</f>
        <v>325.90848</v>
      </c>
      <c r="AE123" s="118" t="n">
        <f aca="false">Inputs!$C$7*(1+Inputs!$C$10)^(AE$118-1)*MAX(0,AE121+AE122-1)</f>
        <v>325.90848</v>
      </c>
      <c r="AF123" s="118" t="n">
        <f aca="false">Inputs!$C$7*(1+Inputs!$C$10)^(AF$118-1)*MAX(0,AF121+AF122-1)</f>
        <v>325.90848</v>
      </c>
      <c r="AG123" s="118" t="n">
        <f aca="false">Inputs!$C$7*(1+Inputs!$C$10)^(AG$118-1)*MAX(0,AG121+AG122-1)</f>
        <v>325.90848</v>
      </c>
      <c r="AH123" s="118" t="n">
        <f aca="false">Inputs!$C$7*(1+Inputs!$C$10)^(AH$118-1)*MAX(0,AH121+AH122-1)</f>
        <v>325.90848</v>
      </c>
      <c r="AI123" s="118" t="n">
        <f aca="false">Inputs!$C$7*(1+Inputs!$C$10)^(AI$118-1)*MAX(0,AI121+AI122-1)</f>
        <v>325.90848</v>
      </c>
      <c r="AJ123" s="118" t="n">
        <f aca="false">Inputs!$C$7*(1+Inputs!$C$10)^(AJ$118-1)*MAX(0,AJ121+AJ122-1)</f>
        <v>325.90848</v>
      </c>
      <c r="AK123" s="118" t="n">
        <f aca="false">Inputs!$C$7*(1+Inputs!$C$10)^(AK$118-1)*MAX(0,AK121+AK122-1)</f>
        <v>407.3856</v>
      </c>
      <c r="AL123" s="118" t="n">
        <f aca="false">Inputs!$C$7*(1+Inputs!$C$10)^(AL$118-1)*MAX(0,AL121+AL122-1)</f>
        <v>407.3856</v>
      </c>
      <c r="AM123" s="118" t="n">
        <f aca="false">Inputs!$C$7*(1+Inputs!$C$10)^(AM$118-1)*MAX(0,AM121+AM122-1)</f>
        <v>335.6857344</v>
      </c>
      <c r="AN123" s="118" t="n">
        <f aca="false">Inputs!$C$7*(1+Inputs!$C$10)^(AN$118-1)*MAX(0,AN121+AN122-1)</f>
        <v>335.6857344</v>
      </c>
      <c r="AO123" s="118" t="n">
        <f aca="false">Inputs!$C$7*(1+Inputs!$C$10)^(AO$118-1)*MAX(0,AO121+AO122-1)</f>
        <v>335.6857344</v>
      </c>
      <c r="AP123" s="118" t="n">
        <f aca="false">Inputs!$C$7*(1+Inputs!$C$10)^(AP$118-1)*MAX(0,AP121+AP122-1)</f>
        <v>335.6857344</v>
      </c>
      <c r="AQ123" s="118" t="n">
        <f aca="false">Inputs!$C$7*(1+Inputs!$C$10)^(AQ$118-1)*MAX(0,AQ121+AQ122-1)</f>
        <v>335.6857344</v>
      </c>
      <c r="AR123" s="118" t="n">
        <f aca="false">Inputs!$C$7*(1+Inputs!$C$10)^(AR$118-1)*MAX(0,AR121+AR122-1)</f>
        <v>335.6857344</v>
      </c>
      <c r="AS123" s="118" t="n">
        <f aca="false">Inputs!$C$7*(1+Inputs!$C$10)^(AS$118-1)*MAX(0,AS121+AS122-1)</f>
        <v>335.6857344</v>
      </c>
      <c r="AT123" s="118" t="n">
        <f aca="false">Inputs!$C$7*(1+Inputs!$C$10)^(AT$118-1)*MAX(0,AT121+AT122-1)</f>
        <v>335.6857344</v>
      </c>
      <c r="AU123" s="118" t="n">
        <f aca="false">Inputs!$C$7*(1+Inputs!$C$10)^(AU$118-1)*MAX(0,AU121+AU122-1)</f>
        <v>335.6857344</v>
      </c>
      <c r="AV123" s="118" t="n">
        <f aca="false">Inputs!$C$7*(1+Inputs!$C$10)^(AV$118-1)*MAX(0,AV121+AV122-1)</f>
        <v>335.6857344</v>
      </c>
      <c r="AW123" s="118" t="n">
        <f aca="false">Inputs!$C$7*(1+Inputs!$C$10)^(AW$118-1)*MAX(0,AW121+AW122-1)</f>
        <v>419.607168</v>
      </c>
      <c r="AX123" s="118" t="n">
        <f aca="false">Inputs!$C$7*(1+Inputs!$C$10)^(AX$118-1)*MAX(0,AX121+AX122-1)</f>
        <v>419.607168</v>
      </c>
      <c r="AY123" s="118" t="n">
        <f aca="false">Inputs!$C$7*(1+Inputs!$C$10)^(AY$118-1)*MAX(0,AY121+AY122-1)</f>
        <v>345.756306432</v>
      </c>
      <c r="AZ123" s="118" t="n">
        <f aca="false">Inputs!$C$7*(1+Inputs!$C$10)^(AZ$118-1)*MAX(0,AZ121+AZ122-1)</f>
        <v>345.756306432</v>
      </c>
      <c r="BA123" s="118" t="n">
        <f aca="false">Inputs!$C$7*(1+Inputs!$C$10)^(BA$118-1)*MAX(0,BA121+BA122-1)</f>
        <v>345.756306432</v>
      </c>
      <c r="BB123" s="118" t="n">
        <f aca="false">Inputs!$C$7*(1+Inputs!$C$10)^(BB$118-1)*MAX(0,BB121+BB122-1)</f>
        <v>345.756306432</v>
      </c>
      <c r="BC123" s="118" t="n">
        <f aca="false">Inputs!$C$7*(1+Inputs!$C$10)^(BC$118-1)*MAX(0,BC121+BC122-1)</f>
        <v>345.756306432</v>
      </c>
      <c r="BD123" s="118" t="n">
        <f aca="false">Inputs!$C$7*(1+Inputs!$C$10)^(BD$118-1)*MAX(0,BD121+BD122-1)</f>
        <v>345.756306432</v>
      </c>
      <c r="BE123" s="118" t="n">
        <f aca="false">Inputs!$C$7*(1+Inputs!$C$10)^(BE$118-1)*MAX(0,BE121+BE122-1)</f>
        <v>345.756306432</v>
      </c>
      <c r="BF123" s="118" t="n">
        <f aca="false">Inputs!$C$7*(1+Inputs!$C$10)^(BF$118-1)*MAX(0,BF121+BF122-1)</f>
        <v>345.756306432</v>
      </c>
      <c r="BG123" s="118" t="n">
        <f aca="false">Inputs!$C$7*(1+Inputs!$C$10)^(BG$118-1)*MAX(0,BG121+BG122-1)</f>
        <v>345.756306432</v>
      </c>
      <c r="BH123" s="118" t="n">
        <f aca="false">Inputs!$C$7*(1+Inputs!$C$10)^(BH$118-1)*MAX(0,BH121+BH122-1)</f>
        <v>345.756306432</v>
      </c>
      <c r="BI123" s="118" t="n">
        <f aca="false">Inputs!$C$7*(1+Inputs!$C$10)^(BI$118-1)*MAX(0,BI121+BI122-1)</f>
        <v>432.19538304</v>
      </c>
      <c r="BJ123" s="118" t="n">
        <f aca="false">Inputs!$C$7*(1+Inputs!$C$10)^(BJ$118-1)*MAX(0,BJ121+BJ122-1)</f>
        <v>432.19538304</v>
      </c>
    </row>
    <row r="124" customFormat="false" ht="15" hidden="false" customHeight="false" outlineLevel="0" collapsed="false">
      <c r="A124" s="6" t="s">
        <v>404</v>
      </c>
      <c r="C124" s="118" t="n">
        <f aca="false">Inputs!$C$13*52/12*1</f>
        <v>26</v>
      </c>
      <c r="D124" s="118" t="n">
        <f aca="false">Inputs!$C$13*52/12*1</f>
        <v>26</v>
      </c>
      <c r="E124" s="118" t="n">
        <f aca="false">Inputs!$C$13*52/12*1</f>
        <v>26</v>
      </c>
      <c r="F124" s="118" t="n">
        <f aca="false">Inputs!$C$13*52/12*1</f>
        <v>26</v>
      </c>
      <c r="G124" s="118" t="n">
        <f aca="false">Inputs!$C$13*52/12*1</f>
        <v>26</v>
      </c>
      <c r="H124" s="118" t="n">
        <f aca="false">Inputs!$C$13*52/12*1</f>
        <v>26</v>
      </c>
      <c r="I124" s="118" t="n">
        <f aca="false">Inputs!$C$13*52/12*1</f>
        <v>26</v>
      </c>
      <c r="J124" s="118" t="n">
        <f aca="false">Inputs!$C$13*52/12*1</f>
        <v>26</v>
      </c>
      <c r="K124" s="118" t="n">
        <f aca="false">Inputs!$C$13*52/12*1</f>
        <v>26</v>
      </c>
      <c r="L124" s="118" t="n">
        <f aca="false">Inputs!$C$13*52/12*1</f>
        <v>26</v>
      </c>
      <c r="M124" s="118" t="n">
        <f aca="false">Inputs!$C$13*52/12*1</f>
        <v>26</v>
      </c>
      <c r="N124" s="118" t="n">
        <f aca="false">Inputs!$C$13*52/12*1</f>
        <v>26</v>
      </c>
      <c r="O124" s="118" t="n">
        <f aca="false">Inputs!$C$13*52/12*1</f>
        <v>26</v>
      </c>
      <c r="P124" s="118" t="n">
        <f aca="false">Inputs!$C$13*52/12*1</f>
        <v>26</v>
      </c>
      <c r="Q124" s="118" t="n">
        <f aca="false">Inputs!$C$13*52/12*1</f>
        <v>26</v>
      </c>
      <c r="R124" s="118" t="n">
        <f aca="false">Inputs!$C$13*52/12*1</f>
        <v>26</v>
      </c>
      <c r="S124" s="118" t="n">
        <f aca="false">Inputs!$C$13*52/12*1</f>
        <v>26</v>
      </c>
      <c r="T124" s="118" t="n">
        <f aca="false">Inputs!$C$13*52/12*1</f>
        <v>26</v>
      </c>
      <c r="U124" s="118" t="n">
        <f aca="false">Inputs!$C$13*52/12*1</f>
        <v>26</v>
      </c>
      <c r="V124" s="118" t="n">
        <f aca="false">Inputs!$C$13*52/12*1</f>
        <v>26</v>
      </c>
      <c r="W124" s="118" t="n">
        <f aca="false">Inputs!$C$13*52/12*1</f>
        <v>26</v>
      </c>
      <c r="X124" s="118" t="n">
        <f aca="false">Inputs!$C$13*52/12*1</f>
        <v>26</v>
      </c>
      <c r="Y124" s="118" t="n">
        <f aca="false">Inputs!$C$13*52/12*1</f>
        <v>26</v>
      </c>
      <c r="Z124" s="118" t="n">
        <f aca="false">Inputs!$C$13*52/12*1</f>
        <v>26</v>
      </c>
      <c r="AA124" s="118" t="n">
        <f aca="false">Inputs!$C$13*52/12*1</f>
        <v>26</v>
      </c>
      <c r="AB124" s="118" t="n">
        <f aca="false">Inputs!$C$13*52/12*1</f>
        <v>26</v>
      </c>
      <c r="AC124" s="118" t="n">
        <f aca="false">Inputs!$C$13*52/12*1</f>
        <v>26</v>
      </c>
      <c r="AD124" s="118" t="n">
        <f aca="false">Inputs!$C$13*52/12*1</f>
        <v>26</v>
      </c>
      <c r="AE124" s="118" t="n">
        <f aca="false">Inputs!$C$13*52/12*1</f>
        <v>26</v>
      </c>
      <c r="AF124" s="118" t="n">
        <f aca="false">Inputs!$C$13*52/12*1</f>
        <v>26</v>
      </c>
      <c r="AG124" s="118" t="n">
        <f aca="false">Inputs!$C$13*52/12*1</f>
        <v>26</v>
      </c>
      <c r="AH124" s="118" t="n">
        <f aca="false">Inputs!$C$13*52/12*1</f>
        <v>26</v>
      </c>
      <c r="AI124" s="118" t="n">
        <f aca="false">Inputs!$C$13*52/12*1</f>
        <v>26</v>
      </c>
      <c r="AJ124" s="118" t="n">
        <f aca="false">Inputs!$C$13*52/12*1</f>
        <v>26</v>
      </c>
      <c r="AK124" s="118" t="n">
        <f aca="false">Inputs!$C$13*52/12*1</f>
        <v>26</v>
      </c>
      <c r="AL124" s="118" t="n">
        <f aca="false">Inputs!$C$13*52/12*1</f>
        <v>26</v>
      </c>
      <c r="AM124" s="118" t="n">
        <f aca="false">Inputs!$C$13*52/12*1</f>
        <v>26</v>
      </c>
      <c r="AN124" s="118" t="n">
        <f aca="false">Inputs!$C$13*52/12*1</f>
        <v>26</v>
      </c>
      <c r="AO124" s="118" t="n">
        <f aca="false">Inputs!$C$13*52/12*1</f>
        <v>26</v>
      </c>
      <c r="AP124" s="118" t="n">
        <f aca="false">Inputs!$C$13*52/12*1</f>
        <v>26</v>
      </c>
      <c r="AQ124" s="118" t="n">
        <f aca="false">Inputs!$C$13*52/12*1</f>
        <v>26</v>
      </c>
      <c r="AR124" s="118" t="n">
        <f aca="false">Inputs!$C$13*52/12*1</f>
        <v>26</v>
      </c>
      <c r="AS124" s="118" t="n">
        <f aca="false">Inputs!$C$13*52/12*1</f>
        <v>26</v>
      </c>
      <c r="AT124" s="118" t="n">
        <f aca="false">Inputs!$C$13*52/12*1</f>
        <v>26</v>
      </c>
      <c r="AU124" s="118" t="n">
        <f aca="false">Inputs!$C$13*52/12*1</f>
        <v>26</v>
      </c>
      <c r="AV124" s="118" t="n">
        <f aca="false">Inputs!$C$13*52/12*1</f>
        <v>26</v>
      </c>
      <c r="AW124" s="118" t="n">
        <f aca="false">Inputs!$C$13*52/12*1</f>
        <v>26</v>
      </c>
      <c r="AX124" s="118" t="n">
        <f aca="false">Inputs!$C$13*52/12*1</f>
        <v>26</v>
      </c>
      <c r="AY124" s="118" t="n">
        <f aca="false">Inputs!$C$13*52/12*1</f>
        <v>26</v>
      </c>
      <c r="AZ124" s="118" t="n">
        <f aca="false">Inputs!$C$13*52/12*1</f>
        <v>26</v>
      </c>
      <c r="BA124" s="118" t="n">
        <f aca="false">Inputs!$C$13*52/12*1</f>
        <v>26</v>
      </c>
      <c r="BB124" s="118" t="n">
        <f aca="false">Inputs!$C$13*52/12*1</f>
        <v>26</v>
      </c>
      <c r="BC124" s="118" t="n">
        <f aca="false">Inputs!$C$13*52/12*1</f>
        <v>26</v>
      </c>
      <c r="BD124" s="118" t="n">
        <f aca="false">Inputs!$C$13*52/12*1</f>
        <v>26</v>
      </c>
      <c r="BE124" s="118" t="n">
        <f aca="false">Inputs!$C$13*52/12*1</f>
        <v>26</v>
      </c>
      <c r="BF124" s="118" t="n">
        <f aca="false">Inputs!$C$13*52/12*1</f>
        <v>26</v>
      </c>
      <c r="BG124" s="118" t="n">
        <f aca="false">Inputs!$C$13*52/12*1</f>
        <v>26</v>
      </c>
      <c r="BH124" s="118" t="n">
        <f aca="false">Inputs!$C$13*52/12*1</f>
        <v>26</v>
      </c>
      <c r="BI124" s="118" t="n">
        <f aca="false">Inputs!$C$13*52/12*1</f>
        <v>26</v>
      </c>
      <c r="BJ124" s="118" t="n">
        <f aca="false">Inputs!$C$13*52/12*1</f>
        <v>26</v>
      </c>
    </row>
    <row r="125" customFormat="false" ht="15" hidden="false" customHeight="false" outlineLevel="0" collapsed="false">
      <c r="A125" s="6" t="s">
        <v>235</v>
      </c>
      <c r="C125" s="119" t="n">
        <f aca="false">C123*C124</f>
        <v>7155.2</v>
      </c>
      <c r="D125" s="119" t="n">
        <f aca="false">D123*D124</f>
        <v>7571.2</v>
      </c>
      <c r="E125" s="119" t="n">
        <f aca="false">E123*E124</f>
        <v>7987.2</v>
      </c>
      <c r="F125" s="119" t="n">
        <f aca="false">F123*F124</f>
        <v>7987.2</v>
      </c>
      <c r="G125" s="119" t="n">
        <f aca="false">G123*G124</f>
        <v>7987.2</v>
      </c>
      <c r="H125" s="119" t="n">
        <f aca="false">H123*H124</f>
        <v>7987.2</v>
      </c>
      <c r="I125" s="119" t="n">
        <f aca="false">I123*I124</f>
        <v>7987.2</v>
      </c>
      <c r="J125" s="119" t="n">
        <f aca="false">J123*J124</f>
        <v>7987.2</v>
      </c>
      <c r="K125" s="119" t="n">
        <f aca="false">K123*K124</f>
        <v>7987.2</v>
      </c>
      <c r="L125" s="119" t="n">
        <f aca="false">L123*L124</f>
        <v>7987.2</v>
      </c>
      <c r="M125" s="119" t="n">
        <f aca="false">M123*M124</f>
        <v>9984</v>
      </c>
      <c r="N125" s="119" t="n">
        <f aca="false">N123*N124</f>
        <v>9984</v>
      </c>
      <c r="O125" s="119" t="n">
        <f aca="false">O123*O124</f>
        <v>8226.816</v>
      </c>
      <c r="P125" s="119" t="n">
        <f aca="false">P123*P124</f>
        <v>8226.816</v>
      </c>
      <c r="Q125" s="119" t="n">
        <f aca="false">Q123*Q124</f>
        <v>8226.816</v>
      </c>
      <c r="R125" s="119" t="n">
        <f aca="false">R123*R124</f>
        <v>8226.816</v>
      </c>
      <c r="S125" s="119" t="n">
        <f aca="false">S123*S124</f>
        <v>8226.816</v>
      </c>
      <c r="T125" s="119" t="n">
        <f aca="false">T123*T124</f>
        <v>8226.816</v>
      </c>
      <c r="U125" s="119" t="n">
        <f aca="false">U123*U124</f>
        <v>8226.816</v>
      </c>
      <c r="V125" s="119" t="n">
        <f aca="false">V123*V124</f>
        <v>8226.816</v>
      </c>
      <c r="W125" s="119" t="n">
        <f aca="false">W123*W124</f>
        <v>8226.816</v>
      </c>
      <c r="X125" s="119" t="n">
        <f aca="false">X123*X124</f>
        <v>8226.816</v>
      </c>
      <c r="Y125" s="119" t="n">
        <f aca="false">Y123*Y124</f>
        <v>10283.52</v>
      </c>
      <c r="Z125" s="119" t="n">
        <f aca="false">Z123*Z124</f>
        <v>10283.52</v>
      </c>
      <c r="AA125" s="119" t="n">
        <f aca="false">AA123*AA124</f>
        <v>8473.62048</v>
      </c>
      <c r="AB125" s="119" t="n">
        <f aca="false">AB123*AB124</f>
        <v>8473.62048</v>
      </c>
      <c r="AC125" s="119" t="n">
        <f aca="false">AC123*AC124</f>
        <v>8473.62048</v>
      </c>
      <c r="AD125" s="119" t="n">
        <f aca="false">AD123*AD124</f>
        <v>8473.62048</v>
      </c>
      <c r="AE125" s="119" t="n">
        <f aca="false">AE123*AE124</f>
        <v>8473.62048</v>
      </c>
      <c r="AF125" s="119" t="n">
        <f aca="false">AF123*AF124</f>
        <v>8473.62048</v>
      </c>
      <c r="AG125" s="119" t="n">
        <f aca="false">AG123*AG124</f>
        <v>8473.62048</v>
      </c>
      <c r="AH125" s="119" t="n">
        <f aca="false">AH123*AH124</f>
        <v>8473.62048</v>
      </c>
      <c r="AI125" s="119" t="n">
        <f aca="false">AI123*AI124</f>
        <v>8473.62048</v>
      </c>
      <c r="AJ125" s="119" t="n">
        <f aca="false">AJ123*AJ124</f>
        <v>8473.62048</v>
      </c>
      <c r="AK125" s="119" t="n">
        <f aca="false">AK123*AK124</f>
        <v>10592.0256</v>
      </c>
      <c r="AL125" s="119" t="n">
        <f aca="false">AL123*AL124</f>
        <v>10592.0256</v>
      </c>
      <c r="AM125" s="119" t="n">
        <f aca="false">AM123*AM124</f>
        <v>8727.8290944</v>
      </c>
      <c r="AN125" s="119" t="n">
        <f aca="false">AN123*AN124</f>
        <v>8727.8290944</v>
      </c>
      <c r="AO125" s="119" t="n">
        <f aca="false">AO123*AO124</f>
        <v>8727.8290944</v>
      </c>
      <c r="AP125" s="119" t="n">
        <f aca="false">AP123*AP124</f>
        <v>8727.8290944</v>
      </c>
      <c r="AQ125" s="119" t="n">
        <f aca="false">AQ123*AQ124</f>
        <v>8727.8290944</v>
      </c>
      <c r="AR125" s="119" t="n">
        <f aca="false">AR123*AR124</f>
        <v>8727.8290944</v>
      </c>
      <c r="AS125" s="119" t="n">
        <f aca="false">AS123*AS124</f>
        <v>8727.8290944</v>
      </c>
      <c r="AT125" s="119" t="n">
        <f aca="false">AT123*AT124</f>
        <v>8727.8290944</v>
      </c>
      <c r="AU125" s="119" t="n">
        <f aca="false">AU123*AU124</f>
        <v>8727.8290944</v>
      </c>
      <c r="AV125" s="119" t="n">
        <f aca="false">AV123*AV124</f>
        <v>8727.8290944</v>
      </c>
      <c r="AW125" s="119" t="n">
        <f aca="false">AW123*AW124</f>
        <v>10909.786368</v>
      </c>
      <c r="AX125" s="119" t="n">
        <f aca="false">AX123*AX124</f>
        <v>10909.786368</v>
      </c>
      <c r="AY125" s="119" t="n">
        <f aca="false">AY123*AY124</f>
        <v>8989.663967232</v>
      </c>
      <c r="AZ125" s="119" t="n">
        <f aca="false">AZ123*AZ124</f>
        <v>8989.663967232</v>
      </c>
      <c r="BA125" s="119" t="n">
        <f aca="false">BA123*BA124</f>
        <v>8989.663967232</v>
      </c>
      <c r="BB125" s="119" t="n">
        <f aca="false">BB123*BB124</f>
        <v>8989.663967232</v>
      </c>
      <c r="BC125" s="119" t="n">
        <f aca="false">BC123*BC124</f>
        <v>8989.663967232</v>
      </c>
      <c r="BD125" s="119" t="n">
        <f aca="false">BD123*BD124</f>
        <v>8989.663967232</v>
      </c>
      <c r="BE125" s="119" t="n">
        <f aca="false">BE123*BE124</f>
        <v>8989.663967232</v>
      </c>
      <c r="BF125" s="119" t="n">
        <f aca="false">BF123*BF124</f>
        <v>8989.663967232</v>
      </c>
      <c r="BG125" s="119" t="n">
        <f aca="false">BG123*BG124</f>
        <v>8989.663967232</v>
      </c>
      <c r="BH125" s="119" t="n">
        <f aca="false">BH123*BH124</f>
        <v>8989.663967232</v>
      </c>
      <c r="BI125" s="119" t="n">
        <f aca="false">BI123*BI124</f>
        <v>11237.07995904</v>
      </c>
      <c r="BJ125" s="119" t="n">
        <f aca="false">BJ123*BJ124</f>
        <v>11237.07995904</v>
      </c>
    </row>
    <row r="126" customFormat="false" ht="15" hidden="false" customHeight="false" outlineLevel="0" collapsed="false">
      <c r="A126" s="6" t="s">
        <v>405</v>
      </c>
      <c r="C126" s="120" t="n">
        <f aca="false">Inputs!$C$11*(1+Inputs!$C$12)^(C$118-1)</f>
        <v>11.5</v>
      </c>
      <c r="D126" s="120" t="n">
        <f aca="false">Inputs!$C$11*(1+Inputs!$C$12)^(D$118-1)</f>
        <v>11.5</v>
      </c>
      <c r="E126" s="120" t="n">
        <f aca="false">Inputs!$C$11*(1+Inputs!$C$12)^(E$118-1)</f>
        <v>11.5</v>
      </c>
      <c r="F126" s="120" t="n">
        <f aca="false">Inputs!$C$11*(1+Inputs!$C$12)^(F$118-1)</f>
        <v>11.5</v>
      </c>
      <c r="G126" s="120" t="n">
        <f aca="false">Inputs!$C$11*(1+Inputs!$C$12)^(G$118-1)</f>
        <v>11.5</v>
      </c>
      <c r="H126" s="120" t="n">
        <f aca="false">Inputs!$C$11*(1+Inputs!$C$12)^(H$118-1)</f>
        <v>11.5</v>
      </c>
      <c r="I126" s="120" t="n">
        <f aca="false">Inputs!$C$11*(1+Inputs!$C$12)^(I$118-1)</f>
        <v>11.5</v>
      </c>
      <c r="J126" s="120" t="n">
        <f aca="false">Inputs!$C$11*(1+Inputs!$C$12)^(J$118-1)</f>
        <v>11.5</v>
      </c>
      <c r="K126" s="120" t="n">
        <f aca="false">Inputs!$C$11*(1+Inputs!$C$12)^(K$118-1)</f>
        <v>11.5</v>
      </c>
      <c r="L126" s="120" t="n">
        <f aca="false">Inputs!$C$11*(1+Inputs!$C$12)^(L$118-1)</f>
        <v>11.5</v>
      </c>
      <c r="M126" s="120" t="n">
        <f aca="false">Inputs!$C$11*(1+Inputs!$C$12)^(M$118-1)</f>
        <v>11.5</v>
      </c>
      <c r="N126" s="120" t="n">
        <f aca="false">Inputs!$C$11*(1+Inputs!$C$12)^(N$118-1)</f>
        <v>11.5</v>
      </c>
      <c r="O126" s="120" t="n">
        <f aca="false">Inputs!$C$11*(1+Inputs!$C$12)^(O$118-1)</f>
        <v>11.845</v>
      </c>
      <c r="P126" s="120" t="n">
        <f aca="false">Inputs!$C$11*(1+Inputs!$C$12)^(P$118-1)</f>
        <v>11.845</v>
      </c>
      <c r="Q126" s="120" t="n">
        <f aca="false">Inputs!$C$11*(1+Inputs!$C$12)^(Q$118-1)</f>
        <v>11.845</v>
      </c>
      <c r="R126" s="120" t="n">
        <f aca="false">Inputs!$C$11*(1+Inputs!$C$12)^(R$118-1)</f>
        <v>11.845</v>
      </c>
      <c r="S126" s="120" t="n">
        <f aca="false">Inputs!$C$11*(1+Inputs!$C$12)^(S$118-1)</f>
        <v>11.845</v>
      </c>
      <c r="T126" s="120" t="n">
        <f aca="false">Inputs!$C$11*(1+Inputs!$C$12)^(T$118-1)</f>
        <v>11.845</v>
      </c>
      <c r="U126" s="120" t="n">
        <f aca="false">Inputs!$C$11*(1+Inputs!$C$12)^(U$118-1)</f>
        <v>11.845</v>
      </c>
      <c r="V126" s="120" t="n">
        <f aca="false">Inputs!$C$11*(1+Inputs!$C$12)^(V$118-1)</f>
        <v>11.845</v>
      </c>
      <c r="W126" s="120" t="n">
        <f aca="false">Inputs!$C$11*(1+Inputs!$C$12)^(W$118-1)</f>
        <v>11.845</v>
      </c>
      <c r="X126" s="120" t="n">
        <f aca="false">Inputs!$C$11*(1+Inputs!$C$12)^(X$118-1)</f>
        <v>11.845</v>
      </c>
      <c r="Y126" s="120" t="n">
        <f aca="false">Inputs!$C$11*(1+Inputs!$C$12)^(Y$118-1)</f>
        <v>11.845</v>
      </c>
      <c r="Z126" s="120" t="n">
        <f aca="false">Inputs!$C$11*(1+Inputs!$C$12)^(Z$118-1)</f>
        <v>11.845</v>
      </c>
      <c r="AA126" s="120" t="n">
        <f aca="false">Inputs!$C$11*(1+Inputs!$C$12)^(AA$118-1)</f>
        <v>12.20035</v>
      </c>
      <c r="AB126" s="120" t="n">
        <f aca="false">Inputs!$C$11*(1+Inputs!$C$12)^(AB$118-1)</f>
        <v>12.20035</v>
      </c>
      <c r="AC126" s="120" t="n">
        <f aca="false">Inputs!$C$11*(1+Inputs!$C$12)^(AC$118-1)</f>
        <v>12.20035</v>
      </c>
      <c r="AD126" s="120" t="n">
        <f aca="false">Inputs!$C$11*(1+Inputs!$C$12)^(AD$118-1)</f>
        <v>12.20035</v>
      </c>
      <c r="AE126" s="120" t="n">
        <f aca="false">Inputs!$C$11*(1+Inputs!$C$12)^(AE$118-1)</f>
        <v>12.20035</v>
      </c>
      <c r="AF126" s="120" t="n">
        <f aca="false">Inputs!$C$11*(1+Inputs!$C$12)^(AF$118-1)</f>
        <v>12.20035</v>
      </c>
      <c r="AG126" s="120" t="n">
        <f aca="false">Inputs!$C$11*(1+Inputs!$C$12)^(AG$118-1)</f>
        <v>12.20035</v>
      </c>
      <c r="AH126" s="120" t="n">
        <f aca="false">Inputs!$C$11*(1+Inputs!$C$12)^(AH$118-1)</f>
        <v>12.20035</v>
      </c>
      <c r="AI126" s="120" t="n">
        <f aca="false">Inputs!$C$11*(1+Inputs!$C$12)^(AI$118-1)</f>
        <v>12.20035</v>
      </c>
      <c r="AJ126" s="120" t="n">
        <f aca="false">Inputs!$C$11*(1+Inputs!$C$12)^(AJ$118-1)</f>
        <v>12.20035</v>
      </c>
      <c r="AK126" s="120" t="n">
        <f aca="false">Inputs!$C$11*(1+Inputs!$C$12)^(AK$118-1)</f>
        <v>12.20035</v>
      </c>
      <c r="AL126" s="120" t="n">
        <f aca="false">Inputs!$C$11*(1+Inputs!$C$12)^(AL$118-1)</f>
        <v>12.20035</v>
      </c>
      <c r="AM126" s="120" t="n">
        <f aca="false">Inputs!$C$11*(1+Inputs!$C$12)^(AM$118-1)</f>
        <v>12.5663605</v>
      </c>
      <c r="AN126" s="120" t="n">
        <f aca="false">Inputs!$C$11*(1+Inputs!$C$12)^(AN$118-1)</f>
        <v>12.5663605</v>
      </c>
      <c r="AO126" s="120" t="n">
        <f aca="false">Inputs!$C$11*(1+Inputs!$C$12)^(AO$118-1)</f>
        <v>12.5663605</v>
      </c>
      <c r="AP126" s="120" t="n">
        <f aca="false">Inputs!$C$11*(1+Inputs!$C$12)^(AP$118-1)</f>
        <v>12.5663605</v>
      </c>
      <c r="AQ126" s="120" t="n">
        <f aca="false">Inputs!$C$11*(1+Inputs!$C$12)^(AQ$118-1)</f>
        <v>12.5663605</v>
      </c>
      <c r="AR126" s="120" t="n">
        <f aca="false">Inputs!$C$11*(1+Inputs!$C$12)^(AR$118-1)</f>
        <v>12.5663605</v>
      </c>
      <c r="AS126" s="120" t="n">
        <f aca="false">Inputs!$C$11*(1+Inputs!$C$12)^(AS$118-1)</f>
        <v>12.5663605</v>
      </c>
      <c r="AT126" s="120" t="n">
        <f aca="false">Inputs!$C$11*(1+Inputs!$C$12)^(AT$118-1)</f>
        <v>12.5663605</v>
      </c>
      <c r="AU126" s="120" t="n">
        <f aca="false">Inputs!$C$11*(1+Inputs!$C$12)^(AU$118-1)</f>
        <v>12.5663605</v>
      </c>
      <c r="AV126" s="120" t="n">
        <f aca="false">Inputs!$C$11*(1+Inputs!$C$12)^(AV$118-1)</f>
        <v>12.5663605</v>
      </c>
      <c r="AW126" s="120" t="n">
        <f aca="false">Inputs!$C$11*(1+Inputs!$C$12)^(AW$118-1)</f>
        <v>12.5663605</v>
      </c>
      <c r="AX126" s="120" t="n">
        <f aca="false">Inputs!$C$11*(1+Inputs!$C$12)^(AX$118-1)</f>
        <v>12.5663605</v>
      </c>
      <c r="AY126" s="120" t="n">
        <f aca="false">Inputs!$C$11*(1+Inputs!$C$12)^(AY$118-1)</f>
        <v>12.943351315</v>
      </c>
      <c r="AZ126" s="120" t="n">
        <f aca="false">Inputs!$C$11*(1+Inputs!$C$12)^(AZ$118-1)</f>
        <v>12.943351315</v>
      </c>
      <c r="BA126" s="120" t="n">
        <f aca="false">Inputs!$C$11*(1+Inputs!$C$12)^(BA$118-1)</f>
        <v>12.943351315</v>
      </c>
      <c r="BB126" s="120" t="n">
        <f aca="false">Inputs!$C$11*(1+Inputs!$C$12)^(BB$118-1)</f>
        <v>12.943351315</v>
      </c>
      <c r="BC126" s="120" t="n">
        <f aca="false">Inputs!$C$11*(1+Inputs!$C$12)^(BC$118-1)</f>
        <v>12.943351315</v>
      </c>
      <c r="BD126" s="120" t="n">
        <f aca="false">Inputs!$C$11*(1+Inputs!$C$12)^(BD$118-1)</f>
        <v>12.943351315</v>
      </c>
      <c r="BE126" s="120" t="n">
        <f aca="false">Inputs!$C$11*(1+Inputs!$C$12)^(BE$118-1)</f>
        <v>12.943351315</v>
      </c>
      <c r="BF126" s="120" t="n">
        <f aca="false">Inputs!$C$11*(1+Inputs!$C$12)^(BF$118-1)</f>
        <v>12.943351315</v>
      </c>
      <c r="BG126" s="120" t="n">
        <f aca="false">Inputs!$C$11*(1+Inputs!$C$12)^(BG$118-1)</f>
        <v>12.943351315</v>
      </c>
      <c r="BH126" s="120" t="n">
        <f aca="false">Inputs!$C$11*(1+Inputs!$C$12)^(BH$118-1)</f>
        <v>12.943351315</v>
      </c>
      <c r="BI126" s="120" t="n">
        <f aca="false">Inputs!$C$11*(1+Inputs!$C$12)^(BI$118-1)</f>
        <v>12.943351315</v>
      </c>
      <c r="BJ126" s="120" t="n">
        <f aca="false">Inputs!$C$11*(1+Inputs!$C$12)^(BJ$118-1)</f>
        <v>12.943351315</v>
      </c>
    </row>
    <row r="127" customFormat="false" ht="15" hidden="false" customHeight="false" outlineLevel="0" collapsed="false">
      <c r="A127" s="6" t="s">
        <v>406</v>
      </c>
      <c r="C127" s="67" t="n">
        <f aca="false">C125*C126</f>
        <v>82284.8</v>
      </c>
      <c r="D127" s="67" t="n">
        <f aca="false">D125*D126</f>
        <v>87068.8</v>
      </c>
      <c r="E127" s="67" t="n">
        <f aca="false">E125*E126</f>
        <v>91852.8</v>
      </c>
      <c r="F127" s="67" t="n">
        <f aca="false">F125*F126</f>
        <v>91852.8</v>
      </c>
      <c r="G127" s="67" t="n">
        <f aca="false">G125*G126</f>
        <v>91852.8</v>
      </c>
      <c r="H127" s="67" t="n">
        <f aca="false">H125*H126</f>
        <v>91852.8</v>
      </c>
      <c r="I127" s="67" t="n">
        <f aca="false">I125*I126</f>
        <v>91852.8</v>
      </c>
      <c r="J127" s="67" t="n">
        <f aca="false">J125*J126</f>
        <v>91852.8</v>
      </c>
      <c r="K127" s="67" t="n">
        <f aca="false">K125*K126</f>
        <v>91852.8</v>
      </c>
      <c r="L127" s="67" t="n">
        <f aca="false">L125*L126</f>
        <v>91852.8</v>
      </c>
      <c r="M127" s="67" t="n">
        <f aca="false">M125*M126</f>
        <v>114816</v>
      </c>
      <c r="N127" s="67" t="n">
        <f aca="false">N125*N126</f>
        <v>114816</v>
      </c>
      <c r="O127" s="67" t="n">
        <f aca="false">O125*O126</f>
        <v>97446.63552</v>
      </c>
      <c r="P127" s="67" t="n">
        <f aca="false">P125*P126</f>
        <v>97446.63552</v>
      </c>
      <c r="Q127" s="67" t="n">
        <f aca="false">Q125*Q126</f>
        <v>97446.63552</v>
      </c>
      <c r="R127" s="67" t="n">
        <f aca="false">R125*R126</f>
        <v>97446.63552</v>
      </c>
      <c r="S127" s="67" t="n">
        <f aca="false">S125*S126</f>
        <v>97446.63552</v>
      </c>
      <c r="T127" s="67" t="n">
        <f aca="false">T125*T126</f>
        <v>97446.63552</v>
      </c>
      <c r="U127" s="67" t="n">
        <f aca="false">U125*U126</f>
        <v>97446.63552</v>
      </c>
      <c r="V127" s="67" t="n">
        <f aca="false">V125*V126</f>
        <v>97446.63552</v>
      </c>
      <c r="W127" s="67" t="n">
        <f aca="false">W125*W126</f>
        <v>97446.63552</v>
      </c>
      <c r="X127" s="67" t="n">
        <f aca="false">X125*X126</f>
        <v>97446.63552</v>
      </c>
      <c r="Y127" s="67" t="n">
        <f aca="false">Y125*Y126</f>
        <v>121808.2944</v>
      </c>
      <c r="Z127" s="67" t="n">
        <f aca="false">Z125*Z126</f>
        <v>121808.2944</v>
      </c>
      <c r="AA127" s="67" t="n">
        <f aca="false">AA125*AA126</f>
        <v>103381.135623168</v>
      </c>
      <c r="AB127" s="67" t="n">
        <f aca="false">AB125*AB126</f>
        <v>103381.135623168</v>
      </c>
      <c r="AC127" s="67" t="n">
        <f aca="false">AC125*AC126</f>
        <v>103381.135623168</v>
      </c>
      <c r="AD127" s="67" t="n">
        <f aca="false">AD125*AD126</f>
        <v>103381.135623168</v>
      </c>
      <c r="AE127" s="67" t="n">
        <f aca="false">AE125*AE126</f>
        <v>103381.135623168</v>
      </c>
      <c r="AF127" s="67" t="n">
        <f aca="false">AF125*AF126</f>
        <v>103381.135623168</v>
      </c>
      <c r="AG127" s="67" t="n">
        <f aca="false">AG125*AG126</f>
        <v>103381.135623168</v>
      </c>
      <c r="AH127" s="67" t="n">
        <f aca="false">AH125*AH126</f>
        <v>103381.135623168</v>
      </c>
      <c r="AI127" s="67" t="n">
        <f aca="false">AI125*AI126</f>
        <v>103381.135623168</v>
      </c>
      <c r="AJ127" s="67" t="n">
        <f aca="false">AJ125*AJ126</f>
        <v>103381.135623168</v>
      </c>
      <c r="AK127" s="67" t="n">
        <f aca="false">AK125*AK126</f>
        <v>129226.41952896</v>
      </c>
      <c r="AL127" s="67" t="n">
        <f aca="false">AL125*AL126</f>
        <v>129226.41952896</v>
      </c>
      <c r="AM127" s="67" t="n">
        <f aca="false">AM125*AM126</f>
        <v>109677.046782619</v>
      </c>
      <c r="AN127" s="67" t="n">
        <f aca="false">AN125*AN126</f>
        <v>109677.046782619</v>
      </c>
      <c r="AO127" s="67" t="n">
        <f aca="false">AO125*AO126</f>
        <v>109677.046782619</v>
      </c>
      <c r="AP127" s="67" t="n">
        <f aca="false">AP125*AP126</f>
        <v>109677.046782619</v>
      </c>
      <c r="AQ127" s="67" t="n">
        <f aca="false">AQ125*AQ126</f>
        <v>109677.046782619</v>
      </c>
      <c r="AR127" s="67" t="n">
        <f aca="false">AR125*AR126</f>
        <v>109677.046782619</v>
      </c>
      <c r="AS127" s="67" t="n">
        <f aca="false">AS125*AS126</f>
        <v>109677.046782619</v>
      </c>
      <c r="AT127" s="67" t="n">
        <f aca="false">AT125*AT126</f>
        <v>109677.046782619</v>
      </c>
      <c r="AU127" s="67" t="n">
        <f aca="false">AU125*AU126</f>
        <v>109677.046782619</v>
      </c>
      <c r="AV127" s="67" t="n">
        <f aca="false">AV125*AV126</f>
        <v>109677.046782619</v>
      </c>
      <c r="AW127" s="67" t="n">
        <f aca="false">AW125*AW126</f>
        <v>137096.308478274</v>
      </c>
      <c r="AX127" s="67" t="n">
        <f aca="false">AX125*AX126</f>
        <v>137096.308478274</v>
      </c>
      <c r="AY127" s="67" t="n">
        <f aca="false">AY125*AY126</f>
        <v>116356.37893168</v>
      </c>
      <c r="AZ127" s="67" t="n">
        <f aca="false">AZ125*AZ126</f>
        <v>116356.37893168</v>
      </c>
      <c r="BA127" s="67" t="n">
        <f aca="false">BA125*BA126</f>
        <v>116356.37893168</v>
      </c>
      <c r="BB127" s="67" t="n">
        <f aca="false">BB125*BB126</f>
        <v>116356.37893168</v>
      </c>
      <c r="BC127" s="67" t="n">
        <f aca="false">BC125*BC126</f>
        <v>116356.37893168</v>
      </c>
      <c r="BD127" s="67" t="n">
        <f aca="false">BD125*BD126</f>
        <v>116356.37893168</v>
      </c>
      <c r="BE127" s="67" t="n">
        <f aca="false">BE125*BE126</f>
        <v>116356.37893168</v>
      </c>
      <c r="BF127" s="67" t="n">
        <f aca="false">BF125*BF126</f>
        <v>116356.37893168</v>
      </c>
      <c r="BG127" s="67" t="n">
        <f aca="false">BG125*BG126</f>
        <v>116356.37893168</v>
      </c>
      <c r="BH127" s="67" t="n">
        <f aca="false">BH125*BH126</f>
        <v>116356.37893168</v>
      </c>
      <c r="BI127" s="67" t="n">
        <f aca="false">BI125*BI126</f>
        <v>145445.473664601</v>
      </c>
      <c r="BJ127" s="67" t="n">
        <f aca="false">BJ125*BJ126</f>
        <v>145445.473664601</v>
      </c>
    </row>
    <row r="129" customFormat="false" ht="15.75" hidden="false" customHeight="true" outlineLevel="0" collapsed="false">
      <c r="A129" s="7" t="s">
        <v>265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customFormat="false" ht="15" hidden="false" customHeight="false" outlineLevel="0" collapsed="false">
      <c r="A130" s="6" t="s">
        <v>61</v>
      </c>
      <c r="C130" s="118" t="n">
        <f aca="false">Inputs!$C$17*C121*(1+Inputs!$C$18)^(C$118-1)</f>
        <v>14.4</v>
      </c>
      <c r="D130" s="118" t="n">
        <f aca="false">Inputs!$C$17*D121*(1+Inputs!$C$18)^(D$118-1)</f>
        <v>15.2</v>
      </c>
      <c r="E130" s="118" t="n">
        <f aca="false">Inputs!$C$17*E121*(1+Inputs!$C$18)^(E$118-1)</f>
        <v>16</v>
      </c>
      <c r="F130" s="118" t="n">
        <f aca="false">Inputs!$C$17*F121*(1+Inputs!$C$18)^(F$118-1)</f>
        <v>16</v>
      </c>
      <c r="G130" s="118" t="n">
        <f aca="false">Inputs!$C$17*G121*(1+Inputs!$C$18)^(G$118-1)</f>
        <v>16</v>
      </c>
      <c r="H130" s="118" t="n">
        <f aca="false">Inputs!$C$17*H121*(1+Inputs!$C$18)^(H$118-1)</f>
        <v>16</v>
      </c>
      <c r="I130" s="118" t="n">
        <f aca="false">Inputs!$C$17*I121*(1+Inputs!$C$18)^(I$118-1)</f>
        <v>16</v>
      </c>
      <c r="J130" s="118" t="n">
        <f aca="false">Inputs!$C$17*J121*(1+Inputs!$C$18)^(J$118-1)</f>
        <v>16</v>
      </c>
      <c r="K130" s="118" t="n">
        <f aca="false">Inputs!$C$17*K121*(1+Inputs!$C$18)^(K$118-1)</f>
        <v>16</v>
      </c>
      <c r="L130" s="118" t="n">
        <f aca="false">Inputs!$C$17*L121*(1+Inputs!$C$18)^(L$118-1)</f>
        <v>16</v>
      </c>
      <c r="M130" s="118" t="n">
        <f aca="false">Inputs!$C$17*M121*(1+Inputs!$C$18)^(M$118-1)</f>
        <v>16</v>
      </c>
      <c r="N130" s="118" t="n">
        <f aca="false">Inputs!$C$17*N121*(1+Inputs!$C$18)^(N$118-1)</f>
        <v>16</v>
      </c>
      <c r="O130" s="118" t="n">
        <f aca="false">Inputs!$C$17*O121*(1+Inputs!$C$18)^(O$118-1)</f>
        <v>17.92</v>
      </c>
      <c r="P130" s="118" t="n">
        <f aca="false">Inputs!$C$17*P121*(1+Inputs!$C$18)^(P$118-1)</f>
        <v>17.92</v>
      </c>
      <c r="Q130" s="118" t="n">
        <f aca="false">Inputs!$C$17*Q121*(1+Inputs!$C$18)^(Q$118-1)</f>
        <v>17.92</v>
      </c>
      <c r="R130" s="118" t="n">
        <f aca="false">Inputs!$C$17*R121*(1+Inputs!$C$18)^(R$118-1)</f>
        <v>17.92</v>
      </c>
      <c r="S130" s="118" t="n">
        <f aca="false">Inputs!$C$17*S121*(1+Inputs!$C$18)^(S$118-1)</f>
        <v>17.92</v>
      </c>
      <c r="T130" s="118" t="n">
        <f aca="false">Inputs!$C$17*T121*(1+Inputs!$C$18)^(T$118-1)</f>
        <v>17.92</v>
      </c>
      <c r="U130" s="118" t="n">
        <f aca="false">Inputs!$C$17*U121*(1+Inputs!$C$18)^(U$118-1)</f>
        <v>17.92</v>
      </c>
      <c r="V130" s="118" t="n">
        <f aca="false">Inputs!$C$17*V121*(1+Inputs!$C$18)^(V$118-1)</f>
        <v>17.92</v>
      </c>
      <c r="W130" s="118" t="n">
        <f aca="false">Inputs!$C$17*W121*(1+Inputs!$C$18)^(W$118-1)</f>
        <v>17.92</v>
      </c>
      <c r="X130" s="118" t="n">
        <f aca="false">Inputs!$C$17*X121*(1+Inputs!$C$18)^(X$118-1)</f>
        <v>17.92</v>
      </c>
      <c r="Y130" s="118" t="n">
        <f aca="false">Inputs!$C$17*Y121*(1+Inputs!$C$18)^(Y$118-1)</f>
        <v>17.92</v>
      </c>
      <c r="Z130" s="118" t="n">
        <f aca="false">Inputs!$C$17*Z121*(1+Inputs!$C$18)^(Z$118-1)</f>
        <v>17.92</v>
      </c>
      <c r="AA130" s="118" t="n">
        <f aca="false">Inputs!$C$17*AA121*(1+Inputs!$C$18)^(AA$118-1)</f>
        <v>20.0704</v>
      </c>
      <c r="AB130" s="118" t="n">
        <f aca="false">Inputs!$C$17*AB121*(1+Inputs!$C$18)^(AB$118-1)</f>
        <v>20.0704</v>
      </c>
      <c r="AC130" s="118" t="n">
        <f aca="false">Inputs!$C$17*AC121*(1+Inputs!$C$18)^(AC$118-1)</f>
        <v>20.0704</v>
      </c>
      <c r="AD130" s="118" t="n">
        <f aca="false">Inputs!$C$17*AD121*(1+Inputs!$C$18)^(AD$118-1)</f>
        <v>20.0704</v>
      </c>
      <c r="AE130" s="118" t="n">
        <f aca="false">Inputs!$C$17*AE121*(1+Inputs!$C$18)^(AE$118-1)</f>
        <v>20.0704</v>
      </c>
      <c r="AF130" s="118" t="n">
        <f aca="false">Inputs!$C$17*AF121*(1+Inputs!$C$18)^(AF$118-1)</f>
        <v>20.0704</v>
      </c>
      <c r="AG130" s="118" t="n">
        <f aca="false">Inputs!$C$17*AG121*(1+Inputs!$C$18)^(AG$118-1)</f>
        <v>20.0704</v>
      </c>
      <c r="AH130" s="118" t="n">
        <f aca="false">Inputs!$C$17*AH121*(1+Inputs!$C$18)^(AH$118-1)</f>
        <v>20.0704</v>
      </c>
      <c r="AI130" s="118" t="n">
        <f aca="false">Inputs!$C$17*AI121*(1+Inputs!$C$18)^(AI$118-1)</f>
        <v>20.0704</v>
      </c>
      <c r="AJ130" s="118" t="n">
        <f aca="false">Inputs!$C$17*AJ121*(1+Inputs!$C$18)^(AJ$118-1)</f>
        <v>20.0704</v>
      </c>
      <c r="AK130" s="118" t="n">
        <f aca="false">Inputs!$C$17*AK121*(1+Inputs!$C$18)^(AK$118-1)</f>
        <v>20.0704</v>
      </c>
      <c r="AL130" s="118" t="n">
        <f aca="false">Inputs!$C$17*AL121*(1+Inputs!$C$18)^(AL$118-1)</f>
        <v>20.0704</v>
      </c>
      <c r="AM130" s="118" t="n">
        <f aca="false">Inputs!$C$17*AM121*(1+Inputs!$C$18)^(AM$118-1)</f>
        <v>22.478848</v>
      </c>
      <c r="AN130" s="118" t="n">
        <f aca="false">Inputs!$C$17*AN121*(1+Inputs!$C$18)^(AN$118-1)</f>
        <v>22.478848</v>
      </c>
      <c r="AO130" s="118" t="n">
        <f aca="false">Inputs!$C$17*AO121*(1+Inputs!$C$18)^(AO$118-1)</f>
        <v>22.478848</v>
      </c>
      <c r="AP130" s="118" t="n">
        <f aca="false">Inputs!$C$17*AP121*(1+Inputs!$C$18)^(AP$118-1)</f>
        <v>22.478848</v>
      </c>
      <c r="AQ130" s="118" t="n">
        <f aca="false">Inputs!$C$17*AQ121*(1+Inputs!$C$18)^(AQ$118-1)</f>
        <v>22.478848</v>
      </c>
      <c r="AR130" s="118" t="n">
        <f aca="false">Inputs!$C$17*AR121*(1+Inputs!$C$18)^(AR$118-1)</f>
        <v>22.478848</v>
      </c>
      <c r="AS130" s="118" t="n">
        <f aca="false">Inputs!$C$17*AS121*(1+Inputs!$C$18)^(AS$118-1)</f>
        <v>22.478848</v>
      </c>
      <c r="AT130" s="118" t="n">
        <f aca="false">Inputs!$C$17*AT121*(1+Inputs!$C$18)^(AT$118-1)</f>
        <v>22.478848</v>
      </c>
      <c r="AU130" s="118" t="n">
        <f aca="false">Inputs!$C$17*AU121*(1+Inputs!$C$18)^(AU$118-1)</f>
        <v>22.478848</v>
      </c>
      <c r="AV130" s="118" t="n">
        <f aca="false">Inputs!$C$17*AV121*(1+Inputs!$C$18)^(AV$118-1)</f>
        <v>22.478848</v>
      </c>
      <c r="AW130" s="118" t="n">
        <f aca="false">Inputs!$C$17*AW121*(1+Inputs!$C$18)^(AW$118-1)</f>
        <v>22.478848</v>
      </c>
      <c r="AX130" s="118" t="n">
        <f aca="false">Inputs!$C$17*AX121*(1+Inputs!$C$18)^(AX$118-1)</f>
        <v>22.478848</v>
      </c>
      <c r="AY130" s="118" t="n">
        <f aca="false">Inputs!$C$17*AY121*(1+Inputs!$C$18)^(AY$118-1)</f>
        <v>25.17630976</v>
      </c>
      <c r="AZ130" s="118" t="n">
        <f aca="false">Inputs!$C$17*AZ121*(1+Inputs!$C$18)^(AZ$118-1)</f>
        <v>25.17630976</v>
      </c>
      <c r="BA130" s="118" t="n">
        <f aca="false">Inputs!$C$17*BA121*(1+Inputs!$C$18)^(BA$118-1)</f>
        <v>25.17630976</v>
      </c>
      <c r="BB130" s="118" t="n">
        <f aca="false">Inputs!$C$17*BB121*(1+Inputs!$C$18)^(BB$118-1)</f>
        <v>25.17630976</v>
      </c>
      <c r="BC130" s="118" t="n">
        <f aca="false">Inputs!$C$17*BC121*(1+Inputs!$C$18)^(BC$118-1)</f>
        <v>25.17630976</v>
      </c>
      <c r="BD130" s="118" t="n">
        <f aca="false">Inputs!$C$17*BD121*(1+Inputs!$C$18)^(BD$118-1)</f>
        <v>25.17630976</v>
      </c>
      <c r="BE130" s="118" t="n">
        <f aca="false">Inputs!$C$17*BE121*(1+Inputs!$C$18)^(BE$118-1)</f>
        <v>25.17630976</v>
      </c>
      <c r="BF130" s="118" t="n">
        <f aca="false">Inputs!$C$17*BF121*(1+Inputs!$C$18)^(BF$118-1)</f>
        <v>25.17630976</v>
      </c>
      <c r="BG130" s="118" t="n">
        <f aca="false">Inputs!$C$17*BG121*(1+Inputs!$C$18)^(BG$118-1)</f>
        <v>25.17630976</v>
      </c>
      <c r="BH130" s="118" t="n">
        <f aca="false">Inputs!$C$17*BH121*(1+Inputs!$C$18)^(BH$118-1)</f>
        <v>25.17630976</v>
      </c>
      <c r="BI130" s="118" t="n">
        <f aca="false">Inputs!$C$17*BI121*(1+Inputs!$C$18)^(BI$118-1)</f>
        <v>25.17630976</v>
      </c>
      <c r="BJ130" s="118" t="n">
        <f aca="false">Inputs!$C$17*BJ121*(1+Inputs!$C$18)^(BJ$118-1)</f>
        <v>25.17630976</v>
      </c>
    </row>
    <row r="131" customFormat="false" ht="15" hidden="false" customHeight="false" outlineLevel="0" collapsed="false">
      <c r="A131" s="6" t="s">
        <v>407</v>
      </c>
      <c r="C131" s="67" t="n">
        <f aca="false">Inputs!$C$19*(1+Inputs!$C$12)^(C$118-1)</f>
        <v>540</v>
      </c>
      <c r="D131" s="67" t="n">
        <f aca="false">Inputs!$C$19*(1+Inputs!$C$12)^(D$118-1)</f>
        <v>540</v>
      </c>
      <c r="E131" s="67" t="n">
        <f aca="false">Inputs!$C$19*(1+Inputs!$C$12)^(E$118-1)</f>
        <v>540</v>
      </c>
      <c r="F131" s="67" t="n">
        <f aca="false">Inputs!$C$19*(1+Inputs!$C$12)^(F$118-1)</f>
        <v>540</v>
      </c>
      <c r="G131" s="67" t="n">
        <f aca="false">Inputs!$C$19*(1+Inputs!$C$12)^(G$118-1)</f>
        <v>540</v>
      </c>
      <c r="H131" s="67" t="n">
        <f aca="false">Inputs!$C$19*(1+Inputs!$C$12)^(H$118-1)</f>
        <v>540</v>
      </c>
      <c r="I131" s="67" t="n">
        <f aca="false">Inputs!$C$19*(1+Inputs!$C$12)^(I$118-1)</f>
        <v>540</v>
      </c>
      <c r="J131" s="67" t="n">
        <f aca="false">Inputs!$C$19*(1+Inputs!$C$12)^(J$118-1)</f>
        <v>540</v>
      </c>
      <c r="K131" s="67" t="n">
        <f aca="false">Inputs!$C$19*(1+Inputs!$C$12)^(K$118-1)</f>
        <v>540</v>
      </c>
      <c r="L131" s="67" t="n">
        <f aca="false">Inputs!$C$19*(1+Inputs!$C$12)^(L$118-1)</f>
        <v>540</v>
      </c>
      <c r="M131" s="67" t="n">
        <f aca="false">Inputs!$C$19*(1+Inputs!$C$12)^(M$118-1)</f>
        <v>540</v>
      </c>
      <c r="N131" s="67" t="n">
        <f aca="false">Inputs!$C$19*(1+Inputs!$C$12)^(N$118-1)</f>
        <v>540</v>
      </c>
      <c r="O131" s="67" t="n">
        <f aca="false">Inputs!$C$19*(1+Inputs!$C$12)^(O$118-1)</f>
        <v>556.2</v>
      </c>
      <c r="P131" s="67" t="n">
        <f aca="false">Inputs!$C$19*(1+Inputs!$C$12)^(P$118-1)</f>
        <v>556.2</v>
      </c>
      <c r="Q131" s="67" t="n">
        <f aca="false">Inputs!$C$19*(1+Inputs!$C$12)^(Q$118-1)</f>
        <v>556.2</v>
      </c>
      <c r="R131" s="67" t="n">
        <f aca="false">Inputs!$C$19*(1+Inputs!$C$12)^(R$118-1)</f>
        <v>556.2</v>
      </c>
      <c r="S131" s="67" t="n">
        <f aca="false">Inputs!$C$19*(1+Inputs!$C$12)^(S$118-1)</f>
        <v>556.2</v>
      </c>
      <c r="T131" s="67" t="n">
        <f aca="false">Inputs!$C$19*(1+Inputs!$C$12)^(T$118-1)</f>
        <v>556.2</v>
      </c>
      <c r="U131" s="67" t="n">
        <f aca="false">Inputs!$C$19*(1+Inputs!$C$12)^(U$118-1)</f>
        <v>556.2</v>
      </c>
      <c r="V131" s="67" t="n">
        <f aca="false">Inputs!$C$19*(1+Inputs!$C$12)^(V$118-1)</f>
        <v>556.2</v>
      </c>
      <c r="W131" s="67" t="n">
        <f aca="false">Inputs!$C$19*(1+Inputs!$C$12)^(W$118-1)</f>
        <v>556.2</v>
      </c>
      <c r="X131" s="67" t="n">
        <f aca="false">Inputs!$C$19*(1+Inputs!$C$12)^(X$118-1)</f>
        <v>556.2</v>
      </c>
      <c r="Y131" s="67" t="n">
        <f aca="false">Inputs!$C$19*(1+Inputs!$C$12)^(Y$118-1)</f>
        <v>556.2</v>
      </c>
      <c r="Z131" s="67" t="n">
        <f aca="false">Inputs!$C$19*(1+Inputs!$C$12)^(Z$118-1)</f>
        <v>556.2</v>
      </c>
      <c r="AA131" s="67" t="n">
        <f aca="false">Inputs!$C$19*(1+Inputs!$C$12)^(AA$118-1)</f>
        <v>572.886</v>
      </c>
      <c r="AB131" s="67" t="n">
        <f aca="false">Inputs!$C$19*(1+Inputs!$C$12)^(AB$118-1)</f>
        <v>572.886</v>
      </c>
      <c r="AC131" s="67" t="n">
        <f aca="false">Inputs!$C$19*(1+Inputs!$C$12)^(AC$118-1)</f>
        <v>572.886</v>
      </c>
      <c r="AD131" s="67" t="n">
        <f aca="false">Inputs!$C$19*(1+Inputs!$C$12)^(AD$118-1)</f>
        <v>572.886</v>
      </c>
      <c r="AE131" s="67" t="n">
        <f aca="false">Inputs!$C$19*(1+Inputs!$C$12)^(AE$118-1)</f>
        <v>572.886</v>
      </c>
      <c r="AF131" s="67" t="n">
        <f aca="false">Inputs!$C$19*(1+Inputs!$C$12)^(AF$118-1)</f>
        <v>572.886</v>
      </c>
      <c r="AG131" s="67" t="n">
        <f aca="false">Inputs!$C$19*(1+Inputs!$C$12)^(AG$118-1)</f>
        <v>572.886</v>
      </c>
      <c r="AH131" s="67" t="n">
        <f aca="false">Inputs!$C$19*(1+Inputs!$C$12)^(AH$118-1)</f>
        <v>572.886</v>
      </c>
      <c r="AI131" s="67" t="n">
        <f aca="false">Inputs!$C$19*(1+Inputs!$C$12)^(AI$118-1)</f>
        <v>572.886</v>
      </c>
      <c r="AJ131" s="67" t="n">
        <f aca="false">Inputs!$C$19*(1+Inputs!$C$12)^(AJ$118-1)</f>
        <v>572.886</v>
      </c>
      <c r="AK131" s="67" t="n">
        <f aca="false">Inputs!$C$19*(1+Inputs!$C$12)^(AK$118-1)</f>
        <v>572.886</v>
      </c>
      <c r="AL131" s="67" t="n">
        <f aca="false">Inputs!$C$19*(1+Inputs!$C$12)^(AL$118-1)</f>
        <v>572.886</v>
      </c>
      <c r="AM131" s="67" t="n">
        <f aca="false">Inputs!$C$19*(1+Inputs!$C$12)^(AM$118-1)</f>
        <v>590.07258</v>
      </c>
      <c r="AN131" s="67" t="n">
        <f aca="false">Inputs!$C$19*(1+Inputs!$C$12)^(AN$118-1)</f>
        <v>590.07258</v>
      </c>
      <c r="AO131" s="67" t="n">
        <f aca="false">Inputs!$C$19*(1+Inputs!$C$12)^(AO$118-1)</f>
        <v>590.07258</v>
      </c>
      <c r="AP131" s="67" t="n">
        <f aca="false">Inputs!$C$19*(1+Inputs!$C$12)^(AP$118-1)</f>
        <v>590.07258</v>
      </c>
      <c r="AQ131" s="67" t="n">
        <f aca="false">Inputs!$C$19*(1+Inputs!$C$12)^(AQ$118-1)</f>
        <v>590.07258</v>
      </c>
      <c r="AR131" s="67" t="n">
        <f aca="false">Inputs!$C$19*(1+Inputs!$C$12)^(AR$118-1)</f>
        <v>590.07258</v>
      </c>
      <c r="AS131" s="67" t="n">
        <f aca="false">Inputs!$C$19*(1+Inputs!$C$12)^(AS$118-1)</f>
        <v>590.07258</v>
      </c>
      <c r="AT131" s="67" t="n">
        <f aca="false">Inputs!$C$19*(1+Inputs!$C$12)^(AT$118-1)</f>
        <v>590.07258</v>
      </c>
      <c r="AU131" s="67" t="n">
        <f aca="false">Inputs!$C$19*(1+Inputs!$C$12)^(AU$118-1)</f>
        <v>590.07258</v>
      </c>
      <c r="AV131" s="67" t="n">
        <f aca="false">Inputs!$C$19*(1+Inputs!$C$12)^(AV$118-1)</f>
        <v>590.07258</v>
      </c>
      <c r="AW131" s="67" t="n">
        <f aca="false">Inputs!$C$19*(1+Inputs!$C$12)^(AW$118-1)</f>
        <v>590.07258</v>
      </c>
      <c r="AX131" s="67" t="n">
        <f aca="false">Inputs!$C$19*(1+Inputs!$C$12)^(AX$118-1)</f>
        <v>590.07258</v>
      </c>
      <c r="AY131" s="67" t="n">
        <f aca="false">Inputs!$C$19*(1+Inputs!$C$12)^(AY$118-1)</f>
        <v>607.7747574</v>
      </c>
      <c r="AZ131" s="67" t="n">
        <f aca="false">Inputs!$C$19*(1+Inputs!$C$12)^(AZ$118-1)</f>
        <v>607.7747574</v>
      </c>
      <c r="BA131" s="67" t="n">
        <f aca="false">Inputs!$C$19*(1+Inputs!$C$12)^(BA$118-1)</f>
        <v>607.7747574</v>
      </c>
      <c r="BB131" s="67" t="n">
        <f aca="false">Inputs!$C$19*(1+Inputs!$C$12)^(BB$118-1)</f>
        <v>607.7747574</v>
      </c>
      <c r="BC131" s="67" t="n">
        <f aca="false">Inputs!$C$19*(1+Inputs!$C$12)^(BC$118-1)</f>
        <v>607.7747574</v>
      </c>
      <c r="BD131" s="67" t="n">
        <f aca="false">Inputs!$C$19*(1+Inputs!$C$12)^(BD$118-1)</f>
        <v>607.7747574</v>
      </c>
      <c r="BE131" s="67" t="n">
        <f aca="false">Inputs!$C$19*(1+Inputs!$C$12)^(BE$118-1)</f>
        <v>607.7747574</v>
      </c>
      <c r="BF131" s="67" t="n">
        <f aca="false">Inputs!$C$19*(1+Inputs!$C$12)^(BF$118-1)</f>
        <v>607.7747574</v>
      </c>
      <c r="BG131" s="67" t="n">
        <f aca="false">Inputs!$C$19*(1+Inputs!$C$12)^(BG$118-1)</f>
        <v>607.7747574</v>
      </c>
      <c r="BH131" s="67" t="n">
        <f aca="false">Inputs!$C$19*(1+Inputs!$C$12)^(BH$118-1)</f>
        <v>607.7747574</v>
      </c>
      <c r="BI131" s="67" t="n">
        <f aca="false">Inputs!$C$19*(1+Inputs!$C$12)^(BI$118-1)</f>
        <v>607.7747574</v>
      </c>
      <c r="BJ131" s="67" t="n">
        <f aca="false">Inputs!$C$19*(1+Inputs!$C$12)^(BJ$118-1)</f>
        <v>607.7747574</v>
      </c>
    </row>
    <row r="132" customFormat="false" ht="15" hidden="false" customHeight="false" outlineLevel="0" collapsed="false">
      <c r="A132" s="6" t="s">
        <v>59</v>
      </c>
      <c r="C132" s="67" t="n">
        <f aca="false">C130*C131*52/12*1</f>
        <v>33696</v>
      </c>
      <c r="D132" s="67" t="n">
        <f aca="false">D130*D131*52/12*1</f>
        <v>35568</v>
      </c>
      <c r="E132" s="67" t="n">
        <f aca="false">E130*E131*52/12*1</f>
        <v>37440</v>
      </c>
      <c r="F132" s="67" t="n">
        <f aca="false">F130*F131*52/12*1</f>
        <v>37440</v>
      </c>
      <c r="G132" s="67" t="n">
        <f aca="false">G130*G131*52/12*1</f>
        <v>37440</v>
      </c>
      <c r="H132" s="67" t="n">
        <f aca="false">H130*H131*52/12*1</f>
        <v>37440</v>
      </c>
      <c r="I132" s="67" t="n">
        <f aca="false">I130*I131*52/12*1</f>
        <v>37440</v>
      </c>
      <c r="J132" s="67" t="n">
        <f aca="false">J130*J131*52/12*1</f>
        <v>37440</v>
      </c>
      <c r="K132" s="67" t="n">
        <f aca="false">K130*K131*52/12*1</f>
        <v>37440</v>
      </c>
      <c r="L132" s="67" t="n">
        <f aca="false">L130*L131*52/12*1</f>
        <v>37440</v>
      </c>
      <c r="M132" s="67" t="n">
        <f aca="false">M130*M131*52/12*1</f>
        <v>37440</v>
      </c>
      <c r="N132" s="67" t="n">
        <f aca="false">N130*N131*52/12*1</f>
        <v>37440</v>
      </c>
      <c r="O132" s="67" t="n">
        <f aca="false">O130*O131*52/12*1</f>
        <v>43190.784</v>
      </c>
      <c r="P132" s="67" t="n">
        <f aca="false">P130*P131*52/12*1</f>
        <v>43190.784</v>
      </c>
      <c r="Q132" s="67" t="n">
        <f aca="false">Q130*Q131*52/12*1</f>
        <v>43190.784</v>
      </c>
      <c r="R132" s="67" t="n">
        <f aca="false">R130*R131*52/12*1</f>
        <v>43190.784</v>
      </c>
      <c r="S132" s="67" t="n">
        <f aca="false">S130*S131*52/12*1</f>
        <v>43190.784</v>
      </c>
      <c r="T132" s="67" t="n">
        <f aca="false">T130*T131*52/12*1</f>
        <v>43190.784</v>
      </c>
      <c r="U132" s="67" t="n">
        <f aca="false">U130*U131*52/12*1</f>
        <v>43190.784</v>
      </c>
      <c r="V132" s="67" t="n">
        <f aca="false">V130*V131*52/12*1</f>
        <v>43190.784</v>
      </c>
      <c r="W132" s="67" t="n">
        <f aca="false">W130*W131*52/12*1</f>
        <v>43190.784</v>
      </c>
      <c r="X132" s="67" t="n">
        <f aca="false">X130*X131*52/12*1</f>
        <v>43190.784</v>
      </c>
      <c r="Y132" s="67" t="n">
        <f aca="false">Y130*Y131*52/12*1</f>
        <v>43190.784</v>
      </c>
      <c r="Z132" s="67" t="n">
        <f aca="false">Z130*Z131*52/12*1</f>
        <v>43190.784</v>
      </c>
      <c r="AA132" s="67" t="n">
        <f aca="false">AA130*AA131*52/12*1</f>
        <v>49824.8884224</v>
      </c>
      <c r="AB132" s="67" t="n">
        <f aca="false">AB130*AB131*52/12*1</f>
        <v>49824.8884224</v>
      </c>
      <c r="AC132" s="67" t="n">
        <f aca="false">AC130*AC131*52/12*1</f>
        <v>49824.8884224</v>
      </c>
      <c r="AD132" s="67" t="n">
        <f aca="false">AD130*AD131*52/12*1</f>
        <v>49824.8884224</v>
      </c>
      <c r="AE132" s="67" t="n">
        <f aca="false">AE130*AE131*52/12*1</f>
        <v>49824.8884224</v>
      </c>
      <c r="AF132" s="67" t="n">
        <f aca="false">AF130*AF131*52/12*1</f>
        <v>49824.8884224</v>
      </c>
      <c r="AG132" s="67" t="n">
        <f aca="false">AG130*AG131*52/12*1</f>
        <v>49824.8884224</v>
      </c>
      <c r="AH132" s="67" t="n">
        <f aca="false">AH130*AH131*52/12*1</f>
        <v>49824.8884224</v>
      </c>
      <c r="AI132" s="67" t="n">
        <f aca="false">AI130*AI131*52/12*1</f>
        <v>49824.8884224</v>
      </c>
      <c r="AJ132" s="67" t="n">
        <f aca="false">AJ130*AJ131*52/12*1</f>
        <v>49824.8884224</v>
      </c>
      <c r="AK132" s="67" t="n">
        <f aca="false">AK130*AK131*52/12*1</f>
        <v>49824.8884224</v>
      </c>
      <c r="AL132" s="67" t="n">
        <f aca="false">AL130*AL131*52/12*1</f>
        <v>49824.8884224</v>
      </c>
      <c r="AM132" s="67" t="n">
        <f aca="false">AM130*AM131*52/12*1</f>
        <v>57477.9912840807</v>
      </c>
      <c r="AN132" s="67" t="n">
        <f aca="false">AN130*AN131*52/12*1</f>
        <v>57477.9912840807</v>
      </c>
      <c r="AO132" s="67" t="n">
        <f aca="false">AO130*AO131*52/12*1</f>
        <v>57477.9912840807</v>
      </c>
      <c r="AP132" s="67" t="n">
        <f aca="false">AP130*AP131*52/12*1</f>
        <v>57477.9912840807</v>
      </c>
      <c r="AQ132" s="67" t="n">
        <f aca="false">AQ130*AQ131*52/12*1</f>
        <v>57477.9912840807</v>
      </c>
      <c r="AR132" s="67" t="n">
        <f aca="false">AR130*AR131*52/12*1</f>
        <v>57477.9912840807</v>
      </c>
      <c r="AS132" s="67" t="n">
        <f aca="false">AS130*AS131*52/12*1</f>
        <v>57477.9912840807</v>
      </c>
      <c r="AT132" s="67" t="n">
        <f aca="false">AT130*AT131*52/12*1</f>
        <v>57477.9912840807</v>
      </c>
      <c r="AU132" s="67" t="n">
        <f aca="false">AU130*AU131*52/12*1</f>
        <v>57477.9912840807</v>
      </c>
      <c r="AV132" s="67" t="n">
        <f aca="false">AV130*AV131*52/12*1</f>
        <v>57477.9912840807</v>
      </c>
      <c r="AW132" s="67" t="n">
        <f aca="false">AW130*AW131*52/12*1</f>
        <v>57477.9912840807</v>
      </c>
      <c r="AX132" s="67" t="n">
        <f aca="false">AX130*AX131*52/12*1</f>
        <v>57477.9912840807</v>
      </c>
      <c r="AY132" s="67" t="n">
        <f aca="false">AY130*AY131*52/12*1</f>
        <v>66306.6107453155</v>
      </c>
      <c r="AZ132" s="67" t="n">
        <f aca="false">AZ130*AZ131*52/12*1</f>
        <v>66306.6107453155</v>
      </c>
      <c r="BA132" s="67" t="n">
        <f aca="false">BA130*BA131*52/12*1</f>
        <v>66306.6107453155</v>
      </c>
      <c r="BB132" s="67" t="n">
        <f aca="false">BB130*BB131*52/12*1</f>
        <v>66306.6107453155</v>
      </c>
      <c r="BC132" s="67" t="n">
        <f aca="false">BC130*BC131*52/12*1</f>
        <v>66306.6107453155</v>
      </c>
      <c r="BD132" s="67" t="n">
        <f aca="false">BD130*BD131*52/12*1</f>
        <v>66306.6107453155</v>
      </c>
      <c r="BE132" s="67" t="n">
        <f aca="false">BE130*BE131*52/12*1</f>
        <v>66306.6107453155</v>
      </c>
      <c r="BF132" s="67" t="n">
        <f aca="false">BF130*BF131*52/12*1</f>
        <v>66306.6107453155</v>
      </c>
      <c r="BG132" s="67" t="n">
        <f aca="false">BG130*BG131*52/12*1</f>
        <v>66306.6107453155</v>
      </c>
      <c r="BH132" s="67" t="n">
        <f aca="false">BH130*BH131*52/12*1</f>
        <v>66306.6107453155</v>
      </c>
      <c r="BI132" s="67" t="n">
        <f aca="false">BI130*BI131*52/12*1</f>
        <v>66306.6107453155</v>
      </c>
      <c r="BJ132" s="67" t="n">
        <f aca="false">BJ130*BJ131*52/12*1</f>
        <v>66306.6107453155</v>
      </c>
    </row>
    <row r="134" customFormat="false" ht="15.75" hidden="false" customHeight="true" outlineLevel="0" collapsed="false">
      <c r="A134" s="7" t="s">
        <v>44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customFormat="false" ht="15" hidden="false" customHeight="false" outlineLevel="0" collapsed="false">
      <c r="A135" s="115" t="s">
        <v>44</v>
      </c>
      <c r="C135" s="68" t="n">
        <f aca="false">C127+C132</f>
        <v>115980.8</v>
      </c>
      <c r="D135" s="68" t="n">
        <f aca="false">D127+D132</f>
        <v>122636.8</v>
      </c>
      <c r="E135" s="68" t="n">
        <f aca="false">E127+E132</f>
        <v>129292.8</v>
      </c>
      <c r="F135" s="68" t="n">
        <f aca="false">F127+F132</f>
        <v>129292.8</v>
      </c>
      <c r="G135" s="68" t="n">
        <f aca="false">G127+G132</f>
        <v>129292.8</v>
      </c>
      <c r="H135" s="68" t="n">
        <f aca="false">H127+H132</f>
        <v>129292.8</v>
      </c>
      <c r="I135" s="68" t="n">
        <f aca="false">I127+I132</f>
        <v>129292.8</v>
      </c>
      <c r="J135" s="68" t="n">
        <f aca="false">J127+J132</f>
        <v>129292.8</v>
      </c>
      <c r="K135" s="68" t="n">
        <f aca="false">K127+K132</f>
        <v>129292.8</v>
      </c>
      <c r="L135" s="68" t="n">
        <f aca="false">L127+L132</f>
        <v>129292.8</v>
      </c>
      <c r="M135" s="68" t="n">
        <f aca="false">M127+M132</f>
        <v>152256</v>
      </c>
      <c r="N135" s="68" t="n">
        <f aca="false">N127+N132</f>
        <v>152256</v>
      </c>
      <c r="O135" s="68" t="n">
        <f aca="false">O127+O132</f>
        <v>140637.41952</v>
      </c>
      <c r="P135" s="68" t="n">
        <f aca="false">P127+P132</f>
        <v>140637.41952</v>
      </c>
      <c r="Q135" s="68" t="n">
        <f aca="false">Q127+Q132</f>
        <v>140637.41952</v>
      </c>
      <c r="R135" s="68" t="n">
        <f aca="false">R127+R132</f>
        <v>140637.41952</v>
      </c>
      <c r="S135" s="68" t="n">
        <f aca="false">S127+S132</f>
        <v>140637.41952</v>
      </c>
      <c r="T135" s="68" t="n">
        <f aca="false">T127+T132</f>
        <v>140637.41952</v>
      </c>
      <c r="U135" s="68" t="n">
        <f aca="false">U127+U132</f>
        <v>140637.41952</v>
      </c>
      <c r="V135" s="68" t="n">
        <f aca="false">V127+V132</f>
        <v>140637.41952</v>
      </c>
      <c r="W135" s="68" t="n">
        <f aca="false">W127+W132</f>
        <v>140637.41952</v>
      </c>
      <c r="X135" s="68" t="n">
        <f aca="false">X127+X132</f>
        <v>140637.41952</v>
      </c>
      <c r="Y135" s="68" t="n">
        <f aca="false">Y127+Y132</f>
        <v>164999.0784</v>
      </c>
      <c r="Z135" s="68" t="n">
        <f aca="false">Z127+Z132</f>
        <v>164999.0784</v>
      </c>
      <c r="AA135" s="68" t="n">
        <f aca="false">AA127+AA132</f>
        <v>153206.024045568</v>
      </c>
      <c r="AB135" s="68" t="n">
        <f aca="false">AB127+AB132</f>
        <v>153206.024045568</v>
      </c>
      <c r="AC135" s="68" t="n">
        <f aca="false">AC127+AC132</f>
        <v>153206.024045568</v>
      </c>
      <c r="AD135" s="68" t="n">
        <f aca="false">AD127+AD132</f>
        <v>153206.024045568</v>
      </c>
      <c r="AE135" s="68" t="n">
        <f aca="false">AE127+AE132</f>
        <v>153206.024045568</v>
      </c>
      <c r="AF135" s="68" t="n">
        <f aca="false">AF127+AF132</f>
        <v>153206.024045568</v>
      </c>
      <c r="AG135" s="68" t="n">
        <f aca="false">AG127+AG132</f>
        <v>153206.024045568</v>
      </c>
      <c r="AH135" s="68" t="n">
        <f aca="false">AH127+AH132</f>
        <v>153206.024045568</v>
      </c>
      <c r="AI135" s="68" t="n">
        <f aca="false">AI127+AI132</f>
        <v>153206.024045568</v>
      </c>
      <c r="AJ135" s="68" t="n">
        <f aca="false">AJ127+AJ132</f>
        <v>153206.024045568</v>
      </c>
      <c r="AK135" s="68" t="n">
        <f aca="false">AK127+AK132</f>
        <v>179051.30795136</v>
      </c>
      <c r="AL135" s="68" t="n">
        <f aca="false">AL127+AL132</f>
        <v>179051.30795136</v>
      </c>
      <c r="AM135" s="68" t="n">
        <f aca="false">AM127+AM132</f>
        <v>167155.0380667</v>
      </c>
      <c r="AN135" s="68" t="n">
        <f aca="false">AN127+AN132</f>
        <v>167155.0380667</v>
      </c>
      <c r="AO135" s="68" t="n">
        <f aca="false">AO127+AO132</f>
        <v>167155.0380667</v>
      </c>
      <c r="AP135" s="68" t="n">
        <f aca="false">AP127+AP132</f>
        <v>167155.0380667</v>
      </c>
      <c r="AQ135" s="68" t="n">
        <f aca="false">AQ127+AQ132</f>
        <v>167155.0380667</v>
      </c>
      <c r="AR135" s="68" t="n">
        <f aca="false">AR127+AR132</f>
        <v>167155.0380667</v>
      </c>
      <c r="AS135" s="68" t="n">
        <f aca="false">AS127+AS132</f>
        <v>167155.0380667</v>
      </c>
      <c r="AT135" s="68" t="n">
        <f aca="false">AT127+AT132</f>
        <v>167155.0380667</v>
      </c>
      <c r="AU135" s="68" t="n">
        <f aca="false">AU127+AU132</f>
        <v>167155.0380667</v>
      </c>
      <c r="AV135" s="68" t="n">
        <f aca="false">AV127+AV132</f>
        <v>167155.0380667</v>
      </c>
      <c r="AW135" s="68" t="n">
        <f aca="false">AW127+AW132</f>
        <v>194574.299762354</v>
      </c>
      <c r="AX135" s="68" t="n">
        <f aca="false">AX127+AX132</f>
        <v>194574.299762354</v>
      </c>
      <c r="AY135" s="68" t="n">
        <f aca="false">AY127+AY132</f>
        <v>182662.989676996</v>
      </c>
      <c r="AZ135" s="68" t="n">
        <f aca="false">AZ127+AZ132</f>
        <v>182662.989676996</v>
      </c>
      <c r="BA135" s="68" t="n">
        <f aca="false">BA127+BA132</f>
        <v>182662.989676996</v>
      </c>
      <c r="BB135" s="68" t="n">
        <f aca="false">BB127+BB132</f>
        <v>182662.989676996</v>
      </c>
      <c r="BC135" s="68" t="n">
        <f aca="false">BC127+BC132</f>
        <v>182662.989676996</v>
      </c>
      <c r="BD135" s="68" t="n">
        <f aca="false">BD127+BD132</f>
        <v>182662.989676996</v>
      </c>
      <c r="BE135" s="68" t="n">
        <f aca="false">BE127+BE132</f>
        <v>182662.989676996</v>
      </c>
      <c r="BF135" s="68" t="n">
        <f aca="false">BF127+BF132</f>
        <v>182662.989676996</v>
      </c>
      <c r="BG135" s="68" t="n">
        <f aca="false">BG127+BG132</f>
        <v>182662.989676996</v>
      </c>
      <c r="BH135" s="68" t="n">
        <f aca="false">BH127+BH132</f>
        <v>182662.989676996</v>
      </c>
      <c r="BI135" s="68" t="n">
        <f aca="false">BI127+BI132</f>
        <v>211752.084409916</v>
      </c>
      <c r="BJ135" s="68" t="n">
        <f aca="false">BJ127+BJ132</f>
        <v>211752.084409916</v>
      </c>
    </row>
    <row r="137" customFormat="false" ht="15.75" hidden="false" customHeight="true" outlineLevel="0" collapsed="false">
      <c r="A137" s="7" t="s">
        <v>76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customFormat="false" ht="15" hidden="false" customHeight="false" outlineLevel="0" collapsed="false">
      <c r="A138" s="6" t="s">
        <v>408</v>
      </c>
      <c r="C138" s="67" t="n">
        <f aca="false">-(C127*Inputs!$C$24+C132*Inputs!$C$25)</f>
        <v>-30868.032</v>
      </c>
      <c r="D138" s="67" t="n">
        <f aca="false">-(D127*Inputs!$C$24+D132*Inputs!$C$25)</f>
        <v>-32633.952</v>
      </c>
      <c r="E138" s="67" t="n">
        <f aca="false">-(E127*Inputs!$C$24+E132*Inputs!$C$25)</f>
        <v>-34399.872</v>
      </c>
      <c r="F138" s="67" t="n">
        <f aca="false">-(F127*Inputs!$C$24+F132*Inputs!$C$25)</f>
        <v>-34399.872</v>
      </c>
      <c r="G138" s="67" t="n">
        <f aca="false">-(G127*Inputs!$C$24+G132*Inputs!$C$25)</f>
        <v>-34399.872</v>
      </c>
      <c r="H138" s="67" t="n">
        <f aca="false">-(H127*Inputs!$C$24+H132*Inputs!$C$25)</f>
        <v>-34399.872</v>
      </c>
      <c r="I138" s="67" t="n">
        <f aca="false">-(I127*Inputs!$C$24+I132*Inputs!$C$25)</f>
        <v>-34399.872</v>
      </c>
      <c r="J138" s="67" t="n">
        <f aca="false">-(J127*Inputs!$C$24+J132*Inputs!$C$25)</f>
        <v>-34399.872</v>
      </c>
      <c r="K138" s="67" t="n">
        <f aca="false">-(K127*Inputs!$C$24+K132*Inputs!$C$25)</f>
        <v>-34399.872</v>
      </c>
      <c r="L138" s="67" t="n">
        <f aca="false">-(L127*Inputs!$C$24+L132*Inputs!$C$25)</f>
        <v>-34399.872</v>
      </c>
      <c r="M138" s="67" t="n">
        <f aca="false">-(M127*Inputs!$C$24+M132*Inputs!$C$25)</f>
        <v>-39911.04</v>
      </c>
      <c r="N138" s="67" t="n">
        <f aca="false">-(N127*Inputs!$C$24+N132*Inputs!$C$25)</f>
        <v>-39911.04</v>
      </c>
      <c r="O138" s="67" t="n">
        <f aca="false">-(O127*Inputs!$C$24+O132*Inputs!$C$25)</f>
        <v>-37640.1512448</v>
      </c>
      <c r="P138" s="67" t="n">
        <f aca="false">-(P127*Inputs!$C$24+P132*Inputs!$C$25)</f>
        <v>-37640.1512448</v>
      </c>
      <c r="Q138" s="67" t="n">
        <f aca="false">-(Q127*Inputs!$C$24+Q132*Inputs!$C$25)</f>
        <v>-37640.1512448</v>
      </c>
      <c r="R138" s="67" t="n">
        <f aca="false">-(R127*Inputs!$C$24+R132*Inputs!$C$25)</f>
        <v>-37640.1512448</v>
      </c>
      <c r="S138" s="67" t="n">
        <f aca="false">-(S127*Inputs!$C$24+S132*Inputs!$C$25)</f>
        <v>-37640.1512448</v>
      </c>
      <c r="T138" s="67" t="n">
        <f aca="false">-(T127*Inputs!$C$24+T132*Inputs!$C$25)</f>
        <v>-37640.1512448</v>
      </c>
      <c r="U138" s="67" t="n">
        <f aca="false">-(U127*Inputs!$C$24+U132*Inputs!$C$25)</f>
        <v>-37640.1512448</v>
      </c>
      <c r="V138" s="67" t="n">
        <f aca="false">-(V127*Inputs!$C$24+V132*Inputs!$C$25)</f>
        <v>-37640.1512448</v>
      </c>
      <c r="W138" s="67" t="n">
        <f aca="false">-(W127*Inputs!$C$24+W132*Inputs!$C$25)</f>
        <v>-37640.1512448</v>
      </c>
      <c r="X138" s="67" t="n">
        <f aca="false">-(X127*Inputs!$C$24+X132*Inputs!$C$25)</f>
        <v>-37640.1512448</v>
      </c>
      <c r="Y138" s="67" t="n">
        <f aca="false">-(Y127*Inputs!$C$24+Y132*Inputs!$C$25)</f>
        <v>-43486.949376</v>
      </c>
      <c r="Z138" s="67" t="n">
        <f aca="false">-(Z127*Inputs!$C$24+Z132*Inputs!$C$25)</f>
        <v>-43486.949376</v>
      </c>
      <c r="AA138" s="67" t="n">
        <f aca="false">-(AA127*Inputs!$C$24+AA132*Inputs!$C$25)</f>
        <v>-41253.6857289523</v>
      </c>
      <c r="AB138" s="67" t="n">
        <f aca="false">-(AB127*Inputs!$C$24+AB132*Inputs!$C$25)</f>
        <v>-41253.6857289523</v>
      </c>
      <c r="AC138" s="67" t="n">
        <f aca="false">-(AC127*Inputs!$C$24+AC132*Inputs!$C$25)</f>
        <v>-41253.6857289523</v>
      </c>
      <c r="AD138" s="67" t="n">
        <f aca="false">-(AD127*Inputs!$C$24+AD132*Inputs!$C$25)</f>
        <v>-41253.6857289523</v>
      </c>
      <c r="AE138" s="67" t="n">
        <f aca="false">-(AE127*Inputs!$C$24+AE132*Inputs!$C$25)</f>
        <v>-41253.6857289523</v>
      </c>
      <c r="AF138" s="67" t="n">
        <f aca="false">-(AF127*Inputs!$C$24+AF132*Inputs!$C$25)</f>
        <v>-41253.6857289523</v>
      </c>
      <c r="AG138" s="67" t="n">
        <f aca="false">-(AG127*Inputs!$C$24+AG132*Inputs!$C$25)</f>
        <v>-41253.6857289523</v>
      </c>
      <c r="AH138" s="67" t="n">
        <f aca="false">-(AH127*Inputs!$C$24+AH132*Inputs!$C$25)</f>
        <v>-41253.6857289523</v>
      </c>
      <c r="AI138" s="67" t="n">
        <f aca="false">-(AI127*Inputs!$C$24+AI132*Inputs!$C$25)</f>
        <v>-41253.6857289523</v>
      </c>
      <c r="AJ138" s="67" t="n">
        <f aca="false">-(AJ127*Inputs!$C$24+AJ132*Inputs!$C$25)</f>
        <v>-41253.6857289523</v>
      </c>
      <c r="AK138" s="67" t="n">
        <f aca="false">-(AK127*Inputs!$C$24+AK132*Inputs!$C$25)</f>
        <v>-47456.5538663424</v>
      </c>
      <c r="AL138" s="67" t="n">
        <f aca="false">-(AL127*Inputs!$C$24+AL132*Inputs!$C$25)</f>
        <v>-47456.5538663424</v>
      </c>
      <c r="AM138" s="67" t="n">
        <f aca="false">-(AM127*Inputs!$C$24+AM132*Inputs!$C$25)</f>
        <v>-45290.2283515752</v>
      </c>
      <c r="AN138" s="67" t="n">
        <f aca="false">-(AN127*Inputs!$C$24+AN132*Inputs!$C$25)</f>
        <v>-45290.2283515752</v>
      </c>
      <c r="AO138" s="67" t="n">
        <f aca="false">-(AO127*Inputs!$C$24+AO132*Inputs!$C$25)</f>
        <v>-45290.2283515752</v>
      </c>
      <c r="AP138" s="67" t="n">
        <f aca="false">-(AP127*Inputs!$C$24+AP132*Inputs!$C$25)</f>
        <v>-45290.2283515752</v>
      </c>
      <c r="AQ138" s="67" t="n">
        <f aca="false">-(AQ127*Inputs!$C$24+AQ132*Inputs!$C$25)</f>
        <v>-45290.2283515752</v>
      </c>
      <c r="AR138" s="67" t="n">
        <f aca="false">-(AR127*Inputs!$C$24+AR132*Inputs!$C$25)</f>
        <v>-45290.2283515752</v>
      </c>
      <c r="AS138" s="67" t="n">
        <f aca="false">-(AS127*Inputs!$C$24+AS132*Inputs!$C$25)</f>
        <v>-45290.2283515752</v>
      </c>
      <c r="AT138" s="67" t="n">
        <f aca="false">-(AT127*Inputs!$C$24+AT132*Inputs!$C$25)</f>
        <v>-45290.2283515752</v>
      </c>
      <c r="AU138" s="67" t="n">
        <f aca="false">-(AU127*Inputs!$C$24+AU132*Inputs!$C$25)</f>
        <v>-45290.2283515752</v>
      </c>
      <c r="AV138" s="67" t="n">
        <f aca="false">-(AV127*Inputs!$C$24+AV132*Inputs!$C$25)</f>
        <v>-45290.2283515752</v>
      </c>
      <c r="AW138" s="67" t="n">
        <f aca="false">-(AW127*Inputs!$C$24+AW132*Inputs!$C$25)</f>
        <v>-51870.8511585323</v>
      </c>
      <c r="AX138" s="67" t="n">
        <f aca="false">-(AX127*Inputs!$C$24+AX132*Inputs!$C$25)</f>
        <v>-51870.8511585323</v>
      </c>
      <c r="AY138" s="67" t="n">
        <f aca="false">-(AY127*Inputs!$C$24+AY132*Inputs!$C$25)</f>
        <v>-49806.7124895574</v>
      </c>
      <c r="AZ138" s="67" t="n">
        <f aca="false">-(AZ127*Inputs!$C$24+AZ132*Inputs!$C$25)</f>
        <v>-49806.7124895574</v>
      </c>
      <c r="BA138" s="67" t="n">
        <f aca="false">-(BA127*Inputs!$C$24+BA132*Inputs!$C$25)</f>
        <v>-49806.7124895574</v>
      </c>
      <c r="BB138" s="67" t="n">
        <f aca="false">-(BB127*Inputs!$C$24+BB132*Inputs!$C$25)</f>
        <v>-49806.7124895574</v>
      </c>
      <c r="BC138" s="67" t="n">
        <f aca="false">-(BC127*Inputs!$C$24+BC132*Inputs!$C$25)</f>
        <v>-49806.7124895574</v>
      </c>
      <c r="BD138" s="67" t="n">
        <f aca="false">-(BD127*Inputs!$C$24+BD132*Inputs!$C$25)</f>
        <v>-49806.7124895574</v>
      </c>
      <c r="BE138" s="67" t="n">
        <f aca="false">-(BE127*Inputs!$C$24+BE132*Inputs!$C$25)</f>
        <v>-49806.7124895574</v>
      </c>
      <c r="BF138" s="67" t="n">
        <f aca="false">-(BF127*Inputs!$C$24+BF132*Inputs!$C$25)</f>
        <v>-49806.7124895574</v>
      </c>
      <c r="BG138" s="67" t="n">
        <f aca="false">-(BG127*Inputs!$C$24+BG132*Inputs!$C$25)</f>
        <v>-49806.7124895574</v>
      </c>
      <c r="BH138" s="67" t="n">
        <f aca="false">-(BH127*Inputs!$C$24+BH132*Inputs!$C$25)</f>
        <v>-49806.7124895574</v>
      </c>
      <c r="BI138" s="67" t="n">
        <f aca="false">-(BI127*Inputs!$C$24+BI132*Inputs!$C$25)</f>
        <v>-56788.0952254582</v>
      </c>
      <c r="BJ138" s="67" t="n">
        <f aca="false">-(BJ127*Inputs!$C$24+BJ132*Inputs!$C$25)</f>
        <v>-56788.0952254582</v>
      </c>
    </row>
    <row r="139" customFormat="false" ht="15" hidden="false" customHeight="false" outlineLevel="0" collapsed="false">
      <c r="A139" s="6" t="s">
        <v>409</v>
      </c>
      <c r="C139" s="67" t="n">
        <f aca="false">-C127*Inputs!$C$24*Inputs!$C$26*100/MAX(1,100-100*Inputs!$C$26)</f>
        <v>-1953.13371428571</v>
      </c>
      <c r="D139" s="67" t="n">
        <f aca="false">-D127*Inputs!$C$24*Inputs!$C$26*100/MAX(1,100-100*Inputs!$C$26)</f>
        <v>-2066.688</v>
      </c>
      <c r="E139" s="67" t="n">
        <f aca="false">-E127*Inputs!$C$24*Inputs!$C$26*100/MAX(1,100-100*Inputs!$C$26)</f>
        <v>-2180.24228571429</v>
      </c>
      <c r="F139" s="67" t="n">
        <f aca="false">-F127*Inputs!$C$24*Inputs!$C$26*100/MAX(1,100-100*Inputs!$C$26)</f>
        <v>-2180.24228571429</v>
      </c>
      <c r="G139" s="67" t="n">
        <f aca="false">-G127*Inputs!$C$24*Inputs!$C$26*100/MAX(1,100-100*Inputs!$C$26)</f>
        <v>-2180.24228571429</v>
      </c>
      <c r="H139" s="67" t="n">
        <f aca="false">-H127*Inputs!$C$24*Inputs!$C$26*100/MAX(1,100-100*Inputs!$C$26)</f>
        <v>-2180.24228571429</v>
      </c>
      <c r="I139" s="67" t="n">
        <f aca="false">-I127*Inputs!$C$24*Inputs!$C$26*100/MAX(1,100-100*Inputs!$C$26)</f>
        <v>-2180.24228571429</v>
      </c>
      <c r="J139" s="67" t="n">
        <f aca="false">-J127*Inputs!$C$24*Inputs!$C$26*100/MAX(1,100-100*Inputs!$C$26)</f>
        <v>-2180.24228571429</v>
      </c>
      <c r="K139" s="67" t="n">
        <f aca="false">-K127*Inputs!$C$24*Inputs!$C$26*100/MAX(1,100-100*Inputs!$C$26)</f>
        <v>-2180.24228571429</v>
      </c>
      <c r="L139" s="67" t="n">
        <f aca="false">-L127*Inputs!$C$24*Inputs!$C$26*100/MAX(1,100-100*Inputs!$C$26)</f>
        <v>-2180.24228571429</v>
      </c>
      <c r="M139" s="67" t="n">
        <f aca="false">-M127*Inputs!$C$24*Inputs!$C$26*100/MAX(1,100-100*Inputs!$C$26)</f>
        <v>-2725.30285714286</v>
      </c>
      <c r="N139" s="67" t="n">
        <f aca="false">-N127*Inputs!$C$24*Inputs!$C$26*100/MAX(1,100-100*Inputs!$C$26)</f>
        <v>-2725.30285714286</v>
      </c>
      <c r="O139" s="67" t="n">
        <f aca="false">-O127*Inputs!$C$24*Inputs!$C$26*100/MAX(1,100-100*Inputs!$C$26)</f>
        <v>-2313.01904091429</v>
      </c>
      <c r="P139" s="67" t="n">
        <f aca="false">-P127*Inputs!$C$24*Inputs!$C$26*100/MAX(1,100-100*Inputs!$C$26)</f>
        <v>-2313.01904091429</v>
      </c>
      <c r="Q139" s="67" t="n">
        <f aca="false">-Q127*Inputs!$C$24*Inputs!$C$26*100/MAX(1,100-100*Inputs!$C$26)</f>
        <v>-2313.01904091429</v>
      </c>
      <c r="R139" s="67" t="n">
        <f aca="false">-R127*Inputs!$C$24*Inputs!$C$26*100/MAX(1,100-100*Inputs!$C$26)</f>
        <v>-2313.01904091429</v>
      </c>
      <c r="S139" s="67" t="n">
        <f aca="false">-S127*Inputs!$C$24*Inputs!$C$26*100/MAX(1,100-100*Inputs!$C$26)</f>
        <v>-2313.01904091429</v>
      </c>
      <c r="T139" s="67" t="n">
        <f aca="false">-T127*Inputs!$C$24*Inputs!$C$26*100/MAX(1,100-100*Inputs!$C$26)</f>
        <v>-2313.01904091429</v>
      </c>
      <c r="U139" s="67" t="n">
        <f aca="false">-U127*Inputs!$C$24*Inputs!$C$26*100/MAX(1,100-100*Inputs!$C$26)</f>
        <v>-2313.01904091429</v>
      </c>
      <c r="V139" s="67" t="n">
        <f aca="false">-V127*Inputs!$C$24*Inputs!$C$26*100/MAX(1,100-100*Inputs!$C$26)</f>
        <v>-2313.01904091429</v>
      </c>
      <c r="W139" s="67" t="n">
        <f aca="false">-W127*Inputs!$C$24*Inputs!$C$26*100/MAX(1,100-100*Inputs!$C$26)</f>
        <v>-2313.01904091429</v>
      </c>
      <c r="X139" s="67" t="n">
        <f aca="false">-X127*Inputs!$C$24*Inputs!$C$26*100/MAX(1,100-100*Inputs!$C$26)</f>
        <v>-2313.01904091429</v>
      </c>
      <c r="Y139" s="67" t="n">
        <f aca="false">-Y127*Inputs!$C$24*Inputs!$C$26*100/MAX(1,100-100*Inputs!$C$26)</f>
        <v>-2891.27380114286</v>
      </c>
      <c r="Z139" s="67" t="n">
        <f aca="false">-Z127*Inputs!$C$24*Inputs!$C$26*100/MAX(1,100-100*Inputs!$C$26)</f>
        <v>-2891.27380114286</v>
      </c>
      <c r="AA139" s="67" t="n">
        <f aca="false">-AA127*Inputs!$C$24*Inputs!$C$26*100/MAX(1,100-100*Inputs!$C$26)</f>
        <v>-2453.88190050597</v>
      </c>
      <c r="AB139" s="67" t="n">
        <f aca="false">-AB127*Inputs!$C$24*Inputs!$C$26*100/MAX(1,100-100*Inputs!$C$26)</f>
        <v>-2453.88190050597</v>
      </c>
      <c r="AC139" s="67" t="n">
        <f aca="false">-AC127*Inputs!$C$24*Inputs!$C$26*100/MAX(1,100-100*Inputs!$C$26)</f>
        <v>-2453.88190050597</v>
      </c>
      <c r="AD139" s="67" t="n">
        <f aca="false">-AD127*Inputs!$C$24*Inputs!$C$26*100/MAX(1,100-100*Inputs!$C$26)</f>
        <v>-2453.88190050597</v>
      </c>
      <c r="AE139" s="67" t="n">
        <f aca="false">-AE127*Inputs!$C$24*Inputs!$C$26*100/MAX(1,100-100*Inputs!$C$26)</f>
        <v>-2453.88190050597</v>
      </c>
      <c r="AF139" s="67" t="n">
        <f aca="false">-AF127*Inputs!$C$24*Inputs!$C$26*100/MAX(1,100-100*Inputs!$C$26)</f>
        <v>-2453.88190050597</v>
      </c>
      <c r="AG139" s="67" t="n">
        <f aca="false">-AG127*Inputs!$C$24*Inputs!$C$26*100/MAX(1,100-100*Inputs!$C$26)</f>
        <v>-2453.88190050597</v>
      </c>
      <c r="AH139" s="67" t="n">
        <f aca="false">-AH127*Inputs!$C$24*Inputs!$C$26*100/MAX(1,100-100*Inputs!$C$26)</f>
        <v>-2453.88190050597</v>
      </c>
      <c r="AI139" s="67" t="n">
        <f aca="false">-AI127*Inputs!$C$24*Inputs!$C$26*100/MAX(1,100-100*Inputs!$C$26)</f>
        <v>-2453.88190050597</v>
      </c>
      <c r="AJ139" s="67" t="n">
        <f aca="false">-AJ127*Inputs!$C$24*Inputs!$C$26*100/MAX(1,100-100*Inputs!$C$26)</f>
        <v>-2453.88190050597</v>
      </c>
      <c r="AK139" s="67" t="n">
        <f aca="false">-AK127*Inputs!$C$24*Inputs!$C$26*100/MAX(1,100-100*Inputs!$C$26)</f>
        <v>-3067.35237563246</v>
      </c>
      <c r="AL139" s="67" t="n">
        <f aca="false">-AL127*Inputs!$C$24*Inputs!$C$26*100/MAX(1,100-100*Inputs!$C$26)</f>
        <v>-3067.35237563246</v>
      </c>
      <c r="AM139" s="67" t="n">
        <f aca="false">-AM127*Inputs!$C$24*Inputs!$C$26*100/MAX(1,100-100*Inputs!$C$26)</f>
        <v>-2603.32330824678</v>
      </c>
      <c r="AN139" s="67" t="n">
        <f aca="false">-AN127*Inputs!$C$24*Inputs!$C$26*100/MAX(1,100-100*Inputs!$C$26)</f>
        <v>-2603.32330824678</v>
      </c>
      <c r="AO139" s="67" t="n">
        <f aca="false">-AO127*Inputs!$C$24*Inputs!$C$26*100/MAX(1,100-100*Inputs!$C$26)</f>
        <v>-2603.32330824678</v>
      </c>
      <c r="AP139" s="67" t="n">
        <f aca="false">-AP127*Inputs!$C$24*Inputs!$C$26*100/MAX(1,100-100*Inputs!$C$26)</f>
        <v>-2603.32330824678</v>
      </c>
      <c r="AQ139" s="67" t="n">
        <f aca="false">-AQ127*Inputs!$C$24*Inputs!$C$26*100/MAX(1,100-100*Inputs!$C$26)</f>
        <v>-2603.32330824678</v>
      </c>
      <c r="AR139" s="67" t="n">
        <f aca="false">-AR127*Inputs!$C$24*Inputs!$C$26*100/MAX(1,100-100*Inputs!$C$26)</f>
        <v>-2603.32330824678</v>
      </c>
      <c r="AS139" s="67" t="n">
        <f aca="false">-AS127*Inputs!$C$24*Inputs!$C$26*100/MAX(1,100-100*Inputs!$C$26)</f>
        <v>-2603.32330824678</v>
      </c>
      <c r="AT139" s="67" t="n">
        <f aca="false">-AT127*Inputs!$C$24*Inputs!$C$26*100/MAX(1,100-100*Inputs!$C$26)</f>
        <v>-2603.32330824678</v>
      </c>
      <c r="AU139" s="67" t="n">
        <f aca="false">-AU127*Inputs!$C$24*Inputs!$C$26*100/MAX(1,100-100*Inputs!$C$26)</f>
        <v>-2603.32330824678</v>
      </c>
      <c r="AV139" s="67" t="n">
        <f aca="false">-AV127*Inputs!$C$24*Inputs!$C$26*100/MAX(1,100-100*Inputs!$C$26)</f>
        <v>-2603.32330824678</v>
      </c>
      <c r="AW139" s="67" t="n">
        <f aca="false">-AW127*Inputs!$C$24*Inputs!$C$26*100/MAX(1,100-100*Inputs!$C$26)</f>
        <v>-3254.15413530848</v>
      </c>
      <c r="AX139" s="67" t="n">
        <f aca="false">-AX127*Inputs!$C$24*Inputs!$C$26*100/MAX(1,100-100*Inputs!$C$26)</f>
        <v>-3254.15413530848</v>
      </c>
      <c r="AY139" s="67" t="n">
        <f aca="false">-AY127*Inputs!$C$24*Inputs!$C$26*100/MAX(1,100-100*Inputs!$C$26)</f>
        <v>-2761.86569771901</v>
      </c>
      <c r="AZ139" s="67" t="n">
        <f aca="false">-AZ127*Inputs!$C$24*Inputs!$C$26*100/MAX(1,100-100*Inputs!$C$26)</f>
        <v>-2761.86569771901</v>
      </c>
      <c r="BA139" s="67" t="n">
        <f aca="false">-BA127*Inputs!$C$24*Inputs!$C$26*100/MAX(1,100-100*Inputs!$C$26)</f>
        <v>-2761.86569771901</v>
      </c>
      <c r="BB139" s="67" t="n">
        <f aca="false">-BB127*Inputs!$C$24*Inputs!$C$26*100/MAX(1,100-100*Inputs!$C$26)</f>
        <v>-2761.86569771901</v>
      </c>
      <c r="BC139" s="67" t="n">
        <f aca="false">-BC127*Inputs!$C$24*Inputs!$C$26*100/MAX(1,100-100*Inputs!$C$26)</f>
        <v>-2761.86569771901</v>
      </c>
      <c r="BD139" s="67" t="n">
        <f aca="false">-BD127*Inputs!$C$24*Inputs!$C$26*100/MAX(1,100-100*Inputs!$C$26)</f>
        <v>-2761.86569771901</v>
      </c>
      <c r="BE139" s="67" t="n">
        <f aca="false">-BE127*Inputs!$C$24*Inputs!$C$26*100/MAX(1,100-100*Inputs!$C$26)</f>
        <v>-2761.86569771901</v>
      </c>
      <c r="BF139" s="67" t="n">
        <f aca="false">-BF127*Inputs!$C$24*Inputs!$C$26*100/MAX(1,100-100*Inputs!$C$26)</f>
        <v>-2761.86569771901</v>
      </c>
      <c r="BG139" s="67" t="n">
        <f aca="false">-BG127*Inputs!$C$24*Inputs!$C$26*100/MAX(1,100-100*Inputs!$C$26)</f>
        <v>-2761.86569771901</v>
      </c>
      <c r="BH139" s="67" t="n">
        <f aca="false">-BH127*Inputs!$C$24*Inputs!$C$26*100/MAX(1,100-100*Inputs!$C$26)</f>
        <v>-2761.86569771901</v>
      </c>
      <c r="BI139" s="67" t="n">
        <f aca="false">-BI127*Inputs!$C$24*Inputs!$C$26*100/MAX(1,100-100*Inputs!$C$26)</f>
        <v>-3452.33212214876</v>
      </c>
      <c r="BJ139" s="67" t="n">
        <f aca="false">-BJ127*Inputs!$C$24*Inputs!$C$26*100/MAX(1,100-100*Inputs!$C$26)</f>
        <v>-3452.33212214876</v>
      </c>
    </row>
    <row r="140" customFormat="false" ht="15" hidden="false" customHeight="false" outlineLevel="0" collapsed="false">
      <c r="A140" s="6" t="s">
        <v>410</v>
      </c>
      <c r="C140" s="67" t="n">
        <f aca="false">-C135*Inputs!$C$27</f>
        <v>-4059.328</v>
      </c>
      <c r="D140" s="67" t="n">
        <f aca="false">-D135*Inputs!$C$27</f>
        <v>-4292.288</v>
      </c>
      <c r="E140" s="67" t="n">
        <f aca="false">-E135*Inputs!$C$27</f>
        <v>-4525.248</v>
      </c>
      <c r="F140" s="67" t="n">
        <f aca="false">-F135*Inputs!$C$27</f>
        <v>-4525.248</v>
      </c>
      <c r="G140" s="67" t="n">
        <f aca="false">-G135*Inputs!$C$27</f>
        <v>-4525.248</v>
      </c>
      <c r="H140" s="67" t="n">
        <f aca="false">-H135*Inputs!$C$27</f>
        <v>-4525.248</v>
      </c>
      <c r="I140" s="67" t="n">
        <f aca="false">-I135*Inputs!$C$27</f>
        <v>-4525.248</v>
      </c>
      <c r="J140" s="67" t="n">
        <f aca="false">-J135*Inputs!$C$27</f>
        <v>-4525.248</v>
      </c>
      <c r="K140" s="67" t="n">
        <f aca="false">-K135*Inputs!$C$27</f>
        <v>-4525.248</v>
      </c>
      <c r="L140" s="67" t="n">
        <f aca="false">-L135*Inputs!$C$27</f>
        <v>-4525.248</v>
      </c>
      <c r="M140" s="67" t="n">
        <f aca="false">-M135*Inputs!$C$27</f>
        <v>-5328.96</v>
      </c>
      <c r="N140" s="67" t="n">
        <f aca="false">-N135*Inputs!$C$27</f>
        <v>-5328.96</v>
      </c>
      <c r="O140" s="67" t="n">
        <f aca="false">-O135*Inputs!$C$27</f>
        <v>-4922.3096832</v>
      </c>
      <c r="P140" s="67" t="n">
        <f aca="false">-P135*Inputs!$C$27</f>
        <v>-4922.3096832</v>
      </c>
      <c r="Q140" s="67" t="n">
        <f aca="false">-Q135*Inputs!$C$27</f>
        <v>-4922.3096832</v>
      </c>
      <c r="R140" s="67" t="n">
        <f aca="false">-R135*Inputs!$C$27</f>
        <v>-4922.3096832</v>
      </c>
      <c r="S140" s="67" t="n">
        <f aca="false">-S135*Inputs!$C$27</f>
        <v>-4922.3096832</v>
      </c>
      <c r="T140" s="67" t="n">
        <f aca="false">-T135*Inputs!$C$27</f>
        <v>-4922.3096832</v>
      </c>
      <c r="U140" s="67" t="n">
        <f aca="false">-U135*Inputs!$C$27</f>
        <v>-4922.3096832</v>
      </c>
      <c r="V140" s="67" t="n">
        <f aca="false">-V135*Inputs!$C$27</f>
        <v>-4922.3096832</v>
      </c>
      <c r="W140" s="67" t="n">
        <f aca="false">-W135*Inputs!$C$27</f>
        <v>-4922.3096832</v>
      </c>
      <c r="X140" s="67" t="n">
        <f aca="false">-X135*Inputs!$C$27</f>
        <v>-4922.3096832</v>
      </c>
      <c r="Y140" s="67" t="n">
        <f aca="false">-Y135*Inputs!$C$27</f>
        <v>-5774.967744</v>
      </c>
      <c r="Z140" s="67" t="n">
        <f aca="false">-Z135*Inputs!$C$27</f>
        <v>-5774.967744</v>
      </c>
      <c r="AA140" s="67" t="n">
        <f aca="false">-AA135*Inputs!$C$27</f>
        <v>-5362.21084159488</v>
      </c>
      <c r="AB140" s="67" t="n">
        <f aca="false">-AB135*Inputs!$C$27</f>
        <v>-5362.21084159488</v>
      </c>
      <c r="AC140" s="67" t="n">
        <f aca="false">-AC135*Inputs!$C$27</f>
        <v>-5362.21084159488</v>
      </c>
      <c r="AD140" s="67" t="n">
        <f aca="false">-AD135*Inputs!$C$27</f>
        <v>-5362.21084159488</v>
      </c>
      <c r="AE140" s="67" t="n">
        <f aca="false">-AE135*Inputs!$C$27</f>
        <v>-5362.21084159488</v>
      </c>
      <c r="AF140" s="67" t="n">
        <f aca="false">-AF135*Inputs!$C$27</f>
        <v>-5362.21084159488</v>
      </c>
      <c r="AG140" s="67" t="n">
        <f aca="false">-AG135*Inputs!$C$27</f>
        <v>-5362.21084159488</v>
      </c>
      <c r="AH140" s="67" t="n">
        <f aca="false">-AH135*Inputs!$C$27</f>
        <v>-5362.21084159488</v>
      </c>
      <c r="AI140" s="67" t="n">
        <f aca="false">-AI135*Inputs!$C$27</f>
        <v>-5362.21084159488</v>
      </c>
      <c r="AJ140" s="67" t="n">
        <f aca="false">-AJ135*Inputs!$C$27</f>
        <v>-5362.21084159488</v>
      </c>
      <c r="AK140" s="67" t="n">
        <f aca="false">-AK135*Inputs!$C$27</f>
        <v>-6266.7957782976</v>
      </c>
      <c r="AL140" s="67" t="n">
        <f aca="false">-AL135*Inputs!$C$27</f>
        <v>-6266.7957782976</v>
      </c>
      <c r="AM140" s="67" t="n">
        <f aca="false">-AM135*Inputs!$C$27</f>
        <v>-5850.42633233449</v>
      </c>
      <c r="AN140" s="67" t="n">
        <f aca="false">-AN135*Inputs!$C$27</f>
        <v>-5850.42633233449</v>
      </c>
      <c r="AO140" s="67" t="n">
        <f aca="false">-AO135*Inputs!$C$27</f>
        <v>-5850.42633233449</v>
      </c>
      <c r="AP140" s="67" t="n">
        <f aca="false">-AP135*Inputs!$C$27</f>
        <v>-5850.42633233449</v>
      </c>
      <c r="AQ140" s="67" t="n">
        <f aca="false">-AQ135*Inputs!$C$27</f>
        <v>-5850.42633233449</v>
      </c>
      <c r="AR140" s="67" t="n">
        <f aca="false">-AR135*Inputs!$C$27</f>
        <v>-5850.42633233449</v>
      </c>
      <c r="AS140" s="67" t="n">
        <f aca="false">-AS135*Inputs!$C$27</f>
        <v>-5850.42633233449</v>
      </c>
      <c r="AT140" s="67" t="n">
        <f aca="false">-AT135*Inputs!$C$27</f>
        <v>-5850.42633233449</v>
      </c>
      <c r="AU140" s="67" t="n">
        <f aca="false">-AU135*Inputs!$C$27</f>
        <v>-5850.42633233449</v>
      </c>
      <c r="AV140" s="67" t="n">
        <f aca="false">-AV135*Inputs!$C$27</f>
        <v>-5850.42633233449</v>
      </c>
      <c r="AW140" s="67" t="n">
        <f aca="false">-AW135*Inputs!$C$27</f>
        <v>-6810.1004916824</v>
      </c>
      <c r="AX140" s="67" t="n">
        <f aca="false">-AX135*Inputs!$C$27</f>
        <v>-6810.1004916824</v>
      </c>
      <c r="AY140" s="67" t="n">
        <f aca="false">-AY135*Inputs!$C$27</f>
        <v>-6393.20463869486</v>
      </c>
      <c r="AZ140" s="67" t="n">
        <f aca="false">-AZ135*Inputs!$C$27</f>
        <v>-6393.20463869486</v>
      </c>
      <c r="BA140" s="67" t="n">
        <f aca="false">-BA135*Inputs!$C$27</f>
        <v>-6393.20463869486</v>
      </c>
      <c r="BB140" s="67" t="n">
        <f aca="false">-BB135*Inputs!$C$27</f>
        <v>-6393.20463869486</v>
      </c>
      <c r="BC140" s="67" t="n">
        <f aca="false">-BC135*Inputs!$C$27</f>
        <v>-6393.20463869486</v>
      </c>
      <c r="BD140" s="67" t="n">
        <f aca="false">-BD135*Inputs!$C$27</f>
        <v>-6393.20463869486</v>
      </c>
      <c r="BE140" s="67" t="n">
        <f aca="false">-BE135*Inputs!$C$27</f>
        <v>-6393.20463869486</v>
      </c>
      <c r="BF140" s="67" t="n">
        <f aca="false">-BF135*Inputs!$C$27</f>
        <v>-6393.20463869486</v>
      </c>
      <c r="BG140" s="67" t="n">
        <f aca="false">-BG135*Inputs!$C$27</f>
        <v>-6393.20463869486</v>
      </c>
      <c r="BH140" s="67" t="n">
        <f aca="false">-BH135*Inputs!$C$27</f>
        <v>-6393.20463869486</v>
      </c>
      <c r="BI140" s="67" t="n">
        <f aca="false">-BI135*Inputs!$C$27</f>
        <v>-7411.32295434706</v>
      </c>
      <c r="BJ140" s="67" t="n">
        <f aca="false">-BJ135*Inputs!$C$27</f>
        <v>-7411.32295434706</v>
      </c>
    </row>
    <row r="141" customFormat="false" ht="15" hidden="false" customHeight="false" outlineLevel="0" collapsed="false">
      <c r="A141" s="4" t="s">
        <v>76</v>
      </c>
      <c r="C141" s="73" t="n">
        <f aca="false">C138+C139+C140</f>
        <v>-36880.4937142857</v>
      </c>
      <c r="D141" s="73" t="n">
        <f aca="false">D138+D139+D140</f>
        <v>-38992.928</v>
      </c>
      <c r="E141" s="73" t="n">
        <f aca="false">E138+E139+E140</f>
        <v>-41105.3622857143</v>
      </c>
      <c r="F141" s="73" t="n">
        <f aca="false">F138+F139+F140</f>
        <v>-41105.3622857143</v>
      </c>
      <c r="G141" s="73" t="n">
        <f aca="false">G138+G139+G140</f>
        <v>-41105.3622857143</v>
      </c>
      <c r="H141" s="73" t="n">
        <f aca="false">H138+H139+H140</f>
        <v>-41105.3622857143</v>
      </c>
      <c r="I141" s="73" t="n">
        <f aca="false">I138+I139+I140</f>
        <v>-41105.3622857143</v>
      </c>
      <c r="J141" s="73" t="n">
        <f aca="false">J138+J139+J140</f>
        <v>-41105.3622857143</v>
      </c>
      <c r="K141" s="73" t="n">
        <f aca="false">K138+K139+K140</f>
        <v>-41105.3622857143</v>
      </c>
      <c r="L141" s="73" t="n">
        <f aca="false">L138+L139+L140</f>
        <v>-41105.3622857143</v>
      </c>
      <c r="M141" s="73" t="n">
        <f aca="false">M138+M139+M140</f>
        <v>-47965.3028571429</v>
      </c>
      <c r="N141" s="73" t="n">
        <f aca="false">N138+N139+N140</f>
        <v>-47965.3028571429</v>
      </c>
      <c r="O141" s="73" t="n">
        <f aca="false">O138+O139+O140</f>
        <v>-44875.4799689143</v>
      </c>
      <c r="P141" s="73" t="n">
        <f aca="false">P138+P139+P140</f>
        <v>-44875.4799689143</v>
      </c>
      <c r="Q141" s="73" t="n">
        <f aca="false">Q138+Q139+Q140</f>
        <v>-44875.4799689143</v>
      </c>
      <c r="R141" s="73" t="n">
        <f aca="false">R138+R139+R140</f>
        <v>-44875.4799689143</v>
      </c>
      <c r="S141" s="73" t="n">
        <f aca="false">S138+S139+S140</f>
        <v>-44875.4799689143</v>
      </c>
      <c r="T141" s="73" t="n">
        <f aca="false">T138+T139+T140</f>
        <v>-44875.4799689143</v>
      </c>
      <c r="U141" s="73" t="n">
        <f aca="false">U138+U139+U140</f>
        <v>-44875.4799689143</v>
      </c>
      <c r="V141" s="73" t="n">
        <f aca="false">V138+V139+V140</f>
        <v>-44875.4799689143</v>
      </c>
      <c r="W141" s="73" t="n">
        <f aca="false">W138+W139+W140</f>
        <v>-44875.4799689143</v>
      </c>
      <c r="X141" s="73" t="n">
        <f aca="false">X138+X139+X140</f>
        <v>-44875.4799689143</v>
      </c>
      <c r="Y141" s="73" t="n">
        <f aca="false">Y138+Y139+Y140</f>
        <v>-52153.1909211429</v>
      </c>
      <c r="Z141" s="73" t="n">
        <f aca="false">Z138+Z139+Z140</f>
        <v>-52153.1909211429</v>
      </c>
      <c r="AA141" s="73" t="n">
        <f aca="false">AA138+AA139+AA140</f>
        <v>-49069.7784710532</v>
      </c>
      <c r="AB141" s="73" t="n">
        <f aca="false">AB138+AB139+AB140</f>
        <v>-49069.7784710532</v>
      </c>
      <c r="AC141" s="73" t="n">
        <f aca="false">AC138+AC139+AC140</f>
        <v>-49069.7784710532</v>
      </c>
      <c r="AD141" s="73" t="n">
        <f aca="false">AD138+AD139+AD140</f>
        <v>-49069.7784710532</v>
      </c>
      <c r="AE141" s="73" t="n">
        <f aca="false">AE138+AE139+AE140</f>
        <v>-49069.7784710532</v>
      </c>
      <c r="AF141" s="73" t="n">
        <f aca="false">AF138+AF139+AF140</f>
        <v>-49069.7784710532</v>
      </c>
      <c r="AG141" s="73" t="n">
        <f aca="false">AG138+AG139+AG140</f>
        <v>-49069.7784710532</v>
      </c>
      <c r="AH141" s="73" t="n">
        <f aca="false">AH138+AH139+AH140</f>
        <v>-49069.7784710532</v>
      </c>
      <c r="AI141" s="73" t="n">
        <f aca="false">AI138+AI139+AI140</f>
        <v>-49069.7784710532</v>
      </c>
      <c r="AJ141" s="73" t="n">
        <f aca="false">AJ138+AJ139+AJ140</f>
        <v>-49069.7784710532</v>
      </c>
      <c r="AK141" s="73" t="n">
        <f aca="false">AK138+AK139+AK140</f>
        <v>-56790.7020202725</v>
      </c>
      <c r="AL141" s="73" t="n">
        <f aca="false">AL138+AL139+AL140</f>
        <v>-56790.7020202725</v>
      </c>
      <c r="AM141" s="73" t="n">
        <f aca="false">AM138+AM139+AM140</f>
        <v>-53743.9779921564</v>
      </c>
      <c r="AN141" s="73" t="n">
        <f aca="false">AN138+AN139+AN140</f>
        <v>-53743.9779921564</v>
      </c>
      <c r="AO141" s="73" t="n">
        <f aca="false">AO138+AO139+AO140</f>
        <v>-53743.9779921564</v>
      </c>
      <c r="AP141" s="73" t="n">
        <f aca="false">AP138+AP139+AP140</f>
        <v>-53743.9779921564</v>
      </c>
      <c r="AQ141" s="73" t="n">
        <f aca="false">AQ138+AQ139+AQ140</f>
        <v>-53743.9779921564</v>
      </c>
      <c r="AR141" s="73" t="n">
        <f aca="false">AR138+AR139+AR140</f>
        <v>-53743.9779921564</v>
      </c>
      <c r="AS141" s="73" t="n">
        <f aca="false">AS138+AS139+AS140</f>
        <v>-53743.9779921564</v>
      </c>
      <c r="AT141" s="73" t="n">
        <f aca="false">AT138+AT139+AT140</f>
        <v>-53743.9779921564</v>
      </c>
      <c r="AU141" s="73" t="n">
        <f aca="false">AU138+AU139+AU140</f>
        <v>-53743.9779921564</v>
      </c>
      <c r="AV141" s="73" t="n">
        <f aca="false">AV138+AV139+AV140</f>
        <v>-53743.9779921564</v>
      </c>
      <c r="AW141" s="73" t="n">
        <f aca="false">AW138+AW139+AW140</f>
        <v>-61935.1057855232</v>
      </c>
      <c r="AX141" s="73" t="n">
        <f aca="false">AX138+AX139+AX140</f>
        <v>-61935.1057855232</v>
      </c>
      <c r="AY141" s="73" t="n">
        <f aca="false">AY138+AY139+AY140</f>
        <v>-58961.7828259713</v>
      </c>
      <c r="AZ141" s="73" t="n">
        <f aca="false">AZ138+AZ139+AZ140</f>
        <v>-58961.7828259713</v>
      </c>
      <c r="BA141" s="73" t="n">
        <f aca="false">BA138+BA139+BA140</f>
        <v>-58961.7828259713</v>
      </c>
      <c r="BB141" s="73" t="n">
        <f aca="false">BB138+BB139+BB140</f>
        <v>-58961.7828259713</v>
      </c>
      <c r="BC141" s="73" t="n">
        <f aca="false">BC138+BC139+BC140</f>
        <v>-58961.7828259713</v>
      </c>
      <c r="BD141" s="73" t="n">
        <f aca="false">BD138+BD139+BD140</f>
        <v>-58961.7828259713</v>
      </c>
      <c r="BE141" s="73" t="n">
        <f aca="false">BE138+BE139+BE140</f>
        <v>-58961.7828259713</v>
      </c>
      <c r="BF141" s="73" t="n">
        <f aca="false">BF138+BF139+BF140</f>
        <v>-58961.7828259713</v>
      </c>
      <c r="BG141" s="73" t="n">
        <f aca="false">BG138+BG139+BG140</f>
        <v>-58961.7828259713</v>
      </c>
      <c r="BH141" s="73" t="n">
        <f aca="false">BH138+BH139+BH140</f>
        <v>-58961.7828259713</v>
      </c>
      <c r="BI141" s="73" t="n">
        <f aca="false">BI138+BI139+BI140</f>
        <v>-67651.7503019541</v>
      </c>
      <c r="BJ141" s="73" t="n">
        <f aca="false">BJ138+BJ139+BJ140</f>
        <v>-67651.7503019541</v>
      </c>
    </row>
    <row r="142" customFormat="false" ht="15" hidden="false" customHeight="false" outlineLevel="0" collapsed="false">
      <c r="A142" s="115" t="s">
        <v>45</v>
      </c>
      <c r="C142" s="68" t="n">
        <f aca="false">C135+C141</f>
        <v>79100.3062857143</v>
      </c>
      <c r="D142" s="68" t="n">
        <f aca="false">D135+D141</f>
        <v>83643.872</v>
      </c>
      <c r="E142" s="68" t="n">
        <f aca="false">E135+E141</f>
        <v>88187.4377142857</v>
      </c>
      <c r="F142" s="68" t="n">
        <f aca="false">F135+F141</f>
        <v>88187.4377142857</v>
      </c>
      <c r="G142" s="68" t="n">
        <f aca="false">G135+G141</f>
        <v>88187.4377142857</v>
      </c>
      <c r="H142" s="68" t="n">
        <f aca="false">H135+H141</f>
        <v>88187.4377142857</v>
      </c>
      <c r="I142" s="68" t="n">
        <f aca="false">I135+I141</f>
        <v>88187.4377142857</v>
      </c>
      <c r="J142" s="68" t="n">
        <f aca="false">J135+J141</f>
        <v>88187.4377142857</v>
      </c>
      <c r="K142" s="68" t="n">
        <f aca="false">K135+K141</f>
        <v>88187.4377142857</v>
      </c>
      <c r="L142" s="68" t="n">
        <f aca="false">L135+L141</f>
        <v>88187.4377142857</v>
      </c>
      <c r="M142" s="68" t="n">
        <f aca="false">M135+M141</f>
        <v>104290.697142857</v>
      </c>
      <c r="N142" s="68" t="n">
        <f aca="false">N135+N141</f>
        <v>104290.697142857</v>
      </c>
      <c r="O142" s="68" t="n">
        <f aca="false">O135+O141</f>
        <v>95761.9395510857</v>
      </c>
      <c r="P142" s="68" t="n">
        <f aca="false">P135+P141</f>
        <v>95761.9395510857</v>
      </c>
      <c r="Q142" s="68" t="n">
        <f aca="false">Q135+Q141</f>
        <v>95761.9395510857</v>
      </c>
      <c r="R142" s="68" t="n">
        <f aca="false">R135+R141</f>
        <v>95761.9395510857</v>
      </c>
      <c r="S142" s="68" t="n">
        <f aca="false">S135+S141</f>
        <v>95761.9395510857</v>
      </c>
      <c r="T142" s="68" t="n">
        <f aca="false">T135+T141</f>
        <v>95761.9395510857</v>
      </c>
      <c r="U142" s="68" t="n">
        <f aca="false">U135+U141</f>
        <v>95761.9395510857</v>
      </c>
      <c r="V142" s="68" t="n">
        <f aca="false">V135+V141</f>
        <v>95761.9395510857</v>
      </c>
      <c r="W142" s="68" t="n">
        <f aca="false">W135+W141</f>
        <v>95761.9395510857</v>
      </c>
      <c r="X142" s="68" t="n">
        <f aca="false">X135+X141</f>
        <v>95761.9395510857</v>
      </c>
      <c r="Y142" s="68" t="n">
        <f aca="false">Y135+Y141</f>
        <v>112845.887478857</v>
      </c>
      <c r="Z142" s="68" t="n">
        <f aca="false">Z135+Z141</f>
        <v>112845.887478857</v>
      </c>
      <c r="AA142" s="68" t="n">
        <f aca="false">AA135+AA141</f>
        <v>104136.245574515</v>
      </c>
      <c r="AB142" s="68" t="n">
        <f aca="false">AB135+AB141</f>
        <v>104136.245574515</v>
      </c>
      <c r="AC142" s="68" t="n">
        <f aca="false">AC135+AC141</f>
        <v>104136.245574515</v>
      </c>
      <c r="AD142" s="68" t="n">
        <f aca="false">AD135+AD141</f>
        <v>104136.245574515</v>
      </c>
      <c r="AE142" s="68" t="n">
        <f aca="false">AE135+AE141</f>
        <v>104136.245574515</v>
      </c>
      <c r="AF142" s="68" t="n">
        <f aca="false">AF135+AF141</f>
        <v>104136.245574515</v>
      </c>
      <c r="AG142" s="68" t="n">
        <f aca="false">AG135+AG141</f>
        <v>104136.245574515</v>
      </c>
      <c r="AH142" s="68" t="n">
        <f aca="false">AH135+AH141</f>
        <v>104136.245574515</v>
      </c>
      <c r="AI142" s="68" t="n">
        <f aca="false">AI135+AI141</f>
        <v>104136.245574515</v>
      </c>
      <c r="AJ142" s="68" t="n">
        <f aca="false">AJ135+AJ141</f>
        <v>104136.245574515</v>
      </c>
      <c r="AK142" s="68" t="n">
        <f aca="false">AK135+AK141</f>
        <v>122260.605931088</v>
      </c>
      <c r="AL142" s="68" t="n">
        <f aca="false">AL135+AL141</f>
        <v>122260.605931088</v>
      </c>
      <c r="AM142" s="68" t="n">
        <f aca="false">AM135+AM141</f>
        <v>113411.060074543</v>
      </c>
      <c r="AN142" s="68" t="n">
        <f aca="false">AN135+AN141</f>
        <v>113411.060074543</v>
      </c>
      <c r="AO142" s="68" t="n">
        <f aca="false">AO135+AO141</f>
        <v>113411.060074543</v>
      </c>
      <c r="AP142" s="68" t="n">
        <f aca="false">AP135+AP141</f>
        <v>113411.060074543</v>
      </c>
      <c r="AQ142" s="68" t="n">
        <f aca="false">AQ135+AQ141</f>
        <v>113411.060074543</v>
      </c>
      <c r="AR142" s="68" t="n">
        <f aca="false">AR135+AR141</f>
        <v>113411.060074543</v>
      </c>
      <c r="AS142" s="68" t="n">
        <f aca="false">AS135+AS141</f>
        <v>113411.060074543</v>
      </c>
      <c r="AT142" s="68" t="n">
        <f aca="false">AT135+AT141</f>
        <v>113411.060074543</v>
      </c>
      <c r="AU142" s="68" t="n">
        <f aca="false">AU135+AU141</f>
        <v>113411.060074543</v>
      </c>
      <c r="AV142" s="68" t="n">
        <f aca="false">AV135+AV141</f>
        <v>113411.060074543</v>
      </c>
      <c r="AW142" s="68" t="n">
        <f aca="false">AW135+AW141</f>
        <v>132639.193976831</v>
      </c>
      <c r="AX142" s="68" t="n">
        <f aca="false">AX135+AX141</f>
        <v>132639.193976831</v>
      </c>
      <c r="AY142" s="68" t="n">
        <f aca="false">AY135+AY141</f>
        <v>123701.206851025</v>
      </c>
      <c r="AZ142" s="68" t="n">
        <f aca="false">AZ135+AZ141</f>
        <v>123701.206851025</v>
      </c>
      <c r="BA142" s="68" t="n">
        <f aca="false">BA135+BA141</f>
        <v>123701.206851025</v>
      </c>
      <c r="BB142" s="68" t="n">
        <f aca="false">BB135+BB141</f>
        <v>123701.206851025</v>
      </c>
      <c r="BC142" s="68" t="n">
        <f aca="false">BC135+BC141</f>
        <v>123701.206851025</v>
      </c>
      <c r="BD142" s="68" t="n">
        <f aca="false">BD135+BD141</f>
        <v>123701.206851025</v>
      </c>
      <c r="BE142" s="68" t="n">
        <f aca="false">BE135+BE141</f>
        <v>123701.206851025</v>
      </c>
      <c r="BF142" s="68" t="n">
        <f aca="false">BF135+BF141</f>
        <v>123701.206851025</v>
      </c>
      <c r="BG142" s="68" t="n">
        <f aca="false">BG135+BG141</f>
        <v>123701.206851025</v>
      </c>
      <c r="BH142" s="68" t="n">
        <f aca="false">BH135+BH141</f>
        <v>123701.206851025</v>
      </c>
      <c r="BI142" s="68" t="n">
        <f aca="false">BI135+BI141</f>
        <v>144100.334107962</v>
      </c>
      <c r="BJ142" s="68" t="n">
        <f aca="false">BJ135+BJ141</f>
        <v>144100.334107962</v>
      </c>
    </row>
    <row r="144" customFormat="false" ht="15.75" hidden="false" customHeight="true" outlineLevel="0" collapsed="false">
      <c r="A144" s="7" t="s">
        <v>47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customFormat="false" ht="15" hidden="false" customHeight="false" outlineLevel="0" collapsed="false">
      <c r="A145" s="6" t="s">
        <v>323</v>
      </c>
      <c r="C145" s="67" t="n">
        <f aca="false">C223</f>
        <v>-49466.6666666667</v>
      </c>
      <c r="D145" s="67" t="n">
        <f aca="false">D223</f>
        <v>-49466.6666666667</v>
      </c>
      <c r="E145" s="67" t="n">
        <f aca="false">E223</f>
        <v>-49466.6666666667</v>
      </c>
      <c r="F145" s="67" t="n">
        <f aca="false">F223</f>
        <v>-49466.6666666667</v>
      </c>
      <c r="G145" s="67" t="n">
        <f aca="false">G223</f>
        <v>-49466.6666666667</v>
      </c>
      <c r="H145" s="67" t="n">
        <f aca="false">H223</f>
        <v>-49466.6666666667</v>
      </c>
      <c r="I145" s="67" t="n">
        <f aca="false">I223</f>
        <v>-49466.6666666667</v>
      </c>
      <c r="J145" s="67" t="n">
        <f aca="false">J223</f>
        <v>-49466.6666666667</v>
      </c>
      <c r="K145" s="67" t="n">
        <f aca="false">K223</f>
        <v>-49466.6666666667</v>
      </c>
      <c r="L145" s="67" t="n">
        <f aca="false">L223</f>
        <v>-49466.6666666667</v>
      </c>
      <c r="M145" s="67" t="n">
        <f aca="false">M223</f>
        <v>-49466.6666666667</v>
      </c>
      <c r="N145" s="67" t="n">
        <f aca="false">N223</f>
        <v>-49466.6666666667</v>
      </c>
      <c r="O145" s="67" t="n">
        <f aca="false">O223</f>
        <v>-53471.2826666667</v>
      </c>
      <c r="P145" s="67" t="n">
        <f aca="false">P223</f>
        <v>-53471.2826666667</v>
      </c>
      <c r="Q145" s="67" t="n">
        <f aca="false">Q223</f>
        <v>-53471.2826666667</v>
      </c>
      <c r="R145" s="67" t="n">
        <f aca="false">R223</f>
        <v>-53471.2826666667</v>
      </c>
      <c r="S145" s="67" t="n">
        <f aca="false">S223</f>
        <v>-53471.2826666667</v>
      </c>
      <c r="T145" s="67" t="n">
        <f aca="false">T223</f>
        <v>-53471.2826666667</v>
      </c>
      <c r="U145" s="67" t="n">
        <f aca="false">U223</f>
        <v>-53471.2826666667</v>
      </c>
      <c r="V145" s="67" t="n">
        <f aca="false">V223</f>
        <v>-53471.2826666667</v>
      </c>
      <c r="W145" s="67" t="n">
        <f aca="false">W223</f>
        <v>-53471.2826666667</v>
      </c>
      <c r="X145" s="67" t="n">
        <f aca="false">X223</f>
        <v>-53471.2826666667</v>
      </c>
      <c r="Y145" s="67" t="n">
        <f aca="false">Y223</f>
        <v>-53471.2826666667</v>
      </c>
      <c r="Z145" s="67" t="n">
        <f aca="false">Z223</f>
        <v>-53471.2826666667</v>
      </c>
      <c r="AA145" s="67" t="n">
        <f aca="false">AA223</f>
        <v>-57827.4296954667</v>
      </c>
      <c r="AB145" s="67" t="n">
        <f aca="false">AB223</f>
        <v>-57827.4296954667</v>
      </c>
      <c r="AC145" s="67" t="n">
        <f aca="false">AC223</f>
        <v>-57827.4296954667</v>
      </c>
      <c r="AD145" s="67" t="n">
        <f aca="false">AD223</f>
        <v>-57827.4296954667</v>
      </c>
      <c r="AE145" s="67" t="n">
        <f aca="false">AE223</f>
        <v>-57827.4296954667</v>
      </c>
      <c r="AF145" s="67" t="n">
        <f aca="false">AF223</f>
        <v>-57827.4296954667</v>
      </c>
      <c r="AG145" s="67" t="n">
        <f aca="false">AG223</f>
        <v>-57827.4296954667</v>
      </c>
      <c r="AH145" s="67" t="n">
        <f aca="false">AH223</f>
        <v>-57827.4296954667</v>
      </c>
      <c r="AI145" s="67" t="n">
        <f aca="false">AI223</f>
        <v>-57827.4296954667</v>
      </c>
      <c r="AJ145" s="67" t="n">
        <f aca="false">AJ223</f>
        <v>-57827.4296954667</v>
      </c>
      <c r="AK145" s="67" t="n">
        <f aca="false">AK223</f>
        <v>-57827.4296954667</v>
      </c>
      <c r="AL145" s="67" t="n">
        <f aca="false">AL223</f>
        <v>-57827.4296954667</v>
      </c>
      <c r="AM145" s="67" t="n">
        <f aca="false">AM223</f>
        <v>-62566.8955199105</v>
      </c>
      <c r="AN145" s="67" t="n">
        <f aca="false">AN223</f>
        <v>-62566.8955199105</v>
      </c>
      <c r="AO145" s="67" t="n">
        <f aca="false">AO223</f>
        <v>-62566.8955199105</v>
      </c>
      <c r="AP145" s="67" t="n">
        <f aca="false">AP223</f>
        <v>-62566.8955199105</v>
      </c>
      <c r="AQ145" s="67" t="n">
        <f aca="false">AQ223</f>
        <v>-62566.8955199105</v>
      </c>
      <c r="AR145" s="67" t="n">
        <f aca="false">AR223</f>
        <v>-62566.8955199105</v>
      </c>
      <c r="AS145" s="67" t="n">
        <f aca="false">AS223</f>
        <v>-62566.8955199105</v>
      </c>
      <c r="AT145" s="67" t="n">
        <f aca="false">AT223</f>
        <v>-62566.8955199105</v>
      </c>
      <c r="AU145" s="67" t="n">
        <f aca="false">AU223</f>
        <v>-62566.8955199105</v>
      </c>
      <c r="AV145" s="67" t="n">
        <f aca="false">AV223</f>
        <v>-62566.8955199105</v>
      </c>
      <c r="AW145" s="67" t="n">
        <f aca="false">AW223</f>
        <v>-62566.8955199105</v>
      </c>
      <c r="AX145" s="67" t="n">
        <f aca="false">AX223</f>
        <v>-62566.8955199105</v>
      </c>
      <c r="AY145" s="67" t="n">
        <f aca="false">AY223</f>
        <v>-67724.3715403903</v>
      </c>
      <c r="AZ145" s="67" t="n">
        <f aca="false">AZ223</f>
        <v>-67724.3715403903</v>
      </c>
      <c r="BA145" s="67" t="n">
        <f aca="false">BA223</f>
        <v>-67724.3715403903</v>
      </c>
      <c r="BB145" s="67" t="n">
        <f aca="false">BB223</f>
        <v>-67724.3715403903</v>
      </c>
      <c r="BC145" s="67" t="n">
        <f aca="false">BC223</f>
        <v>-67724.3715403903</v>
      </c>
      <c r="BD145" s="67" t="n">
        <f aca="false">BD223</f>
        <v>-67724.3715403903</v>
      </c>
      <c r="BE145" s="67" t="n">
        <f aca="false">BE223</f>
        <v>-67724.3715403903</v>
      </c>
      <c r="BF145" s="67" t="n">
        <f aca="false">BF223</f>
        <v>-67724.3715403903</v>
      </c>
      <c r="BG145" s="67" t="n">
        <f aca="false">BG223</f>
        <v>-67724.3715403903</v>
      </c>
      <c r="BH145" s="67" t="n">
        <f aca="false">BH223</f>
        <v>-67724.3715403903</v>
      </c>
      <c r="BI145" s="67" t="n">
        <f aca="false">BI223</f>
        <v>-67724.3715403903</v>
      </c>
      <c r="BJ145" s="67" t="n">
        <f aca="false">BJ223</f>
        <v>-67724.3715403903</v>
      </c>
    </row>
    <row r="146" customFormat="false" ht="15" hidden="false" customHeight="false" outlineLevel="0" collapsed="false">
      <c r="A146" s="6" t="s">
        <v>324</v>
      </c>
      <c r="C146" s="67" t="n">
        <f aca="false">-Inputs!$C$30*1</f>
        <v>-12000</v>
      </c>
      <c r="D146" s="67" t="n">
        <f aca="false">-Inputs!$C$30*1</f>
        <v>-12000</v>
      </c>
      <c r="E146" s="67" t="n">
        <f aca="false">-Inputs!$C$30*1</f>
        <v>-12000</v>
      </c>
      <c r="F146" s="67" t="n">
        <f aca="false">-Inputs!$C$30*1</f>
        <v>-12000</v>
      </c>
      <c r="G146" s="67" t="n">
        <f aca="false">-Inputs!$C$30*1</f>
        <v>-12000</v>
      </c>
      <c r="H146" s="67" t="n">
        <f aca="false">-Inputs!$C$30*1</f>
        <v>-12000</v>
      </c>
      <c r="I146" s="67" t="n">
        <f aca="false">-Inputs!$C$30*1</f>
        <v>-12000</v>
      </c>
      <c r="J146" s="67" t="n">
        <f aca="false">-Inputs!$C$30*1</f>
        <v>-12000</v>
      </c>
      <c r="K146" s="67" t="n">
        <f aca="false">-Inputs!$C$30*1</f>
        <v>-12000</v>
      </c>
      <c r="L146" s="67" t="n">
        <f aca="false">-Inputs!$C$30*1</f>
        <v>-12000</v>
      </c>
      <c r="M146" s="67" t="n">
        <f aca="false">-Inputs!$C$30*1</f>
        <v>-12000</v>
      </c>
      <c r="N146" s="67" t="n">
        <f aca="false">-Inputs!$C$30*1</f>
        <v>-12000</v>
      </c>
      <c r="O146" s="67" t="n">
        <f aca="false">-Inputs!$C$30*1</f>
        <v>-12000</v>
      </c>
      <c r="P146" s="67" t="n">
        <f aca="false">-Inputs!$C$30*1</f>
        <v>-12000</v>
      </c>
      <c r="Q146" s="67" t="n">
        <f aca="false">-Inputs!$C$30*1</f>
        <v>-12000</v>
      </c>
      <c r="R146" s="67" t="n">
        <f aca="false">-Inputs!$C$30*1</f>
        <v>-12000</v>
      </c>
      <c r="S146" s="67" t="n">
        <f aca="false">-Inputs!$C$30*1</f>
        <v>-12000</v>
      </c>
      <c r="T146" s="67" t="n">
        <f aca="false">-Inputs!$C$30*1</f>
        <v>-12000</v>
      </c>
      <c r="U146" s="67" t="n">
        <f aca="false">-Inputs!$C$30*1</f>
        <v>-12000</v>
      </c>
      <c r="V146" s="67" t="n">
        <f aca="false">-Inputs!$C$30*1</f>
        <v>-12000</v>
      </c>
      <c r="W146" s="67" t="n">
        <f aca="false">-Inputs!$C$30*1</f>
        <v>-12000</v>
      </c>
      <c r="X146" s="67" t="n">
        <f aca="false">-Inputs!$C$30*1</f>
        <v>-12000</v>
      </c>
      <c r="Y146" s="67" t="n">
        <f aca="false">-Inputs!$C$30*1</f>
        <v>-12000</v>
      </c>
      <c r="Z146" s="67" t="n">
        <f aca="false">-Inputs!$C$30*1</f>
        <v>-12000</v>
      </c>
      <c r="AA146" s="67" t="n">
        <f aca="false">-Inputs!$C$30*1</f>
        <v>-12000</v>
      </c>
      <c r="AB146" s="67" t="n">
        <f aca="false">-Inputs!$C$30*1</f>
        <v>-12000</v>
      </c>
      <c r="AC146" s="67" t="n">
        <f aca="false">-Inputs!$C$30*1</f>
        <v>-12000</v>
      </c>
      <c r="AD146" s="67" t="n">
        <f aca="false">-Inputs!$C$30*1</f>
        <v>-12000</v>
      </c>
      <c r="AE146" s="67" t="n">
        <f aca="false">-Inputs!$C$30*1</f>
        <v>-12000</v>
      </c>
      <c r="AF146" s="67" t="n">
        <f aca="false">-Inputs!$C$30*1</f>
        <v>-12000</v>
      </c>
      <c r="AG146" s="67" t="n">
        <f aca="false">-Inputs!$C$30*1</f>
        <v>-12000</v>
      </c>
      <c r="AH146" s="67" t="n">
        <f aca="false">-Inputs!$C$30*1</f>
        <v>-12000</v>
      </c>
      <c r="AI146" s="67" t="n">
        <f aca="false">-Inputs!$C$30*1</f>
        <v>-12000</v>
      </c>
      <c r="AJ146" s="67" t="n">
        <f aca="false">-Inputs!$C$30*1</f>
        <v>-12000</v>
      </c>
      <c r="AK146" s="67" t="n">
        <f aca="false">-Inputs!$C$30*1</f>
        <v>-12000</v>
      </c>
      <c r="AL146" s="67" t="n">
        <f aca="false">-Inputs!$C$30*1</f>
        <v>-12000</v>
      </c>
      <c r="AM146" s="67" t="n">
        <f aca="false">-Inputs!$C$30*1</f>
        <v>-12000</v>
      </c>
      <c r="AN146" s="67" t="n">
        <f aca="false">-Inputs!$C$30*1</f>
        <v>-12000</v>
      </c>
      <c r="AO146" s="67" t="n">
        <f aca="false">-Inputs!$C$30*1</f>
        <v>-12000</v>
      </c>
      <c r="AP146" s="67" t="n">
        <f aca="false">-Inputs!$C$30*1</f>
        <v>-12000</v>
      </c>
      <c r="AQ146" s="67" t="n">
        <f aca="false">-Inputs!$C$30*1</f>
        <v>-12000</v>
      </c>
      <c r="AR146" s="67" t="n">
        <f aca="false">-Inputs!$C$30*1</f>
        <v>-12000</v>
      </c>
      <c r="AS146" s="67" t="n">
        <f aca="false">-Inputs!$C$30*1</f>
        <v>-12000</v>
      </c>
      <c r="AT146" s="67" t="n">
        <f aca="false">-Inputs!$C$30*1</f>
        <v>-12000</v>
      </c>
      <c r="AU146" s="67" t="n">
        <f aca="false">-Inputs!$C$30*1</f>
        <v>-12000</v>
      </c>
      <c r="AV146" s="67" t="n">
        <f aca="false">-Inputs!$C$30*1</f>
        <v>-12000</v>
      </c>
      <c r="AW146" s="67" t="n">
        <f aca="false">-Inputs!$C$30*1</f>
        <v>-12000</v>
      </c>
      <c r="AX146" s="67" t="n">
        <f aca="false">-Inputs!$C$30*1</f>
        <v>-12000</v>
      </c>
      <c r="AY146" s="67" t="n">
        <f aca="false">-Inputs!$C$30*1</f>
        <v>-12000</v>
      </c>
      <c r="AZ146" s="67" t="n">
        <f aca="false">-Inputs!$C$30*1</f>
        <v>-12000</v>
      </c>
      <c r="BA146" s="67" t="n">
        <f aca="false">-Inputs!$C$30*1</f>
        <v>-12000</v>
      </c>
      <c r="BB146" s="67" t="n">
        <f aca="false">-Inputs!$C$30*1</f>
        <v>-12000</v>
      </c>
      <c r="BC146" s="67" t="n">
        <f aca="false">-Inputs!$C$30*1</f>
        <v>-12000</v>
      </c>
      <c r="BD146" s="67" t="n">
        <f aca="false">-Inputs!$C$30*1</f>
        <v>-12000</v>
      </c>
      <c r="BE146" s="67" t="n">
        <f aca="false">-Inputs!$C$30*1</f>
        <v>-12000</v>
      </c>
      <c r="BF146" s="67" t="n">
        <f aca="false">-Inputs!$C$30*1</f>
        <v>-12000</v>
      </c>
      <c r="BG146" s="67" t="n">
        <f aca="false">-Inputs!$C$30*1</f>
        <v>-12000</v>
      </c>
      <c r="BH146" s="67" t="n">
        <f aca="false">-Inputs!$C$30*1</f>
        <v>-12000</v>
      </c>
      <c r="BI146" s="67" t="n">
        <f aca="false">-Inputs!$C$30*1</f>
        <v>-12000</v>
      </c>
      <c r="BJ146" s="67" t="n">
        <f aca="false">-Inputs!$C$30*1</f>
        <v>-12000</v>
      </c>
    </row>
    <row r="147" customFormat="false" ht="15" hidden="false" customHeight="false" outlineLevel="0" collapsed="false">
      <c r="A147" s="6" t="s">
        <v>325</v>
      </c>
      <c r="C147" s="67" t="n">
        <f aca="false">-Inputs!$C$31*1</f>
        <v>-4000</v>
      </c>
      <c r="D147" s="67" t="n">
        <f aca="false">-Inputs!$C$31*1</f>
        <v>-4000</v>
      </c>
      <c r="E147" s="67" t="n">
        <f aca="false">-Inputs!$C$31*1</f>
        <v>-4000</v>
      </c>
      <c r="F147" s="67" t="n">
        <f aca="false">-Inputs!$C$31*1</f>
        <v>-4000</v>
      </c>
      <c r="G147" s="67" t="n">
        <f aca="false">-Inputs!$C$31*1</f>
        <v>-4000</v>
      </c>
      <c r="H147" s="67" t="n">
        <f aca="false">-Inputs!$C$31*1</f>
        <v>-4000</v>
      </c>
      <c r="I147" s="67" t="n">
        <f aca="false">-Inputs!$C$31*1</f>
        <v>-4000</v>
      </c>
      <c r="J147" s="67" t="n">
        <f aca="false">-Inputs!$C$31*1</f>
        <v>-4000</v>
      </c>
      <c r="K147" s="67" t="n">
        <f aca="false">-Inputs!$C$31*1</f>
        <v>-4000</v>
      </c>
      <c r="L147" s="67" t="n">
        <f aca="false">-Inputs!$C$31*1</f>
        <v>-4000</v>
      </c>
      <c r="M147" s="67" t="n">
        <f aca="false">-Inputs!$C$31*1</f>
        <v>-4000</v>
      </c>
      <c r="N147" s="67" t="n">
        <f aca="false">-Inputs!$C$31*1</f>
        <v>-4000</v>
      </c>
      <c r="O147" s="67" t="n">
        <f aca="false">-Inputs!$C$31*1</f>
        <v>-4000</v>
      </c>
      <c r="P147" s="67" t="n">
        <f aca="false">-Inputs!$C$31*1</f>
        <v>-4000</v>
      </c>
      <c r="Q147" s="67" t="n">
        <f aca="false">-Inputs!$C$31*1</f>
        <v>-4000</v>
      </c>
      <c r="R147" s="67" t="n">
        <f aca="false">-Inputs!$C$31*1</f>
        <v>-4000</v>
      </c>
      <c r="S147" s="67" t="n">
        <f aca="false">-Inputs!$C$31*1</f>
        <v>-4000</v>
      </c>
      <c r="T147" s="67" t="n">
        <f aca="false">-Inputs!$C$31*1</f>
        <v>-4000</v>
      </c>
      <c r="U147" s="67" t="n">
        <f aca="false">-Inputs!$C$31*1</f>
        <v>-4000</v>
      </c>
      <c r="V147" s="67" t="n">
        <f aca="false">-Inputs!$C$31*1</f>
        <v>-4000</v>
      </c>
      <c r="W147" s="67" t="n">
        <f aca="false">-Inputs!$C$31*1</f>
        <v>-4000</v>
      </c>
      <c r="X147" s="67" t="n">
        <f aca="false">-Inputs!$C$31*1</f>
        <v>-4000</v>
      </c>
      <c r="Y147" s="67" t="n">
        <f aca="false">-Inputs!$C$31*1</f>
        <v>-4000</v>
      </c>
      <c r="Z147" s="67" t="n">
        <f aca="false">-Inputs!$C$31*1</f>
        <v>-4000</v>
      </c>
      <c r="AA147" s="67" t="n">
        <f aca="false">-Inputs!$C$31*1</f>
        <v>-4000</v>
      </c>
      <c r="AB147" s="67" t="n">
        <f aca="false">-Inputs!$C$31*1</f>
        <v>-4000</v>
      </c>
      <c r="AC147" s="67" t="n">
        <f aca="false">-Inputs!$C$31*1</f>
        <v>-4000</v>
      </c>
      <c r="AD147" s="67" t="n">
        <f aca="false">-Inputs!$C$31*1</f>
        <v>-4000</v>
      </c>
      <c r="AE147" s="67" t="n">
        <f aca="false">-Inputs!$C$31*1</f>
        <v>-4000</v>
      </c>
      <c r="AF147" s="67" t="n">
        <f aca="false">-Inputs!$C$31*1</f>
        <v>-4000</v>
      </c>
      <c r="AG147" s="67" t="n">
        <f aca="false">-Inputs!$C$31*1</f>
        <v>-4000</v>
      </c>
      <c r="AH147" s="67" t="n">
        <f aca="false">-Inputs!$C$31*1</f>
        <v>-4000</v>
      </c>
      <c r="AI147" s="67" t="n">
        <f aca="false">-Inputs!$C$31*1</f>
        <v>-4000</v>
      </c>
      <c r="AJ147" s="67" t="n">
        <f aca="false">-Inputs!$C$31*1</f>
        <v>-4000</v>
      </c>
      <c r="AK147" s="67" t="n">
        <f aca="false">-Inputs!$C$31*1</f>
        <v>-4000</v>
      </c>
      <c r="AL147" s="67" t="n">
        <f aca="false">-Inputs!$C$31*1</f>
        <v>-4000</v>
      </c>
      <c r="AM147" s="67" t="n">
        <f aca="false">-Inputs!$C$31*1</f>
        <v>-4000</v>
      </c>
      <c r="AN147" s="67" t="n">
        <f aca="false">-Inputs!$C$31*1</f>
        <v>-4000</v>
      </c>
      <c r="AO147" s="67" t="n">
        <f aca="false">-Inputs!$C$31*1</f>
        <v>-4000</v>
      </c>
      <c r="AP147" s="67" t="n">
        <f aca="false">-Inputs!$C$31*1</f>
        <v>-4000</v>
      </c>
      <c r="AQ147" s="67" t="n">
        <f aca="false">-Inputs!$C$31*1</f>
        <v>-4000</v>
      </c>
      <c r="AR147" s="67" t="n">
        <f aca="false">-Inputs!$C$31*1</f>
        <v>-4000</v>
      </c>
      <c r="AS147" s="67" t="n">
        <f aca="false">-Inputs!$C$31*1</f>
        <v>-4000</v>
      </c>
      <c r="AT147" s="67" t="n">
        <f aca="false">-Inputs!$C$31*1</f>
        <v>-4000</v>
      </c>
      <c r="AU147" s="67" t="n">
        <f aca="false">-Inputs!$C$31*1</f>
        <v>-4000</v>
      </c>
      <c r="AV147" s="67" t="n">
        <f aca="false">-Inputs!$C$31*1</f>
        <v>-4000</v>
      </c>
      <c r="AW147" s="67" t="n">
        <f aca="false">-Inputs!$C$31*1</f>
        <v>-4000</v>
      </c>
      <c r="AX147" s="67" t="n">
        <f aca="false">-Inputs!$C$31*1</f>
        <v>-4000</v>
      </c>
      <c r="AY147" s="67" t="n">
        <f aca="false">-Inputs!$C$31*1</f>
        <v>-4000</v>
      </c>
      <c r="AZ147" s="67" t="n">
        <f aca="false">-Inputs!$C$31*1</f>
        <v>-4000</v>
      </c>
      <c r="BA147" s="67" t="n">
        <f aca="false">-Inputs!$C$31*1</f>
        <v>-4000</v>
      </c>
      <c r="BB147" s="67" t="n">
        <f aca="false">-Inputs!$C$31*1</f>
        <v>-4000</v>
      </c>
      <c r="BC147" s="67" t="n">
        <f aca="false">-Inputs!$C$31*1</f>
        <v>-4000</v>
      </c>
      <c r="BD147" s="67" t="n">
        <f aca="false">-Inputs!$C$31*1</f>
        <v>-4000</v>
      </c>
      <c r="BE147" s="67" t="n">
        <f aca="false">-Inputs!$C$31*1</f>
        <v>-4000</v>
      </c>
      <c r="BF147" s="67" t="n">
        <f aca="false">-Inputs!$C$31*1</f>
        <v>-4000</v>
      </c>
      <c r="BG147" s="67" t="n">
        <f aca="false">-Inputs!$C$31*1</f>
        <v>-4000</v>
      </c>
      <c r="BH147" s="67" t="n">
        <f aca="false">-Inputs!$C$31*1</f>
        <v>-4000</v>
      </c>
      <c r="BI147" s="67" t="n">
        <f aca="false">-Inputs!$C$31*1</f>
        <v>-4000</v>
      </c>
      <c r="BJ147" s="67" t="n">
        <f aca="false">-Inputs!$C$31*1</f>
        <v>-4000</v>
      </c>
    </row>
    <row r="148" customFormat="false" ht="15" hidden="false" customHeight="false" outlineLevel="0" collapsed="false">
      <c r="A148" s="6" t="s">
        <v>326</v>
      </c>
      <c r="C148" s="67" t="n">
        <f aca="false">-C130*Inputs!$C$20*52/12*1*Inputs!$C$21</f>
        <v>-2808</v>
      </c>
      <c r="D148" s="67" t="n">
        <f aca="false">-D130*Inputs!$C$20*52/12*1*Inputs!$C$21</f>
        <v>-2964</v>
      </c>
      <c r="E148" s="67" t="n">
        <f aca="false">-E130*Inputs!$C$20*52/12*1*Inputs!$C$21</f>
        <v>-3120</v>
      </c>
      <c r="F148" s="67" t="n">
        <f aca="false">-F130*Inputs!$C$20*52/12*1*Inputs!$C$21</f>
        <v>-3120</v>
      </c>
      <c r="G148" s="67" t="n">
        <f aca="false">-G130*Inputs!$C$20*52/12*1*Inputs!$C$21</f>
        <v>-3120</v>
      </c>
      <c r="H148" s="67" t="n">
        <f aca="false">-H130*Inputs!$C$20*52/12*1*Inputs!$C$21</f>
        <v>-3120</v>
      </c>
      <c r="I148" s="67" t="n">
        <f aca="false">-I130*Inputs!$C$20*52/12*1*Inputs!$C$21</f>
        <v>-3120</v>
      </c>
      <c r="J148" s="67" t="n">
        <f aca="false">-J130*Inputs!$C$20*52/12*1*Inputs!$C$21</f>
        <v>-3120</v>
      </c>
      <c r="K148" s="67" t="n">
        <f aca="false">-K130*Inputs!$C$20*52/12*1*Inputs!$C$21</f>
        <v>-3120</v>
      </c>
      <c r="L148" s="67" t="n">
        <f aca="false">-L130*Inputs!$C$20*52/12*1*Inputs!$C$21</f>
        <v>-3120</v>
      </c>
      <c r="M148" s="67" t="n">
        <f aca="false">-M130*Inputs!$C$20*52/12*1*Inputs!$C$21</f>
        <v>-3120</v>
      </c>
      <c r="N148" s="67" t="n">
        <f aca="false">-N130*Inputs!$C$20*52/12*1*Inputs!$C$21</f>
        <v>-3120</v>
      </c>
      <c r="O148" s="67" t="n">
        <f aca="false">-O130*Inputs!$C$20*52/12*1*Inputs!$C$21</f>
        <v>-3494.4</v>
      </c>
      <c r="P148" s="67" t="n">
        <f aca="false">-P130*Inputs!$C$20*52/12*1*Inputs!$C$21</f>
        <v>-3494.4</v>
      </c>
      <c r="Q148" s="67" t="n">
        <f aca="false">-Q130*Inputs!$C$20*52/12*1*Inputs!$C$21</f>
        <v>-3494.4</v>
      </c>
      <c r="R148" s="67" t="n">
        <f aca="false">-R130*Inputs!$C$20*52/12*1*Inputs!$C$21</f>
        <v>-3494.4</v>
      </c>
      <c r="S148" s="67" t="n">
        <f aca="false">-S130*Inputs!$C$20*52/12*1*Inputs!$C$21</f>
        <v>-3494.4</v>
      </c>
      <c r="T148" s="67" t="n">
        <f aca="false">-T130*Inputs!$C$20*52/12*1*Inputs!$C$21</f>
        <v>-3494.4</v>
      </c>
      <c r="U148" s="67" t="n">
        <f aca="false">-U130*Inputs!$C$20*52/12*1*Inputs!$C$21</f>
        <v>-3494.4</v>
      </c>
      <c r="V148" s="67" t="n">
        <f aca="false">-V130*Inputs!$C$20*52/12*1*Inputs!$C$21</f>
        <v>-3494.4</v>
      </c>
      <c r="W148" s="67" t="n">
        <f aca="false">-W130*Inputs!$C$20*52/12*1*Inputs!$C$21</f>
        <v>-3494.4</v>
      </c>
      <c r="X148" s="67" t="n">
        <f aca="false">-X130*Inputs!$C$20*52/12*1*Inputs!$C$21</f>
        <v>-3494.4</v>
      </c>
      <c r="Y148" s="67" t="n">
        <f aca="false">-Y130*Inputs!$C$20*52/12*1*Inputs!$C$21</f>
        <v>-3494.4</v>
      </c>
      <c r="Z148" s="67" t="n">
        <f aca="false">-Z130*Inputs!$C$20*52/12*1*Inputs!$C$21</f>
        <v>-3494.4</v>
      </c>
      <c r="AA148" s="67" t="n">
        <f aca="false">-AA130*Inputs!$C$20*52/12*1*Inputs!$C$21</f>
        <v>-3913.728</v>
      </c>
      <c r="AB148" s="67" t="n">
        <f aca="false">-AB130*Inputs!$C$20*52/12*1*Inputs!$C$21</f>
        <v>-3913.728</v>
      </c>
      <c r="AC148" s="67" t="n">
        <f aca="false">-AC130*Inputs!$C$20*52/12*1*Inputs!$C$21</f>
        <v>-3913.728</v>
      </c>
      <c r="AD148" s="67" t="n">
        <f aca="false">-AD130*Inputs!$C$20*52/12*1*Inputs!$C$21</f>
        <v>-3913.728</v>
      </c>
      <c r="AE148" s="67" t="n">
        <f aca="false">-AE130*Inputs!$C$20*52/12*1*Inputs!$C$21</f>
        <v>-3913.728</v>
      </c>
      <c r="AF148" s="67" t="n">
        <f aca="false">-AF130*Inputs!$C$20*52/12*1*Inputs!$C$21</f>
        <v>-3913.728</v>
      </c>
      <c r="AG148" s="67" t="n">
        <f aca="false">-AG130*Inputs!$C$20*52/12*1*Inputs!$C$21</f>
        <v>-3913.728</v>
      </c>
      <c r="AH148" s="67" t="n">
        <f aca="false">-AH130*Inputs!$C$20*52/12*1*Inputs!$C$21</f>
        <v>-3913.728</v>
      </c>
      <c r="AI148" s="67" t="n">
        <f aca="false">-AI130*Inputs!$C$20*52/12*1*Inputs!$C$21</f>
        <v>-3913.728</v>
      </c>
      <c r="AJ148" s="67" t="n">
        <f aca="false">-AJ130*Inputs!$C$20*52/12*1*Inputs!$C$21</f>
        <v>-3913.728</v>
      </c>
      <c r="AK148" s="67" t="n">
        <f aca="false">-AK130*Inputs!$C$20*52/12*1*Inputs!$C$21</f>
        <v>-3913.728</v>
      </c>
      <c r="AL148" s="67" t="n">
        <f aca="false">-AL130*Inputs!$C$20*52/12*1*Inputs!$C$21</f>
        <v>-3913.728</v>
      </c>
      <c r="AM148" s="67" t="n">
        <f aca="false">-AM130*Inputs!$C$20*52/12*1*Inputs!$C$21</f>
        <v>-4383.37536</v>
      </c>
      <c r="AN148" s="67" t="n">
        <f aca="false">-AN130*Inputs!$C$20*52/12*1*Inputs!$C$21</f>
        <v>-4383.37536</v>
      </c>
      <c r="AO148" s="67" t="n">
        <f aca="false">-AO130*Inputs!$C$20*52/12*1*Inputs!$C$21</f>
        <v>-4383.37536</v>
      </c>
      <c r="AP148" s="67" t="n">
        <f aca="false">-AP130*Inputs!$C$20*52/12*1*Inputs!$C$21</f>
        <v>-4383.37536</v>
      </c>
      <c r="AQ148" s="67" t="n">
        <f aca="false">-AQ130*Inputs!$C$20*52/12*1*Inputs!$C$21</f>
        <v>-4383.37536</v>
      </c>
      <c r="AR148" s="67" t="n">
        <f aca="false">-AR130*Inputs!$C$20*52/12*1*Inputs!$C$21</f>
        <v>-4383.37536</v>
      </c>
      <c r="AS148" s="67" t="n">
        <f aca="false">-AS130*Inputs!$C$20*52/12*1*Inputs!$C$21</f>
        <v>-4383.37536</v>
      </c>
      <c r="AT148" s="67" t="n">
        <f aca="false">-AT130*Inputs!$C$20*52/12*1*Inputs!$C$21</f>
        <v>-4383.37536</v>
      </c>
      <c r="AU148" s="67" t="n">
        <f aca="false">-AU130*Inputs!$C$20*52/12*1*Inputs!$C$21</f>
        <v>-4383.37536</v>
      </c>
      <c r="AV148" s="67" t="n">
        <f aca="false">-AV130*Inputs!$C$20*52/12*1*Inputs!$C$21</f>
        <v>-4383.37536</v>
      </c>
      <c r="AW148" s="67" t="n">
        <f aca="false">-AW130*Inputs!$C$20*52/12*1*Inputs!$C$21</f>
        <v>-4383.37536</v>
      </c>
      <c r="AX148" s="67" t="n">
        <f aca="false">-AX130*Inputs!$C$20*52/12*1*Inputs!$C$21</f>
        <v>-4383.37536</v>
      </c>
      <c r="AY148" s="67" t="n">
        <f aca="false">-AY130*Inputs!$C$20*52/12*1*Inputs!$C$21</f>
        <v>-4909.3804032</v>
      </c>
      <c r="AZ148" s="67" t="n">
        <f aca="false">-AZ130*Inputs!$C$20*52/12*1*Inputs!$C$21</f>
        <v>-4909.3804032</v>
      </c>
      <c r="BA148" s="67" t="n">
        <f aca="false">-BA130*Inputs!$C$20*52/12*1*Inputs!$C$21</f>
        <v>-4909.3804032</v>
      </c>
      <c r="BB148" s="67" t="n">
        <f aca="false">-BB130*Inputs!$C$20*52/12*1*Inputs!$C$21</f>
        <v>-4909.3804032</v>
      </c>
      <c r="BC148" s="67" t="n">
        <f aca="false">-BC130*Inputs!$C$20*52/12*1*Inputs!$C$21</f>
        <v>-4909.3804032</v>
      </c>
      <c r="BD148" s="67" t="n">
        <f aca="false">-BD130*Inputs!$C$20*52/12*1*Inputs!$C$21</f>
        <v>-4909.3804032</v>
      </c>
      <c r="BE148" s="67" t="n">
        <f aca="false">-BE130*Inputs!$C$20*52/12*1*Inputs!$C$21</f>
        <v>-4909.3804032</v>
      </c>
      <c r="BF148" s="67" t="n">
        <f aca="false">-BF130*Inputs!$C$20*52/12*1*Inputs!$C$21</f>
        <v>-4909.3804032</v>
      </c>
      <c r="BG148" s="67" t="n">
        <f aca="false">-BG130*Inputs!$C$20*52/12*1*Inputs!$C$21</f>
        <v>-4909.3804032</v>
      </c>
      <c r="BH148" s="67" t="n">
        <f aca="false">-BH130*Inputs!$C$20*52/12*1*Inputs!$C$21</f>
        <v>-4909.3804032</v>
      </c>
      <c r="BI148" s="67" t="n">
        <f aca="false">-BI130*Inputs!$C$20*52/12*1*Inputs!$C$21</f>
        <v>-4909.3804032</v>
      </c>
      <c r="BJ148" s="67" t="n">
        <f aca="false">-BJ130*Inputs!$C$20*52/12*1*Inputs!$C$21</f>
        <v>-4909.3804032</v>
      </c>
    </row>
    <row r="149" customFormat="false" ht="15" hidden="false" customHeight="false" outlineLevel="0" collapsed="false">
      <c r="A149" s="6" t="s">
        <v>327</v>
      </c>
      <c r="C149" s="67" t="n">
        <f aca="false">-Inputs!$C$32*1</f>
        <v>-1000</v>
      </c>
      <c r="D149" s="67" t="n">
        <f aca="false">-Inputs!$C$32*1</f>
        <v>-1000</v>
      </c>
      <c r="E149" s="67" t="n">
        <f aca="false">-Inputs!$C$32*1</f>
        <v>-1000</v>
      </c>
      <c r="F149" s="67" t="n">
        <f aca="false">-Inputs!$C$32*1</f>
        <v>-1000</v>
      </c>
      <c r="G149" s="67" t="n">
        <f aca="false">-Inputs!$C$32*1</f>
        <v>-1000</v>
      </c>
      <c r="H149" s="67" t="n">
        <f aca="false">-Inputs!$C$32*1</f>
        <v>-1000</v>
      </c>
      <c r="I149" s="67" t="n">
        <f aca="false">-Inputs!$C$32*1</f>
        <v>-1000</v>
      </c>
      <c r="J149" s="67" t="n">
        <f aca="false">-Inputs!$C$32*1</f>
        <v>-1000</v>
      </c>
      <c r="K149" s="67" t="n">
        <f aca="false">-Inputs!$C$32*1</f>
        <v>-1000</v>
      </c>
      <c r="L149" s="67" t="n">
        <f aca="false">-Inputs!$C$32*1</f>
        <v>-1000</v>
      </c>
      <c r="M149" s="67" t="n">
        <f aca="false">-Inputs!$C$32*1</f>
        <v>-1000</v>
      </c>
      <c r="N149" s="67" t="n">
        <f aca="false">-Inputs!$C$32*1</f>
        <v>-1000</v>
      </c>
      <c r="O149" s="67" t="n">
        <f aca="false">-Inputs!$C$32*1</f>
        <v>-1000</v>
      </c>
      <c r="P149" s="67" t="n">
        <f aca="false">-Inputs!$C$32*1</f>
        <v>-1000</v>
      </c>
      <c r="Q149" s="67" t="n">
        <f aca="false">-Inputs!$C$32*1</f>
        <v>-1000</v>
      </c>
      <c r="R149" s="67" t="n">
        <f aca="false">-Inputs!$C$32*1</f>
        <v>-1000</v>
      </c>
      <c r="S149" s="67" t="n">
        <f aca="false">-Inputs!$C$32*1</f>
        <v>-1000</v>
      </c>
      <c r="T149" s="67" t="n">
        <f aca="false">-Inputs!$C$32*1</f>
        <v>-1000</v>
      </c>
      <c r="U149" s="67" t="n">
        <f aca="false">-Inputs!$C$32*1</f>
        <v>-1000</v>
      </c>
      <c r="V149" s="67" t="n">
        <f aca="false">-Inputs!$C$32*1</f>
        <v>-1000</v>
      </c>
      <c r="W149" s="67" t="n">
        <f aca="false">-Inputs!$C$32*1</f>
        <v>-1000</v>
      </c>
      <c r="X149" s="67" t="n">
        <f aca="false">-Inputs!$C$32*1</f>
        <v>-1000</v>
      </c>
      <c r="Y149" s="67" t="n">
        <f aca="false">-Inputs!$C$32*1</f>
        <v>-1000</v>
      </c>
      <c r="Z149" s="67" t="n">
        <f aca="false">-Inputs!$C$32*1</f>
        <v>-1000</v>
      </c>
      <c r="AA149" s="67" t="n">
        <f aca="false">-Inputs!$C$32*1</f>
        <v>-1000</v>
      </c>
      <c r="AB149" s="67" t="n">
        <f aca="false">-Inputs!$C$32*1</f>
        <v>-1000</v>
      </c>
      <c r="AC149" s="67" t="n">
        <f aca="false">-Inputs!$C$32*1</f>
        <v>-1000</v>
      </c>
      <c r="AD149" s="67" t="n">
        <f aca="false">-Inputs!$C$32*1</f>
        <v>-1000</v>
      </c>
      <c r="AE149" s="67" t="n">
        <f aca="false">-Inputs!$C$32*1</f>
        <v>-1000</v>
      </c>
      <c r="AF149" s="67" t="n">
        <f aca="false">-Inputs!$C$32*1</f>
        <v>-1000</v>
      </c>
      <c r="AG149" s="67" t="n">
        <f aca="false">-Inputs!$C$32*1</f>
        <v>-1000</v>
      </c>
      <c r="AH149" s="67" t="n">
        <f aca="false">-Inputs!$C$32*1</f>
        <v>-1000</v>
      </c>
      <c r="AI149" s="67" t="n">
        <f aca="false">-Inputs!$C$32*1</f>
        <v>-1000</v>
      </c>
      <c r="AJ149" s="67" t="n">
        <f aca="false">-Inputs!$C$32*1</f>
        <v>-1000</v>
      </c>
      <c r="AK149" s="67" t="n">
        <f aca="false">-Inputs!$C$32*1</f>
        <v>-1000</v>
      </c>
      <c r="AL149" s="67" t="n">
        <f aca="false">-Inputs!$C$32*1</f>
        <v>-1000</v>
      </c>
      <c r="AM149" s="67" t="n">
        <f aca="false">-Inputs!$C$32*1</f>
        <v>-1000</v>
      </c>
      <c r="AN149" s="67" t="n">
        <f aca="false">-Inputs!$C$32*1</f>
        <v>-1000</v>
      </c>
      <c r="AO149" s="67" t="n">
        <f aca="false">-Inputs!$C$32*1</f>
        <v>-1000</v>
      </c>
      <c r="AP149" s="67" t="n">
        <f aca="false">-Inputs!$C$32*1</f>
        <v>-1000</v>
      </c>
      <c r="AQ149" s="67" t="n">
        <f aca="false">-Inputs!$C$32*1</f>
        <v>-1000</v>
      </c>
      <c r="AR149" s="67" t="n">
        <f aca="false">-Inputs!$C$32*1</f>
        <v>-1000</v>
      </c>
      <c r="AS149" s="67" t="n">
        <f aca="false">-Inputs!$C$32*1</f>
        <v>-1000</v>
      </c>
      <c r="AT149" s="67" t="n">
        <f aca="false">-Inputs!$C$32*1</f>
        <v>-1000</v>
      </c>
      <c r="AU149" s="67" t="n">
        <f aca="false">-Inputs!$C$32*1</f>
        <v>-1000</v>
      </c>
      <c r="AV149" s="67" t="n">
        <f aca="false">-Inputs!$C$32*1</f>
        <v>-1000</v>
      </c>
      <c r="AW149" s="67" t="n">
        <f aca="false">-Inputs!$C$32*1</f>
        <v>-1000</v>
      </c>
      <c r="AX149" s="67" t="n">
        <f aca="false">-Inputs!$C$32*1</f>
        <v>-1000</v>
      </c>
      <c r="AY149" s="67" t="n">
        <f aca="false">-Inputs!$C$32*1</f>
        <v>-1000</v>
      </c>
      <c r="AZ149" s="67" t="n">
        <f aca="false">-Inputs!$C$32*1</f>
        <v>-1000</v>
      </c>
      <c r="BA149" s="67" t="n">
        <f aca="false">-Inputs!$C$32*1</f>
        <v>-1000</v>
      </c>
      <c r="BB149" s="67" t="n">
        <f aca="false">-Inputs!$C$32*1</f>
        <v>-1000</v>
      </c>
      <c r="BC149" s="67" t="n">
        <f aca="false">-Inputs!$C$32*1</f>
        <v>-1000</v>
      </c>
      <c r="BD149" s="67" t="n">
        <f aca="false">-Inputs!$C$32*1</f>
        <v>-1000</v>
      </c>
      <c r="BE149" s="67" t="n">
        <f aca="false">-Inputs!$C$32*1</f>
        <v>-1000</v>
      </c>
      <c r="BF149" s="67" t="n">
        <f aca="false">-Inputs!$C$32*1</f>
        <v>-1000</v>
      </c>
      <c r="BG149" s="67" t="n">
        <f aca="false">-Inputs!$C$32*1</f>
        <v>-1000</v>
      </c>
      <c r="BH149" s="67" t="n">
        <f aca="false">-Inputs!$C$32*1</f>
        <v>-1000</v>
      </c>
      <c r="BI149" s="67" t="n">
        <f aca="false">-Inputs!$C$32*1</f>
        <v>-1000</v>
      </c>
      <c r="BJ149" s="67" t="n">
        <f aca="false">-Inputs!$C$32*1</f>
        <v>-1000</v>
      </c>
    </row>
    <row r="150" customFormat="false" ht="15" hidden="false" customHeight="false" outlineLevel="0" collapsed="false">
      <c r="A150" s="6" t="s">
        <v>328</v>
      </c>
      <c r="C150" s="67" t="n">
        <f aca="false">-C135*Inputs!$C$33</f>
        <v>-2319.616</v>
      </c>
      <c r="D150" s="67" t="n">
        <f aca="false">-D135*Inputs!$C$33</f>
        <v>-2452.736</v>
      </c>
      <c r="E150" s="67" t="n">
        <f aca="false">-E135*Inputs!$C$33</f>
        <v>-2585.856</v>
      </c>
      <c r="F150" s="67" t="n">
        <f aca="false">-F135*Inputs!$C$33</f>
        <v>-2585.856</v>
      </c>
      <c r="G150" s="67" t="n">
        <f aca="false">-G135*Inputs!$C$33</f>
        <v>-2585.856</v>
      </c>
      <c r="H150" s="67" t="n">
        <f aca="false">-H135*Inputs!$C$33</f>
        <v>-2585.856</v>
      </c>
      <c r="I150" s="67" t="n">
        <f aca="false">-I135*Inputs!$C$33</f>
        <v>-2585.856</v>
      </c>
      <c r="J150" s="67" t="n">
        <f aca="false">-J135*Inputs!$C$33</f>
        <v>-2585.856</v>
      </c>
      <c r="K150" s="67" t="n">
        <f aca="false">-K135*Inputs!$C$33</f>
        <v>-2585.856</v>
      </c>
      <c r="L150" s="67" t="n">
        <f aca="false">-L135*Inputs!$C$33</f>
        <v>-2585.856</v>
      </c>
      <c r="M150" s="67" t="n">
        <f aca="false">-M135*Inputs!$C$33</f>
        <v>-3045.12</v>
      </c>
      <c r="N150" s="67" t="n">
        <f aca="false">-N135*Inputs!$C$33</f>
        <v>-3045.12</v>
      </c>
      <c r="O150" s="67" t="n">
        <f aca="false">-O135*Inputs!$C$33</f>
        <v>-2812.7483904</v>
      </c>
      <c r="P150" s="67" t="n">
        <f aca="false">-P135*Inputs!$C$33</f>
        <v>-2812.7483904</v>
      </c>
      <c r="Q150" s="67" t="n">
        <f aca="false">-Q135*Inputs!$C$33</f>
        <v>-2812.7483904</v>
      </c>
      <c r="R150" s="67" t="n">
        <f aca="false">-R135*Inputs!$C$33</f>
        <v>-2812.7483904</v>
      </c>
      <c r="S150" s="67" t="n">
        <f aca="false">-S135*Inputs!$C$33</f>
        <v>-2812.7483904</v>
      </c>
      <c r="T150" s="67" t="n">
        <f aca="false">-T135*Inputs!$C$33</f>
        <v>-2812.7483904</v>
      </c>
      <c r="U150" s="67" t="n">
        <f aca="false">-U135*Inputs!$C$33</f>
        <v>-2812.7483904</v>
      </c>
      <c r="V150" s="67" t="n">
        <f aca="false">-V135*Inputs!$C$33</f>
        <v>-2812.7483904</v>
      </c>
      <c r="W150" s="67" t="n">
        <f aca="false">-W135*Inputs!$C$33</f>
        <v>-2812.7483904</v>
      </c>
      <c r="X150" s="67" t="n">
        <f aca="false">-X135*Inputs!$C$33</f>
        <v>-2812.7483904</v>
      </c>
      <c r="Y150" s="67" t="n">
        <f aca="false">-Y135*Inputs!$C$33</f>
        <v>-3299.981568</v>
      </c>
      <c r="Z150" s="67" t="n">
        <f aca="false">-Z135*Inputs!$C$33</f>
        <v>-3299.981568</v>
      </c>
      <c r="AA150" s="67" t="n">
        <f aca="false">-AA135*Inputs!$C$33</f>
        <v>-3064.12048091136</v>
      </c>
      <c r="AB150" s="67" t="n">
        <f aca="false">-AB135*Inputs!$C$33</f>
        <v>-3064.12048091136</v>
      </c>
      <c r="AC150" s="67" t="n">
        <f aca="false">-AC135*Inputs!$C$33</f>
        <v>-3064.12048091136</v>
      </c>
      <c r="AD150" s="67" t="n">
        <f aca="false">-AD135*Inputs!$C$33</f>
        <v>-3064.12048091136</v>
      </c>
      <c r="AE150" s="67" t="n">
        <f aca="false">-AE135*Inputs!$C$33</f>
        <v>-3064.12048091136</v>
      </c>
      <c r="AF150" s="67" t="n">
        <f aca="false">-AF135*Inputs!$C$33</f>
        <v>-3064.12048091136</v>
      </c>
      <c r="AG150" s="67" t="n">
        <f aca="false">-AG135*Inputs!$C$33</f>
        <v>-3064.12048091136</v>
      </c>
      <c r="AH150" s="67" t="n">
        <f aca="false">-AH135*Inputs!$C$33</f>
        <v>-3064.12048091136</v>
      </c>
      <c r="AI150" s="67" t="n">
        <f aca="false">-AI135*Inputs!$C$33</f>
        <v>-3064.12048091136</v>
      </c>
      <c r="AJ150" s="67" t="n">
        <f aca="false">-AJ135*Inputs!$C$33</f>
        <v>-3064.12048091136</v>
      </c>
      <c r="AK150" s="67" t="n">
        <f aca="false">-AK135*Inputs!$C$33</f>
        <v>-3581.0261590272</v>
      </c>
      <c r="AL150" s="67" t="n">
        <f aca="false">-AL135*Inputs!$C$33</f>
        <v>-3581.0261590272</v>
      </c>
      <c r="AM150" s="67" t="n">
        <f aca="false">-AM135*Inputs!$C$33</f>
        <v>-3343.10076133399</v>
      </c>
      <c r="AN150" s="67" t="n">
        <f aca="false">-AN135*Inputs!$C$33</f>
        <v>-3343.10076133399</v>
      </c>
      <c r="AO150" s="67" t="n">
        <f aca="false">-AO135*Inputs!$C$33</f>
        <v>-3343.10076133399</v>
      </c>
      <c r="AP150" s="67" t="n">
        <f aca="false">-AP135*Inputs!$C$33</f>
        <v>-3343.10076133399</v>
      </c>
      <c r="AQ150" s="67" t="n">
        <f aca="false">-AQ135*Inputs!$C$33</f>
        <v>-3343.10076133399</v>
      </c>
      <c r="AR150" s="67" t="n">
        <f aca="false">-AR135*Inputs!$C$33</f>
        <v>-3343.10076133399</v>
      </c>
      <c r="AS150" s="67" t="n">
        <f aca="false">-AS135*Inputs!$C$33</f>
        <v>-3343.10076133399</v>
      </c>
      <c r="AT150" s="67" t="n">
        <f aca="false">-AT135*Inputs!$C$33</f>
        <v>-3343.10076133399</v>
      </c>
      <c r="AU150" s="67" t="n">
        <f aca="false">-AU135*Inputs!$C$33</f>
        <v>-3343.10076133399</v>
      </c>
      <c r="AV150" s="67" t="n">
        <f aca="false">-AV135*Inputs!$C$33</f>
        <v>-3343.10076133399</v>
      </c>
      <c r="AW150" s="67" t="n">
        <f aca="false">-AW135*Inputs!$C$33</f>
        <v>-3891.48599524709</v>
      </c>
      <c r="AX150" s="67" t="n">
        <f aca="false">-AX135*Inputs!$C$33</f>
        <v>-3891.48599524709</v>
      </c>
      <c r="AY150" s="67" t="n">
        <f aca="false">-AY135*Inputs!$C$33</f>
        <v>-3653.25979353992</v>
      </c>
      <c r="AZ150" s="67" t="n">
        <f aca="false">-AZ135*Inputs!$C$33</f>
        <v>-3653.25979353992</v>
      </c>
      <c r="BA150" s="67" t="n">
        <f aca="false">-BA135*Inputs!$C$33</f>
        <v>-3653.25979353992</v>
      </c>
      <c r="BB150" s="67" t="n">
        <f aca="false">-BB135*Inputs!$C$33</f>
        <v>-3653.25979353992</v>
      </c>
      <c r="BC150" s="67" t="n">
        <f aca="false">-BC135*Inputs!$C$33</f>
        <v>-3653.25979353992</v>
      </c>
      <c r="BD150" s="67" t="n">
        <f aca="false">-BD135*Inputs!$C$33</f>
        <v>-3653.25979353992</v>
      </c>
      <c r="BE150" s="67" t="n">
        <f aca="false">-BE135*Inputs!$C$33</f>
        <v>-3653.25979353992</v>
      </c>
      <c r="BF150" s="67" t="n">
        <f aca="false">-BF135*Inputs!$C$33</f>
        <v>-3653.25979353992</v>
      </c>
      <c r="BG150" s="67" t="n">
        <f aca="false">-BG135*Inputs!$C$33</f>
        <v>-3653.25979353992</v>
      </c>
      <c r="BH150" s="67" t="n">
        <f aca="false">-BH135*Inputs!$C$33</f>
        <v>-3653.25979353992</v>
      </c>
      <c r="BI150" s="67" t="n">
        <f aca="false">-BI135*Inputs!$C$33</f>
        <v>-4235.04168819832</v>
      </c>
      <c r="BJ150" s="67" t="n">
        <f aca="false">-BJ135*Inputs!$C$33</f>
        <v>-4235.04168819832</v>
      </c>
    </row>
    <row r="151" customFormat="false" ht="15" hidden="false" customHeight="false" outlineLevel="0" collapsed="false">
      <c r="A151" s="6" t="s">
        <v>329</v>
      </c>
      <c r="C151" s="67" t="n">
        <f aca="false">-C127*Inputs!$C$34</f>
        <v>-2303.9744</v>
      </c>
      <c r="D151" s="67" t="n">
        <f aca="false">-D127*Inputs!$C$34</f>
        <v>-2437.9264</v>
      </c>
      <c r="E151" s="67" t="n">
        <f aca="false">-E127*Inputs!$C$34</f>
        <v>-2571.8784</v>
      </c>
      <c r="F151" s="67" t="n">
        <f aca="false">-F127*Inputs!$C$34</f>
        <v>-2571.8784</v>
      </c>
      <c r="G151" s="67" t="n">
        <f aca="false">-G127*Inputs!$C$34</f>
        <v>-2571.8784</v>
      </c>
      <c r="H151" s="67" t="n">
        <f aca="false">-H127*Inputs!$C$34</f>
        <v>-2571.8784</v>
      </c>
      <c r="I151" s="67" t="n">
        <f aca="false">-I127*Inputs!$C$34</f>
        <v>-2571.8784</v>
      </c>
      <c r="J151" s="67" t="n">
        <f aca="false">-J127*Inputs!$C$34</f>
        <v>-2571.8784</v>
      </c>
      <c r="K151" s="67" t="n">
        <f aca="false">-K127*Inputs!$C$34</f>
        <v>-2571.8784</v>
      </c>
      <c r="L151" s="67" t="n">
        <f aca="false">-L127*Inputs!$C$34</f>
        <v>-2571.8784</v>
      </c>
      <c r="M151" s="67" t="n">
        <f aca="false">-M127*Inputs!$C$34</f>
        <v>-3214.848</v>
      </c>
      <c r="N151" s="67" t="n">
        <f aca="false">-N127*Inputs!$C$34</f>
        <v>-3214.848</v>
      </c>
      <c r="O151" s="67" t="n">
        <f aca="false">-O127*Inputs!$C$34</f>
        <v>-2728.50579456</v>
      </c>
      <c r="P151" s="67" t="n">
        <f aca="false">-P127*Inputs!$C$34</f>
        <v>-2728.50579456</v>
      </c>
      <c r="Q151" s="67" t="n">
        <f aca="false">-Q127*Inputs!$C$34</f>
        <v>-2728.50579456</v>
      </c>
      <c r="R151" s="67" t="n">
        <f aca="false">-R127*Inputs!$C$34</f>
        <v>-2728.50579456</v>
      </c>
      <c r="S151" s="67" t="n">
        <f aca="false">-S127*Inputs!$C$34</f>
        <v>-2728.50579456</v>
      </c>
      <c r="T151" s="67" t="n">
        <f aca="false">-T127*Inputs!$C$34</f>
        <v>-2728.50579456</v>
      </c>
      <c r="U151" s="67" t="n">
        <f aca="false">-U127*Inputs!$C$34</f>
        <v>-2728.50579456</v>
      </c>
      <c r="V151" s="67" t="n">
        <f aca="false">-V127*Inputs!$C$34</f>
        <v>-2728.50579456</v>
      </c>
      <c r="W151" s="67" t="n">
        <f aca="false">-W127*Inputs!$C$34</f>
        <v>-2728.50579456</v>
      </c>
      <c r="X151" s="67" t="n">
        <f aca="false">-X127*Inputs!$C$34</f>
        <v>-2728.50579456</v>
      </c>
      <c r="Y151" s="67" t="n">
        <f aca="false">-Y127*Inputs!$C$34</f>
        <v>-3410.6322432</v>
      </c>
      <c r="Z151" s="67" t="n">
        <f aca="false">-Z127*Inputs!$C$34</f>
        <v>-3410.6322432</v>
      </c>
      <c r="AA151" s="67" t="n">
        <f aca="false">-AA127*Inputs!$C$34</f>
        <v>-2894.6717974487</v>
      </c>
      <c r="AB151" s="67" t="n">
        <f aca="false">-AB127*Inputs!$C$34</f>
        <v>-2894.6717974487</v>
      </c>
      <c r="AC151" s="67" t="n">
        <f aca="false">-AC127*Inputs!$C$34</f>
        <v>-2894.6717974487</v>
      </c>
      <c r="AD151" s="67" t="n">
        <f aca="false">-AD127*Inputs!$C$34</f>
        <v>-2894.6717974487</v>
      </c>
      <c r="AE151" s="67" t="n">
        <f aca="false">-AE127*Inputs!$C$34</f>
        <v>-2894.6717974487</v>
      </c>
      <c r="AF151" s="67" t="n">
        <f aca="false">-AF127*Inputs!$C$34</f>
        <v>-2894.6717974487</v>
      </c>
      <c r="AG151" s="67" t="n">
        <f aca="false">-AG127*Inputs!$C$34</f>
        <v>-2894.6717974487</v>
      </c>
      <c r="AH151" s="67" t="n">
        <f aca="false">-AH127*Inputs!$C$34</f>
        <v>-2894.6717974487</v>
      </c>
      <c r="AI151" s="67" t="n">
        <f aca="false">-AI127*Inputs!$C$34</f>
        <v>-2894.6717974487</v>
      </c>
      <c r="AJ151" s="67" t="n">
        <f aca="false">-AJ127*Inputs!$C$34</f>
        <v>-2894.6717974487</v>
      </c>
      <c r="AK151" s="67" t="n">
        <f aca="false">-AK127*Inputs!$C$34</f>
        <v>-3618.33974681088</v>
      </c>
      <c r="AL151" s="67" t="n">
        <f aca="false">-AL127*Inputs!$C$34</f>
        <v>-3618.33974681088</v>
      </c>
      <c r="AM151" s="67" t="n">
        <f aca="false">-AM127*Inputs!$C$34</f>
        <v>-3070.95730991333</v>
      </c>
      <c r="AN151" s="67" t="n">
        <f aca="false">-AN127*Inputs!$C$34</f>
        <v>-3070.95730991333</v>
      </c>
      <c r="AO151" s="67" t="n">
        <f aca="false">-AO127*Inputs!$C$34</f>
        <v>-3070.95730991333</v>
      </c>
      <c r="AP151" s="67" t="n">
        <f aca="false">-AP127*Inputs!$C$34</f>
        <v>-3070.95730991333</v>
      </c>
      <c r="AQ151" s="67" t="n">
        <f aca="false">-AQ127*Inputs!$C$34</f>
        <v>-3070.95730991333</v>
      </c>
      <c r="AR151" s="67" t="n">
        <f aca="false">-AR127*Inputs!$C$34</f>
        <v>-3070.95730991333</v>
      </c>
      <c r="AS151" s="67" t="n">
        <f aca="false">-AS127*Inputs!$C$34</f>
        <v>-3070.95730991333</v>
      </c>
      <c r="AT151" s="67" t="n">
        <f aca="false">-AT127*Inputs!$C$34</f>
        <v>-3070.95730991333</v>
      </c>
      <c r="AU151" s="67" t="n">
        <f aca="false">-AU127*Inputs!$C$34</f>
        <v>-3070.95730991333</v>
      </c>
      <c r="AV151" s="67" t="n">
        <f aca="false">-AV127*Inputs!$C$34</f>
        <v>-3070.95730991333</v>
      </c>
      <c r="AW151" s="67" t="n">
        <f aca="false">-AW127*Inputs!$C$34</f>
        <v>-3838.69663739166</v>
      </c>
      <c r="AX151" s="67" t="n">
        <f aca="false">-AX127*Inputs!$C$34</f>
        <v>-3838.69663739166</v>
      </c>
      <c r="AY151" s="67" t="n">
        <f aca="false">-AY127*Inputs!$C$34</f>
        <v>-3257.97861008705</v>
      </c>
      <c r="AZ151" s="67" t="n">
        <f aca="false">-AZ127*Inputs!$C$34</f>
        <v>-3257.97861008705</v>
      </c>
      <c r="BA151" s="67" t="n">
        <f aca="false">-BA127*Inputs!$C$34</f>
        <v>-3257.97861008705</v>
      </c>
      <c r="BB151" s="67" t="n">
        <f aca="false">-BB127*Inputs!$C$34</f>
        <v>-3257.97861008705</v>
      </c>
      <c r="BC151" s="67" t="n">
        <f aca="false">-BC127*Inputs!$C$34</f>
        <v>-3257.97861008705</v>
      </c>
      <c r="BD151" s="67" t="n">
        <f aca="false">-BD127*Inputs!$C$34</f>
        <v>-3257.97861008705</v>
      </c>
      <c r="BE151" s="67" t="n">
        <f aca="false">-BE127*Inputs!$C$34</f>
        <v>-3257.97861008705</v>
      </c>
      <c r="BF151" s="67" t="n">
        <f aca="false">-BF127*Inputs!$C$34</f>
        <v>-3257.97861008705</v>
      </c>
      <c r="BG151" s="67" t="n">
        <f aca="false">-BG127*Inputs!$C$34</f>
        <v>-3257.97861008705</v>
      </c>
      <c r="BH151" s="67" t="n">
        <f aca="false">-BH127*Inputs!$C$34</f>
        <v>-3257.97861008705</v>
      </c>
      <c r="BI151" s="67" t="n">
        <f aca="false">-BI127*Inputs!$C$34</f>
        <v>-4072.47326260882</v>
      </c>
      <c r="BJ151" s="67" t="n">
        <f aca="false">-BJ127*Inputs!$C$34</f>
        <v>-4072.47326260882</v>
      </c>
    </row>
    <row r="152" customFormat="false" ht="15" hidden="false" customHeight="false" outlineLevel="0" collapsed="false">
      <c r="A152" s="6" t="s">
        <v>330</v>
      </c>
      <c r="C152" s="67" t="n">
        <f aca="false">-Inputs!$C$35*1</f>
        <v>-2800</v>
      </c>
      <c r="D152" s="67" t="n">
        <f aca="false">-Inputs!$C$35*1</f>
        <v>-2800</v>
      </c>
      <c r="E152" s="67" t="n">
        <f aca="false">-Inputs!$C$35*1</f>
        <v>-2800</v>
      </c>
      <c r="F152" s="67" t="n">
        <f aca="false">-Inputs!$C$35*1</f>
        <v>-2800</v>
      </c>
      <c r="G152" s="67" t="n">
        <f aca="false">-Inputs!$C$35*1</f>
        <v>-2800</v>
      </c>
      <c r="H152" s="67" t="n">
        <f aca="false">-Inputs!$C$35*1</f>
        <v>-2800</v>
      </c>
      <c r="I152" s="67" t="n">
        <f aca="false">-Inputs!$C$35*1</f>
        <v>-2800</v>
      </c>
      <c r="J152" s="67" t="n">
        <f aca="false">-Inputs!$C$35*1</f>
        <v>-2800</v>
      </c>
      <c r="K152" s="67" t="n">
        <f aca="false">-Inputs!$C$35*1</f>
        <v>-2800</v>
      </c>
      <c r="L152" s="67" t="n">
        <f aca="false">-Inputs!$C$35*1</f>
        <v>-2800</v>
      </c>
      <c r="M152" s="67" t="n">
        <f aca="false">-Inputs!$C$35*1</f>
        <v>-2800</v>
      </c>
      <c r="N152" s="67" t="n">
        <f aca="false">-Inputs!$C$35*1</f>
        <v>-2800</v>
      </c>
      <c r="O152" s="67" t="n">
        <f aca="false">-Inputs!$C$35*1</f>
        <v>-2800</v>
      </c>
      <c r="P152" s="67" t="n">
        <f aca="false">-Inputs!$C$35*1</f>
        <v>-2800</v>
      </c>
      <c r="Q152" s="67" t="n">
        <f aca="false">-Inputs!$C$35*1</f>
        <v>-2800</v>
      </c>
      <c r="R152" s="67" t="n">
        <f aca="false">-Inputs!$C$35*1</f>
        <v>-2800</v>
      </c>
      <c r="S152" s="67" t="n">
        <f aca="false">-Inputs!$C$35*1</f>
        <v>-2800</v>
      </c>
      <c r="T152" s="67" t="n">
        <f aca="false">-Inputs!$C$35*1</f>
        <v>-2800</v>
      </c>
      <c r="U152" s="67" t="n">
        <f aca="false">-Inputs!$C$35*1</f>
        <v>-2800</v>
      </c>
      <c r="V152" s="67" t="n">
        <f aca="false">-Inputs!$C$35*1</f>
        <v>-2800</v>
      </c>
      <c r="W152" s="67" t="n">
        <f aca="false">-Inputs!$C$35*1</f>
        <v>-2800</v>
      </c>
      <c r="X152" s="67" t="n">
        <f aca="false">-Inputs!$C$35*1</f>
        <v>-2800</v>
      </c>
      <c r="Y152" s="67" t="n">
        <f aca="false">-Inputs!$C$35*1</f>
        <v>-2800</v>
      </c>
      <c r="Z152" s="67" t="n">
        <f aca="false">-Inputs!$C$35*1</f>
        <v>-2800</v>
      </c>
      <c r="AA152" s="67" t="n">
        <f aca="false">-Inputs!$C$35*1</f>
        <v>-2800</v>
      </c>
      <c r="AB152" s="67" t="n">
        <f aca="false">-Inputs!$C$35*1</f>
        <v>-2800</v>
      </c>
      <c r="AC152" s="67" t="n">
        <f aca="false">-Inputs!$C$35*1</f>
        <v>-2800</v>
      </c>
      <c r="AD152" s="67" t="n">
        <f aca="false">-Inputs!$C$35*1</f>
        <v>-2800</v>
      </c>
      <c r="AE152" s="67" t="n">
        <f aca="false">-Inputs!$C$35*1</f>
        <v>-2800</v>
      </c>
      <c r="AF152" s="67" t="n">
        <f aca="false">-Inputs!$C$35*1</f>
        <v>-2800</v>
      </c>
      <c r="AG152" s="67" t="n">
        <f aca="false">-Inputs!$C$35*1</f>
        <v>-2800</v>
      </c>
      <c r="AH152" s="67" t="n">
        <f aca="false">-Inputs!$C$35*1</f>
        <v>-2800</v>
      </c>
      <c r="AI152" s="67" t="n">
        <f aca="false">-Inputs!$C$35*1</f>
        <v>-2800</v>
      </c>
      <c r="AJ152" s="67" t="n">
        <f aca="false">-Inputs!$C$35*1</f>
        <v>-2800</v>
      </c>
      <c r="AK152" s="67" t="n">
        <f aca="false">-Inputs!$C$35*1</f>
        <v>-2800</v>
      </c>
      <c r="AL152" s="67" t="n">
        <f aca="false">-Inputs!$C$35*1</f>
        <v>-2800</v>
      </c>
      <c r="AM152" s="67" t="n">
        <f aca="false">-Inputs!$C$35*1</f>
        <v>-2800</v>
      </c>
      <c r="AN152" s="67" t="n">
        <f aca="false">-Inputs!$C$35*1</f>
        <v>-2800</v>
      </c>
      <c r="AO152" s="67" t="n">
        <f aca="false">-Inputs!$C$35*1</f>
        <v>-2800</v>
      </c>
      <c r="AP152" s="67" t="n">
        <f aca="false">-Inputs!$C$35*1</f>
        <v>-2800</v>
      </c>
      <c r="AQ152" s="67" t="n">
        <f aca="false">-Inputs!$C$35*1</f>
        <v>-2800</v>
      </c>
      <c r="AR152" s="67" t="n">
        <f aca="false">-Inputs!$C$35*1</f>
        <v>-2800</v>
      </c>
      <c r="AS152" s="67" t="n">
        <f aca="false">-Inputs!$C$35*1</f>
        <v>-2800</v>
      </c>
      <c r="AT152" s="67" t="n">
        <f aca="false">-Inputs!$C$35*1</f>
        <v>-2800</v>
      </c>
      <c r="AU152" s="67" t="n">
        <f aca="false">-Inputs!$C$35*1</f>
        <v>-2800</v>
      </c>
      <c r="AV152" s="67" t="n">
        <f aca="false">-Inputs!$C$35*1</f>
        <v>-2800</v>
      </c>
      <c r="AW152" s="67" t="n">
        <f aca="false">-Inputs!$C$35*1</f>
        <v>-2800</v>
      </c>
      <c r="AX152" s="67" t="n">
        <f aca="false">-Inputs!$C$35*1</f>
        <v>-2800</v>
      </c>
      <c r="AY152" s="67" t="n">
        <f aca="false">-Inputs!$C$35*1</f>
        <v>-2800</v>
      </c>
      <c r="AZ152" s="67" t="n">
        <f aca="false">-Inputs!$C$35*1</f>
        <v>-2800</v>
      </c>
      <c r="BA152" s="67" t="n">
        <f aca="false">-Inputs!$C$35*1</f>
        <v>-2800</v>
      </c>
      <c r="BB152" s="67" t="n">
        <f aca="false">-Inputs!$C$35*1</f>
        <v>-2800</v>
      </c>
      <c r="BC152" s="67" t="n">
        <f aca="false">-Inputs!$C$35*1</f>
        <v>-2800</v>
      </c>
      <c r="BD152" s="67" t="n">
        <f aca="false">-Inputs!$C$35*1</f>
        <v>-2800</v>
      </c>
      <c r="BE152" s="67" t="n">
        <f aca="false">-Inputs!$C$35*1</f>
        <v>-2800</v>
      </c>
      <c r="BF152" s="67" t="n">
        <f aca="false">-Inputs!$C$35*1</f>
        <v>-2800</v>
      </c>
      <c r="BG152" s="67" t="n">
        <f aca="false">-Inputs!$C$35*1</f>
        <v>-2800</v>
      </c>
      <c r="BH152" s="67" t="n">
        <f aca="false">-Inputs!$C$35*1</f>
        <v>-2800</v>
      </c>
      <c r="BI152" s="67" t="n">
        <f aca="false">-Inputs!$C$35*1</f>
        <v>-2800</v>
      </c>
      <c r="BJ152" s="67" t="n">
        <f aca="false">-Inputs!$C$35*1</f>
        <v>-2800</v>
      </c>
    </row>
    <row r="153" customFormat="false" ht="15" hidden="false" customHeight="false" outlineLevel="0" collapsed="false">
      <c r="A153" s="115" t="s">
        <v>77</v>
      </c>
      <c r="C153" s="68" t="n">
        <f aca="false">C145+C146+C147+C148+C149+C150+C151+C152</f>
        <v>-76698.2570666666</v>
      </c>
      <c r="D153" s="68" t="n">
        <f aca="false">D145+D146+D147+D148+D149+D150+D151+D152</f>
        <v>-77121.3290666667</v>
      </c>
      <c r="E153" s="68" t="n">
        <f aca="false">E145+E146+E147+E148+E149+E150+E151+E152</f>
        <v>-77544.4010666667</v>
      </c>
      <c r="F153" s="68" t="n">
        <f aca="false">F145+F146+F147+F148+F149+F150+F151+F152</f>
        <v>-77544.4010666667</v>
      </c>
      <c r="G153" s="68" t="n">
        <f aca="false">G145+G146+G147+G148+G149+G150+G151+G152</f>
        <v>-77544.4010666667</v>
      </c>
      <c r="H153" s="68" t="n">
        <f aca="false">H145+H146+H147+H148+H149+H150+H151+H152</f>
        <v>-77544.4010666667</v>
      </c>
      <c r="I153" s="68" t="n">
        <f aca="false">I145+I146+I147+I148+I149+I150+I151+I152</f>
        <v>-77544.4010666667</v>
      </c>
      <c r="J153" s="68" t="n">
        <f aca="false">J145+J146+J147+J148+J149+J150+J151+J152</f>
        <v>-77544.4010666667</v>
      </c>
      <c r="K153" s="68" t="n">
        <f aca="false">K145+K146+K147+K148+K149+K150+K151+K152</f>
        <v>-77544.4010666667</v>
      </c>
      <c r="L153" s="68" t="n">
        <f aca="false">L145+L146+L147+L148+L149+L150+L151+L152</f>
        <v>-77544.4010666667</v>
      </c>
      <c r="M153" s="68" t="n">
        <f aca="false">M145+M146+M147+M148+M149+M150+M151+M152</f>
        <v>-78646.6346666667</v>
      </c>
      <c r="N153" s="68" t="n">
        <f aca="false">N145+N146+N147+N148+N149+N150+N151+N152</f>
        <v>-78646.6346666667</v>
      </c>
      <c r="O153" s="68" t="n">
        <f aca="false">O145+O146+O147+O148+O149+O150+O151+O152</f>
        <v>-82306.9368516267</v>
      </c>
      <c r="P153" s="68" t="n">
        <f aca="false">P145+P146+P147+P148+P149+P150+P151+P152</f>
        <v>-82306.9368516267</v>
      </c>
      <c r="Q153" s="68" t="n">
        <f aca="false">Q145+Q146+Q147+Q148+Q149+Q150+Q151+Q152</f>
        <v>-82306.9368516267</v>
      </c>
      <c r="R153" s="68" t="n">
        <f aca="false">R145+R146+R147+R148+R149+R150+R151+R152</f>
        <v>-82306.9368516267</v>
      </c>
      <c r="S153" s="68" t="n">
        <f aca="false">S145+S146+S147+S148+S149+S150+S151+S152</f>
        <v>-82306.9368516267</v>
      </c>
      <c r="T153" s="68" t="n">
        <f aca="false">T145+T146+T147+T148+T149+T150+T151+T152</f>
        <v>-82306.9368516267</v>
      </c>
      <c r="U153" s="68" t="n">
        <f aca="false">U145+U146+U147+U148+U149+U150+U151+U152</f>
        <v>-82306.9368516267</v>
      </c>
      <c r="V153" s="68" t="n">
        <f aca="false">V145+V146+V147+V148+V149+V150+V151+V152</f>
        <v>-82306.9368516267</v>
      </c>
      <c r="W153" s="68" t="n">
        <f aca="false">W145+W146+W147+W148+W149+W150+W151+W152</f>
        <v>-82306.9368516267</v>
      </c>
      <c r="X153" s="68" t="n">
        <f aca="false">X145+X146+X147+X148+X149+X150+X151+X152</f>
        <v>-82306.9368516267</v>
      </c>
      <c r="Y153" s="68" t="n">
        <f aca="false">Y145+Y146+Y147+Y148+Y149+Y150+Y151+Y152</f>
        <v>-83476.2964778667</v>
      </c>
      <c r="Z153" s="68" t="n">
        <f aca="false">Z145+Z146+Z147+Z148+Z149+Z150+Z151+Z152</f>
        <v>-83476.2964778667</v>
      </c>
      <c r="AA153" s="68" t="n">
        <f aca="false">AA145+AA146+AA147+AA148+AA149+AA150+AA151+AA152</f>
        <v>-87499.9499738268</v>
      </c>
      <c r="AB153" s="68" t="n">
        <f aca="false">AB145+AB146+AB147+AB148+AB149+AB150+AB151+AB152</f>
        <v>-87499.9499738268</v>
      </c>
      <c r="AC153" s="68" t="n">
        <f aca="false">AC145+AC146+AC147+AC148+AC149+AC150+AC151+AC152</f>
        <v>-87499.9499738268</v>
      </c>
      <c r="AD153" s="68" t="n">
        <f aca="false">AD145+AD146+AD147+AD148+AD149+AD150+AD151+AD152</f>
        <v>-87499.9499738268</v>
      </c>
      <c r="AE153" s="68" t="n">
        <f aca="false">AE145+AE146+AE147+AE148+AE149+AE150+AE151+AE152</f>
        <v>-87499.9499738268</v>
      </c>
      <c r="AF153" s="68" t="n">
        <f aca="false">AF145+AF146+AF147+AF148+AF149+AF150+AF151+AF152</f>
        <v>-87499.9499738268</v>
      </c>
      <c r="AG153" s="68" t="n">
        <f aca="false">AG145+AG146+AG147+AG148+AG149+AG150+AG151+AG152</f>
        <v>-87499.9499738268</v>
      </c>
      <c r="AH153" s="68" t="n">
        <f aca="false">AH145+AH146+AH147+AH148+AH149+AH150+AH151+AH152</f>
        <v>-87499.9499738268</v>
      </c>
      <c r="AI153" s="68" t="n">
        <f aca="false">AI145+AI146+AI147+AI148+AI149+AI150+AI151+AI152</f>
        <v>-87499.9499738268</v>
      </c>
      <c r="AJ153" s="68" t="n">
        <f aca="false">AJ145+AJ146+AJ147+AJ148+AJ149+AJ150+AJ151+AJ152</f>
        <v>-87499.9499738268</v>
      </c>
      <c r="AK153" s="68" t="n">
        <f aca="false">AK145+AK146+AK147+AK148+AK149+AK150+AK151+AK152</f>
        <v>-88740.5236013048</v>
      </c>
      <c r="AL153" s="68" t="n">
        <f aca="false">AL145+AL146+AL147+AL148+AL149+AL150+AL151+AL152</f>
        <v>-88740.5236013048</v>
      </c>
      <c r="AM153" s="68" t="n">
        <f aca="false">AM145+AM146+AM147+AM148+AM149+AM150+AM151+AM152</f>
        <v>-93164.3289511579</v>
      </c>
      <c r="AN153" s="68" t="n">
        <f aca="false">AN145+AN146+AN147+AN148+AN149+AN150+AN151+AN152</f>
        <v>-93164.3289511579</v>
      </c>
      <c r="AO153" s="68" t="n">
        <f aca="false">AO145+AO146+AO147+AO148+AO149+AO150+AO151+AO152</f>
        <v>-93164.3289511579</v>
      </c>
      <c r="AP153" s="68" t="n">
        <f aca="false">AP145+AP146+AP147+AP148+AP149+AP150+AP151+AP152</f>
        <v>-93164.3289511579</v>
      </c>
      <c r="AQ153" s="68" t="n">
        <f aca="false">AQ145+AQ146+AQ147+AQ148+AQ149+AQ150+AQ151+AQ152</f>
        <v>-93164.3289511579</v>
      </c>
      <c r="AR153" s="68" t="n">
        <f aca="false">AR145+AR146+AR147+AR148+AR149+AR150+AR151+AR152</f>
        <v>-93164.3289511579</v>
      </c>
      <c r="AS153" s="68" t="n">
        <f aca="false">AS145+AS146+AS147+AS148+AS149+AS150+AS151+AS152</f>
        <v>-93164.3289511579</v>
      </c>
      <c r="AT153" s="68" t="n">
        <f aca="false">AT145+AT146+AT147+AT148+AT149+AT150+AT151+AT152</f>
        <v>-93164.3289511579</v>
      </c>
      <c r="AU153" s="68" t="n">
        <f aca="false">AU145+AU146+AU147+AU148+AU149+AU150+AU151+AU152</f>
        <v>-93164.3289511579</v>
      </c>
      <c r="AV153" s="68" t="n">
        <f aca="false">AV145+AV146+AV147+AV148+AV149+AV150+AV151+AV152</f>
        <v>-93164.3289511579</v>
      </c>
      <c r="AW153" s="68" t="n">
        <f aca="false">AW145+AW146+AW147+AW148+AW149+AW150+AW151+AW152</f>
        <v>-94480.4535125493</v>
      </c>
      <c r="AX153" s="68" t="n">
        <f aca="false">AX145+AX146+AX147+AX148+AX149+AX150+AX151+AX152</f>
        <v>-94480.4535125493</v>
      </c>
      <c r="AY153" s="68" t="n">
        <f aca="false">AY145+AY146+AY147+AY148+AY149+AY150+AY151+AY152</f>
        <v>-99344.9903472173</v>
      </c>
      <c r="AZ153" s="68" t="n">
        <f aca="false">AZ145+AZ146+AZ147+AZ148+AZ149+AZ150+AZ151+AZ152</f>
        <v>-99344.9903472173</v>
      </c>
      <c r="BA153" s="68" t="n">
        <f aca="false">BA145+BA146+BA147+BA148+BA149+BA150+BA151+BA152</f>
        <v>-99344.9903472173</v>
      </c>
      <c r="BB153" s="68" t="n">
        <f aca="false">BB145+BB146+BB147+BB148+BB149+BB150+BB151+BB152</f>
        <v>-99344.9903472173</v>
      </c>
      <c r="BC153" s="68" t="n">
        <f aca="false">BC145+BC146+BC147+BC148+BC149+BC150+BC151+BC152</f>
        <v>-99344.9903472173</v>
      </c>
      <c r="BD153" s="68" t="n">
        <f aca="false">BD145+BD146+BD147+BD148+BD149+BD150+BD151+BD152</f>
        <v>-99344.9903472173</v>
      </c>
      <c r="BE153" s="68" t="n">
        <f aca="false">BE145+BE146+BE147+BE148+BE149+BE150+BE151+BE152</f>
        <v>-99344.9903472173</v>
      </c>
      <c r="BF153" s="68" t="n">
        <f aca="false">BF145+BF146+BF147+BF148+BF149+BF150+BF151+BF152</f>
        <v>-99344.9903472173</v>
      </c>
      <c r="BG153" s="68" t="n">
        <f aca="false">BG145+BG146+BG147+BG148+BG149+BG150+BG151+BG152</f>
        <v>-99344.9903472173</v>
      </c>
      <c r="BH153" s="68" t="n">
        <f aca="false">BH145+BH146+BH147+BH148+BH149+BH150+BH151+BH152</f>
        <v>-99344.9903472173</v>
      </c>
      <c r="BI153" s="68" t="n">
        <f aca="false">BI145+BI146+BI147+BI148+BI149+BI150+BI151+BI152</f>
        <v>-100741.266894397</v>
      </c>
      <c r="BJ153" s="68" t="n">
        <f aca="false">BJ145+BJ146+BJ147+BJ148+BJ149+BJ150+BJ151+BJ152</f>
        <v>-100741.266894397</v>
      </c>
    </row>
    <row r="154" customFormat="false" ht="15" hidden="false" customHeight="false" outlineLevel="0" collapsed="false">
      <c r="A154" s="115" t="s">
        <v>48</v>
      </c>
      <c r="C154" s="68" t="n">
        <f aca="false">C142+C153</f>
        <v>2402.04921904762</v>
      </c>
      <c r="D154" s="68" t="n">
        <f aca="false">D142+D153</f>
        <v>6522.54293333335</v>
      </c>
      <c r="E154" s="68" t="n">
        <f aca="false">E142+E153</f>
        <v>10643.0366476191</v>
      </c>
      <c r="F154" s="68" t="n">
        <f aca="false">F142+F153</f>
        <v>10643.0366476191</v>
      </c>
      <c r="G154" s="68" t="n">
        <f aca="false">G142+G153</f>
        <v>10643.0366476191</v>
      </c>
      <c r="H154" s="68" t="n">
        <f aca="false">H142+H153</f>
        <v>10643.0366476191</v>
      </c>
      <c r="I154" s="68" t="n">
        <f aca="false">I142+I153</f>
        <v>10643.0366476191</v>
      </c>
      <c r="J154" s="68" t="n">
        <f aca="false">J142+J153</f>
        <v>10643.0366476191</v>
      </c>
      <c r="K154" s="68" t="n">
        <f aca="false">K142+K153</f>
        <v>10643.0366476191</v>
      </c>
      <c r="L154" s="68" t="n">
        <f aca="false">L142+L153</f>
        <v>10643.0366476191</v>
      </c>
      <c r="M154" s="68" t="n">
        <f aca="false">M142+M153</f>
        <v>25644.0624761905</v>
      </c>
      <c r="N154" s="68" t="n">
        <f aca="false">N142+N153</f>
        <v>25644.0624761905</v>
      </c>
      <c r="O154" s="68" t="n">
        <f aca="false">O142+O153</f>
        <v>13455.0026994591</v>
      </c>
      <c r="P154" s="68" t="n">
        <f aca="false">P142+P153</f>
        <v>13455.0026994591</v>
      </c>
      <c r="Q154" s="68" t="n">
        <f aca="false">Q142+Q153</f>
        <v>13455.0026994591</v>
      </c>
      <c r="R154" s="68" t="n">
        <f aca="false">R142+R153</f>
        <v>13455.0026994591</v>
      </c>
      <c r="S154" s="68" t="n">
        <f aca="false">S142+S153</f>
        <v>13455.0026994591</v>
      </c>
      <c r="T154" s="68" t="n">
        <f aca="false">T142+T153</f>
        <v>13455.0026994591</v>
      </c>
      <c r="U154" s="68" t="n">
        <f aca="false">U142+U153</f>
        <v>13455.0026994591</v>
      </c>
      <c r="V154" s="68" t="n">
        <f aca="false">V142+V153</f>
        <v>13455.0026994591</v>
      </c>
      <c r="W154" s="68" t="n">
        <f aca="false">W142+W153</f>
        <v>13455.0026994591</v>
      </c>
      <c r="X154" s="68" t="n">
        <f aca="false">X142+X153</f>
        <v>13455.0026994591</v>
      </c>
      <c r="Y154" s="68" t="n">
        <f aca="false">Y142+Y153</f>
        <v>29369.5910009905</v>
      </c>
      <c r="Z154" s="68" t="n">
        <f aca="false">Z142+Z153</f>
        <v>29369.5910009905</v>
      </c>
      <c r="AA154" s="68" t="n">
        <f aca="false">AA142+AA153</f>
        <v>16636.2956006881</v>
      </c>
      <c r="AB154" s="68" t="n">
        <f aca="false">AB142+AB153</f>
        <v>16636.2956006881</v>
      </c>
      <c r="AC154" s="68" t="n">
        <f aca="false">AC142+AC153</f>
        <v>16636.2956006881</v>
      </c>
      <c r="AD154" s="68" t="n">
        <f aca="false">AD142+AD153</f>
        <v>16636.2956006881</v>
      </c>
      <c r="AE154" s="68" t="n">
        <f aca="false">AE142+AE153</f>
        <v>16636.2956006881</v>
      </c>
      <c r="AF154" s="68" t="n">
        <f aca="false">AF142+AF153</f>
        <v>16636.2956006881</v>
      </c>
      <c r="AG154" s="68" t="n">
        <f aca="false">AG142+AG153</f>
        <v>16636.2956006881</v>
      </c>
      <c r="AH154" s="68" t="n">
        <f aca="false">AH142+AH153</f>
        <v>16636.2956006881</v>
      </c>
      <c r="AI154" s="68" t="n">
        <f aca="false">AI142+AI153</f>
        <v>16636.2956006881</v>
      </c>
      <c r="AJ154" s="68" t="n">
        <f aca="false">AJ142+AJ153</f>
        <v>16636.2956006881</v>
      </c>
      <c r="AK154" s="68" t="n">
        <f aca="false">AK142+AK153</f>
        <v>33520.0823297828</v>
      </c>
      <c r="AL154" s="68" t="n">
        <f aca="false">AL142+AL153</f>
        <v>33520.0823297828</v>
      </c>
      <c r="AM154" s="68" t="n">
        <f aca="false">AM142+AM153</f>
        <v>20246.7311233853</v>
      </c>
      <c r="AN154" s="68" t="n">
        <f aca="false">AN142+AN153</f>
        <v>20246.7311233853</v>
      </c>
      <c r="AO154" s="68" t="n">
        <f aca="false">AO142+AO153</f>
        <v>20246.7311233853</v>
      </c>
      <c r="AP154" s="68" t="n">
        <f aca="false">AP142+AP153</f>
        <v>20246.7311233853</v>
      </c>
      <c r="AQ154" s="68" t="n">
        <f aca="false">AQ142+AQ153</f>
        <v>20246.7311233853</v>
      </c>
      <c r="AR154" s="68" t="n">
        <f aca="false">AR142+AR153</f>
        <v>20246.7311233853</v>
      </c>
      <c r="AS154" s="68" t="n">
        <f aca="false">AS142+AS153</f>
        <v>20246.7311233853</v>
      </c>
      <c r="AT154" s="68" t="n">
        <f aca="false">AT142+AT153</f>
        <v>20246.7311233853</v>
      </c>
      <c r="AU154" s="68" t="n">
        <f aca="false">AU142+AU153</f>
        <v>20246.7311233853</v>
      </c>
      <c r="AV154" s="68" t="n">
        <f aca="false">AV142+AV153</f>
        <v>20246.7311233853</v>
      </c>
      <c r="AW154" s="68" t="n">
        <f aca="false">AW142+AW153</f>
        <v>38158.7404642819</v>
      </c>
      <c r="AX154" s="68" t="n">
        <f aca="false">AX142+AX153</f>
        <v>38158.7404642819</v>
      </c>
      <c r="AY154" s="68" t="n">
        <f aca="false">AY142+AY153</f>
        <v>24356.2165038073</v>
      </c>
      <c r="AZ154" s="68" t="n">
        <f aca="false">AZ142+AZ153</f>
        <v>24356.2165038073</v>
      </c>
      <c r="BA154" s="68" t="n">
        <f aca="false">BA142+BA153</f>
        <v>24356.2165038073</v>
      </c>
      <c r="BB154" s="68" t="n">
        <f aca="false">BB142+BB153</f>
        <v>24356.2165038073</v>
      </c>
      <c r="BC154" s="68" t="n">
        <f aca="false">BC142+BC153</f>
        <v>24356.2165038073</v>
      </c>
      <c r="BD154" s="68" t="n">
        <f aca="false">BD142+BD153</f>
        <v>24356.2165038073</v>
      </c>
      <c r="BE154" s="68" t="n">
        <f aca="false">BE142+BE153</f>
        <v>24356.2165038073</v>
      </c>
      <c r="BF154" s="68" t="n">
        <f aca="false">BF142+BF153</f>
        <v>24356.2165038073</v>
      </c>
      <c r="BG154" s="68" t="n">
        <f aca="false">BG142+BG153</f>
        <v>24356.2165038073</v>
      </c>
      <c r="BH154" s="68" t="n">
        <f aca="false">BH142+BH153</f>
        <v>24356.2165038073</v>
      </c>
      <c r="BI154" s="68" t="n">
        <f aca="false">BI142+BI153</f>
        <v>43359.0672135645</v>
      </c>
      <c r="BJ154" s="68" t="n">
        <f aca="false">BJ142+BJ153</f>
        <v>43359.0672135645</v>
      </c>
    </row>
    <row r="156" customFormat="false" ht="15.75" hidden="false" customHeight="true" outlineLevel="0" collapsed="false">
      <c r="A156" s="7" t="s">
        <v>411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customFormat="false" ht="15" hidden="false" customHeight="false" outlineLevel="0" collapsed="false">
      <c r="A157" s="4" t="s">
        <v>79</v>
      </c>
      <c r="C157" s="73" t="n">
        <f aca="false">C154+C168</f>
        <v>1330.62064761905</v>
      </c>
      <c r="D157" s="73" t="n">
        <f aca="false">D154+D168</f>
        <v>5451.11436190477</v>
      </c>
      <c r="E157" s="73" t="n">
        <f aca="false">E154+E168</f>
        <v>9571.60807619048</v>
      </c>
      <c r="F157" s="73" t="n">
        <f aca="false">F154+F168</f>
        <v>9571.60807619048</v>
      </c>
      <c r="G157" s="73" t="n">
        <f aca="false">G154+G168</f>
        <v>9571.60807619048</v>
      </c>
      <c r="H157" s="73" t="n">
        <f aca="false">H154+H168</f>
        <v>9571.60807619048</v>
      </c>
      <c r="I157" s="73" t="n">
        <f aca="false">I154+I168</f>
        <v>9571.60807619048</v>
      </c>
      <c r="J157" s="73" t="n">
        <f aca="false">J154+J168</f>
        <v>9571.60807619048</v>
      </c>
      <c r="K157" s="73" t="n">
        <f aca="false">K154+K168</f>
        <v>9571.60807619048</v>
      </c>
      <c r="L157" s="73" t="n">
        <f aca="false">L154+L168</f>
        <v>9571.60807619048</v>
      </c>
      <c r="M157" s="73" t="n">
        <f aca="false">M154+M168</f>
        <v>24572.6339047619</v>
      </c>
      <c r="N157" s="73" t="n">
        <f aca="false">N154+N168</f>
        <v>24572.6339047619</v>
      </c>
      <c r="O157" s="73" t="n">
        <f aca="false">O154+O168</f>
        <v>12369.6852391416</v>
      </c>
      <c r="P157" s="73" t="n">
        <f aca="false">P154+P168</f>
        <v>12355.7963502527</v>
      </c>
      <c r="Q157" s="73" t="n">
        <f aca="false">Q154+Q168</f>
        <v>12341.9074613639</v>
      </c>
      <c r="R157" s="73" t="n">
        <f aca="false">R154+R168</f>
        <v>12328.018572475</v>
      </c>
      <c r="S157" s="73" t="n">
        <f aca="false">S154+S168</f>
        <v>12314.1296835861</v>
      </c>
      <c r="T157" s="73" t="n">
        <f aca="false">T154+T168</f>
        <v>12300.2407946972</v>
      </c>
      <c r="U157" s="73" t="n">
        <f aca="false">U154+U168</f>
        <v>12286.3519058083</v>
      </c>
      <c r="V157" s="73" t="n">
        <f aca="false">V154+V168</f>
        <v>12272.4630169194</v>
      </c>
      <c r="W157" s="73" t="n">
        <f aca="false">W154+W168</f>
        <v>12258.5741280305</v>
      </c>
      <c r="X157" s="73" t="n">
        <f aca="false">X154+X168</f>
        <v>12244.6852391416</v>
      </c>
      <c r="Y157" s="73" t="n">
        <f aca="false">Y154+Y168</f>
        <v>28145.3846517841</v>
      </c>
      <c r="Z157" s="73" t="n">
        <f aca="false">Z154+Z168</f>
        <v>28131.4957628953</v>
      </c>
      <c r="AA157" s="73" t="n">
        <f aca="false">AA154+AA168</f>
        <v>15384.3114737039</v>
      </c>
      <c r="AB157" s="73" t="n">
        <f aca="false">AB154+AB168</f>
        <v>15370.4225848151</v>
      </c>
      <c r="AC157" s="73" t="n">
        <f aca="false">AC154+AC168</f>
        <v>15356.5336959262</v>
      </c>
      <c r="AD157" s="73" t="n">
        <f aca="false">AD154+AD168</f>
        <v>15342.6448070373</v>
      </c>
      <c r="AE157" s="73" t="n">
        <f aca="false">AE154+AE168</f>
        <v>15328.7559181484</v>
      </c>
      <c r="AF157" s="73" t="n">
        <f aca="false">AF154+AF168</f>
        <v>15314.8670292595</v>
      </c>
      <c r="AG157" s="73" t="n">
        <f aca="false">AG154+AG168</f>
        <v>15300.9781403706</v>
      </c>
      <c r="AH157" s="73" t="n">
        <f aca="false">AH154+AH168</f>
        <v>15287.0892514817</v>
      </c>
      <c r="AI157" s="73" t="n">
        <f aca="false">AI154+AI168</f>
        <v>15273.2003625928</v>
      </c>
      <c r="AJ157" s="73" t="n">
        <f aca="false">AJ154+AJ168</f>
        <v>15259.3114737039</v>
      </c>
      <c r="AK157" s="73" t="n">
        <f aca="false">AK154+AK168</f>
        <v>32129.2093139098</v>
      </c>
      <c r="AL157" s="73" t="n">
        <f aca="false">AL154+AL168</f>
        <v>32115.3204250209</v>
      </c>
      <c r="AM157" s="73" t="n">
        <f aca="false">AM154+AM168</f>
        <v>18828.0803297345</v>
      </c>
      <c r="AN157" s="73" t="n">
        <f aca="false">AN154+AN168</f>
        <v>18814.1914408456</v>
      </c>
      <c r="AO157" s="73" t="n">
        <f aca="false">AO154+AO168</f>
        <v>18800.3025519567</v>
      </c>
      <c r="AP157" s="73" t="n">
        <f aca="false">AP154+AP168</f>
        <v>18786.4136630678</v>
      </c>
      <c r="AQ157" s="73" t="n">
        <f aca="false">AQ154+AQ168</f>
        <v>18772.5247741789</v>
      </c>
      <c r="AR157" s="73" t="n">
        <f aca="false">AR154+AR168</f>
        <v>18758.6358852901</v>
      </c>
      <c r="AS157" s="73" t="n">
        <f aca="false">AS154+AS168</f>
        <v>18744.7469964012</v>
      </c>
      <c r="AT157" s="73" t="n">
        <f aca="false">AT154+AT168</f>
        <v>18730.8581075123</v>
      </c>
      <c r="AU157" s="73" t="n">
        <f aca="false">AU154+AU168</f>
        <v>18716.9692186234</v>
      </c>
      <c r="AV157" s="73" t="n">
        <f aca="false">AV154+AV168</f>
        <v>18703.0803297345</v>
      </c>
      <c r="AW157" s="73" t="n">
        <f aca="false">AW154+AW168</f>
        <v>36601.2007817422</v>
      </c>
      <c r="AX157" s="73" t="n">
        <f aca="false">AX154+AX168</f>
        <v>36587.3118928533</v>
      </c>
      <c r="AY157" s="73" t="n">
        <f aca="false">AY154+AY168</f>
        <v>22770.8990434899</v>
      </c>
      <c r="AZ157" s="73" t="n">
        <f aca="false">AZ154+AZ168</f>
        <v>22757.010154601</v>
      </c>
      <c r="BA157" s="73" t="n">
        <f aca="false">BA154+BA168</f>
        <v>22743.1212657121</v>
      </c>
      <c r="BB157" s="73" t="n">
        <f aca="false">BB154+BB168</f>
        <v>22729.2323768232</v>
      </c>
      <c r="BC157" s="73" t="n">
        <f aca="false">BC154+BC168</f>
        <v>22715.3434879343</v>
      </c>
      <c r="BD157" s="73" t="n">
        <f aca="false">BD154+BD168</f>
        <v>22701.4545990454</v>
      </c>
      <c r="BE157" s="73" t="n">
        <f aca="false">BE154+BE168</f>
        <v>22687.5657101565</v>
      </c>
      <c r="BF157" s="73" t="n">
        <f aca="false">BF154+BF168</f>
        <v>22673.6768212676</v>
      </c>
      <c r="BG157" s="73" t="n">
        <f aca="false">BG154+BG168</f>
        <v>22659.7879323787</v>
      </c>
      <c r="BH157" s="73" t="n">
        <f aca="false">BH154+BH168</f>
        <v>22645.8990434899</v>
      </c>
      <c r="BI157" s="73" t="n">
        <f aca="false">BI154+BI168</f>
        <v>41634.8608643582</v>
      </c>
      <c r="BJ157" s="73" t="n">
        <f aca="false">BJ154+BJ168</f>
        <v>41620.9719754693</v>
      </c>
    </row>
    <row r="158" customFormat="false" ht="15" hidden="false" customHeight="false" outlineLevel="0" collapsed="false">
      <c r="A158" s="6" t="s">
        <v>412</v>
      </c>
      <c r="C158" s="67" t="n">
        <f aca="false">-(C173+C174+C176)/2*Inputs!$C$60/12</f>
        <v>-566.666666666667</v>
      </c>
      <c r="D158" s="67" t="n">
        <f aca="false">-(D173+D174+D176)/2*Inputs!$C$60/12</f>
        <v>-561.944444444445</v>
      </c>
      <c r="E158" s="67" t="n">
        <f aca="false">-(E173+E174+E176)/2*Inputs!$C$60/12</f>
        <v>-552.5</v>
      </c>
      <c r="F158" s="67" t="n">
        <f aca="false">-(F173+F174+F176)/2*Inputs!$C$60/12</f>
        <v>-543.055555555556</v>
      </c>
      <c r="G158" s="67" t="n">
        <f aca="false">-(G173+G174+G176)/2*Inputs!$C$60/12</f>
        <v>-533.611111111111</v>
      </c>
      <c r="H158" s="67" t="n">
        <f aca="false">-(H173+H174+H176)/2*Inputs!$C$60/12</f>
        <v>-524.166666666667</v>
      </c>
      <c r="I158" s="67" t="n">
        <f aca="false">-(I173+I174+I176)/2*Inputs!$C$60/12</f>
        <v>-514.722222222222</v>
      </c>
      <c r="J158" s="67" t="n">
        <f aca="false">-(J173+J174+J176)/2*Inputs!$C$60/12</f>
        <v>-505.277777777778</v>
      </c>
      <c r="K158" s="67" t="n">
        <f aca="false">-(K173+K174+K176)/2*Inputs!$C$60/12</f>
        <v>-495.833333333334</v>
      </c>
      <c r="L158" s="67" t="n">
        <f aca="false">-(L173+L174+L176)/2*Inputs!$C$60/12</f>
        <v>-486.388888888889</v>
      </c>
      <c r="M158" s="67" t="n">
        <f aca="false">-(M173+M174+M176)/2*Inputs!$C$60/12</f>
        <v>-476.944444444445</v>
      </c>
      <c r="N158" s="67" t="n">
        <f aca="false">-(N173+N174+N176)/2*Inputs!$C$60/12</f>
        <v>-467.5</v>
      </c>
      <c r="O158" s="67" t="n">
        <f aca="false">-(O173+O174+O176)/2*Inputs!$C$60/12</f>
        <v>-458.055555555556</v>
      </c>
      <c r="P158" s="67" t="n">
        <f aca="false">-(P173+P174+P176)/2*Inputs!$C$60/12</f>
        <v>-448.611111111111</v>
      </c>
      <c r="Q158" s="67" t="n">
        <f aca="false">-(Q173+Q174+Q176)/2*Inputs!$C$60/12</f>
        <v>-439.166666666667</v>
      </c>
      <c r="R158" s="67" t="n">
        <f aca="false">-(R173+R174+R176)/2*Inputs!$C$60/12</f>
        <v>-429.722222222222</v>
      </c>
      <c r="S158" s="67" t="n">
        <f aca="false">-(S173+S174+S176)/2*Inputs!$C$60/12</f>
        <v>-420.277777777778</v>
      </c>
      <c r="T158" s="67" t="n">
        <f aca="false">-(T173+T174+T176)/2*Inputs!$C$60/12</f>
        <v>-410.833333333334</v>
      </c>
      <c r="U158" s="67" t="n">
        <f aca="false">-(U173+U174+U176)/2*Inputs!$C$60/12</f>
        <v>-401.388888888889</v>
      </c>
      <c r="V158" s="67" t="n">
        <f aca="false">-(V173+V174+V176)/2*Inputs!$C$60/12</f>
        <v>-391.944444444445</v>
      </c>
      <c r="W158" s="67" t="n">
        <f aca="false">-(W173+W174+W176)/2*Inputs!$C$60/12</f>
        <v>-382.5</v>
      </c>
      <c r="X158" s="67" t="n">
        <f aca="false">-(X173+X174+X176)/2*Inputs!$C$60/12</f>
        <v>-373.055555555556</v>
      </c>
      <c r="Y158" s="67" t="n">
        <f aca="false">-(Y173+Y174+Y176)/2*Inputs!$C$60/12</f>
        <v>-363.611111111111</v>
      </c>
      <c r="Z158" s="67" t="n">
        <f aca="false">-(Z173+Z174+Z176)/2*Inputs!$C$60/12</f>
        <v>-354.166666666667</v>
      </c>
      <c r="AA158" s="67" t="n">
        <f aca="false">-(AA173+AA174+AA176)/2*Inputs!$C$60/12</f>
        <v>-344.722222222222</v>
      </c>
      <c r="AB158" s="67" t="n">
        <f aca="false">-(AB173+AB174+AB176)/2*Inputs!$C$60/12</f>
        <v>-335.277777777778</v>
      </c>
      <c r="AC158" s="67" t="n">
        <f aca="false">-(AC173+AC174+AC176)/2*Inputs!$C$60/12</f>
        <v>-325.833333333333</v>
      </c>
      <c r="AD158" s="67" t="n">
        <f aca="false">-(AD173+AD174+AD176)/2*Inputs!$C$60/12</f>
        <v>-316.388888888889</v>
      </c>
      <c r="AE158" s="67" t="n">
        <f aca="false">-(AE173+AE174+AE176)/2*Inputs!$C$60/12</f>
        <v>-306.944444444445</v>
      </c>
      <c r="AF158" s="67" t="n">
        <f aca="false">-(AF173+AF174+AF176)/2*Inputs!$C$60/12</f>
        <v>-297.5</v>
      </c>
      <c r="AG158" s="67" t="n">
        <f aca="false">-(AG173+AG174+AG176)/2*Inputs!$C$60/12</f>
        <v>-288.055555555556</v>
      </c>
      <c r="AH158" s="67" t="n">
        <f aca="false">-(AH173+AH174+AH176)/2*Inputs!$C$60/12</f>
        <v>-278.611111111111</v>
      </c>
      <c r="AI158" s="67" t="n">
        <f aca="false">-(AI173+AI174+AI176)/2*Inputs!$C$60/12</f>
        <v>-269.166666666667</v>
      </c>
      <c r="AJ158" s="67" t="n">
        <f aca="false">-(AJ173+AJ174+AJ176)/2*Inputs!$C$60/12</f>
        <v>-259.722222222222</v>
      </c>
      <c r="AK158" s="67" t="n">
        <f aca="false">-(AK173+AK174+AK176)/2*Inputs!$C$60/12</f>
        <v>-250.277777777778</v>
      </c>
      <c r="AL158" s="67" t="n">
        <f aca="false">-(AL173+AL174+AL176)/2*Inputs!$C$60/12</f>
        <v>-240.833333333333</v>
      </c>
      <c r="AM158" s="67" t="n">
        <f aca="false">-(AM173+AM174+AM176)/2*Inputs!$C$60/12</f>
        <v>-231.388888888889</v>
      </c>
      <c r="AN158" s="67" t="n">
        <f aca="false">-(AN173+AN174+AN176)/2*Inputs!$C$60/12</f>
        <v>-221.944444444444</v>
      </c>
      <c r="AO158" s="67" t="n">
        <f aca="false">-(AO173+AO174+AO176)/2*Inputs!$C$60/12</f>
        <v>-212.5</v>
      </c>
      <c r="AP158" s="67" t="n">
        <f aca="false">-(AP173+AP174+AP176)/2*Inputs!$C$60/12</f>
        <v>-203.055555555556</v>
      </c>
      <c r="AQ158" s="67" t="n">
        <f aca="false">-(AQ173+AQ174+AQ176)/2*Inputs!$C$60/12</f>
        <v>-193.611111111111</v>
      </c>
      <c r="AR158" s="67" t="n">
        <f aca="false">-(AR173+AR174+AR176)/2*Inputs!$C$60/12</f>
        <v>-184.166666666667</v>
      </c>
      <c r="AS158" s="67" t="n">
        <f aca="false">-(AS173+AS174+AS176)/2*Inputs!$C$60/12</f>
        <v>-174.722222222222</v>
      </c>
      <c r="AT158" s="67" t="n">
        <f aca="false">-(AT173+AT174+AT176)/2*Inputs!$C$60/12</f>
        <v>-165.277777777778</v>
      </c>
      <c r="AU158" s="67" t="n">
        <f aca="false">-(AU173+AU174+AU176)/2*Inputs!$C$60/12</f>
        <v>-155.833333333333</v>
      </c>
      <c r="AV158" s="67" t="n">
        <f aca="false">-(AV173+AV174+AV176)/2*Inputs!$C$60/12</f>
        <v>-146.388888888889</v>
      </c>
      <c r="AW158" s="67" t="n">
        <f aca="false">-(AW173+AW174+AW176)/2*Inputs!$C$60/12</f>
        <v>-136.944444444444</v>
      </c>
      <c r="AX158" s="67" t="n">
        <f aca="false">-(AX173+AX174+AX176)/2*Inputs!$C$60/12</f>
        <v>-127.5</v>
      </c>
      <c r="AY158" s="67" t="n">
        <f aca="false">-(AY173+AY174+AY176)/2*Inputs!$C$60/12</f>
        <v>-118.055555555556</v>
      </c>
      <c r="AZ158" s="67" t="n">
        <f aca="false">-(AZ173+AZ174+AZ176)/2*Inputs!$C$60/12</f>
        <v>-108.611111111111</v>
      </c>
      <c r="BA158" s="67" t="n">
        <f aca="false">-(BA173+BA174+BA176)/2*Inputs!$C$60/12</f>
        <v>-99.1666666666667</v>
      </c>
      <c r="BB158" s="67" t="n">
        <f aca="false">-(BB173+BB174+BB176)/2*Inputs!$C$60/12</f>
        <v>-89.7222222222222</v>
      </c>
      <c r="BC158" s="67" t="n">
        <f aca="false">-(BC173+BC174+BC176)/2*Inputs!$C$60/12</f>
        <v>-80.2777777777778</v>
      </c>
      <c r="BD158" s="67" t="n">
        <f aca="false">-(BD173+BD174+BD176)/2*Inputs!$C$60/12</f>
        <v>-70.8333333333333</v>
      </c>
      <c r="BE158" s="67" t="n">
        <f aca="false">-(BE173+BE174+BE176)/2*Inputs!$C$60/12</f>
        <v>-61.3888888888889</v>
      </c>
      <c r="BF158" s="67" t="n">
        <f aca="false">-(BF173+BF174+BF176)/2*Inputs!$C$60/12</f>
        <v>-51.9444444444444</v>
      </c>
      <c r="BG158" s="67" t="n">
        <f aca="false">-(BG173+BG174+BG176)/2*Inputs!$C$60/12</f>
        <v>-42.5</v>
      </c>
      <c r="BH158" s="67" t="n">
        <f aca="false">-(BH173+BH174+BH176)/2*Inputs!$C$60/12</f>
        <v>-33.0555555555556</v>
      </c>
      <c r="BI158" s="67" t="n">
        <f aca="false">-(BI173+BI174+BI176)/2*Inputs!$C$60/12</f>
        <v>-23.6111111111111</v>
      </c>
      <c r="BJ158" s="67" t="n">
        <f aca="false">-(BJ173+BJ174+BJ176)/2*Inputs!$C$60/12</f>
        <v>-14.1666666666667</v>
      </c>
    </row>
    <row r="159" customFormat="false" ht="15" hidden="false" customHeight="false" outlineLevel="0" collapsed="false">
      <c r="A159" s="115" t="s">
        <v>81</v>
      </c>
      <c r="C159" s="68" t="n">
        <f aca="false">C157+C158</f>
        <v>763.953980952384</v>
      </c>
      <c r="D159" s="68" t="n">
        <f aca="false">D157+D158</f>
        <v>4889.16991746033</v>
      </c>
      <c r="E159" s="68" t="n">
        <f aca="false">E157+E158</f>
        <v>9019.10807619048</v>
      </c>
      <c r="F159" s="68" t="n">
        <f aca="false">F157+F158</f>
        <v>9028.55252063493</v>
      </c>
      <c r="G159" s="68" t="n">
        <f aca="false">G157+G158</f>
        <v>9037.99696507937</v>
      </c>
      <c r="H159" s="68" t="n">
        <f aca="false">H157+H158</f>
        <v>9047.44140952382</v>
      </c>
      <c r="I159" s="68" t="n">
        <f aca="false">I157+I158</f>
        <v>9056.88585396826</v>
      </c>
      <c r="J159" s="68" t="n">
        <f aca="false">J157+J158</f>
        <v>9066.33029841271</v>
      </c>
      <c r="K159" s="68" t="n">
        <f aca="false">K157+K158</f>
        <v>9075.77474285715</v>
      </c>
      <c r="L159" s="68" t="n">
        <f aca="false">L157+L158</f>
        <v>9085.2191873016</v>
      </c>
      <c r="M159" s="68" t="n">
        <f aca="false">M157+M158</f>
        <v>24095.6894603175</v>
      </c>
      <c r="N159" s="68" t="n">
        <f aca="false">N157+N158</f>
        <v>24105.1339047619</v>
      </c>
      <c r="O159" s="68" t="n">
        <f aca="false">O157+O158</f>
        <v>11911.6296835861</v>
      </c>
      <c r="P159" s="68" t="n">
        <f aca="false">P157+P158</f>
        <v>11907.1852391416</v>
      </c>
      <c r="Q159" s="68" t="n">
        <f aca="false">Q157+Q158</f>
        <v>11902.7407946972</v>
      </c>
      <c r="R159" s="68" t="n">
        <f aca="false">R157+R158</f>
        <v>11898.2963502527</v>
      </c>
      <c r="S159" s="68" t="n">
        <f aca="false">S157+S158</f>
        <v>11893.8519058083</v>
      </c>
      <c r="T159" s="68" t="n">
        <f aca="false">T157+T158</f>
        <v>11889.4074613639</v>
      </c>
      <c r="U159" s="68" t="n">
        <f aca="false">U157+U158</f>
        <v>11884.9630169194</v>
      </c>
      <c r="V159" s="68" t="n">
        <f aca="false">V157+V158</f>
        <v>11880.518572475</v>
      </c>
      <c r="W159" s="68" t="n">
        <f aca="false">W157+W158</f>
        <v>11876.0741280305</v>
      </c>
      <c r="X159" s="68" t="n">
        <f aca="false">X157+X158</f>
        <v>11871.6296835861</v>
      </c>
      <c r="Y159" s="68" t="n">
        <f aca="false">Y157+Y158</f>
        <v>27781.773540673</v>
      </c>
      <c r="Z159" s="68" t="n">
        <f aca="false">Z157+Z158</f>
        <v>27777.3290962286</v>
      </c>
      <c r="AA159" s="68" t="n">
        <f aca="false">AA157+AA158</f>
        <v>15039.5892514817</v>
      </c>
      <c r="AB159" s="68" t="n">
        <f aca="false">AB157+AB158</f>
        <v>15035.1448070373</v>
      </c>
      <c r="AC159" s="68" t="n">
        <f aca="false">AC157+AC158</f>
        <v>15030.7003625928</v>
      </c>
      <c r="AD159" s="68" t="n">
        <f aca="false">AD157+AD158</f>
        <v>15026.2559181484</v>
      </c>
      <c r="AE159" s="68" t="n">
        <f aca="false">AE157+AE158</f>
        <v>15021.8114737039</v>
      </c>
      <c r="AF159" s="68" t="n">
        <f aca="false">AF157+AF158</f>
        <v>15017.3670292595</v>
      </c>
      <c r="AG159" s="68" t="n">
        <f aca="false">AG157+AG158</f>
        <v>15012.9225848151</v>
      </c>
      <c r="AH159" s="68" t="n">
        <f aca="false">AH157+AH158</f>
        <v>15008.4781403706</v>
      </c>
      <c r="AI159" s="68" t="n">
        <f aca="false">AI157+AI158</f>
        <v>15004.0336959262</v>
      </c>
      <c r="AJ159" s="68" t="n">
        <f aca="false">AJ157+AJ158</f>
        <v>14999.5892514817</v>
      </c>
      <c r="AK159" s="68" t="n">
        <f aca="false">AK157+AK158</f>
        <v>31878.931536132</v>
      </c>
      <c r="AL159" s="68" t="n">
        <f aca="false">AL157+AL158</f>
        <v>31874.4870916876</v>
      </c>
      <c r="AM159" s="68" t="n">
        <f aca="false">AM157+AM158</f>
        <v>18596.6914408456</v>
      </c>
      <c r="AN159" s="68" t="n">
        <f aca="false">AN157+AN158</f>
        <v>18592.2469964012</v>
      </c>
      <c r="AO159" s="68" t="n">
        <f aca="false">AO157+AO158</f>
        <v>18587.8025519567</v>
      </c>
      <c r="AP159" s="68" t="n">
        <f aca="false">AP157+AP158</f>
        <v>18583.3581075123</v>
      </c>
      <c r="AQ159" s="68" t="n">
        <f aca="false">AQ157+AQ158</f>
        <v>18578.9136630678</v>
      </c>
      <c r="AR159" s="68" t="n">
        <f aca="false">AR157+AR158</f>
        <v>18574.4692186234</v>
      </c>
      <c r="AS159" s="68" t="n">
        <f aca="false">AS157+AS158</f>
        <v>18570.0247741789</v>
      </c>
      <c r="AT159" s="68" t="n">
        <f aca="false">AT157+AT158</f>
        <v>18565.5803297345</v>
      </c>
      <c r="AU159" s="68" t="n">
        <f aca="false">AU157+AU158</f>
        <v>18561.1358852901</v>
      </c>
      <c r="AV159" s="68" t="n">
        <f aca="false">AV157+AV158</f>
        <v>18556.6914408456</v>
      </c>
      <c r="AW159" s="68" t="n">
        <f aca="false">AW157+AW158</f>
        <v>36464.2563372977</v>
      </c>
      <c r="AX159" s="68" t="n">
        <f aca="false">AX157+AX158</f>
        <v>36459.8118928533</v>
      </c>
      <c r="AY159" s="68" t="n">
        <f aca="false">AY157+AY158</f>
        <v>22652.8434879343</v>
      </c>
      <c r="AZ159" s="68" t="n">
        <f aca="false">AZ157+AZ158</f>
        <v>22648.3990434899</v>
      </c>
      <c r="BA159" s="68" t="n">
        <f aca="false">BA157+BA158</f>
        <v>22643.9545990454</v>
      </c>
      <c r="BB159" s="68" t="n">
        <f aca="false">BB157+BB158</f>
        <v>22639.510154601</v>
      </c>
      <c r="BC159" s="68" t="n">
        <f aca="false">BC157+BC158</f>
        <v>22635.0657101565</v>
      </c>
      <c r="BD159" s="68" t="n">
        <f aca="false">BD157+BD158</f>
        <v>22630.6212657121</v>
      </c>
      <c r="BE159" s="68" t="n">
        <f aca="false">BE157+BE158</f>
        <v>22626.1768212676</v>
      </c>
      <c r="BF159" s="68" t="n">
        <f aca="false">BF157+BF158</f>
        <v>22621.7323768232</v>
      </c>
      <c r="BG159" s="68" t="n">
        <f aca="false">BG157+BG158</f>
        <v>22617.2879323787</v>
      </c>
      <c r="BH159" s="68" t="n">
        <f aca="false">BH157+BH158</f>
        <v>22612.8434879343</v>
      </c>
      <c r="BI159" s="68" t="n">
        <f aca="false">BI157+BI158</f>
        <v>41611.249753247</v>
      </c>
      <c r="BJ159" s="68" t="n">
        <f aca="false">BJ157+BJ158</f>
        <v>41606.8053088026</v>
      </c>
    </row>
    <row r="160" customFormat="false" ht="15" hidden="false" customHeight="false" outlineLevel="0" collapsed="false">
      <c r="A160" s="121" t="s">
        <v>413</v>
      </c>
      <c r="C160" s="67" t="n">
        <f aca="false">C159</f>
        <v>763.953980952384</v>
      </c>
      <c r="D160" s="67" t="n">
        <f aca="false">C160+D159</f>
        <v>5653.12389841271</v>
      </c>
      <c r="E160" s="67" t="n">
        <f aca="false">D160+E159</f>
        <v>14672.2319746032</v>
      </c>
      <c r="F160" s="67" t="n">
        <f aca="false">E160+F159</f>
        <v>23700.7844952381</v>
      </c>
      <c r="G160" s="67" t="n">
        <f aca="false">F160+G159</f>
        <v>32738.7814603175</v>
      </c>
      <c r="H160" s="67" t="n">
        <f aca="false">G160+H159</f>
        <v>41786.2228698413</v>
      </c>
      <c r="I160" s="67" t="n">
        <f aca="false">H160+I159</f>
        <v>50843.1087238096</v>
      </c>
      <c r="J160" s="67" t="n">
        <f aca="false">I160+J159</f>
        <v>59909.4390222223</v>
      </c>
      <c r="K160" s="67" t="n">
        <f aca="false">J160+K159</f>
        <v>68985.2137650794</v>
      </c>
      <c r="L160" s="67" t="n">
        <f aca="false">K160+L159</f>
        <v>78070.432952381</v>
      </c>
      <c r="M160" s="67" t="n">
        <f aca="false">L160+M159</f>
        <v>102166.122412698</v>
      </c>
      <c r="N160" s="67" t="n">
        <f aca="false">M160+N159</f>
        <v>126271.25631746</v>
      </c>
      <c r="O160" s="67" t="n">
        <f aca="false">N160+O159</f>
        <v>138182.886001046</v>
      </c>
      <c r="P160" s="67" t="n">
        <f aca="false">O160+P159</f>
        <v>150090.071240188</v>
      </c>
      <c r="Q160" s="67" t="n">
        <f aca="false">P160+Q159</f>
        <v>161992.812034885</v>
      </c>
      <c r="R160" s="67" t="n">
        <f aca="false">Q160+R159</f>
        <v>173891.108385138</v>
      </c>
      <c r="S160" s="67" t="n">
        <f aca="false">R160+S159</f>
        <v>185784.960290946</v>
      </c>
      <c r="T160" s="67" t="n">
        <f aca="false">S160+T159</f>
        <v>197674.36775231</v>
      </c>
      <c r="U160" s="67" t="n">
        <f aca="false">T160+U159</f>
        <v>209559.33076923</v>
      </c>
      <c r="V160" s="67" t="n">
        <f aca="false">U160+V159</f>
        <v>221439.849341705</v>
      </c>
      <c r="W160" s="67" t="n">
        <f aca="false">V160+W159</f>
        <v>233315.923469735</v>
      </c>
      <c r="X160" s="67" t="n">
        <f aca="false">W160+X159</f>
        <v>245187.553153321</v>
      </c>
      <c r="Y160" s="67" t="n">
        <f aca="false">X160+Y159</f>
        <v>272969.326693994</v>
      </c>
      <c r="Z160" s="67" t="n">
        <f aca="false">Y160+Z159</f>
        <v>300746.655790223</v>
      </c>
      <c r="AA160" s="67" t="n">
        <f aca="false">Z160+AA159</f>
        <v>315786.245041704</v>
      </c>
      <c r="AB160" s="67" t="n">
        <f aca="false">AA160+AB159</f>
        <v>330821.389848742</v>
      </c>
      <c r="AC160" s="67" t="n">
        <f aca="false">AB160+AC159</f>
        <v>345852.090211334</v>
      </c>
      <c r="AD160" s="67" t="n">
        <f aca="false">AC160+AD159</f>
        <v>360878.346129483</v>
      </c>
      <c r="AE160" s="67" t="n">
        <f aca="false">AD160+AE159</f>
        <v>375900.157603187</v>
      </c>
      <c r="AF160" s="67" t="n">
        <f aca="false">AE160+AF159</f>
        <v>390917.524632446</v>
      </c>
      <c r="AG160" s="67" t="n">
        <f aca="false">AF160+AG159</f>
        <v>405930.447217261</v>
      </c>
      <c r="AH160" s="67" t="n">
        <f aca="false">AG160+AH159</f>
        <v>420938.925357632</v>
      </c>
      <c r="AI160" s="67" t="n">
        <f aca="false">AH160+AI159</f>
        <v>435942.959053558</v>
      </c>
      <c r="AJ160" s="67" t="n">
        <f aca="false">AI160+AJ159</f>
        <v>450942.54830504</v>
      </c>
      <c r="AK160" s="67" t="n">
        <f aca="false">AJ160+AK159</f>
        <v>482821.479841172</v>
      </c>
      <c r="AL160" s="67" t="n">
        <f aca="false">AK160+AL159</f>
        <v>514695.966932859</v>
      </c>
      <c r="AM160" s="67" t="n">
        <f aca="false">AL160+AM159</f>
        <v>533292.658373705</v>
      </c>
      <c r="AN160" s="67" t="n">
        <f aca="false">AM160+AN159</f>
        <v>551884.905370106</v>
      </c>
      <c r="AO160" s="67" t="n">
        <f aca="false">AN160+AO159</f>
        <v>570472.707922063</v>
      </c>
      <c r="AP160" s="67" t="n">
        <f aca="false">AO160+AP159</f>
        <v>589056.066029575</v>
      </c>
      <c r="AQ160" s="67" t="n">
        <f aca="false">AP160+AQ159</f>
        <v>607634.979692643</v>
      </c>
      <c r="AR160" s="67" t="n">
        <f aca="false">AQ160+AR159</f>
        <v>626209.448911266</v>
      </c>
      <c r="AS160" s="67" t="n">
        <f aca="false">AR160+AS159</f>
        <v>644779.473685445</v>
      </c>
      <c r="AT160" s="67" t="n">
        <f aca="false">AS160+AT159</f>
        <v>663345.05401518</v>
      </c>
      <c r="AU160" s="67" t="n">
        <f aca="false">AT160+AU159</f>
        <v>681906.18990047</v>
      </c>
      <c r="AV160" s="67" t="n">
        <f aca="false">AU160+AV159</f>
        <v>700462.881341316</v>
      </c>
      <c r="AW160" s="67" t="n">
        <f aca="false">AV160+AW159</f>
        <v>736927.137678613</v>
      </c>
      <c r="AX160" s="67" t="n">
        <f aca="false">AW160+AX159</f>
        <v>773386.949571467</v>
      </c>
      <c r="AY160" s="67" t="n">
        <f aca="false">AX160+AY159</f>
        <v>796039.793059401</v>
      </c>
      <c r="AZ160" s="67" t="n">
        <f aca="false">AY160+AZ159</f>
        <v>818688.192102891</v>
      </c>
      <c r="BA160" s="67" t="n">
        <f aca="false">AZ160+BA159</f>
        <v>841332.146701936</v>
      </c>
      <c r="BB160" s="67" t="n">
        <f aca="false">BA160+BB159</f>
        <v>863971.656856537</v>
      </c>
      <c r="BC160" s="67" t="n">
        <f aca="false">BB160+BC159</f>
        <v>886606.722566694</v>
      </c>
      <c r="BD160" s="67" t="n">
        <f aca="false">BC160+BD159</f>
        <v>909237.343832406</v>
      </c>
      <c r="BE160" s="67" t="n">
        <f aca="false">BD160+BE159</f>
        <v>931863.520653673</v>
      </c>
      <c r="BF160" s="67" t="n">
        <f aca="false">BE160+BF159</f>
        <v>954485.253030497</v>
      </c>
      <c r="BG160" s="67" t="n">
        <f aca="false">BF160+BG159</f>
        <v>977102.540962875</v>
      </c>
      <c r="BH160" s="67" t="n">
        <f aca="false">BG160+BH159</f>
        <v>999715.38445081</v>
      </c>
      <c r="BI160" s="67" t="n">
        <f aca="false">BH160+BI159</f>
        <v>1041326.63420406</v>
      </c>
      <c r="BJ160" s="67" t="n">
        <f aca="false">BI160+BJ159</f>
        <v>1082933.43951286</v>
      </c>
    </row>
    <row r="161" customFormat="false" ht="15" hidden="false" customHeight="false" outlineLevel="0" collapsed="false">
      <c r="A161" s="121" t="s">
        <v>414</v>
      </c>
      <c r="C161" s="67" t="n">
        <f aca="false">MAX(0,C160)</f>
        <v>763.953980952384</v>
      </c>
      <c r="D161" s="67" t="n">
        <f aca="false">MAX(C161,D160)</f>
        <v>5653.12389841271</v>
      </c>
      <c r="E161" s="67" t="n">
        <f aca="false">MAX(D161,E160)</f>
        <v>14672.2319746032</v>
      </c>
      <c r="F161" s="67" t="n">
        <f aca="false">MAX(E161,F160)</f>
        <v>23700.7844952381</v>
      </c>
      <c r="G161" s="67" t="n">
        <f aca="false">MAX(F161,G160)</f>
        <v>32738.7814603175</v>
      </c>
      <c r="H161" s="67" t="n">
        <f aca="false">MAX(G161,H160)</f>
        <v>41786.2228698413</v>
      </c>
      <c r="I161" s="67" t="n">
        <f aca="false">MAX(H161,I160)</f>
        <v>50843.1087238096</v>
      </c>
      <c r="J161" s="67" t="n">
        <f aca="false">MAX(I161,J160)</f>
        <v>59909.4390222223</v>
      </c>
      <c r="K161" s="67" t="n">
        <f aca="false">MAX(J161,K160)</f>
        <v>68985.2137650794</v>
      </c>
      <c r="L161" s="67" t="n">
        <f aca="false">MAX(K161,L160)</f>
        <v>78070.432952381</v>
      </c>
      <c r="M161" s="67" t="n">
        <f aca="false">MAX(L161,M160)</f>
        <v>102166.122412698</v>
      </c>
      <c r="N161" s="67" t="n">
        <f aca="false">MAX(M161,N160)</f>
        <v>126271.25631746</v>
      </c>
      <c r="O161" s="67" t="n">
        <f aca="false">MAX(N161,O160)</f>
        <v>138182.886001046</v>
      </c>
      <c r="P161" s="67" t="n">
        <f aca="false">MAX(O161,P160)</f>
        <v>150090.071240188</v>
      </c>
      <c r="Q161" s="67" t="n">
        <f aca="false">MAX(P161,Q160)</f>
        <v>161992.812034885</v>
      </c>
      <c r="R161" s="67" t="n">
        <f aca="false">MAX(Q161,R160)</f>
        <v>173891.108385138</v>
      </c>
      <c r="S161" s="67" t="n">
        <f aca="false">MAX(R161,S160)</f>
        <v>185784.960290946</v>
      </c>
      <c r="T161" s="67" t="n">
        <f aca="false">MAX(S161,T160)</f>
        <v>197674.36775231</v>
      </c>
      <c r="U161" s="67" t="n">
        <f aca="false">MAX(T161,U160)</f>
        <v>209559.33076923</v>
      </c>
      <c r="V161" s="67" t="n">
        <f aca="false">MAX(U161,V160)</f>
        <v>221439.849341705</v>
      </c>
      <c r="W161" s="67" t="n">
        <f aca="false">MAX(V161,W160)</f>
        <v>233315.923469735</v>
      </c>
      <c r="X161" s="67" t="n">
        <f aca="false">MAX(W161,X160)</f>
        <v>245187.553153321</v>
      </c>
      <c r="Y161" s="67" t="n">
        <f aca="false">MAX(X161,Y160)</f>
        <v>272969.326693994</v>
      </c>
      <c r="Z161" s="67" t="n">
        <f aca="false">MAX(Y161,Z160)</f>
        <v>300746.655790223</v>
      </c>
      <c r="AA161" s="67" t="n">
        <f aca="false">MAX(Z161,AA160)</f>
        <v>315786.245041704</v>
      </c>
      <c r="AB161" s="67" t="n">
        <f aca="false">MAX(AA161,AB160)</f>
        <v>330821.389848742</v>
      </c>
      <c r="AC161" s="67" t="n">
        <f aca="false">MAX(AB161,AC160)</f>
        <v>345852.090211334</v>
      </c>
      <c r="AD161" s="67" t="n">
        <f aca="false">MAX(AC161,AD160)</f>
        <v>360878.346129483</v>
      </c>
      <c r="AE161" s="67" t="n">
        <f aca="false">MAX(AD161,AE160)</f>
        <v>375900.157603187</v>
      </c>
      <c r="AF161" s="67" t="n">
        <f aca="false">MAX(AE161,AF160)</f>
        <v>390917.524632446</v>
      </c>
      <c r="AG161" s="67" t="n">
        <f aca="false">MAX(AF161,AG160)</f>
        <v>405930.447217261</v>
      </c>
      <c r="AH161" s="67" t="n">
        <f aca="false">MAX(AG161,AH160)</f>
        <v>420938.925357632</v>
      </c>
      <c r="AI161" s="67" t="n">
        <f aca="false">MAX(AH161,AI160)</f>
        <v>435942.959053558</v>
      </c>
      <c r="AJ161" s="67" t="n">
        <f aca="false">MAX(AI161,AJ160)</f>
        <v>450942.54830504</v>
      </c>
      <c r="AK161" s="67" t="n">
        <f aca="false">MAX(AJ161,AK160)</f>
        <v>482821.479841172</v>
      </c>
      <c r="AL161" s="67" t="n">
        <f aca="false">MAX(AK161,AL160)</f>
        <v>514695.966932859</v>
      </c>
      <c r="AM161" s="67" t="n">
        <f aca="false">MAX(AL161,AM160)</f>
        <v>533292.658373705</v>
      </c>
      <c r="AN161" s="67" t="n">
        <f aca="false">MAX(AM161,AN160)</f>
        <v>551884.905370106</v>
      </c>
      <c r="AO161" s="67" t="n">
        <f aca="false">MAX(AN161,AO160)</f>
        <v>570472.707922063</v>
      </c>
      <c r="AP161" s="67" t="n">
        <f aca="false">MAX(AO161,AP160)</f>
        <v>589056.066029575</v>
      </c>
      <c r="AQ161" s="67" t="n">
        <f aca="false">MAX(AP161,AQ160)</f>
        <v>607634.979692643</v>
      </c>
      <c r="AR161" s="67" t="n">
        <f aca="false">MAX(AQ161,AR160)</f>
        <v>626209.448911266</v>
      </c>
      <c r="AS161" s="67" t="n">
        <f aca="false">MAX(AR161,AS160)</f>
        <v>644779.473685445</v>
      </c>
      <c r="AT161" s="67" t="n">
        <f aca="false">MAX(AS161,AT160)</f>
        <v>663345.05401518</v>
      </c>
      <c r="AU161" s="67" t="n">
        <f aca="false">MAX(AT161,AU160)</f>
        <v>681906.18990047</v>
      </c>
      <c r="AV161" s="67" t="n">
        <f aca="false">MAX(AU161,AV160)</f>
        <v>700462.881341316</v>
      </c>
      <c r="AW161" s="67" t="n">
        <f aca="false">MAX(AV161,AW160)</f>
        <v>736927.137678613</v>
      </c>
      <c r="AX161" s="67" t="n">
        <f aca="false">MAX(AW161,AX160)</f>
        <v>773386.949571467</v>
      </c>
      <c r="AY161" s="67" t="n">
        <f aca="false">MAX(AX161,AY160)</f>
        <v>796039.793059401</v>
      </c>
      <c r="AZ161" s="67" t="n">
        <f aca="false">MAX(AY161,AZ160)</f>
        <v>818688.192102891</v>
      </c>
      <c r="BA161" s="67" t="n">
        <f aca="false">MAX(AZ161,BA160)</f>
        <v>841332.146701936</v>
      </c>
      <c r="BB161" s="67" t="n">
        <f aca="false">MAX(BA161,BB160)</f>
        <v>863971.656856537</v>
      </c>
      <c r="BC161" s="67" t="n">
        <f aca="false">MAX(BB161,BC160)</f>
        <v>886606.722566694</v>
      </c>
      <c r="BD161" s="67" t="n">
        <f aca="false">MAX(BC161,BD160)</f>
        <v>909237.343832406</v>
      </c>
      <c r="BE161" s="67" t="n">
        <f aca="false">MAX(BD161,BE160)</f>
        <v>931863.520653673</v>
      </c>
      <c r="BF161" s="67" t="n">
        <f aca="false">MAX(BE161,BF160)</f>
        <v>954485.253030497</v>
      </c>
      <c r="BG161" s="67" t="n">
        <f aca="false">MAX(BF161,BG160)</f>
        <v>977102.540962875</v>
      </c>
      <c r="BH161" s="67" t="n">
        <f aca="false">MAX(BG161,BH160)</f>
        <v>999715.38445081</v>
      </c>
      <c r="BI161" s="67" t="n">
        <f aca="false">MAX(BH161,BI160)</f>
        <v>1041326.63420406</v>
      </c>
      <c r="BJ161" s="67" t="n">
        <f aca="false">MAX(BI161,BJ160)</f>
        <v>1082933.43951286</v>
      </c>
    </row>
    <row r="162" customFormat="false" ht="15" hidden="false" customHeight="false" outlineLevel="0" collapsed="false">
      <c r="A162" s="6" t="s">
        <v>82</v>
      </c>
      <c r="C162" s="67" t="n">
        <f aca="false">-C161*Inputs!$C$70</f>
        <v>-160.430336000001</v>
      </c>
      <c r="D162" s="67" t="n">
        <f aca="false">-(D161-C161)*Inputs!$C$70</f>
        <v>-1026.72568266667</v>
      </c>
      <c r="E162" s="67" t="n">
        <f aca="false">-(E161-D161)*Inputs!$C$70</f>
        <v>-1894.012696</v>
      </c>
      <c r="F162" s="67" t="n">
        <f aca="false">-(F161-E161)*Inputs!$C$70</f>
        <v>-1895.99602933333</v>
      </c>
      <c r="G162" s="67" t="n">
        <f aca="false">-(G161-F161)*Inputs!$C$70</f>
        <v>-1897.97936266667</v>
      </c>
      <c r="H162" s="67" t="n">
        <f aca="false">-(H161-G161)*Inputs!$C$70</f>
        <v>-1899.962696</v>
      </c>
      <c r="I162" s="67" t="n">
        <f aca="false">-(I161-H161)*Inputs!$C$70</f>
        <v>-1901.94602933334</v>
      </c>
      <c r="J162" s="67" t="n">
        <f aca="false">-(J161-I161)*Inputs!$C$70</f>
        <v>-1903.92936266667</v>
      </c>
      <c r="K162" s="67" t="n">
        <f aca="false">-(K161-J161)*Inputs!$C$70</f>
        <v>-1905.912696</v>
      </c>
      <c r="L162" s="67" t="n">
        <f aca="false">-(L161-K161)*Inputs!$C$70</f>
        <v>-1907.89602933334</v>
      </c>
      <c r="M162" s="67" t="n">
        <f aca="false">-(M161-L161)*Inputs!$C$70</f>
        <v>-5060.09478666667</v>
      </c>
      <c r="N162" s="67" t="n">
        <f aca="false">-(N161-M161)*Inputs!$C$70</f>
        <v>-5062.07812</v>
      </c>
      <c r="O162" s="67" t="n">
        <f aca="false">-(O161-N161)*Inputs!$C$70</f>
        <v>-2501.44223355308</v>
      </c>
      <c r="P162" s="67" t="n">
        <f aca="false">-(P161-O161)*Inputs!$C$70</f>
        <v>-2500.50890021974</v>
      </c>
      <c r="Q162" s="67" t="n">
        <f aca="false">-(Q161-P161)*Inputs!$C$70</f>
        <v>-2499.57556688641</v>
      </c>
      <c r="R162" s="67" t="n">
        <f aca="false">-(R161-Q161)*Inputs!$C$70</f>
        <v>-2498.64223355307</v>
      </c>
      <c r="S162" s="67" t="n">
        <f aca="false">-(S161-R161)*Inputs!$C$70</f>
        <v>-2497.70890021974</v>
      </c>
      <c r="T162" s="67" t="n">
        <f aca="false">-(T161-S161)*Inputs!$C$70</f>
        <v>-2496.77556688641</v>
      </c>
      <c r="U162" s="67" t="n">
        <f aca="false">-(U161-T161)*Inputs!$C$70</f>
        <v>-2495.84223355308</v>
      </c>
      <c r="V162" s="67" t="n">
        <f aca="false">-(V161-U161)*Inputs!$C$70</f>
        <v>-2494.90890021974</v>
      </c>
      <c r="W162" s="67" t="n">
        <f aca="false">-(W161-V161)*Inputs!$C$70</f>
        <v>-2493.97556688641</v>
      </c>
      <c r="X162" s="67" t="n">
        <f aca="false">-(X161-W161)*Inputs!$C$70</f>
        <v>-2493.04223355307</v>
      </c>
      <c r="Y162" s="67" t="n">
        <f aca="false">-(Y161-X161)*Inputs!$C$70</f>
        <v>-5834.17244354133</v>
      </c>
      <c r="Z162" s="67" t="n">
        <f aca="false">-(Z161-Y161)*Inputs!$C$70</f>
        <v>-5833.239110208</v>
      </c>
      <c r="AA162" s="67" t="n">
        <f aca="false">-(AA161-Z161)*Inputs!$C$70</f>
        <v>-3158.31374281116</v>
      </c>
      <c r="AB162" s="67" t="n">
        <f aca="false">-(AB161-AA161)*Inputs!$C$70</f>
        <v>-3157.38040947782</v>
      </c>
      <c r="AC162" s="67" t="n">
        <f aca="false">-(AC161-AB161)*Inputs!$C$70</f>
        <v>-3156.44707614449</v>
      </c>
      <c r="AD162" s="67" t="n">
        <f aca="false">-(AD161-AC161)*Inputs!$C$70</f>
        <v>-3155.51374281116</v>
      </c>
      <c r="AE162" s="67" t="n">
        <f aca="false">-(AE161-AD161)*Inputs!$C$70</f>
        <v>-3154.58040947783</v>
      </c>
      <c r="AF162" s="67" t="n">
        <f aca="false">-(AF161-AE161)*Inputs!$C$70</f>
        <v>-3153.6470761445</v>
      </c>
      <c r="AG162" s="67" t="n">
        <f aca="false">-(AG161-AF161)*Inputs!$C$70</f>
        <v>-3152.71374281116</v>
      </c>
      <c r="AH162" s="67" t="n">
        <f aca="false">-(AH161-AG161)*Inputs!$C$70</f>
        <v>-3151.78040947783</v>
      </c>
      <c r="AI162" s="67" t="n">
        <f aca="false">-(AI161-AH161)*Inputs!$C$70</f>
        <v>-3150.8470761445</v>
      </c>
      <c r="AJ162" s="67" t="n">
        <f aca="false">-(AJ161-AI161)*Inputs!$C$70</f>
        <v>-3149.91374281116</v>
      </c>
      <c r="AK162" s="67" t="n">
        <f aca="false">-(AK161-AJ161)*Inputs!$C$70</f>
        <v>-6694.57562258772</v>
      </c>
      <c r="AL162" s="67" t="n">
        <f aca="false">-(AL161-AK161)*Inputs!$C$70</f>
        <v>-6693.64228925439</v>
      </c>
      <c r="AM162" s="67" t="n">
        <f aca="false">-(AM161-AL161)*Inputs!$C$70</f>
        <v>-3905.30520257759</v>
      </c>
      <c r="AN162" s="67" t="n">
        <f aca="false">-(AN161-AM161)*Inputs!$C$70</f>
        <v>-3904.37186924423</v>
      </c>
      <c r="AO162" s="67" t="n">
        <f aca="false">-(AO161-AN161)*Inputs!$C$70</f>
        <v>-3903.43853591091</v>
      </c>
      <c r="AP162" s="67" t="n">
        <f aca="false">-(AP161-AO161)*Inputs!$C$70</f>
        <v>-3902.50520257757</v>
      </c>
      <c r="AQ162" s="67" t="n">
        <f aca="false">-(AQ161-AP161)*Inputs!$C$70</f>
        <v>-3901.57186924425</v>
      </c>
      <c r="AR162" s="67" t="n">
        <f aca="false">-(AR161-AQ161)*Inputs!$C$70</f>
        <v>-3900.63853591091</v>
      </c>
      <c r="AS162" s="67" t="n">
        <f aca="false">-(AS161-AR161)*Inputs!$C$70</f>
        <v>-3899.70520257759</v>
      </c>
      <c r="AT162" s="67" t="n">
        <f aca="false">-(AT161-AS161)*Inputs!$C$70</f>
        <v>-3898.77186924424</v>
      </c>
      <c r="AU162" s="67" t="n">
        <f aca="false">-(AU161-AT161)*Inputs!$C$70</f>
        <v>-3897.83853591092</v>
      </c>
      <c r="AV162" s="67" t="n">
        <f aca="false">-(AV161-AU161)*Inputs!$C$70</f>
        <v>-3896.90520257758</v>
      </c>
      <c r="AW162" s="67" t="n">
        <f aca="false">-(AW161-AV161)*Inputs!$C$70</f>
        <v>-7657.49383083252</v>
      </c>
      <c r="AX162" s="67" t="n">
        <f aca="false">-(AX161-AW161)*Inputs!$C$70</f>
        <v>-7656.5604974992</v>
      </c>
      <c r="AY162" s="67" t="n">
        <f aca="false">-(AY161-AX161)*Inputs!$C$70</f>
        <v>-4757.09713246621</v>
      </c>
      <c r="AZ162" s="67" t="n">
        <f aca="false">-(AZ161-AY161)*Inputs!$C$70</f>
        <v>-4756.16379913286</v>
      </c>
      <c r="BA162" s="67" t="n">
        <f aca="false">-(BA161-AZ161)*Inputs!$C$70</f>
        <v>-4755.23046579955</v>
      </c>
      <c r="BB162" s="67" t="n">
        <f aca="false">-(BB161-BA161)*Inputs!$C$70</f>
        <v>-4754.2971324662</v>
      </c>
      <c r="BC162" s="67" t="n">
        <f aca="false">-(BC161-BB161)*Inputs!$C$70</f>
        <v>-4753.36379913288</v>
      </c>
      <c r="BD162" s="67" t="n">
        <f aca="false">-(BD161-BC161)*Inputs!$C$70</f>
        <v>-4752.43046579954</v>
      </c>
      <c r="BE162" s="67" t="n">
        <f aca="false">-(BE161-BD161)*Inputs!$C$70</f>
        <v>-4751.49713246619</v>
      </c>
      <c r="BF162" s="67" t="n">
        <f aca="false">-(BF161-BE161)*Inputs!$C$70</f>
        <v>-4750.56379913287</v>
      </c>
      <c r="BG162" s="67" t="n">
        <f aca="false">-(BG161-BF161)*Inputs!$C$70</f>
        <v>-4749.63046579953</v>
      </c>
      <c r="BH162" s="67" t="n">
        <f aca="false">-(BH161-BG161)*Inputs!$C$70</f>
        <v>-4748.69713246621</v>
      </c>
      <c r="BI162" s="67" t="n">
        <f aca="false">-(BI161-BH161)*Inputs!$C$70</f>
        <v>-8738.36244818187</v>
      </c>
      <c r="BJ162" s="67" t="n">
        <f aca="false">-(BJ161-BI161)*Inputs!$C$70</f>
        <v>-8737.42911484855</v>
      </c>
    </row>
    <row r="163" customFormat="false" ht="15" hidden="false" customHeight="false" outlineLevel="0" collapsed="false">
      <c r="A163" s="115" t="s">
        <v>50</v>
      </c>
      <c r="C163" s="68" t="n">
        <f aca="false">C159+C162</f>
        <v>603.523644952383</v>
      </c>
      <c r="D163" s="68" t="n">
        <f aca="false">D159+D162</f>
        <v>3862.44423479366</v>
      </c>
      <c r="E163" s="68" t="n">
        <f aca="false">E159+E162</f>
        <v>7125.09538019048</v>
      </c>
      <c r="F163" s="68" t="n">
        <f aca="false">F159+F162</f>
        <v>7132.55649130159</v>
      </c>
      <c r="G163" s="68" t="n">
        <f aca="false">G159+G162</f>
        <v>7140.0176024127</v>
      </c>
      <c r="H163" s="68" t="n">
        <f aca="false">H159+H162</f>
        <v>7147.47871352382</v>
      </c>
      <c r="I163" s="68" t="n">
        <f aca="false">I159+I162</f>
        <v>7154.93982463493</v>
      </c>
      <c r="J163" s="68" t="n">
        <f aca="false">J159+J162</f>
        <v>7162.40093574604</v>
      </c>
      <c r="K163" s="68" t="n">
        <f aca="false">K159+K162</f>
        <v>7169.86204685715</v>
      </c>
      <c r="L163" s="68" t="n">
        <f aca="false">L159+L162</f>
        <v>7177.32315796826</v>
      </c>
      <c r="M163" s="68" t="n">
        <f aca="false">M159+M162</f>
        <v>19035.5946736508</v>
      </c>
      <c r="N163" s="68" t="n">
        <f aca="false">N159+N162</f>
        <v>19043.0557847619</v>
      </c>
      <c r="O163" s="68" t="n">
        <f aca="false">O159+O162</f>
        <v>9410.187450033</v>
      </c>
      <c r="P163" s="68" t="n">
        <f aca="false">P159+P162</f>
        <v>9406.67633892188</v>
      </c>
      <c r="Q163" s="68" t="n">
        <f aca="false">Q159+Q162</f>
        <v>9403.16522781077</v>
      </c>
      <c r="R163" s="68" t="n">
        <f aca="false">R159+R162</f>
        <v>9399.65411669967</v>
      </c>
      <c r="S163" s="68" t="n">
        <f aca="false">S159+S162</f>
        <v>9396.14300558855</v>
      </c>
      <c r="T163" s="68" t="n">
        <f aca="false">T159+T162</f>
        <v>9392.63189447744</v>
      </c>
      <c r="U163" s="68" t="n">
        <f aca="false">U159+U162</f>
        <v>9389.12078336633</v>
      </c>
      <c r="V163" s="68" t="n">
        <f aca="false">V159+V162</f>
        <v>9385.60967225522</v>
      </c>
      <c r="W163" s="68" t="n">
        <f aca="false">W159+W162</f>
        <v>9382.09856114411</v>
      </c>
      <c r="X163" s="68" t="n">
        <f aca="false">X159+X162</f>
        <v>9378.587450033</v>
      </c>
      <c r="Y163" s="68" t="n">
        <f aca="false">Y159+Y162</f>
        <v>21947.6010971317</v>
      </c>
      <c r="Z163" s="68" t="n">
        <f aca="false">Z159+Z162</f>
        <v>21944.0899860206</v>
      </c>
      <c r="AA163" s="68" t="n">
        <f aca="false">AA159+AA162</f>
        <v>11881.2755086706</v>
      </c>
      <c r="AB163" s="68" t="n">
        <f aca="false">AB159+AB162</f>
        <v>11877.7643975595</v>
      </c>
      <c r="AC163" s="68" t="n">
        <f aca="false">AC159+AC162</f>
        <v>11874.2532864483</v>
      </c>
      <c r="AD163" s="68" t="n">
        <f aca="false">AD159+AD162</f>
        <v>11870.7421753372</v>
      </c>
      <c r="AE163" s="68" t="n">
        <f aca="false">AE159+AE162</f>
        <v>11867.2310642261</v>
      </c>
      <c r="AF163" s="68" t="n">
        <f aca="false">AF159+AF162</f>
        <v>11863.719953115</v>
      </c>
      <c r="AG163" s="68" t="n">
        <f aca="false">AG159+AG162</f>
        <v>11860.2088420039</v>
      </c>
      <c r="AH163" s="68" t="n">
        <f aca="false">AH159+AH162</f>
        <v>11856.6977308928</v>
      </c>
      <c r="AI163" s="68" t="n">
        <f aca="false">AI159+AI162</f>
        <v>11853.1866197817</v>
      </c>
      <c r="AJ163" s="68" t="n">
        <f aca="false">AJ159+AJ162</f>
        <v>11849.6755086706</v>
      </c>
      <c r="AK163" s="68" t="n">
        <f aca="false">AK159+AK162</f>
        <v>25184.3559135443</v>
      </c>
      <c r="AL163" s="68" t="n">
        <f aca="false">AL159+AL162</f>
        <v>25180.8448024332</v>
      </c>
      <c r="AM163" s="68" t="n">
        <f aca="false">AM159+AM162</f>
        <v>14691.386238268</v>
      </c>
      <c r="AN163" s="68" t="n">
        <f aca="false">AN159+AN162</f>
        <v>14687.8751271569</v>
      </c>
      <c r="AO163" s="68" t="n">
        <f aca="false">AO159+AO162</f>
        <v>14684.3640160458</v>
      </c>
      <c r="AP163" s="68" t="n">
        <f aca="false">AP159+AP162</f>
        <v>14680.8529049347</v>
      </c>
      <c r="AQ163" s="68" t="n">
        <f aca="false">AQ159+AQ162</f>
        <v>14677.3417938236</v>
      </c>
      <c r="AR163" s="68" t="n">
        <f aca="false">AR159+AR162</f>
        <v>14673.8306827125</v>
      </c>
      <c r="AS163" s="68" t="n">
        <f aca="false">AS159+AS162</f>
        <v>14670.3195716014</v>
      </c>
      <c r="AT163" s="68" t="n">
        <f aca="false">AT159+AT162</f>
        <v>14666.8084604903</v>
      </c>
      <c r="AU163" s="68" t="n">
        <f aca="false">AU159+AU162</f>
        <v>14663.2973493791</v>
      </c>
      <c r="AV163" s="68" t="n">
        <f aca="false">AV159+AV162</f>
        <v>14659.786238268</v>
      </c>
      <c r="AW163" s="68" t="n">
        <f aca="false">AW159+AW162</f>
        <v>28806.7625064652</v>
      </c>
      <c r="AX163" s="68" t="n">
        <f aca="false">AX159+AX162</f>
        <v>28803.2513953541</v>
      </c>
      <c r="AY163" s="68" t="n">
        <f aca="false">AY159+AY162</f>
        <v>17895.7463554681</v>
      </c>
      <c r="AZ163" s="68" t="n">
        <f aca="false">AZ159+AZ162</f>
        <v>17892.235244357</v>
      </c>
      <c r="BA163" s="68" t="n">
        <f aca="false">BA159+BA162</f>
        <v>17888.7241332459</v>
      </c>
      <c r="BB163" s="68" t="n">
        <f aca="false">BB159+BB162</f>
        <v>17885.2130221348</v>
      </c>
      <c r="BC163" s="68" t="n">
        <f aca="false">BC159+BC162</f>
        <v>17881.7019110236</v>
      </c>
      <c r="BD163" s="68" t="n">
        <f aca="false">BD159+BD162</f>
        <v>17878.1907999125</v>
      </c>
      <c r="BE163" s="68" t="n">
        <f aca="false">BE159+BE162</f>
        <v>17874.6796888014</v>
      </c>
      <c r="BF163" s="68" t="n">
        <f aca="false">BF159+BF162</f>
        <v>17871.1685776903</v>
      </c>
      <c r="BG163" s="68" t="n">
        <f aca="false">BG159+BG162</f>
        <v>17867.6574665792</v>
      </c>
      <c r="BH163" s="68" t="n">
        <f aca="false">BH159+BH162</f>
        <v>17864.1463554681</v>
      </c>
      <c r="BI163" s="68" t="n">
        <f aca="false">BI159+BI162</f>
        <v>32872.8873050652</v>
      </c>
      <c r="BJ163" s="68" t="n">
        <f aca="false">BJ159+BJ162</f>
        <v>32869.376193954</v>
      </c>
    </row>
    <row r="165" customFormat="false" ht="15.75" hidden="false" customHeight="true" outlineLevel="0" collapsed="false">
      <c r="A165" s="7" t="s">
        <v>415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customFormat="false" ht="15" hidden="false" customHeight="false" outlineLevel="0" collapsed="false">
      <c r="A166" s="6" t="s">
        <v>416</v>
      </c>
      <c r="C166" s="67" t="n">
        <f aca="false">IF(C$117=1,Inputs!$C$38,0)+IF(C$118&gt;1,Inputs!$C$39*1/12,0)</f>
        <v>90000</v>
      </c>
      <c r="D166" s="67" t="n">
        <f aca="false">IF(D$117=1,Inputs!$C$38,0)+IF(D$118&gt;1,Inputs!$C$39*1/12,0)</f>
        <v>0</v>
      </c>
      <c r="E166" s="67" t="n">
        <f aca="false">IF(E$117=1,Inputs!$C$38,0)+IF(E$118&gt;1,Inputs!$C$39*1/12,0)</f>
        <v>0</v>
      </c>
      <c r="F166" s="67" t="n">
        <f aca="false">IF(F$117=1,Inputs!$C$38,0)+IF(F$118&gt;1,Inputs!$C$39*1/12,0)</f>
        <v>0</v>
      </c>
      <c r="G166" s="67" t="n">
        <f aca="false">IF(G$117=1,Inputs!$C$38,0)+IF(G$118&gt;1,Inputs!$C$39*1/12,0)</f>
        <v>0</v>
      </c>
      <c r="H166" s="67" t="n">
        <f aca="false">IF(H$117=1,Inputs!$C$38,0)+IF(H$118&gt;1,Inputs!$C$39*1/12,0)</f>
        <v>0</v>
      </c>
      <c r="I166" s="67" t="n">
        <f aca="false">IF(I$117=1,Inputs!$C$38,0)+IF(I$118&gt;1,Inputs!$C$39*1/12,0)</f>
        <v>0</v>
      </c>
      <c r="J166" s="67" t="n">
        <f aca="false">IF(J$117=1,Inputs!$C$38,0)+IF(J$118&gt;1,Inputs!$C$39*1/12,0)</f>
        <v>0</v>
      </c>
      <c r="K166" s="67" t="n">
        <f aca="false">IF(K$117=1,Inputs!$C$38,0)+IF(K$118&gt;1,Inputs!$C$39*1/12,0)</f>
        <v>0</v>
      </c>
      <c r="L166" s="67" t="n">
        <f aca="false">IF(L$117=1,Inputs!$C$38,0)+IF(L$118&gt;1,Inputs!$C$39*1/12,0)</f>
        <v>0</v>
      </c>
      <c r="M166" s="67" t="n">
        <f aca="false">IF(M$117=1,Inputs!$C$38,0)+IF(M$118&gt;1,Inputs!$C$39*1/12,0)</f>
        <v>0</v>
      </c>
      <c r="N166" s="67" t="n">
        <f aca="false">IF(N$117=1,Inputs!$C$38,0)+IF(N$118&gt;1,Inputs!$C$39*1/12,0)</f>
        <v>0</v>
      </c>
      <c r="O166" s="67" t="n">
        <f aca="false">IF(O$117=1,Inputs!$C$38,0)+IF(O$118&gt;1,Inputs!$C$39*1/12,0)</f>
        <v>1166.66666666667</v>
      </c>
      <c r="P166" s="67" t="n">
        <f aca="false">IF(P$117=1,Inputs!$C$38,0)+IF(P$118&gt;1,Inputs!$C$39*1/12,0)</f>
        <v>1166.66666666667</v>
      </c>
      <c r="Q166" s="67" t="n">
        <f aca="false">IF(Q$117=1,Inputs!$C$38,0)+IF(Q$118&gt;1,Inputs!$C$39*1/12,0)</f>
        <v>1166.66666666667</v>
      </c>
      <c r="R166" s="67" t="n">
        <f aca="false">IF(R$117=1,Inputs!$C$38,0)+IF(R$118&gt;1,Inputs!$C$39*1/12,0)</f>
        <v>1166.66666666667</v>
      </c>
      <c r="S166" s="67" t="n">
        <f aca="false">IF(S$117=1,Inputs!$C$38,0)+IF(S$118&gt;1,Inputs!$C$39*1/12,0)</f>
        <v>1166.66666666667</v>
      </c>
      <c r="T166" s="67" t="n">
        <f aca="false">IF(T$117=1,Inputs!$C$38,0)+IF(T$118&gt;1,Inputs!$C$39*1/12,0)</f>
        <v>1166.66666666667</v>
      </c>
      <c r="U166" s="67" t="n">
        <f aca="false">IF(U$117=1,Inputs!$C$38,0)+IF(U$118&gt;1,Inputs!$C$39*1/12,0)</f>
        <v>1166.66666666667</v>
      </c>
      <c r="V166" s="67" t="n">
        <f aca="false">IF(V$117=1,Inputs!$C$38,0)+IF(V$118&gt;1,Inputs!$C$39*1/12,0)</f>
        <v>1166.66666666667</v>
      </c>
      <c r="W166" s="67" t="n">
        <f aca="false">IF(W$117=1,Inputs!$C$38,0)+IF(W$118&gt;1,Inputs!$C$39*1/12,0)</f>
        <v>1166.66666666667</v>
      </c>
      <c r="X166" s="67" t="n">
        <f aca="false">IF(X$117=1,Inputs!$C$38,0)+IF(X$118&gt;1,Inputs!$C$39*1/12,0)</f>
        <v>1166.66666666667</v>
      </c>
      <c r="Y166" s="67" t="n">
        <f aca="false">IF(Y$117=1,Inputs!$C$38,0)+IF(Y$118&gt;1,Inputs!$C$39*1/12,0)</f>
        <v>1166.66666666667</v>
      </c>
      <c r="Z166" s="67" t="n">
        <f aca="false">IF(Z$117=1,Inputs!$C$38,0)+IF(Z$118&gt;1,Inputs!$C$39*1/12,0)</f>
        <v>1166.66666666667</v>
      </c>
      <c r="AA166" s="67" t="n">
        <f aca="false">IF(AA$117=1,Inputs!$C$38,0)+IF(AA$118&gt;1,Inputs!$C$39*1/12,0)</f>
        <v>1166.66666666667</v>
      </c>
      <c r="AB166" s="67" t="n">
        <f aca="false">IF(AB$117=1,Inputs!$C$38,0)+IF(AB$118&gt;1,Inputs!$C$39*1/12,0)</f>
        <v>1166.66666666667</v>
      </c>
      <c r="AC166" s="67" t="n">
        <f aca="false">IF(AC$117=1,Inputs!$C$38,0)+IF(AC$118&gt;1,Inputs!$C$39*1/12,0)</f>
        <v>1166.66666666667</v>
      </c>
      <c r="AD166" s="67" t="n">
        <f aca="false">IF(AD$117=1,Inputs!$C$38,0)+IF(AD$118&gt;1,Inputs!$C$39*1/12,0)</f>
        <v>1166.66666666667</v>
      </c>
      <c r="AE166" s="67" t="n">
        <f aca="false">IF(AE$117=1,Inputs!$C$38,0)+IF(AE$118&gt;1,Inputs!$C$39*1/12,0)</f>
        <v>1166.66666666667</v>
      </c>
      <c r="AF166" s="67" t="n">
        <f aca="false">IF(AF$117=1,Inputs!$C$38,0)+IF(AF$118&gt;1,Inputs!$C$39*1/12,0)</f>
        <v>1166.66666666667</v>
      </c>
      <c r="AG166" s="67" t="n">
        <f aca="false">IF(AG$117=1,Inputs!$C$38,0)+IF(AG$118&gt;1,Inputs!$C$39*1/12,0)</f>
        <v>1166.66666666667</v>
      </c>
      <c r="AH166" s="67" t="n">
        <f aca="false">IF(AH$117=1,Inputs!$C$38,0)+IF(AH$118&gt;1,Inputs!$C$39*1/12,0)</f>
        <v>1166.66666666667</v>
      </c>
      <c r="AI166" s="67" t="n">
        <f aca="false">IF(AI$117=1,Inputs!$C$38,0)+IF(AI$118&gt;1,Inputs!$C$39*1/12,0)</f>
        <v>1166.66666666667</v>
      </c>
      <c r="AJ166" s="67" t="n">
        <f aca="false">IF(AJ$117=1,Inputs!$C$38,0)+IF(AJ$118&gt;1,Inputs!$C$39*1/12,0)</f>
        <v>1166.66666666667</v>
      </c>
      <c r="AK166" s="67" t="n">
        <f aca="false">IF(AK$117=1,Inputs!$C$38,0)+IF(AK$118&gt;1,Inputs!$C$39*1/12,0)</f>
        <v>1166.66666666667</v>
      </c>
      <c r="AL166" s="67" t="n">
        <f aca="false">IF(AL$117=1,Inputs!$C$38,0)+IF(AL$118&gt;1,Inputs!$C$39*1/12,0)</f>
        <v>1166.66666666667</v>
      </c>
      <c r="AM166" s="67" t="n">
        <f aca="false">IF(AM$117=1,Inputs!$C$38,0)+IF(AM$118&gt;1,Inputs!$C$39*1/12,0)</f>
        <v>1166.66666666667</v>
      </c>
      <c r="AN166" s="67" t="n">
        <f aca="false">IF(AN$117=1,Inputs!$C$38,0)+IF(AN$118&gt;1,Inputs!$C$39*1/12,0)</f>
        <v>1166.66666666667</v>
      </c>
      <c r="AO166" s="67" t="n">
        <f aca="false">IF(AO$117=1,Inputs!$C$38,0)+IF(AO$118&gt;1,Inputs!$C$39*1/12,0)</f>
        <v>1166.66666666667</v>
      </c>
      <c r="AP166" s="67" t="n">
        <f aca="false">IF(AP$117=1,Inputs!$C$38,0)+IF(AP$118&gt;1,Inputs!$C$39*1/12,0)</f>
        <v>1166.66666666667</v>
      </c>
      <c r="AQ166" s="67" t="n">
        <f aca="false">IF(AQ$117=1,Inputs!$C$38,0)+IF(AQ$118&gt;1,Inputs!$C$39*1/12,0)</f>
        <v>1166.66666666667</v>
      </c>
      <c r="AR166" s="67" t="n">
        <f aca="false">IF(AR$117=1,Inputs!$C$38,0)+IF(AR$118&gt;1,Inputs!$C$39*1/12,0)</f>
        <v>1166.66666666667</v>
      </c>
      <c r="AS166" s="67" t="n">
        <f aca="false">IF(AS$117=1,Inputs!$C$38,0)+IF(AS$118&gt;1,Inputs!$C$39*1/12,0)</f>
        <v>1166.66666666667</v>
      </c>
      <c r="AT166" s="67" t="n">
        <f aca="false">IF(AT$117=1,Inputs!$C$38,0)+IF(AT$118&gt;1,Inputs!$C$39*1/12,0)</f>
        <v>1166.66666666667</v>
      </c>
      <c r="AU166" s="67" t="n">
        <f aca="false">IF(AU$117=1,Inputs!$C$38,0)+IF(AU$118&gt;1,Inputs!$C$39*1/12,0)</f>
        <v>1166.66666666667</v>
      </c>
      <c r="AV166" s="67" t="n">
        <f aca="false">IF(AV$117=1,Inputs!$C$38,0)+IF(AV$118&gt;1,Inputs!$C$39*1/12,0)</f>
        <v>1166.66666666667</v>
      </c>
      <c r="AW166" s="67" t="n">
        <f aca="false">IF(AW$117=1,Inputs!$C$38,0)+IF(AW$118&gt;1,Inputs!$C$39*1/12,0)</f>
        <v>1166.66666666667</v>
      </c>
      <c r="AX166" s="67" t="n">
        <f aca="false">IF(AX$117=1,Inputs!$C$38,0)+IF(AX$118&gt;1,Inputs!$C$39*1/12,0)</f>
        <v>1166.66666666667</v>
      </c>
      <c r="AY166" s="67" t="n">
        <f aca="false">IF(AY$117=1,Inputs!$C$38,0)+IF(AY$118&gt;1,Inputs!$C$39*1/12,0)</f>
        <v>1166.66666666667</v>
      </c>
      <c r="AZ166" s="67" t="n">
        <f aca="false">IF(AZ$117=1,Inputs!$C$38,0)+IF(AZ$118&gt;1,Inputs!$C$39*1/12,0)</f>
        <v>1166.66666666667</v>
      </c>
      <c r="BA166" s="67" t="n">
        <f aca="false">IF(BA$117=1,Inputs!$C$38,0)+IF(BA$118&gt;1,Inputs!$C$39*1/12,0)</f>
        <v>1166.66666666667</v>
      </c>
      <c r="BB166" s="67" t="n">
        <f aca="false">IF(BB$117=1,Inputs!$C$38,0)+IF(BB$118&gt;1,Inputs!$C$39*1/12,0)</f>
        <v>1166.66666666667</v>
      </c>
      <c r="BC166" s="67" t="n">
        <f aca="false">IF(BC$117=1,Inputs!$C$38,0)+IF(BC$118&gt;1,Inputs!$C$39*1/12,0)</f>
        <v>1166.66666666667</v>
      </c>
      <c r="BD166" s="67" t="n">
        <f aca="false">IF(BD$117=1,Inputs!$C$38,0)+IF(BD$118&gt;1,Inputs!$C$39*1/12,0)</f>
        <v>1166.66666666667</v>
      </c>
      <c r="BE166" s="67" t="n">
        <f aca="false">IF(BE$117=1,Inputs!$C$38,0)+IF(BE$118&gt;1,Inputs!$C$39*1/12,0)</f>
        <v>1166.66666666667</v>
      </c>
      <c r="BF166" s="67" t="n">
        <f aca="false">IF(BF$117=1,Inputs!$C$38,0)+IF(BF$118&gt;1,Inputs!$C$39*1/12,0)</f>
        <v>1166.66666666667</v>
      </c>
      <c r="BG166" s="67" t="n">
        <f aca="false">IF(BG$117=1,Inputs!$C$38,0)+IF(BG$118&gt;1,Inputs!$C$39*1/12,0)</f>
        <v>1166.66666666667</v>
      </c>
      <c r="BH166" s="67" t="n">
        <f aca="false">IF(BH$117=1,Inputs!$C$38,0)+IF(BH$118&gt;1,Inputs!$C$39*1/12,0)</f>
        <v>1166.66666666667</v>
      </c>
      <c r="BI166" s="67" t="n">
        <f aca="false">IF(BI$117=1,Inputs!$C$38,0)+IF(BI$118&gt;1,Inputs!$C$39*1/12,0)</f>
        <v>1166.66666666667</v>
      </c>
      <c r="BJ166" s="67" t="n">
        <f aca="false">IF(BJ$117=1,Inputs!$C$38,0)+IF(BJ$118&gt;1,Inputs!$C$39*1/12,0)</f>
        <v>1166.66666666667</v>
      </c>
    </row>
    <row r="167" customFormat="false" ht="15" hidden="false" customHeight="false" outlineLevel="0" collapsed="false">
      <c r="A167" s="6" t="s">
        <v>417</v>
      </c>
      <c r="C167" s="67" t="n">
        <f aca="false">C166</f>
        <v>90000</v>
      </c>
      <c r="D167" s="67" t="n">
        <f aca="false">C167+D166</f>
        <v>90000</v>
      </c>
      <c r="E167" s="67" t="n">
        <f aca="false">D167+E166</f>
        <v>90000</v>
      </c>
      <c r="F167" s="67" t="n">
        <f aca="false">E167+F166</f>
        <v>90000</v>
      </c>
      <c r="G167" s="67" t="n">
        <f aca="false">F167+G166</f>
        <v>90000</v>
      </c>
      <c r="H167" s="67" t="n">
        <f aca="false">G167+H166</f>
        <v>90000</v>
      </c>
      <c r="I167" s="67" t="n">
        <f aca="false">H167+I166</f>
        <v>90000</v>
      </c>
      <c r="J167" s="67" t="n">
        <f aca="false">I167+J166</f>
        <v>90000</v>
      </c>
      <c r="K167" s="67" t="n">
        <f aca="false">J167+K166</f>
        <v>90000</v>
      </c>
      <c r="L167" s="67" t="n">
        <f aca="false">K167+L166</f>
        <v>90000</v>
      </c>
      <c r="M167" s="67" t="n">
        <f aca="false">L167+M166</f>
        <v>90000</v>
      </c>
      <c r="N167" s="67" t="n">
        <f aca="false">M167+N166</f>
        <v>90000</v>
      </c>
      <c r="O167" s="67" t="n">
        <f aca="false">N167+O166</f>
        <v>91166.6666666667</v>
      </c>
      <c r="P167" s="67" t="n">
        <f aca="false">O167+P166</f>
        <v>92333.3333333333</v>
      </c>
      <c r="Q167" s="67" t="n">
        <f aca="false">P167+Q166</f>
        <v>93500</v>
      </c>
      <c r="R167" s="67" t="n">
        <f aca="false">Q167+R166</f>
        <v>94666.6666666667</v>
      </c>
      <c r="S167" s="67" t="n">
        <f aca="false">R167+S166</f>
        <v>95833.3333333334</v>
      </c>
      <c r="T167" s="67" t="n">
        <f aca="false">S167+T166</f>
        <v>97000</v>
      </c>
      <c r="U167" s="67" t="n">
        <f aca="false">T167+U166</f>
        <v>98166.6666666667</v>
      </c>
      <c r="V167" s="67" t="n">
        <f aca="false">U167+V166</f>
        <v>99333.3333333334</v>
      </c>
      <c r="W167" s="67" t="n">
        <f aca="false">V167+W166</f>
        <v>100500</v>
      </c>
      <c r="X167" s="67" t="n">
        <f aca="false">W167+X166</f>
        <v>101666.666666667</v>
      </c>
      <c r="Y167" s="67" t="n">
        <f aca="false">X167+Y166</f>
        <v>102833.333333333</v>
      </c>
      <c r="Z167" s="67" t="n">
        <f aca="false">Y167+Z166</f>
        <v>104000</v>
      </c>
      <c r="AA167" s="67" t="n">
        <f aca="false">Z167+AA166</f>
        <v>105166.666666667</v>
      </c>
      <c r="AB167" s="67" t="n">
        <f aca="false">AA167+AB166</f>
        <v>106333.333333333</v>
      </c>
      <c r="AC167" s="67" t="n">
        <f aca="false">AB167+AC166</f>
        <v>107500</v>
      </c>
      <c r="AD167" s="67" t="n">
        <f aca="false">AC167+AD166</f>
        <v>108666.666666667</v>
      </c>
      <c r="AE167" s="67" t="n">
        <f aca="false">AD167+AE166</f>
        <v>109833.333333333</v>
      </c>
      <c r="AF167" s="67" t="n">
        <f aca="false">AE167+AF166</f>
        <v>111000</v>
      </c>
      <c r="AG167" s="67" t="n">
        <f aca="false">AF167+AG166</f>
        <v>112166.666666667</v>
      </c>
      <c r="AH167" s="67" t="n">
        <f aca="false">AG167+AH166</f>
        <v>113333.333333333</v>
      </c>
      <c r="AI167" s="67" t="n">
        <f aca="false">AH167+AI166</f>
        <v>114500</v>
      </c>
      <c r="AJ167" s="67" t="n">
        <f aca="false">AI167+AJ166</f>
        <v>115666.666666667</v>
      </c>
      <c r="AK167" s="67" t="n">
        <f aca="false">AJ167+AK166</f>
        <v>116833.333333333</v>
      </c>
      <c r="AL167" s="67" t="n">
        <f aca="false">AK167+AL166</f>
        <v>118000</v>
      </c>
      <c r="AM167" s="67" t="n">
        <f aca="false">AL167+AM166</f>
        <v>119166.666666667</v>
      </c>
      <c r="AN167" s="67" t="n">
        <f aca="false">AM167+AN166</f>
        <v>120333.333333333</v>
      </c>
      <c r="AO167" s="67" t="n">
        <f aca="false">AN167+AO166</f>
        <v>121500</v>
      </c>
      <c r="AP167" s="67" t="n">
        <f aca="false">AO167+AP166</f>
        <v>122666.666666667</v>
      </c>
      <c r="AQ167" s="67" t="n">
        <f aca="false">AP167+AQ166</f>
        <v>123833.333333333</v>
      </c>
      <c r="AR167" s="67" t="n">
        <f aca="false">AQ167+AR166</f>
        <v>125000</v>
      </c>
      <c r="AS167" s="67" t="n">
        <f aca="false">AR167+AS166</f>
        <v>126166.666666667</v>
      </c>
      <c r="AT167" s="67" t="n">
        <f aca="false">AS167+AT166</f>
        <v>127333.333333333</v>
      </c>
      <c r="AU167" s="67" t="n">
        <f aca="false">AT167+AU166</f>
        <v>128500</v>
      </c>
      <c r="AV167" s="67" t="n">
        <f aca="false">AU167+AV166</f>
        <v>129666.666666667</v>
      </c>
      <c r="AW167" s="67" t="n">
        <f aca="false">AV167+AW166</f>
        <v>130833.333333334</v>
      </c>
      <c r="AX167" s="67" t="n">
        <f aca="false">AW167+AX166</f>
        <v>132000</v>
      </c>
      <c r="AY167" s="67" t="n">
        <f aca="false">AX167+AY166</f>
        <v>133166.666666667</v>
      </c>
      <c r="AZ167" s="67" t="n">
        <f aca="false">AY167+AZ166</f>
        <v>134333.333333334</v>
      </c>
      <c r="BA167" s="67" t="n">
        <f aca="false">AZ167+BA166</f>
        <v>135500</v>
      </c>
      <c r="BB167" s="67" t="n">
        <f aca="false">BA167+BB166</f>
        <v>136666.666666667</v>
      </c>
      <c r="BC167" s="67" t="n">
        <f aca="false">BB167+BC166</f>
        <v>137833.333333333</v>
      </c>
      <c r="BD167" s="67" t="n">
        <f aca="false">BC167+BD166</f>
        <v>139000</v>
      </c>
      <c r="BE167" s="67" t="n">
        <f aca="false">BD167+BE166</f>
        <v>140166.666666667</v>
      </c>
      <c r="BF167" s="67" t="n">
        <f aca="false">BE167+BF166</f>
        <v>141333.333333333</v>
      </c>
      <c r="BG167" s="67" t="n">
        <f aca="false">BF167+BG166</f>
        <v>142500</v>
      </c>
      <c r="BH167" s="67" t="n">
        <f aca="false">BG167+BH166</f>
        <v>143666.666666667</v>
      </c>
      <c r="BI167" s="67" t="n">
        <f aca="false">BH167+BI166</f>
        <v>144833.333333333</v>
      </c>
      <c r="BJ167" s="67" t="n">
        <f aca="false">BI167+BJ166</f>
        <v>146000</v>
      </c>
    </row>
    <row r="168" customFormat="false" ht="15" hidden="false" customHeight="false" outlineLevel="0" collapsed="false">
      <c r="A168" s="6" t="s">
        <v>78</v>
      </c>
      <c r="C168" s="67" t="n">
        <f aca="false">-MIN(C167/MAX(1,Inputs!$C$69*12),C166)</f>
        <v>-1071.42857142857</v>
      </c>
      <c r="D168" s="67" t="n">
        <f aca="false">-MIN(D167/MAX(1,Inputs!$C$69*12),C170+D166)</f>
        <v>-1071.42857142857</v>
      </c>
      <c r="E168" s="67" t="n">
        <f aca="false">-MIN(E167/MAX(1,Inputs!$C$69*12),D170+E166)</f>
        <v>-1071.42857142857</v>
      </c>
      <c r="F168" s="67" t="n">
        <f aca="false">-MIN(F167/MAX(1,Inputs!$C$69*12),E170+F166)</f>
        <v>-1071.42857142857</v>
      </c>
      <c r="G168" s="67" t="n">
        <f aca="false">-MIN(G167/MAX(1,Inputs!$C$69*12),F170+G166)</f>
        <v>-1071.42857142857</v>
      </c>
      <c r="H168" s="67" t="n">
        <f aca="false">-MIN(H167/MAX(1,Inputs!$C$69*12),G170+H166)</f>
        <v>-1071.42857142857</v>
      </c>
      <c r="I168" s="67" t="n">
        <f aca="false">-MIN(I167/MAX(1,Inputs!$C$69*12),H170+I166)</f>
        <v>-1071.42857142857</v>
      </c>
      <c r="J168" s="67" t="n">
        <f aca="false">-MIN(J167/MAX(1,Inputs!$C$69*12),I170+J166)</f>
        <v>-1071.42857142857</v>
      </c>
      <c r="K168" s="67" t="n">
        <f aca="false">-MIN(K167/MAX(1,Inputs!$C$69*12),J170+K166)</f>
        <v>-1071.42857142857</v>
      </c>
      <c r="L168" s="67" t="n">
        <f aca="false">-MIN(L167/MAX(1,Inputs!$C$69*12),K170+L166)</f>
        <v>-1071.42857142857</v>
      </c>
      <c r="M168" s="67" t="n">
        <f aca="false">-MIN(M167/MAX(1,Inputs!$C$69*12),L170+M166)</f>
        <v>-1071.42857142857</v>
      </c>
      <c r="N168" s="67" t="n">
        <f aca="false">-MIN(N167/MAX(1,Inputs!$C$69*12),M170+N166)</f>
        <v>-1071.42857142857</v>
      </c>
      <c r="O168" s="67" t="n">
        <f aca="false">-MIN(O167/MAX(1,Inputs!$C$69*12),N170+O166)</f>
        <v>-1085.31746031746</v>
      </c>
      <c r="P168" s="67" t="n">
        <f aca="false">-MIN(P167/MAX(1,Inputs!$C$69*12),O170+P166)</f>
        <v>-1099.20634920635</v>
      </c>
      <c r="Q168" s="67" t="n">
        <f aca="false">-MIN(Q167/MAX(1,Inputs!$C$69*12),P170+Q166)</f>
        <v>-1113.09523809524</v>
      </c>
      <c r="R168" s="67" t="n">
        <f aca="false">-MIN(R167/MAX(1,Inputs!$C$69*12),Q170+R166)</f>
        <v>-1126.98412698413</v>
      </c>
      <c r="S168" s="67" t="n">
        <f aca="false">-MIN(S167/MAX(1,Inputs!$C$69*12),R170+S166)</f>
        <v>-1140.87301587302</v>
      </c>
      <c r="T168" s="67" t="n">
        <f aca="false">-MIN(T167/MAX(1,Inputs!$C$69*12),S170+T166)</f>
        <v>-1154.76190476191</v>
      </c>
      <c r="U168" s="67" t="n">
        <f aca="false">-MIN(U167/MAX(1,Inputs!$C$69*12),T170+U166)</f>
        <v>-1168.65079365079</v>
      </c>
      <c r="V168" s="67" t="n">
        <f aca="false">-MIN(V167/MAX(1,Inputs!$C$69*12),U170+V166)</f>
        <v>-1182.53968253968</v>
      </c>
      <c r="W168" s="67" t="n">
        <f aca="false">-MIN(W167/MAX(1,Inputs!$C$69*12),V170+W166)</f>
        <v>-1196.42857142857</v>
      </c>
      <c r="X168" s="67" t="n">
        <f aca="false">-MIN(X167/MAX(1,Inputs!$C$69*12),W170+X166)</f>
        <v>-1210.31746031746</v>
      </c>
      <c r="Y168" s="67" t="n">
        <f aca="false">-MIN(Y167/MAX(1,Inputs!$C$69*12),X170+Y166)</f>
        <v>-1224.20634920635</v>
      </c>
      <c r="Z168" s="67" t="n">
        <f aca="false">-MIN(Z167/MAX(1,Inputs!$C$69*12),Y170+Z166)</f>
        <v>-1238.09523809524</v>
      </c>
      <c r="AA168" s="67" t="n">
        <f aca="false">-MIN(AA167/MAX(1,Inputs!$C$69*12),Z170+AA166)</f>
        <v>-1251.98412698413</v>
      </c>
      <c r="AB168" s="67" t="n">
        <f aca="false">-MIN(AB167/MAX(1,Inputs!$C$69*12),AA170+AB166)</f>
        <v>-1265.87301587302</v>
      </c>
      <c r="AC168" s="67" t="n">
        <f aca="false">-MIN(AC167/MAX(1,Inputs!$C$69*12),AB170+AC166)</f>
        <v>-1279.76190476191</v>
      </c>
      <c r="AD168" s="67" t="n">
        <f aca="false">-MIN(AD167/MAX(1,Inputs!$C$69*12),AC170+AD166)</f>
        <v>-1293.65079365079</v>
      </c>
      <c r="AE168" s="67" t="n">
        <f aca="false">-MIN(AE167/MAX(1,Inputs!$C$69*12),AD170+AE166)</f>
        <v>-1307.53968253968</v>
      </c>
      <c r="AF168" s="67" t="n">
        <f aca="false">-MIN(AF167/MAX(1,Inputs!$C$69*12),AE170+AF166)</f>
        <v>-1321.42857142857</v>
      </c>
      <c r="AG168" s="67" t="n">
        <f aca="false">-MIN(AG167/MAX(1,Inputs!$C$69*12),AF170+AG166)</f>
        <v>-1335.31746031746</v>
      </c>
      <c r="AH168" s="67" t="n">
        <f aca="false">-MIN(AH167/MAX(1,Inputs!$C$69*12),AG170+AH166)</f>
        <v>-1349.20634920635</v>
      </c>
      <c r="AI168" s="67" t="n">
        <f aca="false">-MIN(AI167/MAX(1,Inputs!$C$69*12),AH170+AI166)</f>
        <v>-1363.09523809524</v>
      </c>
      <c r="AJ168" s="67" t="n">
        <f aca="false">-MIN(AJ167/MAX(1,Inputs!$C$69*12),AI170+AJ166)</f>
        <v>-1376.98412698413</v>
      </c>
      <c r="AK168" s="67" t="n">
        <f aca="false">-MIN(AK167/MAX(1,Inputs!$C$69*12),AJ170+AK166)</f>
        <v>-1390.87301587302</v>
      </c>
      <c r="AL168" s="67" t="n">
        <f aca="false">-MIN(AL167/MAX(1,Inputs!$C$69*12),AK170+AL166)</f>
        <v>-1404.76190476191</v>
      </c>
      <c r="AM168" s="67" t="n">
        <f aca="false">-MIN(AM167/MAX(1,Inputs!$C$69*12),AL170+AM166)</f>
        <v>-1418.6507936508</v>
      </c>
      <c r="AN168" s="67" t="n">
        <f aca="false">-MIN(AN167/MAX(1,Inputs!$C$69*12),AM170+AN166)</f>
        <v>-1432.53968253968</v>
      </c>
      <c r="AO168" s="67" t="n">
        <f aca="false">-MIN(AO167/MAX(1,Inputs!$C$69*12),AN170+AO166)</f>
        <v>-1446.42857142857</v>
      </c>
      <c r="AP168" s="67" t="n">
        <f aca="false">-MIN(AP167/MAX(1,Inputs!$C$69*12),AO170+AP166)</f>
        <v>-1460.31746031746</v>
      </c>
      <c r="AQ168" s="67" t="n">
        <f aca="false">-MIN(AQ167/MAX(1,Inputs!$C$69*12),AP170+AQ166)</f>
        <v>-1474.20634920635</v>
      </c>
      <c r="AR168" s="67" t="n">
        <f aca="false">-MIN(AR167/MAX(1,Inputs!$C$69*12),AQ170+AR166)</f>
        <v>-1488.09523809524</v>
      </c>
      <c r="AS168" s="67" t="n">
        <f aca="false">-MIN(AS167/MAX(1,Inputs!$C$69*12),AR170+AS166)</f>
        <v>-1501.98412698413</v>
      </c>
      <c r="AT168" s="67" t="n">
        <f aca="false">-MIN(AT167/MAX(1,Inputs!$C$69*12),AS170+AT166)</f>
        <v>-1515.87301587302</v>
      </c>
      <c r="AU168" s="67" t="n">
        <f aca="false">-MIN(AU167/MAX(1,Inputs!$C$69*12),AT170+AU166)</f>
        <v>-1529.76190476191</v>
      </c>
      <c r="AV168" s="67" t="n">
        <f aca="false">-MIN(AV167/MAX(1,Inputs!$C$69*12),AU170+AV166)</f>
        <v>-1543.6507936508</v>
      </c>
      <c r="AW168" s="67" t="n">
        <f aca="false">-MIN(AW167/MAX(1,Inputs!$C$69*12),AV170+AW166)</f>
        <v>-1557.53968253968</v>
      </c>
      <c r="AX168" s="67" t="n">
        <f aca="false">-MIN(AX167/MAX(1,Inputs!$C$69*12),AW170+AX166)</f>
        <v>-1571.42857142857</v>
      </c>
      <c r="AY168" s="67" t="n">
        <f aca="false">-MIN(AY167/MAX(1,Inputs!$C$69*12),AX170+AY166)</f>
        <v>-1585.31746031746</v>
      </c>
      <c r="AZ168" s="67" t="n">
        <f aca="false">-MIN(AZ167/MAX(1,Inputs!$C$69*12),AY170+AZ166)</f>
        <v>-1599.20634920635</v>
      </c>
      <c r="BA168" s="67" t="n">
        <f aca="false">-MIN(BA167/MAX(1,Inputs!$C$69*12),AZ170+BA166)</f>
        <v>-1613.09523809524</v>
      </c>
      <c r="BB168" s="67" t="n">
        <f aca="false">-MIN(BB167/MAX(1,Inputs!$C$69*12),BA170+BB166)</f>
        <v>-1626.98412698413</v>
      </c>
      <c r="BC168" s="67" t="n">
        <f aca="false">-MIN(BC167/MAX(1,Inputs!$C$69*12),BB170+BC166)</f>
        <v>-1640.87301587302</v>
      </c>
      <c r="BD168" s="67" t="n">
        <f aca="false">-MIN(BD167/MAX(1,Inputs!$C$69*12),BC170+BD166)</f>
        <v>-1654.76190476191</v>
      </c>
      <c r="BE168" s="67" t="n">
        <f aca="false">-MIN(BE167/MAX(1,Inputs!$C$69*12),BD170+BE166)</f>
        <v>-1668.65079365079</v>
      </c>
      <c r="BF168" s="67" t="n">
        <f aca="false">-MIN(BF167/MAX(1,Inputs!$C$69*12),BE170+BF166)</f>
        <v>-1682.53968253968</v>
      </c>
      <c r="BG168" s="67" t="n">
        <f aca="false">-MIN(BG167/MAX(1,Inputs!$C$69*12),BF170+BG166)</f>
        <v>-1696.42857142857</v>
      </c>
      <c r="BH168" s="67" t="n">
        <f aca="false">-MIN(BH167/MAX(1,Inputs!$C$69*12),BG170+BH166)</f>
        <v>-1710.31746031746</v>
      </c>
      <c r="BI168" s="67" t="n">
        <f aca="false">-MIN(BI167/MAX(1,Inputs!$C$69*12),BH170+BI166)</f>
        <v>-1724.20634920635</v>
      </c>
      <c r="BJ168" s="67" t="n">
        <f aca="false">-MIN(BJ167/MAX(1,Inputs!$C$69*12),BI170+BJ166)</f>
        <v>-1738.09523809524</v>
      </c>
    </row>
    <row r="169" customFormat="false" ht="15" hidden="false" customHeight="false" outlineLevel="0" collapsed="false">
      <c r="A169" s="6" t="s">
        <v>418</v>
      </c>
      <c r="C169" s="67" t="n">
        <f aca="false">C168</f>
        <v>-1071.42857142857</v>
      </c>
      <c r="D169" s="67" t="n">
        <f aca="false">C169+D168</f>
        <v>-2142.85714285714</v>
      </c>
      <c r="E169" s="67" t="n">
        <f aca="false">D169+E168</f>
        <v>-3214.28571428571</v>
      </c>
      <c r="F169" s="67" t="n">
        <f aca="false">E169+F168</f>
        <v>-4285.71428571429</v>
      </c>
      <c r="G169" s="67" t="n">
        <f aca="false">F169+G168</f>
        <v>-5357.14285714286</v>
      </c>
      <c r="H169" s="67" t="n">
        <f aca="false">G169+H168</f>
        <v>-6428.57142857143</v>
      </c>
      <c r="I169" s="67" t="n">
        <f aca="false">H169+I168</f>
        <v>-7500</v>
      </c>
      <c r="J169" s="67" t="n">
        <f aca="false">I169+J168</f>
        <v>-8571.42857142857</v>
      </c>
      <c r="K169" s="67" t="n">
        <f aca="false">J169+K168</f>
        <v>-9642.85714285714</v>
      </c>
      <c r="L169" s="67" t="n">
        <f aca="false">K169+L168</f>
        <v>-10714.2857142857</v>
      </c>
      <c r="M169" s="67" t="n">
        <f aca="false">L169+M168</f>
        <v>-11785.7142857143</v>
      </c>
      <c r="N169" s="67" t="n">
        <f aca="false">M169+N168</f>
        <v>-12857.1428571429</v>
      </c>
      <c r="O169" s="67" t="n">
        <f aca="false">N169+O168</f>
        <v>-13942.4603174603</v>
      </c>
      <c r="P169" s="67" t="n">
        <f aca="false">O169+P168</f>
        <v>-15041.6666666667</v>
      </c>
      <c r="Q169" s="67" t="n">
        <f aca="false">P169+Q168</f>
        <v>-16154.7619047619</v>
      </c>
      <c r="R169" s="67" t="n">
        <f aca="false">Q169+R168</f>
        <v>-17281.746031746</v>
      </c>
      <c r="S169" s="67" t="n">
        <f aca="false">R169+S168</f>
        <v>-18422.619047619</v>
      </c>
      <c r="T169" s="67" t="n">
        <f aca="false">S169+T168</f>
        <v>-19577.380952381</v>
      </c>
      <c r="U169" s="67" t="n">
        <f aca="false">T169+U168</f>
        <v>-20746.0317460317</v>
      </c>
      <c r="V169" s="67" t="n">
        <f aca="false">U169+V168</f>
        <v>-21928.5714285714</v>
      </c>
      <c r="W169" s="67" t="n">
        <f aca="false">V169+W168</f>
        <v>-23125</v>
      </c>
      <c r="X169" s="67" t="n">
        <f aca="false">W169+X168</f>
        <v>-24335.3174603175</v>
      </c>
      <c r="Y169" s="67" t="n">
        <f aca="false">X169+Y168</f>
        <v>-25559.5238095238</v>
      </c>
      <c r="Z169" s="67" t="n">
        <f aca="false">Y169+Z168</f>
        <v>-26797.6190476191</v>
      </c>
      <c r="AA169" s="67" t="n">
        <f aca="false">Z169+AA168</f>
        <v>-28049.6031746032</v>
      </c>
      <c r="AB169" s="67" t="n">
        <f aca="false">AA169+AB168</f>
        <v>-29315.4761904762</v>
      </c>
      <c r="AC169" s="67" t="n">
        <f aca="false">AB169+AC168</f>
        <v>-30595.2380952381</v>
      </c>
      <c r="AD169" s="67" t="n">
        <f aca="false">AC169+AD168</f>
        <v>-31888.8888888889</v>
      </c>
      <c r="AE169" s="67" t="n">
        <f aca="false">AD169+AE168</f>
        <v>-33196.4285714286</v>
      </c>
      <c r="AF169" s="67" t="n">
        <f aca="false">AE169+AF168</f>
        <v>-34517.8571428572</v>
      </c>
      <c r="AG169" s="67" t="n">
        <f aca="false">AF169+AG168</f>
        <v>-35853.1746031746</v>
      </c>
      <c r="AH169" s="67" t="n">
        <f aca="false">AG169+AH168</f>
        <v>-37202.380952381</v>
      </c>
      <c r="AI169" s="67" t="n">
        <f aca="false">AH169+AI168</f>
        <v>-38565.4761904762</v>
      </c>
      <c r="AJ169" s="67" t="n">
        <f aca="false">AI169+AJ168</f>
        <v>-39942.4603174603</v>
      </c>
      <c r="AK169" s="67" t="n">
        <f aca="false">AJ169+AK168</f>
        <v>-41333.3333333334</v>
      </c>
      <c r="AL169" s="67" t="n">
        <f aca="false">AK169+AL168</f>
        <v>-42738.0952380953</v>
      </c>
      <c r="AM169" s="67" t="n">
        <f aca="false">AL169+AM168</f>
        <v>-44156.7460317461</v>
      </c>
      <c r="AN169" s="67" t="n">
        <f aca="false">AM169+AN168</f>
        <v>-45589.2857142857</v>
      </c>
      <c r="AO169" s="67" t="n">
        <f aca="false">AN169+AO168</f>
        <v>-47035.7142857143</v>
      </c>
      <c r="AP169" s="67" t="n">
        <f aca="false">AO169+AP168</f>
        <v>-48496.0317460318</v>
      </c>
      <c r="AQ169" s="67" t="n">
        <f aca="false">AP169+AQ168</f>
        <v>-49970.2380952381</v>
      </c>
      <c r="AR169" s="67" t="n">
        <f aca="false">AQ169+AR168</f>
        <v>-51458.3333333334</v>
      </c>
      <c r="AS169" s="67" t="n">
        <f aca="false">AR169+AS168</f>
        <v>-52960.3174603175</v>
      </c>
      <c r="AT169" s="67" t="n">
        <f aca="false">AS169+AT168</f>
        <v>-54476.1904761905</v>
      </c>
      <c r="AU169" s="67" t="n">
        <f aca="false">AT169+AU168</f>
        <v>-56005.9523809524</v>
      </c>
      <c r="AV169" s="67" t="n">
        <f aca="false">AU169+AV168</f>
        <v>-57549.6031746032</v>
      </c>
      <c r="AW169" s="67" t="n">
        <f aca="false">AV169+AW168</f>
        <v>-59107.1428571429</v>
      </c>
      <c r="AX169" s="67" t="n">
        <f aca="false">AW169+AX168</f>
        <v>-60678.5714285715</v>
      </c>
      <c r="AY169" s="67" t="n">
        <f aca="false">AX169+AY168</f>
        <v>-62263.8888888889</v>
      </c>
      <c r="AZ169" s="67" t="n">
        <f aca="false">AY169+AZ168</f>
        <v>-63863.0952380953</v>
      </c>
      <c r="BA169" s="67" t="n">
        <f aca="false">AZ169+BA168</f>
        <v>-65476.1904761905</v>
      </c>
      <c r="BB169" s="67" t="n">
        <f aca="false">BA169+BB168</f>
        <v>-67103.1746031746</v>
      </c>
      <c r="BC169" s="67" t="n">
        <f aca="false">BB169+BC168</f>
        <v>-68744.0476190477</v>
      </c>
      <c r="BD169" s="67" t="n">
        <f aca="false">BC169+BD168</f>
        <v>-70398.8095238096</v>
      </c>
      <c r="BE169" s="67" t="n">
        <f aca="false">BD169+BE168</f>
        <v>-72067.4603174604</v>
      </c>
      <c r="BF169" s="67" t="n">
        <f aca="false">BE169+BF168</f>
        <v>-73750.0000000001</v>
      </c>
      <c r="BG169" s="67" t="n">
        <f aca="false">BF169+BG168</f>
        <v>-75446.4285714286</v>
      </c>
      <c r="BH169" s="67" t="n">
        <f aca="false">BG169+BH168</f>
        <v>-77156.7460317461</v>
      </c>
      <c r="BI169" s="67" t="n">
        <f aca="false">BH169+BI168</f>
        <v>-78880.9523809524</v>
      </c>
      <c r="BJ169" s="67" t="n">
        <f aca="false">BI169+BJ168</f>
        <v>-80619.0476190477</v>
      </c>
    </row>
    <row r="170" customFormat="false" ht="15" hidden="false" customHeight="false" outlineLevel="0" collapsed="false">
      <c r="A170" s="4" t="s">
        <v>92</v>
      </c>
      <c r="C170" s="73" t="n">
        <f aca="false">C167+C169</f>
        <v>88928.5714285714</v>
      </c>
      <c r="D170" s="73" t="n">
        <f aca="false">D167+D169</f>
        <v>87857.1428571429</v>
      </c>
      <c r="E170" s="73" t="n">
        <f aca="false">E167+E169</f>
        <v>86785.7142857143</v>
      </c>
      <c r="F170" s="73" t="n">
        <f aca="false">F167+F169</f>
        <v>85714.2857142857</v>
      </c>
      <c r="G170" s="73" t="n">
        <f aca="false">G167+G169</f>
        <v>84642.8571428571</v>
      </c>
      <c r="H170" s="73" t="n">
        <f aca="false">H167+H169</f>
        <v>83571.4285714286</v>
      </c>
      <c r="I170" s="73" t="n">
        <f aca="false">I167+I169</f>
        <v>82500</v>
      </c>
      <c r="J170" s="73" t="n">
        <f aca="false">J167+J169</f>
        <v>81428.5714285714</v>
      </c>
      <c r="K170" s="73" t="n">
        <f aca="false">K167+K169</f>
        <v>80357.1428571429</v>
      </c>
      <c r="L170" s="73" t="n">
        <f aca="false">L167+L169</f>
        <v>79285.7142857143</v>
      </c>
      <c r="M170" s="73" t="n">
        <f aca="false">M167+M169</f>
        <v>78214.2857142857</v>
      </c>
      <c r="N170" s="73" t="n">
        <f aca="false">N167+N169</f>
        <v>77142.8571428571</v>
      </c>
      <c r="O170" s="73" t="n">
        <f aca="false">O167+O169</f>
        <v>77224.2063492064</v>
      </c>
      <c r="P170" s="73" t="n">
        <f aca="false">P167+P169</f>
        <v>77291.6666666667</v>
      </c>
      <c r="Q170" s="73" t="n">
        <f aca="false">Q167+Q169</f>
        <v>77345.2380952381</v>
      </c>
      <c r="R170" s="73" t="n">
        <f aca="false">R167+R169</f>
        <v>77384.9206349207</v>
      </c>
      <c r="S170" s="73" t="n">
        <f aca="false">S167+S169</f>
        <v>77410.7142857143</v>
      </c>
      <c r="T170" s="73" t="n">
        <f aca="false">T167+T169</f>
        <v>77422.6190476191</v>
      </c>
      <c r="U170" s="73" t="n">
        <f aca="false">U167+U169</f>
        <v>77420.634920635</v>
      </c>
      <c r="V170" s="73" t="n">
        <f aca="false">V167+V169</f>
        <v>77404.761904762</v>
      </c>
      <c r="W170" s="73" t="n">
        <f aca="false">W167+W169</f>
        <v>77375</v>
      </c>
      <c r="X170" s="73" t="n">
        <f aca="false">X167+X169</f>
        <v>77331.3492063493</v>
      </c>
      <c r="Y170" s="73" t="n">
        <f aca="false">Y167+Y169</f>
        <v>77273.8095238096</v>
      </c>
      <c r="Z170" s="73" t="n">
        <f aca="false">Z167+Z169</f>
        <v>77202.380952381</v>
      </c>
      <c r="AA170" s="73" t="n">
        <f aca="false">AA167+AA169</f>
        <v>77117.0634920636</v>
      </c>
      <c r="AB170" s="73" t="n">
        <f aca="false">AB167+AB169</f>
        <v>77017.8571428572</v>
      </c>
      <c r="AC170" s="73" t="n">
        <f aca="false">AC167+AC169</f>
        <v>76904.761904762</v>
      </c>
      <c r="AD170" s="73" t="n">
        <f aca="false">AD167+AD169</f>
        <v>76777.7777777779</v>
      </c>
      <c r="AE170" s="73" t="n">
        <f aca="false">AE167+AE169</f>
        <v>76636.9047619048</v>
      </c>
      <c r="AF170" s="73" t="n">
        <f aca="false">AF167+AF169</f>
        <v>76482.1428571429</v>
      </c>
      <c r="AG170" s="73" t="n">
        <f aca="false">AG167+AG169</f>
        <v>76313.4920634921</v>
      </c>
      <c r="AH170" s="73" t="n">
        <f aca="false">AH167+AH169</f>
        <v>76130.9523809525</v>
      </c>
      <c r="AI170" s="73" t="n">
        <f aca="false">AI167+AI169</f>
        <v>75934.5238095239</v>
      </c>
      <c r="AJ170" s="73" t="n">
        <f aca="false">AJ167+AJ169</f>
        <v>75724.2063492065</v>
      </c>
      <c r="AK170" s="73" t="n">
        <f aca="false">AK167+AK169</f>
        <v>75500.0000000001</v>
      </c>
      <c r="AL170" s="73" t="n">
        <f aca="false">AL167+AL169</f>
        <v>75261.9047619049</v>
      </c>
      <c r="AM170" s="73" t="n">
        <f aca="false">AM167+AM169</f>
        <v>75009.9206349207</v>
      </c>
      <c r="AN170" s="73" t="n">
        <f aca="false">AN167+AN169</f>
        <v>74744.0476190477</v>
      </c>
      <c r="AO170" s="73" t="n">
        <f aca="false">AO167+AO169</f>
        <v>74464.2857142858</v>
      </c>
      <c r="AP170" s="73" t="n">
        <f aca="false">AP167+AP169</f>
        <v>74170.634920635</v>
      </c>
      <c r="AQ170" s="73" t="n">
        <f aca="false">AQ167+AQ169</f>
        <v>73863.0952380954</v>
      </c>
      <c r="AR170" s="73" t="n">
        <f aca="false">AR167+AR169</f>
        <v>73541.6666666668</v>
      </c>
      <c r="AS170" s="73" t="n">
        <f aca="false">AS167+AS169</f>
        <v>73206.3492063493</v>
      </c>
      <c r="AT170" s="73" t="n">
        <f aca="false">AT167+AT169</f>
        <v>72857.142857143</v>
      </c>
      <c r="AU170" s="73" t="n">
        <f aca="false">AU167+AU169</f>
        <v>72494.0476190478</v>
      </c>
      <c r="AV170" s="73" t="n">
        <f aca="false">AV167+AV169</f>
        <v>72117.0634920636</v>
      </c>
      <c r="AW170" s="73" t="n">
        <f aca="false">AW167+AW169</f>
        <v>71726.1904761906</v>
      </c>
      <c r="AX170" s="73" t="n">
        <f aca="false">AX167+AX169</f>
        <v>71321.4285714287</v>
      </c>
      <c r="AY170" s="73" t="n">
        <f aca="false">AY167+AY169</f>
        <v>70902.7777777779</v>
      </c>
      <c r="AZ170" s="73" t="n">
        <f aca="false">AZ167+AZ169</f>
        <v>70470.2380952382</v>
      </c>
      <c r="BA170" s="73" t="n">
        <f aca="false">BA167+BA169</f>
        <v>70023.8095238096</v>
      </c>
      <c r="BB170" s="73" t="n">
        <f aca="false">BB167+BB169</f>
        <v>69563.4920634922</v>
      </c>
      <c r="BC170" s="73" t="n">
        <f aca="false">BC167+BC169</f>
        <v>69089.2857142858</v>
      </c>
      <c r="BD170" s="73" t="n">
        <f aca="false">BD167+BD169</f>
        <v>68601.1904761906</v>
      </c>
      <c r="BE170" s="73" t="n">
        <f aca="false">BE167+BE169</f>
        <v>68099.2063492064</v>
      </c>
      <c r="BF170" s="73" t="n">
        <f aca="false">BF167+BF169</f>
        <v>67583.3333333334</v>
      </c>
      <c r="BG170" s="73" t="n">
        <f aca="false">BG167+BG169</f>
        <v>67053.5714285715</v>
      </c>
      <c r="BH170" s="73" t="n">
        <f aca="false">BH167+BH169</f>
        <v>66509.9206349207</v>
      </c>
      <c r="BI170" s="73" t="n">
        <f aca="false">BI167+BI169</f>
        <v>65952.380952381</v>
      </c>
      <c r="BJ170" s="73" t="n">
        <f aca="false">BJ167+BJ169</f>
        <v>65380.9523809524</v>
      </c>
    </row>
    <row r="172" customFormat="false" ht="15.75" hidden="false" customHeight="true" outlineLevel="0" collapsed="false">
      <c r="A172" s="7" t="s">
        <v>419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customFormat="false" ht="15" hidden="false" customHeight="false" outlineLevel="0" collapsed="false">
      <c r="A173" s="6" t="s">
        <v>420</v>
      </c>
      <c r="C173" s="67" t="n">
        <f aca="false">0</f>
        <v>0</v>
      </c>
      <c r="D173" s="67" t="n">
        <f aca="false">C176</f>
        <v>80000</v>
      </c>
      <c r="E173" s="67" t="n">
        <f aca="false">D176</f>
        <v>78666.6666666667</v>
      </c>
      <c r="F173" s="67" t="n">
        <f aca="false">E176</f>
        <v>77333.3333333333</v>
      </c>
      <c r="G173" s="67" t="n">
        <f aca="false">F176</f>
        <v>76000</v>
      </c>
      <c r="H173" s="67" t="n">
        <f aca="false">G176</f>
        <v>74666.6666666667</v>
      </c>
      <c r="I173" s="67" t="n">
        <f aca="false">H176</f>
        <v>73333.3333333334</v>
      </c>
      <c r="J173" s="67" t="n">
        <f aca="false">I176</f>
        <v>72000</v>
      </c>
      <c r="K173" s="67" t="n">
        <f aca="false">J176</f>
        <v>70666.6666666667</v>
      </c>
      <c r="L173" s="67" t="n">
        <f aca="false">K176</f>
        <v>69333.3333333334</v>
      </c>
      <c r="M173" s="67" t="n">
        <f aca="false">L176</f>
        <v>68000</v>
      </c>
      <c r="N173" s="67" t="n">
        <f aca="false">M176</f>
        <v>66666.6666666667</v>
      </c>
      <c r="O173" s="67" t="n">
        <f aca="false">N176</f>
        <v>65333.3333333334</v>
      </c>
      <c r="P173" s="67" t="n">
        <f aca="false">O176</f>
        <v>64000</v>
      </c>
      <c r="Q173" s="67" t="n">
        <f aca="false">P176</f>
        <v>62666.6666666667</v>
      </c>
      <c r="R173" s="67" t="n">
        <f aca="false">Q176</f>
        <v>61333.3333333334</v>
      </c>
      <c r="S173" s="67" t="n">
        <f aca="false">R176</f>
        <v>60000</v>
      </c>
      <c r="T173" s="67" t="n">
        <f aca="false">S176</f>
        <v>58666.6666666667</v>
      </c>
      <c r="U173" s="67" t="n">
        <f aca="false">T176</f>
        <v>57333.3333333334</v>
      </c>
      <c r="V173" s="67" t="n">
        <f aca="false">U176</f>
        <v>56000</v>
      </c>
      <c r="W173" s="67" t="n">
        <f aca="false">V176</f>
        <v>54666.6666666667</v>
      </c>
      <c r="X173" s="67" t="n">
        <f aca="false">W176</f>
        <v>53333.3333333334</v>
      </c>
      <c r="Y173" s="67" t="n">
        <f aca="false">X176</f>
        <v>52000</v>
      </c>
      <c r="Z173" s="67" t="n">
        <f aca="false">Y176</f>
        <v>50666.6666666667</v>
      </c>
      <c r="AA173" s="67" t="n">
        <f aca="false">Z176</f>
        <v>49333.3333333334</v>
      </c>
      <c r="AB173" s="67" t="n">
        <f aca="false">AA176</f>
        <v>48000</v>
      </c>
      <c r="AC173" s="67" t="n">
        <f aca="false">AB176</f>
        <v>46666.6666666667</v>
      </c>
      <c r="AD173" s="67" t="n">
        <f aca="false">AC176</f>
        <v>45333.3333333333</v>
      </c>
      <c r="AE173" s="67" t="n">
        <f aca="false">AD176</f>
        <v>44000</v>
      </c>
      <c r="AF173" s="67" t="n">
        <f aca="false">AE176</f>
        <v>42666.6666666667</v>
      </c>
      <c r="AG173" s="67" t="n">
        <f aca="false">AF176</f>
        <v>41333.3333333333</v>
      </c>
      <c r="AH173" s="67" t="n">
        <f aca="false">AG176</f>
        <v>40000</v>
      </c>
      <c r="AI173" s="67" t="n">
        <f aca="false">AH176</f>
        <v>38666.6666666667</v>
      </c>
      <c r="AJ173" s="67" t="n">
        <f aca="false">AI176</f>
        <v>37333.3333333333</v>
      </c>
      <c r="AK173" s="67" t="n">
        <f aca="false">AJ176</f>
        <v>36000</v>
      </c>
      <c r="AL173" s="67" t="n">
        <f aca="false">AK176</f>
        <v>34666.6666666667</v>
      </c>
      <c r="AM173" s="67" t="n">
        <f aca="false">AL176</f>
        <v>33333.3333333333</v>
      </c>
      <c r="AN173" s="67" t="n">
        <f aca="false">AM176</f>
        <v>32000</v>
      </c>
      <c r="AO173" s="67" t="n">
        <f aca="false">AN176</f>
        <v>30666.6666666667</v>
      </c>
      <c r="AP173" s="67" t="n">
        <f aca="false">AO176</f>
        <v>29333.3333333333</v>
      </c>
      <c r="AQ173" s="67" t="n">
        <f aca="false">AP176</f>
        <v>28000</v>
      </c>
      <c r="AR173" s="67" t="n">
        <f aca="false">AQ176</f>
        <v>26666.6666666667</v>
      </c>
      <c r="AS173" s="67" t="n">
        <f aca="false">AR176</f>
        <v>25333.3333333333</v>
      </c>
      <c r="AT173" s="67" t="n">
        <f aca="false">AS176</f>
        <v>24000</v>
      </c>
      <c r="AU173" s="67" t="n">
        <f aca="false">AT176</f>
        <v>22666.6666666667</v>
      </c>
      <c r="AV173" s="67" t="n">
        <f aca="false">AU176</f>
        <v>21333.3333333333</v>
      </c>
      <c r="AW173" s="67" t="n">
        <f aca="false">AV176</f>
        <v>20000</v>
      </c>
      <c r="AX173" s="67" t="n">
        <f aca="false">AW176</f>
        <v>18666.6666666667</v>
      </c>
      <c r="AY173" s="67" t="n">
        <f aca="false">AX176</f>
        <v>17333.3333333333</v>
      </c>
      <c r="AZ173" s="67" t="n">
        <f aca="false">AY176</f>
        <v>16000</v>
      </c>
      <c r="BA173" s="67" t="n">
        <f aca="false">AZ176</f>
        <v>14666.6666666667</v>
      </c>
      <c r="BB173" s="67" t="n">
        <f aca="false">BA176</f>
        <v>13333.3333333333</v>
      </c>
      <c r="BC173" s="67" t="n">
        <f aca="false">BB176</f>
        <v>12000</v>
      </c>
      <c r="BD173" s="67" t="n">
        <f aca="false">BC176</f>
        <v>10666.6666666667</v>
      </c>
      <c r="BE173" s="67" t="n">
        <f aca="false">BD176</f>
        <v>9333.33333333333</v>
      </c>
      <c r="BF173" s="67" t="n">
        <f aca="false">BE176</f>
        <v>8000</v>
      </c>
      <c r="BG173" s="67" t="n">
        <f aca="false">BF176</f>
        <v>6666.66666666667</v>
      </c>
      <c r="BH173" s="67" t="n">
        <f aca="false">BG176</f>
        <v>5333.33333333333</v>
      </c>
      <c r="BI173" s="67" t="n">
        <f aca="false">BH176</f>
        <v>4000</v>
      </c>
      <c r="BJ173" s="67" t="n">
        <f aca="false">BI176</f>
        <v>2666.66666666667</v>
      </c>
    </row>
    <row r="174" customFormat="false" ht="15" hidden="false" customHeight="false" outlineLevel="0" collapsed="false">
      <c r="A174" s="6" t="s">
        <v>85</v>
      </c>
      <c r="C174" s="67" t="n">
        <f aca="false">IF(C$117=1,Inputs!$C$59,0)</f>
        <v>80000</v>
      </c>
      <c r="D174" s="67" t="n">
        <f aca="false">IF(D$117=1,Inputs!$C$59,0)</f>
        <v>0</v>
      </c>
      <c r="E174" s="67" t="n">
        <f aca="false">IF(E$117=1,Inputs!$C$59,0)</f>
        <v>0</v>
      </c>
      <c r="F174" s="67" t="n">
        <f aca="false">IF(F$117=1,Inputs!$C$59,0)</f>
        <v>0</v>
      </c>
      <c r="G174" s="67" t="n">
        <f aca="false">IF(G$117=1,Inputs!$C$59,0)</f>
        <v>0</v>
      </c>
      <c r="H174" s="67" t="n">
        <f aca="false">IF(H$117=1,Inputs!$C$59,0)</f>
        <v>0</v>
      </c>
      <c r="I174" s="67" t="n">
        <f aca="false">IF(I$117=1,Inputs!$C$59,0)</f>
        <v>0</v>
      </c>
      <c r="J174" s="67" t="n">
        <f aca="false">IF(J$117=1,Inputs!$C$59,0)</f>
        <v>0</v>
      </c>
      <c r="K174" s="67" t="n">
        <f aca="false">IF(K$117=1,Inputs!$C$59,0)</f>
        <v>0</v>
      </c>
      <c r="L174" s="67" t="n">
        <f aca="false">IF(L$117=1,Inputs!$C$59,0)</f>
        <v>0</v>
      </c>
      <c r="M174" s="67" t="n">
        <f aca="false">IF(M$117=1,Inputs!$C$59,0)</f>
        <v>0</v>
      </c>
      <c r="N174" s="67" t="n">
        <f aca="false">IF(N$117=1,Inputs!$C$59,0)</f>
        <v>0</v>
      </c>
      <c r="O174" s="67" t="n">
        <f aca="false">IF(O$117=1,Inputs!$C$59,0)</f>
        <v>0</v>
      </c>
      <c r="P174" s="67" t="n">
        <f aca="false">IF(P$117=1,Inputs!$C$59,0)</f>
        <v>0</v>
      </c>
      <c r="Q174" s="67" t="n">
        <f aca="false">IF(Q$117=1,Inputs!$C$59,0)</f>
        <v>0</v>
      </c>
      <c r="R174" s="67" t="n">
        <f aca="false">IF(R$117=1,Inputs!$C$59,0)</f>
        <v>0</v>
      </c>
      <c r="S174" s="67" t="n">
        <f aca="false">IF(S$117=1,Inputs!$C$59,0)</f>
        <v>0</v>
      </c>
      <c r="T174" s="67" t="n">
        <f aca="false">IF(T$117=1,Inputs!$C$59,0)</f>
        <v>0</v>
      </c>
      <c r="U174" s="67" t="n">
        <f aca="false">IF(U$117=1,Inputs!$C$59,0)</f>
        <v>0</v>
      </c>
      <c r="V174" s="67" t="n">
        <f aca="false">IF(V$117=1,Inputs!$C$59,0)</f>
        <v>0</v>
      </c>
      <c r="W174" s="67" t="n">
        <f aca="false">IF(W$117=1,Inputs!$C$59,0)</f>
        <v>0</v>
      </c>
      <c r="X174" s="67" t="n">
        <f aca="false">IF(X$117=1,Inputs!$C$59,0)</f>
        <v>0</v>
      </c>
      <c r="Y174" s="67" t="n">
        <f aca="false">IF(Y$117=1,Inputs!$C$59,0)</f>
        <v>0</v>
      </c>
      <c r="Z174" s="67" t="n">
        <f aca="false">IF(Z$117=1,Inputs!$C$59,0)</f>
        <v>0</v>
      </c>
      <c r="AA174" s="67" t="n">
        <f aca="false">IF(AA$117=1,Inputs!$C$59,0)</f>
        <v>0</v>
      </c>
      <c r="AB174" s="67" t="n">
        <f aca="false">IF(AB$117=1,Inputs!$C$59,0)</f>
        <v>0</v>
      </c>
      <c r="AC174" s="67" t="n">
        <f aca="false">IF(AC$117=1,Inputs!$C$59,0)</f>
        <v>0</v>
      </c>
      <c r="AD174" s="67" t="n">
        <f aca="false">IF(AD$117=1,Inputs!$C$59,0)</f>
        <v>0</v>
      </c>
      <c r="AE174" s="67" t="n">
        <f aca="false">IF(AE$117=1,Inputs!$C$59,0)</f>
        <v>0</v>
      </c>
      <c r="AF174" s="67" t="n">
        <f aca="false">IF(AF$117=1,Inputs!$C$59,0)</f>
        <v>0</v>
      </c>
      <c r="AG174" s="67" t="n">
        <f aca="false">IF(AG$117=1,Inputs!$C$59,0)</f>
        <v>0</v>
      </c>
      <c r="AH174" s="67" t="n">
        <f aca="false">IF(AH$117=1,Inputs!$C$59,0)</f>
        <v>0</v>
      </c>
      <c r="AI174" s="67" t="n">
        <f aca="false">IF(AI$117=1,Inputs!$C$59,0)</f>
        <v>0</v>
      </c>
      <c r="AJ174" s="67" t="n">
        <f aca="false">IF(AJ$117=1,Inputs!$C$59,0)</f>
        <v>0</v>
      </c>
      <c r="AK174" s="67" t="n">
        <f aca="false">IF(AK$117=1,Inputs!$C$59,0)</f>
        <v>0</v>
      </c>
      <c r="AL174" s="67" t="n">
        <f aca="false">IF(AL$117=1,Inputs!$C$59,0)</f>
        <v>0</v>
      </c>
      <c r="AM174" s="67" t="n">
        <f aca="false">IF(AM$117=1,Inputs!$C$59,0)</f>
        <v>0</v>
      </c>
      <c r="AN174" s="67" t="n">
        <f aca="false">IF(AN$117=1,Inputs!$C$59,0)</f>
        <v>0</v>
      </c>
      <c r="AO174" s="67" t="n">
        <f aca="false">IF(AO$117=1,Inputs!$C$59,0)</f>
        <v>0</v>
      </c>
      <c r="AP174" s="67" t="n">
        <f aca="false">IF(AP$117=1,Inputs!$C$59,0)</f>
        <v>0</v>
      </c>
      <c r="AQ174" s="67" t="n">
        <f aca="false">IF(AQ$117=1,Inputs!$C$59,0)</f>
        <v>0</v>
      </c>
      <c r="AR174" s="67" t="n">
        <f aca="false">IF(AR$117=1,Inputs!$C$59,0)</f>
        <v>0</v>
      </c>
      <c r="AS174" s="67" t="n">
        <f aca="false">IF(AS$117=1,Inputs!$C$59,0)</f>
        <v>0</v>
      </c>
      <c r="AT174" s="67" t="n">
        <f aca="false">IF(AT$117=1,Inputs!$C$59,0)</f>
        <v>0</v>
      </c>
      <c r="AU174" s="67" t="n">
        <f aca="false">IF(AU$117=1,Inputs!$C$59,0)</f>
        <v>0</v>
      </c>
      <c r="AV174" s="67" t="n">
        <f aca="false">IF(AV$117=1,Inputs!$C$59,0)</f>
        <v>0</v>
      </c>
      <c r="AW174" s="67" t="n">
        <f aca="false">IF(AW$117=1,Inputs!$C$59,0)</f>
        <v>0</v>
      </c>
      <c r="AX174" s="67" t="n">
        <f aca="false">IF(AX$117=1,Inputs!$C$59,0)</f>
        <v>0</v>
      </c>
      <c r="AY174" s="67" t="n">
        <f aca="false">IF(AY$117=1,Inputs!$C$59,0)</f>
        <v>0</v>
      </c>
      <c r="AZ174" s="67" t="n">
        <f aca="false">IF(AZ$117=1,Inputs!$C$59,0)</f>
        <v>0</v>
      </c>
      <c r="BA174" s="67" t="n">
        <f aca="false">IF(BA$117=1,Inputs!$C$59,0)</f>
        <v>0</v>
      </c>
      <c r="BB174" s="67" t="n">
        <f aca="false">IF(BB$117=1,Inputs!$C$59,0)</f>
        <v>0</v>
      </c>
      <c r="BC174" s="67" t="n">
        <f aca="false">IF(BC$117=1,Inputs!$C$59,0)</f>
        <v>0</v>
      </c>
      <c r="BD174" s="67" t="n">
        <f aca="false">IF(BD$117=1,Inputs!$C$59,0)</f>
        <v>0</v>
      </c>
      <c r="BE174" s="67" t="n">
        <f aca="false">IF(BE$117=1,Inputs!$C$59,0)</f>
        <v>0</v>
      </c>
      <c r="BF174" s="67" t="n">
        <f aca="false">IF(BF$117=1,Inputs!$C$59,0)</f>
        <v>0</v>
      </c>
      <c r="BG174" s="67" t="n">
        <f aca="false">IF(BG$117=1,Inputs!$C$59,0)</f>
        <v>0</v>
      </c>
      <c r="BH174" s="67" t="n">
        <f aca="false">IF(BH$117=1,Inputs!$C$59,0)</f>
        <v>0</v>
      </c>
      <c r="BI174" s="67" t="n">
        <f aca="false">IF(BI$117=1,Inputs!$C$59,0)</f>
        <v>0</v>
      </c>
      <c r="BJ174" s="67" t="n">
        <f aca="false">IF(BJ$117=1,Inputs!$C$59,0)</f>
        <v>0</v>
      </c>
    </row>
    <row r="175" customFormat="false" ht="15" hidden="false" customHeight="false" outlineLevel="0" collapsed="false">
      <c r="A175" s="6" t="s">
        <v>86</v>
      </c>
      <c r="C175" s="67" t="n">
        <f aca="false">-MIN(C173,Inputs!$C$59/MAX(1,Inputs!$C$61*12))</f>
        <v>-0</v>
      </c>
      <c r="D175" s="67" t="n">
        <f aca="false">-MIN(D173,Inputs!$C$59/MAX(1,Inputs!$C$61*12))</f>
        <v>-1333.33333333333</v>
      </c>
      <c r="E175" s="67" t="n">
        <f aca="false">-MIN(E173,Inputs!$C$59/MAX(1,Inputs!$C$61*12))</f>
        <v>-1333.33333333333</v>
      </c>
      <c r="F175" s="67" t="n">
        <f aca="false">-MIN(F173,Inputs!$C$59/MAX(1,Inputs!$C$61*12))</f>
        <v>-1333.33333333333</v>
      </c>
      <c r="G175" s="67" t="n">
        <f aca="false">-MIN(G173,Inputs!$C$59/MAX(1,Inputs!$C$61*12))</f>
        <v>-1333.33333333333</v>
      </c>
      <c r="H175" s="67" t="n">
        <f aca="false">-MIN(H173,Inputs!$C$59/MAX(1,Inputs!$C$61*12))</f>
        <v>-1333.33333333333</v>
      </c>
      <c r="I175" s="67" t="n">
        <f aca="false">-MIN(I173,Inputs!$C$59/MAX(1,Inputs!$C$61*12))</f>
        <v>-1333.33333333333</v>
      </c>
      <c r="J175" s="67" t="n">
        <f aca="false">-MIN(J173,Inputs!$C$59/MAX(1,Inputs!$C$61*12))</f>
        <v>-1333.33333333333</v>
      </c>
      <c r="K175" s="67" t="n">
        <f aca="false">-MIN(K173,Inputs!$C$59/MAX(1,Inputs!$C$61*12))</f>
        <v>-1333.33333333333</v>
      </c>
      <c r="L175" s="67" t="n">
        <f aca="false">-MIN(L173,Inputs!$C$59/MAX(1,Inputs!$C$61*12))</f>
        <v>-1333.33333333333</v>
      </c>
      <c r="M175" s="67" t="n">
        <f aca="false">-MIN(M173,Inputs!$C$59/MAX(1,Inputs!$C$61*12))</f>
        <v>-1333.33333333333</v>
      </c>
      <c r="N175" s="67" t="n">
        <f aca="false">-MIN(N173,Inputs!$C$59/MAX(1,Inputs!$C$61*12))</f>
        <v>-1333.33333333333</v>
      </c>
      <c r="O175" s="67" t="n">
        <f aca="false">-MIN(O173,Inputs!$C$59/MAX(1,Inputs!$C$61*12))</f>
        <v>-1333.33333333333</v>
      </c>
      <c r="P175" s="67" t="n">
        <f aca="false">-MIN(P173,Inputs!$C$59/MAX(1,Inputs!$C$61*12))</f>
        <v>-1333.33333333333</v>
      </c>
      <c r="Q175" s="67" t="n">
        <f aca="false">-MIN(Q173,Inputs!$C$59/MAX(1,Inputs!$C$61*12))</f>
        <v>-1333.33333333333</v>
      </c>
      <c r="R175" s="67" t="n">
        <f aca="false">-MIN(R173,Inputs!$C$59/MAX(1,Inputs!$C$61*12))</f>
        <v>-1333.33333333333</v>
      </c>
      <c r="S175" s="67" t="n">
        <f aca="false">-MIN(S173,Inputs!$C$59/MAX(1,Inputs!$C$61*12))</f>
        <v>-1333.33333333333</v>
      </c>
      <c r="T175" s="67" t="n">
        <f aca="false">-MIN(T173,Inputs!$C$59/MAX(1,Inputs!$C$61*12))</f>
        <v>-1333.33333333333</v>
      </c>
      <c r="U175" s="67" t="n">
        <f aca="false">-MIN(U173,Inputs!$C$59/MAX(1,Inputs!$C$61*12))</f>
        <v>-1333.33333333333</v>
      </c>
      <c r="V175" s="67" t="n">
        <f aca="false">-MIN(V173,Inputs!$C$59/MAX(1,Inputs!$C$61*12))</f>
        <v>-1333.33333333333</v>
      </c>
      <c r="W175" s="67" t="n">
        <f aca="false">-MIN(W173,Inputs!$C$59/MAX(1,Inputs!$C$61*12))</f>
        <v>-1333.33333333333</v>
      </c>
      <c r="X175" s="67" t="n">
        <f aca="false">-MIN(X173,Inputs!$C$59/MAX(1,Inputs!$C$61*12))</f>
        <v>-1333.33333333333</v>
      </c>
      <c r="Y175" s="67" t="n">
        <f aca="false">-MIN(Y173,Inputs!$C$59/MAX(1,Inputs!$C$61*12))</f>
        <v>-1333.33333333333</v>
      </c>
      <c r="Z175" s="67" t="n">
        <f aca="false">-MIN(Z173,Inputs!$C$59/MAX(1,Inputs!$C$61*12))</f>
        <v>-1333.33333333333</v>
      </c>
      <c r="AA175" s="67" t="n">
        <f aca="false">-MIN(AA173,Inputs!$C$59/MAX(1,Inputs!$C$61*12))</f>
        <v>-1333.33333333333</v>
      </c>
      <c r="AB175" s="67" t="n">
        <f aca="false">-MIN(AB173,Inputs!$C$59/MAX(1,Inputs!$C$61*12))</f>
        <v>-1333.33333333333</v>
      </c>
      <c r="AC175" s="67" t="n">
        <f aca="false">-MIN(AC173,Inputs!$C$59/MAX(1,Inputs!$C$61*12))</f>
        <v>-1333.33333333333</v>
      </c>
      <c r="AD175" s="67" t="n">
        <f aca="false">-MIN(AD173,Inputs!$C$59/MAX(1,Inputs!$C$61*12))</f>
        <v>-1333.33333333333</v>
      </c>
      <c r="AE175" s="67" t="n">
        <f aca="false">-MIN(AE173,Inputs!$C$59/MAX(1,Inputs!$C$61*12))</f>
        <v>-1333.33333333333</v>
      </c>
      <c r="AF175" s="67" t="n">
        <f aca="false">-MIN(AF173,Inputs!$C$59/MAX(1,Inputs!$C$61*12))</f>
        <v>-1333.33333333333</v>
      </c>
      <c r="AG175" s="67" t="n">
        <f aca="false">-MIN(AG173,Inputs!$C$59/MAX(1,Inputs!$C$61*12))</f>
        <v>-1333.33333333333</v>
      </c>
      <c r="AH175" s="67" t="n">
        <f aca="false">-MIN(AH173,Inputs!$C$59/MAX(1,Inputs!$C$61*12))</f>
        <v>-1333.33333333333</v>
      </c>
      <c r="AI175" s="67" t="n">
        <f aca="false">-MIN(AI173,Inputs!$C$59/MAX(1,Inputs!$C$61*12))</f>
        <v>-1333.33333333333</v>
      </c>
      <c r="AJ175" s="67" t="n">
        <f aca="false">-MIN(AJ173,Inputs!$C$59/MAX(1,Inputs!$C$61*12))</f>
        <v>-1333.33333333333</v>
      </c>
      <c r="AK175" s="67" t="n">
        <f aca="false">-MIN(AK173,Inputs!$C$59/MAX(1,Inputs!$C$61*12))</f>
        <v>-1333.33333333333</v>
      </c>
      <c r="AL175" s="67" t="n">
        <f aca="false">-MIN(AL173,Inputs!$C$59/MAX(1,Inputs!$C$61*12))</f>
        <v>-1333.33333333333</v>
      </c>
      <c r="AM175" s="67" t="n">
        <f aca="false">-MIN(AM173,Inputs!$C$59/MAX(1,Inputs!$C$61*12))</f>
        <v>-1333.33333333333</v>
      </c>
      <c r="AN175" s="67" t="n">
        <f aca="false">-MIN(AN173,Inputs!$C$59/MAX(1,Inputs!$C$61*12))</f>
        <v>-1333.33333333333</v>
      </c>
      <c r="AO175" s="67" t="n">
        <f aca="false">-MIN(AO173,Inputs!$C$59/MAX(1,Inputs!$C$61*12))</f>
        <v>-1333.33333333333</v>
      </c>
      <c r="AP175" s="67" t="n">
        <f aca="false">-MIN(AP173,Inputs!$C$59/MAX(1,Inputs!$C$61*12))</f>
        <v>-1333.33333333333</v>
      </c>
      <c r="AQ175" s="67" t="n">
        <f aca="false">-MIN(AQ173,Inputs!$C$59/MAX(1,Inputs!$C$61*12))</f>
        <v>-1333.33333333333</v>
      </c>
      <c r="AR175" s="67" t="n">
        <f aca="false">-MIN(AR173,Inputs!$C$59/MAX(1,Inputs!$C$61*12))</f>
        <v>-1333.33333333333</v>
      </c>
      <c r="AS175" s="67" t="n">
        <f aca="false">-MIN(AS173,Inputs!$C$59/MAX(1,Inputs!$C$61*12))</f>
        <v>-1333.33333333333</v>
      </c>
      <c r="AT175" s="67" t="n">
        <f aca="false">-MIN(AT173,Inputs!$C$59/MAX(1,Inputs!$C$61*12))</f>
        <v>-1333.33333333333</v>
      </c>
      <c r="AU175" s="67" t="n">
        <f aca="false">-MIN(AU173,Inputs!$C$59/MAX(1,Inputs!$C$61*12))</f>
        <v>-1333.33333333333</v>
      </c>
      <c r="AV175" s="67" t="n">
        <f aca="false">-MIN(AV173,Inputs!$C$59/MAX(1,Inputs!$C$61*12))</f>
        <v>-1333.33333333333</v>
      </c>
      <c r="AW175" s="67" t="n">
        <f aca="false">-MIN(AW173,Inputs!$C$59/MAX(1,Inputs!$C$61*12))</f>
        <v>-1333.33333333333</v>
      </c>
      <c r="AX175" s="67" t="n">
        <f aca="false">-MIN(AX173,Inputs!$C$59/MAX(1,Inputs!$C$61*12))</f>
        <v>-1333.33333333333</v>
      </c>
      <c r="AY175" s="67" t="n">
        <f aca="false">-MIN(AY173,Inputs!$C$59/MAX(1,Inputs!$C$61*12))</f>
        <v>-1333.33333333333</v>
      </c>
      <c r="AZ175" s="67" t="n">
        <f aca="false">-MIN(AZ173,Inputs!$C$59/MAX(1,Inputs!$C$61*12))</f>
        <v>-1333.33333333333</v>
      </c>
      <c r="BA175" s="67" t="n">
        <f aca="false">-MIN(BA173,Inputs!$C$59/MAX(1,Inputs!$C$61*12))</f>
        <v>-1333.33333333333</v>
      </c>
      <c r="BB175" s="67" t="n">
        <f aca="false">-MIN(BB173,Inputs!$C$59/MAX(1,Inputs!$C$61*12))</f>
        <v>-1333.33333333333</v>
      </c>
      <c r="BC175" s="67" t="n">
        <f aca="false">-MIN(BC173,Inputs!$C$59/MAX(1,Inputs!$C$61*12))</f>
        <v>-1333.33333333333</v>
      </c>
      <c r="BD175" s="67" t="n">
        <f aca="false">-MIN(BD173,Inputs!$C$59/MAX(1,Inputs!$C$61*12))</f>
        <v>-1333.33333333333</v>
      </c>
      <c r="BE175" s="67" t="n">
        <f aca="false">-MIN(BE173,Inputs!$C$59/MAX(1,Inputs!$C$61*12))</f>
        <v>-1333.33333333333</v>
      </c>
      <c r="BF175" s="67" t="n">
        <f aca="false">-MIN(BF173,Inputs!$C$59/MAX(1,Inputs!$C$61*12))</f>
        <v>-1333.33333333333</v>
      </c>
      <c r="BG175" s="67" t="n">
        <f aca="false">-MIN(BG173,Inputs!$C$59/MAX(1,Inputs!$C$61*12))</f>
        <v>-1333.33333333333</v>
      </c>
      <c r="BH175" s="67" t="n">
        <f aca="false">-MIN(BH173,Inputs!$C$59/MAX(1,Inputs!$C$61*12))</f>
        <v>-1333.33333333333</v>
      </c>
      <c r="BI175" s="67" t="n">
        <f aca="false">-MIN(BI173,Inputs!$C$59/MAX(1,Inputs!$C$61*12))</f>
        <v>-1333.33333333333</v>
      </c>
      <c r="BJ175" s="67" t="n">
        <f aca="false">-MIN(BJ173,Inputs!$C$59/MAX(1,Inputs!$C$61*12))</f>
        <v>-1333.33333333333</v>
      </c>
    </row>
    <row r="176" customFormat="false" ht="15" hidden="false" customHeight="false" outlineLevel="0" collapsed="false">
      <c r="A176" s="4" t="s">
        <v>421</v>
      </c>
      <c r="C176" s="73" t="n">
        <f aca="false">C173+C174+C175</f>
        <v>80000</v>
      </c>
      <c r="D176" s="73" t="n">
        <f aca="false">D173+D174+D175</f>
        <v>78666.6666666667</v>
      </c>
      <c r="E176" s="73" t="n">
        <f aca="false">E173+E174+E175</f>
        <v>77333.3333333333</v>
      </c>
      <c r="F176" s="73" t="n">
        <f aca="false">F173+F174+F175</f>
        <v>76000</v>
      </c>
      <c r="G176" s="73" t="n">
        <f aca="false">G173+G174+G175</f>
        <v>74666.6666666667</v>
      </c>
      <c r="H176" s="73" t="n">
        <f aca="false">H173+H174+H175</f>
        <v>73333.3333333334</v>
      </c>
      <c r="I176" s="73" t="n">
        <f aca="false">I173+I174+I175</f>
        <v>72000</v>
      </c>
      <c r="J176" s="73" t="n">
        <f aca="false">J173+J174+J175</f>
        <v>70666.6666666667</v>
      </c>
      <c r="K176" s="73" t="n">
        <f aca="false">K173+K174+K175</f>
        <v>69333.3333333334</v>
      </c>
      <c r="L176" s="73" t="n">
        <f aca="false">L173+L174+L175</f>
        <v>68000</v>
      </c>
      <c r="M176" s="73" t="n">
        <f aca="false">M173+M174+M175</f>
        <v>66666.6666666667</v>
      </c>
      <c r="N176" s="73" t="n">
        <f aca="false">N173+N174+N175</f>
        <v>65333.3333333334</v>
      </c>
      <c r="O176" s="73" t="n">
        <f aca="false">O173+O174+O175</f>
        <v>64000</v>
      </c>
      <c r="P176" s="73" t="n">
        <f aca="false">P173+P174+P175</f>
        <v>62666.6666666667</v>
      </c>
      <c r="Q176" s="73" t="n">
        <f aca="false">Q173+Q174+Q175</f>
        <v>61333.3333333334</v>
      </c>
      <c r="R176" s="73" t="n">
        <f aca="false">R173+R174+R175</f>
        <v>60000</v>
      </c>
      <c r="S176" s="73" t="n">
        <f aca="false">S173+S174+S175</f>
        <v>58666.6666666667</v>
      </c>
      <c r="T176" s="73" t="n">
        <f aca="false">T173+T174+T175</f>
        <v>57333.3333333334</v>
      </c>
      <c r="U176" s="73" t="n">
        <f aca="false">U173+U174+U175</f>
        <v>56000</v>
      </c>
      <c r="V176" s="73" t="n">
        <f aca="false">V173+V174+V175</f>
        <v>54666.6666666667</v>
      </c>
      <c r="W176" s="73" t="n">
        <f aca="false">W173+W174+W175</f>
        <v>53333.3333333334</v>
      </c>
      <c r="X176" s="73" t="n">
        <f aca="false">X173+X174+X175</f>
        <v>52000</v>
      </c>
      <c r="Y176" s="73" t="n">
        <f aca="false">Y173+Y174+Y175</f>
        <v>50666.6666666667</v>
      </c>
      <c r="Z176" s="73" t="n">
        <f aca="false">Z173+Z174+Z175</f>
        <v>49333.3333333334</v>
      </c>
      <c r="AA176" s="73" t="n">
        <f aca="false">AA173+AA174+AA175</f>
        <v>48000</v>
      </c>
      <c r="AB176" s="73" t="n">
        <f aca="false">AB173+AB174+AB175</f>
        <v>46666.6666666667</v>
      </c>
      <c r="AC176" s="73" t="n">
        <f aca="false">AC173+AC174+AC175</f>
        <v>45333.3333333333</v>
      </c>
      <c r="AD176" s="73" t="n">
        <f aca="false">AD173+AD174+AD175</f>
        <v>44000</v>
      </c>
      <c r="AE176" s="73" t="n">
        <f aca="false">AE173+AE174+AE175</f>
        <v>42666.6666666667</v>
      </c>
      <c r="AF176" s="73" t="n">
        <f aca="false">AF173+AF174+AF175</f>
        <v>41333.3333333333</v>
      </c>
      <c r="AG176" s="73" t="n">
        <f aca="false">AG173+AG174+AG175</f>
        <v>40000</v>
      </c>
      <c r="AH176" s="73" t="n">
        <f aca="false">AH173+AH174+AH175</f>
        <v>38666.6666666667</v>
      </c>
      <c r="AI176" s="73" t="n">
        <f aca="false">AI173+AI174+AI175</f>
        <v>37333.3333333333</v>
      </c>
      <c r="AJ176" s="73" t="n">
        <f aca="false">AJ173+AJ174+AJ175</f>
        <v>36000</v>
      </c>
      <c r="AK176" s="73" t="n">
        <f aca="false">AK173+AK174+AK175</f>
        <v>34666.6666666667</v>
      </c>
      <c r="AL176" s="73" t="n">
        <f aca="false">AL173+AL174+AL175</f>
        <v>33333.3333333333</v>
      </c>
      <c r="AM176" s="73" t="n">
        <f aca="false">AM173+AM174+AM175</f>
        <v>32000</v>
      </c>
      <c r="AN176" s="73" t="n">
        <f aca="false">AN173+AN174+AN175</f>
        <v>30666.6666666667</v>
      </c>
      <c r="AO176" s="73" t="n">
        <f aca="false">AO173+AO174+AO175</f>
        <v>29333.3333333333</v>
      </c>
      <c r="AP176" s="73" t="n">
        <f aca="false">AP173+AP174+AP175</f>
        <v>28000</v>
      </c>
      <c r="AQ176" s="73" t="n">
        <f aca="false">AQ173+AQ174+AQ175</f>
        <v>26666.6666666667</v>
      </c>
      <c r="AR176" s="73" t="n">
        <f aca="false">AR173+AR174+AR175</f>
        <v>25333.3333333333</v>
      </c>
      <c r="AS176" s="73" t="n">
        <f aca="false">AS173+AS174+AS175</f>
        <v>24000</v>
      </c>
      <c r="AT176" s="73" t="n">
        <f aca="false">AT173+AT174+AT175</f>
        <v>22666.6666666667</v>
      </c>
      <c r="AU176" s="73" t="n">
        <f aca="false">AU173+AU174+AU175</f>
        <v>21333.3333333333</v>
      </c>
      <c r="AV176" s="73" t="n">
        <f aca="false">AV173+AV174+AV175</f>
        <v>20000</v>
      </c>
      <c r="AW176" s="73" t="n">
        <f aca="false">AW173+AW174+AW175</f>
        <v>18666.6666666667</v>
      </c>
      <c r="AX176" s="73" t="n">
        <f aca="false">AX173+AX174+AX175</f>
        <v>17333.3333333333</v>
      </c>
      <c r="AY176" s="73" t="n">
        <f aca="false">AY173+AY174+AY175</f>
        <v>16000</v>
      </c>
      <c r="AZ176" s="73" t="n">
        <f aca="false">AZ173+AZ174+AZ175</f>
        <v>14666.6666666667</v>
      </c>
      <c r="BA176" s="73" t="n">
        <f aca="false">BA173+BA174+BA175</f>
        <v>13333.3333333333</v>
      </c>
      <c r="BB176" s="73" t="n">
        <f aca="false">BB173+BB174+BB175</f>
        <v>12000</v>
      </c>
      <c r="BC176" s="73" t="n">
        <f aca="false">BC173+BC174+BC175</f>
        <v>10666.6666666667</v>
      </c>
      <c r="BD176" s="73" t="n">
        <f aca="false">BD173+BD174+BD175</f>
        <v>9333.33333333333</v>
      </c>
      <c r="BE176" s="73" t="n">
        <f aca="false">BE173+BE174+BE175</f>
        <v>8000</v>
      </c>
      <c r="BF176" s="73" t="n">
        <f aca="false">BF173+BF174+BF175</f>
        <v>6666.66666666667</v>
      </c>
      <c r="BG176" s="73" t="n">
        <f aca="false">BG173+BG174+BG175</f>
        <v>5333.33333333333</v>
      </c>
      <c r="BH176" s="73" t="n">
        <f aca="false">BH173+BH174+BH175</f>
        <v>4000</v>
      </c>
      <c r="BI176" s="73" t="n">
        <f aca="false">BI173+BI174+BI175</f>
        <v>2666.66666666667</v>
      </c>
      <c r="BJ176" s="73" t="n">
        <f aca="false">BJ173+BJ174+BJ175</f>
        <v>1333.33333333333</v>
      </c>
    </row>
    <row r="178" customFormat="false" ht="15.75" hidden="false" customHeight="true" outlineLevel="0" collapsed="false">
      <c r="A178" s="7" t="s">
        <v>307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customFormat="false" ht="15" hidden="false" customHeight="false" outlineLevel="0" collapsed="false">
      <c r="A179" s="6" t="s">
        <v>90</v>
      </c>
      <c r="C179" s="67" t="n">
        <f aca="false">C135*Inputs!$C$64/30</f>
        <v>34794.24</v>
      </c>
      <c r="D179" s="67" t="n">
        <f aca="false">D135*Inputs!$C$64/30</f>
        <v>36791.04</v>
      </c>
      <c r="E179" s="67" t="n">
        <f aca="false">E135*Inputs!$C$64/30</f>
        <v>38787.84</v>
      </c>
      <c r="F179" s="67" t="n">
        <f aca="false">F135*Inputs!$C$64/30</f>
        <v>38787.84</v>
      </c>
      <c r="G179" s="67" t="n">
        <f aca="false">G135*Inputs!$C$64/30</f>
        <v>38787.84</v>
      </c>
      <c r="H179" s="67" t="n">
        <f aca="false">H135*Inputs!$C$64/30</f>
        <v>38787.84</v>
      </c>
      <c r="I179" s="67" t="n">
        <f aca="false">I135*Inputs!$C$64/30</f>
        <v>38787.84</v>
      </c>
      <c r="J179" s="67" t="n">
        <f aca="false">J135*Inputs!$C$64/30</f>
        <v>38787.84</v>
      </c>
      <c r="K179" s="67" t="n">
        <f aca="false">K135*Inputs!$C$64/30</f>
        <v>38787.84</v>
      </c>
      <c r="L179" s="67" t="n">
        <f aca="false">L135*Inputs!$C$64/30</f>
        <v>38787.84</v>
      </c>
      <c r="M179" s="67" t="n">
        <f aca="false">M135*Inputs!$C$64/30</f>
        <v>45676.8</v>
      </c>
      <c r="N179" s="67" t="n">
        <f aca="false">N135*Inputs!$C$64/30</f>
        <v>45676.8</v>
      </c>
      <c r="O179" s="67" t="n">
        <f aca="false">O135*Inputs!$C$64/30</f>
        <v>42191.225856</v>
      </c>
      <c r="P179" s="67" t="n">
        <f aca="false">P135*Inputs!$C$64/30</f>
        <v>42191.225856</v>
      </c>
      <c r="Q179" s="67" t="n">
        <f aca="false">Q135*Inputs!$C$64/30</f>
        <v>42191.225856</v>
      </c>
      <c r="R179" s="67" t="n">
        <f aca="false">R135*Inputs!$C$64/30</f>
        <v>42191.225856</v>
      </c>
      <c r="S179" s="67" t="n">
        <f aca="false">S135*Inputs!$C$64/30</f>
        <v>42191.225856</v>
      </c>
      <c r="T179" s="67" t="n">
        <f aca="false">T135*Inputs!$C$64/30</f>
        <v>42191.225856</v>
      </c>
      <c r="U179" s="67" t="n">
        <f aca="false">U135*Inputs!$C$64/30</f>
        <v>42191.225856</v>
      </c>
      <c r="V179" s="67" t="n">
        <f aca="false">V135*Inputs!$C$64/30</f>
        <v>42191.225856</v>
      </c>
      <c r="W179" s="67" t="n">
        <f aca="false">W135*Inputs!$C$64/30</f>
        <v>42191.225856</v>
      </c>
      <c r="X179" s="67" t="n">
        <f aca="false">X135*Inputs!$C$64/30</f>
        <v>42191.225856</v>
      </c>
      <c r="Y179" s="67" t="n">
        <f aca="false">Y135*Inputs!$C$64/30</f>
        <v>49499.72352</v>
      </c>
      <c r="Z179" s="67" t="n">
        <f aca="false">Z135*Inputs!$C$64/30</f>
        <v>49499.72352</v>
      </c>
      <c r="AA179" s="67" t="n">
        <f aca="false">AA135*Inputs!$C$64/30</f>
        <v>45961.8072136704</v>
      </c>
      <c r="AB179" s="67" t="n">
        <f aca="false">AB135*Inputs!$C$64/30</f>
        <v>45961.8072136704</v>
      </c>
      <c r="AC179" s="67" t="n">
        <f aca="false">AC135*Inputs!$C$64/30</f>
        <v>45961.8072136704</v>
      </c>
      <c r="AD179" s="67" t="n">
        <f aca="false">AD135*Inputs!$C$64/30</f>
        <v>45961.8072136704</v>
      </c>
      <c r="AE179" s="67" t="n">
        <f aca="false">AE135*Inputs!$C$64/30</f>
        <v>45961.8072136704</v>
      </c>
      <c r="AF179" s="67" t="n">
        <f aca="false">AF135*Inputs!$C$64/30</f>
        <v>45961.8072136704</v>
      </c>
      <c r="AG179" s="67" t="n">
        <f aca="false">AG135*Inputs!$C$64/30</f>
        <v>45961.8072136704</v>
      </c>
      <c r="AH179" s="67" t="n">
        <f aca="false">AH135*Inputs!$C$64/30</f>
        <v>45961.8072136704</v>
      </c>
      <c r="AI179" s="67" t="n">
        <f aca="false">AI135*Inputs!$C$64/30</f>
        <v>45961.8072136704</v>
      </c>
      <c r="AJ179" s="67" t="n">
        <f aca="false">AJ135*Inputs!$C$64/30</f>
        <v>45961.8072136704</v>
      </c>
      <c r="AK179" s="67" t="n">
        <f aca="false">AK135*Inputs!$C$64/30</f>
        <v>53715.392385408</v>
      </c>
      <c r="AL179" s="67" t="n">
        <f aca="false">AL135*Inputs!$C$64/30</f>
        <v>53715.392385408</v>
      </c>
      <c r="AM179" s="67" t="n">
        <f aca="false">AM135*Inputs!$C$64/30</f>
        <v>50146.5114200099</v>
      </c>
      <c r="AN179" s="67" t="n">
        <f aca="false">AN135*Inputs!$C$64/30</f>
        <v>50146.5114200099</v>
      </c>
      <c r="AO179" s="67" t="n">
        <f aca="false">AO135*Inputs!$C$64/30</f>
        <v>50146.5114200099</v>
      </c>
      <c r="AP179" s="67" t="n">
        <f aca="false">AP135*Inputs!$C$64/30</f>
        <v>50146.5114200099</v>
      </c>
      <c r="AQ179" s="67" t="n">
        <f aca="false">AQ135*Inputs!$C$64/30</f>
        <v>50146.5114200099</v>
      </c>
      <c r="AR179" s="67" t="n">
        <f aca="false">AR135*Inputs!$C$64/30</f>
        <v>50146.5114200099</v>
      </c>
      <c r="AS179" s="67" t="n">
        <f aca="false">AS135*Inputs!$C$64/30</f>
        <v>50146.5114200099</v>
      </c>
      <c r="AT179" s="67" t="n">
        <f aca="false">AT135*Inputs!$C$64/30</f>
        <v>50146.5114200099</v>
      </c>
      <c r="AU179" s="67" t="n">
        <f aca="false">AU135*Inputs!$C$64/30</f>
        <v>50146.5114200099</v>
      </c>
      <c r="AV179" s="67" t="n">
        <f aca="false">AV135*Inputs!$C$64/30</f>
        <v>50146.5114200099</v>
      </c>
      <c r="AW179" s="67" t="n">
        <f aca="false">AW135*Inputs!$C$64/30</f>
        <v>58372.2899287063</v>
      </c>
      <c r="AX179" s="67" t="n">
        <f aca="false">AX135*Inputs!$C$64/30</f>
        <v>58372.2899287063</v>
      </c>
      <c r="AY179" s="67" t="n">
        <f aca="false">AY135*Inputs!$C$64/30</f>
        <v>54798.8969030988</v>
      </c>
      <c r="AZ179" s="67" t="n">
        <f aca="false">AZ135*Inputs!$C$64/30</f>
        <v>54798.8969030988</v>
      </c>
      <c r="BA179" s="67" t="n">
        <f aca="false">BA135*Inputs!$C$64/30</f>
        <v>54798.8969030988</v>
      </c>
      <c r="BB179" s="67" t="n">
        <f aca="false">BB135*Inputs!$C$64/30</f>
        <v>54798.8969030988</v>
      </c>
      <c r="BC179" s="67" t="n">
        <f aca="false">BC135*Inputs!$C$64/30</f>
        <v>54798.8969030988</v>
      </c>
      <c r="BD179" s="67" t="n">
        <f aca="false">BD135*Inputs!$C$64/30</f>
        <v>54798.8969030988</v>
      </c>
      <c r="BE179" s="67" t="n">
        <f aca="false">BE135*Inputs!$C$64/30</f>
        <v>54798.8969030988</v>
      </c>
      <c r="BF179" s="67" t="n">
        <f aca="false">BF135*Inputs!$C$64/30</f>
        <v>54798.8969030988</v>
      </c>
      <c r="BG179" s="67" t="n">
        <f aca="false">BG135*Inputs!$C$64/30</f>
        <v>54798.8969030988</v>
      </c>
      <c r="BH179" s="67" t="n">
        <f aca="false">BH135*Inputs!$C$64/30</f>
        <v>54798.8969030988</v>
      </c>
      <c r="BI179" s="67" t="n">
        <f aca="false">BI135*Inputs!$C$64/30</f>
        <v>63525.6253229748</v>
      </c>
      <c r="BJ179" s="67" t="n">
        <f aca="false">BJ135*Inputs!$C$64/30</f>
        <v>63525.6253229748</v>
      </c>
    </row>
    <row r="180" customFormat="false" ht="15" hidden="false" customHeight="false" outlineLevel="0" collapsed="false">
      <c r="A180" s="6" t="s">
        <v>91</v>
      </c>
      <c r="C180" s="67" t="n">
        <f aca="false">-C141*Inputs!$C$65/30</f>
        <v>3688.04937142857</v>
      </c>
      <c r="D180" s="67" t="n">
        <f aca="false">-D141*Inputs!$C$65/30</f>
        <v>3899.2928</v>
      </c>
      <c r="E180" s="67" t="n">
        <f aca="false">-E141*Inputs!$C$65/30</f>
        <v>4110.53622857143</v>
      </c>
      <c r="F180" s="67" t="n">
        <f aca="false">-F141*Inputs!$C$65/30</f>
        <v>4110.53622857143</v>
      </c>
      <c r="G180" s="67" t="n">
        <f aca="false">-G141*Inputs!$C$65/30</f>
        <v>4110.53622857143</v>
      </c>
      <c r="H180" s="67" t="n">
        <f aca="false">-H141*Inputs!$C$65/30</f>
        <v>4110.53622857143</v>
      </c>
      <c r="I180" s="67" t="n">
        <f aca="false">-I141*Inputs!$C$65/30</f>
        <v>4110.53622857143</v>
      </c>
      <c r="J180" s="67" t="n">
        <f aca="false">-J141*Inputs!$C$65/30</f>
        <v>4110.53622857143</v>
      </c>
      <c r="K180" s="67" t="n">
        <f aca="false">-K141*Inputs!$C$65/30</f>
        <v>4110.53622857143</v>
      </c>
      <c r="L180" s="67" t="n">
        <f aca="false">-L141*Inputs!$C$65/30</f>
        <v>4110.53622857143</v>
      </c>
      <c r="M180" s="67" t="n">
        <f aca="false">-M141*Inputs!$C$65/30</f>
        <v>4796.53028571429</v>
      </c>
      <c r="N180" s="67" t="n">
        <f aca="false">-N141*Inputs!$C$65/30</f>
        <v>4796.53028571429</v>
      </c>
      <c r="O180" s="67" t="n">
        <f aca="false">-O141*Inputs!$C$65/30</f>
        <v>4487.54799689143</v>
      </c>
      <c r="P180" s="67" t="n">
        <f aca="false">-P141*Inputs!$C$65/30</f>
        <v>4487.54799689143</v>
      </c>
      <c r="Q180" s="67" t="n">
        <f aca="false">-Q141*Inputs!$C$65/30</f>
        <v>4487.54799689143</v>
      </c>
      <c r="R180" s="67" t="n">
        <f aca="false">-R141*Inputs!$C$65/30</f>
        <v>4487.54799689143</v>
      </c>
      <c r="S180" s="67" t="n">
        <f aca="false">-S141*Inputs!$C$65/30</f>
        <v>4487.54799689143</v>
      </c>
      <c r="T180" s="67" t="n">
        <f aca="false">-T141*Inputs!$C$65/30</f>
        <v>4487.54799689143</v>
      </c>
      <c r="U180" s="67" t="n">
        <f aca="false">-U141*Inputs!$C$65/30</f>
        <v>4487.54799689143</v>
      </c>
      <c r="V180" s="67" t="n">
        <f aca="false">-V141*Inputs!$C$65/30</f>
        <v>4487.54799689143</v>
      </c>
      <c r="W180" s="67" t="n">
        <f aca="false">-W141*Inputs!$C$65/30</f>
        <v>4487.54799689143</v>
      </c>
      <c r="X180" s="67" t="n">
        <f aca="false">-X141*Inputs!$C$65/30</f>
        <v>4487.54799689143</v>
      </c>
      <c r="Y180" s="67" t="n">
        <f aca="false">-Y141*Inputs!$C$65/30</f>
        <v>5215.31909211429</v>
      </c>
      <c r="Z180" s="67" t="n">
        <f aca="false">-Z141*Inputs!$C$65/30</f>
        <v>5215.31909211429</v>
      </c>
      <c r="AA180" s="67" t="n">
        <f aca="false">-AA141*Inputs!$C$65/30</f>
        <v>4906.97784710532</v>
      </c>
      <c r="AB180" s="67" t="n">
        <f aca="false">-AB141*Inputs!$C$65/30</f>
        <v>4906.97784710532</v>
      </c>
      <c r="AC180" s="67" t="n">
        <f aca="false">-AC141*Inputs!$C$65/30</f>
        <v>4906.97784710532</v>
      </c>
      <c r="AD180" s="67" t="n">
        <f aca="false">-AD141*Inputs!$C$65/30</f>
        <v>4906.97784710532</v>
      </c>
      <c r="AE180" s="67" t="n">
        <f aca="false">-AE141*Inputs!$C$65/30</f>
        <v>4906.97784710532</v>
      </c>
      <c r="AF180" s="67" t="n">
        <f aca="false">-AF141*Inputs!$C$65/30</f>
        <v>4906.97784710532</v>
      </c>
      <c r="AG180" s="67" t="n">
        <f aca="false">-AG141*Inputs!$C$65/30</f>
        <v>4906.97784710532</v>
      </c>
      <c r="AH180" s="67" t="n">
        <f aca="false">-AH141*Inputs!$C$65/30</f>
        <v>4906.97784710532</v>
      </c>
      <c r="AI180" s="67" t="n">
        <f aca="false">-AI141*Inputs!$C$65/30</f>
        <v>4906.97784710532</v>
      </c>
      <c r="AJ180" s="67" t="n">
        <f aca="false">-AJ141*Inputs!$C$65/30</f>
        <v>4906.97784710532</v>
      </c>
      <c r="AK180" s="67" t="n">
        <f aca="false">-AK141*Inputs!$C$65/30</f>
        <v>5679.07020202725</v>
      </c>
      <c r="AL180" s="67" t="n">
        <f aca="false">-AL141*Inputs!$C$65/30</f>
        <v>5679.07020202725</v>
      </c>
      <c r="AM180" s="67" t="n">
        <f aca="false">-AM141*Inputs!$C$65/30</f>
        <v>5374.39779921564</v>
      </c>
      <c r="AN180" s="67" t="n">
        <f aca="false">-AN141*Inputs!$C$65/30</f>
        <v>5374.39779921564</v>
      </c>
      <c r="AO180" s="67" t="n">
        <f aca="false">-AO141*Inputs!$C$65/30</f>
        <v>5374.39779921564</v>
      </c>
      <c r="AP180" s="67" t="n">
        <f aca="false">-AP141*Inputs!$C$65/30</f>
        <v>5374.39779921564</v>
      </c>
      <c r="AQ180" s="67" t="n">
        <f aca="false">-AQ141*Inputs!$C$65/30</f>
        <v>5374.39779921564</v>
      </c>
      <c r="AR180" s="67" t="n">
        <f aca="false">-AR141*Inputs!$C$65/30</f>
        <v>5374.39779921564</v>
      </c>
      <c r="AS180" s="67" t="n">
        <f aca="false">-AS141*Inputs!$C$65/30</f>
        <v>5374.39779921564</v>
      </c>
      <c r="AT180" s="67" t="n">
        <f aca="false">-AT141*Inputs!$C$65/30</f>
        <v>5374.39779921564</v>
      </c>
      <c r="AU180" s="67" t="n">
        <f aca="false">-AU141*Inputs!$C$65/30</f>
        <v>5374.39779921564</v>
      </c>
      <c r="AV180" s="67" t="n">
        <f aca="false">-AV141*Inputs!$C$65/30</f>
        <v>5374.39779921564</v>
      </c>
      <c r="AW180" s="67" t="n">
        <f aca="false">-AW141*Inputs!$C$65/30</f>
        <v>6193.51057855232</v>
      </c>
      <c r="AX180" s="67" t="n">
        <f aca="false">-AX141*Inputs!$C$65/30</f>
        <v>6193.51057855232</v>
      </c>
      <c r="AY180" s="67" t="n">
        <f aca="false">-AY141*Inputs!$C$65/30</f>
        <v>5896.17828259713</v>
      </c>
      <c r="AZ180" s="67" t="n">
        <f aca="false">-AZ141*Inputs!$C$65/30</f>
        <v>5896.17828259713</v>
      </c>
      <c r="BA180" s="67" t="n">
        <f aca="false">-BA141*Inputs!$C$65/30</f>
        <v>5896.17828259713</v>
      </c>
      <c r="BB180" s="67" t="n">
        <f aca="false">-BB141*Inputs!$C$65/30</f>
        <v>5896.17828259713</v>
      </c>
      <c r="BC180" s="67" t="n">
        <f aca="false">-BC141*Inputs!$C$65/30</f>
        <v>5896.17828259713</v>
      </c>
      <c r="BD180" s="67" t="n">
        <f aca="false">-BD141*Inputs!$C$65/30</f>
        <v>5896.17828259713</v>
      </c>
      <c r="BE180" s="67" t="n">
        <f aca="false">-BE141*Inputs!$C$65/30</f>
        <v>5896.17828259713</v>
      </c>
      <c r="BF180" s="67" t="n">
        <f aca="false">-BF141*Inputs!$C$65/30</f>
        <v>5896.17828259713</v>
      </c>
      <c r="BG180" s="67" t="n">
        <f aca="false">-BG141*Inputs!$C$65/30</f>
        <v>5896.17828259713</v>
      </c>
      <c r="BH180" s="67" t="n">
        <f aca="false">-BH141*Inputs!$C$65/30</f>
        <v>5896.17828259713</v>
      </c>
      <c r="BI180" s="67" t="n">
        <f aca="false">-BI141*Inputs!$C$65/30</f>
        <v>6765.17503019541</v>
      </c>
      <c r="BJ180" s="67" t="n">
        <f aca="false">-BJ141*Inputs!$C$65/30</f>
        <v>6765.17503019541</v>
      </c>
    </row>
    <row r="181" customFormat="false" ht="15" hidden="false" customHeight="false" outlineLevel="0" collapsed="false">
      <c r="A181" s="6" t="s">
        <v>94</v>
      </c>
      <c r="C181" s="67" t="n">
        <f aca="false">-C141*Inputs!$C$66/30</f>
        <v>22128.2962285714</v>
      </c>
      <c r="D181" s="67" t="n">
        <f aca="false">-D141*Inputs!$C$66/30</f>
        <v>23395.7568</v>
      </c>
      <c r="E181" s="67" t="n">
        <f aca="false">-E141*Inputs!$C$66/30</f>
        <v>24663.2173714286</v>
      </c>
      <c r="F181" s="67" t="n">
        <f aca="false">-F141*Inputs!$C$66/30</f>
        <v>24663.2173714286</v>
      </c>
      <c r="G181" s="67" t="n">
        <f aca="false">-G141*Inputs!$C$66/30</f>
        <v>24663.2173714286</v>
      </c>
      <c r="H181" s="67" t="n">
        <f aca="false">-H141*Inputs!$C$66/30</f>
        <v>24663.2173714286</v>
      </c>
      <c r="I181" s="67" t="n">
        <f aca="false">-I141*Inputs!$C$66/30</f>
        <v>24663.2173714286</v>
      </c>
      <c r="J181" s="67" t="n">
        <f aca="false">-J141*Inputs!$C$66/30</f>
        <v>24663.2173714286</v>
      </c>
      <c r="K181" s="67" t="n">
        <f aca="false">-K141*Inputs!$C$66/30</f>
        <v>24663.2173714286</v>
      </c>
      <c r="L181" s="67" t="n">
        <f aca="false">-L141*Inputs!$C$66/30</f>
        <v>24663.2173714286</v>
      </c>
      <c r="M181" s="67" t="n">
        <f aca="false">-M141*Inputs!$C$66/30</f>
        <v>28779.1817142857</v>
      </c>
      <c r="N181" s="67" t="n">
        <f aca="false">-N141*Inputs!$C$66/30</f>
        <v>28779.1817142857</v>
      </c>
      <c r="O181" s="67" t="n">
        <f aca="false">-O141*Inputs!$C$66/30</f>
        <v>26925.2879813486</v>
      </c>
      <c r="P181" s="67" t="n">
        <f aca="false">-P141*Inputs!$C$66/30</f>
        <v>26925.2879813486</v>
      </c>
      <c r="Q181" s="67" t="n">
        <f aca="false">-Q141*Inputs!$C$66/30</f>
        <v>26925.2879813486</v>
      </c>
      <c r="R181" s="67" t="n">
        <f aca="false">-R141*Inputs!$C$66/30</f>
        <v>26925.2879813486</v>
      </c>
      <c r="S181" s="67" t="n">
        <f aca="false">-S141*Inputs!$C$66/30</f>
        <v>26925.2879813486</v>
      </c>
      <c r="T181" s="67" t="n">
        <f aca="false">-T141*Inputs!$C$66/30</f>
        <v>26925.2879813486</v>
      </c>
      <c r="U181" s="67" t="n">
        <f aca="false">-U141*Inputs!$C$66/30</f>
        <v>26925.2879813486</v>
      </c>
      <c r="V181" s="67" t="n">
        <f aca="false">-V141*Inputs!$C$66/30</f>
        <v>26925.2879813486</v>
      </c>
      <c r="W181" s="67" t="n">
        <f aca="false">-W141*Inputs!$C$66/30</f>
        <v>26925.2879813486</v>
      </c>
      <c r="X181" s="67" t="n">
        <f aca="false">-X141*Inputs!$C$66/30</f>
        <v>26925.2879813486</v>
      </c>
      <c r="Y181" s="67" t="n">
        <f aca="false">-Y141*Inputs!$C$66/30</f>
        <v>31291.9145526857</v>
      </c>
      <c r="Z181" s="67" t="n">
        <f aca="false">-Z141*Inputs!$C$66/30</f>
        <v>31291.9145526857</v>
      </c>
      <c r="AA181" s="67" t="n">
        <f aca="false">-AA141*Inputs!$C$66/30</f>
        <v>29441.8670826319</v>
      </c>
      <c r="AB181" s="67" t="n">
        <f aca="false">-AB141*Inputs!$C$66/30</f>
        <v>29441.8670826319</v>
      </c>
      <c r="AC181" s="67" t="n">
        <f aca="false">-AC141*Inputs!$C$66/30</f>
        <v>29441.8670826319</v>
      </c>
      <c r="AD181" s="67" t="n">
        <f aca="false">-AD141*Inputs!$C$66/30</f>
        <v>29441.8670826319</v>
      </c>
      <c r="AE181" s="67" t="n">
        <f aca="false">-AE141*Inputs!$C$66/30</f>
        <v>29441.8670826319</v>
      </c>
      <c r="AF181" s="67" t="n">
        <f aca="false">-AF141*Inputs!$C$66/30</f>
        <v>29441.8670826319</v>
      </c>
      <c r="AG181" s="67" t="n">
        <f aca="false">-AG141*Inputs!$C$66/30</f>
        <v>29441.8670826319</v>
      </c>
      <c r="AH181" s="67" t="n">
        <f aca="false">-AH141*Inputs!$C$66/30</f>
        <v>29441.8670826319</v>
      </c>
      <c r="AI181" s="67" t="n">
        <f aca="false">-AI141*Inputs!$C$66/30</f>
        <v>29441.8670826319</v>
      </c>
      <c r="AJ181" s="67" t="n">
        <f aca="false">-AJ141*Inputs!$C$66/30</f>
        <v>29441.8670826319</v>
      </c>
      <c r="AK181" s="67" t="n">
        <f aca="false">-AK141*Inputs!$C$66/30</f>
        <v>34074.4212121635</v>
      </c>
      <c r="AL181" s="67" t="n">
        <f aca="false">-AL141*Inputs!$C$66/30</f>
        <v>34074.4212121635</v>
      </c>
      <c r="AM181" s="67" t="n">
        <f aca="false">-AM141*Inputs!$C$66/30</f>
        <v>32246.3867952939</v>
      </c>
      <c r="AN181" s="67" t="n">
        <f aca="false">-AN141*Inputs!$C$66/30</f>
        <v>32246.3867952939</v>
      </c>
      <c r="AO181" s="67" t="n">
        <f aca="false">-AO141*Inputs!$C$66/30</f>
        <v>32246.3867952939</v>
      </c>
      <c r="AP181" s="67" t="n">
        <f aca="false">-AP141*Inputs!$C$66/30</f>
        <v>32246.3867952939</v>
      </c>
      <c r="AQ181" s="67" t="n">
        <f aca="false">-AQ141*Inputs!$C$66/30</f>
        <v>32246.3867952939</v>
      </c>
      <c r="AR181" s="67" t="n">
        <f aca="false">-AR141*Inputs!$C$66/30</f>
        <v>32246.3867952939</v>
      </c>
      <c r="AS181" s="67" t="n">
        <f aca="false">-AS141*Inputs!$C$66/30</f>
        <v>32246.3867952939</v>
      </c>
      <c r="AT181" s="67" t="n">
        <f aca="false">-AT141*Inputs!$C$66/30</f>
        <v>32246.3867952939</v>
      </c>
      <c r="AU181" s="67" t="n">
        <f aca="false">-AU141*Inputs!$C$66/30</f>
        <v>32246.3867952939</v>
      </c>
      <c r="AV181" s="67" t="n">
        <f aca="false">-AV141*Inputs!$C$66/30</f>
        <v>32246.3867952939</v>
      </c>
      <c r="AW181" s="67" t="n">
        <f aca="false">-AW141*Inputs!$C$66/30</f>
        <v>37161.0634713139</v>
      </c>
      <c r="AX181" s="67" t="n">
        <f aca="false">-AX141*Inputs!$C$66/30</f>
        <v>37161.0634713139</v>
      </c>
      <c r="AY181" s="67" t="n">
        <f aca="false">-AY141*Inputs!$C$66/30</f>
        <v>35377.0696955828</v>
      </c>
      <c r="AZ181" s="67" t="n">
        <f aca="false">-AZ141*Inputs!$C$66/30</f>
        <v>35377.0696955828</v>
      </c>
      <c r="BA181" s="67" t="n">
        <f aca="false">-BA141*Inputs!$C$66/30</f>
        <v>35377.0696955828</v>
      </c>
      <c r="BB181" s="67" t="n">
        <f aca="false">-BB141*Inputs!$C$66/30</f>
        <v>35377.0696955828</v>
      </c>
      <c r="BC181" s="67" t="n">
        <f aca="false">-BC141*Inputs!$C$66/30</f>
        <v>35377.0696955828</v>
      </c>
      <c r="BD181" s="67" t="n">
        <f aca="false">-BD141*Inputs!$C$66/30</f>
        <v>35377.0696955828</v>
      </c>
      <c r="BE181" s="67" t="n">
        <f aca="false">-BE141*Inputs!$C$66/30</f>
        <v>35377.0696955828</v>
      </c>
      <c r="BF181" s="67" t="n">
        <f aca="false">-BF141*Inputs!$C$66/30</f>
        <v>35377.0696955828</v>
      </c>
      <c r="BG181" s="67" t="n">
        <f aca="false">-BG141*Inputs!$C$66/30</f>
        <v>35377.0696955828</v>
      </c>
      <c r="BH181" s="67" t="n">
        <f aca="false">-BH141*Inputs!$C$66/30</f>
        <v>35377.0696955828</v>
      </c>
      <c r="BI181" s="67" t="n">
        <f aca="false">-BI141*Inputs!$C$66/30</f>
        <v>40591.0501811724</v>
      </c>
      <c r="BJ181" s="67" t="n">
        <f aca="false">-BJ141*Inputs!$C$66/30</f>
        <v>40591.0501811724</v>
      </c>
    </row>
    <row r="182" customFormat="false" ht="15" hidden="false" customHeight="false" outlineLevel="0" collapsed="false">
      <c r="A182" s="6" t="s">
        <v>332</v>
      </c>
      <c r="C182" s="67" t="n">
        <f aca="false">-C179</f>
        <v>-34794.24</v>
      </c>
      <c r="D182" s="67" t="n">
        <f aca="false">C179-D179</f>
        <v>-1996.80000000001</v>
      </c>
      <c r="E182" s="67" t="n">
        <f aca="false">D179-E179</f>
        <v>-1996.8</v>
      </c>
      <c r="F182" s="67" t="n">
        <f aca="false">E179-F179</f>
        <v>0</v>
      </c>
      <c r="G182" s="67" t="n">
        <f aca="false">F179-G179</f>
        <v>0</v>
      </c>
      <c r="H182" s="67" t="n">
        <f aca="false">G179-H179</f>
        <v>0</v>
      </c>
      <c r="I182" s="67" t="n">
        <f aca="false">H179-I179</f>
        <v>0</v>
      </c>
      <c r="J182" s="67" t="n">
        <f aca="false">I179-J179</f>
        <v>0</v>
      </c>
      <c r="K182" s="67" t="n">
        <f aca="false">J179-K179</f>
        <v>0</v>
      </c>
      <c r="L182" s="67" t="n">
        <f aca="false">K179-L179</f>
        <v>0</v>
      </c>
      <c r="M182" s="67" t="n">
        <f aca="false">L179-M179</f>
        <v>-6888.96000000001</v>
      </c>
      <c r="N182" s="67" t="n">
        <f aca="false">M179-N179</f>
        <v>0</v>
      </c>
      <c r="O182" s="67" t="n">
        <f aca="false">N179-O179</f>
        <v>3485.574144</v>
      </c>
      <c r="P182" s="67" t="n">
        <f aca="false">O179-P179</f>
        <v>0</v>
      </c>
      <c r="Q182" s="67" t="n">
        <f aca="false">P179-Q179</f>
        <v>0</v>
      </c>
      <c r="R182" s="67" t="n">
        <f aca="false">Q179-R179</f>
        <v>0</v>
      </c>
      <c r="S182" s="67" t="n">
        <f aca="false">R179-S179</f>
        <v>0</v>
      </c>
      <c r="T182" s="67" t="n">
        <f aca="false">S179-T179</f>
        <v>0</v>
      </c>
      <c r="U182" s="67" t="n">
        <f aca="false">T179-U179</f>
        <v>0</v>
      </c>
      <c r="V182" s="67" t="n">
        <f aca="false">U179-V179</f>
        <v>0</v>
      </c>
      <c r="W182" s="67" t="n">
        <f aca="false">V179-W179</f>
        <v>0</v>
      </c>
      <c r="X182" s="67" t="n">
        <f aca="false">W179-X179</f>
        <v>0</v>
      </c>
      <c r="Y182" s="67" t="n">
        <f aca="false">X179-Y179</f>
        <v>-7308.497664</v>
      </c>
      <c r="Z182" s="67" t="n">
        <f aca="false">Y179-Z179</f>
        <v>0</v>
      </c>
      <c r="AA182" s="67" t="n">
        <f aca="false">Z179-AA179</f>
        <v>3537.91630632961</v>
      </c>
      <c r="AB182" s="67" t="n">
        <f aca="false">AA179-AB179</f>
        <v>0</v>
      </c>
      <c r="AC182" s="67" t="n">
        <f aca="false">AB179-AC179</f>
        <v>0</v>
      </c>
      <c r="AD182" s="67" t="n">
        <f aca="false">AC179-AD179</f>
        <v>0</v>
      </c>
      <c r="AE182" s="67" t="n">
        <f aca="false">AD179-AE179</f>
        <v>0</v>
      </c>
      <c r="AF182" s="67" t="n">
        <f aca="false">AE179-AF179</f>
        <v>0</v>
      </c>
      <c r="AG182" s="67" t="n">
        <f aca="false">AF179-AG179</f>
        <v>0</v>
      </c>
      <c r="AH182" s="67" t="n">
        <f aca="false">AG179-AH179</f>
        <v>0</v>
      </c>
      <c r="AI182" s="67" t="n">
        <f aca="false">AH179-AI179</f>
        <v>0</v>
      </c>
      <c r="AJ182" s="67" t="n">
        <f aca="false">AI179-AJ179</f>
        <v>0</v>
      </c>
      <c r="AK182" s="67" t="n">
        <f aca="false">AJ179-AK179</f>
        <v>-7753.58517173761</v>
      </c>
      <c r="AL182" s="67" t="n">
        <f aca="false">AK179-AL179</f>
        <v>0</v>
      </c>
      <c r="AM182" s="67" t="n">
        <f aca="false">AL179-AM179</f>
        <v>3568.88096539813</v>
      </c>
      <c r="AN182" s="67" t="n">
        <f aca="false">AM179-AN179</f>
        <v>0</v>
      </c>
      <c r="AO182" s="67" t="n">
        <f aca="false">AN179-AO179</f>
        <v>0</v>
      </c>
      <c r="AP182" s="67" t="n">
        <f aca="false">AO179-AP179</f>
        <v>0</v>
      </c>
      <c r="AQ182" s="67" t="n">
        <f aca="false">AP179-AQ179</f>
        <v>0</v>
      </c>
      <c r="AR182" s="67" t="n">
        <f aca="false">AQ179-AR179</f>
        <v>0</v>
      </c>
      <c r="AS182" s="67" t="n">
        <f aca="false">AR179-AS179</f>
        <v>0</v>
      </c>
      <c r="AT182" s="67" t="n">
        <f aca="false">AS179-AT179</f>
        <v>0</v>
      </c>
      <c r="AU182" s="67" t="n">
        <f aca="false">AT179-AU179</f>
        <v>0</v>
      </c>
      <c r="AV182" s="67" t="n">
        <f aca="false">AU179-AV179</f>
        <v>0</v>
      </c>
      <c r="AW182" s="67" t="n">
        <f aca="false">AV179-AW179</f>
        <v>-8225.77850869642</v>
      </c>
      <c r="AX182" s="67" t="n">
        <f aca="false">AW179-AX179</f>
        <v>0</v>
      </c>
      <c r="AY182" s="67" t="n">
        <f aca="false">AX179-AY179</f>
        <v>3573.39302560753</v>
      </c>
      <c r="AZ182" s="67" t="n">
        <f aca="false">AY179-AZ179</f>
        <v>0</v>
      </c>
      <c r="BA182" s="67" t="n">
        <f aca="false">AZ179-BA179</f>
        <v>0</v>
      </c>
      <c r="BB182" s="67" t="n">
        <f aca="false">BA179-BB179</f>
        <v>0</v>
      </c>
      <c r="BC182" s="67" t="n">
        <f aca="false">BB179-BC179</f>
        <v>0</v>
      </c>
      <c r="BD182" s="67" t="n">
        <f aca="false">BC179-BD179</f>
        <v>0</v>
      </c>
      <c r="BE182" s="67" t="n">
        <f aca="false">BD179-BE179</f>
        <v>0</v>
      </c>
      <c r="BF182" s="67" t="n">
        <f aca="false">BE179-BF179</f>
        <v>0</v>
      </c>
      <c r="BG182" s="67" t="n">
        <f aca="false">BF179-BG179</f>
        <v>0</v>
      </c>
      <c r="BH182" s="67" t="n">
        <f aca="false">BG179-BH179</f>
        <v>0</v>
      </c>
      <c r="BI182" s="67" t="n">
        <f aca="false">BH179-BI179</f>
        <v>-8726.72841987603</v>
      </c>
      <c r="BJ182" s="67" t="n">
        <f aca="false">BI179-BJ179</f>
        <v>0</v>
      </c>
    </row>
    <row r="183" customFormat="false" ht="15" hidden="false" customHeight="false" outlineLevel="0" collapsed="false">
      <c r="A183" s="6" t="s">
        <v>333</v>
      </c>
      <c r="C183" s="67" t="n">
        <f aca="false">-C180</f>
        <v>-3688.04937142857</v>
      </c>
      <c r="D183" s="67" t="n">
        <f aca="false">C180-D180</f>
        <v>-211.243428571429</v>
      </c>
      <c r="E183" s="67" t="n">
        <f aca="false">D180-E180</f>
        <v>-211.243428571429</v>
      </c>
      <c r="F183" s="67" t="n">
        <f aca="false">E180-F180</f>
        <v>0</v>
      </c>
      <c r="G183" s="67" t="n">
        <f aca="false">F180-G180</f>
        <v>0</v>
      </c>
      <c r="H183" s="67" t="n">
        <f aca="false">G180-H180</f>
        <v>0</v>
      </c>
      <c r="I183" s="67" t="n">
        <f aca="false">H180-I180</f>
        <v>0</v>
      </c>
      <c r="J183" s="67" t="n">
        <f aca="false">I180-J180</f>
        <v>0</v>
      </c>
      <c r="K183" s="67" t="n">
        <f aca="false">J180-K180</f>
        <v>0</v>
      </c>
      <c r="L183" s="67" t="n">
        <f aca="false">K180-L180</f>
        <v>0</v>
      </c>
      <c r="M183" s="67" t="n">
        <f aca="false">L180-M180</f>
        <v>-685.994057142857</v>
      </c>
      <c r="N183" s="67" t="n">
        <f aca="false">M180-N180</f>
        <v>0</v>
      </c>
      <c r="O183" s="67" t="n">
        <f aca="false">N180-O180</f>
        <v>308.982288822858</v>
      </c>
      <c r="P183" s="67" t="n">
        <f aca="false">O180-P180</f>
        <v>0</v>
      </c>
      <c r="Q183" s="67" t="n">
        <f aca="false">P180-Q180</f>
        <v>0</v>
      </c>
      <c r="R183" s="67" t="n">
        <f aca="false">Q180-R180</f>
        <v>0</v>
      </c>
      <c r="S183" s="67" t="n">
        <f aca="false">R180-S180</f>
        <v>0</v>
      </c>
      <c r="T183" s="67" t="n">
        <f aca="false">S180-T180</f>
        <v>0</v>
      </c>
      <c r="U183" s="67" t="n">
        <f aca="false">T180-U180</f>
        <v>0</v>
      </c>
      <c r="V183" s="67" t="n">
        <f aca="false">U180-V180</f>
        <v>0</v>
      </c>
      <c r="W183" s="67" t="n">
        <f aca="false">V180-W180</f>
        <v>0</v>
      </c>
      <c r="X183" s="67" t="n">
        <f aca="false">W180-X180</f>
        <v>0</v>
      </c>
      <c r="Y183" s="67" t="n">
        <f aca="false">X180-Y180</f>
        <v>-727.771095222858</v>
      </c>
      <c r="Z183" s="67" t="n">
        <f aca="false">Y180-Z180</f>
        <v>0</v>
      </c>
      <c r="AA183" s="67" t="n">
        <f aca="false">Z180-AA180</f>
        <v>308.34124500897</v>
      </c>
      <c r="AB183" s="67" t="n">
        <f aca="false">AA180-AB180</f>
        <v>0</v>
      </c>
      <c r="AC183" s="67" t="n">
        <f aca="false">AB180-AC180</f>
        <v>0</v>
      </c>
      <c r="AD183" s="67" t="n">
        <f aca="false">AC180-AD180</f>
        <v>0</v>
      </c>
      <c r="AE183" s="67" t="n">
        <f aca="false">AD180-AE180</f>
        <v>0</v>
      </c>
      <c r="AF183" s="67" t="n">
        <f aca="false">AE180-AF180</f>
        <v>0</v>
      </c>
      <c r="AG183" s="67" t="n">
        <f aca="false">AF180-AG180</f>
        <v>0</v>
      </c>
      <c r="AH183" s="67" t="n">
        <f aca="false">AG180-AH180</f>
        <v>0</v>
      </c>
      <c r="AI183" s="67" t="n">
        <f aca="false">AH180-AI180</f>
        <v>0</v>
      </c>
      <c r="AJ183" s="67" t="n">
        <f aca="false">AI180-AJ180</f>
        <v>0</v>
      </c>
      <c r="AK183" s="67" t="n">
        <f aca="false">AJ180-AK180</f>
        <v>-772.092354921931</v>
      </c>
      <c r="AL183" s="67" t="n">
        <f aca="false">AK180-AL180</f>
        <v>0</v>
      </c>
      <c r="AM183" s="67" t="n">
        <f aca="false">AL180-AM180</f>
        <v>304.672402811604</v>
      </c>
      <c r="AN183" s="67" t="n">
        <f aca="false">AM180-AN180</f>
        <v>0</v>
      </c>
      <c r="AO183" s="67" t="n">
        <f aca="false">AN180-AO180</f>
        <v>0</v>
      </c>
      <c r="AP183" s="67" t="n">
        <f aca="false">AO180-AP180</f>
        <v>0</v>
      </c>
      <c r="AQ183" s="67" t="n">
        <f aca="false">AP180-AQ180</f>
        <v>0</v>
      </c>
      <c r="AR183" s="67" t="n">
        <f aca="false">AQ180-AR180</f>
        <v>0</v>
      </c>
      <c r="AS183" s="67" t="n">
        <f aca="false">AR180-AS180</f>
        <v>0</v>
      </c>
      <c r="AT183" s="67" t="n">
        <f aca="false">AS180-AT180</f>
        <v>0</v>
      </c>
      <c r="AU183" s="67" t="n">
        <f aca="false">AT180-AU180</f>
        <v>0</v>
      </c>
      <c r="AV183" s="67" t="n">
        <f aca="false">AU180-AV180</f>
        <v>0</v>
      </c>
      <c r="AW183" s="67" t="n">
        <f aca="false">AV180-AW180</f>
        <v>-819.112779336676</v>
      </c>
      <c r="AX183" s="67" t="n">
        <f aca="false">AW180-AX180</f>
        <v>0</v>
      </c>
      <c r="AY183" s="67" t="n">
        <f aca="false">AX180-AY180</f>
        <v>297.332295955191</v>
      </c>
      <c r="AZ183" s="67" t="n">
        <f aca="false">AY180-AZ180</f>
        <v>0</v>
      </c>
      <c r="BA183" s="67" t="n">
        <f aca="false">AZ180-BA180</f>
        <v>0</v>
      </c>
      <c r="BB183" s="67" t="n">
        <f aca="false">BA180-BB180</f>
        <v>0</v>
      </c>
      <c r="BC183" s="67" t="n">
        <f aca="false">BB180-BC180</f>
        <v>0</v>
      </c>
      <c r="BD183" s="67" t="n">
        <f aca="false">BC180-BD180</f>
        <v>0</v>
      </c>
      <c r="BE183" s="67" t="n">
        <f aca="false">BD180-BE180</f>
        <v>0</v>
      </c>
      <c r="BF183" s="67" t="n">
        <f aca="false">BE180-BF180</f>
        <v>0</v>
      </c>
      <c r="BG183" s="67" t="n">
        <f aca="false">BF180-BG180</f>
        <v>0</v>
      </c>
      <c r="BH183" s="67" t="n">
        <f aca="false">BG180-BH180</f>
        <v>0</v>
      </c>
      <c r="BI183" s="67" t="n">
        <f aca="false">BH180-BI180</f>
        <v>-868.996747598279</v>
      </c>
      <c r="BJ183" s="67" t="n">
        <f aca="false">BI180-BJ180</f>
        <v>0</v>
      </c>
    </row>
    <row r="184" customFormat="false" ht="15" hidden="false" customHeight="false" outlineLevel="0" collapsed="false">
      <c r="A184" s="6" t="s">
        <v>334</v>
      </c>
      <c r="C184" s="67" t="n">
        <f aca="false">C181</f>
        <v>22128.2962285714</v>
      </c>
      <c r="D184" s="67" t="n">
        <f aca="false">D181-C181</f>
        <v>1267.46057142857</v>
      </c>
      <c r="E184" s="67" t="n">
        <f aca="false">E181-D181</f>
        <v>1267.46057142858</v>
      </c>
      <c r="F184" s="67" t="n">
        <f aca="false">F181-E181</f>
        <v>0</v>
      </c>
      <c r="G184" s="67" t="n">
        <f aca="false">G181-F181</f>
        <v>0</v>
      </c>
      <c r="H184" s="67" t="n">
        <f aca="false">H181-G181</f>
        <v>0</v>
      </c>
      <c r="I184" s="67" t="n">
        <f aca="false">I181-H181</f>
        <v>0</v>
      </c>
      <c r="J184" s="67" t="n">
        <f aca="false">J181-I181</f>
        <v>0</v>
      </c>
      <c r="K184" s="67" t="n">
        <f aca="false">K181-J181</f>
        <v>0</v>
      </c>
      <c r="L184" s="67" t="n">
        <f aca="false">L181-K181</f>
        <v>0</v>
      </c>
      <c r="M184" s="67" t="n">
        <f aca="false">M181-L181</f>
        <v>4115.96434285715</v>
      </c>
      <c r="N184" s="67" t="n">
        <f aca="false">N181-M181</f>
        <v>0</v>
      </c>
      <c r="O184" s="67" t="n">
        <f aca="false">O181-N181</f>
        <v>-1853.89373293715</v>
      </c>
      <c r="P184" s="67" t="n">
        <f aca="false">P181-O181</f>
        <v>0</v>
      </c>
      <c r="Q184" s="67" t="n">
        <f aca="false">Q181-P181</f>
        <v>0</v>
      </c>
      <c r="R184" s="67" t="n">
        <f aca="false">R181-Q181</f>
        <v>0</v>
      </c>
      <c r="S184" s="67" t="n">
        <f aca="false">S181-R181</f>
        <v>0</v>
      </c>
      <c r="T184" s="67" t="n">
        <f aca="false">T181-S181</f>
        <v>0</v>
      </c>
      <c r="U184" s="67" t="n">
        <f aca="false">U181-T181</f>
        <v>0</v>
      </c>
      <c r="V184" s="67" t="n">
        <f aca="false">V181-U181</f>
        <v>0</v>
      </c>
      <c r="W184" s="67" t="n">
        <f aca="false">W181-V181</f>
        <v>0</v>
      </c>
      <c r="X184" s="67" t="n">
        <f aca="false">X181-W181</f>
        <v>0</v>
      </c>
      <c r="Y184" s="67" t="n">
        <f aca="false">Y181-X181</f>
        <v>4366.62657133715</v>
      </c>
      <c r="Z184" s="67" t="n">
        <f aca="false">Z181-Y181</f>
        <v>0</v>
      </c>
      <c r="AA184" s="67" t="n">
        <f aca="false">AA181-Z181</f>
        <v>-1850.04747005382</v>
      </c>
      <c r="AB184" s="67" t="n">
        <f aca="false">AB181-AA181</f>
        <v>0</v>
      </c>
      <c r="AC184" s="67" t="n">
        <f aca="false">AC181-AB181</f>
        <v>0</v>
      </c>
      <c r="AD184" s="67" t="n">
        <f aca="false">AD181-AC181</f>
        <v>0</v>
      </c>
      <c r="AE184" s="67" t="n">
        <f aca="false">AE181-AD181</f>
        <v>0</v>
      </c>
      <c r="AF184" s="67" t="n">
        <f aca="false">AF181-AE181</f>
        <v>0</v>
      </c>
      <c r="AG184" s="67" t="n">
        <f aca="false">AG181-AF181</f>
        <v>0</v>
      </c>
      <c r="AH184" s="67" t="n">
        <f aca="false">AH181-AG181</f>
        <v>0</v>
      </c>
      <c r="AI184" s="67" t="n">
        <f aca="false">AI181-AH181</f>
        <v>0</v>
      </c>
      <c r="AJ184" s="67" t="n">
        <f aca="false">AJ181-AI181</f>
        <v>0</v>
      </c>
      <c r="AK184" s="67" t="n">
        <f aca="false">AK181-AJ181</f>
        <v>4632.55412953159</v>
      </c>
      <c r="AL184" s="67" t="n">
        <f aca="false">AL181-AK181</f>
        <v>0</v>
      </c>
      <c r="AM184" s="67" t="n">
        <f aca="false">AM181-AL181</f>
        <v>-1828.03441686963</v>
      </c>
      <c r="AN184" s="67" t="n">
        <f aca="false">AN181-AM181</f>
        <v>0</v>
      </c>
      <c r="AO184" s="67" t="n">
        <f aca="false">AO181-AN181</f>
        <v>0</v>
      </c>
      <c r="AP184" s="67" t="n">
        <f aca="false">AP181-AO181</f>
        <v>0</v>
      </c>
      <c r="AQ184" s="67" t="n">
        <f aca="false">AQ181-AP181</f>
        <v>0</v>
      </c>
      <c r="AR184" s="67" t="n">
        <f aca="false">AR181-AQ181</f>
        <v>0</v>
      </c>
      <c r="AS184" s="67" t="n">
        <f aca="false">AS181-AR181</f>
        <v>0</v>
      </c>
      <c r="AT184" s="67" t="n">
        <f aca="false">AT181-AS181</f>
        <v>0</v>
      </c>
      <c r="AU184" s="67" t="n">
        <f aca="false">AU181-AT181</f>
        <v>0</v>
      </c>
      <c r="AV184" s="67" t="n">
        <f aca="false">AV181-AU181</f>
        <v>0</v>
      </c>
      <c r="AW184" s="67" t="n">
        <f aca="false">AW181-AV181</f>
        <v>4914.67667602006</v>
      </c>
      <c r="AX184" s="67" t="n">
        <f aca="false">AX181-AW181</f>
        <v>0</v>
      </c>
      <c r="AY184" s="67" t="n">
        <f aca="false">AY181-AX181</f>
        <v>-1783.99377573114</v>
      </c>
      <c r="AZ184" s="67" t="n">
        <f aca="false">AZ181-AY181</f>
        <v>0</v>
      </c>
      <c r="BA184" s="67" t="n">
        <f aca="false">BA181-AZ181</f>
        <v>0</v>
      </c>
      <c r="BB184" s="67" t="n">
        <f aca="false">BB181-BA181</f>
        <v>0</v>
      </c>
      <c r="BC184" s="67" t="n">
        <f aca="false">BC181-BB181</f>
        <v>0</v>
      </c>
      <c r="BD184" s="67" t="n">
        <f aca="false">BD181-BC181</f>
        <v>0</v>
      </c>
      <c r="BE184" s="67" t="n">
        <f aca="false">BE181-BD181</f>
        <v>0</v>
      </c>
      <c r="BF184" s="67" t="n">
        <f aca="false">BF181-BE181</f>
        <v>0</v>
      </c>
      <c r="BG184" s="67" t="n">
        <f aca="false">BG181-BF181</f>
        <v>0</v>
      </c>
      <c r="BH184" s="67" t="n">
        <f aca="false">BH181-BG181</f>
        <v>0</v>
      </c>
      <c r="BI184" s="67" t="n">
        <f aca="false">BI181-BH181</f>
        <v>5213.98048558967</v>
      </c>
      <c r="BJ184" s="67" t="n">
        <f aca="false">BJ181-BI181</f>
        <v>0</v>
      </c>
    </row>
    <row r="186" customFormat="false" ht="15.75" hidden="false" customHeight="true" outlineLevel="0" collapsed="false">
      <c r="A186" s="7" t="s">
        <v>422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customFormat="false" ht="15" hidden="false" customHeight="false" outlineLevel="0" collapsed="false">
      <c r="A187" s="4" t="s">
        <v>52</v>
      </c>
      <c r="C187" s="73" t="n">
        <f aca="false">C163-C168+C182+C183+C184</f>
        <v>-14679.0409264762</v>
      </c>
      <c r="D187" s="73" t="n">
        <f aca="false">D163-D168+D182+D183+D184</f>
        <v>3993.28994907936</v>
      </c>
      <c r="E187" s="73" t="n">
        <f aca="false">E163-E168+E182+E183+E184</f>
        <v>7255.9410944762</v>
      </c>
      <c r="F187" s="73" t="n">
        <f aca="false">F163-F168+F182+F183+F184</f>
        <v>8203.98506273016</v>
      </c>
      <c r="G187" s="73" t="n">
        <f aca="false">G163-G168+G182+G183+G184</f>
        <v>8211.44617384128</v>
      </c>
      <c r="H187" s="73" t="n">
        <f aca="false">H163-H168+H182+H183+H184</f>
        <v>8218.90728495239</v>
      </c>
      <c r="I187" s="73" t="n">
        <f aca="false">I163-I168+I182+I183+I184</f>
        <v>8226.3683960635</v>
      </c>
      <c r="J187" s="73" t="n">
        <f aca="false">J163-J168+J182+J183+J184</f>
        <v>8233.82950717461</v>
      </c>
      <c r="K187" s="73" t="n">
        <f aca="false">K163-K168+K182+K183+K184</f>
        <v>8241.29061828572</v>
      </c>
      <c r="L187" s="73" t="n">
        <f aca="false">L163-L168+L182+L183+L184</f>
        <v>8248.75172939683</v>
      </c>
      <c r="M187" s="73" t="n">
        <f aca="false">M163-M168+M182+M183+M184</f>
        <v>16648.0335307936</v>
      </c>
      <c r="N187" s="73" t="n">
        <f aca="false">N163-N168+N182+N183+N184</f>
        <v>20114.4843561905</v>
      </c>
      <c r="O187" s="73" t="n">
        <f aca="false">O163-O168+O182+O183+O184</f>
        <v>12436.1676102362</v>
      </c>
      <c r="P187" s="73" t="n">
        <f aca="false">P163-P168+P182+P183+P184</f>
        <v>10505.8826881282</v>
      </c>
      <c r="Q187" s="73" t="n">
        <f aca="false">Q163-Q168+Q182+Q183+Q184</f>
        <v>10516.260465906</v>
      </c>
      <c r="R187" s="73" t="n">
        <f aca="false">R163-R168+R182+R183+R184</f>
        <v>10526.6382436838</v>
      </c>
      <c r="S187" s="73" t="n">
        <f aca="false">S163-S168+S182+S183+S184</f>
        <v>10537.0160214616</v>
      </c>
      <c r="T187" s="73" t="n">
        <f aca="false">T163-T168+T182+T183+T184</f>
        <v>10547.3937992393</v>
      </c>
      <c r="U187" s="73" t="n">
        <f aca="false">U163-U168+U182+U183+U184</f>
        <v>10557.7715770171</v>
      </c>
      <c r="V187" s="73" t="n">
        <f aca="false">V163-V168+V182+V183+V184</f>
        <v>10568.1493547949</v>
      </c>
      <c r="W187" s="73" t="n">
        <f aca="false">W163-W168+W182+W183+W184</f>
        <v>10578.5271325727</v>
      </c>
      <c r="X187" s="73" t="n">
        <f aca="false">X163-X168+X182+X183+X184</f>
        <v>10588.9049103505</v>
      </c>
      <c r="Y187" s="73" t="n">
        <f aca="false">Y163-Y168+Y182+Y183+Y184</f>
        <v>19502.1652584523</v>
      </c>
      <c r="Z187" s="73" t="n">
        <f aca="false">Z163-Z168+Z182+Z183+Z184</f>
        <v>23182.1852241158</v>
      </c>
      <c r="AA187" s="73" t="n">
        <f aca="false">AA163-AA168+AA182+AA183+AA184</f>
        <v>15129.4697169395</v>
      </c>
      <c r="AB187" s="73" t="n">
        <f aca="false">AB163-AB168+AB182+AB183+AB184</f>
        <v>13143.6374134325</v>
      </c>
      <c r="AC187" s="73" t="n">
        <f aca="false">AC163-AC168+AC182+AC183+AC184</f>
        <v>13154.0151912102</v>
      </c>
      <c r="AD187" s="73" t="n">
        <f aca="false">AD163-AD168+AD182+AD183+AD184</f>
        <v>13164.392968988</v>
      </c>
      <c r="AE187" s="73" t="n">
        <f aca="false">AE163-AE168+AE182+AE183+AE184</f>
        <v>13174.7707467658</v>
      </c>
      <c r="AF187" s="73" t="n">
        <f aca="false">AF163-AF168+AF182+AF183+AF184</f>
        <v>13185.1485245436</v>
      </c>
      <c r="AG187" s="73" t="n">
        <f aca="false">AG163-AG168+AG182+AG183+AG184</f>
        <v>13195.5263023214</v>
      </c>
      <c r="AH187" s="73" t="n">
        <f aca="false">AH163-AH168+AH182+AH183+AH184</f>
        <v>13205.9040800991</v>
      </c>
      <c r="AI187" s="73" t="n">
        <f aca="false">AI163-AI168+AI182+AI183+AI184</f>
        <v>13216.2818578769</v>
      </c>
      <c r="AJ187" s="73" t="n">
        <f aca="false">AJ163-AJ168+AJ182+AJ183+AJ184</f>
        <v>13226.6596356547</v>
      </c>
      <c r="AK187" s="73" t="n">
        <f aca="false">AK163-AK168+AK182+AK183+AK184</f>
        <v>22682.1055322893</v>
      </c>
      <c r="AL187" s="73" t="n">
        <f aca="false">AL163-AL168+AL182+AL183+AL184</f>
        <v>26585.6067071951</v>
      </c>
      <c r="AM187" s="73" t="n">
        <f aca="false">AM163-AM168+AM182+AM183+AM184</f>
        <v>18155.5559832589</v>
      </c>
      <c r="AN187" s="73" t="n">
        <f aca="false">AN163-AN168+AN182+AN183+AN184</f>
        <v>16120.4148096966</v>
      </c>
      <c r="AO187" s="73" t="n">
        <f aca="false">AO163-AO168+AO182+AO183+AO184</f>
        <v>16130.7925874744</v>
      </c>
      <c r="AP187" s="73" t="n">
        <f aca="false">AP163-AP168+AP182+AP183+AP184</f>
        <v>16141.1703652522</v>
      </c>
      <c r="AQ187" s="73" t="n">
        <f aca="false">AQ163-AQ168+AQ182+AQ183+AQ184</f>
        <v>16151.5481430299</v>
      </c>
      <c r="AR187" s="73" t="n">
        <f aca="false">AR163-AR168+AR182+AR183+AR184</f>
        <v>16161.9259208077</v>
      </c>
      <c r="AS187" s="73" t="n">
        <f aca="false">AS163-AS168+AS182+AS183+AS184</f>
        <v>16172.3036985855</v>
      </c>
      <c r="AT187" s="73" t="n">
        <f aca="false">AT163-AT168+AT182+AT183+AT184</f>
        <v>16182.6814763633</v>
      </c>
      <c r="AU187" s="73" t="n">
        <f aca="false">AU163-AU168+AU182+AU183+AU184</f>
        <v>16193.059254141</v>
      </c>
      <c r="AV187" s="73" t="n">
        <f aca="false">AV163-AV168+AV182+AV183+AV184</f>
        <v>16203.4370319188</v>
      </c>
      <c r="AW187" s="73" t="n">
        <f aca="false">AW163-AW168+AW182+AW183+AW184</f>
        <v>26234.0875769919</v>
      </c>
      <c r="AX187" s="73" t="n">
        <f aca="false">AX163-AX168+AX182+AX183+AX184</f>
        <v>30374.6799667827</v>
      </c>
      <c r="AY187" s="73" t="n">
        <f aca="false">AY163-AY168+AY182+AY183+AY184</f>
        <v>21567.7953616171</v>
      </c>
      <c r="AZ187" s="73" t="n">
        <f aca="false">AZ163-AZ168+AZ182+AZ183+AZ184</f>
        <v>19491.4415935633</v>
      </c>
      <c r="BA187" s="73" t="n">
        <f aca="false">BA163-BA168+BA182+BA183+BA184</f>
        <v>19501.8193713411</v>
      </c>
      <c r="BB187" s="73" t="n">
        <f aca="false">BB163-BB168+BB182+BB183+BB184</f>
        <v>19512.1971491189</v>
      </c>
      <c r="BC187" s="73" t="n">
        <f aca="false">BC163-BC168+BC182+BC183+BC184</f>
        <v>19522.5749268967</v>
      </c>
      <c r="BD187" s="73" t="n">
        <f aca="false">BD163-BD168+BD182+BD183+BD184</f>
        <v>19532.9527046744</v>
      </c>
      <c r="BE187" s="73" t="n">
        <f aca="false">BE163-BE168+BE182+BE183+BE184</f>
        <v>19543.3304824522</v>
      </c>
      <c r="BF187" s="73" t="n">
        <f aca="false">BF163-BF168+BF182+BF183+BF184</f>
        <v>19553.70826023</v>
      </c>
      <c r="BG187" s="73" t="n">
        <f aca="false">BG163-BG168+BG182+BG183+BG184</f>
        <v>19564.0860380078</v>
      </c>
      <c r="BH187" s="73" t="n">
        <f aca="false">BH163-BH168+BH182+BH183+BH184</f>
        <v>19574.4638157856</v>
      </c>
      <c r="BI187" s="73" t="n">
        <f aca="false">BI163-BI168+BI182+BI183+BI184</f>
        <v>30215.3489723869</v>
      </c>
      <c r="BJ187" s="73" t="n">
        <f aca="false">BJ163-BJ168+BJ182+BJ183+BJ184</f>
        <v>34607.4714320493</v>
      </c>
    </row>
    <row r="188" customFormat="false" ht="15" hidden="false" customHeight="false" outlineLevel="0" collapsed="false">
      <c r="A188" s="6" t="s">
        <v>423</v>
      </c>
      <c r="C188" s="67" t="n">
        <f aca="false">-C166</f>
        <v>-90000</v>
      </c>
      <c r="D188" s="67" t="n">
        <f aca="false">-D166</f>
        <v>-0</v>
      </c>
      <c r="E188" s="67" t="n">
        <f aca="false">-E166</f>
        <v>-0</v>
      </c>
      <c r="F188" s="67" t="n">
        <f aca="false">-F166</f>
        <v>-0</v>
      </c>
      <c r="G188" s="67" t="n">
        <f aca="false">-G166</f>
        <v>-0</v>
      </c>
      <c r="H188" s="67" t="n">
        <f aca="false">-H166</f>
        <v>-0</v>
      </c>
      <c r="I188" s="67" t="n">
        <f aca="false">-I166</f>
        <v>-0</v>
      </c>
      <c r="J188" s="67" t="n">
        <f aca="false">-J166</f>
        <v>-0</v>
      </c>
      <c r="K188" s="67" t="n">
        <f aca="false">-K166</f>
        <v>-0</v>
      </c>
      <c r="L188" s="67" t="n">
        <f aca="false">-L166</f>
        <v>-0</v>
      </c>
      <c r="M188" s="67" t="n">
        <f aca="false">-M166</f>
        <v>-0</v>
      </c>
      <c r="N188" s="67" t="n">
        <f aca="false">-N166</f>
        <v>-0</v>
      </c>
      <c r="O188" s="67" t="n">
        <f aca="false">-O166</f>
        <v>-1166.66666666667</v>
      </c>
      <c r="P188" s="67" t="n">
        <f aca="false">-P166</f>
        <v>-1166.66666666667</v>
      </c>
      <c r="Q188" s="67" t="n">
        <f aca="false">-Q166</f>
        <v>-1166.66666666667</v>
      </c>
      <c r="R188" s="67" t="n">
        <f aca="false">-R166</f>
        <v>-1166.66666666667</v>
      </c>
      <c r="S188" s="67" t="n">
        <f aca="false">-S166</f>
        <v>-1166.66666666667</v>
      </c>
      <c r="T188" s="67" t="n">
        <f aca="false">-T166</f>
        <v>-1166.66666666667</v>
      </c>
      <c r="U188" s="67" t="n">
        <f aca="false">-U166</f>
        <v>-1166.66666666667</v>
      </c>
      <c r="V188" s="67" t="n">
        <f aca="false">-V166</f>
        <v>-1166.66666666667</v>
      </c>
      <c r="W188" s="67" t="n">
        <f aca="false">-W166</f>
        <v>-1166.66666666667</v>
      </c>
      <c r="X188" s="67" t="n">
        <f aca="false">-X166</f>
        <v>-1166.66666666667</v>
      </c>
      <c r="Y188" s="67" t="n">
        <f aca="false">-Y166</f>
        <v>-1166.66666666667</v>
      </c>
      <c r="Z188" s="67" t="n">
        <f aca="false">-Z166</f>
        <v>-1166.66666666667</v>
      </c>
      <c r="AA188" s="67" t="n">
        <f aca="false">-AA166</f>
        <v>-1166.66666666667</v>
      </c>
      <c r="AB188" s="67" t="n">
        <f aca="false">-AB166</f>
        <v>-1166.66666666667</v>
      </c>
      <c r="AC188" s="67" t="n">
        <f aca="false">-AC166</f>
        <v>-1166.66666666667</v>
      </c>
      <c r="AD188" s="67" t="n">
        <f aca="false">-AD166</f>
        <v>-1166.66666666667</v>
      </c>
      <c r="AE188" s="67" t="n">
        <f aca="false">-AE166</f>
        <v>-1166.66666666667</v>
      </c>
      <c r="AF188" s="67" t="n">
        <f aca="false">-AF166</f>
        <v>-1166.66666666667</v>
      </c>
      <c r="AG188" s="67" t="n">
        <f aca="false">-AG166</f>
        <v>-1166.66666666667</v>
      </c>
      <c r="AH188" s="67" t="n">
        <f aca="false">-AH166</f>
        <v>-1166.66666666667</v>
      </c>
      <c r="AI188" s="67" t="n">
        <f aca="false">-AI166</f>
        <v>-1166.66666666667</v>
      </c>
      <c r="AJ188" s="67" t="n">
        <f aca="false">-AJ166</f>
        <v>-1166.66666666667</v>
      </c>
      <c r="AK188" s="67" t="n">
        <f aca="false">-AK166</f>
        <v>-1166.66666666667</v>
      </c>
      <c r="AL188" s="67" t="n">
        <f aca="false">-AL166</f>
        <v>-1166.66666666667</v>
      </c>
      <c r="AM188" s="67" t="n">
        <f aca="false">-AM166</f>
        <v>-1166.66666666667</v>
      </c>
      <c r="AN188" s="67" t="n">
        <f aca="false">-AN166</f>
        <v>-1166.66666666667</v>
      </c>
      <c r="AO188" s="67" t="n">
        <f aca="false">-AO166</f>
        <v>-1166.66666666667</v>
      </c>
      <c r="AP188" s="67" t="n">
        <f aca="false">-AP166</f>
        <v>-1166.66666666667</v>
      </c>
      <c r="AQ188" s="67" t="n">
        <f aca="false">-AQ166</f>
        <v>-1166.66666666667</v>
      </c>
      <c r="AR188" s="67" t="n">
        <f aca="false">-AR166</f>
        <v>-1166.66666666667</v>
      </c>
      <c r="AS188" s="67" t="n">
        <f aca="false">-AS166</f>
        <v>-1166.66666666667</v>
      </c>
      <c r="AT188" s="67" t="n">
        <f aca="false">-AT166</f>
        <v>-1166.66666666667</v>
      </c>
      <c r="AU188" s="67" t="n">
        <f aca="false">-AU166</f>
        <v>-1166.66666666667</v>
      </c>
      <c r="AV188" s="67" t="n">
        <f aca="false">-AV166</f>
        <v>-1166.66666666667</v>
      </c>
      <c r="AW188" s="67" t="n">
        <f aca="false">-AW166</f>
        <v>-1166.66666666667</v>
      </c>
      <c r="AX188" s="67" t="n">
        <f aca="false">-AX166</f>
        <v>-1166.66666666667</v>
      </c>
      <c r="AY188" s="67" t="n">
        <f aca="false">-AY166</f>
        <v>-1166.66666666667</v>
      </c>
      <c r="AZ188" s="67" t="n">
        <f aca="false">-AZ166</f>
        <v>-1166.66666666667</v>
      </c>
      <c r="BA188" s="67" t="n">
        <f aca="false">-BA166</f>
        <v>-1166.66666666667</v>
      </c>
      <c r="BB188" s="67" t="n">
        <f aca="false">-BB166</f>
        <v>-1166.66666666667</v>
      </c>
      <c r="BC188" s="67" t="n">
        <f aca="false">-BC166</f>
        <v>-1166.66666666667</v>
      </c>
      <c r="BD188" s="67" t="n">
        <f aca="false">-BD166</f>
        <v>-1166.66666666667</v>
      </c>
      <c r="BE188" s="67" t="n">
        <f aca="false">-BE166</f>
        <v>-1166.66666666667</v>
      </c>
      <c r="BF188" s="67" t="n">
        <f aca="false">-BF166</f>
        <v>-1166.66666666667</v>
      </c>
      <c r="BG188" s="67" t="n">
        <f aca="false">-BG166</f>
        <v>-1166.66666666667</v>
      </c>
      <c r="BH188" s="67" t="n">
        <f aca="false">-BH166</f>
        <v>-1166.66666666667</v>
      </c>
      <c r="BI188" s="67" t="n">
        <f aca="false">-BI166</f>
        <v>-1166.66666666667</v>
      </c>
      <c r="BJ188" s="67" t="n">
        <f aca="false">-BJ166</f>
        <v>-1166.66666666667</v>
      </c>
    </row>
    <row r="189" customFormat="false" ht="15" hidden="false" customHeight="false" outlineLevel="0" collapsed="false">
      <c r="A189" s="6" t="s">
        <v>64</v>
      </c>
      <c r="C189" s="67" t="n">
        <f aca="false">IF(C$117=1,Inputs!$C$58,0)</f>
        <v>60000</v>
      </c>
      <c r="D189" s="67" t="n">
        <f aca="false">IF(D$117=1,Inputs!$C$58,0)</f>
        <v>0</v>
      </c>
      <c r="E189" s="67" t="n">
        <f aca="false">IF(E$117=1,Inputs!$C$58,0)</f>
        <v>0</v>
      </c>
      <c r="F189" s="67" t="n">
        <f aca="false">IF(F$117=1,Inputs!$C$58,0)</f>
        <v>0</v>
      </c>
      <c r="G189" s="67" t="n">
        <f aca="false">IF(G$117=1,Inputs!$C$58,0)</f>
        <v>0</v>
      </c>
      <c r="H189" s="67" t="n">
        <f aca="false">IF(H$117=1,Inputs!$C$58,0)</f>
        <v>0</v>
      </c>
      <c r="I189" s="67" t="n">
        <f aca="false">IF(I$117=1,Inputs!$C$58,0)</f>
        <v>0</v>
      </c>
      <c r="J189" s="67" t="n">
        <f aca="false">IF(J$117=1,Inputs!$C$58,0)</f>
        <v>0</v>
      </c>
      <c r="K189" s="67" t="n">
        <f aca="false">IF(K$117=1,Inputs!$C$58,0)</f>
        <v>0</v>
      </c>
      <c r="L189" s="67" t="n">
        <f aca="false">IF(L$117=1,Inputs!$C$58,0)</f>
        <v>0</v>
      </c>
      <c r="M189" s="67" t="n">
        <f aca="false">IF(M$117=1,Inputs!$C$58,0)</f>
        <v>0</v>
      </c>
      <c r="N189" s="67" t="n">
        <f aca="false">IF(N$117=1,Inputs!$C$58,0)</f>
        <v>0</v>
      </c>
      <c r="O189" s="67" t="n">
        <f aca="false">IF(O$117=1,Inputs!$C$58,0)</f>
        <v>0</v>
      </c>
      <c r="P189" s="67" t="n">
        <f aca="false">IF(P$117=1,Inputs!$C$58,0)</f>
        <v>0</v>
      </c>
      <c r="Q189" s="67" t="n">
        <f aca="false">IF(Q$117=1,Inputs!$C$58,0)</f>
        <v>0</v>
      </c>
      <c r="R189" s="67" t="n">
        <f aca="false">IF(R$117=1,Inputs!$C$58,0)</f>
        <v>0</v>
      </c>
      <c r="S189" s="67" t="n">
        <f aca="false">IF(S$117=1,Inputs!$C$58,0)</f>
        <v>0</v>
      </c>
      <c r="T189" s="67" t="n">
        <f aca="false">IF(T$117=1,Inputs!$C$58,0)</f>
        <v>0</v>
      </c>
      <c r="U189" s="67" t="n">
        <f aca="false">IF(U$117=1,Inputs!$C$58,0)</f>
        <v>0</v>
      </c>
      <c r="V189" s="67" t="n">
        <f aca="false">IF(V$117=1,Inputs!$C$58,0)</f>
        <v>0</v>
      </c>
      <c r="W189" s="67" t="n">
        <f aca="false">IF(W$117=1,Inputs!$C$58,0)</f>
        <v>0</v>
      </c>
      <c r="X189" s="67" t="n">
        <f aca="false">IF(X$117=1,Inputs!$C$58,0)</f>
        <v>0</v>
      </c>
      <c r="Y189" s="67" t="n">
        <f aca="false">IF(Y$117=1,Inputs!$C$58,0)</f>
        <v>0</v>
      </c>
      <c r="Z189" s="67" t="n">
        <f aca="false">IF(Z$117=1,Inputs!$C$58,0)</f>
        <v>0</v>
      </c>
      <c r="AA189" s="67" t="n">
        <f aca="false">IF(AA$117=1,Inputs!$C$58,0)</f>
        <v>0</v>
      </c>
      <c r="AB189" s="67" t="n">
        <f aca="false">IF(AB$117=1,Inputs!$C$58,0)</f>
        <v>0</v>
      </c>
      <c r="AC189" s="67" t="n">
        <f aca="false">IF(AC$117=1,Inputs!$C$58,0)</f>
        <v>0</v>
      </c>
      <c r="AD189" s="67" t="n">
        <f aca="false">IF(AD$117=1,Inputs!$C$58,0)</f>
        <v>0</v>
      </c>
      <c r="AE189" s="67" t="n">
        <f aca="false">IF(AE$117=1,Inputs!$C$58,0)</f>
        <v>0</v>
      </c>
      <c r="AF189" s="67" t="n">
        <f aca="false">IF(AF$117=1,Inputs!$C$58,0)</f>
        <v>0</v>
      </c>
      <c r="AG189" s="67" t="n">
        <f aca="false">IF(AG$117=1,Inputs!$C$58,0)</f>
        <v>0</v>
      </c>
      <c r="AH189" s="67" t="n">
        <f aca="false">IF(AH$117=1,Inputs!$C$58,0)</f>
        <v>0</v>
      </c>
      <c r="AI189" s="67" t="n">
        <f aca="false">IF(AI$117=1,Inputs!$C$58,0)</f>
        <v>0</v>
      </c>
      <c r="AJ189" s="67" t="n">
        <f aca="false">IF(AJ$117=1,Inputs!$C$58,0)</f>
        <v>0</v>
      </c>
      <c r="AK189" s="67" t="n">
        <f aca="false">IF(AK$117=1,Inputs!$C$58,0)</f>
        <v>0</v>
      </c>
      <c r="AL189" s="67" t="n">
        <f aca="false">IF(AL$117=1,Inputs!$C$58,0)</f>
        <v>0</v>
      </c>
      <c r="AM189" s="67" t="n">
        <f aca="false">IF(AM$117=1,Inputs!$C$58,0)</f>
        <v>0</v>
      </c>
      <c r="AN189" s="67" t="n">
        <f aca="false">IF(AN$117=1,Inputs!$C$58,0)</f>
        <v>0</v>
      </c>
      <c r="AO189" s="67" t="n">
        <f aca="false">IF(AO$117=1,Inputs!$C$58,0)</f>
        <v>0</v>
      </c>
      <c r="AP189" s="67" t="n">
        <f aca="false">IF(AP$117=1,Inputs!$C$58,0)</f>
        <v>0</v>
      </c>
      <c r="AQ189" s="67" t="n">
        <f aca="false">IF(AQ$117=1,Inputs!$C$58,0)</f>
        <v>0</v>
      </c>
      <c r="AR189" s="67" t="n">
        <f aca="false">IF(AR$117=1,Inputs!$C$58,0)</f>
        <v>0</v>
      </c>
      <c r="AS189" s="67" t="n">
        <f aca="false">IF(AS$117=1,Inputs!$C$58,0)</f>
        <v>0</v>
      </c>
      <c r="AT189" s="67" t="n">
        <f aca="false">IF(AT$117=1,Inputs!$C$58,0)</f>
        <v>0</v>
      </c>
      <c r="AU189" s="67" t="n">
        <f aca="false">IF(AU$117=1,Inputs!$C$58,0)</f>
        <v>0</v>
      </c>
      <c r="AV189" s="67" t="n">
        <f aca="false">IF(AV$117=1,Inputs!$C$58,0)</f>
        <v>0</v>
      </c>
      <c r="AW189" s="67" t="n">
        <f aca="false">IF(AW$117=1,Inputs!$C$58,0)</f>
        <v>0</v>
      </c>
      <c r="AX189" s="67" t="n">
        <f aca="false">IF(AX$117=1,Inputs!$C$58,0)</f>
        <v>0</v>
      </c>
      <c r="AY189" s="67" t="n">
        <f aca="false">IF(AY$117=1,Inputs!$C$58,0)</f>
        <v>0</v>
      </c>
      <c r="AZ189" s="67" t="n">
        <f aca="false">IF(AZ$117=1,Inputs!$C$58,0)</f>
        <v>0</v>
      </c>
      <c r="BA189" s="67" t="n">
        <f aca="false">IF(BA$117=1,Inputs!$C$58,0)</f>
        <v>0</v>
      </c>
      <c r="BB189" s="67" t="n">
        <f aca="false">IF(BB$117=1,Inputs!$C$58,0)</f>
        <v>0</v>
      </c>
      <c r="BC189" s="67" t="n">
        <f aca="false">IF(BC$117=1,Inputs!$C$58,0)</f>
        <v>0</v>
      </c>
      <c r="BD189" s="67" t="n">
        <f aca="false">IF(BD$117=1,Inputs!$C$58,0)</f>
        <v>0</v>
      </c>
      <c r="BE189" s="67" t="n">
        <f aca="false">IF(BE$117=1,Inputs!$C$58,0)</f>
        <v>0</v>
      </c>
      <c r="BF189" s="67" t="n">
        <f aca="false">IF(BF$117=1,Inputs!$C$58,0)</f>
        <v>0</v>
      </c>
      <c r="BG189" s="67" t="n">
        <f aca="false">IF(BG$117=1,Inputs!$C$58,0)</f>
        <v>0</v>
      </c>
      <c r="BH189" s="67" t="n">
        <f aca="false">IF(BH$117=1,Inputs!$C$58,0)</f>
        <v>0</v>
      </c>
      <c r="BI189" s="67" t="n">
        <f aca="false">IF(BI$117=1,Inputs!$C$58,0)</f>
        <v>0</v>
      </c>
      <c r="BJ189" s="67" t="n">
        <f aca="false">IF(BJ$117=1,Inputs!$C$58,0)</f>
        <v>0</v>
      </c>
    </row>
    <row r="190" customFormat="false" ht="15" hidden="false" customHeight="false" outlineLevel="0" collapsed="false">
      <c r="A190" s="6" t="s">
        <v>54</v>
      </c>
      <c r="C190" s="67" t="n">
        <f aca="false">C189+C174+C175</f>
        <v>140000</v>
      </c>
      <c r="D190" s="67" t="n">
        <f aca="false">D189+D174+D175</f>
        <v>-1333.33333333333</v>
      </c>
      <c r="E190" s="67" t="n">
        <f aca="false">E189+E174+E175</f>
        <v>-1333.33333333333</v>
      </c>
      <c r="F190" s="67" t="n">
        <f aca="false">F189+F174+F175</f>
        <v>-1333.33333333333</v>
      </c>
      <c r="G190" s="67" t="n">
        <f aca="false">G189+G174+G175</f>
        <v>-1333.33333333333</v>
      </c>
      <c r="H190" s="67" t="n">
        <f aca="false">H189+H174+H175</f>
        <v>-1333.33333333333</v>
      </c>
      <c r="I190" s="67" t="n">
        <f aca="false">I189+I174+I175</f>
        <v>-1333.33333333333</v>
      </c>
      <c r="J190" s="67" t="n">
        <f aca="false">J189+J174+J175</f>
        <v>-1333.33333333333</v>
      </c>
      <c r="K190" s="67" t="n">
        <f aca="false">K189+K174+K175</f>
        <v>-1333.33333333333</v>
      </c>
      <c r="L190" s="67" t="n">
        <f aca="false">L189+L174+L175</f>
        <v>-1333.33333333333</v>
      </c>
      <c r="M190" s="67" t="n">
        <f aca="false">M189+M174+M175</f>
        <v>-1333.33333333333</v>
      </c>
      <c r="N190" s="67" t="n">
        <f aca="false">N189+N174+N175</f>
        <v>-1333.33333333333</v>
      </c>
      <c r="O190" s="67" t="n">
        <f aca="false">O189+O174+O175</f>
        <v>-1333.33333333333</v>
      </c>
      <c r="P190" s="67" t="n">
        <f aca="false">P189+P174+P175</f>
        <v>-1333.33333333333</v>
      </c>
      <c r="Q190" s="67" t="n">
        <f aca="false">Q189+Q174+Q175</f>
        <v>-1333.33333333333</v>
      </c>
      <c r="R190" s="67" t="n">
        <f aca="false">R189+R174+R175</f>
        <v>-1333.33333333333</v>
      </c>
      <c r="S190" s="67" t="n">
        <f aca="false">S189+S174+S175</f>
        <v>-1333.33333333333</v>
      </c>
      <c r="T190" s="67" t="n">
        <f aca="false">T189+T174+T175</f>
        <v>-1333.33333333333</v>
      </c>
      <c r="U190" s="67" t="n">
        <f aca="false">U189+U174+U175</f>
        <v>-1333.33333333333</v>
      </c>
      <c r="V190" s="67" t="n">
        <f aca="false">V189+V174+V175</f>
        <v>-1333.33333333333</v>
      </c>
      <c r="W190" s="67" t="n">
        <f aca="false">W189+W174+W175</f>
        <v>-1333.33333333333</v>
      </c>
      <c r="X190" s="67" t="n">
        <f aca="false">X189+X174+X175</f>
        <v>-1333.33333333333</v>
      </c>
      <c r="Y190" s="67" t="n">
        <f aca="false">Y189+Y174+Y175</f>
        <v>-1333.33333333333</v>
      </c>
      <c r="Z190" s="67" t="n">
        <f aca="false">Z189+Z174+Z175</f>
        <v>-1333.33333333333</v>
      </c>
      <c r="AA190" s="67" t="n">
        <f aca="false">AA189+AA174+AA175</f>
        <v>-1333.33333333333</v>
      </c>
      <c r="AB190" s="67" t="n">
        <f aca="false">AB189+AB174+AB175</f>
        <v>-1333.33333333333</v>
      </c>
      <c r="AC190" s="67" t="n">
        <f aca="false">AC189+AC174+AC175</f>
        <v>-1333.33333333333</v>
      </c>
      <c r="AD190" s="67" t="n">
        <f aca="false">AD189+AD174+AD175</f>
        <v>-1333.33333333333</v>
      </c>
      <c r="AE190" s="67" t="n">
        <f aca="false">AE189+AE174+AE175</f>
        <v>-1333.33333333333</v>
      </c>
      <c r="AF190" s="67" t="n">
        <f aca="false">AF189+AF174+AF175</f>
        <v>-1333.33333333333</v>
      </c>
      <c r="AG190" s="67" t="n">
        <f aca="false">AG189+AG174+AG175</f>
        <v>-1333.33333333333</v>
      </c>
      <c r="AH190" s="67" t="n">
        <f aca="false">AH189+AH174+AH175</f>
        <v>-1333.33333333333</v>
      </c>
      <c r="AI190" s="67" t="n">
        <f aca="false">AI189+AI174+AI175</f>
        <v>-1333.33333333333</v>
      </c>
      <c r="AJ190" s="67" t="n">
        <f aca="false">AJ189+AJ174+AJ175</f>
        <v>-1333.33333333333</v>
      </c>
      <c r="AK190" s="67" t="n">
        <f aca="false">AK189+AK174+AK175</f>
        <v>-1333.33333333333</v>
      </c>
      <c r="AL190" s="67" t="n">
        <f aca="false">AL189+AL174+AL175</f>
        <v>-1333.33333333333</v>
      </c>
      <c r="AM190" s="67" t="n">
        <f aca="false">AM189+AM174+AM175</f>
        <v>-1333.33333333333</v>
      </c>
      <c r="AN190" s="67" t="n">
        <f aca="false">AN189+AN174+AN175</f>
        <v>-1333.33333333333</v>
      </c>
      <c r="AO190" s="67" t="n">
        <f aca="false">AO189+AO174+AO175</f>
        <v>-1333.33333333333</v>
      </c>
      <c r="AP190" s="67" t="n">
        <f aca="false">AP189+AP174+AP175</f>
        <v>-1333.33333333333</v>
      </c>
      <c r="AQ190" s="67" t="n">
        <f aca="false">AQ189+AQ174+AQ175</f>
        <v>-1333.33333333333</v>
      </c>
      <c r="AR190" s="67" t="n">
        <f aca="false">AR189+AR174+AR175</f>
        <v>-1333.33333333333</v>
      </c>
      <c r="AS190" s="67" t="n">
        <f aca="false">AS189+AS174+AS175</f>
        <v>-1333.33333333333</v>
      </c>
      <c r="AT190" s="67" t="n">
        <f aca="false">AT189+AT174+AT175</f>
        <v>-1333.33333333333</v>
      </c>
      <c r="AU190" s="67" t="n">
        <f aca="false">AU189+AU174+AU175</f>
        <v>-1333.33333333333</v>
      </c>
      <c r="AV190" s="67" t="n">
        <f aca="false">AV189+AV174+AV175</f>
        <v>-1333.33333333333</v>
      </c>
      <c r="AW190" s="67" t="n">
        <f aca="false">AW189+AW174+AW175</f>
        <v>-1333.33333333333</v>
      </c>
      <c r="AX190" s="67" t="n">
        <f aca="false">AX189+AX174+AX175</f>
        <v>-1333.33333333333</v>
      </c>
      <c r="AY190" s="67" t="n">
        <f aca="false">AY189+AY174+AY175</f>
        <v>-1333.33333333333</v>
      </c>
      <c r="AZ190" s="67" t="n">
        <f aca="false">AZ189+AZ174+AZ175</f>
        <v>-1333.33333333333</v>
      </c>
      <c r="BA190" s="67" t="n">
        <f aca="false">BA189+BA174+BA175</f>
        <v>-1333.33333333333</v>
      </c>
      <c r="BB190" s="67" t="n">
        <f aca="false">BB189+BB174+BB175</f>
        <v>-1333.33333333333</v>
      </c>
      <c r="BC190" s="67" t="n">
        <f aca="false">BC189+BC174+BC175</f>
        <v>-1333.33333333333</v>
      </c>
      <c r="BD190" s="67" t="n">
        <f aca="false">BD189+BD174+BD175</f>
        <v>-1333.33333333333</v>
      </c>
      <c r="BE190" s="67" t="n">
        <f aca="false">BE189+BE174+BE175</f>
        <v>-1333.33333333333</v>
      </c>
      <c r="BF190" s="67" t="n">
        <f aca="false">BF189+BF174+BF175</f>
        <v>-1333.33333333333</v>
      </c>
      <c r="BG190" s="67" t="n">
        <f aca="false">BG189+BG174+BG175</f>
        <v>-1333.33333333333</v>
      </c>
      <c r="BH190" s="67" t="n">
        <f aca="false">BH189+BH174+BH175</f>
        <v>-1333.33333333333</v>
      </c>
      <c r="BI190" s="67" t="n">
        <f aca="false">BI189+BI174+BI175</f>
        <v>-1333.33333333333</v>
      </c>
      <c r="BJ190" s="67" t="n">
        <f aca="false">BJ189+BJ174+BJ175</f>
        <v>-1333.33333333333</v>
      </c>
    </row>
    <row r="191" customFormat="false" ht="15" hidden="false" customHeight="false" outlineLevel="0" collapsed="false">
      <c r="A191" s="115" t="s">
        <v>424</v>
      </c>
      <c r="C191" s="68" t="n">
        <f aca="false">C187+C188+C190</f>
        <v>35320.9590735238</v>
      </c>
      <c r="D191" s="68" t="n">
        <f aca="false">D187+D188+D190</f>
        <v>2659.95661574603</v>
      </c>
      <c r="E191" s="68" t="n">
        <f aca="false">E187+E188+E190</f>
        <v>5922.60776114287</v>
      </c>
      <c r="F191" s="68" t="n">
        <f aca="false">F187+F188+F190</f>
        <v>6870.65172939683</v>
      </c>
      <c r="G191" s="68" t="n">
        <f aca="false">G187+G188+G190</f>
        <v>6878.11284050794</v>
      </c>
      <c r="H191" s="68" t="n">
        <f aca="false">H187+H188+H190</f>
        <v>6885.57395161905</v>
      </c>
      <c r="I191" s="68" t="n">
        <f aca="false">I187+I188+I190</f>
        <v>6893.03506273016</v>
      </c>
      <c r="J191" s="68" t="n">
        <f aca="false">J187+J188+J190</f>
        <v>6900.49617384128</v>
      </c>
      <c r="K191" s="68" t="n">
        <f aca="false">K187+K188+K190</f>
        <v>6907.95728495239</v>
      </c>
      <c r="L191" s="68" t="n">
        <f aca="false">L187+L188+L190</f>
        <v>6915.4183960635</v>
      </c>
      <c r="M191" s="68" t="n">
        <f aca="false">M187+M188+M190</f>
        <v>15314.7001974603</v>
      </c>
      <c r="N191" s="68" t="n">
        <f aca="false">N187+N188+N190</f>
        <v>18781.1510228571</v>
      </c>
      <c r="O191" s="68" t="n">
        <f aca="false">O187+O188+O190</f>
        <v>9936.16761023616</v>
      </c>
      <c r="P191" s="68" t="n">
        <f aca="false">P187+P188+P190</f>
        <v>8005.88268812823</v>
      </c>
      <c r="Q191" s="68" t="n">
        <f aca="false">Q187+Q188+Q190</f>
        <v>8016.26046590601</v>
      </c>
      <c r="R191" s="68" t="n">
        <f aca="false">R187+R188+R190</f>
        <v>8026.63824368379</v>
      </c>
      <c r="S191" s="68" t="n">
        <f aca="false">S187+S188+S190</f>
        <v>8037.01602146157</v>
      </c>
      <c r="T191" s="68" t="n">
        <f aca="false">T187+T188+T190</f>
        <v>8047.39379923935</v>
      </c>
      <c r="U191" s="68" t="n">
        <f aca="false">U187+U188+U190</f>
        <v>8057.77157701712</v>
      </c>
      <c r="V191" s="68" t="n">
        <f aca="false">V187+V188+V190</f>
        <v>8068.14935479491</v>
      </c>
      <c r="W191" s="68" t="n">
        <f aca="false">W187+W188+W190</f>
        <v>8078.52713257268</v>
      </c>
      <c r="X191" s="68" t="n">
        <f aca="false">X187+X188+X190</f>
        <v>8088.90491035046</v>
      </c>
      <c r="Y191" s="68" t="n">
        <f aca="false">Y187+Y188+Y190</f>
        <v>17002.1652584523</v>
      </c>
      <c r="Z191" s="68" t="n">
        <f aca="false">Z187+Z188+Z190</f>
        <v>20682.1852241158</v>
      </c>
      <c r="AA191" s="68" t="n">
        <f aca="false">AA187+AA188+AA190</f>
        <v>12629.4697169395</v>
      </c>
      <c r="AB191" s="68" t="n">
        <f aca="false">AB187+AB188+AB190</f>
        <v>10643.6374134325</v>
      </c>
      <c r="AC191" s="68" t="n">
        <f aca="false">AC187+AC188+AC190</f>
        <v>10654.0151912102</v>
      </c>
      <c r="AD191" s="68" t="n">
        <f aca="false">AD187+AD188+AD190</f>
        <v>10664.392968988</v>
      </c>
      <c r="AE191" s="68" t="n">
        <f aca="false">AE187+AE188+AE190</f>
        <v>10674.7707467658</v>
      </c>
      <c r="AF191" s="68" t="n">
        <f aca="false">AF187+AF188+AF190</f>
        <v>10685.1485245436</v>
      </c>
      <c r="AG191" s="68" t="n">
        <f aca="false">AG187+AG188+AG190</f>
        <v>10695.5263023214</v>
      </c>
      <c r="AH191" s="68" t="n">
        <f aca="false">AH187+AH188+AH190</f>
        <v>10705.9040800991</v>
      </c>
      <c r="AI191" s="68" t="n">
        <f aca="false">AI187+AI188+AI190</f>
        <v>10716.2818578769</v>
      </c>
      <c r="AJ191" s="68" t="n">
        <f aca="false">AJ187+AJ188+AJ190</f>
        <v>10726.6596356547</v>
      </c>
      <c r="AK191" s="68" t="n">
        <f aca="false">AK187+AK188+AK190</f>
        <v>20182.1055322893</v>
      </c>
      <c r="AL191" s="68" t="n">
        <f aca="false">AL187+AL188+AL190</f>
        <v>24085.6067071951</v>
      </c>
      <c r="AM191" s="68" t="n">
        <f aca="false">AM187+AM188+AM190</f>
        <v>15655.5559832589</v>
      </c>
      <c r="AN191" s="68" t="n">
        <f aca="false">AN187+AN188+AN190</f>
        <v>13620.4148096966</v>
      </c>
      <c r="AO191" s="68" t="n">
        <f aca="false">AO187+AO188+AO190</f>
        <v>13630.7925874744</v>
      </c>
      <c r="AP191" s="68" t="n">
        <f aca="false">AP187+AP188+AP190</f>
        <v>13641.1703652522</v>
      </c>
      <c r="AQ191" s="68" t="n">
        <f aca="false">AQ187+AQ188+AQ190</f>
        <v>13651.5481430299</v>
      </c>
      <c r="AR191" s="68" t="n">
        <f aca="false">AR187+AR188+AR190</f>
        <v>13661.9259208077</v>
      </c>
      <c r="AS191" s="68" t="n">
        <f aca="false">AS187+AS188+AS190</f>
        <v>13672.3036985855</v>
      </c>
      <c r="AT191" s="68" t="n">
        <f aca="false">AT187+AT188+AT190</f>
        <v>13682.6814763633</v>
      </c>
      <c r="AU191" s="68" t="n">
        <f aca="false">AU187+AU188+AU190</f>
        <v>13693.059254141</v>
      </c>
      <c r="AV191" s="68" t="n">
        <f aca="false">AV187+AV188+AV190</f>
        <v>13703.4370319188</v>
      </c>
      <c r="AW191" s="68" t="n">
        <f aca="false">AW187+AW188+AW190</f>
        <v>23734.0875769919</v>
      </c>
      <c r="AX191" s="68" t="n">
        <f aca="false">AX187+AX188+AX190</f>
        <v>27874.6799667827</v>
      </c>
      <c r="AY191" s="68" t="n">
        <f aca="false">AY187+AY188+AY190</f>
        <v>19067.7953616171</v>
      </c>
      <c r="AZ191" s="68" t="n">
        <f aca="false">AZ187+AZ188+AZ190</f>
        <v>16991.4415935633</v>
      </c>
      <c r="BA191" s="68" t="n">
        <f aca="false">BA187+BA188+BA190</f>
        <v>17001.8193713411</v>
      </c>
      <c r="BB191" s="68" t="n">
        <f aca="false">BB187+BB188+BB190</f>
        <v>17012.1971491189</v>
      </c>
      <c r="BC191" s="68" t="n">
        <f aca="false">BC187+BC188+BC190</f>
        <v>17022.5749268967</v>
      </c>
      <c r="BD191" s="68" t="n">
        <f aca="false">BD187+BD188+BD190</f>
        <v>17032.9527046744</v>
      </c>
      <c r="BE191" s="68" t="n">
        <f aca="false">BE187+BE188+BE190</f>
        <v>17043.3304824522</v>
      </c>
      <c r="BF191" s="68" t="n">
        <f aca="false">BF187+BF188+BF190</f>
        <v>17053.70826023</v>
      </c>
      <c r="BG191" s="68" t="n">
        <f aca="false">BG187+BG188+BG190</f>
        <v>17064.0860380078</v>
      </c>
      <c r="BH191" s="68" t="n">
        <f aca="false">BH187+BH188+BH190</f>
        <v>17074.4638157856</v>
      </c>
      <c r="BI191" s="68" t="n">
        <f aca="false">BI187+BI188+BI190</f>
        <v>27715.3489723869</v>
      </c>
      <c r="BJ191" s="68" t="n">
        <f aca="false">BJ187+BJ188+BJ190</f>
        <v>32107.4714320493</v>
      </c>
    </row>
    <row r="192" customFormat="false" ht="15" hidden="false" customHeight="false" outlineLevel="0" collapsed="false">
      <c r="A192" s="6" t="s">
        <v>335</v>
      </c>
      <c r="C192" s="67" t="n">
        <f aca="false">0</f>
        <v>0</v>
      </c>
      <c r="D192" s="67" t="n">
        <f aca="false">C193</f>
        <v>35320.9590735238</v>
      </c>
      <c r="E192" s="67" t="n">
        <f aca="false">D193</f>
        <v>37980.9156892698</v>
      </c>
      <c r="F192" s="67" t="n">
        <f aca="false">E193</f>
        <v>43903.5234504127</v>
      </c>
      <c r="G192" s="67" t="n">
        <f aca="false">F193</f>
        <v>50774.1751798095</v>
      </c>
      <c r="H192" s="67" t="n">
        <f aca="false">G193</f>
        <v>57652.2880203175</v>
      </c>
      <c r="I192" s="67" t="n">
        <f aca="false">H193</f>
        <v>64537.8619719365</v>
      </c>
      <c r="J192" s="67" t="n">
        <f aca="false">I193</f>
        <v>71430.8970346667</v>
      </c>
      <c r="K192" s="67" t="n">
        <f aca="false">J193</f>
        <v>78331.393208508</v>
      </c>
      <c r="L192" s="67" t="n">
        <f aca="false">K193</f>
        <v>85239.3504934604</v>
      </c>
      <c r="M192" s="67" t="n">
        <f aca="false">L193</f>
        <v>92154.7688895239</v>
      </c>
      <c r="N192" s="67" t="n">
        <f aca="false">M193</f>
        <v>107469.469086984</v>
      </c>
      <c r="O192" s="67" t="n">
        <f aca="false">N193</f>
        <v>126250.620109841</v>
      </c>
      <c r="P192" s="67" t="n">
        <f aca="false">O193</f>
        <v>136186.787720078</v>
      </c>
      <c r="Q192" s="67" t="n">
        <f aca="false">P193</f>
        <v>144192.670408206</v>
      </c>
      <c r="R192" s="67" t="n">
        <f aca="false">Q193</f>
        <v>152208.930874112</v>
      </c>
      <c r="S192" s="67" t="n">
        <f aca="false">R193</f>
        <v>160235.569117796</v>
      </c>
      <c r="T192" s="67" t="n">
        <f aca="false">S193</f>
        <v>168272.585139257</v>
      </c>
      <c r="U192" s="67" t="n">
        <f aca="false">T193</f>
        <v>176319.978938496</v>
      </c>
      <c r="V192" s="67" t="n">
        <f aca="false">U193</f>
        <v>184377.750515514</v>
      </c>
      <c r="W192" s="67" t="n">
        <f aca="false">V193</f>
        <v>192445.899870308</v>
      </c>
      <c r="X192" s="67" t="n">
        <f aca="false">W193</f>
        <v>200524.427002881</v>
      </c>
      <c r="Y192" s="67" t="n">
        <f aca="false">X193</f>
        <v>208613.331913232</v>
      </c>
      <c r="Z192" s="67" t="n">
        <f aca="false">Y193</f>
        <v>225615.497171684</v>
      </c>
      <c r="AA192" s="67" t="n">
        <f aca="false">Z193</f>
        <v>246297.6823958</v>
      </c>
      <c r="AB192" s="67" t="n">
        <f aca="false">AA193</f>
        <v>258927.152112739</v>
      </c>
      <c r="AC192" s="67" t="n">
        <f aca="false">AB193</f>
        <v>269570.789526172</v>
      </c>
      <c r="AD192" s="67" t="n">
        <f aca="false">AC193</f>
        <v>280224.804717382</v>
      </c>
      <c r="AE192" s="67" t="n">
        <f aca="false">AD193</f>
        <v>290889.19768637</v>
      </c>
      <c r="AF192" s="67" t="n">
        <f aca="false">AE193</f>
        <v>301563.968433136</v>
      </c>
      <c r="AG192" s="67" t="n">
        <f aca="false">AF193</f>
        <v>312249.116957679</v>
      </c>
      <c r="AH192" s="67" t="n">
        <f aca="false">AG193</f>
        <v>322944.643260001</v>
      </c>
      <c r="AI192" s="67" t="n">
        <f aca="false">AH193</f>
        <v>333650.5473401</v>
      </c>
      <c r="AJ192" s="67" t="n">
        <f aca="false">AI193</f>
        <v>344366.829197977</v>
      </c>
      <c r="AK192" s="67" t="n">
        <f aca="false">AJ193</f>
        <v>355093.488833631</v>
      </c>
      <c r="AL192" s="67" t="n">
        <f aca="false">AK193</f>
        <v>375275.594365921</v>
      </c>
      <c r="AM192" s="67" t="n">
        <f aca="false">AL193</f>
        <v>399361.201073116</v>
      </c>
      <c r="AN192" s="67" t="n">
        <f aca="false">AM193</f>
        <v>415016.757056375</v>
      </c>
      <c r="AO192" s="67" t="n">
        <f aca="false">AN193</f>
        <v>428637.171866071</v>
      </c>
      <c r="AP192" s="67" t="n">
        <f aca="false">AO193</f>
        <v>442267.964453546</v>
      </c>
      <c r="AQ192" s="67" t="n">
        <f aca="false">AP193</f>
        <v>455909.134818798</v>
      </c>
      <c r="AR192" s="67" t="n">
        <f aca="false">AQ193</f>
        <v>469560.682961828</v>
      </c>
      <c r="AS192" s="67" t="n">
        <f aca="false">AR193</f>
        <v>483222.608882636</v>
      </c>
      <c r="AT192" s="67" t="n">
        <f aca="false">AS193</f>
        <v>496894.912581221</v>
      </c>
      <c r="AU192" s="67" t="n">
        <f aca="false">AT193</f>
        <v>510577.594057584</v>
      </c>
      <c r="AV192" s="67" t="n">
        <f aca="false">AU193</f>
        <v>524270.653311725</v>
      </c>
      <c r="AW192" s="67" t="n">
        <f aca="false">AV193</f>
        <v>537974.090343644</v>
      </c>
      <c r="AX192" s="67" t="n">
        <f aca="false">AW193</f>
        <v>561708.177920636</v>
      </c>
      <c r="AY192" s="67" t="n">
        <f aca="false">AX193</f>
        <v>589582.857887419</v>
      </c>
      <c r="AZ192" s="67" t="n">
        <f aca="false">AY193</f>
        <v>608650.653249036</v>
      </c>
      <c r="BA192" s="67" t="n">
        <f aca="false">AZ193</f>
        <v>625642.094842599</v>
      </c>
      <c r="BB192" s="67" t="n">
        <f aca="false">BA193</f>
        <v>642643.91421394</v>
      </c>
      <c r="BC192" s="67" t="n">
        <f aca="false">BB193</f>
        <v>659656.111363059</v>
      </c>
      <c r="BD192" s="67" t="n">
        <f aca="false">BC193</f>
        <v>676678.686289956</v>
      </c>
      <c r="BE192" s="67" t="n">
        <f aca="false">BD193</f>
        <v>693711.63899463</v>
      </c>
      <c r="BF192" s="67" t="n">
        <f aca="false">BE193</f>
        <v>710754.969477082</v>
      </c>
      <c r="BG192" s="67" t="n">
        <f aca="false">BF193</f>
        <v>727808.677737312</v>
      </c>
      <c r="BH192" s="67" t="n">
        <f aca="false">BG193</f>
        <v>744872.76377532</v>
      </c>
      <c r="BI192" s="67" t="n">
        <f aca="false">BH193</f>
        <v>761947.227591106</v>
      </c>
      <c r="BJ192" s="67" t="n">
        <f aca="false">BI193</f>
        <v>789662.576563493</v>
      </c>
    </row>
    <row r="193" customFormat="false" ht="15" hidden="false" customHeight="false" outlineLevel="0" collapsed="false">
      <c r="A193" s="115" t="s">
        <v>87</v>
      </c>
      <c r="C193" s="68" t="n">
        <f aca="false">C192+C191</f>
        <v>35320.9590735238</v>
      </c>
      <c r="D193" s="68" t="n">
        <f aca="false">D192+D191</f>
        <v>37980.9156892698</v>
      </c>
      <c r="E193" s="68" t="n">
        <f aca="false">E192+E191</f>
        <v>43903.5234504127</v>
      </c>
      <c r="F193" s="68" t="n">
        <f aca="false">F192+F191</f>
        <v>50774.1751798095</v>
      </c>
      <c r="G193" s="68" t="n">
        <f aca="false">G192+G191</f>
        <v>57652.2880203175</v>
      </c>
      <c r="H193" s="68" t="n">
        <f aca="false">H192+H191</f>
        <v>64537.8619719365</v>
      </c>
      <c r="I193" s="68" t="n">
        <f aca="false">I192+I191</f>
        <v>71430.8970346667</v>
      </c>
      <c r="J193" s="68" t="n">
        <f aca="false">J192+J191</f>
        <v>78331.393208508</v>
      </c>
      <c r="K193" s="68" t="n">
        <f aca="false">K192+K191</f>
        <v>85239.3504934604</v>
      </c>
      <c r="L193" s="68" t="n">
        <f aca="false">L192+L191</f>
        <v>92154.7688895239</v>
      </c>
      <c r="M193" s="68" t="n">
        <f aca="false">M192+M191</f>
        <v>107469.469086984</v>
      </c>
      <c r="N193" s="68" t="n">
        <f aca="false">N192+N191</f>
        <v>126250.620109841</v>
      </c>
      <c r="O193" s="68" t="n">
        <f aca="false">O192+O191</f>
        <v>136186.787720078</v>
      </c>
      <c r="P193" s="68" t="n">
        <f aca="false">P192+P191</f>
        <v>144192.670408206</v>
      </c>
      <c r="Q193" s="68" t="n">
        <f aca="false">Q192+Q191</f>
        <v>152208.930874112</v>
      </c>
      <c r="R193" s="68" t="n">
        <f aca="false">R192+R191</f>
        <v>160235.569117796</v>
      </c>
      <c r="S193" s="68" t="n">
        <f aca="false">S192+S191</f>
        <v>168272.585139257</v>
      </c>
      <c r="T193" s="68" t="n">
        <f aca="false">T192+T191</f>
        <v>176319.978938496</v>
      </c>
      <c r="U193" s="68" t="n">
        <f aca="false">U192+U191</f>
        <v>184377.750515514</v>
      </c>
      <c r="V193" s="68" t="n">
        <f aca="false">V192+V191</f>
        <v>192445.899870308</v>
      </c>
      <c r="W193" s="68" t="n">
        <f aca="false">W192+W191</f>
        <v>200524.427002881</v>
      </c>
      <c r="X193" s="68" t="n">
        <f aca="false">X192+X191</f>
        <v>208613.331913232</v>
      </c>
      <c r="Y193" s="68" t="n">
        <f aca="false">Y192+Y191</f>
        <v>225615.497171684</v>
      </c>
      <c r="Z193" s="68" t="n">
        <f aca="false">Z192+Z191</f>
        <v>246297.6823958</v>
      </c>
      <c r="AA193" s="68" t="n">
        <f aca="false">AA192+AA191</f>
        <v>258927.152112739</v>
      </c>
      <c r="AB193" s="68" t="n">
        <f aca="false">AB192+AB191</f>
        <v>269570.789526172</v>
      </c>
      <c r="AC193" s="68" t="n">
        <f aca="false">AC192+AC191</f>
        <v>280224.804717382</v>
      </c>
      <c r="AD193" s="68" t="n">
        <f aca="false">AD192+AD191</f>
        <v>290889.19768637</v>
      </c>
      <c r="AE193" s="68" t="n">
        <f aca="false">AE192+AE191</f>
        <v>301563.968433136</v>
      </c>
      <c r="AF193" s="68" t="n">
        <f aca="false">AF192+AF191</f>
        <v>312249.116957679</v>
      </c>
      <c r="AG193" s="68" t="n">
        <f aca="false">AG192+AG191</f>
        <v>322944.643260001</v>
      </c>
      <c r="AH193" s="68" t="n">
        <f aca="false">AH192+AH191</f>
        <v>333650.5473401</v>
      </c>
      <c r="AI193" s="68" t="n">
        <f aca="false">AI192+AI191</f>
        <v>344366.829197977</v>
      </c>
      <c r="AJ193" s="68" t="n">
        <f aca="false">AJ192+AJ191</f>
        <v>355093.488833631</v>
      </c>
      <c r="AK193" s="68" t="n">
        <f aca="false">AK192+AK191</f>
        <v>375275.594365921</v>
      </c>
      <c r="AL193" s="68" t="n">
        <f aca="false">AL192+AL191</f>
        <v>399361.201073116</v>
      </c>
      <c r="AM193" s="68" t="n">
        <f aca="false">AM192+AM191</f>
        <v>415016.757056375</v>
      </c>
      <c r="AN193" s="68" t="n">
        <f aca="false">AN192+AN191</f>
        <v>428637.171866071</v>
      </c>
      <c r="AO193" s="68" t="n">
        <f aca="false">AO192+AO191</f>
        <v>442267.964453546</v>
      </c>
      <c r="AP193" s="68" t="n">
        <f aca="false">AP192+AP191</f>
        <v>455909.134818798</v>
      </c>
      <c r="AQ193" s="68" t="n">
        <f aca="false">AQ192+AQ191</f>
        <v>469560.682961828</v>
      </c>
      <c r="AR193" s="68" t="n">
        <f aca="false">AR192+AR191</f>
        <v>483222.608882636</v>
      </c>
      <c r="AS193" s="68" t="n">
        <f aca="false">AS192+AS191</f>
        <v>496894.912581221</v>
      </c>
      <c r="AT193" s="68" t="n">
        <f aca="false">AT192+AT191</f>
        <v>510577.594057584</v>
      </c>
      <c r="AU193" s="68" t="n">
        <f aca="false">AU192+AU191</f>
        <v>524270.653311725</v>
      </c>
      <c r="AV193" s="68" t="n">
        <f aca="false">AV192+AV191</f>
        <v>537974.090343644</v>
      </c>
      <c r="AW193" s="68" t="n">
        <f aca="false">AW192+AW191</f>
        <v>561708.177920636</v>
      </c>
      <c r="AX193" s="68" t="n">
        <f aca="false">AX192+AX191</f>
        <v>589582.857887419</v>
      </c>
      <c r="AY193" s="68" t="n">
        <f aca="false">AY192+AY191</f>
        <v>608650.653249036</v>
      </c>
      <c r="AZ193" s="68" t="n">
        <f aca="false">AZ192+AZ191</f>
        <v>625642.094842599</v>
      </c>
      <c r="BA193" s="68" t="n">
        <f aca="false">BA192+BA191</f>
        <v>642643.91421394</v>
      </c>
      <c r="BB193" s="68" t="n">
        <f aca="false">BB192+BB191</f>
        <v>659656.111363059</v>
      </c>
      <c r="BC193" s="68" t="n">
        <f aca="false">BC192+BC191</f>
        <v>676678.686289956</v>
      </c>
      <c r="BD193" s="68" t="n">
        <f aca="false">BD192+BD191</f>
        <v>693711.63899463</v>
      </c>
      <c r="BE193" s="68" t="n">
        <f aca="false">BE192+BE191</f>
        <v>710754.969477082</v>
      </c>
      <c r="BF193" s="68" t="n">
        <f aca="false">BF192+BF191</f>
        <v>727808.677737312</v>
      </c>
      <c r="BG193" s="68" t="n">
        <f aca="false">BG192+BG191</f>
        <v>744872.76377532</v>
      </c>
      <c r="BH193" s="68" t="n">
        <f aca="false">BH192+BH191</f>
        <v>761947.227591106</v>
      </c>
      <c r="BI193" s="68" t="n">
        <f aca="false">BI192+BI191</f>
        <v>789662.576563493</v>
      </c>
      <c r="BJ193" s="68" t="n">
        <f aca="false">BJ192+BJ191</f>
        <v>821770.047995542</v>
      </c>
    </row>
    <row r="194" customFormat="false" ht="15" hidden="false" customHeight="false" outlineLevel="0" collapsed="false">
      <c r="A194" s="121" t="s">
        <v>425</v>
      </c>
      <c r="C194" s="119" t="n">
        <f aca="false">IF(C154&gt;0,1,0)</f>
        <v>1</v>
      </c>
      <c r="D194" s="119" t="n">
        <f aca="false">IF(D154&gt;0,1,0)</f>
        <v>1</v>
      </c>
      <c r="E194" s="119" t="n">
        <f aca="false">IF(E154&gt;0,1,0)</f>
        <v>1</v>
      </c>
      <c r="F194" s="119" t="n">
        <f aca="false">IF(F154&gt;0,1,0)</f>
        <v>1</v>
      </c>
      <c r="G194" s="119" t="n">
        <f aca="false">IF(G154&gt;0,1,0)</f>
        <v>1</v>
      </c>
      <c r="H194" s="119" t="n">
        <f aca="false">IF(H154&gt;0,1,0)</f>
        <v>1</v>
      </c>
      <c r="I194" s="119" t="n">
        <f aca="false">IF(I154&gt;0,1,0)</f>
        <v>1</v>
      </c>
      <c r="J194" s="119" t="n">
        <f aca="false">IF(J154&gt;0,1,0)</f>
        <v>1</v>
      </c>
      <c r="K194" s="119" t="n">
        <f aca="false">IF(K154&gt;0,1,0)</f>
        <v>1</v>
      </c>
      <c r="L194" s="119" t="n">
        <f aca="false">IF(L154&gt;0,1,0)</f>
        <v>1</v>
      </c>
      <c r="M194" s="119" t="n">
        <f aca="false">IF(M154&gt;0,1,0)</f>
        <v>1</v>
      </c>
      <c r="N194" s="119" t="n">
        <f aca="false">IF(N154&gt;0,1,0)</f>
        <v>1</v>
      </c>
      <c r="O194" s="119" t="n">
        <f aca="false">IF(O154&gt;0,1,0)</f>
        <v>1</v>
      </c>
      <c r="P194" s="119" t="n">
        <f aca="false">IF(P154&gt;0,1,0)</f>
        <v>1</v>
      </c>
      <c r="Q194" s="119" t="n">
        <f aca="false">IF(Q154&gt;0,1,0)</f>
        <v>1</v>
      </c>
      <c r="R194" s="119" t="n">
        <f aca="false">IF(R154&gt;0,1,0)</f>
        <v>1</v>
      </c>
      <c r="S194" s="119" t="n">
        <f aca="false">IF(S154&gt;0,1,0)</f>
        <v>1</v>
      </c>
      <c r="T194" s="119" t="n">
        <f aca="false">IF(T154&gt;0,1,0)</f>
        <v>1</v>
      </c>
      <c r="U194" s="119" t="n">
        <f aca="false">IF(U154&gt;0,1,0)</f>
        <v>1</v>
      </c>
      <c r="V194" s="119" t="n">
        <f aca="false">IF(V154&gt;0,1,0)</f>
        <v>1</v>
      </c>
      <c r="W194" s="119" t="n">
        <f aca="false">IF(W154&gt;0,1,0)</f>
        <v>1</v>
      </c>
      <c r="X194" s="119" t="n">
        <f aca="false">IF(X154&gt;0,1,0)</f>
        <v>1</v>
      </c>
      <c r="Y194" s="119" t="n">
        <f aca="false">IF(Y154&gt;0,1,0)</f>
        <v>1</v>
      </c>
      <c r="Z194" s="119" t="n">
        <f aca="false">IF(Z154&gt;0,1,0)</f>
        <v>1</v>
      </c>
      <c r="AA194" s="119" t="n">
        <f aca="false">IF(AA154&gt;0,1,0)</f>
        <v>1</v>
      </c>
      <c r="AB194" s="119" t="n">
        <f aca="false">IF(AB154&gt;0,1,0)</f>
        <v>1</v>
      </c>
      <c r="AC194" s="119" t="n">
        <f aca="false">IF(AC154&gt;0,1,0)</f>
        <v>1</v>
      </c>
      <c r="AD194" s="119" t="n">
        <f aca="false">IF(AD154&gt;0,1,0)</f>
        <v>1</v>
      </c>
      <c r="AE194" s="119" t="n">
        <f aca="false">IF(AE154&gt;0,1,0)</f>
        <v>1</v>
      </c>
      <c r="AF194" s="119" t="n">
        <f aca="false">IF(AF154&gt;0,1,0)</f>
        <v>1</v>
      </c>
      <c r="AG194" s="119" t="n">
        <f aca="false">IF(AG154&gt;0,1,0)</f>
        <v>1</v>
      </c>
      <c r="AH194" s="119" t="n">
        <f aca="false">IF(AH154&gt;0,1,0)</f>
        <v>1</v>
      </c>
      <c r="AI194" s="119" t="n">
        <f aca="false">IF(AI154&gt;0,1,0)</f>
        <v>1</v>
      </c>
      <c r="AJ194" s="119" t="n">
        <f aca="false">IF(AJ154&gt;0,1,0)</f>
        <v>1</v>
      </c>
      <c r="AK194" s="119" t="n">
        <f aca="false">IF(AK154&gt;0,1,0)</f>
        <v>1</v>
      </c>
      <c r="AL194" s="119" t="n">
        <f aca="false">IF(AL154&gt;0,1,0)</f>
        <v>1</v>
      </c>
      <c r="AM194" s="119" t="n">
        <f aca="false">IF(AM154&gt;0,1,0)</f>
        <v>1</v>
      </c>
      <c r="AN194" s="119" t="n">
        <f aca="false">IF(AN154&gt;0,1,0)</f>
        <v>1</v>
      </c>
      <c r="AO194" s="119" t="n">
        <f aca="false">IF(AO154&gt;0,1,0)</f>
        <v>1</v>
      </c>
      <c r="AP194" s="119" t="n">
        <f aca="false">IF(AP154&gt;0,1,0)</f>
        <v>1</v>
      </c>
      <c r="AQ194" s="119" t="n">
        <f aca="false">IF(AQ154&gt;0,1,0)</f>
        <v>1</v>
      </c>
      <c r="AR194" s="119" t="n">
        <f aca="false">IF(AR154&gt;0,1,0)</f>
        <v>1</v>
      </c>
      <c r="AS194" s="119" t="n">
        <f aca="false">IF(AS154&gt;0,1,0)</f>
        <v>1</v>
      </c>
      <c r="AT194" s="119" t="n">
        <f aca="false">IF(AT154&gt;0,1,0)</f>
        <v>1</v>
      </c>
      <c r="AU194" s="119" t="n">
        <f aca="false">IF(AU154&gt;0,1,0)</f>
        <v>1</v>
      </c>
      <c r="AV194" s="119" t="n">
        <f aca="false">IF(AV154&gt;0,1,0)</f>
        <v>1</v>
      </c>
      <c r="AW194" s="119" t="n">
        <f aca="false">IF(AW154&gt;0,1,0)</f>
        <v>1</v>
      </c>
      <c r="AX194" s="119" t="n">
        <f aca="false">IF(AX154&gt;0,1,0)</f>
        <v>1</v>
      </c>
      <c r="AY194" s="119" t="n">
        <f aca="false">IF(AY154&gt;0,1,0)</f>
        <v>1</v>
      </c>
      <c r="AZ194" s="119" t="n">
        <f aca="false">IF(AZ154&gt;0,1,0)</f>
        <v>1</v>
      </c>
      <c r="BA194" s="119" t="n">
        <f aca="false">IF(BA154&gt;0,1,0)</f>
        <v>1</v>
      </c>
      <c r="BB194" s="119" t="n">
        <f aca="false">IF(BB154&gt;0,1,0)</f>
        <v>1</v>
      </c>
      <c r="BC194" s="119" t="n">
        <f aca="false">IF(BC154&gt;0,1,0)</f>
        <v>1</v>
      </c>
      <c r="BD194" s="119" t="n">
        <f aca="false">IF(BD154&gt;0,1,0)</f>
        <v>1</v>
      </c>
      <c r="BE194" s="119" t="n">
        <f aca="false">IF(BE154&gt;0,1,0)</f>
        <v>1</v>
      </c>
      <c r="BF194" s="119" t="n">
        <f aca="false">IF(BF154&gt;0,1,0)</f>
        <v>1</v>
      </c>
      <c r="BG194" s="119" t="n">
        <f aca="false">IF(BG154&gt;0,1,0)</f>
        <v>1</v>
      </c>
      <c r="BH194" s="119" t="n">
        <f aca="false">IF(BH154&gt;0,1,0)</f>
        <v>1</v>
      </c>
      <c r="BI194" s="119" t="n">
        <f aca="false">IF(BI154&gt;0,1,0)</f>
        <v>1</v>
      </c>
      <c r="BJ194" s="119" t="n">
        <f aca="false">IF(BJ154&gt;0,1,0)</f>
        <v>1</v>
      </c>
    </row>
    <row r="196" customFormat="false" ht="15.75" hidden="false" customHeight="true" outlineLevel="0" collapsed="false">
      <c r="A196" s="7" t="s">
        <v>426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customFormat="false" ht="15" hidden="false" customHeight="false" outlineLevel="0" collapsed="false">
      <c r="A197" s="121" t="s">
        <v>427</v>
      </c>
      <c r="C197" s="119" t="n">
        <f aca="false">IF(C163&gt;0,1,0)</f>
        <v>1</v>
      </c>
      <c r="D197" s="119" t="n">
        <f aca="false">IF(D163&gt;0,1,0)</f>
        <v>1</v>
      </c>
      <c r="E197" s="119" t="n">
        <f aca="false">IF(E163&gt;0,1,0)</f>
        <v>1</v>
      </c>
      <c r="F197" s="119" t="n">
        <f aca="false">IF(F163&gt;0,1,0)</f>
        <v>1</v>
      </c>
      <c r="G197" s="119" t="n">
        <f aca="false">IF(G163&gt;0,1,0)</f>
        <v>1</v>
      </c>
      <c r="H197" s="119" t="n">
        <f aca="false">IF(H163&gt;0,1,0)</f>
        <v>1</v>
      </c>
      <c r="I197" s="119" t="n">
        <f aca="false">IF(I163&gt;0,1,0)</f>
        <v>1</v>
      </c>
      <c r="J197" s="119" t="n">
        <f aca="false">IF(J163&gt;0,1,0)</f>
        <v>1</v>
      </c>
      <c r="K197" s="119" t="n">
        <f aca="false">IF(K163&gt;0,1,0)</f>
        <v>1</v>
      </c>
      <c r="L197" s="119" t="n">
        <f aca="false">IF(L163&gt;0,1,0)</f>
        <v>1</v>
      </c>
      <c r="M197" s="119" t="n">
        <f aca="false">IF(M163&gt;0,1,0)</f>
        <v>1</v>
      </c>
      <c r="N197" s="119" t="n">
        <f aca="false">IF(N163&gt;0,1,0)</f>
        <v>1</v>
      </c>
      <c r="O197" s="119" t="n">
        <f aca="false">IF(O163&gt;0,1,0)</f>
        <v>1</v>
      </c>
      <c r="P197" s="119" t="n">
        <f aca="false">IF(P163&gt;0,1,0)</f>
        <v>1</v>
      </c>
      <c r="Q197" s="119" t="n">
        <f aca="false">IF(Q163&gt;0,1,0)</f>
        <v>1</v>
      </c>
      <c r="R197" s="119" t="n">
        <f aca="false">IF(R163&gt;0,1,0)</f>
        <v>1</v>
      </c>
      <c r="S197" s="119" t="n">
        <f aca="false">IF(S163&gt;0,1,0)</f>
        <v>1</v>
      </c>
      <c r="T197" s="119" t="n">
        <f aca="false">IF(T163&gt;0,1,0)</f>
        <v>1</v>
      </c>
      <c r="U197" s="119" t="n">
        <f aca="false">IF(U163&gt;0,1,0)</f>
        <v>1</v>
      </c>
      <c r="V197" s="119" t="n">
        <f aca="false">IF(V163&gt;0,1,0)</f>
        <v>1</v>
      </c>
      <c r="W197" s="119" t="n">
        <f aca="false">IF(W163&gt;0,1,0)</f>
        <v>1</v>
      </c>
      <c r="X197" s="119" t="n">
        <f aca="false">IF(X163&gt;0,1,0)</f>
        <v>1</v>
      </c>
      <c r="Y197" s="119" t="n">
        <f aca="false">IF(Y163&gt;0,1,0)</f>
        <v>1</v>
      </c>
      <c r="Z197" s="119" t="n">
        <f aca="false">IF(Z163&gt;0,1,0)</f>
        <v>1</v>
      </c>
      <c r="AA197" s="119" t="n">
        <f aca="false">IF(AA163&gt;0,1,0)</f>
        <v>1</v>
      </c>
      <c r="AB197" s="119" t="n">
        <f aca="false">IF(AB163&gt;0,1,0)</f>
        <v>1</v>
      </c>
      <c r="AC197" s="119" t="n">
        <f aca="false">IF(AC163&gt;0,1,0)</f>
        <v>1</v>
      </c>
      <c r="AD197" s="119" t="n">
        <f aca="false">IF(AD163&gt;0,1,0)</f>
        <v>1</v>
      </c>
      <c r="AE197" s="119" t="n">
        <f aca="false">IF(AE163&gt;0,1,0)</f>
        <v>1</v>
      </c>
      <c r="AF197" s="119" t="n">
        <f aca="false">IF(AF163&gt;0,1,0)</f>
        <v>1</v>
      </c>
      <c r="AG197" s="119" t="n">
        <f aca="false">IF(AG163&gt;0,1,0)</f>
        <v>1</v>
      </c>
      <c r="AH197" s="119" t="n">
        <f aca="false">IF(AH163&gt;0,1,0)</f>
        <v>1</v>
      </c>
      <c r="AI197" s="119" t="n">
        <f aca="false">IF(AI163&gt;0,1,0)</f>
        <v>1</v>
      </c>
      <c r="AJ197" s="119" t="n">
        <f aca="false">IF(AJ163&gt;0,1,0)</f>
        <v>1</v>
      </c>
      <c r="AK197" s="119" t="n">
        <f aca="false">IF(AK163&gt;0,1,0)</f>
        <v>1</v>
      </c>
      <c r="AL197" s="119" t="n">
        <f aca="false">IF(AL163&gt;0,1,0)</f>
        <v>1</v>
      </c>
      <c r="AM197" s="119" t="n">
        <f aca="false">IF(AM163&gt;0,1,0)</f>
        <v>1</v>
      </c>
      <c r="AN197" s="119" t="n">
        <f aca="false">IF(AN163&gt;0,1,0)</f>
        <v>1</v>
      </c>
      <c r="AO197" s="119" t="n">
        <f aca="false">IF(AO163&gt;0,1,0)</f>
        <v>1</v>
      </c>
      <c r="AP197" s="119" t="n">
        <f aca="false">IF(AP163&gt;0,1,0)</f>
        <v>1</v>
      </c>
      <c r="AQ197" s="119" t="n">
        <f aca="false">IF(AQ163&gt;0,1,0)</f>
        <v>1</v>
      </c>
      <c r="AR197" s="119" t="n">
        <f aca="false">IF(AR163&gt;0,1,0)</f>
        <v>1</v>
      </c>
      <c r="AS197" s="119" t="n">
        <f aca="false">IF(AS163&gt;0,1,0)</f>
        <v>1</v>
      </c>
      <c r="AT197" s="119" t="n">
        <f aca="false">IF(AT163&gt;0,1,0)</f>
        <v>1</v>
      </c>
      <c r="AU197" s="119" t="n">
        <f aca="false">IF(AU163&gt;0,1,0)</f>
        <v>1</v>
      </c>
      <c r="AV197" s="119" t="n">
        <f aca="false">IF(AV163&gt;0,1,0)</f>
        <v>1</v>
      </c>
      <c r="AW197" s="119" t="n">
        <f aca="false">IF(AW163&gt;0,1,0)</f>
        <v>1</v>
      </c>
      <c r="AX197" s="119" t="n">
        <f aca="false">IF(AX163&gt;0,1,0)</f>
        <v>1</v>
      </c>
      <c r="AY197" s="119" t="n">
        <f aca="false">IF(AY163&gt;0,1,0)</f>
        <v>1</v>
      </c>
      <c r="AZ197" s="119" t="n">
        <f aca="false">IF(AZ163&gt;0,1,0)</f>
        <v>1</v>
      </c>
      <c r="BA197" s="119" t="n">
        <f aca="false">IF(BA163&gt;0,1,0)</f>
        <v>1</v>
      </c>
      <c r="BB197" s="119" t="n">
        <f aca="false">IF(BB163&gt;0,1,0)</f>
        <v>1</v>
      </c>
      <c r="BC197" s="119" t="n">
        <f aca="false">IF(BC163&gt;0,1,0)</f>
        <v>1</v>
      </c>
      <c r="BD197" s="119" t="n">
        <f aca="false">IF(BD163&gt;0,1,0)</f>
        <v>1</v>
      </c>
      <c r="BE197" s="119" t="n">
        <f aca="false">IF(BE163&gt;0,1,0)</f>
        <v>1</v>
      </c>
      <c r="BF197" s="119" t="n">
        <f aca="false">IF(BF163&gt;0,1,0)</f>
        <v>1</v>
      </c>
      <c r="BG197" s="119" t="n">
        <f aca="false">IF(BG163&gt;0,1,0)</f>
        <v>1</v>
      </c>
      <c r="BH197" s="119" t="n">
        <f aca="false">IF(BH163&gt;0,1,0)</f>
        <v>1</v>
      </c>
      <c r="BI197" s="119" t="n">
        <f aca="false">IF(BI163&gt;0,1,0)</f>
        <v>1</v>
      </c>
      <c r="BJ197" s="119" t="n">
        <f aca="false">IF(BJ163&gt;0,1,0)</f>
        <v>1</v>
      </c>
    </row>
    <row r="198" customFormat="false" ht="15" hidden="false" customHeight="false" outlineLevel="0" collapsed="false">
      <c r="A198" s="6" t="s">
        <v>428</v>
      </c>
      <c r="C198" s="67" t="n">
        <f aca="false">C187+C188</f>
        <v>-104679.040926476</v>
      </c>
      <c r="D198" s="67" t="n">
        <f aca="false">D187+D188</f>
        <v>3993.28994907936</v>
      </c>
      <c r="E198" s="67" t="n">
        <f aca="false">E187+E188</f>
        <v>7255.9410944762</v>
      </c>
      <c r="F198" s="67" t="n">
        <f aca="false">F187+F188</f>
        <v>8203.98506273016</v>
      </c>
      <c r="G198" s="67" t="n">
        <f aca="false">G187+G188</f>
        <v>8211.44617384128</v>
      </c>
      <c r="H198" s="67" t="n">
        <f aca="false">H187+H188</f>
        <v>8218.90728495239</v>
      </c>
      <c r="I198" s="67" t="n">
        <f aca="false">I187+I188</f>
        <v>8226.3683960635</v>
      </c>
      <c r="J198" s="67" t="n">
        <f aca="false">J187+J188</f>
        <v>8233.82950717461</v>
      </c>
      <c r="K198" s="67" t="n">
        <f aca="false">K187+K188</f>
        <v>8241.29061828572</v>
      </c>
      <c r="L198" s="67" t="n">
        <f aca="false">L187+L188</f>
        <v>8248.75172939683</v>
      </c>
      <c r="M198" s="67" t="n">
        <f aca="false">M187+M188</f>
        <v>16648.0335307936</v>
      </c>
      <c r="N198" s="67" t="n">
        <f aca="false">N187+N188</f>
        <v>20114.4843561905</v>
      </c>
      <c r="O198" s="67" t="n">
        <f aca="false">O187+O188</f>
        <v>11269.5009435695</v>
      </c>
      <c r="P198" s="67" t="n">
        <f aca="false">P187+P188</f>
        <v>9339.21602146157</v>
      </c>
      <c r="Q198" s="67" t="n">
        <f aca="false">Q187+Q188</f>
        <v>9349.59379923935</v>
      </c>
      <c r="R198" s="67" t="n">
        <f aca="false">R187+R188</f>
        <v>9359.97157701713</v>
      </c>
      <c r="S198" s="67" t="n">
        <f aca="false">S187+S188</f>
        <v>9370.3493547949</v>
      </c>
      <c r="T198" s="67" t="n">
        <f aca="false">T187+T188</f>
        <v>9380.72713257268</v>
      </c>
      <c r="U198" s="67" t="n">
        <f aca="false">U187+U188</f>
        <v>9391.10491035046</v>
      </c>
      <c r="V198" s="67" t="n">
        <f aca="false">V187+V188</f>
        <v>9401.48268812824</v>
      </c>
      <c r="W198" s="67" t="n">
        <f aca="false">W187+W188</f>
        <v>9411.86046590602</v>
      </c>
      <c r="X198" s="67" t="n">
        <f aca="false">X187+X188</f>
        <v>9422.23824368379</v>
      </c>
      <c r="Y198" s="67" t="n">
        <f aca="false">Y187+Y188</f>
        <v>18335.4985917857</v>
      </c>
      <c r="Z198" s="67" t="n">
        <f aca="false">Z187+Z188</f>
        <v>22015.5185574492</v>
      </c>
      <c r="AA198" s="67" t="n">
        <f aca="false">AA187+AA188</f>
        <v>13962.8030502728</v>
      </c>
      <c r="AB198" s="67" t="n">
        <f aca="false">AB187+AB188</f>
        <v>11976.9707467658</v>
      </c>
      <c r="AC198" s="67" t="n">
        <f aca="false">AC187+AC188</f>
        <v>11987.3485245436</v>
      </c>
      <c r="AD198" s="67" t="n">
        <f aca="false">AD187+AD188</f>
        <v>11997.7263023214</v>
      </c>
      <c r="AE198" s="67" t="n">
        <f aca="false">AE187+AE188</f>
        <v>12008.1040800991</v>
      </c>
      <c r="AF198" s="67" t="n">
        <f aca="false">AF187+AF188</f>
        <v>12018.4818578769</v>
      </c>
      <c r="AG198" s="67" t="n">
        <f aca="false">AG187+AG188</f>
        <v>12028.8596356547</v>
      </c>
      <c r="AH198" s="67" t="n">
        <f aca="false">AH187+AH188</f>
        <v>12039.2374134325</v>
      </c>
      <c r="AI198" s="67" t="n">
        <f aca="false">AI187+AI188</f>
        <v>12049.6151912102</v>
      </c>
      <c r="AJ198" s="67" t="n">
        <f aca="false">AJ187+AJ188</f>
        <v>12059.992968988</v>
      </c>
      <c r="AK198" s="67" t="n">
        <f aca="false">AK187+AK188</f>
        <v>21515.4388656227</v>
      </c>
      <c r="AL198" s="67" t="n">
        <f aca="false">AL187+AL188</f>
        <v>25418.9400405284</v>
      </c>
      <c r="AM198" s="67" t="n">
        <f aca="false">AM187+AM188</f>
        <v>16988.8893165923</v>
      </c>
      <c r="AN198" s="67" t="n">
        <f aca="false">AN187+AN188</f>
        <v>14953.74814303</v>
      </c>
      <c r="AO198" s="67" t="n">
        <f aca="false">AO187+AO188</f>
        <v>14964.1259208077</v>
      </c>
      <c r="AP198" s="67" t="n">
        <f aca="false">AP187+AP188</f>
        <v>14974.5036985855</v>
      </c>
      <c r="AQ198" s="67" t="n">
        <f aca="false">AQ187+AQ188</f>
        <v>14984.8814763633</v>
      </c>
      <c r="AR198" s="67" t="n">
        <f aca="false">AR187+AR188</f>
        <v>14995.2592541411</v>
      </c>
      <c r="AS198" s="67" t="n">
        <f aca="false">AS187+AS188</f>
        <v>15005.6370319188</v>
      </c>
      <c r="AT198" s="67" t="n">
        <f aca="false">AT187+AT188</f>
        <v>15016.0148096966</v>
      </c>
      <c r="AU198" s="67" t="n">
        <f aca="false">AU187+AU188</f>
        <v>15026.3925874744</v>
      </c>
      <c r="AV198" s="67" t="n">
        <f aca="false">AV187+AV188</f>
        <v>15036.7703652522</v>
      </c>
      <c r="AW198" s="67" t="n">
        <f aca="false">AW187+AW188</f>
        <v>25067.4209103252</v>
      </c>
      <c r="AX198" s="67" t="n">
        <f aca="false">AX187+AX188</f>
        <v>29208.013300116</v>
      </c>
      <c r="AY198" s="67" t="n">
        <f aca="false">AY187+AY188</f>
        <v>20401.1286949505</v>
      </c>
      <c r="AZ198" s="67" t="n">
        <f aca="false">AZ187+AZ188</f>
        <v>18324.7749268967</v>
      </c>
      <c r="BA198" s="67" t="n">
        <f aca="false">BA187+BA188</f>
        <v>18335.1527046744</v>
      </c>
      <c r="BB198" s="67" t="n">
        <f aca="false">BB187+BB188</f>
        <v>18345.5304824522</v>
      </c>
      <c r="BC198" s="67" t="n">
        <f aca="false">BC187+BC188</f>
        <v>18355.90826023</v>
      </c>
      <c r="BD198" s="67" t="n">
        <f aca="false">BD187+BD188</f>
        <v>18366.2860380078</v>
      </c>
      <c r="BE198" s="67" t="n">
        <f aca="false">BE187+BE188</f>
        <v>18376.6638157856</v>
      </c>
      <c r="BF198" s="67" t="n">
        <f aca="false">BF187+BF188</f>
        <v>18387.0415935633</v>
      </c>
      <c r="BG198" s="67" t="n">
        <f aca="false">BG187+BG188</f>
        <v>18397.4193713411</v>
      </c>
      <c r="BH198" s="67" t="n">
        <f aca="false">BH187+BH188</f>
        <v>18407.7971491189</v>
      </c>
      <c r="BI198" s="67" t="n">
        <f aca="false">BI187+BI188</f>
        <v>29048.6823057202</v>
      </c>
      <c r="BJ198" s="67" t="n">
        <f aca="false">BJ187+BJ188</f>
        <v>33440.8047653826</v>
      </c>
    </row>
    <row r="199" customFormat="false" ht="15" hidden="false" customHeight="false" outlineLevel="0" collapsed="false">
      <c r="A199" s="6" t="s">
        <v>429</v>
      </c>
      <c r="C199" s="67" t="n">
        <f aca="false">C198</f>
        <v>-104679.040926476</v>
      </c>
      <c r="D199" s="67" t="n">
        <f aca="false">C199+D198</f>
        <v>-100685.750977397</v>
      </c>
      <c r="E199" s="67" t="n">
        <f aca="false">D199+E198</f>
        <v>-93429.8098829206</v>
      </c>
      <c r="F199" s="67" t="n">
        <f aca="false">E199+F198</f>
        <v>-85225.8248201905</v>
      </c>
      <c r="G199" s="67" t="n">
        <f aca="false">F199+G198</f>
        <v>-77014.3786463492</v>
      </c>
      <c r="H199" s="67" t="n">
        <f aca="false">G199+H198</f>
        <v>-68795.4713613968</v>
      </c>
      <c r="I199" s="67" t="n">
        <f aca="false">H199+I198</f>
        <v>-60569.1029653333</v>
      </c>
      <c r="J199" s="67" t="n">
        <f aca="false">I199+J198</f>
        <v>-52335.2734581587</v>
      </c>
      <c r="K199" s="67" t="n">
        <f aca="false">J199+K198</f>
        <v>-44093.982839873</v>
      </c>
      <c r="L199" s="67" t="n">
        <f aca="false">K199+L198</f>
        <v>-35845.2311104761</v>
      </c>
      <c r="M199" s="67" t="n">
        <f aca="false">L199+M198</f>
        <v>-19197.1975796825</v>
      </c>
      <c r="N199" s="67" t="n">
        <f aca="false">M199+N198</f>
        <v>917.286776508008</v>
      </c>
      <c r="O199" s="67" t="n">
        <f aca="false">N199+O198</f>
        <v>12186.7877200775</v>
      </c>
      <c r="P199" s="67" t="n">
        <f aca="false">O199+P198</f>
        <v>21526.0037415391</v>
      </c>
      <c r="Q199" s="67" t="n">
        <f aca="false">P199+Q198</f>
        <v>30875.5975407784</v>
      </c>
      <c r="R199" s="67" t="n">
        <f aca="false">Q199+R198</f>
        <v>40235.5691177955</v>
      </c>
      <c r="S199" s="67" t="n">
        <f aca="false">R199+S198</f>
        <v>49605.9184725905</v>
      </c>
      <c r="T199" s="67" t="n">
        <f aca="false">S199+T198</f>
        <v>58986.6456051631</v>
      </c>
      <c r="U199" s="67" t="n">
        <f aca="false">T199+U198</f>
        <v>68377.7505155136</v>
      </c>
      <c r="V199" s="67" t="n">
        <f aca="false">U199+V198</f>
        <v>77779.2332036418</v>
      </c>
      <c r="W199" s="67" t="n">
        <f aca="false">V199+W198</f>
        <v>87191.0936695478</v>
      </c>
      <c r="X199" s="67" t="n">
        <f aca="false">W199+X198</f>
        <v>96613.3319132316</v>
      </c>
      <c r="Y199" s="67" t="n">
        <f aca="false">X199+Y198</f>
        <v>114948.830505017</v>
      </c>
      <c r="Z199" s="67" t="n">
        <f aca="false">Y199+Z198</f>
        <v>136964.349062466</v>
      </c>
      <c r="AA199" s="67" t="n">
        <f aca="false">Z199+AA198</f>
        <v>150927.152112739</v>
      </c>
      <c r="AB199" s="67" t="n">
        <f aca="false">AA199+AB198</f>
        <v>162904.122859505</v>
      </c>
      <c r="AC199" s="67" t="n">
        <f aca="false">AB199+AC198</f>
        <v>174891.471384049</v>
      </c>
      <c r="AD199" s="67" t="n">
        <f aca="false">AC199+AD198</f>
        <v>186889.19768637</v>
      </c>
      <c r="AE199" s="67" t="n">
        <f aca="false">AD199+AE198</f>
        <v>198897.301766469</v>
      </c>
      <c r="AF199" s="67" t="n">
        <f aca="false">AE199+AF198</f>
        <v>210915.783624346</v>
      </c>
      <c r="AG199" s="67" t="n">
        <f aca="false">AF199+AG198</f>
        <v>222944.643260001</v>
      </c>
      <c r="AH199" s="67" t="n">
        <f aca="false">AG199+AH198</f>
        <v>234983.880673433</v>
      </c>
      <c r="AI199" s="67" t="n">
        <f aca="false">AH199+AI198</f>
        <v>247033.495864643</v>
      </c>
      <c r="AJ199" s="67" t="n">
        <f aca="false">AI199+AJ198</f>
        <v>259093.488833631</v>
      </c>
      <c r="AK199" s="67" t="n">
        <f aca="false">AJ199+AK198</f>
        <v>280608.927699254</v>
      </c>
      <c r="AL199" s="67" t="n">
        <f aca="false">AK199+AL198</f>
        <v>306027.867739783</v>
      </c>
      <c r="AM199" s="67" t="n">
        <f aca="false">AL199+AM198</f>
        <v>323016.757056375</v>
      </c>
      <c r="AN199" s="67" t="n">
        <f aca="false">AM199+AN198</f>
        <v>337970.505199405</v>
      </c>
      <c r="AO199" s="67" t="n">
        <f aca="false">AN199+AO198</f>
        <v>352934.631120212</v>
      </c>
      <c r="AP199" s="67" t="n">
        <f aca="false">AO199+AP198</f>
        <v>367909.134818798</v>
      </c>
      <c r="AQ199" s="67" t="n">
        <f aca="false">AP199+AQ198</f>
        <v>382894.016295161</v>
      </c>
      <c r="AR199" s="67" t="n">
        <f aca="false">AQ199+AR198</f>
        <v>397889.275549302</v>
      </c>
      <c r="AS199" s="67" t="n">
        <f aca="false">AR199+AS198</f>
        <v>412894.912581221</v>
      </c>
      <c r="AT199" s="67" t="n">
        <f aca="false">AS199+AT198</f>
        <v>427910.927390918</v>
      </c>
      <c r="AU199" s="67" t="n">
        <f aca="false">AT199+AU198</f>
        <v>442937.319978392</v>
      </c>
      <c r="AV199" s="67" t="n">
        <f aca="false">AU199+AV198</f>
        <v>457974.090343644</v>
      </c>
      <c r="AW199" s="67" t="n">
        <f aca="false">AV199+AW198</f>
        <v>483041.511253969</v>
      </c>
      <c r="AX199" s="67" t="n">
        <f aca="false">AW199+AX198</f>
        <v>512249.524554085</v>
      </c>
      <c r="AY199" s="67" t="n">
        <f aca="false">AX199+AY198</f>
        <v>532650.653249036</v>
      </c>
      <c r="AZ199" s="67" t="n">
        <f aca="false">AY199+AZ198</f>
        <v>550975.428175933</v>
      </c>
      <c r="BA199" s="67" t="n">
        <f aca="false">AZ199+BA198</f>
        <v>569310.580880607</v>
      </c>
      <c r="BB199" s="67" t="n">
        <f aca="false">BA199+BB198</f>
        <v>587656.111363059</v>
      </c>
      <c r="BC199" s="67" t="n">
        <f aca="false">BB199+BC198</f>
        <v>606012.019623289</v>
      </c>
      <c r="BD199" s="67" t="n">
        <f aca="false">BC199+BD198</f>
        <v>624378.305661297</v>
      </c>
      <c r="BE199" s="67" t="n">
        <f aca="false">BD199+BE198</f>
        <v>642754.969477083</v>
      </c>
      <c r="BF199" s="67" t="n">
        <f aca="false">BE199+BF198</f>
        <v>661142.011070646</v>
      </c>
      <c r="BG199" s="67" t="n">
        <f aca="false">BF199+BG198</f>
        <v>679539.430441987</v>
      </c>
      <c r="BH199" s="67" t="n">
        <f aca="false">BG199+BH198</f>
        <v>697947.227591106</v>
      </c>
      <c r="BI199" s="67" t="n">
        <f aca="false">BH199+BI198</f>
        <v>726995.909896826</v>
      </c>
      <c r="BJ199" s="67" t="n">
        <f aca="false">BI199+BJ198</f>
        <v>760436.714662209</v>
      </c>
    </row>
    <row r="200" customFormat="false" ht="15" hidden="false" customHeight="false" outlineLevel="0" collapsed="false">
      <c r="A200" s="121" t="s">
        <v>430</v>
      </c>
      <c r="C200" s="67" t="n">
        <f aca="false">C199</f>
        <v>-104679.040926476</v>
      </c>
      <c r="D200" s="67" t="n">
        <f aca="false">MIN(C200,D199)</f>
        <v>-104679.040926476</v>
      </c>
      <c r="E200" s="67" t="n">
        <f aca="false">MIN(D200,E199)</f>
        <v>-104679.040926476</v>
      </c>
      <c r="F200" s="67" t="n">
        <f aca="false">MIN(E200,F199)</f>
        <v>-104679.040926476</v>
      </c>
      <c r="G200" s="67" t="n">
        <f aca="false">MIN(F200,G199)</f>
        <v>-104679.040926476</v>
      </c>
      <c r="H200" s="67" t="n">
        <f aca="false">MIN(G200,H199)</f>
        <v>-104679.040926476</v>
      </c>
      <c r="I200" s="67" t="n">
        <f aca="false">MIN(H200,I199)</f>
        <v>-104679.040926476</v>
      </c>
      <c r="J200" s="67" t="n">
        <f aca="false">MIN(I200,J199)</f>
        <v>-104679.040926476</v>
      </c>
      <c r="K200" s="67" t="n">
        <f aca="false">MIN(J200,K199)</f>
        <v>-104679.040926476</v>
      </c>
      <c r="L200" s="67" t="n">
        <f aca="false">MIN(K200,L199)</f>
        <v>-104679.040926476</v>
      </c>
      <c r="M200" s="67" t="n">
        <f aca="false">MIN(L200,M199)</f>
        <v>-104679.040926476</v>
      </c>
      <c r="N200" s="67" t="n">
        <f aca="false">MIN(M200,N199)</f>
        <v>-104679.040926476</v>
      </c>
      <c r="O200" s="67" t="n">
        <f aca="false">MIN(N200,O199)</f>
        <v>-104679.040926476</v>
      </c>
      <c r="P200" s="67" t="n">
        <f aca="false">MIN(O200,P199)</f>
        <v>-104679.040926476</v>
      </c>
      <c r="Q200" s="67" t="n">
        <f aca="false">MIN(P200,Q199)</f>
        <v>-104679.040926476</v>
      </c>
      <c r="R200" s="67" t="n">
        <f aca="false">MIN(Q200,R199)</f>
        <v>-104679.040926476</v>
      </c>
      <c r="S200" s="67" t="n">
        <f aca="false">MIN(R200,S199)</f>
        <v>-104679.040926476</v>
      </c>
      <c r="T200" s="67" t="n">
        <f aca="false">MIN(S200,T199)</f>
        <v>-104679.040926476</v>
      </c>
      <c r="U200" s="67" t="n">
        <f aca="false">MIN(T200,U199)</f>
        <v>-104679.040926476</v>
      </c>
      <c r="V200" s="67" t="n">
        <f aca="false">MIN(U200,V199)</f>
        <v>-104679.040926476</v>
      </c>
      <c r="W200" s="67" t="n">
        <f aca="false">MIN(V200,W199)</f>
        <v>-104679.040926476</v>
      </c>
      <c r="X200" s="67" t="n">
        <f aca="false">MIN(W200,X199)</f>
        <v>-104679.040926476</v>
      </c>
      <c r="Y200" s="67" t="n">
        <f aca="false">MIN(X200,Y199)</f>
        <v>-104679.040926476</v>
      </c>
      <c r="Z200" s="67" t="n">
        <f aca="false">MIN(Y200,Z199)</f>
        <v>-104679.040926476</v>
      </c>
      <c r="AA200" s="67" t="n">
        <f aca="false">MIN(Z200,AA199)</f>
        <v>-104679.040926476</v>
      </c>
      <c r="AB200" s="67" t="n">
        <f aca="false">MIN(AA200,AB199)</f>
        <v>-104679.040926476</v>
      </c>
      <c r="AC200" s="67" t="n">
        <f aca="false">MIN(AB200,AC199)</f>
        <v>-104679.040926476</v>
      </c>
      <c r="AD200" s="67" t="n">
        <f aca="false">MIN(AC200,AD199)</f>
        <v>-104679.040926476</v>
      </c>
      <c r="AE200" s="67" t="n">
        <f aca="false">MIN(AD200,AE199)</f>
        <v>-104679.040926476</v>
      </c>
      <c r="AF200" s="67" t="n">
        <f aca="false">MIN(AE200,AF199)</f>
        <v>-104679.040926476</v>
      </c>
      <c r="AG200" s="67" t="n">
        <f aca="false">MIN(AF200,AG199)</f>
        <v>-104679.040926476</v>
      </c>
      <c r="AH200" s="67" t="n">
        <f aca="false">MIN(AG200,AH199)</f>
        <v>-104679.040926476</v>
      </c>
      <c r="AI200" s="67" t="n">
        <f aca="false">MIN(AH200,AI199)</f>
        <v>-104679.040926476</v>
      </c>
      <c r="AJ200" s="67" t="n">
        <f aca="false">MIN(AI200,AJ199)</f>
        <v>-104679.040926476</v>
      </c>
      <c r="AK200" s="67" t="n">
        <f aca="false">MIN(AJ200,AK199)</f>
        <v>-104679.040926476</v>
      </c>
      <c r="AL200" s="67" t="n">
        <f aca="false">MIN(AK200,AL199)</f>
        <v>-104679.040926476</v>
      </c>
      <c r="AM200" s="67" t="n">
        <f aca="false">MIN(AL200,AM199)</f>
        <v>-104679.040926476</v>
      </c>
      <c r="AN200" s="67" t="n">
        <f aca="false">MIN(AM200,AN199)</f>
        <v>-104679.040926476</v>
      </c>
      <c r="AO200" s="67" t="n">
        <f aca="false">MIN(AN200,AO199)</f>
        <v>-104679.040926476</v>
      </c>
      <c r="AP200" s="67" t="n">
        <f aca="false">MIN(AO200,AP199)</f>
        <v>-104679.040926476</v>
      </c>
      <c r="AQ200" s="67" t="n">
        <f aca="false">MIN(AP200,AQ199)</f>
        <v>-104679.040926476</v>
      </c>
      <c r="AR200" s="67" t="n">
        <f aca="false">MIN(AQ200,AR199)</f>
        <v>-104679.040926476</v>
      </c>
      <c r="AS200" s="67" t="n">
        <f aca="false">MIN(AR200,AS199)</f>
        <v>-104679.040926476</v>
      </c>
      <c r="AT200" s="67" t="n">
        <f aca="false">MIN(AS200,AT199)</f>
        <v>-104679.040926476</v>
      </c>
      <c r="AU200" s="67" t="n">
        <f aca="false">MIN(AT200,AU199)</f>
        <v>-104679.040926476</v>
      </c>
      <c r="AV200" s="67" t="n">
        <f aca="false">MIN(AU200,AV199)</f>
        <v>-104679.040926476</v>
      </c>
      <c r="AW200" s="67" t="n">
        <f aca="false">MIN(AV200,AW199)</f>
        <v>-104679.040926476</v>
      </c>
      <c r="AX200" s="67" t="n">
        <f aca="false">MIN(AW200,AX199)</f>
        <v>-104679.040926476</v>
      </c>
      <c r="AY200" s="67" t="n">
        <f aca="false">MIN(AX200,AY199)</f>
        <v>-104679.040926476</v>
      </c>
      <c r="AZ200" s="67" t="n">
        <f aca="false">MIN(AY200,AZ199)</f>
        <v>-104679.040926476</v>
      </c>
      <c r="BA200" s="67" t="n">
        <f aca="false">MIN(AZ200,BA199)</f>
        <v>-104679.040926476</v>
      </c>
      <c r="BB200" s="67" t="n">
        <f aca="false">MIN(BA200,BB199)</f>
        <v>-104679.040926476</v>
      </c>
      <c r="BC200" s="67" t="n">
        <f aca="false">MIN(BB200,BC199)</f>
        <v>-104679.040926476</v>
      </c>
      <c r="BD200" s="67" t="n">
        <f aca="false">MIN(BC200,BD199)</f>
        <v>-104679.040926476</v>
      </c>
      <c r="BE200" s="67" t="n">
        <f aca="false">MIN(BD200,BE199)</f>
        <v>-104679.040926476</v>
      </c>
      <c r="BF200" s="67" t="n">
        <f aca="false">MIN(BE200,BF199)</f>
        <v>-104679.040926476</v>
      </c>
      <c r="BG200" s="67" t="n">
        <f aca="false">MIN(BF200,BG199)</f>
        <v>-104679.040926476</v>
      </c>
      <c r="BH200" s="67" t="n">
        <f aca="false">MIN(BG200,BH199)</f>
        <v>-104679.040926476</v>
      </c>
      <c r="BI200" s="67" t="n">
        <f aca="false">MIN(BH200,BI199)</f>
        <v>-104679.040926476</v>
      </c>
      <c r="BJ200" s="67" t="n">
        <f aca="false">MIN(BI200,BJ199)</f>
        <v>-104679.040926476</v>
      </c>
    </row>
    <row r="201" customFormat="false" ht="15" hidden="false" customHeight="false" outlineLevel="0" collapsed="false">
      <c r="A201" s="121" t="s">
        <v>431</v>
      </c>
      <c r="C201" s="119" t="n">
        <f aca="false">IF(AND(C199&gt;=0,C200&lt;0),1,0)</f>
        <v>0</v>
      </c>
      <c r="D201" s="119" t="n">
        <f aca="false">IF(AND(D199&gt;=0,D200&lt;0),1,0)</f>
        <v>0</v>
      </c>
      <c r="E201" s="119" t="n">
        <f aca="false">IF(AND(E199&gt;=0,E200&lt;0),1,0)</f>
        <v>0</v>
      </c>
      <c r="F201" s="119" t="n">
        <f aca="false">IF(AND(F199&gt;=0,F200&lt;0),1,0)</f>
        <v>0</v>
      </c>
      <c r="G201" s="119" t="n">
        <f aca="false">IF(AND(G199&gt;=0,G200&lt;0),1,0)</f>
        <v>0</v>
      </c>
      <c r="H201" s="119" t="n">
        <f aca="false">IF(AND(H199&gt;=0,H200&lt;0),1,0)</f>
        <v>0</v>
      </c>
      <c r="I201" s="119" t="n">
        <f aca="false">IF(AND(I199&gt;=0,I200&lt;0),1,0)</f>
        <v>0</v>
      </c>
      <c r="J201" s="119" t="n">
        <f aca="false">IF(AND(J199&gt;=0,J200&lt;0),1,0)</f>
        <v>0</v>
      </c>
      <c r="K201" s="119" t="n">
        <f aca="false">IF(AND(K199&gt;=0,K200&lt;0),1,0)</f>
        <v>0</v>
      </c>
      <c r="L201" s="119" t="n">
        <f aca="false">IF(AND(L199&gt;=0,L200&lt;0),1,0)</f>
        <v>0</v>
      </c>
      <c r="M201" s="119" t="n">
        <f aca="false">IF(AND(M199&gt;=0,M200&lt;0),1,0)</f>
        <v>0</v>
      </c>
      <c r="N201" s="119" t="n">
        <f aca="false">IF(AND(N199&gt;=0,N200&lt;0),1,0)</f>
        <v>1</v>
      </c>
      <c r="O201" s="119" t="n">
        <f aca="false">IF(AND(O199&gt;=0,O200&lt;0),1,0)</f>
        <v>1</v>
      </c>
      <c r="P201" s="119" t="n">
        <f aca="false">IF(AND(P199&gt;=0,P200&lt;0),1,0)</f>
        <v>1</v>
      </c>
      <c r="Q201" s="119" t="n">
        <f aca="false">IF(AND(Q199&gt;=0,Q200&lt;0),1,0)</f>
        <v>1</v>
      </c>
      <c r="R201" s="119" t="n">
        <f aca="false">IF(AND(R199&gt;=0,R200&lt;0),1,0)</f>
        <v>1</v>
      </c>
      <c r="S201" s="119" t="n">
        <f aca="false">IF(AND(S199&gt;=0,S200&lt;0),1,0)</f>
        <v>1</v>
      </c>
      <c r="T201" s="119" t="n">
        <f aca="false">IF(AND(T199&gt;=0,T200&lt;0),1,0)</f>
        <v>1</v>
      </c>
      <c r="U201" s="119" t="n">
        <f aca="false">IF(AND(U199&gt;=0,U200&lt;0),1,0)</f>
        <v>1</v>
      </c>
      <c r="V201" s="119" t="n">
        <f aca="false">IF(AND(V199&gt;=0,V200&lt;0),1,0)</f>
        <v>1</v>
      </c>
      <c r="W201" s="119" t="n">
        <f aca="false">IF(AND(W199&gt;=0,W200&lt;0),1,0)</f>
        <v>1</v>
      </c>
      <c r="X201" s="119" t="n">
        <f aca="false">IF(AND(X199&gt;=0,X200&lt;0),1,0)</f>
        <v>1</v>
      </c>
      <c r="Y201" s="119" t="n">
        <f aca="false">IF(AND(Y199&gt;=0,Y200&lt;0),1,0)</f>
        <v>1</v>
      </c>
      <c r="Z201" s="119" t="n">
        <f aca="false">IF(AND(Z199&gt;=0,Z200&lt;0),1,0)</f>
        <v>1</v>
      </c>
      <c r="AA201" s="119" t="n">
        <f aca="false">IF(AND(AA199&gt;=0,AA200&lt;0),1,0)</f>
        <v>1</v>
      </c>
      <c r="AB201" s="119" t="n">
        <f aca="false">IF(AND(AB199&gt;=0,AB200&lt;0),1,0)</f>
        <v>1</v>
      </c>
      <c r="AC201" s="119" t="n">
        <f aca="false">IF(AND(AC199&gt;=0,AC200&lt;0),1,0)</f>
        <v>1</v>
      </c>
      <c r="AD201" s="119" t="n">
        <f aca="false">IF(AND(AD199&gt;=0,AD200&lt;0),1,0)</f>
        <v>1</v>
      </c>
      <c r="AE201" s="119" t="n">
        <f aca="false">IF(AND(AE199&gt;=0,AE200&lt;0),1,0)</f>
        <v>1</v>
      </c>
      <c r="AF201" s="119" t="n">
        <f aca="false">IF(AND(AF199&gt;=0,AF200&lt;0),1,0)</f>
        <v>1</v>
      </c>
      <c r="AG201" s="119" t="n">
        <f aca="false">IF(AND(AG199&gt;=0,AG200&lt;0),1,0)</f>
        <v>1</v>
      </c>
      <c r="AH201" s="119" t="n">
        <f aca="false">IF(AND(AH199&gt;=0,AH200&lt;0),1,0)</f>
        <v>1</v>
      </c>
      <c r="AI201" s="119" t="n">
        <f aca="false">IF(AND(AI199&gt;=0,AI200&lt;0),1,0)</f>
        <v>1</v>
      </c>
      <c r="AJ201" s="119" t="n">
        <f aca="false">IF(AND(AJ199&gt;=0,AJ200&lt;0),1,0)</f>
        <v>1</v>
      </c>
      <c r="AK201" s="119" t="n">
        <f aca="false">IF(AND(AK199&gt;=0,AK200&lt;0),1,0)</f>
        <v>1</v>
      </c>
      <c r="AL201" s="119" t="n">
        <f aca="false">IF(AND(AL199&gt;=0,AL200&lt;0),1,0)</f>
        <v>1</v>
      </c>
      <c r="AM201" s="119" t="n">
        <f aca="false">IF(AND(AM199&gt;=0,AM200&lt;0),1,0)</f>
        <v>1</v>
      </c>
      <c r="AN201" s="119" t="n">
        <f aca="false">IF(AND(AN199&gt;=0,AN200&lt;0),1,0)</f>
        <v>1</v>
      </c>
      <c r="AO201" s="119" t="n">
        <f aca="false">IF(AND(AO199&gt;=0,AO200&lt;0),1,0)</f>
        <v>1</v>
      </c>
      <c r="AP201" s="119" t="n">
        <f aca="false">IF(AND(AP199&gt;=0,AP200&lt;0),1,0)</f>
        <v>1</v>
      </c>
      <c r="AQ201" s="119" t="n">
        <f aca="false">IF(AND(AQ199&gt;=0,AQ200&lt;0),1,0)</f>
        <v>1</v>
      </c>
      <c r="AR201" s="119" t="n">
        <f aca="false">IF(AND(AR199&gt;=0,AR200&lt;0),1,0)</f>
        <v>1</v>
      </c>
      <c r="AS201" s="119" t="n">
        <f aca="false">IF(AND(AS199&gt;=0,AS200&lt;0),1,0)</f>
        <v>1</v>
      </c>
      <c r="AT201" s="119" t="n">
        <f aca="false">IF(AND(AT199&gt;=0,AT200&lt;0),1,0)</f>
        <v>1</v>
      </c>
      <c r="AU201" s="119" t="n">
        <f aca="false">IF(AND(AU199&gt;=0,AU200&lt;0),1,0)</f>
        <v>1</v>
      </c>
      <c r="AV201" s="119" t="n">
        <f aca="false">IF(AND(AV199&gt;=0,AV200&lt;0),1,0)</f>
        <v>1</v>
      </c>
      <c r="AW201" s="119" t="n">
        <f aca="false">IF(AND(AW199&gt;=0,AW200&lt;0),1,0)</f>
        <v>1</v>
      </c>
      <c r="AX201" s="119" t="n">
        <f aca="false">IF(AND(AX199&gt;=0,AX200&lt;0),1,0)</f>
        <v>1</v>
      </c>
      <c r="AY201" s="119" t="n">
        <f aca="false">IF(AND(AY199&gt;=0,AY200&lt;0),1,0)</f>
        <v>1</v>
      </c>
      <c r="AZ201" s="119" t="n">
        <f aca="false">IF(AND(AZ199&gt;=0,AZ200&lt;0),1,0)</f>
        <v>1</v>
      </c>
      <c r="BA201" s="119" t="n">
        <f aca="false">IF(AND(BA199&gt;=0,BA200&lt;0),1,0)</f>
        <v>1</v>
      </c>
      <c r="BB201" s="119" t="n">
        <f aca="false">IF(AND(BB199&gt;=0,BB200&lt;0),1,0)</f>
        <v>1</v>
      </c>
      <c r="BC201" s="119" t="n">
        <f aca="false">IF(AND(BC199&gt;=0,BC200&lt;0),1,0)</f>
        <v>1</v>
      </c>
      <c r="BD201" s="119" t="n">
        <f aca="false">IF(AND(BD199&gt;=0,BD200&lt;0),1,0)</f>
        <v>1</v>
      </c>
      <c r="BE201" s="119" t="n">
        <f aca="false">IF(AND(BE199&gt;=0,BE200&lt;0),1,0)</f>
        <v>1</v>
      </c>
      <c r="BF201" s="119" t="n">
        <f aca="false">IF(AND(BF199&gt;=0,BF200&lt;0),1,0)</f>
        <v>1</v>
      </c>
      <c r="BG201" s="119" t="n">
        <f aca="false">IF(AND(BG199&gt;=0,BG200&lt;0),1,0)</f>
        <v>1</v>
      </c>
      <c r="BH201" s="119" t="n">
        <f aca="false">IF(AND(BH199&gt;=0,BH200&lt;0),1,0)</f>
        <v>1</v>
      </c>
      <c r="BI201" s="119" t="n">
        <f aca="false">IF(AND(BI199&gt;=0,BI200&lt;0),1,0)</f>
        <v>1</v>
      </c>
      <c r="BJ201" s="119" t="n">
        <f aca="false">IF(AND(BJ199&gt;=0,BJ200&lt;0),1,0)</f>
        <v>1</v>
      </c>
    </row>
    <row r="202" customFormat="false" ht="15" hidden="false" customHeight="false" outlineLevel="0" collapsed="false">
      <c r="A202" s="6" t="s">
        <v>432</v>
      </c>
      <c r="C202" s="67" t="n">
        <f aca="false">C187-C158*(1-Inputs!$C$70)+C188</f>
        <v>-104231.37425981</v>
      </c>
      <c r="D202" s="67" t="n">
        <f aca="false">D187-D158*(1-Inputs!$C$70)+D188</f>
        <v>4437.22606019048</v>
      </c>
      <c r="E202" s="67" t="n">
        <f aca="false">E187-E158*(1-Inputs!$C$70)+E188</f>
        <v>7692.4160944762</v>
      </c>
      <c r="F202" s="67" t="n">
        <f aca="false">F187-F158*(1-Inputs!$C$70)+F188</f>
        <v>8632.99895161905</v>
      </c>
      <c r="G202" s="67" t="n">
        <f aca="false">G187-G158*(1-Inputs!$C$70)+G188</f>
        <v>8632.99895161905</v>
      </c>
      <c r="H202" s="67" t="n">
        <f aca="false">H187-H158*(1-Inputs!$C$70)+H188</f>
        <v>8632.99895161905</v>
      </c>
      <c r="I202" s="67" t="n">
        <f aca="false">I187-I158*(1-Inputs!$C$70)+I188</f>
        <v>8632.99895161905</v>
      </c>
      <c r="J202" s="67" t="n">
        <f aca="false">J187-J158*(1-Inputs!$C$70)+J188</f>
        <v>8632.99895161905</v>
      </c>
      <c r="K202" s="67" t="n">
        <f aca="false">K187-K158*(1-Inputs!$C$70)+K188</f>
        <v>8632.99895161905</v>
      </c>
      <c r="L202" s="67" t="n">
        <f aca="false">L187-L158*(1-Inputs!$C$70)+L188</f>
        <v>8632.99895161905</v>
      </c>
      <c r="M202" s="67" t="n">
        <f aca="false">M187-M158*(1-Inputs!$C$70)+M188</f>
        <v>17024.8196419048</v>
      </c>
      <c r="N202" s="67" t="n">
        <f aca="false">N187-N158*(1-Inputs!$C$70)+N188</f>
        <v>20483.8093561905</v>
      </c>
      <c r="O202" s="67" t="n">
        <f aca="false">O187-O158*(1-Inputs!$C$70)+O188</f>
        <v>11631.3648324584</v>
      </c>
      <c r="P202" s="67" t="n">
        <f aca="false">P187-P158*(1-Inputs!$C$70)+P188</f>
        <v>9693.61879923934</v>
      </c>
      <c r="Q202" s="67" t="n">
        <f aca="false">Q187-Q158*(1-Inputs!$C$70)+Q188</f>
        <v>9696.53546590601</v>
      </c>
      <c r="R202" s="67" t="n">
        <f aca="false">R187-R158*(1-Inputs!$C$70)+R188</f>
        <v>9699.45213257268</v>
      </c>
      <c r="S202" s="67" t="n">
        <f aca="false">S187-S158*(1-Inputs!$C$70)+S188</f>
        <v>9702.36879923935</v>
      </c>
      <c r="T202" s="67" t="n">
        <f aca="false">T187-T158*(1-Inputs!$C$70)+T188</f>
        <v>9705.28546590601</v>
      </c>
      <c r="U202" s="67" t="n">
        <f aca="false">U187-U158*(1-Inputs!$C$70)+U188</f>
        <v>9708.20213257268</v>
      </c>
      <c r="V202" s="67" t="n">
        <f aca="false">V187-V158*(1-Inputs!$C$70)+V188</f>
        <v>9711.11879923935</v>
      </c>
      <c r="W202" s="67" t="n">
        <f aca="false">W187-W158*(1-Inputs!$C$70)+W188</f>
        <v>9714.03546590602</v>
      </c>
      <c r="X202" s="67" t="n">
        <f aca="false">X187-X158*(1-Inputs!$C$70)+X188</f>
        <v>9716.95213257268</v>
      </c>
      <c r="Y202" s="67" t="n">
        <f aca="false">Y187-Y158*(1-Inputs!$C$70)+Y188</f>
        <v>18622.7513695634</v>
      </c>
      <c r="Z202" s="67" t="n">
        <f aca="false">Z187-Z158*(1-Inputs!$C$70)+Z188</f>
        <v>22295.3102241158</v>
      </c>
      <c r="AA202" s="67" t="n">
        <f aca="false">AA187-AA158*(1-Inputs!$C$70)+AA188</f>
        <v>14235.1336058283</v>
      </c>
      <c r="AB202" s="67" t="n">
        <f aca="false">AB187-AB158*(1-Inputs!$C$70)+AB188</f>
        <v>12241.8401912102</v>
      </c>
      <c r="AC202" s="67" t="n">
        <f aca="false">AC187-AC158*(1-Inputs!$C$70)+AC188</f>
        <v>12244.7568578769</v>
      </c>
      <c r="AD202" s="67" t="n">
        <f aca="false">AD187-AD158*(1-Inputs!$C$70)+AD188</f>
        <v>12247.6735245436</v>
      </c>
      <c r="AE202" s="67" t="n">
        <f aca="false">AE187-AE158*(1-Inputs!$C$70)+AE188</f>
        <v>12250.5901912102</v>
      </c>
      <c r="AF202" s="67" t="n">
        <f aca="false">AF187-AF158*(1-Inputs!$C$70)+AF188</f>
        <v>12253.5068578769</v>
      </c>
      <c r="AG202" s="67" t="n">
        <f aca="false">AG187-AG158*(1-Inputs!$C$70)+AG188</f>
        <v>12256.4235245436</v>
      </c>
      <c r="AH202" s="67" t="n">
        <f aca="false">AH187-AH158*(1-Inputs!$C$70)+AH188</f>
        <v>12259.3401912102</v>
      </c>
      <c r="AI202" s="67" t="n">
        <f aca="false">AI187-AI158*(1-Inputs!$C$70)+AI188</f>
        <v>12262.2568578769</v>
      </c>
      <c r="AJ202" s="67" t="n">
        <f aca="false">AJ187-AJ158*(1-Inputs!$C$70)+AJ188</f>
        <v>12265.1735245436</v>
      </c>
      <c r="AK202" s="67" t="n">
        <f aca="false">AK187-AK158*(1-Inputs!$C$70)+AK188</f>
        <v>21713.1583100671</v>
      </c>
      <c r="AL202" s="67" t="n">
        <f aca="false">AL187-AL158*(1-Inputs!$C$70)+AL188</f>
        <v>25609.1983738617</v>
      </c>
      <c r="AM202" s="67" t="n">
        <f aca="false">AM187-AM158*(1-Inputs!$C$70)+AM188</f>
        <v>17171.6865388145</v>
      </c>
      <c r="AN202" s="67" t="n">
        <f aca="false">AN187-AN158*(1-Inputs!$C$70)+AN188</f>
        <v>15129.0842541411</v>
      </c>
      <c r="AO202" s="67" t="n">
        <f aca="false">AO187-AO158*(1-Inputs!$C$70)+AO188</f>
        <v>15132.0009208077</v>
      </c>
      <c r="AP202" s="67" t="n">
        <f aca="false">AP187-AP158*(1-Inputs!$C$70)+AP188</f>
        <v>15134.9175874744</v>
      </c>
      <c r="AQ202" s="67" t="n">
        <f aca="false">AQ187-AQ158*(1-Inputs!$C$70)+AQ188</f>
        <v>15137.8342541411</v>
      </c>
      <c r="AR202" s="67" t="n">
        <f aca="false">AR187-AR158*(1-Inputs!$C$70)+AR188</f>
        <v>15140.7509208077</v>
      </c>
      <c r="AS202" s="67" t="n">
        <f aca="false">AS187-AS158*(1-Inputs!$C$70)+AS188</f>
        <v>15143.6675874744</v>
      </c>
      <c r="AT202" s="67" t="n">
        <f aca="false">AT187-AT158*(1-Inputs!$C$70)+AT188</f>
        <v>15146.5842541411</v>
      </c>
      <c r="AU202" s="67" t="n">
        <f aca="false">AU187-AU158*(1-Inputs!$C$70)+AU188</f>
        <v>15149.5009208077</v>
      </c>
      <c r="AV202" s="67" t="n">
        <f aca="false">AV187-AV158*(1-Inputs!$C$70)+AV188</f>
        <v>15152.4175874744</v>
      </c>
      <c r="AW202" s="67" t="n">
        <f aca="false">AW187-AW158*(1-Inputs!$C$70)+AW188</f>
        <v>25175.6070214363</v>
      </c>
      <c r="AX202" s="67" t="n">
        <f aca="false">AX187-AX158*(1-Inputs!$C$70)+AX188</f>
        <v>29308.738300116</v>
      </c>
      <c r="AY202" s="67" t="n">
        <f aca="false">AY187-AY158*(1-Inputs!$C$70)+AY188</f>
        <v>20494.3925838393</v>
      </c>
      <c r="AZ202" s="67" t="n">
        <f aca="false">AZ187-AZ158*(1-Inputs!$C$70)+AZ188</f>
        <v>18410.5777046745</v>
      </c>
      <c r="BA202" s="67" t="n">
        <f aca="false">BA187-BA158*(1-Inputs!$C$70)+BA188</f>
        <v>18413.4943713411</v>
      </c>
      <c r="BB202" s="67" t="n">
        <f aca="false">BB187-BB158*(1-Inputs!$C$70)+BB188</f>
        <v>18416.4110380078</v>
      </c>
      <c r="BC202" s="67" t="n">
        <f aca="false">BC187-BC158*(1-Inputs!$C$70)+BC188</f>
        <v>18419.3277046744</v>
      </c>
      <c r="BD202" s="67" t="n">
        <f aca="false">BD187-BD158*(1-Inputs!$C$70)+BD188</f>
        <v>18422.2443713411</v>
      </c>
      <c r="BE202" s="67" t="n">
        <f aca="false">BE187-BE158*(1-Inputs!$C$70)+BE188</f>
        <v>18425.1610380078</v>
      </c>
      <c r="BF202" s="67" t="n">
        <f aca="false">BF187-BF158*(1-Inputs!$C$70)+BF188</f>
        <v>18428.0777046744</v>
      </c>
      <c r="BG202" s="67" t="n">
        <f aca="false">BG187-BG158*(1-Inputs!$C$70)+BG188</f>
        <v>18430.9943713411</v>
      </c>
      <c r="BH202" s="67" t="n">
        <f aca="false">BH187-BH158*(1-Inputs!$C$70)+BH188</f>
        <v>18433.9110380078</v>
      </c>
      <c r="BI202" s="67" t="n">
        <f aca="false">BI187-BI158*(1-Inputs!$C$70)+BI188</f>
        <v>29067.335083498</v>
      </c>
      <c r="BJ202" s="67" t="n">
        <f aca="false">BJ187-BJ158*(1-Inputs!$C$70)+BJ188</f>
        <v>33451.9964320493</v>
      </c>
    </row>
    <row r="204" customFormat="false" ht="15.75" hidden="false" customHeight="true" outlineLevel="0" collapsed="false">
      <c r="A204" s="7" t="s">
        <v>433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customFormat="false" ht="15" hidden="false" customHeight="false" outlineLevel="0" collapsed="false">
      <c r="A205" s="6" t="s">
        <v>97</v>
      </c>
      <c r="C205" s="67" t="n">
        <f aca="false">C189</f>
        <v>60000</v>
      </c>
      <c r="D205" s="67" t="n">
        <f aca="false">C205+D189</f>
        <v>60000</v>
      </c>
      <c r="E205" s="67" t="n">
        <f aca="false">D205+E189</f>
        <v>60000</v>
      </c>
      <c r="F205" s="67" t="n">
        <f aca="false">E205+F189</f>
        <v>60000</v>
      </c>
      <c r="G205" s="67" t="n">
        <f aca="false">F205+G189</f>
        <v>60000</v>
      </c>
      <c r="H205" s="67" t="n">
        <f aca="false">G205+H189</f>
        <v>60000</v>
      </c>
      <c r="I205" s="67" t="n">
        <f aca="false">H205+I189</f>
        <v>60000</v>
      </c>
      <c r="J205" s="67" t="n">
        <f aca="false">I205+J189</f>
        <v>60000</v>
      </c>
      <c r="K205" s="67" t="n">
        <f aca="false">J205+K189</f>
        <v>60000</v>
      </c>
      <c r="L205" s="67" t="n">
        <f aca="false">K205+L189</f>
        <v>60000</v>
      </c>
      <c r="M205" s="67" t="n">
        <f aca="false">L205+M189</f>
        <v>60000</v>
      </c>
      <c r="N205" s="67" t="n">
        <f aca="false">M205+N189</f>
        <v>60000</v>
      </c>
      <c r="O205" s="67" t="n">
        <f aca="false">N205+O189</f>
        <v>60000</v>
      </c>
      <c r="P205" s="67" t="n">
        <f aca="false">O205+P189</f>
        <v>60000</v>
      </c>
      <c r="Q205" s="67" t="n">
        <f aca="false">P205+Q189</f>
        <v>60000</v>
      </c>
      <c r="R205" s="67" t="n">
        <f aca="false">Q205+R189</f>
        <v>60000</v>
      </c>
      <c r="S205" s="67" t="n">
        <f aca="false">R205+S189</f>
        <v>60000</v>
      </c>
      <c r="T205" s="67" t="n">
        <f aca="false">S205+T189</f>
        <v>60000</v>
      </c>
      <c r="U205" s="67" t="n">
        <f aca="false">T205+U189</f>
        <v>60000</v>
      </c>
      <c r="V205" s="67" t="n">
        <f aca="false">U205+V189</f>
        <v>60000</v>
      </c>
      <c r="W205" s="67" t="n">
        <f aca="false">V205+W189</f>
        <v>60000</v>
      </c>
      <c r="X205" s="67" t="n">
        <f aca="false">W205+X189</f>
        <v>60000</v>
      </c>
      <c r="Y205" s="67" t="n">
        <f aca="false">X205+Y189</f>
        <v>60000</v>
      </c>
      <c r="Z205" s="67" t="n">
        <f aca="false">Y205+Z189</f>
        <v>60000</v>
      </c>
      <c r="AA205" s="67" t="n">
        <f aca="false">Z205+AA189</f>
        <v>60000</v>
      </c>
      <c r="AB205" s="67" t="n">
        <f aca="false">AA205+AB189</f>
        <v>60000</v>
      </c>
      <c r="AC205" s="67" t="n">
        <f aca="false">AB205+AC189</f>
        <v>60000</v>
      </c>
      <c r="AD205" s="67" t="n">
        <f aca="false">AC205+AD189</f>
        <v>60000</v>
      </c>
      <c r="AE205" s="67" t="n">
        <f aca="false">AD205+AE189</f>
        <v>60000</v>
      </c>
      <c r="AF205" s="67" t="n">
        <f aca="false">AE205+AF189</f>
        <v>60000</v>
      </c>
      <c r="AG205" s="67" t="n">
        <f aca="false">AF205+AG189</f>
        <v>60000</v>
      </c>
      <c r="AH205" s="67" t="n">
        <f aca="false">AG205+AH189</f>
        <v>60000</v>
      </c>
      <c r="AI205" s="67" t="n">
        <f aca="false">AH205+AI189</f>
        <v>60000</v>
      </c>
      <c r="AJ205" s="67" t="n">
        <f aca="false">AI205+AJ189</f>
        <v>60000</v>
      </c>
      <c r="AK205" s="67" t="n">
        <f aca="false">AJ205+AK189</f>
        <v>60000</v>
      </c>
      <c r="AL205" s="67" t="n">
        <f aca="false">AK205+AL189</f>
        <v>60000</v>
      </c>
      <c r="AM205" s="67" t="n">
        <f aca="false">AL205+AM189</f>
        <v>60000</v>
      </c>
      <c r="AN205" s="67" t="n">
        <f aca="false">AM205+AN189</f>
        <v>60000</v>
      </c>
      <c r="AO205" s="67" t="n">
        <f aca="false">AN205+AO189</f>
        <v>60000</v>
      </c>
      <c r="AP205" s="67" t="n">
        <f aca="false">AO205+AP189</f>
        <v>60000</v>
      </c>
      <c r="AQ205" s="67" t="n">
        <f aca="false">AP205+AQ189</f>
        <v>60000</v>
      </c>
      <c r="AR205" s="67" t="n">
        <f aca="false">AQ205+AR189</f>
        <v>60000</v>
      </c>
      <c r="AS205" s="67" t="n">
        <f aca="false">AR205+AS189</f>
        <v>60000</v>
      </c>
      <c r="AT205" s="67" t="n">
        <f aca="false">AS205+AT189</f>
        <v>60000</v>
      </c>
      <c r="AU205" s="67" t="n">
        <f aca="false">AT205+AU189</f>
        <v>60000</v>
      </c>
      <c r="AV205" s="67" t="n">
        <f aca="false">AU205+AV189</f>
        <v>60000</v>
      </c>
      <c r="AW205" s="67" t="n">
        <f aca="false">AV205+AW189</f>
        <v>60000</v>
      </c>
      <c r="AX205" s="67" t="n">
        <f aca="false">AW205+AX189</f>
        <v>60000</v>
      </c>
      <c r="AY205" s="67" t="n">
        <f aca="false">AX205+AY189</f>
        <v>60000</v>
      </c>
      <c r="AZ205" s="67" t="n">
        <f aca="false">AY205+AZ189</f>
        <v>60000</v>
      </c>
      <c r="BA205" s="67" t="n">
        <f aca="false">AZ205+BA189</f>
        <v>60000</v>
      </c>
      <c r="BB205" s="67" t="n">
        <f aca="false">BA205+BB189</f>
        <v>60000</v>
      </c>
      <c r="BC205" s="67" t="n">
        <f aca="false">BB205+BC189</f>
        <v>60000</v>
      </c>
      <c r="BD205" s="67" t="n">
        <f aca="false">BC205+BD189</f>
        <v>60000</v>
      </c>
      <c r="BE205" s="67" t="n">
        <f aca="false">BD205+BE189</f>
        <v>60000</v>
      </c>
      <c r="BF205" s="67" t="n">
        <f aca="false">BE205+BF189</f>
        <v>60000</v>
      </c>
      <c r="BG205" s="67" t="n">
        <f aca="false">BF205+BG189</f>
        <v>60000</v>
      </c>
      <c r="BH205" s="67" t="n">
        <f aca="false">BG205+BH189</f>
        <v>60000</v>
      </c>
      <c r="BI205" s="67" t="n">
        <f aca="false">BH205+BI189</f>
        <v>60000</v>
      </c>
      <c r="BJ205" s="67" t="n">
        <f aca="false">BI205+BJ189</f>
        <v>60000</v>
      </c>
    </row>
    <row r="206" customFormat="false" ht="15" hidden="false" customHeight="false" outlineLevel="0" collapsed="false">
      <c r="A206" s="6" t="s">
        <v>98</v>
      </c>
      <c r="C206" s="67" t="n">
        <f aca="false">C163</f>
        <v>603.523644952383</v>
      </c>
      <c r="D206" s="67" t="n">
        <f aca="false">C206+D163</f>
        <v>4465.96787974604</v>
      </c>
      <c r="E206" s="67" t="n">
        <f aca="false">D206+E163</f>
        <v>11591.0632599365</v>
      </c>
      <c r="F206" s="67" t="n">
        <f aca="false">E206+F163</f>
        <v>18723.6197512381</v>
      </c>
      <c r="G206" s="67" t="n">
        <f aca="false">F206+G163</f>
        <v>25863.6373536508</v>
      </c>
      <c r="H206" s="67" t="n">
        <f aca="false">G206+H163</f>
        <v>33011.1160671746</v>
      </c>
      <c r="I206" s="67" t="n">
        <f aca="false">H206+I163</f>
        <v>40166.0558918096</v>
      </c>
      <c r="J206" s="67" t="n">
        <f aca="false">I206+J163</f>
        <v>47328.4568275556</v>
      </c>
      <c r="K206" s="67" t="n">
        <f aca="false">J206+K163</f>
        <v>54498.3188744127</v>
      </c>
      <c r="L206" s="67" t="n">
        <f aca="false">K206+L163</f>
        <v>61675.642032381</v>
      </c>
      <c r="M206" s="67" t="n">
        <f aca="false">L206+M163</f>
        <v>80711.2367060318</v>
      </c>
      <c r="N206" s="67" t="n">
        <f aca="false">M206+N163</f>
        <v>99754.2924907937</v>
      </c>
      <c r="O206" s="67" t="n">
        <f aca="false">N206+O163</f>
        <v>109164.479940827</v>
      </c>
      <c r="P206" s="67" t="n">
        <f aca="false">O206+P163</f>
        <v>118571.156279749</v>
      </c>
      <c r="Q206" s="67" t="n">
        <f aca="false">P206+Q163</f>
        <v>127974.321507559</v>
      </c>
      <c r="R206" s="67" t="n">
        <f aca="false">Q206+R163</f>
        <v>137373.975624259</v>
      </c>
      <c r="S206" s="67" t="n">
        <f aca="false">R206+S163</f>
        <v>146770.118629848</v>
      </c>
      <c r="T206" s="67" t="n">
        <f aca="false">S206+T163</f>
        <v>156162.750524325</v>
      </c>
      <c r="U206" s="67" t="n">
        <f aca="false">T206+U163</f>
        <v>165551.871307691</v>
      </c>
      <c r="V206" s="67" t="n">
        <f aca="false">U206+V163</f>
        <v>174937.480979947</v>
      </c>
      <c r="W206" s="67" t="n">
        <f aca="false">V206+W163</f>
        <v>184319.579541091</v>
      </c>
      <c r="X206" s="67" t="n">
        <f aca="false">W206+X163</f>
        <v>193698.166991124</v>
      </c>
      <c r="Y206" s="67" t="n">
        <f aca="false">X206+Y163</f>
        <v>215645.768088255</v>
      </c>
      <c r="Z206" s="67" t="n">
        <f aca="false">Y206+Z163</f>
        <v>237589.858074276</v>
      </c>
      <c r="AA206" s="67" t="n">
        <f aca="false">Z206+AA163</f>
        <v>249471.133582947</v>
      </c>
      <c r="AB206" s="67" t="n">
        <f aca="false">AA206+AB163</f>
        <v>261348.897980506</v>
      </c>
      <c r="AC206" s="67" t="n">
        <f aca="false">AB206+AC163</f>
        <v>273223.151266954</v>
      </c>
      <c r="AD206" s="67" t="n">
        <f aca="false">AC206+AD163</f>
        <v>285093.893442292</v>
      </c>
      <c r="AE206" s="67" t="n">
        <f aca="false">AD206+AE163</f>
        <v>296961.124506518</v>
      </c>
      <c r="AF206" s="67" t="n">
        <f aca="false">AE206+AF163</f>
        <v>308824.844459633</v>
      </c>
      <c r="AG206" s="67" t="n">
        <f aca="false">AF206+AG163</f>
        <v>320685.053301637</v>
      </c>
      <c r="AH206" s="67" t="n">
        <f aca="false">AG206+AH163</f>
        <v>332541.751032529</v>
      </c>
      <c r="AI206" s="67" t="n">
        <f aca="false">AH206+AI163</f>
        <v>344394.937652311</v>
      </c>
      <c r="AJ206" s="67" t="n">
        <f aca="false">AI206+AJ163</f>
        <v>356244.613160982</v>
      </c>
      <c r="AK206" s="67" t="n">
        <f aca="false">AJ206+AK163</f>
        <v>381428.969074526</v>
      </c>
      <c r="AL206" s="67" t="n">
        <f aca="false">AK206+AL163</f>
        <v>406609.813876959</v>
      </c>
      <c r="AM206" s="67" t="n">
        <f aca="false">AL206+AM163</f>
        <v>421301.200115227</v>
      </c>
      <c r="AN206" s="67" t="n">
        <f aca="false">AM206+AN163</f>
        <v>435989.075242384</v>
      </c>
      <c r="AO206" s="67" t="n">
        <f aca="false">AN206+AO163</f>
        <v>450673.43925843</v>
      </c>
      <c r="AP206" s="67" t="n">
        <f aca="false">AO206+AP163</f>
        <v>465354.292163365</v>
      </c>
      <c r="AQ206" s="67" t="n">
        <f aca="false">AP206+AQ163</f>
        <v>480031.633957188</v>
      </c>
      <c r="AR206" s="67" t="n">
        <f aca="false">AQ206+AR163</f>
        <v>494705.464639901</v>
      </c>
      <c r="AS206" s="67" t="n">
        <f aca="false">AR206+AS163</f>
        <v>509375.784211502</v>
      </c>
      <c r="AT206" s="67" t="n">
        <f aca="false">AS206+AT163</f>
        <v>524042.592671992</v>
      </c>
      <c r="AU206" s="67" t="n">
        <f aca="false">AT206+AU163</f>
        <v>538705.890021371</v>
      </c>
      <c r="AV206" s="67" t="n">
        <f aca="false">AU206+AV163</f>
        <v>553365.676259639</v>
      </c>
      <c r="AW206" s="67" t="n">
        <f aca="false">AV206+AW163</f>
        <v>582172.438766105</v>
      </c>
      <c r="AX206" s="67" t="n">
        <f aca="false">AW206+AX163</f>
        <v>610975.690161459</v>
      </c>
      <c r="AY206" s="67" t="n">
        <f aca="false">AX206+AY163</f>
        <v>628871.436516927</v>
      </c>
      <c r="AZ206" s="67" t="n">
        <f aca="false">AY206+AZ163</f>
        <v>646763.671761284</v>
      </c>
      <c r="BA206" s="67" t="n">
        <f aca="false">AZ206+BA163</f>
        <v>664652.39589453</v>
      </c>
      <c r="BB206" s="67" t="n">
        <f aca="false">BA206+BB163</f>
        <v>682537.608916664</v>
      </c>
      <c r="BC206" s="67" t="n">
        <f aca="false">BB206+BC163</f>
        <v>700419.310827688</v>
      </c>
      <c r="BD206" s="67" t="n">
        <f aca="false">BC206+BD163</f>
        <v>718297.5016276</v>
      </c>
      <c r="BE206" s="67" t="n">
        <f aca="false">BD206+BE163</f>
        <v>736172.181316402</v>
      </c>
      <c r="BF206" s="67" t="n">
        <f aca="false">BE206+BF163</f>
        <v>754043.349894092</v>
      </c>
      <c r="BG206" s="67" t="n">
        <f aca="false">BF206+BG163</f>
        <v>771911.007360671</v>
      </c>
      <c r="BH206" s="67" t="n">
        <f aca="false">BG206+BH163</f>
        <v>789775.153716139</v>
      </c>
      <c r="BI206" s="67" t="n">
        <f aca="false">BH206+BI163</f>
        <v>822648.041021205</v>
      </c>
      <c r="BJ206" s="67" t="n">
        <f aca="false">BI206+BJ163</f>
        <v>855517.417215159</v>
      </c>
    </row>
    <row r="207" customFormat="false" ht="15" hidden="false" customHeight="false" outlineLevel="0" collapsed="false">
      <c r="A207" s="4" t="s">
        <v>93</v>
      </c>
      <c r="C207" s="73" t="n">
        <f aca="false">C193+C179+C180+C170</f>
        <v>162731.819873524</v>
      </c>
      <c r="D207" s="73" t="n">
        <f aca="false">D193+D179+D180+D170</f>
        <v>166528.391346413</v>
      </c>
      <c r="E207" s="73" t="n">
        <f aca="false">E193+E179+E180+E170</f>
        <v>173587.613964698</v>
      </c>
      <c r="F207" s="73" t="n">
        <f aca="false">F193+F179+F180+F170</f>
        <v>179386.837122667</v>
      </c>
      <c r="G207" s="73" t="n">
        <f aca="false">G193+G179+G180+G170</f>
        <v>185193.521391746</v>
      </c>
      <c r="H207" s="73" t="n">
        <f aca="false">H193+H179+H180+H170</f>
        <v>191007.666771937</v>
      </c>
      <c r="I207" s="73" t="n">
        <f aca="false">I193+I179+I180+I170</f>
        <v>196829.273263238</v>
      </c>
      <c r="J207" s="73" t="n">
        <f aca="false">J193+J179+J180+J170</f>
        <v>202658.340865651</v>
      </c>
      <c r="K207" s="73" t="n">
        <f aca="false">K193+K179+K180+K170</f>
        <v>208494.869579175</v>
      </c>
      <c r="L207" s="73" t="n">
        <f aca="false">L193+L179+L180+L170</f>
        <v>214338.85940381</v>
      </c>
      <c r="M207" s="73" t="n">
        <f aca="false">M193+M179+M180+M170</f>
        <v>236157.085086984</v>
      </c>
      <c r="N207" s="73" t="n">
        <f aca="false">N193+N179+N180+N170</f>
        <v>253866.807538413</v>
      </c>
      <c r="O207" s="73" t="n">
        <f aca="false">O193+O179+O180+O170</f>
        <v>260089.767922175</v>
      </c>
      <c r="P207" s="73" t="n">
        <f aca="false">P193+P179+P180+P170</f>
        <v>268163.110927764</v>
      </c>
      <c r="Q207" s="73" t="n">
        <f aca="false">Q193+Q179+Q180+Q170</f>
        <v>276232.942822241</v>
      </c>
      <c r="R207" s="73" t="n">
        <f aca="false">R193+R179+R180+R170</f>
        <v>284299.263605608</v>
      </c>
      <c r="S207" s="73" t="n">
        <f aca="false">S193+S179+S180+S170</f>
        <v>292362.073277863</v>
      </c>
      <c r="T207" s="73" t="n">
        <f aca="false">T193+T179+T180+T170</f>
        <v>300421.371839007</v>
      </c>
      <c r="U207" s="73" t="n">
        <f aca="false">U193+U179+U180+U170</f>
        <v>308477.15928904</v>
      </c>
      <c r="V207" s="73" t="n">
        <f aca="false">V193+V179+V180+V170</f>
        <v>316529.435627962</v>
      </c>
      <c r="W207" s="73" t="n">
        <f aca="false">W193+W179+W180+W170</f>
        <v>324578.200855773</v>
      </c>
      <c r="X207" s="73" t="n">
        <f aca="false">X193+X179+X180+X170</f>
        <v>332623.454972472</v>
      </c>
      <c r="Y207" s="73" t="n">
        <f aca="false">Y193+Y179+Y180+Y170</f>
        <v>357604.349307608</v>
      </c>
      <c r="Z207" s="73" t="n">
        <f aca="false">Z193+Z179+Z180+Z170</f>
        <v>378215.105960295</v>
      </c>
      <c r="AA207" s="73" t="n">
        <f aca="false">AA193+AA179+AA180+AA170</f>
        <v>386913.000665578</v>
      </c>
      <c r="AB207" s="73" t="n">
        <f aca="false">AB193+AB179+AB180+AB170</f>
        <v>397457.431729805</v>
      </c>
      <c r="AC207" s="73" t="n">
        <f aca="false">AC193+AC179+AC180+AC170</f>
        <v>407998.35168292</v>
      </c>
      <c r="AD207" s="73" t="n">
        <f aca="false">AD193+AD179+AD180+AD170</f>
        <v>418535.760524924</v>
      </c>
      <c r="AE207" s="73" t="n">
        <f aca="false">AE193+AE179+AE180+AE170</f>
        <v>429069.658255816</v>
      </c>
      <c r="AF207" s="73" t="n">
        <f aca="false">AF193+AF179+AF180+AF170</f>
        <v>439600.044875598</v>
      </c>
      <c r="AG207" s="73" t="n">
        <f aca="false">AG193+AG179+AG180+AG170</f>
        <v>450126.920384269</v>
      </c>
      <c r="AH207" s="73" t="n">
        <f aca="false">AH193+AH179+AH180+AH170</f>
        <v>460650.284781828</v>
      </c>
      <c r="AI207" s="73" t="n">
        <f aca="false">AI193+AI179+AI180+AI170</f>
        <v>471170.138068276</v>
      </c>
      <c r="AJ207" s="73" t="n">
        <f aca="false">AJ193+AJ179+AJ180+AJ170</f>
        <v>481686.480243614</v>
      </c>
      <c r="AK207" s="73" t="n">
        <f aca="false">AK193+AK179+AK180+AK170</f>
        <v>510170.056953356</v>
      </c>
      <c r="AL207" s="73" t="n">
        <f aca="false">AL193+AL179+AL180+AL170</f>
        <v>534017.568422456</v>
      </c>
      <c r="AM207" s="73" t="n">
        <f aca="false">AM193+AM179+AM180+AM170</f>
        <v>545547.586910521</v>
      </c>
      <c r="AN207" s="73" t="n">
        <f aca="false">AN193+AN179+AN180+AN170</f>
        <v>558902.128704345</v>
      </c>
      <c r="AO207" s="73" t="n">
        <f aca="false">AO193+AO179+AO180+AO170</f>
        <v>572253.159387057</v>
      </c>
      <c r="AP207" s="73" t="n">
        <f aca="false">AP193+AP179+AP180+AP170</f>
        <v>585600.678958659</v>
      </c>
      <c r="AQ207" s="73" t="n">
        <f aca="false">AQ193+AQ179+AQ180+AQ170</f>
        <v>598944.687419149</v>
      </c>
      <c r="AR207" s="73" t="n">
        <f aca="false">AR193+AR179+AR180+AR170</f>
        <v>612285.184768528</v>
      </c>
      <c r="AS207" s="73" t="n">
        <f aca="false">AS193+AS179+AS180+AS170</f>
        <v>625622.171006796</v>
      </c>
      <c r="AT207" s="73" t="n">
        <f aca="false">AT193+AT179+AT180+AT170</f>
        <v>638955.646133953</v>
      </c>
      <c r="AU207" s="73" t="n">
        <f aca="false">AU193+AU179+AU180+AU170</f>
        <v>652285.610149999</v>
      </c>
      <c r="AV207" s="73" t="n">
        <f aca="false">AV193+AV179+AV180+AV170</f>
        <v>665612.063054933</v>
      </c>
      <c r="AW207" s="73" t="n">
        <f aca="false">AW193+AW179+AW180+AW170</f>
        <v>698000.168904085</v>
      </c>
      <c r="AX207" s="73" t="n">
        <f aca="false">AX193+AX179+AX180+AX170</f>
        <v>725470.086966106</v>
      </c>
      <c r="AY207" s="73" t="n">
        <f aca="false">AY193+AY179+AY180+AY170</f>
        <v>740248.50621251</v>
      </c>
      <c r="AZ207" s="73" t="n">
        <f aca="false">AZ193+AZ179+AZ180+AZ170</f>
        <v>756807.408123533</v>
      </c>
      <c r="BA207" s="73" t="n">
        <f aca="false">BA193+BA179+BA180+BA170</f>
        <v>773362.798923446</v>
      </c>
      <c r="BB207" s="73" t="n">
        <f aca="false">BB193+BB179+BB180+BB170</f>
        <v>789914.678612247</v>
      </c>
      <c r="BC207" s="73" t="n">
        <f aca="false">BC193+BC179+BC180+BC170</f>
        <v>806463.047189937</v>
      </c>
      <c r="BD207" s="73" t="n">
        <f aca="false">BD193+BD179+BD180+BD170</f>
        <v>823007.904656517</v>
      </c>
      <c r="BE207" s="73" t="n">
        <f aca="false">BE193+BE179+BE180+BE170</f>
        <v>839549.251011985</v>
      </c>
      <c r="BF207" s="73" t="n">
        <f aca="false">BF193+BF179+BF180+BF170</f>
        <v>856087.086256342</v>
      </c>
      <c r="BG207" s="73" t="n">
        <f aca="false">BG193+BG179+BG180+BG170</f>
        <v>872621.410389588</v>
      </c>
      <c r="BH207" s="73" t="n">
        <f aca="false">BH193+BH179+BH180+BH170</f>
        <v>889152.223411722</v>
      </c>
      <c r="BI207" s="73" t="n">
        <f aca="false">BI193+BI179+BI180+BI170</f>
        <v>925905.757869044</v>
      </c>
      <c r="BJ207" s="73" t="n">
        <f aca="false">BJ193+BJ179+BJ180+BJ170</f>
        <v>957441.800729665</v>
      </c>
    </row>
    <row r="208" customFormat="false" ht="15" hidden="false" customHeight="false" outlineLevel="0" collapsed="false">
      <c r="A208" s="6" t="s">
        <v>96</v>
      </c>
      <c r="C208" s="67" t="n">
        <f aca="false">C181+C176</f>
        <v>102128.296228571</v>
      </c>
      <c r="D208" s="67" t="n">
        <f aca="false">D181+D176</f>
        <v>102062.423466667</v>
      </c>
      <c r="E208" s="67" t="n">
        <f aca="false">E181+E176</f>
        <v>101996.550704762</v>
      </c>
      <c r="F208" s="67" t="n">
        <f aca="false">F181+F176</f>
        <v>100663.217371429</v>
      </c>
      <c r="G208" s="67" t="n">
        <f aca="false">G181+G176</f>
        <v>99329.8840380953</v>
      </c>
      <c r="H208" s="67" t="n">
        <f aca="false">H181+H176</f>
        <v>97996.5507047619</v>
      </c>
      <c r="I208" s="67" t="n">
        <f aca="false">I181+I176</f>
        <v>96663.2173714286</v>
      </c>
      <c r="J208" s="67" t="n">
        <f aca="false">J181+J176</f>
        <v>95329.8840380953</v>
      </c>
      <c r="K208" s="67" t="n">
        <f aca="false">K181+K176</f>
        <v>93996.550704762</v>
      </c>
      <c r="L208" s="67" t="n">
        <f aca="false">L181+L176</f>
        <v>92663.2173714286</v>
      </c>
      <c r="M208" s="67" t="n">
        <f aca="false">M181+M176</f>
        <v>95445.8483809524</v>
      </c>
      <c r="N208" s="67" t="n">
        <f aca="false">N181+N176</f>
        <v>94112.5150476191</v>
      </c>
      <c r="O208" s="67" t="n">
        <f aca="false">O181+O176</f>
        <v>90925.2879813486</v>
      </c>
      <c r="P208" s="67" t="n">
        <f aca="false">P181+P176</f>
        <v>89591.9546480153</v>
      </c>
      <c r="Q208" s="67" t="n">
        <f aca="false">Q181+Q176</f>
        <v>88258.621314682</v>
      </c>
      <c r="R208" s="67" t="n">
        <f aca="false">R181+R176</f>
        <v>86925.2879813486</v>
      </c>
      <c r="S208" s="67" t="n">
        <f aca="false">S181+S176</f>
        <v>85591.9546480153</v>
      </c>
      <c r="T208" s="67" t="n">
        <f aca="false">T181+T176</f>
        <v>84258.6213146819</v>
      </c>
      <c r="U208" s="67" t="n">
        <f aca="false">U181+U176</f>
        <v>82925.2879813486</v>
      </c>
      <c r="V208" s="67" t="n">
        <f aca="false">V181+V176</f>
        <v>81591.9546480153</v>
      </c>
      <c r="W208" s="67" t="n">
        <f aca="false">W181+W176</f>
        <v>80258.6213146819</v>
      </c>
      <c r="X208" s="67" t="n">
        <f aca="false">X181+X176</f>
        <v>78925.2879813486</v>
      </c>
      <c r="Y208" s="67" t="n">
        <f aca="false">Y181+Y176</f>
        <v>81958.5812193524</v>
      </c>
      <c r="Z208" s="67" t="n">
        <f aca="false">Z181+Z176</f>
        <v>80625.2478860191</v>
      </c>
      <c r="AA208" s="67" t="n">
        <f aca="false">AA181+AA176</f>
        <v>77441.8670826319</v>
      </c>
      <c r="AB208" s="67" t="n">
        <f aca="false">AB181+AB176</f>
        <v>76108.5337492986</v>
      </c>
      <c r="AC208" s="67" t="n">
        <f aca="false">AC181+AC176</f>
        <v>74775.2004159652</v>
      </c>
      <c r="AD208" s="67" t="n">
        <f aca="false">AD181+AD176</f>
        <v>73441.8670826319</v>
      </c>
      <c r="AE208" s="67" t="n">
        <f aca="false">AE181+AE176</f>
        <v>72108.5337492986</v>
      </c>
      <c r="AF208" s="67" t="n">
        <f aca="false">AF181+AF176</f>
        <v>70775.2004159652</v>
      </c>
      <c r="AG208" s="67" t="n">
        <f aca="false">AG181+AG176</f>
        <v>69441.8670826319</v>
      </c>
      <c r="AH208" s="67" t="n">
        <f aca="false">AH181+AH176</f>
        <v>68108.5337492986</v>
      </c>
      <c r="AI208" s="67" t="n">
        <f aca="false">AI181+AI176</f>
        <v>66775.2004159652</v>
      </c>
      <c r="AJ208" s="67" t="n">
        <f aca="false">AJ181+AJ176</f>
        <v>65441.8670826319</v>
      </c>
      <c r="AK208" s="67" t="n">
        <f aca="false">AK181+AK176</f>
        <v>68741.0878788302</v>
      </c>
      <c r="AL208" s="67" t="n">
        <f aca="false">AL181+AL176</f>
        <v>67407.7545454968</v>
      </c>
      <c r="AM208" s="67" t="n">
        <f aca="false">AM181+AM176</f>
        <v>64246.3867952938</v>
      </c>
      <c r="AN208" s="67" t="n">
        <f aca="false">AN181+AN176</f>
        <v>62913.0534619605</v>
      </c>
      <c r="AO208" s="67" t="n">
        <f aca="false">AO181+AO176</f>
        <v>61579.7201286272</v>
      </c>
      <c r="AP208" s="67" t="n">
        <f aca="false">AP181+AP176</f>
        <v>60246.3867952938</v>
      </c>
      <c r="AQ208" s="67" t="n">
        <f aca="false">AQ181+AQ176</f>
        <v>58913.0534619605</v>
      </c>
      <c r="AR208" s="67" t="n">
        <f aca="false">AR181+AR176</f>
        <v>57579.7201286272</v>
      </c>
      <c r="AS208" s="67" t="n">
        <f aca="false">AS181+AS176</f>
        <v>56246.3867952938</v>
      </c>
      <c r="AT208" s="67" t="n">
        <f aca="false">AT181+AT176</f>
        <v>54913.0534619605</v>
      </c>
      <c r="AU208" s="67" t="n">
        <f aca="false">AU181+AU176</f>
        <v>53579.7201286272</v>
      </c>
      <c r="AV208" s="67" t="n">
        <f aca="false">AV181+AV176</f>
        <v>52246.3867952939</v>
      </c>
      <c r="AW208" s="67" t="n">
        <f aca="false">AW181+AW176</f>
        <v>55827.7301379806</v>
      </c>
      <c r="AX208" s="67" t="n">
        <f aca="false">AX181+AX176</f>
        <v>54494.3968046472</v>
      </c>
      <c r="AY208" s="67" t="n">
        <f aca="false">AY181+AY176</f>
        <v>51377.0696955828</v>
      </c>
      <c r="AZ208" s="67" t="n">
        <f aca="false">AZ181+AZ176</f>
        <v>50043.7363622494</v>
      </c>
      <c r="BA208" s="67" t="n">
        <f aca="false">BA181+BA176</f>
        <v>48710.4030289161</v>
      </c>
      <c r="BB208" s="67" t="n">
        <f aca="false">BB181+BB176</f>
        <v>47377.0696955828</v>
      </c>
      <c r="BC208" s="67" t="n">
        <f aca="false">BC181+BC176</f>
        <v>46043.7363622494</v>
      </c>
      <c r="BD208" s="67" t="n">
        <f aca="false">BD181+BD176</f>
        <v>44710.4030289161</v>
      </c>
      <c r="BE208" s="67" t="n">
        <f aca="false">BE181+BE176</f>
        <v>43377.0696955828</v>
      </c>
      <c r="BF208" s="67" t="n">
        <f aca="false">BF181+BF176</f>
        <v>42043.7363622494</v>
      </c>
      <c r="BG208" s="67" t="n">
        <f aca="false">BG181+BG176</f>
        <v>40710.4030289161</v>
      </c>
      <c r="BH208" s="67" t="n">
        <f aca="false">BH181+BH176</f>
        <v>39377.0696955828</v>
      </c>
      <c r="BI208" s="67" t="n">
        <f aca="false">BI181+BI176</f>
        <v>43257.7168478391</v>
      </c>
      <c r="BJ208" s="67" t="n">
        <f aca="false">BJ181+BJ176</f>
        <v>41924.3835145058</v>
      </c>
    </row>
    <row r="209" customFormat="false" ht="15" hidden="false" customHeight="false" outlineLevel="0" collapsed="false">
      <c r="A209" s="6" t="s">
        <v>99</v>
      </c>
      <c r="C209" s="67" t="n">
        <f aca="false">C205+C206</f>
        <v>60603.5236449524</v>
      </c>
      <c r="D209" s="67" t="n">
        <f aca="false">D205+D206</f>
        <v>64465.967879746</v>
      </c>
      <c r="E209" s="67" t="n">
        <f aca="false">E205+E206</f>
        <v>71591.0632599365</v>
      </c>
      <c r="F209" s="67" t="n">
        <f aca="false">F205+F206</f>
        <v>78723.6197512381</v>
      </c>
      <c r="G209" s="67" t="n">
        <f aca="false">G205+G206</f>
        <v>85863.6373536508</v>
      </c>
      <c r="H209" s="67" t="n">
        <f aca="false">H205+H206</f>
        <v>93011.1160671746</v>
      </c>
      <c r="I209" s="67" t="n">
        <f aca="false">I205+I206</f>
        <v>100166.05589181</v>
      </c>
      <c r="J209" s="67" t="n">
        <f aca="false">J205+J206</f>
        <v>107328.456827556</v>
      </c>
      <c r="K209" s="67" t="n">
        <f aca="false">K205+K206</f>
        <v>114498.318874413</v>
      </c>
      <c r="L209" s="67" t="n">
        <f aca="false">L205+L206</f>
        <v>121675.642032381</v>
      </c>
      <c r="M209" s="67" t="n">
        <f aca="false">M205+M206</f>
        <v>140711.236706032</v>
      </c>
      <c r="N209" s="67" t="n">
        <f aca="false">N205+N206</f>
        <v>159754.292490794</v>
      </c>
      <c r="O209" s="67" t="n">
        <f aca="false">O205+O206</f>
        <v>169164.479940827</v>
      </c>
      <c r="P209" s="67" t="n">
        <f aca="false">P205+P206</f>
        <v>178571.156279749</v>
      </c>
      <c r="Q209" s="67" t="n">
        <f aca="false">Q205+Q206</f>
        <v>187974.321507559</v>
      </c>
      <c r="R209" s="67" t="n">
        <f aca="false">R205+R206</f>
        <v>197373.975624259</v>
      </c>
      <c r="S209" s="67" t="n">
        <f aca="false">S205+S206</f>
        <v>206770.118629848</v>
      </c>
      <c r="T209" s="67" t="n">
        <f aca="false">T205+T206</f>
        <v>216162.750524325</v>
      </c>
      <c r="U209" s="67" t="n">
        <f aca="false">U205+U206</f>
        <v>225551.871307691</v>
      </c>
      <c r="V209" s="67" t="n">
        <f aca="false">V205+V206</f>
        <v>234937.480979947</v>
      </c>
      <c r="W209" s="67" t="n">
        <f aca="false">W205+W206</f>
        <v>244319.579541091</v>
      </c>
      <c r="X209" s="67" t="n">
        <f aca="false">X205+X206</f>
        <v>253698.166991124</v>
      </c>
      <c r="Y209" s="67" t="n">
        <f aca="false">Y205+Y206</f>
        <v>275645.768088255</v>
      </c>
      <c r="Z209" s="67" t="n">
        <f aca="false">Z205+Z206</f>
        <v>297589.858074276</v>
      </c>
      <c r="AA209" s="67" t="n">
        <f aca="false">AA205+AA206</f>
        <v>309471.133582947</v>
      </c>
      <c r="AB209" s="67" t="n">
        <f aca="false">AB205+AB206</f>
        <v>321348.897980506</v>
      </c>
      <c r="AC209" s="67" t="n">
        <f aca="false">AC205+AC206</f>
        <v>333223.151266954</v>
      </c>
      <c r="AD209" s="67" t="n">
        <f aca="false">AD205+AD206</f>
        <v>345093.893442292</v>
      </c>
      <c r="AE209" s="67" t="n">
        <f aca="false">AE205+AE206</f>
        <v>356961.124506518</v>
      </c>
      <c r="AF209" s="67" t="n">
        <f aca="false">AF205+AF206</f>
        <v>368824.844459633</v>
      </c>
      <c r="AG209" s="67" t="n">
        <f aca="false">AG205+AG206</f>
        <v>380685.053301637</v>
      </c>
      <c r="AH209" s="67" t="n">
        <f aca="false">AH205+AH206</f>
        <v>392541.751032529</v>
      </c>
      <c r="AI209" s="67" t="n">
        <f aca="false">AI205+AI206</f>
        <v>404394.937652311</v>
      </c>
      <c r="AJ209" s="67" t="n">
        <f aca="false">AJ205+AJ206</f>
        <v>416244.613160982</v>
      </c>
      <c r="AK209" s="67" t="n">
        <f aca="false">AK205+AK206</f>
        <v>441428.969074526</v>
      </c>
      <c r="AL209" s="67" t="n">
        <f aca="false">AL205+AL206</f>
        <v>466609.813876959</v>
      </c>
      <c r="AM209" s="67" t="n">
        <f aca="false">AM205+AM206</f>
        <v>481301.200115227</v>
      </c>
      <c r="AN209" s="67" t="n">
        <f aca="false">AN205+AN206</f>
        <v>495989.075242384</v>
      </c>
      <c r="AO209" s="67" t="n">
        <f aca="false">AO205+AO206</f>
        <v>510673.43925843</v>
      </c>
      <c r="AP209" s="67" t="n">
        <f aca="false">AP205+AP206</f>
        <v>525354.292163365</v>
      </c>
      <c r="AQ209" s="67" t="n">
        <f aca="false">AQ205+AQ206</f>
        <v>540031.633957188</v>
      </c>
      <c r="AR209" s="67" t="n">
        <f aca="false">AR205+AR206</f>
        <v>554705.464639901</v>
      </c>
      <c r="AS209" s="67" t="n">
        <f aca="false">AS205+AS206</f>
        <v>569375.784211502</v>
      </c>
      <c r="AT209" s="67" t="n">
        <f aca="false">AT205+AT206</f>
        <v>584042.592671992</v>
      </c>
      <c r="AU209" s="67" t="n">
        <f aca="false">AU205+AU206</f>
        <v>598705.890021371</v>
      </c>
      <c r="AV209" s="67" t="n">
        <f aca="false">AV205+AV206</f>
        <v>613365.676259639</v>
      </c>
      <c r="AW209" s="67" t="n">
        <f aca="false">AW205+AW206</f>
        <v>642172.438766105</v>
      </c>
      <c r="AX209" s="67" t="n">
        <f aca="false">AX205+AX206</f>
        <v>670975.690161459</v>
      </c>
      <c r="AY209" s="67" t="n">
        <f aca="false">AY205+AY206</f>
        <v>688871.436516927</v>
      </c>
      <c r="AZ209" s="67" t="n">
        <f aca="false">AZ205+AZ206</f>
        <v>706763.671761284</v>
      </c>
      <c r="BA209" s="67" t="n">
        <f aca="false">BA205+BA206</f>
        <v>724652.39589453</v>
      </c>
      <c r="BB209" s="67" t="n">
        <f aca="false">BB205+BB206</f>
        <v>742537.608916664</v>
      </c>
      <c r="BC209" s="67" t="n">
        <f aca="false">BC205+BC206</f>
        <v>760419.310827688</v>
      </c>
      <c r="BD209" s="67" t="n">
        <f aca="false">BD205+BD206</f>
        <v>778297.5016276</v>
      </c>
      <c r="BE209" s="67" t="n">
        <f aca="false">BE205+BE206</f>
        <v>796172.181316402</v>
      </c>
      <c r="BF209" s="67" t="n">
        <f aca="false">BF205+BF206</f>
        <v>814043.349894092</v>
      </c>
      <c r="BG209" s="67" t="n">
        <f aca="false">BG205+BG206</f>
        <v>831911.007360671</v>
      </c>
      <c r="BH209" s="67" t="n">
        <f aca="false">BH205+BH206</f>
        <v>849775.153716139</v>
      </c>
      <c r="BI209" s="67" t="n">
        <f aca="false">BI205+BI206</f>
        <v>882648.041021205</v>
      </c>
      <c r="BJ209" s="67" t="n">
        <f aca="false">BJ205+BJ206</f>
        <v>915517.417215159</v>
      </c>
    </row>
    <row r="210" customFormat="false" ht="15" hidden="false" customHeight="false" outlineLevel="0" collapsed="false">
      <c r="A210" s="4" t="s">
        <v>100</v>
      </c>
      <c r="C210" s="73" t="n">
        <f aca="false">C208+C209</f>
        <v>162731.819873524</v>
      </c>
      <c r="D210" s="73" t="n">
        <f aca="false">D208+D209</f>
        <v>166528.391346413</v>
      </c>
      <c r="E210" s="73" t="n">
        <f aca="false">E208+E209</f>
        <v>173587.613964698</v>
      </c>
      <c r="F210" s="73" t="n">
        <f aca="false">F208+F209</f>
        <v>179386.837122667</v>
      </c>
      <c r="G210" s="73" t="n">
        <f aca="false">G208+G209</f>
        <v>185193.521391746</v>
      </c>
      <c r="H210" s="73" t="n">
        <f aca="false">H208+H209</f>
        <v>191007.666771937</v>
      </c>
      <c r="I210" s="73" t="n">
        <f aca="false">I208+I209</f>
        <v>196829.273263238</v>
      </c>
      <c r="J210" s="73" t="n">
        <f aca="false">J208+J209</f>
        <v>202658.340865651</v>
      </c>
      <c r="K210" s="73" t="n">
        <f aca="false">K208+K209</f>
        <v>208494.869579175</v>
      </c>
      <c r="L210" s="73" t="n">
        <f aca="false">L208+L209</f>
        <v>214338.85940381</v>
      </c>
      <c r="M210" s="73" t="n">
        <f aca="false">M208+M209</f>
        <v>236157.085086984</v>
      </c>
      <c r="N210" s="73" t="n">
        <f aca="false">N208+N209</f>
        <v>253866.807538413</v>
      </c>
      <c r="O210" s="73" t="n">
        <f aca="false">O208+O209</f>
        <v>260089.767922175</v>
      </c>
      <c r="P210" s="73" t="n">
        <f aca="false">P208+P209</f>
        <v>268163.110927764</v>
      </c>
      <c r="Q210" s="73" t="n">
        <f aca="false">Q208+Q209</f>
        <v>276232.942822241</v>
      </c>
      <c r="R210" s="73" t="n">
        <f aca="false">R208+R209</f>
        <v>284299.263605608</v>
      </c>
      <c r="S210" s="73" t="n">
        <f aca="false">S208+S209</f>
        <v>292362.073277863</v>
      </c>
      <c r="T210" s="73" t="n">
        <f aca="false">T208+T209</f>
        <v>300421.371839007</v>
      </c>
      <c r="U210" s="73" t="n">
        <f aca="false">U208+U209</f>
        <v>308477.15928904</v>
      </c>
      <c r="V210" s="73" t="n">
        <f aca="false">V208+V209</f>
        <v>316529.435627962</v>
      </c>
      <c r="W210" s="73" t="n">
        <f aca="false">W208+W209</f>
        <v>324578.200855773</v>
      </c>
      <c r="X210" s="73" t="n">
        <f aca="false">X208+X209</f>
        <v>332623.454972472</v>
      </c>
      <c r="Y210" s="73" t="n">
        <f aca="false">Y208+Y209</f>
        <v>357604.349307608</v>
      </c>
      <c r="Z210" s="73" t="n">
        <f aca="false">Z208+Z209</f>
        <v>378215.105960295</v>
      </c>
      <c r="AA210" s="73" t="n">
        <f aca="false">AA208+AA209</f>
        <v>386913.000665578</v>
      </c>
      <c r="AB210" s="73" t="n">
        <f aca="false">AB208+AB209</f>
        <v>397457.431729805</v>
      </c>
      <c r="AC210" s="73" t="n">
        <f aca="false">AC208+AC209</f>
        <v>407998.35168292</v>
      </c>
      <c r="AD210" s="73" t="n">
        <f aca="false">AD208+AD209</f>
        <v>418535.760524924</v>
      </c>
      <c r="AE210" s="73" t="n">
        <f aca="false">AE208+AE209</f>
        <v>429069.658255816</v>
      </c>
      <c r="AF210" s="73" t="n">
        <f aca="false">AF208+AF209</f>
        <v>439600.044875598</v>
      </c>
      <c r="AG210" s="73" t="n">
        <f aca="false">AG208+AG209</f>
        <v>450126.920384269</v>
      </c>
      <c r="AH210" s="73" t="n">
        <f aca="false">AH208+AH209</f>
        <v>460650.284781828</v>
      </c>
      <c r="AI210" s="73" t="n">
        <f aca="false">AI208+AI209</f>
        <v>471170.138068276</v>
      </c>
      <c r="AJ210" s="73" t="n">
        <f aca="false">AJ208+AJ209</f>
        <v>481686.480243614</v>
      </c>
      <c r="AK210" s="73" t="n">
        <f aca="false">AK208+AK209</f>
        <v>510170.056953356</v>
      </c>
      <c r="AL210" s="73" t="n">
        <f aca="false">AL208+AL209</f>
        <v>534017.568422456</v>
      </c>
      <c r="AM210" s="73" t="n">
        <f aca="false">AM208+AM209</f>
        <v>545547.586910521</v>
      </c>
      <c r="AN210" s="73" t="n">
        <f aca="false">AN208+AN209</f>
        <v>558902.128704344</v>
      </c>
      <c r="AO210" s="73" t="n">
        <f aca="false">AO208+AO209</f>
        <v>572253.159387057</v>
      </c>
      <c r="AP210" s="73" t="n">
        <f aca="false">AP208+AP209</f>
        <v>585600.678958658</v>
      </c>
      <c r="AQ210" s="73" t="n">
        <f aca="false">AQ208+AQ209</f>
        <v>598944.687419149</v>
      </c>
      <c r="AR210" s="73" t="n">
        <f aca="false">AR208+AR209</f>
        <v>612285.184768528</v>
      </c>
      <c r="AS210" s="73" t="n">
        <f aca="false">AS208+AS209</f>
        <v>625622.171006796</v>
      </c>
      <c r="AT210" s="73" t="n">
        <f aca="false">AT208+AT209</f>
        <v>638955.646133953</v>
      </c>
      <c r="AU210" s="73" t="n">
        <f aca="false">AU208+AU209</f>
        <v>652285.610149999</v>
      </c>
      <c r="AV210" s="73" t="n">
        <f aca="false">AV208+AV209</f>
        <v>665612.063054933</v>
      </c>
      <c r="AW210" s="73" t="n">
        <f aca="false">AW208+AW209</f>
        <v>698000.168904085</v>
      </c>
      <c r="AX210" s="73" t="n">
        <f aca="false">AX208+AX209</f>
        <v>725470.086966106</v>
      </c>
      <c r="AY210" s="73" t="n">
        <f aca="false">AY208+AY209</f>
        <v>740248.506212509</v>
      </c>
      <c r="AZ210" s="73" t="n">
        <f aca="false">AZ208+AZ209</f>
        <v>756807.408123533</v>
      </c>
      <c r="BA210" s="73" t="n">
        <f aca="false">BA208+BA209</f>
        <v>773362.798923446</v>
      </c>
      <c r="BB210" s="73" t="n">
        <f aca="false">BB208+BB209</f>
        <v>789914.678612247</v>
      </c>
      <c r="BC210" s="73" t="n">
        <f aca="false">BC208+BC209</f>
        <v>806463.047189937</v>
      </c>
      <c r="BD210" s="73" t="n">
        <f aca="false">BD208+BD209</f>
        <v>823007.904656517</v>
      </c>
      <c r="BE210" s="73" t="n">
        <f aca="false">BE208+BE209</f>
        <v>839549.251011985</v>
      </c>
      <c r="BF210" s="73" t="n">
        <f aca="false">BF208+BF209</f>
        <v>856087.086256342</v>
      </c>
      <c r="BG210" s="73" t="n">
        <f aca="false">BG208+BG209</f>
        <v>872621.410389587</v>
      </c>
      <c r="BH210" s="73" t="n">
        <f aca="false">BH208+BH209</f>
        <v>889152.223411722</v>
      </c>
      <c r="BI210" s="73" t="n">
        <f aca="false">BI208+BI209</f>
        <v>925905.757869044</v>
      </c>
      <c r="BJ210" s="73" t="n">
        <f aca="false">BJ208+BJ209</f>
        <v>957441.800729664</v>
      </c>
    </row>
    <row r="211" customFormat="false" ht="15" hidden="false" customHeight="false" outlineLevel="0" collapsed="false">
      <c r="A211" s="6" t="s">
        <v>434</v>
      </c>
      <c r="C211" s="67" t="n">
        <f aca="false">C207-C210</f>
        <v>0</v>
      </c>
      <c r="D211" s="67" t="n">
        <f aca="false">D207-D210</f>
        <v>0</v>
      </c>
      <c r="E211" s="67" t="n">
        <f aca="false">E207-E210</f>
        <v>0</v>
      </c>
      <c r="F211" s="67" t="n">
        <f aca="false">F207-F210</f>
        <v>0</v>
      </c>
      <c r="G211" s="67" t="n">
        <f aca="false">G207-G210</f>
        <v>0</v>
      </c>
      <c r="H211" s="67" t="n">
        <f aca="false">H207-H210</f>
        <v>0</v>
      </c>
      <c r="I211" s="67" t="n">
        <f aca="false">I207-I210</f>
        <v>0</v>
      </c>
      <c r="J211" s="67" t="n">
        <f aca="false">J207-J210</f>
        <v>0</v>
      </c>
      <c r="K211" s="67" t="n">
        <f aca="false">K207-K210</f>
        <v>0</v>
      </c>
      <c r="L211" s="67" t="n">
        <f aca="false">L207-L210</f>
        <v>0</v>
      </c>
      <c r="M211" s="67" t="n">
        <f aca="false">M207-M210</f>
        <v>0</v>
      </c>
      <c r="N211" s="67" t="n">
        <f aca="false">N207-N210</f>
        <v>0</v>
      </c>
      <c r="O211" s="67" t="n">
        <f aca="false">O207-O210</f>
        <v>0</v>
      </c>
      <c r="P211" s="67" t="n">
        <f aca="false">P207-P210</f>
        <v>0</v>
      </c>
      <c r="Q211" s="67" t="n">
        <f aca="false">Q207-Q210</f>
        <v>0</v>
      </c>
      <c r="R211" s="67" t="n">
        <f aca="false">R207-R210</f>
        <v>0</v>
      </c>
      <c r="S211" s="67" t="n">
        <f aca="false">S207-S210</f>
        <v>0</v>
      </c>
      <c r="T211" s="67" t="n">
        <f aca="false">T207-T210</f>
        <v>0</v>
      </c>
      <c r="U211" s="67" t="n">
        <f aca="false">U207-U210</f>
        <v>0</v>
      </c>
      <c r="V211" s="67" t="n">
        <f aca="false">V207-V210</f>
        <v>0</v>
      </c>
      <c r="W211" s="67" t="n">
        <f aca="false">W207-W210</f>
        <v>0</v>
      </c>
      <c r="X211" s="67" t="n">
        <f aca="false">X207-X210</f>
        <v>0</v>
      </c>
      <c r="Y211" s="67" t="n">
        <f aca="false">Y207-Y210</f>
        <v>0</v>
      </c>
      <c r="Z211" s="67" t="n">
        <f aca="false">Z207-Z210</f>
        <v>0</v>
      </c>
      <c r="AA211" s="67" t="n">
        <f aca="false">AA207-AA210</f>
        <v>0</v>
      </c>
      <c r="AB211" s="67" t="n">
        <f aca="false">AB207-AB210</f>
        <v>0</v>
      </c>
      <c r="AC211" s="67" t="n">
        <f aca="false">AC207-AC210</f>
        <v>0</v>
      </c>
      <c r="AD211" s="67" t="n">
        <f aca="false">AD207-AD210</f>
        <v>0</v>
      </c>
      <c r="AE211" s="67" t="n">
        <f aca="false">AE207-AE210</f>
        <v>0</v>
      </c>
      <c r="AF211" s="67" t="n">
        <f aca="false">AF207-AF210</f>
        <v>0</v>
      </c>
      <c r="AG211" s="67" t="n">
        <f aca="false">AG207-AG210</f>
        <v>0</v>
      </c>
      <c r="AH211" s="67" t="n">
        <f aca="false">AH207-AH210</f>
        <v>0</v>
      </c>
      <c r="AI211" s="67" t="n">
        <f aca="false">AI207-AI210</f>
        <v>0</v>
      </c>
      <c r="AJ211" s="67" t="n">
        <f aca="false">AJ207-AJ210</f>
        <v>0</v>
      </c>
      <c r="AK211" s="67" t="n">
        <f aca="false">AK207-AK210</f>
        <v>0</v>
      </c>
      <c r="AL211" s="67" t="n">
        <f aca="false">AL207-AL210</f>
        <v>0</v>
      </c>
      <c r="AM211" s="67" t="n">
        <f aca="false">AM207-AM210</f>
        <v>0</v>
      </c>
      <c r="AN211" s="67" t="n">
        <f aca="false">AN207-AN210</f>
        <v>0</v>
      </c>
      <c r="AO211" s="67" t="n">
        <f aca="false">AO207-AO210</f>
        <v>0</v>
      </c>
      <c r="AP211" s="67" t="n">
        <f aca="false">AP207-AP210</f>
        <v>0</v>
      </c>
      <c r="AQ211" s="67" t="n">
        <f aca="false">AQ207-AQ210</f>
        <v>0</v>
      </c>
      <c r="AR211" s="67" t="n">
        <f aca="false">AR207-AR210</f>
        <v>0</v>
      </c>
      <c r="AS211" s="67" t="n">
        <f aca="false">AS207-AS210</f>
        <v>0</v>
      </c>
      <c r="AT211" s="67" t="n">
        <f aca="false">AT207-AT210</f>
        <v>0</v>
      </c>
      <c r="AU211" s="67" t="n">
        <f aca="false">AU207-AU210</f>
        <v>0</v>
      </c>
      <c r="AV211" s="67" t="n">
        <f aca="false">AV207-AV210</f>
        <v>0</v>
      </c>
      <c r="AW211" s="67" t="n">
        <f aca="false">AW207-AW210</f>
        <v>0</v>
      </c>
      <c r="AX211" s="67" t="n">
        <f aca="false">AX207-AX210</f>
        <v>0</v>
      </c>
      <c r="AY211" s="67" t="n">
        <f aca="false">AY207-AY210</f>
        <v>0</v>
      </c>
      <c r="AZ211" s="67" t="n">
        <f aca="false">AZ207-AZ210</f>
        <v>0</v>
      </c>
      <c r="BA211" s="67" t="n">
        <f aca="false">BA207-BA210</f>
        <v>0</v>
      </c>
      <c r="BB211" s="67" t="n">
        <f aca="false">BB207-BB210</f>
        <v>0</v>
      </c>
      <c r="BC211" s="67" t="n">
        <f aca="false">BC207-BC210</f>
        <v>0</v>
      </c>
      <c r="BD211" s="67" t="n">
        <f aca="false">BD207-BD210</f>
        <v>0</v>
      </c>
      <c r="BE211" s="67" t="n">
        <f aca="false">BE207-BE210</f>
        <v>0</v>
      </c>
      <c r="BF211" s="67" t="n">
        <f aca="false">BF207-BF210</f>
        <v>0</v>
      </c>
      <c r="BG211" s="67" t="n">
        <f aca="false">BG207-BG210</f>
        <v>0</v>
      </c>
      <c r="BH211" s="67" t="n">
        <f aca="false">BH207-BH210</f>
        <v>0</v>
      </c>
      <c r="BI211" s="67" t="n">
        <f aca="false">BI207-BI210</f>
        <v>0</v>
      </c>
      <c r="BJ211" s="67" t="n">
        <f aca="false">BJ207-BJ210</f>
        <v>0</v>
      </c>
    </row>
    <row r="213" customFormat="false" ht="15.75" hidden="false" customHeight="true" outlineLevel="0" collapsed="false">
      <c r="A213" s="7" t="s">
        <v>436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customFormat="false" ht="15" hidden="false" customHeight="false" outlineLevel="0" collapsed="false">
      <c r="A214" s="6" t="s">
        <v>437</v>
      </c>
      <c r="C214" s="118" t="n">
        <f aca="false">Inputs!$C$42*(1+Inputs!$C$44)^(C$118-1)*MAX(0,MIN(1,C$117*1-Inputs!$C$45+1))/1</f>
        <v>5</v>
      </c>
      <c r="D214" s="118" t="n">
        <f aca="false">Inputs!$C$42*(1+Inputs!$C$44)^(D$118-1)*MAX(0,MIN(1,D$117*1-Inputs!$C$45+1))/1</f>
        <v>5</v>
      </c>
      <c r="E214" s="118" t="n">
        <f aca="false">Inputs!$C$42*(1+Inputs!$C$44)^(E$118-1)*MAX(0,MIN(1,E$117*1-Inputs!$C$45+1))/1</f>
        <v>5</v>
      </c>
      <c r="F214" s="118" t="n">
        <f aca="false">Inputs!$C$42*(1+Inputs!$C$44)^(F$118-1)*MAX(0,MIN(1,F$117*1-Inputs!$C$45+1))/1</f>
        <v>5</v>
      </c>
      <c r="G214" s="118" t="n">
        <f aca="false">Inputs!$C$42*(1+Inputs!$C$44)^(G$118-1)*MAX(0,MIN(1,G$117*1-Inputs!$C$45+1))/1</f>
        <v>5</v>
      </c>
      <c r="H214" s="118" t="n">
        <f aca="false">Inputs!$C$42*(1+Inputs!$C$44)^(H$118-1)*MAX(0,MIN(1,H$117*1-Inputs!$C$45+1))/1</f>
        <v>5</v>
      </c>
      <c r="I214" s="118" t="n">
        <f aca="false">Inputs!$C$42*(1+Inputs!$C$44)^(I$118-1)*MAX(0,MIN(1,I$117*1-Inputs!$C$45+1))/1</f>
        <v>5</v>
      </c>
      <c r="J214" s="118" t="n">
        <f aca="false">Inputs!$C$42*(1+Inputs!$C$44)^(J$118-1)*MAX(0,MIN(1,J$117*1-Inputs!$C$45+1))/1</f>
        <v>5</v>
      </c>
      <c r="K214" s="118" t="n">
        <f aca="false">Inputs!$C$42*(1+Inputs!$C$44)^(K$118-1)*MAX(0,MIN(1,K$117*1-Inputs!$C$45+1))/1</f>
        <v>5</v>
      </c>
      <c r="L214" s="118" t="n">
        <f aca="false">Inputs!$C$42*(1+Inputs!$C$44)^(L$118-1)*MAX(0,MIN(1,L$117*1-Inputs!$C$45+1))/1</f>
        <v>5</v>
      </c>
      <c r="M214" s="118" t="n">
        <f aca="false">Inputs!$C$42*(1+Inputs!$C$44)^(M$118-1)*MAX(0,MIN(1,M$117*1-Inputs!$C$45+1))/1</f>
        <v>5</v>
      </c>
      <c r="N214" s="118" t="n">
        <f aca="false">Inputs!$C$42*(1+Inputs!$C$44)^(N$118-1)*MAX(0,MIN(1,N$117*1-Inputs!$C$45+1))/1</f>
        <v>5</v>
      </c>
      <c r="O214" s="118" t="n">
        <f aca="false">Inputs!$C$42*(1+Inputs!$C$44)^(O$118-1)*MAX(0,MIN(1,O$117*1-Inputs!$C$45+1))/1</f>
        <v>5.3</v>
      </c>
      <c r="P214" s="118" t="n">
        <f aca="false">Inputs!$C$42*(1+Inputs!$C$44)^(P$118-1)*MAX(0,MIN(1,P$117*1-Inputs!$C$45+1))/1</f>
        <v>5.3</v>
      </c>
      <c r="Q214" s="118" t="n">
        <f aca="false">Inputs!$C$42*(1+Inputs!$C$44)^(Q$118-1)*MAX(0,MIN(1,Q$117*1-Inputs!$C$45+1))/1</f>
        <v>5.3</v>
      </c>
      <c r="R214" s="118" t="n">
        <f aca="false">Inputs!$C$42*(1+Inputs!$C$44)^(R$118-1)*MAX(0,MIN(1,R$117*1-Inputs!$C$45+1))/1</f>
        <v>5.3</v>
      </c>
      <c r="S214" s="118" t="n">
        <f aca="false">Inputs!$C$42*(1+Inputs!$C$44)^(S$118-1)*MAX(0,MIN(1,S$117*1-Inputs!$C$45+1))/1</f>
        <v>5.3</v>
      </c>
      <c r="T214" s="118" t="n">
        <f aca="false">Inputs!$C$42*(1+Inputs!$C$44)^(T$118-1)*MAX(0,MIN(1,T$117*1-Inputs!$C$45+1))/1</f>
        <v>5.3</v>
      </c>
      <c r="U214" s="118" t="n">
        <f aca="false">Inputs!$C$42*(1+Inputs!$C$44)^(U$118-1)*MAX(0,MIN(1,U$117*1-Inputs!$C$45+1))/1</f>
        <v>5.3</v>
      </c>
      <c r="V214" s="118" t="n">
        <f aca="false">Inputs!$C$42*(1+Inputs!$C$44)^(V$118-1)*MAX(0,MIN(1,V$117*1-Inputs!$C$45+1))/1</f>
        <v>5.3</v>
      </c>
      <c r="W214" s="118" t="n">
        <f aca="false">Inputs!$C$42*(1+Inputs!$C$44)^(W$118-1)*MAX(0,MIN(1,W$117*1-Inputs!$C$45+1))/1</f>
        <v>5.3</v>
      </c>
      <c r="X214" s="118" t="n">
        <f aca="false">Inputs!$C$42*(1+Inputs!$C$44)^(X$118-1)*MAX(0,MIN(1,X$117*1-Inputs!$C$45+1))/1</f>
        <v>5.3</v>
      </c>
      <c r="Y214" s="118" t="n">
        <f aca="false">Inputs!$C$42*(1+Inputs!$C$44)^(Y$118-1)*MAX(0,MIN(1,Y$117*1-Inputs!$C$45+1))/1</f>
        <v>5.3</v>
      </c>
      <c r="Z214" s="118" t="n">
        <f aca="false">Inputs!$C$42*(1+Inputs!$C$44)^(Z$118-1)*MAX(0,MIN(1,Z$117*1-Inputs!$C$45+1))/1</f>
        <v>5.3</v>
      </c>
      <c r="AA214" s="118" t="n">
        <f aca="false">Inputs!$C$42*(1+Inputs!$C$44)^(AA$118-1)*MAX(0,MIN(1,AA$117*1-Inputs!$C$45+1))/1</f>
        <v>5.618</v>
      </c>
      <c r="AB214" s="118" t="n">
        <f aca="false">Inputs!$C$42*(1+Inputs!$C$44)^(AB$118-1)*MAX(0,MIN(1,AB$117*1-Inputs!$C$45+1))/1</f>
        <v>5.618</v>
      </c>
      <c r="AC214" s="118" t="n">
        <f aca="false">Inputs!$C$42*(1+Inputs!$C$44)^(AC$118-1)*MAX(0,MIN(1,AC$117*1-Inputs!$C$45+1))/1</f>
        <v>5.618</v>
      </c>
      <c r="AD214" s="118" t="n">
        <f aca="false">Inputs!$C$42*(1+Inputs!$C$44)^(AD$118-1)*MAX(0,MIN(1,AD$117*1-Inputs!$C$45+1))/1</f>
        <v>5.618</v>
      </c>
      <c r="AE214" s="118" t="n">
        <f aca="false">Inputs!$C$42*(1+Inputs!$C$44)^(AE$118-1)*MAX(0,MIN(1,AE$117*1-Inputs!$C$45+1))/1</f>
        <v>5.618</v>
      </c>
      <c r="AF214" s="118" t="n">
        <f aca="false">Inputs!$C$42*(1+Inputs!$C$44)^(AF$118-1)*MAX(0,MIN(1,AF$117*1-Inputs!$C$45+1))/1</f>
        <v>5.618</v>
      </c>
      <c r="AG214" s="118" t="n">
        <f aca="false">Inputs!$C$42*(1+Inputs!$C$44)^(AG$118-1)*MAX(0,MIN(1,AG$117*1-Inputs!$C$45+1))/1</f>
        <v>5.618</v>
      </c>
      <c r="AH214" s="118" t="n">
        <f aca="false">Inputs!$C$42*(1+Inputs!$C$44)^(AH$118-1)*MAX(0,MIN(1,AH$117*1-Inputs!$C$45+1))/1</f>
        <v>5.618</v>
      </c>
      <c r="AI214" s="118" t="n">
        <f aca="false">Inputs!$C$42*(1+Inputs!$C$44)^(AI$118-1)*MAX(0,MIN(1,AI$117*1-Inputs!$C$45+1))/1</f>
        <v>5.618</v>
      </c>
      <c r="AJ214" s="118" t="n">
        <f aca="false">Inputs!$C$42*(1+Inputs!$C$44)^(AJ$118-1)*MAX(0,MIN(1,AJ$117*1-Inputs!$C$45+1))/1</f>
        <v>5.618</v>
      </c>
      <c r="AK214" s="118" t="n">
        <f aca="false">Inputs!$C$42*(1+Inputs!$C$44)^(AK$118-1)*MAX(0,MIN(1,AK$117*1-Inputs!$C$45+1))/1</f>
        <v>5.618</v>
      </c>
      <c r="AL214" s="118" t="n">
        <f aca="false">Inputs!$C$42*(1+Inputs!$C$44)^(AL$118-1)*MAX(0,MIN(1,AL$117*1-Inputs!$C$45+1))/1</f>
        <v>5.618</v>
      </c>
      <c r="AM214" s="118" t="n">
        <f aca="false">Inputs!$C$42*(1+Inputs!$C$44)^(AM$118-1)*MAX(0,MIN(1,AM$117*1-Inputs!$C$45+1))/1</f>
        <v>5.95508</v>
      </c>
      <c r="AN214" s="118" t="n">
        <f aca="false">Inputs!$C$42*(1+Inputs!$C$44)^(AN$118-1)*MAX(0,MIN(1,AN$117*1-Inputs!$C$45+1))/1</f>
        <v>5.95508</v>
      </c>
      <c r="AO214" s="118" t="n">
        <f aca="false">Inputs!$C$42*(1+Inputs!$C$44)^(AO$118-1)*MAX(0,MIN(1,AO$117*1-Inputs!$C$45+1))/1</f>
        <v>5.95508</v>
      </c>
      <c r="AP214" s="118" t="n">
        <f aca="false">Inputs!$C$42*(1+Inputs!$C$44)^(AP$118-1)*MAX(0,MIN(1,AP$117*1-Inputs!$C$45+1))/1</f>
        <v>5.95508</v>
      </c>
      <c r="AQ214" s="118" t="n">
        <f aca="false">Inputs!$C$42*(1+Inputs!$C$44)^(AQ$118-1)*MAX(0,MIN(1,AQ$117*1-Inputs!$C$45+1))/1</f>
        <v>5.95508</v>
      </c>
      <c r="AR214" s="118" t="n">
        <f aca="false">Inputs!$C$42*(1+Inputs!$C$44)^(AR$118-1)*MAX(0,MIN(1,AR$117*1-Inputs!$C$45+1))/1</f>
        <v>5.95508</v>
      </c>
      <c r="AS214" s="118" t="n">
        <f aca="false">Inputs!$C$42*(1+Inputs!$C$44)^(AS$118-1)*MAX(0,MIN(1,AS$117*1-Inputs!$C$45+1))/1</f>
        <v>5.95508</v>
      </c>
      <c r="AT214" s="118" t="n">
        <f aca="false">Inputs!$C$42*(1+Inputs!$C$44)^(AT$118-1)*MAX(0,MIN(1,AT$117*1-Inputs!$C$45+1))/1</f>
        <v>5.95508</v>
      </c>
      <c r="AU214" s="118" t="n">
        <f aca="false">Inputs!$C$42*(1+Inputs!$C$44)^(AU$118-1)*MAX(0,MIN(1,AU$117*1-Inputs!$C$45+1))/1</f>
        <v>5.95508</v>
      </c>
      <c r="AV214" s="118" t="n">
        <f aca="false">Inputs!$C$42*(1+Inputs!$C$44)^(AV$118-1)*MAX(0,MIN(1,AV$117*1-Inputs!$C$45+1))/1</f>
        <v>5.95508</v>
      </c>
      <c r="AW214" s="118" t="n">
        <f aca="false">Inputs!$C$42*(1+Inputs!$C$44)^(AW$118-1)*MAX(0,MIN(1,AW$117*1-Inputs!$C$45+1))/1</f>
        <v>5.95508</v>
      </c>
      <c r="AX214" s="118" t="n">
        <f aca="false">Inputs!$C$42*(1+Inputs!$C$44)^(AX$118-1)*MAX(0,MIN(1,AX$117*1-Inputs!$C$45+1))/1</f>
        <v>5.95508</v>
      </c>
      <c r="AY214" s="118" t="n">
        <f aca="false">Inputs!$C$42*(1+Inputs!$C$44)^(AY$118-1)*MAX(0,MIN(1,AY$117*1-Inputs!$C$45+1))/1</f>
        <v>6.3123848</v>
      </c>
      <c r="AZ214" s="118" t="n">
        <f aca="false">Inputs!$C$42*(1+Inputs!$C$44)^(AZ$118-1)*MAX(0,MIN(1,AZ$117*1-Inputs!$C$45+1))/1</f>
        <v>6.3123848</v>
      </c>
      <c r="BA214" s="118" t="n">
        <f aca="false">Inputs!$C$42*(1+Inputs!$C$44)^(BA$118-1)*MAX(0,MIN(1,BA$117*1-Inputs!$C$45+1))/1</f>
        <v>6.3123848</v>
      </c>
      <c r="BB214" s="118" t="n">
        <f aca="false">Inputs!$C$42*(1+Inputs!$C$44)^(BB$118-1)*MAX(0,MIN(1,BB$117*1-Inputs!$C$45+1))/1</f>
        <v>6.3123848</v>
      </c>
      <c r="BC214" s="118" t="n">
        <f aca="false">Inputs!$C$42*(1+Inputs!$C$44)^(BC$118-1)*MAX(0,MIN(1,BC$117*1-Inputs!$C$45+1))/1</f>
        <v>6.3123848</v>
      </c>
      <c r="BD214" s="118" t="n">
        <f aca="false">Inputs!$C$42*(1+Inputs!$C$44)^(BD$118-1)*MAX(0,MIN(1,BD$117*1-Inputs!$C$45+1))/1</f>
        <v>6.3123848</v>
      </c>
      <c r="BE214" s="118" t="n">
        <f aca="false">Inputs!$C$42*(1+Inputs!$C$44)^(BE$118-1)*MAX(0,MIN(1,BE$117*1-Inputs!$C$45+1))/1</f>
        <v>6.3123848</v>
      </c>
      <c r="BF214" s="118" t="n">
        <f aca="false">Inputs!$C$42*(1+Inputs!$C$44)^(BF$118-1)*MAX(0,MIN(1,BF$117*1-Inputs!$C$45+1))/1</f>
        <v>6.3123848</v>
      </c>
      <c r="BG214" s="118" t="n">
        <f aca="false">Inputs!$C$42*(1+Inputs!$C$44)^(BG$118-1)*MAX(0,MIN(1,BG$117*1-Inputs!$C$45+1))/1</f>
        <v>6.3123848</v>
      </c>
      <c r="BH214" s="118" t="n">
        <f aca="false">Inputs!$C$42*(1+Inputs!$C$44)^(BH$118-1)*MAX(0,MIN(1,BH$117*1-Inputs!$C$45+1))/1</f>
        <v>6.3123848</v>
      </c>
      <c r="BI214" s="118" t="n">
        <f aca="false">Inputs!$C$42*(1+Inputs!$C$44)^(BI$118-1)*MAX(0,MIN(1,BI$117*1-Inputs!$C$45+1))/1</f>
        <v>6.3123848</v>
      </c>
      <c r="BJ214" s="118" t="n">
        <f aca="false">Inputs!$C$42*(1+Inputs!$C$44)^(BJ$118-1)*MAX(0,MIN(1,BJ$117*1-Inputs!$C$45+1))/1</f>
        <v>6.3123848</v>
      </c>
    </row>
    <row r="215" customFormat="false" ht="15" hidden="false" customHeight="false" outlineLevel="0" collapsed="false">
      <c r="A215" s="6" t="s">
        <v>438</v>
      </c>
      <c r="C215" s="118" t="n">
        <f aca="false">Inputs!$C$46*(1+Inputs!$C$48)^(C$118-1)*MAX(0,MIN(1,C$117*1-Inputs!$C$49+1))/1</f>
        <v>7</v>
      </c>
      <c r="D215" s="118" t="n">
        <f aca="false">Inputs!$C$46*(1+Inputs!$C$48)^(D$118-1)*MAX(0,MIN(1,D$117*1-Inputs!$C$49+1))/1</f>
        <v>7</v>
      </c>
      <c r="E215" s="118" t="n">
        <f aca="false">Inputs!$C$46*(1+Inputs!$C$48)^(E$118-1)*MAX(0,MIN(1,E$117*1-Inputs!$C$49+1))/1</f>
        <v>7</v>
      </c>
      <c r="F215" s="118" t="n">
        <f aca="false">Inputs!$C$46*(1+Inputs!$C$48)^(F$118-1)*MAX(0,MIN(1,F$117*1-Inputs!$C$49+1))/1</f>
        <v>7</v>
      </c>
      <c r="G215" s="118" t="n">
        <f aca="false">Inputs!$C$46*(1+Inputs!$C$48)^(G$118-1)*MAX(0,MIN(1,G$117*1-Inputs!$C$49+1))/1</f>
        <v>7</v>
      </c>
      <c r="H215" s="118" t="n">
        <f aca="false">Inputs!$C$46*(1+Inputs!$C$48)^(H$118-1)*MAX(0,MIN(1,H$117*1-Inputs!$C$49+1))/1</f>
        <v>7</v>
      </c>
      <c r="I215" s="118" t="n">
        <f aca="false">Inputs!$C$46*(1+Inputs!$C$48)^(I$118-1)*MAX(0,MIN(1,I$117*1-Inputs!$C$49+1))/1</f>
        <v>7</v>
      </c>
      <c r="J215" s="118" t="n">
        <f aca="false">Inputs!$C$46*(1+Inputs!$C$48)^(J$118-1)*MAX(0,MIN(1,J$117*1-Inputs!$C$49+1))/1</f>
        <v>7</v>
      </c>
      <c r="K215" s="118" t="n">
        <f aca="false">Inputs!$C$46*(1+Inputs!$C$48)^(K$118-1)*MAX(0,MIN(1,K$117*1-Inputs!$C$49+1))/1</f>
        <v>7</v>
      </c>
      <c r="L215" s="118" t="n">
        <f aca="false">Inputs!$C$46*(1+Inputs!$C$48)^(L$118-1)*MAX(0,MIN(1,L$117*1-Inputs!$C$49+1))/1</f>
        <v>7</v>
      </c>
      <c r="M215" s="118" t="n">
        <f aca="false">Inputs!$C$46*(1+Inputs!$C$48)^(M$118-1)*MAX(0,MIN(1,M$117*1-Inputs!$C$49+1))/1</f>
        <v>7</v>
      </c>
      <c r="N215" s="118" t="n">
        <f aca="false">Inputs!$C$46*(1+Inputs!$C$48)^(N$118-1)*MAX(0,MIN(1,N$117*1-Inputs!$C$49+1))/1</f>
        <v>7</v>
      </c>
      <c r="O215" s="118" t="n">
        <f aca="false">Inputs!$C$46*(1+Inputs!$C$48)^(O$118-1)*MAX(0,MIN(1,O$117*1-Inputs!$C$49+1))/1</f>
        <v>7.42</v>
      </c>
      <c r="P215" s="118" t="n">
        <f aca="false">Inputs!$C$46*(1+Inputs!$C$48)^(P$118-1)*MAX(0,MIN(1,P$117*1-Inputs!$C$49+1))/1</f>
        <v>7.42</v>
      </c>
      <c r="Q215" s="118" t="n">
        <f aca="false">Inputs!$C$46*(1+Inputs!$C$48)^(Q$118-1)*MAX(0,MIN(1,Q$117*1-Inputs!$C$49+1))/1</f>
        <v>7.42</v>
      </c>
      <c r="R215" s="118" t="n">
        <f aca="false">Inputs!$C$46*(1+Inputs!$C$48)^(R$118-1)*MAX(0,MIN(1,R$117*1-Inputs!$C$49+1))/1</f>
        <v>7.42</v>
      </c>
      <c r="S215" s="118" t="n">
        <f aca="false">Inputs!$C$46*(1+Inputs!$C$48)^(S$118-1)*MAX(0,MIN(1,S$117*1-Inputs!$C$49+1))/1</f>
        <v>7.42</v>
      </c>
      <c r="T215" s="118" t="n">
        <f aca="false">Inputs!$C$46*(1+Inputs!$C$48)^(T$118-1)*MAX(0,MIN(1,T$117*1-Inputs!$C$49+1))/1</f>
        <v>7.42</v>
      </c>
      <c r="U215" s="118" t="n">
        <f aca="false">Inputs!$C$46*(1+Inputs!$C$48)^(U$118-1)*MAX(0,MIN(1,U$117*1-Inputs!$C$49+1))/1</f>
        <v>7.42</v>
      </c>
      <c r="V215" s="118" t="n">
        <f aca="false">Inputs!$C$46*(1+Inputs!$C$48)^(V$118-1)*MAX(0,MIN(1,V$117*1-Inputs!$C$49+1))/1</f>
        <v>7.42</v>
      </c>
      <c r="W215" s="118" t="n">
        <f aca="false">Inputs!$C$46*(1+Inputs!$C$48)^(W$118-1)*MAX(0,MIN(1,W$117*1-Inputs!$C$49+1))/1</f>
        <v>7.42</v>
      </c>
      <c r="X215" s="118" t="n">
        <f aca="false">Inputs!$C$46*(1+Inputs!$C$48)^(X$118-1)*MAX(0,MIN(1,X$117*1-Inputs!$C$49+1))/1</f>
        <v>7.42</v>
      </c>
      <c r="Y215" s="118" t="n">
        <f aca="false">Inputs!$C$46*(1+Inputs!$C$48)^(Y$118-1)*MAX(0,MIN(1,Y$117*1-Inputs!$C$49+1))/1</f>
        <v>7.42</v>
      </c>
      <c r="Z215" s="118" t="n">
        <f aca="false">Inputs!$C$46*(1+Inputs!$C$48)^(Z$118-1)*MAX(0,MIN(1,Z$117*1-Inputs!$C$49+1))/1</f>
        <v>7.42</v>
      </c>
      <c r="AA215" s="118" t="n">
        <f aca="false">Inputs!$C$46*(1+Inputs!$C$48)^(AA$118-1)*MAX(0,MIN(1,AA$117*1-Inputs!$C$49+1))/1</f>
        <v>7.8652</v>
      </c>
      <c r="AB215" s="118" t="n">
        <f aca="false">Inputs!$C$46*(1+Inputs!$C$48)^(AB$118-1)*MAX(0,MIN(1,AB$117*1-Inputs!$C$49+1))/1</f>
        <v>7.8652</v>
      </c>
      <c r="AC215" s="118" t="n">
        <f aca="false">Inputs!$C$46*(1+Inputs!$C$48)^(AC$118-1)*MAX(0,MIN(1,AC$117*1-Inputs!$C$49+1))/1</f>
        <v>7.8652</v>
      </c>
      <c r="AD215" s="118" t="n">
        <f aca="false">Inputs!$C$46*(1+Inputs!$C$48)^(AD$118-1)*MAX(0,MIN(1,AD$117*1-Inputs!$C$49+1))/1</f>
        <v>7.8652</v>
      </c>
      <c r="AE215" s="118" t="n">
        <f aca="false">Inputs!$C$46*(1+Inputs!$C$48)^(AE$118-1)*MAX(0,MIN(1,AE$117*1-Inputs!$C$49+1))/1</f>
        <v>7.8652</v>
      </c>
      <c r="AF215" s="118" t="n">
        <f aca="false">Inputs!$C$46*(1+Inputs!$C$48)^(AF$118-1)*MAX(0,MIN(1,AF$117*1-Inputs!$C$49+1))/1</f>
        <v>7.8652</v>
      </c>
      <c r="AG215" s="118" t="n">
        <f aca="false">Inputs!$C$46*(1+Inputs!$C$48)^(AG$118-1)*MAX(0,MIN(1,AG$117*1-Inputs!$C$49+1))/1</f>
        <v>7.8652</v>
      </c>
      <c r="AH215" s="118" t="n">
        <f aca="false">Inputs!$C$46*(1+Inputs!$C$48)^(AH$118-1)*MAX(0,MIN(1,AH$117*1-Inputs!$C$49+1))/1</f>
        <v>7.8652</v>
      </c>
      <c r="AI215" s="118" t="n">
        <f aca="false">Inputs!$C$46*(1+Inputs!$C$48)^(AI$118-1)*MAX(0,MIN(1,AI$117*1-Inputs!$C$49+1))/1</f>
        <v>7.8652</v>
      </c>
      <c r="AJ215" s="118" t="n">
        <f aca="false">Inputs!$C$46*(1+Inputs!$C$48)^(AJ$118-1)*MAX(0,MIN(1,AJ$117*1-Inputs!$C$49+1))/1</f>
        <v>7.8652</v>
      </c>
      <c r="AK215" s="118" t="n">
        <f aca="false">Inputs!$C$46*(1+Inputs!$C$48)^(AK$118-1)*MAX(0,MIN(1,AK$117*1-Inputs!$C$49+1))/1</f>
        <v>7.8652</v>
      </c>
      <c r="AL215" s="118" t="n">
        <f aca="false">Inputs!$C$46*(1+Inputs!$C$48)^(AL$118-1)*MAX(0,MIN(1,AL$117*1-Inputs!$C$49+1))/1</f>
        <v>7.8652</v>
      </c>
      <c r="AM215" s="118" t="n">
        <f aca="false">Inputs!$C$46*(1+Inputs!$C$48)^(AM$118-1)*MAX(0,MIN(1,AM$117*1-Inputs!$C$49+1))/1</f>
        <v>8.337112</v>
      </c>
      <c r="AN215" s="118" t="n">
        <f aca="false">Inputs!$C$46*(1+Inputs!$C$48)^(AN$118-1)*MAX(0,MIN(1,AN$117*1-Inputs!$C$49+1))/1</f>
        <v>8.337112</v>
      </c>
      <c r="AO215" s="118" t="n">
        <f aca="false">Inputs!$C$46*(1+Inputs!$C$48)^(AO$118-1)*MAX(0,MIN(1,AO$117*1-Inputs!$C$49+1))/1</f>
        <v>8.337112</v>
      </c>
      <c r="AP215" s="118" t="n">
        <f aca="false">Inputs!$C$46*(1+Inputs!$C$48)^(AP$118-1)*MAX(0,MIN(1,AP$117*1-Inputs!$C$49+1))/1</f>
        <v>8.337112</v>
      </c>
      <c r="AQ215" s="118" t="n">
        <f aca="false">Inputs!$C$46*(1+Inputs!$C$48)^(AQ$118-1)*MAX(0,MIN(1,AQ$117*1-Inputs!$C$49+1))/1</f>
        <v>8.337112</v>
      </c>
      <c r="AR215" s="118" t="n">
        <f aca="false">Inputs!$C$46*(1+Inputs!$C$48)^(AR$118-1)*MAX(0,MIN(1,AR$117*1-Inputs!$C$49+1))/1</f>
        <v>8.337112</v>
      </c>
      <c r="AS215" s="118" t="n">
        <f aca="false">Inputs!$C$46*(1+Inputs!$C$48)^(AS$118-1)*MAX(0,MIN(1,AS$117*1-Inputs!$C$49+1))/1</f>
        <v>8.337112</v>
      </c>
      <c r="AT215" s="118" t="n">
        <f aca="false">Inputs!$C$46*(1+Inputs!$C$48)^(AT$118-1)*MAX(0,MIN(1,AT$117*1-Inputs!$C$49+1))/1</f>
        <v>8.337112</v>
      </c>
      <c r="AU215" s="118" t="n">
        <f aca="false">Inputs!$C$46*(1+Inputs!$C$48)^(AU$118-1)*MAX(0,MIN(1,AU$117*1-Inputs!$C$49+1))/1</f>
        <v>8.337112</v>
      </c>
      <c r="AV215" s="118" t="n">
        <f aca="false">Inputs!$C$46*(1+Inputs!$C$48)^(AV$118-1)*MAX(0,MIN(1,AV$117*1-Inputs!$C$49+1))/1</f>
        <v>8.337112</v>
      </c>
      <c r="AW215" s="118" t="n">
        <f aca="false">Inputs!$C$46*(1+Inputs!$C$48)^(AW$118-1)*MAX(0,MIN(1,AW$117*1-Inputs!$C$49+1))/1</f>
        <v>8.337112</v>
      </c>
      <c r="AX215" s="118" t="n">
        <f aca="false">Inputs!$C$46*(1+Inputs!$C$48)^(AX$118-1)*MAX(0,MIN(1,AX$117*1-Inputs!$C$49+1))/1</f>
        <v>8.337112</v>
      </c>
      <c r="AY215" s="118" t="n">
        <f aca="false">Inputs!$C$46*(1+Inputs!$C$48)^(AY$118-1)*MAX(0,MIN(1,AY$117*1-Inputs!$C$49+1))/1</f>
        <v>8.83733872</v>
      </c>
      <c r="AZ215" s="118" t="n">
        <f aca="false">Inputs!$C$46*(1+Inputs!$C$48)^(AZ$118-1)*MAX(0,MIN(1,AZ$117*1-Inputs!$C$49+1))/1</f>
        <v>8.83733872</v>
      </c>
      <c r="BA215" s="118" t="n">
        <f aca="false">Inputs!$C$46*(1+Inputs!$C$48)^(BA$118-1)*MAX(0,MIN(1,BA$117*1-Inputs!$C$49+1))/1</f>
        <v>8.83733872</v>
      </c>
      <c r="BB215" s="118" t="n">
        <f aca="false">Inputs!$C$46*(1+Inputs!$C$48)^(BB$118-1)*MAX(0,MIN(1,BB$117*1-Inputs!$C$49+1))/1</f>
        <v>8.83733872</v>
      </c>
      <c r="BC215" s="118" t="n">
        <f aca="false">Inputs!$C$46*(1+Inputs!$C$48)^(BC$118-1)*MAX(0,MIN(1,BC$117*1-Inputs!$C$49+1))/1</f>
        <v>8.83733872</v>
      </c>
      <c r="BD215" s="118" t="n">
        <f aca="false">Inputs!$C$46*(1+Inputs!$C$48)^(BD$118-1)*MAX(0,MIN(1,BD$117*1-Inputs!$C$49+1))/1</f>
        <v>8.83733872</v>
      </c>
      <c r="BE215" s="118" t="n">
        <f aca="false">Inputs!$C$46*(1+Inputs!$C$48)^(BE$118-1)*MAX(0,MIN(1,BE$117*1-Inputs!$C$49+1))/1</f>
        <v>8.83733872</v>
      </c>
      <c r="BF215" s="118" t="n">
        <f aca="false">Inputs!$C$46*(1+Inputs!$C$48)^(BF$118-1)*MAX(0,MIN(1,BF$117*1-Inputs!$C$49+1))/1</f>
        <v>8.83733872</v>
      </c>
      <c r="BG215" s="118" t="n">
        <f aca="false">Inputs!$C$46*(1+Inputs!$C$48)^(BG$118-1)*MAX(0,MIN(1,BG$117*1-Inputs!$C$49+1))/1</f>
        <v>8.83733872</v>
      </c>
      <c r="BH215" s="118" t="n">
        <f aca="false">Inputs!$C$46*(1+Inputs!$C$48)^(BH$118-1)*MAX(0,MIN(1,BH$117*1-Inputs!$C$49+1))/1</f>
        <v>8.83733872</v>
      </c>
      <c r="BI215" s="118" t="n">
        <f aca="false">Inputs!$C$46*(1+Inputs!$C$48)^(BI$118-1)*MAX(0,MIN(1,BI$117*1-Inputs!$C$49+1))/1</f>
        <v>8.83733872</v>
      </c>
      <c r="BJ215" s="118" t="n">
        <f aca="false">Inputs!$C$46*(1+Inputs!$C$48)^(BJ$118-1)*MAX(0,MIN(1,BJ$117*1-Inputs!$C$49+1))/1</f>
        <v>8.83733872</v>
      </c>
    </row>
    <row r="216" customFormat="false" ht="15" hidden="false" customHeight="false" outlineLevel="0" collapsed="false">
      <c r="A216" s="6" t="s">
        <v>439</v>
      </c>
      <c r="C216" s="118" t="n">
        <f aca="false">Inputs!$C$50*(1+Inputs!$C$52)^(C$118-1)*MAX(0,MIN(1,C$117*1-Inputs!$C$53+1))/1</f>
        <v>1.5</v>
      </c>
      <c r="D216" s="118" t="n">
        <f aca="false">Inputs!$C$50*(1+Inputs!$C$52)^(D$118-1)*MAX(0,MIN(1,D$117*1-Inputs!$C$53+1))/1</f>
        <v>1.5</v>
      </c>
      <c r="E216" s="118" t="n">
        <f aca="false">Inputs!$C$50*(1+Inputs!$C$52)^(E$118-1)*MAX(0,MIN(1,E$117*1-Inputs!$C$53+1))/1</f>
        <v>1.5</v>
      </c>
      <c r="F216" s="118" t="n">
        <f aca="false">Inputs!$C$50*(1+Inputs!$C$52)^(F$118-1)*MAX(0,MIN(1,F$117*1-Inputs!$C$53+1))/1</f>
        <v>1.5</v>
      </c>
      <c r="G216" s="118" t="n">
        <f aca="false">Inputs!$C$50*(1+Inputs!$C$52)^(G$118-1)*MAX(0,MIN(1,G$117*1-Inputs!$C$53+1))/1</f>
        <v>1.5</v>
      </c>
      <c r="H216" s="118" t="n">
        <f aca="false">Inputs!$C$50*(1+Inputs!$C$52)^(H$118-1)*MAX(0,MIN(1,H$117*1-Inputs!$C$53+1))/1</f>
        <v>1.5</v>
      </c>
      <c r="I216" s="118" t="n">
        <f aca="false">Inputs!$C$50*(1+Inputs!$C$52)^(I$118-1)*MAX(0,MIN(1,I$117*1-Inputs!$C$53+1))/1</f>
        <v>1.5</v>
      </c>
      <c r="J216" s="118" t="n">
        <f aca="false">Inputs!$C$50*(1+Inputs!$C$52)^(J$118-1)*MAX(0,MIN(1,J$117*1-Inputs!$C$53+1))/1</f>
        <v>1.5</v>
      </c>
      <c r="K216" s="118" t="n">
        <f aca="false">Inputs!$C$50*(1+Inputs!$C$52)^(K$118-1)*MAX(0,MIN(1,K$117*1-Inputs!$C$53+1))/1</f>
        <v>1.5</v>
      </c>
      <c r="L216" s="118" t="n">
        <f aca="false">Inputs!$C$50*(1+Inputs!$C$52)^(L$118-1)*MAX(0,MIN(1,L$117*1-Inputs!$C$53+1))/1</f>
        <v>1.5</v>
      </c>
      <c r="M216" s="118" t="n">
        <f aca="false">Inputs!$C$50*(1+Inputs!$C$52)^(M$118-1)*MAX(0,MIN(1,M$117*1-Inputs!$C$53+1))/1</f>
        <v>1.5</v>
      </c>
      <c r="N216" s="118" t="n">
        <f aca="false">Inputs!$C$50*(1+Inputs!$C$52)^(N$118-1)*MAX(0,MIN(1,N$117*1-Inputs!$C$53+1))/1</f>
        <v>1.5</v>
      </c>
      <c r="O216" s="118" t="n">
        <f aca="false">Inputs!$C$50*(1+Inputs!$C$52)^(O$118-1)*MAX(0,MIN(1,O$117*1-Inputs!$C$53+1))/1</f>
        <v>1.5</v>
      </c>
      <c r="P216" s="118" t="n">
        <f aca="false">Inputs!$C$50*(1+Inputs!$C$52)^(P$118-1)*MAX(0,MIN(1,P$117*1-Inputs!$C$53+1))/1</f>
        <v>1.5</v>
      </c>
      <c r="Q216" s="118" t="n">
        <f aca="false">Inputs!$C$50*(1+Inputs!$C$52)^(Q$118-1)*MAX(0,MIN(1,Q$117*1-Inputs!$C$53+1))/1</f>
        <v>1.5</v>
      </c>
      <c r="R216" s="118" t="n">
        <f aca="false">Inputs!$C$50*(1+Inputs!$C$52)^(R$118-1)*MAX(0,MIN(1,R$117*1-Inputs!$C$53+1))/1</f>
        <v>1.5</v>
      </c>
      <c r="S216" s="118" t="n">
        <f aca="false">Inputs!$C$50*(1+Inputs!$C$52)^(S$118-1)*MAX(0,MIN(1,S$117*1-Inputs!$C$53+1))/1</f>
        <v>1.5</v>
      </c>
      <c r="T216" s="118" t="n">
        <f aca="false">Inputs!$C$50*(1+Inputs!$C$52)^(T$118-1)*MAX(0,MIN(1,T$117*1-Inputs!$C$53+1))/1</f>
        <v>1.5</v>
      </c>
      <c r="U216" s="118" t="n">
        <f aca="false">Inputs!$C$50*(1+Inputs!$C$52)^(U$118-1)*MAX(0,MIN(1,U$117*1-Inputs!$C$53+1))/1</f>
        <v>1.5</v>
      </c>
      <c r="V216" s="118" t="n">
        <f aca="false">Inputs!$C$50*(1+Inputs!$C$52)^(V$118-1)*MAX(0,MIN(1,V$117*1-Inputs!$C$53+1))/1</f>
        <v>1.5</v>
      </c>
      <c r="W216" s="118" t="n">
        <f aca="false">Inputs!$C$50*(1+Inputs!$C$52)^(W$118-1)*MAX(0,MIN(1,W$117*1-Inputs!$C$53+1))/1</f>
        <v>1.5</v>
      </c>
      <c r="X216" s="118" t="n">
        <f aca="false">Inputs!$C$50*(1+Inputs!$C$52)^(X$118-1)*MAX(0,MIN(1,X$117*1-Inputs!$C$53+1))/1</f>
        <v>1.5</v>
      </c>
      <c r="Y216" s="118" t="n">
        <f aca="false">Inputs!$C$50*(1+Inputs!$C$52)^(Y$118-1)*MAX(0,MIN(1,Y$117*1-Inputs!$C$53+1))/1</f>
        <v>1.5</v>
      </c>
      <c r="Z216" s="118" t="n">
        <f aca="false">Inputs!$C$50*(1+Inputs!$C$52)^(Z$118-1)*MAX(0,MIN(1,Z$117*1-Inputs!$C$53+1))/1</f>
        <v>1.5</v>
      </c>
      <c r="AA216" s="118" t="n">
        <f aca="false">Inputs!$C$50*(1+Inputs!$C$52)^(AA$118-1)*MAX(0,MIN(1,AA$117*1-Inputs!$C$53+1))/1</f>
        <v>1.5</v>
      </c>
      <c r="AB216" s="118" t="n">
        <f aca="false">Inputs!$C$50*(1+Inputs!$C$52)^(AB$118-1)*MAX(0,MIN(1,AB$117*1-Inputs!$C$53+1))/1</f>
        <v>1.5</v>
      </c>
      <c r="AC216" s="118" t="n">
        <f aca="false">Inputs!$C$50*(1+Inputs!$C$52)^(AC$118-1)*MAX(0,MIN(1,AC$117*1-Inputs!$C$53+1))/1</f>
        <v>1.5</v>
      </c>
      <c r="AD216" s="118" t="n">
        <f aca="false">Inputs!$C$50*(1+Inputs!$C$52)^(AD$118-1)*MAX(0,MIN(1,AD$117*1-Inputs!$C$53+1))/1</f>
        <v>1.5</v>
      </c>
      <c r="AE216" s="118" t="n">
        <f aca="false">Inputs!$C$50*(1+Inputs!$C$52)^(AE$118-1)*MAX(0,MIN(1,AE$117*1-Inputs!$C$53+1))/1</f>
        <v>1.5</v>
      </c>
      <c r="AF216" s="118" t="n">
        <f aca="false">Inputs!$C$50*(1+Inputs!$C$52)^(AF$118-1)*MAX(0,MIN(1,AF$117*1-Inputs!$C$53+1))/1</f>
        <v>1.5</v>
      </c>
      <c r="AG216" s="118" t="n">
        <f aca="false">Inputs!$C$50*(1+Inputs!$C$52)^(AG$118-1)*MAX(0,MIN(1,AG$117*1-Inputs!$C$53+1))/1</f>
        <v>1.5</v>
      </c>
      <c r="AH216" s="118" t="n">
        <f aca="false">Inputs!$C$50*(1+Inputs!$C$52)^(AH$118-1)*MAX(0,MIN(1,AH$117*1-Inputs!$C$53+1))/1</f>
        <v>1.5</v>
      </c>
      <c r="AI216" s="118" t="n">
        <f aca="false">Inputs!$C$50*(1+Inputs!$C$52)^(AI$118-1)*MAX(0,MIN(1,AI$117*1-Inputs!$C$53+1))/1</f>
        <v>1.5</v>
      </c>
      <c r="AJ216" s="118" t="n">
        <f aca="false">Inputs!$C$50*(1+Inputs!$C$52)^(AJ$118-1)*MAX(0,MIN(1,AJ$117*1-Inputs!$C$53+1))/1</f>
        <v>1.5</v>
      </c>
      <c r="AK216" s="118" t="n">
        <f aca="false">Inputs!$C$50*(1+Inputs!$C$52)^(AK$118-1)*MAX(0,MIN(1,AK$117*1-Inputs!$C$53+1))/1</f>
        <v>1.5</v>
      </c>
      <c r="AL216" s="118" t="n">
        <f aca="false">Inputs!$C$50*(1+Inputs!$C$52)^(AL$118-1)*MAX(0,MIN(1,AL$117*1-Inputs!$C$53+1))/1</f>
        <v>1.5</v>
      </c>
      <c r="AM216" s="118" t="n">
        <f aca="false">Inputs!$C$50*(1+Inputs!$C$52)^(AM$118-1)*MAX(0,MIN(1,AM$117*1-Inputs!$C$53+1))/1</f>
        <v>1.5</v>
      </c>
      <c r="AN216" s="118" t="n">
        <f aca="false">Inputs!$C$50*(1+Inputs!$C$52)^(AN$118-1)*MAX(0,MIN(1,AN$117*1-Inputs!$C$53+1))/1</f>
        <v>1.5</v>
      </c>
      <c r="AO216" s="118" t="n">
        <f aca="false">Inputs!$C$50*(1+Inputs!$C$52)^(AO$118-1)*MAX(0,MIN(1,AO$117*1-Inputs!$C$53+1))/1</f>
        <v>1.5</v>
      </c>
      <c r="AP216" s="118" t="n">
        <f aca="false">Inputs!$C$50*(1+Inputs!$C$52)^(AP$118-1)*MAX(0,MIN(1,AP$117*1-Inputs!$C$53+1))/1</f>
        <v>1.5</v>
      </c>
      <c r="AQ216" s="118" t="n">
        <f aca="false">Inputs!$C$50*(1+Inputs!$C$52)^(AQ$118-1)*MAX(0,MIN(1,AQ$117*1-Inputs!$C$53+1))/1</f>
        <v>1.5</v>
      </c>
      <c r="AR216" s="118" t="n">
        <f aca="false">Inputs!$C$50*(1+Inputs!$C$52)^(AR$118-1)*MAX(0,MIN(1,AR$117*1-Inputs!$C$53+1))/1</f>
        <v>1.5</v>
      </c>
      <c r="AS216" s="118" t="n">
        <f aca="false">Inputs!$C$50*(1+Inputs!$C$52)^(AS$118-1)*MAX(0,MIN(1,AS$117*1-Inputs!$C$53+1))/1</f>
        <v>1.5</v>
      </c>
      <c r="AT216" s="118" t="n">
        <f aca="false">Inputs!$C$50*(1+Inputs!$C$52)^(AT$118-1)*MAX(0,MIN(1,AT$117*1-Inputs!$C$53+1))/1</f>
        <v>1.5</v>
      </c>
      <c r="AU216" s="118" t="n">
        <f aca="false">Inputs!$C$50*(1+Inputs!$C$52)^(AU$118-1)*MAX(0,MIN(1,AU$117*1-Inputs!$C$53+1))/1</f>
        <v>1.5</v>
      </c>
      <c r="AV216" s="118" t="n">
        <f aca="false">Inputs!$C$50*(1+Inputs!$C$52)^(AV$118-1)*MAX(0,MIN(1,AV$117*1-Inputs!$C$53+1))/1</f>
        <v>1.5</v>
      </c>
      <c r="AW216" s="118" t="n">
        <f aca="false">Inputs!$C$50*(1+Inputs!$C$52)^(AW$118-1)*MAX(0,MIN(1,AW$117*1-Inputs!$C$53+1))/1</f>
        <v>1.5</v>
      </c>
      <c r="AX216" s="118" t="n">
        <f aca="false">Inputs!$C$50*(1+Inputs!$C$52)^(AX$118-1)*MAX(0,MIN(1,AX$117*1-Inputs!$C$53+1))/1</f>
        <v>1.5</v>
      </c>
      <c r="AY216" s="118" t="n">
        <f aca="false">Inputs!$C$50*(1+Inputs!$C$52)^(AY$118-1)*MAX(0,MIN(1,AY$117*1-Inputs!$C$53+1))/1</f>
        <v>1.5</v>
      </c>
      <c r="AZ216" s="118" t="n">
        <f aca="false">Inputs!$C$50*(1+Inputs!$C$52)^(AZ$118-1)*MAX(0,MIN(1,AZ$117*1-Inputs!$C$53+1))/1</f>
        <v>1.5</v>
      </c>
      <c r="BA216" s="118" t="n">
        <f aca="false">Inputs!$C$50*(1+Inputs!$C$52)^(BA$118-1)*MAX(0,MIN(1,BA$117*1-Inputs!$C$53+1))/1</f>
        <v>1.5</v>
      </c>
      <c r="BB216" s="118" t="n">
        <f aca="false">Inputs!$C$50*(1+Inputs!$C$52)^(BB$118-1)*MAX(0,MIN(1,BB$117*1-Inputs!$C$53+1))/1</f>
        <v>1.5</v>
      </c>
      <c r="BC216" s="118" t="n">
        <f aca="false">Inputs!$C$50*(1+Inputs!$C$52)^(BC$118-1)*MAX(0,MIN(1,BC$117*1-Inputs!$C$53+1))/1</f>
        <v>1.5</v>
      </c>
      <c r="BD216" s="118" t="n">
        <f aca="false">Inputs!$C$50*(1+Inputs!$C$52)^(BD$118-1)*MAX(0,MIN(1,BD$117*1-Inputs!$C$53+1))/1</f>
        <v>1.5</v>
      </c>
      <c r="BE216" s="118" t="n">
        <f aca="false">Inputs!$C$50*(1+Inputs!$C$52)^(BE$118-1)*MAX(0,MIN(1,BE$117*1-Inputs!$C$53+1))/1</f>
        <v>1.5</v>
      </c>
      <c r="BF216" s="118" t="n">
        <f aca="false">Inputs!$C$50*(1+Inputs!$C$52)^(BF$118-1)*MAX(0,MIN(1,BF$117*1-Inputs!$C$53+1))/1</f>
        <v>1.5</v>
      </c>
      <c r="BG216" s="118" t="n">
        <f aca="false">Inputs!$C$50*(1+Inputs!$C$52)^(BG$118-1)*MAX(0,MIN(1,BG$117*1-Inputs!$C$53+1))/1</f>
        <v>1.5</v>
      </c>
      <c r="BH216" s="118" t="n">
        <f aca="false">Inputs!$C$50*(1+Inputs!$C$52)^(BH$118-1)*MAX(0,MIN(1,BH$117*1-Inputs!$C$53+1))/1</f>
        <v>1.5</v>
      </c>
      <c r="BI216" s="118" t="n">
        <f aca="false">Inputs!$C$50*(1+Inputs!$C$52)^(BI$118-1)*MAX(0,MIN(1,BI$117*1-Inputs!$C$53+1))/1</f>
        <v>1.5</v>
      </c>
      <c r="BJ216" s="118" t="n">
        <f aca="false">Inputs!$C$50*(1+Inputs!$C$52)^(BJ$118-1)*MAX(0,MIN(1,BJ$117*1-Inputs!$C$53+1))/1</f>
        <v>1.5</v>
      </c>
    </row>
    <row r="217" customFormat="false" ht="15" hidden="false" customHeight="false" outlineLevel="0" collapsed="false">
      <c r="A217" s="115" t="s">
        <v>440</v>
      </c>
      <c r="C217" s="122" t="n">
        <f aca="false">C214+C215+C216</f>
        <v>13.5</v>
      </c>
      <c r="D217" s="122" t="n">
        <f aca="false">D214+D215+D216</f>
        <v>13.5</v>
      </c>
      <c r="E217" s="122" t="n">
        <f aca="false">E214+E215+E216</f>
        <v>13.5</v>
      </c>
      <c r="F217" s="122" t="n">
        <f aca="false">F214+F215+F216</f>
        <v>13.5</v>
      </c>
      <c r="G217" s="122" t="n">
        <f aca="false">G214+G215+G216</f>
        <v>13.5</v>
      </c>
      <c r="H217" s="122" t="n">
        <f aca="false">H214+H215+H216</f>
        <v>13.5</v>
      </c>
      <c r="I217" s="122" t="n">
        <f aca="false">I214+I215+I216</f>
        <v>13.5</v>
      </c>
      <c r="J217" s="122" t="n">
        <f aca="false">J214+J215+J216</f>
        <v>13.5</v>
      </c>
      <c r="K217" s="122" t="n">
        <f aca="false">K214+K215+K216</f>
        <v>13.5</v>
      </c>
      <c r="L217" s="122" t="n">
        <f aca="false">L214+L215+L216</f>
        <v>13.5</v>
      </c>
      <c r="M217" s="122" t="n">
        <f aca="false">M214+M215+M216</f>
        <v>13.5</v>
      </c>
      <c r="N217" s="122" t="n">
        <f aca="false">N214+N215+N216</f>
        <v>13.5</v>
      </c>
      <c r="O217" s="122" t="n">
        <f aca="false">O214+O215+O216</f>
        <v>14.22</v>
      </c>
      <c r="P217" s="122" t="n">
        <f aca="false">P214+P215+P216</f>
        <v>14.22</v>
      </c>
      <c r="Q217" s="122" t="n">
        <f aca="false">Q214+Q215+Q216</f>
        <v>14.22</v>
      </c>
      <c r="R217" s="122" t="n">
        <f aca="false">R214+R215+R216</f>
        <v>14.22</v>
      </c>
      <c r="S217" s="122" t="n">
        <f aca="false">S214+S215+S216</f>
        <v>14.22</v>
      </c>
      <c r="T217" s="122" t="n">
        <f aca="false">T214+T215+T216</f>
        <v>14.22</v>
      </c>
      <c r="U217" s="122" t="n">
        <f aca="false">U214+U215+U216</f>
        <v>14.22</v>
      </c>
      <c r="V217" s="122" t="n">
        <f aca="false">V214+V215+V216</f>
        <v>14.22</v>
      </c>
      <c r="W217" s="122" t="n">
        <f aca="false">W214+W215+W216</f>
        <v>14.22</v>
      </c>
      <c r="X217" s="122" t="n">
        <f aca="false">X214+X215+X216</f>
        <v>14.22</v>
      </c>
      <c r="Y217" s="122" t="n">
        <f aca="false">Y214+Y215+Y216</f>
        <v>14.22</v>
      </c>
      <c r="Z217" s="122" t="n">
        <f aca="false">Z214+Z215+Z216</f>
        <v>14.22</v>
      </c>
      <c r="AA217" s="122" t="n">
        <f aca="false">AA214+AA215+AA216</f>
        <v>14.9832</v>
      </c>
      <c r="AB217" s="122" t="n">
        <f aca="false">AB214+AB215+AB216</f>
        <v>14.9832</v>
      </c>
      <c r="AC217" s="122" t="n">
        <f aca="false">AC214+AC215+AC216</f>
        <v>14.9832</v>
      </c>
      <c r="AD217" s="122" t="n">
        <f aca="false">AD214+AD215+AD216</f>
        <v>14.9832</v>
      </c>
      <c r="AE217" s="122" t="n">
        <f aca="false">AE214+AE215+AE216</f>
        <v>14.9832</v>
      </c>
      <c r="AF217" s="122" t="n">
        <f aca="false">AF214+AF215+AF216</f>
        <v>14.9832</v>
      </c>
      <c r="AG217" s="122" t="n">
        <f aca="false">AG214+AG215+AG216</f>
        <v>14.9832</v>
      </c>
      <c r="AH217" s="122" t="n">
        <f aca="false">AH214+AH215+AH216</f>
        <v>14.9832</v>
      </c>
      <c r="AI217" s="122" t="n">
        <f aca="false">AI214+AI215+AI216</f>
        <v>14.9832</v>
      </c>
      <c r="AJ217" s="122" t="n">
        <f aca="false">AJ214+AJ215+AJ216</f>
        <v>14.9832</v>
      </c>
      <c r="AK217" s="122" t="n">
        <f aca="false">AK214+AK215+AK216</f>
        <v>14.9832</v>
      </c>
      <c r="AL217" s="122" t="n">
        <f aca="false">AL214+AL215+AL216</f>
        <v>14.9832</v>
      </c>
      <c r="AM217" s="122" t="n">
        <f aca="false">AM214+AM215+AM216</f>
        <v>15.792192</v>
      </c>
      <c r="AN217" s="122" t="n">
        <f aca="false">AN214+AN215+AN216</f>
        <v>15.792192</v>
      </c>
      <c r="AO217" s="122" t="n">
        <f aca="false">AO214+AO215+AO216</f>
        <v>15.792192</v>
      </c>
      <c r="AP217" s="122" t="n">
        <f aca="false">AP214+AP215+AP216</f>
        <v>15.792192</v>
      </c>
      <c r="AQ217" s="122" t="n">
        <f aca="false">AQ214+AQ215+AQ216</f>
        <v>15.792192</v>
      </c>
      <c r="AR217" s="122" t="n">
        <f aca="false">AR214+AR215+AR216</f>
        <v>15.792192</v>
      </c>
      <c r="AS217" s="122" t="n">
        <f aca="false">AS214+AS215+AS216</f>
        <v>15.792192</v>
      </c>
      <c r="AT217" s="122" t="n">
        <f aca="false">AT214+AT215+AT216</f>
        <v>15.792192</v>
      </c>
      <c r="AU217" s="122" t="n">
        <f aca="false">AU214+AU215+AU216</f>
        <v>15.792192</v>
      </c>
      <c r="AV217" s="122" t="n">
        <f aca="false">AV214+AV215+AV216</f>
        <v>15.792192</v>
      </c>
      <c r="AW217" s="122" t="n">
        <f aca="false">AW214+AW215+AW216</f>
        <v>15.792192</v>
      </c>
      <c r="AX217" s="122" t="n">
        <f aca="false">AX214+AX215+AX216</f>
        <v>15.792192</v>
      </c>
      <c r="AY217" s="122" t="n">
        <f aca="false">AY214+AY215+AY216</f>
        <v>16.64972352</v>
      </c>
      <c r="AZ217" s="122" t="n">
        <f aca="false">AZ214+AZ215+AZ216</f>
        <v>16.64972352</v>
      </c>
      <c r="BA217" s="122" t="n">
        <f aca="false">BA214+BA215+BA216</f>
        <v>16.64972352</v>
      </c>
      <c r="BB217" s="122" t="n">
        <f aca="false">BB214+BB215+BB216</f>
        <v>16.64972352</v>
      </c>
      <c r="BC217" s="122" t="n">
        <f aca="false">BC214+BC215+BC216</f>
        <v>16.64972352</v>
      </c>
      <c r="BD217" s="122" t="n">
        <f aca="false">BD214+BD215+BD216</f>
        <v>16.64972352</v>
      </c>
      <c r="BE217" s="122" t="n">
        <f aca="false">BE214+BE215+BE216</f>
        <v>16.64972352</v>
      </c>
      <c r="BF217" s="122" t="n">
        <f aca="false">BF214+BF215+BF216</f>
        <v>16.64972352</v>
      </c>
      <c r="BG217" s="122" t="n">
        <f aca="false">BG214+BG215+BG216</f>
        <v>16.64972352</v>
      </c>
      <c r="BH217" s="122" t="n">
        <f aca="false">BH214+BH215+BH216</f>
        <v>16.64972352</v>
      </c>
      <c r="BI217" s="122" t="n">
        <f aca="false">BI214+BI215+BI216</f>
        <v>16.64972352</v>
      </c>
      <c r="BJ217" s="122" t="n">
        <f aca="false">BJ214+BJ215+BJ216</f>
        <v>16.64972352</v>
      </c>
    </row>
    <row r="219" customFormat="false" ht="15.75" hidden="false" customHeight="true" outlineLevel="0" collapsed="false">
      <c r="A219" s="7" t="s">
        <v>441</v>
      </c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customFormat="false" ht="15" hidden="false" customHeight="false" outlineLevel="0" collapsed="false">
      <c r="A220" s="6" t="s">
        <v>442</v>
      </c>
      <c r="C220" s="67" t="n">
        <f aca="false">-C214*Inputs!$C$43/12*1*(1+Inputs!$C$54)*(1+Inputs!$C$55)^(C$118-1)</f>
        <v>-20533.3333333333</v>
      </c>
      <c r="D220" s="67" t="n">
        <f aca="false">-D214*Inputs!$C$43/12*1*(1+Inputs!$C$54)*(1+Inputs!$C$55)^(D$118-1)</f>
        <v>-20533.3333333333</v>
      </c>
      <c r="E220" s="67" t="n">
        <f aca="false">-E214*Inputs!$C$43/12*1*(1+Inputs!$C$54)*(1+Inputs!$C$55)^(E$118-1)</f>
        <v>-20533.3333333333</v>
      </c>
      <c r="F220" s="67" t="n">
        <f aca="false">-F214*Inputs!$C$43/12*1*(1+Inputs!$C$54)*(1+Inputs!$C$55)^(F$118-1)</f>
        <v>-20533.3333333333</v>
      </c>
      <c r="G220" s="67" t="n">
        <f aca="false">-G214*Inputs!$C$43/12*1*(1+Inputs!$C$54)*(1+Inputs!$C$55)^(G$118-1)</f>
        <v>-20533.3333333333</v>
      </c>
      <c r="H220" s="67" t="n">
        <f aca="false">-H214*Inputs!$C$43/12*1*(1+Inputs!$C$54)*(1+Inputs!$C$55)^(H$118-1)</f>
        <v>-20533.3333333333</v>
      </c>
      <c r="I220" s="67" t="n">
        <f aca="false">-I214*Inputs!$C$43/12*1*(1+Inputs!$C$54)*(1+Inputs!$C$55)^(I$118-1)</f>
        <v>-20533.3333333333</v>
      </c>
      <c r="J220" s="67" t="n">
        <f aca="false">-J214*Inputs!$C$43/12*1*(1+Inputs!$C$54)*(1+Inputs!$C$55)^(J$118-1)</f>
        <v>-20533.3333333333</v>
      </c>
      <c r="K220" s="67" t="n">
        <f aca="false">-K214*Inputs!$C$43/12*1*(1+Inputs!$C$54)*(1+Inputs!$C$55)^(K$118-1)</f>
        <v>-20533.3333333333</v>
      </c>
      <c r="L220" s="67" t="n">
        <f aca="false">-L214*Inputs!$C$43/12*1*(1+Inputs!$C$54)*(1+Inputs!$C$55)^(L$118-1)</f>
        <v>-20533.3333333333</v>
      </c>
      <c r="M220" s="67" t="n">
        <f aca="false">-M214*Inputs!$C$43/12*1*(1+Inputs!$C$54)*(1+Inputs!$C$55)^(M$118-1)</f>
        <v>-20533.3333333333</v>
      </c>
      <c r="N220" s="67" t="n">
        <f aca="false">-N214*Inputs!$C$43/12*1*(1+Inputs!$C$54)*(1+Inputs!$C$55)^(N$118-1)</f>
        <v>-20533.3333333333</v>
      </c>
      <c r="O220" s="67" t="n">
        <f aca="false">-O214*Inputs!$C$43/12*1*(1+Inputs!$C$54)*(1+Inputs!$C$55)^(O$118-1)</f>
        <v>-22418.2933333333</v>
      </c>
      <c r="P220" s="67" t="n">
        <f aca="false">-P214*Inputs!$C$43/12*1*(1+Inputs!$C$54)*(1+Inputs!$C$55)^(P$118-1)</f>
        <v>-22418.2933333333</v>
      </c>
      <c r="Q220" s="67" t="n">
        <f aca="false">-Q214*Inputs!$C$43/12*1*(1+Inputs!$C$54)*(1+Inputs!$C$55)^(Q$118-1)</f>
        <v>-22418.2933333333</v>
      </c>
      <c r="R220" s="67" t="n">
        <f aca="false">-R214*Inputs!$C$43/12*1*(1+Inputs!$C$54)*(1+Inputs!$C$55)^(R$118-1)</f>
        <v>-22418.2933333333</v>
      </c>
      <c r="S220" s="67" t="n">
        <f aca="false">-S214*Inputs!$C$43/12*1*(1+Inputs!$C$54)*(1+Inputs!$C$55)^(S$118-1)</f>
        <v>-22418.2933333333</v>
      </c>
      <c r="T220" s="67" t="n">
        <f aca="false">-T214*Inputs!$C$43/12*1*(1+Inputs!$C$54)*(1+Inputs!$C$55)^(T$118-1)</f>
        <v>-22418.2933333333</v>
      </c>
      <c r="U220" s="67" t="n">
        <f aca="false">-U214*Inputs!$C$43/12*1*(1+Inputs!$C$54)*(1+Inputs!$C$55)^(U$118-1)</f>
        <v>-22418.2933333333</v>
      </c>
      <c r="V220" s="67" t="n">
        <f aca="false">-V214*Inputs!$C$43/12*1*(1+Inputs!$C$54)*(1+Inputs!$C$55)^(V$118-1)</f>
        <v>-22418.2933333333</v>
      </c>
      <c r="W220" s="67" t="n">
        <f aca="false">-W214*Inputs!$C$43/12*1*(1+Inputs!$C$54)*(1+Inputs!$C$55)^(W$118-1)</f>
        <v>-22418.2933333333</v>
      </c>
      <c r="X220" s="67" t="n">
        <f aca="false">-X214*Inputs!$C$43/12*1*(1+Inputs!$C$54)*(1+Inputs!$C$55)^(X$118-1)</f>
        <v>-22418.2933333333</v>
      </c>
      <c r="Y220" s="67" t="n">
        <f aca="false">-Y214*Inputs!$C$43/12*1*(1+Inputs!$C$54)*(1+Inputs!$C$55)^(Y$118-1)</f>
        <v>-22418.2933333333</v>
      </c>
      <c r="Z220" s="67" t="n">
        <f aca="false">-Z214*Inputs!$C$43/12*1*(1+Inputs!$C$54)*(1+Inputs!$C$55)^(Z$118-1)</f>
        <v>-22418.2933333333</v>
      </c>
      <c r="AA220" s="67" t="n">
        <f aca="false">-AA214*Inputs!$C$43/12*1*(1+Inputs!$C$54)*(1+Inputs!$C$55)^(AA$118-1)</f>
        <v>-24476.2926613333</v>
      </c>
      <c r="AB220" s="67" t="n">
        <f aca="false">-AB214*Inputs!$C$43/12*1*(1+Inputs!$C$54)*(1+Inputs!$C$55)^(AB$118-1)</f>
        <v>-24476.2926613333</v>
      </c>
      <c r="AC220" s="67" t="n">
        <f aca="false">-AC214*Inputs!$C$43/12*1*(1+Inputs!$C$54)*(1+Inputs!$C$55)^(AC$118-1)</f>
        <v>-24476.2926613333</v>
      </c>
      <c r="AD220" s="67" t="n">
        <f aca="false">-AD214*Inputs!$C$43/12*1*(1+Inputs!$C$54)*(1+Inputs!$C$55)^(AD$118-1)</f>
        <v>-24476.2926613333</v>
      </c>
      <c r="AE220" s="67" t="n">
        <f aca="false">-AE214*Inputs!$C$43/12*1*(1+Inputs!$C$54)*(1+Inputs!$C$55)^(AE$118-1)</f>
        <v>-24476.2926613333</v>
      </c>
      <c r="AF220" s="67" t="n">
        <f aca="false">-AF214*Inputs!$C$43/12*1*(1+Inputs!$C$54)*(1+Inputs!$C$55)^(AF$118-1)</f>
        <v>-24476.2926613333</v>
      </c>
      <c r="AG220" s="67" t="n">
        <f aca="false">-AG214*Inputs!$C$43/12*1*(1+Inputs!$C$54)*(1+Inputs!$C$55)^(AG$118-1)</f>
        <v>-24476.2926613333</v>
      </c>
      <c r="AH220" s="67" t="n">
        <f aca="false">-AH214*Inputs!$C$43/12*1*(1+Inputs!$C$54)*(1+Inputs!$C$55)^(AH$118-1)</f>
        <v>-24476.2926613333</v>
      </c>
      <c r="AI220" s="67" t="n">
        <f aca="false">-AI214*Inputs!$C$43/12*1*(1+Inputs!$C$54)*(1+Inputs!$C$55)^(AI$118-1)</f>
        <v>-24476.2926613333</v>
      </c>
      <c r="AJ220" s="67" t="n">
        <f aca="false">-AJ214*Inputs!$C$43/12*1*(1+Inputs!$C$54)*(1+Inputs!$C$55)^(AJ$118-1)</f>
        <v>-24476.2926613333</v>
      </c>
      <c r="AK220" s="67" t="n">
        <f aca="false">-AK214*Inputs!$C$43/12*1*(1+Inputs!$C$54)*(1+Inputs!$C$55)^(AK$118-1)</f>
        <v>-24476.2926613333</v>
      </c>
      <c r="AL220" s="67" t="n">
        <f aca="false">-AL214*Inputs!$C$43/12*1*(1+Inputs!$C$54)*(1+Inputs!$C$55)^(AL$118-1)</f>
        <v>-24476.2926613333</v>
      </c>
      <c r="AM220" s="67" t="n">
        <f aca="false">-AM214*Inputs!$C$43/12*1*(1+Inputs!$C$54)*(1+Inputs!$C$55)^(AM$118-1)</f>
        <v>-26723.2163276437</v>
      </c>
      <c r="AN220" s="67" t="n">
        <f aca="false">-AN214*Inputs!$C$43/12*1*(1+Inputs!$C$54)*(1+Inputs!$C$55)^(AN$118-1)</f>
        <v>-26723.2163276437</v>
      </c>
      <c r="AO220" s="67" t="n">
        <f aca="false">-AO214*Inputs!$C$43/12*1*(1+Inputs!$C$54)*(1+Inputs!$C$55)^(AO$118-1)</f>
        <v>-26723.2163276437</v>
      </c>
      <c r="AP220" s="67" t="n">
        <f aca="false">-AP214*Inputs!$C$43/12*1*(1+Inputs!$C$54)*(1+Inputs!$C$55)^(AP$118-1)</f>
        <v>-26723.2163276437</v>
      </c>
      <c r="AQ220" s="67" t="n">
        <f aca="false">-AQ214*Inputs!$C$43/12*1*(1+Inputs!$C$54)*(1+Inputs!$C$55)^(AQ$118-1)</f>
        <v>-26723.2163276437</v>
      </c>
      <c r="AR220" s="67" t="n">
        <f aca="false">-AR214*Inputs!$C$43/12*1*(1+Inputs!$C$54)*(1+Inputs!$C$55)^(AR$118-1)</f>
        <v>-26723.2163276437</v>
      </c>
      <c r="AS220" s="67" t="n">
        <f aca="false">-AS214*Inputs!$C$43/12*1*(1+Inputs!$C$54)*(1+Inputs!$C$55)^(AS$118-1)</f>
        <v>-26723.2163276437</v>
      </c>
      <c r="AT220" s="67" t="n">
        <f aca="false">-AT214*Inputs!$C$43/12*1*(1+Inputs!$C$54)*(1+Inputs!$C$55)^(AT$118-1)</f>
        <v>-26723.2163276437</v>
      </c>
      <c r="AU220" s="67" t="n">
        <f aca="false">-AU214*Inputs!$C$43/12*1*(1+Inputs!$C$54)*(1+Inputs!$C$55)^(AU$118-1)</f>
        <v>-26723.2163276437</v>
      </c>
      <c r="AV220" s="67" t="n">
        <f aca="false">-AV214*Inputs!$C$43/12*1*(1+Inputs!$C$54)*(1+Inputs!$C$55)^(AV$118-1)</f>
        <v>-26723.2163276437</v>
      </c>
      <c r="AW220" s="67" t="n">
        <f aca="false">-AW214*Inputs!$C$43/12*1*(1+Inputs!$C$54)*(1+Inputs!$C$55)^(AW$118-1)</f>
        <v>-26723.2163276437</v>
      </c>
      <c r="AX220" s="67" t="n">
        <f aca="false">-AX214*Inputs!$C$43/12*1*(1+Inputs!$C$54)*(1+Inputs!$C$55)^(AX$118-1)</f>
        <v>-26723.2163276437</v>
      </c>
      <c r="AY220" s="67" t="n">
        <f aca="false">-AY214*Inputs!$C$43/12*1*(1+Inputs!$C$54)*(1+Inputs!$C$55)^(AY$118-1)</f>
        <v>-29176.4075865214</v>
      </c>
      <c r="AZ220" s="67" t="n">
        <f aca="false">-AZ214*Inputs!$C$43/12*1*(1+Inputs!$C$54)*(1+Inputs!$C$55)^(AZ$118-1)</f>
        <v>-29176.4075865214</v>
      </c>
      <c r="BA220" s="67" t="n">
        <f aca="false">-BA214*Inputs!$C$43/12*1*(1+Inputs!$C$54)*(1+Inputs!$C$55)^(BA$118-1)</f>
        <v>-29176.4075865214</v>
      </c>
      <c r="BB220" s="67" t="n">
        <f aca="false">-BB214*Inputs!$C$43/12*1*(1+Inputs!$C$54)*(1+Inputs!$C$55)^(BB$118-1)</f>
        <v>-29176.4075865214</v>
      </c>
      <c r="BC220" s="67" t="n">
        <f aca="false">-BC214*Inputs!$C$43/12*1*(1+Inputs!$C$54)*(1+Inputs!$C$55)^(BC$118-1)</f>
        <v>-29176.4075865214</v>
      </c>
      <c r="BD220" s="67" t="n">
        <f aca="false">-BD214*Inputs!$C$43/12*1*(1+Inputs!$C$54)*(1+Inputs!$C$55)^(BD$118-1)</f>
        <v>-29176.4075865214</v>
      </c>
      <c r="BE220" s="67" t="n">
        <f aca="false">-BE214*Inputs!$C$43/12*1*(1+Inputs!$C$54)*(1+Inputs!$C$55)^(BE$118-1)</f>
        <v>-29176.4075865214</v>
      </c>
      <c r="BF220" s="67" t="n">
        <f aca="false">-BF214*Inputs!$C$43/12*1*(1+Inputs!$C$54)*(1+Inputs!$C$55)^(BF$118-1)</f>
        <v>-29176.4075865214</v>
      </c>
      <c r="BG220" s="67" t="n">
        <f aca="false">-BG214*Inputs!$C$43/12*1*(1+Inputs!$C$54)*(1+Inputs!$C$55)^(BG$118-1)</f>
        <v>-29176.4075865214</v>
      </c>
      <c r="BH220" s="67" t="n">
        <f aca="false">-BH214*Inputs!$C$43/12*1*(1+Inputs!$C$54)*(1+Inputs!$C$55)^(BH$118-1)</f>
        <v>-29176.4075865214</v>
      </c>
      <c r="BI220" s="67" t="n">
        <f aca="false">-BI214*Inputs!$C$43/12*1*(1+Inputs!$C$54)*(1+Inputs!$C$55)^(BI$118-1)</f>
        <v>-29176.4075865214</v>
      </c>
      <c r="BJ220" s="67" t="n">
        <f aca="false">-BJ214*Inputs!$C$43/12*1*(1+Inputs!$C$54)*(1+Inputs!$C$55)^(BJ$118-1)</f>
        <v>-29176.4075865214</v>
      </c>
    </row>
    <row r="221" customFormat="false" ht="15" hidden="false" customHeight="false" outlineLevel="0" collapsed="false">
      <c r="A221" s="6" t="s">
        <v>443</v>
      </c>
      <c r="C221" s="67" t="n">
        <f aca="false">-C215*Inputs!$C$47/12*1*(1+Inputs!$C$54)*(1+Inputs!$C$55)^(C$118-1)</f>
        <v>-20253.3333333333</v>
      </c>
      <c r="D221" s="67" t="n">
        <f aca="false">-D215*Inputs!$C$47/12*1*(1+Inputs!$C$54)*(1+Inputs!$C$55)^(D$118-1)</f>
        <v>-20253.3333333333</v>
      </c>
      <c r="E221" s="67" t="n">
        <f aca="false">-E215*Inputs!$C$47/12*1*(1+Inputs!$C$54)*(1+Inputs!$C$55)^(E$118-1)</f>
        <v>-20253.3333333333</v>
      </c>
      <c r="F221" s="67" t="n">
        <f aca="false">-F215*Inputs!$C$47/12*1*(1+Inputs!$C$54)*(1+Inputs!$C$55)^(F$118-1)</f>
        <v>-20253.3333333333</v>
      </c>
      <c r="G221" s="67" t="n">
        <f aca="false">-G215*Inputs!$C$47/12*1*(1+Inputs!$C$54)*(1+Inputs!$C$55)^(G$118-1)</f>
        <v>-20253.3333333333</v>
      </c>
      <c r="H221" s="67" t="n">
        <f aca="false">-H215*Inputs!$C$47/12*1*(1+Inputs!$C$54)*(1+Inputs!$C$55)^(H$118-1)</f>
        <v>-20253.3333333333</v>
      </c>
      <c r="I221" s="67" t="n">
        <f aca="false">-I215*Inputs!$C$47/12*1*(1+Inputs!$C$54)*(1+Inputs!$C$55)^(I$118-1)</f>
        <v>-20253.3333333333</v>
      </c>
      <c r="J221" s="67" t="n">
        <f aca="false">-J215*Inputs!$C$47/12*1*(1+Inputs!$C$54)*(1+Inputs!$C$55)^(J$118-1)</f>
        <v>-20253.3333333333</v>
      </c>
      <c r="K221" s="67" t="n">
        <f aca="false">-K215*Inputs!$C$47/12*1*(1+Inputs!$C$54)*(1+Inputs!$C$55)^(K$118-1)</f>
        <v>-20253.3333333333</v>
      </c>
      <c r="L221" s="67" t="n">
        <f aca="false">-L215*Inputs!$C$47/12*1*(1+Inputs!$C$54)*(1+Inputs!$C$55)^(L$118-1)</f>
        <v>-20253.3333333333</v>
      </c>
      <c r="M221" s="67" t="n">
        <f aca="false">-M215*Inputs!$C$47/12*1*(1+Inputs!$C$54)*(1+Inputs!$C$55)^(M$118-1)</f>
        <v>-20253.3333333333</v>
      </c>
      <c r="N221" s="67" t="n">
        <f aca="false">-N215*Inputs!$C$47/12*1*(1+Inputs!$C$54)*(1+Inputs!$C$55)^(N$118-1)</f>
        <v>-20253.3333333333</v>
      </c>
      <c r="O221" s="67" t="n">
        <f aca="false">-O215*Inputs!$C$47/12*1*(1+Inputs!$C$54)*(1+Inputs!$C$55)^(O$118-1)</f>
        <v>-22112.5893333333</v>
      </c>
      <c r="P221" s="67" t="n">
        <f aca="false">-P215*Inputs!$C$47/12*1*(1+Inputs!$C$54)*(1+Inputs!$C$55)^(P$118-1)</f>
        <v>-22112.5893333333</v>
      </c>
      <c r="Q221" s="67" t="n">
        <f aca="false">-Q215*Inputs!$C$47/12*1*(1+Inputs!$C$54)*(1+Inputs!$C$55)^(Q$118-1)</f>
        <v>-22112.5893333333</v>
      </c>
      <c r="R221" s="67" t="n">
        <f aca="false">-R215*Inputs!$C$47/12*1*(1+Inputs!$C$54)*(1+Inputs!$C$55)^(R$118-1)</f>
        <v>-22112.5893333333</v>
      </c>
      <c r="S221" s="67" t="n">
        <f aca="false">-S215*Inputs!$C$47/12*1*(1+Inputs!$C$54)*(1+Inputs!$C$55)^(S$118-1)</f>
        <v>-22112.5893333333</v>
      </c>
      <c r="T221" s="67" t="n">
        <f aca="false">-T215*Inputs!$C$47/12*1*(1+Inputs!$C$54)*(1+Inputs!$C$55)^(T$118-1)</f>
        <v>-22112.5893333333</v>
      </c>
      <c r="U221" s="67" t="n">
        <f aca="false">-U215*Inputs!$C$47/12*1*(1+Inputs!$C$54)*(1+Inputs!$C$55)^(U$118-1)</f>
        <v>-22112.5893333333</v>
      </c>
      <c r="V221" s="67" t="n">
        <f aca="false">-V215*Inputs!$C$47/12*1*(1+Inputs!$C$54)*(1+Inputs!$C$55)^(V$118-1)</f>
        <v>-22112.5893333333</v>
      </c>
      <c r="W221" s="67" t="n">
        <f aca="false">-W215*Inputs!$C$47/12*1*(1+Inputs!$C$54)*(1+Inputs!$C$55)^(W$118-1)</f>
        <v>-22112.5893333333</v>
      </c>
      <c r="X221" s="67" t="n">
        <f aca="false">-X215*Inputs!$C$47/12*1*(1+Inputs!$C$54)*(1+Inputs!$C$55)^(X$118-1)</f>
        <v>-22112.5893333333</v>
      </c>
      <c r="Y221" s="67" t="n">
        <f aca="false">-Y215*Inputs!$C$47/12*1*(1+Inputs!$C$54)*(1+Inputs!$C$55)^(Y$118-1)</f>
        <v>-22112.5893333333</v>
      </c>
      <c r="Z221" s="67" t="n">
        <f aca="false">-Z215*Inputs!$C$47/12*1*(1+Inputs!$C$54)*(1+Inputs!$C$55)^(Z$118-1)</f>
        <v>-22112.5893333333</v>
      </c>
      <c r="AA221" s="67" t="n">
        <f aca="false">-AA215*Inputs!$C$47/12*1*(1+Inputs!$C$54)*(1+Inputs!$C$55)^(AA$118-1)</f>
        <v>-24142.5250341333</v>
      </c>
      <c r="AB221" s="67" t="n">
        <f aca="false">-AB215*Inputs!$C$47/12*1*(1+Inputs!$C$54)*(1+Inputs!$C$55)^(AB$118-1)</f>
        <v>-24142.5250341333</v>
      </c>
      <c r="AC221" s="67" t="n">
        <f aca="false">-AC215*Inputs!$C$47/12*1*(1+Inputs!$C$54)*(1+Inputs!$C$55)^(AC$118-1)</f>
        <v>-24142.5250341333</v>
      </c>
      <c r="AD221" s="67" t="n">
        <f aca="false">-AD215*Inputs!$C$47/12*1*(1+Inputs!$C$54)*(1+Inputs!$C$55)^(AD$118-1)</f>
        <v>-24142.5250341333</v>
      </c>
      <c r="AE221" s="67" t="n">
        <f aca="false">-AE215*Inputs!$C$47/12*1*(1+Inputs!$C$54)*(1+Inputs!$C$55)^(AE$118-1)</f>
        <v>-24142.5250341333</v>
      </c>
      <c r="AF221" s="67" t="n">
        <f aca="false">-AF215*Inputs!$C$47/12*1*(1+Inputs!$C$54)*(1+Inputs!$C$55)^(AF$118-1)</f>
        <v>-24142.5250341333</v>
      </c>
      <c r="AG221" s="67" t="n">
        <f aca="false">-AG215*Inputs!$C$47/12*1*(1+Inputs!$C$54)*(1+Inputs!$C$55)^(AG$118-1)</f>
        <v>-24142.5250341333</v>
      </c>
      <c r="AH221" s="67" t="n">
        <f aca="false">-AH215*Inputs!$C$47/12*1*(1+Inputs!$C$54)*(1+Inputs!$C$55)^(AH$118-1)</f>
        <v>-24142.5250341333</v>
      </c>
      <c r="AI221" s="67" t="n">
        <f aca="false">-AI215*Inputs!$C$47/12*1*(1+Inputs!$C$54)*(1+Inputs!$C$55)^(AI$118-1)</f>
        <v>-24142.5250341333</v>
      </c>
      <c r="AJ221" s="67" t="n">
        <f aca="false">-AJ215*Inputs!$C$47/12*1*(1+Inputs!$C$54)*(1+Inputs!$C$55)^(AJ$118-1)</f>
        <v>-24142.5250341333</v>
      </c>
      <c r="AK221" s="67" t="n">
        <f aca="false">-AK215*Inputs!$C$47/12*1*(1+Inputs!$C$54)*(1+Inputs!$C$55)^(AK$118-1)</f>
        <v>-24142.5250341333</v>
      </c>
      <c r="AL221" s="67" t="n">
        <f aca="false">-AL215*Inputs!$C$47/12*1*(1+Inputs!$C$54)*(1+Inputs!$C$55)^(AL$118-1)</f>
        <v>-24142.5250341333</v>
      </c>
      <c r="AM221" s="67" t="n">
        <f aca="false">-AM215*Inputs!$C$47/12*1*(1+Inputs!$C$54)*(1+Inputs!$C$55)^(AM$118-1)</f>
        <v>-26358.8088322668</v>
      </c>
      <c r="AN221" s="67" t="n">
        <f aca="false">-AN215*Inputs!$C$47/12*1*(1+Inputs!$C$54)*(1+Inputs!$C$55)^(AN$118-1)</f>
        <v>-26358.8088322668</v>
      </c>
      <c r="AO221" s="67" t="n">
        <f aca="false">-AO215*Inputs!$C$47/12*1*(1+Inputs!$C$54)*(1+Inputs!$C$55)^(AO$118-1)</f>
        <v>-26358.8088322668</v>
      </c>
      <c r="AP221" s="67" t="n">
        <f aca="false">-AP215*Inputs!$C$47/12*1*(1+Inputs!$C$54)*(1+Inputs!$C$55)^(AP$118-1)</f>
        <v>-26358.8088322668</v>
      </c>
      <c r="AQ221" s="67" t="n">
        <f aca="false">-AQ215*Inputs!$C$47/12*1*(1+Inputs!$C$54)*(1+Inputs!$C$55)^(AQ$118-1)</f>
        <v>-26358.8088322668</v>
      </c>
      <c r="AR221" s="67" t="n">
        <f aca="false">-AR215*Inputs!$C$47/12*1*(1+Inputs!$C$54)*(1+Inputs!$C$55)^(AR$118-1)</f>
        <v>-26358.8088322668</v>
      </c>
      <c r="AS221" s="67" t="n">
        <f aca="false">-AS215*Inputs!$C$47/12*1*(1+Inputs!$C$54)*(1+Inputs!$C$55)^(AS$118-1)</f>
        <v>-26358.8088322668</v>
      </c>
      <c r="AT221" s="67" t="n">
        <f aca="false">-AT215*Inputs!$C$47/12*1*(1+Inputs!$C$54)*(1+Inputs!$C$55)^(AT$118-1)</f>
        <v>-26358.8088322668</v>
      </c>
      <c r="AU221" s="67" t="n">
        <f aca="false">-AU215*Inputs!$C$47/12*1*(1+Inputs!$C$54)*(1+Inputs!$C$55)^(AU$118-1)</f>
        <v>-26358.8088322668</v>
      </c>
      <c r="AV221" s="67" t="n">
        <f aca="false">-AV215*Inputs!$C$47/12*1*(1+Inputs!$C$54)*(1+Inputs!$C$55)^(AV$118-1)</f>
        <v>-26358.8088322668</v>
      </c>
      <c r="AW221" s="67" t="n">
        <f aca="false">-AW215*Inputs!$C$47/12*1*(1+Inputs!$C$54)*(1+Inputs!$C$55)^(AW$118-1)</f>
        <v>-26358.8088322668</v>
      </c>
      <c r="AX221" s="67" t="n">
        <f aca="false">-AX215*Inputs!$C$47/12*1*(1+Inputs!$C$54)*(1+Inputs!$C$55)^(AX$118-1)</f>
        <v>-26358.8088322668</v>
      </c>
      <c r="AY221" s="67" t="n">
        <f aca="false">-AY215*Inputs!$C$47/12*1*(1+Inputs!$C$54)*(1+Inputs!$C$55)^(AY$118-1)</f>
        <v>-28778.5474830689</v>
      </c>
      <c r="AZ221" s="67" t="n">
        <f aca="false">-AZ215*Inputs!$C$47/12*1*(1+Inputs!$C$54)*(1+Inputs!$C$55)^(AZ$118-1)</f>
        <v>-28778.5474830689</v>
      </c>
      <c r="BA221" s="67" t="n">
        <f aca="false">-BA215*Inputs!$C$47/12*1*(1+Inputs!$C$54)*(1+Inputs!$C$55)^(BA$118-1)</f>
        <v>-28778.5474830689</v>
      </c>
      <c r="BB221" s="67" t="n">
        <f aca="false">-BB215*Inputs!$C$47/12*1*(1+Inputs!$C$54)*(1+Inputs!$C$55)^(BB$118-1)</f>
        <v>-28778.5474830689</v>
      </c>
      <c r="BC221" s="67" t="n">
        <f aca="false">-BC215*Inputs!$C$47/12*1*(1+Inputs!$C$54)*(1+Inputs!$C$55)^(BC$118-1)</f>
        <v>-28778.5474830689</v>
      </c>
      <c r="BD221" s="67" t="n">
        <f aca="false">-BD215*Inputs!$C$47/12*1*(1+Inputs!$C$54)*(1+Inputs!$C$55)^(BD$118-1)</f>
        <v>-28778.5474830689</v>
      </c>
      <c r="BE221" s="67" t="n">
        <f aca="false">-BE215*Inputs!$C$47/12*1*(1+Inputs!$C$54)*(1+Inputs!$C$55)^(BE$118-1)</f>
        <v>-28778.5474830689</v>
      </c>
      <c r="BF221" s="67" t="n">
        <f aca="false">-BF215*Inputs!$C$47/12*1*(1+Inputs!$C$54)*(1+Inputs!$C$55)^(BF$118-1)</f>
        <v>-28778.5474830689</v>
      </c>
      <c r="BG221" s="67" t="n">
        <f aca="false">-BG215*Inputs!$C$47/12*1*(1+Inputs!$C$54)*(1+Inputs!$C$55)^(BG$118-1)</f>
        <v>-28778.5474830689</v>
      </c>
      <c r="BH221" s="67" t="n">
        <f aca="false">-BH215*Inputs!$C$47/12*1*(1+Inputs!$C$54)*(1+Inputs!$C$55)^(BH$118-1)</f>
        <v>-28778.5474830689</v>
      </c>
      <c r="BI221" s="67" t="n">
        <f aca="false">-BI215*Inputs!$C$47/12*1*(1+Inputs!$C$54)*(1+Inputs!$C$55)^(BI$118-1)</f>
        <v>-28778.5474830689</v>
      </c>
      <c r="BJ221" s="67" t="n">
        <f aca="false">-BJ215*Inputs!$C$47/12*1*(1+Inputs!$C$54)*(1+Inputs!$C$55)^(BJ$118-1)</f>
        <v>-28778.5474830689</v>
      </c>
    </row>
    <row r="222" customFormat="false" ht="15" hidden="false" customHeight="false" outlineLevel="0" collapsed="false">
      <c r="A222" s="6" t="s">
        <v>444</v>
      </c>
      <c r="C222" s="67" t="n">
        <f aca="false">-C216*Inputs!$C$51/12*1*(1+Inputs!$C$54)*(1+Inputs!$C$55)^(C$118-1)</f>
        <v>-8680</v>
      </c>
      <c r="D222" s="67" t="n">
        <f aca="false">-D216*Inputs!$C$51/12*1*(1+Inputs!$C$54)*(1+Inputs!$C$55)^(D$118-1)</f>
        <v>-8680</v>
      </c>
      <c r="E222" s="67" t="n">
        <f aca="false">-E216*Inputs!$C$51/12*1*(1+Inputs!$C$54)*(1+Inputs!$C$55)^(E$118-1)</f>
        <v>-8680</v>
      </c>
      <c r="F222" s="67" t="n">
        <f aca="false">-F216*Inputs!$C$51/12*1*(1+Inputs!$C$54)*(1+Inputs!$C$55)^(F$118-1)</f>
        <v>-8680</v>
      </c>
      <c r="G222" s="67" t="n">
        <f aca="false">-G216*Inputs!$C$51/12*1*(1+Inputs!$C$54)*(1+Inputs!$C$55)^(G$118-1)</f>
        <v>-8680</v>
      </c>
      <c r="H222" s="67" t="n">
        <f aca="false">-H216*Inputs!$C$51/12*1*(1+Inputs!$C$54)*(1+Inputs!$C$55)^(H$118-1)</f>
        <v>-8680</v>
      </c>
      <c r="I222" s="67" t="n">
        <f aca="false">-I216*Inputs!$C$51/12*1*(1+Inputs!$C$54)*(1+Inputs!$C$55)^(I$118-1)</f>
        <v>-8680</v>
      </c>
      <c r="J222" s="67" t="n">
        <f aca="false">-J216*Inputs!$C$51/12*1*(1+Inputs!$C$54)*(1+Inputs!$C$55)^(J$118-1)</f>
        <v>-8680</v>
      </c>
      <c r="K222" s="67" t="n">
        <f aca="false">-K216*Inputs!$C$51/12*1*(1+Inputs!$C$54)*(1+Inputs!$C$55)^(K$118-1)</f>
        <v>-8680</v>
      </c>
      <c r="L222" s="67" t="n">
        <f aca="false">-L216*Inputs!$C$51/12*1*(1+Inputs!$C$54)*(1+Inputs!$C$55)^(L$118-1)</f>
        <v>-8680</v>
      </c>
      <c r="M222" s="67" t="n">
        <f aca="false">-M216*Inputs!$C$51/12*1*(1+Inputs!$C$54)*(1+Inputs!$C$55)^(M$118-1)</f>
        <v>-8680</v>
      </c>
      <c r="N222" s="67" t="n">
        <f aca="false">-N216*Inputs!$C$51/12*1*(1+Inputs!$C$54)*(1+Inputs!$C$55)^(N$118-1)</f>
        <v>-8680</v>
      </c>
      <c r="O222" s="67" t="n">
        <f aca="false">-O216*Inputs!$C$51/12*1*(1+Inputs!$C$54)*(1+Inputs!$C$55)^(O$118-1)</f>
        <v>-8940.4</v>
      </c>
      <c r="P222" s="67" t="n">
        <f aca="false">-P216*Inputs!$C$51/12*1*(1+Inputs!$C$54)*(1+Inputs!$C$55)^(P$118-1)</f>
        <v>-8940.4</v>
      </c>
      <c r="Q222" s="67" t="n">
        <f aca="false">-Q216*Inputs!$C$51/12*1*(1+Inputs!$C$54)*(1+Inputs!$C$55)^(Q$118-1)</f>
        <v>-8940.4</v>
      </c>
      <c r="R222" s="67" t="n">
        <f aca="false">-R216*Inputs!$C$51/12*1*(1+Inputs!$C$54)*(1+Inputs!$C$55)^(R$118-1)</f>
        <v>-8940.4</v>
      </c>
      <c r="S222" s="67" t="n">
        <f aca="false">-S216*Inputs!$C$51/12*1*(1+Inputs!$C$54)*(1+Inputs!$C$55)^(S$118-1)</f>
        <v>-8940.4</v>
      </c>
      <c r="T222" s="67" t="n">
        <f aca="false">-T216*Inputs!$C$51/12*1*(1+Inputs!$C$54)*(1+Inputs!$C$55)^(T$118-1)</f>
        <v>-8940.4</v>
      </c>
      <c r="U222" s="67" t="n">
        <f aca="false">-U216*Inputs!$C$51/12*1*(1+Inputs!$C$54)*(1+Inputs!$C$55)^(U$118-1)</f>
        <v>-8940.4</v>
      </c>
      <c r="V222" s="67" t="n">
        <f aca="false">-V216*Inputs!$C$51/12*1*(1+Inputs!$C$54)*(1+Inputs!$C$55)^(V$118-1)</f>
        <v>-8940.4</v>
      </c>
      <c r="W222" s="67" t="n">
        <f aca="false">-W216*Inputs!$C$51/12*1*(1+Inputs!$C$54)*(1+Inputs!$C$55)^(W$118-1)</f>
        <v>-8940.4</v>
      </c>
      <c r="X222" s="67" t="n">
        <f aca="false">-X216*Inputs!$C$51/12*1*(1+Inputs!$C$54)*(1+Inputs!$C$55)^(X$118-1)</f>
        <v>-8940.4</v>
      </c>
      <c r="Y222" s="67" t="n">
        <f aca="false">-Y216*Inputs!$C$51/12*1*(1+Inputs!$C$54)*(1+Inputs!$C$55)^(Y$118-1)</f>
        <v>-8940.4</v>
      </c>
      <c r="Z222" s="67" t="n">
        <f aca="false">-Z216*Inputs!$C$51/12*1*(1+Inputs!$C$54)*(1+Inputs!$C$55)^(Z$118-1)</f>
        <v>-8940.4</v>
      </c>
      <c r="AA222" s="67" t="n">
        <f aca="false">-AA216*Inputs!$C$51/12*1*(1+Inputs!$C$54)*(1+Inputs!$C$55)^(AA$118-1)</f>
        <v>-9208.612</v>
      </c>
      <c r="AB222" s="67" t="n">
        <f aca="false">-AB216*Inputs!$C$51/12*1*(1+Inputs!$C$54)*(1+Inputs!$C$55)^(AB$118-1)</f>
        <v>-9208.612</v>
      </c>
      <c r="AC222" s="67" t="n">
        <f aca="false">-AC216*Inputs!$C$51/12*1*(1+Inputs!$C$54)*(1+Inputs!$C$55)^(AC$118-1)</f>
        <v>-9208.612</v>
      </c>
      <c r="AD222" s="67" t="n">
        <f aca="false">-AD216*Inputs!$C$51/12*1*(1+Inputs!$C$54)*(1+Inputs!$C$55)^(AD$118-1)</f>
        <v>-9208.612</v>
      </c>
      <c r="AE222" s="67" t="n">
        <f aca="false">-AE216*Inputs!$C$51/12*1*(1+Inputs!$C$54)*(1+Inputs!$C$55)^(AE$118-1)</f>
        <v>-9208.612</v>
      </c>
      <c r="AF222" s="67" t="n">
        <f aca="false">-AF216*Inputs!$C$51/12*1*(1+Inputs!$C$54)*(1+Inputs!$C$55)^(AF$118-1)</f>
        <v>-9208.612</v>
      </c>
      <c r="AG222" s="67" t="n">
        <f aca="false">-AG216*Inputs!$C$51/12*1*(1+Inputs!$C$54)*(1+Inputs!$C$55)^(AG$118-1)</f>
        <v>-9208.612</v>
      </c>
      <c r="AH222" s="67" t="n">
        <f aca="false">-AH216*Inputs!$C$51/12*1*(1+Inputs!$C$54)*(1+Inputs!$C$55)^(AH$118-1)</f>
        <v>-9208.612</v>
      </c>
      <c r="AI222" s="67" t="n">
        <f aca="false">-AI216*Inputs!$C$51/12*1*(1+Inputs!$C$54)*(1+Inputs!$C$55)^(AI$118-1)</f>
        <v>-9208.612</v>
      </c>
      <c r="AJ222" s="67" t="n">
        <f aca="false">-AJ216*Inputs!$C$51/12*1*(1+Inputs!$C$54)*(1+Inputs!$C$55)^(AJ$118-1)</f>
        <v>-9208.612</v>
      </c>
      <c r="AK222" s="67" t="n">
        <f aca="false">-AK216*Inputs!$C$51/12*1*(1+Inputs!$C$54)*(1+Inputs!$C$55)^(AK$118-1)</f>
        <v>-9208.612</v>
      </c>
      <c r="AL222" s="67" t="n">
        <f aca="false">-AL216*Inputs!$C$51/12*1*(1+Inputs!$C$54)*(1+Inputs!$C$55)^(AL$118-1)</f>
        <v>-9208.612</v>
      </c>
      <c r="AM222" s="67" t="n">
        <f aca="false">-AM216*Inputs!$C$51/12*1*(1+Inputs!$C$54)*(1+Inputs!$C$55)^(AM$118-1)</f>
        <v>-9484.87036</v>
      </c>
      <c r="AN222" s="67" t="n">
        <f aca="false">-AN216*Inputs!$C$51/12*1*(1+Inputs!$C$54)*(1+Inputs!$C$55)^(AN$118-1)</f>
        <v>-9484.87036</v>
      </c>
      <c r="AO222" s="67" t="n">
        <f aca="false">-AO216*Inputs!$C$51/12*1*(1+Inputs!$C$54)*(1+Inputs!$C$55)^(AO$118-1)</f>
        <v>-9484.87036</v>
      </c>
      <c r="AP222" s="67" t="n">
        <f aca="false">-AP216*Inputs!$C$51/12*1*(1+Inputs!$C$54)*(1+Inputs!$C$55)^(AP$118-1)</f>
        <v>-9484.87036</v>
      </c>
      <c r="AQ222" s="67" t="n">
        <f aca="false">-AQ216*Inputs!$C$51/12*1*(1+Inputs!$C$54)*(1+Inputs!$C$55)^(AQ$118-1)</f>
        <v>-9484.87036</v>
      </c>
      <c r="AR222" s="67" t="n">
        <f aca="false">-AR216*Inputs!$C$51/12*1*(1+Inputs!$C$54)*(1+Inputs!$C$55)^(AR$118-1)</f>
        <v>-9484.87036</v>
      </c>
      <c r="AS222" s="67" t="n">
        <f aca="false">-AS216*Inputs!$C$51/12*1*(1+Inputs!$C$54)*(1+Inputs!$C$55)^(AS$118-1)</f>
        <v>-9484.87036</v>
      </c>
      <c r="AT222" s="67" t="n">
        <f aca="false">-AT216*Inputs!$C$51/12*1*(1+Inputs!$C$54)*(1+Inputs!$C$55)^(AT$118-1)</f>
        <v>-9484.87036</v>
      </c>
      <c r="AU222" s="67" t="n">
        <f aca="false">-AU216*Inputs!$C$51/12*1*(1+Inputs!$C$54)*(1+Inputs!$C$55)^(AU$118-1)</f>
        <v>-9484.87036</v>
      </c>
      <c r="AV222" s="67" t="n">
        <f aca="false">-AV216*Inputs!$C$51/12*1*(1+Inputs!$C$54)*(1+Inputs!$C$55)^(AV$118-1)</f>
        <v>-9484.87036</v>
      </c>
      <c r="AW222" s="67" t="n">
        <f aca="false">-AW216*Inputs!$C$51/12*1*(1+Inputs!$C$54)*(1+Inputs!$C$55)^(AW$118-1)</f>
        <v>-9484.87036</v>
      </c>
      <c r="AX222" s="67" t="n">
        <f aca="false">-AX216*Inputs!$C$51/12*1*(1+Inputs!$C$54)*(1+Inputs!$C$55)^(AX$118-1)</f>
        <v>-9484.87036</v>
      </c>
      <c r="AY222" s="67" t="n">
        <f aca="false">-AY216*Inputs!$C$51/12*1*(1+Inputs!$C$54)*(1+Inputs!$C$55)^(AY$118-1)</f>
        <v>-9769.4164708</v>
      </c>
      <c r="AZ222" s="67" t="n">
        <f aca="false">-AZ216*Inputs!$C$51/12*1*(1+Inputs!$C$54)*(1+Inputs!$C$55)^(AZ$118-1)</f>
        <v>-9769.4164708</v>
      </c>
      <c r="BA222" s="67" t="n">
        <f aca="false">-BA216*Inputs!$C$51/12*1*(1+Inputs!$C$54)*(1+Inputs!$C$55)^(BA$118-1)</f>
        <v>-9769.4164708</v>
      </c>
      <c r="BB222" s="67" t="n">
        <f aca="false">-BB216*Inputs!$C$51/12*1*(1+Inputs!$C$54)*(1+Inputs!$C$55)^(BB$118-1)</f>
        <v>-9769.4164708</v>
      </c>
      <c r="BC222" s="67" t="n">
        <f aca="false">-BC216*Inputs!$C$51/12*1*(1+Inputs!$C$54)*(1+Inputs!$C$55)^(BC$118-1)</f>
        <v>-9769.4164708</v>
      </c>
      <c r="BD222" s="67" t="n">
        <f aca="false">-BD216*Inputs!$C$51/12*1*(1+Inputs!$C$54)*(1+Inputs!$C$55)^(BD$118-1)</f>
        <v>-9769.4164708</v>
      </c>
      <c r="BE222" s="67" t="n">
        <f aca="false">-BE216*Inputs!$C$51/12*1*(1+Inputs!$C$54)*(1+Inputs!$C$55)^(BE$118-1)</f>
        <v>-9769.4164708</v>
      </c>
      <c r="BF222" s="67" t="n">
        <f aca="false">-BF216*Inputs!$C$51/12*1*(1+Inputs!$C$54)*(1+Inputs!$C$55)^(BF$118-1)</f>
        <v>-9769.4164708</v>
      </c>
      <c r="BG222" s="67" t="n">
        <f aca="false">-BG216*Inputs!$C$51/12*1*(1+Inputs!$C$54)*(1+Inputs!$C$55)^(BG$118-1)</f>
        <v>-9769.4164708</v>
      </c>
      <c r="BH222" s="67" t="n">
        <f aca="false">-BH216*Inputs!$C$51/12*1*(1+Inputs!$C$54)*(1+Inputs!$C$55)^(BH$118-1)</f>
        <v>-9769.4164708</v>
      </c>
      <c r="BI222" s="67" t="n">
        <f aca="false">-BI216*Inputs!$C$51/12*1*(1+Inputs!$C$54)*(1+Inputs!$C$55)^(BI$118-1)</f>
        <v>-9769.4164708</v>
      </c>
      <c r="BJ222" s="67" t="n">
        <f aca="false">-BJ216*Inputs!$C$51/12*1*(1+Inputs!$C$54)*(1+Inputs!$C$55)^(BJ$118-1)</f>
        <v>-9769.4164708</v>
      </c>
    </row>
    <row r="223" customFormat="false" ht="15" hidden="false" customHeight="false" outlineLevel="0" collapsed="false">
      <c r="A223" s="115" t="s">
        <v>445</v>
      </c>
      <c r="C223" s="68" t="n">
        <f aca="false">C220+C221+C222</f>
        <v>-49466.6666666667</v>
      </c>
      <c r="D223" s="68" t="n">
        <f aca="false">D220+D221+D222</f>
        <v>-49466.6666666667</v>
      </c>
      <c r="E223" s="68" t="n">
        <f aca="false">E220+E221+E222</f>
        <v>-49466.6666666667</v>
      </c>
      <c r="F223" s="68" t="n">
        <f aca="false">F220+F221+F222</f>
        <v>-49466.6666666667</v>
      </c>
      <c r="G223" s="68" t="n">
        <f aca="false">G220+G221+G222</f>
        <v>-49466.6666666667</v>
      </c>
      <c r="H223" s="68" t="n">
        <f aca="false">H220+H221+H222</f>
        <v>-49466.6666666667</v>
      </c>
      <c r="I223" s="68" t="n">
        <f aca="false">I220+I221+I222</f>
        <v>-49466.6666666667</v>
      </c>
      <c r="J223" s="68" t="n">
        <f aca="false">J220+J221+J222</f>
        <v>-49466.6666666667</v>
      </c>
      <c r="K223" s="68" t="n">
        <f aca="false">K220+K221+K222</f>
        <v>-49466.6666666667</v>
      </c>
      <c r="L223" s="68" t="n">
        <f aca="false">L220+L221+L222</f>
        <v>-49466.6666666667</v>
      </c>
      <c r="M223" s="68" t="n">
        <f aca="false">M220+M221+M222</f>
        <v>-49466.6666666667</v>
      </c>
      <c r="N223" s="68" t="n">
        <f aca="false">N220+N221+N222</f>
        <v>-49466.6666666667</v>
      </c>
      <c r="O223" s="68" t="n">
        <f aca="false">O220+O221+O222</f>
        <v>-53471.2826666667</v>
      </c>
      <c r="P223" s="68" t="n">
        <f aca="false">P220+P221+P222</f>
        <v>-53471.2826666667</v>
      </c>
      <c r="Q223" s="68" t="n">
        <f aca="false">Q220+Q221+Q222</f>
        <v>-53471.2826666667</v>
      </c>
      <c r="R223" s="68" t="n">
        <f aca="false">R220+R221+R222</f>
        <v>-53471.2826666667</v>
      </c>
      <c r="S223" s="68" t="n">
        <f aca="false">S220+S221+S222</f>
        <v>-53471.2826666667</v>
      </c>
      <c r="T223" s="68" t="n">
        <f aca="false">T220+T221+T222</f>
        <v>-53471.2826666667</v>
      </c>
      <c r="U223" s="68" t="n">
        <f aca="false">U220+U221+U222</f>
        <v>-53471.2826666667</v>
      </c>
      <c r="V223" s="68" t="n">
        <f aca="false">V220+V221+V222</f>
        <v>-53471.2826666667</v>
      </c>
      <c r="W223" s="68" t="n">
        <f aca="false">W220+W221+W222</f>
        <v>-53471.2826666667</v>
      </c>
      <c r="X223" s="68" t="n">
        <f aca="false">X220+X221+X222</f>
        <v>-53471.2826666667</v>
      </c>
      <c r="Y223" s="68" t="n">
        <f aca="false">Y220+Y221+Y222</f>
        <v>-53471.2826666667</v>
      </c>
      <c r="Z223" s="68" t="n">
        <f aca="false">Z220+Z221+Z222</f>
        <v>-53471.2826666667</v>
      </c>
      <c r="AA223" s="68" t="n">
        <f aca="false">AA220+AA221+AA222</f>
        <v>-57827.4296954667</v>
      </c>
      <c r="AB223" s="68" t="n">
        <f aca="false">AB220+AB221+AB222</f>
        <v>-57827.4296954667</v>
      </c>
      <c r="AC223" s="68" t="n">
        <f aca="false">AC220+AC221+AC222</f>
        <v>-57827.4296954667</v>
      </c>
      <c r="AD223" s="68" t="n">
        <f aca="false">AD220+AD221+AD222</f>
        <v>-57827.4296954667</v>
      </c>
      <c r="AE223" s="68" t="n">
        <f aca="false">AE220+AE221+AE222</f>
        <v>-57827.4296954667</v>
      </c>
      <c r="AF223" s="68" t="n">
        <f aca="false">AF220+AF221+AF222</f>
        <v>-57827.4296954667</v>
      </c>
      <c r="AG223" s="68" t="n">
        <f aca="false">AG220+AG221+AG222</f>
        <v>-57827.4296954667</v>
      </c>
      <c r="AH223" s="68" t="n">
        <f aca="false">AH220+AH221+AH222</f>
        <v>-57827.4296954667</v>
      </c>
      <c r="AI223" s="68" t="n">
        <f aca="false">AI220+AI221+AI222</f>
        <v>-57827.4296954667</v>
      </c>
      <c r="AJ223" s="68" t="n">
        <f aca="false">AJ220+AJ221+AJ222</f>
        <v>-57827.4296954667</v>
      </c>
      <c r="AK223" s="68" t="n">
        <f aca="false">AK220+AK221+AK222</f>
        <v>-57827.4296954667</v>
      </c>
      <c r="AL223" s="68" t="n">
        <f aca="false">AL220+AL221+AL222</f>
        <v>-57827.4296954667</v>
      </c>
      <c r="AM223" s="68" t="n">
        <f aca="false">AM220+AM221+AM222</f>
        <v>-62566.8955199105</v>
      </c>
      <c r="AN223" s="68" t="n">
        <f aca="false">AN220+AN221+AN222</f>
        <v>-62566.8955199105</v>
      </c>
      <c r="AO223" s="68" t="n">
        <f aca="false">AO220+AO221+AO222</f>
        <v>-62566.8955199105</v>
      </c>
      <c r="AP223" s="68" t="n">
        <f aca="false">AP220+AP221+AP222</f>
        <v>-62566.8955199105</v>
      </c>
      <c r="AQ223" s="68" t="n">
        <f aca="false">AQ220+AQ221+AQ222</f>
        <v>-62566.8955199105</v>
      </c>
      <c r="AR223" s="68" t="n">
        <f aca="false">AR220+AR221+AR222</f>
        <v>-62566.8955199105</v>
      </c>
      <c r="AS223" s="68" t="n">
        <f aca="false">AS220+AS221+AS222</f>
        <v>-62566.8955199105</v>
      </c>
      <c r="AT223" s="68" t="n">
        <f aca="false">AT220+AT221+AT222</f>
        <v>-62566.8955199105</v>
      </c>
      <c r="AU223" s="68" t="n">
        <f aca="false">AU220+AU221+AU222</f>
        <v>-62566.8955199105</v>
      </c>
      <c r="AV223" s="68" t="n">
        <f aca="false">AV220+AV221+AV222</f>
        <v>-62566.8955199105</v>
      </c>
      <c r="AW223" s="68" t="n">
        <f aca="false">AW220+AW221+AW222</f>
        <v>-62566.8955199105</v>
      </c>
      <c r="AX223" s="68" t="n">
        <f aca="false">AX220+AX221+AX222</f>
        <v>-62566.8955199105</v>
      </c>
      <c r="AY223" s="68" t="n">
        <f aca="false">AY220+AY221+AY222</f>
        <v>-67724.3715403903</v>
      </c>
      <c r="AZ223" s="68" t="n">
        <f aca="false">AZ220+AZ221+AZ222</f>
        <v>-67724.3715403903</v>
      </c>
      <c r="BA223" s="68" t="n">
        <f aca="false">BA220+BA221+BA222</f>
        <v>-67724.3715403903</v>
      </c>
      <c r="BB223" s="68" t="n">
        <f aca="false">BB220+BB221+BB222</f>
        <v>-67724.3715403903</v>
      </c>
      <c r="BC223" s="68" t="n">
        <f aca="false">BC220+BC221+BC222</f>
        <v>-67724.3715403903</v>
      </c>
      <c r="BD223" s="68" t="n">
        <f aca="false">BD220+BD221+BD222</f>
        <v>-67724.3715403903</v>
      </c>
      <c r="BE223" s="68" t="n">
        <f aca="false">BE220+BE221+BE222</f>
        <v>-67724.3715403903</v>
      </c>
      <c r="BF223" s="68" t="n">
        <f aca="false">BF220+BF221+BF222</f>
        <v>-67724.3715403903</v>
      </c>
      <c r="BG223" s="68" t="n">
        <f aca="false">BG220+BG221+BG222</f>
        <v>-67724.3715403903</v>
      </c>
      <c r="BH223" s="68" t="n">
        <f aca="false">BH220+BH221+BH222</f>
        <v>-67724.3715403903</v>
      </c>
      <c r="BI223" s="68" t="n">
        <f aca="false">BI220+BI221+BI222</f>
        <v>-67724.3715403903</v>
      </c>
      <c r="BJ223" s="68" t="n">
        <f aca="false">BJ220+BJ221+BJ222</f>
        <v>-67724.3715403903</v>
      </c>
    </row>
    <row r="226" customFormat="false" ht="15.75" hidden="false" customHeight="true" outlineLevel="0" collapsed="false">
      <c r="A226" s="7" t="s">
        <v>450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customFormat="false" ht="15" hidden="false" customHeight="false" outlineLevel="0" collapsed="false">
      <c r="A227" s="33" t="s">
        <v>339</v>
      </c>
      <c r="C227" s="50" t="s">
        <v>340</v>
      </c>
      <c r="D227" s="50" t="s">
        <v>341</v>
      </c>
      <c r="E227" s="50" t="s">
        <v>342</v>
      </c>
      <c r="F227" s="50" t="s">
        <v>343</v>
      </c>
      <c r="G227" s="50" t="s">
        <v>344</v>
      </c>
      <c r="H227" s="50" t="s">
        <v>345</v>
      </c>
      <c r="I227" s="50" t="s">
        <v>346</v>
      </c>
      <c r="J227" s="50" t="s">
        <v>347</v>
      </c>
      <c r="K227" s="50" t="s">
        <v>348</v>
      </c>
      <c r="L227" s="50" t="s">
        <v>349</v>
      </c>
      <c r="M227" s="50" t="s">
        <v>350</v>
      </c>
      <c r="N227" s="50" t="s">
        <v>351</v>
      </c>
      <c r="O227" s="50" t="s">
        <v>352</v>
      </c>
      <c r="P227" s="50" t="s">
        <v>353</v>
      </c>
      <c r="Q227" s="50" t="s">
        <v>354</v>
      </c>
      <c r="R227" s="50" t="s">
        <v>355</v>
      </c>
      <c r="S227" s="50" t="s">
        <v>356</v>
      </c>
      <c r="T227" s="50" t="s">
        <v>357</v>
      </c>
      <c r="U227" s="50" t="s">
        <v>358</v>
      </c>
      <c r="V227" s="50" t="s">
        <v>359</v>
      </c>
      <c r="W227" s="50" t="s">
        <v>360</v>
      </c>
      <c r="X227" s="50" t="s">
        <v>361</v>
      </c>
      <c r="Y227" s="50" t="s">
        <v>362</v>
      </c>
      <c r="Z227" s="50" t="s">
        <v>363</v>
      </c>
      <c r="AA227" s="50" t="s">
        <v>364</v>
      </c>
      <c r="AB227" s="50" t="s">
        <v>365</v>
      </c>
      <c r="AC227" s="50" t="s">
        <v>366</v>
      </c>
      <c r="AD227" s="50" t="s">
        <v>367</v>
      </c>
      <c r="AE227" s="50" t="s">
        <v>368</v>
      </c>
      <c r="AF227" s="50" t="s">
        <v>369</v>
      </c>
      <c r="AG227" s="50" t="s">
        <v>370</v>
      </c>
      <c r="AH227" s="50" t="s">
        <v>371</v>
      </c>
      <c r="AI227" s="50" t="s">
        <v>372</v>
      </c>
      <c r="AJ227" s="50" t="s">
        <v>373</v>
      </c>
      <c r="AK227" s="50" t="s">
        <v>374</v>
      </c>
      <c r="AL227" s="50" t="s">
        <v>375</v>
      </c>
      <c r="AM227" s="50" t="s">
        <v>376</v>
      </c>
      <c r="AN227" s="50" t="s">
        <v>377</v>
      </c>
      <c r="AO227" s="50" t="s">
        <v>378</v>
      </c>
      <c r="AP227" s="50" t="s">
        <v>379</v>
      </c>
      <c r="AQ227" s="50" t="s">
        <v>380</v>
      </c>
      <c r="AR227" s="50" t="s">
        <v>381</v>
      </c>
      <c r="AS227" s="50" t="s">
        <v>382</v>
      </c>
      <c r="AT227" s="50" t="s">
        <v>383</v>
      </c>
      <c r="AU227" s="50" t="s">
        <v>384</v>
      </c>
      <c r="AV227" s="50" t="s">
        <v>385</v>
      </c>
      <c r="AW227" s="50" t="s">
        <v>386</v>
      </c>
      <c r="AX227" s="50" t="s">
        <v>387</v>
      </c>
      <c r="AY227" s="50" t="s">
        <v>388</v>
      </c>
      <c r="AZ227" s="50" t="s">
        <v>389</v>
      </c>
      <c r="BA227" s="50" t="s">
        <v>390</v>
      </c>
      <c r="BB227" s="50" t="s">
        <v>391</v>
      </c>
      <c r="BC227" s="50" t="s">
        <v>392</v>
      </c>
      <c r="BD227" s="50" t="s">
        <v>393</v>
      </c>
      <c r="BE227" s="50" t="s">
        <v>394</v>
      </c>
      <c r="BF227" s="50" t="s">
        <v>395</v>
      </c>
      <c r="BG227" s="50" t="s">
        <v>396</v>
      </c>
      <c r="BH227" s="50" t="s">
        <v>397</v>
      </c>
      <c r="BI227" s="50" t="s">
        <v>398</v>
      </c>
      <c r="BJ227" s="50" t="s">
        <v>399</v>
      </c>
    </row>
    <row r="228" customFormat="false" ht="15" hidden="false" customHeight="false" outlineLevel="0" collapsed="false">
      <c r="A228" s="72" t="s">
        <v>400</v>
      </c>
      <c r="C228" s="72" t="n">
        <v>1</v>
      </c>
      <c r="D228" s="72" t="n">
        <v>2</v>
      </c>
      <c r="E228" s="72" t="n">
        <v>3</v>
      </c>
      <c r="F228" s="72" t="n">
        <v>4</v>
      </c>
      <c r="G228" s="72" t="n">
        <v>5</v>
      </c>
      <c r="H228" s="72" t="n">
        <v>6</v>
      </c>
      <c r="I228" s="72" t="n">
        <v>7</v>
      </c>
      <c r="J228" s="72" t="n">
        <v>8</v>
      </c>
      <c r="K228" s="72" t="n">
        <v>9</v>
      </c>
      <c r="L228" s="72" t="n">
        <v>10</v>
      </c>
      <c r="M228" s="72" t="n">
        <v>11</v>
      </c>
      <c r="N228" s="72" t="n">
        <v>12</v>
      </c>
      <c r="O228" s="72" t="n">
        <v>13</v>
      </c>
      <c r="P228" s="72" t="n">
        <v>14</v>
      </c>
      <c r="Q228" s="72" t="n">
        <v>15</v>
      </c>
      <c r="R228" s="72" t="n">
        <v>16</v>
      </c>
      <c r="S228" s="72" t="n">
        <v>17</v>
      </c>
      <c r="T228" s="72" t="n">
        <v>18</v>
      </c>
      <c r="U228" s="72" t="n">
        <v>19</v>
      </c>
      <c r="V228" s="72" t="n">
        <v>20</v>
      </c>
      <c r="W228" s="72" t="n">
        <v>21</v>
      </c>
      <c r="X228" s="72" t="n">
        <v>22</v>
      </c>
      <c r="Y228" s="72" t="n">
        <v>23</v>
      </c>
      <c r="Z228" s="72" t="n">
        <v>24</v>
      </c>
      <c r="AA228" s="72" t="n">
        <v>25</v>
      </c>
      <c r="AB228" s="72" t="n">
        <v>26</v>
      </c>
      <c r="AC228" s="72" t="n">
        <v>27</v>
      </c>
      <c r="AD228" s="72" t="n">
        <v>28</v>
      </c>
      <c r="AE228" s="72" t="n">
        <v>29</v>
      </c>
      <c r="AF228" s="72" t="n">
        <v>30</v>
      </c>
      <c r="AG228" s="72" t="n">
        <v>31</v>
      </c>
      <c r="AH228" s="72" t="n">
        <v>32</v>
      </c>
      <c r="AI228" s="72" t="n">
        <v>33</v>
      </c>
      <c r="AJ228" s="72" t="n">
        <v>34</v>
      </c>
      <c r="AK228" s="72" t="n">
        <v>35</v>
      </c>
      <c r="AL228" s="72" t="n">
        <v>36</v>
      </c>
      <c r="AM228" s="72" t="n">
        <v>37</v>
      </c>
      <c r="AN228" s="72" t="n">
        <v>38</v>
      </c>
      <c r="AO228" s="72" t="n">
        <v>39</v>
      </c>
      <c r="AP228" s="72" t="n">
        <v>40</v>
      </c>
      <c r="AQ228" s="72" t="n">
        <v>41</v>
      </c>
      <c r="AR228" s="72" t="n">
        <v>42</v>
      </c>
      <c r="AS228" s="72" t="n">
        <v>43</v>
      </c>
      <c r="AT228" s="72" t="n">
        <v>44</v>
      </c>
      <c r="AU228" s="72" t="n">
        <v>45</v>
      </c>
      <c r="AV228" s="72" t="n">
        <v>46</v>
      </c>
      <c r="AW228" s="72" t="n">
        <v>47</v>
      </c>
      <c r="AX228" s="72" t="n">
        <v>48</v>
      </c>
      <c r="AY228" s="72" t="n">
        <v>49</v>
      </c>
      <c r="AZ228" s="72" t="n">
        <v>50</v>
      </c>
      <c r="BA228" s="72" t="n">
        <v>51</v>
      </c>
      <c r="BB228" s="72" t="n">
        <v>52</v>
      </c>
      <c r="BC228" s="72" t="n">
        <v>53</v>
      </c>
      <c r="BD228" s="72" t="n">
        <v>54</v>
      </c>
      <c r="BE228" s="72" t="n">
        <v>55</v>
      </c>
      <c r="BF228" s="72" t="n">
        <v>56</v>
      </c>
      <c r="BG228" s="72" t="n">
        <v>57</v>
      </c>
      <c r="BH228" s="72" t="n">
        <v>58</v>
      </c>
      <c r="BI228" s="72" t="n">
        <v>59</v>
      </c>
      <c r="BJ228" s="72" t="n">
        <v>60</v>
      </c>
    </row>
    <row r="229" customFormat="false" ht="15" hidden="false" customHeight="false" outlineLevel="0" collapsed="false">
      <c r="A229" s="72" t="s">
        <v>155</v>
      </c>
      <c r="C229" s="72" t="n">
        <f aca="false">ROUNDUP(C228*1/12,0)</f>
        <v>1</v>
      </c>
      <c r="D229" s="72" t="n">
        <f aca="false">ROUNDUP(D228*1/12,0)</f>
        <v>1</v>
      </c>
      <c r="E229" s="72" t="n">
        <f aca="false">ROUNDUP(E228*1/12,0)</f>
        <v>1</v>
      </c>
      <c r="F229" s="72" t="n">
        <f aca="false">ROUNDUP(F228*1/12,0)</f>
        <v>1</v>
      </c>
      <c r="G229" s="72" t="n">
        <f aca="false">ROUNDUP(G228*1/12,0)</f>
        <v>1</v>
      </c>
      <c r="H229" s="72" t="n">
        <f aca="false">ROUNDUP(H228*1/12,0)</f>
        <v>1</v>
      </c>
      <c r="I229" s="72" t="n">
        <f aca="false">ROUNDUP(I228*1/12,0)</f>
        <v>1</v>
      </c>
      <c r="J229" s="72" t="n">
        <f aca="false">ROUNDUP(J228*1/12,0)</f>
        <v>1</v>
      </c>
      <c r="K229" s="72" t="n">
        <f aca="false">ROUNDUP(K228*1/12,0)</f>
        <v>1</v>
      </c>
      <c r="L229" s="72" t="n">
        <f aca="false">ROUNDUP(L228*1/12,0)</f>
        <v>1</v>
      </c>
      <c r="M229" s="72" t="n">
        <f aca="false">ROUNDUP(M228*1/12,0)</f>
        <v>1</v>
      </c>
      <c r="N229" s="72" t="n">
        <f aca="false">ROUNDUP(N228*1/12,0)</f>
        <v>1</v>
      </c>
      <c r="O229" s="72" t="n">
        <f aca="false">ROUNDUP(O228*1/12,0)</f>
        <v>2</v>
      </c>
      <c r="P229" s="72" t="n">
        <f aca="false">ROUNDUP(P228*1/12,0)</f>
        <v>2</v>
      </c>
      <c r="Q229" s="72" t="n">
        <f aca="false">ROUNDUP(Q228*1/12,0)</f>
        <v>2</v>
      </c>
      <c r="R229" s="72" t="n">
        <f aca="false">ROUNDUP(R228*1/12,0)</f>
        <v>2</v>
      </c>
      <c r="S229" s="72" t="n">
        <f aca="false">ROUNDUP(S228*1/12,0)</f>
        <v>2</v>
      </c>
      <c r="T229" s="72" t="n">
        <f aca="false">ROUNDUP(T228*1/12,0)</f>
        <v>2</v>
      </c>
      <c r="U229" s="72" t="n">
        <f aca="false">ROUNDUP(U228*1/12,0)</f>
        <v>2</v>
      </c>
      <c r="V229" s="72" t="n">
        <f aca="false">ROUNDUP(V228*1/12,0)</f>
        <v>2</v>
      </c>
      <c r="W229" s="72" t="n">
        <f aca="false">ROUNDUP(W228*1/12,0)</f>
        <v>2</v>
      </c>
      <c r="X229" s="72" t="n">
        <f aca="false">ROUNDUP(X228*1/12,0)</f>
        <v>2</v>
      </c>
      <c r="Y229" s="72" t="n">
        <f aca="false">ROUNDUP(Y228*1/12,0)</f>
        <v>2</v>
      </c>
      <c r="Z229" s="72" t="n">
        <f aca="false">ROUNDUP(Z228*1/12,0)</f>
        <v>2</v>
      </c>
      <c r="AA229" s="72" t="n">
        <f aca="false">ROUNDUP(AA228*1/12,0)</f>
        <v>3</v>
      </c>
      <c r="AB229" s="72" t="n">
        <f aca="false">ROUNDUP(AB228*1/12,0)</f>
        <v>3</v>
      </c>
      <c r="AC229" s="72" t="n">
        <f aca="false">ROUNDUP(AC228*1/12,0)</f>
        <v>3</v>
      </c>
      <c r="AD229" s="72" t="n">
        <f aca="false">ROUNDUP(AD228*1/12,0)</f>
        <v>3</v>
      </c>
      <c r="AE229" s="72" t="n">
        <f aca="false">ROUNDUP(AE228*1/12,0)</f>
        <v>3</v>
      </c>
      <c r="AF229" s="72" t="n">
        <f aca="false">ROUNDUP(AF228*1/12,0)</f>
        <v>3</v>
      </c>
      <c r="AG229" s="72" t="n">
        <f aca="false">ROUNDUP(AG228*1/12,0)</f>
        <v>3</v>
      </c>
      <c r="AH229" s="72" t="n">
        <f aca="false">ROUNDUP(AH228*1/12,0)</f>
        <v>3</v>
      </c>
      <c r="AI229" s="72" t="n">
        <f aca="false">ROUNDUP(AI228*1/12,0)</f>
        <v>3</v>
      </c>
      <c r="AJ229" s="72" t="n">
        <f aca="false">ROUNDUP(AJ228*1/12,0)</f>
        <v>3</v>
      </c>
      <c r="AK229" s="72" t="n">
        <f aca="false">ROUNDUP(AK228*1/12,0)</f>
        <v>3</v>
      </c>
      <c r="AL229" s="72" t="n">
        <f aca="false">ROUNDUP(AL228*1/12,0)</f>
        <v>3</v>
      </c>
      <c r="AM229" s="72" t="n">
        <f aca="false">ROUNDUP(AM228*1/12,0)</f>
        <v>4</v>
      </c>
      <c r="AN229" s="72" t="n">
        <f aca="false">ROUNDUP(AN228*1/12,0)</f>
        <v>4</v>
      </c>
      <c r="AO229" s="72" t="n">
        <f aca="false">ROUNDUP(AO228*1/12,0)</f>
        <v>4</v>
      </c>
      <c r="AP229" s="72" t="n">
        <f aca="false">ROUNDUP(AP228*1/12,0)</f>
        <v>4</v>
      </c>
      <c r="AQ229" s="72" t="n">
        <f aca="false">ROUNDUP(AQ228*1/12,0)</f>
        <v>4</v>
      </c>
      <c r="AR229" s="72" t="n">
        <f aca="false">ROUNDUP(AR228*1/12,0)</f>
        <v>4</v>
      </c>
      <c r="AS229" s="72" t="n">
        <f aca="false">ROUNDUP(AS228*1/12,0)</f>
        <v>4</v>
      </c>
      <c r="AT229" s="72" t="n">
        <f aca="false">ROUNDUP(AT228*1/12,0)</f>
        <v>4</v>
      </c>
      <c r="AU229" s="72" t="n">
        <f aca="false">ROUNDUP(AU228*1/12,0)</f>
        <v>4</v>
      </c>
      <c r="AV229" s="72" t="n">
        <f aca="false">ROUNDUP(AV228*1/12,0)</f>
        <v>4</v>
      </c>
      <c r="AW229" s="72" t="n">
        <f aca="false">ROUNDUP(AW228*1/12,0)</f>
        <v>4</v>
      </c>
      <c r="AX229" s="72" t="n">
        <f aca="false">ROUNDUP(AX228*1/12,0)</f>
        <v>4</v>
      </c>
      <c r="AY229" s="72" t="n">
        <f aca="false">ROUNDUP(AY228*1/12,0)</f>
        <v>5</v>
      </c>
      <c r="AZ229" s="72" t="n">
        <f aca="false">ROUNDUP(AZ228*1/12,0)</f>
        <v>5</v>
      </c>
      <c r="BA229" s="72" t="n">
        <f aca="false">ROUNDUP(BA228*1/12,0)</f>
        <v>5</v>
      </c>
      <c r="BB229" s="72" t="n">
        <f aca="false">ROUNDUP(BB228*1/12,0)</f>
        <v>5</v>
      </c>
      <c r="BC229" s="72" t="n">
        <f aca="false">ROUNDUP(BC228*1/12,0)</f>
        <v>5</v>
      </c>
      <c r="BD229" s="72" t="n">
        <f aca="false">ROUNDUP(BD228*1/12,0)</f>
        <v>5</v>
      </c>
      <c r="BE229" s="72" t="n">
        <f aca="false">ROUNDUP(BE228*1/12,0)</f>
        <v>5</v>
      </c>
      <c r="BF229" s="72" t="n">
        <f aca="false">ROUNDUP(BF228*1/12,0)</f>
        <v>5</v>
      </c>
      <c r="BG229" s="72" t="n">
        <f aca="false">ROUNDUP(BG228*1/12,0)</f>
        <v>5</v>
      </c>
      <c r="BH229" s="72" t="n">
        <f aca="false">ROUNDUP(BH228*1/12,0)</f>
        <v>5</v>
      </c>
      <c r="BI229" s="72" t="n">
        <f aca="false">ROUNDUP(BI228*1/12,0)</f>
        <v>5</v>
      </c>
      <c r="BJ229" s="72" t="n">
        <f aca="false">ROUNDUP(BJ228*1/12,0)</f>
        <v>5</v>
      </c>
    </row>
    <row r="231" customFormat="false" ht="15.75" hidden="false" customHeight="true" outlineLevel="0" collapsed="false">
      <c r="A231" s="7" t="s">
        <v>249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customFormat="false" ht="15" hidden="false" customHeight="false" outlineLevel="0" collapsed="false">
      <c r="A232" s="38" t="s">
        <v>401</v>
      </c>
      <c r="C232" s="74" t="n">
        <f aca="false">MIN(1,Inputs!$D$9+(1-Inputs!$D$9)*(C$228-1)/MAX(1,Inputs!$D$8))</f>
        <v>0.95</v>
      </c>
      <c r="D232" s="74" t="n">
        <f aca="false">MIN(1,Inputs!$D$9+(1-Inputs!$D$9)*(D$228-1)/MAX(1,Inputs!$D$8))</f>
        <v>1</v>
      </c>
      <c r="E232" s="74" t="n">
        <f aca="false">MIN(1,Inputs!$D$9+(1-Inputs!$D$9)*(E$228-1)/MAX(1,Inputs!$D$8))</f>
        <v>1</v>
      </c>
      <c r="F232" s="74" t="n">
        <f aca="false">MIN(1,Inputs!$D$9+(1-Inputs!$D$9)*(F$228-1)/MAX(1,Inputs!$D$8))</f>
        <v>1</v>
      </c>
      <c r="G232" s="74" t="n">
        <f aca="false">MIN(1,Inputs!$D$9+(1-Inputs!$D$9)*(G$228-1)/MAX(1,Inputs!$D$8))</f>
        <v>1</v>
      </c>
      <c r="H232" s="74" t="n">
        <f aca="false">MIN(1,Inputs!$D$9+(1-Inputs!$D$9)*(H$228-1)/MAX(1,Inputs!$D$8))</f>
        <v>1</v>
      </c>
      <c r="I232" s="74" t="n">
        <f aca="false">MIN(1,Inputs!$D$9+(1-Inputs!$D$9)*(I$228-1)/MAX(1,Inputs!$D$8))</f>
        <v>1</v>
      </c>
      <c r="J232" s="74" t="n">
        <f aca="false">MIN(1,Inputs!$D$9+(1-Inputs!$D$9)*(J$228-1)/MAX(1,Inputs!$D$8))</f>
        <v>1</v>
      </c>
      <c r="K232" s="74" t="n">
        <f aca="false">MIN(1,Inputs!$D$9+(1-Inputs!$D$9)*(K$228-1)/MAX(1,Inputs!$D$8))</f>
        <v>1</v>
      </c>
      <c r="L232" s="74" t="n">
        <f aca="false">MIN(1,Inputs!$D$9+(1-Inputs!$D$9)*(L$228-1)/MAX(1,Inputs!$D$8))</f>
        <v>1</v>
      </c>
      <c r="M232" s="74" t="n">
        <f aca="false">MIN(1,Inputs!$D$9+(1-Inputs!$D$9)*(M$228-1)/MAX(1,Inputs!$D$8))</f>
        <v>1</v>
      </c>
      <c r="N232" s="74" t="n">
        <f aca="false">MIN(1,Inputs!$D$9+(1-Inputs!$D$9)*(N$228-1)/MAX(1,Inputs!$D$8))</f>
        <v>1</v>
      </c>
      <c r="O232" s="74" t="n">
        <f aca="false">MIN(1,Inputs!$D$9+(1-Inputs!$D$9)*(O$228-1)/MAX(1,Inputs!$D$8))</f>
        <v>1</v>
      </c>
      <c r="P232" s="74" t="n">
        <f aca="false">MIN(1,Inputs!$D$9+(1-Inputs!$D$9)*(P$228-1)/MAX(1,Inputs!$D$8))</f>
        <v>1</v>
      </c>
      <c r="Q232" s="74" t="n">
        <f aca="false">MIN(1,Inputs!$D$9+(1-Inputs!$D$9)*(Q$228-1)/MAX(1,Inputs!$D$8))</f>
        <v>1</v>
      </c>
      <c r="R232" s="74" t="n">
        <f aca="false">MIN(1,Inputs!$D$9+(1-Inputs!$D$9)*(R$228-1)/MAX(1,Inputs!$D$8))</f>
        <v>1</v>
      </c>
      <c r="S232" s="74" t="n">
        <f aca="false">MIN(1,Inputs!$D$9+(1-Inputs!$D$9)*(S$228-1)/MAX(1,Inputs!$D$8))</f>
        <v>1</v>
      </c>
      <c r="T232" s="74" t="n">
        <f aca="false">MIN(1,Inputs!$D$9+(1-Inputs!$D$9)*(T$228-1)/MAX(1,Inputs!$D$8))</f>
        <v>1</v>
      </c>
      <c r="U232" s="74" t="n">
        <f aca="false">MIN(1,Inputs!$D$9+(1-Inputs!$D$9)*(U$228-1)/MAX(1,Inputs!$D$8))</f>
        <v>1</v>
      </c>
      <c r="V232" s="74" t="n">
        <f aca="false">MIN(1,Inputs!$D$9+(1-Inputs!$D$9)*(V$228-1)/MAX(1,Inputs!$D$8))</f>
        <v>1</v>
      </c>
      <c r="W232" s="74" t="n">
        <f aca="false">MIN(1,Inputs!$D$9+(1-Inputs!$D$9)*(W$228-1)/MAX(1,Inputs!$D$8))</f>
        <v>1</v>
      </c>
      <c r="X232" s="74" t="n">
        <f aca="false">MIN(1,Inputs!$D$9+(1-Inputs!$D$9)*(X$228-1)/MAX(1,Inputs!$D$8))</f>
        <v>1</v>
      </c>
      <c r="Y232" s="74" t="n">
        <f aca="false">MIN(1,Inputs!$D$9+(1-Inputs!$D$9)*(Y$228-1)/MAX(1,Inputs!$D$8))</f>
        <v>1</v>
      </c>
      <c r="Z232" s="74" t="n">
        <f aca="false">MIN(1,Inputs!$D$9+(1-Inputs!$D$9)*(Z$228-1)/MAX(1,Inputs!$D$8))</f>
        <v>1</v>
      </c>
      <c r="AA232" s="74" t="n">
        <f aca="false">MIN(1,Inputs!$D$9+(1-Inputs!$D$9)*(AA$228-1)/MAX(1,Inputs!$D$8))</f>
        <v>1</v>
      </c>
      <c r="AB232" s="74" t="n">
        <f aca="false">MIN(1,Inputs!$D$9+(1-Inputs!$D$9)*(AB$228-1)/MAX(1,Inputs!$D$8))</f>
        <v>1</v>
      </c>
      <c r="AC232" s="74" t="n">
        <f aca="false">MIN(1,Inputs!$D$9+(1-Inputs!$D$9)*(AC$228-1)/MAX(1,Inputs!$D$8))</f>
        <v>1</v>
      </c>
      <c r="AD232" s="74" t="n">
        <f aca="false">MIN(1,Inputs!$D$9+(1-Inputs!$D$9)*(AD$228-1)/MAX(1,Inputs!$D$8))</f>
        <v>1</v>
      </c>
      <c r="AE232" s="74" t="n">
        <f aca="false">MIN(1,Inputs!$D$9+(1-Inputs!$D$9)*(AE$228-1)/MAX(1,Inputs!$D$8))</f>
        <v>1</v>
      </c>
      <c r="AF232" s="74" t="n">
        <f aca="false">MIN(1,Inputs!$D$9+(1-Inputs!$D$9)*(AF$228-1)/MAX(1,Inputs!$D$8))</f>
        <v>1</v>
      </c>
      <c r="AG232" s="74" t="n">
        <f aca="false">MIN(1,Inputs!$D$9+(1-Inputs!$D$9)*(AG$228-1)/MAX(1,Inputs!$D$8))</f>
        <v>1</v>
      </c>
      <c r="AH232" s="74" t="n">
        <f aca="false">MIN(1,Inputs!$D$9+(1-Inputs!$D$9)*(AH$228-1)/MAX(1,Inputs!$D$8))</f>
        <v>1</v>
      </c>
      <c r="AI232" s="74" t="n">
        <f aca="false">MIN(1,Inputs!$D$9+(1-Inputs!$D$9)*(AI$228-1)/MAX(1,Inputs!$D$8))</f>
        <v>1</v>
      </c>
      <c r="AJ232" s="74" t="n">
        <f aca="false">MIN(1,Inputs!$D$9+(1-Inputs!$D$9)*(AJ$228-1)/MAX(1,Inputs!$D$8))</f>
        <v>1</v>
      </c>
      <c r="AK232" s="74" t="n">
        <f aca="false">MIN(1,Inputs!$D$9+(1-Inputs!$D$9)*(AK$228-1)/MAX(1,Inputs!$D$8))</f>
        <v>1</v>
      </c>
      <c r="AL232" s="74" t="n">
        <f aca="false">MIN(1,Inputs!$D$9+(1-Inputs!$D$9)*(AL$228-1)/MAX(1,Inputs!$D$8))</f>
        <v>1</v>
      </c>
      <c r="AM232" s="74" t="n">
        <f aca="false">MIN(1,Inputs!$D$9+(1-Inputs!$D$9)*(AM$228-1)/MAX(1,Inputs!$D$8))</f>
        <v>1</v>
      </c>
      <c r="AN232" s="74" t="n">
        <f aca="false">MIN(1,Inputs!$D$9+(1-Inputs!$D$9)*(AN$228-1)/MAX(1,Inputs!$D$8))</f>
        <v>1</v>
      </c>
      <c r="AO232" s="74" t="n">
        <f aca="false">MIN(1,Inputs!$D$9+(1-Inputs!$D$9)*(AO$228-1)/MAX(1,Inputs!$D$8))</f>
        <v>1</v>
      </c>
      <c r="AP232" s="74" t="n">
        <f aca="false">MIN(1,Inputs!$D$9+(1-Inputs!$D$9)*(AP$228-1)/MAX(1,Inputs!$D$8))</f>
        <v>1</v>
      </c>
      <c r="AQ232" s="74" t="n">
        <f aca="false">MIN(1,Inputs!$D$9+(1-Inputs!$D$9)*(AQ$228-1)/MAX(1,Inputs!$D$8))</f>
        <v>1</v>
      </c>
      <c r="AR232" s="74" t="n">
        <f aca="false">MIN(1,Inputs!$D$9+(1-Inputs!$D$9)*(AR$228-1)/MAX(1,Inputs!$D$8))</f>
        <v>1</v>
      </c>
      <c r="AS232" s="74" t="n">
        <f aca="false">MIN(1,Inputs!$D$9+(1-Inputs!$D$9)*(AS$228-1)/MAX(1,Inputs!$D$8))</f>
        <v>1</v>
      </c>
      <c r="AT232" s="74" t="n">
        <f aca="false">MIN(1,Inputs!$D$9+(1-Inputs!$D$9)*(AT$228-1)/MAX(1,Inputs!$D$8))</f>
        <v>1</v>
      </c>
      <c r="AU232" s="74" t="n">
        <f aca="false">MIN(1,Inputs!$D$9+(1-Inputs!$D$9)*(AU$228-1)/MAX(1,Inputs!$D$8))</f>
        <v>1</v>
      </c>
      <c r="AV232" s="74" t="n">
        <f aca="false">MIN(1,Inputs!$D$9+(1-Inputs!$D$9)*(AV$228-1)/MAX(1,Inputs!$D$8))</f>
        <v>1</v>
      </c>
      <c r="AW232" s="74" t="n">
        <f aca="false">MIN(1,Inputs!$D$9+(1-Inputs!$D$9)*(AW$228-1)/MAX(1,Inputs!$D$8))</f>
        <v>1</v>
      </c>
      <c r="AX232" s="74" t="n">
        <f aca="false">MIN(1,Inputs!$D$9+(1-Inputs!$D$9)*(AX$228-1)/MAX(1,Inputs!$D$8))</f>
        <v>1</v>
      </c>
      <c r="AY232" s="74" t="n">
        <f aca="false">MIN(1,Inputs!$D$9+(1-Inputs!$D$9)*(AY$228-1)/MAX(1,Inputs!$D$8))</f>
        <v>1</v>
      </c>
      <c r="AZ232" s="74" t="n">
        <f aca="false">MIN(1,Inputs!$D$9+(1-Inputs!$D$9)*(AZ$228-1)/MAX(1,Inputs!$D$8))</f>
        <v>1</v>
      </c>
      <c r="BA232" s="74" t="n">
        <f aca="false">MIN(1,Inputs!$D$9+(1-Inputs!$D$9)*(BA$228-1)/MAX(1,Inputs!$D$8))</f>
        <v>1</v>
      </c>
      <c r="BB232" s="74" t="n">
        <f aca="false">MIN(1,Inputs!$D$9+(1-Inputs!$D$9)*(BB$228-1)/MAX(1,Inputs!$D$8))</f>
        <v>1</v>
      </c>
      <c r="BC232" s="74" t="n">
        <f aca="false">MIN(1,Inputs!$D$9+(1-Inputs!$D$9)*(BC$228-1)/MAX(1,Inputs!$D$8))</f>
        <v>1</v>
      </c>
      <c r="BD232" s="74" t="n">
        <f aca="false">MIN(1,Inputs!$D$9+(1-Inputs!$D$9)*(BD$228-1)/MAX(1,Inputs!$D$8))</f>
        <v>1</v>
      </c>
      <c r="BE232" s="74" t="n">
        <f aca="false">MIN(1,Inputs!$D$9+(1-Inputs!$D$9)*(BE$228-1)/MAX(1,Inputs!$D$8))</f>
        <v>1</v>
      </c>
      <c r="BF232" s="74" t="n">
        <f aca="false">MIN(1,Inputs!$D$9+(1-Inputs!$D$9)*(BF$228-1)/MAX(1,Inputs!$D$8))</f>
        <v>1</v>
      </c>
      <c r="BG232" s="74" t="n">
        <f aca="false">MIN(1,Inputs!$D$9+(1-Inputs!$D$9)*(BG$228-1)/MAX(1,Inputs!$D$8))</f>
        <v>1</v>
      </c>
      <c r="BH232" s="74" t="n">
        <f aca="false">MIN(1,Inputs!$D$9+(1-Inputs!$D$9)*(BH$228-1)/MAX(1,Inputs!$D$8))</f>
        <v>1</v>
      </c>
      <c r="BI232" s="74" t="n">
        <f aca="false">MIN(1,Inputs!$D$9+(1-Inputs!$D$9)*(BI$228-1)/MAX(1,Inputs!$D$8))</f>
        <v>1</v>
      </c>
      <c r="BJ232" s="74" t="n">
        <f aca="false">MIN(1,Inputs!$D$9+(1-Inputs!$D$9)*(BJ$228-1)/MAX(1,Inputs!$D$8))</f>
        <v>1</v>
      </c>
    </row>
    <row r="233" customFormat="false" ht="15" hidden="false" customHeight="false" outlineLevel="0" collapsed="false">
      <c r="A233" s="6" t="s">
        <v>402</v>
      </c>
      <c r="C233" s="118" t="n">
        <f aca="false">IF(MOD(C$228-1,12)&gt;=10,1+Inputs!$D$14,1-Inputs!$D$14/5)</f>
        <v>0.96</v>
      </c>
      <c r="D233" s="118" t="n">
        <f aca="false">IF(MOD(D$228-1,12)&gt;=10,1+Inputs!$D$14,1-Inputs!$D$14/5)</f>
        <v>0.96</v>
      </c>
      <c r="E233" s="118" t="n">
        <f aca="false">IF(MOD(E$228-1,12)&gt;=10,1+Inputs!$D$14,1-Inputs!$D$14/5)</f>
        <v>0.96</v>
      </c>
      <c r="F233" s="118" t="n">
        <f aca="false">IF(MOD(F$228-1,12)&gt;=10,1+Inputs!$D$14,1-Inputs!$D$14/5)</f>
        <v>0.96</v>
      </c>
      <c r="G233" s="118" t="n">
        <f aca="false">IF(MOD(G$228-1,12)&gt;=10,1+Inputs!$D$14,1-Inputs!$D$14/5)</f>
        <v>0.96</v>
      </c>
      <c r="H233" s="118" t="n">
        <f aca="false">IF(MOD(H$228-1,12)&gt;=10,1+Inputs!$D$14,1-Inputs!$D$14/5)</f>
        <v>0.96</v>
      </c>
      <c r="I233" s="118" t="n">
        <f aca="false">IF(MOD(I$228-1,12)&gt;=10,1+Inputs!$D$14,1-Inputs!$D$14/5)</f>
        <v>0.96</v>
      </c>
      <c r="J233" s="118" t="n">
        <f aca="false">IF(MOD(J$228-1,12)&gt;=10,1+Inputs!$D$14,1-Inputs!$D$14/5)</f>
        <v>0.96</v>
      </c>
      <c r="K233" s="118" t="n">
        <f aca="false">IF(MOD(K$228-1,12)&gt;=10,1+Inputs!$D$14,1-Inputs!$D$14/5)</f>
        <v>0.96</v>
      </c>
      <c r="L233" s="118" t="n">
        <f aca="false">IF(MOD(L$228-1,12)&gt;=10,1+Inputs!$D$14,1-Inputs!$D$14/5)</f>
        <v>0.96</v>
      </c>
      <c r="M233" s="118" t="n">
        <f aca="false">IF(MOD(M$228-1,12)&gt;=10,1+Inputs!$D$14,1-Inputs!$D$14/5)</f>
        <v>1.2</v>
      </c>
      <c r="N233" s="118" t="n">
        <f aca="false">IF(MOD(N$228-1,12)&gt;=10,1+Inputs!$D$14,1-Inputs!$D$14/5)</f>
        <v>1.2</v>
      </c>
      <c r="O233" s="118" t="n">
        <f aca="false">IF(MOD(O$228-1,12)&gt;=10,1+Inputs!$D$14,1-Inputs!$D$14/5)</f>
        <v>0.96</v>
      </c>
      <c r="P233" s="118" t="n">
        <f aca="false">IF(MOD(P$228-1,12)&gt;=10,1+Inputs!$D$14,1-Inputs!$D$14/5)</f>
        <v>0.96</v>
      </c>
      <c r="Q233" s="118" t="n">
        <f aca="false">IF(MOD(Q$228-1,12)&gt;=10,1+Inputs!$D$14,1-Inputs!$D$14/5)</f>
        <v>0.96</v>
      </c>
      <c r="R233" s="118" t="n">
        <f aca="false">IF(MOD(R$228-1,12)&gt;=10,1+Inputs!$D$14,1-Inputs!$D$14/5)</f>
        <v>0.96</v>
      </c>
      <c r="S233" s="118" t="n">
        <f aca="false">IF(MOD(S$228-1,12)&gt;=10,1+Inputs!$D$14,1-Inputs!$D$14/5)</f>
        <v>0.96</v>
      </c>
      <c r="T233" s="118" t="n">
        <f aca="false">IF(MOD(T$228-1,12)&gt;=10,1+Inputs!$D$14,1-Inputs!$D$14/5)</f>
        <v>0.96</v>
      </c>
      <c r="U233" s="118" t="n">
        <f aca="false">IF(MOD(U$228-1,12)&gt;=10,1+Inputs!$D$14,1-Inputs!$D$14/5)</f>
        <v>0.96</v>
      </c>
      <c r="V233" s="118" t="n">
        <f aca="false">IF(MOD(V$228-1,12)&gt;=10,1+Inputs!$D$14,1-Inputs!$D$14/5)</f>
        <v>0.96</v>
      </c>
      <c r="W233" s="118" t="n">
        <f aca="false">IF(MOD(W$228-1,12)&gt;=10,1+Inputs!$D$14,1-Inputs!$D$14/5)</f>
        <v>0.96</v>
      </c>
      <c r="X233" s="118" t="n">
        <f aca="false">IF(MOD(X$228-1,12)&gt;=10,1+Inputs!$D$14,1-Inputs!$D$14/5)</f>
        <v>0.96</v>
      </c>
      <c r="Y233" s="118" t="n">
        <f aca="false">IF(MOD(Y$228-1,12)&gt;=10,1+Inputs!$D$14,1-Inputs!$D$14/5)</f>
        <v>1.2</v>
      </c>
      <c r="Z233" s="118" t="n">
        <f aca="false">IF(MOD(Z$228-1,12)&gt;=10,1+Inputs!$D$14,1-Inputs!$D$14/5)</f>
        <v>1.2</v>
      </c>
      <c r="AA233" s="118" t="n">
        <f aca="false">IF(MOD(AA$228-1,12)&gt;=10,1+Inputs!$D$14,1-Inputs!$D$14/5)</f>
        <v>0.96</v>
      </c>
      <c r="AB233" s="118" t="n">
        <f aca="false">IF(MOD(AB$228-1,12)&gt;=10,1+Inputs!$D$14,1-Inputs!$D$14/5)</f>
        <v>0.96</v>
      </c>
      <c r="AC233" s="118" t="n">
        <f aca="false">IF(MOD(AC$228-1,12)&gt;=10,1+Inputs!$D$14,1-Inputs!$D$14/5)</f>
        <v>0.96</v>
      </c>
      <c r="AD233" s="118" t="n">
        <f aca="false">IF(MOD(AD$228-1,12)&gt;=10,1+Inputs!$D$14,1-Inputs!$D$14/5)</f>
        <v>0.96</v>
      </c>
      <c r="AE233" s="118" t="n">
        <f aca="false">IF(MOD(AE$228-1,12)&gt;=10,1+Inputs!$D$14,1-Inputs!$D$14/5)</f>
        <v>0.96</v>
      </c>
      <c r="AF233" s="118" t="n">
        <f aca="false">IF(MOD(AF$228-1,12)&gt;=10,1+Inputs!$D$14,1-Inputs!$D$14/5)</f>
        <v>0.96</v>
      </c>
      <c r="AG233" s="118" t="n">
        <f aca="false">IF(MOD(AG$228-1,12)&gt;=10,1+Inputs!$D$14,1-Inputs!$D$14/5)</f>
        <v>0.96</v>
      </c>
      <c r="AH233" s="118" t="n">
        <f aca="false">IF(MOD(AH$228-1,12)&gt;=10,1+Inputs!$D$14,1-Inputs!$D$14/5)</f>
        <v>0.96</v>
      </c>
      <c r="AI233" s="118" t="n">
        <f aca="false">IF(MOD(AI$228-1,12)&gt;=10,1+Inputs!$D$14,1-Inputs!$D$14/5)</f>
        <v>0.96</v>
      </c>
      <c r="AJ233" s="118" t="n">
        <f aca="false">IF(MOD(AJ$228-1,12)&gt;=10,1+Inputs!$D$14,1-Inputs!$D$14/5)</f>
        <v>0.96</v>
      </c>
      <c r="AK233" s="118" t="n">
        <f aca="false">IF(MOD(AK$228-1,12)&gt;=10,1+Inputs!$D$14,1-Inputs!$D$14/5)</f>
        <v>1.2</v>
      </c>
      <c r="AL233" s="118" t="n">
        <f aca="false">IF(MOD(AL$228-1,12)&gt;=10,1+Inputs!$D$14,1-Inputs!$D$14/5)</f>
        <v>1.2</v>
      </c>
      <c r="AM233" s="118" t="n">
        <f aca="false">IF(MOD(AM$228-1,12)&gt;=10,1+Inputs!$D$14,1-Inputs!$D$14/5)</f>
        <v>0.96</v>
      </c>
      <c r="AN233" s="118" t="n">
        <f aca="false">IF(MOD(AN$228-1,12)&gt;=10,1+Inputs!$D$14,1-Inputs!$D$14/5)</f>
        <v>0.96</v>
      </c>
      <c r="AO233" s="118" t="n">
        <f aca="false">IF(MOD(AO$228-1,12)&gt;=10,1+Inputs!$D$14,1-Inputs!$D$14/5)</f>
        <v>0.96</v>
      </c>
      <c r="AP233" s="118" t="n">
        <f aca="false">IF(MOD(AP$228-1,12)&gt;=10,1+Inputs!$D$14,1-Inputs!$D$14/5)</f>
        <v>0.96</v>
      </c>
      <c r="AQ233" s="118" t="n">
        <f aca="false">IF(MOD(AQ$228-1,12)&gt;=10,1+Inputs!$D$14,1-Inputs!$D$14/5)</f>
        <v>0.96</v>
      </c>
      <c r="AR233" s="118" t="n">
        <f aca="false">IF(MOD(AR$228-1,12)&gt;=10,1+Inputs!$D$14,1-Inputs!$D$14/5)</f>
        <v>0.96</v>
      </c>
      <c r="AS233" s="118" t="n">
        <f aca="false">IF(MOD(AS$228-1,12)&gt;=10,1+Inputs!$D$14,1-Inputs!$D$14/5)</f>
        <v>0.96</v>
      </c>
      <c r="AT233" s="118" t="n">
        <f aca="false">IF(MOD(AT$228-1,12)&gt;=10,1+Inputs!$D$14,1-Inputs!$D$14/5)</f>
        <v>0.96</v>
      </c>
      <c r="AU233" s="118" t="n">
        <f aca="false">IF(MOD(AU$228-1,12)&gt;=10,1+Inputs!$D$14,1-Inputs!$D$14/5)</f>
        <v>0.96</v>
      </c>
      <c r="AV233" s="118" t="n">
        <f aca="false">IF(MOD(AV$228-1,12)&gt;=10,1+Inputs!$D$14,1-Inputs!$D$14/5)</f>
        <v>0.96</v>
      </c>
      <c r="AW233" s="118" t="n">
        <f aca="false">IF(MOD(AW$228-1,12)&gt;=10,1+Inputs!$D$14,1-Inputs!$D$14/5)</f>
        <v>1.2</v>
      </c>
      <c r="AX233" s="118" t="n">
        <f aca="false">IF(MOD(AX$228-1,12)&gt;=10,1+Inputs!$D$14,1-Inputs!$D$14/5)</f>
        <v>1.2</v>
      </c>
      <c r="AY233" s="118" t="n">
        <f aca="false">IF(MOD(AY$228-1,12)&gt;=10,1+Inputs!$D$14,1-Inputs!$D$14/5)</f>
        <v>0.96</v>
      </c>
      <c r="AZ233" s="118" t="n">
        <f aca="false">IF(MOD(AZ$228-1,12)&gt;=10,1+Inputs!$D$14,1-Inputs!$D$14/5)</f>
        <v>0.96</v>
      </c>
      <c r="BA233" s="118" t="n">
        <f aca="false">IF(MOD(BA$228-1,12)&gt;=10,1+Inputs!$D$14,1-Inputs!$D$14/5)</f>
        <v>0.96</v>
      </c>
      <c r="BB233" s="118" t="n">
        <f aca="false">IF(MOD(BB$228-1,12)&gt;=10,1+Inputs!$D$14,1-Inputs!$D$14/5)</f>
        <v>0.96</v>
      </c>
      <c r="BC233" s="118" t="n">
        <f aca="false">IF(MOD(BC$228-1,12)&gt;=10,1+Inputs!$D$14,1-Inputs!$D$14/5)</f>
        <v>0.96</v>
      </c>
      <c r="BD233" s="118" t="n">
        <f aca="false">IF(MOD(BD$228-1,12)&gt;=10,1+Inputs!$D$14,1-Inputs!$D$14/5)</f>
        <v>0.96</v>
      </c>
      <c r="BE233" s="118" t="n">
        <f aca="false">IF(MOD(BE$228-1,12)&gt;=10,1+Inputs!$D$14,1-Inputs!$D$14/5)</f>
        <v>0.96</v>
      </c>
      <c r="BF233" s="118" t="n">
        <f aca="false">IF(MOD(BF$228-1,12)&gt;=10,1+Inputs!$D$14,1-Inputs!$D$14/5)</f>
        <v>0.96</v>
      </c>
      <c r="BG233" s="118" t="n">
        <f aca="false">IF(MOD(BG$228-1,12)&gt;=10,1+Inputs!$D$14,1-Inputs!$D$14/5)</f>
        <v>0.96</v>
      </c>
      <c r="BH233" s="118" t="n">
        <f aca="false">IF(MOD(BH$228-1,12)&gt;=10,1+Inputs!$D$14,1-Inputs!$D$14/5)</f>
        <v>0.96</v>
      </c>
      <c r="BI233" s="118" t="n">
        <f aca="false">IF(MOD(BI$228-1,12)&gt;=10,1+Inputs!$D$14,1-Inputs!$D$14/5)</f>
        <v>1.2</v>
      </c>
      <c r="BJ233" s="118" t="n">
        <f aca="false">IF(MOD(BJ$228-1,12)&gt;=10,1+Inputs!$D$14,1-Inputs!$D$14/5)</f>
        <v>1.2</v>
      </c>
    </row>
    <row r="234" customFormat="false" ht="15" hidden="false" customHeight="false" outlineLevel="0" collapsed="false">
      <c r="A234" s="6" t="s">
        <v>403</v>
      </c>
      <c r="C234" s="118" t="n">
        <f aca="false">Inputs!$D$7*(1+Inputs!$D$10)^(C$229-1)*MAX(0,C232+C233-1)</f>
        <v>309.4</v>
      </c>
      <c r="D234" s="118" t="n">
        <f aca="false">Inputs!$D$7*(1+Inputs!$D$10)^(D$229-1)*MAX(0,D232+D233-1)</f>
        <v>326.4</v>
      </c>
      <c r="E234" s="118" t="n">
        <f aca="false">Inputs!$D$7*(1+Inputs!$D$10)^(E$229-1)*MAX(0,E232+E233-1)</f>
        <v>326.4</v>
      </c>
      <c r="F234" s="118" t="n">
        <f aca="false">Inputs!$D$7*(1+Inputs!$D$10)^(F$229-1)*MAX(0,F232+F233-1)</f>
        <v>326.4</v>
      </c>
      <c r="G234" s="118" t="n">
        <f aca="false">Inputs!$D$7*(1+Inputs!$D$10)^(G$229-1)*MAX(0,G232+G233-1)</f>
        <v>326.4</v>
      </c>
      <c r="H234" s="118" t="n">
        <f aca="false">Inputs!$D$7*(1+Inputs!$D$10)^(H$229-1)*MAX(0,H232+H233-1)</f>
        <v>326.4</v>
      </c>
      <c r="I234" s="118" t="n">
        <f aca="false">Inputs!$D$7*(1+Inputs!$D$10)^(I$229-1)*MAX(0,I232+I233-1)</f>
        <v>326.4</v>
      </c>
      <c r="J234" s="118" t="n">
        <f aca="false">Inputs!$D$7*(1+Inputs!$D$10)^(J$229-1)*MAX(0,J232+J233-1)</f>
        <v>326.4</v>
      </c>
      <c r="K234" s="118" t="n">
        <f aca="false">Inputs!$D$7*(1+Inputs!$D$10)^(K$229-1)*MAX(0,K232+K233-1)</f>
        <v>326.4</v>
      </c>
      <c r="L234" s="118" t="n">
        <f aca="false">Inputs!$D$7*(1+Inputs!$D$10)^(L$229-1)*MAX(0,L232+L233-1)</f>
        <v>326.4</v>
      </c>
      <c r="M234" s="118" t="n">
        <f aca="false">Inputs!$D$7*(1+Inputs!$D$10)^(M$229-1)*MAX(0,M232+M233-1)</f>
        <v>408</v>
      </c>
      <c r="N234" s="118" t="n">
        <f aca="false">Inputs!$D$7*(1+Inputs!$D$10)^(N$229-1)*MAX(0,N232+N233-1)</f>
        <v>408</v>
      </c>
      <c r="O234" s="118" t="n">
        <f aca="false">Inputs!$D$7*(1+Inputs!$D$10)^(O$229-1)*MAX(0,O232+O233-1)</f>
        <v>342.72</v>
      </c>
      <c r="P234" s="118" t="n">
        <f aca="false">Inputs!$D$7*(1+Inputs!$D$10)^(P$229-1)*MAX(0,P232+P233-1)</f>
        <v>342.72</v>
      </c>
      <c r="Q234" s="118" t="n">
        <f aca="false">Inputs!$D$7*(1+Inputs!$D$10)^(Q$229-1)*MAX(0,Q232+Q233-1)</f>
        <v>342.72</v>
      </c>
      <c r="R234" s="118" t="n">
        <f aca="false">Inputs!$D$7*(1+Inputs!$D$10)^(R$229-1)*MAX(0,R232+R233-1)</f>
        <v>342.72</v>
      </c>
      <c r="S234" s="118" t="n">
        <f aca="false">Inputs!$D$7*(1+Inputs!$D$10)^(S$229-1)*MAX(0,S232+S233-1)</f>
        <v>342.72</v>
      </c>
      <c r="T234" s="118" t="n">
        <f aca="false">Inputs!$D$7*(1+Inputs!$D$10)^(T$229-1)*MAX(0,T232+T233-1)</f>
        <v>342.72</v>
      </c>
      <c r="U234" s="118" t="n">
        <f aca="false">Inputs!$D$7*(1+Inputs!$D$10)^(U$229-1)*MAX(0,U232+U233-1)</f>
        <v>342.72</v>
      </c>
      <c r="V234" s="118" t="n">
        <f aca="false">Inputs!$D$7*(1+Inputs!$D$10)^(V$229-1)*MAX(0,V232+V233-1)</f>
        <v>342.72</v>
      </c>
      <c r="W234" s="118" t="n">
        <f aca="false">Inputs!$D$7*(1+Inputs!$D$10)^(W$229-1)*MAX(0,W232+W233-1)</f>
        <v>342.72</v>
      </c>
      <c r="X234" s="118" t="n">
        <f aca="false">Inputs!$D$7*(1+Inputs!$D$10)^(X$229-1)*MAX(0,X232+X233-1)</f>
        <v>342.72</v>
      </c>
      <c r="Y234" s="118" t="n">
        <f aca="false">Inputs!$D$7*(1+Inputs!$D$10)^(Y$229-1)*MAX(0,Y232+Y233-1)</f>
        <v>428.4</v>
      </c>
      <c r="Z234" s="118" t="n">
        <f aca="false">Inputs!$D$7*(1+Inputs!$D$10)^(Z$229-1)*MAX(0,Z232+Z233-1)</f>
        <v>428.4</v>
      </c>
      <c r="AA234" s="118" t="n">
        <f aca="false">Inputs!$D$7*(1+Inputs!$D$10)^(AA$229-1)*MAX(0,AA232+AA233-1)</f>
        <v>359.856</v>
      </c>
      <c r="AB234" s="118" t="n">
        <f aca="false">Inputs!$D$7*(1+Inputs!$D$10)^(AB$229-1)*MAX(0,AB232+AB233-1)</f>
        <v>359.856</v>
      </c>
      <c r="AC234" s="118" t="n">
        <f aca="false">Inputs!$D$7*(1+Inputs!$D$10)^(AC$229-1)*MAX(0,AC232+AC233-1)</f>
        <v>359.856</v>
      </c>
      <c r="AD234" s="118" t="n">
        <f aca="false">Inputs!$D$7*(1+Inputs!$D$10)^(AD$229-1)*MAX(0,AD232+AD233-1)</f>
        <v>359.856</v>
      </c>
      <c r="AE234" s="118" t="n">
        <f aca="false">Inputs!$D$7*(1+Inputs!$D$10)^(AE$229-1)*MAX(0,AE232+AE233-1)</f>
        <v>359.856</v>
      </c>
      <c r="AF234" s="118" t="n">
        <f aca="false">Inputs!$D$7*(1+Inputs!$D$10)^(AF$229-1)*MAX(0,AF232+AF233-1)</f>
        <v>359.856</v>
      </c>
      <c r="AG234" s="118" t="n">
        <f aca="false">Inputs!$D$7*(1+Inputs!$D$10)^(AG$229-1)*MAX(0,AG232+AG233-1)</f>
        <v>359.856</v>
      </c>
      <c r="AH234" s="118" t="n">
        <f aca="false">Inputs!$D$7*(1+Inputs!$D$10)^(AH$229-1)*MAX(0,AH232+AH233-1)</f>
        <v>359.856</v>
      </c>
      <c r="AI234" s="118" t="n">
        <f aca="false">Inputs!$D$7*(1+Inputs!$D$10)^(AI$229-1)*MAX(0,AI232+AI233-1)</f>
        <v>359.856</v>
      </c>
      <c r="AJ234" s="118" t="n">
        <f aca="false">Inputs!$D$7*(1+Inputs!$D$10)^(AJ$229-1)*MAX(0,AJ232+AJ233-1)</f>
        <v>359.856</v>
      </c>
      <c r="AK234" s="118" t="n">
        <f aca="false">Inputs!$D$7*(1+Inputs!$D$10)^(AK$229-1)*MAX(0,AK232+AK233-1)</f>
        <v>449.82</v>
      </c>
      <c r="AL234" s="118" t="n">
        <f aca="false">Inputs!$D$7*(1+Inputs!$D$10)^(AL$229-1)*MAX(0,AL232+AL233-1)</f>
        <v>449.82</v>
      </c>
      <c r="AM234" s="118" t="n">
        <f aca="false">Inputs!$D$7*(1+Inputs!$D$10)^(AM$229-1)*MAX(0,AM232+AM233-1)</f>
        <v>377.8488</v>
      </c>
      <c r="AN234" s="118" t="n">
        <f aca="false">Inputs!$D$7*(1+Inputs!$D$10)^(AN$229-1)*MAX(0,AN232+AN233-1)</f>
        <v>377.8488</v>
      </c>
      <c r="AO234" s="118" t="n">
        <f aca="false">Inputs!$D$7*(1+Inputs!$D$10)^(AO$229-1)*MAX(0,AO232+AO233-1)</f>
        <v>377.8488</v>
      </c>
      <c r="AP234" s="118" t="n">
        <f aca="false">Inputs!$D$7*(1+Inputs!$D$10)^(AP$229-1)*MAX(0,AP232+AP233-1)</f>
        <v>377.8488</v>
      </c>
      <c r="AQ234" s="118" t="n">
        <f aca="false">Inputs!$D$7*(1+Inputs!$D$10)^(AQ$229-1)*MAX(0,AQ232+AQ233-1)</f>
        <v>377.8488</v>
      </c>
      <c r="AR234" s="118" t="n">
        <f aca="false">Inputs!$D$7*(1+Inputs!$D$10)^(AR$229-1)*MAX(0,AR232+AR233-1)</f>
        <v>377.8488</v>
      </c>
      <c r="AS234" s="118" t="n">
        <f aca="false">Inputs!$D$7*(1+Inputs!$D$10)^(AS$229-1)*MAX(0,AS232+AS233-1)</f>
        <v>377.8488</v>
      </c>
      <c r="AT234" s="118" t="n">
        <f aca="false">Inputs!$D$7*(1+Inputs!$D$10)^(AT$229-1)*MAX(0,AT232+AT233-1)</f>
        <v>377.8488</v>
      </c>
      <c r="AU234" s="118" t="n">
        <f aca="false">Inputs!$D$7*(1+Inputs!$D$10)^(AU$229-1)*MAX(0,AU232+AU233-1)</f>
        <v>377.8488</v>
      </c>
      <c r="AV234" s="118" t="n">
        <f aca="false">Inputs!$D$7*(1+Inputs!$D$10)^(AV$229-1)*MAX(0,AV232+AV233-1)</f>
        <v>377.8488</v>
      </c>
      <c r="AW234" s="118" t="n">
        <f aca="false">Inputs!$D$7*(1+Inputs!$D$10)^(AW$229-1)*MAX(0,AW232+AW233-1)</f>
        <v>472.311</v>
      </c>
      <c r="AX234" s="118" t="n">
        <f aca="false">Inputs!$D$7*(1+Inputs!$D$10)^(AX$229-1)*MAX(0,AX232+AX233-1)</f>
        <v>472.311</v>
      </c>
      <c r="AY234" s="118" t="n">
        <f aca="false">Inputs!$D$7*(1+Inputs!$D$10)^(AY$229-1)*MAX(0,AY232+AY233-1)</f>
        <v>396.74124</v>
      </c>
      <c r="AZ234" s="118" t="n">
        <f aca="false">Inputs!$D$7*(1+Inputs!$D$10)^(AZ$229-1)*MAX(0,AZ232+AZ233-1)</f>
        <v>396.74124</v>
      </c>
      <c r="BA234" s="118" t="n">
        <f aca="false">Inputs!$D$7*(1+Inputs!$D$10)^(BA$229-1)*MAX(0,BA232+BA233-1)</f>
        <v>396.74124</v>
      </c>
      <c r="BB234" s="118" t="n">
        <f aca="false">Inputs!$D$7*(1+Inputs!$D$10)^(BB$229-1)*MAX(0,BB232+BB233-1)</f>
        <v>396.74124</v>
      </c>
      <c r="BC234" s="118" t="n">
        <f aca="false">Inputs!$D$7*(1+Inputs!$D$10)^(BC$229-1)*MAX(0,BC232+BC233-1)</f>
        <v>396.74124</v>
      </c>
      <c r="BD234" s="118" t="n">
        <f aca="false">Inputs!$D$7*(1+Inputs!$D$10)^(BD$229-1)*MAX(0,BD232+BD233-1)</f>
        <v>396.74124</v>
      </c>
      <c r="BE234" s="118" t="n">
        <f aca="false">Inputs!$D$7*(1+Inputs!$D$10)^(BE$229-1)*MAX(0,BE232+BE233-1)</f>
        <v>396.74124</v>
      </c>
      <c r="BF234" s="118" t="n">
        <f aca="false">Inputs!$D$7*(1+Inputs!$D$10)^(BF$229-1)*MAX(0,BF232+BF233-1)</f>
        <v>396.74124</v>
      </c>
      <c r="BG234" s="118" t="n">
        <f aca="false">Inputs!$D$7*(1+Inputs!$D$10)^(BG$229-1)*MAX(0,BG232+BG233-1)</f>
        <v>396.74124</v>
      </c>
      <c r="BH234" s="118" t="n">
        <f aca="false">Inputs!$D$7*(1+Inputs!$D$10)^(BH$229-1)*MAX(0,BH232+BH233-1)</f>
        <v>396.74124</v>
      </c>
      <c r="BI234" s="118" t="n">
        <f aca="false">Inputs!$D$7*(1+Inputs!$D$10)^(BI$229-1)*MAX(0,BI232+BI233-1)</f>
        <v>495.92655</v>
      </c>
      <c r="BJ234" s="118" t="n">
        <f aca="false">Inputs!$D$7*(1+Inputs!$D$10)^(BJ$229-1)*MAX(0,BJ232+BJ233-1)</f>
        <v>495.92655</v>
      </c>
    </row>
    <row r="235" customFormat="false" ht="15" hidden="false" customHeight="false" outlineLevel="0" collapsed="false">
      <c r="A235" s="6" t="s">
        <v>404</v>
      </c>
      <c r="C235" s="118" t="n">
        <f aca="false">Inputs!$D$13*52/12*1</f>
        <v>26</v>
      </c>
      <c r="D235" s="118" t="n">
        <f aca="false">Inputs!$D$13*52/12*1</f>
        <v>26</v>
      </c>
      <c r="E235" s="118" t="n">
        <f aca="false">Inputs!$D$13*52/12*1</f>
        <v>26</v>
      </c>
      <c r="F235" s="118" t="n">
        <f aca="false">Inputs!$D$13*52/12*1</f>
        <v>26</v>
      </c>
      <c r="G235" s="118" t="n">
        <f aca="false">Inputs!$D$13*52/12*1</f>
        <v>26</v>
      </c>
      <c r="H235" s="118" t="n">
        <f aca="false">Inputs!$D$13*52/12*1</f>
        <v>26</v>
      </c>
      <c r="I235" s="118" t="n">
        <f aca="false">Inputs!$D$13*52/12*1</f>
        <v>26</v>
      </c>
      <c r="J235" s="118" t="n">
        <f aca="false">Inputs!$D$13*52/12*1</f>
        <v>26</v>
      </c>
      <c r="K235" s="118" t="n">
        <f aca="false">Inputs!$D$13*52/12*1</f>
        <v>26</v>
      </c>
      <c r="L235" s="118" t="n">
        <f aca="false">Inputs!$D$13*52/12*1</f>
        <v>26</v>
      </c>
      <c r="M235" s="118" t="n">
        <f aca="false">Inputs!$D$13*52/12*1</f>
        <v>26</v>
      </c>
      <c r="N235" s="118" t="n">
        <f aca="false">Inputs!$D$13*52/12*1</f>
        <v>26</v>
      </c>
      <c r="O235" s="118" t="n">
        <f aca="false">Inputs!$D$13*52/12*1</f>
        <v>26</v>
      </c>
      <c r="P235" s="118" t="n">
        <f aca="false">Inputs!$D$13*52/12*1</f>
        <v>26</v>
      </c>
      <c r="Q235" s="118" t="n">
        <f aca="false">Inputs!$D$13*52/12*1</f>
        <v>26</v>
      </c>
      <c r="R235" s="118" t="n">
        <f aca="false">Inputs!$D$13*52/12*1</f>
        <v>26</v>
      </c>
      <c r="S235" s="118" t="n">
        <f aca="false">Inputs!$D$13*52/12*1</f>
        <v>26</v>
      </c>
      <c r="T235" s="118" t="n">
        <f aca="false">Inputs!$D$13*52/12*1</f>
        <v>26</v>
      </c>
      <c r="U235" s="118" t="n">
        <f aca="false">Inputs!$D$13*52/12*1</f>
        <v>26</v>
      </c>
      <c r="V235" s="118" t="n">
        <f aca="false">Inputs!$D$13*52/12*1</f>
        <v>26</v>
      </c>
      <c r="W235" s="118" t="n">
        <f aca="false">Inputs!$D$13*52/12*1</f>
        <v>26</v>
      </c>
      <c r="X235" s="118" t="n">
        <f aca="false">Inputs!$D$13*52/12*1</f>
        <v>26</v>
      </c>
      <c r="Y235" s="118" t="n">
        <f aca="false">Inputs!$D$13*52/12*1</f>
        <v>26</v>
      </c>
      <c r="Z235" s="118" t="n">
        <f aca="false">Inputs!$D$13*52/12*1</f>
        <v>26</v>
      </c>
      <c r="AA235" s="118" t="n">
        <f aca="false">Inputs!$D$13*52/12*1</f>
        <v>26</v>
      </c>
      <c r="AB235" s="118" t="n">
        <f aca="false">Inputs!$D$13*52/12*1</f>
        <v>26</v>
      </c>
      <c r="AC235" s="118" t="n">
        <f aca="false">Inputs!$D$13*52/12*1</f>
        <v>26</v>
      </c>
      <c r="AD235" s="118" t="n">
        <f aca="false">Inputs!$D$13*52/12*1</f>
        <v>26</v>
      </c>
      <c r="AE235" s="118" t="n">
        <f aca="false">Inputs!$D$13*52/12*1</f>
        <v>26</v>
      </c>
      <c r="AF235" s="118" t="n">
        <f aca="false">Inputs!$D$13*52/12*1</f>
        <v>26</v>
      </c>
      <c r="AG235" s="118" t="n">
        <f aca="false">Inputs!$D$13*52/12*1</f>
        <v>26</v>
      </c>
      <c r="AH235" s="118" t="n">
        <f aca="false">Inputs!$D$13*52/12*1</f>
        <v>26</v>
      </c>
      <c r="AI235" s="118" t="n">
        <f aca="false">Inputs!$D$13*52/12*1</f>
        <v>26</v>
      </c>
      <c r="AJ235" s="118" t="n">
        <f aca="false">Inputs!$D$13*52/12*1</f>
        <v>26</v>
      </c>
      <c r="AK235" s="118" t="n">
        <f aca="false">Inputs!$D$13*52/12*1</f>
        <v>26</v>
      </c>
      <c r="AL235" s="118" t="n">
        <f aca="false">Inputs!$D$13*52/12*1</f>
        <v>26</v>
      </c>
      <c r="AM235" s="118" t="n">
        <f aca="false">Inputs!$D$13*52/12*1</f>
        <v>26</v>
      </c>
      <c r="AN235" s="118" t="n">
        <f aca="false">Inputs!$D$13*52/12*1</f>
        <v>26</v>
      </c>
      <c r="AO235" s="118" t="n">
        <f aca="false">Inputs!$D$13*52/12*1</f>
        <v>26</v>
      </c>
      <c r="AP235" s="118" t="n">
        <f aca="false">Inputs!$D$13*52/12*1</f>
        <v>26</v>
      </c>
      <c r="AQ235" s="118" t="n">
        <f aca="false">Inputs!$D$13*52/12*1</f>
        <v>26</v>
      </c>
      <c r="AR235" s="118" t="n">
        <f aca="false">Inputs!$D$13*52/12*1</f>
        <v>26</v>
      </c>
      <c r="AS235" s="118" t="n">
        <f aca="false">Inputs!$D$13*52/12*1</f>
        <v>26</v>
      </c>
      <c r="AT235" s="118" t="n">
        <f aca="false">Inputs!$D$13*52/12*1</f>
        <v>26</v>
      </c>
      <c r="AU235" s="118" t="n">
        <f aca="false">Inputs!$D$13*52/12*1</f>
        <v>26</v>
      </c>
      <c r="AV235" s="118" t="n">
        <f aca="false">Inputs!$D$13*52/12*1</f>
        <v>26</v>
      </c>
      <c r="AW235" s="118" t="n">
        <f aca="false">Inputs!$D$13*52/12*1</f>
        <v>26</v>
      </c>
      <c r="AX235" s="118" t="n">
        <f aca="false">Inputs!$D$13*52/12*1</f>
        <v>26</v>
      </c>
      <c r="AY235" s="118" t="n">
        <f aca="false">Inputs!$D$13*52/12*1</f>
        <v>26</v>
      </c>
      <c r="AZ235" s="118" t="n">
        <f aca="false">Inputs!$D$13*52/12*1</f>
        <v>26</v>
      </c>
      <c r="BA235" s="118" t="n">
        <f aca="false">Inputs!$D$13*52/12*1</f>
        <v>26</v>
      </c>
      <c r="BB235" s="118" t="n">
        <f aca="false">Inputs!$D$13*52/12*1</f>
        <v>26</v>
      </c>
      <c r="BC235" s="118" t="n">
        <f aca="false">Inputs!$D$13*52/12*1</f>
        <v>26</v>
      </c>
      <c r="BD235" s="118" t="n">
        <f aca="false">Inputs!$D$13*52/12*1</f>
        <v>26</v>
      </c>
      <c r="BE235" s="118" t="n">
        <f aca="false">Inputs!$D$13*52/12*1</f>
        <v>26</v>
      </c>
      <c r="BF235" s="118" t="n">
        <f aca="false">Inputs!$D$13*52/12*1</f>
        <v>26</v>
      </c>
      <c r="BG235" s="118" t="n">
        <f aca="false">Inputs!$D$13*52/12*1</f>
        <v>26</v>
      </c>
      <c r="BH235" s="118" t="n">
        <f aca="false">Inputs!$D$13*52/12*1</f>
        <v>26</v>
      </c>
      <c r="BI235" s="118" t="n">
        <f aca="false">Inputs!$D$13*52/12*1</f>
        <v>26</v>
      </c>
      <c r="BJ235" s="118" t="n">
        <f aca="false">Inputs!$D$13*52/12*1</f>
        <v>26</v>
      </c>
    </row>
    <row r="236" customFormat="false" ht="15" hidden="false" customHeight="false" outlineLevel="0" collapsed="false">
      <c r="A236" s="6" t="s">
        <v>235</v>
      </c>
      <c r="C236" s="119" t="n">
        <f aca="false">C234*C235</f>
        <v>8044.4</v>
      </c>
      <c r="D236" s="119" t="n">
        <f aca="false">D234*D235</f>
        <v>8486.4</v>
      </c>
      <c r="E236" s="119" t="n">
        <f aca="false">E234*E235</f>
        <v>8486.4</v>
      </c>
      <c r="F236" s="119" t="n">
        <f aca="false">F234*F235</f>
        <v>8486.4</v>
      </c>
      <c r="G236" s="119" t="n">
        <f aca="false">G234*G235</f>
        <v>8486.4</v>
      </c>
      <c r="H236" s="119" t="n">
        <f aca="false">H234*H235</f>
        <v>8486.4</v>
      </c>
      <c r="I236" s="119" t="n">
        <f aca="false">I234*I235</f>
        <v>8486.4</v>
      </c>
      <c r="J236" s="119" t="n">
        <f aca="false">J234*J235</f>
        <v>8486.4</v>
      </c>
      <c r="K236" s="119" t="n">
        <f aca="false">K234*K235</f>
        <v>8486.4</v>
      </c>
      <c r="L236" s="119" t="n">
        <f aca="false">L234*L235</f>
        <v>8486.4</v>
      </c>
      <c r="M236" s="119" t="n">
        <f aca="false">M234*M235</f>
        <v>10608</v>
      </c>
      <c r="N236" s="119" t="n">
        <f aca="false">N234*N235</f>
        <v>10608</v>
      </c>
      <c r="O236" s="119" t="n">
        <f aca="false">O234*O235</f>
        <v>8910.72</v>
      </c>
      <c r="P236" s="119" t="n">
        <f aca="false">P234*P235</f>
        <v>8910.72</v>
      </c>
      <c r="Q236" s="119" t="n">
        <f aca="false">Q234*Q235</f>
        <v>8910.72</v>
      </c>
      <c r="R236" s="119" t="n">
        <f aca="false">R234*R235</f>
        <v>8910.72</v>
      </c>
      <c r="S236" s="119" t="n">
        <f aca="false">S234*S235</f>
        <v>8910.72</v>
      </c>
      <c r="T236" s="119" t="n">
        <f aca="false">T234*T235</f>
        <v>8910.72</v>
      </c>
      <c r="U236" s="119" t="n">
        <f aca="false">U234*U235</f>
        <v>8910.72</v>
      </c>
      <c r="V236" s="119" t="n">
        <f aca="false">V234*V235</f>
        <v>8910.72</v>
      </c>
      <c r="W236" s="119" t="n">
        <f aca="false">W234*W235</f>
        <v>8910.72</v>
      </c>
      <c r="X236" s="119" t="n">
        <f aca="false">X234*X235</f>
        <v>8910.72</v>
      </c>
      <c r="Y236" s="119" t="n">
        <f aca="false">Y234*Y235</f>
        <v>11138.4</v>
      </c>
      <c r="Z236" s="119" t="n">
        <f aca="false">Z234*Z235</f>
        <v>11138.4</v>
      </c>
      <c r="AA236" s="119" t="n">
        <f aca="false">AA234*AA235</f>
        <v>9356.256</v>
      </c>
      <c r="AB236" s="119" t="n">
        <f aca="false">AB234*AB235</f>
        <v>9356.256</v>
      </c>
      <c r="AC236" s="119" t="n">
        <f aca="false">AC234*AC235</f>
        <v>9356.256</v>
      </c>
      <c r="AD236" s="119" t="n">
        <f aca="false">AD234*AD235</f>
        <v>9356.256</v>
      </c>
      <c r="AE236" s="119" t="n">
        <f aca="false">AE234*AE235</f>
        <v>9356.256</v>
      </c>
      <c r="AF236" s="119" t="n">
        <f aca="false">AF234*AF235</f>
        <v>9356.256</v>
      </c>
      <c r="AG236" s="119" t="n">
        <f aca="false">AG234*AG235</f>
        <v>9356.256</v>
      </c>
      <c r="AH236" s="119" t="n">
        <f aca="false">AH234*AH235</f>
        <v>9356.256</v>
      </c>
      <c r="AI236" s="119" t="n">
        <f aca="false">AI234*AI235</f>
        <v>9356.256</v>
      </c>
      <c r="AJ236" s="119" t="n">
        <f aca="false">AJ234*AJ235</f>
        <v>9356.256</v>
      </c>
      <c r="AK236" s="119" t="n">
        <f aca="false">AK234*AK235</f>
        <v>11695.32</v>
      </c>
      <c r="AL236" s="119" t="n">
        <f aca="false">AL234*AL235</f>
        <v>11695.32</v>
      </c>
      <c r="AM236" s="119" t="n">
        <f aca="false">AM234*AM235</f>
        <v>9824.0688</v>
      </c>
      <c r="AN236" s="119" t="n">
        <f aca="false">AN234*AN235</f>
        <v>9824.0688</v>
      </c>
      <c r="AO236" s="119" t="n">
        <f aca="false">AO234*AO235</f>
        <v>9824.0688</v>
      </c>
      <c r="AP236" s="119" t="n">
        <f aca="false">AP234*AP235</f>
        <v>9824.0688</v>
      </c>
      <c r="AQ236" s="119" t="n">
        <f aca="false">AQ234*AQ235</f>
        <v>9824.0688</v>
      </c>
      <c r="AR236" s="119" t="n">
        <f aca="false">AR234*AR235</f>
        <v>9824.0688</v>
      </c>
      <c r="AS236" s="119" t="n">
        <f aca="false">AS234*AS235</f>
        <v>9824.0688</v>
      </c>
      <c r="AT236" s="119" t="n">
        <f aca="false">AT234*AT235</f>
        <v>9824.0688</v>
      </c>
      <c r="AU236" s="119" t="n">
        <f aca="false">AU234*AU235</f>
        <v>9824.0688</v>
      </c>
      <c r="AV236" s="119" t="n">
        <f aca="false">AV234*AV235</f>
        <v>9824.0688</v>
      </c>
      <c r="AW236" s="119" t="n">
        <f aca="false">AW234*AW235</f>
        <v>12280.086</v>
      </c>
      <c r="AX236" s="119" t="n">
        <f aca="false">AX234*AX235</f>
        <v>12280.086</v>
      </c>
      <c r="AY236" s="119" t="n">
        <f aca="false">AY234*AY235</f>
        <v>10315.27224</v>
      </c>
      <c r="AZ236" s="119" t="n">
        <f aca="false">AZ234*AZ235</f>
        <v>10315.27224</v>
      </c>
      <c r="BA236" s="119" t="n">
        <f aca="false">BA234*BA235</f>
        <v>10315.27224</v>
      </c>
      <c r="BB236" s="119" t="n">
        <f aca="false">BB234*BB235</f>
        <v>10315.27224</v>
      </c>
      <c r="BC236" s="119" t="n">
        <f aca="false">BC234*BC235</f>
        <v>10315.27224</v>
      </c>
      <c r="BD236" s="119" t="n">
        <f aca="false">BD234*BD235</f>
        <v>10315.27224</v>
      </c>
      <c r="BE236" s="119" t="n">
        <f aca="false">BE234*BE235</f>
        <v>10315.27224</v>
      </c>
      <c r="BF236" s="119" t="n">
        <f aca="false">BF234*BF235</f>
        <v>10315.27224</v>
      </c>
      <c r="BG236" s="119" t="n">
        <f aca="false">BG234*BG235</f>
        <v>10315.27224</v>
      </c>
      <c r="BH236" s="119" t="n">
        <f aca="false">BH234*BH235</f>
        <v>10315.27224</v>
      </c>
      <c r="BI236" s="119" t="n">
        <f aca="false">BI234*BI235</f>
        <v>12894.0903</v>
      </c>
      <c r="BJ236" s="119" t="n">
        <f aca="false">BJ234*BJ235</f>
        <v>12894.0903</v>
      </c>
    </row>
    <row r="237" customFormat="false" ht="15" hidden="false" customHeight="false" outlineLevel="0" collapsed="false">
      <c r="A237" s="6" t="s">
        <v>405</v>
      </c>
      <c r="C237" s="120" t="n">
        <f aca="false">Inputs!$D$11*(1+Inputs!$D$12)^(C$229-1)</f>
        <v>12</v>
      </c>
      <c r="D237" s="120" t="n">
        <f aca="false">Inputs!$D$11*(1+Inputs!$D$12)^(D$229-1)</f>
        <v>12</v>
      </c>
      <c r="E237" s="120" t="n">
        <f aca="false">Inputs!$D$11*(1+Inputs!$D$12)^(E$229-1)</f>
        <v>12</v>
      </c>
      <c r="F237" s="120" t="n">
        <f aca="false">Inputs!$D$11*(1+Inputs!$D$12)^(F$229-1)</f>
        <v>12</v>
      </c>
      <c r="G237" s="120" t="n">
        <f aca="false">Inputs!$D$11*(1+Inputs!$D$12)^(G$229-1)</f>
        <v>12</v>
      </c>
      <c r="H237" s="120" t="n">
        <f aca="false">Inputs!$D$11*(1+Inputs!$D$12)^(H$229-1)</f>
        <v>12</v>
      </c>
      <c r="I237" s="120" t="n">
        <f aca="false">Inputs!$D$11*(1+Inputs!$D$12)^(I$229-1)</f>
        <v>12</v>
      </c>
      <c r="J237" s="120" t="n">
        <f aca="false">Inputs!$D$11*(1+Inputs!$D$12)^(J$229-1)</f>
        <v>12</v>
      </c>
      <c r="K237" s="120" t="n">
        <f aca="false">Inputs!$D$11*(1+Inputs!$D$12)^(K$229-1)</f>
        <v>12</v>
      </c>
      <c r="L237" s="120" t="n">
        <f aca="false">Inputs!$D$11*(1+Inputs!$D$12)^(L$229-1)</f>
        <v>12</v>
      </c>
      <c r="M237" s="120" t="n">
        <f aca="false">Inputs!$D$11*(1+Inputs!$D$12)^(M$229-1)</f>
        <v>12</v>
      </c>
      <c r="N237" s="120" t="n">
        <f aca="false">Inputs!$D$11*(1+Inputs!$D$12)^(N$229-1)</f>
        <v>12</v>
      </c>
      <c r="O237" s="120" t="n">
        <f aca="false">Inputs!$D$11*(1+Inputs!$D$12)^(O$229-1)</f>
        <v>12.48</v>
      </c>
      <c r="P237" s="120" t="n">
        <f aca="false">Inputs!$D$11*(1+Inputs!$D$12)^(P$229-1)</f>
        <v>12.48</v>
      </c>
      <c r="Q237" s="120" t="n">
        <f aca="false">Inputs!$D$11*(1+Inputs!$D$12)^(Q$229-1)</f>
        <v>12.48</v>
      </c>
      <c r="R237" s="120" t="n">
        <f aca="false">Inputs!$D$11*(1+Inputs!$D$12)^(R$229-1)</f>
        <v>12.48</v>
      </c>
      <c r="S237" s="120" t="n">
        <f aca="false">Inputs!$D$11*(1+Inputs!$D$12)^(S$229-1)</f>
        <v>12.48</v>
      </c>
      <c r="T237" s="120" t="n">
        <f aca="false">Inputs!$D$11*(1+Inputs!$D$12)^(T$229-1)</f>
        <v>12.48</v>
      </c>
      <c r="U237" s="120" t="n">
        <f aca="false">Inputs!$D$11*(1+Inputs!$D$12)^(U$229-1)</f>
        <v>12.48</v>
      </c>
      <c r="V237" s="120" t="n">
        <f aca="false">Inputs!$D$11*(1+Inputs!$D$12)^(V$229-1)</f>
        <v>12.48</v>
      </c>
      <c r="W237" s="120" t="n">
        <f aca="false">Inputs!$D$11*(1+Inputs!$D$12)^(W$229-1)</f>
        <v>12.48</v>
      </c>
      <c r="X237" s="120" t="n">
        <f aca="false">Inputs!$D$11*(1+Inputs!$D$12)^(X$229-1)</f>
        <v>12.48</v>
      </c>
      <c r="Y237" s="120" t="n">
        <f aca="false">Inputs!$D$11*(1+Inputs!$D$12)^(Y$229-1)</f>
        <v>12.48</v>
      </c>
      <c r="Z237" s="120" t="n">
        <f aca="false">Inputs!$D$11*(1+Inputs!$D$12)^(Z$229-1)</f>
        <v>12.48</v>
      </c>
      <c r="AA237" s="120" t="n">
        <f aca="false">Inputs!$D$11*(1+Inputs!$D$12)^(AA$229-1)</f>
        <v>12.9792</v>
      </c>
      <c r="AB237" s="120" t="n">
        <f aca="false">Inputs!$D$11*(1+Inputs!$D$12)^(AB$229-1)</f>
        <v>12.9792</v>
      </c>
      <c r="AC237" s="120" t="n">
        <f aca="false">Inputs!$D$11*(1+Inputs!$D$12)^(AC$229-1)</f>
        <v>12.9792</v>
      </c>
      <c r="AD237" s="120" t="n">
        <f aca="false">Inputs!$D$11*(1+Inputs!$D$12)^(AD$229-1)</f>
        <v>12.9792</v>
      </c>
      <c r="AE237" s="120" t="n">
        <f aca="false">Inputs!$D$11*(1+Inputs!$D$12)^(AE$229-1)</f>
        <v>12.9792</v>
      </c>
      <c r="AF237" s="120" t="n">
        <f aca="false">Inputs!$D$11*(1+Inputs!$D$12)^(AF$229-1)</f>
        <v>12.9792</v>
      </c>
      <c r="AG237" s="120" t="n">
        <f aca="false">Inputs!$D$11*(1+Inputs!$D$12)^(AG$229-1)</f>
        <v>12.9792</v>
      </c>
      <c r="AH237" s="120" t="n">
        <f aca="false">Inputs!$D$11*(1+Inputs!$D$12)^(AH$229-1)</f>
        <v>12.9792</v>
      </c>
      <c r="AI237" s="120" t="n">
        <f aca="false">Inputs!$D$11*(1+Inputs!$D$12)^(AI$229-1)</f>
        <v>12.9792</v>
      </c>
      <c r="AJ237" s="120" t="n">
        <f aca="false">Inputs!$D$11*(1+Inputs!$D$12)^(AJ$229-1)</f>
        <v>12.9792</v>
      </c>
      <c r="AK237" s="120" t="n">
        <f aca="false">Inputs!$D$11*(1+Inputs!$D$12)^(AK$229-1)</f>
        <v>12.9792</v>
      </c>
      <c r="AL237" s="120" t="n">
        <f aca="false">Inputs!$D$11*(1+Inputs!$D$12)^(AL$229-1)</f>
        <v>12.9792</v>
      </c>
      <c r="AM237" s="120" t="n">
        <f aca="false">Inputs!$D$11*(1+Inputs!$D$12)^(AM$229-1)</f>
        <v>13.498368</v>
      </c>
      <c r="AN237" s="120" t="n">
        <f aca="false">Inputs!$D$11*(1+Inputs!$D$12)^(AN$229-1)</f>
        <v>13.498368</v>
      </c>
      <c r="AO237" s="120" t="n">
        <f aca="false">Inputs!$D$11*(1+Inputs!$D$12)^(AO$229-1)</f>
        <v>13.498368</v>
      </c>
      <c r="AP237" s="120" t="n">
        <f aca="false">Inputs!$D$11*(1+Inputs!$D$12)^(AP$229-1)</f>
        <v>13.498368</v>
      </c>
      <c r="AQ237" s="120" t="n">
        <f aca="false">Inputs!$D$11*(1+Inputs!$D$12)^(AQ$229-1)</f>
        <v>13.498368</v>
      </c>
      <c r="AR237" s="120" t="n">
        <f aca="false">Inputs!$D$11*(1+Inputs!$D$12)^(AR$229-1)</f>
        <v>13.498368</v>
      </c>
      <c r="AS237" s="120" t="n">
        <f aca="false">Inputs!$D$11*(1+Inputs!$D$12)^(AS$229-1)</f>
        <v>13.498368</v>
      </c>
      <c r="AT237" s="120" t="n">
        <f aca="false">Inputs!$D$11*(1+Inputs!$D$12)^(AT$229-1)</f>
        <v>13.498368</v>
      </c>
      <c r="AU237" s="120" t="n">
        <f aca="false">Inputs!$D$11*(1+Inputs!$D$12)^(AU$229-1)</f>
        <v>13.498368</v>
      </c>
      <c r="AV237" s="120" t="n">
        <f aca="false">Inputs!$D$11*(1+Inputs!$D$12)^(AV$229-1)</f>
        <v>13.498368</v>
      </c>
      <c r="AW237" s="120" t="n">
        <f aca="false">Inputs!$D$11*(1+Inputs!$D$12)^(AW$229-1)</f>
        <v>13.498368</v>
      </c>
      <c r="AX237" s="120" t="n">
        <f aca="false">Inputs!$D$11*(1+Inputs!$D$12)^(AX$229-1)</f>
        <v>13.498368</v>
      </c>
      <c r="AY237" s="120" t="n">
        <f aca="false">Inputs!$D$11*(1+Inputs!$D$12)^(AY$229-1)</f>
        <v>14.03830272</v>
      </c>
      <c r="AZ237" s="120" t="n">
        <f aca="false">Inputs!$D$11*(1+Inputs!$D$12)^(AZ$229-1)</f>
        <v>14.03830272</v>
      </c>
      <c r="BA237" s="120" t="n">
        <f aca="false">Inputs!$D$11*(1+Inputs!$D$12)^(BA$229-1)</f>
        <v>14.03830272</v>
      </c>
      <c r="BB237" s="120" t="n">
        <f aca="false">Inputs!$D$11*(1+Inputs!$D$12)^(BB$229-1)</f>
        <v>14.03830272</v>
      </c>
      <c r="BC237" s="120" t="n">
        <f aca="false">Inputs!$D$11*(1+Inputs!$D$12)^(BC$229-1)</f>
        <v>14.03830272</v>
      </c>
      <c r="BD237" s="120" t="n">
        <f aca="false">Inputs!$D$11*(1+Inputs!$D$12)^(BD$229-1)</f>
        <v>14.03830272</v>
      </c>
      <c r="BE237" s="120" t="n">
        <f aca="false">Inputs!$D$11*(1+Inputs!$D$12)^(BE$229-1)</f>
        <v>14.03830272</v>
      </c>
      <c r="BF237" s="120" t="n">
        <f aca="false">Inputs!$D$11*(1+Inputs!$D$12)^(BF$229-1)</f>
        <v>14.03830272</v>
      </c>
      <c r="BG237" s="120" t="n">
        <f aca="false">Inputs!$D$11*(1+Inputs!$D$12)^(BG$229-1)</f>
        <v>14.03830272</v>
      </c>
      <c r="BH237" s="120" t="n">
        <f aca="false">Inputs!$D$11*(1+Inputs!$D$12)^(BH$229-1)</f>
        <v>14.03830272</v>
      </c>
      <c r="BI237" s="120" t="n">
        <f aca="false">Inputs!$D$11*(1+Inputs!$D$12)^(BI$229-1)</f>
        <v>14.03830272</v>
      </c>
      <c r="BJ237" s="120" t="n">
        <f aca="false">Inputs!$D$11*(1+Inputs!$D$12)^(BJ$229-1)</f>
        <v>14.03830272</v>
      </c>
    </row>
    <row r="238" customFormat="false" ht="15" hidden="false" customHeight="false" outlineLevel="0" collapsed="false">
      <c r="A238" s="6" t="s">
        <v>406</v>
      </c>
      <c r="C238" s="67" t="n">
        <f aca="false">C236*C237</f>
        <v>96532.8</v>
      </c>
      <c r="D238" s="67" t="n">
        <f aca="false">D236*D237</f>
        <v>101836.8</v>
      </c>
      <c r="E238" s="67" t="n">
        <f aca="false">E236*E237</f>
        <v>101836.8</v>
      </c>
      <c r="F238" s="67" t="n">
        <f aca="false">F236*F237</f>
        <v>101836.8</v>
      </c>
      <c r="G238" s="67" t="n">
        <f aca="false">G236*G237</f>
        <v>101836.8</v>
      </c>
      <c r="H238" s="67" t="n">
        <f aca="false">H236*H237</f>
        <v>101836.8</v>
      </c>
      <c r="I238" s="67" t="n">
        <f aca="false">I236*I237</f>
        <v>101836.8</v>
      </c>
      <c r="J238" s="67" t="n">
        <f aca="false">J236*J237</f>
        <v>101836.8</v>
      </c>
      <c r="K238" s="67" t="n">
        <f aca="false">K236*K237</f>
        <v>101836.8</v>
      </c>
      <c r="L238" s="67" t="n">
        <f aca="false">L236*L237</f>
        <v>101836.8</v>
      </c>
      <c r="M238" s="67" t="n">
        <f aca="false">M236*M237</f>
        <v>127296</v>
      </c>
      <c r="N238" s="67" t="n">
        <f aca="false">N236*N237</f>
        <v>127296</v>
      </c>
      <c r="O238" s="67" t="n">
        <f aca="false">O236*O237</f>
        <v>111205.7856</v>
      </c>
      <c r="P238" s="67" t="n">
        <f aca="false">P236*P237</f>
        <v>111205.7856</v>
      </c>
      <c r="Q238" s="67" t="n">
        <f aca="false">Q236*Q237</f>
        <v>111205.7856</v>
      </c>
      <c r="R238" s="67" t="n">
        <f aca="false">R236*R237</f>
        <v>111205.7856</v>
      </c>
      <c r="S238" s="67" t="n">
        <f aca="false">S236*S237</f>
        <v>111205.7856</v>
      </c>
      <c r="T238" s="67" t="n">
        <f aca="false">T236*T237</f>
        <v>111205.7856</v>
      </c>
      <c r="U238" s="67" t="n">
        <f aca="false">U236*U237</f>
        <v>111205.7856</v>
      </c>
      <c r="V238" s="67" t="n">
        <f aca="false">V236*V237</f>
        <v>111205.7856</v>
      </c>
      <c r="W238" s="67" t="n">
        <f aca="false">W236*W237</f>
        <v>111205.7856</v>
      </c>
      <c r="X238" s="67" t="n">
        <f aca="false">X236*X237</f>
        <v>111205.7856</v>
      </c>
      <c r="Y238" s="67" t="n">
        <f aca="false">Y236*Y237</f>
        <v>139007.232</v>
      </c>
      <c r="Z238" s="67" t="n">
        <f aca="false">Z236*Z237</f>
        <v>139007.232</v>
      </c>
      <c r="AA238" s="67" t="n">
        <f aca="false">AA236*AA237</f>
        <v>121436.7178752</v>
      </c>
      <c r="AB238" s="67" t="n">
        <f aca="false">AB236*AB237</f>
        <v>121436.7178752</v>
      </c>
      <c r="AC238" s="67" t="n">
        <f aca="false">AC236*AC237</f>
        <v>121436.7178752</v>
      </c>
      <c r="AD238" s="67" t="n">
        <f aca="false">AD236*AD237</f>
        <v>121436.7178752</v>
      </c>
      <c r="AE238" s="67" t="n">
        <f aca="false">AE236*AE237</f>
        <v>121436.7178752</v>
      </c>
      <c r="AF238" s="67" t="n">
        <f aca="false">AF236*AF237</f>
        <v>121436.7178752</v>
      </c>
      <c r="AG238" s="67" t="n">
        <f aca="false">AG236*AG237</f>
        <v>121436.7178752</v>
      </c>
      <c r="AH238" s="67" t="n">
        <f aca="false">AH236*AH237</f>
        <v>121436.7178752</v>
      </c>
      <c r="AI238" s="67" t="n">
        <f aca="false">AI236*AI237</f>
        <v>121436.7178752</v>
      </c>
      <c r="AJ238" s="67" t="n">
        <f aca="false">AJ236*AJ237</f>
        <v>121436.7178752</v>
      </c>
      <c r="AK238" s="67" t="n">
        <f aca="false">AK236*AK237</f>
        <v>151795.897344</v>
      </c>
      <c r="AL238" s="67" t="n">
        <f aca="false">AL236*AL237</f>
        <v>151795.897344</v>
      </c>
      <c r="AM238" s="67" t="n">
        <f aca="false">AM236*AM237</f>
        <v>132608.895919718</v>
      </c>
      <c r="AN238" s="67" t="n">
        <f aca="false">AN236*AN237</f>
        <v>132608.895919718</v>
      </c>
      <c r="AO238" s="67" t="n">
        <f aca="false">AO236*AO237</f>
        <v>132608.895919718</v>
      </c>
      <c r="AP238" s="67" t="n">
        <f aca="false">AP236*AP237</f>
        <v>132608.895919718</v>
      </c>
      <c r="AQ238" s="67" t="n">
        <f aca="false">AQ236*AQ237</f>
        <v>132608.895919718</v>
      </c>
      <c r="AR238" s="67" t="n">
        <f aca="false">AR236*AR237</f>
        <v>132608.895919718</v>
      </c>
      <c r="AS238" s="67" t="n">
        <f aca="false">AS236*AS237</f>
        <v>132608.895919718</v>
      </c>
      <c r="AT238" s="67" t="n">
        <f aca="false">AT236*AT237</f>
        <v>132608.895919718</v>
      </c>
      <c r="AU238" s="67" t="n">
        <f aca="false">AU236*AU237</f>
        <v>132608.895919718</v>
      </c>
      <c r="AV238" s="67" t="n">
        <f aca="false">AV236*AV237</f>
        <v>132608.895919718</v>
      </c>
      <c r="AW238" s="67" t="n">
        <f aca="false">AW236*AW237</f>
        <v>165761.119899648</v>
      </c>
      <c r="AX238" s="67" t="n">
        <f aca="false">AX236*AX237</f>
        <v>165761.119899648</v>
      </c>
      <c r="AY238" s="67" t="n">
        <f aca="false">AY236*AY237</f>
        <v>144808.914344333</v>
      </c>
      <c r="AZ238" s="67" t="n">
        <f aca="false">AZ236*AZ237</f>
        <v>144808.914344333</v>
      </c>
      <c r="BA238" s="67" t="n">
        <f aca="false">BA236*BA237</f>
        <v>144808.914344333</v>
      </c>
      <c r="BB238" s="67" t="n">
        <f aca="false">BB236*BB237</f>
        <v>144808.914344333</v>
      </c>
      <c r="BC238" s="67" t="n">
        <f aca="false">BC236*BC237</f>
        <v>144808.914344333</v>
      </c>
      <c r="BD238" s="67" t="n">
        <f aca="false">BD236*BD237</f>
        <v>144808.914344333</v>
      </c>
      <c r="BE238" s="67" t="n">
        <f aca="false">BE236*BE237</f>
        <v>144808.914344333</v>
      </c>
      <c r="BF238" s="67" t="n">
        <f aca="false">BF236*BF237</f>
        <v>144808.914344333</v>
      </c>
      <c r="BG238" s="67" t="n">
        <f aca="false">BG236*BG237</f>
        <v>144808.914344333</v>
      </c>
      <c r="BH238" s="67" t="n">
        <f aca="false">BH236*BH237</f>
        <v>144808.914344333</v>
      </c>
      <c r="BI238" s="67" t="n">
        <f aca="false">BI236*BI237</f>
        <v>181011.142930416</v>
      </c>
      <c r="BJ238" s="67" t="n">
        <f aca="false">BJ236*BJ237</f>
        <v>181011.142930416</v>
      </c>
    </row>
    <row r="240" customFormat="false" ht="15.75" hidden="false" customHeight="true" outlineLevel="0" collapsed="false">
      <c r="A240" s="7" t="s">
        <v>265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customFormat="false" ht="15" hidden="false" customHeight="false" outlineLevel="0" collapsed="false">
      <c r="A241" s="6" t="s">
        <v>61</v>
      </c>
      <c r="C241" s="118" t="n">
        <f aca="false">Inputs!$D$17*C232*(1+Inputs!$D$18)^(C$229-1)</f>
        <v>18.05</v>
      </c>
      <c r="D241" s="118" t="n">
        <f aca="false">Inputs!$D$17*D232*(1+Inputs!$D$18)^(D$229-1)</f>
        <v>19</v>
      </c>
      <c r="E241" s="118" t="n">
        <f aca="false">Inputs!$D$17*E232*(1+Inputs!$D$18)^(E$229-1)</f>
        <v>19</v>
      </c>
      <c r="F241" s="118" t="n">
        <f aca="false">Inputs!$D$17*F232*(1+Inputs!$D$18)^(F$229-1)</f>
        <v>19</v>
      </c>
      <c r="G241" s="118" t="n">
        <f aca="false">Inputs!$D$17*G232*(1+Inputs!$D$18)^(G$229-1)</f>
        <v>19</v>
      </c>
      <c r="H241" s="118" t="n">
        <f aca="false">Inputs!$D$17*H232*(1+Inputs!$D$18)^(H$229-1)</f>
        <v>19</v>
      </c>
      <c r="I241" s="118" t="n">
        <f aca="false">Inputs!$D$17*I232*(1+Inputs!$D$18)^(I$229-1)</f>
        <v>19</v>
      </c>
      <c r="J241" s="118" t="n">
        <f aca="false">Inputs!$D$17*J232*(1+Inputs!$D$18)^(J$229-1)</f>
        <v>19</v>
      </c>
      <c r="K241" s="118" t="n">
        <f aca="false">Inputs!$D$17*K232*(1+Inputs!$D$18)^(K$229-1)</f>
        <v>19</v>
      </c>
      <c r="L241" s="118" t="n">
        <f aca="false">Inputs!$D$17*L232*(1+Inputs!$D$18)^(L$229-1)</f>
        <v>19</v>
      </c>
      <c r="M241" s="118" t="n">
        <f aca="false">Inputs!$D$17*M232*(1+Inputs!$D$18)^(M$229-1)</f>
        <v>19</v>
      </c>
      <c r="N241" s="118" t="n">
        <f aca="false">Inputs!$D$17*N232*(1+Inputs!$D$18)^(N$229-1)</f>
        <v>19</v>
      </c>
      <c r="O241" s="118" t="n">
        <f aca="false">Inputs!$D$17*O232*(1+Inputs!$D$18)^(O$229-1)</f>
        <v>22.04</v>
      </c>
      <c r="P241" s="118" t="n">
        <f aca="false">Inputs!$D$17*P232*(1+Inputs!$D$18)^(P$229-1)</f>
        <v>22.04</v>
      </c>
      <c r="Q241" s="118" t="n">
        <f aca="false">Inputs!$D$17*Q232*(1+Inputs!$D$18)^(Q$229-1)</f>
        <v>22.04</v>
      </c>
      <c r="R241" s="118" t="n">
        <f aca="false">Inputs!$D$17*R232*(1+Inputs!$D$18)^(R$229-1)</f>
        <v>22.04</v>
      </c>
      <c r="S241" s="118" t="n">
        <f aca="false">Inputs!$D$17*S232*(1+Inputs!$D$18)^(S$229-1)</f>
        <v>22.04</v>
      </c>
      <c r="T241" s="118" t="n">
        <f aca="false">Inputs!$D$17*T232*(1+Inputs!$D$18)^(T$229-1)</f>
        <v>22.04</v>
      </c>
      <c r="U241" s="118" t="n">
        <f aca="false">Inputs!$D$17*U232*(1+Inputs!$D$18)^(U$229-1)</f>
        <v>22.04</v>
      </c>
      <c r="V241" s="118" t="n">
        <f aca="false">Inputs!$D$17*V232*(1+Inputs!$D$18)^(V$229-1)</f>
        <v>22.04</v>
      </c>
      <c r="W241" s="118" t="n">
        <f aca="false">Inputs!$D$17*W232*(1+Inputs!$D$18)^(W$229-1)</f>
        <v>22.04</v>
      </c>
      <c r="X241" s="118" t="n">
        <f aca="false">Inputs!$D$17*X232*(1+Inputs!$D$18)^(X$229-1)</f>
        <v>22.04</v>
      </c>
      <c r="Y241" s="118" t="n">
        <f aca="false">Inputs!$D$17*Y232*(1+Inputs!$D$18)^(Y$229-1)</f>
        <v>22.04</v>
      </c>
      <c r="Z241" s="118" t="n">
        <f aca="false">Inputs!$D$17*Z232*(1+Inputs!$D$18)^(Z$229-1)</f>
        <v>22.04</v>
      </c>
      <c r="AA241" s="118" t="n">
        <f aca="false">Inputs!$D$17*AA232*(1+Inputs!$D$18)^(AA$229-1)</f>
        <v>25.5664</v>
      </c>
      <c r="AB241" s="118" t="n">
        <f aca="false">Inputs!$D$17*AB232*(1+Inputs!$D$18)^(AB$229-1)</f>
        <v>25.5664</v>
      </c>
      <c r="AC241" s="118" t="n">
        <f aca="false">Inputs!$D$17*AC232*(1+Inputs!$D$18)^(AC$229-1)</f>
        <v>25.5664</v>
      </c>
      <c r="AD241" s="118" t="n">
        <f aca="false">Inputs!$D$17*AD232*(1+Inputs!$D$18)^(AD$229-1)</f>
        <v>25.5664</v>
      </c>
      <c r="AE241" s="118" t="n">
        <f aca="false">Inputs!$D$17*AE232*(1+Inputs!$D$18)^(AE$229-1)</f>
        <v>25.5664</v>
      </c>
      <c r="AF241" s="118" t="n">
        <f aca="false">Inputs!$D$17*AF232*(1+Inputs!$D$18)^(AF$229-1)</f>
        <v>25.5664</v>
      </c>
      <c r="AG241" s="118" t="n">
        <f aca="false">Inputs!$D$17*AG232*(1+Inputs!$D$18)^(AG$229-1)</f>
        <v>25.5664</v>
      </c>
      <c r="AH241" s="118" t="n">
        <f aca="false">Inputs!$D$17*AH232*(1+Inputs!$D$18)^(AH$229-1)</f>
        <v>25.5664</v>
      </c>
      <c r="AI241" s="118" t="n">
        <f aca="false">Inputs!$D$17*AI232*(1+Inputs!$D$18)^(AI$229-1)</f>
        <v>25.5664</v>
      </c>
      <c r="AJ241" s="118" t="n">
        <f aca="false">Inputs!$D$17*AJ232*(1+Inputs!$D$18)^(AJ$229-1)</f>
        <v>25.5664</v>
      </c>
      <c r="AK241" s="118" t="n">
        <f aca="false">Inputs!$D$17*AK232*(1+Inputs!$D$18)^(AK$229-1)</f>
        <v>25.5664</v>
      </c>
      <c r="AL241" s="118" t="n">
        <f aca="false">Inputs!$D$17*AL232*(1+Inputs!$D$18)^(AL$229-1)</f>
        <v>25.5664</v>
      </c>
      <c r="AM241" s="118" t="n">
        <f aca="false">Inputs!$D$17*AM232*(1+Inputs!$D$18)^(AM$229-1)</f>
        <v>29.657024</v>
      </c>
      <c r="AN241" s="118" t="n">
        <f aca="false">Inputs!$D$17*AN232*(1+Inputs!$D$18)^(AN$229-1)</f>
        <v>29.657024</v>
      </c>
      <c r="AO241" s="118" t="n">
        <f aca="false">Inputs!$D$17*AO232*(1+Inputs!$D$18)^(AO$229-1)</f>
        <v>29.657024</v>
      </c>
      <c r="AP241" s="118" t="n">
        <f aca="false">Inputs!$D$17*AP232*(1+Inputs!$D$18)^(AP$229-1)</f>
        <v>29.657024</v>
      </c>
      <c r="AQ241" s="118" t="n">
        <f aca="false">Inputs!$D$17*AQ232*(1+Inputs!$D$18)^(AQ$229-1)</f>
        <v>29.657024</v>
      </c>
      <c r="AR241" s="118" t="n">
        <f aca="false">Inputs!$D$17*AR232*(1+Inputs!$D$18)^(AR$229-1)</f>
        <v>29.657024</v>
      </c>
      <c r="AS241" s="118" t="n">
        <f aca="false">Inputs!$D$17*AS232*(1+Inputs!$D$18)^(AS$229-1)</f>
        <v>29.657024</v>
      </c>
      <c r="AT241" s="118" t="n">
        <f aca="false">Inputs!$D$17*AT232*(1+Inputs!$D$18)^(AT$229-1)</f>
        <v>29.657024</v>
      </c>
      <c r="AU241" s="118" t="n">
        <f aca="false">Inputs!$D$17*AU232*(1+Inputs!$D$18)^(AU$229-1)</f>
        <v>29.657024</v>
      </c>
      <c r="AV241" s="118" t="n">
        <f aca="false">Inputs!$D$17*AV232*(1+Inputs!$D$18)^(AV$229-1)</f>
        <v>29.657024</v>
      </c>
      <c r="AW241" s="118" t="n">
        <f aca="false">Inputs!$D$17*AW232*(1+Inputs!$D$18)^(AW$229-1)</f>
        <v>29.657024</v>
      </c>
      <c r="AX241" s="118" t="n">
        <f aca="false">Inputs!$D$17*AX232*(1+Inputs!$D$18)^(AX$229-1)</f>
        <v>29.657024</v>
      </c>
      <c r="AY241" s="118" t="n">
        <f aca="false">Inputs!$D$17*AY232*(1+Inputs!$D$18)^(AY$229-1)</f>
        <v>34.40214784</v>
      </c>
      <c r="AZ241" s="118" t="n">
        <f aca="false">Inputs!$D$17*AZ232*(1+Inputs!$D$18)^(AZ$229-1)</f>
        <v>34.40214784</v>
      </c>
      <c r="BA241" s="118" t="n">
        <f aca="false">Inputs!$D$17*BA232*(1+Inputs!$D$18)^(BA$229-1)</f>
        <v>34.40214784</v>
      </c>
      <c r="BB241" s="118" t="n">
        <f aca="false">Inputs!$D$17*BB232*(1+Inputs!$D$18)^(BB$229-1)</f>
        <v>34.40214784</v>
      </c>
      <c r="BC241" s="118" t="n">
        <f aca="false">Inputs!$D$17*BC232*(1+Inputs!$D$18)^(BC$229-1)</f>
        <v>34.40214784</v>
      </c>
      <c r="BD241" s="118" t="n">
        <f aca="false">Inputs!$D$17*BD232*(1+Inputs!$D$18)^(BD$229-1)</f>
        <v>34.40214784</v>
      </c>
      <c r="BE241" s="118" t="n">
        <f aca="false">Inputs!$D$17*BE232*(1+Inputs!$D$18)^(BE$229-1)</f>
        <v>34.40214784</v>
      </c>
      <c r="BF241" s="118" t="n">
        <f aca="false">Inputs!$D$17*BF232*(1+Inputs!$D$18)^(BF$229-1)</f>
        <v>34.40214784</v>
      </c>
      <c r="BG241" s="118" t="n">
        <f aca="false">Inputs!$D$17*BG232*(1+Inputs!$D$18)^(BG$229-1)</f>
        <v>34.40214784</v>
      </c>
      <c r="BH241" s="118" t="n">
        <f aca="false">Inputs!$D$17*BH232*(1+Inputs!$D$18)^(BH$229-1)</f>
        <v>34.40214784</v>
      </c>
      <c r="BI241" s="118" t="n">
        <f aca="false">Inputs!$D$17*BI232*(1+Inputs!$D$18)^(BI$229-1)</f>
        <v>34.40214784</v>
      </c>
      <c r="BJ241" s="118" t="n">
        <f aca="false">Inputs!$D$17*BJ232*(1+Inputs!$D$18)^(BJ$229-1)</f>
        <v>34.40214784</v>
      </c>
    </row>
    <row r="242" customFormat="false" ht="15" hidden="false" customHeight="false" outlineLevel="0" collapsed="false">
      <c r="A242" s="6" t="s">
        <v>407</v>
      </c>
      <c r="C242" s="67" t="n">
        <f aca="false">Inputs!$D$19*(1+Inputs!$D$12)^(C$229-1)</f>
        <v>580</v>
      </c>
      <c r="D242" s="67" t="n">
        <f aca="false">Inputs!$D$19*(1+Inputs!$D$12)^(D$229-1)</f>
        <v>580</v>
      </c>
      <c r="E242" s="67" t="n">
        <f aca="false">Inputs!$D$19*(1+Inputs!$D$12)^(E$229-1)</f>
        <v>580</v>
      </c>
      <c r="F242" s="67" t="n">
        <f aca="false">Inputs!$D$19*(1+Inputs!$D$12)^(F$229-1)</f>
        <v>580</v>
      </c>
      <c r="G242" s="67" t="n">
        <f aca="false">Inputs!$D$19*(1+Inputs!$D$12)^(G$229-1)</f>
        <v>580</v>
      </c>
      <c r="H242" s="67" t="n">
        <f aca="false">Inputs!$D$19*(1+Inputs!$D$12)^(H$229-1)</f>
        <v>580</v>
      </c>
      <c r="I242" s="67" t="n">
        <f aca="false">Inputs!$D$19*(1+Inputs!$D$12)^(I$229-1)</f>
        <v>580</v>
      </c>
      <c r="J242" s="67" t="n">
        <f aca="false">Inputs!$D$19*(1+Inputs!$D$12)^(J$229-1)</f>
        <v>580</v>
      </c>
      <c r="K242" s="67" t="n">
        <f aca="false">Inputs!$D$19*(1+Inputs!$D$12)^(K$229-1)</f>
        <v>580</v>
      </c>
      <c r="L242" s="67" t="n">
        <f aca="false">Inputs!$D$19*(1+Inputs!$D$12)^(L$229-1)</f>
        <v>580</v>
      </c>
      <c r="M242" s="67" t="n">
        <f aca="false">Inputs!$D$19*(1+Inputs!$D$12)^(M$229-1)</f>
        <v>580</v>
      </c>
      <c r="N242" s="67" t="n">
        <f aca="false">Inputs!$D$19*(1+Inputs!$D$12)^(N$229-1)</f>
        <v>580</v>
      </c>
      <c r="O242" s="67" t="n">
        <f aca="false">Inputs!$D$19*(1+Inputs!$D$12)^(O$229-1)</f>
        <v>603.2</v>
      </c>
      <c r="P242" s="67" t="n">
        <f aca="false">Inputs!$D$19*(1+Inputs!$D$12)^(P$229-1)</f>
        <v>603.2</v>
      </c>
      <c r="Q242" s="67" t="n">
        <f aca="false">Inputs!$D$19*(1+Inputs!$D$12)^(Q$229-1)</f>
        <v>603.2</v>
      </c>
      <c r="R242" s="67" t="n">
        <f aca="false">Inputs!$D$19*(1+Inputs!$D$12)^(R$229-1)</f>
        <v>603.2</v>
      </c>
      <c r="S242" s="67" t="n">
        <f aca="false">Inputs!$D$19*(1+Inputs!$D$12)^(S$229-1)</f>
        <v>603.2</v>
      </c>
      <c r="T242" s="67" t="n">
        <f aca="false">Inputs!$D$19*(1+Inputs!$D$12)^(T$229-1)</f>
        <v>603.2</v>
      </c>
      <c r="U242" s="67" t="n">
        <f aca="false">Inputs!$D$19*(1+Inputs!$D$12)^(U$229-1)</f>
        <v>603.2</v>
      </c>
      <c r="V242" s="67" t="n">
        <f aca="false">Inputs!$D$19*(1+Inputs!$D$12)^(V$229-1)</f>
        <v>603.2</v>
      </c>
      <c r="W242" s="67" t="n">
        <f aca="false">Inputs!$D$19*(1+Inputs!$D$12)^(W$229-1)</f>
        <v>603.2</v>
      </c>
      <c r="X242" s="67" t="n">
        <f aca="false">Inputs!$D$19*(1+Inputs!$D$12)^(X$229-1)</f>
        <v>603.2</v>
      </c>
      <c r="Y242" s="67" t="n">
        <f aca="false">Inputs!$D$19*(1+Inputs!$D$12)^(Y$229-1)</f>
        <v>603.2</v>
      </c>
      <c r="Z242" s="67" t="n">
        <f aca="false">Inputs!$D$19*(1+Inputs!$D$12)^(Z$229-1)</f>
        <v>603.2</v>
      </c>
      <c r="AA242" s="67" t="n">
        <f aca="false">Inputs!$D$19*(1+Inputs!$D$12)^(AA$229-1)</f>
        <v>627.328</v>
      </c>
      <c r="AB242" s="67" t="n">
        <f aca="false">Inputs!$D$19*(1+Inputs!$D$12)^(AB$229-1)</f>
        <v>627.328</v>
      </c>
      <c r="AC242" s="67" t="n">
        <f aca="false">Inputs!$D$19*(1+Inputs!$D$12)^(AC$229-1)</f>
        <v>627.328</v>
      </c>
      <c r="AD242" s="67" t="n">
        <f aca="false">Inputs!$D$19*(1+Inputs!$D$12)^(AD$229-1)</f>
        <v>627.328</v>
      </c>
      <c r="AE242" s="67" t="n">
        <f aca="false">Inputs!$D$19*(1+Inputs!$D$12)^(AE$229-1)</f>
        <v>627.328</v>
      </c>
      <c r="AF242" s="67" t="n">
        <f aca="false">Inputs!$D$19*(1+Inputs!$D$12)^(AF$229-1)</f>
        <v>627.328</v>
      </c>
      <c r="AG242" s="67" t="n">
        <f aca="false">Inputs!$D$19*(1+Inputs!$D$12)^(AG$229-1)</f>
        <v>627.328</v>
      </c>
      <c r="AH242" s="67" t="n">
        <f aca="false">Inputs!$D$19*(1+Inputs!$D$12)^(AH$229-1)</f>
        <v>627.328</v>
      </c>
      <c r="AI242" s="67" t="n">
        <f aca="false">Inputs!$D$19*(1+Inputs!$D$12)^(AI$229-1)</f>
        <v>627.328</v>
      </c>
      <c r="AJ242" s="67" t="n">
        <f aca="false">Inputs!$D$19*(1+Inputs!$D$12)^(AJ$229-1)</f>
        <v>627.328</v>
      </c>
      <c r="AK242" s="67" t="n">
        <f aca="false">Inputs!$D$19*(1+Inputs!$D$12)^(AK$229-1)</f>
        <v>627.328</v>
      </c>
      <c r="AL242" s="67" t="n">
        <f aca="false">Inputs!$D$19*(1+Inputs!$D$12)^(AL$229-1)</f>
        <v>627.328</v>
      </c>
      <c r="AM242" s="67" t="n">
        <f aca="false">Inputs!$D$19*(1+Inputs!$D$12)^(AM$229-1)</f>
        <v>652.42112</v>
      </c>
      <c r="AN242" s="67" t="n">
        <f aca="false">Inputs!$D$19*(1+Inputs!$D$12)^(AN$229-1)</f>
        <v>652.42112</v>
      </c>
      <c r="AO242" s="67" t="n">
        <f aca="false">Inputs!$D$19*(1+Inputs!$D$12)^(AO$229-1)</f>
        <v>652.42112</v>
      </c>
      <c r="AP242" s="67" t="n">
        <f aca="false">Inputs!$D$19*(1+Inputs!$D$12)^(AP$229-1)</f>
        <v>652.42112</v>
      </c>
      <c r="AQ242" s="67" t="n">
        <f aca="false">Inputs!$D$19*(1+Inputs!$D$12)^(AQ$229-1)</f>
        <v>652.42112</v>
      </c>
      <c r="AR242" s="67" t="n">
        <f aca="false">Inputs!$D$19*(1+Inputs!$D$12)^(AR$229-1)</f>
        <v>652.42112</v>
      </c>
      <c r="AS242" s="67" t="n">
        <f aca="false">Inputs!$D$19*(1+Inputs!$D$12)^(AS$229-1)</f>
        <v>652.42112</v>
      </c>
      <c r="AT242" s="67" t="n">
        <f aca="false">Inputs!$D$19*(1+Inputs!$D$12)^(AT$229-1)</f>
        <v>652.42112</v>
      </c>
      <c r="AU242" s="67" t="n">
        <f aca="false">Inputs!$D$19*(1+Inputs!$D$12)^(AU$229-1)</f>
        <v>652.42112</v>
      </c>
      <c r="AV242" s="67" t="n">
        <f aca="false">Inputs!$D$19*(1+Inputs!$D$12)^(AV$229-1)</f>
        <v>652.42112</v>
      </c>
      <c r="AW242" s="67" t="n">
        <f aca="false">Inputs!$D$19*(1+Inputs!$D$12)^(AW$229-1)</f>
        <v>652.42112</v>
      </c>
      <c r="AX242" s="67" t="n">
        <f aca="false">Inputs!$D$19*(1+Inputs!$D$12)^(AX$229-1)</f>
        <v>652.42112</v>
      </c>
      <c r="AY242" s="67" t="n">
        <f aca="false">Inputs!$D$19*(1+Inputs!$D$12)^(AY$229-1)</f>
        <v>678.5179648</v>
      </c>
      <c r="AZ242" s="67" t="n">
        <f aca="false">Inputs!$D$19*(1+Inputs!$D$12)^(AZ$229-1)</f>
        <v>678.5179648</v>
      </c>
      <c r="BA242" s="67" t="n">
        <f aca="false">Inputs!$D$19*(1+Inputs!$D$12)^(BA$229-1)</f>
        <v>678.5179648</v>
      </c>
      <c r="BB242" s="67" t="n">
        <f aca="false">Inputs!$D$19*(1+Inputs!$D$12)^(BB$229-1)</f>
        <v>678.5179648</v>
      </c>
      <c r="BC242" s="67" t="n">
        <f aca="false">Inputs!$D$19*(1+Inputs!$D$12)^(BC$229-1)</f>
        <v>678.5179648</v>
      </c>
      <c r="BD242" s="67" t="n">
        <f aca="false">Inputs!$D$19*(1+Inputs!$D$12)^(BD$229-1)</f>
        <v>678.5179648</v>
      </c>
      <c r="BE242" s="67" t="n">
        <f aca="false">Inputs!$D$19*(1+Inputs!$D$12)^(BE$229-1)</f>
        <v>678.5179648</v>
      </c>
      <c r="BF242" s="67" t="n">
        <f aca="false">Inputs!$D$19*(1+Inputs!$D$12)^(BF$229-1)</f>
        <v>678.5179648</v>
      </c>
      <c r="BG242" s="67" t="n">
        <f aca="false">Inputs!$D$19*(1+Inputs!$D$12)^(BG$229-1)</f>
        <v>678.5179648</v>
      </c>
      <c r="BH242" s="67" t="n">
        <f aca="false">Inputs!$D$19*(1+Inputs!$D$12)^(BH$229-1)</f>
        <v>678.5179648</v>
      </c>
      <c r="BI242" s="67" t="n">
        <f aca="false">Inputs!$D$19*(1+Inputs!$D$12)^(BI$229-1)</f>
        <v>678.5179648</v>
      </c>
      <c r="BJ242" s="67" t="n">
        <f aca="false">Inputs!$D$19*(1+Inputs!$D$12)^(BJ$229-1)</f>
        <v>678.5179648</v>
      </c>
    </row>
    <row r="243" customFormat="false" ht="15" hidden="false" customHeight="false" outlineLevel="0" collapsed="false">
      <c r="A243" s="6" t="s">
        <v>59</v>
      </c>
      <c r="C243" s="67" t="n">
        <f aca="false">C241*C242*52/12*1</f>
        <v>45365.6666666667</v>
      </c>
      <c r="D243" s="67" t="n">
        <f aca="false">D241*D242*52/12*1</f>
        <v>47753.3333333333</v>
      </c>
      <c r="E243" s="67" t="n">
        <f aca="false">E241*E242*52/12*1</f>
        <v>47753.3333333333</v>
      </c>
      <c r="F243" s="67" t="n">
        <f aca="false">F241*F242*52/12*1</f>
        <v>47753.3333333333</v>
      </c>
      <c r="G243" s="67" t="n">
        <f aca="false">G241*G242*52/12*1</f>
        <v>47753.3333333333</v>
      </c>
      <c r="H243" s="67" t="n">
        <f aca="false">H241*H242*52/12*1</f>
        <v>47753.3333333333</v>
      </c>
      <c r="I243" s="67" t="n">
        <f aca="false">I241*I242*52/12*1</f>
        <v>47753.3333333333</v>
      </c>
      <c r="J243" s="67" t="n">
        <f aca="false">J241*J242*52/12*1</f>
        <v>47753.3333333333</v>
      </c>
      <c r="K243" s="67" t="n">
        <f aca="false">K241*K242*52/12*1</f>
        <v>47753.3333333333</v>
      </c>
      <c r="L243" s="67" t="n">
        <f aca="false">L241*L242*52/12*1</f>
        <v>47753.3333333333</v>
      </c>
      <c r="M243" s="67" t="n">
        <f aca="false">M241*M242*52/12*1</f>
        <v>47753.3333333333</v>
      </c>
      <c r="N243" s="67" t="n">
        <f aca="false">N241*N242*52/12*1</f>
        <v>47753.3333333333</v>
      </c>
      <c r="O243" s="67" t="n">
        <f aca="false">O241*O242*52/12*1</f>
        <v>57609.6213333333</v>
      </c>
      <c r="P243" s="67" t="n">
        <f aca="false">P241*P242*52/12*1</f>
        <v>57609.6213333333</v>
      </c>
      <c r="Q243" s="67" t="n">
        <f aca="false">Q241*Q242*52/12*1</f>
        <v>57609.6213333333</v>
      </c>
      <c r="R243" s="67" t="n">
        <f aca="false">R241*R242*52/12*1</f>
        <v>57609.6213333333</v>
      </c>
      <c r="S243" s="67" t="n">
        <f aca="false">S241*S242*52/12*1</f>
        <v>57609.6213333333</v>
      </c>
      <c r="T243" s="67" t="n">
        <f aca="false">T241*T242*52/12*1</f>
        <v>57609.6213333333</v>
      </c>
      <c r="U243" s="67" t="n">
        <f aca="false">U241*U242*52/12*1</f>
        <v>57609.6213333333</v>
      </c>
      <c r="V243" s="67" t="n">
        <f aca="false">V241*V242*52/12*1</f>
        <v>57609.6213333333</v>
      </c>
      <c r="W243" s="67" t="n">
        <f aca="false">W241*W242*52/12*1</f>
        <v>57609.6213333333</v>
      </c>
      <c r="X243" s="67" t="n">
        <f aca="false">X241*X242*52/12*1</f>
        <v>57609.6213333333</v>
      </c>
      <c r="Y243" s="67" t="n">
        <f aca="false">Y241*Y242*52/12*1</f>
        <v>57609.6213333333</v>
      </c>
      <c r="Z243" s="67" t="n">
        <f aca="false">Z241*Z242*52/12*1</f>
        <v>57609.6213333333</v>
      </c>
      <c r="AA243" s="67" t="n">
        <f aca="false">AA241*AA242*52/12*1</f>
        <v>69500.2471765334</v>
      </c>
      <c r="AB243" s="67" t="n">
        <f aca="false">AB241*AB242*52/12*1</f>
        <v>69500.2471765334</v>
      </c>
      <c r="AC243" s="67" t="n">
        <f aca="false">AC241*AC242*52/12*1</f>
        <v>69500.2471765334</v>
      </c>
      <c r="AD243" s="67" t="n">
        <f aca="false">AD241*AD242*52/12*1</f>
        <v>69500.2471765334</v>
      </c>
      <c r="AE243" s="67" t="n">
        <f aca="false">AE241*AE242*52/12*1</f>
        <v>69500.2471765334</v>
      </c>
      <c r="AF243" s="67" t="n">
        <f aca="false">AF241*AF242*52/12*1</f>
        <v>69500.2471765334</v>
      </c>
      <c r="AG243" s="67" t="n">
        <f aca="false">AG241*AG242*52/12*1</f>
        <v>69500.2471765334</v>
      </c>
      <c r="AH243" s="67" t="n">
        <f aca="false">AH241*AH242*52/12*1</f>
        <v>69500.2471765334</v>
      </c>
      <c r="AI243" s="67" t="n">
        <f aca="false">AI241*AI242*52/12*1</f>
        <v>69500.2471765334</v>
      </c>
      <c r="AJ243" s="67" t="n">
        <f aca="false">AJ241*AJ242*52/12*1</f>
        <v>69500.2471765334</v>
      </c>
      <c r="AK243" s="67" t="n">
        <f aca="false">AK241*AK242*52/12*1</f>
        <v>69500.2471765334</v>
      </c>
      <c r="AL243" s="67" t="n">
        <f aca="false">AL241*AL242*52/12*1</f>
        <v>69500.2471765334</v>
      </c>
      <c r="AM243" s="67" t="n">
        <f aca="false">AM241*AM242*52/12*1</f>
        <v>83845.0981937698</v>
      </c>
      <c r="AN243" s="67" t="n">
        <f aca="false">AN241*AN242*52/12*1</f>
        <v>83845.0981937698</v>
      </c>
      <c r="AO243" s="67" t="n">
        <f aca="false">AO241*AO242*52/12*1</f>
        <v>83845.0981937698</v>
      </c>
      <c r="AP243" s="67" t="n">
        <f aca="false">AP241*AP242*52/12*1</f>
        <v>83845.0981937698</v>
      </c>
      <c r="AQ243" s="67" t="n">
        <f aca="false">AQ241*AQ242*52/12*1</f>
        <v>83845.0981937698</v>
      </c>
      <c r="AR243" s="67" t="n">
        <f aca="false">AR241*AR242*52/12*1</f>
        <v>83845.0981937698</v>
      </c>
      <c r="AS243" s="67" t="n">
        <f aca="false">AS241*AS242*52/12*1</f>
        <v>83845.0981937698</v>
      </c>
      <c r="AT243" s="67" t="n">
        <f aca="false">AT241*AT242*52/12*1</f>
        <v>83845.0981937698</v>
      </c>
      <c r="AU243" s="67" t="n">
        <f aca="false">AU241*AU242*52/12*1</f>
        <v>83845.0981937698</v>
      </c>
      <c r="AV243" s="67" t="n">
        <f aca="false">AV241*AV242*52/12*1</f>
        <v>83845.0981937698</v>
      </c>
      <c r="AW243" s="67" t="n">
        <f aca="false">AW241*AW242*52/12*1</f>
        <v>83845.0981937698</v>
      </c>
      <c r="AX243" s="67" t="n">
        <f aca="false">AX241*AX242*52/12*1</f>
        <v>83845.0981937698</v>
      </c>
      <c r="AY243" s="67" t="n">
        <f aca="false">AY241*AY242*52/12*1</f>
        <v>101150.726460964</v>
      </c>
      <c r="AZ243" s="67" t="n">
        <f aca="false">AZ241*AZ242*52/12*1</f>
        <v>101150.726460964</v>
      </c>
      <c r="BA243" s="67" t="n">
        <f aca="false">BA241*BA242*52/12*1</f>
        <v>101150.726460964</v>
      </c>
      <c r="BB243" s="67" t="n">
        <f aca="false">BB241*BB242*52/12*1</f>
        <v>101150.726460964</v>
      </c>
      <c r="BC243" s="67" t="n">
        <f aca="false">BC241*BC242*52/12*1</f>
        <v>101150.726460964</v>
      </c>
      <c r="BD243" s="67" t="n">
        <f aca="false">BD241*BD242*52/12*1</f>
        <v>101150.726460964</v>
      </c>
      <c r="BE243" s="67" t="n">
        <f aca="false">BE241*BE242*52/12*1</f>
        <v>101150.726460964</v>
      </c>
      <c r="BF243" s="67" t="n">
        <f aca="false">BF241*BF242*52/12*1</f>
        <v>101150.726460964</v>
      </c>
      <c r="BG243" s="67" t="n">
        <f aca="false">BG241*BG242*52/12*1</f>
        <v>101150.726460964</v>
      </c>
      <c r="BH243" s="67" t="n">
        <f aca="false">BH241*BH242*52/12*1</f>
        <v>101150.726460964</v>
      </c>
      <c r="BI243" s="67" t="n">
        <f aca="false">BI241*BI242*52/12*1</f>
        <v>101150.726460964</v>
      </c>
      <c r="BJ243" s="67" t="n">
        <f aca="false">BJ241*BJ242*52/12*1</f>
        <v>101150.726460964</v>
      </c>
    </row>
    <row r="245" customFormat="false" ht="15.75" hidden="false" customHeight="true" outlineLevel="0" collapsed="false">
      <c r="A245" s="7" t="s">
        <v>44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customFormat="false" ht="15" hidden="false" customHeight="false" outlineLevel="0" collapsed="false">
      <c r="A246" s="115" t="s">
        <v>44</v>
      </c>
      <c r="C246" s="68" t="n">
        <f aca="false">C238+C243</f>
        <v>141898.466666667</v>
      </c>
      <c r="D246" s="68" t="n">
        <f aca="false">D238+D243</f>
        <v>149590.133333333</v>
      </c>
      <c r="E246" s="68" t="n">
        <f aca="false">E238+E243</f>
        <v>149590.133333333</v>
      </c>
      <c r="F246" s="68" t="n">
        <f aca="false">F238+F243</f>
        <v>149590.133333333</v>
      </c>
      <c r="G246" s="68" t="n">
        <f aca="false">G238+G243</f>
        <v>149590.133333333</v>
      </c>
      <c r="H246" s="68" t="n">
        <f aca="false">H238+H243</f>
        <v>149590.133333333</v>
      </c>
      <c r="I246" s="68" t="n">
        <f aca="false">I238+I243</f>
        <v>149590.133333333</v>
      </c>
      <c r="J246" s="68" t="n">
        <f aca="false">J238+J243</f>
        <v>149590.133333333</v>
      </c>
      <c r="K246" s="68" t="n">
        <f aca="false">K238+K243</f>
        <v>149590.133333333</v>
      </c>
      <c r="L246" s="68" t="n">
        <f aca="false">L238+L243</f>
        <v>149590.133333333</v>
      </c>
      <c r="M246" s="68" t="n">
        <f aca="false">M238+M243</f>
        <v>175049.333333333</v>
      </c>
      <c r="N246" s="68" t="n">
        <f aca="false">N238+N243</f>
        <v>175049.333333333</v>
      </c>
      <c r="O246" s="68" t="n">
        <f aca="false">O238+O243</f>
        <v>168815.406933333</v>
      </c>
      <c r="P246" s="68" t="n">
        <f aca="false">P238+P243</f>
        <v>168815.406933333</v>
      </c>
      <c r="Q246" s="68" t="n">
        <f aca="false">Q238+Q243</f>
        <v>168815.406933333</v>
      </c>
      <c r="R246" s="68" t="n">
        <f aca="false">R238+R243</f>
        <v>168815.406933333</v>
      </c>
      <c r="S246" s="68" t="n">
        <f aca="false">S238+S243</f>
        <v>168815.406933333</v>
      </c>
      <c r="T246" s="68" t="n">
        <f aca="false">T238+T243</f>
        <v>168815.406933333</v>
      </c>
      <c r="U246" s="68" t="n">
        <f aca="false">U238+U243</f>
        <v>168815.406933333</v>
      </c>
      <c r="V246" s="68" t="n">
        <f aca="false">V238+V243</f>
        <v>168815.406933333</v>
      </c>
      <c r="W246" s="68" t="n">
        <f aca="false">W238+W243</f>
        <v>168815.406933333</v>
      </c>
      <c r="X246" s="68" t="n">
        <f aca="false">X238+X243</f>
        <v>168815.406933333</v>
      </c>
      <c r="Y246" s="68" t="n">
        <f aca="false">Y238+Y243</f>
        <v>196616.853333333</v>
      </c>
      <c r="Z246" s="68" t="n">
        <f aca="false">Z238+Z243</f>
        <v>196616.853333333</v>
      </c>
      <c r="AA246" s="68" t="n">
        <f aca="false">AA238+AA243</f>
        <v>190936.965051733</v>
      </c>
      <c r="AB246" s="68" t="n">
        <f aca="false">AB238+AB243</f>
        <v>190936.965051733</v>
      </c>
      <c r="AC246" s="68" t="n">
        <f aca="false">AC238+AC243</f>
        <v>190936.965051733</v>
      </c>
      <c r="AD246" s="68" t="n">
        <f aca="false">AD238+AD243</f>
        <v>190936.965051733</v>
      </c>
      <c r="AE246" s="68" t="n">
        <f aca="false">AE238+AE243</f>
        <v>190936.965051733</v>
      </c>
      <c r="AF246" s="68" t="n">
        <f aca="false">AF238+AF243</f>
        <v>190936.965051733</v>
      </c>
      <c r="AG246" s="68" t="n">
        <f aca="false">AG238+AG243</f>
        <v>190936.965051733</v>
      </c>
      <c r="AH246" s="68" t="n">
        <f aca="false">AH238+AH243</f>
        <v>190936.965051733</v>
      </c>
      <c r="AI246" s="68" t="n">
        <f aca="false">AI238+AI243</f>
        <v>190936.965051733</v>
      </c>
      <c r="AJ246" s="68" t="n">
        <f aca="false">AJ238+AJ243</f>
        <v>190936.965051733</v>
      </c>
      <c r="AK246" s="68" t="n">
        <f aca="false">AK238+AK243</f>
        <v>221296.144520533</v>
      </c>
      <c r="AL246" s="68" t="n">
        <f aca="false">AL238+AL243</f>
        <v>221296.144520533</v>
      </c>
      <c r="AM246" s="68" t="n">
        <f aca="false">AM238+AM243</f>
        <v>216453.994113488</v>
      </c>
      <c r="AN246" s="68" t="n">
        <f aca="false">AN238+AN243</f>
        <v>216453.994113488</v>
      </c>
      <c r="AO246" s="68" t="n">
        <f aca="false">AO238+AO243</f>
        <v>216453.994113488</v>
      </c>
      <c r="AP246" s="68" t="n">
        <f aca="false">AP238+AP243</f>
        <v>216453.994113488</v>
      </c>
      <c r="AQ246" s="68" t="n">
        <f aca="false">AQ238+AQ243</f>
        <v>216453.994113488</v>
      </c>
      <c r="AR246" s="68" t="n">
        <f aca="false">AR238+AR243</f>
        <v>216453.994113488</v>
      </c>
      <c r="AS246" s="68" t="n">
        <f aca="false">AS238+AS243</f>
        <v>216453.994113488</v>
      </c>
      <c r="AT246" s="68" t="n">
        <f aca="false">AT238+AT243</f>
        <v>216453.994113488</v>
      </c>
      <c r="AU246" s="68" t="n">
        <f aca="false">AU238+AU243</f>
        <v>216453.994113488</v>
      </c>
      <c r="AV246" s="68" t="n">
        <f aca="false">AV238+AV243</f>
        <v>216453.994113488</v>
      </c>
      <c r="AW246" s="68" t="n">
        <f aca="false">AW238+AW243</f>
        <v>249606.218093418</v>
      </c>
      <c r="AX246" s="68" t="n">
        <f aca="false">AX238+AX243</f>
        <v>249606.218093418</v>
      </c>
      <c r="AY246" s="68" t="n">
        <f aca="false">AY238+AY243</f>
        <v>245959.640805296</v>
      </c>
      <c r="AZ246" s="68" t="n">
        <f aca="false">AZ238+AZ243</f>
        <v>245959.640805296</v>
      </c>
      <c r="BA246" s="68" t="n">
        <f aca="false">BA238+BA243</f>
        <v>245959.640805296</v>
      </c>
      <c r="BB246" s="68" t="n">
        <f aca="false">BB238+BB243</f>
        <v>245959.640805296</v>
      </c>
      <c r="BC246" s="68" t="n">
        <f aca="false">BC238+BC243</f>
        <v>245959.640805296</v>
      </c>
      <c r="BD246" s="68" t="n">
        <f aca="false">BD238+BD243</f>
        <v>245959.640805296</v>
      </c>
      <c r="BE246" s="68" t="n">
        <f aca="false">BE238+BE243</f>
        <v>245959.640805296</v>
      </c>
      <c r="BF246" s="68" t="n">
        <f aca="false">BF238+BF243</f>
        <v>245959.640805296</v>
      </c>
      <c r="BG246" s="68" t="n">
        <f aca="false">BG238+BG243</f>
        <v>245959.640805296</v>
      </c>
      <c r="BH246" s="68" t="n">
        <f aca="false">BH238+BH243</f>
        <v>245959.640805296</v>
      </c>
      <c r="BI246" s="68" t="n">
        <f aca="false">BI238+BI243</f>
        <v>282161.86939138</v>
      </c>
      <c r="BJ246" s="68" t="n">
        <f aca="false">BJ238+BJ243</f>
        <v>282161.86939138</v>
      </c>
    </row>
    <row r="248" customFormat="false" ht="15.75" hidden="false" customHeight="true" outlineLevel="0" collapsed="false">
      <c r="A248" s="7" t="s">
        <v>76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customFormat="false" ht="15" hidden="false" customHeight="false" outlineLevel="0" collapsed="false">
      <c r="A249" s="6" t="s">
        <v>408</v>
      </c>
      <c r="C249" s="67" t="n">
        <f aca="false">-(C238*Inputs!$D$24+C243*Inputs!$D$25)</f>
        <v>-36010.065</v>
      </c>
      <c r="D249" s="67" t="n">
        <f aca="false">-(D238*Inputs!$D$24+D243*Inputs!$D$25)</f>
        <v>-37955.58</v>
      </c>
      <c r="E249" s="67" t="n">
        <f aca="false">-(E238*Inputs!$D$24+E243*Inputs!$D$25)</f>
        <v>-37955.58</v>
      </c>
      <c r="F249" s="67" t="n">
        <f aca="false">-(F238*Inputs!$D$24+F243*Inputs!$D$25)</f>
        <v>-37955.58</v>
      </c>
      <c r="G249" s="67" t="n">
        <f aca="false">-(G238*Inputs!$D$24+G243*Inputs!$D$25)</f>
        <v>-37955.58</v>
      </c>
      <c r="H249" s="67" t="n">
        <f aca="false">-(H238*Inputs!$D$24+H243*Inputs!$D$25)</f>
        <v>-37955.58</v>
      </c>
      <c r="I249" s="67" t="n">
        <f aca="false">-(I238*Inputs!$D$24+I243*Inputs!$D$25)</f>
        <v>-37955.58</v>
      </c>
      <c r="J249" s="67" t="n">
        <f aca="false">-(J238*Inputs!$D$24+J243*Inputs!$D$25)</f>
        <v>-37955.58</v>
      </c>
      <c r="K249" s="67" t="n">
        <f aca="false">-(K238*Inputs!$D$24+K243*Inputs!$D$25)</f>
        <v>-37955.58</v>
      </c>
      <c r="L249" s="67" t="n">
        <f aca="false">-(L238*Inputs!$D$24+L243*Inputs!$D$25)</f>
        <v>-37955.58</v>
      </c>
      <c r="M249" s="67" t="n">
        <f aca="false">-(M238*Inputs!$D$24+M243*Inputs!$D$25)</f>
        <v>-43683.9</v>
      </c>
      <c r="N249" s="67" t="n">
        <f aca="false">-(N238*Inputs!$D$24+N243*Inputs!$D$25)</f>
        <v>-43683.9</v>
      </c>
      <c r="O249" s="67" t="n">
        <f aca="false">-(O238*Inputs!$D$24+O243*Inputs!$D$25)</f>
        <v>-43168.33248</v>
      </c>
      <c r="P249" s="67" t="n">
        <f aca="false">-(P238*Inputs!$D$24+P243*Inputs!$D$25)</f>
        <v>-43168.33248</v>
      </c>
      <c r="Q249" s="67" t="n">
        <f aca="false">-(Q238*Inputs!$D$24+Q243*Inputs!$D$25)</f>
        <v>-43168.33248</v>
      </c>
      <c r="R249" s="67" t="n">
        <f aca="false">-(R238*Inputs!$D$24+R243*Inputs!$D$25)</f>
        <v>-43168.33248</v>
      </c>
      <c r="S249" s="67" t="n">
        <f aca="false">-(S238*Inputs!$D$24+S243*Inputs!$D$25)</f>
        <v>-43168.33248</v>
      </c>
      <c r="T249" s="67" t="n">
        <f aca="false">-(T238*Inputs!$D$24+T243*Inputs!$D$25)</f>
        <v>-43168.33248</v>
      </c>
      <c r="U249" s="67" t="n">
        <f aca="false">-(U238*Inputs!$D$24+U243*Inputs!$D$25)</f>
        <v>-43168.33248</v>
      </c>
      <c r="V249" s="67" t="n">
        <f aca="false">-(V238*Inputs!$D$24+V243*Inputs!$D$25)</f>
        <v>-43168.33248</v>
      </c>
      <c r="W249" s="67" t="n">
        <f aca="false">-(W238*Inputs!$D$24+W243*Inputs!$D$25)</f>
        <v>-43168.33248</v>
      </c>
      <c r="X249" s="67" t="n">
        <f aca="false">-(X238*Inputs!$D$24+X243*Inputs!$D$25)</f>
        <v>-43168.33248</v>
      </c>
      <c r="Y249" s="67" t="n">
        <f aca="false">-(Y238*Inputs!$D$24+Y243*Inputs!$D$25)</f>
        <v>-49423.65792</v>
      </c>
      <c r="Z249" s="67" t="n">
        <f aca="false">-(Z238*Inputs!$D$24+Z243*Inputs!$D$25)</f>
        <v>-49423.65792</v>
      </c>
      <c r="AA249" s="67" t="n">
        <f aca="false">-(AA238*Inputs!$D$24+AA243*Inputs!$D$25)</f>
        <v>-49215.839382528</v>
      </c>
      <c r="AB249" s="67" t="n">
        <f aca="false">-(AB238*Inputs!$D$24+AB243*Inputs!$D$25)</f>
        <v>-49215.839382528</v>
      </c>
      <c r="AC249" s="67" t="n">
        <f aca="false">-(AC238*Inputs!$D$24+AC243*Inputs!$D$25)</f>
        <v>-49215.839382528</v>
      </c>
      <c r="AD249" s="67" t="n">
        <f aca="false">-(AD238*Inputs!$D$24+AD243*Inputs!$D$25)</f>
        <v>-49215.839382528</v>
      </c>
      <c r="AE249" s="67" t="n">
        <f aca="false">-(AE238*Inputs!$D$24+AE243*Inputs!$D$25)</f>
        <v>-49215.839382528</v>
      </c>
      <c r="AF249" s="67" t="n">
        <f aca="false">-(AF238*Inputs!$D$24+AF243*Inputs!$D$25)</f>
        <v>-49215.839382528</v>
      </c>
      <c r="AG249" s="67" t="n">
        <f aca="false">-(AG238*Inputs!$D$24+AG243*Inputs!$D$25)</f>
        <v>-49215.839382528</v>
      </c>
      <c r="AH249" s="67" t="n">
        <f aca="false">-(AH238*Inputs!$D$24+AH243*Inputs!$D$25)</f>
        <v>-49215.839382528</v>
      </c>
      <c r="AI249" s="67" t="n">
        <f aca="false">-(AI238*Inputs!$D$24+AI243*Inputs!$D$25)</f>
        <v>-49215.839382528</v>
      </c>
      <c r="AJ249" s="67" t="n">
        <f aca="false">-(AJ238*Inputs!$D$24+AJ243*Inputs!$D$25)</f>
        <v>-49215.839382528</v>
      </c>
      <c r="AK249" s="67" t="n">
        <f aca="false">-(AK238*Inputs!$D$24+AK243*Inputs!$D$25)</f>
        <v>-56046.654763008</v>
      </c>
      <c r="AL249" s="67" t="n">
        <f aca="false">-(AL238*Inputs!$D$24+AL243*Inputs!$D$25)</f>
        <v>-56046.654763008</v>
      </c>
      <c r="AM249" s="67" t="n">
        <f aca="false">-(AM238*Inputs!$D$24+AM243*Inputs!$D$25)</f>
        <v>-56248.2075129741</v>
      </c>
      <c r="AN249" s="67" t="n">
        <f aca="false">-(AN238*Inputs!$D$24+AN243*Inputs!$D$25)</f>
        <v>-56248.2075129741</v>
      </c>
      <c r="AO249" s="67" t="n">
        <f aca="false">-(AO238*Inputs!$D$24+AO243*Inputs!$D$25)</f>
        <v>-56248.2075129741</v>
      </c>
      <c r="AP249" s="67" t="n">
        <f aca="false">-(AP238*Inputs!$D$24+AP243*Inputs!$D$25)</f>
        <v>-56248.2075129741</v>
      </c>
      <c r="AQ249" s="67" t="n">
        <f aca="false">-(AQ238*Inputs!$D$24+AQ243*Inputs!$D$25)</f>
        <v>-56248.2075129741</v>
      </c>
      <c r="AR249" s="67" t="n">
        <f aca="false">-(AR238*Inputs!$D$24+AR243*Inputs!$D$25)</f>
        <v>-56248.2075129741</v>
      </c>
      <c r="AS249" s="67" t="n">
        <f aca="false">-(AS238*Inputs!$D$24+AS243*Inputs!$D$25)</f>
        <v>-56248.2075129741</v>
      </c>
      <c r="AT249" s="67" t="n">
        <f aca="false">-(AT238*Inputs!$D$24+AT243*Inputs!$D$25)</f>
        <v>-56248.2075129741</v>
      </c>
      <c r="AU249" s="67" t="n">
        <f aca="false">-(AU238*Inputs!$D$24+AU243*Inputs!$D$25)</f>
        <v>-56248.2075129741</v>
      </c>
      <c r="AV249" s="67" t="n">
        <f aca="false">-(AV238*Inputs!$D$24+AV243*Inputs!$D$25)</f>
        <v>-56248.2075129741</v>
      </c>
      <c r="AW249" s="67" t="n">
        <f aca="false">-(AW238*Inputs!$D$24+AW243*Inputs!$D$25)</f>
        <v>-63707.4579084583</v>
      </c>
      <c r="AX249" s="67" t="n">
        <f aca="false">-(AX238*Inputs!$D$24+AX243*Inputs!$D$25)</f>
        <v>-63707.4579084583</v>
      </c>
      <c r="AY249" s="67" t="n">
        <f aca="false">-(AY238*Inputs!$D$24+AY243*Inputs!$D$25)</f>
        <v>-64444.4845626785</v>
      </c>
      <c r="AZ249" s="67" t="n">
        <f aca="false">-(AZ238*Inputs!$D$24+AZ243*Inputs!$D$25)</f>
        <v>-64444.4845626785</v>
      </c>
      <c r="BA249" s="67" t="n">
        <f aca="false">-(BA238*Inputs!$D$24+BA243*Inputs!$D$25)</f>
        <v>-64444.4845626785</v>
      </c>
      <c r="BB249" s="67" t="n">
        <f aca="false">-(BB238*Inputs!$D$24+BB243*Inputs!$D$25)</f>
        <v>-64444.4845626785</v>
      </c>
      <c r="BC249" s="67" t="n">
        <f aca="false">-(BC238*Inputs!$D$24+BC243*Inputs!$D$25)</f>
        <v>-64444.4845626785</v>
      </c>
      <c r="BD249" s="67" t="n">
        <f aca="false">-(BD238*Inputs!$D$24+BD243*Inputs!$D$25)</f>
        <v>-64444.4845626785</v>
      </c>
      <c r="BE249" s="67" t="n">
        <f aca="false">-(BE238*Inputs!$D$24+BE243*Inputs!$D$25)</f>
        <v>-64444.4845626785</v>
      </c>
      <c r="BF249" s="67" t="n">
        <f aca="false">-(BF238*Inputs!$D$24+BF243*Inputs!$D$25)</f>
        <v>-64444.4845626785</v>
      </c>
      <c r="BG249" s="67" t="n">
        <f aca="false">-(BG238*Inputs!$D$24+BG243*Inputs!$D$25)</f>
        <v>-64444.4845626785</v>
      </c>
      <c r="BH249" s="67" t="n">
        <f aca="false">-(BH238*Inputs!$D$24+BH243*Inputs!$D$25)</f>
        <v>-64444.4845626785</v>
      </c>
      <c r="BI249" s="67" t="n">
        <f aca="false">-(BI238*Inputs!$D$24+BI243*Inputs!$D$25)</f>
        <v>-72589.9859945472</v>
      </c>
      <c r="BJ249" s="67" t="n">
        <f aca="false">-(BJ238*Inputs!$D$24+BJ243*Inputs!$D$25)</f>
        <v>-72589.9859945472</v>
      </c>
    </row>
    <row r="250" customFormat="false" ht="15" hidden="false" customHeight="false" outlineLevel="0" collapsed="false">
      <c r="A250" s="6" t="s">
        <v>409</v>
      </c>
      <c r="C250" s="67" t="n">
        <f aca="false">-C238*Inputs!$D$24*Inputs!$D$26*100/MAX(1,100-100*Inputs!$D$26)</f>
        <v>-1634.82967741935</v>
      </c>
      <c r="D250" s="67" t="n">
        <f aca="false">-D238*Inputs!$D$24*Inputs!$D$26*100/MAX(1,100-100*Inputs!$D$26)</f>
        <v>-1724.65548387097</v>
      </c>
      <c r="E250" s="67" t="n">
        <f aca="false">-E238*Inputs!$D$24*Inputs!$D$26*100/MAX(1,100-100*Inputs!$D$26)</f>
        <v>-1724.65548387097</v>
      </c>
      <c r="F250" s="67" t="n">
        <f aca="false">-F238*Inputs!$D$24*Inputs!$D$26*100/MAX(1,100-100*Inputs!$D$26)</f>
        <v>-1724.65548387097</v>
      </c>
      <c r="G250" s="67" t="n">
        <f aca="false">-G238*Inputs!$D$24*Inputs!$D$26*100/MAX(1,100-100*Inputs!$D$26)</f>
        <v>-1724.65548387097</v>
      </c>
      <c r="H250" s="67" t="n">
        <f aca="false">-H238*Inputs!$D$24*Inputs!$D$26*100/MAX(1,100-100*Inputs!$D$26)</f>
        <v>-1724.65548387097</v>
      </c>
      <c r="I250" s="67" t="n">
        <f aca="false">-I238*Inputs!$D$24*Inputs!$D$26*100/MAX(1,100-100*Inputs!$D$26)</f>
        <v>-1724.65548387097</v>
      </c>
      <c r="J250" s="67" t="n">
        <f aca="false">-J238*Inputs!$D$24*Inputs!$D$26*100/MAX(1,100-100*Inputs!$D$26)</f>
        <v>-1724.65548387097</v>
      </c>
      <c r="K250" s="67" t="n">
        <f aca="false">-K238*Inputs!$D$24*Inputs!$D$26*100/MAX(1,100-100*Inputs!$D$26)</f>
        <v>-1724.65548387097</v>
      </c>
      <c r="L250" s="67" t="n">
        <f aca="false">-L238*Inputs!$D$24*Inputs!$D$26*100/MAX(1,100-100*Inputs!$D$26)</f>
        <v>-1724.65548387097</v>
      </c>
      <c r="M250" s="67" t="n">
        <f aca="false">-M238*Inputs!$D$24*Inputs!$D$26*100/MAX(1,100-100*Inputs!$D$26)</f>
        <v>-2155.81935483871</v>
      </c>
      <c r="N250" s="67" t="n">
        <f aca="false">-N238*Inputs!$D$24*Inputs!$D$26*100/MAX(1,100-100*Inputs!$D$26)</f>
        <v>-2155.81935483871</v>
      </c>
      <c r="O250" s="67" t="n">
        <f aca="false">-O238*Inputs!$D$24*Inputs!$D$26*100/MAX(1,100-100*Inputs!$D$26)</f>
        <v>-1883.3237883871</v>
      </c>
      <c r="P250" s="67" t="n">
        <f aca="false">-P238*Inputs!$D$24*Inputs!$D$26*100/MAX(1,100-100*Inputs!$D$26)</f>
        <v>-1883.3237883871</v>
      </c>
      <c r="Q250" s="67" t="n">
        <f aca="false">-Q238*Inputs!$D$24*Inputs!$D$26*100/MAX(1,100-100*Inputs!$D$26)</f>
        <v>-1883.3237883871</v>
      </c>
      <c r="R250" s="67" t="n">
        <f aca="false">-R238*Inputs!$D$24*Inputs!$D$26*100/MAX(1,100-100*Inputs!$D$26)</f>
        <v>-1883.3237883871</v>
      </c>
      <c r="S250" s="67" t="n">
        <f aca="false">-S238*Inputs!$D$24*Inputs!$D$26*100/MAX(1,100-100*Inputs!$D$26)</f>
        <v>-1883.3237883871</v>
      </c>
      <c r="T250" s="67" t="n">
        <f aca="false">-T238*Inputs!$D$24*Inputs!$D$26*100/MAX(1,100-100*Inputs!$D$26)</f>
        <v>-1883.3237883871</v>
      </c>
      <c r="U250" s="67" t="n">
        <f aca="false">-U238*Inputs!$D$24*Inputs!$D$26*100/MAX(1,100-100*Inputs!$D$26)</f>
        <v>-1883.3237883871</v>
      </c>
      <c r="V250" s="67" t="n">
        <f aca="false">-V238*Inputs!$D$24*Inputs!$D$26*100/MAX(1,100-100*Inputs!$D$26)</f>
        <v>-1883.3237883871</v>
      </c>
      <c r="W250" s="67" t="n">
        <f aca="false">-W238*Inputs!$D$24*Inputs!$D$26*100/MAX(1,100-100*Inputs!$D$26)</f>
        <v>-1883.3237883871</v>
      </c>
      <c r="X250" s="67" t="n">
        <f aca="false">-X238*Inputs!$D$24*Inputs!$D$26*100/MAX(1,100-100*Inputs!$D$26)</f>
        <v>-1883.3237883871</v>
      </c>
      <c r="Y250" s="67" t="n">
        <f aca="false">-Y238*Inputs!$D$24*Inputs!$D$26*100/MAX(1,100-100*Inputs!$D$26)</f>
        <v>-2354.15473548387</v>
      </c>
      <c r="Z250" s="67" t="n">
        <f aca="false">-Z238*Inputs!$D$24*Inputs!$D$26*100/MAX(1,100-100*Inputs!$D$26)</f>
        <v>-2354.15473548387</v>
      </c>
      <c r="AA250" s="67" t="n">
        <f aca="false">-AA238*Inputs!$D$24*Inputs!$D$26*100/MAX(1,100-100*Inputs!$D$26)</f>
        <v>-2056.58957691871</v>
      </c>
      <c r="AB250" s="67" t="n">
        <f aca="false">-AB238*Inputs!$D$24*Inputs!$D$26*100/MAX(1,100-100*Inputs!$D$26)</f>
        <v>-2056.58957691871</v>
      </c>
      <c r="AC250" s="67" t="n">
        <f aca="false">-AC238*Inputs!$D$24*Inputs!$D$26*100/MAX(1,100-100*Inputs!$D$26)</f>
        <v>-2056.58957691871</v>
      </c>
      <c r="AD250" s="67" t="n">
        <f aca="false">-AD238*Inputs!$D$24*Inputs!$D$26*100/MAX(1,100-100*Inputs!$D$26)</f>
        <v>-2056.58957691871</v>
      </c>
      <c r="AE250" s="67" t="n">
        <f aca="false">-AE238*Inputs!$D$24*Inputs!$D$26*100/MAX(1,100-100*Inputs!$D$26)</f>
        <v>-2056.58957691871</v>
      </c>
      <c r="AF250" s="67" t="n">
        <f aca="false">-AF238*Inputs!$D$24*Inputs!$D$26*100/MAX(1,100-100*Inputs!$D$26)</f>
        <v>-2056.58957691871</v>
      </c>
      <c r="AG250" s="67" t="n">
        <f aca="false">-AG238*Inputs!$D$24*Inputs!$D$26*100/MAX(1,100-100*Inputs!$D$26)</f>
        <v>-2056.58957691871</v>
      </c>
      <c r="AH250" s="67" t="n">
        <f aca="false">-AH238*Inputs!$D$24*Inputs!$D$26*100/MAX(1,100-100*Inputs!$D$26)</f>
        <v>-2056.58957691871</v>
      </c>
      <c r="AI250" s="67" t="n">
        <f aca="false">-AI238*Inputs!$D$24*Inputs!$D$26*100/MAX(1,100-100*Inputs!$D$26)</f>
        <v>-2056.58957691871</v>
      </c>
      <c r="AJ250" s="67" t="n">
        <f aca="false">-AJ238*Inputs!$D$24*Inputs!$D$26*100/MAX(1,100-100*Inputs!$D$26)</f>
        <v>-2056.58957691871</v>
      </c>
      <c r="AK250" s="67" t="n">
        <f aca="false">-AK238*Inputs!$D$24*Inputs!$D$26*100/MAX(1,100-100*Inputs!$D$26)</f>
        <v>-2570.73697114839</v>
      </c>
      <c r="AL250" s="67" t="n">
        <f aca="false">-AL238*Inputs!$D$24*Inputs!$D$26*100/MAX(1,100-100*Inputs!$D$26)</f>
        <v>-2570.73697114839</v>
      </c>
      <c r="AM250" s="67" t="n">
        <f aca="false">-AM238*Inputs!$D$24*Inputs!$D$26*100/MAX(1,100-100*Inputs!$D$26)</f>
        <v>-2245.79581799523</v>
      </c>
      <c r="AN250" s="67" t="n">
        <f aca="false">-AN238*Inputs!$D$24*Inputs!$D$26*100/MAX(1,100-100*Inputs!$D$26)</f>
        <v>-2245.79581799523</v>
      </c>
      <c r="AO250" s="67" t="n">
        <f aca="false">-AO238*Inputs!$D$24*Inputs!$D$26*100/MAX(1,100-100*Inputs!$D$26)</f>
        <v>-2245.79581799523</v>
      </c>
      <c r="AP250" s="67" t="n">
        <f aca="false">-AP238*Inputs!$D$24*Inputs!$D$26*100/MAX(1,100-100*Inputs!$D$26)</f>
        <v>-2245.79581799523</v>
      </c>
      <c r="AQ250" s="67" t="n">
        <f aca="false">-AQ238*Inputs!$D$24*Inputs!$D$26*100/MAX(1,100-100*Inputs!$D$26)</f>
        <v>-2245.79581799523</v>
      </c>
      <c r="AR250" s="67" t="n">
        <f aca="false">-AR238*Inputs!$D$24*Inputs!$D$26*100/MAX(1,100-100*Inputs!$D$26)</f>
        <v>-2245.79581799523</v>
      </c>
      <c r="AS250" s="67" t="n">
        <f aca="false">-AS238*Inputs!$D$24*Inputs!$D$26*100/MAX(1,100-100*Inputs!$D$26)</f>
        <v>-2245.79581799523</v>
      </c>
      <c r="AT250" s="67" t="n">
        <f aca="false">-AT238*Inputs!$D$24*Inputs!$D$26*100/MAX(1,100-100*Inputs!$D$26)</f>
        <v>-2245.79581799523</v>
      </c>
      <c r="AU250" s="67" t="n">
        <f aca="false">-AU238*Inputs!$D$24*Inputs!$D$26*100/MAX(1,100-100*Inputs!$D$26)</f>
        <v>-2245.79581799523</v>
      </c>
      <c r="AV250" s="67" t="n">
        <f aca="false">-AV238*Inputs!$D$24*Inputs!$D$26*100/MAX(1,100-100*Inputs!$D$26)</f>
        <v>-2245.79581799523</v>
      </c>
      <c r="AW250" s="67" t="n">
        <f aca="false">-AW238*Inputs!$D$24*Inputs!$D$26*100/MAX(1,100-100*Inputs!$D$26)</f>
        <v>-2807.24477249404</v>
      </c>
      <c r="AX250" s="67" t="n">
        <f aca="false">-AX238*Inputs!$D$24*Inputs!$D$26*100/MAX(1,100-100*Inputs!$D$26)</f>
        <v>-2807.24477249404</v>
      </c>
      <c r="AY250" s="67" t="n">
        <f aca="false">-AY238*Inputs!$D$24*Inputs!$D$26*100/MAX(1,100-100*Inputs!$D$26)</f>
        <v>-2452.40903325079</v>
      </c>
      <c r="AZ250" s="67" t="n">
        <f aca="false">-AZ238*Inputs!$D$24*Inputs!$D$26*100/MAX(1,100-100*Inputs!$D$26)</f>
        <v>-2452.40903325079</v>
      </c>
      <c r="BA250" s="67" t="n">
        <f aca="false">-BA238*Inputs!$D$24*Inputs!$D$26*100/MAX(1,100-100*Inputs!$D$26)</f>
        <v>-2452.40903325079</v>
      </c>
      <c r="BB250" s="67" t="n">
        <f aca="false">-BB238*Inputs!$D$24*Inputs!$D$26*100/MAX(1,100-100*Inputs!$D$26)</f>
        <v>-2452.40903325079</v>
      </c>
      <c r="BC250" s="67" t="n">
        <f aca="false">-BC238*Inputs!$D$24*Inputs!$D$26*100/MAX(1,100-100*Inputs!$D$26)</f>
        <v>-2452.40903325079</v>
      </c>
      <c r="BD250" s="67" t="n">
        <f aca="false">-BD238*Inputs!$D$24*Inputs!$D$26*100/MAX(1,100-100*Inputs!$D$26)</f>
        <v>-2452.40903325079</v>
      </c>
      <c r="BE250" s="67" t="n">
        <f aca="false">-BE238*Inputs!$D$24*Inputs!$D$26*100/MAX(1,100-100*Inputs!$D$26)</f>
        <v>-2452.40903325079</v>
      </c>
      <c r="BF250" s="67" t="n">
        <f aca="false">-BF238*Inputs!$D$24*Inputs!$D$26*100/MAX(1,100-100*Inputs!$D$26)</f>
        <v>-2452.40903325079</v>
      </c>
      <c r="BG250" s="67" t="n">
        <f aca="false">-BG238*Inputs!$D$24*Inputs!$D$26*100/MAX(1,100-100*Inputs!$D$26)</f>
        <v>-2452.40903325079</v>
      </c>
      <c r="BH250" s="67" t="n">
        <f aca="false">-BH238*Inputs!$D$24*Inputs!$D$26*100/MAX(1,100-100*Inputs!$D$26)</f>
        <v>-2452.40903325079</v>
      </c>
      <c r="BI250" s="67" t="n">
        <f aca="false">-BI238*Inputs!$D$24*Inputs!$D$26*100/MAX(1,100-100*Inputs!$D$26)</f>
        <v>-3065.51129156349</v>
      </c>
      <c r="BJ250" s="67" t="n">
        <f aca="false">-BJ238*Inputs!$D$24*Inputs!$D$26*100/MAX(1,100-100*Inputs!$D$26)</f>
        <v>-3065.51129156349</v>
      </c>
    </row>
    <row r="251" customFormat="false" ht="15" hidden="false" customHeight="false" outlineLevel="0" collapsed="false">
      <c r="A251" s="6" t="s">
        <v>410</v>
      </c>
      <c r="C251" s="67" t="n">
        <f aca="false">-C246*Inputs!$D$27</f>
        <v>-4682.6494</v>
      </c>
      <c r="D251" s="67" t="n">
        <f aca="false">-D246*Inputs!$D$27</f>
        <v>-4936.4744</v>
      </c>
      <c r="E251" s="67" t="n">
        <f aca="false">-E246*Inputs!$D$27</f>
        <v>-4936.4744</v>
      </c>
      <c r="F251" s="67" t="n">
        <f aca="false">-F246*Inputs!$D$27</f>
        <v>-4936.4744</v>
      </c>
      <c r="G251" s="67" t="n">
        <f aca="false">-G246*Inputs!$D$27</f>
        <v>-4936.4744</v>
      </c>
      <c r="H251" s="67" t="n">
        <f aca="false">-H246*Inputs!$D$27</f>
        <v>-4936.4744</v>
      </c>
      <c r="I251" s="67" t="n">
        <f aca="false">-I246*Inputs!$D$27</f>
        <v>-4936.4744</v>
      </c>
      <c r="J251" s="67" t="n">
        <f aca="false">-J246*Inputs!$D$27</f>
        <v>-4936.4744</v>
      </c>
      <c r="K251" s="67" t="n">
        <f aca="false">-K246*Inputs!$D$27</f>
        <v>-4936.4744</v>
      </c>
      <c r="L251" s="67" t="n">
        <f aca="false">-L246*Inputs!$D$27</f>
        <v>-4936.4744</v>
      </c>
      <c r="M251" s="67" t="n">
        <f aca="false">-M246*Inputs!$D$27</f>
        <v>-5776.628</v>
      </c>
      <c r="N251" s="67" t="n">
        <f aca="false">-N246*Inputs!$D$27</f>
        <v>-5776.628</v>
      </c>
      <c r="O251" s="67" t="n">
        <f aca="false">-O246*Inputs!$D$27</f>
        <v>-5570.9084288</v>
      </c>
      <c r="P251" s="67" t="n">
        <f aca="false">-P246*Inputs!$D$27</f>
        <v>-5570.9084288</v>
      </c>
      <c r="Q251" s="67" t="n">
        <f aca="false">-Q246*Inputs!$D$27</f>
        <v>-5570.9084288</v>
      </c>
      <c r="R251" s="67" t="n">
        <f aca="false">-R246*Inputs!$D$27</f>
        <v>-5570.9084288</v>
      </c>
      <c r="S251" s="67" t="n">
        <f aca="false">-S246*Inputs!$D$27</f>
        <v>-5570.9084288</v>
      </c>
      <c r="T251" s="67" t="n">
        <f aca="false">-T246*Inputs!$D$27</f>
        <v>-5570.9084288</v>
      </c>
      <c r="U251" s="67" t="n">
        <f aca="false">-U246*Inputs!$D$27</f>
        <v>-5570.9084288</v>
      </c>
      <c r="V251" s="67" t="n">
        <f aca="false">-V246*Inputs!$D$27</f>
        <v>-5570.9084288</v>
      </c>
      <c r="W251" s="67" t="n">
        <f aca="false">-W246*Inputs!$D$27</f>
        <v>-5570.9084288</v>
      </c>
      <c r="X251" s="67" t="n">
        <f aca="false">-X246*Inputs!$D$27</f>
        <v>-5570.9084288</v>
      </c>
      <c r="Y251" s="67" t="n">
        <f aca="false">-Y246*Inputs!$D$27</f>
        <v>-6488.35616</v>
      </c>
      <c r="Z251" s="67" t="n">
        <f aca="false">-Z246*Inputs!$D$27</f>
        <v>-6488.35616</v>
      </c>
      <c r="AA251" s="67" t="n">
        <f aca="false">-AA246*Inputs!$D$27</f>
        <v>-6300.9198467072</v>
      </c>
      <c r="AB251" s="67" t="n">
        <f aca="false">-AB246*Inputs!$D$27</f>
        <v>-6300.9198467072</v>
      </c>
      <c r="AC251" s="67" t="n">
        <f aca="false">-AC246*Inputs!$D$27</f>
        <v>-6300.9198467072</v>
      </c>
      <c r="AD251" s="67" t="n">
        <f aca="false">-AD246*Inputs!$D$27</f>
        <v>-6300.9198467072</v>
      </c>
      <c r="AE251" s="67" t="n">
        <f aca="false">-AE246*Inputs!$D$27</f>
        <v>-6300.9198467072</v>
      </c>
      <c r="AF251" s="67" t="n">
        <f aca="false">-AF246*Inputs!$D$27</f>
        <v>-6300.9198467072</v>
      </c>
      <c r="AG251" s="67" t="n">
        <f aca="false">-AG246*Inputs!$D$27</f>
        <v>-6300.9198467072</v>
      </c>
      <c r="AH251" s="67" t="n">
        <f aca="false">-AH246*Inputs!$D$27</f>
        <v>-6300.9198467072</v>
      </c>
      <c r="AI251" s="67" t="n">
        <f aca="false">-AI246*Inputs!$D$27</f>
        <v>-6300.9198467072</v>
      </c>
      <c r="AJ251" s="67" t="n">
        <f aca="false">-AJ246*Inputs!$D$27</f>
        <v>-6300.9198467072</v>
      </c>
      <c r="AK251" s="67" t="n">
        <f aca="false">-AK246*Inputs!$D$27</f>
        <v>-7302.7727691776</v>
      </c>
      <c r="AL251" s="67" t="n">
        <f aca="false">-AL246*Inputs!$D$27</f>
        <v>-7302.7727691776</v>
      </c>
      <c r="AM251" s="67" t="n">
        <f aca="false">-AM246*Inputs!$D$27</f>
        <v>-7142.98180574511</v>
      </c>
      <c r="AN251" s="67" t="n">
        <f aca="false">-AN246*Inputs!$D$27</f>
        <v>-7142.98180574511</v>
      </c>
      <c r="AO251" s="67" t="n">
        <f aca="false">-AO246*Inputs!$D$27</f>
        <v>-7142.98180574511</v>
      </c>
      <c r="AP251" s="67" t="n">
        <f aca="false">-AP246*Inputs!$D$27</f>
        <v>-7142.98180574511</v>
      </c>
      <c r="AQ251" s="67" t="n">
        <f aca="false">-AQ246*Inputs!$D$27</f>
        <v>-7142.98180574511</v>
      </c>
      <c r="AR251" s="67" t="n">
        <f aca="false">-AR246*Inputs!$D$27</f>
        <v>-7142.98180574511</v>
      </c>
      <c r="AS251" s="67" t="n">
        <f aca="false">-AS246*Inputs!$D$27</f>
        <v>-7142.98180574511</v>
      </c>
      <c r="AT251" s="67" t="n">
        <f aca="false">-AT246*Inputs!$D$27</f>
        <v>-7142.98180574511</v>
      </c>
      <c r="AU251" s="67" t="n">
        <f aca="false">-AU246*Inputs!$D$27</f>
        <v>-7142.98180574511</v>
      </c>
      <c r="AV251" s="67" t="n">
        <f aca="false">-AV246*Inputs!$D$27</f>
        <v>-7142.98180574511</v>
      </c>
      <c r="AW251" s="67" t="n">
        <f aca="false">-AW246*Inputs!$D$27</f>
        <v>-8237.00519708279</v>
      </c>
      <c r="AX251" s="67" t="n">
        <f aca="false">-AX246*Inputs!$D$27</f>
        <v>-8237.00519708279</v>
      </c>
      <c r="AY251" s="67" t="n">
        <f aca="false">-AY246*Inputs!$D$27</f>
        <v>-8116.66814657478</v>
      </c>
      <c r="AZ251" s="67" t="n">
        <f aca="false">-AZ246*Inputs!$D$27</f>
        <v>-8116.66814657478</v>
      </c>
      <c r="BA251" s="67" t="n">
        <f aca="false">-BA246*Inputs!$D$27</f>
        <v>-8116.66814657478</v>
      </c>
      <c r="BB251" s="67" t="n">
        <f aca="false">-BB246*Inputs!$D$27</f>
        <v>-8116.66814657478</v>
      </c>
      <c r="BC251" s="67" t="n">
        <f aca="false">-BC246*Inputs!$D$27</f>
        <v>-8116.66814657478</v>
      </c>
      <c r="BD251" s="67" t="n">
        <f aca="false">-BD246*Inputs!$D$27</f>
        <v>-8116.66814657478</v>
      </c>
      <c r="BE251" s="67" t="n">
        <f aca="false">-BE246*Inputs!$D$27</f>
        <v>-8116.66814657478</v>
      </c>
      <c r="BF251" s="67" t="n">
        <f aca="false">-BF246*Inputs!$D$27</f>
        <v>-8116.66814657478</v>
      </c>
      <c r="BG251" s="67" t="n">
        <f aca="false">-BG246*Inputs!$D$27</f>
        <v>-8116.66814657478</v>
      </c>
      <c r="BH251" s="67" t="n">
        <f aca="false">-BH246*Inputs!$D$27</f>
        <v>-8116.66814657478</v>
      </c>
      <c r="BI251" s="67" t="n">
        <f aca="false">-BI246*Inputs!$D$27</f>
        <v>-9311.34168991553</v>
      </c>
      <c r="BJ251" s="67" t="n">
        <f aca="false">-BJ246*Inputs!$D$27</f>
        <v>-9311.34168991553</v>
      </c>
    </row>
    <row r="252" customFormat="false" ht="15" hidden="false" customHeight="false" outlineLevel="0" collapsed="false">
      <c r="A252" s="4" t="s">
        <v>76</v>
      </c>
      <c r="C252" s="73" t="n">
        <f aca="false">C249+C250+C251</f>
        <v>-42327.5440774194</v>
      </c>
      <c r="D252" s="73" t="n">
        <f aca="false">D249+D250+D251</f>
        <v>-44616.709883871</v>
      </c>
      <c r="E252" s="73" t="n">
        <f aca="false">E249+E250+E251</f>
        <v>-44616.709883871</v>
      </c>
      <c r="F252" s="73" t="n">
        <f aca="false">F249+F250+F251</f>
        <v>-44616.709883871</v>
      </c>
      <c r="G252" s="73" t="n">
        <f aca="false">G249+G250+G251</f>
        <v>-44616.709883871</v>
      </c>
      <c r="H252" s="73" t="n">
        <f aca="false">H249+H250+H251</f>
        <v>-44616.709883871</v>
      </c>
      <c r="I252" s="73" t="n">
        <f aca="false">I249+I250+I251</f>
        <v>-44616.709883871</v>
      </c>
      <c r="J252" s="73" t="n">
        <f aca="false">J249+J250+J251</f>
        <v>-44616.709883871</v>
      </c>
      <c r="K252" s="73" t="n">
        <f aca="false">K249+K250+K251</f>
        <v>-44616.709883871</v>
      </c>
      <c r="L252" s="73" t="n">
        <f aca="false">L249+L250+L251</f>
        <v>-44616.709883871</v>
      </c>
      <c r="M252" s="73" t="n">
        <f aca="false">M249+M250+M251</f>
        <v>-51616.3473548387</v>
      </c>
      <c r="N252" s="73" t="n">
        <f aca="false">N249+N250+N251</f>
        <v>-51616.3473548387</v>
      </c>
      <c r="O252" s="73" t="n">
        <f aca="false">O249+O250+O251</f>
        <v>-50622.5646971871</v>
      </c>
      <c r="P252" s="73" t="n">
        <f aca="false">P249+P250+P251</f>
        <v>-50622.5646971871</v>
      </c>
      <c r="Q252" s="73" t="n">
        <f aca="false">Q249+Q250+Q251</f>
        <v>-50622.5646971871</v>
      </c>
      <c r="R252" s="73" t="n">
        <f aca="false">R249+R250+R251</f>
        <v>-50622.5646971871</v>
      </c>
      <c r="S252" s="73" t="n">
        <f aca="false">S249+S250+S251</f>
        <v>-50622.5646971871</v>
      </c>
      <c r="T252" s="73" t="n">
        <f aca="false">T249+T250+T251</f>
        <v>-50622.5646971871</v>
      </c>
      <c r="U252" s="73" t="n">
        <f aca="false">U249+U250+U251</f>
        <v>-50622.5646971871</v>
      </c>
      <c r="V252" s="73" t="n">
        <f aca="false">V249+V250+V251</f>
        <v>-50622.5646971871</v>
      </c>
      <c r="W252" s="73" t="n">
        <f aca="false">W249+W250+W251</f>
        <v>-50622.5646971871</v>
      </c>
      <c r="X252" s="73" t="n">
        <f aca="false">X249+X250+X251</f>
        <v>-50622.5646971871</v>
      </c>
      <c r="Y252" s="73" t="n">
        <f aca="false">Y249+Y250+Y251</f>
        <v>-58266.1688154839</v>
      </c>
      <c r="Z252" s="73" t="n">
        <f aca="false">Z249+Z250+Z251</f>
        <v>-58266.1688154839</v>
      </c>
      <c r="AA252" s="73" t="n">
        <f aca="false">AA249+AA250+AA251</f>
        <v>-57573.3488061539</v>
      </c>
      <c r="AB252" s="73" t="n">
        <f aca="false">AB249+AB250+AB251</f>
        <v>-57573.3488061539</v>
      </c>
      <c r="AC252" s="73" t="n">
        <f aca="false">AC249+AC250+AC251</f>
        <v>-57573.3488061539</v>
      </c>
      <c r="AD252" s="73" t="n">
        <f aca="false">AD249+AD250+AD251</f>
        <v>-57573.3488061539</v>
      </c>
      <c r="AE252" s="73" t="n">
        <f aca="false">AE249+AE250+AE251</f>
        <v>-57573.3488061539</v>
      </c>
      <c r="AF252" s="73" t="n">
        <f aca="false">AF249+AF250+AF251</f>
        <v>-57573.3488061539</v>
      </c>
      <c r="AG252" s="73" t="n">
        <f aca="false">AG249+AG250+AG251</f>
        <v>-57573.3488061539</v>
      </c>
      <c r="AH252" s="73" t="n">
        <f aca="false">AH249+AH250+AH251</f>
        <v>-57573.3488061539</v>
      </c>
      <c r="AI252" s="73" t="n">
        <f aca="false">AI249+AI250+AI251</f>
        <v>-57573.3488061539</v>
      </c>
      <c r="AJ252" s="73" t="n">
        <f aca="false">AJ249+AJ250+AJ251</f>
        <v>-57573.3488061539</v>
      </c>
      <c r="AK252" s="73" t="n">
        <f aca="false">AK249+AK250+AK251</f>
        <v>-65920.164503334</v>
      </c>
      <c r="AL252" s="73" t="n">
        <f aca="false">AL249+AL250+AL251</f>
        <v>-65920.164503334</v>
      </c>
      <c r="AM252" s="73" t="n">
        <f aca="false">AM249+AM250+AM251</f>
        <v>-65636.9851367145</v>
      </c>
      <c r="AN252" s="73" t="n">
        <f aca="false">AN249+AN250+AN251</f>
        <v>-65636.9851367145</v>
      </c>
      <c r="AO252" s="73" t="n">
        <f aca="false">AO249+AO250+AO251</f>
        <v>-65636.9851367145</v>
      </c>
      <c r="AP252" s="73" t="n">
        <f aca="false">AP249+AP250+AP251</f>
        <v>-65636.9851367145</v>
      </c>
      <c r="AQ252" s="73" t="n">
        <f aca="false">AQ249+AQ250+AQ251</f>
        <v>-65636.9851367145</v>
      </c>
      <c r="AR252" s="73" t="n">
        <f aca="false">AR249+AR250+AR251</f>
        <v>-65636.9851367145</v>
      </c>
      <c r="AS252" s="73" t="n">
        <f aca="false">AS249+AS250+AS251</f>
        <v>-65636.9851367145</v>
      </c>
      <c r="AT252" s="73" t="n">
        <f aca="false">AT249+AT250+AT251</f>
        <v>-65636.9851367145</v>
      </c>
      <c r="AU252" s="73" t="n">
        <f aca="false">AU249+AU250+AU251</f>
        <v>-65636.9851367145</v>
      </c>
      <c r="AV252" s="73" t="n">
        <f aca="false">AV249+AV250+AV251</f>
        <v>-65636.9851367145</v>
      </c>
      <c r="AW252" s="73" t="n">
        <f aca="false">AW249+AW250+AW251</f>
        <v>-74751.7078780351</v>
      </c>
      <c r="AX252" s="73" t="n">
        <f aca="false">AX249+AX250+AX251</f>
        <v>-74751.7078780351</v>
      </c>
      <c r="AY252" s="73" t="n">
        <f aca="false">AY249+AY250+AY251</f>
        <v>-75013.561742504</v>
      </c>
      <c r="AZ252" s="73" t="n">
        <f aca="false">AZ249+AZ250+AZ251</f>
        <v>-75013.561742504</v>
      </c>
      <c r="BA252" s="73" t="n">
        <f aca="false">BA249+BA250+BA251</f>
        <v>-75013.561742504</v>
      </c>
      <c r="BB252" s="73" t="n">
        <f aca="false">BB249+BB250+BB251</f>
        <v>-75013.561742504</v>
      </c>
      <c r="BC252" s="73" t="n">
        <f aca="false">BC249+BC250+BC251</f>
        <v>-75013.561742504</v>
      </c>
      <c r="BD252" s="73" t="n">
        <f aca="false">BD249+BD250+BD251</f>
        <v>-75013.561742504</v>
      </c>
      <c r="BE252" s="73" t="n">
        <f aca="false">BE249+BE250+BE251</f>
        <v>-75013.561742504</v>
      </c>
      <c r="BF252" s="73" t="n">
        <f aca="false">BF249+BF250+BF251</f>
        <v>-75013.561742504</v>
      </c>
      <c r="BG252" s="73" t="n">
        <f aca="false">BG249+BG250+BG251</f>
        <v>-75013.561742504</v>
      </c>
      <c r="BH252" s="73" t="n">
        <f aca="false">BH249+BH250+BH251</f>
        <v>-75013.561742504</v>
      </c>
      <c r="BI252" s="73" t="n">
        <f aca="false">BI249+BI250+BI251</f>
        <v>-84966.8389760262</v>
      </c>
      <c r="BJ252" s="73" t="n">
        <f aca="false">BJ249+BJ250+BJ251</f>
        <v>-84966.8389760262</v>
      </c>
    </row>
    <row r="253" customFormat="false" ht="15" hidden="false" customHeight="false" outlineLevel="0" collapsed="false">
      <c r="A253" s="115" t="s">
        <v>45</v>
      </c>
      <c r="C253" s="68" t="n">
        <f aca="false">C246+C252</f>
        <v>99570.9225892473</v>
      </c>
      <c r="D253" s="68" t="n">
        <f aca="false">D246+D252</f>
        <v>104973.423449462</v>
      </c>
      <c r="E253" s="68" t="n">
        <f aca="false">E246+E252</f>
        <v>104973.423449462</v>
      </c>
      <c r="F253" s="68" t="n">
        <f aca="false">F246+F252</f>
        <v>104973.423449462</v>
      </c>
      <c r="G253" s="68" t="n">
        <f aca="false">G246+G252</f>
        <v>104973.423449462</v>
      </c>
      <c r="H253" s="68" t="n">
        <f aca="false">H246+H252</f>
        <v>104973.423449462</v>
      </c>
      <c r="I253" s="68" t="n">
        <f aca="false">I246+I252</f>
        <v>104973.423449462</v>
      </c>
      <c r="J253" s="68" t="n">
        <f aca="false">J246+J252</f>
        <v>104973.423449462</v>
      </c>
      <c r="K253" s="68" t="n">
        <f aca="false">K246+K252</f>
        <v>104973.423449462</v>
      </c>
      <c r="L253" s="68" t="n">
        <f aca="false">L246+L252</f>
        <v>104973.423449462</v>
      </c>
      <c r="M253" s="68" t="n">
        <f aca="false">M246+M252</f>
        <v>123432.985978495</v>
      </c>
      <c r="N253" s="68" t="n">
        <f aca="false">N246+N252</f>
        <v>123432.985978495</v>
      </c>
      <c r="O253" s="68" t="n">
        <f aca="false">O246+O252</f>
        <v>118192.842236146</v>
      </c>
      <c r="P253" s="68" t="n">
        <f aca="false">P246+P252</f>
        <v>118192.842236146</v>
      </c>
      <c r="Q253" s="68" t="n">
        <f aca="false">Q246+Q252</f>
        <v>118192.842236146</v>
      </c>
      <c r="R253" s="68" t="n">
        <f aca="false">R246+R252</f>
        <v>118192.842236146</v>
      </c>
      <c r="S253" s="68" t="n">
        <f aca="false">S246+S252</f>
        <v>118192.842236146</v>
      </c>
      <c r="T253" s="68" t="n">
        <f aca="false">T246+T252</f>
        <v>118192.842236146</v>
      </c>
      <c r="U253" s="68" t="n">
        <f aca="false">U246+U252</f>
        <v>118192.842236146</v>
      </c>
      <c r="V253" s="68" t="n">
        <f aca="false">V246+V252</f>
        <v>118192.842236146</v>
      </c>
      <c r="W253" s="68" t="n">
        <f aca="false">W246+W252</f>
        <v>118192.842236146</v>
      </c>
      <c r="X253" s="68" t="n">
        <f aca="false">X246+X252</f>
        <v>118192.842236146</v>
      </c>
      <c r="Y253" s="68" t="n">
        <f aca="false">Y246+Y252</f>
        <v>138350.684517849</v>
      </c>
      <c r="Z253" s="68" t="n">
        <f aca="false">Z246+Z252</f>
        <v>138350.684517849</v>
      </c>
      <c r="AA253" s="68" t="n">
        <f aca="false">AA246+AA252</f>
        <v>133363.616245579</v>
      </c>
      <c r="AB253" s="68" t="n">
        <f aca="false">AB246+AB252</f>
        <v>133363.616245579</v>
      </c>
      <c r="AC253" s="68" t="n">
        <f aca="false">AC246+AC252</f>
        <v>133363.616245579</v>
      </c>
      <c r="AD253" s="68" t="n">
        <f aca="false">AD246+AD252</f>
        <v>133363.616245579</v>
      </c>
      <c r="AE253" s="68" t="n">
        <f aca="false">AE246+AE252</f>
        <v>133363.616245579</v>
      </c>
      <c r="AF253" s="68" t="n">
        <f aca="false">AF246+AF252</f>
        <v>133363.616245579</v>
      </c>
      <c r="AG253" s="68" t="n">
        <f aca="false">AG246+AG252</f>
        <v>133363.616245579</v>
      </c>
      <c r="AH253" s="68" t="n">
        <f aca="false">AH246+AH252</f>
        <v>133363.616245579</v>
      </c>
      <c r="AI253" s="68" t="n">
        <f aca="false">AI246+AI252</f>
        <v>133363.616245579</v>
      </c>
      <c r="AJ253" s="68" t="n">
        <f aca="false">AJ246+AJ252</f>
        <v>133363.616245579</v>
      </c>
      <c r="AK253" s="68" t="n">
        <f aca="false">AK246+AK252</f>
        <v>155375.980017199</v>
      </c>
      <c r="AL253" s="68" t="n">
        <f aca="false">AL246+AL252</f>
        <v>155375.980017199</v>
      </c>
      <c r="AM253" s="68" t="n">
        <f aca="false">AM246+AM252</f>
        <v>150817.008976774</v>
      </c>
      <c r="AN253" s="68" t="n">
        <f aca="false">AN246+AN252</f>
        <v>150817.008976774</v>
      </c>
      <c r="AO253" s="68" t="n">
        <f aca="false">AO246+AO252</f>
        <v>150817.008976774</v>
      </c>
      <c r="AP253" s="68" t="n">
        <f aca="false">AP246+AP252</f>
        <v>150817.008976774</v>
      </c>
      <c r="AQ253" s="68" t="n">
        <f aca="false">AQ246+AQ252</f>
        <v>150817.008976774</v>
      </c>
      <c r="AR253" s="68" t="n">
        <f aca="false">AR246+AR252</f>
        <v>150817.008976774</v>
      </c>
      <c r="AS253" s="68" t="n">
        <f aca="false">AS246+AS252</f>
        <v>150817.008976774</v>
      </c>
      <c r="AT253" s="68" t="n">
        <f aca="false">AT246+AT252</f>
        <v>150817.008976774</v>
      </c>
      <c r="AU253" s="68" t="n">
        <f aca="false">AU246+AU252</f>
        <v>150817.008976774</v>
      </c>
      <c r="AV253" s="68" t="n">
        <f aca="false">AV246+AV252</f>
        <v>150817.008976774</v>
      </c>
      <c r="AW253" s="68" t="n">
        <f aca="false">AW246+AW252</f>
        <v>174854.510215383</v>
      </c>
      <c r="AX253" s="68" t="n">
        <f aca="false">AX246+AX252</f>
        <v>174854.510215383</v>
      </c>
      <c r="AY253" s="68" t="n">
        <f aca="false">AY246+AY252</f>
        <v>170946.079062792</v>
      </c>
      <c r="AZ253" s="68" t="n">
        <f aca="false">AZ246+AZ252</f>
        <v>170946.079062792</v>
      </c>
      <c r="BA253" s="68" t="n">
        <f aca="false">BA246+BA252</f>
        <v>170946.079062792</v>
      </c>
      <c r="BB253" s="68" t="n">
        <f aca="false">BB246+BB252</f>
        <v>170946.079062792</v>
      </c>
      <c r="BC253" s="68" t="n">
        <f aca="false">BC246+BC252</f>
        <v>170946.079062792</v>
      </c>
      <c r="BD253" s="68" t="n">
        <f aca="false">BD246+BD252</f>
        <v>170946.079062792</v>
      </c>
      <c r="BE253" s="68" t="n">
        <f aca="false">BE246+BE252</f>
        <v>170946.079062792</v>
      </c>
      <c r="BF253" s="68" t="n">
        <f aca="false">BF246+BF252</f>
        <v>170946.079062792</v>
      </c>
      <c r="BG253" s="68" t="n">
        <f aca="false">BG246+BG252</f>
        <v>170946.079062792</v>
      </c>
      <c r="BH253" s="68" t="n">
        <f aca="false">BH246+BH252</f>
        <v>170946.079062792</v>
      </c>
      <c r="BI253" s="68" t="n">
        <f aca="false">BI246+BI252</f>
        <v>197195.030415353</v>
      </c>
      <c r="BJ253" s="68" t="n">
        <f aca="false">BJ246+BJ252</f>
        <v>197195.030415353</v>
      </c>
    </row>
    <row r="255" customFormat="false" ht="15.75" hidden="false" customHeight="true" outlineLevel="0" collapsed="false">
      <c r="A255" s="7" t="s">
        <v>47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customFormat="false" ht="15" hidden="false" customHeight="false" outlineLevel="0" collapsed="false">
      <c r="A256" s="6" t="s">
        <v>323</v>
      </c>
      <c r="C256" s="67" t="n">
        <f aca="false">C334</f>
        <v>-49466.6666666667</v>
      </c>
      <c r="D256" s="67" t="n">
        <f aca="false">D334</f>
        <v>-49466.6666666667</v>
      </c>
      <c r="E256" s="67" t="n">
        <f aca="false">E334</f>
        <v>-49466.6666666667</v>
      </c>
      <c r="F256" s="67" t="n">
        <f aca="false">F334</f>
        <v>-49466.6666666667</v>
      </c>
      <c r="G256" s="67" t="n">
        <f aca="false">G334</f>
        <v>-49466.6666666667</v>
      </c>
      <c r="H256" s="67" t="n">
        <f aca="false">H334</f>
        <v>-49466.6666666667</v>
      </c>
      <c r="I256" s="67" t="n">
        <f aca="false">I334</f>
        <v>-49466.6666666667</v>
      </c>
      <c r="J256" s="67" t="n">
        <f aca="false">J334</f>
        <v>-49466.6666666667</v>
      </c>
      <c r="K256" s="67" t="n">
        <f aca="false">K334</f>
        <v>-49466.6666666667</v>
      </c>
      <c r="L256" s="67" t="n">
        <f aca="false">L334</f>
        <v>-49466.6666666667</v>
      </c>
      <c r="M256" s="67" t="n">
        <f aca="false">M334</f>
        <v>-49466.6666666667</v>
      </c>
      <c r="N256" s="67" t="n">
        <f aca="false">N334</f>
        <v>-49466.6666666667</v>
      </c>
      <c r="O256" s="67" t="n">
        <f aca="false">O334</f>
        <v>-53471.2826666667</v>
      </c>
      <c r="P256" s="67" t="n">
        <f aca="false">P334</f>
        <v>-53471.2826666667</v>
      </c>
      <c r="Q256" s="67" t="n">
        <f aca="false">Q334</f>
        <v>-53471.2826666667</v>
      </c>
      <c r="R256" s="67" t="n">
        <f aca="false">R334</f>
        <v>-53471.2826666667</v>
      </c>
      <c r="S256" s="67" t="n">
        <f aca="false">S334</f>
        <v>-53471.2826666667</v>
      </c>
      <c r="T256" s="67" t="n">
        <f aca="false">T334</f>
        <v>-53471.2826666667</v>
      </c>
      <c r="U256" s="67" t="n">
        <f aca="false">U334</f>
        <v>-53471.2826666667</v>
      </c>
      <c r="V256" s="67" t="n">
        <f aca="false">V334</f>
        <v>-53471.2826666667</v>
      </c>
      <c r="W256" s="67" t="n">
        <f aca="false">W334</f>
        <v>-53471.2826666667</v>
      </c>
      <c r="X256" s="67" t="n">
        <f aca="false">X334</f>
        <v>-53471.2826666667</v>
      </c>
      <c r="Y256" s="67" t="n">
        <f aca="false">Y334</f>
        <v>-53471.2826666667</v>
      </c>
      <c r="Z256" s="67" t="n">
        <f aca="false">Z334</f>
        <v>-53471.2826666667</v>
      </c>
      <c r="AA256" s="67" t="n">
        <f aca="false">AA334</f>
        <v>-57827.4296954667</v>
      </c>
      <c r="AB256" s="67" t="n">
        <f aca="false">AB334</f>
        <v>-57827.4296954667</v>
      </c>
      <c r="AC256" s="67" t="n">
        <f aca="false">AC334</f>
        <v>-57827.4296954667</v>
      </c>
      <c r="AD256" s="67" t="n">
        <f aca="false">AD334</f>
        <v>-57827.4296954667</v>
      </c>
      <c r="AE256" s="67" t="n">
        <f aca="false">AE334</f>
        <v>-57827.4296954667</v>
      </c>
      <c r="AF256" s="67" t="n">
        <f aca="false">AF334</f>
        <v>-57827.4296954667</v>
      </c>
      <c r="AG256" s="67" t="n">
        <f aca="false">AG334</f>
        <v>-57827.4296954667</v>
      </c>
      <c r="AH256" s="67" t="n">
        <f aca="false">AH334</f>
        <v>-57827.4296954667</v>
      </c>
      <c r="AI256" s="67" t="n">
        <f aca="false">AI334</f>
        <v>-57827.4296954667</v>
      </c>
      <c r="AJ256" s="67" t="n">
        <f aca="false">AJ334</f>
        <v>-57827.4296954667</v>
      </c>
      <c r="AK256" s="67" t="n">
        <f aca="false">AK334</f>
        <v>-57827.4296954667</v>
      </c>
      <c r="AL256" s="67" t="n">
        <f aca="false">AL334</f>
        <v>-57827.4296954667</v>
      </c>
      <c r="AM256" s="67" t="n">
        <f aca="false">AM334</f>
        <v>-62566.8955199105</v>
      </c>
      <c r="AN256" s="67" t="n">
        <f aca="false">AN334</f>
        <v>-62566.8955199105</v>
      </c>
      <c r="AO256" s="67" t="n">
        <f aca="false">AO334</f>
        <v>-62566.8955199105</v>
      </c>
      <c r="AP256" s="67" t="n">
        <f aca="false">AP334</f>
        <v>-62566.8955199105</v>
      </c>
      <c r="AQ256" s="67" t="n">
        <f aca="false">AQ334</f>
        <v>-62566.8955199105</v>
      </c>
      <c r="AR256" s="67" t="n">
        <f aca="false">AR334</f>
        <v>-62566.8955199105</v>
      </c>
      <c r="AS256" s="67" t="n">
        <f aca="false">AS334</f>
        <v>-62566.8955199105</v>
      </c>
      <c r="AT256" s="67" t="n">
        <f aca="false">AT334</f>
        <v>-62566.8955199105</v>
      </c>
      <c r="AU256" s="67" t="n">
        <f aca="false">AU334</f>
        <v>-62566.8955199105</v>
      </c>
      <c r="AV256" s="67" t="n">
        <f aca="false">AV334</f>
        <v>-62566.8955199105</v>
      </c>
      <c r="AW256" s="67" t="n">
        <f aca="false">AW334</f>
        <v>-62566.8955199105</v>
      </c>
      <c r="AX256" s="67" t="n">
        <f aca="false">AX334</f>
        <v>-62566.8955199105</v>
      </c>
      <c r="AY256" s="67" t="n">
        <f aca="false">AY334</f>
        <v>-67724.3715403903</v>
      </c>
      <c r="AZ256" s="67" t="n">
        <f aca="false">AZ334</f>
        <v>-67724.3715403903</v>
      </c>
      <c r="BA256" s="67" t="n">
        <f aca="false">BA334</f>
        <v>-67724.3715403903</v>
      </c>
      <c r="BB256" s="67" t="n">
        <f aca="false">BB334</f>
        <v>-67724.3715403903</v>
      </c>
      <c r="BC256" s="67" t="n">
        <f aca="false">BC334</f>
        <v>-67724.3715403903</v>
      </c>
      <c r="BD256" s="67" t="n">
        <f aca="false">BD334</f>
        <v>-67724.3715403903</v>
      </c>
      <c r="BE256" s="67" t="n">
        <f aca="false">BE334</f>
        <v>-67724.3715403903</v>
      </c>
      <c r="BF256" s="67" t="n">
        <f aca="false">BF334</f>
        <v>-67724.3715403903</v>
      </c>
      <c r="BG256" s="67" t="n">
        <f aca="false">BG334</f>
        <v>-67724.3715403903</v>
      </c>
      <c r="BH256" s="67" t="n">
        <f aca="false">BH334</f>
        <v>-67724.3715403903</v>
      </c>
      <c r="BI256" s="67" t="n">
        <f aca="false">BI334</f>
        <v>-67724.3715403903</v>
      </c>
      <c r="BJ256" s="67" t="n">
        <f aca="false">BJ334</f>
        <v>-67724.3715403903</v>
      </c>
    </row>
    <row r="257" customFormat="false" ht="15" hidden="false" customHeight="false" outlineLevel="0" collapsed="false">
      <c r="A257" s="6" t="s">
        <v>324</v>
      </c>
      <c r="C257" s="67" t="n">
        <f aca="false">-Inputs!$D$30*1</f>
        <v>-12000</v>
      </c>
      <c r="D257" s="67" t="n">
        <f aca="false">-Inputs!$D$30*1</f>
        <v>-12000</v>
      </c>
      <c r="E257" s="67" t="n">
        <f aca="false">-Inputs!$D$30*1</f>
        <v>-12000</v>
      </c>
      <c r="F257" s="67" t="n">
        <f aca="false">-Inputs!$D$30*1</f>
        <v>-12000</v>
      </c>
      <c r="G257" s="67" t="n">
        <f aca="false">-Inputs!$D$30*1</f>
        <v>-12000</v>
      </c>
      <c r="H257" s="67" t="n">
        <f aca="false">-Inputs!$D$30*1</f>
        <v>-12000</v>
      </c>
      <c r="I257" s="67" t="n">
        <f aca="false">-Inputs!$D$30*1</f>
        <v>-12000</v>
      </c>
      <c r="J257" s="67" t="n">
        <f aca="false">-Inputs!$D$30*1</f>
        <v>-12000</v>
      </c>
      <c r="K257" s="67" t="n">
        <f aca="false">-Inputs!$D$30*1</f>
        <v>-12000</v>
      </c>
      <c r="L257" s="67" t="n">
        <f aca="false">-Inputs!$D$30*1</f>
        <v>-12000</v>
      </c>
      <c r="M257" s="67" t="n">
        <f aca="false">-Inputs!$D$30*1</f>
        <v>-12000</v>
      </c>
      <c r="N257" s="67" t="n">
        <f aca="false">-Inputs!$D$30*1</f>
        <v>-12000</v>
      </c>
      <c r="O257" s="67" t="n">
        <f aca="false">-Inputs!$D$30*1</f>
        <v>-12000</v>
      </c>
      <c r="P257" s="67" t="n">
        <f aca="false">-Inputs!$D$30*1</f>
        <v>-12000</v>
      </c>
      <c r="Q257" s="67" t="n">
        <f aca="false">-Inputs!$D$30*1</f>
        <v>-12000</v>
      </c>
      <c r="R257" s="67" t="n">
        <f aca="false">-Inputs!$D$30*1</f>
        <v>-12000</v>
      </c>
      <c r="S257" s="67" t="n">
        <f aca="false">-Inputs!$D$30*1</f>
        <v>-12000</v>
      </c>
      <c r="T257" s="67" t="n">
        <f aca="false">-Inputs!$D$30*1</f>
        <v>-12000</v>
      </c>
      <c r="U257" s="67" t="n">
        <f aca="false">-Inputs!$D$30*1</f>
        <v>-12000</v>
      </c>
      <c r="V257" s="67" t="n">
        <f aca="false">-Inputs!$D$30*1</f>
        <v>-12000</v>
      </c>
      <c r="W257" s="67" t="n">
        <f aca="false">-Inputs!$D$30*1</f>
        <v>-12000</v>
      </c>
      <c r="X257" s="67" t="n">
        <f aca="false">-Inputs!$D$30*1</f>
        <v>-12000</v>
      </c>
      <c r="Y257" s="67" t="n">
        <f aca="false">-Inputs!$D$30*1</f>
        <v>-12000</v>
      </c>
      <c r="Z257" s="67" t="n">
        <f aca="false">-Inputs!$D$30*1</f>
        <v>-12000</v>
      </c>
      <c r="AA257" s="67" t="n">
        <f aca="false">-Inputs!$D$30*1</f>
        <v>-12000</v>
      </c>
      <c r="AB257" s="67" t="n">
        <f aca="false">-Inputs!$D$30*1</f>
        <v>-12000</v>
      </c>
      <c r="AC257" s="67" t="n">
        <f aca="false">-Inputs!$D$30*1</f>
        <v>-12000</v>
      </c>
      <c r="AD257" s="67" t="n">
        <f aca="false">-Inputs!$D$30*1</f>
        <v>-12000</v>
      </c>
      <c r="AE257" s="67" t="n">
        <f aca="false">-Inputs!$D$30*1</f>
        <v>-12000</v>
      </c>
      <c r="AF257" s="67" t="n">
        <f aca="false">-Inputs!$D$30*1</f>
        <v>-12000</v>
      </c>
      <c r="AG257" s="67" t="n">
        <f aca="false">-Inputs!$D$30*1</f>
        <v>-12000</v>
      </c>
      <c r="AH257" s="67" t="n">
        <f aca="false">-Inputs!$D$30*1</f>
        <v>-12000</v>
      </c>
      <c r="AI257" s="67" t="n">
        <f aca="false">-Inputs!$D$30*1</f>
        <v>-12000</v>
      </c>
      <c r="AJ257" s="67" t="n">
        <f aca="false">-Inputs!$D$30*1</f>
        <v>-12000</v>
      </c>
      <c r="AK257" s="67" t="n">
        <f aca="false">-Inputs!$D$30*1</f>
        <v>-12000</v>
      </c>
      <c r="AL257" s="67" t="n">
        <f aca="false">-Inputs!$D$30*1</f>
        <v>-12000</v>
      </c>
      <c r="AM257" s="67" t="n">
        <f aca="false">-Inputs!$D$30*1</f>
        <v>-12000</v>
      </c>
      <c r="AN257" s="67" t="n">
        <f aca="false">-Inputs!$D$30*1</f>
        <v>-12000</v>
      </c>
      <c r="AO257" s="67" t="n">
        <f aca="false">-Inputs!$D$30*1</f>
        <v>-12000</v>
      </c>
      <c r="AP257" s="67" t="n">
        <f aca="false">-Inputs!$D$30*1</f>
        <v>-12000</v>
      </c>
      <c r="AQ257" s="67" t="n">
        <f aca="false">-Inputs!$D$30*1</f>
        <v>-12000</v>
      </c>
      <c r="AR257" s="67" t="n">
        <f aca="false">-Inputs!$D$30*1</f>
        <v>-12000</v>
      </c>
      <c r="AS257" s="67" t="n">
        <f aca="false">-Inputs!$D$30*1</f>
        <v>-12000</v>
      </c>
      <c r="AT257" s="67" t="n">
        <f aca="false">-Inputs!$D$30*1</f>
        <v>-12000</v>
      </c>
      <c r="AU257" s="67" t="n">
        <f aca="false">-Inputs!$D$30*1</f>
        <v>-12000</v>
      </c>
      <c r="AV257" s="67" t="n">
        <f aca="false">-Inputs!$D$30*1</f>
        <v>-12000</v>
      </c>
      <c r="AW257" s="67" t="n">
        <f aca="false">-Inputs!$D$30*1</f>
        <v>-12000</v>
      </c>
      <c r="AX257" s="67" t="n">
        <f aca="false">-Inputs!$D$30*1</f>
        <v>-12000</v>
      </c>
      <c r="AY257" s="67" t="n">
        <f aca="false">-Inputs!$D$30*1</f>
        <v>-12000</v>
      </c>
      <c r="AZ257" s="67" t="n">
        <f aca="false">-Inputs!$D$30*1</f>
        <v>-12000</v>
      </c>
      <c r="BA257" s="67" t="n">
        <f aca="false">-Inputs!$D$30*1</f>
        <v>-12000</v>
      </c>
      <c r="BB257" s="67" t="n">
        <f aca="false">-Inputs!$D$30*1</f>
        <v>-12000</v>
      </c>
      <c r="BC257" s="67" t="n">
        <f aca="false">-Inputs!$D$30*1</f>
        <v>-12000</v>
      </c>
      <c r="BD257" s="67" t="n">
        <f aca="false">-Inputs!$D$30*1</f>
        <v>-12000</v>
      </c>
      <c r="BE257" s="67" t="n">
        <f aca="false">-Inputs!$D$30*1</f>
        <v>-12000</v>
      </c>
      <c r="BF257" s="67" t="n">
        <f aca="false">-Inputs!$D$30*1</f>
        <v>-12000</v>
      </c>
      <c r="BG257" s="67" t="n">
        <f aca="false">-Inputs!$D$30*1</f>
        <v>-12000</v>
      </c>
      <c r="BH257" s="67" t="n">
        <f aca="false">-Inputs!$D$30*1</f>
        <v>-12000</v>
      </c>
      <c r="BI257" s="67" t="n">
        <f aca="false">-Inputs!$D$30*1</f>
        <v>-12000</v>
      </c>
      <c r="BJ257" s="67" t="n">
        <f aca="false">-Inputs!$D$30*1</f>
        <v>-12000</v>
      </c>
    </row>
    <row r="258" customFormat="false" ht="15" hidden="false" customHeight="false" outlineLevel="0" collapsed="false">
      <c r="A258" s="6" t="s">
        <v>325</v>
      </c>
      <c r="C258" s="67" t="n">
        <f aca="false">-Inputs!$D$31*1</f>
        <v>-4000</v>
      </c>
      <c r="D258" s="67" t="n">
        <f aca="false">-Inputs!$D$31*1</f>
        <v>-4000</v>
      </c>
      <c r="E258" s="67" t="n">
        <f aca="false">-Inputs!$D$31*1</f>
        <v>-4000</v>
      </c>
      <c r="F258" s="67" t="n">
        <f aca="false">-Inputs!$D$31*1</f>
        <v>-4000</v>
      </c>
      <c r="G258" s="67" t="n">
        <f aca="false">-Inputs!$D$31*1</f>
        <v>-4000</v>
      </c>
      <c r="H258" s="67" t="n">
        <f aca="false">-Inputs!$D$31*1</f>
        <v>-4000</v>
      </c>
      <c r="I258" s="67" t="n">
        <f aca="false">-Inputs!$D$31*1</f>
        <v>-4000</v>
      </c>
      <c r="J258" s="67" t="n">
        <f aca="false">-Inputs!$D$31*1</f>
        <v>-4000</v>
      </c>
      <c r="K258" s="67" t="n">
        <f aca="false">-Inputs!$D$31*1</f>
        <v>-4000</v>
      </c>
      <c r="L258" s="67" t="n">
        <f aca="false">-Inputs!$D$31*1</f>
        <v>-4000</v>
      </c>
      <c r="M258" s="67" t="n">
        <f aca="false">-Inputs!$D$31*1</f>
        <v>-4000</v>
      </c>
      <c r="N258" s="67" t="n">
        <f aca="false">-Inputs!$D$31*1</f>
        <v>-4000</v>
      </c>
      <c r="O258" s="67" t="n">
        <f aca="false">-Inputs!$D$31*1</f>
        <v>-4000</v>
      </c>
      <c r="P258" s="67" t="n">
        <f aca="false">-Inputs!$D$31*1</f>
        <v>-4000</v>
      </c>
      <c r="Q258" s="67" t="n">
        <f aca="false">-Inputs!$D$31*1</f>
        <v>-4000</v>
      </c>
      <c r="R258" s="67" t="n">
        <f aca="false">-Inputs!$D$31*1</f>
        <v>-4000</v>
      </c>
      <c r="S258" s="67" t="n">
        <f aca="false">-Inputs!$D$31*1</f>
        <v>-4000</v>
      </c>
      <c r="T258" s="67" t="n">
        <f aca="false">-Inputs!$D$31*1</f>
        <v>-4000</v>
      </c>
      <c r="U258" s="67" t="n">
        <f aca="false">-Inputs!$D$31*1</f>
        <v>-4000</v>
      </c>
      <c r="V258" s="67" t="n">
        <f aca="false">-Inputs!$D$31*1</f>
        <v>-4000</v>
      </c>
      <c r="W258" s="67" t="n">
        <f aca="false">-Inputs!$D$31*1</f>
        <v>-4000</v>
      </c>
      <c r="X258" s="67" t="n">
        <f aca="false">-Inputs!$D$31*1</f>
        <v>-4000</v>
      </c>
      <c r="Y258" s="67" t="n">
        <f aca="false">-Inputs!$D$31*1</f>
        <v>-4000</v>
      </c>
      <c r="Z258" s="67" t="n">
        <f aca="false">-Inputs!$D$31*1</f>
        <v>-4000</v>
      </c>
      <c r="AA258" s="67" t="n">
        <f aca="false">-Inputs!$D$31*1</f>
        <v>-4000</v>
      </c>
      <c r="AB258" s="67" t="n">
        <f aca="false">-Inputs!$D$31*1</f>
        <v>-4000</v>
      </c>
      <c r="AC258" s="67" t="n">
        <f aca="false">-Inputs!$D$31*1</f>
        <v>-4000</v>
      </c>
      <c r="AD258" s="67" t="n">
        <f aca="false">-Inputs!$D$31*1</f>
        <v>-4000</v>
      </c>
      <c r="AE258" s="67" t="n">
        <f aca="false">-Inputs!$D$31*1</f>
        <v>-4000</v>
      </c>
      <c r="AF258" s="67" t="n">
        <f aca="false">-Inputs!$D$31*1</f>
        <v>-4000</v>
      </c>
      <c r="AG258" s="67" t="n">
        <f aca="false">-Inputs!$D$31*1</f>
        <v>-4000</v>
      </c>
      <c r="AH258" s="67" t="n">
        <f aca="false">-Inputs!$D$31*1</f>
        <v>-4000</v>
      </c>
      <c r="AI258" s="67" t="n">
        <f aca="false">-Inputs!$D$31*1</f>
        <v>-4000</v>
      </c>
      <c r="AJ258" s="67" t="n">
        <f aca="false">-Inputs!$D$31*1</f>
        <v>-4000</v>
      </c>
      <c r="AK258" s="67" t="n">
        <f aca="false">-Inputs!$D$31*1</f>
        <v>-4000</v>
      </c>
      <c r="AL258" s="67" t="n">
        <f aca="false">-Inputs!$D$31*1</f>
        <v>-4000</v>
      </c>
      <c r="AM258" s="67" t="n">
        <f aca="false">-Inputs!$D$31*1</f>
        <v>-4000</v>
      </c>
      <c r="AN258" s="67" t="n">
        <f aca="false">-Inputs!$D$31*1</f>
        <v>-4000</v>
      </c>
      <c r="AO258" s="67" t="n">
        <f aca="false">-Inputs!$D$31*1</f>
        <v>-4000</v>
      </c>
      <c r="AP258" s="67" t="n">
        <f aca="false">-Inputs!$D$31*1</f>
        <v>-4000</v>
      </c>
      <c r="AQ258" s="67" t="n">
        <f aca="false">-Inputs!$D$31*1</f>
        <v>-4000</v>
      </c>
      <c r="AR258" s="67" t="n">
        <f aca="false">-Inputs!$D$31*1</f>
        <v>-4000</v>
      </c>
      <c r="AS258" s="67" t="n">
        <f aca="false">-Inputs!$D$31*1</f>
        <v>-4000</v>
      </c>
      <c r="AT258" s="67" t="n">
        <f aca="false">-Inputs!$D$31*1</f>
        <v>-4000</v>
      </c>
      <c r="AU258" s="67" t="n">
        <f aca="false">-Inputs!$D$31*1</f>
        <v>-4000</v>
      </c>
      <c r="AV258" s="67" t="n">
        <f aca="false">-Inputs!$D$31*1</f>
        <v>-4000</v>
      </c>
      <c r="AW258" s="67" t="n">
        <f aca="false">-Inputs!$D$31*1</f>
        <v>-4000</v>
      </c>
      <c r="AX258" s="67" t="n">
        <f aca="false">-Inputs!$D$31*1</f>
        <v>-4000</v>
      </c>
      <c r="AY258" s="67" t="n">
        <f aca="false">-Inputs!$D$31*1</f>
        <v>-4000</v>
      </c>
      <c r="AZ258" s="67" t="n">
        <f aca="false">-Inputs!$D$31*1</f>
        <v>-4000</v>
      </c>
      <c r="BA258" s="67" t="n">
        <f aca="false">-Inputs!$D$31*1</f>
        <v>-4000</v>
      </c>
      <c r="BB258" s="67" t="n">
        <f aca="false">-Inputs!$D$31*1</f>
        <v>-4000</v>
      </c>
      <c r="BC258" s="67" t="n">
        <f aca="false">-Inputs!$D$31*1</f>
        <v>-4000</v>
      </c>
      <c r="BD258" s="67" t="n">
        <f aca="false">-Inputs!$D$31*1</f>
        <v>-4000</v>
      </c>
      <c r="BE258" s="67" t="n">
        <f aca="false">-Inputs!$D$31*1</f>
        <v>-4000</v>
      </c>
      <c r="BF258" s="67" t="n">
        <f aca="false">-Inputs!$D$31*1</f>
        <v>-4000</v>
      </c>
      <c r="BG258" s="67" t="n">
        <f aca="false">-Inputs!$D$31*1</f>
        <v>-4000</v>
      </c>
      <c r="BH258" s="67" t="n">
        <f aca="false">-Inputs!$D$31*1</f>
        <v>-4000</v>
      </c>
      <c r="BI258" s="67" t="n">
        <f aca="false">-Inputs!$D$31*1</f>
        <v>-4000</v>
      </c>
      <c r="BJ258" s="67" t="n">
        <f aca="false">-Inputs!$D$31*1</f>
        <v>-4000</v>
      </c>
    </row>
    <row r="259" customFormat="false" ht="15" hidden="false" customHeight="false" outlineLevel="0" collapsed="false">
      <c r="A259" s="6" t="s">
        <v>326</v>
      </c>
      <c r="C259" s="67" t="n">
        <f aca="false">-C241*Inputs!$D$20*52/12*1*Inputs!$D$21</f>
        <v>-3324.20833333333</v>
      </c>
      <c r="D259" s="67" t="n">
        <f aca="false">-D241*Inputs!$D$20*52/12*1*Inputs!$D$21</f>
        <v>-3499.16666666667</v>
      </c>
      <c r="E259" s="67" t="n">
        <f aca="false">-E241*Inputs!$D$20*52/12*1*Inputs!$D$21</f>
        <v>-3499.16666666667</v>
      </c>
      <c r="F259" s="67" t="n">
        <f aca="false">-F241*Inputs!$D$20*52/12*1*Inputs!$D$21</f>
        <v>-3499.16666666667</v>
      </c>
      <c r="G259" s="67" t="n">
        <f aca="false">-G241*Inputs!$D$20*52/12*1*Inputs!$D$21</f>
        <v>-3499.16666666667</v>
      </c>
      <c r="H259" s="67" t="n">
        <f aca="false">-H241*Inputs!$D$20*52/12*1*Inputs!$D$21</f>
        <v>-3499.16666666667</v>
      </c>
      <c r="I259" s="67" t="n">
        <f aca="false">-I241*Inputs!$D$20*52/12*1*Inputs!$D$21</f>
        <v>-3499.16666666667</v>
      </c>
      <c r="J259" s="67" t="n">
        <f aca="false">-J241*Inputs!$D$20*52/12*1*Inputs!$D$21</f>
        <v>-3499.16666666667</v>
      </c>
      <c r="K259" s="67" t="n">
        <f aca="false">-K241*Inputs!$D$20*52/12*1*Inputs!$D$21</f>
        <v>-3499.16666666667</v>
      </c>
      <c r="L259" s="67" t="n">
        <f aca="false">-L241*Inputs!$D$20*52/12*1*Inputs!$D$21</f>
        <v>-3499.16666666667</v>
      </c>
      <c r="M259" s="67" t="n">
        <f aca="false">-M241*Inputs!$D$20*52/12*1*Inputs!$D$21</f>
        <v>-3499.16666666667</v>
      </c>
      <c r="N259" s="67" t="n">
        <f aca="false">-N241*Inputs!$D$20*52/12*1*Inputs!$D$21</f>
        <v>-3499.16666666667</v>
      </c>
      <c r="O259" s="67" t="n">
        <f aca="false">-O241*Inputs!$D$20*52/12*1*Inputs!$D$21</f>
        <v>-4059.03333333333</v>
      </c>
      <c r="P259" s="67" t="n">
        <f aca="false">-P241*Inputs!$D$20*52/12*1*Inputs!$D$21</f>
        <v>-4059.03333333333</v>
      </c>
      <c r="Q259" s="67" t="n">
        <f aca="false">-Q241*Inputs!$D$20*52/12*1*Inputs!$D$21</f>
        <v>-4059.03333333333</v>
      </c>
      <c r="R259" s="67" t="n">
        <f aca="false">-R241*Inputs!$D$20*52/12*1*Inputs!$D$21</f>
        <v>-4059.03333333333</v>
      </c>
      <c r="S259" s="67" t="n">
        <f aca="false">-S241*Inputs!$D$20*52/12*1*Inputs!$D$21</f>
        <v>-4059.03333333333</v>
      </c>
      <c r="T259" s="67" t="n">
        <f aca="false">-T241*Inputs!$D$20*52/12*1*Inputs!$D$21</f>
        <v>-4059.03333333333</v>
      </c>
      <c r="U259" s="67" t="n">
        <f aca="false">-U241*Inputs!$D$20*52/12*1*Inputs!$D$21</f>
        <v>-4059.03333333333</v>
      </c>
      <c r="V259" s="67" t="n">
        <f aca="false">-V241*Inputs!$D$20*52/12*1*Inputs!$D$21</f>
        <v>-4059.03333333333</v>
      </c>
      <c r="W259" s="67" t="n">
        <f aca="false">-W241*Inputs!$D$20*52/12*1*Inputs!$D$21</f>
        <v>-4059.03333333333</v>
      </c>
      <c r="X259" s="67" t="n">
        <f aca="false">-X241*Inputs!$D$20*52/12*1*Inputs!$D$21</f>
        <v>-4059.03333333333</v>
      </c>
      <c r="Y259" s="67" t="n">
        <f aca="false">-Y241*Inputs!$D$20*52/12*1*Inputs!$D$21</f>
        <v>-4059.03333333333</v>
      </c>
      <c r="Z259" s="67" t="n">
        <f aca="false">-Z241*Inputs!$D$20*52/12*1*Inputs!$D$21</f>
        <v>-4059.03333333333</v>
      </c>
      <c r="AA259" s="67" t="n">
        <f aca="false">-AA241*Inputs!$D$20*52/12*1*Inputs!$D$21</f>
        <v>-4708.47866666667</v>
      </c>
      <c r="AB259" s="67" t="n">
        <f aca="false">-AB241*Inputs!$D$20*52/12*1*Inputs!$D$21</f>
        <v>-4708.47866666667</v>
      </c>
      <c r="AC259" s="67" t="n">
        <f aca="false">-AC241*Inputs!$D$20*52/12*1*Inputs!$D$21</f>
        <v>-4708.47866666667</v>
      </c>
      <c r="AD259" s="67" t="n">
        <f aca="false">-AD241*Inputs!$D$20*52/12*1*Inputs!$D$21</f>
        <v>-4708.47866666667</v>
      </c>
      <c r="AE259" s="67" t="n">
        <f aca="false">-AE241*Inputs!$D$20*52/12*1*Inputs!$D$21</f>
        <v>-4708.47866666667</v>
      </c>
      <c r="AF259" s="67" t="n">
        <f aca="false">-AF241*Inputs!$D$20*52/12*1*Inputs!$D$21</f>
        <v>-4708.47866666667</v>
      </c>
      <c r="AG259" s="67" t="n">
        <f aca="false">-AG241*Inputs!$D$20*52/12*1*Inputs!$D$21</f>
        <v>-4708.47866666667</v>
      </c>
      <c r="AH259" s="67" t="n">
        <f aca="false">-AH241*Inputs!$D$20*52/12*1*Inputs!$D$21</f>
        <v>-4708.47866666667</v>
      </c>
      <c r="AI259" s="67" t="n">
        <f aca="false">-AI241*Inputs!$D$20*52/12*1*Inputs!$D$21</f>
        <v>-4708.47866666667</v>
      </c>
      <c r="AJ259" s="67" t="n">
        <f aca="false">-AJ241*Inputs!$D$20*52/12*1*Inputs!$D$21</f>
        <v>-4708.47866666667</v>
      </c>
      <c r="AK259" s="67" t="n">
        <f aca="false">-AK241*Inputs!$D$20*52/12*1*Inputs!$D$21</f>
        <v>-4708.47866666667</v>
      </c>
      <c r="AL259" s="67" t="n">
        <f aca="false">-AL241*Inputs!$D$20*52/12*1*Inputs!$D$21</f>
        <v>-4708.47866666667</v>
      </c>
      <c r="AM259" s="67" t="n">
        <f aca="false">-AM241*Inputs!$D$20*52/12*1*Inputs!$D$21</f>
        <v>-5461.83525333333</v>
      </c>
      <c r="AN259" s="67" t="n">
        <f aca="false">-AN241*Inputs!$D$20*52/12*1*Inputs!$D$21</f>
        <v>-5461.83525333333</v>
      </c>
      <c r="AO259" s="67" t="n">
        <f aca="false">-AO241*Inputs!$D$20*52/12*1*Inputs!$D$21</f>
        <v>-5461.83525333333</v>
      </c>
      <c r="AP259" s="67" t="n">
        <f aca="false">-AP241*Inputs!$D$20*52/12*1*Inputs!$D$21</f>
        <v>-5461.83525333333</v>
      </c>
      <c r="AQ259" s="67" t="n">
        <f aca="false">-AQ241*Inputs!$D$20*52/12*1*Inputs!$D$21</f>
        <v>-5461.83525333333</v>
      </c>
      <c r="AR259" s="67" t="n">
        <f aca="false">-AR241*Inputs!$D$20*52/12*1*Inputs!$D$21</f>
        <v>-5461.83525333333</v>
      </c>
      <c r="AS259" s="67" t="n">
        <f aca="false">-AS241*Inputs!$D$20*52/12*1*Inputs!$D$21</f>
        <v>-5461.83525333333</v>
      </c>
      <c r="AT259" s="67" t="n">
        <f aca="false">-AT241*Inputs!$D$20*52/12*1*Inputs!$D$21</f>
        <v>-5461.83525333333</v>
      </c>
      <c r="AU259" s="67" t="n">
        <f aca="false">-AU241*Inputs!$D$20*52/12*1*Inputs!$D$21</f>
        <v>-5461.83525333333</v>
      </c>
      <c r="AV259" s="67" t="n">
        <f aca="false">-AV241*Inputs!$D$20*52/12*1*Inputs!$D$21</f>
        <v>-5461.83525333333</v>
      </c>
      <c r="AW259" s="67" t="n">
        <f aca="false">-AW241*Inputs!$D$20*52/12*1*Inputs!$D$21</f>
        <v>-5461.83525333333</v>
      </c>
      <c r="AX259" s="67" t="n">
        <f aca="false">-AX241*Inputs!$D$20*52/12*1*Inputs!$D$21</f>
        <v>-5461.83525333333</v>
      </c>
      <c r="AY259" s="67" t="n">
        <f aca="false">-AY241*Inputs!$D$20*52/12*1*Inputs!$D$21</f>
        <v>-6335.72889386667</v>
      </c>
      <c r="AZ259" s="67" t="n">
        <f aca="false">-AZ241*Inputs!$D$20*52/12*1*Inputs!$D$21</f>
        <v>-6335.72889386667</v>
      </c>
      <c r="BA259" s="67" t="n">
        <f aca="false">-BA241*Inputs!$D$20*52/12*1*Inputs!$D$21</f>
        <v>-6335.72889386667</v>
      </c>
      <c r="BB259" s="67" t="n">
        <f aca="false">-BB241*Inputs!$D$20*52/12*1*Inputs!$D$21</f>
        <v>-6335.72889386667</v>
      </c>
      <c r="BC259" s="67" t="n">
        <f aca="false">-BC241*Inputs!$D$20*52/12*1*Inputs!$D$21</f>
        <v>-6335.72889386667</v>
      </c>
      <c r="BD259" s="67" t="n">
        <f aca="false">-BD241*Inputs!$D$20*52/12*1*Inputs!$D$21</f>
        <v>-6335.72889386667</v>
      </c>
      <c r="BE259" s="67" t="n">
        <f aca="false">-BE241*Inputs!$D$20*52/12*1*Inputs!$D$21</f>
        <v>-6335.72889386667</v>
      </c>
      <c r="BF259" s="67" t="n">
        <f aca="false">-BF241*Inputs!$D$20*52/12*1*Inputs!$D$21</f>
        <v>-6335.72889386667</v>
      </c>
      <c r="BG259" s="67" t="n">
        <f aca="false">-BG241*Inputs!$D$20*52/12*1*Inputs!$D$21</f>
        <v>-6335.72889386667</v>
      </c>
      <c r="BH259" s="67" t="n">
        <f aca="false">-BH241*Inputs!$D$20*52/12*1*Inputs!$D$21</f>
        <v>-6335.72889386667</v>
      </c>
      <c r="BI259" s="67" t="n">
        <f aca="false">-BI241*Inputs!$D$20*52/12*1*Inputs!$D$21</f>
        <v>-6335.72889386667</v>
      </c>
      <c r="BJ259" s="67" t="n">
        <f aca="false">-BJ241*Inputs!$D$20*52/12*1*Inputs!$D$21</f>
        <v>-6335.72889386667</v>
      </c>
    </row>
    <row r="260" customFormat="false" ht="15" hidden="false" customHeight="false" outlineLevel="0" collapsed="false">
      <c r="A260" s="6" t="s">
        <v>327</v>
      </c>
      <c r="C260" s="67" t="n">
        <f aca="false">-Inputs!$D$32*1</f>
        <v>-1000</v>
      </c>
      <c r="D260" s="67" t="n">
        <f aca="false">-Inputs!$D$32*1</f>
        <v>-1000</v>
      </c>
      <c r="E260" s="67" t="n">
        <f aca="false">-Inputs!$D$32*1</f>
        <v>-1000</v>
      </c>
      <c r="F260" s="67" t="n">
        <f aca="false">-Inputs!$D$32*1</f>
        <v>-1000</v>
      </c>
      <c r="G260" s="67" t="n">
        <f aca="false">-Inputs!$D$32*1</f>
        <v>-1000</v>
      </c>
      <c r="H260" s="67" t="n">
        <f aca="false">-Inputs!$D$32*1</f>
        <v>-1000</v>
      </c>
      <c r="I260" s="67" t="n">
        <f aca="false">-Inputs!$D$32*1</f>
        <v>-1000</v>
      </c>
      <c r="J260" s="67" t="n">
        <f aca="false">-Inputs!$D$32*1</f>
        <v>-1000</v>
      </c>
      <c r="K260" s="67" t="n">
        <f aca="false">-Inputs!$D$32*1</f>
        <v>-1000</v>
      </c>
      <c r="L260" s="67" t="n">
        <f aca="false">-Inputs!$D$32*1</f>
        <v>-1000</v>
      </c>
      <c r="M260" s="67" t="n">
        <f aca="false">-Inputs!$D$32*1</f>
        <v>-1000</v>
      </c>
      <c r="N260" s="67" t="n">
        <f aca="false">-Inputs!$D$32*1</f>
        <v>-1000</v>
      </c>
      <c r="O260" s="67" t="n">
        <f aca="false">-Inputs!$D$32*1</f>
        <v>-1000</v>
      </c>
      <c r="P260" s="67" t="n">
        <f aca="false">-Inputs!$D$32*1</f>
        <v>-1000</v>
      </c>
      <c r="Q260" s="67" t="n">
        <f aca="false">-Inputs!$D$32*1</f>
        <v>-1000</v>
      </c>
      <c r="R260" s="67" t="n">
        <f aca="false">-Inputs!$D$32*1</f>
        <v>-1000</v>
      </c>
      <c r="S260" s="67" t="n">
        <f aca="false">-Inputs!$D$32*1</f>
        <v>-1000</v>
      </c>
      <c r="T260" s="67" t="n">
        <f aca="false">-Inputs!$D$32*1</f>
        <v>-1000</v>
      </c>
      <c r="U260" s="67" t="n">
        <f aca="false">-Inputs!$D$32*1</f>
        <v>-1000</v>
      </c>
      <c r="V260" s="67" t="n">
        <f aca="false">-Inputs!$D$32*1</f>
        <v>-1000</v>
      </c>
      <c r="W260" s="67" t="n">
        <f aca="false">-Inputs!$D$32*1</f>
        <v>-1000</v>
      </c>
      <c r="X260" s="67" t="n">
        <f aca="false">-Inputs!$D$32*1</f>
        <v>-1000</v>
      </c>
      <c r="Y260" s="67" t="n">
        <f aca="false">-Inputs!$D$32*1</f>
        <v>-1000</v>
      </c>
      <c r="Z260" s="67" t="n">
        <f aca="false">-Inputs!$D$32*1</f>
        <v>-1000</v>
      </c>
      <c r="AA260" s="67" t="n">
        <f aca="false">-Inputs!$D$32*1</f>
        <v>-1000</v>
      </c>
      <c r="AB260" s="67" t="n">
        <f aca="false">-Inputs!$D$32*1</f>
        <v>-1000</v>
      </c>
      <c r="AC260" s="67" t="n">
        <f aca="false">-Inputs!$D$32*1</f>
        <v>-1000</v>
      </c>
      <c r="AD260" s="67" t="n">
        <f aca="false">-Inputs!$D$32*1</f>
        <v>-1000</v>
      </c>
      <c r="AE260" s="67" t="n">
        <f aca="false">-Inputs!$D$32*1</f>
        <v>-1000</v>
      </c>
      <c r="AF260" s="67" t="n">
        <f aca="false">-Inputs!$D$32*1</f>
        <v>-1000</v>
      </c>
      <c r="AG260" s="67" t="n">
        <f aca="false">-Inputs!$D$32*1</f>
        <v>-1000</v>
      </c>
      <c r="AH260" s="67" t="n">
        <f aca="false">-Inputs!$D$32*1</f>
        <v>-1000</v>
      </c>
      <c r="AI260" s="67" t="n">
        <f aca="false">-Inputs!$D$32*1</f>
        <v>-1000</v>
      </c>
      <c r="AJ260" s="67" t="n">
        <f aca="false">-Inputs!$D$32*1</f>
        <v>-1000</v>
      </c>
      <c r="AK260" s="67" t="n">
        <f aca="false">-Inputs!$D$32*1</f>
        <v>-1000</v>
      </c>
      <c r="AL260" s="67" t="n">
        <f aca="false">-Inputs!$D$32*1</f>
        <v>-1000</v>
      </c>
      <c r="AM260" s="67" t="n">
        <f aca="false">-Inputs!$D$32*1</f>
        <v>-1000</v>
      </c>
      <c r="AN260" s="67" t="n">
        <f aca="false">-Inputs!$D$32*1</f>
        <v>-1000</v>
      </c>
      <c r="AO260" s="67" t="n">
        <f aca="false">-Inputs!$D$32*1</f>
        <v>-1000</v>
      </c>
      <c r="AP260" s="67" t="n">
        <f aca="false">-Inputs!$D$32*1</f>
        <v>-1000</v>
      </c>
      <c r="AQ260" s="67" t="n">
        <f aca="false">-Inputs!$D$32*1</f>
        <v>-1000</v>
      </c>
      <c r="AR260" s="67" t="n">
        <f aca="false">-Inputs!$D$32*1</f>
        <v>-1000</v>
      </c>
      <c r="AS260" s="67" t="n">
        <f aca="false">-Inputs!$D$32*1</f>
        <v>-1000</v>
      </c>
      <c r="AT260" s="67" t="n">
        <f aca="false">-Inputs!$D$32*1</f>
        <v>-1000</v>
      </c>
      <c r="AU260" s="67" t="n">
        <f aca="false">-Inputs!$D$32*1</f>
        <v>-1000</v>
      </c>
      <c r="AV260" s="67" t="n">
        <f aca="false">-Inputs!$D$32*1</f>
        <v>-1000</v>
      </c>
      <c r="AW260" s="67" t="n">
        <f aca="false">-Inputs!$D$32*1</f>
        <v>-1000</v>
      </c>
      <c r="AX260" s="67" t="n">
        <f aca="false">-Inputs!$D$32*1</f>
        <v>-1000</v>
      </c>
      <c r="AY260" s="67" t="n">
        <f aca="false">-Inputs!$D$32*1</f>
        <v>-1000</v>
      </c>
      <c r="AZ260" s="67" t="n">
        <f aca="false">-Inputs!$D$32*1</f>
        <v>-1000</v>
      </c>
      <c r="BA260" s="67" t="n">
        <f aca="false">-Inputs!$D$32*1</f>
        <v>-1000</v>
      </c>
      <c r="BB260" s="67" t="n">
        <f aca="false">-Inputs!$D$32*1</f>
        <v>-1000</v>
      </c>
      <c r="BC260" s="67" t="n">
        <f aca="false">-Inputs!$D$32*1</f>
        <v>-1000</v>
      </c>
      <c r="BD260" s="67" t="n">
        <f aca="false">-Inputs!$D$32*1</f>
        <v>-1000</v>
      </c>
      <c r="BE260" s="67" t="n">
        <f aca="false">-Inputs!$D$32*1</f>
        <v>-1000</v>
      </c>
      <c r="BF260" s="67" t="n">
        <f aca="false">-Inputs!$D$32*1</f>
        <v>-1000</v>
      </c>
      <c r="BG260" s="67" t="n">
        <f aca="false">-Inputs!$D$32*1</f>
        <v>-1000</v>
      </c>
      <c r="BH260" s="67" t="n">
        <f aca="false">-Inputs!$D$32*1</f>
        <v>-1000</v>
      </c>
      <c r="BI260" s="67" t="n">
        <f aca="false">-Inputs!$D$32*1</f>
        <v>-1000</v>
      </c>
      <c r="BJ260" s="67" t="n">
        <f aca="false">-Inputs!$D$32*1</f>
        <v>-1000</v>
      </c>
    </row>
    <row r="261" customFormat="false" ht="15" hidden="false" customHeight="false" outlineLevel="0" collapsed="false">
      <c r="A261" s="6" t="s">
        <v>328</v>
      </c>
      <c r="C261" s="67" t="n">
        <f aca="false">-C246*Inputs!$D$33</f>
        <v>-2554.1724</v>
      </c>
      <c r="D261" s="67" t="n">
        <f aca="false">-D246*Inputs!$D$33</f>
        <v>-2692.6224</v>
      </c>
      <c r="E261" s="67" t="n">
        <f aca="false">-E246*Inputs!$D$33</f>
        <v>-2692.6224</v>
      </c>
      <c r="F261" s="67" t="n">
        <f aca="false">-F246*Inputs!$D$33</f>
        <v>-2692.6224</v>
      </c>
      <c r="G261" s="67" t="n">
        <f aca="false">-G246*Inputs!$D$33</f>
        <v>-2692.6224</v>
      </c>
      <c r="H261" s="67" t="n">
        <f aca="false">-H246*Inputs!$D$33</f>
        <v>-2692.6224</v>
      </c>
      <c r="I261" s="67" t="n">
        <f aca="false">-I246*Inputs!$D$33</f>
        <v>-2692.6224</v>
      </c>
      <c r="J261" s="67" t="n">
        <f aca="false">-J246*Inputs!$D$33</f>
        <v>-2692.6224</v>
      </c>
      <c r="K261" s="67" t="n">
        <f aca="false">-K246*Inputs!$D$33</f>
        <v>-2692.6224</v>
      </c>
      <c r="L261" s="67" t="n">
        <f aca="false">-L246*Inputs!$D$33</f>
        <v>-2692.6224</v>
      </c>
      <c r="M261" s="67" t="n">
        <f aca="false">-M246*Inputs!$D$33</f>
        <v>-3150.888</v>
      </c>
      <c r="N261" s="67" t="n">
        <f aca="false">-N246*Inputs!$D$33</f>
        <v>-3150.888</v>
      </c>
      <c r="O261" s="67" t="n">
        <f aca="false">-O246*Inputs!$D$33</f>
        <v>-3038.6773248</v>
      </c>
      <c r="P261" s="67" t="n">
        <f aca="false">-P246*Inputs!$D$33</f>
        <v>-3038.6773248</v>
      </c>
      <c r="Q261" s="67" t="n">
        <f aca="false">-Q246*Inputs!$D$33</f>
        <v>-3038.6773248</v>
      </c>
      <c r="R261" s="67" t="n">
        <f aca="false">-R246*Inputs!$D$33</f>
        <v>-3038.6773248</v>
      </c>
      <c r="S261" s="67" t="n">
        <f aca="false">-S246*Inputs!$D$33</f>
        <v>-3038.6773248</v>
      </c>
      <c r="T261" s="67" t="n">
        <f aca="false">-T246*Inputs!$D$33</f>
        <v>-3038.6773248</v>
      </c>
      <c r="U261" s="67" t="n">
        <f aca="false">-U246*Inputs!$D$33</f>
        <v>-3038.6773248</v>
      </c>
      <c r="V261" s="67" t="n">
        <f aca="false">-V246*Inputs!$D$33</f>
        <v>-3038.6773248</v>
      </c>
      <c r="W261" s="67" t="n">
        <f aca="false">-W246*Inputs!$D$33</f>
        <v>-3038.6773248</v>
      </c>
      <c r="X261" s="67" t="n">
        <f aca="false">-X246*Inputs!$D$33</f>
        <v>-3038.6773248</v>
      </c>
      <c r="Y261" s="67" t="n">
        <f aca="false">-Y246*Inputs!$D$33</f>
        <v>-3539.10336</v>
      </c>
      <c r="Z261" s="67" t="n">
        <f aca="false">-Z246*Inputs!$D$33</f>
        <v>-3539.10336</v>
      </c>
      <c r="AA261" s="67" t="n">
        <f aca="false">-AA246*Inputs!$D$33</f>
        <v>-3436.8653709312</v>
      </c>
      <c r="AB261" s="67" t="n">
        <f aca="false">-AB246*Inputs!$D$33</f>
        <v>-3436.8653709312</v>
      </c>
      <c r="AC261" s="67" t="n">
        <f aca="false">-AC246*Inputs!$D$33</f>
        <v>-3436.8653709312</v>
      </c>
      <c r="AD261" s="67" t="n">
        <f aca="false">-AD246*Inputs!$D$33</f>
        <v>-3436.8653709312</v>
      </c>
      <c r="AE261" s="67" t="n">
        <f aca="false">-AE246*Inputs!$D$33</f>
        <v>-3436.8653709312</v>
      </c>
      <c r="AF261" s="67" t="n">
        <f aca="false">-AF246*Inputs!$D$33</f>
        <v>-3436.8653709312</v>
      </c>
      <c r="AG261" s="67" t="n">
        <f aca="false">-AG246*Inputs!$D$33</f>
        <v>-3436.8653709312</v>
      </c>
      <c r="AH261" s="67" t="n">
        <f aca="false">-AH246*Inputs!$D$33</f>
        <v>-3436.8653709312</v>
      </c>
      <c r="AI261" s="67" t="n">
        <f aca="false">-AI246*Inputs!$D$33</f>
        <v>-3436.8653709312</v>
      </c>
      <c r="AJ261" s="67" t="n">
        <f aca="false">-AJ246*Inputs!$D$33</f>
        <v>-3436.8653709312</v>
      </c>
      <c r="AK261" s="67" t="n">
        <f aca="false">-AK246*Inputs!$D$33</f>
        <v>-3983.3306013696</v>
      </c>
      <c r="AL261" s="67" t="n">
        <f aca="false">-AL246*Inputs!$D$33</f>
        <v>-3983.3306013696</v>
      </c>
      <c r="AM261" s="67" t="n">
        <f aca="false">-AM246*Inputs!$D$33</f>
        <v>-3896.17189404279</v>
      </c>
      <c r="AN261" s="67" t="n">
        <f aca="false">-AN246*Inputs!$D$33</f>
        <v>-3896.17189404279</v>
      </c>
      <c r="AO261" s="67" t="n">
        <f aca="false">-AO246*Inputs!$D$33</f>
        <v>-3896.17189404279</v>
      </c>
      <c r="AP261" s="67" t="n">
        <f aca="false">-AP246*Inputs!$D$33</f>
        <v>-3896.17189404279</v>
      </c>
      <c r="AQ261" s="67" t="n">
        <f aca="false">-AQ246*Inputs!$D$33</f>
        <v>-3896.17189404279</v>
      </c>
      <c r="AR261" s="67" t="n">
        <f aca="false">-AR246*Inputs!$D$33</f>
        <v>-3896.17189404279</v>
      </c>
      <c r="AS261" s="67" t="n">
        <f aca="false">-AS246*Inputs!$D$33</f>
        <v>-3896.17189404279</v>
      </c>
      <c r="AT261" s="67" t="n">
        <f aca="false">-AT246*Inputs!$D$33</f>
        <v>-3896.17189404279</v>
      </c>
      <c r="AU261" s="67" t="n">
        <f aca="false">-AU246*Inputs!$D$33</f>
        <v>-3896.17189404279</v>
      </c>
      <c r="AV261" s="67" t="n">
        <f aca="false">-AV246*Inputs!$D$33</f>
        <v>-3896.17189404279</v>
      </c>
      <c r="AW261" s="67" t="n">
        <f aca="false">-AW246*Inputs!$D$33</f>
        <v>-4492.91192568152</v>
      </c>
      <c r="AX261" s="67" t="n">
        <f aca="false">-AX246*Inputs!$D$33</f>
        <v>-4492.91192568152</v>
      </c>
      <c r="AY261" s="67" t="n">
        <f aca="false">-AY246*Inputs!$D$33</f>
        <v>-4427.27353449534</v>
      </c>
      <c r="AZ261" s="67" t="n">
        <f aca="false">-AZ246*Inputs!$D$33</f>
        <v>-4427.27353449534</v>
      </c>
      <c r="BA261" s="67" t="n">
        <f aca="false">-BA246*Inputs!$D$33</f>
        <v>-4427.27353449534</v>
      </c>
      <c r="BB261" s="67" t="n">
        <f aca="false">-BB246*Inputs!$D$33</f>
        <v>-4427.27353449534</v>
      </c>
      <c r="BC261" s="67" t="n">
        <f aca="false">-BC246*Inputs!$D$33</f>
        <v>-4427.27353449534</v>
      </c>
      <c r="BD261" s="67" t="n">
        <f aca="false">-BD246*Inputs!$D$33</f>
        <v>-4427.27353449534</v>
      </c>
      <c r="BE261" s="67" t="n">
        <f aca="false">-BE246*Inputs!$D$33</f>
        <v>-4427.27353449534</v>
      </c>
      <c r="BF261" s="67" t="n">
        <f aca="false">-BF246*Inputs!$D$33</f>
        <v>-4427.27353449534</v>
      </c>
      <c r="BG261" s="67" t="n">
        <f aca="false">-BG246*Inputs!$D$33</f>
        <v>-4427.27353449534</v>
      </c>
      <c r="BH261" s="67" t="n">
        <f aca="false">-BH246*Inputs!$D$33</f>
        <v>-4427.27353449534</v>
      </c>
      <c r="BI261" s="67" t="n">
        <f aca="false">-BI246*Inputs!$D$33</f>
        <v>-5078.91364904483</v>
      </c>
      <c r="BJ261" s="67" t="n">
        <f aca="false">-BJ246*Inputs!$D$33</f>
        <v>-5078.91364904483</v>
      </c>
    </row>
    <row r="262" customFormat="false" ht="15" hidden="false" customHeight="false" outlineLevel="0" collapsed="false">
      <c r="A262" s="6" t="s">
        <v>329</v>
      </c>
      <c r="C262" s="67" t="n">
        <f aca="false">-C238*Inputs!$D$34</f>
        <v>-2606.3856</v>
      </c>
      <c r="D262" s="67" t="n">
        <f aca="false">-D238*Inputs!$D$34</f>
        <v>-2749.5936</v>
      </c>
      <c r="E262" s="67" t="n">
        <f aca="false">-E238*Inputs!$D$34</f>
        <v>-2749.5936</v>
      </c>
      <c r="F262" s="67" t="n">
        <f aca="false">-F238*Inputs!$D$34</f>
        <v>-2749.5936</v>
      </c>
      <c r="G262" s="67" t="n">
        <f aca="false">-G238*Inputs!$D$34</f>
        <v>-2749.5936</v>
      </c>
      <c r="H262" s="67" t="n">
        <f aca="false">-H238*Inputs!$D$34</f>
        <v>-2749.5936</v>
      </c>
      <c r="I262" s="67" t="n">
        <f aca="false">-I238*Inputs!$D$34</f>
        <v>-2749.5936</v>
      </c>
      <c r="J262" s="67" t="n">
        <f aca="false">-J238*Inputs!$D$34</f>
        <v>-2749.5936</v>
      </c>
      <c r="K262" s="67" t="n">
        <f aca="false">-K238*Inputs!$D$34</f>
        <v>-2749.5936</v>
      </c>
      <c r="L262" s="67" t="n">
        <f aca="false">-L238*Inputs!$D$34</f>
        <v>-2749.5936</v>
      </c>
      <c r="M262" s="67" t="n">
        <f aca="false">-M238*Inputs!$D$34</f>
        <v>-3436.992</v>
      </c>
      <c r="N262" s="67" t="n">
        <f aca="false">-N238*Inputs!$D$34</f>
        <v>-3436.992</v>
      </c>
      <c r="O262" s="67" t="n">
        <f aca="false">-O238*Inputs!$D$34</f>
        <v>-3002.5562112</v>
      </c>
      <c r="P262" s="67" t="n">
        <f aca="false">-P238*Inputs!$D$34</f>
        <v>-3002.5562112</v>
      </c>
      <c r="Q262" s="67" t="n">
        <f aca="false">-Q238*Inputs!$D$34</f>
        <v>-3002.5562112</v>
      </c>
      <c r="R262" s="67" t="n">
        <f aca="false">-R238*Inputs!$D$34</f>
        <v>-3002.5562112</v>
      </c>
      <c r="S262" s="67" t="n">
        <f aca="false">-S238*Inputs!$D$34</f>
        <v>-3002.5562112</v>
      </c>
      <c r="T262" s="67" t="n">
        <f aca="false">-T238*Inputs!$D$34</f>
        <v>-3002.5562112</v>
      </c>
      <c r="U262" s="67" t="n">
        <f aca="false">-U238*Inputs!$D$34</f>
        <v>-3002.5562112</v>
      </c>
      <c r="V262" s="67" t="n">
        <f aca="false">-V238*Inputs!$D$34</f>
        <v>-3002.5562112</v>
      </c>
      <c r="W262" s="67" t="n">
        <f aca="false">-W238*Inputs!$D$34</f>
        <v>-3002.5562112</v>
      </c>
      <c r="X262" s="67" t="n">
        <f aca="false">-X238*Inputs!$D$34</f>
        <v>-3002.5562112</v>
      </c>
      <c r="Y262" s="67" t="n">
        <f aca="false">-Y238*Inputs!$D$34</f>
        <v>-3753.195264</v>
      </c>
      <c r="Z262" s="67" t="n">
        <f aca="false">-Z238*Inputs!$D$34</f>
        <v>-3753.195264</v>
      </c>
      <c r="AA262" s="67" t="n">
        <f aca="false">-AA238*Inputs!$D$34</f>
        <v>-3278.7913826304</v>
      </c>
      <c r="AB262" s="67" t="n">
        <f aca="false">-AB238*Inputs!$D$34</f>
        <v>-3278.7913826304</v>
      </c>
      <c r="AC262" s="67" t="n">
        <f aca="false">-AC238*Inputs!$D$34</f>
        <v>-3278.7913826304</v>
      </c>
      <c r="AD262" s="67" t="n">
        <f aca="false">-AD238*Inputs!$D$34</f>
        <v>-3278.7913826304</v>
      </c>
      <c r="AE262" s="67" t="n">
        <f aca="false">-AE238*Inputs!$D$34</f>
        <v>-3278.7913826304</v>
      </c>
      <c r="AF262" s="67" t="n">
        <f aca="false">-AF238*Inputs!$D$34</f>
        <v>-3278.7913826304</v>
      </c>
      <c r="AG262" s="67" t="n">
        <f aca="false">-AG238*Inputs!$D$34</f>
        <v>-3278.7913826304</v>
      </c>
      <c r="AH262" s="67" t="n">
        <f aca="false">-AH238*Inputs!$D$34</f>
        <v>-3278.7913826304</v>
      </c>
      <c r="AI262" s="67" t="n">
        <f aca="false">-AI238*Inputs!$D$34</f>
        <v>-3278.7913826304</v>
      </c>
      <c r="AJ262" s="67" t="n">
        <f aca="false">-AJ238*Inputs!$D$34</f>
        <v>-3278.7913826304</v>
      </c>
      <c r="AK262" s="67" t="n">
        <f aca="false">-AK238*Inputs!$D$34</f>
        <v>-4098.489228288</v>
      </c>
      <c r="AL262" s="67" t="n">
        <f aca="false">-AL238*Inputs!$D$34</f>
        <v>-4098.489228288</v>
      </c>
      <c r="AM262" s="67" t="n">
        <f aca="false">-AM238*Inputs!$D$34</f>
        <v>-3580.4401898324</v>
      </c>
      <c r="AN262" s="67" t="n">
        <f aca="false">-AN238*Inputs!$D$34</f>
        <v>-3580.4401898324</v>
      </c>
      <c r="AO262" s="67" t="n">
        <f aca="false">-AO238*Inputs!$D$34</f>
        <v>-3580.4401898324</v>
      </c>
      <c r="AP262" s="67" t="n">
        <f aca="false">-AP238*Inputs!$D$34</f>
        <v>-3580.4401898324</v>
      </c>
      <c r="AQ262" s="67" t="n">
        <f aca="false">-AQ238*Inputs!$D$34</f>
        <v>-3580.4401898324</v>
      </c>
      <c r="AR262" s="67" t="n">
        <f aca="false">-AR238*Inputs!$D$34</f>
        <v>-3580.4401898324</v>
      </c>
      <c r="AS262" s="67" t="n">
        <f aca="false">-AS238*Inputs!$D$34</f>
        <v>-3580.4401898324</v>
      </c>
      <c r="AT262" s="67" t="n">
        <f aca="false">-AT238*Inputs!$D$34</f>
        <v>-3580.4401898324</v>
      </c>
      <c r="AU262" s="67" t="n">
        <f aca="false">-AU238*Inputs!$D$34</f>
        <v>-3580.4401898324</v>
      </c>
      <c r="AV262" s="67" t="n">
        <f aca="false">-AV238*Inputs!$D$34</f>
        <v>-3580.4401898324</v>
      </c>
      <c r="AW262" s="67" t="n">
        <f aca="false">-AW238*Inputs!$D$34</f>
        <v>-4475.5502372905</v>
      </c>
      <c r="AX262" s="67" t="n">
        <f aca="false">-AX238*Inputs!$D$34</f>
        <v>-4475.5502372905</v>
      </c>
      <c r="AY262" s="67" t="n">
        <f aca="false">-AY238*Inputs!$D$34</f>
        <v>-3909.84068729698</v>
      </c>
      <c r="AZ262" s="67" t="n">
        <f aca="false">-AZ238*Inputs!$D$34</f>
        <v>-3909.84068729698</v>
      </c>
      <c r="BA262" s="67" t="n">
        <f aca="false">-BA238*Inputs!$D$34</f>
        <v>-3909.84068729698</v>
      </c>
      <c r="BB262" s="67" t="n">
        <f aca="false">-BB238*Inputs!$D$34</f>
        <v>-3909.84068729698</v>
      </c>
      <c r="BC262" s="67" t="n">
        <f aca="false">-BC238*Inputs!$D$34</f>
        <v>-3909.84068729698</v>
      </c>
      <c r="BD262" s="67" t="n">
        <f aca="false">-BD238*Inputs!$D$34</f>
        <v>-3909.84068729698</v>
      </c>
      <c r="BE262" s="67" t="n">
        <f aca="false">-BE238*Inputs!$D$34</f>
        <v>-3909.84068729698</v>
      </c>
      <c r="BF262" s="67" t="n">
        <f aca="false">-BF238*Inputs!$D$34</f>
        <v>-3909.84068729698</v>
      </c>
      <c r="BG262" s="67" t="n">
        <f aca="false">-BG238*Inputs!$D$34</f>
        <v>-3909.84068729698</v>
      </c>
      <c r="BH262" s="67" t="n">
        <f aca="false">-BH238*Inputs!$D$34</f>
        <v>-3909.84068729698</v>
      </c>
      <c r="BI262" s="67" t="n">
        <f aca="false">-BI238*Inputs!$D$34</f>
        <v>-4887.30085912122</v>
      </c>
      <c r="BJ262" s="67" t="n">
        <f aca="false">-BJ238*Inputs!$D$34</f>
        <v>-4887.30085912122</v>
      </c>
    </row>
    <row r="263" customFormat="false" ht="15" hidden="false" customHeight="false" outlineLevel="0" collapsed="false">
      <c r="A263" s="6" t="s">
        <v>330</v>
      </c>
      <c r="C263" s="67" t="n">
        <f aca="false">-Inputs!$D$35*1</f>
        <v>-2800</v>
      </c>
      <c r="D263" s="67" t="n">
        <f aca="false">-Inputs!$D$35*1</f>
        <v>-2800</v>
      </c>
      <c r="E263" s="67" t="n">
        <f aca="false">-Inputs!$D$35*1</f>
        <v>-2800</v>
      </c>
      <c r="F263" s="67" t="n">
        <f aca="false">-Inputs!$D$35*1</f>
        <v>-2800</v>
      </c>
      <c r="G263" s="67" t="n">
        <f aca="false">-Inputs!$D$35*1</f>
        <v>-2800</v>
      </c>
      <c r="H263" s="67" t="n">
        <f aca="false">-Inputs!$D$35*1</f>
        <v>-2800</v>
      </c>
      <c r="I263" s="67" t="n">
        <f aca="false">-Inputs!$D$35*1</f>
        <v>-2800</v>
      </c>
      <c r="J263" s="67" t="n">
        <f aca="false">-Inputs!$D$35*1</f>
        <v>-2800</v>
      </c>
      <c r="K263" s="67" t="n">
        <f aca="false">-Inputs!$D$35*1</f>
        <v>-2800</v>
      </c>
      <c r="L263" s="67" t="n">
        <f aca="false">-Inputs!$D$35*1</f>
        <v>-2800</v>
      </c>
      <c r="M263" s="67" t="n">
        <f aca="false">-Inputs!$D$35*1</f>
        <v>-2800</v>
      </c>
      <c r="N263" s="67" t="n">
        <f aca="false">-Inputs!$D$35*1</f>
        <v>-2800</v>
      </c>
      <c r="O263" s="67" t="n">
        <f aca="false">-Inputs!$D$35*1</f>
        <v>-2800</v>
      </c>
      <c r="P263" s="67" t="n">
        <f aca="false">-Inputs!$D$35*1</f>
        <v>-2800</v>
      </c>
      <c r="Q263" s="67" t="n">
        <f aca="false">-Inputs!$D$35*1</f>
        <v>-2800</v>
      </c>
      <c r="R263" s="67" t="n">
        <f aca="false">-Inputs!$D$35*1</f>
        <v>-2800</v>
      </c>
      <c r="S263" s="67" t="n">
        <f aca="false">-Inputs!$D$35*1</f>
        <v>-2800</v>
      </c>
      <c r="T263" s="67" t="n">
        <f aca="false">-Inputs!$D$35*1</f>
        <v>-2800</v>
      </c>
      <c r="U263" s="67" t="n">
        <f aca="false">-Inputs!$D$35*1</f>
        <v>-2800</v>
      </c>
      <c r="V263" s="67" t="n">
        <f aca="false">-Inputs!$D$35*1</f>
        <v>-2800</v>
      </c>
      <c r="W263" s="67" t="n">
        <f aca="false">-Inputs!$D$35*1</f>
        <v>-2800</v>
      </c>
      <c r="X263" s="67" t="n">
        <f aca="false">-Inputs!$D$35*1</f>
        <v>-2800</v>
      </c>
      <c r="Y263" s="67" t="n">
        <f aca="false">-Inputs!$D$35*1</f>
        <v>-2800</v>
      </c>
      <c r="Z263" s="67" t="n">
        <f aca="false">-Inputs!$D$35*1</f>
        <v>-2800</v>
      </c>
      <c r="AA263" s="67" t="n">
        <f aca="false">-Inputs!$D$35*1</f>
        <v>-2800</v>
      </c>
      <c r="AB263" s="67" t="n">
        <f aca="false">-Inputs!$D$35*1</f>
        <v>-2800</v>
      </c>
      <c r="AC263" s="67" t="n">
        <f aca="false">-Inputs!$D$35*1</f>
        <v>-2800</v>
      </c>
      <c r="AD263" s="67" t="n">
        <f aca="false">-Inputs!$D$35*1</f>
        <v>-2800</v>
      </c>
      <c r="AE263" s="67" t="n">
        <f aca="false">-Inputs!$D$35*1</f>
        <v>-2800</v>
      </c>
      <c r="AF263" s="67" t="n">
        <f aca="false">-Inputs!$D$35*1</f>
        <v>-2800</v>
      </c>
      <c r="AG263" s="67" t="n">
        <f aca="false">-Inputs!$D$35*1</f>
        <v>-2800</v>
      </c>
      <c r="AH263" s="67" t="n">
        <f aca="false">-Inputs!$D$35*1</f>
        <v>-2800</v>
      </c>
      <c r="AI263" s="67" t="n">
        <f aca="false">-Inputs!$D$35*1</f>
        <v>-2800</v>
      </c>
      <c r="AJ263" s="67" t="n">
        <f aca="false">-Inputs!$D$35*1</f>
        <v>-2800</v>
      </c>
      <c r="AK263" s="67" t="n">
        <f aca="false">-Inputs!$D$35*1</f>
        <v>-2800</v>
      </c>
      <c r="AL263" s="67" t="n">
        <f aca="false">-Inputs!$D$35*1</f>
        <v>-2800</v>
      </c>
      <c r="AM263" s="67" t="n">
        <f aca="false">-Inputs!$D$35*1</f>
        <v>-2800</v>
      </c>
      <c r="AN263" s="67" t="n">
        <f aca="false">-Inputs!$D$35*1</f>
        <v>-2800</v>
      </c>
      <c r="AO263" s="67" t="n">
        <f aca="false">-Inputs!$D$35*1</f>
        <v>-2800</v>
      </c>
      <c r="AP263" s="67" t="n">
        <f aca="false">-Inputs!$D$35*1</f>
        <v>-2800</v>
      </c>
      <c r="AQ263" s="67" t="n">
        <f aca="false">-Inputs!$D$35*1</f>
        <v>-2800</v>
      </c>
      <c r="AR263" s="67" t="n">
        <f aca="false">-Inputs!$D$35*1</f>
        <v>-2800</v>
      </c>
      <c r="AS263" s="67" t="n">
        <f aca="false">-Inputs!$D$35*1</f>
        <v>-2800</v>
      </c>
      <c r="AT263" s="67" t="n">
        <f aca="false">-Inputs!$D$35*1</f>
        <v>-2800</v>
      </c>
      <c r="AU263" s="67" t="n">
        <f aca="false">-Inputs!$D$35*1</f>
        <v>-2800</v>
      </c>
      <c r="AV263" s="67" t="n">
        <f aca="false">-Inputs!$D$35*1</f>
        <v>-2800</v>
      </c>
      <c r="AW263" s="67" t="n">
        <f aca="false">-Inputs!$D$35*1</f>
        <v>-2800</v>
      </c>
      <c r="AX263" s="67" t="n">
        <f aca="false">-Inputs!$D$35*1</f>
        <v>-2800</v>
      </c>
      <c r="AY263" s="67" t="n">
        <f aca="false">-Inputs!$D$35*1</f>
        <v>-2800</v>
      </c>
      <c r="AZ263" s="67" t="n">
        <f aca="false">-Inputs!$D$35*1</f>
        <v>-2800</v>
      </c>
      <c r="BA263" s="67" t="n">
        <f aca="false">-Inputs!$D$35*1</f>
        <v>-2800</v>
      </c>
      <c r="BB263" s="67" t="n">
        <f aca="false">-Inputs!$D$35*1</f>
        <v>-2800</v>
      </c>
      <c r="BC263" s="67" t="n">
        <f aca="false">-Inputs!$D$35*1</f>
        <v>-2800</v>
      </c>
      <c r="BD263" s="67" t="n">
        <f aca="false">-Inputs!$D$35*1</f>
        <v>-2800</v>
      </c>
      <c r="BE263" s="67" t="n">
        <f aca="false">-Inputs!$D$35*1</f>
        <v>-2800</v>
      </c>
      <c r="BF263" s="67" t="n">
        <f aca="false">-Inputs!$D$35*1</f>
        <v>-2800</v>
      </c>
      <c r="BG263" s="67" t="n">
        <f aca="false">-Inputs!$D$35*1</f>
        <v>-2800</v>
      </c>
      <c r="BH263" s="67" t="n">
        <f aca="false">-Inputs!$D$35*1</f>
        <v>-2800</v>
      </c>
      <c r="BI263" s="67" t="n">
        <f aca="false">-Inputs!$D$35*1</f>
        <v>-2800</v>
      </c>
      <c r="BJ263" s="67" t="n">
        <f aca="false">-Inputs!$D$35*1</f>
        <v>-2800</v>
      </c>
    </row>
    <row r="264" customFormat="false" ht="15" hidden="false" customHeight="false" outlineLevel="0" collapsed="false">
      <c r="A264" s="115" t="s">
        <v>77</v>
      </c>
      <c r="C264" s="68" t="n">
        <f aca="false">C256+C257+C258+C259+C260+C261+C262+C263</f>
        <v>-77751.433</v>
      </c>
      <c r="D264" s="68" t="n">
        <f aca="false">D256+D257+D258+D259+D260+D261+D262+D263</f>
        <v>-78208.0493333333</v>
      </c>
      <c r="E264" s="68" t="n">
        <f aca="false">E256+E257+E258+E259+E260+E261+E262+E263</f>
        <v>-78208.0493333333</v>
      </c>
      <c r="F264" s="68" t="n">
        <f aca="false">F256+F257+F258+F259+F260+F261+F262+F263</f>
        <v>-78208.0493333333</v>
      </c>
      <c r="G264" s="68" t="n">
        <f aca="false">G256+G257+G258+G259+G260+G261+G262+G263</f>
        <v>-78208.0493333333</v>
      </c>
      <c r="H264" s="68" t="n">
        <f aca="false">H256+H257+H258+H259+H260+H261+H262+H263</f>
        <v>-78208.0493333333</v>
      </c>
      <c r="I264" s="68" t="n">
        <f aca="false">I256+I257+I258+I259+I260+I261+I262+I263</f>
        <v>-78208.0493333333</v>
      </c>
      <c r="J264" s="68" t="n">
        <f aca="false">J256+J257+J258+J259+J260+J261+J262+J263</f>
        <v>-78208.0493333333</v>
      </c>
      <c r="K264" s="68" t="n">
        <f aca="false">K256+K257+K258+K259+K260+K261+K262+K263</f>
        <v>-78208.0493333333</v>
      </c>
      <c r="L264" s="68" t="n">
        <f aca="false">L256+L257+L258+L259+L260+L261+L262+L263</f>
        <v>-78208.0493333333</v>
      </c>
      <c r="M264" s="68" t="n">
        <f aca="false">M256+M257+M258+M259+M260+M261+M262+M263</f>
        <v>-79353.7133333333</v>
      </c>
      <c r="N264" s="68" t="n">
        <f aca="false">N256+N257+N258+N259+N260+N261+N262+N263</f>
        <v>-79353.7133333333</v>
      </c>
      <c r="O264" s="68" t="n">
        <f aca="false">O256+O257+O258+O259+O260+O261+O262+O263</f>
        <v>-83371.549536</v>
      </c>
      <c r="P264" s="68" t="n">
        <f aca="false">P256+P257+P258+P259+P260+P261+P262+P263</f>
        <v>-83371.549536</v>
      </c>
      <c r="Q264" s="68" t="n">
        <f aca="false">Q256+Q257+Q258+Q259+Q260+Q261+Q262+Q263</f>
        <v>-83371.549536</v>
      </c>
      <c r="R264" s="68" t="n">
        <f aca="false">R256+R257+R258+R259+R260+R261+R262+R263</f>
        <v>-83371.549536</v>
      </c>
      <c r="S264" s="68" t="n">
        <f aca="false">S256+S257+S258+S259+S260+S261+S262+S263</f>
        <v>-83371.549536</v>
      </c>
      <c r="T264" s="68" t="n">
        <f aca="false">T256+T257+T258+T259+T260+T261+T262+T263</f>
        <v>-83371.549536</v>
      </c>
      <c r="U264" s="68" t="n">
        <f aca="false">U256+U257+U258+U259+U260+U261+U262+U263</f>
        <v>-83371.549536</v>
      </c>
      <c r="V264" s="68" t="n">
        <f aca="false">V256+V257+V258+V259+V260+V261+V262+V263</f>
        <v>-83371.549536</v>
      </c>
      <c r="W264" s="68" t="n">
        <f aca="false">W256+W257+W258+W259+W260+W261+W262+W263</f>
        <v>-83371.549536</v>
      </c>
      <c r="X264" s="68" t="n">
        <f aca="false">X256+X257+X258+X259+X260+X261+X262+X263</f>
        <v>-83371.549536</v>
      </c>
      <c r="Y264" s="68" t="n">
        <f aca="false">Y256+Y257+Y258+Y259+Y260+Y261+Y262+Y263</f>
        <v>-84622.614624</v>
      </c>
      <c r="Z264" s="68" t="n">
        <f aca="false">Z256+Z257+Z258+Z259+Z260+Z261+Z262+Z263</f>
        <v>-84622.614624</v>
      </c>
      <c r="AA264" s="68" t="n">
        <f aca="false">AA256+AA257+AA258+AA259+AA260+AA261+AA262+AA263</f>
        <v>-89051.565115695</v>
      </c>
      <c r="AB264" s="68" t="n">
        <f aca="false">AB256+AB257+AB258+AB259+AB260+AB261+AB262+AB263</f>
        <v>-89051.565115695</v>
      </c>
      <c r="AC264" s="68" t="n">
        <f aca="false">AC256+AC257+AC258+AC259+AC260+AC261+AC262+AC263</f>
        <v>-89051.565115695</v>
      </c>
      <c r="AD264" s="68" t="n">
        <f aca="false">AD256+AD257+AD258+AD259+AD260+AD261+AD262+AD263</f>
        <v>-89051.565115695</v>
      </c>
      <c r="AE264" s="68" t="n">
        <f aca="false">AE256+AE257+AE258+AE259+AE260+AE261+AE262+AE263</f>
        <v>-89051.565115695</v>
      </c>
      <c r="AF264" s="68" t="n">
        <f aca="false">AF256+AF257+AF258+AF259+AF260+AF261+AF262+AF263</f>
        <v>-89051.565115695</v>
      </c>
      <c r="AG264" s="68" t="n">
        <f aca="false">AG256+AG257+AG258+AG259+AG260+AG261+AG262+AG263</f>
        <v>-89051.565115695</v>
      </c>
      <c r="AH264" s="68" t="n">
        <f aca="false">AH256+AH257+AH258+AH259+AH260+AH261+AH262+AH263</f>
        <v>-89051.565115695</v>
      </c>
      <c r="AI264" s="68" t="n">
        <f aca="false">AI256+AI257+AI258+AI259+AI260+AI261+AI262+AI263</f>
        <v>-89051.565115695</v>
      </c>
      <c r="AJ264" s="68" t="n">
        <f aca="false">AJ256+AJ257+AJ258+AJ259+AJ260+AJ261+AJ262+AJ263</f>
        <v>-89051.565115695</v>
      </c>
      <c r="AK264" s="68" t="n">
        <f aca="false">AK256+AK257+AK258+AK259+AK260+AK261+AK262+AK263</f>
        <v>-90417.7281917909</v>
      </c>
      <c r="AL264" s="68" t="n">
        <f aca="false">AL256+AL257+AL258+AL259+AL260+AL261+AL262+AL263</f>
        <v>-90417.7281917909</v>
      </c>
      <c r="AM264" s="68" t="n">
        <f aca="false">AM256+AM257+AM258+AM259+AM260+AM261+AM262+AM263</f>
        <v>-95305.342857119</v>
      </c>
      <c r="AN264" s="68" t="n">
        <f aca="false">AN256+AN257+AN258+AN259+AN260+AN261+AN262+AN263</f>
        <v>-95305.342857119</v>
      </c>
      <c r="AO264" s="68" t="n">
        <f aca="false">AO256+AO257+AO258+AO259+AO260+AO261+AO262+AO263</f>
        <v>-95305.342857119</v>
      </c>
      <c r="AP264" s="68" t="n">
        <f aca="false">AP256+AP257+AP258+AP259+AP260+AP261+AP262+AP263</f>
        <v>-95305.342857119</v>
      </c>
      <c r="AQ264" s="68" t="n">
        <f aca="false">AQ256+AQ257+AQ258+AQ259+AQ260+AQ261+AQ262+AQ263</f>
        <v>-95305.342857119</v>
      </c>
      <c r="AR264" s="68" t="n">
        <f aca="false">AR256+AR257+AR258+AR259+AR260+AR261+AR262+AR263</f>
        <v>-95305.342857119</v>
      </c>
      <c r="AS264" s="68" t="n">
        <f aca="false">AS256+AS257+AS258+AS259+AS260+AS261+AS262+AS263</f>
        <v>-95305.342857119</v>
      </c>
      <c r="AT264" s="68" t="n">
        <f aca="false">AT256+AT257+AT258+AT259+AT260+AT261+AT262+AT263</f>
        <v>-95305.342857119</v>
      </c>
      <c r="AU264" s="68" t="n">
        <f aca="false">AU256+AU257+AU258+AU259+AU260+AU261+AU262+AU263</f>
        <v>-95305.342857119</v>
      </c>
      <c r="AV264" s="68" t="n">
        <f aca="false">AV256+AV257+AV258+AV259+AV260+AV261+AV262+AV263</f>
        <v>-95305.342857119</v>
      </c>
      <c r="AW264" s="68" t="n">
        <f aca="false">AW256+AW257+AW258+AW259+AW260+AW261+AW262+AW263</f>
        <v>-96797.1929362159</v>
      </c>
      <c r="AX264" s="68" t="n">
        <f aca="false">AX256+AX257+AX258+AX259+AX260+AX261+AX262+AX263</f>
        <v>-96797.1929362159</v>
      </c>
      <c r="AY264" s="68" t="n">
        <f aca="false">AY256+AY257+AY258+AY259+AY260+AY261+AY262+AY263</f>
        <v>-102197.214656049</v>
      </c>
      <c r="AZ264" s="68" t="n">
        <f aca="false">AZ256+AZ257+AZ258+AZ259+AZ260+AZ261+AZ262+AZ263</f>
        <v>-102197.214656049</v>
      </c>
      <c r="BA264" s="68" t="n">
        <f aca="false">BA256+BA257+BA258+BA259+BA260+BA261+BA262+BA263</f>
        <v>-102197.214656049</v>
      </c>
      <c r="BB264" s="68" t="n">
        <f aca="false">BB256+BB257+BB258+BB259+BB260+BB261+BB262+BB263</f>
        <v>-102197.214656049</v>
      </c>
      <c r="BC264" s="68" t="n">
        <f aca="false">BC256+BC257+BC258+BC259+BC260+BC261+BC262+BC263</f>
        <v>-102197.214656049</v>
      </c>
      <c r="BD264" s="68" t="n">
        <f aca="false">BD256+BD257+BD258+BD259+BD260+BD261+BD262+BD263</f>
        <v>-102197.214656049</v>
      </c>
      <c r="BE264" s="68" t="n">
        <f aca="false">BE256+BE257+BE258+BE259+BE260+BE261+BE262+BE263</f>
        <v>-102197.214656049</v>
      </c>
      <c r="BF264" s="68" t="n">
        <f aca="false">BF256+BF257+BF258+BF259+BF260+BF261+BF262+BF263</f>
        <v>-102197.214656049</v>
      </c>
      <c r="BG264" s="68" t="n">
        <f aca="false">BG256+BG257+BG258+BG259+BG260+BG261+BG262+BG263</f>
        <v>-102197.214656049</v>
      </c>
      <c r="BH264" s="68" t="n">
        <f aca="false">BH256+BH257+BH258+BH259+BH260+BH261+BH262+BH263</f>
        <v>-102197.214656049</v>
      </c>
      <c r="BI264" s="68" t="n">
        <f aca="false">BI256+BI257+BI258+BI259+BI260+BI261+BI262+BI263</f>
        <v>-103826.314942423</v>
      </c>
      <c r="BJ264" s="68" t="n">
        <f aca="false">BJ256+BJ257+BJ258+BJ259+BJ260+BJ261+BJ262+BJ263</f>
        <v>-103826.314942423</v>
      </c>
    </row>
    <row r="265" customFormat="false" ht="15" hidden="false" customHeight="false" outlineLevel="0" collapsed="false">
      <c r="A265" s="115" t="s">
        <v>48</v>
      </c>
      <c r="C265" s="68" t="n">
        <f aca="false">C253+C264</f>
        <v>21819.4895892473</v>
      </c>
      <c r="D265" s="68" t="n">
        <f aca="false">D253+D264</f>
        <v>26765.3741161291</v>
      </c>
      <c r="E265" s="68" t="n">
        <f aca="false">E253+E264</f>
        <v>26765.3741161291</v>
      </c>
      <c r="F265" s="68" t="n">
        <f aca="false">F253+F264</f>
        <v>26765.3741161291</v>
      </c>
      <c r="G265" s="68" t="n">
        <f aca="false">G253+G264</f>
        <v>26765.3741161291</v>
      </c>
      <c r="H265" s="68" t="n">
        <f aca="false">H253+H264</f>
        <v>26765.3741161291</v>
      </c>
      <c r="I265" s="68" t="n">
        <f aca="false">I253+I264</f>
        <v>26765.3741161291</v>
      </c>
      <c r="J265" s="68" t="n">
        <f aca="false">J253+J264</f>
        <v>26765.3741161291</v>
      </c>
      <c r="K265" s="68" t="n">
        <f aca="false">K253+K264</f>
        <v>26765.3741161291</v>
      </c>
      <c r="L265" s="68" t="n">
        <f aca="false">L253+L264</f>
        <v>26765.3741161291</v>
      </c>
      <c r="M265" s="68" t="n">
        <f aca="false">M253+M264</f>
        <v>44079.2726451613</v>
      </c>
      <c r="N265" s="68" t="n">
        <f aca="false">N253+N264</f>
        <v>44079.2726451613</v>
      </c>
      <c r="O265" s="68" t="n">
        <f aca="false">O253+O264</f>
        <v>34821.2927001463</v>
      </c>
      <c r="P265" s="68" t="n">
        <f aca="false">P253+P264</f>
        <v>34821.2927001463</v>
      </c>
      <c r="Q265" s="68" t="n">
        <f aca="false">Q253+Q264</f>
        <v>34821.2927001463</v>
      </c>
      <c r="R265" s="68" t="n">
        <f aca="false">R253+R264</f>
        <v>34821.2927001463</v>
      </c>
      <c r="S265" s="68" t="n">
        <f aca="false">S253+S264</f>
        <v>34821.2927001463</v>
      </c>
      <c r="T265" s="68" t="n">
        <f aca="false">T253+T264</f>
        <v>34821.2927001463</v>
      </c>
      <c r="U265" s="68" t="n">
        <f aca="false">U253+U264</f>
        <v>34821.2927001463</v>
      </c>
      <c r="V265" s="68" t="n">
        <f aca="false">V253+V264</f>
        <v>34821.2927001463</v>
      </c>
      <c r="W265" s="68" t="n">
        <f aca="false">W253+W264</f>
        <v>34821.2927001463</v>
      </c>
      <c r="X265" s="68" t="n">
        <f aca="false">X253+X264</f>
        <v>34821.2927001463</v>
      </c>
      <c r="Y265" s="68" t="n">
        <f aca="false">Y253+Y264</f>
        <v>53728.0698938495</v>
      </c>
      <c r="Z265" s="68" t="n">
        <f aca="false">Z253+Z264</f>
        <v>53728.0698938495</v>
      </c>
      <c r="AA265" s="68" t="n">
        <f aca="false">AA253+AA264</f>
        <v>44312.0511298845</v>
      </c>
      <c r="AB265" s="68" t="n">
        <f aca="false">AB253+AB264</f>
        <v>44312.0511298845</v>
      </c>
      <c r="AC265" s="68" t="n">
        <f aca="false">AC253+AC264</f>
        <v>44312.0511298845</v>
      </c>
      <c r="AD265" s="68" t="n">
        <f aca="false">AD253+AD264</f>
        <v>44312.0511298845</v>
      </c>
      <c r="AE265" s="68" t="n">
        <f aca="false">AE253+AE264</f>
        <v>44312.0511298845</v>
      </c>
      <c r="AF265" s="68" t="n">
        <f aca="false">AF253+AF264</f>
        <v>44312.0511298845</v>
      </c>
      <c r="AG265" s="68" t="n">
        <f aca="false">AG253+AG264</f>
        <v>44312.0511298845</v>
      </c>
      <c r="AH265" s="68" t="n">
        <f aca="false">AH253+AH264</f>
        <v>44312.0511298845</v>
      </c>
      <c r="AI265" s="68" t="n">
        <f aca="false">AI253+AI264</f>
        <v>44312.0511298845</v>
      </c>
      <c r="AJ265" s="68" t="n">
        <f aca="false">AJ253+AJ264</f>
        <v>44312.0511298845</v>
      </c>
      <c r="AK265" s="68" t="n">
        <f aca="false">AK253+AK264</f>
        <v>64958.2518254085</v>
      </c>
      <c r="AL265" s="68" t="n">
        <f aca="false">AL253+AL264</f>
        <v>64958.2518254085</v>
      </c>
      <c r="AM265" s="68" t="n">
        <f aca="false">AM253+AM264</f>
        <v>55511.6661196547</v>
      </c>
      <c r="AN265" s="68" t="n">
        <f aca="false">AN253+AN264</f>
        <v>55511.6661196547</v>
      </c>
      <c r="AO265" s="68" t="n">
        <f aca="false">AO253+AO264</f>
        <v>55511.6661196547</v>
      </c>
      <c r="AP265" s="68" t="n">
        <f aca="false">AP253+AP264</f>
        <v>55511.6661196547</v>
      </c>
      <c r="AQ265" s="68" t="n">
        <f aca="false">AQ253+AQ264</f>
        <v>55511.6661196547</v>
      </c>
      <c r="AR265" s="68" t="n">
        <f aca="false">AR253+AR264</f>
        <v>55511.6661196547</v>
      </c>
      <c r="AS265" s="68" t="n">
        <f aca="false">AS253+AS264</f>
        <v>55511.6661196547</v>
      </c>
      <c r="AT265" s="68" t="n">
        <f aca="false">AT253+AT264</f>
        <v>55511.6661196547</v>
      </c>
      <c r="AU265" s="68" t="n">
        <f aca="false">AU253+AU264</f>
        <v>55511.6661196547</v>
      </c>
      <c r="AV265" s="68" t="n">
        <f aca="false">AV253+AV264</f>
        <v>55511.6661196547</v>
      </c>
      <c r="AW265" s="68" t="n">
        <f aca="false">AW253+AW264</f>
        <v>78057.3172791669</v>
      </c>
      <c r="AX265" s="68" t="n">
        <f aca="false">AX253+AX264</f>
        <v>78057.3172791669</v>
      </c>
      <c r="AY265" s="68" t="n">
        <f aca="false">AY253+AY264</f>
        <v>68748.8644067431</v>
      </c>
      <c r="AZ265" s="68" t="n">
        <f aca="false">AZ253+AZ264</f>
        <v>68748.8644067431</v>
      </c>
      <c r="BA265" s="68" t="n">
        <f aca="false">BA253+BA264</f>
        <v>68748.8644067431</v>
      </c>
      <c r="BB265" s="68" t="n">
        <f aca="false">BB253+BB264</f>
        <v>68748.8644067431</v>
      </c>
      <c r="BC265" s="68" t="n">
        <f aca="false">BC253+BC264</f>
        <v>68748.8644067431</v>
      </c>
      <c r="BD265" s="68" t="n">
        <f aca="false">BD253+BD264</f>
        <v>68748.8644067431</v>
      </c>
      <c r="BE265" s="68" t="n">
        <f aca="false">BE253+BE264</f>
        <v>68748.8644067431</v>
      </c>
      <c r="BF265" s="68" t="n">
        <f aca="false">BF253+BF264</f>
        <v>68748.8644067431</v>
      </c>
      <c r="BG265" s="68" t="n">
        <f aca="false">BG253+BG264</f>
        <v>68748.8644067431</v>
      </c>
      <c r="BH265" s="68" t="n">
        <f aca="false">BH253+BH264</f>
        <v>68748.8644067431</v>
      </c>
      <c r="BI265" s="68" t="n">
        <f aca="false">BI253+BI264</f>
        <v>93368.7154729304</v>
      </c>
      <c r="BJ265" s="68" t="n">
        <f aca="false">BJ253+BJ264</f>
        <v>93368.7154729304</v>
      </c>
    </row>
    <row r="267" customFormat="false" ht="15.75" hidden="false" customHeight="true" outlineLevel="0" collapsed="false">
      <c r="A267" s="7" t="s">
        <v>411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customFormat="false" ht="15" hidden="false" customHeight="false" outlineLevel="0" collapsed="false">
      <c r="A268" s="4" t="s">
        <v>79</v>
      </c>
      <c r="C268" s="73" t="n">
        <f aca="false">C265+C279</f>
        <v>20748.0610178187</v>
      </c>
      <c r="D268" s="73" t="n">
        <f aca="false">D265+D279</f>
        <v>25693.9455447005</v>
      </c>
      <c r="E268" s="73" t="n">
        <f aca="false">E265+E279</f>
        <v>25693.9455447005</v>
      </c>
      <c r="F268" s="73" t="n">
        <f aca="false">F265+F279</f>
        <v>25693.9455447005</v>
      </c>
      <c r="G268" s="73" t="n">
        <f aca="false">G265+G279</f>
        <v>25693.9455447005</v>
      </c>
      <c r="H268" s="73" t="n">
        <f aca="false">H265+H279</f>
        <v>25693.9455447005</v>
      </c>
      <c r="I268" s="73" t="n">
        <f aca="false">I265+I279</f>
        <v>25693.9455447005</v>
      </c>
      <c r="J268" s="73" t="n">
        <f aca="false">J265+J279</f>
        <v>25693.9455447005</v>
      </c>
      <c r="K268" s="73" t="n">
        <f aca="false">K265+K279</f>
        <v>25693.9455447005</v>
      </c>
      <c r="L268" s="73" t="n">
        <f aca="false">L265+L279</f>
        <v>25693.9455447005</v>
      </c>
      <c r="M268" s="73" t="n">
        <f aca="false">M265+M279</f>
        <v>43007.8440737327</v>
      </c>
      <c r="N268" s="73" t="n">
        <f aca="false">N265+N279</f>
        <v>43007.8440737327</v>
      </c>
      <c r="O268" s="73" t="n">
        <f aca="false">O265+O279</f>
        <v>33735.9752398288</v>
      </c>
      <c r="P268" s="73" t="n">
        <f aca="false">P265+P279</f>
        <v>33722.0863509399</v>
      </c>
      <c r="Q268" s="73" t="n">
        <f aca="false">Q265+Q279</f>
        <v>33708.197462051</v>
      </c>
      <c r="R268" s="73" t="n">
        <f aca="false">R265+R279</f>
        <v>33694.3085731621</v>
      </c>
      <c r="S268" s="73" t="n">
        <f aca="false">S265+S279</f>
        <v>33680.4196842732</v>
      </c>
      <c r="T268" s="73" t="n">
        <f aca="false">T265+T279</f>
        <v>33666.5307953843</v>
      </c>
      <c r="U268" s="73" t="n">
        <f aca="false">U265+U279</f>
        <v>33652.6419064955</v>
      </c>
      <c r="V268" s="73" t="n">
        <f aca="false">V265+V279</f>
        <v>33638.7530176066</v>
      </c>
      <c r="W268" s="73" t="n">
        <f aca="false">W265+W279</f>
        <v>33624.8641287177</v>
      </c>
      <c r="X268" s="73" t="n">
        <f aca="false">X265+X279</f>
        <v>33610.9752398288</v>
      </c>
      <c r="Y268" s="73" t="n">
        <f aca="false">Y265+Y279</f>
        <v>52503.8635446431</v>
      </c>
      <c r="Z268" s="73" t="n">
        <f aca="false">Z265+Z279</f>
        <v>52489.9746557543</v>
      </c>
      <c r="AA268" s="73" t="n">
        <f aca="false">AA265+AA279</f>
        <v>43060.0670029004</v>
      </c>
      <c r="AB268" s="73" t="n">
        <f aca="false">AB265+AB279</f>
        <v>43046.1781140115</v>
      </c>
      <c r="AC268" s="73" t="n">
        <f aca="false">AC265+AC279</f>
        <v>43032.2892251226</v>
      </c>
      <c r="AD268" s="73" t="n">
        <f aca="false">AD265+AD279</f>
        <v>43018.4003362337</v>
      </c>
      <c r="AE268" s="73" t="n">
        <f aca="false">AE265+AE279</f>
        <v>43004.5114473448</v>
      </c>
      <c r="AF268" s="73" t="n">
        <f aca="false">AF265+AF279</f>
        <v>42990.6225584559</v>
      </c>
      <c r="AG268" s="73" t="n">
        <f aca="false">AG265+AG279</f>
        <v>42976.733669567</v>
      </c>
      <c r="AH268" s="73" t="n">
        <f aca="false">AH265+AH279</f>
        <v>42962.8447806781</v>
      </c>
      <c r="AI268" s="73" t="n">
        <f aca="false">AI265+AI279</f>
        <v>42948.9558917893</v>
      </c>
      <c r="AJ268" s="73" t="n">
        <f aca="false">AJ265+AJ279</f>
        <v>42935.0670029004</v>
      </c>
      <c r="AK268" s="73" t="n">
        <f aca="false">AK265+AK279</f>
        <v>63567.3788095355</v>
      </c>
      <c r="AL268" s="73" t="n">
        <f aca="false">AL265+AL279</f>
        <v>63553.4899206466</v>
      </c>
      <c r="AM268" s="73" t="n">
        <f aca="false">AM265+AM279</f>
        <v>54093.0153260039</v>
      </c>
      <c r="AN268" s="73" t="n">
        <f aca="false">AN265+AN279</f>
        <v>54079.1264371151</v>
      </c>
      <c r="AO268" s="73" t="n">
        <f aca="false">AO265+AO279</f>
        <v>54065.2375482262</v>
      </c>
      <c r="AP268" s="73" t="n">
        <f aca="false">AP265+AP279</f>
        <v>54051.3486593373</v>
      </c>
      <c r="AQ268" s="73" t="n">
        <f aca="false">AQ265+AQ279</f>
        <v>54037.4597704484</v>
      </c>
      <c r="AR268" s="73" t="n">
        <f aca="false">AR265+AR279</f>
        <v>54023.5708815595</v>
      </c>
      <c r="AS268" s="73" t="n">
        <f aca="false">AS265+AS279</f>
        <v>54009.6819926706</v>
      </c>
      <c r="AT268" s="73" t="n">
        <f aca="false">AT265+AT279</f>
        <v>53995.7931037817</v>
      </c>
      <c r="AU268" s="73" t="n">
        <f aca="false">AU265+AU279</f>
        <v>53981.9042148928</v>
      </c>
      <c r="AV268" s="73" t="n">
        <f aca="false">AV265+AV279</f>
        <v>53968.0153260039</v>
      </c>
      <c r="AW268" s="73" t="n">
        <f aca="false">AW265+AW279</f>
        <v>76499.7775966272</v>
      </c>
      <c r="AX268" s="73" t="n">
        <f aca="false">AX265+AX279</f>
        <v>76485.8887077383</v>
      </c>
      <c r="AY268" s="73" t="n">
        <f aca="false">AY265+AY279</f>
        <v>67163.5469464257</v>
      </c>
      <c r="AZ268" s="73" t="n">
        <f aca="false">AZ265+AZ279</f>
        <v>67149.6580575368</v>
      </c>
      <c r="BA268" s="73" t="n">
        <f aca="false">BA265+BA279</f>
        <v>67135.7691686479</v>
      </c>
      <c r="BB268" s="73" t="n">
        <f aca="false">BB265+BB279</f>
        <v>67121.880279759</v>
      </c>
      <c r="BC268" s="73" t="n">
        <f aca="false">BC265+BC279</f>
        <v>67107.9913908701</v>
      </c>
      <c r="BD268" s="73" t="n">
        <f aca="false">BD265+BD279</f>
        <v>67094.1025019812</v>
      </c>
      <c r="BE268" s="73" t="n">
        <f aca="false">BE265+BE279</f>
        <v>67080.2136130923</v>
      </c>
      <c r="BF268" s="73" t="n">
        <f aca="false">BF265+BF279</f>
        <v>67066.3247242034</v>
      </c>
      <c r="BG268" s="73" t="n">
        <f aca="false">BG265+BG279</f>
        <v>67052.4358353145</v>
      </c>
      <c r="BH268" s="73" t="n">
        <f aca="false">BH265+BH279</f>
        <v>67038.5469464257</v>
      </c>
      <c r="BI268" s="73" t="n">
        <f aca="false">BI265+BI279</f>
        <v>91644.509123724</v>
      </c>
      <c r="BJ268" s="73" t="n">
        <f aca="false">BJ265+BJ279</f>
        <v>91630.6202348352</v>
      </c>
    </row>
    <row r="269" customFormat="false" ht="15" hidden="false" customHeight="false" outlineLevel="0" collapsed="false">
      <c r="A269" s="6" t="s">
        <v>412</v>
      </c>
      <c r="C269" s="67" t="n">
        <f aca="false">-(C284+C285+C287)/2*Inputs!$D$60/12</f>
        <v>-566.666666666667</v>
      </c>
      <c r="D269" s="67" t="n">
        <f aca="false">-(D284+D285+D287)/2*Inputs!$D$60/12</f>
        <v>-561.944444444445</v>
      </c>
      <c r="E269" s="67" t="n">
        <f aca="false">-(E284+E285+E287)/2*Inputs!$D$60/12</f>
        <v>-552.5</v>
      </c>
      <c r="F269" s="67" t="n">
        <f aca="false">-(F284+F285+F287)/2*Inputs!$D$60/12</f>
        <v>-543.055555555556</v>
      </c>
      <c r="G269" s="67" t="n">
        <f aca="false">-(G284+G285+G287)/2*Inputs!$D$60/12</f>
        <v>-533.611111111111</v>
      </c>
      <c r="H269" s="67" t="n">
        <f aca="false">-(H284+H285+H287)/2*Inputs!$D$60/12</f>
        <v>-524.166666666667</v>
      </c>
      <c r="I269" s="67" t="n">
        <f aca="false">-(I284+I285+I287)/2*Inputs!$D$60/12</f>
        <v>-514.722222222222</v>
      </c>
      <c r="J269" s="67" t="n">
        <f aca="false">-(J284+J285+J287)/2*Inputs!$D$60/12</f>
        <v>-505.277777777778</v>
      </c>
      <c r="K269" s="67" t="n">
        <f aca="false">-(K284+K285+K287)/2*Inputs!$D$60/12</f>
        <v>-495.833333333334</v>
      </c>
      <c r="L269" s="67" t="n">
        <f aca="false">-(L284+L285+L287)/2*Inputs!$D$60/12</f>
        <v>-486.388888888889</v>
      </c>
      <c r="M269" s="67" t="n">
        <f aca="false">-(M284+M285+M287)/2*Inputs!$D$60/12</f>
        <v>-476.944444444445</v>
      </c>
      <c r="N269" s="67" t="n">
        <f aca="false">-(N284+N285+N287)/2*Inputs!$D$60/12</f>
        <v>-467.5</v>
      </c>
      <c r="O269" s="67" t="n">
        <f aca="false">-(O284+O285+O287)/2*Inputs!$D$60/12</f>
        <v>-458.055555555556</v>
      </c>
      <c r="P269" s="67" t="n">
        <f aca="false">-(P284+P285+P287)/2*Inputs!$D$60/12</f>
        <v>-448.611111111111</v>
      </c>
      <c r="Q269" s="67" t="n">
        <f aca="false">-(Q284+Q285+Q287)/2*Inputs!$D$60/12</f>
        <v>-439.166666666667</v>
      </c>
      <c r="R269" s="67" t="n">
        <f aca="false">-(R284+R285+R287)/2*Inputs!$D$60/12</f>
        <v>-429.722222222222</v>
      </c>
      <c r="S269" s="67" t="n">
        <f aca="false">-(S284+S285+S287)/2*Inputs!$D$60/12</f>
        <v>-420.277777777778</v>
      </c>
      <c r="T269" s="67" t="n">
        <f aca="false">-(T284+T285+T287)/2*Inputs!$D$60/12</f>
        <v>-410.833333333334</v>
      </c>
      <c r="U269" s="67" t="n">
        <f aca="false">-(U284+U285+U287)/2*Inputs!$D$60/12</f>
        <v>-401.388888888889</v>
      </c>
      <c r="V269" s="67" t="n">
        <f aca="false">-(V284+V285+V287)/2*Inputs!$D$60/12</f>
        <v>-391.944444444445</v>
      </c>
      <c r="W269" s="67" t="n">
        <f aca="false">-(W284+W285+W287)/2*Inputs!$D$60/12</f>
        <v>-382.5</v>
      </c>
      <c r="X269" s="67" t="n">
        <f aca="false">-(X284+X285+X287)/2*Inputs!$D$60/12</f>
        <v>-373.055555555556</v>
      </c>
      <c r="Y269" s="67" t="n">
        <f aca="false">-(Y284+Y285+Y287)/2*Inputs!$D$60/12</f>
        <v>-363.611111111111</v>
      </c>
      <c r="Z269" s="67" t="n">
        <f aca="false">-(Z284+Z285+Z287)/2*Inputs!$D$60/12</f>
        <v>-354.166666666667</v>
      </c>
      <c r="AA269" s="67" t="n">
        <f aca="false">-(AA284+AA285+AA287)/2*Inputs!$D$60/12</f>
        <v>-344.722222222222</v>
      </c>
      <c r="AB269" s="67" t="n">
        <f aca="false">-(AB284+AB285+AB287)/2*Inputs!$D$60/12</f>
        <v>-335.277777777778</v>
      </c>
      <c r="AC269" s="67" t="n">
        <f aca="false">-(AC284+AC285+AC287)/2*Inputs!$D$60/12</f>
        <v>-325.833333333333</v>
      </c>
      <c r="AD269" s="67" t="n">
        <f aca="false">-(AD284+AD285+AD287)/2*Inputs!$D$60/12</f>
        <v>-316.388888888889</v>
      </c>
      <c r="AE269" s="67" t="n">
        <f aca="false">-(AE284+AE285+AE287)/2*Inputs!$D$60/12</f>
        <v>-306.944444444445</v>
      </c>
      <c r="AF269" s="67" t="n">
        <f aca="false">-(AF284+AF285+AF287)/2*Inputs!$D$60/12</f>
        <v>-297.5</v>
      </c>
      <c r="AG269" s="67" t="n">
        <f aca="false">-(AG284+AG285+AG287)/2*Inputs!$D$60/12</f>
        <v>-288.055555555556</v>
      </c>
      <c r="AH269" s="67" t="n">
        <f aca="false">-(AH284+AH285+AH287)/2*Inputs!$D$60/12</f>
        <v>-278.611111111111</v>
      </c>
      <c r="AI269" s="67" t="n">
        <f aca="false">-(AI284+AI285+AI287)/2*Inputs!$D$60/12</f>
        <v>-269.166666666667</v>
      </c>
      <c r="AJ269" s="67" t="n">
        <f aca="false">-(AJ284+AJ285+AJ287)/2*Inputs!$D$60/12</f>
        <v>-259.722222222222</v>
      </c>
      <c r="AK269" s="67" t="n">
        <f aca="false">-(AK284+AK285+AK287)/2*Inputs!$D$60/12</f>
        <v>-250.277777777778</v>
      </c>
      <c r="AL269" s="67" t="n">
        <f aca="false">-(AL284+AL285+AL287)/2*Inputs!$D$60/12</f>
        <v>-240.833333333333</v>
      </c>
      <c r="AM269" s="67" t="n">
        <f aca="false">-(AM284+AM285+AM287)/2*Inputs!$D$60/12</f>
        <v>-231.388888888889</v>
      </c>
      <c r="AN269" s="67" t="n">
        <f aca="false">-(AN284+AN285+AN287)/2*Inputs!$D$60/12</f>
        <v>-221.944444444444</v>
      </c>
      <c r="AO269" s="67" t="n">
        <f aca="false">-(AO284+AO285+AO287)/2*Inputs!$D$60/12</f>
        <v>-212.5</v>
      </c>
      <c r="AP269" s="67" t="n">
        <f aca="false">-(AP284+AP285+AP287)/2*Inputs!$D$60/12</f>
        <v>-203.055555555556</v>
      </c>
      <c r="AQ269" s="67" t="n">
        <f aca="false">-(AQ284+AQ285+AQ287)/2*Inputs!$D$60/12</f>
        <v>-193.611111111111</v>
      </c>
      <c r="AR269" s="67" t="n">
        <f aca="false">-(AR284+AR285+AR287)/2*Inputs!$D$60/12</f>
        <v>-184.166666666667</v>
      </c>
      <c r="AS269" s="67" t="n">
        <f aca="false">-(AS284+AS285+AS287)/2*Inputs!$D$60/12</f>
        <v>-174.722222222222</v>
      </c>
      <c r="AT269" s="67" t="n">
        <f aca="false">-(AT284+AT285+AT287)/2*Inputs!$D$60/12</f>
        <v>-165.277777777778</v>
      </c>
      <c r="AU269" s="67" t="n">
        <f aca="false">-(AU284+AU285+AU287)/2*Inputs!$D$60/12</f>
        <v>-155.833333333333</v>
      </c>
      <c r="AV269" s="67" t="n">
        <f aca="false">-(AV284+AV285+AV287)/2*Inputs!$D$60/12</f>
        <v>-146.388888888889</v>
      </c>
      <c r="AW269" s="67" t="n">
        <f aca="false">-(AW284+AW285+AW287)/2*Inputs!$D$60/12</f>
        <v>-136.944444444444</v>
      </c>
      <c r="AX269" s="67" t="n">
        <f aca="false">-(AX284+AX285+AX287)/2*Inputs!$D$60/12</f>
        <v>-127.5</v>
      </c>
      <c r="AY269" s="67" t="n">
        <f aca="false">-(AY284+AY285+AY287)/2*Inputs!$D$60/12</f>
        <v>-118.055555555556</v>
      </c>
      <c r="AZ269" s="67" t="n">
        <f aca="false">-(AZ284+AZ285+AZ287)/2*Inputs!$D$60/12</f>
        <v>-108.611111111111</v>
      </c>
      <c r="BA269" s="67" t="n">
        <f aca="false">-(BA284+BA285+BA287)/2*Inputs!$D$60/12</f>
        <v>-99.1666666666667</v>
      </c>
      <c r="BB269" s="67" t="n">
        <f aca="false">-(BB284+BB285+BB287)/2*Inputs!$D$60/12</f>
        <v>-89.7222222222222</v>
      </c>
      <c r="BC269" s="67" t="n">
        <f aca="false">-(BC284+BC285+BC287)/2*Inputs!$D$60/12</f>
        <v>-80.2777777777778</v>
      </c>
      <c r="BD269" s="67" t="n">
        <f aca="false">-(BD284+BD285+BD287)/2*Inputs!$D$60/12</f>
        <v>-70.8333333333333</v>
      </c>
      <c r="BE269" s="67" t="n">
        <f aca="false">-(BE284+BE285+BE287)/2*Inputs!$D$60/12</f>
        <v>-61.3888888888889</v>
      </c>
      <c r="BF269" s="67" t="n">
        <f aca="false">-(BF284+BF285+BF287)/2*Inputs!$D$60/12</f>
        <v>-51.9444444444444</v>
      </c>
      <c r="BG269" s="67" t="n">
        <f aca="false">-(BG284+BG285+BG287)/2*Inputs!$D$60/12</f>
        <v>-42.5</v>
      </c>
      <c r="BH269" s="67" t="n">
        <f aca="false">-(BH284+BH285+BH287)/2*Inputs!$D$60/12</f>
        <v>-33.0555555555556</v>
      </c>
      <c r="BI269" s="67" t="n">
        <f aca="false">-(BI284+BI285+BI287)/2*Inputs!$D$60/12</f>
        <v>-23.6111111111111</v>
      </c>
      <c r="BJ269" s="67" t="n">
        <f aca="false">-(BJ284+BJ285+BJ287)/2*Inputs!$D$60/12</f>
        <v>-14.1666666666667</v>
      </c>
    </row>
    <row r="270" customFormat="false" ht="15" hidden="false" customHeight="false" outlineLevel="0" collapsed="false">
      <c r="A270" s="115" t="s">
        <v>81</v>
      </c>
      <c r="C270" s="68" t="n">
        <f aca="false">C268+C269</f>
        <v>20181.3943511521</v>
      </c>
      <c r="D270" s="68" t="n">
        <f aca="false">D268+D269</f>
        <v>25132.001100256</v>
      </c>
      <c r="E270" s="68" t="n">
        <f aca="false">E268+E269</f>
        <v>25141.4455447005</v>
      </c>
      <c r="F270" s="68" t="n">
        <f aca="false">F268+F269</f>
        <v>25150.8899891449</v>
      </c>
      <c r="G270" s="68" t="n">
        <f aca="false">G268+G269</f>
        <v>25160.3344335894</v>
      </c>
      <c r="H270" s="68" t="n">
        <f aca="false">H268+H269</f>
        <v>25169.7788780338</v>
      </c>
      <c r="I270" s="68" t="n">
        <f aca="false">I268+I269</f>
        <v>25179.2233224783</v>
      </c>
      <c r="J270" s="68" t="n">
        <f aca="false">J268+J269</f>
        <v>25188.6677669227</v>
      </c>
      <c r="K270" s="68" t="n">
        <f aca="false">K268+K269</f>
        <v>25198.1122113671</v>
      </c>
      <c r="L270" s="68" t="n">
        <f aca="false">L268+L269</f>
        <v>25207.5566558116</v>
      </c>
      <c r="M270" s="68" t="n">
        <f aca="false">M268+M269</f>
        <v>42530.8996292883</v>
      </c>
      <c r="N270" s="68" t="n">
        <f aca="false">N268+N269</f>
        <v>42540.3440737327</v>
      </c>
      <c r="O270" s="68" t="n">
        <f aca="false">O268+O269</f>
        <v>33277.9196842732</v>
      </c>
      <c r="P270" s="68" t="n">
        <f aca="false">P268+P269</f>
        <v>33273.4752398288</v>
      </c>
      <c r="Q270" s="68" t="n">
        <f aca="false">Q268+Q269</f>
        <v>33269.0307953844</v>
      </c>
      <c r="R270" s="68" t="n">
        <f aca="false">R268+R269</f>
        <v>33264.5863509399</v>
      </c>
      <c r="S270" s="68" t="n">
        <f aca="false">S268+S269</f>
        <v>33260.1419064955</v>
      </c>
      <c r="T270" s="68" t="n">
        <f aca="false">T268+T269</f>
        <v>33255.697462051</v>
      </c>
      <c r="U270" s="68" t="n">
        <f aca="false">U268+U269</f>
        <v>33251.2530176066</v>
      </c>
      <c r="V270" s="68" t="n">
        <f aca="false">V268+V269</f>
        <v>33246.8085731621</v>
      </c>
      <c r="W270" s="68" t="n">
        <f aca="false">W268+W269</f>
        <v>33242.3641287177</v>
      </c>
      <c r="X270" s="68" t="n">
        <f aca="false">X268+X269</f>
        <v>33237.9196842732</v>
      </c>
      <c r="Y270" s="68" t="n">
        <f aca="false">Y268+Y269</f>
        <v>52140.252433532</v>
      </c>
      <c r="Z270" s="68" t="n">
        <f aca="false">Z268+Z269</f>
        <v>52135.8079890876</v>
      </c>
      <c r="AA270" s="68" t="n">
        <f aca="false">AA268+AA269</f>
        <v>42715.3447806782</v>
      </c>
      <c r="AB270" s="68" t="n">
        <f aca="false">AB268+AB269</f>
        <v>42710.9003362337</v>
      </c>
      <c r="AC270" s="68" t="n">
        <f aca="false">AC268+AC269</f>
        <v>42706.4558917893</v>
      </c>
      <c r="AD270" s="68" t="n">
        <f aca="false">AD268+AD269</f>
        <v>42702.0114473448</v>
      </c>
      <c r="AE270" s="68" t="n">
        <f aca="false">AE268+AE269</f>
        <v>42697.5670029004</v>
      </c>
      <c r="AF270" s="68" t="n">
        <f aca="false">AF268+AF269</f>
        <v>42693.1225584559</v>
      </c>
      <c r="AG270" s="68" t="n">
        <f aca="false">AG268+AG269</f>
        <v>42688.6781140115</v>
      </c>
      <c r="AH270" s="68" t="n">
        <f aca="false">AH268+AH269</f>
        <v>42684.233669567</v>
      </c>
      <c r="AI270" s="68" t="n">
        <f aca="false">AI268+AI269</f>
        <v>42679.7892251226</v>
      </c>
      <c r="AJ270" s="68" t="n">
        <f aca="false">AJ268+AJ269</f>
        <v>42675.3447806782</v>
      </c>
      <c r="AK270" s="68" t="n">
        <f aca="false">AK268+AK269</f>
        <v>63317.1010317577</v>
      </c>
      <c r="AL270" s="68" t="n">
        <f aca="false">AL268+AL269</f>
        <v>63312.6565873132</v>
      </c>
      <c r="AM270" s="68" t="n">
        <f aca="false">AM268+AM269</f>
        <v>53861.6264371151</v>
      </c>
      <c r="AN270" s="68" t="n">
        <f aca="false">AN268+AN269</f>
        <v>53857.1819926706</v>
      </c>
      <c r="AO270" s="68" t="n">
        <f aca="false">AO268+AO269</f>
        <v>53852.7375482262</v>
      </c>
      <c r="AP270" s="68" t="n">
        <f aca="false">AP268+AP269</f>
        <v>53848.2931037817</v>
      </c>
      <c r="AQ270" s="68" t="n">
        <f aca="false">AQ268+AQ269</f>
        <v>53843.8486593373</v>
      </c>
      <c r="AR270" s="68" t="n">
        <f aca="false">AR268+AR269</f>
        <v>53839.4042148928</v>
      </c>
      <c r="AS270" s="68" t="n">
        <f aca="false">AS268+AS269</f>
        <v>53834.9597704484</v>
      </c>
      <c r="AT270" s="68" t="n">
        <f aca="false">AT268+AT269</f>
        <v>53830.5153260039</v>
      </c>
      <c r="AU270" s="68" t="n">
        <f aca="false">AU268+AU269</f>
        <v>53826.0708815595</v>
      </c>
      <c r="AV270" s="68" t="n">
        <f aca="false">AV268+AV269</f>
        <v>53821.6264371151</v>
      </c>
      <c r="AW270" s="68" t="n">
        <f aca="false">AW268+AW269</f>
        <v>76362.8331521827</v>
      </c>
      <c r="AX270" s="68" t="n">
        <f aca="false">AX268+AX269</f>
        <v>76358.3887077383</v>
      </c>
      <c r="AY270" s="68" t="n">
        <f aca="false">AY268+AY269</f>
        <v>67045.4913908701</v>
      </c>
      <c r="AZ270" s="68" t="n">
        <f aca="false">AZ268+AZ269</f>
        <v>67041.0469464257</v>
      </c>
      <c r="BA270" s="68" t="n">
        <f aca="false">BA268+BA269</f>
        <v>67036.6025019812</v>
      </c>
      <c r="BB270" s="68" t="n">
        <f aca="false">BB268+BB269</f>
        <v>67032.1580575368</v>
      </c>
      <c r="BC270" s="68" t="n">
        <f aca="false">BC268+BC269</f>
        <v>67027.7136130923</v>
      </c>
      <c r="BD270" s="68" t="n">
        <f aca="false">BD268+BD269</f>
        <v>67023.2691686479</v>
      </c>
      <c r="BE270" s="68" t="n">
        <f aca="false">BE268+BE269</f>
        <v>67018.8247242034</v>
      </c>
      <c r="BF270" s="68" t="n">
        <f aca="false">BF268+BF269</f>
        <v>67014.380279759</v>
      </c>
      <c r="BG270" s="68" t="n">
        <f aca="false">BG268+BG269</f>
        <v>67009.9358353145</v>
      </c>
      <c r="BH270" s="68" t="n">
        <f aca="false">BH268+BH269</f>
        <v>67005.4913908701</v>
      </c>
      <c r="BI270" s="68" t="n">
        <f aca="false">BI268+BI269</f>
        <v>91620.8980126129</v>
      </c>
      <c r="BJ270" s="68" t="n">
        <f aca="false">BJ268+BJ269</f>
        <v>91616.4535681685</v>
      </c>
    </row>
    <row r="271" customFormat="false" ht="15" hidden="false" customHeight="false" outlineLevel="0" collapsed="false">
      <c r="A271" s="121" t="s">
        <v>413</v>
      </c>
      <c r="C271" s="67" t="n">
        <f aca="false">C270</f>
        <v>20181.3943511521</v>
      </c>
      <c r="D271" s="67" t="n">
        <f aca="false">C271+D270</f>
        <v>45313.3954514081</v>
      </c>
      <c r="E271" s="67" t="n">
        <f aca="false">D271+E270</f>
        <v>70454.8409961086</v>
      </c>
      <c r="F271" s="67" t="n">
        <f aca="false">E271+F270</f>
        <v>95605.7309852535</v>
      </c>
      <c r="G271" s="67" t="n">
        <f aca="false">F271+G270</f>
        <v>120766.065418843</v>
      </c>
      <c r="H271" s="67" t="n">
        <f aca="false">G271+H270</f>
        <v>145935.844296877</v>
      </c>
      <c r="I271" s="67" t="n">
        <f aca="false">H271+I270</f>
        <v>171115.067619355</v>
      </c>
      <c r="J271" s="67" t="n">
        <f aca="false">I271+J270</f>
        <v>196303.735386278</v>
      </c>
      <c r="K271" s="67" t="n">
        <f aca="false">J271+K270</f>
        <v>221501.847597645</v>
      </c>
      <c r="L271" s="67" t="n">
        <f aca="false">K271+L270</f>
        <v>246709.404253456</v>
      </c>
      <c r="M271" s="67" t="n">
        <f aca="false">L271+M270</f>
        <v>289240.303882745</v>
      </c>
      <c r="N271" s="67" t="n">
        <f aca="false">M271+N270</f>
        <v>331780.647956477</v>
      </c>
      <c r="O271" s="67" t="n">
        <f aca="false">N271+O270</f>
        <v>365058.567640751</v>
      </c>
      <c r="P271" s="67" t="n">
        <f aca="false">O271+P270</f>
        <v>398332.042880579</v>
      </c>
      <c r="Q271" s="67" t="n">
        <f aca="false">P271+Q270</f>
        <v>431601.073675964</v>
      </c>
      <c r="R271" s="67" t="n">
        <f aca="false">Q271+R270</f>
        <v>464865.660026904</v>
      </c>
      <c r="S271" s="67" t="n">
        <f aca="false">R271+S270</f>
        <v>498125.801933399</v>
      </c>
      <c r="T271" s="67" t="n">
        <f aca="false">S271+T270</f>
        <v>531381.49939545</v>
      </c>
      <c r="U271" s="67" t="n">
        <f aca="false">T271+U270</f>
        <v>564632.752413057</v>
      </c>
      <c r="V271" s="67" t="n">
        <f aca="false">U271+V270</f>
        <v>597879.560986219</v>
      </c>
      <c r="W271" s="67" t="n">
        <f aca="false">V271+W270</f>
        <v>631121.925114937</v>
      </c>
      <c r="X271" s="67" t="n">
        <f aca="false">W271+X270</f>
        <v>664359.84479921</v>
      </c>
      <c r="Y271" s="67" t="n">
        <f aca="false">X271+Y270</f>
        <v>716500.097232742</v>
      </c>
      <c r="Z271" s="67" t="n">
        <f aca="false">Y271+Z270</f>
        <v>768635.905221829</v>
      </c>
      <c r="AA271" s="67" t="n">
        <f aca="false">Z271+AA270</f>
        <v>811351.250002508</v>
      </c>
      <c r="AB271" s="67" t="n">
        <f aca="false">AA271+AB270</f>
        <v>854062.150338741</v>
      </c>
      <c r="AC271" s="67" t="n">
        <f aca="false">AB271+AC270</f>
        <v>896768.606230531</v>
      </c>
      <c r="AD271" s="67" t="n">
        <f aca="false">AC271+AD270</f>
        <v>939470.617677875</v>
      </c>
      <c r="AE271" s="67" t="n">
        <f aca="false">AD271+AE270</f>
        <v>982168.184680776</v>
      </c>
      <c r="AF271" s="67" t="n">
        <f aca="false">AE271+AF270</f>
        <v>1024861.30723923</v>
      </c>
      <c r="AG271" s="67" t="n">
        <f aca="false">AF271+AG270</f>
        <v>1067549.98535324</v>
      </c>
      <c r="AH271" s="67" t="n">
        <f aca="false">AG271+AH270</f>
        <v>1110234.21902281</v>
      </c>
      <c r="AI271" s="67" t="n">
        <f aca="false">AH271+AI270</f>
        <v>1152914.00824793</v>
      </c>
      <c r="AJ271" s="67" t="n">
        <f aca="false">AI271+AJ270</f>
        <v>1195589.35302861</v>
      </c>
      <c r="AK271" s="67" t="n">
        <f aca="false">AJ271+AK270</f>
        <v>1258906.45406037</v>
      </c>
      <c r="AL271" s="67" t="n">
        <f aca="false">AK271+AL270</f>
        <v>1322219.11064768</v>
      </c>
      <c r="AM271" s="67" t="n">
        <f aca="false">AL271+AM270</f>
        <v>1376080.7370848</v>
      </c>
      <c r="AN271" s="67" t="n">
        <f aca="false">AM271+AN270</f>
        <v>1429937.91907747</v>
      </c>
      <c r="AO271" s="67" t="n">
        <f aca="false">AN271+AO270</f>
        <v>1483790.65662569</v>
      </c>
      <c r="AP271" s="67" t="n">
        <f aca="false">AO271+AP270</f>
        <v>1537638.94972948</v>
      </c>
      <c r="AQ271" s="67" t="n">
        <f aca="false">AP271+AQ270</f>
        <v>1591482.79838881</v>
      </c>
      <c r="AR271" s="67" t="n">
        <f aca="false">AQ271+AR270</f>
        <v>1645322.20260371</v>
      </c>
      <c r="AS271" s="67" t="n">
        <f aca="false">AR271+AS270</f>
        <v>1699157.16237415</v>
      </c>
      <c r="AT271" s="67" t="n">
        <f aca="false">AS271+AT270</f>
        <v>1752987.67770016</v>
      </c>
      <c r="AU271" s="67" t="n">
        <f aca="false">AT271+AU270</f>
        <v>1806813.74858172</v>
      </c>
      <c r="AV271" s="67" t="n">
        <f aca="false">AU271+AV270</f>
        <v>1860635.37501883</v>
      </c>
      <c r="AW271" s="67" t="n">
        <f aca="false">AV271+AW270</f>
        <v>1936998.20817102</v>
      </c>
      <c r="AX271" s="67" t="n">
        <f aca="false">AW271+AX270</f>
        <v>2013356.59687875</v>
      </c>
      <c r="AY271" s="67" t="n">
        <f aca="false">AX271+AY270</f>
        <v>2080402.08826962</v>
      </c>
      <c r="AZ271" s="67" t="n">
        <f aca="false">AY271+AZ270</f>
        <v>2147443.13521605</v>
      </c>
      <c r="BA271" s="67" t="n">
        <f aca="false">AZ271+BA270</f>
        <v>2214479.73771803</v>
      </c>
      <c r="BB271" s="67" t="n">
        <f aca="false">BA271+BB270</f>
        <v>2281511.89577557</v>
      </c>
      <c r="BC271" s="67" t="n">
        <f aca="false">BB271+BC270</f>
        <v>2348539.60938866</v>
      </c>
      <c r="BD271" s="67" t="n">
        <f aca="false">BC271+BD270</f>
        <v>2415562.87855731</v>
      </c>
      <c r="BE271" s="67" t="n">
        <f aca="false">BD271+BE270</f>
        <v>2482581.70328151</v>
      </c>
      <c r="BF271" s="67" t="n">
        <f aca="false">BE271+BF270</f>
        <v>2549596.08356127</v>
      </c>
      <c r="BG271" s="67" t="n">
        <f aca="false">BF271+BG270</f>
        <v>2616606.01939658</v>
      </c>
      <c r="BH271" s="67" t="n">
        <f aca="false">BG271+BH270</f>
        <v>2683611.51078745</v>
      </c>
      <c r="BI271" s="67" t="n">
        <f aca="false">BH271+BI270</f>
        <v>2775232.40880007</v>
      </c>
      <c r="BJ271" s="67" t="n">
        <f aca="false">BI271+BJ270</f>
        <v>2866848.86236824</v>
      </c>
    </row>
    <row r="272" customFormat="false" ht="15" hidden="false" customHeight="false" outlineLevel="0" collapsed="false">
      <c r="A272" s="121" t="s">
        <v>414</v>
      </c>
      <c r="C272" s="67" t="n">
        <f aca="false">MAX(0,C271)</f>
        <v>20181.3943511521</v>
      </c>
      <c r="D272" s="67" t="n">
        <f aca="false">MAX(C272,D271)</f>
        <v>45313.3954514081</v>
      </c>
      <c r="E272" s="67" t="n">
        <f aca="false">MAX(D272,E271)</f>
        <v>70454.8409961086</v>
      </c>
      <c r="F272" s="67" t="n">
        <f aca="false">MAX(E272,F271)</f>
        <v>95605.7309852535</v>
      </c>
      <c r="G272" s="67" t="n">
        <f aca="false">MAX(F272,G271)</f>
        <v>120766.065418843</v>
      </c>
      <c r="H272" s="67" t="n">
        <f aca="false">MAX(G272,H271)</f>
        <v>145935.844296877</v>
      </c>
      <c r="I272" s="67" t="n">
        <f aca="false">MAX(H272,I271)</f>
        <v>171115.067619355</v>
      </c>
      <c r="J272" s="67" t="n">
        <f aca="false">MAX(I272,J271)</f>
        <v>196303.735386278</v>
      </c>
      <c r="K272" s="67" t="n">
        <f aca="false">MAX(J272,K271)</f>
        <v>221501.847597645</v>
      </c>
      <c r="L272" s="67" t="n">
        <f aca="false">MAX(K272,L271)</f>
        <v>246709.404253456</v>
      </c>
      <c r="M272" s="67" t="n">
        <f aca="false">MAX(L272,M271)</f>
        <v>289240.303882745</v>
      </c>
      <c r="N272" s="67" t="n">
        <f aca="false">MAX(M272,N271)</f>
        <v>331780.647956477</v>
      </c>
      <c r="O272" s="67" t="n">
        <f aca="false">MAX(N272,O271)</f>
        <v>365058.567640751</v>
      </c>
      <c r="P272" s="67" t="n">
        <f aca="false">MAX(O272,P271)</f>
        <v>398332.042880579</v>
      </c>
      <c r="Q272" s="67" t="n">
        <f aca="false">MAX(P272,Q271)</f>
        <v>431601.073675964</v>
      </c>
      <c r="R272" s="67" t="n">
        <f aca="false">MAX(Q272,R271)</f>
        <v>464865.660026904</v>
      </c>
      <c r="S272" s="67" t="n">
        <f aca="false">MAX(R272,S271)</f>
        <v>498125.801933399</v>
      </c>
      <c r="T272" s="67" t="n">
        <f aca="false">MAX(S272,T271)</f>
        <v>531381.49939545</v>
      </c>
      <c r="U272" s="67" t="n">
        <f aca="false">MAX(T272,U271)</f>
        <v>564632.752413057</v>
      </c>
      <c r="V272" s="67" t="n">
        <f aca="false">MAX(U272,V271)</f>
        <v>597879.560986219</v>
      </c>
      <c r="W272" s="67" t="n">
        <f aca="false">MAX(V272,W271)</f>
        <v>631121.925114937</v>
      </c>
      <c r="X272" s="67" t="n">
        <f aca="false">MAX(W272,X271)</f>
        <v>664359.84479921</v>
      </c>
      <c r="Y272" s="67" t="n">
        <f aca="false">MAX(X272,Y271)</f>
        <v>716500.097232742</v>
      </c>
      <c r="Z272" s="67" t="n">
        <f aca="false">MAX(Y272,Z271)</f>
        <v>768635.905221829</v>
      </c>
      <c r="AA272" s="67" t="n">
        <f aca="false">MAX(Z272,AA271)</f>
        <v>811351.250002508</v>
      </c>
      <c r="AB272" s="67" t="n">
        <f aca="false">MAX(AA272,AB271)</f>
        <v>854062.150338741</v>
      </c>
      <c r="AC272" s="67" t="n">
        <f aca="false">MAX(AB272,AC271)</f>
        <v>896768.606230531</v>
      </c>
      <c r="AD272" s="67" t="n">
        <f aca="false">MAX(AC272,AD271)</f>
        <v>939470.617677875</v>
      </c>
      <c r="AE272" s="67" t="n">
        <f aca="false">MAX(AD272,AE271)</f>
        <v>982168.184680776</v>
      </c>
      <c r="AF272" s="67" t="n">
        <f aca="false">MAX(AE272,AF271)</f>
        <v>1024861.30723923</v>
      </c>
      <c r="AG272" s="67" t="n">
        <f aca="false">MAX(AF272,AG271)</f>
        <v>1067549.98535324</v>
      </c>
      <c r="AH272" s="67" t="n">
        <f aca="false">MAX(AG272,AH271)</f>
        <v>1110234.21902281</v>
      </c>
      <c r="AI272" s="67" t="n">
        <f aca="false">MAX(AH272,AI271)</f>
        <v>1152914.00824793</v>
      </c>
      <c r="AJ272" s="67" t="n">
        <f aca="false">MAX(AI272,AJ271)</f>
        <v>1195589.35302861</v>
      </c>
      <c r="AK272" s="67" t="n">
        <f aca="false">MAX(AJ272,AK271)</f>
        <v>1258906.45406037</v>
      </c>
      <c r="AL272" s="67" t="n">
        <f aca="false">MAX(AK272,AL271)</f>
        <v>1322219.11064768</v>
      </c>
      <c r="AM272" s="67" t="n">
        <f aca="false">MAX(AL272,AM271)</f>
        <v>1376080.7370848</v>
      </c>
      <c r="AN272" s="67" t="n">
        <f aca="false">MAX(AM272,AN271)</f>
        <v>1429937.91907747</v>
      </c>
      <c r="AO272" s="67" t="n">
        <f aca="false">MAX(AN272,AO271)</f>
        <v>1483790.65662569</v>
      </c>
      <c r="AP272" s="67" t="n">
        <f aca="false">MAX(AO272,AP271)</f>
        <v>1537638.94972948</v>
      </c>
      <c r="AQ272" s="67" t="n">
        <f aca="false">MAX(AP272,AQ271)</f>
        <v>1591482.79838881</v>
      </c>
      <c r="AR272" s="67" t="n">
        <f aca="false">MAX(AQ272,AR271)</f>
        <v>1645322.20260371</v>
      </c>
      <c r="AS272" s="67" t="n">
        <f aca="false">MAX(AR272,AS271)</f>
        <v>1699157.16237415</v>
      </c>
      <c r="AT272" s="67" t="n">
        <f aca="false">MAX(AS272,AT271)</f>
        <v>1752987.67770016</v>
      </c>
      <c r="AU272" s="67" t="n">
        <f aca="false">MAX(AT272,AU271)</f>
        <v>1806813.74858172</v>
      </c>
      <c r="AV272" s="67" t="n">
        <f aca="false">MAX(AU272,AV271)</f>
        <v>1860635.37501883</v>
      </c>
      <c r="AW272" s="67" t="n">
        <f aca="false">MAX(AV272,AW271)</f>
        <v>1936998.20817102</v>
      </c>
      <c r="AX272" s="67" t="n">
        <f aca="false">MAX(AW272,AX271)</f>
        <v>2013356.59687875</v>
      </c>
      <c r="AY272" s="67" t="n">
        <f aca="false">MAX(AX272,AY271)</f>
        <v>2080402.08826962</v>
      </c>
      <c r="AZ272" s="67" t="n">
        <f aca="false">MAX(AY272,AZ271)</f>
        <v>2147443.13521605</v>
      </c>
      <c r="BA272" s="67" t="n">
        <f aca="false">MAX(AZ272,BA271)</f>
        <v>2214479.73771803</v>
      </c>
      <c r="BB272" s="67" t="n">
        <f aca="false">MAX(BA272,BB271)</f>
        <v>2281511.89577557</v>
      </c>
      <c r="BC272" s="67" t="n">
        <f aca="false">MAX(BB272,BC271)</f>
        <v>2348539.60938866</v>
      </c>
      <c r="BD272" s="67" t="n">
        <f aca="false">MAX(BC272,BD271)</f>
        <v>2415562.87855731</v>
      </c>
      <c r="BE272" s="67" t="n">
        <f aca="false">MAX(BD272,BE271)</f>
        <v>2482581.70328151</v>
      </c>
      <c r="BF272" s="67" t="n">
        <f aca="false">MAX(BE272,BF271)</f>
        <v>2549596.08356127</v>
      </c>
      <c r="BG272" s="67" t="n">
        <f aca="false">MAX(BF272,BG271)</f>
        <v>2616606.01939658</v>
      </c>
      <c r="BH272" s="67" t="n">
        <f aca="false">MAX(BG272,BH271)</f>
        <v>2683611.51078745</v>
      </c>
      <c r="BI272" s="67" t="n">
        <f aca="false">MAX(BH272,BI271)</f>
        <v>2775232.40880007</v>
      </c>
      <c r="BJ272" s="67" t="n">
        <f aca="false">MAX(BI272,BJ271)</f>
        <v>2866848.86236824</v>
      </c>
    </row>
    <row r="273" customFormat="false" ht="15" hidden="false" customHeight="false" outlineLevel="0" collapsed="false">
      <c r="A273" s="6" t="s">
        <v>82</v>
      </c>
      <c r="C273" s="67" t="n">
        <f aca="false">-C272*Inputs!$D$70</f>
        <v>-4238.09281374193</v>
      </c>
      <c r="D273" s="67" t="n">
        <f aca="false">-(D272-C272)*Inputs!$D$70</f>
        <v>-5277.72023105377</v>
      </c>
      <c r="E273" s="67" t="n">
        <f aca="false">-(E272-D272)*Inputs!$D$70</f>
        <v>-5279.7035643871</v>
      </c>
      <c r="F273" s="67" t="n">
        <f aca="false">-(F272-E272)*Inputs!$D$70</f>
        <v>-5281.68689772043</v>
      </c>
      <c r="G273" s="67" t="n">
        <f aca="false">-(G272-F272)*Inputs!$D$70</f>
        <v>-5283.67023105377</v>
      </c>
      <c r="H273" s="67" t="n">
        <f aca="false">-(H272-G272)*Inputs!$D$70</f>
        <v>-5285.6535643871</v>
      </c>
      <c r="I273" s="67" t="n">
        <f aca="false">-(I272-H272)*Inputs!$D$70</f>
        <v>-5287.63689772044</v>
      </c>
      <c r="J273" s="67" t="n">
        <f aca="false">-(J272-I272)*Inputs!$D$70</f>
        <v>-5289.62023105377</v>
      </c>
      <c r="K273" s="67" t="n">
        <f aca="false">-(K272-J272)*Inputs!$D$70</f>
        <v>-5291.6035643871</v>
      </c>
      <c r="L273" s="67" t="n">
        <f aca="false">-(L272-K272)*Inputs!$D$70</f>
        <v>-5293.58689772043</v>
      </c>
      <c r="M273" s="67" t="n">
        <f aca="false">-(M272-L272)*Inputs!$D$70</f>
        <v>-8931.48892215054</v>
      </c>
      <c r="N273" s="67" t="n">
        <f aca="false">-(N272-M272)*Inputs!$D$70</f>
        <v>-8933.47225548387</v>
      </c>
      <c r="O273" s="67" t="n">
        <f aca="false">-(O272-N272)*Inputs!$D$70</f>
        <v>-6988.36313369738</v>
      </c>
      <c r="P273" s="67" t="n">
        <f aca="false">-(P272-O272)*Inputs!$D$70</f>
        <v>-6987.42980036405</v>
      </c>
      <c r="Q273" s="67" t="n">
        <f aca="false">-(Q272-P272)*Inputs!$D$70</f>
        <v>-6986.49646703072</v>
      </c>
      <c r="R273" s="67" t="n">
        <f aca="false">-(R272-Q272)*Inputs!$D$70</f>
        <v>-6985.56313369739</v>
      </c>
      <c r="S273" s="67" t="n">
        <f aca="false">-(S272-R272)*Inputs!$D$70</f>
        <v>-6984.62980036404</v>
      </c>
      <c r="T273" s="67" t="n">
        <f aca="false">-(T272-S272)*Inputs!$D$70</f>
        <v>-6983.69646703072</v>
      </c>
      <c r="U273" s="67" t="n">
        <f aca="false">-(U272-T272)*Inputs!$D$70</f>
        <v>-6982.76313369738</v>
      </c>
      <c r="V273" s="67" t="n">
        <f aca="false">-(V272-U272)*Inputs!$D$70</f>
        <v>-6981.82980036406</v>
      </c>
      <c r="W273" s="67" t="n">
        <f aca="false">-(W272-V272)*Inputs!$D$70</f>
        <v>-6980.89646703071</v>
      </c>
      <c r="X273" s="67" t="n">
        <f aca="false">-(X272-W272)*Inputs!$D$70</f>
        <v>-6979.96313369737</v>
      </c>
      <c r="Y273" s="67" t="n">
        <f aca="false">-(Y272-X272)*Inputs!$D$70</f>
        <v>-10949.4530110417</v>
      </c>
      <c r="Z273" s="67" t="n">
        <f aca="false">-(Z272-Y272)*Inputs!$D$70</f>
        <v>-10948.5196777084</v>
      </c>
      <c r="AA273" s="67" t="n">
        <f aca="false">-(AA272-Z272)*Inputs!$D$70</f>
        <v>-8970.22240394242</v>
      </c>
      <c r="AB273" s="67" t="n">
        <f aca="false">-(AB272-AA272)*Inputs!$D$70</f>
        <v>-8969.28907060907</v>
      </c>
      <c r="AC273" s="67" t="n">
        <f aca="false">-(AC272-AB272)*Inputs!$D$70</f>
        <v>-8968.35573727575</v>
      </c>
      <c r="AD273" s="67" t="n">
        <f aca="false">-(AD272-AC272)*Inputs!$D$70</f>
        <v>-8967.42240394241</v>
      </c>
      <c r="AE273" s="67" t="n">
        <f aca="false">-(AE272-AD272)*Inputs!$D$70</f>
        <v>-8966.48907060909</v>
      </c>
      <c r="AF273" s="67" t="n">
        <f aca="false">-(AF272-AE272)*Inputs!$D$70</f>
        <v>-8965.55573727574</v>
      </c>
      <c r="AG273" s="67" t="n">
        <f aca="false">-(AG272-AF272)*Inputs!$D$70</f>
        <v>-8964.6224039424</v>
      </c>
      <c r="AH273" s="67" t="n">
        <f aca="false">-(AH272-AG272)*Inputs!$D$70</f>
        <v>-8963.68907060905</v>
      </c>
      <c r="AI273" s="67" t="n">
        <f aca="false">-(AI272-AH272)*Inputs!$D$70</f>
        <v>-8962.75573727576</v>
      </c>
      <c r="AJ273" s="67" t="n">
        <f aca="false">-(AJ272-AI272)*Inputs!$D$70</f>
        <v>-8961.82240394241</v>
      </c>
      <c r="AK273" s="67" t="n">
        <f aca="false">-(AK272-AJ272)*Inputs!$D$70</f>
        <v>-13296.5912166691</v>
      </c>
      <c r="AL273" s="67" t="n">
        <f aca="false">-(AL272-AK272)*Inputs!$D$70</f>
        <v>-13295.6578833358</v>
      </c>
      <c r="AM273" s="67" t="n">
        <f aca="false">-(AM272-AL272)*Inputs!$D$70</f>
        <v>-11310.9415517942</v>
      </c>
      <c r="AN273" s="67" t="n">
        <f aca="false">-(AN272-AM272)*Inputs!$D$70</f>
        <v>-11310.0082184608</v>
      </c>
      <c r="AO273" s="67" t="n">
        <f aca="false">-(AO272-AN272)*Inputs!$D$70</f>
        <v>-11309.0748851275</v>
      </c>
      <c r="AP273" s="67" t="n">
        <f aca="false">-(AP272-AO272)*Inputs!$D$70</f>
        <v>-11308.1415517942</v>
      </c>
      <c r="AQ273" s="67" t="n">
        <f aca="false">-(AQ272-AP272)*Inputs!$D$70</f>
        <v>-11307.2082184608</v>
      </c>
      <c r="AR273" s="67" t="n">
        <f aca="false">-(AR272-AQ272)*Inputs!$D$70</f>
        <v>-11306.2748851275</v>
      </c>
      <c r="AS273" s="67" t="n">
        <f aca="false">-(AS272-AR272)*Inputs!$D$70</f>
        <v>-11305.3415517942</v>
      </c>
      <c r="AT273" s="67" t="n">
        <f aca="false">-(AT272-AS272)*Inputs!$D$70</f>
        <v>-11304.4082184608</v>
      </c>
      <c r="AU273" s="67" t="n">
        <f aca="false">-(AU272-AT272)*Inputs!$D$70</f>
        <v>-11303.4748851275</v>
      </c>
      <c r="AV273" s="67" t="n">
        <f aca="false">-(AV272-AU272)*Inputs!$D$70</f>
        <v>-11302.5415517942</v>
      </c>
      <c r="AW273" s="67" t="n">
        <f aca="false">-(AW272-AV272)*Inputs!$D$70</f>
        <v>-16036.1949619584</v>
      </c>
      <c r="AX273" s="67" t="n">
        <f aca="false">-(AX272-AW272)*Inputs!$D$70</f>
        <v>-16035.2616286251</v>
      </c>
      <c r="AY273" s="67" t="n">
        <f aca="false">-(AY272-AX272)*Inputs!$D$70</f>
        <v>-14079.5531920827</v>
      </c>
      <c r="AZ273" s="67" t="n">
        <f aca="false">-(AZ272-AY272)*Inputs!$D$70</f>
        <v>-14078.6198587493</v>
      </c>
      <c r="BA273" s="67" t="n">
        <f aca="false">-(BA272-AZ272)*Inputs!$D$70</f>
        <v>-14077.6865254161</v>
      </c>
      <c r="BB273" s="67" t="n">
        <f aca="false">-(BB272-BA272)*Inputs!$D$70</f>
        <v>-14076.7531920828</v>
      </c>
      <c r="BC273" s="67" t="n">
        <f aca="false">-(BC272-BB272)*Inputs!$D$70</f>
        <v>-14075.8198587494</v>
      </c>
      <c r="BD273" s="67" t="n">
        <f aca="false">-(BD272-BC272)*Inputs!$D$70</f>
        <v>-14074.8865254161</v>
      </c>
      <c r="BE273" s="67" t="n">
        <f aca="false">-(BE272-BD272)*Inputs!$D$70</f>
        <v>-14073.9531920827</v>
      </c>
      <c r="BF273" s="67" t="n">
        <f aca="false">-(BF272-BE272)*Inputs!$D$70</f>
        <v>-14073.0198587494</v>
      </c>
      <c r="BG273" s="67" t="n">
        <f aca="false">-(BG272-BF272)*Inputs!$D$70</f>
        <v>-14072.086525416</v>
      </c>
      <c r="BH273" s="67" t="n">
        <f aca="false">-(BH272-BG272)*Inputs!$D$70</f>
        <v>-14071.1531920827</v>
      </c>
      <c r="BI273" s="67" t="n">
        <f aca="false">-(BI272-BH272)*Inputs!$D$70</f>
        <v>-19240.3885826487</v>
      </c>
      <c r="BJ273" s="67" t="n">
        <f aca="false">-(BJ272-BI272)*Inputs!$D$70</f>
        <v>-19239.4552493154</v>
      </c>
    </row>
    <row r="274" customFormat="false" ht="15" hidden="false" customHeight="false" outlineLevel="0" collapsed="false">
      <c r="A274" s="115" t="s">
        <v>50</v>
      </c>
      <c r="C274" s="68" t="n">
        <f aca="false">C270+C273</f>
        <v>15943.3015374101</v>
      </c>
      <c r="D274" s="68" t="n">
        <f aca="false">D270+D273</f>
        <v>19854.2808692023</v>
      </c>
      <c r="E274" s="68" t="n">
        <f aca="false">E270+E273</f>
        <v>19861.7419803134</v>
      </c>
      <c r="F274" s="68" t="n">
        <f aca="false">F270+F273</f>
        <v>19869.2030914245</v>
      </c>
      <c r="G274" s="68" t="n">
        <f aca="false">G270+G273</f>
        <v>19876.6642025356</v>
      </c>
      <c r="H274" s="68" t="n">
        <f aca="false">H270+H273</f>
        <v>19884.1253136467</v>
      </c>
      <c r="I274" s="68" t="n">
        <f aca="false">I270+I273</f>
        <v>19891.5864247578</v>
      </c>
      <c r="J274" s="68" t="n">
        <f aca="false">J270+J273</f>
        <v>19899.0475358689</v>
      </c>
      <c r="K274" s="68" t="n">
        <f aca="false">K270+K273</f>
        <v>19906.50864698</v>
      </c>
      <c r="L274" s="68" t="n">
        <f aca="false">L270+L273</f>
        <v>19913.9697580912</v>
      </c>
      <c r="M274" s="68" t="n">
        <f aca="false">M270+M273</f>
        <v>33599.4107071378</v>
      </c>
      <c r="N274" s="68" t="n">
        <f aca="false">N270+N273</f>
        <v>33606.8718182489</v>
      </c>
      <c r="O274" s="68" t="n">
        <f aca="false">O270+O273</f>
        <v>26289.5565505759</v>
      </c>
      <c r="P274" s="68" t="n">
        <f aca="false">P270+P273</f>
        <v>26286.0454394647</v>
      </c>
      <c r="Q274" s="68" t="n">
        <f aca="false">Q270+Q273</f>
        <v>26282.5343283536</v>
      </c>
      <c r="R274" s="68" t="n">
        <f aca="false">R270+R273</f>
        <v>26279.0232172425</v>
      </c>
      <c r="S274" s="68" t="n">
        <f aca="false">S270+S273</f>
        <v>26275.5121061314</v>
      </c>
      <c r="T274" s="68" t="n">
        <f aca="false">T270+T273</f>
        <v>26272.0009950203</v>
      </c>
      <c r="U274" s="68" t="n">
        <f aca="false">U270+U273</f>
        <v>26268.4898839092</v>
      </c>
      <c r="V274" s="68" t="n">
        <f aca="false">V270+V273</f>
        <v>26264.9787727981</v>
      </c>
      <c r="W274" s="68" t="n">
        <f aca="false">W270+W273</f>
        <v>26261.467661687</v>
      </c>
      <c r="X274" s="68" t="n">
        <f aca="false">X270+X273</f>
        <v>26257.9565505759</v>
      </c>
      <c r="Y274" s="68" t="n">
        <f aca="false">Y270+Y273</f>
        <v>41190.7994224903</v>
      </c>
      <c r="Z274" s="68" t="n">
        <f aca="false">Z270+Z273</f>
        <v>41187.2883113792</v>
      </c>
      <c r="AA274" s="68" t="n">
        <f aca="false">AA270+AA273</f>
        <v>33745.1223767357</v>
      </c>
      <c r="AB274" s="68" t="n">
        <f aca="false">AB270+AB273</f>
        <v>33741.6112656246</v>
      </c>
      <c r="AC274" s="68" t="n">
        <f aca="false">AC270+AC273</f>
        <v>33738.1001545135</v>
      </c>
      <c r="AD274" s="68" t="n">
        <f aca="false">AD270+AD273</f>
        <v>33734.5890434024</v>
      </c>
      <c r="AE274" s="68" t="n">
        <f aca="false">AE270+AE273</f>
        <v>33731.0779322913</v>
      </c>
      <c r="AF274" s="68" t="n">
        <f aca="false">AF270+AF273</f>
        <v>33727.5668211802</v>
      </c>
      <c r="AG274" s="68" t="n">
        <f aca="false">AG270+AG273</f>
        <v>33724.0557100691</v>
      </c>
      <c r="AH274" s="68" t="n">
        <f aca="false">AH270+AH273</f>
        <v>33720.544598958</v>
      </c>
      <c r="AI274" s="68" t="n">
        <f aca="false">AI270+AI273</f>
        <v>33717.0334878468</v>
      </c>
      <c r="AJ274" s="68" t="n">
        <f aca="false">AJ270+AJ273</f>
        <v>33713.5223767357</v>
      </c>
      <c r="AK274" s="68" t="n">
        <f aca="false">AK270+AK273</f>
        <v>50020.5098150886</v>
      </c>
      <c r="AL274" s="68" t="n">
        <f aca="false">AL270+AL273</f>
        <v>50016.9987039775</v>
      </c>
      <c r="AM274" s="68" t="n">
        <f aca="false">AM270+AM273</f>
        <v>42550.6848853209</v>
      </c>
      <c r="AN274" s="68" t="n">
        <f aca="false">AN270+AN273</f>
        <v>42547.1737742098</v>
      </c>
      <c r="AO274" s="68" t="n">
        <f aca="false">AO270+AO273</f>
        <v>42543.6626630987</v>
      </c>
      <c r="AP274" s="68" t="n">
        <f aca="false">AP270+AP273</f>
        <v>42540.1515519876</v>
      </c>
      <c r="AQ274" s="68" t="n">
        <f aca="false">AQ270+AQ273</f>
        <v>42536.6404408765</v>
      </c>
      <c r="AR274" s="68" t="n">
        <f aca="false">AR270+AR273</f>
        <v>42533.1293297654</v>
      </c>
      <c r="AS274" s="68" t="n">
        <f aca="false">AS270+AS273</f>
        <v>42529.6182186542</v>
      </c>
      <c r="AT274" s="68" t="n">
        <f aca="false">AT270+AT273</f>
        <v>42526.1071075431</v>
      </c>
      <c r="AU274" s="68" t="n">
        <f aca="false">AU270+AU273</f>
        <v>42522.595996432</v>
      </c>
      <c r="AV274" s="68" t="n">
        <f aca="false">AV270+AV273</f>
        <v>42519.0848853209</v>
      </c>
      <c r="AW274" s="68" t="n">
        <f aca="false">AW270+AW273</f>
        <v>60326.6381902244</v>
      </c>
      <c r="AX274" s="68" t="n">
        <f aca="false">AX270+AX273</f>
        <v>60323.1270791132</v>
      </c>
      <c r="AY274" s="68" t="n">
        <f aca="false">AY270+AY273</f>
        <v>52965.9381987874</v>
      </c>
      <c r="AZ274" s="68" t="n">
        <f aca="false">AZ270+AZ273</f>
        <v>52962.4270876763</v>
      </c>
      <c r="BA274" s="68" t="n">
        <f aca="false">BA270+BA273</f>
        <v>52958.9159765651</v>
      </c>
      <c r="BB274" s="68" t="n">
        <f aca="false">BB270+BB273</f>
        <v>52955.404865454</v>
      </c>
      <c r="BC274" s="68" t="n">
        <f aca="false">BC270+BC273</f>
        <v>52951.8937543429</v>
      </c>
      <c r="BD274" s="68" t="n">
        <f aca="false">BD270+BD273</f>
        <v>52948.3826432318</v>
      </c>
      <c r="BE274" s="68" t="n">
        <f aca="false">BE270+BE273</f>
        <v>52944.8715321207</v>
      </c>
      <c r="BF274" s="68" t="n">
        <f aca="false">BF270+BF273</f>
        <v>52941.3604210096</v>
      </c>
      <c r="BG274" s="68" t="n">
        <f aca="false">BG270+BG273</f>
        <v>52937.8493098985</v>
      </c>
      <c r="BH274" s="68" t="n">
        <f aca="false">BH270+BH273</f>
        <v>52934.3381987874</v>
      </c>
      <c r="BI274" s="68" t="n">
        <f aca="false">BI270+BI273</f>
        <v>72380.5094299642</v>
      </c>
      <c r="BJ274" s="68" t="n">
        <f aca="false">BJ270+BJ273</f>
        <v>72376.9983188531</v>
      </c>
    </row>
    <row r="276" customFormat="false" ht="15.75" hidden="false" customHeight="true" outlineLevel="0" collapsed="false">
      <c r="A276" s="7" t="s">
        <v>415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customFormat="false" ht="15" hidden="false" customHeight="false" outlineLevel="0" collapsed="false">
      <c r="A277" s="6" t="s">
        <v>416</v>
      </c>
      <c r="C277" s="67" t="n">
        <f aca="false">IF(C$228=1,Inputs!$D$38,0)+IF(C$229&gt;1,Inputs!$D$39*1/12,0)</f>
        <v>90000</v>
      </c>
      <c r="D277" s="67" t="n">
        <f aca="false">IF(D$228=1,Inputs!$D$38,0)+IF(D$229&gt;1,Inputs!$D$39*1/12,0)</f>
        <v>0</v>
      </c>
      <c r="E277" s="67" t="n">
        <f aca="false">IF(E$228=1,Inputs!$D$38,0)+IF(E$229&gt;1,Inputs!$D$39*1/12,0)</f>
        <v>0</v>
      </c>
      <c r="F277" s="67" t="n">
        <f aca="false">IF(F$228=1,Inputs!$D$38,0)+IF(F$229&gt;1,Inputs!$D$39*1/12,0)</f>
        <v>0</v>
      </c>
      <c r="G277" s="67" t="n">
        <f aca="false">IF(G$228=1,Inputs!$D$38,0)+IF(G$229&gt;1,Inputs!$D$39*1/12,0)</f>
        <v>0</v>
      </c>
      <c r="H277" s="67" t="n">
        <f aca="false">IF(H$228=1,Inputs!$D$38,0)+IF(H$229&gt;1,Inputs!$D$39*1/12,0)</f>
        <v>0</v>
      </c>
      <c r="I277" s="67" t="n">
        <f aca="false">IF(I$228=1,Inputs!$D$38,0)+IF(I$229&gt;1,Inputs!$D$39*1/12,0)</f>
        <v>0</v>
      </c>
      <c r="J277" s="67" t="n">
        <f aca="false">IF(J$228=1,Inputs!$D$38,0)+IF(J$229&gt;1,Inputs!$D$39*1/12,0)</f>
        <v>0</v>
      </c>
      <c r="K277" s="67" t="n">
        <f aca="false">IF(K$228=1,Inputs!$D$38,0)+IF(K$229&gt;1,Inputs!$D$39*1/12,0)</f>
        <v>0</v>
      </c>
      <c r="L277" s="67" t="n">
        <f aca="false">IF(L$228=1,Inputs!$D$38,0)+IF(L$229&gt;1,Inputs!$D$39*1/12,0)</f>
        <v>0</v>
      </c>
      <c r="M277" s="67" t="n">
        <f aca="false">IF(M$228=1,Inputs!$D$38,0)+IF(M$229&gt;1,Inputs!$D$39*1/12,0)</f>
        <v>0</v>
      </c>
      <c r="N277" s="67" t="n">
        <f aca="false">IF(N$228=1,Inputs!$D$38,0)+IF(N$229&gt;1,Inputs!$D$39*1/12,0)</f>
        <v>0</v>
      </c>
      <c r="O277" s="67" t="n">
        <f aca="false">IF(O$228=1,Inputs!$D$38,0)+IF(O$229&gt;1,Inputs!$D$39*1/12,0)</f>
        <v>1166.66666666667</v>
      </c>
      <c r="P277" s="67" t="n">
        <f aca="false">IF(P$228=1,Inputs!$D$38,0)+IF(P$229&gt;1,Inputs!$D$39*1/12,0)</f>
        <v>1166.66666666667</v>
      </c>
      <c r="Q277" s="67" t="n">
        <f aca="false">IF(Q$228=1,Inputs!$D$38,0)+IF(Q$229&gt;1,Inputs!$D$39*1/12,0)</f>
        <v>1166.66666666667</v>
      </c>
      <c r="R277" s="67" t="n">
        <f aca="false">IF(R$228=1,Inputs!$D$38,0)+IF(R$229&gt;1,Inputs!$D$39*1/12,0)</f>
        <v>1166.66666666667</v>
      </c>
      <c r="S277" s="67" t="n">
        <f aca="false">IF(S$228=1,Inputs!$D$38,0)+IF(S$229&gt;1,Inputs!$D$39*1/12,0)</f>
        <v>1166.66666666667</v>
      </c>
      <c r="T277" s="67" t="n">
        <f aca="false">IF(T$228=1,Inputs!$D$38,0)+IF(T$229&gt;1,Inputs!$D$39*1/12,0)</f>
        <v>1166.66666666667</v>
      </c>
      <c r="U277" s="67" t="n">
        <f aca="false">IF(U$228=1,Inputs!$D$38,0)+IF(U$229&gt;1,Inputs!$D$39*1/12,0)</f>
        <v>1166.66666666667</v>
      </c>
      <c r="V277" s="67" t="n">
        <f aca="false">IF(V$228=1,Inputs!$D$38,0)+IF(V$229&gt;1,Inputs!$D$39*1/12,0)</f>
        <v>1166.66666666667</v>
      </c>
      <c r="W277" s="67" t="n">
        <f aca="false">IF(W$228=1,Inputs!$D$38,0)+IF(W$229&gt;1,Inputs!$D$39*1/12,0)</f>
        <v>1166.66666666667</v>
      </c>
      <c r="X277" s="67" t="n">
        <f aca="false">IF(X$228=1,Inputs!$D$38,0)+IF(X$229&gt;1,Inputs!$D$39*1/12,0)</f>
        <v>1166.66666666667</v>
      </c>
      <c r="Y277" s="67" t="n">
        <f aca="false">IF(Y$228=1,Inputs!$D$38,0)+IF(Y$229&gt;1,Inputs!$D$39*1/12,0)</f>
        <v>1166.66666666667</v>
      </c>
      <c r="Z277" s="67" t="n">
        <f aca="false">IF(Z$228=1,Inputs!$D$38,0)+IF(Z$229&gt;1,Inputs!$D$39*1/12,0)</f>
        <v>1166.66666666667</v>
      </c>
      <c r="AA277" s="67" t="n">
        <f aca="false">IF(AA$228=1,Inputs!$D$38,0)+IF(AA$229&gt;1,Inputs!$D$39*1/12,0)</f>
        <v>1166.66666666667</v>
      </c>
      <c r="AB277" s="67" t="n">
        <f aca="false">IF(AB$228=1,Inputs!$D$38,0)+IF(AB$229&gt;1,Inputs!$D$39*1/12,0)</f>
        <v>1166.66666666667</v>
      </c>
      <c r="AC277" s="67" t="n">
        <f aca="false">IF(AC$228=1,Inputs!$D$38,0)+IF(AC$229&gt;1,Inputs!$D$39*1/12,0)</f>
        <v>1166.66666666667</v>
      </c>
      <c r="AD277" s="67" t="n">
        <f aca="false">IF(AD$228=1,Inputs!$D$38,0)+IF(AD$229&gt;1,Inputs!$D$39*1/12,0)</f>
        <v>1166.66666666667</v>
      </c>
      <c r="AE277" s="67" t="n">
        <f aca="false">IF(AE$228=1,Inputs!$D$38,0)+IF(AE$229&gt;1,Inputs!$D$39*1/12,0)</f>
        <v>1166.66666666667</v>
      </c>
      <c r="AF277" s="67" t="n">
        <f aca="false">IF(AF$228=1,Inputs!$D$38,0)+IF(AF$229&gt;1,Inputs!$D$39*1/12,0)</f>
        <v>1166.66666666667</v>
      </c>
      <c r="AG277" s="67" t="n">
        <f aca="false">IF(AG$228=1,Inputs!$D$38,0)+IF(AG$229&gt;1,Inputs!$D$39*1/12,0)</f>
        <v>1166.66666666667</v>
      </c>
      <c r="AH277" s="67" t="n">
        <f aca="false">IF(AH$228=1,Inputs!$D$38,0)+IF(AH$229&gt;1,Inputs!$D$39*1/12,0)</f>
        <v>1166.66666666667</v>
      </c>
      <c r="AI277" s="67" t="n">
        <f aca="false">IF(AI$228=1,Inputs!$D$38,0)+IF(AI$229&gt;1,Inputs!$D$39*1/12,0)</f>
        <v>1166.66666666667</v>
      </c>
      <c r="AJ277" s="67" t="n">
        <f aca="false">IF(AJ$228=1,Inputs!$D$38,0)+IF(AJ$229&gt;1,Inputs!$D$39*1/12,0)</f>
        <v>1166.66666666667</v>
      </c>
      <c r="AK277" s="67" t="n">
        <f aca="false">IF(AK$228=1,Inputs!$D$38,0)+IF(AK$229&gt;1,Inputs!$D$39*1/12,0)</f>
        <v>1166.66666666667</v>
      </c>
      <c r="AL277" s="67" t="n">
        <f aca="false">IF(AL$228=1,Inputs!$D$38,0)+IF(AL$229&gt;1,Inputs!$D$39*1/12,0)</f>
        <v>1166.66666666667</v>
      </c>
      <c r="AM277" s="67" t="n">
        <f aca="false">IF(AM$228=1,Inputs!$D$38,0)+IF(AM$229&gt;1,Inputs!$D$39*1/12,0)</f>
        <v>1166.66666666667</v>
      </c>
      <c r="AN277" s="67" t="n">
        <f aca="false">IF(AN$228=1,Inputs!$D$38,0)+IF(AN$229&gt;1,Inputs!$D$39*1/12,0)</f>
        <v>1166.66666666667</v>
      </c>
      <c r="AO277" s="67" t="n">
        <f aca="false">IF(AO$228=1,Inputs!$D$38,0)+IF(AO$229&gt;1,Inputs!$D$39*1/12,0)</f>
        <v>1166.66666666667</v>
      </c>
      <c r="AP277" s="67" t="n">
        <f aca="false">IF(AP$228=1,Inputs!$D$38,0)+IF(AP$229&gt;1,Inputs!$D$39*1/12,0)</f>
        <v>1166.66666666667</v>
      </c>
      <c r="AQ277" s="67" t="n">
        <f aca="false">IF(AQ$228=1,Inputs!$D$38,0)+IF(AQ$229&gt;1,Inputs!$D$39*1/12,0)</f>
        <v>1166.66666666667</v>
      </c>
      <c r="AR277" s="67" t="n">
        <f aca="false">IF(AR$228=1,Inputs!$D$38,0)+IF(AR$229&gt;1,Inputs!$D$39*1/12,0)</f>
        <v>1166.66666666667</v>
      </c>
      <c r="AS277" s="67" t="n">
        <f aca="false">IF(AS$228=1,Inputs!$D$38,0)+IF(AS$229&gt;1,Inputs!$D$39*1/12,0)</f>
        <v>1166.66666666667</v>
      </c>
      <c r="AT277" s="67" t="n">
        <f aca="false">IF(AT$228=1,Inputs!$D$38,0)+IF(AT$229&gt;1,Inputs!$D$39*1/12,0)</f>
        <v>1166.66666666667</v>
      </c>
      <c r="AU277" s="67" t="n">
        <f aca="false">IF(AU$228=1,Inputs!$D$38,0)+IF(AU$229&gt;1,Inputs!$D$39*1/12,0)</f>
        <v>1166.66666666667</v>
      </c>
      <c r="AV277" s="67" t="n">
        <f aca="false">IF(AV$228=1,Inputs!$D$38,0)+IF(AV$229&gt;1,Inputs!$D$39*1/12,0)</f>
        <v>1166.66666666667</v>
      </c>
      <c r="AW277" s="67" t="n">
        <f aca="false">IF(AW$228=1,Inputs!$D$38,0)+IF(AW$229&gt;1,Inputs!$D$39*1/12,0)</f>
        <v>1166.66666666667</v>
      </c>
      <c r="AX277" s="67" t="n">
        <f aca="false">IF(AX$228=1,Inputs!$D$38,0)+IF(AX$229&gt;1,Inputs!$D$39*1/12,0)</f>
        <v>1166.66666666667</v>
      </c>
      <c r="AY277" s="67" t="n">
        <f aca="false">IF(AY$228=1,Inputs!$D$38,0)+IF(AY$229&gt;1,Inputs!$D$39*1/12,0)</f>
        <v>1166.66666666667</v>
      </c>
      <c r="AZ277" s="67" t="n">
        <f aca="false">IF(AZ$228=1,Inputs!$D$38,0)+IF(AZ$229&gt;1,Inputs!$D$39*1/12,0)</f>
        <v>1166.66666666667</v>
      </c>
      <c r="BA277" s="67" t="n">
        <f aca="false">IF(BA$228=1,Inputs!$D$38,0)+IF(BA$229&gt;1,Inputs!$D$39*1/12,0)</f>
        <v>1166.66666666667</v>
      </c>
      <c r="BB277" s="67" t="n">
        <f aca="false">IF(BB$228=1,Inputs!$D$38,0)+IF(BB$229&gt;1,Inputs!$D$39*1/12,0)</f>
        <v>1166.66666666667</v>
      </c>
      <c r="BC277" s="67" t="n">
        <f aca="false">IF(BC$228=1,Inputs!$D$38,0)+IF(BC$229&gt;1,Inputs!$D$39*1/12,0)</f>
        <v>1166.66666666667</v>
      </c>
      <c r="BD277" s="67" t="n">
        <f aca="false">IF(BD$228=1,Inputs!$D$38,0)+IF(BD$229&gt;1,Inputs!$D$39*1/12,0)</f>
        <v>1166.66666666667</v>
      </c>
      <c r="BE277" s="67" t="n">
        <f aca="false">IF(BE$228=1,Inputs!$D$38,0)+IF(BE$229&gt;1,Inputs!$D$39*1/12,0)</f>
        <v>1166.66666666667</v>
      </c>
      <c r="BF277" s="67" t="n">
        <f aca="false">IF(BF$228=1,Inputs!$D$38,0)+IF(BF$229&gt;1,Inputs!$D$39*1/12,0)</f>
        <v>1166.66666666667</v>
      </c>
      <c r="BG277" s="67" t="n">
        <f aca="false">IF(BG$228=1,Inputs!$D$38,0)+IF(BG$229&gt;1,Inputs!$D$39*1/12,0)</f>
        <v>1166.66666666667</v>
      </c>
      <c r="BH277" s="67" t="n">
        <f aca="false">IF(BH$228=1,Inputs!$D$38,0)+IF(BH$229&gt;1,Inputs!$D$39*1/12,0)</f>
        <v>1166.66666666667</v>
      </c>
      <c r="BI277" s="67" t="n">
        <f aca="false">IF(BI$228=1,Inputs!$D$38,0)+IF(BI$229&gt;1,Inputs!$D$39*1/12,0)</f>
        <v>1166.66666666667</v>
      </c>
      <c r="BJ277" s="67" t="n">
        <f aca="false">IF(BJ$228=1,Inputs!$D$38,0)+IF(BJ$229&gt;1,Inputs!$D$39*1/12,0)</f>
        <v>1166.66666666667</v>
      </c>
    </row>
    <row r="278" customFormat="false" ht="15" hidden="false" customHeight="false" outlineLevel="0" collapsed="false">
      <c r="A278" s="6" t="s">
        <v>417</v>
      </c>
      <c r="C278" s="67" t="n">
        <f aca="false">C277</f>
        <v>90000</v>
      </c>
      <c r="D278" s="67" t="n">
        <f aca="false">C278+D277</f>
        <v>90000</v>
      </c>
      <c r="E278" s="67" t="n">
        <f aca="false">D278+E277</f>
        <v>90000</v>
      </c>
      <c r="F278" s="67" t="n">
        <f aca="false">E278+F277</f>
        <v>90000</v>
      </c>
      <c r="G278" s="67" t="n">
        <f aca="false">F278+G277</f>
        <v>90000</v>
      </c>
      <c r="H278" s="67" t="n">
        <f aca="false">G278+H277</f>
        <v>90000</v>
      </c>
      <c r="I278" s="67" t="n">
        <f aca="false">H278+I277</f>
        <v>90000</v>
      </c>
      <c r="J278" s="67" t="n">
        <f aca="false">I278+J277</f>
        <v>90000</v>
      </c>
      <c r="K278" s="67" t="n">
        <f aca="false">J278+K277</f>
        <v>90000</v>
      </c>
      <c r="L278" s="67" t="n">
        <f aca="false">K278+L277</f>
        <v>90000</v>
      </c>
      <c r="M278" s="67" t="n">
        <f aca="false">L278+M277</f>
        <v>90000</v>
      </c>
      <c r="N278" s="67" t="n">
        <f aca="false">M278+N277</f>
        <v>90000</v>
      </c>
      <c r="O278" s="67" t="n">
        <f aca="false">N278+O277</f>
        <v>91166.6666666667</v>
      </c>
      <c r="P278" s="67" t="n">
        <f aca="false">O278+P277</f>
        <v>92333.3333333333</v>
      </c>
      <c r="Q278" s="67" t="n">
        <f aca="false">P278+Q277</f>
        <v>93500</v>
      </c>
      <c r="R278" s="67" t="n">
        <f aca="false">Q278+R277</f>
        <v>94666.6666666667</v>
      </c>
      <c r="S278" s="67" t="n">
        <f aca="false">R278+S277</f>
        <v>95833.3333333334</v>
      </c>
      <c r="T278" s="67" t="n">
        <f aca="false">S278+T277</f>
        <v>97000</v>
      </c>
      <c r="U278" s="67" t="n">
        <f aca="false">T278+U277</f>
        <v>98166.6666666667</v>
      </c>
      <c r="V278" s="67" t="n">
        <f aca="false">U278+V277</f>
        <v>99333.3333333334</v>
      </c>
      <c r="W278" s="67" t="n">
        <f aca="false">V278+W277</f>
        <v>100500</v>
      </c>
      <c r="X278" s="67" t="n">
        <f aca="false">W278+X277</f>
        <v>101666.666666667</v>
      </c>
      <c r="Y278" s="67" t="n">
        <f aca="false">X278+Y277</f>
        <v>102833.333333333</v>
      </c>
      <c r="Z278" s="67" t="n">
        <f aca="false">Y278+Z277</f>
        <v>104000</v>
      </c>
      <c r="AA278" s="67" t="n">
        <f aca="false">Z278+AA277</f>
        <v>105166.666666667</v>
      </c>
      <c r="AB278" s="67" t="n">
        <f aca="false">AA278+AB277</f>
        <v>106333.333333333</v>
      </c>
      <c r="AC278" s="67" t="n">
        <f aca="false">AB278+AC277</f>
        <v>107500</v>
      </c>
      <c r="AD278" s="67" t="n">
        <f aca="false">AC278+AD277</f>
        <v>108666.666666667</v>
      </c>
      <c r="AE278" s="67" t="n">
        <f aca="false">AD278+AE277</f>
        <v>109833.333333333</v>
      </c>
      <c r="AF278" s="67" t="n">
        <f aca="false">AE278+AF277</f>
        <v>111000</v>
      </c>
      <c r="AG278" s="67" t="n">
        <f aca="false">AF278+AG277</f>
        <v>112166.666666667</v>
      </c>
      <c r="AH278" s="67" t="n">
        <f aca="false">AG278+AH277</f>
        <v>113333.333333333</v>
      </c>
      <c r="AI278" s="67" t="n">
        <f aca="false">AH278+AI277</f>
        <v>114500</v>
      </c>
      <c r="AJ278" s="67" t="n">
        <f aca="false">AI278+AJ277</f>
        <v>115666.666666667</v>
      </c>
      <c r="AK278" s="67" t="n">
        <f aca="false">AJ278+AK277</f>
        <v>116833.333333333</v>
      </c>
      <c r="AL278" s="67" t="n">
        <f aca="false">AK278+AL277</f>
        <v>118000</v>
      </c>
      <c r="AM278" s="67" t="n">
        <f aca="false">AL278+AM277</f>
        <v>119166.666666667</v>
      </c>
      <c r="AN278" s="67" t="n">
        <f aca="false">AM278+AN277</f>
        <v>120333.333333333</v>
      </c>
      <c r="AO278" s="67" t="n">
        <f aca="false">AN278+AO277</f>
        <v>121500</v>
      </c>
      <c r="AP278" s="67" t="n">
        <f aca="false">AO278+AP277</f>
        <v>122666.666666667</v>
      </c>
      <c r="AQ278" s="67" t="n">
        <f aca="false">AP278+AQ277</f>
        <v>123833.333333333</v>
      </c>
      <c r="AR278" s="67" t="n">
        <f aca="false">AQ278+AR277</f>
        <v>125000</v>
      </c>
      <c r="AS278" s="67" t="n">
        <f aca="false">AR278+AS277</f>
        <v>126166.666666667</v>
      </c>
      <c r="AT278" s="67" t="n">
        <f aca="false">AS278+AT277</f>
        <v>127333.333333333</v>
      </c>
      <c r="AU278" s="67" t="n">
        <f aca="false">AT278+AU277</f>
        <v>128500</v>
      </c>
      <c r="AV278" s="67" t="n">
        <f aca="false">AU278+AV277</f>
        <v>129666.666666667</v>
      </c>
      <c r="AW278" s="67" t="n">
        <f aca="false">AV278+AW277</f>
        <v>130833.333333334</v>
      </c>
      <c r="AX278" s="67" t="n">
        <f aca="false">AW278+AX277</f>
        <v>132000</v>
      </c>
      <c r="AY278" s="67" t="n">
        <f aca="false">AX278+AY277</f>
        <v>133166.666666667</v>
      </c>
      <c r="AZ278" s="67" t="n">
        <f aca="false">AY278+AZ277</f>
        <v>134333.333333334</v>
      </c>
      <c r="BA278" s="67" t="n">
        <f aca="false">AZ278+BA277</f>
        <v>135500</v>
      </c>
      <c r="BB278" s="67" t="n">
        <f aca="false">BA278+BB277</f>
        <v>136666.666666667</v>
      </c>
      <c r="BC278" s="67" t="n">
        <f aca="false">BB278+BC277</f>
        <v>137833.333333333</v>
      </c>
      <c r="BD278" s="67" t="n">
        <f aca="false">BC278+BD277</f>
        <v>139000</v>
      </c>
      <c r="BE278" s="67" t="n">
        <f aca="false">BD278+BE277</f>
        <v>140166.666666667</v>
      </c>
      <c r="BF278" s="67" t="n">
        <f aca="false">BE278+BF277</f>
        <v>141333.333333333</v>
      </c>
      <c r="BG278" s="67" t="n">
        <f aca="false">BF278+BG277</f>
        <v>142500</v>
      </c>
      <c r="BH278" s="67" t="n">
        <f aca="false">BG278+BH277</f>
        <v>143666.666666667</v>
      </c>
      <c r="BI278" s="67" t="n">
        <f aca="false">BH278+BI277</f>
        <v>144833.333333333</v>
      </c>
      <c r="BJ278" s="67" t="n">
        <f aca="false">BI278+BJ277</f>
        <v>146000</v>
      </c>
    </row>
    <row r="279" customFormat="false" ht="15" hidden="false" customHeight="false" outlineLevel="0" collapsed="false">
      <c r="A279" s="6" t="s">
        <v>78</v>
      </c>
      <c r="C279" s="67" t="n">
        <f aca="false">-MIN(C278/MAX(1,Inputs!$D$69*12),C277)</f>
        <v>-1071.42857142857</v>
      </c>
      <c r="D279" s="67" t="n">
        <f aca="false">-MIN(D278/MAX(1,Inputs!$D$69*12),C281+D277)</f>
        <v>-1071.42857142857</v>
      </c>
      <c r="E279" s="67" t="n">
        <f aca="false">-MIN(E278/MAX(1,Inputs!$D$69*12),D281+E277)</f>
        <v>-1071.42857142857</v>
      </c>
      <c r="F279" s="67" t="n">
        <f aca="false">-MIN(F278/MAX(1,Inputs!$D$69*12),E281+F277)</f>
        <v>-1071.42857142857</v>
      </c>
      <c r="G279" s="67" t="n">
        <f aca="false">-MIN(G278/MAX(1,Inputs!$D$69*12),F281+G277)</f>
        <v>-1071.42857142857</v>
      </c>
      <c r="H279" s="67" t="n">
        <f aca="false">-MIN(H278/MAX(1,Inputs!$D$69*12),G281+H277)</f>
        <v>-1071.42857142857</v>
      </c>
      <c r="I279" s="67" t="n">
        <f aca="false">-MIN(I278/MAX(1,Inputs!$D$69*12),H281+I277)</f>
        <v>-1071.42857142857</v>
      </c>
      <c r="J279" s="67" t="n">
        <f aca="false">-MIN(J278/MAX(1,Inputs!$D$69*12),I281+J277)</f>
        <v>-1071.42857142857</v>
      </c>
      <c r="K279" s="67" t="n">
        <f aca="false">-MIN(K278/MAX(1,Inputs!$D$69*12),J281+K277)</f>
        <v>-1071.42857142857</v>
      </c>
      <c r="L279" s="67" t="n">
        <f aca="false">-MIN(L278/MAX(1,Inputs!$D$69*12),K281+L277)</f>
        <v>-1071.42857142857</v>
      </c>
      <c r="M279" s="67" t="n">
        <f aca="false">-MIN(M278/MAX(1,Inputs!$D$69*12),L281+M277)</f>
        <v>-1071.42857142857</v>
      </c>
      <c r="N279" s="67" t="n">
        <f aca="false">-MIN(N278/MAX(1,Inputs!$D$69*12),M281+N277)</f>
        <v>-1071.42857142857</v>
      </c>
      <c r="O279" s="67" t="n">
        <f aca="false">-MIN(O278/MAX(1,Inputs!$D$69*12),N281+O277)</f>
        <v>-1085.31746031746</v>
      </c>
      <c r="P279" s="67" t="n">
        <f aca="false">-MIN(P278/MAX(1,Inputs!$D$69*12),O281+P277)</f>
        <v>-1099.20634920635</v>
      </c>
      <c r="Q279" s="67" t="n">
        <f aca="false">-MIN(Q278/MAX(1,Inputs!$D$69*12),P281+Q277)</f>
        <v>-1113.09523809524</v>
      </c>
      <c r="R279" s="67" t="n">
        <f aca="false">-MIN(R278/MAX(1,Inputs!$D$69*12),Q281+R277)</f>
        <v>-1126.98412698413</v>
      </c>
      <c r="S279" s="67" t="n">
        <f aca="false">-MIN(S278/MAX(1,Inputs!$D$69*12),R281+S277)</f>
        <v>-1140.87301587302</v>
      </c>
      <c r="T279" s="67" t="n">
        <f aca="false">-MIN(T278/MAX(1,Inputs!$D$69*12),S281+T277)</f>
        <v>-1154.76190476191</v>
      </c>
      <c r="U279" s="67" t="n">
        <f aca="false">-MIN(U278/MAX(1,Inputs!$D$69*12),T281+U277)</f>
        <v>-1168.65079365079</v>
      </c>
      <c r="V279" s="67" t="n">
        <f aca="false">-MIN(V278/MAX(1,Inputs!$D$69*12),U281+V277)</f>
        <v>-1182.53968253968</v>
      </c>
      <c r="W279" s="67" t="n">
        <f aca="false">-MIN(W278/MAX(1,Inputs!$D$69*12),V281+W277)</f>
        <v>-1196.42857142857</v>
      </c>
      <c r="X279" s="67" t="n">
        <f aca="false">-MIN(X278/MAX(1,Inputs!$D$69*12),W281+X277)</f>
        <v>-1210.31746031746</v>
      </c>
      <c r="Y279" s="67" t="n">
        <f aca="false">-MIN(Y278/MAX(1,Inputs!$D$69*12),X281+Y277)</f>
        <v>-1224.20634920635</v>
      </c>
      <c r="Z279" s="67" t="n">
        <f aca="false">-MIN(Z278/MAX(1,Inputs!$D$69*12),Y281+Z277)</f>
        <v>-1238.09523809524</v>
      </c>
      <c r="AA279" s="67" t="n">
        <f aca="false">-MIN(AA278/MAX(1,Inputs!$D$69*12),Z281+AA277)</f>
        <v>-1251.98412698413</v>
      </c>
      <c r="AB279" s="67" t="n">
        <f aca="false">-MIN(AB278/MAX(1,Inputs!$D$69*12),AA281+AB277)</f>
        <v>-1265.87301587302</v>
      </c>
      <c r="AC279" s="67" t="n">
        <f aca="false">-MIN(AC278/MAX(1,Inputs!$D$69*12),AB281+AC277)</f>
        <v>-1279.76190476191</v>
      </c>
      <c r="AD279" s="67" t="n">
        <f aca="false">-MIN(AD278/MAX(1,Inputs!$D$69*12),AC281+AD277)</f>
        <v>-1293.65079365079</v>
      </c>
      <c r="AE279" s="67" t="n">
        <f aca="false">-MIN(AE278/MAX(1,Inputs!$D$69*12),AD281+AE277)</f>
        <v>-1307.53968253968</v>
      </c>
      <c r="AF279" s="67" t="n">
        <f aca="false">-MIN(AF278/MAX(1,Inputs!$D$69*12),AE281+AF277)</f>
        <v>-1321.42857142857</v>
      </c>
      <c r="AG279" s="67" t="n">
        <f aca="false">-MIN(AG278/MAX(1,Inputs!$D$69*12),AF281+AG277)</f>
        <v>-1335.31746031746</v>
      </c>
      <c r="AH279" s="67" t="n">
        <f aca="false">-MIN(AH278/MAX(1,Inputs!$D$69*12),AG281+AH277)</f>
        <v>-1349.20634920635</v>
      </c>
      <c r="AI279" s="67" t="n">
        <f aca="false">-MIN(AI278/MAX(1,Inputs!$D$69*12),AH281+AI277)</f>
        <v>-1363.09523809524</v>
      </c>
      <c r="AJ279" s="67" t="n">
        <f aca="false">-MIN(AJ278/MAX(1,Inputs!$D$69*12),AI281+AJ277)</f>
        <v>-1376.98412698413</v>
      </c>
      <c r="AK279" s="67" t="n">
        <f aca="false">-MIN(AK278/MAX(1,Inputs!$D$69*12),AJ281+AK277)</f>
        <v>-1390.87301587302</v>
      </c>
      <c r="AL279" s="67" t="n">
        <f aca="false">-MIN(AL278/MAX(1,Inputs!$D$69*12),AK281+AL277)</f>
        <v>-1404.76190476191</v>
      </c>
      <c r="AM279" s="67" t="n">
        <f aca="false">-MIN(AM278/MAX(1,Inputs!$D$69*12),AL281+AM277)</f>
        <v>-1418.6507936508</v>
      </c>
      <c r="AN279" s="67" t="n">
        <f aca="false">-MIN(AN278/MAX(1,Inputs!$D$69*12),AM281+AN277)</f>
        <v>-1432.53968253968</v>
      </c>
      <c r="AO279" s="67" t="n">
        <f aca="false">-MIN(AO278/MAX(1,Inputs!$D$69*12),AN281+AO277)</f>
        <v>-1446.42857142857</v>
      </c>
      <c r="AP279" s="67" t="n">
        <f aca="false">-MIN(AP278/MAX(1,Inputs!$D$69*12),AO281+AP277)</f>
        <v>-1460.31746031746</v>
      </c>
      <c r="AQ279" s="67" t="n">
        <f aca="false">-MIN(AQ278/MAX(1,Inputs!$D$69*12),AP281+AQ277)</f>
        <v>-1474.20634920635</v>
      </c>
      <c r="AR279" s="67" t="n">
        <f aca="false">-MIN(AR278/MAX(1,Inputs!$D$69*12),AQ281+AR277)</f>
        <v>-1488.09523809524</v>
      </c>
      <c r="AS279" s="67" t="n">
        <f aca="false">-MIN(AS278/MAX(1,Inputs!$D$69*12),AR281+AS277)</f>
        <v>-1501.98412698413</v>
      </c>
      <c r="AT279" s="67" t="n">
        <f aca="false">-MIN(AT278/MAX(1,Inputs!$D$69*12),AS281+AT277)</f>
        <v>-1515.87301587302</v>
      </c>
      <c r="AU279" s="67" t="n">
        <f aca="false">-MIN(AU278/MAX(1,Inputs!$D$69*12),AT281+AU277)</f>
        <v>-1529.76190476191</v>
      </c>
      <c r="AV279" s="67" t="n">
        <f aca="false">-MIN(AV278/MAX(1,Inputs!$D$69*12),AU281+AV277)</f>
        <v>-1543.6507936508</v>
      </c>
      <c r="AW279" s="67" t="n">
        <f aca="false">-MIN(AW278/MAX(1,Inputs!$D$69*12),AV281+AW277)</f>
        <v>-1557.53968253968</v>
      </c>
      <c r="AX279" s="67" t="n">
        <f aca="false">-MIN(AX278/MAX(1,Inputs!$D$69*12),AW281+AX277)</f>
        <v>-1571.42857142857</v>
      </c>
      <c r="AY279" s="67" t="n">
        <f aca="false">-MIN(AY278/MAX(1,Inputs!$D$69*12),AX281+AY277)</f>
        <v>-1585.31746031746</v>
      </c>
      <c r="AZ279" s="67" t="n">
        <f aca="false">-MIN(AZ278/MAX(1,Inputs!$D$69*12),AY281+AZ277)</f>
        <v>-1599.20634920635</v>
      </c>
      <c r="BA279" s="67" t="n">
        <f aca="false">-MIN(BA278/MAX(1,Inputs!$D$69*12),AZ281+BA277)</f>
        <v>-1613.09523809524</v>
      </c>
      <c r="BB279" s="67" t="n">
        <f aca="false">-MIN(BB278/MAX(1,Inputs!$D$69*12),BA281+BB277)</f>
        <v>-1626.98412698413</v>
      </c>
      <c r="BC279" s="67" t="n">
        <f aca="false">-MIN(BC278/MAX(1,Inputs!$D$69*12),BB281+BC277)</f>
        <v>-1640.87301587302</v>
      </c>
      <c r="BD279" s="67" t="n">
        <f aca="false">-MIN(BD278/MAX(1,Inputs!$D$69*12),BC281+BD277)</f>
        <v>-1654.76190476191</v>
      </c>
      <c r="BE279" s="67" t="n">
        <f aca="false">-MIN(BE278/MAX(1,Inputs!$D$69*12),BD281+BE277)</f>
        <v>-1668.65079365079</v>
      </c>
      <c r="BF279" s="67" t="n">
        <f aca="false">-MIN(BF278/MAX(1,Inputs!$D$69*12),BE281+BF277)</f>
        <v>-1682.53968253968</v>
      </c>
      <c r="BG279" s="67" t="n">
        <f aca="false">-MIN(BG278/MAX(1,Inputs!$D$69*12),BF281+BG277)</f>
        <v>-1696.42857142857</v>
      </c>
      <c r="BH279" s="67" t="n">
        <f aca="false">-MIN(BH278/MAX(1,Inputs!$D$69*12),BG281+BH277)</f>
        <v>-1710.31746031746</v>
      </c>
      <c r="BI279" s="67" t="n">
        <f aca="false">-MIN(BI278/MAX(1,Inputs!$D$69*12),BH281+BI277)</f>
        <v>-1724.20634920635</v>
      </c>
      <c r="BJ279" s="67" t="n">
        <f aca="false">-MIN(BJ278/MAX(1,Inputs!$D$69*12),BI281+BJ277)</f>
        <v>-1738.09523809524</v>
      </c>
    </row>
    <row r="280" customFormat="false" ht="15" hidden="false" customHeight="false" outlineLevel="0" collapsed="false">
      <c r="A280" s="6" t="s">
        <v>418</v>
      </c>
      <c r="C280" s="67" t="n">
        <f aca="false">C279</f>
        <v>-1071.42857142857</v>
      </c>
      <c r="D280" s="67" t="n">
        <f aca="false">C280+D279</f>
        <v>-2142.85714285714</v>
      </c>
      <c r="E280" s="67" t="n">
        <f aca="false">D280+E279</f>
        <v>-3214.28571428571</v>
      </c>
      <c r="F280" s="67" t="n">
        <f aca="false">E280+F279</f>
        <v>-4285.71428571429</v>
      </c>
      <c r="G280" s="67" t="n">
        <f aca="false">F280+G279</f>
        <v>-5357.14285714286</v>
      </c>
      <c r="H280" s="67" t="n">
        <f aca="false">G280+H279</f>
        <v>-6428.57142857143</v>
      </c>
      <c r="I280" s="67" t="n">
        <f aca="false">H280+I279</f>
        <v>-7500</v>
      </c>
      <c r="J280" s="67" t="n">
        <f aca="false">I280+J279</f>
        <v>-8571.42857142857</v>
      </c>
      <c r="K280" s="67" t="n">
        <f aca="false">J280+K279</f>
        <v>-9642.85714285714</v>
      </c>
      <c r="L280" s="67" t="n">
        <f aca="false">K280+L279</f>
        <v>-10714.2857142857</v>
      </c>
      <c r="M280" s="67" t="n">
        <f aca="false">L280+M279</f>
        <v>-11785.7142857143</v>
      </c>
      <c r="N280" s="67" t="n">
        <f aca="false">M280+N279</f>
        <v>-12857.1428571429</v>
      </c>
      <c r="O280" s="67" t="n">
        <f aca="false">N280+O279</f>
        <v>-13942.4603174603</v>
      </c>
      <c r="P280" s="67" t="n">
        <f aca="false">O280+P279</f>
        <v>-15041.6666666667</v>
      </c>
      <c r="Q280" s="67" t="n">
        <f aca="false">P280+Q279</f>
        <v>-16154.7619047619</v>
      </c>
      <c r="R280" s="67" t="n">
        <f aca="false">Q280+R279</f>
        <v>-17281.746031746</v>
      </c>
      <c r="S280" s="67" t="n">
        <f aca="false">R280+S279</f>
        <v>-18422.619047619</v>
      </c>
      <c r="T280" s="67" t="n">
        <f aca="false">S280+T279</f>
        <v>-19577.380952381</v>
      </c>
      <c r="U280" s="67" t="n">
        <f aca="false">T280+U279</f>
        <v>-20746.0317460317</v>
      </c>
      <c r="V280" s="67" t="n">
        <f aca="false">U280+V279</f>
        <v>-21928.5714285714</v>
      </c>
      <c r="W280" s="67" t="n">
        <f aca="false">V280+W279</f>
        <v>-23125</v>
      </c>
      <c r="X280" s="67" t="n">
        <f aca="false">W280+X279</f>
        <v>-24335.3174603175</v>
      </c>
      <c r="Y280" s="67" t="n">
        <f aca="false">X280+Y279</f>
        <v>-25559.5238095238</v>
      </c>
      <c r="Z280" s="67" t="n">
        <f aca="false">Y280+Z279</f>
        <v>-26797.6190476191</v>
      </c>
      <c r="AA280" s="67" t="n">
        <f aca="false">Z280+AA279</f>
        <v>-28049.6031746032</v>
      </c>
      <c r="AB280" s="67" t="n">
        <f aca="false">AA280+AB279</f>
        <v>-29315.4761904762</v>
      </c>
      <c r="AC280" s="67" t="n">
        <f aca="false">AB280+AC279</f>
        <v>-30595.2380952381</v>
      </c>
      <c r="AD280" s="67" t="n">
        <f aca="false">AC280+AD279</f>
        <v>-31888.8888888889</v>
      </c>
      <c r="AE280" s="67" t="n">
        <f aca="false">AD280+AE279</f>
        <v>-33196.4285714286</v>
      </c>
      <c r="AF280" s="67" t="n">
        <f aca="false">AE280+AF279</f>
        <v>-34517.8571428572</v>
      </c>
      <c r="AG280" s="67" t="n">
        <f aca="false">AF280+AG279</f>
        <v>-35853.1746031746</v>
      </c>
      <c r="AH280" s="67" t="n">
        <f aca="false">AG280+AH279</f>
        <v>-37202.380952381</v>
      </c>
      <c r="AI280" s="67" t="n">
        <f aca="false">AH280+AI279</f>
        <v>-38565.4761904762</v>
      </c>
      <c r="AJ280" s="67" t="n">
        <f aca="false">AI280+AJ279</f>
        <v>-39942.4603174603</v>
      </c>
      <c r="AK280" s="67" t="n">
        <f aca="false">AJ280+AK279</f>
        <v>-41333.3333333334</v>
      </c>
      <c r="AL280" s="67" t="n">
        <f aca="false">AK280+AL279</f>
        <v>-42738.0952380953</v>
      </c>
      <c r="AM280" s="67" t="n">
        <f aca="false">AL280+AM279</f>
        <v>-44156.7460317461</v>
      </c>
      <c r="AN280" s="67" t="n">
        <f aca="false">AM280+AN279</f>
        <v>-45589.2857142857</v>
      </c>
      <c r="AO280" s="67" t="n">
        <f aca="false">AN280+AO279</f>
        <v>-47035.7142857143</v>
      </c>
      <c r="AP280" s="67" t="n">
        <f aca="false">AO280+AP279</f>
        <v>-48496.0317460318</v>
      </c>
      <c r="AQ280" s="67" t="n">
        <f aca="false">AP280+AQ279</f>
        <v>-49970.2380952381</v>
      </c>
      <c r="AR280" s="67" t="n">
        <f aca="false">AQ280+AR279</f>
        <v>-51458.3333333334</v>
      </c>
      <c r="AS280" s="67" t="n">
        <f aca="false">AR280+AS279</f>
        <v>-52960.3174603175</v>
      </c>
      <c r="AT280" s="67" t="n">
        <f aca="false">AS280+AT279</f>
        <v>-54476.1904761905</v>
      </c>
      <c r="AU280" s="67" t="n">
        <f aca="false">AT280+AU279</f>
        <v>-56005.9523809524</v>
      </c>
      <c r="AV280" s="67" t="n">
        <f aca="false">AU280+AV279</f>
        <v>-57549.6031746032</v>
      </c>
      <c r="AW280" s="67" t="n">
        <f aca="false">AV280+AW279</f>
        <v>-59107.1428571429</v>
      </c>
      <c r="AX280" s="67" t="n">
        <f aca="false">AW280+AX279</f>
        <v>-60678.5714285715</v>
      </c>
      <c r="AY280" s="67" t="n">
        <f aca="false">AX280+AY279</f>
        <v>-62263.8888888889</v>
      </c>
      <c r="AZ280" s="67" t="n">
        <f aca="false">AY280+AZ279</f>
        <v>-63863.0952380953</v>
      </c>
      <c r="BA280" s="67" t="n">
        <f aca="false">AZ280+BA279</f>
        <v>-65476.1904761905</v>
      </c>
      <c r="BB280" s="67" t="n">
        <f aca="false">BA280+BB279</f>
        <v>-67103.1746031746</v>
      </c>
      <c r="BC280" s="67" t="n">
        <f aca="false">BB280+BC279</f>
        <v>-68744.0476190477</v>
      </c>
      <c r="BD280" s="67" t="n">
        <f aca="false">BC280+BD279</f>
        <v>-70398.8095238096</v>
      </c>
      <c r="BE280" s="67" t="n">
        <f aca="false">BD280+BE279</f>
        <v>-72067.4603174604</v>
      </c>
      <c r="BF280" s="67" t="n">
        <f aca="false">BE280+BF279</f>
        <v>-73750.0000000001</v>
      </c>
      <c r="BG280" s="67" t="n">
        <f aca="false">BF280+BG279</f>
        <v>-75446.4285714286</v>
      </c>
      <c r="BH280" s="67" t="n">
        <f aca="false">BG280+BH279</f>
        <v>-77156.7460317461</v>
      </c>
      <c r="BI280" s="67" t="n">
        <f aca="false">BH280+BI279</f>
        <v>-78880.9523809524</v>
      </c>
      <c r="BJ280" s="67" t="n">
        <f aca="false">BI280+BJ279</f>
        <v>-80619.0476190477</v>
      </c>
    </row>
    <row r="281" customFormat="false" ht="15" hidden="false" customHeight="false" outlineLevel="0" collapsed="false">
      <c r="A281" s="4" t="s">
        <v>92</v>
      </c>
      <c r="C281" s="73" t="n">
        <f aca="false">C278+C280</f>
        <v>88928.5714285714</v>
      </c>
      <c r="D281" s="73" t="n">
        <f aca="false">D278+D280</f>
        <v>87857.1428571429</v>
      </c>
      <c r="E281" s="73" t="n">
        <f aca="false">E278+E280</f>
        <v>86785.7142857143</v>
      </c>
      <c r="F281" s="73" t="n">
        <f aca="false">F278+F280</f>
        <v>85714.2857142857</v>
      </c>
      <c r="G281" s="73" t="n">
        <f aca="false">G278+G280</f>
        <v>84642.8571428571</v>
      </c>
      <c r="H281" s="73" t="n">
        <f aca="false">H278+H280</f>
        <v>83571.4285714286</v>
      </c>
      <c r="I281" s="73" t="n">
        <f aca="false">I278+I280</f>
        <v>82500</v>
      </c>
      <c r="J281" s="73" t="n">
        <f aca="false">J278+J280</f>
        <v>81428.5714285714</v>
      </c>
      <c r="K281" s="73" t="n">
        <f aca="false">K278+K280</f>
        <v>80357.1428571429</v>
      </c>
      <c r="L281" s="73" t="n">
        <f aca="false">L278+L280</f>
        <v>79285.7142857143</v>
      </c>
      <c r="M281" s="73" t="n">
        <f aca="false">M278+M280</f>
        <v>78214.2857142857</v>
      </c>
      <c r="N281" s="73" t="n">
        <f aca="false">N278+N280</f>
        <v>77142.8571428571</v>
      </c>
      <c r="O281" s="73" t="n">
        <f aca="false">O278+O280</f>
        <v>77224.2063492064</v>
      </c>
      <c r="P281" s="73" t="n">
        <f aca="false">P278+P280</f>
        <v>77291.6666666667</v>
      </c>
      <c r="Q281" s="73" t="n">
        <f aca="false">Q278+Q280</f>
        <v>77345.2380952381</v>
      </c>
      <c r="R281" s="73" t="n">
        <f aca="false">R278+R280</f>
        <v>77384.9206349207</v>
      </c>
      <c r="S281" s="73" t="n">
        <f aca="false">S278+S280</f>
        <v>77410.7142857143</v>
      </c>
      <c r="T281" s="73" t="n">
        <f aca="false">T278+T280</f>
        <v>77422.6190476191</v>
      </c>
      <c r="U281" s="73" t="n">
        <f aca="false">U278+U280</f>
        <v>77420.634920635</v>
      </c>
      <c r="V281" s="73" t="n">
        <f aca="false">V278+V280</f>
        <v>77404.761904762</v>
      </c>
      <c r="W281" s="73" t="n">
        <f aca="false">W278+W280</f>
        <v>77375</v>
      </c>
      <c r="X281" s="73" t="n">
        <f aca="false">X278+X280</f>
        <v>77331.3492063493</v>
      </c>
      <c r="Y281" s="73" t="n">
        <f aca="false">Y278+Y280</f>
        <v>77273.8095238096</v>
      </c>
      <c r="Z281" s="73" t="n">
        <f aca="false">Z278+Z280</f>
        <v>77202.380952381</v>
      </c>
      <c r="AA281" s="73" t="n">
        <f aca="false">AA278+AA280</f>
        <v>77117.0634920636</v>
      </c>
      <c r="AB281" s="73" t="n">
        <f aca="false">AB278+AB280</f>
        <v>77017.8571428572</v>
      </c>
      <c r="AC281" s="73" t="n">
        <f aca="false">AC278+AC280</f>
        <v>76904.761904762</v>
      </c>
      <c r="AD281" s="73" t="n">
        <f aca="false">AD278+AD280</f>
        <v>76777.7777777779</v>
      </c>
      <c r="AE281" s="73" t="n">
        <f aca="false">AE278+AE280</f>
        <v>76636.9047619048</v>
      </c>
      <c r="AF281" s="73" t="n">
        <f aca="false">AF278+AF280</f>
        <v>76482.1428571429</v>
      </c>
      <c r="AG281" s="73" t="n">
        <f aca="false">AG278+AG280</f>
        <v>76313.4920634921</v>
      </c>
      <c r="AH281" s="73" t="n">
        <f aca="false">AH278+AH280</f>
        <v>76130.9523809525</v>
      </c>
      <c r="AI281" s="73" t="n">
        <f aca="false">AI278+AI280</f>
        <v>75934.5238095239</v>
      </c>
      <c r="AJ281" s="73" t="n">
        <f aca="false">AJ278+AJ280</f>
        <v>75724.2063492065</v>
      </c>
      <c r="AK281" s="73" t="n">
        <f aca="false">AK278+AK280</f>
        <v>75500.0000000001</v>
      </c>
      <c r="AL281" s="73" t="n">
        <f aca="false">AL278+AL280</f>
        <v>75261.9047619049</v>
      </c>
      <c r="AM281" s="73" t="n">
        <f aca="false">AM278+AM280</f>
        <v>75009.9206349207</v>
      </c>
      <c r="AN281" s="73" t="n">
        <f aca="false">AN278+AN280</f>
        <v>74744.0476190477</v>
      </c>
      <c r="AO281" s="73" t="n">
        <f aca="false">AO278+AO280</f>
        <v>74464.2857142858</v>
      </c>
      <c r="AP281" s="73" t="n">
        <f aca="false">AP278+AP280</f>
        <v>74170.634920635</v>
      </c>
      <c r="AQ281" s="73" t="n">
        <f aca="false">AQ278+AQ280</f>
        <v>73863.0952380954</v>
      </c>
      <c r="AR281" s="73" t="n">
        <f aca="false">AR278+AR280</f>
        <v>73541.6666666668</v>
      </c>
      <c r="AS281" s="73" t="n">
        <f aca="false">AS278+AS280</f>
        <v>73206.3492063493</v>
      </c>
      <c r="AT281" s="73" t="n">
        <f aca="false">AT278+AT280</f>
        <v>72857.142857143</v>
      </c>
      <c r="AU281" s="73" t="n">
        <f aca="false">AU278+AU280</f>
        <v>72494.0476190478</v>
      </c>
      <c r="AV281" s="73" t="n">
        <f aca="false">AV278+AV280</f>
        <v>72117.0634920636</v>
      </c>
      <c r="AW281" s="73" t="n">
        <f aca="false">AW278+AW280</f>
        <v>71726.1904761906</v>
      </c>
      <c r="AX281" s="73" t="n">
        <f aca="false">AX278+AX280</f>
        <v>71321.4285714287</v>
      </c>
      <c r="AY281" s="73" t="n">
        <f aca="false">AY278+AY280</f>
        <v>70902.7777777779</v>
      </c>
      <c r="AZ281" s="73" t="n">
        <f aca="false">AZ278+AZ280</f>
        <v>70470.2380952382</v>
      </c>
      <c r="BA281" s="73" t="n">
        <f aca="false">BA278+BA280</f>
        <v>70023.8095238096</v>
      </c>
      <c r="BB281" s="73" t="n">
        <f aca="false">BB278+BB280</f>
        <v>69563.4920634922</v>
      </c>
      <c r="BC281" s="73" t="n">
        <f aca="false">BC278+BC280</f>
        <v>69089.2857142858</v>
      </c>
      <c r="BD281" s="73" t="n">
        <f aca="false">BD278+BD280</f>
        <v>68601.1904761906</v>
      </c>
      <c r="BE281" s="73" t="n">
        <f aca="false">BE278+BE280</f>
        <v>68099.2063492064</v>
      </c>
      <c r="BF281" s="73" t="n">
        <f aca="false">BF278+BF280</f>
        <v>67583.3333333334</v>
      </c>
      <c r="BG281" s="73" t="n">
        <f aca="false">BG278+BG280</f>
        <v>67053.5714285715</v>
      </c>
      <c r="BH281" s="73" t="n">
        <f aca="false">BH278+BH280</f>
        <v>66509.9206349207</v>
      </c>
      <c r="BI281" s="73" t="n">
        <f aca="false">BI278+BI280</f>
        <v>65952.380952381</v>
      </c>
      <c r="BJ281" s="73" t="n">
        <f aca="false">BJ278+BJ280</f>
        <v>65380.9523809524</v>
      </c>
    </row>
    <row r="283" customFormat="false" ht="15.75" hidden="false" customHeight="true" outlineLevel="0" collapsed="false">
      <c r="A283" s="7" t="s">
        <v>419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customFormat="false" ht="15" hidden="false" customHeight="false" outlineLevel="0" collapsed="false">
      <c r="A284" s="6" t="s">
        <v>420</v>
      </c>
      <c r="C284" s="67" t="n">
        <f aca="false">0</f>
        <v>0</v>
      </c>
      <c r="D284" s="67" t="n">
        <f aca="false">C287</f>
        <v>80000</v>
      </c>
      <c r="E284" s="67" t="n">
        <f aca="false">D287</f>
        <v>78666.6666666667</v>
      </c>
      <c r="F284" s="67" t="n">
        <f aca="false">E287</f>
        <v>77333.3333333333</v>
      </c>
      <c r="G284" s="67" t="n">
        <f aca="false">F287</f>
        <v>76000</v>
      </c>
      <c r="H284" s="67" t="n">
        <f aca="false">G287</f>
        <v>74666.6666666667</v>
      </c>
      <c r="I284" s="67" t="n">
        <f aca="false">H287</f>
        <v>73333.3333333334</v>
      </c>
      <c r="J284" s="67" t="n">
        <f aca="false">I287</f>
        <v>72000</v>
      </c>
      <c r="K284" s="67" t="n">
        <f aca="false">J287</f>
        <v>70666.6666666667</v>
      </c>
      <c r="L284" s="67" t="n">
        <f aca="false">K287</f>
        <v>69333.3333333334</v>
      </c>
      <c r="M284" s="67" t="n">
        <f aca="false">L287</f>
        <v>68000</v>
      </c>
      <c r="N284" s="67" t="n">
        <f aca="false">M287</f>
        <v>66666.6666666667</v>
      </c>
      <c r="O284" s="67" t="n">
        <f aca="false">N287</f>
        <v>65333.3333333334</v>
      </c>
      <c r="P284" s="67" t="n">
        <f aca="false">O287</f>
        <v>64000</v>
      </c>
      <c r="Q284" s="67" t="n">
        <f aca="false">P287</f>
        <v>62666.6666666667</v>
      </c>
      <c r="R284" s="67" t="n">
        <f aca="false">Q287</f>
        <v>61333.3333333334</v>
      </c>
      <c r="S284" s="67" t="n">
        <f aca="false">R287</f>
        <v>60000</v>
      </c>
      <c r="T284" s="67" t="n">
        <f aca="false">S287</f>
        <v>58666.6666666667</v>
      </c>
      <c r="U284" s="67" t="n">
        <f aca="false">T287</f>
        <v>57333.3333333334</v>
      </c>
      <c r="V284" s="67" t="n">
        <f aca="false">U287</f>
        <v>56000</v>
      </c>
      <c r="W284" s="67" t="n">
        <f aca="false">V287</f>
        <v>54666.6666666667</v>
      </c>
      <c r="X284" s="67" t="n">
        <f aca="false">W287</f>
        <v>53333.3333333334</v>
      </c>
      <c r="Y284" s="67" t="n">
        <f aca="false">X287</f>
        <v>52000</v>
      </c>
      <c r="Z284" s="67" t="n">
        <f aca="false">Y287</f>
        <v>50666.6666666667</v>
      </c>
      <c r="AA284" s="67" t="n">
        <f aca="false">Z287</f>
        <v>49333.3333333334</v>
      </c>
      <c r="AB284" s="67" t="n">
        <f aca="false">AA287</f>
        <v>48000</v>
      </c>
      <c r="AC284" s="67" t="n">
        <f aca="false">AB287</f>
        <v>46666.6666666667</v>
      </c>
      <c r="AD284" s="67" t="n">
        <f aca="false">AC287</f>
        <v>45333.3333333333</v>
      </c>
      <c r="AE284" s="67" t="n">
        <f aca="false">AD287</f>
        <v>44000</v>
      </c>
      <c r="AF284" s="67" t="n">
        <f aca="false">AE287</f>
        <v>42666.6666666667</v>
      </c>
      <c r="AG284" s="67" t="n">
        <f aca="false">AF287</f>
        <v>41333.3333333333</v>
      </c>
      <c r="AH284" s="67" t="n">
        <f aca="false">AG287</f>
        <v>40000</v>
      </c>
      <c r="AI284" s="67" t="n">
        <f aca="false">AH287</f>
        <v>38666.6666666667</v>
      </c>
      <c r="AJ284" s="67" t="n">
        <f aca="false">AI287</f>
        <v>37333.3333333333</v>
      </c>
      <c r="AK284" s="67" t="n">
        <f aca="false">AJ287</f>
        <v>36000</v>
      </c>
      <c r="AL284" s="67" t="n">
        <f aca="false">AK287</f>
        <v>34666.6666666667</v>
      </c>
      <c r="AM284" s="67" t="n">
        <f aca="false">AL287</f>
        <v>33333.3333333333</v>
      </c>
      <c r="AN284" s="67" t="n">
        <f aca="false">AM287</f>
        <v>32000</v>
      </c>
      <c r="AO284" s="67" t="n">
        <f aca="false">AN287</f>
        <v>30666.6666666667</v>
      </c>
      <c r="AP284" s="67" t="n">
        <f aca="false">AO287</f>
        <v>29333.3333333333</v>
      </c>
      <c r="AQ284" s="67" t="n">
        <f aca="false">AP287</f>
        <v>28000</v>
      </c>
      <c r="AR284" s="67" t="n">
        <f aca="false">AQ287</f>
        <v>26666.6666666667</v>
      </c>
      <c r="AS284" s="67" t="n">
        <f aca="false">AR287</f>
        <v>25333.3333333333</v>
      </c>
      <c r="AT284" s="67" t="n">
        <f aca="false">AS287</f>
        <v>24000</v>
      </c>
      <c r="AU284" s="67" t="n">
        <f aca="false">AT287</f>
        <v>22666.6666666667</v>
      </c>
      <c r="AV284" s="67" t="n">
        <f aca="false">AU287</f>
        <v>21333.3333333333</v>
      </c>
      <c r="AW284" s="67" t="n">
        <f aca="false">AV287</f>
        <v>20000</v>
      </c>
      <c r="AX284" s="67" t="n">
        <f aca="false">AW287</f>
        <v>18666.6666666667</v>
      </c>
      <c r="AY284" s="67" t="n">
        <f aca="false">AX287</f>
        <v>17333.3333333333</v>
      </c>
      <c r="AZ284" s="67" t="n">
        <f aca="false">AY287</f>
        <v>16000</v>
      </c>
      <c r="BA284" s="67" t="n">
        <f aca="false">AZ287</f>
        <v>14666.6666666667</v>
      </c>
      <c r="BB284" s="67" t="n">
        <f aca="false">BA287</f>
        <v>13333.3333333333</v>
      </c>
      <c r="BC284" s="67" t="n">
        <f aca="false">BB287</f>
        <v>12000</v>
      </c>
      <c r="BD284" s="67" t="n">
        <f aca="false">BC287</f>
        <v>10666.6666666667</v>
      </c>
      <c r="BE284" s="67" t="n">
        <f aca="false">BD287</f>
        <v>9333.33333333333</v>
      </c>
      <c r="BF284" s="67" t="n">
        <f aca="false">BE287</f>
        <v>8000</v>
      </c>
      <c r="BG284" s="67" t="n">
        <f aca="false">BF287</f>
        <v>6666.66666666667</v>
      </c>
      <c r="BH284" s="67" t="n">
        <f aca="false">BG287</f>
        <v>5333.33333333333</v>
      </c>
      <c r="BI284" s="67" t="n">
        <f aca="false">BH287</f>
        <v>4000</v>
      </c>
      <c r="BJ284" s="67" t="n">
        <f aca="false">BI287</f>
        <v>2666.66666666667</v>
      </c>
    </row>
    <row r="285" customFormat="false" ht="15" hidden="false" customHeight="false" outlineLevel="0" collapsed="false">
      <c r="A285" s="6" t="s">
        <v>85</v>
      </c>
      <c r="C285" s="67" t="n">
        <f aca="false">IF(C$228=1,Inputs!$D$59,0)</f>
        <v>80000</v>
      </c>
      <c r="D285" s="67" t="n">
        <f aca="false">IF(D$228=1,Inputs!$D$59,0)</f>
        <v>0</v>
      </c>
      <c r="E285" s="67" t="n">
        <f aca="false">IF(E$228=1,Inputs!$D$59,0)</f>
        <v>0</v>
      </c>
      <c r="F285" s="67" t="n">
        <f aca="false">IF(F$228=1,Inputs!$D$59,0)</f>
        <v>0</v>
      </c>
      <c r="G285" s="67" t="n">
        <f aca="false">IF(G$228=1,Inputs!$D$59,0)</f>
        <v>0</v>
      </c>
      <c r="H285" s="67" t="n">
        <f aca="false">IF(H$228=1,Inputs!$D$59,0)</f>
        <v>0</v>
      </c>
      <c r="I285" s="67" t="n">
        <f aca="false">IF(I$228=1,Inputs!$D$59,0)</f>
        <v>0</v>
      </c>
      <c r="J285" s="67" t="n">
        <f aca="false">IF(J$228=1,Inputs!$D$59,0)</f>
        <v>0</v>
      </c>
      <c r="K285" s="67" t="n">
        <f aca="false">IF(K$228=1,Inputs!$D$59,0)</f>
        <v>0</v>
      </c>
      <c r="L285" s="67" t="n">
        <f aca="false">IF(L$228=1,Inputs!$D$59,0)</f>
        <v>0</v>
      </c>
      <c r="M285" s="67" t="n">
        <f aca="false">IF(M$228=1,Inputs!$D$59,0)</f>
        <v>0</v>
      </c>
      <c r="N285" s="67" t="n">
        <f aca="false">IF(N$228=1,Inputs!$D$59,0)</f>
        <v>0</v>
      </c>
      <c r="O285" s="67" t="n">
        <f aca="false">IF(O$228=1,Inputs!$D$59,0)</f>
        <v>0</v>
      </c>
      <c r="P285" s="67" t="n">
        <f aca="false">IF(P$228=1,Inputs!$D$59,0)</f>
        <v>0</v>
      </c>
      <c r="Q285" s="67" t="n">
        <f aca="false">IF(Q$228=1,Inputs!$D$59,0)</f>
        <v>0</v>
      </c>
      <c r="R285" s="67" t="n">
        <f aca="false">IF(R$228=1,Inputs!$D$59,0)</f>
        <v>0</v>
      </c>
      <c r="S285" s="67" t="n">
        <f aca="false">IF(S$228=1,Inputs!$D$59,0)</f>
        <v>0</v>
      </c>
      <c r="T285" s="67" t="n">
        <f aca="false">IF(T$228=1,Inputs!$D$59,0)</f>
        <v>0</v>
      </c>
      <c r="U285" s="67" t="n">
        <f aca="false">IF(U$228=1,Inputs!$D$59,0)</f>
        <v>0</v>
      </c>
      <c r="V285" s="67" t="n">
        <f aca="false">IF(V$228=1,Inputs!$D$59,0)</f>
        <v>0</v>
      </c>
      <c r="W285" s="67" t="n">
        <f aca="false">IF(W$228=1,Inputs!$D$59,0)</f>
        <v>0</v>
      </c>
      <c r="X285" s="67" t="n">
        <f aca="false">IF(X$228=1,Inputs!$D$59,0)</f>
        <v>0</v>
      </c>
      <c r="Y285" s="67" t="n">
        <f aca="false">IF(Y$228=1,Inputs!$D$59,0)</f>
        <v>0</v>
      </c>
      <c r="Z285" s="67" t="n">
        <f aca="false">IF(Z$228=1,Inputs!$D$59,0)</f>
        <v>0</v>
      </c>
      <c r="AA285" s="67" t="n">
        <f aca="false">IF(AA$228=1,Inputs!$D$59,0)</f>
        <v>0</v>
      </c>
      <c r="AB285" s="67" t="n">
        <f aca="false">IF(AB$228=1,Inputs!$D$59,0)</f>
        <v>0</v>
      </c>
      <c r="AC285" s="67" t="n">
        <f aca="false">IF(AC$228=1,Inputs!$D$59,0)</f>
        <v>0</v>
      </c>
      <c r="AD285" s="67" t="n">
        <f aca="false">IF(AD$228=1,Inputs!$D$59,0)</f>
        <v>0</v>
      </c>
      <c r="AE285" s="67" t="n">
        <f aca="false">IF(AE$228=1,Inputs!$D$59,0)</f>
        <v>0</v>
      </c>
      <c r="AF285" s="67" t="n">
        <f aca="false">IF(AF$228=1,Inputs!$D$59,0)</f>
        <v>0</v>
      </c>
      <c r="AG285" s="67" t="n">
        <f aca="false">IF(AG$228=1,Inputs!$D$59,0)</f>
        <v>0</v>
      </c>
      <c r="AH285" s="67" t="n">
        <f aca="false">IF(AH$228=1,Inputs!$D$59,0)</f>
        <v>0</v>
      </c>
      <c r="AI285" s="67" t="n">
        <f aca="false">IF(AI$228=1,Inputs!$D$59,0)</f>
        <v>0</v>
      </c>
      <c r="AJ285" s="67" t="n">
        <f aca="false">IF(AJ$228=1,Inputs!$D$59,0)</f>
        <v>0</v>
      </c>
      <c r="AK285" s="67" t="n">
        <f aca="false">IF(AK$228=1,Inputs!$D$59,0)</f>
        <v>0</v>
      </c>
      <c r="AL285" s="67" t="n">
        <f aca="false">IF(AL$228=1,Inputs!$D$59,0)</f>
        <v>0</v>
      </c>
      <c r="AM285" s="67" t="n">
        <f aca="false">IF(AM$228=1,Inputs!$D$59,0)</f>
        <v>0</v>
      </c>
      <c r="AN285" s="67" t="n">
        <f aca="false">IF(AN$228=1,Inputs!$D$59,0)</f>
        <v>0</v>
      </c>
      <c r="AO285" s="67" t="n">
        <f aca="false">IF(AO$228=1,Inputs!$D$59,0)</f>
        <v>0</v>
      </c>
      <c r="AP285" s="67" t="n">
        <f aca="false">IF(AP$228=1,Inputs!$D$59,0)</f>
        <v>0</v>
      </c>
      <c r="AQ285" s="67" t="n">
        <f aca="false">IF(AQ$228=1,Inputs!$D$59,0)</f>
        <v>0</v>
      </c>
      <c r="AR285" s="67" t="n">
        <f aca="false">IF(AR$228=1,Inputs!$D$59,0)</f>
        <v>0</v>
      </c>
      <c r="AS285" s="67" t="n">
        <f aca="false">IF(AS$228=1,Inputs!$D$59,0)</f>
        <v>0</v>
      </c>
      <c r="AT285" s="67" t="n">
        <f aca="false">IF(AT$228=1,Inputs!$D$59,0)</f>
        <v>0</v>
      </c>
      <c r="AU285" s="67" t="n">
        <f aca="false">IF(AU$228=1,Inputs!$D$59,0)</f>
        <v>0</v>
      </c>
      <c r="AV285" s="67" t="n">
        <f aca="false">IF(AV$228=1,Inputs!$D$59,0)</f>
        <v>0</v>
      </c>
      <c r="AW285" s="67" t="n">
        <f aca="false">IF(AW$228=1,Inputs!$D$59,0)</f>
        <v>0</v>
      </c>
      <c r="AX285" s="67" t="n">
        <f aca="false">IF(AX$228=1,Inputs!$D$59,0)</f>
        <v>0</v>
      </c>
      <c r="AY285" s="67" t="n">
        <f aca="false">IF(AY$228=1,Inputs!$D$59,0)</f>
        <v>0</v>
      </c>
      <c r="AZ285" s="67" t="n">
        <f aca="false">IF(AZ$228=1,Inputs!$D$59,0)</f>
        <v>0</v>
      </c>
      <c r="BA285" s="67" t="n">
        <f aca="false">IF(BA$228=1,Inputs!$D$59,0)</f>
        <v>0</v>
      </c>
      <c r="BB285" s="67" t="n">
        <f aca="false">IF(BB$228=1,Inputs!$D$59,0)</f>
        <v>0</v>
      </c>
      <c r="BC285" s="67" t="n">
        <f aca="false">IF(BC$228=1,Inputs!$D$59,0)</f>
        <v>0</v>
      </c>
      <c r="BD285" s="67" t="n">
        <f aca="false">IF(BD$228=1,Inputs!$D$59,0)</f>
        <v>0</v>
      </c>
      <c r="BE285" s="67" t="n">
        <f aca="false">IF(BE$228=1,Inputs!$D$59,0)</f>
        <v>0</v>
      </c>
      <c r="BF285" s="67" t="n">
        <f aca="false">IF(BF$228=1,Inputs!$D$59,0)</f>
        <v>0</v>
      </c>
      <c r="BG285" s="67" t="n">
        <f aca="false">IF(BG$228=1,Inputs!$D$59,0)</f>
        <v>0</v>
      </c>
      <c r="BH285" s="67" t="n">
        <f aca="false">IF(BH$228=1,Inputs!$D$59,0)</f>
        <v>0</v>
      </c>
      <c r="BI285" s="67" t="n">
        <f aca="false">IF(BI$228=1,Inputs!$D$59,0)</f>
        <v>0</v>
      </c>
      <c r="BJ285" s="67" t="n">
        <f aca="false">IF(BJ$228=1,Inputs!$D$59,0)</f>
        <v>0</v>
      </c>
    </row>
    <row r="286" customFormat="false" ht="15" hidden="false" customHeight="false" outlineLevel="0" collapsed="false">
      <c r="A286" s="6" t="s">
        <v>86</v>
      </c>
      <c r="C286" s="67" t="n">
        <f aca="false">-MIN(C284,Inputs!$D$59/MAX(1,Inputs!$D$61*12))</f>
        <v>-0</v>
      </c>
      <c r="D286" s="67" t="n">
        <f aca="false">-MIN(D284,Inputs!$D$59/MAX(1,Inputs!$D$61*12))</f>
        <v>-1333.33333333333</v>
      </c>
      <c r="E286" s="67" t="n">
        <f aca="false">-MIN(E284,Inputs!$D$59/MAX(1,Inputs!$D$61*12))</f>
        <v>-1333.33333333333</v>
      </c>
      <c r="F286" s="67" t="n">
        <f aca="false">-MIN(F284,Inputs!$D$59/MAX(1,Inputs!$D$61*12))</f>
        <v>-1333.33333333333</v>
      </c>
      <c r="G286" s="67" t="n">
        <f aca="false">-MIN(G284,Inputs!$D$59/MAX(1,Inputs!$D$61*12))</f>
        <v>-1333.33333333333</v>
      </c>
      <c r="H286" s="67" t="n">
        <f aca="false">-MIN(H284,Inputs!$D$59/MAX(1,Inputs!$D$61*12))</f>
        <v>-1333.33333333333</v>
      </c>
      <c r="I286" s="67" t="n">
        <f aca="false">-MIN(I284,Inputs!$D$59/MAX(1,Inputs!$D$61*12))</f>
        <v>-1333.33333333333</v>
      </c>
      <c r="J286" s="67" t="n">
        <f aca="false">-MIN(J284,Inputs!$D$59/MAX(1,Inputs!$D$61*12))</f>
        <v>-1333.33333333333</v>
      </c>
      <c r="K286" s="67" t="n">
        <f aca="false">-MIN(K284,Inputs!$D$59/MAX(1,Inputs!$D$61*12))</f>
        <v>-1333.33333333333</v>
      </c>
      <c r="L286" s="67" t="n">
        <f aca="false">-MIN(L284,Inputs!$D$59/MAX(1,Inputs!$D$61*12))</f>
        <v>-1333.33333333333</v>
      </c>
      <c r="M286" s="67" t="n">
        <f aca="false">-MIN(M284,Inputs!$D$59/MAX(1,Inputs!$D$61*12))</f>
        <v>-1333.33333333333</v>
      </c>
      <c r="N286" s="67" t="n">
        <f aca="false">-MIN(N284,Inputs!$D$59/MAX(1,Inputs!$D$61*12))</f>
        <v>-1333.33333333333</v>
      </c>
      <c r="O286" s="67" t="n">
        <f aca="false">-MIN(O284,Inputs!$D$59/MAX(1,Inputs!$D$61*12))</f>
        <v>-1333.33333333333</v>
      </c>
      <c r="P286" s="67" t="n">
        <f aca="false">-MIN(P284,Inputs!$D$59/MAX(1,Inputs!$D$61*12))</f>
        <v>-1333.33333333333</v>
      </c>
      <c r="Q286" s="67" t="n">
        <f aca="false">-MIN(Q284,Inputs!$D$59/MAX(1,Inputs!$D$61*12))</f>
        <v>-1333.33333333333</v>
      </c>
      <c r="R286" s="67" t="n">
        <f aca="false">-MIN(R284,Inputs!$D$59/MAX(1,Inputs!$D$61*12))</f>
        <v>-1333.33333333333</v>
      </c>
      <c r="S286" s="67" t="n">
        <f aca="false">-MIN(S284,Inputs!$D$59/MAX(1,Inputs!$D$61*12))</f>
        <v>-1333.33333333333</v>
      </c>
      <c r="T286" s="67" t="n">
        <f aca="false">-MIN(T284,Inputs!$D$59/MAX(1,Inputs!$D$61*12))</f>
        <v>-1333.33333333333</v>
      </c>
      <c r="U286" s="67" t="n">
        <f aca="false">-MIN(U284,Inputs!$D$59/MAX(1,Inputs!$D$61*12))</f>
        <v>-1333.33333333333</v>
      </c>
      <c r="V286" s="67" t="n">
        <f aca="false">-MIN(V284,Inputs!$D$59/MAX(1,Inputs!$D$61*12))</f>
        <v>-1333.33333333333</v>
      </c>
      <c r="W286" s="67" t="n">
        <f aca="false">-MIN(W284,Inputs!$D$59/MAX(1,Inputs!$D$61*12))</f>
        <v>-1333.33333333333</v>
      </c>
      <c r="X286" s="67" t="n">
        <f aca="false">-MIN(X284,Inputs!$D$59/MAX(1,Inputs!$D$61*12))</f>
        <v>-1333.33333333333</v>
      </c>
      <c r="Y286" s="67" t="n">
        <f aca="false">-MIN(Y284,Inputs!$D$59/MAX(1,Inputs!$D$61*12))</f>
        <v>-1333.33333333333</v>
      </c>
      <c r="Z286" s="67" t="n">
        <f aca="false">-MIN(Z284,Inputs!$D$59/MAX(1,Inputs!$D$61*12))</f>
        <v>-1333.33333333333</v>
      </c>
      <c r="AA286" s="67" t="n">
        <f aca="false">-MIN(AA284,Inputs!$D$59/MAX(1,Inputs!$D$61*12))</f>
        <v>-1333.33333333333</v>
      </c>
      <c r="AB286" s="67" t="n">
        <f aca="false">-MIN(AB284,Inputs!$D$59/MAX(1,Inputs!$D$61*12))</f>
        <v>-1333.33333333333</v>
      </c>
      <c r="AC286" s="67" t="n">
        <f aca="false">-MIN(AC284,Inputs!$D$59/MAX(1,Inputs!$D$61*12))</f>
        <v>-1333.33333333333</v>
      </c>
      <c r="AD286" s="67" t="n">
        <f aca="false">-MIN(AD284,Inputs!$D$59/MAX(1,Inputs!$D$61*12))</f>
        <v>-1333.33333333333</v>
      </c>
      <c r="AE286" s="67" t="n">
        <f aca="false">-MIN(AE284,Inputs!$D$59/MAX(1,Inputs!$D$61*12))</f>
        <v>-1333.33333333333</v>
      </c>
      <c r="AF286" s="67" t="n">
        <f aca="false">-MIN(AF284,Inputs!$D$59/MAX(1,Inputs!$D$61*12))</f>
        <v>-1333.33333333333</v>
      </c>
      <c r="AG286" s="67" t="n">
        <f aca="false">-MIN(AG284,Inputs!$D$59/MAX(1,Inputs!$D$61*12))</f>
        <v>-1333.33333333333</v>
      </c>
      <c r="AH286" s="67" t="n">
        <f aca="false">-MIN(AH284,Inputs!$D$59/MAX(1,Inputs!$D$61*12))</f>
        <v>-1333.33333333333</v>
      </c>
      <c r="AI286" s="67" t="n">
        <f aca="false">-MIN(AI284,Inputs!$D$59/MAX(1,Inputs!$D$61*12))</f>
        <v>-1333.33333333333</v>
      </c>
      <c r="AJ286" s="67" t="n">
        <f aca="false">-MIN(AJ284,Inputs!$D$59/MAX(1,Inputs!$D$61*12))</f>
        <v>-1333.33333333333</v>
      </c>
      <c r="AK286" s="67" t="n">
        <f aca="false">-MIN(AK284,Inputs!$D$59/MAX(1,Inputs!$D$61*12))</f>
        <v>-1333.33333333333</v>
      </c>
      <c r="AL286" s="67" t="n">
        <f aca="false">-MIN(AL284,Inputs!$D$59/MAX(1,Inputs!$D$61*12))</f>
        <v>-1333.33333333333</v>
      </c>
      <c r="AM286" s="67" t="n">
        <f aca="false">-MIN(AM284,Inputs!$D$59/MAX(1,Inputs!$D$61*12))</f>
        <v>-1333.33333333333</v>
      </c>
      <c r="AN286" s="67" t="n">
        <f aca="false">-MIN(AN284,Inputs!$D$59/MAX(1,Inputs!$D$61*12))</f>
        <v>-1333.33333333333</v>
      </c>
      <c r="AO286" s="67" t="n">
        <f aca="false">-MIN(AO284,Inputs!$D$59/MAX(1,Inputs!$D$61*12))</f>
        <v>-1333.33333333333</v>
      </c>
      <c r="AP286" s="67" t="n">
        <f aca="false">-MIN(AP284,Inputs!$D$59/MAX(1,Inputs!$D$61*12))</f>
        <v>-1333.33333333333</v>
      </c>
      <c r="AQ286" s="67" t="n">
        <f aca="false">-MIN(AQ284,Inputs!$D$59/MAX(1,Inputs!$D$61*12))</f>
        <v>-1333.33333333333</v>
      </c>
      <c r="AR286" s="67" t="n">
        <f aca="false">-MIN(AR284,Inputs!$D$59/MAX(1,Inputs!$D$61*12))</f>
        <v>-1333.33333333333</v>
      </c>
      <c r="AS286" s="67" t="n">
        <f aca="false">-MIN(AS284,Inputs!$D$59/MAX(1,Inputs!$D$61*12))</f>
        <v>-1333.33333333333</v>
      </c>
      <c r="AT286" s="67" t="n">
        <f aca="false">-MIN(AT284,Inputs!$D$59/MAX(1,Inputs!$D$61*12))</f>
        <v>-1333.33333333333</v>
      </c>
      <c r="AU286" s="67" t="n">
        <f aca="false">-MIN(AU284,Inputs!$D$59/MAX(1,Inputs!$D$61*12))</f>
        <v>-1333.33333333333</v>
      </c>
      <c r="AV286" s="67" t="n">
        <f aca="false">-MIN(AV284,Inputs!$D$59/MAX(1,Inputs!$D$61*12))</f>
        <v>-1333.33333333333</v>
      </c>
      <c r="AW286" s="67" t="n">
        <f aca="false">-MIN(AW284,Inputs!$D$59/MAX(1,Inputs!$D$61*12))</f>
        <v>-1333.33333333333</v>
      </c>
      <c r="AX286" s="67" t="n">
        <f aca="false">-MIN(AX284,Inputs!$D$59/MAX(1,Inputs!$D$61*12))</f>
        <v>-1333.33333333333</v>
      </c>
      <c r="AY286" s="67" t="n">
        <f aca="false">-MIN(AY284,Inputs!$D$59/MAX(1,Inputs!$D$61*12))</f>
        <v>-1333.33333333333</v>
      </c>
      <c r="AZ286" s="67" t="n">
        <f aca="false">-MIN(AZ284,Inputs!$D$59/MAX(1,Inputs!$D$61*12))</f>
        <v>-1333.33333333333</v>
      </c>
      <c r="BA286" s="67" t="n">
        <f aca="false">-MIN(BA284,Inputs!$D$59/MAX(1,Inputs!$D$61*12))</f>
        <v>-1333.33333333333</v>
      </c>
      <c r="BB286" s="67" t="n">
        <f aca="false">-MIN(BB284,Inputs!$D$59/MAX(1,Inputs!$D$61*12))</f>
        <v>-1333.33333333333</v>
      </c>
      <c r="BC286" s="67" t="n">
        <f aca="false">-MIN(BC284,Inputs!$D$59/MAX(1,Inputs!$D$61*12))</f>
        <v>-1333.33333333333</v>
      </c>
      <c r="BD286" s="67" t="n">
        <f aca="false">-MIN(BD284,Inputs!$D$59/MAX(1,Inputs!$D$61*12))</f>
        <v>-1333.33333333333</v>
      </c>
      <c r="BE286" s="67" t="n">
        <f aca="false">-MIN(BE284,Inputs!$D$59/MAX(1,Inputs!$D$61*12))</f>
        <v>-1333.33333333333</v>
      </c>
      <c r="BF286" s="67" t="n">
        <f aca="false">-MIN(BF284,Inputs!$D$59/MAX(1,Inputs!$D$61*12))</f>
        <v>-1333.33333333333</v>
      </c>
      <c r="BG286" s="67" t="n">
        <f aca="false">-MIN(BG284,Inputs!$D$59/MAX(1,Inputs!$D$61*12))</f>
        <v>-1333.33333333333</v>
      </c>
      <c r="BH286" s="67" t="n">
        <f aca="false">-MIN(BH284,Inputs!$D$59/MAX(1,Inputs!$D$61*12))</f>
        <v>-1333.33333333333</v>
      </c>
      <c r="BI286" s="67" t="n">
        <f aca="false">-MIN(BI284,Inputs!$D$59/MAX(1,Inputs!$D$61*12))</f>
        <v>-1333.33333333333</v>
      </c>
      <c r="BJ286" s="67" t="n">
        <f aca="false">-MIN(BJ284,Inputs!$D$59/MAX(1,Inputs!$D$61*12))</f>
        <v>-1333.33333333333</v>
      </c>
    </row>
    <row r="287" customFormat="false" ht="15" hidden="false" customHeight="false" outlineLevel="0" collapsed="false">
      <c r="A287" s="4" t="s">
        <v>421</v>
      </c>
      <c r="C287" s="73" t="n">
        <f aca="false">C284+C285+C286</f>
        <v>80000</v>
      </c>
      <c r="D287" s="73" t="n">
        <f aca="false">D284+D285+D286</f>
        <v>78666.6666666667</v>
      </c>
      <c r="E287" s="73" t="n">
        <f aca="false">E284+E285+E286</f>
        <v>77333.3333333333</v>
      </c>
      <c r="F287" s="73" t="n">
        <f aca="false">F284+F285+F286</f>
        <v>76000</v>
      </c>
      <c r="G287" s="73" t="n">
        <f aca="false">G284+G285+G286</f>
        <v>74666.6666666667</v>
      </c>
      <c r="H287" s="73" t="n">
        <f aca="false">H284+H285+H286</f>
        <v>73333.3333333334</v>
      </c>
      <c r="I287" s="73" t="n">
        <f aca="false">I284+I285+I286</f>
        <v>72000</v>
      </c>
      <c r="J287" s="73" t="n">
        <f aca="false">J284+J285+J286</f>
        <v>70666.6666666667</v>
      </c>
      <c r="K287" s="73" t="n">
        <f aca="false">K284+K285+K286</f>
        <v>69333.3333333334</v>
      </c>
      <c r="L287" s="73" t="n">
        <f aca="false">L284+L285+L286</f>
        <v>68000</v>
      </c>
      <c r="M287" s="73" t="n">
        <f aca="false">M284+M285+M286</f>
        <v>66666.6666666667</v>
      </c>
      <c r="N287" s="73" t="n">
        <f aca="false">N284+N285+N286</f>
        <v>65333.3333333334</v>
      </c>
      <c r="O287" s="73" t="n">
        <f aca="false">O284+O285+O286</f>
        <v>64000</v>
      </c>
      <c r="P287" s="73" t="n">
        <f aca="false">P284+P285+P286</f>
        <v>62666.6666666667</v>
      </c>
      <c r="Q287" s="73" t="n">
        <f aca="false">Q284+Q285+Q286</f>
        <v>61333.3333333334</v>
      </c>
      <c r="R287" s="73" t="n">
        <f aca="false">R284+R285+R286</f>
        <v>60000</v>
      </c>
      <c r="S287" s="73" t="n">
        <f aca="false">S284+S285+S286</f>
        <v>58666.6666666667</v>
      </c>
      <c r="T287" s="73" t="n">
        <f aca="false">T284+T285+T286</f>
        <v>57333.3333333334</v>
      </c>
      <c r="U287" s="73" t="n">
        <f aca="false">U284+U285+U286</f>
        <v>56000</v>
      </c>
      <c r="V287" s="73" t="n">
        <f aca="false">V284+V285+V286</f>
        <v>54666.6666666667</v>
      </c>
      <c r="W287" s="73" t="n">
        <f aca="false">W284+W285+W286</f>
        <v>53333.3333333334</v>
      </c>
      <c r="X287" s="73" t="n">
        <f aca="false">X284+X285+X286</f>
        <v>52000</v>
      </c>
      <c r="Y287" s="73" t="n">
        <f aca="false">Y284+Y285+Y286</f>
        <v>50666.6666666667</v>
      </c>
      <c r="Z287" s="73" t="n">
        <f aca="false">Z284+Z285+Z286</f>
        <v>49333.3333333334</v>
      </c>
      <c r="AA287" s="73" t="n">
        <f aca="false">AA284+AA285+AA286</f>
        <v>48000</v>
      </c>
      <c r="AB287" s="73" t="n">
        <f aca="false">AB284+AB285+AB286</f>
        <v>46666.6666666667</v>
      </c>
      <c r="AC287" s="73" t="n">
        <f aca="false">AC284+AC285+AC286</f>
        <v>45333.3333333333</v>
      </c>
      <c r="AD287" s="73" t="n">
        <f aca="false">AD284+AD285+AD286</f>
        <v>44000</v>
      </c>
      <c r="AE287" s="73" t="n">
        <f aca="false">AE284+AE285+AE286</f>
        <v>42666.6666666667</v>
      </c>
      <c r="AF287" s="73" t="n">
        <f aca="false">AF284+AF285+AF286</f>
        <v>41333.3333333333</v>
      </c>
      <c r="AG287" s="73" t="n">
        <f aca="false">AG284+AG285+AG286</f>
        <v>40000</v>
      </c>
      <c r="AH287" s="73" t="n">
        <f aca="false">AH284+AH285+AH286</f>
        <v>38666.6666666667</v>
      </c>
      <c r="AI287" s="73" t="n">
        <f aca="false">AI284+AI285+AI286</f>
        <v>37333.3333333333</v>
      </c>
      <c r="AJ287" s="73" t="n">
        <f aca="false">AJ284+AJ285+AJ286</f>
        <v>36000</v>
      </c>
      <c r="AK287" s="73" t="n">
        <f aca="false">AK284+AK285+AK286</f>
        <v>34666.6666666667</v>
      </c>
      <c r="AL287" s="73" t="n">
        <f aca="false">AL284+AL285+AL286</f>
        <v>33333.3333333333</v>
      </c>
      <c r="AM287" s="73" t="n">
        <f aca="false">AM284+AM285+AM286</f>
        <v>32000</v>
      </c>
      <c r="AN287" s="73" t="n">
        <f aca="false">AN284+AN285+AN286</f>
        <v>30666.6666666667</v>
      </c>
      <c r="AO287" s="73" t="n">
        <f aca="false">AO284+AO285+AO286</f>
        <v>29333.3333333333</v>
      </c>
      <c r="AP287" s="73" t="n">
        <f aca="false">AP284+AP285+AP286</f>
        <v>28000</v>
      </c>
      <c r="AQ287" s="73" t="n">
        <f aca="false">AQ284+AQ285+AQ286</f>
        <v>26666.6666666667</v>
      </c>
      <c r="AR287" s="73" t="n">
        <f aca="false">AR284+AR285+AR286</f>
        <v>25333.3333333333</v>
      </c>
      <c r="AS287" s="73" t="n">
        <f aca="false">AS284+AS285+AS286</f>
        <v>24000</v>
      </c>
      <c r="AT287" s="73" t="n">
        <f aca="false">AT284+AT285+AT286</f>
        <v>22666.6666666667</v>
      </c>
      <c r="AU287" s="73" t="n">
        <f aca="false">AU284+AU285+AU286</f>
        <v>21333.3333333333</v>
      </c>
      <c r="AV287" s="73" t="n">
        <f aca="false">AV284+AV285+AV286</f>
        <v>20000</v>
      </c>
      <c r="AW287" s="73" t="n">
        <f aca="false">AW284+AW285+AW286</f>
        <v>18666.6666666667</v>
      </c>
      <c r="AX287" s="73" t="n">
        <f aca="false">AX284+AX285+AX286</f>
        <v>17333.3333333333</v>
      </c>
      <c r="AY287" s="73" t="n">
        <f aca="false">AY284+AY285+AY286</f>
        <v>16000</v>
      </c>
      <c r="AZ287" s="73" t="n">
        <f aca="false">AZ284+AZ285+AZ286</f>
        <v>14666.6666666667</v>
      </c>
      <c r="BA287" s="73" t="n">
        <f aca="false">BA284+BA285+BA286</f>
        <v>13333.3333333333</v>
      </c>
      <c r="BB287" s="73" t="n">
        <f aca="false">BB284+BB285+BB286</f>
        <v>12000</v>
      </c>
      <c r="BC287" s="73" t="n">
        <f aca="false">BC284+BC285+BC286</f>
        <v>10666.6666666667</v>
      </c>
      <c r="BD287" s="73" t="n">
        <f aca="false">BD284+BD285+BD286</f>
        <v>9333.33333333333</v>
      </c>
      <c r="BE287" s="73" t="n">
        <f aca="false">BE284+BE285+BE286</f>
        <v>8000</v>
      </c>
      <c r="BF287" s="73" t="n">
        <f aca="false">BF284+BF285+BF286</f>
        <v>6666.66666666667</v>
      </c>
      <c r="BG287" s="73" t="n">
        <f aca="false">BG284+BG285+BG286</f>
        <v>5333.33333333333</v>
      </c>
      <c r="BH287" s="73" t="n">
        <f aca="false">BH284+BH285+BH286</f>
        <v>4000</v>
      </c>
      <c r="BI287" s="73" t="n">
        <f aca="false">BI284+BI285+BI286</f>
        <v>2666.66666666667</v>
      </c>
      <c r="BJ287" s="73" t="n">
        <f aca="false">BJ284+BJ285+BJ286</f>
        <v>1333.33333333333</v>
      </c>
    </row>
    <row r="289" customFormat="false" ht="15.75" hidden="false" customHeight="true" outlineLevel="0" collapsed="false">
      <c r="A289" s="7" t="s">
        <v>307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customFormat="false" ht="15" hidden="false" customHeight="false" outlineLevel="0" collapsed="false">
      <c r="A290" s="6" t="s">
        <v>90</v>
      </c>
      <c r="C290" s="67" t="n">
        <f aca="false">C246*Inputs!$D$64/30</f>
        <v>42569.54</v>
      </c>
      <c r="D290" s="67" t="n">
        <f aca="false">D246*Inputs!$D$64/30</f>
        <v>44877.04</v>
      </c>
      <c r="E290" s="67" t="n">
        <f aca="false">E246*Inputs!$D$64/30</f>
        <v>44877.04</v>
      </c>
      <c r="F290" s="67" t="n">
        <f aca="false">F246*Inputs!$D$64/30</f>
        <v>44877.04</v>
      </c>
      <c r="G290" s="67" t="n">
        <f aca="false">G246*Inputs!$D$64/30</f>
        <v>44877.04</v>
      </c>
      <c r="H290" s="67" t="n">
        <f aca="false">H246*Inputs!$D$64/30</f>
        <v>44877.04</v>
      </c>
      <c r="I290" s="67" t="n">
        <f aca="false">I246*Inputs!$D$64/30</f>
        <v>44877.04</v>
      </c>
      <c r="J290" s="67" t="n">
        <f aca="false">J246*Inputs!$D$64/30</f>
        <v>44877.04</v>
      </c>
      <c r="K290" s="67" t="n">
        <f aca="false">K246*Inputs!$D$64/30</f>
        <v>44877.04</v>
      </c>
      <c r="L290" s="67" t="n">
        <f aca="false">L246*Inputs!$D$64/30</f>
        <v>44877.04</v>
      </c>
      <c r="M290" s="67" t="n">
        <f aca="false">M246*Inputs!$D$64/30</f>
        <v>52514.8</v>
      </c>
      <c r="N290" s="67" t="n">
        <f aca="false">N246*Inputs!$D$64/30</f>
        <v>52514.8</v>
      </c>
      <c r="O290" s="67" t="n">
        <f aca="false">O246*Inputs!$D$64/30</f>
        <v>50644.62208</v>
      </c>
      <c r="P290" s="67" t="n">
        <f aca="false">P246*Inputs!$D$64/30</f>
        <v>50644.62208</v>
      </c>
      <c r="Q290" s="67" t="n">
        <f aca="false">Q246*Inputs!$D$64/30</f>
        <v>50644.62208</v>
      </c>
      <c r="R290" s="67" t="n">
        <f aca="false">R246*Inputs!$D$64/30</f>
        <v>50644.62208</v>
      </c>
      <c r="S290" s="67" t="n">
        <f aca="false">S246*Inputs!$D$64/30</f>
        <v>50644.62208</v>
      </c>
      <c r="T290" s="67" t="n">
        <f aca="false">T246*Inputs!$D$64/30</f>
        <v>50644.62208</v>
      </c>
      <c r="U290" s="67" t="n">
        <f aca="false">U246*Inputs!$D$64/30</f>
        <v>50644.62208</v>
      </c>
      <c r="V290" s="67" t="n">
        <f aca="false">V246*Inputs!$D$64/30</f>
        <v>50644.62208</v>
      </c>
      <c r="W290" s="67" t="n">
        <f aca="false">W246*Inputs!$D$64/30</f>
        <v>50644.62208</v>
      </c>
      <c r="X290" s="67" t="n">
        <f aca="false">X246*Inputs!$D$64/30</f>
        <v>50644.62208</v>
      </c>
      <c r="Y290" s="67" t="n">
        <f aca="false">Y246*Inputs!$D$64/30</f>
        <v>58985.056</v>
      </c>
      <c r="Z290" s="67" t="n">
        <f aca="false">Z246*Inputs!$D$64/30</f>
        <v>58985.056</v>
      </c>
      <c r="AA290" s="67" t="n">
        <f aca="false">AA246*Inputs!$D$64/30</f>
        <v>57281.08951552</v>
      </c>
      <c r="AB290" s="67" t="n">
        <f aca="false">AB246*Inputs!$D$64/30</f>
        <v>57281.08951552</v>
      </c>
      <c r="AC290" s="67" t="n">
        <f aca="false">AC246*Inputs!$D$64/30</f>
        <v>57281.08951552</v>
      </c>
      <c r="AD290" s="67" t="n">
        <f aca="false">AD246*Inputs!$D$64/30</f>
        <v>57281.08951552</v>
      </c>
      <c r="AE290" s="67" t="n">
        <f aca="false">AE246*Inputs!$D$64/30</f>
        <v>57281.08951552</v>
      </c>
      <c r="AF290" s="67" t="n">
        <f aca="false">AF246*Inputs!$D$64/30</f>
        <v>57281.08951552</v>
      </c>
      <c r="AG290" s="67" t="n">
        <f aca="false">AG246*Inputs!$D$64/30</f>
        <v>57281.08951552</v>
      </c>
      <c r="AH290" s="67" t="n">
        <f aca="false">AH246*Inputs!$D$64/30</f>
        <v>57281.08951552</v>
      </c>
      <c r="AI290" s="67" t="n">
        <f aca="false">AI246*Inputs!$D$64/30</f>
        <v>57281.08951552</v>
      </c>
      <c r="AJ290" s="67" t="n">
        <f aca="false">AJ246*Inputs!$D$64/30</f>
        <v>57281.08951552</v>
      </c>
      <c r="AK290" s="67" t="n">
        <f aca="false">AK246*Inputs!$D$64/30</f>
        <v>66388.84335616</v>
      </c>
      <c r="AL290" s="67" t="n">
        <f aca="false">AL246*Inputs!$D$64/30</f>
        <v>66388.84335616</v>
      </c>
      <c r="AM290" s="67" t="n">
        <f aca="false">AM246*Inputs!$D$64/30</f>
        <v>64936.1982340465</v>
      </c>
      <c r="AN290" s="67" t="n">
        <f aca="false">AN246*Inputs!$D$64/30</f>
        <v>64936.1982340465</v>
      </c>
      <c r="AO290" s="67" t="n">
        <f aca="false">AO246*Inputs!$D$64/30</f>
        <v>64936.1982340465</v>
      </c>
      <c r="AP290" s="67" t="n">
        <f aca="false">AP246*Inputs!$D$64/30</f>
        <v>64936.1982340465</v>
      </c>
      <c r="AQ290" s="67" t="n">
        <f aca="false">AQ246*Inputs!$D$64/30</f>
        <v>64936.1982340465</v>
      </c>
      <c r="AR290" s="67" t="n">
        <f aca="false">AR246*Inputs!$D$64/30</f>
        <v>64936.1982340465</v>
      </c>
      <c r="AS290" s="67" t="n">
        <f aca="false">AS246*Inputs!$D$64/30</f>
        <v>64936.1982340465</v>
      </c>
      <c r="AT290" s="67" t="n">
        <f aca="false">AT246*Inputs!$D$64/30</f>
        <v>64936.1982340465</v>
      </c>
      <c r="AU290" s="67" t="n">
        <f aca="false">AU246*Inputs!$D$64/30</f>
        <v>64936.1982340465</v>
      </c>
      <c r="AV290" s="67" t="n">
        <f aca="false">AV246*Inputs!$D$64/30</f>
        <v>64936.1982340465</v>
      </c>
      <c r="AW290" s="67" t="n">
        <f aca="false">AW246*Inputs!$D$64/30</f>
        <v>74881.8654280254</v>
      </c>
      <c r="AX290" s="67" t="n">
        <f aca="false">AX246*Inputs!$D$64/30</f>
        <v>74881.8654280254</v>
      </c>
      <c r="AY290" s="67" t="n">
        <f aca="false">AY246*Inputs!$D$64/30</f>
        <v>73787.8922415889</v>
      </c>
      <c r="AZ290" s="67" t="n">
        <f aca="false">AZ246*Inputs!$D$64/30</f>
        <v>73787.8922415889</v>
      </c>
      <c r="BA290" s="67" t="n">
        <f aca="false">BA246*Inputs!$D$64/30</f>
        <v>73787.8922415889</v>
      </c>
      <c r="BB290" s="67" t="n">
        <f aca="false">BB246*Inputs!$D$64/30</f>
        <v>73787.8922415889</v>
      </c>
      <c r="BC290" s="67" t="n">
        <f aca="false">BC246*Inputs!$D$64/30</f>
        <v>73787.8922415889</v>
      </c>
      <c r="BD290" s="67" t="n">
        <f aca="false">BD246*Inputs!$D$64/30</f>
        <v>73787.8922415889</v>
      </c>
      <c r="BE290" s="67" t="n">
        <f aca="false">BE246*Inputs!$D$64/30</f>
        <v>73787.8922415889</v>
      </c>
      <c r="BF290" s="67" t="n">
        <f aca="false">BF246*Inputs!$D$64/30</f>
        <v>73787.8922415889</v>
      </c>
      <c r="BG290" s="67" t="n">
        <f aca="false">BG246*Inputs!$D$64/30</f>
        <v>73787.8922415889</v>
      </c>
      <c r="BH290" s="67" t="n">
        <f aca="false">BH246*Inputs!$D$64/30</f>
        <v>73787.8922415889</v>
      </c>
      <c r="BI290" s="67" t="n">
        <f aca="false">BI246*Inputs!$D$64/30</f>
        <v>84648.5608174139</v>
      </c>
      <c r="BJ290" s="67" t="n">
        <f aca="false">BJ246*Inputs!$D$64/30</f>
        <v>84648.5608174139</v>
      </c>
    </row>
    <row r="291" customFormat="false" ht="15" hidden="false" customHeight="false" outlineLevel="0" collapsed="false">
      <c r="A291" s="6" t="s">
        <v>91</v>
      </c>
      <c r="C291" s="67" t="n">
        <f aca="false">-C252*Inputs!$D$65/30</f>
        <v>4232.75440774193</v>
      </c>
      <c r="D291" s="67" t="n">
        <f aca="false">-D252*Inputs!$D$65/30</f>
        <v>4461.6709883871</v>
      </c>
      <c r="E291" s="67" t="n">
        <f aca="false">-E252*Inputs!$D$65/30</f>
        <v>4461.6709883871</v>
      </c>
      <c r="F291" s="67" t="n">
        <f aca="false">-F252*Inputs!$D$65/30</f>
        <v>4461.6709883871</v>
      </c>
      <c r="G291" s="67" t="n">
        <f aca="false">-G252*Inputs!$D$65/30</f>
        <v>4461.6709883871</v>
      </c>
      <c r="H291" s="67" t="n">
        <f aca="false">-H252*Inputs!$D$65/30</f>
        <v>4461.6709883871</v>
      </c>
      <c r="I291" s="67" t="n">
        <f aca="false">-I252*Inputs!$D$65/30</f>
        <v>4461.6709883871</v>
      </c>
      <c r="J291" s="67" t="n">
        <f aca="false">-J252*Inputs!$D$65/30</f>
        <v>4461.6709883871</v>
      </c>
      <c r="K291" s="67" t="n">
        <f aca="false">-K252*Inputs!$D$65/30</f>
        <v>4461.6709883871</v>
      </c>
      <c r="L291" s="67" t="n">
        <f aca="false">-L252*Inputs!$D$65/30</f>
        <v>4461.6709883871</v>
      </c>
      <c r="M291" s="67" t="n">
        <f aca="false">-M252*Inputs!$D$65/30</f>
        <v>5161.63473548387</v>
      </c>
      <c r="N291" s="67" t="n">
        <f aca="false">-N252*Inputs!$D$65/30</f>
        <v>5161.63473548387</v>
      </c>
      <c r="O291" s="67" t="n">
        <f aca="false">-O252*Inputs!$D$65/30</f>
        <v>5062.25646971871</v>
      </c>
      <c r="P291" s="67" t="n">
        <f aca="false">-P252*Inputs!$D$65/30</f>
        <v>5062.25646971871</v>
      </c>
      <c r="Q291" s="67" t="n">
        <f aca="false">-Q252*Inputs!$D$65/30</f>
        <v>5062.25646971871</v>
      </c>
      <c r="R291" s="67" t="n">
        <f aca="false">-R252*Inputs!$D$65/30</f>
        <v>5062.25646971871</v>
      </c>
      <c r="S291" s="67" t="n">
        <f aca="false">-S252*Inputs!$D$65/30</f>
        <v>5062.25646971871</v>
      </c>
      <c r="T291" s="67" t="n">
        <f aca="false">-T252*Inputs!$D$65/30</f>
        <v>5062.25646971871</v>
      </c>
      <c r="U291" s="67" t="n">
        <f aca="false">-U252*Inputs!$D$65/30</f>
        <v>5062.25646971871</v>
      </c>
      <c r="V291" s="67" t="n">
        <f aca="false">-V252*Inputs!$D$65/30</f>
        <v>5062.25646971871</v>
      </c>
      <c r="W291" s="67" t="n">
        <f aca="false">-W252*Inputs!$D$65/30</f>
        <v>5062.25646971871</v>
      </c>
      <c r="X291" s="67" t="n">
        <f aca="false">-X252*Inputs!$D$65/30</f>
        <v>5062.25646971871</v>
      </c>
      <c r="Y291" s="67" t="n">
        <f aca="false">-Y252*Inputs!$D$65/30</f>
        <v>5826.61688154839</v>
      </c>
      <c r="Z291" s="67" t="n">
        <f aca="false">-Z252*Inputs!$D$65/30</f>
        <v>5826.61688154839</v>
      </c>
      <c r="AA291" s="67" t="n">
        <f aca="false">-AA252*Inputs!$D$65/30</f>
        <v>5757.33488061539</v>
      </c>
      <c r="AB291" s="67" t="n">
        <f aca="false">-AB252*Inputs!$D$65/30</f>
        <v>5757.33488061539</v>
      </c>
      <c r="AC291" s="67" t="n">
        <f aca="false">-AC252*Inputs!$D$65/30</f>
        <v>5757.33488061539</v>
      </c>
      <c r="AD291" s="67" t="n">
        <f aca="false">-AD252*Inputs!$D$65/30</f>
        <v>5757.33488061539</v>
      </c>
      <c r="AE291" s="67" t="n">
        <f aca="false">-AE252*Inputs!$D$65/30</f>
        <v>5757.33488061539</v>
      </c>
      <c r="AF291" s="67" t="n">
        <f aca="false">-AF252*Inputs!$D$65/30</f>
        <v>5757.33488061539</v>
      </c>
      <c r="AG291" s="67" t="n">
        <f aca="false">-AG252*Inputs!$D$65/30</f>
        <v>5757.33488061539</v>
      </c>
      <c r="AH291" s="67" t="n">
        <f aca="false">-AH252*Inputs!$D$65/30</f>
        <v>5757.33488061539</v>
      </c>
      <c r="AI291" s="67" t="n">
        <f aca="false">-AI252*Inputs!$D$65/30</f>
        <v>5757.33488061539</v>
      </c>
      <c r="AJ291" s="67" t="n">
        <f aca="false">-AJ252*Inputs!$D$65/30</f>
        <v>5757.33488061539</v>
      </c>
      <c r="AK291" s="67" t="n">
        <f aca="false">-AK252*Inputs!$D$65/30</f>
        <v>6592.0164503334</v>
      </c>
      <c r="AL291" s="67" t="n">
        <f aca="false">-AL252*Inputs!$D$65/30</f>
        <v>6592.0164503334</v>
      </c>
      <c r="AM291" s="67" t="n">
        <f aca="false">-AM252*Inputs!$D$65/30</f>
        <v>6563.69851367145</v>
      </c>
      <c r="AN291" s="67" t="n">
        <f aca="false">-AN252*Inputs!$D$65/30</f>
        <v>6563.69851367145</v>
      </c>
      <c r="AO291" s="67" t="n">
        <f aca="false">-AO252*Inputs!$D$65/30</f>
        <v>6563.69851367145</v>
      </c>
      <c r="AP291" s="67" t="n">
        <f aca="false">-AP252*Inputs!$D$65/30</f>
        <v>6563.69851367145</v>
      </c>
      <c r="AQ291" s="67" t="n">
        <f aca="false">-AQ252*Inputs!$D$65/30</f>
        <v>6563.69851367145</v>
      </c>
      <c r="AR291" s="67" t="n">
        <f aca="false">-AR252*Inputs!$D$65/30</f>
        <v>6563.69851367145</v>
      </c>
      <c r="AS291" s="67" t="n">
        <f aca="false">-AS252*Inputs!$D$65/30</f>
        <v>6563.69851367145</v>
      </c>
      <c r="AT291" s="67" t="n">
        <f aca="false">-AT252*Inputs!$D$65/30</f>
        <v>6563.69851367145</v>
      </c>
      <c r="AU291" s="67" t="n">
        <f aca="false">-AU252*Inputs!$D$65/30</f>
        <v>6563.69851367145</v>
      </c>
      <c r="AV291" s="67" t="n">
        <f aca="false">-AV252*Inputs!$D$65/30</f>
        <v>6563.69851367145</v>
      </c>
      <c r="AW291" s="67" t="n">
        <f aca="false">-AW252*Inputs!$D$65/30</f>
        <v>7475.17078780351</v>
      </c>
      <c r="AX291" s="67" t="n">
        <f aca="false">-AX252*Inputs!$D$65/30</f>
        <v>7475.17078780351</v>
      </c>
      <c r="AY291" s="67" t="n">
        <f aca="false">-AY252*Inputs!$D$65/30</f>
        <v>7501.3561742504</v>
      </c>
      <c r="AZ291" s="67" t="n">
        <f aca="false">-AZ252*Inputs!$D$65/30</f>
        <v>7501.3561742504</v>
      </c>
      <c r="BA291" s="67" t="n">
        <f aca="false">-BA252*Inputs!$D$65/30</f>
        <v>7501.3561742504</v>
      </c>
      <c r="BB291" s="67" t="n">
        <f aca="false">-BB252*Inputs!$D$65/30</f>
        <v>7501.3561742504</v>
      </c>
      <c r="BC291" s="67" t="n">
        <f aca="false">-BC252*Inputs!$D$65/30</f>
        <v>7501.3561742504</v>
      </c>
      <c r="BD291" s="67" t="n">
        <f aca="false">-BD252*Inputs!$D$65/30</f>
        <v>7501.3561742504</v>
      </c>
      <c r="BE291" s="67" t="n">
        <f aca="false">-BE252*Inputs!$D$65/30</f>
        <v>7501.3561742504</v>
      </c>
      <c r="BF291" s="67" t="n">
        <f aca="false">-BF252*Inputs!$D$65/30</f>
        <v>7501.3561742504</v>
      </c>
      <c r="BG291" s="67" t="n">
        <f aca="false">-BG252*Inputs!$D$65/30</f>
        <v>7501.3561742504</v>
      </c>
      <c r="BH291" s="67" t="n">
        <f aca="false">-BH252*Inputs!$D$65/30</f>
        <v>7501.3561742504</v>
      </c>
      <c r="BI291" s="67" t="n">
        <f aca="false">-BI252*Inputs!$D$65/30</f>
        <v>8496.68389760262</v>
      </c>
      <c r="BJ291" s="67" t="n">
        <f aca="false">-BJ252*Inputs!$D$65/30</f>
        <v>8496.68389760262</v>
      </c>
    </row>
    <row r="292" customFormat="false" ht="15" hidden="false" customHeight="false" outlineLevel="0" collapsed="false">
      <c r="A292" s="6" t="s">
        <v>94</v>
      </c>
      <c r="C292" s="67" t="n">
        <f aca="false">-C252*Inputs!$D$66/30</f>
        <v>25396.5264464516</v>
      </c>
      <c r="D292" s="67" t="n">
        <f aca="false">-D252*Inputs!$D$66/30</f>
        <v>26770.0259303226</v>
      </c>
      <c r="E292" s="67" t="n">
        <f aca="false">-E252*Inputs!$D$66/30</f>
        <v>26770.0259303226</v>
      </c>
      <c r="F292" s="67" t="n">
        <f aca="false">-F252*Inputs!$D$66/30</f>
        <v>26770.0259303226</v>
      </c>
      <c r="G292" s="67" t="n">
        <f aca="false">-G252*Inputs!$D$66/30</f>
        <v>26770.0259303226</v>
      </c>
      <c r="H292" s="67" t="n">
        <f aca="false">-H252*Inputs!$D$66/30</f>
        <v>26770.0259303226</v>
      </c>
      <c r="I292" s="67" t="n">
        <f aca="false">-I252*Inputs!$D$66/30</f>
        <v>26770.0259303226</v>
      </c>
      <c r="J292" s="67" t="n">
        <f aca="false">-J252*Inputs!$D$66/30</f>
        <v>26770.0259303226</v>
      </c>
      <c r="K292" s="67" t="n">
        <f aca="false">-K252*Inputs!$D$66/30</f>
        <v>26770.0259303226</v>
      </c>
      <c r="L292" s="67" t="n">
        <f aca="false">-L252*Inputs!$D$66/30</f>
        <v>26770.0259303226</v>
      </c>
      <c r="M292" s="67" t="n">
        <f aca="false">-M252*Inputs!$D$66/30</f>
        <v>30969.8084129032</v>
      </c>
      <c r="N292" s="67" t="n">
        <f aca="false">-N252*Inputs!$D$66/30</f>
        <v>30969.8084129032</v>
      </c>
      <c r="O292" s="67" t="n">
        <f aca="false">-O252*Inputs!$D$66/30</f>
        <v>30373.5388183123</v>
      </c>
      <c r="P292" s="67" t="n">
        <f aca="false">-P252*Inputs!$D$66/30</f>
        <v>30373.5388183123</v>
      </c>
      <c r="Q292" s="67" t="n">
        <f aca="false">-Q252*Inputs!$D$66/30</f>
        <v>30373.5388183123</v>
      </c>
      <c r="R292" s="67" t="n">
        <f aca="false">-R252*Inputs!$D$66/30</f>
        <v>30373.5388183123</v>
      </c>
      <c r="S292" s="67" t="n">
        <f aca="false">-S252*Inputs!$D$66/30</f>
        <v>30373.5388183123</v>
      </c>
      <c r="T292" s="67" t="n">
        <f aca="false">-T252*Inputs!$D$66/30</f>
        <v>30373.5388183123</v>
      </c>
      <c r="U292" s="67" t="n">
        <f aca="false">-U252*Inputs!$D$66/30</f>
        <v>30373.5388183123</v>
      </c>
      <c r="V292" s="67" t="n">
        <f aca="false">-V252*Inputs!$D$66/30</f>
        <v>30373.5388183123</v>
      </c>
      <c r="W292" s="67" t="n">
        <f aca="false">-W252*Inputs!$D$66/30</f>
        <v>30373.5388183123</v>
      </c>
      <c r="X292" s="67" t="n">
        <f aca="false">-X252*Inputs!$D$66/30</f>
        <v>30373.5388183123</v>
      </c>
      <c r="Y292" s="67" t="n">
        <f aca="false">-Y252*Inputs!$D$66/30</f>
        <v>34959.7012892903</v>
      </c>
      <c r="Z292" s="67" t="n">
        <f aca="false">-Z252*Inputs!$D$66/30</f>
        <v>34959.7012892903</v>
      </c>
      <c r="AA292" s="67" t="n">
        <f aca="false">-AA252*Inputs!$D$66/30</f>
        <v>34544.0092836924</v>
      </c>
      <c r="AB292" s="67" t="n">
        <f aca="false">-AB252*Inputs!$D$66/30</f>
        <v>34544.0092836924</v>
      </c>
      <c r="AC292" s="67" t="n">
        <f aca="false">-AC252*Inputs!$D$66/30</f>
        <v>34544.0092836924</v>
      </c>
      <c r="AD292" s="67" t="n">
        <f aca="false">-AD252*Inputs!$D$66/30</f>
        <v>34544.0092836924</v>
      </c>
      <c r="AE292" s="67" t="n">
        <f aca="false">-AE252*Inputs!$D$66/30</f>
        <v>34544.0092836924</v>
      </c>
      <c r="AF292" s="67" t="n">
        <f aca="false">-AF252*Inputs!$D$66/30</f>
        <v>34544.0092836924</v>
      </c>
      <c r="AG292" s="67" t="n">
        <f aca="false">-AG252*Inputs!$D$66/30</f>
        <v>34544.0092836924</v>
      </c>
      <c r="AH292" s="67" t="n">
        <f aca="false">-AH252*Inputs!$D$66/30</f>
        <v>34544.0092836924</v>
      </c>
      <c r="AI292" s="67" t="n">
        <f aca="false">-AI252*Inputs!$D$66/30</f>
        <v>34544.0092836924</v>
      </c>
      <c r="AJ292" s="67" t="n">
        <f aca="false">-AJ252*Inputs!$D$66/30</f>
        <v>34544.0092836924</v>
      </c>
      <c r="AK292" s="67" t="n">
        <f aca="false">-AK252*Inputs!$D$66/30</f>
        <v>39552.0987020004</v>
      </c>
      <c r="AL292" s="67" t="n">
        <f aca="false">-AL252*Inputs!$D$66/30</f>
        <v>39552.0987020004</v>
      </c>
      <c r="AM292" s="67" t="n">
        <f aca="false">-AM252*Inputs!$D$66/30</f>
        <v>39382.1910820287</v>
      </c>
      <c r="AN292" s="67" t="n">
        <f aca="false">-AN252*Inputs!$D$66/30</f>
        <v>39382.1910820287</v>
      </c>
      <c r="AO292" s="67" t="n">
        <f aca="false">-AO252*Inputs!$D$66/30</f>
        <v>39382.1910820287</v>
      </c>
      <c r="AP292" s="67" t="n">
        <f aca="false">-AP252*Inputs!$D$66/30</f>
        <v>39382.1910820287</v>
      </c>
      <c r="AQ292" s="67" t="n">
        <f aca="false">-AQ252*Inputs!$D$66/30</f>
        <v>39382.1910820287</v>
      </c>
      <c r="AR292" s="67" t="n">
        <f aca="false">-AR252*Inputs!$D$66/30</f>
        <v>39382.1910820287</v>
      </c>
      <c r="AS292" s="67" t="n">
        <f aca="false">-AS252*Inputs!$D$66/30</f>
        <v>39382.1910820287</v>
      </c>
      <c r="AT292" s="67" t="n">
        <f aca="false">-AT252*Inputs!$D$66/30</f>
        <v>39382.1910820287</v>
      </c>
      <c r="AU292" s="67" t="n">
        <f aca="false">-AU252*Inputs!$D$66/30</f>
        <v>39382.1910820287</v>
      </c>
      <c r="AV292" s="67" t="n">
        <f aca="false">-AV252*Inputs!$D$66/30</f>
        <v>39382.1910820287</v>
      </c>
      <c r="AW292" s="67" t="n">
        <f aca="false">-AW252*Inputs!$D$66/30</f>
        <v>44851.0247268211</v>
      </c>
      <c r="AX292" s="67" t="n">
        <f aca="false">-AX252*Inputs!$D$66/30</f>
        <v>44851.0247268211</v>
      </c>
      <c r="AY292" s="67" t="n">
        <f aca="false">-AY252*Inputs!$D$66/30</f>
        <v>45008.1370455024</v>
      </c>
      <c r="AZ292" s="67" t="n">
        <f aca="false">-AZ252*Inputs!$D$66/30</f>
        <v>45008.1370455024</v>
      </c>
      <c r="BA292" s="67" t="n">
        <f aca="false">-BA252*Inputs!$D$66/30</f>
        <v>45008.1370455024</v>
      </c>
      <c r="BB292" s="67" t="n">
        <f aca="false">-BB252*Inputs!$D$66/30</f>
        <v>45008.1370455024</v>
      </c>
      <c r="BC292" s="67" t="n">
        <f aca="false">-BC252*Inputs!$D$66/30</f>
        <v>45008.1370455024</v>
      </c>
      <c r="BD292" s="67" t="n">
        <f aca="false">-BD252*Inputs!$D$66/30</f>
        <v>45008.1370455024</v>
      </c>
      <c r="BE292" s="67" t="n">
        <f aca="false">-BE252*Inputs!$D$66/30</f>
        <v>45008.1370455024</v>
      </c>
      <c r="BF292" s="67" t="n">
        <f aca="false">-BF252*Inputs!$D$66/30</f>
        <v>45008.1370455024</v>
      </c>
      <c r="BG292" s="67" t="n">
        <f aca="false">-BG252*Inputs!$D$66/30</f>
        <v>45008.1370455024</v>
      </c>
      <c r="BH292" s="67" t="n">
        <f aca="false">-BH252*Inputs!$D$66/30</f>
        <v>45008.1370455024</v>
      </c>
      <c r="BI292" s="67" t="n">
        <f aca="false">-BI252*Inputs!$D$66/30</f>
        <v>50980.1033856157</v>
      </c>
      <c r="BJ292" s="67" t="n">
        <f aca="false">-BJ252*Inputs!$D$66/30</f>
        <v>50980.1033856157</v>
      </c>
    </row>
    <row r="293" customFormat="false" ht="15" hidden="false" customHeight="false" outlineLevel="0" collapsed="false">
      <c r="A293" s="6" t="s">
        <v>332</v>
      </c>
      <c r="C293" s="67" t="n">
        <f aca="false">-C290</f>
        <v>-42569.54</v>
      </c>
      <c r="D293" s="67" t="n">
        <f aca="false">C290-D290</f>
        <v>-2307.50000000001</v>
      </c>
      <c r="E293" s="67" t="n">
        <f aca="false">D290-E290</f>
        <v>0</v>
      </c>
      <c r="F293" s="67" t="n">
        <f aca="false">E290-F290</f>
        <v>0</v>
      </c>
      <c r="G293" s="67" t="n">
        <f aca="false">F290-G290</f>
        <v>0</v>
      </c>
      <c r="H293" s="67" t="n">
        <f aca="false">G290-H290</f>
        <v>0</v>
      </c>
      <c r="I293" s="67" t="n">
        <f aca="false">H290-I290</f>
        <v>0</v>
      </c>
      <c r="J293" s="67" t="n">
        <f aca="false">I290-J290</f>
        <v>0</v>
      </c>
      <c r="K293" s="67" t="n">
        <f aca="false">J290-K290</f>
        <v>0</v>
      </c>
      <c r="L293" s="67" t="n">
        <f aca="false">K290-L290</f>
        <v>0</v>
      </c>
      <c r="M293" s="67" t="n">
        <f aca="false">L290-M290</f>
        <v>-7637.76000000002</v>
      </c>
      <c r="N293" s="67" t="n">
        <f aca="false">M290-N290</f>
        <v>0</v>
      </c>
      <c r="O293" s="67" t="n">
        <f aca="false">N290-O290</f>
        <v>1870.17792000002</v>
      </c>
      <c r="P293" s="67" t="n">
        <f aca="false">O290-P290</f>
        <v>0</v>
      </c>
      <c r="Q293" s="67" t="n">
        <f aca="false">P290-Q290</f>
        <v>0</v>
      </c>
      <c r="R293" s="67" t="n">
        <f aca="false">Q290-R290</f>
        <v>0</v>
      </c>
      <c r="S293" s="67" t="n">
        <f aca="false">R290-S290</f>
        <v>0</v>
      </c>
      <c r="T293" s="67" t="n">
        <f aca="false">S290-T290</f>
        <v>0</v>
      </c>
      <c r="U293" s="67" t="n">
        <f aca="false">T290-U290</f>
        <v>0</v>
      </c>
      <c r="V293" s="67" t="n">
        <f aca="false">U290-V290</f>
        <v>0</v>
      </c>
      <c r="W293" s="67" t="n">
        <f aca="false">V290-W290</f>
        <v>0</v>
      </c>
      <c r="X293" s="67" t="n">
        <f aca="false">W290-X290</f>
        <v>0</v>
      </c>
      <c r="Y293" s="67" t="n">
        <f aca="false">X290-Y290</f>
        <v>-8340.43392</v>
      </c>
      <c r="Z293" s="67" t="n">
        <f aca="false">Y290-Z290</f>
        <v>0</v>
      </c>
      <c r="AA293" s="67" t="n">
        <f aca="false">Z290-AA290</f>
        <v>1703.96648447999</v>
      </c>
      <c r="AB293" s="67" t="n">
        <f aca="false">AA290-AB290</f>
        <v>0</v>
      </c>
      <c r="AC293" s="67" t="n">
        <f aca="false">AB290-AC290</f>
        <v>0</v>
      </c>
      <c r="AD293" s="67" t="n">
        <f aca="false">AC290-AD290</f>
        <v>0</v>
      </c>
      <c r="AE293" s="67" t="n">
        <f aca="false">AD290-AE290</f>
        <v>0</v>
      </c>
      <c r="AF293" s="67" t="n">
        <f aca="false">AE290-AF290</f>
        <v>0</v>
      </c>
      <c r="AG293" s="67" t="n">
        <f aca="false">AF290-AG290</f>
        <v>0</v>
      </c>
      <c r="AH293" s="67" t="n">
        <f aca="false">AG290-AH290</f>
        <v>0</v>
      </c>
      <c r="AI293" s="67" t="n">
        <f aca="false">AH290-AI290</f>
        <v>0</v>
      </c>
      <c r="AJ293" s="67" t="n">
        <f aca="false">AI290-AJ290</f>
        <v>0</v>
      </c>
      <c r="AK293" s="67" t="n">
        <f aca="false">AJ290-AK290</f>
        <v>-9107.75384064003</v>
      </c>
      <c r="AL293" s="67" t="n">
        <f aca="false">AK290-AL290</f>
        <v>0</v>
      </c>
      <c r="AM293" s="67" t="n">
        <f aca="false">AL290-AM290</f>
        <v>1452.64512211357</v>
      </c>
      <c r="AN293" s="67" t="n">
        <f aca="false">AM290-AN290</f>
        <v>0</v>
      </c>
      <c r="AO293" s="67" t="n">
        <f aca="false">AN290-AO290</f>
        <v>0</v>
      </c>
      <c r="AP293" s="67" t="n">
        <f aca="false">AO290-AP290</f>
        <v>0</v>
      </c>
      <c r="AQ293" s="67" t="n">
        <f aca="false">AP290-AQ290</f>
        <v>0</v>
      </c>
      <c r="AR293" s="67" t="n">
        <f aca="false">AQ290-AR290</f>
        <v>0</v>
      </c>
      <c r="AS293" s="67" t="n">
        <f aca="false">AR290-AS290</f>
        <v>0</v>
      </c>
      <c r="AT293" s="67" t="n">
        <f aca="false">AS290-AT290</f>
        <v>0</v>
      </c>
      <c r="AU293" s="67" t="n">
        <f aca="false">AT290-AU290</f>
        <v>0</v>
      </c>
      <c r="AV293" s="67" t="n">
        <f aca="false">AU290-AV290</f>
        <v>0</v>
      </c>
      <c r="AW293" s="67" t="n">
        <f aca="false">AV290-AW290</f>
        <v>-9945.6671939789</v>
      </c>
      <c r="AX293" s="67" t="n">
        <f aca="false">AW290-AX290</f>
        <v>0</v>
      </c>
      <c r="AY293" s="67" t="n">
        <f aca="false">AX290-AY290</f>
        <v>1093.97318643643</v>
      </c>
      <c r="AZ293" s="67" t="n">
        <f aca="false">AY290-AZ290</f>
        <v>0</v>
      </c>
      <c r="BA293" s="67" t="n">
        <f aca="false">AZ290-BA290</f>
        <v>0</v>
      </c>
      <c r="BB293" s="67" t="n">
        <f aca="false">BA290-BB290</f>
        <v>0</v>
      </c>
      <c r="BC293" s="67" t="n">
        <f aca="false">BB290-BC290</f>
        <v>0</v>
      </c>
      <c r="BD293" s="67" t="n">
        <f aca="false">BC290-BD290</f>
        <v>0</v>
      </c>
      <c r="BE293" s="67" t="n">
        <f aca="false">BD290-BE290</f>
        <v>0</v>
      </c>
      <c r="BF293" s="67" t="n">
        <f aca="false">BE290-BF290</f>
        <v>0</v>
      </c>
      <c r="BG293" s="67" t="n">
        <f aca="false">BF290-BG290</f>
        <v>0</v>
      </c>
      <c r="BH293" s="67" t="n">
        <f aca="false">BG290-BH290</f>
        <v>0</v>
      </c>
      <c r="BI293" s="67" t="n">
        <f aca="false">BH290-BI290</f>
        <v>-10860.6685758249</v>
      </c>
      <c r="BJ293" s="67" t="n">
        <f aca="false">BI290-BJ290</f>
        <v>0</v>
      </c>
    </row>
    <row r="294" customFormat="false" ht="15" hidden="false" customHeight="false" outlineLevel="0" collapsed="false">
      <c r="A294" s="6" t="s">
        <v>333</v>
      </c>
      <c r="C294" s="67" t="n">
        <f aca="false">-C291</f>
        <v>-4232.75440774193</v>
      </c>
      <c r="D294" s="67" t="n">
        <f aca="false">C291-D291</f>
        <v>-228.916580645163</v>
      </c>
      <c r="E294" s="67" t="n">
        <f aca="false">D291-E291</f>
        <v>0</v>
      </c>
      <c r="F294" s="67" t="n">
        <f aca="false">E291-F291</f>
        <v>0</v>
      </c>
      <c r="G294" s="67" t="n">
        <f aca="false">F291-G291</f>
        <v>0</v>
      </c>
      <c r="H294" s="67" t="n">
        <f aca="false">G291-H291</f>
        <v>0</v>
      </c>
      <c r="I294" s="67" t="n">
        <f aca="false">H291-I291</f>
        <v>0</v>
      </c>
      <c r="J294" s="67" t="n">
        <f aca="false">I291-J291</f>
        <v>0</v>
      </c>
      <c r="K294" s="67" t="n">
        <f aca="false">J291-K291</f>
        <v>0</v>
      </c>
      <c r="L294" s="67" t="n">
        <f aca="false">K291-L291</f>
        <v>0</v>
      </c>
      <c r="M294" s="67" t="n">
        <f aca="false">L291-M291</f>
        <v>-699.963747096775</v>
      </c>
      <c r="N294" s="67" t="n">
        <f aca="false">M291-N291</f>
        <v>0</v>
      </c>
      <c r="O294" s="67" t="n">
        <f aca="false">N291-O291</f>
        <v>99.3782657651618</v>
      </c>
      <c r="P294" s="67" t="n">
        <f aca="false">O291-P291</f>
        <v>0</v>
      </c>
      <c r="Q294" s="67" t="n">
        <f aca="false">P291-Q291</f>
        <v>0</v>
      </c>
      <c r="R294" s="67" t="n">
        <f aca="false">Q291-R291</f>
        <v>0</v>
      </c>
      <c r="S294" s="67" t="n">
        <f aca="false">R291-S291</f>
        <v>0</v>
      </c>
      <c r="T294" s="67" t="n">
        <f aca="false">S291-T291</f>
        <v>0</v>
      </c>
      <c r="U294" s="67" t="n">
        <f aca="false">T291-U291</f>
        <v>0</v>
      </c>
      <c r="V294" s="67" t="n">
        <f aca="false">U291-V291</f>
        <v>0</v>
      </c>
      <c r="W294" s="67" t="n">
        <f aca="false">V291-W291</f>
        <v>0</v>
      </c>
      <c r="X294" s="67" t="n">
        <f aca="false">W291-X291</f>
        <v>0</v>
      </c>
      <c r="Y294" s="67" t="n">
        <f aca="false">X291-Y291</f>
        <v>-764.360411829678</v>
      </c>
      <c r="Z294" s="67" t="n">
        <f aca="false">Y291-Z291</f>
        <v>0</v>
      </c>
      <c r="AA294" s="67" t="n">
        <f aca="false">Z291-AA291</f>
        <v>69.2820009329962</v>
      </c>
      <c r="AB294" s="67" t="n">
        <f aca="false">AA291-AB291</f>
        <v>0</v>
      </c>
      <c r="AC294" s="67" t="n">
        <f aca="false">AB291-AC291</f>
        <v>0</v>
      </c>
      <c r="AD294" s="67" t="n">
        <f aca="false">AC291-AD291</f>
        <v>0</v>
      </c>
      <c r="AE294" s="67" t="n">
        <f aca="false">AD291-AE291</f>
        <v>0</v>
      </c>
      <c r="AF294" s="67" t="n">
        <f aca="false">AE291-AF291</f>
        <v>0</v>
      </c>
      <c r="AG294" s="67" t="n">
        <f aca="false">AF291-AG291</f>
        <v>0</v>
      </c>
      <c r="AH294" s="67" t="n">
        <f aca="false">AG291-AH291</f>
        <v>0</v>
      </c>
      <c r="AI294" s="67" t="n">
        <f aca="false">AH291-AI291</f>
        <v>0</v>
      </c>
      <c r="AJ294" s="67" t="n">
        <f aca="false">AI291-AJ291</f>
        <v>0</v>
      </c>
      <c r="AK294" s="67" t="n">
        <f aca="false">AJ291-AK291</f>
        <v>-834.681569718009</v>
      </c>
      <c r="AL294" s="67" t="n">
        <f aca="false">AK291-AL291</f>
        <v>0</v>
      </c>
      <c r="AM294" s="67" t="n">
        <f aca="false">AL291-AM291</f>
        <v>28.3179366619515</v>
      </c>
      <c r="AN294" s="67" t="n">
        <f aca="false">AM291-AN291</f>
        <v>0</v>
      </c>
      <c r="AO294" s="67" t="n">
        <f aca="false">AN291-AO291</f>
        <v>0</v>
      </c>
      <c r="AP294" s="67" t="n">
        <f aca="false">AO291-AP291</f>
        <v>0</v>
      </c>
      <c r="AQ294" s="67" t="n">
        <f aca="false">AP291-AQ291</f>
        <v>0</v>
      </c>
      <c r="AR294" s="67" t="n">
        <f aca="false">AQ291-AR291</f>
        <v>0</v>
      </c>
      <c r="AS294" s="67" t="n">
        <f aca="false">AR291-AS291</f>
        <v>0</v>
      </c>
      <c r="AT294" s="67" t="n">
        <f aca="false">AS291-AT291</f>
        <v>0</v>
      </c>
      <c r="AU294" s="67" t="n">
        <f aca="false">AT291-AU291</f>
        <v>0</v>
      </c>
      <c r="AV294" s="67" t="n">
        <f aca="false">AU291-AV291</f>
        <v>0</v>
      </c>
      <c r="AW294" s="67" t="n">
        <f aca="false">AV291-AW291</f>
        <v>-911.472274132065</v>
      </c>
      <c r="AX294" s="67" t="n">
        <f aca="false">AW291-AX291</f>
        <v>0</v>
      </c>
      <c r="AY294" s="67" t="n">
        <f aca="false">AX291-AY291</f>
        <v>-26.1853864468894</v>
      </c>
      <c r="AZ294" s="67" t="n">
        <f aca="false">AY291-AZ291</f>
        <v>0</v>
      </c>
      <c r="BA294" s="67" t="n">
        <f aca="false">AZ291-BA291</f>
        <v>0</v>
      </c>
      <c r="BB294" s="67" t="n">
        <f aca="false">BA291-BB291</f>
        <v>0</v>
      </c>
      <c r="BC294" s="67" t="n">
        <f aca="false">BB291-BC291</f>
        <v>0</v>
      </c>
      <c r="BD294" s="67" t="n">
        <f aca="false">BC291-BD291</f>
        <v>0</v>
      </c>
      <c r="BE294" s="67" t="n">
        <f aca="false">BD291-BE291</f>
        <v>0</v>
      </c>
      <c r="BF294" s="67" t="n">
        <f aca="false">BE291-BF291</f>
        <v>0</v>
      </c>
      <c r="BG294" s="67" t="n">
        <f aca="false">BF291-BG291</f>
        <v>0</v>
      </c>
      <c r="BH294" s="67" t="n">
        <f aca="false">BG291-BH291</f>
        <v>0</v>
      </c>
      <c r="BI294" s="67" t="n">
        <f aca="false">BH291-BI291</f>
        <v>-995.327723352214</v>
      </c>
      <c r="BJ294" s="67" t="n">
        <f aca="false">BI291-BJ291</f>
        <v>0</v>
      </c>
    </row>
    <row r="295" customFormat="false" ht="15" hidden="false" customHeight="false" outlineLevel="0" collapsed="false">
      <c r="A295" s="6" t="s">
        <v>334</v>
      </c>
      <c r="C295" s="67" t="n">
        <f aca="false">C292</f>
        <v>25396.5264464516</v>
      </c>
      <c r="D295" s="67" t="n">
        <f aca="false">D292-C292</f>
        <v>1373.49948387098</v>
      </c>
      <c r="E295" s="67" t="n">
        <f aca="false">E292-D292</f>
        <v>0</v>
      </c>
      <c r="F295" s="67" t="n">
        <f aca="false">F292-E292</f>
        <v>0</v>
      </c>
      <c r="G295" s="67" t="n">
        <f aca="false">G292-F292</f>
        <v>0</v>
      </c>
      <c r="H295" s="67" t="n">
        <f aca="false">H292-G292</f>
        <v>0</v>
      </c>
      <c r="I295" s="67" t="n">
        <f aca="false">I292-H292</f>
        <v>0</v>
      </c>
      <c r="J295" s="67" t="n">
        <f aca="false">J292-I292</f>
        <v>0</v>
      </c>
      <c r="K295" s="67" t="n">
        <f aca="false">K292-J292</f>
        <v>0</v>
      </c>
      <c r="L295" s="67" t="n">
        <f aca="false">L292-K292</f>
        <v>0</v>
      </c>
      <c r="M295" s="67" t="n">
        <f aca="false">M292-L292</f>
        <v>4199.78248258065</v>
      </c>
      <c r="N295" s="67" t="n">
        <f aca="false">N292-M292</f>
        <v>0</v>
      </c>
      <c r="O295" s="67" t="n">
        <f aca="false">O292-N292</f>
        <v>-596.269594590973</v>
      </c>
      <c r="P295" s="67" t="n">
        <f aca="false">P292-O292</f>
        <v>0</v>
      </c>
      <c r="Q295" s="67" t="n">
        <f aca="false">Q292-P292</f>
        <v>0</v>
      </c>
      <c r="R295" s="67" t="n">
        <f aca="false">R292-Q292</f>
        <v>0</v>
      </c>
      <c r="S295" s="67" t="n">
        <f aca="false">S292-R292</f>
        <v>0</v>
      </c>
      <c r="T295" s="67" t="n">
        <f aca="false">T292-S292</f>
        <v>0</v>
      </c>
      <c r="U295" s="67" t="n">
        <f aca="false">U292-T292</f>
        <v>0</v>
      </c>
      <c r="V295" s="67" t="n">
        <f aca="false">V292-U292</f>
        <v>0</v>
      </c>
      <c r="W295" s="67" t="n">
        <f aca="false">W292-V292</f>
        <v>0</v>
      </c>
      <c r="X295" s="67" t="n">
        <f aca="false">X292-W292</f>
        <v>0</v>
      </c>
      <c r="Y295" s="67" t="n">
        <f aca="false">Y292-X292</f>
        <v>4586.16247097807</v>
      </c>
      <c r="Z295" s="67" t="n">
        <f aca="false">Z292-Y292</f>
        <v>0</v>
      </c>
      <c r="AA295" s="67" t="n">
        <f aca="false">AA292-Z292</f>
        <v>-415.692005597979</v>
      </c>
      <c r="AB295" s="67" t="n">
        <f aca="false">AB292-AA292</f>
        <v>0</v>
      </c>
      <c r="AC295" s="67" t="n">
        <f aca="false">AC292-AB292</f>
        <v>0</v>
      </c>
      <c r="AD295" s="67" t="n">
        <f aca="false">AD292-AC292</f>
        <v>0</v>
      </c>
      <c r="AE295" s="67" t="n">
        <f aca="false">AE292-AD292</f>
        <v>0</v>
      </c>
      <c r="AF295" s="67" t="n">
        <f aca="false">AF292-AE292</f>
        <v>0</v>
      </c>
      <c r="AG295" s="67" t="n">
        <f aca="false">AG292-AF292</f>
        <v>0</v>
      </c>
      <c r="AH295" s="67" t="n">
        <f aca="false">AH292-AG292</f>
        <v>0</v>
      </c>
      <c r="AI295" s="67" t="n">
        <f aca="false">AI292-AH292</f>
        <v>0</v>
      </c>
      <c r="AJ295" s="67" t="n">
        <f aca="false">AJ292-AI292</f>
        <v>0</v>
      </c>
      <c r="AK295" s="67" t="n">
        <f aca="false">AK292-AJ292</f>
        <v>5008.08941830806</v>
      </c>
      <c r="AL295" s="67" t="n">
        <f aca="false">AL292-AK292</f>
        <v>0</v>
      </c>
      <c r="AM295" s="67" t="n">
        <f aca="false">AM292-AL292</f>
        <v>-169.907619971716</v>
      </c>
      <c r="AN295" s="67" t="n">
        <f aca="false">AN292-AM292</f>
        <v>0</v>
      </c>
      <c r="AO295" s="67" t="n">
        <f aca="false">AO292-AN292</f>
        <v>0</v>
      </c>
      <c r="AP295" s="67" t="n">
        <f aca="false">AP292-AO292</f>
        <v>0</v>
      </c>
      <c r="AQ295" s="67" t="n">
        <f aca="false">AQ292-AP292</f>
        <v>0</v>
      </c>
      <c r="AR295" s="67" t="n">
        <f aca="false">AR292-AQ292</f>
        <v>0</v>
      </c>
      <c r="AS295" s="67" t="n">
        <f aca="false">AS292-AR292</f>
        <v>0</v>
      </c>
      <c r="AT295" s="67" t="n">
        <f aca="false">AT292-AS292</f>
        <v>0</v>
      </c>
      <c r="AU295" s="67" t="n">
        <f aca="false">AU292-AT292</f>
        <v>0</v>
      </c>
      <c r="AV295" s="67" t="n">
        <f aca="false">AV292-AU292</f>
        <v>0</v>
      </c>
      <c r="AW295" s="67" t="n">
        <f aca="false">AW292-AV292</f>
        <v>5468.83364479239</v>
      </c>
      <c r="AX295" s="67" t="n">
        <f aca="false">AX292-AW292</f>
        <v>0</v>
      </c>
      <c r="AY295" s="67" t="n">
        <f aca="false">AY292-AX292</f>
        <v>157.112318681327</v>
      </c>
      <c r="AZ295" s="67" t="n">
        <f aca="false">AZ292-AY292</f>
        <v>0</v>
      </c>
      <c r="BA295" s="67" t="n">
        <f aca="false">BA292-AZ292</f>
        <v>0</v>
      </c>
      <c r="BB295" s="67" t="n">
        <f aca="false">BB292-BA292</f>
        <v>0</v>
      </c>
      <c r="BC295" s="67" t="n">
        <f aca="false">BC292-BB292</f>
        <v>0</v>
      </c>
      <c r="BD295" s="67" t="n">
        <f aca="false">BD292-BC292</f>
        <v>0</v>
      </c>
      <c r="BE295" s="67" t="n">
        <f aca="false">BE292-BD292</f>
        <v>0</v>
      </c>
      <c r="BF295" s="67" t="n">
        <f aca="false">BF292-BE292</f>
        <v>0</v>
      </c>
      <c r="BG295" s="67" t="n">
        <f aca="false">BG292-BF292</f>
        <v>0</v>
      </c>
      <c r="BH295" s="67" t="n">
        <f aca="false">BH292-BG292</f>
        <v>0</v>
      </c>
      <c r="BI295" s="67" t="n">
        <f aca="false">BI292-BH292</f>
        <v>5971.96634011329</v>
      </c>
      <c r="BJ295" s="67" t="n">
        <f aca="false">BJ292-BI292</f>
        <v>0</v>
      </c>
    </row>
    <row r="297" customFormat="false" ht="15.75" hidden="false" customHeight="true" outlineLevel="0" collapsed="false">
      <c r="A297" s="7" t="s">
        <v>422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customFormat="false" ht="15" hidden="false" customHeight="false" outlineLevel="0" collapsed="false">
      <c r="A298" s="4" t="s">
        <v>52</v>
      </c>
      <c r="C298" s="73" t="n">
        <f aca="false">C274-C279+C293+C294+C295</f>
        <v>-4391.03785245162</v>
      </c>
      <c r="D298" s="73" t="n">
        <f aca="false">D274-D279+D293+D294+D295</f>
        <v>19762.7923438566</v>
      </c>
      <c r="E298" s="73" t="n">
        <f aca="false">E274-E279+E293+E294+E295</f>
        <v>20933.170551742</v>
      </c>
      <c r="F298" s="73" t="n">
        <f aca="false">F274-F279+F293+F294+F295</f>
        <v>20940.6316628531</v>
      </c>
      <c r="G298" s="73" t="n">
        <f aca="false">G274-G279+G293+G294+G295</f>
        <v>20948.0927739642</v>
      </c>
      <c r="H298" s="73" t="n">
        <f aca="false">H274-H279+H293+H294+H295</f>
        <v>20955.5538850753</v>
      </c>
      <c r="I298" s="73" t="n">
        <f aca="false">I274-I279+I293+I294+I295</f>
        <v>20963.0149961864</v>
      </c>
      <c r="J298" s="73" t="n">
        <f aca="false">J274-J279+J293+J294+J295</f>
        <v>20970.4761072975</v>
      </c>
      <c r="K298" s="73" t="n">
        <f aca="false">K274-K279+K293+K294+K295</f>
        <v>20977.9372184086</v>
      </c>
      <c r="L298" s="73" t="n">
        <f aca="false">L274-L279+L293+L294+L295</f>
        <v>20985.3983295197</v>
      </c>
      <c r="M298" s="73" t="n">
        <f aca="false">M274-M279+M293+M294+M295</f>
        <v>30532.8980140502</v>
      </c>
      <c r="N298" s="73" t="n">
        <f aca="false">N274-N279+N293+N294+N295</f>
        <v>34678.3003896774</v>
      </c>
      <c r="O298" s="73" t="n">
        <f aca="false">O274-O279+O293+O294+O295</f>
        <v>28748.1606020675</v>
      </c>
      <c r="P298" s="73" t="n">
        <f aca="false">P274-P279+P293+P294+P295</f>
        <v>27385.2517886711</v>
      </c>
      <c r="Q298" s="73" t="n">
        <f aca="false">Q274-Q279+Q293+Q294+Q295</f>
        <v>27395.6295664489</v>
      </c>
      <c r="R298" s="73" t="n">
        <f aca="false">R274-R279+R293+R294+R295</f>
        <v>27406.0073442266</v>
      </c>
      <c r="S298" s="73" t="n">
        <f aca="false">S274-S279+S293+S294+S295</f>
        <v>27416.3851220044</v>
      </c>
      <c r="T298" s="73" t="n">
        <f aca="false">T274-T279+T293+T294+T295</f>
        <v>27426.7628997822</v>
      </c>
      <c r="U298" s="73" t="n">
        <f aca="false">U274-U279+U293+U294+U295</f>
        <v>27437.14067756</v>
      </c>
      <c r="V298" s="73" t="n">
        <f aca="false">V274-V279+V293+V294+V295</f>
        <v>27447.5184553377</v>
      </c>
      <c r="W298" s="73" t="n">
        <f aca="false">W274-W279+W293+W294+W295</f>
        <v>27457.8962331155</v>
      </c>
      <c r="X298" s="73" t="n">
        <f aca="false">X274-X279+X293+X294+X295</f>
        <v>27468.2740108933</v>
      </c>
      <c r="Y298" s="73" t="n">
        <f aca="false">Y274-Y279+Y293+Y294+Y295</f>
        <v>37896.373910845</v>
      </c>
      <c r="Z298" s="73" t="n">
        <f aca="false">Z274-Z279+Z293+Z294+Z295</f>
        <v>42425.3835494744</v>
      </c>
      <c r="AA298" s="73" t="n">
        <f aca="false">AA274-AA279+AA293+AA294+AA295</f>
        <v>36354.6629835349</v>
      </c>
      <c r="AB298" s="73" t="n">
        <f aca="false">AB274-AB279+AB293+AB294+AB295</f>
        <v>35007.4842814976</v>
      </c>
      <c r="AC298" s="73" t="n">
        <f aca="false">AC274-AC279+AC293+AC294+AC295</f>
        <v>35017.8620592754</v>
      </c>
      <c r="AD298" s="73" t="n">
        <f aca="false">AD274-AD279+AD293+AD294+AD295</f>
        <v>35028.2398370532</v>
      </c>
      <c r="AE298" s="73" t="n">
        <f aca="false">AE274-AE279+AE293+AE294+AE295</f>
        <v>35038.617614831</v>
      </c>
      <c r="AF298" s="73" t="n">
        <f aca="false">AF274-AF279+AF293+AF294+AF295</f>
        <v>35048.9953926088</v>
      </c>
      <c r="AG298" s="73" t="n">
        <f aca="false">AG274-AG279+AG293+AG294+AG295</f>
        <v>35059.3731703865</v>
      </c>
      <c r="AH298" s="73" t="n">
        <f aca="false">AH274-AH279+AH293+AH294+AH295</f>
        <v>35069.7509481643</v>
      </c>
      <c r="AI298" s="73" t="n">
        <f aca="false">AI274-AI279+AI293+AI294+AI295</f>
        <v>35080.1287259421</v>
      </c>
      <c r="AJ298" s="73" t="n">
        <f aca="false">AJ274-AJ279+AJ293+AJ294+AJ295</f>
        <v>35090.5065037199</v>
      </c>
      <c r="AK298" s="73" t="n">
        <f aca="false">AK274-AK279+AK293+AK294+AK295</f>
        <v>46477.0368389116</v>
      </c>
      <c r="AL298" s="73" t="n">
        <f aca="false">AL274-AL279+AL293+AL294+AL295</f>
        <v>51421.7606087394</v>
      </c>
      <c r="AM298" s="73" t="n">
        <f aca="false">AM274-AM279+AM293+AM294+AM295</f>
        <v>45280.3911177755</v>
      </c>
      <c r="AN298" s="73" t="n">
        <f aca="false">AN274-AN279+AN293+AN294+AN295</f>
        <v>43979.7134567495</v>
      </c>
      <c r="AO298" s="73" t="n">
        <f aca="false">AO274-AO279+AO293+AO294+AO295</f>
        <v>43990.0912345272</v>
      </c>
      <c r="AP298" s="73" t="n">
        <f aca="false">AP274-AP279+AP293+AP294+AP295</f>
        <v>44000.469012305</v>
      </c>
      <c r="AQ298" s="73" t="n">
        <f aca="false">AQ274-AQ279+AQ293+AQ294+AQ295</f>
        <v>44010.8467900828</v>
      </c>
      <c r="AR298" s="73" t="n">
        <f aca="false">AR274-AR279+AR293+AR294+AR295</f>
        <v>44021.2245678606</v>
      </c>
      <c r="AS298" s="73" t="n">
        <f aca="false">AS274-AS279+AS293+AS294+AS295</f>
        <v>44031.6023456383</v>
      </c>
      <c r="AT298" s="73" t="n">
        <f aca="false">AT274-AT279+AT293+AT294+AT295</f>
        <v>44041.9801234161</v>
      </c>
      <c r="AU298" s="73" t="n">
        <f aca="false">AU274-AU279+AU293+AU294+AU295</f>
        <v>44052.3579011939</v>
      </c>
      <c r="AV298" s="73" t="n">
        <f aca="false">AV274-AV279+AV293+AV294+AV295</f>
        <v>44062.7356789717</v>
      </c>
      <c r="AW298" s="73" t="n">
        <f aca="false">AW274-AW279+AW293+AW294+AW295</f>
        <v>56495.8720494455</v>
      </c>
      <c r="AX298" s="73" t="n">
        <f aca="false">AX274-AX279+AX293+AX294+AX295</f>
        <v>61894.5556505418</v>
      </c>
      <c r="AY298" s="73" t="n">
        <f aca="false">AY274-AY279+AY293+AY294+AY295</f>
        <v>55776.1557777757</v>
      </c>
      <c r="AZ298" s="73" t="n">
        <f aca="false">AZ274-AZ279+AZ293+AZ294+AZ295</f>
        <v>54561.6334368827</v>
      </c>
      <c r="BA298" s="73" t="n">
        <f aca="false">BA274-BA279+BA293+BA294+BA295</f>
        <v>54572.0112146604</v>
      </c>
      <c r="BB298" s="73" t="n">
        <f aca="false">BB274-BB279+BB293+BB294+BB295</f>
        <v>54582.3889924381</v>
      </c>
      <c r="BC298" s="73" t="n">
        <f aca="false">BC274-BC279+BC293+BC294+BC295</f>
        <v>54592.7667702159</v>
      </c>
      <c r="BD298" s="73" t="n">
        <f aca="false">BD274-BD279+BD293+BD294+BD295</f>
        <v>54603.1445479937</v>
      </c>
      <c r="BE298" s="73" t="n">
        <f aca="false">BE274-BE279+BE293+BE294+BE295</f>
        <v>54613.5223257715</v>
      </c>
      <c r="BF298" s="73" t="n">
        <f aca="false">BF274-BF279+BF293+BF294+BF295</f>
        <v>54623.9001035493</v>
      </c>
      <c r="BG298" s="73" t="n">
        <f aca="false">BG274-BG279+BG293+BG294+BG295</f>
        <v>54634.2778813271</v>
      </c>
      <c r="BH298" s="73" t="n">
        <f aca="false">BH274-BH279+BH293+BH294+BH295</f>
        <v>54644.6556591049</v>
      </c>
      <c r="BI298" s="73" t="n">
        <f aca="false">BI274-BI279+BI293+BI294+BI295</f>
        <v>68220.6858201067</v>
      </c>
      <c r="BJ298" s="73" t="n">
        <f aca="false">BJ274-BJ279+BJ293+BJ294+BJ295</f>
        <v>74115.0935569483</v>
      </c>
    </row>
    <row r="299" customFormat="false" ht="15" hidden="false" customHeight="false" outlineLevel="0" collapsed="false">
      <c r="A299" s="6" t="s">
        <v>423</v>
      </c>
      <c r="C299" s="67" t="n">
        <f aca="false">-C277</f>
        <v>-90000</v>
      </c>
      <c r="D299" s="67" t="n">
        <f aca="false">-D277</f>
        <v>-0</v>
      </c>
      <c r="E299" s="67" t="n">
        <f aca="false">-E277</f>
        <v>-0</v>
      </c>
      <c r="F299" s="67" t="n">
        <f aca="false">-F277</f>
        <v>-0</v>
      </c>
      <c r="G299" s="67" t="n">
        <f aca="false">-G277</f>
        <v>-0</v>
      </c>
      <c r="H299" s="67" t="n">
        <f aca="false">-H277</f>
        <v>-0</v>
      </c>
      <c r="I299" s="67" t="n">
        <f aca="false">-I277</f>
        <v>-0</v>
      </c>
      <c r="J299" s="67" t="n">
        <f aca="false">-J277</f>
        <v>-0</v>
      </c>
      <c r="K299" s="67" t="n">
        <f aca="false">-K277</f>
        <v>-0</v>
      </c>
      <c r="L299" s="67" t="n">
        <f aca="false">-L277</f>
        <v>-0</v>
      </c>
      <c r="M299" s="67" t="n">
        <f aca="false">-M277</f>
        <v>-0</v>
      </c>
      <c r="N299" s="67" t="n">
        <f aca="false">-N277</f>
        <v>-0</v>
      </c>
      <c r="O299" s="67" t="n">
        <f aca="false">-O277</f>
        <v>-1166.66666666667</v>
      </c>
      <c r="P299" s="67" t="n">
        <f aca="false">-P277</f>
        <v>-1166.66666666667</v>
      </c>
      <c r="Q299" s="67" t="n">
        <f aca="false">-Q277</f>
        <v>-1166.66666666667</v>
      </c>
      <c r="R299" s="67" t="n">
        <f aca="false">-R277</f>
        <v>-1166.66666666667</v>
      </c>
      <c r="S299" s="67" t="n">
        <f aca="false">-S277</f>
        <v>-1166.66666666667</v>
      </c>
      <c r="T299" s="67" t="n">
        <f aca="false">-T277</f>
        <v>-1166.66666666667</v>
      </c>
      <c r="U299" s="67" t="n">
        <f aca="false">-U277</f>
        <v>-1166.66666666667</v>
      </c>
      <c r="V299" s="67" t="n">
        <f aca="false">-V277</f>
        <v>-1166.66666666667</v>
      </c>
      <c r="W299" s="67" t="n">
        <f aca="false">-W277</f>
        <v>-1166.66666666667</v>
      </c>
      <c r="X299" s="67" t="n">
        <f aca="false">-X277</f>
        <v>-1166.66666666667</v>
      </c>
      <c r="Y299" s="67" t="n">
        <f aca="false">-Y277</f>
        <v>-1166.66666666667</v>
      </c>
      <c r="Z299" s="67" t="n">
        <f aca="false">-Z277</f>
        <v>-1166.66666666667</v>
      </c>
      <c r="AA299" s="67" t="n">
        <f aca="false">-AA277</f>
        <v>-1166.66666666667</v>
      </c>
      <c r="AB299" s="67" t="n">
        <f aca="false">-AB277</f>
        <v>-1166.66666666667</v>
      </c>
      <c r="AC299" s="67" t="n">
        <f aca="false">-AC277</f>
        <v>-1166.66666666667</v>
      </c>
      <c r="AD299" s="67" t="n">
        <f aca="false">-AD277</f>
        <v>-1166.66666666667</v>
      </c>
      <c r="AE299" s="67" t="n">
        <f aca="false">-AE277</f>
        <v>-1166.66666666667</v>
      </c>
      <c r="AF299" s="67" t="n">
        <f aca="false">-AF277</f>
        <v>-1166.66666666667</v>
      </c>
      <c r="AG299" s="67" t="n">
        <f aca="false">-AG277</f>
        <v>-1166.66666666667</v>
      </c>
      <c r="AH299" s="67" t="n">
        <f aca="false">-AH277</f>
        <v>-1166.66666666667</v>
      </c>
      <c r="AI299" s="67" t="n">
        <f aca="false">-AI277</f>
        <v>-1166.66666666667</v>
      </c>
      <c r="AJ299" s="67" t="n">
        <f aca="false">-AJ277</f>
        <v>-1166.66666666667</v>
      </c>
      <c r="AK299" s="67" t="n">
        <f aca="false">-AK277</f>
        <v>-1166.66666666667</v>
      </c>
      <c r="AL299" s="67" t="n">
        <f aca="false">-AL277</f>
        <v>-1166.66666666667</v>
      </c>
      <c r="AM299" s="67" t="n">
        <f aca="false">-AM277</f>
        <v>-1166.66666666667</v>
      </c>
      <c r="AN299" s="67" t="n">
        <f aca="false">-AN277</f>
        <v>-1166.66666666667</v>
      </c>
      <c r="AO299" s="67" t="n">
        <f aca="false">-AO277</f>
        <v>-1166.66666666667</v>
      </c>
      <c r="AP299" s="67" t="n">
        <f aca="false">-AP277</f>
        <v>-1166.66666666667</v>
      </c>
      <c r="AQ299" s="67" t="n">
        <f aca="false">-AQ277</f>
        <v>-1166.66666666667</v>
      </c>
      <c r="AR299" s="67" t="n">
        <f aca="false">-AR277</f>
        <v>-1166.66666666667</v>
      </c>
      <c r="AS299" s="67" t="n">
        <f aca="false">-AS277</f>
        <v>-1166.66666666667</v>
      </c>
      <c r="AT299" s="67" t="n">
        <f aca="false">-AT277</f>
        <v>-1166.66666666667</v>
      </c>
      <c r="AU299" s="67" t="n">
        <f aca="false">-AU277</f>
        <v>-1166.66666666667</v>
      </c>
      <c r="AV299" s="67" t="n">
        <f aca="false">-AV277</f>
        <v>-1166.66666666667</v>
      </c>
      <c r="AW299" s="67" t="n">
        <f aca="false">-AW277</f>
        <v>-1166.66666666667</v>
      </c>
      <c r="AX299" s="67" t="n">
        <f aca="false">-AX277</f>
        <v>-1166.66666666667</v>
      </c>
      <c r="AY299" s="67" t="n">
        <f aca="false">-AY277</f>
        <v>-1166.66666666667</v>
      </c>
      <c r="AZ299" s="67" t="n">
        <f aca="false">-AZ277</f>
        <v>-1166.66666666667</v>
      </c>
      <c r="BA299" s="67" t="n">
        <f aca="false">-BA277</f>
        <v>-1166.66666666667</v>
      </c>
      <c r="BB299" s="67" t="n">
        <f aca="false">-BB277</f>
        <v>-1166.66666666667</v>
      </c>
      <c r="BC299" s="67" t="n">
        <f aca="false">-BC277</f>
        <v>-1166.66666666667</v>
      </c>
      <c r="BD299" s="67" t="n">
        <f aca="false">-BD277</f>
        <v>-1166.66666666667</v>
      </c>
      <c r="BE299" s="67" t="n">
        <f aca="false">-BE277</f>
        <v>-1166.66666666667</v>
      </c>
      <c r="BF299" s="67" t="n">
        <f aca="false">-BF277</f>
        <v>-1166.66666666667</v>
      </c>
      <c r="BG299" s="67" t="n">
        <f aca="false">-BG277</f>
        <v>-1166.66666666667</v>
      </c>
      <c r="BH299" s="67" t="n">
        <f aca="false">-BH277</f>
        <v>-1166.66666666667</v>
      </c>
      <c r="BI299" s="67" t="n">
        <f aca="false">-BI277</f>
        <v>-1166.66666666667</v>
      </c>
      <c r="BJ299" s="67" t="n">
        <f aca="false">-BJ277</f>
        <v>-1166.66666666667</v>
      </c>
    </row>
    <row r="300" customFormat="false" ht="15" hidden="false" customHeight="false" outlineLevel="0" collapsed="false">
      <c r="A300" s="6" t="s">
        <v>64</v>
      </c>
      <c r="C300" s="67" t="n">
        <f aca="false">IF(C$228=1,Inputs!$D$58,0)</f>
        <v>60000</v>
      </c>
      <c r="D300" s="67" t="n">
        <f aca="false">IF(D$228=1,Inputs!$D$58,0)</f>
        <v>0</v>
      </c>
      <c r="E300" s="67" t="n">
        <f aca="false">IF(E$228=1,Inputs!$D$58,0)</f>
        <v>0</v>
      </c>
      <c r="F300" s="67" t="n">
        <f aca="false">IF(F$228=1,Inputs!$D$58,0)</f>
        <v>0</v>
      </c>
      <c r="G300" s="67" t="n">
        <f aca="false">IF(G$228=1,Inputs!$D$58,0)</f>
        <v>0</v>
      </c>
      <c r="H300" s="67" t="n">
        <f aca="false">IF(H$228=1,Inputs!$D$58,0)</f>
        <v>0</v>
      </c>
      <c r="I300" s="67" t="n">
        <f aca="false">IF(I$228=1,Inputs!$D$58,0)</f>
        <v>0</v>
      </c>
      <c r="J300" s="67" t="n">
        <f aca="false">IF(J$228=1,Inputs!$D$58,0)</f>
        <v>0</v>
      </c>
      <c r="K300" s="67" t="n">
        <f aca="false">IF(K$228=1,Inputs!$D$58,0)</f>
        <v>0</v>
      </c>
      <c r="L300" s="67" t="n">
        <f aca="false">IF(L$228=1,Inputs!$D$58,0)</f>
        <v>0</v>
      </c>
      <c r="M300" s="67" t="n">
        <f aca="false">IF(M$228=1,Inputs!$D$58,0)</f>
        <v>0</v>
      </c>
      <c r="N300" s="67" t="n">
        <f aca="false">IF(N$228=1,Inputs!$D$58,0)</f>
        <v>0</v>
      </c>
      <c r="O300" s="67" t="n">
        <f aca="false">IF(O$228=1,Inputs!$D$58,0)</f>
        <v>0</v>
      </c>
      <c r="P300" s="67" t="n">
        <f aca="false">IF(P$228=1,Inputs!$D$58,0)</f>
        <v>0</v>
      </c>
      <c r="Q300" s="67" t="n">
        <f aca="false">IF(Q$228=1,Inputs!$D$58,0)</f>
        <v>0</v>
      </c>
      <c r="R300" s="67" t="n">
        <f aca="false">IF(R$228=1,Inputs!$D$58,0)</f>
        <v>0</v>
      </c>
      <c r="S300" s="67" t="n">
        <f aca="false">IF(S$228=1,Inputs!$D$58,0)</f>
        <v>0</v>
      </c>
      <c r="T300" s="67" t="n">
        <f aca="false">IF(T$228=1,Inputs!$D$58,0)</f>
        <v>0</v>
      </c>
      <c r="U300" s="67" t="n">
        <f aca="false">IF(U$228=1,Inputs!$D$58,0)</f>
        <v>0</v>
      </c>
      <c r="V300" s="67" t="n">
        <f aca="false">IF(V$228=1,Inputs!$D$58,0)</f>
        <v>0</v>
      </c>
      <c r="W300" s="67" t="n">
        <f aca="false">IF(W$228=1,Inputs!$D$58,0)</f>
        <v>0</v>
      </c>
      <c r="X300" s="67" t="n">
        <f aca="false">IF(X$228=1,Inputs!$D$58,0)</f>
        <v>0</v>
      </c>
      <c r="Y300" s="67" t="n">
        <f aca="false">IF(Y$228=1,Inputs!$D$58,0)</f>
        <v>0</v>
      </c>
      <c r="Z300" s="67" t="n">
        <f aca="false">IF(Z$228=1,Inputs!$D$58,0)</f>
        <v>0</v>
      </c>
      <c r="AA300" s="67" t="n">
        <f aca="false">IF(AA$228=1,Inputs!$D$58,0)</f>
        <v>0</v>
      </c>
      <c r="AB300" s="67" t="n">
        <f aca="false">IF(AB$228=1,Inputs!$D$58,0)</f>
        <v>0</v>
      </c>
      <c r="AC300" s="67" t="n">
        <f aca="false">IF(AC$228=1,Inputs!$D$58,0)</f>
        <v>0</v>
      </c>
      <c r="AD300" s="67" t="n">
        <f aca="false">IF(AD$228=1,Inputs!$D$58,0)</f>
        <v>0</v>
      </c>
      <c r="AE300" s="67" t="n">
        <f aca="false">IF(AE$228=1,Inputs!$D$58,0)</f>
        <v>0</v>
      </c>
      <c r="AF300" s="67" t="n">
        <f aca="false">IF(AF$228=1,Inputs!$D$58,0)</f>
        <v>0</v>
      </c>
      <c r="AG300" s="67" t="n">
        <f aca="false">IF(AG$228=1,Inputs!$D$58,0)</f>
        <v>0</v>
      </c>
      <c r="AH300" s="67" t="n">
        <f aca="false">IF(AH$228=1,Inputs!$D$58,0)</f>
        <v>0</v>
      </c>
      <c r="AI300" s="67" t="n">
        <f aca="false">IF(AI$228=1,Inputs!$D$58,0)</f>
        <v>0</v>
      </c>
      <c r="AJ300" s="67" t="n">
        <f aca="false">IF(AJ$228=1,Inputs!$D$58,0)</f>
        <v>0</v>
      </c>
      <c r="AK300" s="67" t="n">
        <f aca="false">IF(AK$228=1,Inputs!$D$58,0)</f>
        <v>0</v>
      </c>
      <c r="AL300" s="67" t="n">
        <f aca="false">IF(AL$228=1,Inputs!$D$58,0)</f>
        <v>0</v>
      </c>
      <c r="AM300" s="67" t="n">
        <f aca="false">IF(AM$228=1,Inputs!$D$58,0)</f>
        <v>0</v>
      </c>
      <c r="AN300" s="67" t="n">
        <f aca="false">IF(AN$228=1,Inputs!$D$58,0)</f>
        <v>0</v>
      </c>
      <c r="AO300" s="67" t="n">
        <f aca="false">IF(AO$228=1,Inputs!$D$58,0)</f>
        <v>0</v>
      </c>
      <c r="AP300" s="67" t="n">
        <f aca="false">IF(AP$228=1,Inputs!$D$58,0)</f>
        <v>0</v>
      </c>
      <c r="AQ300" s="67" t="n">
        <f aca="false">IF(AQ$228=1,Inputs!$D$58,0)</f>
        <v>0</v>
      </c>
      <c r="AR300" s="67" t="n">
        <f aca="false">IF(AR$228=1,Inputs!$D$58,0)</f>
        <v>0</v>
      </c>
      <c r="AS300" s="67" t="n">
        <f aca="false">IF(AS$228=1,Inputs!$D$58,0)</f>
        <v>0</v>
      </c>
      <c r="AT300" s="67" t="n">
        <f aca="false">IF(AT$228=1,Inputs!$D$58,0)</f>
        <v>0</v>
      </c>
      <c r="AU300" s="67" t="n">
        <f aca="false">IF(AU$228=1,Inputs!$D$58,0)</f>
        <v>0</v>
      </c>
      <c r="AV300" s="67" t="n">
        <f aca="false">IF(AV$228=1,Inputs!$D$58,0)</f>
        <v>0</v>
      </c>
      <c r="AW300" s="67" t="n">
        <f aca="false">IF(AW$228=1,Inputs!$D$58,0)</f>
        <v>0</v>
      </c>
      <c r="AX300" s="67" t="n">
        <f aca="false">IF(AX$228=1,Inputs!$D$58,0)</f>
        <v>0</v>
      </c>
      <c r="AY300" s="67" t="n">
        <f aca="false">IF(AY$228=1,Inputs!$D$58,0)</f>
        <v>0</v>
      </c>
      <c r="AZ300" s="67" t="n">
        <f aca="false">IF(AZ$228=1,Inputs!$D$58,0)</f>
        <v>0</v>
      </c>
      <c r="BA300" s="67" t="n">
        <f aca="false">IF(BA$228=1,Inputs!$D$58,0)</f>
        <v>0</v>
      </c>
      <c r="BB300" s="67" t="n">
        <f aca="false">IF(BB$228=1,Inputs!$D$58,0)</f>
        <v>0</v>
      </c>
      <c r="BC300" s="67" t="n">
        <f aca="false">IF(BC$228=1,Inputs!$D$58,0)</f>
        <v>0</v>
      </c>
      <c r="BD300" s="67" t="n">
        <f aca="false">IF(BD$228=1,Inputs!$D$58,0)</f>
        <v>0</v>
      </c>
      <c r="BE300" s="67" t="n">
        <f aca="false">IF(BE$228=1,Inputs!$D$58,0)</f>
        <v>0</v>
      </c>
      <c r="BF300" s="67" t="n">
        <f aca="false">IF(BF$228=1,Inputs!$D$58,0)</f>
        <v>0</v>
      </c>
      <c r="BG300" s="67" t="n">
        <f aca="false">IF(BG$228=1,Inputs!$D$58,0)</f>
        <v>0</v>
      </c>
      <c r="BH300" s="67" t="n">
        <f aca="false">IF(BH$228=1,Inputs!$D$58,0)</f>
        <v>0</v>
      </c>
      <c r="BI300" s="67" t="n">
        <f aca="false">IF(BI$228=1,Inputs!$D$58,0)</f>
        <v>0</v>
      </c>
      <c r="BJ300" s="67" t="n">
        <f aca="false">IF(BJ$228=1,Inputs!$D$58,0)</f>
        <v>0</v>
      </c>
    </row>
    <row r="301" customFormat="false" ht="15" hidden="false" customHeight="false" outlineLevel="0" collapsed="false">
      <c r="A301" s="6" t="s">
        <v>54</v>
      </c>
      <c r="C301" s="67" t="n">
        <f aca="false">C300+C285+C286</f>
        <v>140000</v>
      </c>
      <c r="D301" s="67" t="n">
        <f aca="false">D300+D285+D286</f>
        <v>-1333.33333333333</v>
      </c>
      <c r="E301" s="67" t="n">
        <f aca="false">E300+E285+E286</f>
        <v>-1333.33333333333</v>
      </c>
      <c r="F301" s="67" t="n">
        <f aca="false">F300+F285+F286</f>
        <v>-1333.33333333333</v>
      </c>
      <c r="G301" s="67" t="n">
        <f aca="false">G300+G285+G286</f>
        <v>-1333.33333333333</v>
      </c>
      <c r="H301" s="67" t="n">
        <f aca="false">H300+H285+H286</f>
        <v>-1333.33333333333</v>
      </c>
      <c r="I301" s="67" t="n">
        <f aca="false">I300+I285+I286</f>
        <v>-1333.33333333333</v>
      </c>
      <c r="J301" s="67" t="n">
        <f aca="false">J300+J285+J286</f>
        <v>-1333.33333333333</v>
      </c>
      <c r="K301" s="67" t="n">
        <f aca="false">K300+K285+K286</f>
        <v>-1333.33333333333</v>
      </c>
      <c r="L301" s="67" t="n">
        <f aca="false">L300+L285+L286</f>
        <v>-1333.33333333333</v>
      </c>
      <c r="M301" s="67" t="n">
        <f aca="false">M300+M285+M286</f>
        <v>-1333.33333333333</v>
      </c>
      <c r="N301" s="67" t="n">
        <f aca="false">N300+N285+N286</f>
        <v>-1333.33333333333</v>
      </c>
      <c r="O301" s="67" t="n">
        <f aca="false">O300+O285+O286</f>
        <v>-1333.33333333333</v>
      </c>
      <c r="P301" s="67" t="n">
        <f aca="false">P300+P285+P286</f>
        <v>-1333.33333333333</v>
      </c>
      <c r="Q301" s="67" t="n">
        <f aca="false">Q300+Q285+Q286</f>
        <v>-1333.33333333333</v>
      </c>
      <c r="R301" s="67" t="n">
        <f aca="false">R300+R285+R286</f>
        <v>-1333.33333333333</v>
      </c>
      <c r="S301" s="67" t="n">
        <f aca="false">S300+S285+S286</f>
        <v>-1333.33333333333</v>
      </c>
      <c r="T301" s="67" t="n">
        <f aca="false">T300+T285+T286</f>
        <v>-1333.33333333333</v>
      </c>
      <c r="U301" s="67" t="n">
        <f aca="false">U300+U285+U286</f>
        <v>-1333.33333333333</v>
      </c>
      <c r="V301" s="67" t="n">
        <f aca="false">V300+V285+V286</f>
        <v>-1333.33333333333</v>
      </c>
      <c r="W301" s="67" t="n">
        <f aca="false">W300+W285+W286</f>
        <v>-1333.33333333333</v>
      </c>
      <c r="X301" s="67" t="n">
        <f aca="false">X300+X285+X286</f>
        <v>-1333.33333333333</v>
      </c>
      <c r="Y301" s="67" t="n">
        <f aca="false">Y300+Y285+Y286</f>
        <v>-1333.33333333333</v>
      </c>
      <c r="Z301" s="67" t="n">
        <f aca="false">Z300+Z285+Z286</f>
        <v>-1333.33333333333</v>
      </c>
      <c r="AA301" s="67" t="n">
        <f aca="false">AA300+AA285+AA286</f>
        <v>-1333.33333333333</v>
      </c>
      <c r="AB301" s="67" t="n">
        <f aca="false">AB300+AB285+AB286</f>
        <v>-1333.33333333333</v>
      </c>
      <c r="AC301" s="67" t="n">
        <f aca="false">AC300+AC285+AC286</f>
        <v>-1333.33333333333</v>
      </c>
      <c r="AD301" s="67" t="n">
        <f aca="false">AD300+AD285+AD286</f>
        <v>-1333.33333333333</v>
      </c>
      <c r="AE301" s="67" t="n">
        <f aca="false">AE300+AE285+AE286</f>
        <v>-1333.33333333333</v>
      </c>
      <c r="AF301" s="67" t="n">
        <f aca="false">AF300+AF285+AF286</f>
        <v>-1333.33333333333</v>
      </c>
      <c r="AG301" s="67" t="n">
        <f aca="false">AG300+AG285+AG286</f>
        <v>-1333.33333333333</v>
      </c>
      <c r="AH301" s="67" t="n">
        <f aca="false">AH300+AH285+AH286</f>
        <v>-1333.33333333333</v>
      </c>
      <c r="AI301" s="67" t="n">
        <f aca="false">AI300+AI285+AI286</f>
        <v>-1333.33333333333</v>
      </c>
      <c r="AJ301" s="67" t="n">
        <f aca="false">AJ300+AJ285+AJ286</f>
        <v>-1333.33333333333</v>
      </c>
      <c r="AK301" s="67" t="n">
        <f aca="false">AK300+AK285+AK286</f>
        <v>-1333.33333333333</v>
      </c>
      <c r="AL301" s="67" t="n">
        <f aca="false">AL300+AL285+AL286</f>
        <v>-1333.33333333333</v>
      </c>
      <c r="AM301" s="67" t="n">
        <f aca="false">AM300+AM285+AM286</f>
        <v>-1333.33333333333</v>
      </c>
      <c r="AN301" s="67" t="n">
        <f aca="false">AN300+AN285+AN286</f>
        <v>-1333.33333333333</v>
      </c>
      <c r="AO301" s="67" t="n">
        <f aca="false">AO300+AO285+AO286</f>
        <v>-1333.33333333333</v>
      </c>
      <c r="AP301" s="67" t="n">
        <f aca="false">AP300+AP285+AP286</f>
        <v>-1333.33333333333</v>
      </c>
      <c r="AQ301" s="67" t="n">
        <f aca="false">AQ300+AQ285+AQ286</f>
        <v>-1333.33333333333</v>
      </c>
      <c r="AR301" s="67" t="n">
        <f aca="false">AR300+AR285+AR286</f>
        <v>-1333.33333333333</v>
      </c>
      <c r="AS301" s="67" t="n">
        <f aca="false">AS300+AS285+AS286</f>
        <v>-1333.33333333333</v>
      </c>
      <c r="AT301" s="67" t="n">
        <f aca="false">AT300+AT285+AT286</f>
        <v>-1333.33333333333</v>
      </c>
      <c r="AU301" s="67" t="n">
        <f aca="false">AU300+AU285+AU286</f>
        <v>-1333.33333333333</v>
      </c>
      <c r="AV301" s="67" t="n">
        <f aca="false">AV300+AV285+AV286</f>
        <v>-1333.33333333333</v>
      </c>
      <c r="AW301" s="67" t="n">
        <f aca="false">AW300+AW285+AW286</f>
        <v>-1333.33333333333</v>
      </c>
      <c r="AX301" s="67" t="n">
        <f aca="false">AX300+AX285+AX286</f>
        <v>-1333.33333333333</v>
      </c>
      <c r="AY301" s="67" t="n">
        <f aca="false">AY300+AY285+AY286</f>
        <v>-1333.33333333333</v>
      </c>
      <c r="AZ301" s="67" t="n">
        <f aca="false">AZ300+AZ285+AZ286</f>
        <v>-1333.33333333333</v>
      </c>
      <c r="BA301" s="67" t="n">
        <f aca="false">BA300+BA285+BA286</f>
        <v>-1333.33333333333</v>
      </c>
      <c r="BB301" s="67" t="n">
        <f aca="false">BB300+BB285+BB286</f>
        <v>-1333.33333333333</v>
      </c>
      <c r="BC301" s="67" t="n">
        <f aca="false">BC300+BC285+BC286</f>
        <v>-1333.33333333333</v>
      </c>
      <c r="BD301" s="67" t="n">
        <f aca="false">BD300+BD285+BD286</f>
        <v>-1333.33333333333</v>
      </c>
      <c r="BE301" s="67" t="n">
        <f aca="false">BE300+BE285+BE286</f>
        <v>-1333.33333333333</v>
      </c>
      <c r="BF301" s="67" t="n">
        <f aca="false">BF300+BF285+BF286</f>
        <v>-1333.33333333333</v>
      </c>
      <c r="BG301" s="67" t="n">
        <f aca="false">BG300+BG285+BG286</f>
        <v>-1333.33333333333</v>
      </c>
      <c r="BH301" s="67" t="n">
        <f aca="false">BH300+BH285+BH286</f>
        <v>-1333.33333333333</v>
      </c>
      <c r="BI301" s="67" t="n">
        <f aca="false">BI300+BI285+BI286</f>
        <v>-1333.33333333333</v>
      </c>
      <c r="BJ301" s="67" t="n">
        <f aca="false">BJ300+BJ285+BJ286</f>
        <v>-1333.33333333333</v>
      </c>
    </row>
    <row r="302" customFormat="false" ht="15" hidden="false" customHeight="false" outlineLevel="0" collapsed="false">
      <c r="A302" s="115" t="s">
        <v>424</v>
      </c>
      <c r="C302" s="68" t="n">
        <f aca="false">C298+C299+C301</f>
        <v>45608.9621475484</v>
      </c>
      <c r="D302" s="68" t="n">
        <f aca="false">D298+D299+D301</f>
        <v>18429.4590105233</v>
      </c>
      <c r="E302" s="68" t="n">
        <f aca="false">E298+E299+E301</f>
        <v>19599.8372184086</v>
      </c>
      <c r="F302" s="68" t="n">
        <f aca="false">F298+F299+F301</f>
        <v>19607.2983295197</v>
      </c>
      <c r="G302" s="68" t="n">
        <f aca="false">G298+G299+G301</f>
        <v>19614.7594406308</v>
      </c>
      <c r="H302" s="68" t="n">
        <f aca="false">H298+H299+H301</f>
        <v>19622.220551742</v>
      </c>
      <c r="I302" s="68" t="n">
        <f aca="false">I298+I299+I301</f>
        <v>19629.6816628531</v>
      </c>
      <c r="J302" s="68" t="n">
        <f aca="false">J298+J299+J301</f>
        <v>19637.1427739642</v>
      </c>
      <c r="K302" s="68" t="n">
        <f aca="false">K298+K299+K301</f>
        <v>19644.6038850753</v>
      </c>
      <c r="L302" s="68" t="n">
        <f aca="false">L298+L299+L301</f>
        <v>19652.0649961864</v>
      </c>
      <c r="M302" s="68" t="n">
        <f aca="false">M298+M299+M301</f>
        <v>29199.5646807169</v>
      </c>
      <c r="N302" s="68" t="n">
        <f aca="false">N298+N299+N301</f>
        <v>33344.9670563441</v>
      </c>
      <c r="O302" s="68" t="n">
        <f aca="false">O298+O299+O301</f>
        <v>26248.1606020675</v>
      </c>
      <c r="P302" s="68" t="n">
        <f aca="false">P298+P299+P301</f>
        <v>24885.2517886711</v>
      </c>
      <c r="Q302" s="68" t="n">
        <f aca="false">Q298+Q299+Q301</f>
        <v>24895.6295664489</v>
      </c>
      <c r="R302" s="68" t="n">
        <f aca="false">R298+R299+R301</f>
        <v>24906.0073442266</v>
      </c>
      <c r="S302" s="68" t="n">
        <f aca="false">S298+S299+S301</f>
        <v>24916.3851220044</v>
      </c>
      <c r="T302" s="68" t="n">
        <f aca="false">T298+T299+T301</f>
        <v>24926.7628997822</v>
      </c>
      <c r="U302" s="68" t="n">
        <f aca="false">U298+U299+U301</f>
        <v>24937.14067756</v>
      </c>
      <c r="V302" s="68" t="n">
        <f aca="false">V298+V299+V301</f>
        <v>24947.5184553377</v>
      </c>
      <c r="W302" s="68" t="n">
        <f aca="false">W298+W299+W301</f>
        <v>24957.8962331155</v>
      </c>
      <c r="X302" s="68" t="n">
        <f aca="false">X298+X299+X301</f>
        <v>24968.2740108933</v>
      </c>
      <c r="Y302" s="68" t="n">
        <f aca="false">Y298+Y299+Y301</f>
        <v>35396.373910845</v>
      </c>
      <c r="Z302" s="68" t="n">
        <f aca="false">Z298+Z299+Z301</f>
        <v>39925.3835494744</v>
      </c>
      <c r="AA302" s="68" t="n">
        <f aca="false">AA298+AA299+AA301</f>
        <v>33854.6629835349</v>
      </c>
      <c r="AB302" s="68" t="n">
        <f aca="false">AB298+AB299+AB301</f>
        <v>32507.4842814976</v>
      </c>
      <c r="AC302" s="68" t="n">
        <f aca="false">AC298+AC299+AC301</f>
        <v>32517.8620592754</v>
      </c>
      <c r="AD302" s="68" t="n">
        <f aca="false">AD298+AD299+AD301</f>
        <v>32528.2398370532</v>
      </c>
      <c r="AE302" s="68" t="n">
        <f aca="false">AE298+AE299+AE301</f>
        <v>32538.617614831</v>
      </c>
      <c r="AF302" s="68" t="n">
        <f aca="false">AF298+AF299+AF301</f>
        <v>32548.9953926088</v>
      </c>
      <c r="AG302" s="68" t="n">
        <f aca="false">AG298+AG299+AG301</f>
        <v>32559.3731703865</v>
      </c>
      <c r="AH302" s="68" t="n">
        <f aca="false">AH298+AH299+AH301</f>
        <v>32569.7509481643</v>
      </c>
      <c r="AI302" s="68" t="n">
        <f aca="false">AI298+AI299+AI301</f>
        <v>32580.1287259421</v>
      </c>
      <c r="AJ302" s="68" t="n">
        <f aca="false">AJ298+AJ299+AJ301</f>
        <v>32590.5065037199</v>
      </c>
      <c r="AK302" s="68" t="n">
        <f aca="false">AK298+AK299+AK301</f>
        <v>43977.0368389116</v>
      </c>
      <c r="AL302" s="68" t="n">
        <f aca="false">AL298+AL299+AL301</f>
        <v>48921.7606087394</v>
      </c>
      <c r="AM302" s="68" t="n">
        <f aca="false">AM298+AM299+AM301</f>
        <v>42780.3911177755</v>
      </c>
      <c r="AN302" s="68" t="n">
        <f aca="false">AN298+AN299+AN301</f>
        <v>41479.7134567495</v>
      </c>
      <c r="AO302" s="68" t="n">
        <f aca="false">AO298+AO299+AO301</f>
        <v>41490.0912345272</v>
      </c>
      <c r="AP302" s="68" t="n">
        <f aca="false">AP298+AP299+AP301</f>
        <v>41500.469012305</v>
      </c>
      <c r="AQ302" s="68" t="n">
        <f aca="false">AQ298+AQ299+AQ301</f>
        <v>41510.8467900828</v>
      </c>
      <c r="AR302" s="68" t="n">
        <f aca="false">AR298+AR299+AR301</f>
        <v>41521.2245678606</v>
      </c>
      <c r="AS302" s="68" t="n">
        <f aca="false">AS298+AS299+AS301</f>
        <v>41531.6023456383</v>
      </c>
      <c r="AT302" s="68" t="n">
        <f aca="false">AT298+AT299+AT301</f>
        <v>41541.9801234161</v>
      </c>
      <c r="AU302" s="68" t="n">
        <f aca="false">AU298+AU299+AU301</f>
        <v>41552.3579011939</v>
      </c>
      <c r="AV302" s="68" t="n">
        <f aca="false">AV298+AV299+AV301</f>
        <v>41562.7356789717</v>
      </c>
      <c r="AW302" s="68" t="n">
        <f aca="false">AW298+AW299+AW301</f>
        <v>53995.8720494455</v>
      </c>
      <c r="AX302" s="68" t="n">
        <f aca="false">AX298+AX299+AX301</f>
        <v>59394.5556505418</v>
      </c>
      <c r="AY302" s="68" t="n">
        <f aca="false">AY298+AY299+AY301</f>
        <v>53276.1557777757</v>
      </c>
      <c r="AZ302" s="68" t="n">
        <f aca="false">AZ298+AZ299+AZ301</f>
        <v>52061.6334368827</v>
      </c>
      <c r="BA302" s="68" t="n">
        <f aca="false">BA298+BA299+BA301</f>
        <v>52072.0112146604</v>
      </c>
      <c r="BB302" s="68" t="n">
        <f aca="false">BB298+BB299+BB301</f>
        <v>52082.3889924381</v>
      </c>
      <c r="BC302" s="68" t="n">
        <f aca="false">BC298+BC299+BC301</f>
        <v>52092.7667702159</v>
      </c>
      <c r="BD302" s="68" t="n">
        <f aca="false">BD298+BD299+BD301</f>
        <v>52103.1445479937</v>
      </c>
      <c r="BE302" s="68" t="n">
        <f aca="false">BE298+BE299+BE301</f>
        <v>52113.5223257715</v>
      </c>
      <c r="BF302" s="68" t="n">
        <f aca="false">BF298+BF299+BF301</f>
        <v>52123.9001035493</v>
      </c>
      <c r="BG302" s="68" t="n">
        <f aca="false">BG298+BG299+BG301</f>
        <v>52134.2778813271</v>
      </c>
      <c r="BH302" s="68" t="n">
        <f aca="false">BH298+BH299+BH301</f>
        <v>52144.6556591049</v>
      </c>
      <c r="BI302" s="68" t="n">
        <f aca="false">BI298+BI299+BI301</f>
        <v>65720.6858201067</v>
      </c>
      <c r="BJ302" s="68" t="n">
        <f aca="false">BJ298+BJ299+BJ301</f>
        <v>71615.0935569483</v>
      </c>
    </row>
    <row r="303" customFormat="false" ht="15" hidden="false" customHeight="false" outlineLevel="0" collapsed="false">
      <c r="A303" s="6" t="s">
        <v>335</v>
      </c>
      <c r="C303" s="67" t="n">
        <f aca="false">0</f>
        <v>0</v>
      </c>
      <c r="D303" s="67" t="n">
        <f aca="false">C304</f>
        <v>45608.9621475484</v>
      </c>
      <c r="E303" s="67" t="n">
        <f aca="false">D304</f>
        <v>64038.4211580717</v>
      </c>
      <c r="F303" s="67" t="n">
        <f aca="false">E304</f>
        <v>83638.2583764803</v>
      </c>
      <c r="G303" s="67" t="n">
        <f aca="false">F304</f>
        <v>103245.556706</v>
      </c>
      <c r="H303" s="67" t="n">
        <f aca="false">G304</f>
        <v>122860.316146631</v>
      </c>
      <c r="I303" s="67" t="n">
        <f aca="false">H304</f>
        <v>142482.536698373</v>
      </c>
      <c r="J303" s="67" t="n">
        <f aca="false">I304</f>
        <v>162112.218361226</v>
      </c>
      <c r="K303" s="67" t="n">
        <f aca="false">J304</f>
        <v>181749.36113519</v>
      </c>
      <c r="L303" s="67" t="n">
        <f aca="false">K304</f>
        <v>201393.965020265</v>
      </c>
      <c r="M303" s="67" t="n">
        <f aca="false">L304</f>
        <v>221046.030016452</v>
      </c>
      <c r="N303" s="67" t="n">
        <f aca="false">M304</f>
        <v>250245.594697169</v>
      </c>
      <c r="O303" s="67" t="n">
        <f aca="false">N304</f>
        <v>283590.561753513</v>
      </c>
      <c r="P303" s="67" t="n">
        <f aca="false">O304</f>
        <v>309838.72235558</v>
      </c>
      <c r="Q303" s="67" t="n">
        <f aca="false">P304</f>
        <v>334723.974144251</v>
      </c>
      <c r="R303" s="67" t="n">
        <f aca="false">Q304</f>
        <v>359619.6037107</v>
      </c>
      <c r="S303" s="67" t="n">
        <f aca="false">R304</f>
        <v>384525.611054927</v>
      </c>
      <c r="T303" s="67" t="n">
        <f aca="false">S304</f>
        <v>409441.996176931</v>
      </c>
      <c r="U303" s="67" t="n">
        <f aca="false">T304</f>
        <v>434368.759076714</v>
      </c>
      <c r="V303" s="67" t="n">
        <f aca="false">U304</f>
        <v>459305.899754274</v>
      </c>
      <c r="W303" s="67" t="n">
        <f aca="false">V304</f>
        <v>484253.418209611</v>
      </c>
      <c r="X303" s="67" t="n">
        <f aca="false">W304</f>
        <v>509211.314442727</v>
      </c>
      <c r="Y303" s="67" t="n">
        <f aca="false">X304</f>
        <v>534179.58845362</v>
      </c>
      <c r="Z303" s="67" t="n">
        <f aca="false">Y304</f>
        <v>569575.962364465</v>
      </c>
      <c r="AA303" s="67" t="n">
        <f aca="false">Z304</f>
        <v>609501.34591394</v>
      </c>
      <c r="AB303" s="67" t="n">
        <f aca="false">AA304</f>
        <v>643356.008897474</v>
      </c>
      <c r="AC303" s="67" t="n">
        <f aca="false">AB304</f>
        <v>675863.493178972</v>
      </c>
      <c r="AD303" s="67" t="n">
        <f aca="false">AC304</f>
        <v>708381.355238247</v>
      </c>
      <c r="AE303" s="67" t="n">
        <f aca="false">AD304</f>
        <v>740909.595075301</v>
      </c>
      <c r="AF303" s="67" t="n">
        <f aca="false">AE304</f>
        <v>773448.212690132</v>
      </c>
      <c r="AG303" s="67" t="n">
        <f aca="false">AF304</f>
        <v>805997.20808274</v>
      </c>
      <c r="AH303" s="67" t="n">
        <f aca="false">AG304</f>
        <v>838556.581253127</v>
      </c>
      <c r="AI303" s="67" t="n">
        <f aca="false">AH304</f>
        <v>871126.332201291</v>
      </c>
      <c r="AJ303" s="67" t="n">
        <f aca="false">AI304</f>
        <v>903706.460927233</v>
      </c>
      <c r="AK303" s="67" t="n">
        <f aca="false">AJ304</f>
        <v>936296.967430953</v>
      </c>
      <c r="AL303" s="67" t="n">
        <f aca="false">AK304</f>
        <v>980274.004269865</v>
      </c>
      <c r="AM303" s="67" t="n">
        <f aca="false">AL304</f>
        <v>1029195.7648786</v>
      </c>
      <c r="AN303" s="67" t="n">
        <f aca="false">AM304</f>
        <v>1071976.15599638</v>
      </c>
      <c r="AO303" s="67" t="n">
        <f aca="false">AN304</f>
        <v>1113455.86945313</v>
      </c>
      <c r="AP303" s="67" t="n">
        <f aca="false">AO304</f>
        <v>1154945.96068766</v>
      </c>
      <c r="AQ303" s="67" t="n">
        <f aca="false">AP304</f>
        <v>1196446.42969996</v>
      </c>
      <c r="AR303" s="67" t="n">
        <f aca="false">AQ304</f>
        <v>1237957.27649004</v>
      </c>
      <c r="AS303" s="67" t="n">
        <f aca="false">AR304</f>
        <v>1279478.5010579</v>
      </c>
      <c r="AT303" s="67" t="n">
        <f aca="false">AS304</f>
        <v>1321010.10340354</v>
      </c>
      <c r="AU303" s="67" t="n">
        <f aca="false">AT304</f>
        <v>1362552.08352696</v>
      </c>
      <c r="AV303" s="67" t="n">
        <f aca="false">AU304</f>
        <v>1404104.44142815</v>
      </c>
      <c r="AW303" s="67" t="n">
        <f aca="false">AV304</f>
        <v>1445667.17710712</v>
      </c>
      <c r="AX303" s="67" t="n">
        <f aca="false">AW304</f>
        <v>1499663.04915657</v>
      </c>
      <c r="AY303" s="67" t="n">
        <f aca="false">AX304</f>
        <v>1559057.60480711</v>
      </c>
      <c r="AZ303" s="67" t="n">
        <f aca="false">AY304</f>
        <v>1612333.76058489</v>
      </c>
      <c r="BA303" s="67" t="n">
        <f aca="false">AZ304</f>
        <v>1664395.39402177</v>
      </c>
      <c r="BB303" s="67" t="n">
        <f aca="false">BA304</f>
        <v>1716467.40523643</v>
      </c>
      <c r="BC303" s="67" t="n">
        <f aca="false">BB304</f>
        <v>1768549.79422887</v>
      </c>
      <c r="BD303" s="67" t="n">
        <f aca="false">BC304</f>
        <v>1820642.56099908</v>
      </c>
      <c r="BE303" s="67" t="n">
        <f aca="false">BD304</f>
        <v>1872745.70554708</v>
      </c>
      <c r="BF303" s="67" t="n">
        <f aca="false">BE304</f>
        <v>1924859.22787285</v>
      </c>
      <c r="BG303" s="67" t="n">
        <f aca="false">BF304</f>
        <v>1976983.1279764</v>
      </c>
      <c r="BH303" s="67" t="n">
        <f aca="false">BG304</f>
        <v>2029117.40585773</v>
      </c>
      <c r="BI303" s="67" t="n">
        <f aca="false">BH304</f>
        <v>2081262.06151683</v>
      </c>
      <c r="BJ303" s="67" t="n">
        <f aca="false">BI304</f>
        <v>2146982.74733694</v>
      </c>
    </row>
    <row r="304" customFormat="false" ht="15" hidden="false" customHeight="false" outlineLevel="0" collapsed="false">
      <c r="A304" s="115" t="s">
        <v>87</v>
      </c>
      <c r="C304" s="68" t="n">
        <f aca="false">C303+C302</f>
        <v>45608.9621475484</v>
      </c>
      <c r="D304" s="68" t="n">
        <f aca="false">D303+D302</f>
        <v>64038.4211580717</v>
      </c>
      <c r="E304" s="68" t="n">
        <f aca="false">E303+E302</f>
        <v>83638.2583764803</v>
      </c>
      <c r="F304" s="68" t="n">
        <f aca="false">F303+F302</f>
        <v>103245.556706</v>
      </c>
      <c r="G304" s="68" t="n">
        <f aca="false">G303+G302</f>
        <v>122860.316146631</v>
      </c>
      <c r="H304" s="68" t="n">
        <f aca="false">H303+H302</f>
        <v>142482.536698373</v>
      </c>
      <c r="I304" s="68" t="n">
        <f aca="false">I303+I302</f>
        <v>162112.218361226</v>
      </c>
      <c r="J304" s="68" t="n">
        <f aca="false">J303+J302</f>
        <v>181749.36113519</v>
      </c>
      <c r="K304" s="68" t="n">
        <f aca="false">K303+K302</f>
        <v>201393.965020265</v>
      </c>
      <c r="L304" s="68" t="n">
        <f aca="false">L303+L302</f>
        <v>221046.030016452</v>
      </c>
      <c r="M304" s="68" t="n">
        <f aca="false">M303+M302</f>
        <v>250245.594697169</v>
      </c>
      <c r="N304" s="68" t="n">
        <f aca="false">N303+N302</f>
        <v>283590.561753513</v>
      </c>
      <c r="O304" s="68" t="n">
        <f aca="false">O303+O302</f>
        <v>309838.72235558</v>
      </c>
      <c r="P304" s="68" t="n">
        <f aca="false">P303+P302</f>
        <v>334723.974144251</v>
      </c>
      <c r="Q304" s="68" t="n">
        <f aca="false">Q303+Q302</f>
        <v>359619.6037107</v>
      </c>
      <c r="R304" s="68" t="n">
        <f aca="false">R303+R302</f>
        <v>384525.611054927</v>
      </c>
      <c r="S304" s="68" t="n">
        <f aca="false">S303+S302</f>
        <v>409441.996176931</v>
      </c>
      <c r="T304" s="68" t="n">
        <f aca="false">T303+T302</f>
        <v>434368.759076714</v>
      </c>
      <c r="U304" s="68" t="n">
        <f aca="false">U303+U302</f>
        <v>459305.899754274</v>
      </c>
      <c r="V304" s="68" t="n">
        <f aca="false">V303+V302</f>
        <v>484253.418209611</v>
      </c>
      <c r="W304" s="68" t="n">
        <f aca="false">W303+W302</f>
        <v>509211.314442727</v>
      </c>
      <c r="X304" s="68" t="n">
        <f aca="false">X303+X302</f>
        <v>534179.58845362</v>
      </c>
      <c r="Y304" s="68" t="n">
        <f aca="false">Y303+Y302</f>
        <v>569575.962364465</v>
      </c>
      <c r="Z304" s="68" t="n">
        <f aca="false">Z303+Z302</f>
        <v>609501.34591394</v>
      </c>
      <c r="AA304" s="68" t="n">
        <f aca="false">AA303+AA302</f>
        <v>643356.008897474</v>
      </c>
      <c r="AB304" s="68" t="n">
        <f aca="false">AB303+AB302</f>
        <v>675863.493178972</v>
      </c>
      <c r="AC304" s="68" t="n">
        <f aca="false">AC303+AC302</f>
        <v>708381.355238247</v>
      </c>
      <c r="AD304" s="68" t="n">
        <f aca="false">AD303+AD302</f>
        <v>740909.595075301</v>
      </c>
      <c r="AE304" s="68" t="n">
        <f aca="false">AE303+AE302</f>
        <v>773448.212690132</v>
      </c>
      <c r="AF304" s="68" t="n">
        <f aca="false">AF303+AF302</f>
        <v>805997.20808274</v>
      </c>
      <c r="AG304" s="68" t="n">
        <f aca="false">AG303+AG302</f>
        <v>838556.581253127</v>
      </c>
      <c r="AH304" s="68" t="n">
        <f aca="false">AH303+AH302</f>
        <v>871126.332201291</v>
      </c>
      <c r="AI304" s="68" t="n">
        <f aca="false">AI303+AI302</f>
        <v>903706.460927233</v>
      </c>
      <c r="AJ304" s="68" t="n">
        <f aca="false">AJ303+AJ302</f>
        <v>936296.967430953</v>
      </c>
      <c r="AK304" s="68" t="n">
        <f aca="false">AK303+AK302</f>
        <v>980274.004269865</v>
      </c>
      <c r="AL304" s="68" t="n">
        <f aca="false">AL303+AL302</f>
        <v>1029195.7648786</v>
      </c>
      <c r="AM304" s="68" t="n">
        <f aca="false">AM303+AM302</f>
        <v>1071976.15599638</v>
      </c>
      <c r="AN304" s="68" t="n">
        <f aca="false">AN303+AN302</f>
        <v>1113455.86945313</v>
      </c>
      <c r="AO304" s="68" t="n">
        <f aca="false">AO303+AO302</f>
        <v>1154945.96068766</v>
      </c>
      <c r="AP304" s="68" t="n">
        <f aca="false">AP303+AP302</f>
        <v>1196446.42969996</v>
      </c>
      <c r="AQ304" s="68" t="n">
        <f aca="false">AQ303+AQ302</f>
        <v>1237957.27649004</v>
      </c>
      <c r="AR304" s="68" t="n">
        <f aca="false">AR303+AR302</f>
        <v>1279478.5010579</v>
      </c>
      <c r="AS304" s="68" t="n">
        <f aca="false">AS303+AS302</f>
        <v>1321010.10340354</v>
      </c>
      <c r="AT304" s="68" t="n">
        <f aca="false">AT303+AT302</f>
        <v>1362552.08352696</v>
      </c>
      <c r="AU304" s="68" t="n">
        <f aca="false">AU303+AU302</f>
        <v>1404104.44142815</v>
      </c>
      <c r="AV304" s="68" t="n">
        <f aca="false">AV303+AV302</f>
        <v>1445667.17710712</v>
      </c>
      <c r="AW304" s="68" t="n">
        <f aca="false">AW303+AW302</f>
        <v>1499663.04915657</v>
      </c>
      <c r="AX304" s="68" t="n">
        <f aca="false">AX303+AX302</f>
        <v>1559057.60480711</v>
      </c>
      <c r="AY304" s="68" t="n">
        <f aca="false">AY303+AY302</f>
        <v>1612333.76058489</v>
      </c>
      <c r="AZ304" s="68" t="n">
        <f aca="false">AZ303+AZ302</f>
        <v>1664395.39402177</v>
      </c>
      <c r="BA304" s="68" t="n">
        <f aca="false">BA303+BA302</f>
        <v>1716467.40523643</v>
      </c>
      <c r="BB304" s="68" t="n">
        <f aca="false">BB303+BB302</f>
        <v>1768549.79422887</v>
      </c>
      <c r="BC304" s="68" t="n">
        <f aca="false">BC303+BC302</f>
        <v>1820642.56099908</v>
      </c>
      <c r="BD304" s="68" t="n">
        <f aca="false">BD303+BD302</f>
        <v>1872745.70554708</v>
      </c>
      <c r="BE304" s="68" t="n">
        <f aca="false">BE303+BE302</f>
        <v>1924859.22787285</v>
      </c>
      <c r="BF304" s="68" t="n">
        <f aca="false">BF303+BF302</f>
        <v>1976983.1279764</v>
      </c>
      <c r="BG304" s="68" t="n">
        <f aca="false">BG303+BG302</f>
        <v>2029117.40585773</v>
      </c>
      <c r="BH304" s="68" t="n">
        <f aca="false">BH303+BH302</f>
        <v>2081262.06151683</v>
      </c>
      <c r="BI304" s="68" t="n">
        <f aca="false">BI303+BI302</f>
        <v>2146982.74733694</v>
      </c>
      <c r="BJ304" s="68" t="n">
        <f aca="false">BJ303+BJ302</f>
        <v>2218597.84089389</v>
      </c>
    </row>
    <row r="305" customFormat="false" ht="15" hidden="false" customHeight="false" outlineLevel="0" collapsed="false">
      <c r="A305" s="121" t="s">
        <v>425</v>
      </c>
      <c r="C305" s="119" t="n">
        <f aca="false">IF(C265&gt;0,1,0)</f>
        <v>1</v>
      </c>
      <c r="D305" s="119" t="n">
        <f aca="false">IF(D265&gt;0,1,0)</f>
        <v>1</v>
      </c>
      <c r="E305" s="119" t="n">
        <f aca="false">IF(E265&gt;0,1,0)</f>
        <v>1</v>
      </c>
      <c r="F305" s="119" t="n">
        <f aca="false">IF(F265&gt;0,1,0)</f>
        <v>1</v>
      </c>
      <c r="G305" s="119" t="n">
        <f aca="false">IF(G265&gt;0,1,0)</f>
        <v>1</v>
      </c>
      <c r="H305" s="119" t="n">
        <f aca="false">IF(H265&gt;0,1,0)</f>
        <v>1</v>
      </c>
      <c r="I305" s="119" t="n">
        <f aca="false">IF(I265&gt;0,1,0)</f>
        <v>1</v>
      </c>
      <c r="J305" s="119" t="n">
        <f aca="false">IF(J265&gt;0,1,0)</f>
        <v>1</v>
      </c>
      <c r="K305" s="119" t="n">
        <f aca="false">IF(K265&gt;0,1,0)</f>
        <v>1</v>
      </c>
      <c r="L305" s="119" t="n">
        <f aca="false">IF(L265&gt;0,1,0)</f>
        <v>1</v>
      </c>
      <c r="M305" s="119" t="n">
        <f aca="false">IF(M265&gt;0,1,0)</f>
        <v>1</v>
      </c>
      <c r="N305" s="119" t="n">
        <f aca="false">IF(N265&gt;0,1,0)</f>
        <v>1</v>
      </c>
      <c r="O305" s="119" t="n">
        <f aca="false">IF(O265&gt;0,1,0)</f>
        <v>1</v>
      </c>
      <c r="P305" s="119" t="n">
        <f aca="false">IF(P265&gt;0,1,0)</f>
        <v>1</v>
      </c>
      <c r="Q305" s="119" t="n">
        <f aca="false">IF(Q265&gt;0,1,0)</f>
        <v>1</v>
      </c>
      <c r="R305" s="119" t="n">
        <f aca="false">IF(R265&gt;0,1,0)</f>
        <v>1</v>
      </c>
      <c r="S305" s="119" t="n">
        <f aca="false">IF(S265&gt;0,1,0)</f>
        <v>1</v>
      </c>
      <c r="T305" s="119" t="n">
        <f aca="false">IF(T265&gt;0,1,0)</f>
        <v>1</v>
      </c>
      <c r="U305" s="119" t="n">
        <f aca="false">IF(U265&gt;0,1,0)</f>
        <v>1</v>
      </c>
      <c r="V305" s="119" t="n">
        <f aca="false">IF(V265&gt;0,1,0)</f>
        <v>1</v>
      </c>
      <c r="W305" s="119" t="n">
        <f aca="false">IF(W265&gt;0,1,0)</f>
        <v>1</v>
      </c>
      <c r="X305" s="119" t="n">
        <f aca="false">IF(X265&gt;0,1,0)</f>
        <v>1</v>
      </c>
      <c r="Y305" s="119" t="n">
        <f aca="false">IF(Y265&gt;0,1,0)</f>
        <v>1</v>
      </c>
      <c r="Z305" s="119" t="n">
        <f aca="false">IF(Z265&gt;0,1,0)</f>
        <v>1</v>
      </c>
      <c r="AA305" s="119" t="n">
        <f aca="false">IF(AA265&gt;0,1,0)</f>
        <v>1</v>
      </c>
      <c r="AB305" s="119" t="n">
        <f aca="false">IF(AB265&gt;0,1,0)</f>
        <v>1</v>
      </c>
      <c r="AC305" s="119" t="n">
        <f aca="false">IF(AC265&gt;0,1,0)</f>
        <v>1</v>
      </c>
      <c r="AD305" s="119" t="n">
        <f aca="false">IF(AD265&gt;0,1,0)</f>
        <v>1</v>
      </c>
      <c r="AE305" s="119" t="n">
        <f aca="false">IF(AE265&gt;0,1,0)</f>
        <v>1</v>
      </c>
      <c r="AF305" s="119" t="n">
        <f aca="false">IF(AF265&gt;0,1,0)</f>
        <v>1</v>
      </c>
      <c r="AG305" s="119" t="n">
        <f aca="false">IF(AG265&gt;0,1,0)</f>
        <v>1</v>
      </c>
      <c r="AH305" s="119" t="n">
        <f aca="false">IF(AH265&gt;0,1,0)</f>
        <v>1</v>
      </c>
      <c r="AI305" s="119" t="n">
        <f aca="false">IF(AI265&gt;0,1,0)</f>
        <v>1</v>
      </c>
      <c r="AJ305" s="119" t="n">
        <f aca="false">IF(AJ265&gt;0,1,0)</f>
        <v>1</v>
      </c>
      <c r="AK305" s="119" t="n">
        <f aca="false">IF(AK265&gt;0,1,0)</f>
        <v>1</v>
      </c>
      <c r="AL305" s="119" t="n">
        <f aca="false">IF(AL265&gt;0,1,0)</f>
        <v>1</v>
      </c>
      <c r="AM305" s="119" t="n">
        <f aca="false">IF(AM265&gt;0,1,0)</f>
        <v>1</v>
      </c>
      <c r="AN305" s="119" t="n">
        <f aca="false">IF(AN265&gt;0,1,0)</f>
        <v>1</v>
      </c>
      <c r="AO305" s="119" t="n">
        <f aca="false">IF(AO265&gt;0,1,0)</f>
        <v>1</v>
      </c>
      <c r="AP305" s="119" t="n">
        <f aca="false">IF(AP265&gt;0,1,0)</f>
        <v>1</v>
      </c>
      <c r="AQ305" s="119" t="n">
        <f aca="false">IF(AQ265&gt;0,1,0)</f>
        <v>1</v>
      </c>
      <c r="AR305" s="119" t="n">
        <f aca="false">IF(AR265&gt;0,1,0)</f>
        <v>1</v>
      </c>
      <c r="AS305" s="119" t="n">
        <f aca="false">IF(AS265&gt;0,1,0)</f>
        <v>1</v>
      </c>
      <c r="AT305" s="119" t="n">
        <f aca="false">IF(AT265&gt;0,1,0)</f>
        <v>1</v>
      </c>
      <c r="AU305" s="119" t="n">
        <f aca="false">IF(AU265&gt;0,1,0)</f>
        <v>1</v>
      </c>
      <c r="AV305" s="119" t="n">
        <f aca="false">IF(AV265&gt;0,1,0)</f>
        <v>1</v>
      </c>
      <c r="AW305" s="119" t="n">
        <f aca="false">IF(AW265&gt;0,1,0)</f>
        <v>1</v>
      </c>
      <c r="AX305" s="119" t="n">
        <f aca="false">IF(AX265&gt;0,1,0)</f>
        <v>1</v>
      </c>
      <c r="AY305" s="119" t="n">
        <f aca="false">IF(AY265&gt;0,1,0)</f>
        <v>1</v>
      </c>
      <c r="AZ305" s="119" t="n">
        <f aca="false">IF(AZ265&gt;0,1,0)</f>
        <v>1</v>
      </c>
      <c r="BA305" s="119" t="n">
        <f aca="false">IF(BA265&gt;0,1,0)</f>
        <v>1</v>
      </c>
      <c r="BB305" s="119" t="n">
        <f aca="false">IF(BB265&gt;0,1,0)</f>
        <v>1</v>
      </c>
      <c r="BC305" s="119" t="n">
        <f aca="false">IF(BC265&gt;0,1,0)</f>
        <v>1</v>
      </c>
      <c r="BD305" s="119" t="n">
        <f aca="false">IF(BD265&gt;0,1,0)</f>
        <v>1</v>
      </c>
      <c r="BE305" s="119" t="n">
        <f aca="false">IF(BE265&gt;0,1,0)</f>
        <v>1</v>
      </c>
      <c r="BF305" s="119" t="n">
        <f aca="false">IF(BF265&gt;0,1,0)</f>
        <v>1</v>
      </c>
      <c r="BG305" s="119" t="n">
        <f aca="false">IF(BG265&gt;0,1,0)</f>
        <v>1</v>
      </c>
      <c r="BH305" s="119" t="n">
        <f aca="false">IF(BH265&gt;0,1,0)</f>
        <v>1</v>
      </c>
      <c r="BI305" s="119" t="n">
        <f aca="false">IF(BI265&gt;0,1,0)</f>
        <v>1</v>
      </c>
      <c r="BJ305" s="119" t="n">
        <f aca="false">IF(BJ265&gt;0,1,0)</f>
        <v>1</v>
      </c>
    </row>
    <row r="307" customFormat="false" ht="15.75" hidden="false" customHeight="true" outlineLevel="0" collapsed="false">
      <c r="A307" s="7" t="s">
        <v>426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customFormat="false" ht="15" hidden="false" customHeight="false" outlineLevel="0" collapsed="false">
      <c r="A308" s="121" t="s">
        <v>427</v>
      </c>
      <c r="C308" s="119" t="n">
        <f aca="false">IF(C274&gt;0,1,0)</f>
        <v>1</v>
      </c>
      <c r="D308" s="119" t="n">
        <f aca="false">IF(D274&gt;0,1,0)</f>
        <v>1</v>
      </c>
      <c r="E308" s="119" t="n">
        <f aca="false">IF(E274&gt;0,1,0)</f>
        <v>1</v>
      </c>
      <c r="F308" s="119" t="n">
        <f aca="false">IF(F274&gt;0,1,0)</f>
        <v>1</v>
      </c>
      <c r="G308" s="119" t="n">
        <f aca="false">IF(G274&gt;0,1,0)</f>
        <v>1</v>
      </c>
      <c r="H308" s="119" t="n">
        <f aca="false">IF(H274&gt;0,1,0)</f>
        <v>1</v>
      </c>
      <c r="I308" s="119" t="n">
        <f aca="false">IF(I274&gt;0,1,0)</f>
        <v>1</v>
      </c>
      <c r="J308" s="119" t="n">
        <f aca="false">IF(J274&gt;0,1,0)</f>
        <v>1</v>
      </c>
      <c r="K308" s="119" t="n">
        <f aca="false">IF(K274&gt;0,1,0)</f>
        <v>1</v>
      </c>
      <c r="L308" s="119" t="n">
        <f aca="false">IF(L274&gt;0,1,0)</f>
        <v>1</v>
      </c>
      <c r="M308" s="119" t="n">
        <f aca="false">IF(M274&gt;0,1,0)</f>
        <v>1</v>
      </c>
      <c r="N308" s="119" t="n">
        <f aca="false">IF(N274&gt;0,1,0)</f>
        <v>1</v>
      </c>
      <c r="O308" s="119" t="n">
        <f aca="false">IF(O274&gt;0,1,0)</f>
        <v>1</v>
      </c>
      <c r="P308" s="119" t="n">
        <f aca="false">IF(P274&gt;0,1,0)</f>
        <v>1</v>
      </c>
      <c r="Q308" s="119" t="n">
        <f aca="false">IF(Q274&gt;0,1,0)</f>
        <v>1</v>
      </c>
      <c r="R308" s="119" t="n">
        <f aca="false">IF(R274&gt;0,1,0)</f>
        <v>1</v>
      </c>
      <c r="S308" s="119" t="n">
        <f aca="false">IF(S274&gt;0,1,0)</f>
        <v>1</v>
      </c>
      <c r="T308" s="119" t="n">
        <f aca="false">IF(T274&gt;0,1,0)</f>
        <v>1</v>
      </c>
      <c r="U308" s="119" t="n">
        <f aca="false">IF(U274&gt;0,1,0)</f>
        <v>1</v>
      </c>
      <c r="V308" s="119" t="n">
        <f aca="false">IF(V274&gt;0,1,0)</f>
        <v>1</v>
      </c>
      <c r="W308" s="119" t="n">
        <f aca="false">IF(W274&gt;0,1,0)</f>
        <v>1</v>
      </c>
      <c r="X308" s="119" t="n">
        <f aca="false">IF(X274&gt;0,1,0)</f>
        <v>1</v>
      </c>
      <c r="Y308" s="119" t="n">
        <f aca="false">IF(Y274&gt;0,1,0)</f>
        <v>1</v>
      </c>
      <c r="Z308" s="119" t="n">
        <f aca="false">IF(Z274&gt;0,1,0)</f>
        <v>1</v>
      </c>
      <c r="AA308" s="119" t="n">
        <f aca="false">IF(AA274&gt;0,1,0)</f>
        <v>1</v>
      </c>
      <c r="AB308" s="119" t="n">
        <f aca="false">IF(AB274&gt;0,1,0)</f>
        <v>1</v>
      </c>
      <c r="AC308" s="119" t="n">
        <f aca="false">IF(AC274&gt;0,1,0)</f>
        <v>1</v>
      </c>
      <c r="AD308" s="119" t="n">
        <f aca="false">IF(AD274&gt;0,1,0)</f>
        <v>1</v>
      </c>
      <c r="AE308" s="119" t="n">
        <f aca="false">IF(AE274&gt;0,1,0)</f>
        <v>1</v>
      </c>
      <c r="AF308" s="119" t="n">
        <f aca="false">IF(AF274&gt;0,1,0)</f>
        <v>1</v>
      </c>
      <c r="AG308" s="119" t="n">
        <f aca="false">IF(AG274&gt;0,1,0)</f>
        <v>1</v>
      </c>
      <c r="AH308" s="119" t="n">
        <f aca="false">IF(AH274&gt;0,1,0)</f>
        <v>1</v>
      </c>
      <c r="AI308" s="119" t="n">
        <f aca="false">IF(AI274&gt;0,1,0)</f>
        <v>1</v>
      </c>
      <c r="AJ308" s="119" t="n">
        <f aca="false">IF(AJ274&gt;0,1,0)</f>
        <v>1</v>
      </c>
      <c r="AK308" s="119" t="n">
        <f aca="false">IF(AK274&gt;0,1,0)</f>
        <v>1</v>
      </c>
      <c r="AL308" s="119" t="n">
        <f aca="false">IF(AL274&gt;0,1,0)</f>
        <v>1</v>
      </c>
      <c r="AM308" s="119" t="n">
        <f aca="false">IF(AM274&gt;0,1,0)</f>
        <v>1</v>
      </c>
      <c r="AN308" s="119" t="n">
        <f aca="false">IF(AN274&gt;0,1,0)</f>
        <v>1</v>
      </c>
      <c r="AO308" s="119" t="n">
        <f aca="false">IF(AO274&gt;0,1,0)</f>
        <v>1</v>
      </c>
      <c r="AP308" s="119" t="n">
        <f aca="false">IF(AP274&gt;0,1,0)</f>
        <v>1</v>
      </c>
      <c r="AQ308" s="119" t="n">
        <f aca="false">IF(AQ274&gt;0,1,0)</f>
        <v>1</v>
      </c>
      <c r="AR308" s="119" t="n">
        <f aca="false">IF(AR274&gt;0,1,0)</f>
        <v>1</v>
      </c>
      <c r="AS308" s="119" t="n">
        <f aca="false">IF(AS274&gt;0,1,0)</f>
        <v>1</v>
      </c>
      <c r="AT308" s="119" t="n">
        <f aca="false">IF(AT274&gt;0,1,0)</f>
        <v>1</v>
      </c>
      <c r="AU308" s="119" t="n">
        <f aca="false">IF(AU274&gt;0,1,0)</f>
        <v>1</v>
      </c>
      <c r="AV308" s="119" t="n">
        <f aca="false">IF(AV274&gt;0,1,0)</f>
        <v>1</v>
      </c>
      <c r="AW308" s="119" t="n">
        <f aca="false">IF(AW274&gt;0,1,0)</f>
        <v>1</v>
      </c>
      <c r="AX308" s="119" t="n">
        <f aca="false">IF(AX274&gt;0,1,0)</f>
        <v>1</v>
      </c>
      <c r="AY308" s="119" t="n">
        <f aca="false">IF(AY274&gt;0,1,0)</f>
        <v>1</v>
      </c>
      <c r="AZ308" s="119" t="n">
        <f aca="false">IF(AZ274&gt;0,1,0)</f>
        <v>1</v>
      </c>
      <c r="BA308" s="119" t="n">
        <f aca="false">IF(BA274&gt;0,1,0)</f>
        <v>1</v>
      </c>
      <c r="BB308" s="119" t="n">
        <f aca="false">IF(BB274&gt;0,1,0)</f>
        <v>1</v>
      </c>
      <c r="BC308" s="119" t="n">
        <f aca="false">IF(BC274&gt;0,1,0)</f>
        <v>1</v>
      </c>
      <c r="BD308" s="119" t="n">
        <f aca="false">IF(BD274&gt;0,1,0)</f>
        <v>1</v>
      </c>
      <c r="BE308" s="119" t="n">
        <f aca="false">IF(BE274&gt;0,1,0)</f>
        <v>1</v>
      </c>
      <c r="BF308" s="119" t="n">
        <f aca="false">IF(BF274&gt;0,1,0)</f>
        <v>1</v>
      </c>
      <c r="BG308" s="119" t="n">
        <f aca="false">IF(BG274&gt;0,1,0)</f>
        <v>1</v>
      </c>
      <c r="BH308" s="119" t="n">
        <f aca="false">IF(BH274&gt;0,1,0)</f>
        <v>1</v>
      </c>
      <c r="BI308" s="119" t="n">
        <f aca="false">IF(BI274&gt;0,1,0)</f>
        <v>1</v>
      </c>
      <c r="BJ308" s="119" t="n">
        <f aca="false">IF(BJ274&gt;0,1,0)</f>
        <v>1</v>
      </c>
    </row>
    <row r="309" customFormat="false" ht="15" hidden="false" customHeight="false" outlineLevel="0" collapsed="false">
      <c r="A309" s="6" t="s">
        <v>428</v>
      </c>
      <c r="C309" s="67" t="n">
        <f aca="false">C298+C299</f>
        <v>-94391.0378524516</v>
      </c>
      <c r="D309" s="67" t="n">
        <f aca="false">D298+D299</f>
        <v>19762.7923438566</v>
      </c>
      <c r="E309" s="67" t="n">
        <f aca="false">E298+E299</f>
        <v>20933.170551742</v>
      </c>
      <c r="F309" s="67" t="n">
        <f aca="false">F298+F299</f>
        <v>20940.6316628531</v>
      </c>
      <c r="G309" s="67" t="n">
        <f aca="false">G298+G299</f>
        <v>20948.0927739642</v>
      </c>
      <c r="H309" s="67" t="n">
        <f aca="false">H298+H299</f>
        <v>20955.5538850753</v>
      </c>
      <c r="I309" s="67" t="n">
        <f aca="false">I298+I299</f>
        <v>20963.0149961864</v>
      </c>
      <c r="J309" s="67" t="n">
        <f aca="false">J298+J299</f>
        <v>20970.4761072975</v>
      </c>
      <c r="K309" s="67" t="n">
        <f aca="false">K298+K299</f>
        <v>20977.9372184086</v>
      </c>
      <c r="L309" s="67" t="n">
        <f aca="false">L298+L299</f>
        <v>20985.3983295197</v>
      </c>
      <c r="M309" s="67" t="n">
        <f aca="false">M298+M299</f>
        <v>30532.8980140502</v>
      </c>
      <c r="N309" s="67" t="n">
        <f aca="false">N298+N299</f>
        <v>34678.3003896774</v>
      </c>
      <c r="O309" s="67" t="n">
        <f aca="false">O298+O299</f>
        <v>27581.4939354009</v>
      </c>
      <c r="P309" s="67" t="n">
        <f aca="false">P298+P299</f>
        <v>26218.5851220044</v>
      </c>
      <c r="Q309" s="67" t="n">
        <f aca="false">Q298+Q299</f>
        <v>26228.9628997822</v>
      </c>
      <c r="R309" s="67" t="n">
        <f aca="false">R298+R299</f>
        <v>26239.34067756</v>
      </c>
      <c r="S309" s="67" t="n">
        <f aca="false">S298+S299</f>
        <v>26249.7184553378</v>
      </c>
      <c r="T309" s="67" t="n">
        <f aca="false">T298+T299</f>
        <v>26260.0962331155</v>
      </c>
      <c r="U309" s="67" t="n">
        <f aca="false">U298+U299</f>
        <v>26270.4740108933</v>
      </c>
      <c r="V309" s="67" t="n">
        <f aca="false">V298+V299</f>
        <v>26280.8517886711</v>
      </c>
      <c r="W309" s="67" t="n">
        <f aca="false">W298+W299</f>
        <v>26291.2295664489</v>
      </c>
      <c r="X309" s="67" t="n">
        <f aca="false">X298+X299</f>
        <v>26301.6073442267</v>
      </c>
      <c r="Y309" s="67" t="n">
        <f aca="false">Y298+Y299</f>
        <v>36729.7072441784</v>
      </c>
      <c r="Z309" s="67" t="n">
        <f aca="false">Z298+Z299</f>
        <v>41258.7168828078</v>
      </c>
      <c r="AA309" s="67" t="n">
        <f aca="false">AA298+AA299</f>
        <v>35187.9963168682</v>
      </c>
      <c r="AB309" s="67" t="n">
        <f aca="false">AB298+AB299</f>
        <v>33840.817614831</v>
      </c>
      <c r="AC309" s="67" t="n">
        <f aca="false">AC298+AC299</f>
        <v>33851.1953926087</v>
      </c>
      <c r="AD309" s="67" t="n">
        <f aca="false">AD298+AD299</f>
        <v>33861.5731703865</v>
      </c>
      <c r="AE309" s="67" t="n">
        <f aca="false">AE298+AE299</f>
        <v>33871.9509481643</v>
      </c>
      <c r="AF309" s="67" t="n">
        <f aca="false">AF298+AF299</f>
        <v>33882.3287259421</v>
      </c>
      <c r="AG309" s="67" t="n">
        <f aca="false">AG298+AG299</f>
        <v>33892.7065037199</v>
      </c>
      <c r="AH309" s="67" t="n">
        <f aca="false">AH298+AH299</f>
        <v>33903.0842814977</v>
      </c>
      <c r="AI309" s="67" t="n">
        <f aca="false">AI298+AI299</f>
        <v>33913.4620592754</v>
      </c>
      <c r="AJ309" s="67" t="n">
        <f aca="false">AJ298+AJ299</f>
        <v>33923.8398370532</v>
      </c>
      <c r="AK309" s="67" t="n">
        <f aca="false">AK298+AK299</f>
        <v>45310.370172245</v>
      </c>
      <c r="AL309" s="67" t="n">
        <f aca="false">AL298+AL299</f>
        <v>50255.0939420727</v>
      </c>
      <c r="AM309" s="67" t="n">
        <f aca="false">AM298+AM299</f>
        <v>44113.7244511088</v>
      </c>
      <c r="AN309" s="67" t="n">
        <f aca="false">AN298+AN299</f>
        <v>42813.0467900828</v>
      </c>
      <c r="AO309" s="67" t="n">
        <f aca="false">AO298+AO299</f>
        <v>42823.4245678606</v>
      </c>
      <c r="AP309" s="67" t="n">
        <f aca="false">AP298+AP299</f>
        <v>42833.8023456383</v>
      </c>
      <c r="AQ309" s="67" t="n">
        <f aca="false">AQ298+AQ299</f>
        <v>42844.1801234161</v>
      </c>
      <c r="AR309" s="67" t="n">
        <f aca="false">AR298+AR299</f>
        <v>42854.5579011939</v>
      </c>
      <c r="AS309" s="67" t="n">
        <f aca="false">AS298+AS299</f>
        <v>42864.9356789717</v>
      </c>
      <c r="AT309" s="67" t="n">
        <f aca="false">AT298+AT299</f>
        <v>42875.3134567495</v>
      </c>
      <c r="AU309" s="67" t="n">
        <f aca="false">AU298+AU299</f>
        <v>42885.6912345272</v>
      </c>
      <c r="AV309" s="67" t="n">
        <f aca="false">AV298+AV299</f>
        <v>42896.069012305</v>
      </c>
      <c r="AW309" s="67" t="n">
        <f aca="false">AW298+AW299</f>
        <v>55329.2053827788</v>
      </c>
      <c r="AX309" s="67" t="n">
        <f aca="false">AX298+AX299</f>
        <v>60727.8889838751</v>
      </c>
      <c r="AY309" s="67" t="n">
        <f aca="false">AY298+AY299</f>
        <v>54609.489111109</v>
      </c>
      <c r="AZ309" s="67" t="n">
        <f aca="false">AZ298+AZ299</f>
        <v>53394.966770216</v>
      </c>
      <c r="BA309" s="67" t="n">
        <f aca="false">BA298+BA299</f>
        <v>53405.3445479937</v>
      </c>
      <c r="BB309" s="67" t="n">
        <f aca="false">BB298+BB299</f>
        <v>53415.7223257715</v>
      </c>
      <c r="BC309" s="67" t="n">
        <f aca="false">BC298+BC299</f>
        <v>53426.1001035493</v>
      </c>
      <c r="BD309" s="67" t="n">
        <f aca="false">BD298+BD299</f>
        <v>53436.4778813271</v>
      </c>
      <c r="BE309" s="67" t="n">
        <f aca="false">BE298+BE299</f>
        <v>53446.8556591048</v>
      </c>
      <c r="BF309" s="67" t="n">
        <f aca="false">BF298+BF299</f>
        <v>53457.2334368826</v>
      </c>
      <c r="BG309" s="67" t="n">
        <f aca="false">BG298+BG299</f>
        <v>53467.6112146604</v>
      </c>
      <c r="BH309" s="67" t="n">
        <f aca="false">BH298+BH299</f>
        <v>53477.9889924382</v>
      </c>
      <c r="BI309" s="67" t="n">
        <f aca="false">BI298+BI299</f>
        <v>67054.01915344</v>
      </c>
      <c r="BJ309" s="67" t="n">
        <f aca="false">BJ298+BJ299</f>
        <v>72948.4268902817</v>
      </c>
    </row>
    <row r="310" customFormat="false" ht="15" hidden="false" customHeight="false" outlineLevel="0" collapsed="false">
      <c r="A310" s="6" t="s">
        <v>429</v>
      </c>
      <c r="C310" s="67" t="n">
        <f aca="false">C309</f>
        <v>-94391.0378524516</v>
      </c>
      <c r="D310" s="67" t="n">
        <f aca="false">C310+D309</f>
        <v>-74628.245508595</v>
      </c>
      <c r="E310" s="67" t="n">
        <f aca="false">D310+E309</f>
        <v>-53695.074956853</v>
      </c>
      <c r="F310" s="67" t="n">
        <f aca="false">E310+F309</f>
        <v>-32754.4432939999</v>
      </c>
      <c r="G310" s="67" t="n">
        <f aca="false">F310+G309</f>
        <v>-11806.3505200358</v>
      </c>
      <c r="H310" s="67" t="n">
        <f aca="false">G310+H309</f>
        <v>9149.20336503952</v>
      </c>
      <c r="I310" s="67" t="n">
        <f aca="false">H310+I309</f>
        <v>30112.2183612259</v>
      </c>
      <c r="J310" s="67" t="n">
        <f aca="false">I310+J309</f>
        <v>51082.6944685234</v>
      </c>
      <c r="K310" s="67" t="n">
        <f aca="false">J310+K309</f>
        <v>72060.631686932</v>
      </c>
      <c r="L310" s="67" t="n">
        <f aca="false">K310+L309</f>
        <v>93046.0300164518</v>
      </c>
      <c r="M310" s="67" t="n">
        <f aca="false">L310+M309</f>
        <v>123578.928030502</v>
      </c>
      <c r="N310" s="67" t="n">
        <f aca="false">M310+N309</f>
        <v>158257.228420179</v>
      </c>
      <c r="O310" s="67" t="n">
        <f aca="false">N310+O309</f>
        <v>185838.72235558</v>
      </c>
      <c r="P310" s="67" t="n">
        <f aca="false">O310+P309</f>
        <v>212057.307477585</v>
      </c>
      <c r="Q310" s="67" t="n">
        <f aca="false">P310+Q309</f>
        <v>238286.270377367</v>
      </c>
      <c r="R310" s="67" t="n">
        <f aca="false">Q310+R309</f>
        <v>264525.611054927</v>
      </c>
      <c r="S310" s="67" t="n">
        <f aca="false">R310+S309</f>
        <v>290775.329510265</v>
      </c>
      <c r="T310" s="67" t="n">
        <f aca="false">S310+T309</f>
        <v>317035.42574338</v>
      </c>
      <c r="U310" s="67" t="n">
        <f aca="false">T310+U309</f>
        <v>343305.899754274</v>
      </c>
      <c r="V310" s="67" t="n">
        <f aca="false">U310+V309</f>
        <v>369586.751542945</v>
      </c>
      <c r="W310" s="67" t="n">
        <f aca="false">V310+W309</f>
        <v>395877.981109393</v>
      </c>
      <c r="X310" s="67" t="n">
        <f aca="false">W310+X309</f>
        <v>422179.58845362</v>
      </c>
      <c r="Y310" s="67" t="n">
        <f aca="false">X310+Y309</f>
        <v>458909.295697799</v>
      </c>
      <c r="Z310" s="67" t="n">
        <f aca="false">Y310+Z309</f>
        <v>500168.012580606</v>
      </c>
      <c r="AA310" s="67" t="n">
        <f aca="false">Z310+AA309</f>
        <v>535356.008897475</v>
      </c>
      <c r="AB310" s="67" t="n">
        <f aca="false">AA310+AB309</f>
        <v>569196.826512306</v>
      </c>
      <c r="AC310" s="67" t="n">
        <f aca="false">AB310+AC309</f>
        <v>603048.021904914</v>
      </c>
      <c r="AD310" s="67" t="n">
        <f aca="false">AC310+AD309</f>
        <v>636909.595075301</v>
      </c>
      <c r="AE310" s="67" t="n">
        <f aca="false">AD310+AE309</f>
        <v>670781.546023465</v>
      </c>
      <c r="AF310" s="67" t="n">
        <f aca="false">AE310+AF309</f>
        <v>704663.874749407</v>
      </c>
      <c r="AG310" s="67" t="n">
        <f aca="false">AF310+AG309</f>
        <v>738556.581253127</v>
      </c>
      <c r="AH310" s="67" t="n">
        <f aca="false">AG310+AH309</f>
        <v>772459.665534625</v>
      </c>
      <c r="AI310" s="67" t="n">
        <f aca="false">AH310+AI309</f>
        <v>806373.1275939</v>
      </c>
      <c r="AJ310" s="67" t="n">
        <f aca="false">AI310+AJ309</f>
        <v>840296.967430953</v>
      </c>
      <c r="AK310" s="67" t="n">
        <f aca="false">AJ310+AK309</f>
        <v>885607.337603198</v>
      </c>
      <c r="AL310" s="67" t="n">
        <f aca="false">AK310+AL309</f>
        <v>935862.431545271</v>
      </c>
      <c r="AM310" s="67" t="n">
        <f aca="false">AL310+AM309</f>
        <v>979976.15599638</v>
      </c>
      <c r="AN310" s="67" t="n">
        <f aca="false">AM310+AN309</f>
        <v>1022789.20278646</v>
      </c>
      <c r="AO310" s="67" t="n">
        <f aca="false">AN310+AO309</f>
        <v>1065612.62735432</v>
      </c>
      <c r="AP310" s="67" t="n">
        <f aca="false">AO310+AP309</f>
        <v>1108446.42969996</v>
      </c>
      <c r="AQ310" s="67" t="n">
        <f aca="false">AP310+AQ309</f>
        <v>1151290.60982338</v>
      </c>
      <c r="AR310" s="67" t="n">
        <f aca="false">AQ310+AR309</f>
        <v>1194145.16772457</v>
      </c>
      <c r="AS310" s="67" t="n">
        <f aca="false">AR310+AS309</f>
        <v>1237010.10340354</v>
      </c>
      <c r="AT310" s="67" t="n">
        <f aca="false">AS310+AT309</f>
        <v>1279885.41686029</v>
      </c>
      <c r="AU310" s="67" t="n">
        <f aca="false">AT310+AU309</f>
        <v>1322771.10809482</v>
      </c>
      <c r="AV310" s="67" t="n">
        <f aca="false">AU310+AV309</f>
        <v>1365667.17710713</v>
      </c>
      <c r="AW310" s="67" t="n">
        <f aca="false">AV310+AW309</f>
        <v>1420996.3824899</v>
      </c>
      <c r="AX310" s="67" t="n">
        <f aca="false">AW310+AX309</f>
        <v>1481724.27147378</v>
      </c>
      <c r="AY310" s="67" t="n">
        <f aca="false">AX310+AY309</f>
        <v>1536333.76058489</v>
      </c>
      <c r="AZ310" s="67" t="n">
        <f aca="false">AY310+AZ309</f>
        <v>1589728.7273551</v>
      </c>
      <c r="BA310" s="67" t="n">
        <f aca="false">AZ310+BA309</f>
        <v>1643134.0719031</v>
      </c>
      <c r="BB310" s="67" t="n">
        <f aca="false">BA310+BB309</f>
        <v>1696549.79422887</v>
      </c>
      <c r="BC310" s="67" t="n">
        <f aca="false">BB310+BC309</f>
        <v>1749975.89433242</v>
      </c>
      <c r="BD310" s="67" t="n">
        <f aca="false">BC310+BD309</f>
        <v>1803412.37221375</v>
      </c>
      <c r="BE310" s="67" t="n">
        <f aca="false">BD310+BE309</f>
        <v>1856859.22787285</v>
      </c>
      <c r="BF310" s="67" t="n">
        <f aca="false">BE310+BF309</f>
        <v>1910316.46130973</v>
      </c>
      <c r="BG310" s="67" t="n">
        <f aca="false">BF310+BG309</f>
        <v>1963784.07252439</v>
      </c>
      <c r="BH310" s="67" t="n">
        <f aca="false">BG310+BH309</f>
        <v>2017262.06151683</v>
      </c>
      <c r="BI310" s="67" t="n">
        <f aca="false">BH310+BI309</f>
        <v>2084316.08067027</v>
      </c>
      <c r="BJ310" s="67" t="n">
        <f aca="false">BI310+BJ309</f>
        <v>2157264.50756055</v>
      </c>
    </row>
    <row r="311" customFormat="false" ht="15" hidden="false" customHeight="false" outlineLevel="0" collapsed="false">
      <c r="A311" s="121" t="s">
        <v>430</v>
      </c>
      <c r="C311" s="67" t="n">
        <f aca="false">C310</f>
        <v>-94391.0378524516</v>
      </c>
      <c r="D311" s="67" t="n">
        <f aca="false">MIN(C311,D310)</f>
        <v>-94391.0378524516</v>
      </c>
      <c r="E311" s="67" t="n">
        <f aca="false">MIN(D311,E310)</f>
        <v>-94391.0378524516</v>
      </c>
      <c r="F311" s="67" t="n">
        <f aca="false">MIN(E311,F310)</f>
        <v>-94391.0378524516</v>
      </c>
      <c r="G311" s="67" t="n">
        <f aca="false">MIN(F311,G310)</f>
        <v>-94391.0378524516</v>
      </c>
      <c r="H311" s="67" t="n">
        <f aca="false">MIN(G311,H310)</f>
        <v>-94391.0378524516</v>
      </c>
      <c r="I311" s="67" t="n">
        <f aca="false">MIN(H311,I310)</f>
        <v>-94391.0378524516</v>
      </c>
      <c r="J311" s="67" t="n">
        <f aca="false">MIN(I311,J310)</f>
        <v>-94391.0378524516</v>
      </c>
      <c r="K311" s="67" t="n">
        <f aca="false">MIN(J311,K310)</f>
        <v>-94391.0378524516</v>
      </c>
      <c r="L311" s="67" t="n">
        <f aca="false">MIN(K311,L310)</f>
        <v>-94391.0378524516</v>
      </c>
      <c r="M311" s="67" t="n">
        <f aca="false">MIN(L311,M310)</f>
        <v>-94391.0378524516</v>
      </c>
      <c r="N311" s="67" t="n">
        <f aca="false">MIN(M311,N310)</f>
        <v>-94391.0378524516</v>
      </c>
      <c r="O311" s="67" t="n">
        <f aca="false">MIN(N311,O310)</f>
        <v>-94391.0378524516</v>
      </c>
      <c r="P311" s="67" t="n">
        <f aca="false">MIN(O311,P310)</f>
        <v>-94391.0378524516</v>
      </c>
      <c r="Q311" s="67" t="n">
        <f aca="false">MIN(P311,Q310)</f>
        <v>-94391.0378524516</v>
      </c>
      <c r="R311" s="67" t="n">
        <f aca="false">MIN(Q311,R310)</f>
        <v>-94391.0378524516</v>
      </c>
      <c r="S311" s="67" t="n">
        <f aca="false">MIN(R311,S310)</f>
        <v>-94391.0378524516</v>
      </c>
      <c r="T311" s="67" t="n">
        <f aca="false">MIN(S311,T310)</f>
        <v>-94391.0378524516</v>
      </c>
      <c r="U311" s="67" t="n">
        <f aca="false">MIN(T311,U310)</f>
        <v>-94391.0378524516</v>
      </c>
      <c r="V311" s="67" t="n">
        <f aca="false">MIN(U311,V310)</f>
        <v>-94391.0378524516</v>
      </c>
      <c r="W311" s="67" t="n">
        <f aca="false">MIN(V311,W310)</f>
        <v>-94391.0378524516</v>
      </c>
      <c r="X311" s="67" t="n">
        <f aca="false">MIN(W311,X310)</f>
        <v>-94391.0378524516</v>
      </c>
      <c r="Y311" s="67" t="n">
        <f aca="false">MIN(X311,Y310)</f>
        <v>-94391.0378524516</v>
      </c>
      <c r="Z311" s="67" t="n">
        <f aca="false">MIN(Y311,Z310)</f>
        <v>-94391.0378524516</v>
      </c>
      <c r="AA311" s="67" t="n">
        <f aca="false">MIN(Z311,AA310)</f>
        <v>-94391.0378524516</v>
      </c>
      <c r="AB311" s="67" t="n">
        <f aca="false">MIN(AA311,AB310)</f>
        <v>-94391.0378524516</v>
      </c>
      <c r="AC311" s="67" t="n">
        <f aca="false">MIN(AB311,AC310)</f>
        <v>-94391.0378524516</v>
      </c>
      <c r="AD311" s="67" t="n">
        <f aca="false">MIN(AC311,AD310)</f>
        <v>-94391.0378524516</v>
      </c>
      <c r="AE311" s="67" t="n">
        <f aca="false">MIN(AD311,AE310)</f>
        <v>-94391.0378524516</v>
      </c>
      <c r="AF311" s="67" t="n">
        <f aca="false">MIN(AE311,AF310)</f>
        <v>-94391.0378524516</v>
      </c>
      <c r="AG311" s="67" t="n">
        <f aca="false">MIN(AF311,AG310)</f>
        <v>-94391.0378524516</v>
      </c>
      <c r="AH311" s="67" t="n">
        <f aca="false">MIN(AG311,AH310)</f>
        <v>-94391.0378524516</v>
      </c>
      <c r="AI311" s="67" t="n">
        <f aca="false">MIN(AH311,AI310)</f>
        <v>-94391.0378524516</v>
      </c>
      <c r="AJ311" s="67" t="n">
        <f aca="false">MIN(AI311,AJ310)</f>
        <v>-94391.0378524516</v>
      </c>
      <c r="AK311" s="67" t="n">
        <f aca="false">MIN(AJ311,AK310)</f>
        <v>-94391.0378524516</v>
      </c>
      <c r="AL311" s="67" t="n">
        <f aca="false">MIN(AK311,AL310)</f>
        <v>-94391.0378524516</v>
      </c>
      <c r="AM311" s="67" t="n">
        <f aca="false">MIN(AL311,AM310)</f>
        <v>-94391.0378524516</v>
      </c>
      <c r="AN311" s="67" t="n">
        <f aca="false">MIN(AM311,AN310)</f>
        <v>-94391.0378524516</v>
      </c>
      <c r="AO311" s="67" t="n">
        <f aca="false">MIN(AN311,AO310)</f>
        <v>-94391.0378524516</v>
      </c>
      <c r="AP311" s="67" t="n">
        <f aca="false">MIN(AO311,AP310)</f>
        <v>-94391.0378524516</v>
      </c>
      <c r="AQ311" s="67" t="n">
        <f aca="false">MIN(AP311,AQ310)</f>
        <v>-94391.0378524516</v>
      </c>
      <c r="AR311" s="67" t="n">
        <f aca="false">MIN(AQ311,AR310)</f>
        <v>-94391.0378524516</v>
      </c>
      <c r="AS311" s="67" t="n">
        <f aca="false">MIN(AR311,AS310)</f>
        <v>-94391.0378524516</v>
      </c>
      <c r="AT311" s="67" t="n">
        <f aca="false">MIN(AS311,AT310)</f>
        <v>-94391.0378524516</v>
      </c>
      <c r="AU311" s="67" t="n">
        <f aca="false">MIN(AT311,AU310)</f>
        <v>-94391.0378524516</v>
      </c>
      <c r="AV311" s="67" t="n">
        <f aca="false">MIN(AU311,AV310)</f>
        <v>-94391.0378524516</v>
      </c>
      <c r="AW311" s="67" t="n">
        <f aca="false">MIN(AV311,AW310)</f>
        <v>-94391.0378524516</v>
      </c>
      <c r="AX311" s="67" t="n">
        <f aca="false">MIN(AW311,AX310)</f>
        <v>-94391.0378524516</v>
      </c>
      <c r="AY311" s="67" t="n">
        <f aca="false">MIN(AX311,AY310)</f>
        <v>-94391.0378524516</v>
      </c>
      <c r="AZ311" s="67" t="n">
        <f aca="false">MIN(AY311,AZ310)</f>
        <v>-94391.0378524516</v>
      </c>
      <c r="BA311" s="67" t="n">
        <f aca="false">MIN(AZ311,BA310)</f>
        <v>-94391.0378524516</v>
      </c>
      <c r="BB311" s="67" t="n">
        <f aca="false">MIN(BA311,BB310)</f>
        <v>-94391.0378524516</v>
      </c>
      <c r="BC311" s="67" t="n">
        <f aca="false">MIN(BB311,BC310)</f>
        <v>-94391.0378524516</v>
      </c>
      <c r="BD311" s="67" t="n">
        <f aca="false">MIN(BC311,BD310)</f>
        <v>-94391.0378524516</v>
      </c>
      <c r="BE311" s="67" t="n">
        <f aca="false">MIN(BD311,BE310)</f>
        <v>-94391.0378524516</v>
      </c>
      <c r="BF311" s="67" t="n">
        <f aca="false">MIN(BE311,BF310)</f>
        <v>-94391.0378524516</v>
      </c>
      <c r="BG311" s="67" t="n">
        <f aca="false">MIN(BF311,BG310)</f>
        <v>-94391.0378524516</v>
      </c>
      <c r="BH311" s="67" t="n">
        <f aca="false">MIN(BG311,BH310)</f>
        <v>-94391.0378524516</v>
      </c>
      <c r="BI311" s="67" t="n">
        <f aca="false">MIN(BH311,BI310)</f>
        <v>-94391.0378524516</v>
      </c>
      <c r="BJ311" s="67" t="n">
        <f aca="false">MIN(BI311,BJ310)</f>
        <v>-94391.0378524516</v>
      </c>
    </row>
    <row r="312" customFormat="false" ht="15" hidden="false" customHeight="false" outlineLevel="0" collapsed="false">
      <c r="A312" s="121" t="s">
        <v>431</v>
      </c>
      <c r="C312" s="119" t="n">
        <f aca="false">IF(AND(C310&gt;=0,C311&lt;0),1,0)</f>
        <v>0</v>
      </c>
      <c r="D312" s="119" t="n">
        <f aca="false">IF(AND(D310&gt;=0,D311&lt;0),1,0)</f>
        <v>0</v>
      </c>
      <c r="E312" s="119" t="n">
        <f aca="false">IF(AND(E310&gt;=0,E311&lt;0),1,0)</f>
        <v>0</v>
      </c>
      <c r="F312" s="119" t="n">
        <f aca="false">IF(AND(F310&gt;=0,F311&lt;0),1,0)</f>
        <v>0</v>
      </c>
      <c r="G312" s="119" t="n">
        <f aca="false">IF(AND(G310&gt;=0,G311&lt;0),1,0)</f>
        <v>0</v>
      </c>
      <c r="H312" s="119" t="n">
        <f aca="false">IF(AND(H310&gt;=0,H311&lt;0),1,0)</f>
        <v>1</v>
      </c>
      <c r="I312" s="119" t="n">
        <f aca="false">IF(AND(I310&gt;=0,I311&lt;0),1,0)</f>
        <v>1</v>
      </c>
      <c r="J312" s="119" t="n">
        <f aca="false">IF(AND(J310&gt;=0,J311&lt;0),1,0)</f>
        <v>1</v>
      </c>
      <c r="K312" s="119" t="n">
        <f aca="false">IF(AND(K310&gt;=0,K311&lt;0),1,0)</f>
        <v>1</v>
      </c>
      <c r="L312" s="119" t="n">
        <f aca="false">IF(AND(L310&gt;=0,L311&lt;0),1,0)</f>
        <v>1</v>
      </c>
      <c r="M312" s="119" t="n">
        <f aca="false">IF(AND(M310&gt;=0,M311&lt;0),1,0)</f>
        <v>1</v>
      </c>
      <c r="N312" s="119" t="n">
        <f aca="false">IF(AND(N310&gt;=0,N311&lt;0),1,0)</f>
        <v>1</v>
      </c>
      <c r="O312" s="119" t="n">
        <f aca="false">IF(AND(O310&gt;=0,O311&lt;0),1,0)</f>
        <v>1</v>
      </c>
      <c r="P312" s="119" t="n">
        <f aca="false">IF(AND(P310&gt;=0,P311&lt;0),1,0)</f>
        <v>1</v>
      </c>
      <c r="Q312" s="119" t="n">
        <f aca="false">IF(AND(Q310&gt;=0,Q311&lt;0),1,0)</f>
        <v>1</v>
      </c>
      <c r="R312" s="119" t="n">
        <f aca="false">IF(AND(R310&gt;=0,R311&lt;0),1,0)</f>
        <v>1</v>
      </c>
      <c r="S312" s="119" t="n">
        <f aca="false">IF(AND(S310&gt;=0,S311&lt;0),1,0)</f>
        <v>1</v>
      </c>
      <c r="T312" s="119" t="n">
        <f aca="false">IF(AND(T310&gt;=0,T311&lt;0),1,0)</f>
        <v>1</v>
      </c>
      <c r="U312" s="119" t="n">
        <f aca="false">IF(AND(U310&gt;=0,U311&lt;0),1,0)</f>
        <v>1</v>
      </c>
      <c r="V312" s="119" t="n">
        <f aca="false">IF(AND(V310&gt;=0,V311&lt;0),1,0)</f>
        <v>1</v>
      </c>
      <c r="W312" s="119" t="n">
        <f aca="false">IF(AND(W310&gt;=0,W311&lt;0),1,0)</f>
        <v>1</v>
      </c>
      <c r="X312" s="119" t="n">
        <f aca="false">IF(AND(X310&gt;=0,X311&lt;0),1,0)</f>
        <v>1</v>
      </c>
      <c r="Y312" s="119" t="n">
        <f aca="false">IF(AND(Y310&gt;=0,Y311&lt;0),1,0)</f>
        <v>1</v>
      </c>
      <c r="Z312" s="119" t="n">
        <f aca="false">IF(AND(Z310&gt;=0,Z311&lt;0),1,0)</f>
        <v>1</v>
      </c>
      <c r="AA312" s="119" t="n">
        <f aca="false">IF(AND(AA310&gt;=0,AA311&lt;0),1,0)</f>
        <v>1</v>
      </c>
      <c r="AB312" s="119" t="n">
        <f aca="false">IF(AND(AB310&gt;=0,AB311&lt;0),1,0)</f>
        <v>1</v>
      </c>
      <c r="AC312" s="119" t="n">
        <f aca="false">IF(AND(AC310&gt;=0,AC311&lt;0),1,0)</f>
        <v>1</v>
      </c>
      <c r="AD312" s="119" t="n">
        <f aca="false">IF(AND(AD310&gt;=0,AD311&lt;0),1,0)</f>
        <v>1</v>
      </c>
      <c r="AE312" s="119" t="n">
        <f aca="false">IF(AND(AE310&gt;=0,AE311&lt;0),1,0)</f>
        <v>1</v>
      </c>
      <c r="AF312" s="119" t="n">
        <f aca="false">IF(AND(AF310&gt;=0,AF311&lt;0),1,0)</f>
        <v>1</v>
      </c>
      <c r="AG312" s="119" t="n">
        <f aca="false">IF(AND(AG310&gt;=0,AG311&lt;0),1,0)</f>
        <v>1</v>
      </c>
      <c r="AH312" s="119" t="n">
        <f aca="false">IF(AND(AH310&gt;=0,AH311&lt;0),1,0)</f>
        <v>1</v>
      </c>
      <c r="AI312" s="119" t="n">
        <f aca="false">IF(AND(AI310&gt;=0,AI311&lt;0),1,0)</f>
        <v>1</v>
      </c>
      <c r="AJ312" s="119" t="n">
        <f aca="false">IF(AND(AJ310&gt;=0,AJ311&lt;0),1,0)</f>
        <v>1</v>
      </c>
      <c r="AK312" s="119" t="n">
        <f aca="false">IF(AND(AK310&gt;=0,AK311&lt;0),1,0)</f>
        <v>1</v>
      </c>
      <c r="AL312" s="119" t="n">
        <f aca="false">IF(AND(AL310&gt;=0,AL311&lt;0),1,0)</f>
        <v>1</v>
      </c>
      <c r="AM312" s="119" t="n">
        <f aca="false">IF(AND(AM310&gt;=0,AM311&lt;0),1,0)</f>
        <v>1</v>
      </c>
      <c r="AN312" s="119" t="n">
        <f aca="false">IF(AND(AN310&gt;=0,AN311&lt;0),1,0)</f>
        <v>1</v>
      </c>
      <c r="AO312" s="119" t="n">
        <f aca="false">IF(AND(AO310&gt;=0,AO311&lt;0),1,0)</f>
        <v>1</v>
      </c>
      <c r="AP312" s="119" t="n">
        <f aca="false">IF(AND(AP310&gt;=0,AP311&lt;0),1,0)</f>
        <v>1</v>
      </c>
      <c r="AQ312" s="119" t="n">
        <f aca="false">IF(AND(AQ310&gt;=0,AQ311&lt;0),1,0)</f>
        <v>1</v>
      </c>
      <c r="AR312" s="119" t="n">
        <f aca="false">IF(AND(AR310&gt;=0,AR311&lt;0),1,0)</f>
        <v>1</v>
      </c>
      <c r="AS312" s="119" t="n">
        <f aca="false">IF(AND(AS310&gt;=0,AS311&lt;0),1,0)</f>
        <v>1</v>
      </c>
      <c r="AT312" s="119" t="n">
        <f aca="false">IF(AND(AT310&gt;=0,AT311&lt;0),1,0)</f>
        <v>1</v>
      </c>
      <c r="AU312" s="119" t="n">
        <f aca="false">IF(AND(AU310&gt;=0,AU311&lt;0),1,0)</f>
        <v>1</v>
      </c>
      <c r="AV312" s="119" t="n">
        <f aca="false">IF(AND(AV310&gt;=0,AV311&lt;0),1,0)</f>
        <v>1</v>
      </c>
      <c r="AW312" s="119" t="n">
        <f aca="false">IF(AND(AW310&gt;=0,AW311&lt;0),1,0)</f>
        <v>1</v>
      </c>
      <c r="AX312" s="119" t="n">
        <f aca="false">IF(AND(AX310&gt;=0,AX311&lt;0),1,0)</f>
        <v>1</v>
      </c>
      <c r="AY312" s="119" t="n">
        <f aca="false">IF(AND(AY310&gt;=0,AY311&lt;0),1,0)</f>
        <v>1</v>
      </c>
      <c r="AZ312" s="119" t="n">
        <f aca="false">IF(AND(AZ310&gt;=0,AZ311&lt;0),1,0)</f>
        <v>1</v>
      </c>
      <c r="BA312" s="119" t="n">
        <f aca="false">IF(AND(BA310&gt;=0,BA311&lt;0),1,0)</f>
        <v>1</v>
      </c>
      <c r="BB312" s="119" t="n">
        <f aca="false">IF(AND(BB310&gt;=0,BB311&lt;0),1,0)</f>
        <v>1</v>
      </c>
      <c r="BC312" s="119" t="n">
        <f aca="false">IF(AND(BC310&gt;=0,BC311&lt;0),1,0)</f>
        <v>1</v>
      </c>
      <c r="BD312" s="119" t="n">
        <f aca="false">IF(AND(BD310&gt;=0,BD311&lt;0),1,0)</f>
        <v>1</v>
      </c>
      <c r="BE312" s="119" t="n">
        <f aca="false">IF(AND(BE310&gt;=0,BE311&lt;0),1,0)</f>
        <v>1</v>
      </c>
      <c r="BF312" s="119" t="n">
        <f aca="false">IF(AND(BF310&gt;=0,BF311&lt;0),1,0)</f>
        <v>1</v>
      </c>
      <c r="BG312" s="119" t="n">
        <f aca="false">IF(AND(BG310&gt;=0,BG311&lt;0),1,0)</f>
        <v>1</v>
      </c>
      <c r="BH312" s="119" t="n">
        <f aca="false">IF(AND(BH310&gt;=0,BH311&lt;0),1,0)</f>
        <v>1</v>
      </c>
      <c r="BI312" s="119" t="n">
        <f aca="false">IF(AND(BI310&gt;=0,BI311&lt;0),1,0)</f>
        <v>1</v>
      </c>
      <c r="BJ312" s="119" t="n">
        <f aca="false">IF(AND(BJ310&gt;=0,BJ311&lt;0),1,0)</f>
        <v>1</v>
      </c>
    </row>
    <row r="313" customFormat="false" ht="15" hidden="false" customHeight="false" outlineLevel="0" collapsed="false">
      <c r="A313" s="6" t="s">
        <v>432</v>
      </c>
      <c r="C313" s="67" t="n">
        <f aca="false">C298-C269*(1-Inputs!$D$70)+C299</f>
        <v>-93943.371185785</v>
      </c>
      <c r="D313" s="67" t="n">
        <f aca="false">D298-D269*(1-Inputs!$D$70)+D299</f>
        <v>20206.7284549678</v>
      </c>
      <c r="E313" s="67" t="n">
        <f aca="false">E298-E269*(1-Inputs!$D$70)+E299</f>
        <v>21369.645551742</v>
      </c>
      <c r="F313" s="67" t="n">
        <f aca="false">F298-F269*(1-Inputs!$D$70)+F299</f>
        <v>21369.645551742</v>
      </c>
      <c r="G313" s="67" t="n">
        <f aca="false">G298-G269*(1-Inputs!$D$70)+G299</f>
        <v>21369.645551742</v>
      </c>
      <c r="H313" s="67" t="n">
        <f aca="false">H298-H269*(1-Inputs!$D$70)+H299</f>
        <v>21369.645551742</v>
      </c>
      <c r="I313" s="67" t="n">
        <f aca="false">I298-I269*(1-Inputs!$D$70)+I299</f>
        <v>21369.645551742</v>
      </c>
      <c r="J313" s="67" t="n">
        <f aca="false">J298-J269*(1-Inputs!$D$70)+J299</f>
        <v>21369.645551742</v>
      </c>
      <c r="K313" s="67" t="n">
        <f aca="false">K298-K269*(1-Inputs!$D$70)+K299</f>
        <v>21369.645551742</v>
      </c>
      <c r="L313" s="67" t="n">
        <f aca="false">L298-L269*(1-Inputs!$D$70)+L299</f>
        <v>21369.645551742</v>
      </c>
      <c r="M313" s="67" t="n">
        <f aca="false">M298-M269*(1-Inputs!$D$70)+M299</f>
        <v>30909.6841251613</v>
      </c>
      <c r="N313" s="67" t="n">
        <f aca="false">N298-N269*(1-Inputs!$D$70)+N299</f>
        <v>35047.6253896774</v>
      </c>
      <c r="O313" s="67" t="n">
        <f aca="false">O298-O269*(1-Inputs!$D$70)+O299</f>
        <v>27943.3578242897</v>
      </c>
      <c r="P313" s="67" t="n">
        <f aca="false">P298-P269*(1-Inputs!$D$70)+P299</f>
        <v>26572.9878997822</v>
      </c>
      <c r="Q313" s="67" t="n">
        <f aca="false">Q298-Q269*(1-Inputs!$D$70)+Q299</f>
        <v>26575.9045664489</v>
      </c>
      <c r="R313" s="67" t="n">
        <f aca="false">R298-R269*(1-Inputs!$D$70)+R299</f>
        <v>26578.8212331155</v>
      </c>
      <c r="S313" s="67" t="n">
        <f aca="false">S298-S269*(1-Inputs!$D$70)+S299</f>
        <v>26581.7378997822</v>
      </c>
      <c r="T313" s="67" t="n">
        <f aca="false">T298-T269*(1-Inputs!$D$70)+T299</f>
        <v>26584.6545664489</v>
      </c>
      <c r="U313" s="67" t="n">
        <f aca="false">U298-U269*(1-Inputs!$D$70)+U299</f>
        <v>26587.5712331155</v>
      </c>
      <c r="V313" s="67" t="n">
        <f aca="false">V298-V269*(1-Inputs!$D$70)+V299</f>
        <v>26590.4878997822</v>
      </c>
      <c r="W313" s="67" t="n">
        <f aca="false">W298-W269*(1-Inputs!$D$70)+W299</f>
        <v>26593.4045664489</v>
      </c>
      <c r="X313" s="67" t="n">
        <f aca="false">X298-X269*(1-Inputs!$D$70)+X299</f>
        <v>26596.3212331155</v>
      </c>
      <c r="Y313" s="67" t="n">
        <f aca="false">Y298-Y269*(1-Inputs!$D$70)+Y299</f>
        <v>37016.9600219562</v>
      </c>
      <c r="Z313" s="67" t="n">
        <f aca="false">Z298-Z269*(1-Inputs!$D$70)+Z299</f>
        <v>41538.5085494744</v>
      </c>
      <c r="AA313" s="67" t="n">
        <f aca="false">AA298-AA269*(1-Inputs!$D$70)+AA299</f>
        <v>35460.3268724238</v>
      </c>
      <c r="AB313" s="67" t="n">
        <f aca="false">AB298-AB269*(1-Inputs!$D$70)+AB299</f>
        <v>34105.6870592754</v>
      </c>
      <c r="AC313" s="67" t="n">
        <f aca="false">AC298-AC269*(1-Inputs!$D$70)+AC299</f>
        <v>34108.6037259421</v>
      </c>
      <c r="AD313" s="67" t="n">
        <f aca="false">AD298-AD269*(1-Inputs!$D$70)+AD299</f>
        <v>34111.5203926088</v>
      </c>
      <c r="AE313" s="67" t="n">
        <f aca="false">AE298-AE269*(1-Inputs!$D$70)+AE299</f>
        <v>34114.4370592754</v>
      </c>
      <c r="AF313" s="67" t="n">
        <f aca="false">AF298-AF269*(1-Inputs!$D$70)+AF299</f>
        <v>34117.3537259421</v>
      </c>
      <c r="AG313" s="67" t="n">
        <f aca="false">AG298-AG269*(1-Inputs!$D$70)+AG299</f>
        <v>34120.2703926088</v>
      </c>
      <c r="AH313" s="67" t="n">
        <f aca="false">AH298-AH269*(1-Inputs!$D$70)+AH299</f>
        <v>34123.1870592754</v>
      </c>
      <c r="AI313" s="67" t="n">
        <f aca="false">AI298-AI269*(1-Inputs!$D$70)+AI299</f>
        <v>34126.1037259421</v>
      </c>
      <c r="AJ313" s="67" t="n">
        <f aca="false">AJ298-AJ269*(1-Inputs!$D$70)+AJ299</f>
        <v>34129.0203926088</v>
      </c>
      <c r="AK313" s="67" t="n">
        <f aca="false">AK298-AK269*(1-Inputs!$D$70)+AK299</f>
        <v>45508.0896166894</v>
      </c>
      <c r="AL313" s="67" t="n">
        <f aca="false">AL298-AL269*(1-Inputs!$D$70)+AL299</f>
        <v>50445.352275406</v>
      </c>
      <c r="AM313" s="67" t="n">
        <f aca="false">AM298-AM269*(1-Inputs!$D$70)+AM299</f>
        <v>44296.5216733311</v>
      </c>
      <c r="AN313" s="67" t="n">
        <f aca="false">AN298-AN269*(1-Inputs!$D$70)+AN299</f>
        <v>42988.3829011939</v>
      </c>
      <c r="AO313" s="67" t="n">
        <f aca="false">AO298-AO269*(1-Inputs!$D$70)+AO299</f>
        <v>42991.2995678606</v>
      </c>
      <c r="AP313" s="67" t="n">
        <f aca="false">AP298-AP269*(1-Inputs!$D$70)+AP299</f>
        <v>42994.2162345272</v>
      </c>
      <c r="AQ313" s="67" t="n">
        <f aca="false">AQ298-AQ269*(1-Inputs!$D$70)+AQ299</f>
        <v>42997.1329011939</v>
      </c>
      <c r="AR313" s="67" t="n">
        <f aca="false">AR298-AR269*(1-Inputs!$D$70)+AR299</f>
        <v>43000.0495678606</v>
      </c>
      <c r="AS313" s="67" t="n">
        <f aca="false">AS298-AS269*(1-Inputs!$D$70)+AS299</f>
        <v>43002.9662345272</v>
      </c>
      <c r="AT313" s="67" t="n">
        <f aca="false">AT298-AT269*(1-Inputs!$D$70)+AT299</f>
        <v>43005.8829011939</v>
      </c>
      <c r="AU313" s="67" t="n">
        <f aca="false">AU298-AU269*(1-Inputs!$D$70)+AU299</f>
        <v>43008.7995678606</v>
      </c>
      <c r="AV313" s="67" t="n">
        <f aca="false">AV298-AV269*(1-Inputs!$D$70)+AV299</f>
        <v>43011.7162345273</v>
      </c>
      <c r="AW313" s="67" t="n">
        <f aca="false">AW298-AW269*(1-Inputs!$D$70)+AW299</f>
        <v>55437.3914938899</v>
      </c>
      <c r="AX313" s="67" t="n">
        <f aca="false">AX298-AX269*(1-Inputs!$D$70)+AX299</f>
        <v>60828.6139838751</v>
      </c>
      <c r="AY313" s="67" t="n">
        <f aca="false">AY298-AY269*(1-Inputs!$D$70)+AY299</f>
        <v>54702.7529999979</v>
      </c>
      <c r="AZ313" s="67" t="n">
        <f aca="false">AZ298-AZ269*(1-Inputs!$D$70)+AZ299</f>
        <v>53480.7695479938</v>
      </c>
      <c r="BA313" s="67" t="n">
        <f aca="false">BA298-BA269*(1-Inputs!$D$70)+BA299</f>
        <v>53483.6862146604</v>
      </c>
      <c r="BB313" s="67" t="n">
        <f aca="false">BB298-BB269*(1-Inputs!$D$70)+BB299</f>
        <v>53486.602881327</v>
      </c>
      <c r="BC313" s="67" t="n">
        <f aca="false">BC298-BC269*(1-Inputs!$D$70)+BC299</f>
        <v>53489.5195479937</v>
      </c>
      <c r="BD313" s="67" t="n">
        <f aca="false">BD298-BD269*(1-Inputs!$D$70)+BD299</f>
        <v>53492.4362146604</v>
      </c>
      <c r="BE313" s="67" t="n">
        <f aca="false">BE298-BE269*(1-Inputs!$D$70)+BE299</f>
        <v>53495.3528813271</v>
      </c>
      <c r="BF313" s="67" t="n">
        <f aca="false">BF298-BF269*(1-Inputs!$D$70)+BF299</f>
        <v>53498.2695479937</v>
      </c>
      <c r="BG313" s="67" t="n">
        <f aca="false">BG298-BG269*(1-Inputs!$D$70)+BG299</f>
        <v>53501.1862146604</v>
      </c>
      <c r="BH313" s="67" t="n">
        <f aca="false">BH298-BH269*(1-Inputs!$D$70)+BH299</f>
        <v>53504.1028813271</v>
      </c>
      <c r="BI313" s="67" t="n">
        <f aca="false">BI298-BI269*(1-Inputs!$D$70)+BI299</f>
        <v>67072.6719312178</v>
      </c>
      <c r="BJ313" s="67" t="n">
        <f aca="false">BJ298-BJ269*(1-Inputs!$D$70)+BJ299</f>
        <v>72959.6185569483</v>
      </c>
    </row>
    <row r="315" customFormat="false" ht="15.75" hidden="false" customHeight="true" outlineLevel="0" collapsed="false">
      <c r="A315" s="7" t="s">
        <v>433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customFormat="false" ht="15" hidden="false" customHeight="false" outlineLevel="0" collapsed="false">
      <c r="A316" s="6" t="s">
        <v>97</v>
      </c>
      <c r="C316" s="67" t="n">
        <f aca="false">C300</f>
        <v>60000</v>
      </c>
      <c r="D316" s="67" t="n">
        <f aca="false">C316+D300</f>
        <v>60000</v>
      </c>
      <c r="E316" s="67" t="n">
        <f aca="false">D316+E300</f>
        <v>60000</v>
      </c>
      <c r="F316" s="67" t="n">
        <f aca="false">E316+F300</f>
        <v>60000</v>
      </c>
      <c r="G316" s="67" t="n">
        <f aca="false">F316+G300</f>
        <v>60000</v>
      </c>
      <c r="H316" s="67" t="n">
        <f aca="false">G316+H300</f>
        <v>60000</v>
      </c>
      <c r="I316" s="67" t="n">
        <f aca="false">H316+I300</f>
        <v>60000</v>
      </c>
      <c r="J316" s="67" t="n">
        <f aca="false">I316+J300</f>
        <v>60000</v>
      </c>
      <c r="K316" s="67" t="n">
        <f aca="false">J316+K300</f>
        <v>60000</v>
      </c>
      <c r="L316" s="67" t="n">
        <f aca="false">K316+L300</f>
        <v>60000</v>
      </c>
      <c r="M316" s="67" t="n">
        <f aca="false">L316+M300</f>
        <v>60000</v>
      </c>
      <c r="N316" s="67" t="n">
        <f aca="false">M316+N300</f>
        <v>60000</v>
      </c>
      <c r="O316" s="67" t="n">
        <f aca="false">N316+O300</f>
        <v>60000</v>
      </c>
      <c r="P316" s="67" t="n">
        <f aca="false">O316+P300</f>
        <v>60000</v>
      </c>
      <c r="Q316" s="67" t="n">
        <f aca="false">P316+Q300</f>
        <v>60000</v>
      </c>
      <c r="R316" s="67" t="n">
        <f aca="false">Q316+R300</f>
        <v>60000</v>
      </c>
      <c r="S316" s="67" t="n">
        <f aca="false">R316+S300</f>
        <v>60000</v>
      </c>
      <c r="T316" s="67" t="n">
        <f aca="false">S316+T300</f>
        <v>60000</v>
      </c>
      <c r="U316" s="67" t="n">
        <f aca="false">T316+U300</f>
        <v>60000</v>
      </c>
      <c r="V316" s="67" t="n">
        <f aca="false">U316+V300</f>
        <v>60000</v>
      </c>
      <c r="W316" s="67" t="n">
        <f aca="false">V316+W300</f>
        <v>60000</v>
      </c>
      <c r="X316" s="67" t="n">
        <f aca="false">W316+X300</f>
        <v>60000</v>
      </c>
      <c r="Y316" s="67" t="n">
        <f aca="false">X316+Y300</f>
        <v>60000</v>
      </c>
      <c r="Z316" s="67" t="n">
        <f aca="false">Y316+Z300</f>
        <v>60000</v>
      </c>
      <c r="AA316" s="67" t="n">
        <f aca="false">Z316+AA300</f>
        <v>60000</v>
      </c>
      <c r="AB316" s="67" t="n">
        <f aca="false">AA316+AB300</f>
        <v>60000</v>
      </c>
      <c r="AC316" s="67" t="n">
        <f aca="false">AB316+AC300</f>
        <v>60000</v>
      </c>
      <c r="AD316" s="67" t="n">
        <f aca="false">AC316+AD300</f>
        <v>60000</v>
      </c>
      <c r="AE316" s="67" t="n">
        <f aca="false">AD316+AE300</f>
        <v>60000</v>
      </c>
      <c r="AF316" s="67" t="n">
        <f aca="false">AE316+AF300</f>
        <v>60000</v>
      </c>
      <c r="AG316" s="67" t="n">
        <f aca="false">AF316+AG300</f>
        <v>60000</v>
      </c>
      <c r="AH316" s="67" t="n">
        <f aca="false">AG316+AH300</f>
        <v>60000</v>
      </c>
      <c r="AI316" s="67" t="n">
        <f aca="false">AH316+AI300</f>
        <v>60000</v>
      </c>
      <c r="AJ316" s="67" t="n">
        <f aca="false">AI316+AJ300</f>
        <v>60000</v>
      </c>
      <c r="AK316" s="67" t="n">
        <f aca="false">AJ316+AK300</f>
        <v>60000</v>
      </c>
      <c r="AL316" s="67" t="n">
        <f aca="false">AK316+AL300</f>
        <v>60000</v>
      </c>
      <c r="AM316" s="67" t="n">
        <f aca="false">AL316+AM300</f>
        <v>60000</v>
      </c>
      <c r="AN316" s="67" t="n">
        <f aca="false">AM316+AN300</f>
        <v>60000</v>
      </c>
      <c r="AO316" s="67" t="n">
        <f aca="false">AN316+AO300</f>
        <v>60000</v>
      </c>
      <c r="AP316" s="67" t="n">
        <f aca="false">AO316+AP300</f>
        <v>60000</v>
      </c>
      <c r="AQ316" s="67" t="n">
        <f aca="false">AP316+AQ300</f>
        <v>60000</v>
      </c>
      <c r="AR316" s="67" t="n">
        <f aca="false">AQ316+AR300</f>
        <v>60000</v>
      </c>
      <c r="AS316" s="67" t="n">
        <f aca="false">AR316+AS300</f>
        <v>60000</v>
      </c>
      <c r="AT316" s="67" t="n">
        <f aca="false">AS316+AT300</f>
        <v>60000</v>
      </c>
      <c r="AU316" s="67" t="n">
        <f aca="false">AT316+AU300</f>
        <v>60000</v>
      </c>
      <c r="AV316" s="67" t="n">
        <f aca="false">AU316+AV300</f>
        <v>60000</v>
      </c>
      <c r="AW316" s="67" t="n">
        <f aca="false">AV316+AW300</f>
        <v>60000</v>
      </c>
      <c r="AX316" s="67" t="n">
        <f aca="false">AW316+AX300</f>
        <v>60000</v>
      </c>
      <c r="AY316" s="67" t="n">
        <f aca="false">AX316+AY300</f>
        <v>60000</v>
      </c>
      <c r="AZ316" s="67" t="n">
        <f aca="false">AY316+AZ300</f>
        <v>60000</v>
      </c>
      <c r="BA316" s="67" t="n">
        <f aca="false">AZ316+BA300</f>
        <v>60000</v>
      </c>
      <c r="BB316" s="67" t="n">
        <f aca="false">BA316+BB300</f>
        <v>60000</v>
      </c>
      <c r="BC316" s="67" t="n">
        <f aca="false">BB316+BC300</f>
        <v>60000</v>
      </c>
      <c r="BD316" s="67" t="n">
        <f aca="false">BC316+BD300</f>
        <v>60000</v>
      </c>
      <c r="BE316" s="67" t="n">
        <f aca="false">BD316+BE300</f>
        <v>60000</v>
      </c>
      <c r="BF316" s="67" t="n">
        <f aca="false">BE316+BF300</f>
        <v>60000</v>
      </c>
      <c r="BG316" s="67" t="n">
        <f aca="false">BF316+BG300</f>
        <v>60000</v>
      </c>
      <c r="BH316" s="67" t="n">
        <f aca="false">BG316+BH300</f>
        <v>60000</v>
      </c>
      <c r="BI316" s="67" t="n">
        <f aca="false">BH316+BI300</f>
        <v>60000</v>
      </c>
      <c r="BJ316" s="67" t="n">
        <f aca="false">BI316+BJ300</f>
        <v>60000</v>
      </c>
    </row>
    <row r="317" customFormat="false" ht="15" hidden="false" customHeight="false" outlineLevel="0" collapsed="false">
      <c r="A317" s="6" t="s">
        <v>98</v>
      </c>
      <c r="C317" s="67" t="n">
        <f aca="false">C274</f>
        <v>15943.3015374101</v>
      </c>
      <c r="D317" s="67" t="n">
        <f aca="false">C317+D274</f>
        <v>35797.5824066124</v>
      </c>
      <c r="E317" s="67" t="n">
        <f aca="false">D317+E274</f>
        <v>55659.3243869258</v>
      </c>
      <c r="F317" s="67" t="n">
        <f aca="false">E317+F274</f>
        <v>75528.5274783503</v>
      </c>
      <c r="G317" s="67" t="n">
        <f aca="false">F317+G274</f>
        <v>95405.1916808859</v>
      </c>
      <c r="H317" s="67" t="n">
        <f aca="false">G317+H274</f>
        <v>115289.316994533</v>
      </c>
      <c r="I317" s="67" t="n">
        <f aca="false">H317+I274</f>
        <v>135180.90341929</v>
      </c>
      <c r="J317" s="67" t="n">
        <f aca="false">I317+J274</f>
        <v>155079.950955159</v>
      </c>
      <c r="K317" s="67" t="n">
        <f aca="false">J317+K274</f>
        <v>174986.459602139</v>
      </c>
      <c r="L317" s="67" t="n">
        <f aca="false">K317+L274</f>
        <v>194900.429360231</v>
      </c>
      <c r="M317" s="67" t="n">
        <f aca="false">L317+M274</f>
        <v>228499.840067368</v>
      </c>
      <c r="N317" s="67" t="n">
        <f aca="false">M317+N274</f>
        <v>262106.711885617</v>
      </c>
      <c r="O317" s="67" t="n">
        <f aca="false">N317+O274</f>
        <v>288396.268436193</v>
      </c>
      <c r="P317" s="67" t="n">
        <f aca="false">O317+P274</f>
        <v>314682.313875658</v>
      </c>
      <c r="Q317" s="67" t="n">
        <f aca="false">P317+Q274</f>
        <v>340964.848204011</v>
      </c>
      <c r="R317" s="67" t="n">
        <f aca="false">Q317+R274</f>
        <v>367243.871421254</v>
      </c>
      <c r="S317" s="67" t="n">
        <f aca="false">R317+S274</f>
        <v>393519.383527385</v>
      </c>
      <c r="T317" s="67" t="n">
        <f aca="false">S317+T274</f>
        <v>419791.384522406</v>
      </c>
      <c r="U317" s="67" t="n">
        <f aca="false">T317+U274</f>
        <v>446059.874406315</v>
      </c>
      <c r="V317" s="67" t="n">
        <f aca="false">U317+V274</f>
        <v>472324.853179113</v>
      </c>
      <c r="W317" s="67" t="n">
        <f aca="false">V317+W274</f>
        <v>498586.3208408</v>
      </c>
      <c r="X317" s="67" t="n">
        <f aca="false">W317+X274</f>
        <v>524844.277391376</v>
      </c>
      <c r="Y317" s="67" t="n">
        <f aca="false">X317+Y274</f>
        <v>566035.076813866</v>
      </c>
      <c r="Z317" s="67" t="n">
        <f aca="false">Y317+Z274</f>
        <v>607222.365125245</v>
      </c>
      <c r="AA317" s="67" t="n">
        <f aca="false">Z317+AA274</f>
        <v>640967.487501981</v>
      </c>
      <c r="AB317" s="67" t="n">
        <f aca="false">AA317+AB274</f>
        <v>674709.098767606</v>
      </c>
      <c r="AC317" s="67" t="n">
        <f aca="false">AB317+AC274</f>
        <v>708447.198922119</v>
      </c>
      <c r="AD317" s="67" t="n">
        <f aca="false">AC317+AD274</f>
        <v>742181.787965521</v>
      </c>
      <c r="AE317" s="67" t="n">
        <f aca="false">AD317+AE274</f>
        <v>775912.865897813</v>
      </c>
      <c r="AF317" s="67" t="n">
        <f aca="false">AE317+AF274</f>
        <v>809640.432718993</v>
      </c>
      <c r="AG317" s="67" t="n">
        <f aca="false">AF317+AG274</f>
        <v>843364.488429062</v>
      </c>
      <c r="AH317" s="67" t="n">
        <f aca="false">AG317+AH274</f>
        <v>877085.03302802</v>
      </c>
      <c r="AI317" s="67" t="n">
        <f aca="false">AH317+AI274</f>
        <v>910802.066515867</v>
      </c>
      <c r="AJ317" s="67" t="n">
        <f aca="false">AI317+AJ274</f>
        <v>944515.588892603</v>
      </c>
      <c r="AK317" s="67" t="n">
        <f aca="false">AJ317+AK274</f>
        <v>994536.098707691</v>
      </c>
      <c r="AL317" s="67" t="n">
        <f aca="false">AK317+AL274</f>
        <v>1044553.09741167</v>
      </c>
      <c r="AM317" s="67" t="n">
        <f aca="false">AL317+AM274</f>
        <v>1087103.78229699</v>
      </c>
      <c r="AN317" s="67" t="n">
        <f aca="false">AM317+AN274</f>
        <v>1129650.9560712</v>
      </c>
      <c r="AO317" s="67" t="n">
        <f aca="false">AN317+AO274</f>
        <v>1172194.6187343</v>
      </c>
      <c r="AP317" s="67" t="n">
        <f aca="false">AO317+AP274</f>
        <v>1214734.77028629</v>
      </c>
      <c r="AQ317" s="67" t="n">
        <f aca="false">AP317+AQ274</f>
        <v>1257271.41072716</v>
      </c>
      <c r="AR317" s="67" t="n">
        <f aca="false">AQ317+AR274</f>
        <v>1299804.54005693</v>
      </c>
      <c r="AS317" s="67" t="n">
        <f aca="false">AR317+AS274</f>
        <v>1342334.15827558</v>
      </c>
      <c r="AT317" s="67" t="n">
        <f aca="false">AS317+AT274</f>
        <v>1384860.26538312</v>
      </c>
      <c r="AU317" s="67" t="n">
        <f aca="false">AT317+AU274</f>
        <v>1427382.86137956</v>
      </c>
      <c r="AV317" s="67" t="n">
        <f aca="false">AU317+AV274</f>
        <v>1469901.94626488</v>
      </c>
      <c r="AW317" s="67" t="n">
        <f aca="false">AV317+AW274</f>
        <v>1530228.5844551</v>
      </c>
      <c r="AX317" s="67" t="n">
        <f aca="false">AW317+AX274</f>
        <v>1590551.71153422</v>
      </c>
      <c r="AY317" s="67" t="n">
        <f aca="false">AX317+AY274</f>
        <v>1643517.649733</v>
      </c>
      <c r="AZ317" s="67" t="n">
        <f aca="false">AY317+AZ274</f>
        <v>1696480.07682068</v>
      </c>
      <c r="BA317" s="67" t="n">
        <f aca="false">AZ317+BA274</f>
        <v>1749438.99279724</v>
      </c>
      <c r="BB317" s="67" t="n">
        <f aca="false">BA317+BB274</f>
        <v>1802394.3976627</v>
      </c>
      <c r="BC317" s="67" t="n">
        <f aca="false">BB317+BC274</f>
        <v>1855346.29141704</v>
      </c>
      <c r="BD317" s="67" t="n">
        <f aca="false">BC317+BD274</f>
        <v>1908294.67406027</v>
      </c>
      <c r="BE317" s="67" t="n">
        <f aca="false">BD317+BE274</f>
        <v>1961239.54559239</v>
      </c>
      <c r="BF317" s="67" t="n">
        <f aca="false">BE317+BF274</f>
        <v>2014180.9060134</v>
      </c>
      <c r="BG317" s="67" t="n">
        <f aca="false">BF317+BG274</f>
        <v>2067118.7553233</v>
      </c>
      <c r="BH317" s="67" t="n">
        <f aca="false">BG317+BH274</f>
        <v>2120053.09352209</v>
      </c>
      <c r="BI317" s="67" t="n">
        <f aca="false">BH317+BI274</f>
        <v>2192433.60295205</v>
      </c>
      <c r="BJ317" s="67" t="n">
        <f aca="false">BI317+BJ274</f>
        <v>2264810.60127091</v>
      </c>
    </row>
    <row r="318" customFormat="false" ht="15" hidden="false" customHeight="false" outlineLevel="0" collapsed="false">
      <c r="A318" s="4" t="s">
        <v>93</v>
      </c>
      <c r="C318" s="73" t="n">
        <f aca="false">C304+C290+C291+C281</f>
        <v>181339.827983862</v>
      </c>
      <c r="D318" s="73" t="n">
        <f aca="false">D304+D290+D291+D281</f>
        <v>201234.275003602</v>
      </c>
      <c r="E318" s="73" t="n">
        <f aca="false">E304+E290+E291+E281</f>
        <v>219762.683650582</v>
      </c>
      <c r="F318" s="73" t="n">
        <f aca="false">F304+F290+F291+F281</f>
        <v>238298.553408673</v>
      </c>
      <c r="G318" s="73" t="n">
        <f aca="false">G304+G290+G291+G281</f>
        <v>256841.884277875</v>
      </c>
      <c r="H318" s="73" t="n">
        <f aca="false">H304+H290+H291+H281</f>
        <v>275392.676258189</v>
      </c>
      <c r="I318" s="73" t="n">
        <f aca="false">I304+I290+I291+I281</f>
        <v>293950.929349613</v>
      </c>
      <c r="J318" s="73" t="n">
        <f aca="false">J304+J290+J291+J281</f>
        <v>312516.643552149</v>
      </c>
      <c r="K318" s="73" t="n">
        <f aca="false">K304+K290+K291+K281</f>
        <v>331089.818865795</v>
      </c>
      <c r="L318" s="73" t="n">
        <f aca="false">L304+L290+L291+L281</f>
        <v>349670.455290553</v>
      </c>
      <c r="M318" s="73" t="n">
        <f aca="false">M304+M290+M291+M281</f>
        <v>386136.315146938</v>
      </c>
      <c r="N318" s="73" t="n">
        <f aca="false">N304+N290+N291+N281</f>
        <v>418409.853631854</v>
      </c>
      <c r="O318" s="73" t="n">
        <f aca="false">O304+O290+O291+O281</f>
        <v>442769.807254505</v>
      </c>
      <c r="P318" s="73" t="n">
        <f aca="false">P304+P290+P291+P281</f>
        <v>467722.519360637</v>
      </c>
      <c r="Q318" s="73" t="n">
        <f aca="false">Q304+Q290+Q291+Q281</f>
        <v>492671.720355657</v>
      </c>
      <c r="R318" s="73" t="n">
        <f aca="false">R304+R290+R291+R281</f>
        <v>517617.410239566</v>
      </c>
      <c r="S318" s="73" t="n">
        <f aca="false">S304+S290+S291+S281</f>
        <v>542559.589012364</v>
      </c>
      <c r="T318" s="73" t="n">
        <f aca="false">T304+T290+T291+T281</f>
        <v>567498.256674051</v>
      </c>
      <c r="U318" s="73" t="n">
        <f aca="false">U304+U290+U291+U281</f>
        <v>592433.413224627</v>
      </c>
      <c r="V318" s="73" t="n">
        <f aca="false">V304+V290+V291+V281</f>
        <v>617365.058664092</v>
      </c>
      <c r="W318" s="73" t="n">
        <f aca="false">W304+W290+W291+W281</f>
        <v>642293.192992446</v>
      </c>
      <c r="X318" s="73" t="n">
        <f aca="false">X304+X290+X291+X281</f>
        <v>667217.816209688</v>
      </c>
      <c r="Y318" s="73" t="n">
        <f aca="false">Y304+Y290+Y291+Y281</f>
        <v>711661.444769823</v>
      </c>
      <c r="Z318" s="73" t="n">
        <f aca="false">Z304+Z290+Z291+Z281</f>
        <v>751515.399747869</v>
      </c>
      <c r="AA318" s="73" t="n">
        <f aca="false">AA304+AA290+AA291+AA281</f>
        <v>783511.496785673</v>
      </c>
      <c r="AB318" s="73" t="n">
        <f aca="false">AB304+AB290+AB291+AB281</f>
        <v>815919.774717965</v>
      </c>
      <c r="AC318" s="73" t="n">
        <f aca="false">AC304+AC290+AC291+AC281</f>
        <v>848324.541539145</v>
      </c>
      <c r="AD318" s="73" t="n">
        <f aca="false">AD304+AD290+AD291+AD281</f>
        <v>880725.797249214</v>
      </c>
      <c r="AE318" s="73" t="n">
        <f aca="false">AE304+AE290+AE291+AE281</f>
        <v>913123.541848172</v>
      </c>
      <c r="AF318" s="73" t="n">
        <f aca="false">AF304+AF290+AF291+AF281</f>
        <v>945517.775336019</v>
      </c>
      <c r="AG318" s="73" t="n">
        <f aca="false">AG304+AG290+AG291+AG281</f>
        <v>977908.497712755</v>
      </c>
      <c r="AH318" s="73" t="n">
        <f aca="false">AH304+AH290+AH291+AH281</f>
        <v>1010295.70897838</v>
      </c>
      <c r="AI318" s="73" t="n">
        <f aca="false">AI304+AI290+AI291+AI281</f>
        <v>1042679.40913289</v>
      </c>
      <c r="AJ318" s="73" t="n">
        <f aca="false">AJ304+AJ290+AJ291+AJ281</f>
        <v>1075059.5981763</v>
      </c>
      <c r="AK318" s="73" t="n">
        <f aca="false">AK304+AK290+AK291+AK281</f>
        <v>1128754.86407636</v>
      </c>
      <c r="AL318" s="73" t="n">
        <f aca="false">AL304+AL290+AL291+AL281</f>
        <v>1177438.529447</v>
      </c>
      <c r="AM318" s="73" t="n">
        <f aca="false">AM304+AM290+AM291+AM281</f>
        <v>1218485.97337902</v>
      </c>
      <c r="AN318" s="73" t="n">
        <f aca="false">AN304+AN290+AN291+AN281</f>
        <v>1259699.8138199</v>
      </c>
      <c r="AO318" s="73" t="n">
        <f aca="false">AO304+AO290+AO291+AO281</f>
        <v>1300910.14314966</v>
      </c>
      <c r="AP318" s="73" t="n">
        <f aca="false">AP304+AP290+AP291+AP281</f>
        <v>1342116.96136831</v>
      </c>
      <c r="AQ318" s="73" t="n">
        <f aca="false">AQ304+AQ290+AQ291+AQ281</f>
        <v>1383320.26847586</v>
      </c>
      <c r="AR318" s="73" t="n">
        <f aca="false">AR304+AR290+AR291+AR281</f>
        <v>1424520.06447229</v>
      </c>
      <c r="AS318" s="73" t="n">
        <f aca="false">AS304+AS290+AS291+AS281</f>
        <v>1465716.34935761</v>
      </c>
      <c r="AT318" s="73" t="n">
        <f aca="false">AT304+AT290+AT291+AT281</f>
        <v>1506909.12313182</v>
      </c>
      <c r="AU318" s="73" t="n">
        <f aca="false">AU304+AU290+AU291+AU281</f>
        <v>1548098.38579492</v>
      </c>
      <c r="AV318" s="73" t="n">
        <f aca="false">AV304+AV290+AV291+AV281</f>
        <v>1589284.13734691</v>
      </c>
      <c r="AW318" s="73" t="n">
        <f aca="false">AW304+AW290+AW291+AW281</f>
        <v>1653746.27584859</v>
      </c>
      <c r="AX318" s="73" t="n">
        <f aca="false">AX304+AX290+AX291+AX281</f>
        <v>1712736.06959437</v>
      </c>
      <c r="AY318" s="73" t="n">
        <f aca="false">AY304+AY290+AY291+AY281</f>
        <v>1764525.78677851</v>
      </c>
      <c r="AZ318" s="73" t="n">
        <f aca="false">AZ304+AZ290+AZ291+AZ281</f>
        <v>1816154.88053285</v>
      </c>
      <c r="BA318" s="73" t="n">
        <f aca="false">BA304+BA290+BA291+BA281</f>
        <v>1867780.46317608</v>
      </c>
      <c r="BB318" s="73" t="n">
        <f aca="false">BB304+BB290+BB291+BB281</f>
        <v>1919402.5347082</v>
      </c>
      <c r="BC318" s="73" t="n">
        <f aca="false">BC304+BC290+BC291+BC281</f>
        <v>1971021.09512921</v>
      </c>
      <c r="BD318" s="73" t="n">
        <f aca="false">BD304+BD290+BD291+BD281</f>
        <v>2022636.14443911</v>
      </c>
      <c r="BE318" s="73" t="n">
        <f aca="false">BE304+BE290+BE291+BE281</f>
        <v>2074247.6826379</v>
      </c>
      <c r="BF318" s="73" t="n">
        <f aca="false">BF304+BF290+BF291+BF281</f>
        <v>2125855.70972557</v>
      </c>
      <c r="BG318" s="73" t="n">
        <f aca="false">BG304+BG290+BG291+BG281</f>
        <v>2177460.22570214</v>
      </c>
      <c r="BH318" s="73" t="n">
        <f aca="false">BH304+BH290+BH291+BH281</f>
        <v>2229061.23056759</v>
      </c>
      <c r="BI318" s="73" t="n">
        <f aca="false">BI304+BI290+BI291+BI281</f>
        <v>2306080.37300434</v>
      </c>
      <c r="BJ318" s="73" t="n">
        <f aca="false">BJ304+BJ290+BJ291+BJ281</f>
        <v>2377124.03798986</v>
      </c>
    </row>
    <row r="319" customFormat="false" ht="15" hidden="false" customHeight="false" outlineLevel="0" collapsed="false">
      <c r="A319" s="6" t="s">
        <v>96</v>
      </c>
      <c r="C319" s="67" t="n">
        <f aca="false">C292+C287</f>
        <v>105396.526446452</v>
      </c>
      <c r="D319" s="67" t="n">
        <f aca="false">D292+D287</f>
        <v>105436.692596989</v>
      </c>
      <c r="E319" s="67" t="n">
        <f aca="false">E292+E287</f>
        <v>104103.359263656</v>
      </c>
      <c r="F319" s="67" t="n">
        <f aca="false">F292+F287</f>
        <v>102770.025930323</v>
      </c>
      <c r="G319" s="67" t="n">
        <f aca="false">G292+G287</f>
        <v>101436.692596989</v>
      </c>
      <c r="H319" s="67" t="n">
        <f aca="false">H292+H287</f>
        <v>100103.359263656</v>
      </c>
      <c r="I319" s="67" t="n">
        <f aca="false">I292+I287</f>
        <v>98770.0259303226</v>
      </c>
      <c r="J319" s="67" t="n">
        <f aca="false">J292+J287</f>
        <v>97436.6925969893</v>
      </c>
      <c r="K319" s="67" t="n">
        <f aca="false">K292+K287</f>
        <v>96103.359263656</v>
      </c>
      <c r="L319" s="67" t="n">
        <f aca="false">L292+L287</f>
        <v>94770.0259303226</v>
      </c>
      <c r="M319" s="67" t="n">
        <f aca="false">M292+M287</f>
        <v>97636.47507957</v>
      </c>
      <c r="N319" s="67" t="n">
        <f aca="false">N292+N287</f>
        <v>96303.1417462366</v>
      </c>
      <c r="O319" s="67" t="n">
        <f aca="false">O292+O287</f>
        <v>94373.5388183123</v>
      </c>
      <c r="P319" s="67" t="n">
        <f aca="false">P292+P287</f>
        <v>93040.205484979</v>
      </c>
      <c r="Q319" s="67" t="n">
        <f aca="false">Q292+Q287</f>
        <v>91706.8721516456</v>
      </c>
      <c r="R319" s="67" t="n">
        <f aca="false">R292+R287</f>
        <v>90373.5388183123</v>
      </c>
      <c r="S319" s="67" t="n">
        <f aca="false">S292+S287</f>
        <v>89040.205484979</v>
      </c>
      <c r="T319" s="67" t="n">
        <f aca="false">T292+T287</f>
        <v>87706.8721516456</v>
      </c>
      <c r="U319" s="67" t="n">
        <f aca="false">U292+U287</f>
        <v>86373.5388183123</v>
      </c>
      <c r="V319" s="67" t="n">
        <f aca="false">V292+V287</f>
        <v>85040.205484979</v>
      </c>
      <c r="W319" s="67" t="n">
        <f aca="false">W292+W287</f>
        <v>83706.8721516456</v>
      </c>
      <c r="X319" s="67" t="n">
        <f aca="false">X292+X287</f>
        <v>82373.5388183123</v>
      </c>
      <c r="Y319" s="67" t="n">
        <f aca="false">Y292+Y287</f>
        <v>85626.367955957</v>
      </c>
      <c r="Z319" s="67" t="n">
        <f aca="false">Z292+Z287</f>
        <v>84293.0346226237</v>
      </c>
      <c r="AA319" s="67" t="n">
        <f aca="false">AA292+AA287</f>
        <v>82544.0092836924</v>
      </c>
      <c r="AB319" s="67" t="n">
        <f aca="false">AB292+AB287</f>
        <v>81210.675950359</v>
      </c>
      <c r="AC319" s="67" t="n">
        <f aca="false">AC292+AC287</f>
        <v>79877.3426170257</v>
      </c>
      <c r="AD319" s="67" t="n">
        <f aca="false">AD292+AD287</f>
        <v>78544.0092836924</v>
      </c>
      <c r="AE319" s="67" t="n">
        <f aca="false">AE292+AE287</f>
        <v>77210.675950359</v>
      </c>
      <c r="AF319" s="67" t="n">
        <f aca="false">AF292+AF287</f>
        <v>75877.3426170257</v>
      </c>
      <c r="AG319" s="67" t="n">
        <f aca="false">AG292+AG287</f>
        <v>74544.0092836923</v>
      </c>
      <c r="AH319" s="67" t="n">
        <f aca="false">AH292+AH287</f>
        <v>73210.675950359</v>
      </c>
      <c r="AI319" s="67" t="n">
        <f aca="false">AI292+AI287</f>
        <v>71877.3426170257</v>
      </c>
      <c r="AJ319" s="67" t="n">
        <f aca="false">AJ292+AJ287</f>
        <v>70544.0092836923</v>
      </c>
      <c r="AK319" s="67" t="n">
        <f aca="false">AK292+AK287</f>
        <v>74218.7653686671</v>
      </c>
      <c r="AL319" s="67" t="n">
        <f aca="false">AL292+AL287</f>
        <v>72885.4320353337</v>
      </c>
      <c r="AM319" s="67" t="n">
        <f aca="false">AM292+AM287</f>
        <v>71382.1910820287</v>
      </c>
      <c r="AN319" s="67" t="n">
        <f aca="false">AN292+AN287</f>
        <v>70048.8577486954</v>
      </c>
      <c r="AO319" s="67" t="n">
        <f aca="false">AO292+AO287</f>
        <v>68715.524415362</v>
      </c>
      <c r="AP319" s="67" t="n">
        <f aca="false">AP292+AP287</f>
        <v>67382.1910820287</v>
      </c>
      <c r="AQ319" s="67" t="n">
        <f aca="false">AQ292+AQ287</f>
        <v>66048.8577486954</v>
      </c>
      <c r="AR319" s="67" t="n">
        <f aca="false">AR292+AR287</f>
        <v>64715.524415362</v>
      </c>
      <c r="AS319" s="67" t="n">
        <f aca="false">AS292+AS287</f>
        <v>63382.1910820287</v>
      </c>
      <c r="AT319" s="67" t="n">
        <f aca="false">AT292+AT287</f>
        <v>62048.8577486954</v>
      </c>
      <c r="AU319" s="67" t="n">
        <f aca="false">AU292+AU287</f>
        <v>60715.524415362</v>
      </c>
      <c r="AV319" s="67" t="n">
        <f aca="false">AV292+AV287</f>
        <v>59382.1910820287</v>
      </c>
      <c r="AW319" s="67" t="n">
        <f aca="false">AW292+AW287</f>
        <v>63517.6913934878</v>
      </c>
      <c r="AX319" s="67" t="n">
        <f aca="false">AX292+AX287</f>
        <v>62184.3580601544</v>
      </c>
      <c r="AY319" s="67" t="n">
        <f aca="false">AY292+AY287</f>
        <v>61008.1370455024</v>
      </c>
      <c r="AZ319" s="67" t="n">
        <f aca="false">AZ292+AZ287</f>
        <v>59674.8037121691</v>
      </c>
      <c r="BA319" s="67" t="n">
        <f aca="false">BA292+BA287</f>
        <v>58341.4703788358</v>
      </c>
      <c r="BB319" s="67" t="n">
        <f aca="false">BB292+BB287</f>
        <v>57008.1370455024</v>
      </c>
      <c r="BC319" s="67" t="n">
        <f aca="false">BC292+BC287</f>
        <v>55674.8037121691</v>
      </c>
      <c r="BD319" s="67" t="n">
        <f aca="false">BD292+BD287</f>
        <v>54341.4703788357</v>
      </c>
      <c r="BE319" s="67" t="n">
        <f aca="false">BE292+BE287</f>
        <v>53008.1370455024</v>
      </c>
      <c r="BF319" s="67" t="n">
        <f aca="false">BF292+BF287</f>
        <v>51674.8037121691</v>
      </c>
      <c r="BG319" s="67" t="n">
        <f aca="false">BG292+BG287</f>
        <v>50341.4703788358</v>
      </c>
      <c r="BH319" s="67" t="n">
        <f aca="false">BH292+BH287</f>
        <v>49008.1370455024</v>
      </c>
      <c r="BI319" s="67" t="n">
        <f aca="false">BI292+BI287</f>
        <v>53646.7700522824</v>
      </c>
      <c r="BJ319" s="67" t="n">
        <f aca="false">BJ292+BJ287</f>
        <v>52313.436718949</v>
      </c>
    </row>
    <row r="320" customFormat="false" ht="15" hidden="false" customHeight="false" outlineLevel="0" collapsed="false">
      <c r="A320" s="6" t="s">
        <v>99</v>
      </c>
      <c r="C320" s="67" t="n">
        <f aca="false">C316+C317</f>
        <v>75943.3015374101</v>
      </c>
      <c r="D320" s="67" t="n">
        <f aca="false">D316+D317</f>
        <v>95797.5824066124</v>
      </c>
      <c r="E320" s="67" t="n">
        <f aca="false">E316+E317</f>
        <v>115659.324386926</v>
      </c>
      <c r="F320" s="67" t="n">
        <f aca="false">F316+F317</f>
        <v>135528.52747835</v>
      </c>
      <c r="G320" s="67" t="n">
        <f aca="false">G316+G317</f>
        <v>155405.191680886</v>
      </c>
      <c r="H320" s="67" t="n">
        <f aca="false">H316+H317</f>
        <v>175289.316994533</v>
      </c>
      <c r="I320" s="67" t="n">
        <f aca="false">I316+I317</f>
        <v>195180.90341929</v>
      </c>
      <c r="J320" s="67" t="n">
        <f aca="false">J316+J317</f>
        <v>215079.950955159</v>
      </c>
      <c r="K320" s="67" t="n">
        <f aca="false">K316+K317</f>
        <v>234986.459602139</v>
      </c>
      <c r="L320" s="67" t="n">
        <f aca="false">L316+L317</f>
        <v>254900.429360231</v>
      </c>
      <c r="M320" s="67" t="n">
        <f aca="false">M316+M317</f>
        <v>288499.840067368</v>
      </c>
      <c r="N320" s="67" t="n">
        <f aca="false">N316+N317</f>
        <v>322106.711885617</v>
      </c>
      <c r="O320" s="67" t="n">
        <f aca="false">O316+O317</f>
        <v>348396.268436193</v>
      </c>
      <c r="P320" s="67" t="n">
        <f aca="false">P316+P317</f>
        <v>374682.313875658</v>
      </c>
      <c r="Q320" s="67" t="n">
        <f aca="false">Q316+Q317</f>
        <v>400964.848204011</v>
      </c>
      <c r="R320" s="67" t="n">
        <f aca="false">R316+R317</f>
        <v>427243.871421254</v>
      </c>
      <c r="S320" s="67" t="n">
        <f aca="false">S316+S317</f>
        <v>453519.383527385</v>
      </c>
      <c r="T320" s="67" t="n">
        <f aca="false">T316+T317</f>
        <v>479791.384522406</v>
      </c>
      <c r="U320" s="67" t="n">
        <f aca="false">U316+U317</f>
        <v>506059.874406315</v>
      </c>
      <c r="V320" s="67" t="n">
        <f aca="false">V316+V317</f>
        <v>532324.853179113</v>
      </c>
      <c r="W320" s="67" t="n">
        <f aca="false">W316+W317</f>
        <v>558586.3208408</v>
      </c>
      <c r="X320" s="67" t="n">
        <f aca="false">X316+X317</f>
        <v>584844.277391376</v>
      </c>
      <c r="Y320" s="67" t="n">
        <f aca="false">Y316+Y317</f>
        <v>626035.076813866</v>
      </c>
      <c r="Z320" s="67" t="n">
        <f aca="false">Z316+Z317</f>
        <v>667222.365125245</v>
      </c>
      <c r="AA320" s="67" t="n">
        <f aca="false">AA316+AA317</f>
        <v>700967.487501981</v>
      </c>
      <c r="AB320" s="67" t="n">
        <f aca="false">AB316+AB317</f>
        <v>734709.098767606</v>
      </c>
      <c r="AC320" s="67" t="n">
        <f aca="false">AC316+AC317</f>
        <v>768447.198922119</v>
      </c>
      <c r="AD320" s="67" t="n">
        <f aca="false">AD316+AD317</f>
        <v>802181.787965521</v>
      </c>
      <c r="AE320" s="67" t="n">
        <f aca="false">AE316+AE317</f>
        <v>835912.865897813</v>
      </c>
      <c r="AF320" s="67" t="n">
        <f aca="false">AF316+AF317</f>
        <v>869640.432718993</v>
      </c>
      <c r="AG320" s="67" t="n">
        <f aca="false">AG316+AG317</f>
        <v>903364.488429062</v>
      </c>
      <c r="AH320" s="67" t="n">
        <f aca="false">AH316+AH317</f>
        <v>937085.03302802</v>
      </c>
      <c r="AI320" s="67" t="n">
        <f aca="false">AI316+AI317</f>
        <v>970802.066515867</v>
      </c>
      <c r="AJ320" s="67" t="n">
        <f aca="false">AJ316+AJ317</f>
        <v>1004515.5888926</v>
      </c>
      <c r="AK320" s="67" t="n">
        <f aca="false">AK316+AK317</f>
        <v>1054536.09870769</v>
      </c>
      <c r="AL320" s="67" t="n">
        <f aca="false">AL316+AL317</f>
        <v>1104553.09741167</v>
      </c>
      <c r="AM320" s="67" t="n">
        <f aca="false">AM316+AM317</f>
        <v>1147103.78229699</v>
      </c>
      <c r="AN320" s="67" t="n">
        <f aca="false">AN316+AN317</f>
        <v>1189650.9560712</v>
      </c>
      <c r="AO320" s="67" t="n">
        <f aca="false">AO316+AO317</f>
        <v>1232194.6187343</v>
      </c>
      <c r="AP320" s="67" t="n">
        <f aca="false">AP316+AP317</f>
        <v>1274734.77028629</v>
      </c>
      <c r="AQ320" s="67" t="n">
        <f aca="false">AQ316+AQ317</f>
        <v>1317271.41072716</v>
      </c>
      <c r="AR320" s="67" t="n">
        <f aca="false">AR316+AR317</f>
        <v>1359804.54005693</v>
      </c>
      <c r="AS320" s="67" t="n">
        <f aca="false">AS316+AS317</f>
        <v>1402334.15827558</v>
      </c>
      <c r="AT320" s="67" t="n">
        <f aca="false">AT316+AT317</f>
        <v>1444860.26538312</v>
      </c>
      <c r="AU320" s="67" t="n">
        <f aca="false">AU316+AU317</f>
        <v>1487382.86137956</v>
      </c>
      <c r="AV320" s="67" t="n">
        <f aca="false">AV316+AV317</f>
        <v>1529901.94626488</v>
      </c>
      <c r="AW320" s="67" t="n">
        <f aca="false">AW316+AW317</f>
        <v>1590228.5844551</v>
      </c>
      <c r="AX320" s="67" t="n">
        <f aca="false">AX316+AX317</f>
        <v>1650551.71153422</v>
      </c>
      <c r="AY320" s="67" t="n">
        <f aca="false">AY316+AY317</f>
        <v>1703517.649733</v>
      </c>
      <c r="AZ320" s="67" t="n">
        <f aca="false">AZ316+AZ317</f>
        <v>1756480.07682068</v>
      </c>
      <c r="BA320" s="67" t="n">
        <f aca="false">BA316+BA317</f>
        <v>1809438.99279724</v>
      </c>
      <c r="BB320" s="67" t="n">
        <f aca="false">BB316+BB317</f>
        <v>1862394.3976627</v>
      </c>
      <c r="BC320" s="67" t="n">
        <f aca="false">BC316+BC317</f>
        <v>1915346.29141704</v>
      </c>
      <c r="BD320" s="67" t="n">
        <f aca="false">BD316+BD317</f>
        <v>1968294.67406027</v>
      </c>
      <c r="BE320" s="67" t="n">
        <f aca="false">BE316+BE317</f>
        <v>2021239.54559239</v>
      </c>
      <c r="BF320" s="67" t="n">
        <f aca="false">BF316+BF317</f>
        <v>2074180.9060134</v>
      </c>
      <c r="BG320" s="67" t="n">
        <f aca="false">BG316+BG317</f>
        <v>2127118.7553233</v>
      </c>
      <c r="BH320" s="67" t="n">
        <f aca="false">BH316+BH317</f>
        <v>2180053.09352209</v>
      </c>
      <c r="BI320" s="67" t="n">
        <f aca="false">BI316+BI317</f>
        <v>2252433.60295205</v>
      </c>
      <c r="BJ320" s="67" t="n">
        <f aca="false">BJ316+BJ317</f>
        <v>2324810.60127091</v>
      </c>
    </row>
    <row r="321" customFormat="false" ht="15" hidden="false" customHeight="false" outlineLevel="0" collapsed="false">
      <c r="A321" s="4" t="s">
        <v>100</v>
      </c>
      <c r="C321" s="73" t="n">
        <f aca="false">C319+C320</f>
        <v>181339.827983862</v>
      </c>
      <c r="D321" s="73" t="n">
        <f aca="false">D319+D320</f>
        <v>201234.275003602</v>
      </c>
      <c r="E321" s="73" t="n">
        <f aca="false">E319+E320</f>
        <v>219762.683650582</v>
      </c>
      <c r="F321" s="73" t="n">
        <f aca="false">F319+F320</f>
        <v>238298.553408673</v>
      </c>
      <c r="G321" s="73" t="n">
        <f aca="false">G319+G320</f>
        <v>256841.884277875</v>
      </c>
      <c r="H321" s="73" t="n">
        <f aca="false">H319+H320</f>
        <v>275392.676258189</v>
      </c>
      <c r="I321" s="73" t="n">
        <f aca="false">I319+I320</f>
        <v>293950.929349613</v>
      </c>
      <c r="J321" s="73" t="n">
        <f aca="false">J319+J320</f>
        <v>312516.643552149</v>
      </c>
      <c r="K321" s="73" t="n">
        <f aca="false">K319+K320</f>
        <v>331089.818865795</v>
      </c>
      <c r="L321" s="73" t="n">
        <f aca="false">L319+L320</f>
        <v>349670.455290553</v>
      </c>
      <c r="M321" s="73" t="n">
        <f aca="false">M319+M320</f>
        <v>386136.315146938</v>
      </c>
      <c r="N321" s="73" t="n">
        <f aca="false">N319+N320</f>
        <v>418409.853631854</v>
      </c>
      <c r="O321" s="73" t="n">
        <f aca="false">O319+O320</f>
        <v>442769.807254505</v>
      </c>
      <c r="P321" s="73" t="n">
        <f aca="false">P319+P320</f>
        <v>467722.519360637</v>
      </c>
      <c r="Q321" s="73" t="n">
        <f aca="false">Q319+Q320</f>
        <v>492671.720355657</v>
      </c>
      <c r="R321" s="73" t="n">
        <f aca="false">R319+R320</f>
        <v>517617.410239566</v>
      </c>
      <c r="S321" s="73" t="n">
        <f aca="false">S319+S320</f>
        <v>542559.589012364</v>
      </c>
      <c r="T321" s="73" t="n">
        <f aca="false">T319+T320</f>
        <v>567498.256674051</v>
      </c>
      <c r="U321" s="73" t="n">
        <f aca="false">U319+U320</f>
        <v>592433.413224627</v>
      </c>
      <c r="V321" s="73" t="n">
        <f aca="false">V319+V320</f>
        <v>617365.058664092</v>
      </c>
      <c r="W321" s="73" t="n">
        <f aca="false">W319+W320</f>
        <v>642293.192992445</v>
      </c>
      <c r="X321" s="73" t="n">
        <f aca="false">X319+X320</f>
        <v>667217.816209688</v>
      </c>
      <c r="Y321" s="73" t="n">
        <f aca="false">Y319+Y320</f>
        <v>711661.444769823</v>
      </c>
      <c r="Z321" s="73" t="n">
        <f aca="false">Z319+Z320</f>
        <v>751515.399747869</v>
      </c>
      <c r="AA321" s="73" t="n">
        <f aca="false">AA319+AA320</f>
        <v>783511.496785673</v>
      </c>
      <c r="AB321" s="73" t="n">
        <f aca="false">AB319+AB320</f>
        <v>815919.774717965</v>
      </c>
      <c r="AC321" s="73" t="n">
        <f aca="false">AC319+AC320</f>
        <v>848324.541539145</v>
      </c>
      <c r="AD321" s="73" t="n">
        <f aca="false">AD319+AD320</f>
        <v>880725.797249214</v>
      </c>
      <c r="AE321" s="73" t="n">
        <f aca="false">AE319+AE320</f>
        <v>913123.541848172</v>
      </c>
      <c r="AF321" s="73" t="n">
        <f aca="false">AF319+AF320</f>
        <v>945517.775336019</v>
      </c>
      <c r="AG321" s="73" t="n">
        <f aca="false">AG319+AG320</f>
        <v>977908.497712754</v>
      </c>
      <c r="AH321" s="73" t="n">
        <f aca="false">AH319+AH320</f>
        <v>1010295.70897838</v>
      </c>
      <c r="AI321" s="73" t="n">
        <f aca="false">AI319+AI320</f>
        <v>1042679.40913289</v>
      </c>
      <c r="AJ321" s="73" t="n">
        <f aca="false">AJ319+AJ320</f>
        <v>1075059.5981763</v>
      </c>
      <c r="AK321" s="73" t="n">
        <f aca="false">AK319+AK320</f>
        <v>1128754.86407636</v>
      </c>
      <c r="AL321" s="73" t="n">
        <f aca="false">AL319+AL320</f>
        <v>1177438.529447</v>
      </c>
      <c r="AM321" s="73" t="n">
        <f aca="false">AM319+AM320</f>
        <v>1218485.97337902</v>
      </c>
      <c r="AN321" s="73" t="n">
        <f aca="false">AN319+AN320</f>
        <v>1259699.81381989</v>
      </c>
      <c r="AO321" s="73" t="n">
        <f aca="false">AO319+AO320</f>
        <v>1300910.14314966</v>
      </c>
      <c r="AP321" s="73" t="n">
        <f aca="false">AP319+AP320</f>
        <v>1342116.96136831</v>
      </c>
      <c r="AQ321" s="73" t="n">
        <f aca="false">AQ319+AQ320</f>
        <v>1383320.26847586</v>
      </c>
      <c r="AR321" s="73" t="n">
        <f aca="false">AR319+AR320</f>
        <v>1424520.06447229</v>
      </c>
      <c r="AS321" s="73" t="n">
        <f aca="false">AS319+AS320</f>
        <v>1465716.34935761</v>
      </c>
      <c r="AT321" s="73" t="n">
        <f aca="false">AT319+AT320</f>
        <v>1506909.12313182</v>
      </c>
      <c r="AU321" s="73" t="n">
        <f aca="false">AU319+AU320</f>
        <v>1548098.38579492</v>
      </c>
      <c r="AV321" s="73" t="n">
        <f aca="false">AV319+AV320</f>
        <v>1589284.13734691</v>
      </c>
      <c r="AW321" s="73" t="n">
        <f aca="false">AW319+AW320</f>
        <v>1653746.27584859</v>
      </c>
      <c r="AX321" s="73" t="n">
        <f aca="false">AX319+AX320</f>
        <v>1712736.06959437</v>
      </c>
      <c r="AY321" s="73" t="n">
        <f aca="false">AY319+AY320</f>
        <v>1764525.78677851</v>
      </c>
      <c r="AZ321" s="73" t="n">
        <f aca="false">AZ319+AZ320</f>
        <v>1816154.88053285</v>
      </c>
      <c r="BA321" s="73" t="n">
        <f aca="false">BA319+BA320</f>
        <v>1867780.46317608</v>
      </c>
      <c r="BB321" s="73" t="n">
        <f aca="false">BB319+BB320</f>
        <v>1919402.5347082</v>
      </c>
      <c r="BC321" s="73" t="n">
        <f aca="false">BC319+BC320</f>
        <v>1971021.09512921</v>
      </c>
      <c r="BD321" s="73" t="n">
        <f aca="false">BD319+BD320</f>
        <v>2022636.14443911</v>
      </c>
      <c r="BE321" s="73" t="n">
        <f aca="false">BE319+BE320</f>
        <v>2074247.6826379</v>
      </c>
      <c r="BF321" s="73" t="n">
        <f aca="false">BF319+BF320</f>
        <v>2125855.70972557</v>
      </c>
      <c r="BG321" s="73" t="n">
        <f aca="false">BG319+BG320</f>
        <v>2177460.22570214</v>
      </c>
      <c r="BH321" s="73" t="n">
        <f aca="false">BH319+BH320</f>
        <v>2229061.23056759</v>
      </c>
      <c r="BI321" s="73" t="n">
        <f aca="false">BI319+BI320</f>
        <v>2306080.37300434</v>
      </c>
      <c r="BJ321" s="73" t="n">
        <f aca="false">BJ319+BJ320</f>
        <v>2377124.03798986</v>
      </c>
    </row>
    <row r="322" customFormat="false" ht="15" hidden="false" customHeight="false" outlineLevel="0" collapsed="false">
      <c r="A322" s="6" t="s">
        <v>434</v>
      </c>
      <c r="C322" s="67" t="n">
        <f aca="false">C318-C321</f>
        <v>0</v>
      </c>
      <c r="D322" s="67" t="n">
        <f aca="false">D318-D321</f>
        <v>0</v>
      </c>
      <c r="E322" s="67" t="n">
        <f aca="false">E318-E321</f>
        <v>0</v>
      </c>
      <c r="F322" s="67" t="n">
        <f aca="false">F318-F321</f>
        <v>0</v>
      </c>
      <c r="G322" s="67" t="n">
        <f aca="false">G318-G321</f>
        <v>0</v>
      </c>
      <c r="H322" s="67" t="n">
        <f aca="false">H318-H321</f>
        <v>0</v>
      </c>
      <c r="I322" s="67" t="n">
        <f aca="false">I318-I321</f>
        <v>0</v>
      </c>
      <c r="J322" s="67" t="n">
        <f aca="false">J318-J321</f>
        <v>0</v>
      </c>
      <c r="K322" s="67" t="n">
        <f aca="false">K318-K321</f>
        <v>0</v>
      </c>
      <c r="L322" s="67" t="n">
        <f aca="false">L318-L321</f>
        <v>0</v>
      </c>
      <c r="M322" s="67" t="n">
        <f aca="false">M318-M321</f>
        <v>0</v>
      </c>
      <c r="N322" s="67" t="n">
        <f aca="false">N318-N321</f>
        <v>0</v>
      </c>
      <c r="O322" s="67" t="n">
        <f aca="false">O318-O321</f>
        <v>0</v>
      </c>
      <c r="P322" s="67" t="n">
        <f aca="false">P318-P321</f>
        <v>0</v>
      </c>
      <c r="Q322" s="67" t="n">
        <f aca="false">Q318-Q321</f>
        <v>0</v>
      </c>
      <c r="R322" s="67" t="n">
        <f aca="false">R318-R321</f>
        <v>0</v>
      </c>
      <c r="S322" s="67" t="n">
        <f aca="false">S318-S321</f>
        <v>0</v>
      </c>
      <c r="T322" s="67" t="n">
        <f aca="false">T318-T321</f>
        <v>0</v>
      </c>
      <c r="U322" s="67" t="n">
        <f aca="false">U318-U321</f>
        <v>0</v>
      </c>
      <c r="V322" s="67" t="n">
        <f aca="false">V318-V321</f>
        <v>0</v>
      </c>
      <c r="W322" s="67" t="n">
        <f aca="false">W318-W321</f>
        <v>0</v>
      </c>
      <c r="X322" s="67" t="n">
        <f aca="false">X318-X321</f>
        <v>0</v>
      </c>
      <c r="Y322" s="67" t="n">
        <f aca="false">Y318-Y321</f>
        <v>0</v>
      </c>
      <c r="Z322" s="67" t="n">
        <f aca="false">Z318-Z321</f>
        <v>0</v>
      </c>
      <c r="AA322" s="67" t="n">
        <f aca="false">AA318-AA321</f>
        <v>0</v>
      </c>
      <c r="AB322" s="67" t="n">
        <f aca="false">AB318-AB321</f>
        <v>0</v>
      </c>
      <c r="AC322" s="67" t="n">
        <f aca="false">AC318-AC321</f>
        <v>0</v>
      </c>
      <c r="AD322" s="67" t="n">
        <f aca="false">AD318-AD321</f>
        <v>0</v>
      </c>
      <c r="AE322" s="67" t="n">
        <f aca="false">AE318-AE321</f>
        <v>0</v>
      </c>
      <c r="AF322" s="67" t="n">
        <f aca="false">AF318-AF321</f>
        <v>0</v>
      </c>
      <c r="AG322" s="67" t="n">
        <f aca="false">AG318-AG321</f>
        <v>0</v>
      </c>
      <c r="AH322" s="67" t="n">
        <f aca="false">AH318-AH321</f>
        <v>0</v>
      </c>
      <c r="AI322" s="67" t="n">
        <f aca="false">AI318-AI321</f>
        <v>0</v>
      </c>
      <c r="AJ322" s="67" t="n">
        <f aca="false">AJ318-AJ321</f>
        <v>0</v>
      </c>
      <c r="AK322" s="67" t="n">
        <f aca="false">AK318-AK321</f>
        <v>0</v>
      </c>
      <c r="AL322" s="67" t="n">
        <f aca="false">AL318-AL321</f>
        <v>0</v>
      </c>
      <c r="AM322" s="67" t="n">
        <f aca="false">AM318-AM321</f>
        <v>0</v>
      </c>
      <c r="AN322" s="67" t="n">
        <f aca="false">AN318-AN321</f>
        <v>0</v>
      </c>
      <c r="AO322" s="67" t="n">
        <f aca="false">AO318-AO321</f>
        <v>0</v>
      </c>
      <c r="AP322" s="67" t="n">
        <f aca="false">AP318-AP321</f>
        <v>0</v>
      </c>
      <c r="AQ322" s="67" t="n">
        <f aca="false">AQ318-AQ321</f>
        <v>0</v>
      </c>
      <c r="AR322" s="67" t="n">
        <f aca="false">AR318-AR321</f>
        <v>0</v>
      </c>
      <c r="AS322" s="67" t="n">
        <f aca="false">AS318-AS321</f>
        <v>0</v>
      </c>
      <c r="AT322" s="67" t="n">
        <f aca="false">AT318-AT321</f>
        <v>0</v>
      </c>
      <c r="AU322" s="67" t="n">
        <f aca="false">AU318-AU321</f>
        <v>0</v>
      </c>
      <c r="AV322" s="67" t="n">
        <f aca="false">AV318-AV321</f>
        <v>0</v>
      </c>
      <c r="AW322" s="67" t="n">
        <f aca="false">AW318-AW321</f>
        <v>0</v>
      </c>
      <c r="AX322" s="67" t="n">
        <f aca="false">AX318-AX321</f>
        <v>0</v>
      </c>
      <c r="AY322" s="67" t="n">
        <f aca="false">AY318-AY321</f>
        <v>0</v>
      </c>
      <c r="AZ322" s="67" t="n">
        <f aca="false">AZ318-AZ321</f>
        <v>0</v>
      </c>
      <c r="BA322" s="67" t="n">
        <f aca="false">BA318-BA321</f>
        <v>0</v>
      </c>
      <c r="BB322" s="67" t="n">
        <f aca="false">BB318-BB321</f>
        <v>0</v>
      </c>
      <c r="BC322" s="67" t="n">
        <f aca="false">BC318-BC321</f>
        <v>0</v>
      </c>
      <c r="BD322" s="67" t="n">
        <f aca="false">BD318-BD321</f>
        <v>0</v>
      </c>
      <c r="BE322" s="67" t="n">
        <f aca="false">BE318-BE321</f>
        <v>0</v>
      </c>
      <c r="BF322" s="67" t="n">
        <f aca="false">BF318-BF321</f>
        <v>0</v>
      </c>
      <c r="BG322" s="67" t="n">
        <f aca="false">BG318-BG321</f>
        <v>0</v>
      </c>
      <c r="BH322" s="67" t="n">
        <f aca="false">BH318-BH321</f>
        <v>0</v>
      </c>
      <c r="BI322" s="67" t="n">
        <f aca="false">BI318-BI321</f>
        <v>0</v>
      </c>
      <c r="BJ322" s="67" t="n">
        <f aca="false">BJ318-BJ321</f>
        <v>0</v>
      </c>
    </row>
    <row r="324" customFormat="false" ht="15.75" hidden="false" customHeight="true" outlineLevel="0" collapsed="false">
      <c r="A324" s="7" t="s">
        <v>436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customFormat="false" ht="15" hidden="false" customHeight="false" outlineLevel="0" collapsed="false">
      <c r="A325" s="6" t="s">
        <v>437</v>
      </c>
      <c r="C325" s="118" t="n">
        <f aca="false">Inputs!$D$42*(1+Inputs!$D$44)^(C$229-1)*MAX(0,MIN(1,C$228*1-Inputs!$D$45+1))/1</f>
        <v>5</v>
      </c>
      <c r="D325" s="118" t="n">
        <f aca="false">Inputs!$D$42*(1+Inputs!$D$44)^(D$229-1)*MAX(0,MIN(1,D$228*1-Inputs!$D$45+1))/1</f>
        <v>5</v>
      </c>
      <c r="E325" s="118" t="n">
        <f aca="false">Inputs!$D$42*(1+Inputs!$D$44)^(E$229-1)*MAX(0,MIN(1,E$228*1-Inputs!$D$45+1))/1</f>
        <v>5</v>
      </c>
      <c r="F325" s="118" t="n">
        <f aca="false">Inputs!$D$42*(1+Inputs!$D$44)^(F$229-1)*MAX(0,MIN(1,F$228*1-Inputs!$D$45+1))/1</f>
        <v>5</v>
      </c>
      <c r="G325" s="118" t="n">
        <f aca="false">Inputs!$D$42*(1+Inputs!$D$44)^(G$229-1)*MAX(0,MIN(1,G$228*1-Inputs!$D$45+1))/1</f>
        <v>5</v>
      </c>
      <c r="H325" s="118" t="n">
        <f aca="false">Inputs!$D$42*(1+Inputs!$D$44)^(H$229-1)*MAX(0,MIN(1,H$228*1-Inputs!$D$45+1))/1</f>
        <v>5</v>
      </c>
      <c r="I325" s="118" t="n">
        <f aca="false">Inputs!$D$42*(1+Inputs!$D$44)^(I$229-1)*MAX(0,MIN(1,I$228*1-Inputs!$D$45+1))/1</f>
        <v>5</v>
      </c>
      <c r="J325" s="118" t="n">
        <f aca="false">Inputs!$D$42*(1+Inputs!$D$44)^(J$229-1)*MAX(0,MIN(1,J$228*1-Inputs!$D$45+1))/1</f>
        <v>5</v>
      </c>
      <c r="K325" s="118" t="n">
        <f aca="false">Inputs!$D$42*(1+Inputs!$D$44)^(K$229-1)*MAX(0,MIN(1,K$228*1-Inputs!$D$45+1))/1</f>
        <v>5</v>
      </c>
      <c r="L325" s="118" t="n">
        <f aca="false">Inputs!$D$42*(1+Inputs!$D$44)^(L$229-1)*MAX(0,MIN(1,L$228*1-Inputs!$D$45+1))/1</f>
        <v>5</v>
      </c>
      <c r="M325" s="118" t="n">
        <f aca="false">Inputs!$D$42*(1+Inputs!$D$44)^(M$229-1)*MAX(0,MIN(1,M$228*1-Inputs!$D$45+1))/1</f>
        <v>5</v>
      </c>
      <c r="N325" s="118" t="n">
        <f aca="false">Inputs!$D$42*(1+Inputs!$D$44)^(N$229-1)*MAX(0,MIN(1,N$228*1-Inputs!$D$45+1))/1</f>
        <v>5</v>
      </c>
      <c r="O325" s="118" t="n">
        <f aca="false">Inputs!$D$42*(1+Inputs!$D$44)^(O$229-1)*MAX(0,MIN(1,O$228*1-Inputs!$D$45+1))/1</f>
        <v>5.3</v>
      </c>
      <c r="P325" s="118" t="n">
        <f aca="false">Inputs!$D$42*(1+Inputs!$D$44)^(P$229-1)*MAX(0,MIN(1,P$228*1-Inputs!$D$45+1))/1</f>
        <v>5.3</v>
      </c>
      <c r="Q325" s="118" t="n">
        <f aca="false">Inputs!$D$42*(1+Inputs!$D$44)^(Q$229-1)*MAX(0,MIN(1,Q$228*1-Inputs!$D$45+1))/1</f>
        <v>5.3</v>
      </c>
      <c r="R325" s="118" t="n">
        <f aca="false">Inputs!$D$42*(1+Inputs!$D$44)^(R$229-1)*MAX(0,MIN(1,R$228*1-Inputs!$D$45+1))/1</f>
        <v>5.3</v>
      </c>
      <c r="S325" s="118" t="n">
        <f aca="false">Inputs!$D$42*(1+Inputs!$D$44)^(S$229-1)*MAX(0,MIN(1,S$228*1-Inputs!$D$45+1))/1</f>
        <v>5.3</v>
      </c>
      <c r="T325" s="118" t="n">
        <f aca="false">Inputs!$D$42*(1+Inputs!$D$44)^(T$229-1)*MAX(0,MIN(1,T$228*1-Inputs!$D$45+1))/1</f>
        <v>5.3</v>
      </c>
      <c r="U325" s="118" t="n">
        <f aca="false">Inputs!$D$42*(1+Inputs!$D$44)^(U$229-1)*MAX(0,MIN(1,U$228*1-Inputs!$D$45+1))/1</f>
        <v>5.3</v>
      </c>
      <c r="V325" s="118" t="n">
        <f aca="false">Inputs!$D$42*(1+Inputs!$D$44)^(V$229-1)*MAX(0,MIN(1,V$228*1-Inputs!$D$45+1))/1</f>
        <v>5.3</v>
      </c>
      <c r="W325" s="118" t="n">
        <f aca="false">Inputs!$D$42*(1+Inputs!$D$44)^(W$229-1)*MAX(0,MIN(1,W$228*1-Inputs!$D$45+1))/1</f>
        <v>5.3</v>
      </c>
      <c r="X325" s="118" t="n">
        <f aca="false">Inputs!$D$42*(1+Inputs!$D$44)^(X$229-1)*MAX(0,MIN(1,X$228*1-Inputs!$D$45+1))/1</f>
        <v>5.3</v>
      </c>
      <c r="Y325" s="118" t="n">
        <f aca="false">Inputs!$D$42*(1+Inputs!$D$44)^(Y$229-1)*MAX(0,MIN(1,Y$228*1-Inputs!$D$45+1))/1</f>
        <v>5.3</v>
      </c>
      <c r="Z325" s="118" t="n">
        <f aca="false">Inputs!$D$42*(1+Inputs!$D$44)^(Z$229-1)*MAX(0,MIN(1,Z$228*1-Inputs!$D$45+1))/1</f>
        <v>5.3</v>
      </c>
      <c r="AA325" s="118" t="n">
        <f aca="false">Inputs!$D$42*(1+Inputs!$D$44)^(AA$229-1)*MAX(0,MIN(1,AA$228*1-Inputs!$D$45+1))/1</f>
        <v>5.618</v>
      </c>
      <c r="AB325" s="118" t="n">
        <f aca="false">Inputs!$D$42*(1+Inputs!$D$44)^(AB$229-1)*MAX(0,MIN(1,AB$228*1-Inputs!$D$45+1))/1</f>
        <v>5.618</v>
      </c>
      <c r="AC325" s="118" t="n">
        <f aca="false">Inputs!$D$42*(1+Inputs!$D$44)^(AC$229-1)*MAX(0,MIN(1,AC$228*1-Inputs!$D$45+1))/1</f>
        <v>5.618</v>
      </c>
      <c r="AD325" s="118" t="n">
        <f aca="false">Inputs!$D$42*(1+Inputs!$D$44)^(AD$229-1)*MAX(0,MIN(1,AD$228*1-Inputs!$D$45+1))/1</f>
        <v>5.618</v>
      </c>
      <c r="AE325" s="118" t="n">
        <f aca="false">Inputs!$D$42*(1+Inputs!$D$44)^(AE$229-1)*MAX(0,MIN(1,AE$228*1-Inputs!$D$45+1))/1</f>
        <v>5.618</v>
      </c>
      <c r="AF325" s="118" t="n">
        <f aca="false">Inputs!$D$42*(1+Inputs!$D$44)^(AF$229-1)*MAX(0,MIN(1,AF$228*1-Inputs!$D$45+1))/1</f>
        <v>5.618</v>
      </c>
      <c r="AG325" s="118" t="n">
        <f aca="false">Inputs!$D$42*(1+Inputs!$D$44)^(AG$229-1)*MAX(0,MIN(1,AG$228*1-Inputs!$D$45+1))/1</f>
        <v>5.618</v>
      </c>
      <c r="AH325" s="118" t="n">
        <f aca="false">Inputs!$D$42*(1+Inputs!$D$44)^(AH$229-1)*MAX(0,MIN(1,AH$228*1-Inputs!$D$45+1))/1</f>
        <v>5.618</v>
      </c>
      <c r="AI325" s="118" t="n">
        <f aca="false">Inputs!$D$42*(1+Inputs!$D$44)^(AI$229-1)*MAX(0,MIN(1,AI$228*1-Inputs!$D$45+1))/1</f>
        <v>5.618</v>
      </c>
      <c r="AJ325" s="118" t="n">
        <f aca="false">Inputs!$D$42*(1+Inputs!$D$44)^(AJ$229-1)*MAX(0,MIN(1,AJ$228*1-Inputs!$D$45+1))/1</f>
        <v>5.618</v>
      </c>
      <c r="AK325" s="118" t="n">
        <f aca="false">Inputs!$D$42*(1+Inputs!$D$44)^(AK$229-1)*MAX(0,MIN(1,AK$228*1-Inputs!$D$45+1))/1</f>
        <v>5.618</v>
      </c>
      <c r="AL325" s="118" t="n">
        <f aca="false">Inputs!$D$42*(1+Inputs!$D$44)^(AL$229-1)*MAX(0,MIN(1,AL$228*1-Inputs!$D$45+1))/1</f>
        <v>5.618</v>
      </c>
      <c r="AM325" s="118" t="n">
        <f aca="false">Inputs!$D$42*(1+Inputs!$D$44)^(AM$229-1)*MAX(0,MIN(1,AM$228*1-Inputs!$D$45+1))/1</f>
        <v>5.95508</v>
      </c>
      <c r="AN325" s="118" t="n">
        <f aca="false">Inputs!$D$42*(1+Inputs!$D$44)^(AN$229-1)*MAX(0,MIN(1,AN$228*1-Inputs!$D$45+1))/1</f>
        <v>5.95508</v>
      </c>
      <c r="AO325" s="118" t="n">
        <f aca="false">Inputs!$D$42*(1+Inputs!$D$44)^(AO$229-1)*MAX(0,MIN(1,AO$228*1-Inputs!$D$45+1))/1</f>
        <v>5.95508</v>
      </c>
      <c r="AP325" s="118" t="n">
        <f aca="false">Inputs!$D$42*(1+Inputs!$D$44)^(AP$229-1)*MAX(0,MIN(1,AP$228*1-Inputs!$D$45+1))/1</f>
        <v>5.95508</v>
      </c>
      <c r="AQ325" s="118" t="n">
        <f aca="false">Inputs!$D$42*(1+Inputs!$D$44)^(AQ$229-1)*MAX(0,MIN(1,AQ$228*1-Inputs!$D$45+1))/1</f>
        <v>5.95508</v>
      </c>
      <c r="AR325" s="118" t="n">
        <f aca="false">Inputs!$D$42*(1+Inputs!$D$44)^(AR$229-1)*MAX(0,MIN(1,AR$228*1-Inputs!$D$45+1))/1</f>
        <v>5.95508</v>
      </c>
      <c r="AS325" s="118" t="n">
        <f aca="false">Inputs!$D$42*(1+Inputs!$D$44)^(AS$229-1)*MAX(0,MIN(1,AS$228*1-Inputs!$D$45+1))/1</f>
        <v>5.95508</v>
      </c>
      <c r="AT325" s="118" t="n">
        <f aca="false">Inputs!$D$42*(1+Inputs!$D$44)^(AT$229-1)*MAX(0,MIN(1,AT$228*1-Inputs!$D$45+1))/1</f>
        <v>5.95508</v>
      </c>
      <c r="AU325" s="118" t="n">
        <f aca="false">Inputs!$D$42*(1+Inputs!$D$44)^(AU$229-1)*MAX(0,MIN(1,AU$228*1-Inputs!$D$45+1))/1</f>
        <v>5.95508</v>
      </c>
      <c r="AV325" s="118" t="n">
        <f aca="false">Inputs!$D$42*(1+Inputs!$D$44)^(AV$229-1)*MAX(0,MIN(1,AV$228*1-Inputs!$D$45+1))/1</f>
        <v>5.95508</v>
      </c>
      <c r="AW325" s="118" t="n">
        <f aca="false">Inputs!$D$42*(1+Inputs!$D$44)^(AW$229-1)*MAX(0,MIN(1,AW$228*1-Inputs!$D$45+1))/1</f>
        <v>5.95508</v>
      </c>
      <c r="AX325" s="118" t="n">
        <f aca="false">Inputs!$D$42*(1+Inputs!$D$44)^(AX$229-1)*MAX(0,MIN(1,AX$228*1-Inputs!$D$45+1))/1</f>
        <v>5.95508</v>
      </c>
      <c r="AY325" s="118" t="n">
        <f aca="false">Inputs!$D$42*(1+Inputs!$D$44)^(AY$229-1)*MAX(0,MIN(1,AY$228*1-Inputs!$D$45+1))/1</f>
        <v>6.3123848</v>
      </c>
      <c r="AZ325" s="118" t="n">
        <f aca="false">Inputs!$D$42*(1+Inputs!$D$44)^(AZ$229-1)*MAX(0,MIN(1,AZ$228*1-Inputs!$D$45+1))/1</f>
        <v>6.3123848</v>
      </c>
      <c r="BA325" s="118" t="n">
        <f aca="false">Inputs!$D$42*(1+Inputs!$D$44)^(BA$229-1)*MAX(0,MIN(1,BA$228*1-Inputs!$D$45+1))/1</f>
        <v>6.3123848</v>
      </c>
      <c r="BB325" s="118" t="n">
        <f aca="false">Inputs!$D$42*(1+Inputs!$D$44)^(BB$229-1)*MAX(0,MIN(1,BB$228*1-Inputs!$D$45+1))/1</f>
        <v>6.3123848</v>
      </c>
      <c r="BC325" s="118" t="n">
        <f aca="false">Inputs!$D$42*(1+Inputs!$D$44)^(BC$229-1)*MAX(0,MIN(1,BC$228*1-Inputs!$D$45+1))/1</f>
        <v>6.3123848</v>
      </c>
      <c r="BD325" s="118" t="n">
        <f aca="false">Inputs!$D$42*(1+Inputs!$D$44)^(BD$229-1)*MAX(0,MIN(1,BD$228*1-Inputs!$D$45+1))/1</f>
        <v>6.3123848</v>
      </c>
      <c r="BE325" s="118" t="n">
        <f aca="false">Inputs!$D$42*(1+Inputs!$D$44)^(BE$229-1)*MAX(0,MIN(1,BE$228*1-Inputs!$D$45+1))/1</f>
        <v>6.3123848</v>
      </c>
      <c r="BF325" s="118" t="n">
        <f aca="false">Inputs!$D$42*(1+Inputs!$D$44)^(BF$229-1)*MAX(0,MIN(1,BF$228*1-Inputs!$D$45+1))/1</f>
        <v>6.3123848</v>
      </c>
      <c r="BG325" s="118" t="n">
        <f aca="false">Inputs!$D$42*(1+Inputs!$D$44)^(BG$229-1)*MAX(0,MIN(1,BG$228*1-Inputs!$D$45+1))/1</f>
        <v>6.3123848</v>
      </c>
      <c r="BH325" s="118" t="n">
        <f aca="false">Inputs!$D$42*(1+Inputs!$D$44)^(BH$229-1)*MAX(0,MIN(1,BH$228*1-Inputs!$D$45+1))/1</f>
        <v>6.3123848</v>
      </c>
      <c r="BI325" s="118" t="n">
        <f aca="false">Inputs!$D$42*(1+Inputs!$D$44)^(BI$229-1)*MAX(0,MIN(1,BI$228*1-Inputs!$D$45+1))/1</f>
        <v>6.3123848</v>
      </c>
      <c r="BJ325" s="118" t="n">
        <f aca="false">Inputs!$D$42*(1+Inputs!$D$44)^(BJ$229-1)*MAX(0,MIN(1,BJ$228*1-Inputs!$D$45+1))/1</f>
        <v>6.3123848</v>
      </c>
    </row>
    <row r="326" customFormat="false" ht="15" hidden="false" customHeight="false" outlineLevel="0" collapsed="false">
      <c r="A326" s="6" t="s">
        <v>438</v>
      </c>
      <c r="C326" s="118" t="n">
        <f aca="false">Inputs!$D$46*(1+Inputs!$D$48)^(C$229-1)*MAX(0,MIN(1,C$228*1-Inputs!$D$49+1))/1</f>
        <v>7</v>
      </c>
      <c r="D326" s="118" t="n">
        <f aca="false">Inputs!$D$46*(1+Inputs!$D$48)^(D$229-1)*MAX(0,MIN(1,D$228*1-Inputs!$D$49+1))/1</f>
        <v>7</v>
      </c>
      <c r="E326" s="118" t="n">
        <f aca="false">Inputs!$D$46*(1+Inputs!$D$48)^(E$229-1)*MAX(0,MIN(1,E$228*1-Inputs!$D$49+1))/1</f>
        <v>7</v>
      </c>
      <c r="F326" s="118" t="n">
        <f aca="false">Inputs!$D$46*(1+Inputs!$D$48)^(F$229-1)*MAX(0,MIN(1,F$228*1-Inputs!$D$49+1))/1</f>
        <v>7</v>
      </c>
      <c r="G326" s="118" t="n">
        <f aca="false">Inputs!$D$46*(1+Inputs!$D$48)^(G$229-1)*MAX(0,MIN(1,G$228*1-Inputs!$D$49+1))/1</f>
        <v>7</v>
      </c>
      <c r="H326" s="118" t="n">
        <f aca="false">Inputs!$D$46*(1+Inputs!$D$48)^(H$229-1)*MAX(0,MIN(1,H$228*1-Inputs!$D$49+1))/1</f>
        <v>7</v>
      </c>
      <c r="I326" s="118" t="n">
        <f aca="false">Inputs!$D$46*(1+Inputs!$D$48)^(I$229-1)*MAX(0,MIN(1,I$228*1-Inputs!$D$49+1))/1</f>
        <v>7</v>
      </c>
      <c r="J326" s="118" t="n">
        <f aca="false">Inputs!$D$46*(1+Inputs!$D$48)^(J$229-1)*MAX(0,MIN(1,J$228*1-Inputs!$D$49+1))/1</f>
        <v>7</v>
      </c>
      <c r="K326" s="118" t="n">
        <f aca="false">Inputs!$D$46*(1+Inputs!$D$48)^(K$229-1)*MAX(0,MIN(1,K$228*1-Inputs!$D$49+1))/1</f>
        <v>7</v>
      </c>
      <c r="L326" s="118" t="n">
        <f aca="false">Inputs!$D$46*(1+Inputs!$D$48)^(L$229-1)*MAX(0,MIN(1,L$228*1-Inputs!$D$49+1))/1</f>
        <v>7</v>
      </c>
      <c r="M326" s="118" t="n">
        <f aca="false">Inputs!$D$46*(1+Inputs!$D$48)^(M$229-1)*MAX(0,MIN(1,M$228*1-Inputs!$D$49+1))/1</f>
        <v>7</v>
      </c>
      <c r="N326" s="118" t="n">
        <f aca="false">Inputs!$D$46*(1+Inputs!$D$48)^(N$229-1)*MAX(0,MIN(1,N$228*1-Inputs!$D$49+1))/1</f>
        <v>7</v>
      </c>
      <c r="O326" s="118" t="n">
        <f aca="false">Inputs!$D$46*(1+Inputs!$D$48)^(O$229-1)*MAX(0,MIN(1,O$228*1-Inputs!$D$49+1))/1</f>
        <v>7.42</v>
      </c>
      <c r="P326" s="118" t="n">
        <f aca="false">Inputs!$D$46*(1+Inputs!$D$48)^(P$229-1)*MAX(0,MIN(1,P$228*1-Inputs!$D$49+1))/1</f>
        <v>7.42</v>
      </c>
      <c r="Q326" s="118" t="n">
        <f aca="false">Inputs!$D$46*(1+Inputs!$D$48)^(Q$229-1)*MAX(0,MIN(1,Q$228*1-Inputs!$D$49+1))/1</f>
        <v>7.42</v>
      </c>
      <c r="R326" s="118" t="n">
        <f aca="false">Inputs!$D$46*(1+Inputs!$D$48)^(R$229-1)*MAX(0,MIN(1,R$228*1-Inputs!$D$49+1))/1</f>
        <v>7.42</v>
      </c>
      <c r="S326" s="118" t="n">
        <f aca="false">Inputs!$D$46*(1+Inputs!$D$48)^(S$229-1)*MAX(0,MIN(1,S$228*1-Inputs!$D$49+1))/1</f>
        <v>7.42</v>
      </c>
      <c r="T326" s="118" t="n">
        <f aca="false">Inputs!$D$46*(1+Inputs!$D$48)^(T$229-1)*MAX(0,MIN(1,T$228*1-Inputs!$D$49+1))/1</f>
        <v>7.42</v>
      </c>
      <c r="U326" s="118" t="n">
        <f aca="false">Inputs!$D$46*(1+Inputs!$D$48)^(U$229-1)*MAX(0,MIN(1,U$228*1-Inputs!$D$49+1))/1</f>
        <v>7.42</v>
      </c>
      <c r="V326" s="118" t="n">
        <f aca="false">Inputs!$D$46*(1+Inputs!$D$48)^(V$229-1)*MAX(0,MIN(1,V$228*1-Inputs!$D$49+1))/1</f>
        <v>7.42</v>
      </c>
      <c r="W326" s="118" t="n">
        <f aca="false">Inputs!$D$46*(1+Inputs!$D$48)^(W$229-1)*MAX(0,MIN(1,W$228*1-Inputs!$D$49+1))/1</f>
        <v>7.42</v>
      </c>
      <c r="X326" s="118" t="n">
        <f aca="false">Inputs!$D$46*(1+Inputs!$D$48)^(X$229-1)*MAX(0,MIN(1,X$228*1-Inputs!$D$49+1))/1</f>
        <v>7.42</v>
      </c>
      <c r="Y326" s="118" t="n">
        <f aca="false">Inputs!$D$46*(1+Inputs!$D$48)^(Y$229-1)*MAX(0,MIN(1,Y$228*1-Inputs!$D$49+1))/1</f>
        <v>7.42</v>
      </c>
      <c r="Z326" s="118" t="n">
        <f aca="false">Inputs!$D$46*(1+Inputs!$D$48)^(Z$229-1)*MAX(0,MIN(1,Z$228*1-Inputs!$D$49+1))/1</f>
        <v>7.42</v>
      </c>
      <c r="AA326" s="118" t="n">
        <f aca="false">Inputs!$D$46*(1+Inputs!$D$48)^(AA$229-1)*MAX(0,MIN(1,AA$228*1-Inputs!$D$49+1))/1</f>
        <v>7.8652</v>
      </c>
      <c r="AB326" s="118" t="n">
        <f aca="false">Inputs!$D$46*(1+Inputs!$D$48)^(AB$229-1)*MAX(0,MIN(1,AB$228*1-Inputs!$D$49+1))/1</f>
        <v>7.8652</v>
      </c>
      <c r="AC326" s="118" t="n">
        <f aca="false">Inputs!$D$46*(1+Inputs!$D$48)^(AC$229-1)*MAX(0,MIN(1,AC$228*1-Inputs!$D$49+1))/1</f>
        <v>7.8652</v>
      </c>
      <c r="AD326" s="118" t="n">
        <f aca="false">Inputs!$D$46*(1+Inputs!$D$48)^(AD$229-1)*MAX(0,MIN(1,AD$228*1-Inputs!$D$49+1))/1</f>
        <v>7.8652</v>
      </c>
      <c r="AE326" s="118" t="n">
        <f aca="false">Inputs!$D$46*(1+Inputs!$D$48)^(AE$229-1)*MAX(0,MIN(1,AE$228*1-Inputs!$D$49+1))/1</f>
        <v>7.8652</v>
      </c>
      <c r="AF326" s="118" t="n">
        <f aca="false">Inputs!$D$46*(1+Inputs!$D$48)^(AF$229-1)*MAX(0,MIN(1,AF$228*1-Inputs!$D$49+1))/1</f>
        <v>7.8652</v>
      </c>
      <c r="AG326" s="118" t="n">
        <f aca="false">Inputs!$D$46*(1+Inputs!$D$48)^(AG$229-1)*MAX(0,MIN(1,AG$228*1-Inputs!$D$49+1))/1</f>
        <v>7.8652</v>
      </c>
      <c r="AH326" s="118" t="n">
        <f aca="false">Inputs!$D$46*(1+Inputs!$D$48)^(AH$229-1)*MAX(0,MIN(1,AH$228*1-Inputs!$D$49+1))/1</f>
        <v>7.8652</v>
      </c>
      <c r="AI326" s="118" t="n">
        <f aca="false">Inputs!$D$46*(1+Inputs!$D$48)^(AI$229-1)*MAX(0,MIN(1,AI$228*1-Inputs!$D$49+1))/1</f>
        <v>7.8652</v>
      </c>
      <c r="AJ326" s="118" t="n">
        <f aca="false">Inputs!$D$46*(1+Inputs!$D$48)^(AJ$229-1)*MAX(0,MIN(1,AJ$228*1-Inputs!$D$49+1))/1</f>
        <v>7.8652</v>
      </c>
      <c r="AK326" s="118" t="n">
        <f aca="false">Inputs!$D$46*(1+Inputs!$D$48)^(AK$229-1)*MAX(0,MIN(1,AK$228*1-Inputs!$D$49+1))/1</f>
        <v>7.8652</v>
      </c>
      <c r="AL326" s="118" t="n">
        <f aca="false">Inputs!$D$46*(1+Inputs!$D$48)^(AL$229-1)*MAX(0,MIN(1,AL$228*1-Inputs!$D$49+1))/1</f>
        <v>7.8652</v>
      </c>
      <c r="AM326" s="118" t="n">
        <f aca="false">Inputs!$D$46*(1+Inputs!$D$48)^(AM$229-1)*MAX(0,MIN(1,AM$228*1-Inputs!$D$49+1))/1</f>
        <v>8.337112</v>
      </c>
      <c r="AN326" s="118" t="n">
        <f aca="false">Inputs!$D$46*(1+Inputs!$D$48)^(AN$229-1)*MAX(0,MIN(1,AN$228*1-Inputs!$D$49+1))/1</f>
        <v>8.337112</v>
      </c>
      <c r="AO326" s="118" t="n">
        <f aca="false">Inputs!$D$46*(1+Inputs!$D$48)^(AO$229-1)*MAX(0,MIN(1,AO$228*1-Inputs!$D$49+1))/1</f>
        <v>8.337112</v>
      </c>
      <c r="AP326" s="118" t="n">
        <f aca="false">Inputs!$D$46*(1+Inputs!$D$48)^(AP$229-1)*MAX(0,MIN(1,AP$228*1-Inputs!$D$49+1))/1</f>
        <v>8.337112</v>
      </c>
      <c r="AQ326" s="118" t="n">
        <f aca="false">Inputs!$D$46*(1+Inputs!$D$48)^(AQ$229-1)*MAX(0,MIN(1,AQ$228*1-Inputs!$D$49+1))/1</f>
        <v>8.337112</v>
      </c>
      <c r="AR326" s="118" t="n">
        <f aca="false">Inputs!$D$46*(1+Inputs!$D$48)^(AR$229-1)*MAX(0,MIN(1,AR$228*1-Inputs!$D$49+1))/1</f>
        <v>8.337112</v>
      </c>
      <c r="AS326" s="118" t="n">
        <f aca="false">Inputs!$D$46*(1+Inputs!$D$48)^(AS$229-1)*MAX(0,MIN(1,AS$228*1-Inputs!$D$49+1))/1</f>
        <v>8.337112</v>
      </c>
      <c r="AT326" s="118" t="n">
        <f aca="false">Inputs!$D$46*(1+Inputs!$D$48)^(AT$229-1)*MAX(0,MIN(1,AT$228*1-Inputs!$D$49+1))/1</f>
        <v>8.337112</v>
      </c>
      <c r="AU326" s="118" t="n">
        <f aca="false">Inputs!$D$46*(1+Inputs!$D$48)^(AU$229-1)*MAX(0,MIN(1,AU$228*1-Inputs!$D$49+1))/1</f>
        <v>8.337112</v>
      </c>
      <c r="AV326" s="118" t="n">
        <f aca="false">Inputs!$D$46*(1+Inputs!$D$48)^(AV$229-1)*MAX(0,MIN(1,AV$228*1-Inputs!$D$49+1))/1</f>
        <v>8.337112</v>
      </c>
      <c r="AW326" s="118" t="n">
        <f aca="false">Inputs!$D$46*(1+Inputs!$D$48)^(AW$229-1)*MAX(0,MIN(1,AW$228*1-Inputs!$D$49+1))/1</f>
        <v>8.337112</v>
      </c>
      <c r="AX326" s="118" t="n">
        <f aca="false">Inputs!$D$46*(1+Inputs!$D$48)^(AX$229-1)*MAX(0,MIN(1,AX$228*1-Inputs!$D$49+1))/1</f>
        <v>8.337112</v>
      </c>
      <c r="AY326" s="118" t="n">
        <f aca="false">Inputs!$D$46*(1+Inputs!$D$48)^(AY$229-1)*MAX(0,MIN(1,AY$228*1-Inputs!$D$49+1))/1</f>
        <v>8.83733872</v>
      </c>
      <c r="AZ326" s="118" t="n">
        <f aca="false">Inputs!$D$46*(1+Inputs!$D$48)^(AZ$229-1)*MAX(0,MIN(1,AZ$228*1-Inputs!$D$49+1))/1</f>
        <v>8.83733872</v>
      </c>
      <c r="BA326" s="118" t="n">
        <f aca="false">Inputs!$D$46*(1+Inputs!$D$48)^(BA$229-1)*MAX(0,MIN(1,BA$228*1-Inputs!$D$49+1))/1</f>
        <v>8.83733872</v>
      </c>
      <c r="BB326" s="118" t="n">
        <f aca="false">Inputs!$D$46*(1+Inputs!$D$48)^(BB$229-1)*MAX(0,MIN(1,BB$228*1-Inputs!$D$49+1))/1</f>
        <v>8.83733872</v>
      </c>
      <c r="BC326" s="118" t="n">
        <f aca="false">Inputs!$D$46*(1+Inputs!$D$48)^(BC$229-1)*MAX(0,MIN(1,BC$228*1-Inputs!$D$49+1))/1</f>
        <v>8.83733872</v>
      </c>
      <c r="BD326" s="118" t="n">
        <f aca="false">Inputs!$D$46*(1+Inputs!$D$48)^(BD$229-1)*MAX(0,MIN(1,BD$228*1-Inputs!$D$49+1))/1</f>
        <v>8.83733872</v>
      </c>
      <c r="BE326" s="118" t="n">
        <f aca="false">Inputs!$D$46*(1+Inputs!$D$48)^(BE$229-1)*MAX(0,MIN(1,BE$228*1-Inputs!$D$49+1))/1</f>
        <v>8.83733872</v>
      </c>
      <c r="BF326" s="118" t="n">
        <f aca="false">Inputs!$D$46*(1+Inputs!$D$48)^(BF$229-1)*MAX(0,MIN(1,BF$228*1-Inputs!$D$49+1))/1</f>
        <v>8.83733872</v>
      </c>
      <c r="BG326" s="118" t="n">
        <f aca="false">Inputs!$D$46*(1+Inputs!$D$48)^(BG$229-1)*MAX(0,MIN(1,BG$228*1-Inputs!$D$49+1))/1</f>
        <v>8.83733872</v>
      </c>
      <c r="BH326" s="118" t="n">
        <f aca="false">Inputs!$D$46*(1+Inputs!$D$48)^(BH$229-1)*MAX(0,MIN(1,BH$228*1-Inputs!$D$49+1))/1</f>
        <v>8.83733872</v>
      </c>
      <c r="BI326" s="118" t="n">
        <f aca="false">Inputs!$D$46*(1+Inputs!$D$48)^(BI$229-1)*MAX(0,MIN(1,BI$228*1-Inputs!$D$49+1))/1</f>
        <v>8.83733872</v>
      </c>
      <c r="BJ326" s="118" t="n">
        <f aca="false">Inputs!$D$46*(1+Inputs!$D$48)^(BJ$229-1)*MAX(0,MIN(1,BJ$228*1-Inputs!$D$49+1))/1</f>
        <v>8.83733872</v>
      </c>
    </row>
    <row r="327" customFormat="false" ht="15" hidden="false" customHeight="false" outlineLevel="0" collapsed="false">
      <c r="A327" s="6" t="s">
        <v>439</v>
      </c>
      <c r="C327" s="118" t="n">
        <f aca="false">Inputs!$D$50*(1+Inputs!$D$52)^(C$229-1)*MAX(0,MIN(1,C$228*1-Inputs!$D$53+1))/1</f>
        <v>1.5</v>
      </c>
      <c r="D327" s="118" t="n">
        <f aca="false">Inputs!$D$50*(1+Inputs!$D$52)^(D$229-1)*MAX(0,MIN(1,D$228*1-Inputs!$D$53+1))/1</f>
        <v>1.5</v>
      </c>
      <c r="E327" s="118" t="n">
        <f aca="false">Inputs!$D$50*(1+Inputs!$D$52)^(E$229-1)*MAX(0,MIN(1,E$228*1-Inputs!$D$53+1))/1</f>
        <v>1.5</v>
      </c>
      <c r="F327" s="118" t="n">
        <f aca="false">Inputs!$D$50*(1+Inputs!$D$52)^(F$229-1)*MAX(0,MIN(1,F$228*1-Inputs!$D$53+1))/1</f>
        <v>1.5</v>
      </c>
      <c r="G327" s="118" t="n">
        <f aca="false">Inputs!$D$50*(1+Inputs!$D$52)^(G$229-1)*MAX(0,MIN(1,G$228*1-Inputs!$D$53+1))/1</f>
        <v>1.5</v>
      </c>
      <c r="H327" s="118" t="n">
        <f aca="false">Inputs!$D$50*(1+Inputs!$D$52)^(H$229-1)*MAX(0,MIN(1,H$228*1-Inputs!$D$53+1))/1</f>
        <v>1.5</v>
      </c>
      <c r="I327" s="118" t="n">
        <f aca="false">Inputs!$D$50*(1+Inputs!$D$52)^(I$229-1)*MAX(0,MIN(1,I$228*1-Inputs!$D$53+1))/1</f>
        <v>1.5</v>
      </c>
      <c r="J327" s="118" t="n">
        <f aca="false">Inputs!$D$50*(1+Inputs!$D$52)^(J$229-1)*MAX(0,MIN(1,J$228*1-Inputs!$D$53+1))/1</f>
        <v>1.5</v>
      </c>
      <c r="K327" s="118" t="n">
        <f aca="false">Inputs!$D$50*(1+Inputs!$D$52)^(K$229-1)*MAX(0,MIN(1,K$228*1-Inputs!$D$53+1))/1</f>
        <v>1.5</v>
      </c>
      <c r="L327" s="118" t="n">
        <f aca="false">Inputs!$D$50*(1+Inputs!$D$52)^(L$229-1)*MAX(0,MIN(1,L$228*1-Inputs!$D$53+1))/1</f>
        <v>1.5</v>
      </c>
      <c r="M327" s="118" t="n">
        <f aca="false">Inputs!$D$50*(1+Inputs!$D$52)^(M$229-1)*MAX(0,MIN(1,M$228*1-Inputs!$D$53+1))/1</f>
        <v>1.5</v>
      </c>
      <c r="N327" s="118" t="n">
        <f aca="false">Inputs!$D$50*(1+Inputs!$D$52)^(N$229-1)*MAX(0,MIN(1,N$228*1-Inputs!$D$53+1))/1</f>
        <v>1.5</v>
      </c>
      <c r="O327" s="118" t="n">
        <f aca="false">Inputs!$D$50*(1+Inputs!$D$52)^(O$229-1)*MAX(0,MIN(1,O$228*1-Inputs!$D$53+1))/1</f>
        <v>1.5</v>
      </c>
      <c r="P327" s="118" t="n">
        <f aca="false">Inputs!$D$50*(1+Inputs!$D$52)^(P$229-1)*MAX(0,MIN(1,P$228*1-Inputs!$D$53+1))/1</f>
        <v>1.5</v>
      </c>
      <c r="Q327" s="118" t="n">
        <f aca="false">Inputs!$D$50*(1+Inputs!$D$52)^(Q$229-1)*MAX(0,MIN(1,Q$228*1-Inputs!$D$53+1))/1</f>
        <v>1.5</v>
      </c>
      <c r="R327" s="118" t="n">
        <f aca="false">Inputs!$D$50*(1+Inputs!$D$52)^(R$229-1)*MAX(0,MIN(1,R$228*1-Inputs!$D$53+1))/1</f>
        <v>1.5</v>
      </c>
      <c r="S327" s="118" t="n">
        <f aca="false">Inputs!$D$50*(1+Inputs!$D$52)^(S$229-1)*MAX(0,MIN(1,S$228*1-Inputs!$D$53+1))/1</f>
        <v>1.5</v>
      </c>
      <c r="T327" s="118" t="n">
        <f aca="false">Inputs!$D$50*(1+Inputs!$D$52)^(T$229-1)*MAX(0,MIN(1,T$228*1-Inputs!$D$53+1))/1</f>
        <v>1.5</v>
      </c>
      <c r="U327" s="118" t="n">
        <f aca="false">Inputs!$D$50*(1+Inputs!$D$52)^(U$229-1)*MAX(0,MIN(1,U$228*1-Inputs!$D$53+1))/1</f>
        <v>1.5</v>
      </c>
      <c r="V327" s="118" t="n">
        <f aca="false">Inputs!$D$50*(1+Inputs!$D$52)^(V$229-1)*MAX(0,MIN(1,V$228*1-Inputs!$D$53+1))/1</f>
        <v>1.5</v>
      </c>
      <c r="W327" s="118" t="n">
        <f aca="false">Inputs!$D$50*(1+Inputs!$D$52)^(W$229-1)*MAX(0,MIN(1,W$228*1-Inputs!$D$53+1))/1</f>
        <v>1.5</v>
      </c>
      <c r="X327" s="118" t="n">
        <f aca="false">Inputs!$D$50*(1+Inputs!$D$52)^(X$229-1)*MAX(0,MIN(1,X$228*1-Inputs!$D$53+1))/1</f>
        <v>1.5</v>
      </c>
      <c r="Y327" s="118" t="n">
        <f aca="false">Inputs!$D$50*(1+Inputs!$D$52)^(Y$229-1)*MAX(0,MIN(1,Y$228*1-Inputs!$D$53+1))/1</f>
        <v>1.5</v>
      </c>
      <c r="Z327" s="118" t="n">
        <f aca="false">Inputs!$D$50*(1+Inputs!$D$52)^(Z$229-1)*MAX(0,MIN(1,Z$228*1-Inputs!$D$53+1))/1</f>
        <v>1.5</v>
      </c>
      <c r="AA327" s="118" t="n">
        <f aca="false">Inputs!$D$50*(1+Inputs!$D$52)^(AA$229-1)*MAX(0,MIN(1,AA$228*1-Inputs!$D$53+1))/1</f>
        <v>1.5</v>
      </c>
      <c r="AB327" s="118" t="n">
        <f aca="false">Inputs!$D$50*(1+Inputs!$D$52)^(AB$229-1)*MAX(0,MIN(1,AB$228*1-Inputs!$D$53+1))/1</f>
        <v>1.5</v>
      </c>
      <c r="AC327" s="118" t="n">
        <f aca="false">Inputs!$D$50*(1+Inputs!$D$52)^(AC$229-1)*MAX(0,MIN(1,AC$228*1-Inputs!$D$53+1))/1</f>
        <v>1.5</v>
      </c>
      <c r="AD327" s="118" t="n">
        <f aca="false">Inputs!$D$50*(1+Inputs!$D$52)^(AD$229-1)*MAX(0,MIN(1,AD$228*1-Inputs!$D$53+1))/1</f>
        <v>1.5</v>
      </c>
      <c r="AE327" s="118" t="n">
        <f aca="false">Inputs!$D$50*(1+Inputs!$D$52)^(AE$229-1)*MAX(0,MIN(1,AE$228*1-Inputs!$D$53+1))/1</f>
        <v>1.5</v>
      </c>
      <c r="AF327" s="118" t="n">
        <f aca="false">Inputs!$D$50*(1+Inputs!$D$52)^(AF$229-1)*MAX(0,MIN(1,AF$228*1-Inputs!$D$53+1))/1</f>
        <v>1.5</v>
      </c>
      <c r="AG327" s="118" t="n">
        <f aca="false">Inputs!$D$50*(1+Inputs!$D$52)^(AG$229-1)*MAX(0,MIN(1,AG$228*1-Inputs!$D$53+1))/1</f>
        <v>1.5</v>
      </c>
      <c r="AH327" s="118" t="n">
        <f aca="false">Inputs!$D$50*(1+Inputs!$D$52)^(AH$229-1)*MAX(0,MIN(1,AH$228*1-Inputs!$D$53+1))/1</f>
        <v>1.5</v>
      </c>
      <c r="AI327" s="118" t="n">
        <f aca="false">Inputs!$D$50*(1+Inputs!$D$52)^(AI$229-1)*MAX(0,MIN(1,AI$228*1-Inputs!$D$53+1))/1</f>
        <v>1.5</v>
      </c>
      <c r="AJ327" s="118" t="n">
        <f aca="false">Inputs!$D$50*(1+Inputs!$D$52)^(AJ$229-1)*MAX(0,MIN(1,AJ$228*1-Inputs!$D$53+1))/1</f>
        <v>1.5</v>
      </c>
      <c r="AK327" s="118" t="n">
        <f aca="false">Inputs!$D$50*(1+Inputs!$D$52)^(AK$229-1)*MAX(0,MIN(1,AK$228*1-Inputs!$D$53+1))/1</f>
        <v>1.5</v>
      </c>
      <c r="AL327" s="118" t="n">
        <f aca="false">Inputs!$D$50*(1+Inputs!$D$52)^(AL$229-1)*MAX(0,MIN(1,AL$228*1-Inputs!$D$53+1))/1</f>
        <v>1.5</v>
      </c>
      <c r="AM327" s="118" t="n">
        <f aca="false">Inputs!$D$50*(1+Inputs!$D$52)^(AM$229-1)*MAX(0,MIN(1,AM$228*1-Inputs!$D$53+1))/1</f>
        <v>1.5</v>
      </c>
      <c r="AN327" s="118" t="n">
        <f aca="false">Inputs!$D$50*(1+Inputs!$D$52)^(AN$229-1)*MAX(0,MIN(1,AN$228*1-Inputs!$D$53+1))/1</f>
        <v>1.5</v>
      </c>
      <c r="AO327" s="118" t="n">
        <f aca="false">Inputs!$D$50*(1+Inputs!$D$52)^(AO$229-1)*MAX(0,MIN(1,AO$228*1-Inputs!$D$53+1))/1</f>
        <v>1.5</v>
      </c>
      <c r="AP327" s="118" t="n">
        <f aca="false">Inputs!$D$50*(1+Inputs!$D$52)^(AP$229-1)*MAX(0,MIN(1,AP$228*1-Inputs!$D$53+1))/1</f>
        <v>1.5</v>
      </c>
      <c r="AQ327" s="118" t="n">
        <f aca="false">Inputs!$D$50*(1+Inputs!$D$52)^(AQ$229-1)*MAX(0,MIN(1,AQ$228*1-Inputs!$D$53+1))/1</f>
        <v>1.5</v>
      </c>
      <c r="AR327" s="118" t="n">
        <f aca="false">Inputs!$D$50*(1+Inputs!$D$52)^(AR$229-1)*MAX(0,MIN(1,AR$228*1-Inputs!$D$53+1))/1</f>
        <v>1.5</v>
      </c>
      <c r="AS327" s="118" t="n">
        <f aca="false">Inputs!$D$50*(1+Inputs!$D$52)^(AS$229-1)*MAX(0,MIN(1,AS$228*1-Inputs!$D$53+1))/1</f>
        <v>1.5</v>
      </c>
      <c r="AT327" s="118" t="n">
        <f aca="false">Inputs!$D$50*(1+Inputs!$D$52)^(AT$229-1)*MAX(0,MIN(1,AT$228*1-Inputs!$D$53+1))/1</f>
        <v>1.5</v>
      </c>
      <c r="AU327" s="118" t="n">
        <f aca="false">Inputs!$D$50*(1+Inputs!$D$52)^(AU$229-1)*MAX(0,MIN(1,AU$228*1-Inputs!$D$53+1))/1</f>
        <v>1.5</v>
      </c>
      <c r="AV327" s="118" t="n">
        <f aca="false">Inputs!$D$50*(1+Inputs!$D$52)^(AV$229-1)*MAX(0,MIN(1,AV$228*1-Inputs!$D$53+1))/1</f>
        <v>1.5</v>
      </c>
      <c r="AW327" s="118" t="n">
        <f aca="false">Inputs!$D$50*(1+Inputs!$D$52)^(AW$229-1)*MAX(0,MIN(1,AW$228*1-Inputs!$D$53+1))/1</f>
        <v>1.5</v>
      </c>
      <c r="AX327" s="118" t="n">
        <f aca="false">Inputs!$D$50*(1+Inputs!$D$52)^(AX$229-1)*MAX(0,MIN(1,AX$228*1-Inputs!$D$53+1))/1</f>
        <v>1.5</v>
      </c>
      <c r="AY327" s="118" t="n">
        <f aca="false">Inputs!$D$50*(1+Inputs!$D$52)^(AY$229-1)*MAX(0,MIN(1,AY$228*1-Inputs!$D$53+1))/1</f>
        <v>1.5</v>
      </c>
      <c r="AZ327" s="118" t="n">
        <f aca="false">Inputs!$D$50*(1+Inputs!$D$52)^(AZ$229-1)*MAX(0,MIN(1,AZ$228*1-Inputs!$D$53+1))/1</f>
        <v>1.5</v>
      </c>
      <c r="BA327" s="118" t="n">
        <f aca="false">Inputs!$D$50*(1+Inputs!$D$52)^(BA$229-1)*MAX(0,MIN(1,BA$228*1-Inputs!$D$53+1))/1</f>
        <v>1.5</v>
      </c>
      <c r="BB327" s="118" t="n">
        <f aca="false">Inputs!$D$50*(1+Inputs!$D$52)^(BB$229-1)*MAX(0,MIN(1,BB$228*1-Inputs!$D$53+1))/1</f>
        <v>1.5</v>
      </c>
      <c r="BC327" s="118" t="n">
        <f aca="false">Inputs!$D$50*(1+Inputs!$D$52)^(BC$229-1)*MAX(0,MIN(1,BC$228*1-Inputs!$D$53+1))/1</f>
        <v>1.5</v>
      </c>
      <c r="BD327" s="118" t="n">
        <f aca="false">Inputs!$D$50*(1+Inputs!$D$52)^(BD$229-1)*MAX(0,MIN(1,BD$228*1-Inputs!$D$53+1))/1</f>
        <v>1.5</v>
      </c>
      <c r="BE327" s="118" t="n">
        <f aca="false">Inputs!$D$50*(1+Inputs!$D$52)^(BE$229-1)*MAX(0,MIN(1,BE$228*1-Inputs!$D$53+1))/1</f>
        <v>1.5</v>
      </c>
      <c r="BF327" s="118" t="n">
        <f aca="false">Inputs!$D$50*(1+Inputs!$D$52)^(BF$229-1)*MAX(0,MIN(1,BF$228*1-Inputs!$D$53+1))/1</f>
        <v>1.5</v>
      </c>
      <c r="BG327" s="118" t="n">
        <f aca="false">Inputs!$D$50*(1+Inputs!$D$52)^(BG$229-1)*MAX(0,MIN(1,BG$228*1-Inputs!$D$53+1))/1</f>
        <v>1.5</v>
      </c>
      <c r="BH327" s="118" t="n">
        <f aca="false">Inputs!$D$50*(1+Inputs!$D$52)^(BH$229-1)*MAX(0,MIN(1,BH$228*1-Inputs!$D$53+1))/1</f>
        <v>1.5</v>
      </c>
      <c r="BI327" s="118" t="n">
        <f aca="false">Inputs!$D$50*(1+Inputs!$D$52)^(BI$229-1)*MAX(0,MIN(1,BI$228*1-Inputs!$D$53+1))/1</f>
        <v>1.5</v>
      </c>
      <c r="BJ327" s="118" t="n">
        <f aca="false">Inputs!$D$50*(1+Inputs!$D$52)^(BJ$229-1)*MAX(0,MIN(1,BJ$228*1-Inputs!$D$53+1))/1</f>
        <v>1.5</v>
      </c>
    </row>
    <row r="328" customFormat="false" ht="15" hidden="false" customHeight="false" outlineLevel="0" collapsed="false">
      <c r="A328" s="115" t="s">
        <v>440</v>
      </c>
      <c r="C328" s="122" t="n">
        <f aca="false">C325+C326+C327</f>
        <v>13.5</v>
      </c>
      <c r="D328" s="122" t="n">
        <f aca="false">D325+D326+D327</f>
        <v>13.5</v>
      </c>
      <c r="E328" s="122" t="n">
        <f aca="false">E325+E326+E327</f>
        <v>13.5</v>
      </c>
      <c r="F328" s="122" t="n">
        <f aca="false">F325+F326+F327</f>
        <v>13.5</v>
      </c>
      <c r="G328" s="122" t="n">
        <f aca="false">G325+G326+G327</f>
        <v>13.5</v>
      </c>
      <c r="H328" s="122" t="n">
        <f aca="false">H325+H326+H327</f>
        <v>13.5</v>
      </c>
      <c r="I328" s="122" t="n">
        <f aca="false">I325+I326+I327</f>
        <v>13.5</v>
      </c>
      <c r="J328" s="122" t="n">
        <f aca="false">J325+J326+J327</f>
        <v>13.5</v>
      </c>
      <c r="K328" s="122" t="n">
        <f aca="false">K325+K326+K327</f>
        <v>13.5</v>
      </c>
      <c r="L328" s="122" t="n">
        <f aca="false">L325+L326+L327</f>
        <v>13.5</v>
      </c>
      <c r="M328" s="122" t="n">
        <f aca="false">M325+M326+M327</f>
        <v>13.5</v>
      </c>
      <c r="N328" s="122" t="n">
        <f aca="false">N325+N326+N327</f>
        <v>13.5</v>
      </c>
      <c r="O328" s="122" t="n">
        <f aca="false">O325+O326+O327</f>
        <v>14.22</v>
      </c>
      <c r="P328" s="122" t="n">
        <f aca="false">P325+P326+P327</f>
        <v>14.22</v>
      </c>
      <c r="Q328" s="122" t="n">
        <f aca="false">Q325+Q326+Q327</f>
        <v>14.22</v>
      </c>
      <c r="R328" s="122" t="n">
        <f aca="false">R325+R326+R327</f>
        <v>14.22</v>
      </c>
      <c r="S328" s="122" t="n">
        <f aca="false">S325+S326+S327</f>
        <v>14.22</v>
      </c>
      <c r="T328" s="122" t="n">
        <f aca="false">T325+T326+T327</f>
        <v>14.22</v>
      </c>
      <c r="U328" s="122" t="n">
        <f aca="false">U325+U326+U327</f>
        <v>14.22</v>
      </c>
      <c r="V328" s="122" t="n">
        <f aca="false">V325+V326+V327</f>
        <v>14.22</v>
      </c>
      <c r="W328" s="122" t="n">
        <f aca="false">W325+W326+W327</f>
        <v>14.22</v>
      </c>
      <c r="X328" s="122" t="n">
        <f aca="false">X325+X326+X327</f>
        <v>14.22</v>
      </c>
      <c r="Y328" s="122" t="n">
        <f aca="false">Y325+Y326+Y327</f>
        <v>14.22</v>
      </c>
      <c r="Z328" s="122" t="n">
        <f aca="false">Z325+Z326+Z327</f>
        <v>14.22</v>
      </c>
      <c r="AA328" s="122" t="n">
        <f aca="false">AA325+AA326+AA327</f>
        <v>14.9832</v>
      </c>
      <c r="AB328" s="122" t="n">
        <f aca="false">AB325+AB326+AB327</f>
        <v>14.9832</v>
      </c>
      <c r="AC328" s="122" t="n">
        <f aca="false">AC325+AC326+AC327</f>
        <v>14.9832</v>
      </c>
      <c r="AD328" s="122" t="n">
        <f aca="false">AD325+AD326+AD327</f>
        <v>14.9832</v>
      </c>
      <c r="AE328" s="122" t="n">
        <f aca="false">AE325+AE326+AE327</f>
        <v>14.9832</v>
      </c>
      <c r="AF328" s="122" t="n">
        <f aca="false">AF325+AF326+AF327</f>
        <v>14.9832</v>
      </c>
      <c r="AG328" s="122" t="n">
        <f aca="false">AG325+AG326+AG327</f>
        <v>14.9832</v>
      </c>
      <c r="AH328" s="122" t="n">
        <f aca="false">AH325+AH326+AH327</f>
        <v>14.9832</v>
      </c>
      <c r="AI328" s="122" t="n">
        <f aca="false">AI325+AI326+AI327</f>
        <v>14.9832</v>
      </c>
      <c r="AJ328" s="122" t="n">
        <f aca="false">AJ325+AJ326+AJ327</f>
        <v>14.9832</v>
      </c>
      <c r="AK328" s="122" t="n">
        <f aca="false">AK325+AK326+AK327</f>
        <v>14.9832</v>
      </c>
      <c r="AL328" s="122" t="n">
        <f aca="false">AL325+AL326+AL327</f>
        <v>14.9832</v>
      </c>
      <c r="AM328" s="122" t="n">
        <f aca="false">AM325+AM326+AM327</f>
        <v>15.792192</v>
      </c>
      <c r="AN328" s="122" t="n">
        <f aca="false">AN325+AN326+AN327</f>
        <v>15.792192</v>
      </c>
      <c r="AO328" s="122" t="n">
        <f aca="false">AO325+AO326+AO327</f>
        <v>15.792192</v>
      </c>
      <c r="AP328" s="122" t="n">
        <f aca="false">AP325+AP326+AP327</f>
        <v>15.792192</v>
      </c>
      <c r="AQ328" s="122" t="n">
        <f aca="false">AQ325+AQ326+AQ327</f>
        <v>15.792192</v>
      </c>
      <c r="AR328" s="122" t="n">
        <f aca="false">AR325+AR326+AR327</f>
        <v>15.792192</v>
      </c>
      <c r="AS328" s="122" t="n">
        <f aca="false">AS325+AS326+AS327</f>
        <v>15.792192</v>
      </c>
      <c r="AT328" s="122" t="n">
        <f aca="false">AT325+AT326+AT327</f>
        <v>15.792192</v>
      </c>
      <c r="AU328" s="122" t="n">
        <f aca="false">AU325+AU326+AU327</f>
        <v>15.792192</v>
      </c>
      <c r="AV328" s="122" t="n">
        <f aca="false">AV325+AV326+AV327</f>
        <v>15.792192</v>
      </c>
      <c r="AW328" s="122" t="n">
        <f aca="false">AW325+AW326+AW327</f>
        <v>15.792192</v>
      </c>
      <c r="AX328" s="122" t="n">
        <f aca="false">AX325+AX326+AX327</f>
        <v>15.792192</v>
      </c>
      <c r="AY328" s="122" t="n">
        <f aca="false">AY325+AY326+AY327</f>
        <v>16.64972352</v>
      </c>
      <c r="AZ328" s="122" t="n">
        <f aca="false">AZ325+AZ326+AZ327</f>
        <v>16.64972352</v>
      </c>
      <c r="BA328" s="122" t="n">
        <f aca="false">BA325+BA326+BA327</f>
        <v>16.64972352</v>
      </c>
      <c r="BB328" s="122" t="n">
        <f aca="false">BB325+BB326+BB327</f>
        <v>16.64972352</v>
      </c>
      <c r="BC328" s="122" t="n">
        <f aca="false">BC325+BC326+BC327</f>
        <v>16.64972352</v>
      </c>
      <c r="BD328" s="122" t="n">
        <f aca="false">BD325+BD326+BD327</f>
        <v>16.64972352</v>
      </c>
      <c r="BE328" s="122" t="n">
        <f aca="false">BE325+BE326+BE327</f>
        <v>16.64972352</v>
      </c>
      <c r="BF328" s="122" t="n">
        <f aca="false">BF325+BF326+BF327</f>
        <v>16.64972352</v>
      </c>
      <c r="BG328" s="122" t="n">
        <f aca="false">BG325+BG326+BG327</f>
        <v>16.64972352</v>
      </c>
      <c r="BH328" s="122" t="n">
        <f aca="false">BH325+BH326+BH327</f>
        <v>16.64972352</v>
      </c>
      <c r="BI328" s="122" t="n">
        <f aca="false">BI325+BI326+BI327</f>
        <v>16.64972352</v>
      </c>
      <c r="BJ328" s="122" t="n">
        <f aca="false">BJ325+BJ326+BJ327</f>
        <v>16.64972352</v>
      </c>
    </row>
    <row r="330" customFormat="false" ht="15.75" hidden="false" customHeight="true" outlineLevel="0" collapsed="false">
      <c r="A330" s="7" t="s">
        <v>441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customFormat="false" ht="15" hidden="false" customHeight="false" outlineLevel="0" collapsed="false">
      <c r="A331" s="6" t="s">
        <v>442</v>
      </c>
      <c r="C331" s="67" t="n">
        <f aca="false">-C325*Inputs!$D$43/12*1*(1+Inputs!$D$54)*(1+Inputs!$D$55)^(C$229-1)</f>
        <v>-20533.3333333333</v>
      </c>
      <c r="D331" s="67" t="n">
        <f aca="false">-D325*Inputs!$D$43/12*1*(1+Inputs!$D$54)*(1+Inputs!$D$55)^(D$229-1)</f>
        <v>-20533.3333333333</v>
      </c>
      <c r="E331" s="67" t="n">
        <f aca="false">-E325*Inputs!$D$43/12*1*(1+Inputs!$D$54)*(1+Inputs!$D$55)^(E$229-1)</f>
        <v>-20533.3333333333</v>
      </c>
      <c r="F331" s="67" t="n">
        <f aca="false">-F325*Inputs!$D$43/12*1*(1+Inputs!$D$54)*(1+Inputs!$D$55)^(F$229-1)</f>
        <v>-20533.3333333333</v>
      </c>
      <c r="G331" s="67" t="n">
        <f aca="false">-G325*Inputs!$D$43/12*1*(1+Inputs!$D$54)*(1+Inputs!$D$55)^(G$229-1)</f>
        <v>-20533.3333333333</v>
      </c>
      <c r="H331" s="67" t="n">
        <f aca="false">-H325*Inputs!$D$43/12*1*(1+Inputs!$D$54)*(1+Inputs!$D$55)^(H$229-1)</f>
        <v>-20533.3333333333</v>
      </c>
      <c r="I331" s="67" t="n">
        <f aca="false">-I325*Inputs!$D$43/12*1*(1+Inputs!$D$54)*(1+Inputs!$D$55)^(I$229-1)</f>
        <v>-20533.3333333333</v>
      </c>
      <c r="J331" s="67" t="n">
        <f aca="false">-J325*Inputs!$D$43/12*1*(1+Inputs!$D$54)*(1+Inputs!$D$55)^(J$229-1)</f>
        <v>-20533.3333333333</v>
      </c>
      <c r="K331" s="67" t="n">
        <f aca="false">-K325*Inputs!$D$43/12*1*(1+Inputs!$D$54)*(1+Inputs!$D$55)^(K$229-1)</f>
        <v>-20533.3333333333</v>
      </c>
      <c r="L331" s="67" t="n">
        <f aca="false">-L325*Inputs!$D$43/12*1*(1+Inputs!$D$54)*(1+Inputs!$D$55)^(L$229-1)</f>
        <v>-20533.3333333333</v>
      </c>
      <c r="M331" s="67" t="n">
        <f aca="false">-M325*Inputs!$D$43/12*1*(1+Inputs!$D$54)*(1+Inputs!$D$55)^(M$229-1)</f>
        <v>-20533.3333333333</v>
      </c>
      <c r="N331" s="67" t="n">
        <f aca="false">-N325*Inputs!$D$43/12*1*(1+Inputs!$D$54)*(1+Inputs!$D$55)^(N$229-1)</f>
        <v>-20533.3333333333</v>
      </c>
      <c r="O331" s="67" t="n">
        <f aca="false">-O325*Inputs!$D$43/12*1*(1+Inputs!$D$54)*(1+Inputs!$D$55)^(O$229-1)</f>
        <v>-22418.2933333333</v>
      </c>
      <c r="P331" s="67" t="n">
        <f aca="false">-P325*Inputs!$D$43/12*1*(1+Inputs!$D$54)*(1+Inputs!$D$55)^(P$229-1)</f>
        <v>-22418.2933333333</v>
      </c>
      <c r="Q331" s="67" t="n">
        <f aca="false">-Q325*Inputs!$D$43/12*1*(1+Inputs!$D$54)*(1+Inputs!$D$55)^(Q$229-1)</f>
        <v>-22418.2933333333</v>
      </c>
      <c r="R331" s="67" t="n">
        <f aca="false">-R325*Inputs!$D$43/12*1*(1+Inputs!$D$54)*(1+Inputs!$D$55)^(R$229-1)</f>
        <v>-22418.2933333333</v>
      </c>
      <c r="S331" s="67" t="n">
        <f aca="false">-S325*Inputs!$D$43/12*1*(1+Inputs!$D$54)*(1+Inputs!$D$55)^(S$229-1)</f>
        <v>-22418.2933333333</v>
      </c>
      <c r="T331" s="67" t="n">
        <f aca="false">-T325*Inputs!$D$43/12*1*(1+Inputs!$D$54)*(1+Inputs!$D$55)^(T$229-1)</f>
        <v>-22418.2933333333</v>
      </c>
      <c r="U331" s="67" t="n">
        <f aca="false">-U325*Inputs!$D$43/12*1*(1+Inputs!$D$54)*(1+Inputs!$D$55)^(U$229-1)</f>
        <v>-22418.2933333333</v>
      </c>
      <c r="V331" s="67" t="n">
        <f aca="false">-V325*Inputs!$D$43/12*1*(1+Inputs!$D$54)*(1+Inputs!$D$55)^(V$229-1)</f>
        <v>-22418.2933333333</v>
      </c>
      <c r="W331" s="67" t="n">
        <f aca="false">-W325*Inputs!$D$43/12*1*(1+Inputs!$D$54)*(1+Inputs!$D$55)^(W$229-1)</f>
        <v>-22418.2933333333</v>
      </c>
      <c r="X331" s="67" t="n">
        <f aca="false">-X325*Inputs!$D$43/12*1*(1+Inputs!$D$54)*(1+Inputs!$D$55)^(X$229-1)</f>
        <v>-22418.2933333333</v>
      </c>
      <c r="Y331" s="67" t="n">
        <f aca="false">-Y325*Inputs!$D$43/12*1*(1+Inputs!$D$54)*(1+Inputs!$D$55)^(Y$229-1)</f>
        <v>-22418.2933333333</v>
      </c>
      <c r="Z331" s="67" t="n">
        <f aca="false">-Z325*Inputs!$D$43/12*1*(1+Inputs!$D$54)*(1+Inputs!$D$55)^(Z$229-1)</f>
        <v>-22418.2933333333</v>
      </c>
      <c r="AA331" s="67" t="n">
        <f aca="false">-AA325*Inputs!$D$43/12*1*(1+Inputs!$D$54)*(1+Inputs!$D$55)^(AA$229-1)</f>
        <v>-24476.2926613333</v>
      </c>
      <c r="AB331" s="67" t="n">
        <f aca="false">-AB325*Inputs!$D$43/12*1*(1+Inputs!$D$54)*(1+Inputs!$D$55)^(AB$229-1)</f>
        <v>-24476.2926613333</v>
      </c>
      <c r="AC331" s="67" t="n">
        <f aca="false">-AC325*Inputs!$D$43/12*1*(1+Inputs!$D$54)*(1+Inputs!$D$55)^(AC$229-1)</f>
        <v>-24476.2926613333</v>
      </c>
      <c r="AD331" s="67" t="n">
        <f aca="false">-AD325*Inputs!$D$43/12*1*(1+Inputs!$D$54)*(1+Inputs!$D$55)^(AD$229-1)</f>
        <v>-24476.2926613333</v>
      </c>
      <c r="AE331" s="67" t="n">
        <f aca="false">-AE325*Inputs!$D$43/12*1*(1+Inputs!$D$54)*(1+Inputs!$D$55)^(AE$229-1)</f>
        <v>-24476.2926613333</v>
      </c>
      <c r="AF331" s="67" t="n">
        <f aca="false">-AF325*Inputs!$D$43/12*1*(1+Inputs!$D$54)*(1+Inputs!$D$55)^(AF$229-1)</f>
        <v>-24476.2926613333</v>
      </c>
      <c r="AG331" s="67" t="n">
        <f aca="false">-AG325*Inputs!$D$43/12*1*(1+Inputs!$D$54)*(1+Inputs!$D$55)^(AG$229-1)</f>
        <v>-24476.2926613333</v>
      </c>
      <c r="AH331" s="67" t="n">
        <f aca="false">-AH325*Inputs!$D$43/12*1*(1+Inputs!$D$54)*(1+Inputs!$D$55)^(AH$229-1)</f>
        <v>-24476.2926613333</v>
      </c>
      <c r="AI331" s="67" t="n">
        <f aca="false">-AI325*Inputs!$D$43/12*1*(1+Inputs!$D$54)*(1+Inputs!$D$55)^(AI$229-1)</f>
        <v>-24476.2926613333</v>
      </c>
      <c r="AJ331" s="67" t="n">
        <f aca="false">-AJ325*Inputs!$D$43/12*1*(1+Inputs!$D$54)*(1+Inputs!$D$55)^(AJ$229-1)</f>
        <v>-24476.2926613333</v>
      </c>
      <c r="AK331" s="67" t="n">
        <f aca="false">-AK325*Inputs!$D$43/12*1*(1+Inputs!$D$54)*(1+Inputs!$D$55)^(AK$229-1)</f>
        <v>-24476.2926613333</v>
      </c>
      <c r="AL331" s="67" t="n">
        <f aca="false">-AL325*Inputs!$D$43/12*1*(1+Inputs!$D$54)*(1+Inputs!$D$55)^(AL$229-1)</f>
        <v>-24476.2926613333</v>
      </c>
      <c r="AM331" s="67" t="n">
        <f aca="false">-AM325*Inputs!$D$43/12*1*(1+Inputs!$D$54)*(1+Inputs!$D$55)^(AM$229-1)</f>
        <v>-26723.2163276437</v>
      </c>
      <c r="AN331" s="67" t="n">
        <f aca="false">-AN325*Inputs!$D$43/12*1*(1+Inputs!$D$54)*(1+Inputs!$D$55)^(AN$229-1)</f>
        <v>-26723.2163276437</v>
      </c>
      <c r="AO331" s="67" t="n">
        <f aca="false">-AO325*Inputs!$D$43/12*1*(1+Inputs!$D$54)*(1+Inputs!$D$55)^(AO$229-1)</f>
        <v>-26723.2163276437</v>
      </c>
      <c r="AP331" s="67" t="n">
        <f aca="false">-AP325*Inputs!$D$43/12*1*(1+Inputs!$D$54)*(1+Inputs!$D$55)^(AP$229-1)</f>
        <v>-26723.2163276437</v>
      </c>
      <c r="AQ331" s="67" t="n">
        <f aca="false">-AQ325*Inputs!$D$43/12*1*(1+Inputs!$D$54)*(1+Inputs!$D$55)^(AQ$229-1)</f>
        <v>-26723.2163276437</v>
      </c>
      <c r="AR331" s="67" t="n">
        <f aca="false">-AR325*Inputs!$D$43/12*1*(1+Inputs!$D$54)*(1+Inputs!$D$55)^(AR$229-1)</f>
        <v>-26723.2163276437</v>
      </c>
      <c r="AS331" s="67" t="n">
        <f aca="false">-AS325*Inputs!$D$43/12*1*(1+Inputs!$D$54)*(1+Inputs!$D$55)^(AS$229-1)</f>
        <v>-26723.2163276437</v>
      </c>
      <c r="AT331" s="67" t="n">
        <f aca="false">-AT325*Inputs!$D$43/12*1*(1+Inputs!$D$54)*(1+Inputs!$D$55)^(AT$229-1)</f>
        <v>-26723.2163276437</v>
      </c>
      <c r="AU331" s="67" t="n">
        <f aca="false">-AU325*Inputs!$D$43/12*1*(1+Inputs!$D$54)*(1+Inputs!$D$55)^(AU$229-1)</f>
        <v>-26723.2163276437</v>
      </c>
      <c r="AV331" s="67" t="n">
        <f aca="false">-AV325*Inputs!$D$43/12*1*(1+Inputs!$D$54)*(1+Inputs!$D$55)^(AV$229-1)</f>
        <v>-26723.2163276437</v>
      </c>
      <c r="AW331" s="67" t="n">
        <f aca="false">-AW325*Inputs!$D$43/12*1*(1+Inputs!$D$54)*(1+Inputs!$D$55)^(AW$229-1)</f>
        <v>-26723.2163276437</v>
      </c>
      <c r="AX331" s="67" t="n">
        <f aca="false">-AX325*Inputs!$D$43/12*1*(1+Inputs!$D$54)*(1+Inputs!$D$55)^(AX$229-1)</f>
        <v>-26723.2163276437</v>
      </c>
      <c r="AY331" s="67" t="n">
        <f aca="false">-AY325*Inputs!$D$43/12*1*(1+Inputs!$D$54)*(1+Inputs!$D$55)^(AY$229-1)</f>
        <v>-29176.4075865214</v>
      </c>
      <c r="AZ331" s="67" t="n">
        <f aca="false">-AZ325*Inputs!$D$43/12*1*(1+Inputs!$D$54)*(1+Inputs!$D$55)^(AZ$229-1)</f>
        <v>-29176.4075865214</v>
      </c>
      <c r="BA331" s="67" t="n">
        <f aca="false">-BA325*Inputs!$D$43/12*1*(1+Inputs!$D$54)*(1+Inputs!$D$55)^(BA$229-1)</f>
        <v>-29176.4075865214</v>
      </c>
      <c r="BB331" s="67" t="n">
        <f aca="false">-BB325*Inputs!$D$43/12*1*(1+Inputs!$D$54)*(1+Inputs!$D$55)^(BB$229-1)</f>
        <v>-29176.4075865214</v>
      </c>
      <c r="BC331" s="67" t="n">
        <f aca="false">-BC325*Inputs!$D$43/12*1*(1+Inputs!$D$54)*(1+Inputs!$D$55)^(BC$229-1)</f>
        <v>-29176.4075865214</v>
      </c>
      <c r="BD331" s="67" t="n">
        <f aca="false">-BD325*Inputs!$D$43/12*1*(1+Inputs!$D$54)*(1+Inputs!$D$55)^(BD$229-1)</f>
        <v>-29176.4075865214</v>
      </c>
      <c r="BE331" s="67" t="n">
        <f aca="false">-BE325*Inputs!$D$43/12*1*(1+Inputs!$D$54)*(1+Inputs!$D$55)^(BE$229-1)</f>
        <v>-29176.4075865214</v>
      </c>
      <c r="BF331" s="67" t="n">
        <f aca="false">-BF325*Inputs!$D$43/12*1*(1+Inputs!$D$54)*(1+Inputs!$D$55)^(BF$229-1)</f>
        <v>-29176.4075865214</v>
      </c>
      <c r="BG331" s="67" t="n">
        <f aca="false">-BG325*Inputs!$D$43/12*1*(1+Inputs!$D$54)*(1+Inputs!$D$55)^(BG$229-1)</f>
        <v>-29176.4075865214</v>
      </c>
      <c r="BH331" s="67" t="n">
        <f aca="false">-BH325*Inputs!$D$43/12*1*(1+Inputs!$D$54)*(1+Inputs!$D$55)^(BH$229-1)</f>
        <v>-29176.4075865214</v>
      </c>
      <c r="BI331" s="67" t="n">
        <f aca="false">-BI325*Inputs!$D$43/12*1*(1+Inputs!$D$54)*(1+Inputs!$D$55)^(BI$229-1)</f>
        <v>-29176.4075865214</v>
      </c>
      <c r="BJ331" s="67" t="n">
        <f aca="false">-BJ325*Inputs!$D$43/12*1*(1+Inputs!$D$54)*(1+Inputs!$D$55)^(BJ$229-1)</f>
        <v>-29176.4075865214</v>
      </c>
    </row>
    <row r="332" customFormat="false" ht="15" hidden="false" customHeight="false" outlineLevel="0" collapsed="false">
      <c r="A332" s="6" t="s">
        <v>443</v>
      </c>
      <c r="C332" s="67" t="n">
        <f aca="false">-C326*Inputs!$D$47/12*1*(1+Inputs!$D$54)*(1+Inputs!$D$55)^(C$229-1)</f>
        <v>-20253.3333333333</v>
      </c>
      <c r="D332" s="67" t="n">
        <f aca="false">-D326*Inputs!$D$47/12*1*(1+Inputs!$D$54)*(1+Inputs!$D$55)^(D$229-1)</f>
        <v>-20253.3333333333</v>
      </c>
      <c r="E332" s="67" t="n">
        <f aca="false">-E326*Inputs!$D$47/12*1*(1+Inputs!$D$54)*(1+Inputs!$D$55)^(E$229-1)</f>
        <v>-20253.3333333333</v>
      </c>
      <c r="F332" s="67" t="n">
        <f aca="false">-F326*Inputs!$D$47/12*1*(1+Inputs!$D$54)*(1+Inputs!$D$55)^(F$229-1)</f>
        <v>-20253.3333333333</v>
      </c>
      <c r="G332" s="67" t="n">
        <f aca="false">-G326*Inputs!$D$47/12*1*(1+Inputs!$D$54)*(1+Inputs!$D$55)^(G$229-1)</f>
        <v>-20253.3333333333</v>
      </c>
      <c r="H332" s="67" t="n">
        <f aca="false">-H326*Inputs!$D$47/12*1*(1+Inputs!$D$54)*(1+Inputs!$D$55)^(H$229-1)</f>
        <v>-20253.3333333333</v>
      </c>
      <c r="I332" s="67" t="n">
        <f aca="false">-I326*Inputs!$D$47/12*1*(1+Inputs!$D$54)*(1+Inputs!$D$55)^(I$229-1)</f>
        <v>-20253.3333333333</v>
      </c>
      <c r="J332" s="67" t="n">
        <f aca="false">-J326*Inputs!$D$47/12*1*(1+Inputs!$D$54)*(1+Inputs!$D$55)^(J$229-1)</f>
        <v>-20253.3333333333</v>
      </c>
      <c r="K332" s="67" t="n">
        <f aca="false">-K326*Inputs!$D$47/12*1*(1+Inputs!$D$54)*(1+Inputs!$D$55)^(K$229-1)</f>
        <v>-20253.3333333333</v>
      </c>
      <c r="L332" s="67" t="n">
        <f aca="false">-L326*Inputs!$D$47/12*1*(1+Inputs!$D$54)*(1+Inputs!$D$55)^(L$229-1)</f>
        <v>-20253.3333333333</v>
      </c>
      <c r="M332" s="67" t="n">
        <f aca="false">-M326*Inputs!$D$47/12*1*(1+Inputs!$D$54)*(1+Inputs!$D$55)^(M$229-1)</f>
        <v>-20253.3333333333</v>
      </c>
      <c r="N332" s="67" t="n">
        <f aca="false">-N326*Inputs!$D$47/12*1*(1+Inputs!$D$54)*(1+Inputs!$D$55)^(N$229-1)</f>
        <v>-20253.3333333333</v>
      </c>
      <c r="O332" s="67" t="n">
        <f aca="false">-O326*Inputs!$D$47/12*1*(1+Inputs!$D$54)*(1+Inputs!$D$55)^(O$229-1)</f>
        <v>-22112.5893333333</v>
      </c>
      <c r="P332" s="67" t="n">
        <f aca="false">-P326*Inputs!$D$47/12*1*(1+Inputs!$D$54)*(1+Inputs!$D$55)^(P$229-1)</f>
        <v>-22112.5893333333</v>
      </c>
      <c r="Q332" s="67" t="n">
        <f aca="false">-Q326*Inputs!$D$47/12*1*(1+Inputs!$D$54)*(1+Inputs!$D$55)^(Q$229-1)</f>
        <v>-22112.5893333333</v>
      </c>
      <c r="R332" s="67" t="n">
        <f aca="false">-R326*Inputs!$D$47/12*1*(1+Inputs!$D$54)*(1+Inputs!$D$55)^(R$229-1)</f>
        <v>-22112.5893333333</v>
      </c>
      <c r="S332" s="67" t="n">
        <f aca="false">-S326*Inputs!$D$47/12*1*(1+Inputs!$D$54)*(1+Inputs!$D$55)^(S$229-1)</f>
        <v>-22112.5893333333</v>
      </c>
      <c r="T332" s="67" t="n">
        <f aca="false">-T326*Inputs!$D$47/12*1*(1+Inputs!$D$54)*(1+Inputs!$D$55)^(T$229-1)</f>
        <v>-22112.5893333333</v>
      </c>
      <c r="U332" s="67" t="n">
        <f aca="false">-U326*Inputs!$D$47/12*1*(1+Inputs!$D$54)*(1+Inputs!$D$55)^(U$229-1)</f>
        <v>-22112.5893333333</v>
      </c>
      <c r="V332" s="67" t="n">
        <f aca="false">-V326*Inputs!$D$47/12*1*(1+Inputs!$D$54)*(1+Inputs!$D$55)^(V$229-1)</f>
        <v>-22112.5893333333</v>
      </c>
      <c r="W332" s="67" t="n">
        <f aca="false">-W326*Inputs!$D$47/12*1*(1+Inputs!$D$54)*(1+Inputs!$D$55)^(W$229-1)</f>
        <v>-22112.5893333333</v>
      </c>
      <c r="X332" s="67" t="n">
        <f aca="false">-X326*Inputs!$D$47/12*1*(1+Inputs!$D$54)*(1+Inputs!$D$55)^(X$229-1)</f>
        <v>-22112.5893333333</v>
      </c>
      <c r="Y332" s="67" t="n">
        <f aca="false">-Y326*Inputs!$D$47/12*1*(1+Inputs!$D$54)*(1+Inputs!$D$55)^(Y$229-1)</f>
        <v>-22112.5893333333</v>
      </c>
      <c r="Z332" s="67" t="n">
        <f aca="false">-Z326*Inputs!$D$47/12*1*(1+Inputs!$D$54)*(1+Inputs!$D$55)^(Z$229-1)</f>
        <v>-22112.5893333333</v>
      </c>
      <c r="AA332" s="67" t="n">
        <f aca="false">-AA326*Inputs!$D$47/12*1*(1+Inputs!$D$54)*(1+Inputs!$D$55)^(AA$229-1)</f>
        <v>-24142.5250341333</v>
      </c>
      <c r="AB332" s="67" t="n">
        <f aca="false">-AB326*Inputs!$D$47/12*1*(1+Inputs!$D$54)*(1+Inputs!$D$55)^(AB$229-1)</f>
        <v>-24142.5250341333</v>
      </c>
      <c r="AC332" s="67" t="n">
        <f aca="false">-AC326*Inputs!$D$47/12*1*(1+Inputs!$D$54)*(1+Inputs!$D$55)^(AC$229-1)</f>
        <v>-24142.5250341333</v>
      </c>
      <c r="AD332" s="67" t="n">
        <f aca="false">-AD326*Inputs!$D$47/12*1*(1+Inputs!$D$54)*(1+Inputs!$D$55)^(AD$229-1)</f>
        <v>-24142.5250341333</v>
      </c>
      <c r="AE332" s="67" t="n">
        <f aca="false">-AE326*Inputs!$D$47/12*1*(1+Inputs!$D$54)*(1+Inputs!$D$55)^(AE$229-1)</f>
        <v>-24142.5250341333</v>
      </c>
      <c r="AF332" s="67" t="n">
        <f aca="false">-AF326*Inputs!$D$47/12*1*(1+Inputs!$D$54)*(1+Inputs!$D$55)^(AF$229-1)</f>
        <v>-24142.5250341333</v>
      </c>
      <c r="AG332" s="67" t="n">
        <f aca="false">-AG326*Inputs!$D$47/12*1*(1+Inputs!$D$54)*(1+Inputs!$D$55)^(AG$229-1)</f>
        <v>-24142.5250341333</v>
      </c>
      <c r="AH332" s="67" t="n">
        <f aca="false">-AH326*Inputs!$D$47/12*1*(1+Inputs!$D$54)*(1+Inputs!$D$55)^(AH$229-1)</f>
        <v>-24142.5250341333</v>
      </c>
      <c r="AI332" s="67" t="n">
        <f aca="false">-AI326*Inputs!$D$47/12*1*(1+Inputs!$D$54)*(1+Inputs!$D$55)^(AI$229-1)</f>
        <v>-24142.5250341333</v>
      </c>
      <c r="AJ332" s="67" t="n">
        <f aca="false">-AJ326*Inputs!$D$47/12*1*(1+Inputs!$D$54)*(1+Inputs!$D$55)^(AJ$229-1)</f>
        <v>-24142.5250341333</v>
      </c>
      <c r="AK332" s="67" t="n">
        <f aca="false">-AK326*Inputs!$D$47/12*1*(1+Inputs!$D$54)*(1+Inputs!$D$55)^(AK$229-1)</f>
        <v>-24142.5250341333</v>
      </c>
      <c r="AL332" s="67" t="n">
        <f aca="false">-AL326*Inputs!$D$47/12*1*(1+Inputs!$D$54)*(1+Inputs!$D$55)^(AL$229-1)</f>
        <v>-24142.5250341333</v>
      </c>
      <c r="AM332" s="67" t="n">
        <f aca="false">-AM326*Inputs!$D$47/12*1*(1+Inputs!$D$54)*(1+Inputs!$D$55)^(AM$229-1)</f>
        <v>-26358.8088322668</v>
      </c>
      <c r="AN332" s="67" t="n">
        <f aca="false">-AN326*Inputs!$D$47/12*1*(1+Inputs!$D$54)*(1+Inputs!$D$55)^(AN$229-1)</f>
        <v>-26358.8088322668</v>
      </c>
      <c r="AO332" s="67" t="n">
        <f aca="false">-AO326*Inputs!$D$47/12*1*(1+Inputs!$D$54)*(1+Inputs!$D$55)^(AO$229-1)</f>
        <v>-26358.8088322668</v>
      </c>
      <c r="AP332" s="67" t="n">
        <f aca="false">-AP326*Inputs!$D$47/12*1*(1+Inputs!$D$54)*(1+Inputs!$D$55)^(AP$229-1)</f>
        <v>-26358.8088322668</v>
      </c>
      <c r="AQ332" s="67" t="n">
        <f aca="false">-AQ326*Inputs!$D$47/12*1*(1+Inputs!$D$54)*(1+Inputs!$D$55)^(AQ$229-1)</f>
        <v>-26358.8088322668</v>
      </c>
      <c r="AR332" s="67" t="n">
        <f aca="false">-AR326*Inputs!$D$47/12*1*(1+Inputs!$D$54)*(1+Inputs!$D$55)^(AR$229-1)</f>
        <v>-26358.8088322668</v>
      </c>
      <c r="AS332" s="67" t="n">
        <f aca="false">-AS326*Inputs!$D$47/12*1*(1+Inputs!$D$54)*(1+Inputs!$D$55)^(AS$229-1)</f>
        <v>-26358.8088322668</v>
      </c>
      <c r="AT332" s="67" t="n">
        <f aca="false">-AT326*Inputs!$D$47/12*1*(1+Inputs!$D$54)*(1+Inputs!$D$55)^(AT$229-1)</f>
        <v>-26358.8088322668</v>
      </c>
      <c r="AU332" s="67" t="n">
        <f aca="false">-AU326*Inputs!$D$47/12*1*(1+Inputs!$D$54)*(1+Inputs!$D$55)^(AU$229-1)</f>
        <v>-26358.8088322668</v>
      </c>
      <c r="AV332" s="67" t="n">
        <f aca="false">-AV326*Inputs!$D$47/12*1*(1+Inputs!$D$54)*(1+Inputs!$D$55)^(AV$229-1)</f>
        <v>-26358.8088322668</v>
      </c>
      <c r="AW332" s="67" t="n">
        <f aca="false">-AW326*Inputs!$D$47/12*1*(1+Inputs!$D$54)*(1+Inputs!$D$55)^(AW$229-1)</f>
        <v>-26358.8088322668</v>
      </c>
      <c r="AX332" s="67" t="n">
        <f aca="false">-AX326*Inputs!$D$47/12*1*(1+Inputs!$D$54)*(1+Inputs!$D$55)^(AX$229-1)</f>
        <v>-26358.8088322668</v>
      </c>
      <c r="AY332" s="67" t="n">
        <f aca="false">-AY326*Inputs!$D$47/12*1*(1+Inputs!$D$54)*(1+Inputs!$D$55)^(AY$229-1)</f>
        <v>-28778.5474830689</v>
      </c>
      <c r="AZ332" s="67" t="n">
        <f aca="false">-AZ326*Inputs!$D$47/12*1*(1+Inputs!$D$54)*(1+Inputs!$D$55)^(AZ$229-1)</f>
        <v>-28778.5474830689</v>
      </c>
      <c r="BA332" s="67" t="n">
        <f aca="false">-BA326*Inputs!$D$47/12*1*(1+Inputs!$D$54)*(1+Inputs!$D$55)^(BA$229-1)</f>
        <v>-28778.5474830689</v>
      </c>
      <c r="BB332" s="67" t="n">
        <f aca="false">-BB326*Inputs!$D$47/12*1*(1+Inputs!$D$54)*(1+Inputs!$D$55)^(BB$229-1)</f>
        <v>-28778.5474830689</v>
      </c>
      <c r="BC332" s="67" t="n">
        <f aca="false">-BC326*Inputs!$D$47/12*1*(1+Inputs!$D$54)*(1+Inputs!$D$55)^(BC$229-1)</f>
        <v>-28778.5474830689</v>
      </c>
      <c r="BD332" s="67" t="n">
        <f aca="false">-BD326*Inputs!$D$47/12*1*(1+Inputs!$D$54)*(1+Inputs!$D$55)^(BD$229-1)</f>
        <v>-28778.5474830689</v>
      </c>
      <c r="BE332" s="67" t="n">
        <f aca="false">-BE326*Inputs!$D$47/12*1*(1+Inputs!$D$54)*(1+Inputs!$D$55)^(BE$229-1)</f>
        <v>-28778.5474830689</v>
      </c>
      <c r="BF332" s="67" t="n">
        <f aca="false">-BF326*Inputs!$D$47/12*1*(1+Inputs!$D$54)*(1+Inputs!$D$55)^(BF$229-1)</f>
        <v>-28778.5474830689</v>
      </c>
      <c r="BG332" s="67" t="n">
        <f aca="false">-BG326*Inputs!$D$47/12*1*(1+Inputs!$D$54)*(1+Inputs!$D$55)^(BG$229-1)</f>
        <v>-28778.5474830689</v>
      </c>
      <c r="BH332" s="67" t="n">
        <f aca="false">-BH326*Inputs!$D$47/12*1*(1+Inputs!$D$54)*(1+Inputs!$D$55)^(BH$229-1)</f>
        <v>-28778.5474830689</v>
      </c>
      <c r="BI332" s="67" t="n">
        <f aca="false">-BI326*Inputs!$D$47/12*1*(1+Inputs!$D$54)*(1+Inputs!$D$55)^(BI$229-1)</f>
        <v>-28778.5474830689</v>
      </c>
      <c r="BJ332" s="67" t="n">
        <f aca="false">-BJ326*Inputs!$D$47/12*1*(1+Inputs!$D$54)*(1+Inputs!$D$55)^(BJ$229-1)</f>
        <v>-28778.5474830689</v>
      </c>
    </row>
    <row r="333" customFormat="false" ht="15" hidden="false" customHeight="false" outlineLevel="0" collapsed="false">
      <c r="A333" s="6" t="s">
        <v>444</v>
      </c>
      <c r="C333" s="67" t="n">
        <f aca="false">-C327*Inputs!$D$51/12*1*(1+Inputs!$D$54)*(1+Inputs!$D$55)^(C$229-1)</f>
        <v>-8680</v>
      </c>
      <c r="D333" s="67" t="n">
        <f aca="false">-D327*Inputs!$D$51/12*1*(1+Inputs!$D$54)*(1+Inputs!$D$55)^(D$229-1)</f>
        <v>-8680</v>
      </c>
      <c r="E333" s="67" t="n">
        <f aca="false">-E327*Inputs!$D$51/12*1*(1+Inputs!$D$54)*(1+Inputs!$D$55)^(E$229-1)</f>
        <v>-8680</v>
      </c>
      <c r="F333" s="67" t="n">
        <f aca="false">-F327*Inputs!$D$51/12*1*(1+Inputs!$D$54)*(1+Inputs!$D$55)^(F$229-1)</f>
        <v>-8680</v>
      </c>
      <c r="G333" s="67" t="n">
        <f aca="false">-G327*Inputs!$D$51/12*1*(1+Inputs!$D$54)*(1+Inputs!$D$55)^(G$229-1)</f>
        <v>-8680</v>
      </c>
      <c r="H333" s="67" t="n">
        <f aca="false">-H327*Inputs!$D$51/12*1*(1+Inputs!$D$54)*(1+Inputs!$D$55)^(H$229-1)</f>
        <v>-8680</v>
      </c>
      <c r="I333" s="67" t="n">
        <f aca="false">-I327*Inputs!$D$51/12*1*(1+Inputs!$D$54)*(1+Inputs!$D$55)^(I$229-1)</f>
        <v>-8680</v>
      </c>
      <c r="J333" s="67" t="n">
        <f aca="false">-J327*Inputs!$D$51/12*1*(1+Inputs!$D$54)*(1+Inputs!$D$55)^(J$229-1)</f>
        <v>-8680</v>
      </c>
      <c r="K333" s="67" t="n">
        <f aca="false">-K327*Inputs!$D$51/12*1*(1+Inputs!$D$54)*(1+Inputs!$D$55)^(K$229-1)</f>
        <v>-8680</v>
      </c>
      <c r="L333" s="67" t="n">
        <f aca="false">-L327*Inputs!$D$51/12*1*(1+Inputs!$D$54)*(1+Inputs!$D$55)^(L$229-1)</f>
        <v>-8680</v>
      </c>
      <c r="M333" s="67" t="n">
        <f aca="false">-M327*Inputs!$D$51/12*1*(1+Inputs!$D$54)*(1+Inputs!$D$55)^(M$229-1)</f>
        <v>-8680</v>
      </c>
      <c r="N333" s="67" t="n">
        <f aca="false">-N327*Inputs!$D$51/12*1*(1+Inputs!$D$54)*(1+Inputs!$D$55)^(N$229-1)</f>
        <v>-8680</v>
      </c>
      <c r="O333" s="67" t="n">
        <f aca="false">-O327*Inputs!$D$51/12*1*(1+Inputs!$D$54)*(1+Inputs!$D$55)^(O$229-1)</f>
        <v>-8940.4</v>
      </c>
      <c r="P333" s="67" t="n">
        <f aca="false">-P327*Inputs!$D$51/12*1*(1+Inputs!$D$54)*(1+Inputs!$D$55)^(P$229-1)</f>
        <v>-8940.4</v>
      </c>
      <c r="Q333" s="67" t="n">
        <f aca="false">-Q327*Inputs!$D$51/12*1*(1+Inputs!$D$54)*(1+Inputs!$D$55)^(Q$229-1)</f>
        <v>-8940.4</v>
      </c>
      <c r="R333" s="67" t="n">
        <f aca="false">-R327*Inputs!$D$51/12*1*(1+Inputs!$D$54)*(1+Inputs!$D$55)^(R$229-1)</f>
        <v>-8940.4</v>
      </c>
      <c r="S333" s="67" t="n">
        <f aca="false">-S327*Inputs!$D$51/12*1*(1+Inputs!$D$54)*(1+Inputs!$D$55)^(S$229-1)</f>
        <v>-8940.4</v>
      </c>
      <c r="T333" s="67" t="n">
        <f aca="false">-T327*Inputs!$D$51/12*1*(1+Inputs!$D$54)*(1+Inputs!$D$55)^(T$229-1)</f>
        <v>-8940.4</v>
      </c>
      <c r="U333" s="67" t="n">
        <f aca="false">-U327*Inputs!$D$51/12*1*(1+Inputs!$D$54)*(1+Inputs!$D$55)^(U$229-1)</f>
        <v>-8940.4</v>
      </c>
      <c r="V333" s="67" t="n">
        <f aca="false">-V327*Inputs!$D$51/12*1*(1+Inputs!$D$54)*(1+Inputs!$D$55)^(V$229-1)</f>
        <v>-8940.4</v>
      </c>
      <c r="W333" s="67" t="n">
        <f aca="false">-W327*Inputs!$D$51/12*1*(1+Inputs!$D$54)*(1+Inputs!$D$55)^(W$229-1)</f>
        <v>-8940.4</v>
      </c>
      <c r="X333" s="67" t="n">
        <f aca="false">-X327*Inputs!$D$51/12*1*(1+Inputs!$D$54)*(1+Inputs!$D$55)^(X$229-1)</f>
        <v>-8940.4</v>
      </c>
      <c r="Y333" s="67" t="n">
        <f aca="false">-Y327*Inputs!$D$51/12*1*(1+Inputs!$D$54)*(1+Inputs!$D$55)^(Y$229-1)</f>
        <v>-8940.4</v>
      </c>
      <c r="Z333" s="67" t="n">
        <f aca="false">-Z327*Inputs!$D$51/12*1*(1+Inputs!$D$54)*(1+Inputs!$D$55)^(Z$229-1)</f>
        <v>-8940.4</v>
      </c>
      <c r="AA333" s="67" t="n">
        <f aca="false">-AA327*Inputs!$D$51/12*1*(1+Inputs!$D$54)*(1+Inputs!$D$55)^(AA$229-1)</f>
        <v>-9208.612</v>
      </c>
      <c r="AB333" s="67" t="n">
        <f aca="false">-AB327*Inputs!$D$51/12*1*(1+Inputs!$D$54)*(1+Inputs!$D$55)^(AB$229-1)</f>
        <v>-9208.612</v>
      </c>
      <c r="AC333" s="67" t="n">
        <f aca="false">-AC327*Inputs!$D$51/12*1*(1+Inputs!$D$54)*(1+Inputs!$D$55)^(AC$229-1)</f>
        <v>-9208.612</v>
      </c>
      <c r="AD333" s="67" t="n">
        <f aca="false">-AD327*Inputs!$D$51/12*1*(1+Inputs!$D$54)*(1+Inputs!$D$55)^(AD$229-1)</f>
        <v>-9208.612</v>
      </c>
      <c r="AE333" s="67" t="n">
        <f aca="false">-AE327*Inputs!$D$51/12*1*(1+Inputs!$D$54)*(1+Inputs!$D$55)^(AE$229-1)</f>
        <v>-9208.612</v>
      </c>
      <c r="AF333" s="67" t="n">
        <f aca="false">-AF327*Inputs!$D$51/12*1*(1+Inputs!$D$54)*(1+Inputs!$D$55)^(AF$229-1)</f>
        <v>-9208.612</v>
      </c>
      <c r="AG333" s="67" t="n">
        <f aca="false">-AG327*Inputs!$D$51/12*1*(1+Inputs!$D$54)*(1+Inputs!$D$55)^(AG$229-1)</f>
        <v>-9208.612</v>
      </c>
      <c r="AH333" s="67" t="n">
        <f aca="false">-AH327*Inputs!$D$51/12*1*(1+Inputs!$D$54)*(1+Inputs!$D$55)^(AH$229-1)</f>
        <v>-9208.612</v>
      </c>
      <c r="AI333" s="67" t="n">
        <f aca="false">-AI327*Inputs!$D$51/12*1*(1+Inputs!$D$54)*(1+Inputs!$D$55)^(AI$229-1)</f>
        <v>-9208.612</v>
      </c>
      <c r="AJ333" s="67" t="n">
        <f aca="false">-AJ327*Inputs!$D$51/12*1*(1+Inputs!$D$54)*(1+Inputs!$D$55)^(AJ$229-1)</f>
        <v>-9208.612</v>
      </c>
      <c r="AK333" s="67" t="n">
        <f aca="false">-AK327*Inputs!$D$51/12*1*(1+Inputs!$D$54)*(1+Inputs!$D$55)^(AK$229-1)</f>
        <v>-9208.612</v>
      </c>
      <c r="AL333" s="67" t="n">
        <f aca="false">-AL327*Inputs!$D$51/12*1*(1+Inputs!$D$54)*(1+Inputs!$D$55)^(AL$229-1)</f>
        <v>-9208.612</v>
      </c>
      <c r="AM333" s="67" t="n">
        <f aca="false">-AM327*Inputs!$D$51/12*1*(1+Inputs!$D$54)*(1+Inputs!$D$55)^(AM$229-1)</f>
        <v>-9484.87036</v>
      </c>
      <c r="AN333" s="67" t="n">
        <f aca="false">-AN327*Inputs!$D$51/12*1*(1+Inputs!$D$54)*(1+Inputs!$D$55)^(AN$229-1)</f>
        <v>-9484.87036</v>
      </c>
      <c r="AO333" s="67" t="n">
        <f aca="false">-AO327*Inputs!$D$51/12*1*(1+Inputs!$D$54)*(1+Inputs!$D$55)^(AO$229-1)</f>
        <v>-9484.87036</v>
      </c>
      <c r="AP333" s="67" t="n">
        <f aca="false">-AP327*Inputs!$D$51/12*1*(1+Inputs!$D$54)*(1+Inputs!$D$55)^(AP$229-1)</f>
        <v>-9484.87036</v>
      </c>
      <c r="AQ333" s="67" t="n">
        <f aca="false">-AQ327*Inputs!$D$51/12*1*(1+Inputs!$D$54)*(1+Inputs!$D$55)^(AQ$229-1)</f>
        <v>-9484.87036</v>
      </c>
      <c r="AR333" s="67" t="n">
        <f aca="false">-AR327*Inputs!$D$51/12*1*(1+Inputs!$D$54)*(1+Inputs!$D$55)^(AR$229-1)</f>
        <v>-9484.87036</v>
      </c>
      <c r="AS333" s="67" t="n">
        <f aca="false">-AS327*Inputs!$D$51/12*1*(1+Inputs!$D$54)*(1+Inputs!$D$55)^(AS$229-1)</f>
        <v>-9484.87036</v>
      </c>
      <c r="AT333" s="67" t="n">
        <f aca="false">-AT327*Inputs!$D$51/12*1*(1+Inputs!$D$54)*(1+Inputs!$D$55)^(AT$229-1)</f>
        <v>-9484.87036</v>
      </c>
      <c r="AU333" s="67" t="n">
        <f aca="false">-AU327*Inputs!$D$51/12*1*(1+Inputs!$D$54)*(1+Inputs!$D$55)^(AU$229-1)</f>
        <v>-9484.87036</v>
      </c>
      <c r="AV333" s="67" t="n">
        <f aca="false">-AV327*Inputs!$D$51/12*1*(1+Inputs!$D$54)*(1+Inputs!$D$55)^(AV$229-1)</f>
        <v>-9484.87036</v>
      </c>
      <c r="AW333" s="67" t="n">
        <f aca="false">-AW327*Inputs!$D$51/12*1*(1+Inputs!$D$54)*(1+Inputs!$D$55)^(AW$229-1)</f>
        <v>-9484.87036</v>
      </c>
      <c r="AX333" s="67" t="n">
        <f aca="false">-AX327*Inputs!$D$51/12*1*(1+Inputs!$D$54)*(1+Inputs!$D$55)^(AX$229-1)</f>
        <v>-9484.87036</v>
      </c>
      <c r="AY333" s="67" t="n">
        <f aca="false">-AY327*Inputs!$D$51/12*1*(1+Inputs!$D$54)*(1+Inputs!$D$55)^(AY$229-1)</f>
        <v>-9769.4164708</v>
      </c>
      <c r="AZ333" s="67" t="n">
        <f aca="false">-AZ327*Inputs!$D$51/12*1*(1+Inputs!$D$54)*(1+Inputs!$D$55)^(AZ$229-1)</f>
        <v>-9769.4164708</v>
      </c>
      <c r="BA333" s="67" t="n">
        <f aca="false">-BA327*Inputs!$D$51/12*1*(1+Inputs!$D$54)*(1+Inputs!$D$55)^(BA$229-1)</f>
        <v>-9769.4164708</v>
      </c>
      <c r="BB333" s="67" t="n">
        <f aca="false">-BB327*Inputs!$D$51/12*1*(1+Inputs!$D$54)*(1+Inputs!$D$55)^(BB$229-1)</f>
        <v>-9769.4164708</v>
      </c>
      <c r="BC333" s="67" t="n">
        <f aca="false">-BC327*Inputs!$D$51/12*1*(1+Inputs!$D$54)*(1+Inputs!$D$55)^(BC$229-1)</f>
        <v>-9769.4164708</v>
      </c>
      <c r="BD333" s="67" t="n">
        <f aca="false">-BD327*Inputs!$D$51/12*1*(1+Inputs!$D$54)*(1+Inputs!$D$55)^(BD$229-1)</f>
        <v>-9769.4164708</v>
      </c>
      <c r="BE333" s="67" t="n">
        <f aca="false">-BE327*Inputs!$D$51/12*1*(1+Inputs!$D$54)*(1+Inputs!$D$55)^(BE$229-1)</f>
        <v>-9769.4164708</v>
      </c>
      <c r="BF333" s="67" t="n">
        <f aca="false">-BF327*Inputs!$D$51/12*1*(1+Inputs!$D$54)*(1+Inputs!$D$55)^(BF$229-1)</f>
        <v>-9769.4164708</v>
      </c>
      <c r="BG333" s="67" t="n">
        <f aca="false">-BG327*Inputs!$D$51/12*1*(1+Inputs!$D$54)*(1+Inputs!$D$55)^(BG$229-1)</f>
        <v>-9769.4164708</v>
      </c>
      <c r="BH333" s="67" t="n">
        <f aca="false">-BH327*Inputs!$D$51/12*1*(1+Inputs!$D$54)*(1+Inputs!$D$55)^(BH$229-1)</f>
        <v>-9769.4164708</v>
      </c>
      <c r="BI333" s="67" t="n">
        <f aca="false">-BI327*Inputs!$D$51/12*1*(1+Inputs!$D$54)*(1+Inputs!$D$55)^(BI$229-1)</f>
        <v>-9769.4164708</v>
      </c>
      <c r="BJ333" s="67" t="n">
        <f aca="false">-BJ327*Inputs!$D$51/12*1*(1+Inputs!$D$54)*(1+Inputs!$D$55)^(BJ$229-1)</f>
        <v>-9769.4164708</v>
      </c>
    </row>
    <row r="334" customFormat="false" ht="15" hidden="false" customHeight="false" outlineLevel="0" collapsed="false">
      <c r="A334" s="115" t="s">
        <v>445</v>
      </c>
      <c r="C334" s="68" t="n">
        <f aca="false">C331+C332+C333</f>
        <v>-49466.6666666667</v>
      </c>
      <c r="D334" s="68" t="n">
        <f aca="false">D331+D332+D333</f>
        <v>-49466.6666666667</v>
      </c>
      <c r="E334" s="68" t="n">
        <f aca="false">E331+E332+E333</f>
        <v>-49466.6666666667</v>
      </c>
      <c r="F334" s="68" t="n">
        <f aca="false">F331+F332+F333</f>
        <v>-49466.6666666667</v>
      </c>
      <c r="G334" s="68" t="n">
        <f aca="false">G331+G332+G333</f>
        <v>-49466.6666666667</v>
      </c>
      <c r="H334" s="68" t="n">
        <f aca="false">H331+H332+H333</f>
        <v>-49466.6666666667</v>
      </c>
      <c r="I334" s="68" t="n">
        <f aca="false">I331+I332+I333</f>
        <v>-49466.6666666667</v>
      </c>
      <c r="J334" s="68" t="n">
        <f aca="false">J331+J332+J333</f>
        <v>-49466.6666666667</v>
      </c>
      <c r="K334" s="68" t="n">
        <f aca="false">K331+K332+K333</f>
        <v>-49466.6666666667</v>
      </c>
      <c r="L334" s="68" t="n">
        <f aca="false">L331+L332+L333</f>
        <v>-49466.6666666667</v>
      </c>
      <c r="M334" s="68" t="n">
        <f aca="false">M331+M332+M333</f>
        <v>-49466.6666666667</v>
      </c>
      <c r="N334" s="68" t="n">
        <f aca="false">N331+N332+N333</f>
        <v>-49466.6666666667</v>
      </c>
      <c r="O334" s="68" t="n">
        <f aca="false">O331+O332+O333</f>
        <v>-53471.2826666667</v>
      </c>
      <c r="P334" s="68" t="n">
        <f aca="false">P331+P332+P333</f>
        <v>-53471.2826666667</v>
      </c>
      <c r="Q334" s="68" t="n">
        <f aca="false">Q331+Q332+Q333</f>
        <v>-53471.2826666667</v>
      </c>
      <c r="R334" s="68" t="n">
        <f aca="false">R331+R332+R333</f>
        <v>-53471.2826666667</v>
      </c>
      <c r="S334" s="68" t="n">
        <f aca="false">S331+S332+S333</f>
        <v>-53471.2826666667</v>
      </c>
      <c r="T334" s="68" t="n">
        <f aca="false">T331+T332+T333</f>
        <v>-53471.2826666667</v>
      </c>
      <c r="U334" s="68" t="n">
        <f aca="false">U331+U332+U333</f>
        <v>-53471.2826666667</v>
      </c>
      <c r="V334" s="68" t="n">
        <f aca="false">V331+V332+V333</f>
        <v>-53471.2826666667</v>
      </c>
      <c r="W334" s="68" t="n">
        <f aca="false">W331+W332+W333</f>
        <v>-53471.2826666667</v>
      </c>
      <c r="X334" s="68" t="n">
        <f aca="false">X331+X332+X333</f>
        <v>-53471.2826666667</v>
      </c>
      <c r="Y334" s="68" t="n">
        <f aca="false">Y331+Y332+Y333</f>
        <v>-53471.2826666667</v>
      </c>
      <c r="Z334" s="68" t="n">
        <f aca="false">Z331+Z332+Z333</f>
        <v>-53471.2826666667</v>
      </c>
      <c r="AA334" s="68" t="n">
        <f aca="false">AA331+AA332+AA333</f>
        <v>-57827.4296954667</v>
      </c>
      <c r="AB334" s="68" t="n">
        <f aca="false">AB331+AB332+AB333</f>
        <v>-57827.4296954667</v>
      </c>
      <c r="AC334" s="68" t="n">
        <f aca="false">AC331+AC332+AC333</f>
        <v>-57827.4296954667</v>
      </c>
      <c r="AD334" s="68" t="n">
        <f aca="false">AD331+AD332+AD333</f>
        <v>-57827.4296954667</v>
      </c>
      <c r="AE334" s="68" t="n">
        <f aca="false">AE331+AE332+AE333</f>
        <v>-57827.4296954667</v>
      </c>
      <c r="AF334" s="68" t="n">
        <f aca="false">AF331+AF332+AF333</f>
        <v>-57827.4296954667</v>
      </c>
      <c r="AG334" s="68" t="n">
        <f aca="false">AG331+AG332+AG333</f>
        <v>-57827.4296954667</v>
      </c>
      <c r="AH334" s="68" t="n">
        <f aca="false">AH331+AH332+AH333</f>
        <v>-57827.4296954667</v>
      </c>
      <c r="AI334" s="68" t="n">
        <f aca="false">AI331+AI332+AI333</f>
        <v>-57827.4296954667</v>
      </c>
      <c r="AJ334" s="68" t="n">
        <f aca="false">AJ331+AJ332+AJ333</f>
        <v>-57827.4296954667</v>
      </c>
      <c r="AK334" s="68" t="n">
        <f aca="false">AK331+AK332+AK333</f>
        <v>-57827.4296954667</v>
      </c>
      <c r="AL334" s="68" t="n">
        <f aca="false">AL331+AL332+AL333</f>
        <v>-57827.4296954667</v>
      </c>
      <c r="AM334" s="68" t="n">
        <f aca="false">AM331+AM332+AM333</f>
        <v>-62566.8955199105</v>
      </c>
      <c r="AN334" s="68" t="n">
        <f aca="false">AN331+AN332+AN333</f>
        <v>-62566.8955199105</v>
      </c>
      <c r="AO334" s="68" t="n">
        <f aca="false">AO331+AO332+AO333</f>
        <v>-62566.8955199105</v>
      </c>
      <c r="AP334" s="68" t="n">
        <f aca="false">AP331+AP332+AP333</f>
        <v>-62566.8955199105</v>
      </c>
      <c r="AQ334" s="68" t="n">
        <f aca="false">AQ331+AQ332+AQ333</f>
        <v>-62566.8955199105</v>
      </c>
      <c r="AR334" s="68" t="n">
        <f aca="false">AR331+AR332+AR333</f>
        <v>-62566.8955199105</v>
      </c>
      <c r="AS334" s="68" t="n">
        <f aca="false">AS331+AS332+AS333</f>
        <v>-62566.8955199105</v>
      </c>
      <c r="AT334" s="68" t="n">
        <f aca="false">AT331+AT332+AT333</f>
        <v>-62566.8955199105</v>
      </c>
      <c r="AU334" s="68" t="n">
        <f aca="false">AU331+AU332+AU333</f>
        <v>-62566.8955199105</v>
      </c>
      <c r="AV334" s="68" t="n">
        <f aca="false">AV331+AV332+AV333</f>
        <v>-62566.8955199105</v>
      </c>
      <c r="AW334" s="68" t="n">
        <f aca="false">AW331+AW332+AW333</f>
        <v>-62566.8955199105</v>
      </c>
      <c r="AX334" s="68" t="n">
        <f aca="false">AX331+AX332+AX333</f>
        <v>-62566.8955199105</v>
      </c>
      <c r="AY334" s="68" t="n">
        <f aca="false">AY331+AY332+AY333</f>
        <v>-67724.3715403903</v>
      </c>
      <c r="AZ334" s="68" t="n">
        <f aca="false">AZ331+AZ332+AZ333</f>
        <v>-67724.3715403903</v>
      </c>
      <c r="BA334" s="68" t="n">
        <f aca="false">BA331+BA332+BA333</f>
        <v>-67724.3715403903</v>
      </c>
      <c r="BB334" s="68" t="n">
        <f aca="false">BB331+BB332+BB333</f>
        <v>-67724.3715403903</v>
      </c>
      <c r="BC334" s="68" t="n">
        <f aca="false">BC331+BC332+BC333</f>
        <v>-67724.3715403903</v>
      </c>
      <c r="BD334" s="68" t="n">
        <f aca="false">BD331+BD332+BD333</f>
        <v>-67724.3715403903</v>
      </c>
      <c r="BE334" s="68" t="n">
        <f aca="false">BE331+BE332+BE333</f>
        <v>-67724.3715403903</v>
      </c>
      <c r="BF334" s="68" t="n">
        <f aca="false">BF331+BF332+BF333</f>
        <v>-67724.3715403903</v>
      </c>
      <c r="BG334" s="68" t="n">
        <f aca="false">BG331+BG332+BG333</f>
        <v>-67724.3715403903</v>
      </c>
      <c r="BH334" s="68" t="n">
        <f aca="false">BH331+BH332+BH333</f>
        <v>-67724.3715403903</v>
      </c>
      <c r="BI334" s="68" t="n">
        <f aca="false">BI331+BI332+BI333</f>
        <v>-67724.3715403903</v>
      </c>
      <c r="BJ334" s="68" t="n">
        <f aca="false">BJ331+BJ332+BJ333</f>
        <v>-67724.3715403903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451</v>
      </c>
    </row>
    <row r="3" customFormat="false" ht="15" hidden="false" customHeight="false" outlineLevel="0" collapsed="false">
      <c r="A3" s="33" t="s">
        <v>452</v>
      </c>
      <c r="B3" s="33" t="s">
        <v>453</v>
      </c>
      <c r="C3" s="33" t="s">
        <v>454</v>
      </c>
    </row>
    <row r="4" customFormat="false" ht="15" hidden="false" customHeight="false" outlineLevel="0" collapsed="false">
      <c r="A4" s="6" t="s">
        <v>455</v>
      </c>
      <c r="B4" s="4" t="str">
        <f aca="false">IF(ABS(SUM('P&amp;L'!$B$5:$F$5)-SUM(Monthly!$C$22:$BJ$22))&lt;0.5,"PASS","FAIL")</f>
        <v>PASS</v>
      </c>
      <c r="C4" s="18" t="s">
        <v>456</v>
      </c>
    </row>
    <row r="5" customFormat="false" ht="15" hidden="false" customHeight="false" outlineLevel="0" collapsed="false">
      <c r="A5" s="6" t="s">
        <v>457</v>
      </c>
      <c r="B5" s="4" t="str">
        <f aca="false">IF(ABS(SUM('P&amp;L'!$B$25:$F$25)-SUM(Monthly!$C$50:$BJ$50))&lt;0.5,"PASS","FAIL")</f>
        <v>PASS</v>
      </c>
      <c r="C5" s="18" t="s">
        <v>458</v>
      </c>
    </row>
    <row r="6" customFormat="false" ht="15" hidden="false" customHeight="false" outlineLevel="0" collapsed="false">
      <c r="A6" s="6" t="s">
        <v>459</v>
      </c>
      <c r="B6" s="4" t="str">
        <f aca="false">IF(ABS(SUM(Monthly!$C$41:$BJ$41)-SUM(Monthly!$C$29:$BJ$29)-SUM(Monthly!$C$40:$BJ$40))&lt;0.5,"PASS","FAIL")</f>
        <v>PASS</v>
      </c>
      <c r="C6" s="18" t="s">
        <v>460</v>
      </c>
    </row>
    <row r="7" customFormat="false" ht="15" hidden="false" customHeight="false" outlineLevel="0" collapsed="false">
      <c r="A7" s="6" t="s">
        <v>461</v>
      </c>
      <c r="B7" s="4" t="str">
        <f aca="false">IF(ABS(INDEX(Monthly!$C$80:$BJ$80,60)-SUM(Monthly!$C$78:$BJ$78))&lt;0.5,"PASS","FAIL")</f>
        <v>PASS</v>
      </c>
      <c r="C7" s="18" t="s">
        <v>462</v>
      </c>
    </row>
    <row r="8" customFormat="false" ht="15" hidden="false" customHeight="false" outlineLevel="0" collapsed="false">
      <c r="A8" s="6" t="s">
        <v>463</v>
      </c>
      <c r="B8" s="4" t="str">
        <f aca="false">IF(AND(ISNUMBER(Dashboard!B4),Dashboard!B4&gt;=1,Dashboard!B4&lt;=3,INT(Dashboard!B4)=Dashboard!B4),"PASS","FAIL")</f>
        <v>PASS</v>
      </c>
      <c r="C8" s="18" t="s">
        <v>464</v>
      </c>
    </row>
    <row r="9" customFormat="false" ht="15" hidden="false" customHeight="false" outlineLevel="0" collapsed="false">
      <c r="A9" s="6" t="s">
        <v>465</v>
      </c>
      <c r="B9" s="4" t="str">
        <f aca="false">IF(AND(Inputs!$B$7&lt;=Inputs!$C$7,Inputs!$C$7&lt;=Inputs!$D$7,Inputs!$B$8&gt;=Inputs!$C$8,Inputs!$C$8&gt;=Inputs!$D$8,Inputs!$B$9&lt;=Inputs!$C$9,Inputs!$C$9&lt;=Inputs!$D$9,Inputs!$B$10&lt;=Inputs!$C$10,Inputs!$C$10&lt;=Inputs!$D$10,Inputs!$B$11&lt;=Inputs!$C$11,Inputs!$C$11&lt;=Inputs!$D$11,Inputs!$B$12&lt;=Inputs!$C$12,Inputs!$C$12&lt;=Inputs!$D$12,Inputs!$B$17&lt;=Inputs!$C$17,Inputs!$C$17&lt;=Inputs!$D$17,Inputs!$B$18&lt;=Inputs!$C$18,Inputs!$C$18&lt;=Inputs!$D$18,Inputs!$B$19&lt;=Inputs!$C$19,Inputs!$C$19&lt;=Inputs!$D$19,Inputs!$B$21&gt;=Inputs!$C$21,Inputs!$C$21&gt;=Inputs!$D$21,Inputs!$B$24&gt;=Inputs!$C$24,Inputs!$C$24&gt;=Inputs!$D$24,Inputs!$B$25&gt;=Inputs!$C$25,Inputs!$C$25&gt;=Inputs!$D$25,Inputs!$B$26&gt;=Inputs!$C$26,Inputs!$C$26&gt;=Inputs!$D$26,Inputs!$B$27&gt;=Inputs!$C$27,Inputs!$C$27&gt;=Inputs!$D$27,Inputs!$B$33&gt;=Inputs!$C$33,Inputs!$C$33&gt;=Inputs!$D$33,Inputs!$B$34&gt;=Inputs!$C$34,Inputs!$C$34&gt;=Inputs!$D$34,Inputs!$B$42&lt;=Inputs!$C$42,Inputs!$C$42&lt;=Inputs!$D$42,Inputs!$B$44&lt;=Inputs!$C$44,Inputs!$C$44&lt;=Inputs!$D$44,Inputs!$B$46&lt;=Inputs!$C$46,Inputs!$C$46&lt;=Inputs!$D$46,Inputs!$B$48&lt;=Inputs!$C$48,Inputs!$C$48&lt;=Inputs!$D$48,Inputs!$B$50&lt;=Inputs!$C$50,Inputs!$C$50&lt;=Inputs!$D$50,Inputs!$B$52&lt;=Inputs!$C$52,Inputs!$C$52&lt;=Inputs!$D$52,Inputs!$B$76&gt;=Inputs!$C$76,Inputs!$C$76&gt;=Inputs!$D$76,Inputs!$B$77&lt;=Inputs!$C$77,Inputs!$C$77&lt;=Inputs!$D$77,Inputs!$B$78&lt;=Inputs!$C$78,Inputs!$C$78&lt;=Inputs!$D$78),"PASS","FAIL")</f>
        <v>PASS</v>
      </c>
      <c r="C9" s="18" t="s">
        <v>466</v>
      </c>
    </row>
    <row r="10" customFormat="false" ht="15" hidden="false" customHeight="false" outlineLevel="0" collapsed="false">
      <c r="A10" s="6" t="s">
        <v>467</v>
      </c>
      <c r="B10" s="4" t="str">
        <f aca="false">IF(AND(MIN('P&amp;L'!$B$8:$F$8)&gt;=0,MAX('P&amp;L'!$B$8:$F$8)&lt;=1),"PASS","FAIL")</f>
        <v>PASS</v>
      </c>
      <c r="C10" s="18" t="s">
        <v>468</v>
      </c>
    </row>
    <row r="11" customFormat="false" ht="15" hidden="false" customHeight="false" outlineLevel="0" collapsed="false">
      <c r="A11" s="6" t="s">
        <v>469</v>
      </c>
      <c r="B11" s="4" t="str">
        <f aca="false">IF(MIN(Monthly!$C$63:$BJ$63)&gt;=-0.5,"PASS","FAIL")</f>
        <v>PASS</v>
      </c>
      <c r="C11" s="18" t="s">
        <v>470</v>
      </c>
    </row>
    <row r="12" customFormat="false" ht="15" hidden="false" customHeight="false" outlineLevel="0" collapsed="false">
      <c r="A12" s="6" t="s">
        <v>471</v>
      </c>
      <c r="B12" s="4" t="str">
        <f aca="false">IF(ABS('Break-even'!B18-('Break-even'!B16-'Break-even'!B10))&lt;0.5,"PASS","FAIL")</f>
        <v>PASS</v>
      </c>
      <c r="C12" s="18" t="s">
        <v>472</v>
      </c>
    </row>
    <row r="13" customFormat="false" ht="15" hidden="false" customHeight="false" outlineLevel="0" collapsed="false">
      <c r="A13" s="6" t="s">
        <v>473</v>
      </c>
      <c r="B13" s="4" t="str">
        <f aca="false">IF(ABS(Valuation!B23-NPV(Valuation!B6,Valuation!$B$17:$F$17))&lt;0.5,"PASS","FAIL")</f>
        <v>PASS</v>
      </c>
      <c r="C13" s="18" t="s">
        <v>474</v>
      </c>
    </row>
    <row r="14" customFormat="false" ht="15" hidden="false" customHeight="false" outlineLevel="0" collapsed="false">
      <c r="A14" s="6" t="s">
        <v>475</v>
      </c>
      <c r="B14" s="4" t="str">
        <f aca="false">IF(Valuation!B6&gt;Valuation!B7,"PASS","FAIL")</f>
        <v>PASS</v>
      </c>
      <c r="C14" s="18" t="s">
        <v>476</v>
      </c>
    </row>
    <row r="15" customFormat="false" ht="15" hidden="false" customHeight="false" outlineLevel="0" collapsed="false">
      <c r="A15" s="6" t="s">
        <v>477</v>
      </c>
      <c r="B15" s="4" t="str">
        <f aca="false">IF(ABS(Valuation!D36-Valuation!B27)&lt;0.5,"PASS","FAIL")</f>
        <v>PASS</v>
      </c>
      <c r="C15" s="18" t="s">
        <v>478</v>
      </c>
    </row>
    <row r="16" customFormat="false" ht="15" hidden="false" customHeight="false" outlineLevel="0" collapsed="false">
      <c r="A16" s="6" t="s">
        <v>479</v>
      </c>
      <c r="B16" s="4" t="str">
        <f aca="false">IF(Valuation!$F$17&gt;0,"PASS","WARN")</f>
        <v>PASS</v>
      </c>
      <c r="C16" s="18" t="s">
        <v>480</v>
      </c>
    </row>
    <row r="17" customFormat="false" ht="15" hidden="false" customHeight="false" outlineLevel="0" collapsed="false">
      <c r="A17" s="6" t="s">
        <v>481</v>
      </c>
      <c r="B17" s="4" t="str">
        <f aca="false">IF(ABS('Sources &amp; Uses'!B21-'Sources &amp; Uses'!B28)&lt;0.5,"PASS","FAIL")</f>
        <v>PASS</v>
      </c>
      <c r="C17" s="18" t="s">
        <v>482</v>
      </c>
    </row>
    <row r="18" customFormat="false" ht="15" hidden="false" customHeight="false" outlineLevel="0" collapsed="false">
      <c r="A18" s="6" t="s">
        <v>483</v>
      </c>
      <c r="B18" s="4" t="str">
        <f aca="false">IF(SUMPRODUCT(--ISERROR(Monthly!$C$4:$BJ$98))+SUMPRODUCT(--ISERROR(Headcount!$C$4:$BJ$17))+SUMPRODUCT(--ISERROR('P&amp;L'!$B$3:$F$26))+SUMPRODUCT(--ISERROR('Cash Flow'!$B$3:$F$18))+SUMPRODUCT(--ISERROR('Balance Sheet'!$B$3:$F$17))+SUMPRODUCT(--ISERROR(KPIs!$B$27:$F$48))+SUMPRODUCT(--ISERROR('Break-even'!$B$26:$F$33))+SUMPRODUCT(--ISERROR(Valuation!$B$14:$F$19))+SUMPRODUCT(--ISERROR('Break-even'!$B$3:$F$35))+SUMPRODUCT(--ISERROR(Valuation!$A$3:$F$40))+SUMPRODUCT(--ISERROR('Sources &amp; Uses'!$B$3:$C$30))+SUMPRODUCT(--ISERROR(Dashboard!$A$6:$W$44))+SUMPRODUCT(--ISERROR(Summary!$A$5:$S$52))+SUMPRODUCT(--ISERROR(KPIs!$A$4:$G$48))+SUMPRODUCT(--ISERROR('Scenario calc'!$C$6:$BJ$112))+SUMPRODUCT(--ISERROR('Scenario calc'!$C$117:$BJ$223))+SUMPRODUCT(--ISERROR('Scenario calc'!$C$228:$BJ$334))+SUMPRODUCT(--ISERROR(Scenarios!$B$5:$F$51))=0,"PASS","FAIL")</f>
        <v>PASS</v>
      </c>
      <c r="C18" s="18" t="s">
        <v>484</v>
      </c>
    </row>
    <row r="19" customFormat="false" ht="15" hidden="false" customHeight="false" outlineLevel="0" collapsed="false">
      <c r="A19" s="6" t="s">
        <v>485</v>
      </c>
      <c r="B19" s="4" t="str">
        <f aca="false">IF(IFERROR(AND(SUMPRODUCT(--(ABS(Summary!$B$7:$F$7-'P&amp;L'!$B$5:$F$5)&gt;0.5))=0,SUMPRODUCT(--(ABS(Summary!$B$19:$F$19-'P&amp;L'!$B$25:$F$25)&gt;0.5))=0,SUMPRODUCT(--(ABS(Summary!$B$31:$F$31-'Cash Flow'!$B$18:$F$18)&gt;0.5))=0,SUMPRODUCT(--(ABS(Summary!$B$41:$F$41-'Balance Sheet'!$B$5:$F$5)&gt;0.5))=0,ABS(SUM(Summary!$H$7:$S$7)-INDEX(Summary!$B$7:$F$7,Summary!$R$2))&lt;0.5,ABS(SUM(Summary!$H$19:$S$19)-INDEX(Summary!$B$19:$F$19,Summary!$R$2))&lt;0.5,ABS(Summary!$S$31-INDEX(Summary!$B$31:$F$31,Summary!$R$2))&lt;0.5),FALSE()),"PASS","FAIL")</f>
        <v>PASS</v>
      </c>
      <c r="C19" s="18" t="s">
        <v>486</v>
      </c>
    </row>
    <row r="20" customFormat="false" ht="15" hidden="false" customHeight="false" outlineLevel="0" collapsed="false">
      <c r="A20" s="6" t="s">
        <v>487</v>
      </c>
      <c r="B20" s="4" t="str">
        <f aca="false">IF(SUMPRODUCT(--(ABS(KPIs!$B$24:$F$24)&gt;0.000000001))&gt;0,"FAIL",IF(SUMPRODUCT(ISNUMBER(KPIs!$B$23:$F$23)*ISNUMBER(KPIs!$B$16:$F$16))=0,"n/a","PASS"))</f>
        <v>PASS</v>
      </c>
      <c r="C20" s="18" t="s">
        <v>488</v>
      </c>
    </row>
    <row r="21" customFormat="false" ht="15" hidden="false" customHeight="false" outlineLevel="0" collapsed="false">
      <c r="A21" s="6" t="s">
        <v>489</v>
      </c>
      <c r="B21" s="4" t="str">
        <f aca="false">IF(IFERROR(AND(ABS(Scenarios!E18-INDEX(Scenarios!B18:D18,1,Dashboard!$B$4))&lt;0.5,ABS(Scenarios!E19-INDEX(Scenarios!B19:D19,1,Dashboard!$B$4))&lt;0.5,ABS(Scenarios!E20-INDEX(Scenarios!B20:D20,1,Dashboard!$B$4))&lt;0.5,ABS(Scenarios!E21-INDEX(Scenarios!B21:D21,1,Dashboard!$B$4))&lt;0.000001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,ABS(Scenarios!E27-INDEX(Scenarios!B27:D27,1,Dashboard!$B$4))&lt;0.5),FALSE()),"PASS","FAIL")</f>
        <v>PASS</v>
      </c>
      <c r="C21" s="18" t="s">
        <v>490</v>
      </c>
    </row>
    <row r="22" customFormat="false" ht="15" hidden="false" customHeight="false" outlineLevel="0" collapsed="false">
      <c r="A22" s="6" t="s">
        <v>491</v>
      </c>
      <c r="B22" s="4" t="str">
        <f aca="false">IF(SUMPRODUCT(--(ABS(Monthly!$C$98:$BJ$98)&gt;0.5))=0,"PASS","FAIL")</f>
        <v>PASS</v>
      </c>
      <c r="C22" s="18" t="s">
        <v>492</v>
      </c>
    </row>
    <row r="23" customFormat="false" ht="15" hidden="false" customHeight="false" outlineLevel="0" collapsed="false">
      <c r="A23" s="6" t="s">
        <v>493</v>
      </c>
      <c r="B23" s="4" t="str">
        <f aca="false">IF(MIN(Monthly!$C$80:$BJ$80)&gt;=0,"PASS","WARN")</f>
        <v>PASS</v>
      </c>
      <c r="C23" s="18" t="s">
        <v>494</v>
      </c>
    </row>
    <row r="25" customFormat="false" ht="15" hidden="false" customHeight="false" outlineLevel="0" collapsed="false">
      <c r="A25" s="70" t="s">
        <v>495</v>
      </c>
      <c r="B25" s="70" t="str">
        <f aca="false">IF(COUNTIF(B4:B23,"FAIL")&gt;0,"FAIL",IF(COUNTIF(B4:B23,"WARN")&gt;0,"PASS WITH WARNINGS","PASS"))</f>
        <v>PASS</v>
      </c>
      <c r="C25" s="123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2026-10-21T15:00:29Z</dcterms:created>
  <dc:creator/>
  <dc:description/>
  <dc:language>en-US</dc:language>
  <cp:lastModifiedBy/>
  <dcterms:modified xsi:type="dcterms:W3CDTF">2026-10-21T15:00:30Z</dcterms:modified>
  <cp:revision>0</cp:revision>
  <dc:subject/>
  <dc:title>Bakery financial model (growing)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