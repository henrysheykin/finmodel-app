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<sst xmlns="http://schemas.openxmlformats.org/spreadsheetml/2006/main" count="995" uniqueCount="418">
  <si>
    <t xml:space="preserve">Neighborhood Cafe — Financial Plan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</si>
  <si>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</si>
  <si>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</si>
  <si>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</si>
  <si>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</si>
  <si>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</si>
  <si>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</si>
  <si>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</si>
  <si>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</si>
  <si>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</si>
  <si>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</si>
  <si>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</si>
  <si>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</si>
  <si>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</si>
  <si>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</si>
  <si>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</si>
  <si>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</si>
  <si>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</si>
  <si>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</si>
  <si>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</si>
  <si>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</si>
  <si>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</si>
  <si>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</si>
  <si>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</si>
  <si>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</si>
  <si>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</si>
  <si>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</si>
  <si>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</si>
  <si>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</si>
  <si>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</si>
  <si>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</si>
  <si>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</si>
  <si>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</si>
  <si>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</si>
  <si>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</si>
  <si>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</si>
  <si>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</si>
  <si>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</si>
  <si>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</si>
  <si>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</si>
  <si>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</si>
  <si>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</si>
  <si>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</si>
  <si>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</si>
  <si>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</si>
  <si>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</si>
  <si>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</si>
  <si>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</si>
  <si>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</si>
  <si>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</si>
  <si>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</si>
  <si>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</si>
  <si>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</si>
  <si>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</si>
  <si>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</si>
  <si>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</si>
  <si>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</si>
  <si>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Cafe metrics</t>
  </si>
  <si>
    <t xml:space="preserve">Customers per day (year end)</t>
  </si>
  <si>
    <t xml:space="preserve">Average ticket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</si>
  <si>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</si>
  <si>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</si>
  <si>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</si>
  <si>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</si>
  <si>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</si>
  <si>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</si>
  <si>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</si>
  <si>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</si>
  <si>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</si>
  <si>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</si>
  <si>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</si>
  <si>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</si>
  <si>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</si>
  <si>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</si>
  <si>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Food &amp; beverage cost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</si>
  <si>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</si>
  <si>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</si>
  <si>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</si>
  <si>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</si>
  <si>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</si>
  <si>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</si>
  <si>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</si>
  <si>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</si>
  <si>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</si>
  <si>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</si>
  <si>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</si>
  <si>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</si>
  <si>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</si>
  <si>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</si>
  <si>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</si>
  <si>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</si>
  <si>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</si>
  <si>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</si>
  <si>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</si>
  <si>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</si>
  <si>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</si>
  <si>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</si>
  <si>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</si>
  <si>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</si>
  <si>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</si>
  <si>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</si>
  <si>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</si>
  <si>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</si>
  <si>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</si>
  <si>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</si>
  <si>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</si>
  <si>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</si>
  <si>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Customers per day at full traffic (#)</t>
  </si>
  <si>
    <t xml:space="preserve">Average ticket ($)</t>
  </si>
  <si>
    <t xml:space="preserve">Operating days per month (days)</t>
  </si>
  <si>
    <t xml:space="preserve">Food &amp; beverage cost, % of revenue (%)</t>
  </si>
  <si>
    <t xml:space="preserve">Rent per month ($)</t>
  </si>
  <si>
    <t xml:space="preserve">Start-up capex (fit-out, equipment)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</si>
  <si>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</si>
  <si>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</si>
  <si>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</si>
  <si>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</si>
  <si>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</si>
  <si>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</si>
  <si>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</si>
  <si>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</si>
  <si>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</si>
  <si>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</si>
  <si>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</si>
  <si>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</si>
  <si>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</si>
  <si>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</si>
  <si>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</si>
  <si>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</si>
  <si>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</si>
  <si>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</si>
  <si>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</si>
  <si>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</si>
  <si>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</si>
  <si>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</si>
  <si>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</si>
  <si>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</si>
  <si>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</si>
  <si>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</si>
  <si>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</si>
  <si>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</si>
  <si>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</si>
  <si>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</si>
  <si>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</si>
  <si>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</si>
  <si>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</si>
  <si>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</si>
  <si>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</si>
  <si>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</si>
  <si>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</si>
  <si>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</si>
  <si>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</si>
  <si>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</si>
  <si>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</si>
  <si>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</si>
  <si>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</si>
  <si>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</si>
  <si>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</si>
  <si>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</si>
  <si>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</si>
  <si>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</si>
  <si>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</si>
  <si>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</si>
  <si>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</si>
  <si>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</si>
  <si>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</si>
  <si>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</si>
  <si>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</si>
  <si>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</si>
  <si>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</si>
  <si>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</si>
  <si>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</si>
  <si>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</si>
  <si>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</si>
  <si>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</si>
  <si>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</si>
  <si>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</si>
  <si>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</si>
  <si>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</si>
  <si>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</si>
  <si>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</si>
  <si>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</si>
  <si>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</si>
  <si>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</si>
  <si>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</si>
  <si>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</si>
  <si>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</si>
  <si>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</si>
  <si>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</si>
  <si>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</si>
  <si>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</si>
  <si>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</si>
  <si>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</si>
  <si>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</si>
  <si>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</si>
  <si>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</si>
  <si>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</si>
  <si>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</si>
  <si>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</si>
  <si>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</si>
  <si>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</si>
  <si>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</si>
  <si>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</si>
  <si>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</si>
  <si>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</si>
  <si>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</si>
  <si>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</si>
  <si>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</si>
  <si>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</si>
  <si>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</si>
  <si>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</si>
  <si>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</si>
  <si>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Neighborhood Cafe — Financial Plan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</si>
  <si>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</si>
  <si>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</si>
  <si>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</si>
  <si>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</si>
  <si>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</si>
  <si>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</si>
  <si>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</si>
  <si>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</si>
  <si>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</si>
  <si>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</si>
  <si>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</si>
  <si>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</si>
  <si>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</si>
  <si>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</si>
  <si>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</si>
  <si>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Cafe metrics ($'000; per-unit rows in $)</t>
  </si>
  <si>
    <t xml:space="preserve">Average ticket (year end) ($)</t>
  </si>
  <si>
    <t xml:space="preserve">Inputs — Low / Base / High</t>
  </si>
  <si>
    <t xml:space="preserve">Illustrative assumptions for a demo — replace with your own numbers.</t>
  </si>
  <si>
    <t xml:space="preserve">Unit</t>
  </si>
  <si>
    <t xml:space="preserve">Source / comment</t>
  </si>
  <si>
    <t xml:space="preserve">Business drivers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</si>
  <si>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</si>
  <si>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</si>
  <si>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</si>
  <si>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</si>
  <si>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</si>
  <si>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</si>
  <si>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</si>
  <si>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</si>
  <si>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</si>
  <si>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</t>
  </si>
  <si>
    <t xml:space="preserve">$</t>
  </si>
  <si>
    <t xml:space="preserve">Price growth per year</t>
  </si>
  <si>
    <t xml:space="preserve">Operating days per month</t>
  </si>
  <si>
    <t xml:space="preserve">days</t>
  </si>
  <si>
    <t xml:space="preserve">Food &amp; beverage cost, % of revenue</t>
  </si>
  <si>
    <t xml:space="preserve">Rent per month</t>
  </si>
  <si>
    <t xml:space="preserve">Utilities &amp; other per month</t>
  </si>
  <si>
    <t xml:space="preserve">Start-up capex (fit-out, equipment)</t>
  </si>
  <si>
    <t xml:space="preserve">Headcount</t>
  </si>
  <si>
    <t xml:space="preserve">Cafe staff: headcount (FTE)</t>
  </si>
  <si>
    <t xml:space="preserve">FTE</t>
  </si>
  <si>
    <t xml:space="preserve">Cafe staff: salary per FTE per year</t>
  </si>
  <si>
    <t xml:space="preserve">Cafe staff: headcount growth per year</t>
  </si>
  <si>
    <t xml:space="preserve">Cafe staff: first month on payroll</t>
  </si>
  <si>
    <t xml:space="preserve">month #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</si>
  <si>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</si>
  <si>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</si>
  <si>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</si>
  <si>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</si>
  <si>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</si>
  <si>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</si>
  <si>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</si>
  <si>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</si>
  <si>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</si>
  <si>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</si>
  <si>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</si>
  <si>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</si>
  <si>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</si>
  <si>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</si>
  <si>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</si>
  <si>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</si>
  <si>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</si>
  <si>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</si>
  <si>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</si>
  <si>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</si>
  <si>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</si>
  <si>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</si>
  <si>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</si>
  <si>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</si>
  <si>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Rent</t>
  </si>
  <si>
    <t xml:space="preserve">Payroll</t>
  </si>
  <si>
    <t xml:space="preserve">Marketing</t>
  </si>
  <si>
    <t xml:space="preserve">Utilities &amp; other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</si>
  <si>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</si>
  <si>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</si>
  <si>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</si>
  <si>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</si>
  <si>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</si>
  <si>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</si>
  <si>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</si>
  <si>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</si>
  <si>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</si>
  <si>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</si>
  <si>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</si>
  <si>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</si>
  <si>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</si>
  <si>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</si>
  <si>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</si>
  <si>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</si>
  <si>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</si>
  <si>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</si>
  <si>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</si>
  <si>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</si>
  <si>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</si>
  <si>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</si>
  <si>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</si>
  <si>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</si>
  <si>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</si>
  <si>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</si>
  <si>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</si>
  <si>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</si>
  <si>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</si>
  <si>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</si>
  <si>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</si>
  <si>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</si>
  <si>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</si>
  <si>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</si>
  <si>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</si>
  <si>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</si>
  <si>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</si>
  <si>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</si>
  <si>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</si>
  <si>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</si>
  <si>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</si>
  <si>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</si>
  <si>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</si>
  <si>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</si>
  <si>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</si>
  <si>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</si>
  <si>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Revenue build</t>
  </si>
  <si>
    <t xml:space="preserve">Traffic ramp factor</t>
  </si>
  <si>
    <t xml:space="preserve">Customers per day</t>
  </si>
  <si>
    <t xml:space="preserve">Operating days in period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</si>
  <si>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</si>
  <si>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</si>
  <si>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</si>
  <si>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</si>
  <si>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</si>
  <si>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</si>
  <si>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</si>
  <si>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</si>
  <si>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</si>
  <si>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</si>
  <si>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</si>
  <si>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</si>
  <si>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</si>
  <si>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</si>
  <si>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</si>
  <si>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</si>
  <si>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</si>
  <si>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</si>
  <si>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</si>
  <si>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</si>
  <si>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</si>
  <si>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</si>
  <si>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</si>
  <si>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</si>
  <si>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</si>
  <si>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Cafe staff — FTE</t>
  </si>
  <si>
    <t xml:space="preserve">Total FTE</t>
  </si>
  <si>
    <t xml:space="preserve">Payroll cost (salary + taxes &amp; benefits)</t>
  </si>
  <si>
    <t xml:space="preserve">Cafe staff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</si>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</sst>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.0;\(#,##0.0\);\-"/>
    <numFmt numFmtId="176" formatCode="\$#,##0.00;&quot;($&quot;#,##0.00\);\-"/>
    <numFmt numFmtId="177" formatCode="&quot;Month &quot;0"/>
    <numFmt numFmtId="178" formatCode="\$#,##0.0,,\M"/>
    <numFmt numFmtId="179" formatCode="0%"/>
    <numFmt numFmtId="180" formatCode="#,##0.0"/>
    <numFmt numFmtId="181" formatCode="\$#,##0.00"/>
    <numFmt numFmtId="182" formatCode="\M0"/>
    <numFmt numFmtId="183" formatCode="\$#,##0,\K"/>
    <numFmt numFmtId="184" formatCode="#,##0;\(#,##0\);\-"/>
    <numFmt numFmtId="185" formatCode="\$#,##0.00;&quot;($&quot;#,##0.00\);\-"/>
    <numFmt numFmtId="186" formatCode="0.0%;\(0.0%\);\-"/>
    <numFmt numFmtId="187" formatCode="\$#,##0;&quot;($&quot;#,##0\);\-"/>
    <numFmt numFmtId="188" formatCode="0"/>
    <numFmt numFmtId="189" formatCode="[&gt;=1000000]\$#,##0.0,,\M;[&gt;=1000]\$#,##0,\k;\$#,##0"/>
    <numFmt numFmtId="190" formatCode="0.0\x"/>
    <numFmt numFmtId="191" formatCode="0.000"/>
    <numFmt numFmtId="192" formatCode="0.0\x;\(0.0&quot;x)&quot;;\-"/>
    <numFmt numFmtId="193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1231.99999999997</c:v>
                </c:pt>
                <c:pt idx="1">
                  <c:v>54409.5488</c:v>
                </c:pt>
                <c:pt idx="2">
                  <c:v>74549.5031398401</c:v>
                </c:pt>
              </c:numCache>
            </c:numRef>
          </c:val>
        </c:ser>
        <c:gapWidth val="60"/>
        <c:overlap val="0"/>
        <c:axId val="97492864"/>
        <c:axId val="95316278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0.00385240775484667</c:v>
                </c:pt>
                <c:pt idx="1">
                  <c:v>0.133105559234887</c:v>
                </c:pt>
                <c:pt idx="2">
                  <c:v>0.167040866163284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9908124"/>
        <c:axId val="32001938"/>
      </c:lineChart>
      <c:catAx>
        <c:axId val="9749286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316278"/>
        <c:crosses val="autoZero"/>
        <c:auto val="1"/>
        <c:lblAlgn val="ctr"/>
        <c:lblOffset val="100"/>
        <c:noMultiLvlLbl val="0"/>
      </c:catAx>
      <c:valAx>
        <c:axId val="953162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492864"/>
        <c:crosses val="autoZero"/>
        <c:crossBetween val="between"/>
      </c:valAx>
      <c:catAx>
        <c:axId val="8990812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001938"/>
        <c:crosses val="autoZero"/>
        <c:auto val="1"/>
        <c:lblAlgn val="ctr"/>
        <c:lblOffset val="100"/>
        <c:noMultiLvlLbl val="0"/>
      </c:catAx>
      <c:valAx>
        <c:axId val="3200193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90812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-4307.82222222226</c:v>
                </c:pt>
                <c:pt idx="1">
                  <c:v>49852.4784533334</c:v>
                </c:pt>
                <c:pt idx="2">
                  <c:v>61223.6954946496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-160000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205333.333333333</c:v>
                </c:pt>
                <c:pt idx="1">
                  <c:v>-16000</c:v>
                </c:pt>
                <c:pt idx="2">
                  <c:v>-16000</c:v>
                </c:pt>
              </c:numCache>
            </c:numRef>
          </c:val>
        </c:ser>
        <c:gapWidth val="60"/>
        <c:overlap val="0"/>
        <c:axId val="25547819"/>
        <c:axId val="41172782"/>
      </c:barChart>
      <c:catAx>
        <c:axId val="255478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172782"/>
        <c:crosses val="autoZero"/>
        <c:auto val="1"/>
        <c:lblAlgn val="ctr"/>
        <c:lblOffset val="100"/>
        <c:noMultiLvlLbl val="0"/>
      </c:catAx>
      <c:valAx>
        <c:axId val="411727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5478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41025.5111111111</c:v>
                </c:pt>
                <c:pt idx="1">
                  <c:v>74877.9895644444</c:v>
                </c:pt>
                <c:pt idx="2">
                  <c:v>120101.685059094</c:v>
                </c:pt>
              </c:numCache>
            </c:numRef>
          </c:val>
        </c:ser>
        <c:gapWidth val="60"/>
        <c:overlap val="0"/>
        <c:axId val="89702064"/>
        <c:axId val="59362145"/>
      </c:barChart>
      <c:catAx>
        <c:axId val="8970206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362145"/>
        <c:crosses val="autoZero"/>
        <c:auto val="1"/>
        <c:lblAlgn val="ctr"/>
        <c:lblOffset val="100"/>
        <c:noMultiLvlLbl val="0"/>
      </c:catAx>
      <c:valAx>
        <c:axId val="593621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7020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Customers per day &amp;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Customers per day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#,##0.0;\(#,##0.0\);\-</c:formatCode>
                <c:ptCount val="3"/>
                <c:pt idx="0">
                  <c:v>160</c:v>
                </c:pt>
                <c:pt idx="1">
                  <c:v>169.6</c:v>
                </c:pt>
                <c:pt idx="2">
                  <c:v>179.776</c:v>
                </c:pt>
              </c:numCache>
            </c:numRef>
          </c:val>
        </c:ser>
        <c:gapWidth val="60"/>
        <c:overlap val="0"/>
        <c:axId val="24140756"/>
        <c:axId val="7617785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Average ticket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\$#,##0.00;"($"#,##0.00\);\-</c:formatCode>
                <c:ptCount val="3"/>
                <c:pt idx="0">
                  <c:v>6.5</c:v>
                </c:pt>
                <c:pt idx="1">
                  <c:v>6.695</c:v>
                </c:pt>
                <c:pt idx="2">
                  <c:v>6.89585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591874"/>
        <c:axId val="32266426"/>
      </c:lineChart>
      <c:catAx>
        <c:axId val="241407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17785"/>
        <c:crosses val="autoZero"/>
        <c:auto val="1"/>
        <c:lblAlgn val="ctr"/>
        <c:lblOffset val="100"/>
        <c:noMultiLvlLbl val="0"/>
      </c:catAx>
      <c:valAx>
        <c:axId val="76177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140756"/>
        <c:crosses val="autoZero"/>
        <c:crossBetween val="between"/>
      </c:valAx>
      <c:catAx>
        <c:axId val="1459187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266426"/>
        <c:crosses val="autoZero"/>
        <c:auto val="1"/>
        <c:lblAlgn val="ctr"/>
        <c:lblOffset val="100"/>
        <c:noMultiLvlLbl val="0"/>
      </c:catAx>
      <c:valAx>
        <c:axId val="32266426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59187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15600</c:v>
                </c:pt>
                <c:pt idx="1">
                  <c:v>18200</c:v>
                </c:pt>
                <c:pt idx="2">
                  <c:v>20800</c:v>
                </c:pt>
                <c:pt idx="3">
                  <c:v>23400</c:v>
                </c:pt>
                <c:pt idx="4">
                  <c:v>26000</c:v>
                </c:pt>
                <c:pt idx="5">
                  <c:v>28600</c:v>
                </c:pt>
                <c:pt idx="6">
                  <c:v>31200</c:v>
                </c:pt>
                <c:pt idx="7">
                  <c:v>31200</c:v>
                </c:pt>
                <c:pt idx="8">
                  <c:v>31200</c:v>
                </c:pt>
                <c:pt idx="9">
                  <c:v>31200</c:v>
                </c:pt>
                <c:pt idx="10">
                  <c:v>31200</c:v>
                </c:pt>
                <c:pt idx="11">
                  <c:v>31200</c:v>
                </c:pt>
              </c:numCache>
            </c:numRef>
          </c:val>
        </c:ser>
        <c:gapWidth val="60"/>
        <c:overlap val="0"/>
        <c:axId val="17126425"/>
        <c:axId val="8625255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-6969.33333333334</c:v>
                </c:pt>
                <c:pt idx="1">
                  <c:v>-5305.33333333333</c:v>
                </c:pt>
                <c:pt idx="2">
                  <c:v>-3641.33333333334</c:v>
                </c:pt>
                <c:pt idx="3">
                  <c:v>-1977.33333333334</c:v>
                </c:pt>
                <c:pt idx="4">
                  <c:v>-313.333333333339</c:v>
                </c:pt>
                <c:pt idx="5">
                  <c:v>1350.66666666666</c:v>
                </c:pt>
                <c:pt idx="6">
                  <c:v>3014.66666666666</c:v>
                </c:pt>
                <c:pt idx="7">
                  <c:v>3014.66666666666</c:v>
                </c:pt>
                <c:pt idx="8">
                  <c:v>3014.66666666666</c:v>
                </c:pt>
                <c:pt idx="9">
                  <c:v>3014.66666666666</c:v>
                </c:pt>
                <c:pt idx="10">
                  <c:v>3014.66666666666</c:v>
                </c:pt>
                <c:pt idx="11">
                  <c:v>3014.66666666666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-9407.42857142857</c:v>
                </c:pt>
                <c:pt idx="1">
                  <c:v>-7738.98412698413</c:v>
                </c:pt>
                <c:pt idx="2">
                  <c:v>-6066.09523809524</c:v>
                </c:pt>
                <c:pt idx="3">
                  <c:v>-4393.20634920635</c:v>
                </c:pt>
                <c:pt idx="4">
                  <c:v>-2720.31746031747</c:v>
                </c:pt>
                <c:pt idx="5">
                  <c:v>-1047.42857142857</c:v>
                </c:pt>
                <c:pt idx="6">
                  <c:v>625.460317460315</c:v>
                </c:pt>
                <c:pt idx="7">
                  <c:v>634.349206349204</c:v>
                </c:pt>
                <c:pt idx="8">
                  <c:v>643.238095238093</c:v>
                </c:pt>
                <c:pt idx="9">
                  <c:v>652.126984126981</c:v>
                </c:pt>
                <c:pt idx="10">
                  <c:v>661.01587301587</c:v>
                </c:pt>
                <c:pt idx="11">
                  <c:v>669.904761904759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126425"/>
        <c:axId val="86252550"/>
      </c:lineChart>
      <c:catAx>
        <c:axId val="1712642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252550"/>
        <c:crosses val="autoZero"/>
        <c:auto val="1"/>
        <c:lblAlgn val="ctr"/>
        <c:lblOffset val="100"/>
        <c:noMultiLvlLbl val="0"/>
      </c:catAx>
      <c:valAx>
        <c:axId val="862525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1264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-7341.46666666667</c:v>
                </c:pt>
                <c:pt idx="1">
                  <c:v>-5807.35555555556</c:v>
                </c:pt>
                <c:pt idx="2">
                  <c:v>-4134.46666666667</c:v>
                </c:pt>
                <c:pt idx="3">
                  <c:v>-2461.57777777778</c:v>
                </c:pt>
                <c:pt idx="4">
                  <c:v>-788.688888888894</c:v>
                </c:pt>
                <c:pt idx="5">
                  <c:v>884.199999999997</c:v>
                </c:pt>
                <c:pt idx="6">
                  <c:v>2557.08888888889</c:v>
                </c:pt>
                <c:pt idx="7">
                  <c:v>2539.11111111111</c:v>
                </c:pt>
                <c:pt idx="8">
                  <c:v>2548</c:v>
                </c:pt>
                <c:pt idx="9">
                  <c:v>2556.88888888889</c:v>
                </c:pt>
                <c:pt idx="10">
                  <c:v>2565.77777777778</c:v>
                </c:pt>
                <c:pt idx="11">
                  <c:v>2574.66666666666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48144602"/>
        <c:axId val="721184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311984"/>
        <c:axId val="59568346"/>
      </c:lineChart>
      <c:catAx>
        <c:axId val="4814460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11847"/>
        <c:crosses val="autoZero"/>
        <c:auto val="1"/>
        <c:lblAlgn val="ctr"/>
        <c:lblOffset val="100"/>
        <c:noMultiLvlLbl val="0"/>
      </c:catAx>
      <c:valAx>
        <c:axId val="72118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144602"/>
        <c:crosses val="autoZero"/>
        <c:crossBetween val="between"/>
      </c:valAx>
      <c:catAx>
        <c:axId val="59311984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568346"/>
        <c:crosses val="autoZero"/>
        <c:auto val="1"/>
        <c:lblAlgn val="ctr"/>
        <c:lblOffset val="100"/>
        <c:noMultiLvlLbl val="0"/>
      </c:catAx>
      <c:valAx>
        <c:axId val="5956834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31198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1040</c:v>
                </c:pt>
                <c:pt idx="1">
                  <c:v>1213.33333333333</c:v>
                </c:pt>
                <c:pt idx="2">
                  <c:v>1386.66666666667</c:v>
                </c:pt>
                <c:pt idx="3">
                  <c:v>1560</c:v>
                </c:pt>
                <c:pt idx="4">
                  <c:v>1733.33333333333</c:v>
                </c:pt>
                <c:pt idx="5">
                  <c:v>1906.66666666667</c:v>
                </c:pt>
                <c:pt idx="6">
                  <c:v>2080</c:v>
                </c:pt>
                <c:pt idx="7">
                  <c:v>2080</c:v>
                </c:pt>
                <c:pt idx="8">
                  <c:v>2080</c:v>
                </c:pt>
                <c:pt idx="9">
                  <c:v>2080</c:v>
                </c:pt>
                <c:pt idx="10">
                  <c:v>2080</c:v>
                </c:pt>
                <c:pt idx="11">
                  <c:v>2080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158095.238095238</c:v>
                </c:pt>
                <c:pt idx="1">
                  <c:v>156190.476190476</c:v>
                </c:pt>
                <c:pt idx="2">
                  <c:v>154285.714285714</c:v>
                </c:pt>
                <c:pt idx="3">
                  <c:v>152380.952380952</c:v>
                </c:pt>
                <c:pt idx="4">
                  <c:v>150476.19047619</c:v>
                </c:pt>
                <c:pt idx="5">
                  <c:v>148571.428571429</c:v>
                </c:pt>
                <c:pt idx="6">
                  <c:v>146666.666666667</c:v>
                </c:pt>
                <c:pt idx="7">
                  <c:v>144761.904761905</c:v>
                </c:pt>
                <c:pt idx="8">
                  <c:v>142857.142857143</c:v>
                </c:pt>
                <c:pt idx="9">
                  <c:v>140952.380952381</c:v>
                </c:pt>
                <c:pt idx="10">
                  <c:v>139047.619047619</c:v>
                </c:pt>
                <c:pt idx="11">
                  <c:v>137142.857142857</c:v>
                </c:pt>
              </c:numCache>
            </c:numRef>
          </c:val>
        </c:ser>
        <c:gapWidth val="60"/>
        <c:overlap val="100"/>
        <c:axId val="30934437"/>
        <c:axId val="6740384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130592.571428571</c:v>
                </c:pt>
                <c:pt idx="1">
                  <c:v>122853.587301587</c:v>
                </c:pt>
                <c:pt idx="2">
                  <c:v>116787.492063492</c:v>
                </c:pt>
                <c:pt idx="3">
                  <c:v>112394.285714286</c:v>
                </c:pt>
                <c:pt idx="4">
                  <c:v>109673.968253968</c:v>
                </c:pt>
                <c:pt idx="5">
                  <c:v>108626.53968254</c:v>
                </c:pt>
                <c:pt idx="6">
                  <c:v>109252</c:v>
                </c:pt>
                <c:pt idx="7">
                  <c:v>109886.349206349</c:v>
                </c:pt>
                <c:pt idx="8">
                  <c:v>110529.587301587</c:v>
                </c:pt>
                <c:pt idx="9">
                  <c:v>111181.714285714</c:v>
                </c:pt>
                <c:pt idx="10">
                  <c:v>111842.73015873</c:v>
                </c:pt>
                <c:pt idx="11">
                  <c:v>112512.634920635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934437"/>
        <c:axId val="67403846"/>
      </c:lineChart>
      <c:catAx>
        <c:axId val="3093443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403846"/>
        <c:crosses val="autoZero"/>
        <c:auto val="1"/>
        <c:lblAlgn val="ctr"/>
        <c:lblOffset val="100"/>
        <c:noMultiLvlLbl val="0"/>
      </c:catAx>
      <c:valAx>
        <c:axId val="674038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9344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178200</c:v>
                </c:pt>
                <c:pt idx="1">
                  <c:v>249622.56</c:v>
                </c:pt>
                <c:pt idx="2">
                  <c:v>262253.461536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519750</c:v>
                </c:pt>
                <c:pt idx="1">
                  <c:v>642751.2</c:v>
                </c:pt>
                <c:pt idx="2">
                  <c:v>728622.76032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359532"/>
        <c:axId val="40512735"/>
      </c:lineChart>
      <c:catAx>
        <c:axId val="3535953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512735"/>
        <c:crosses val="autoZero"/>
        <c:auto val="1"/>
        <c:lblAlgn val="ctr"/>
        <c:lblOffset val="100"/>
        <c:noMultiLvlLbl val="0"/>
      </c:catAx>
      <c:valAx>
        <c:axId val="405127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3595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-74280</c:v>
                </c:pt>
                <c:pt idx="1">
                  <c:v>-34450.464</c:v>
                </c:pt>
                <c:pt idx="2">
                  <c:v>-29986.6430784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1231.99999999997</c:v>
                </c:pt>
                <c:pt idx="1">
                  <c:v>54409.5488</c:v>
                </c:pt>
                <c:pt idx="2">
                  <c:v>74549.5031398401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117912.5</c:v>
                </c:pt>
                <c:pt idx="1">
                  <c:v>195753.704</c:v>
                </c:pt>
                <c:pt idx="2">
                  <c:v>248580.9614144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644184"/>
        <c:axId val="2365919"/>
      </c:lineChart>
      <c:catAx>
        <c:axId val="166441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65919"/>
        <c:crosses val="autoZero"/>
        <c:auto val="1"/>
        <c:lblAlgn val="ctr"/>
        <c:lblOffset val="100"/>
        <c:noMultiLvlLbl val="0"/>
      </c:catAx>
      <c:valAx>
        <c:axId val="23659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64418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-105856.507936508</c:v>
                </c:pt>
                <c:pt idx="1">
                  <c:v>-64751.4163809524</c:v>
                </c:pt>
                <c:pt idx="2">
                  <c:v>-59007.5954593524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-27487.3650793651</c:v>
                </c:pt>
                <c:pt idx="1">
                  <c:v>26965.7392761905</c:v>
                </c:pt>
                <c:pt idx="2">
                  <c:v>38334.2393753308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71591.148015873</c:v>
                </c:pt>
                <c:pt idx="1">
                  <c:v>134093.388064762</c:v>
                </c:pt>
                <c:pt idx="2">
                  <c:v>176838.121422138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855876"/>
        <c:axId val="59599886"/>
      </c:lineChart>
      <c:catAx>
        <c:axId val="878558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599886"/>
        <c:crosses val="autoZero"/>
        <c:auto val="1"/>
        <c:lblAlgn val="ctr"/>
        <c:lblOffset val="100"/>
        <c:noMultiLvlLbl val="0"/>
      </c:catAx>
      <c:valAx>
        <c:axId val="595998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85587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-54465.6888888889</c:v>
                </c:pt>
                <c:pt idx="1">
                  <c:v>-109485.453635556</c:v>
                </c:pt>
                <c:pt idx="2">
                  <c:v>-158760.51874507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41025.5111111111</c:v>
                </c:pt>
                <c:pt idx="1">
                  <c:v>74877.9895644444</c:v>
                </c:pt>
                <c:pt idx="2">
                  <c:v>120101.685059094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148510.552777778</c:v>
                </c:pt>
                <c:pt idx="1">
                  <c:v>288053.554271111</c:v>
                </c:pt>
                <c:pt idx="2">
                  <c:v>470344.100333021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634724"/>
        <c:axId val="55646625"/>
      </c:lineChart>
      <c:catAx>
        <c:axId val="9463472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646625"/>
        <c:crosses val="autoZero"/>
        <c:auto val="1"/>
        <c:lblAlgn val="ctr"/>
        <c:lblOffset val="100"/>
        <c:noMultiLvlLbl val="0"/>
      </c:catAx>
      <c:valAx>
        <c:axId val="556466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6347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'Break-even'!$B$28:$D$28</c:f>
              <c:numCache>
                <c:formatCode>\$#,##0;"($"#,##0\);\-</c:formatCode>
                <c:ptCount val="3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</c:numCache>
            </c:numRef>
          </c:val>
        </c:ser>
        <c:gapWidth val="60"/>
        <c:overlap val="0"/>
        <c:axId val="17486668"/>
        <c:axId val="83478016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'Break-even'!$B$32:$D$32</c:f>
              <c:numCache>
                <c:formatCode>\$#,##0;"($"#,##0\);\-</c:formatCode>
                <c:ptCount val="3"/>
                <c:pt idx="0">
                  <c:v>317961.194029851</c:v>
                </c:pt>
                <c:pt idx="1">
                  <c:v>327561.638208955</c:v>
                </c:pt>
                <c:pt idx="2">
                  <c:v>335027.083521911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486668"/>
        <c:axId val="83478016"/>
      </c:lineChart>
      <c:catAx>
        <c:axId val="1748666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478016"/>
        <c:crosses val="autoZero"/>
        <c:auto val="1"/>
        <c:lblAlgn val="ctr"/>
        <c:lblOffset val="100"/>
        <c:noMultiLvlLbl val="0"/>
      </c:catAx>
      <c:valAx>
        <c:axId val="834780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4866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140000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4307.82222222226</c:v>
                </c:pt>
                <c:pt idx="1">
                  <c:v>160000</c:v>
                </c:pt>
                <c:pt idx="2">
                  <c:v>14666.6666666667</c:v>
                </c:pt>
                <c:pt idx="3">
                  <c:v>41025.5111111111</c:v>
                </c:pt>
              </c:numCache>
            </c:numRef>
          </c:val>
        </c:ser>
        <c:gapWidth val="60"/>
        <c:overlap val="0"/>
        <c:axId val="41052880"/>
        <c:axId val="72640544"/>
      </c:barChart>
      <c:catAx>
        <c:axId val="4105288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640544"/>
        <c:crosses val="autoZero"/>
        <c:auto val="1"/>
        <c:lblAlgn val="ctr"/>
        <c:lblOffset val="100"/>
        <c:noMultiLvlLbl val="0"/>
      </c:catAx>
      <c:valAx>
        <c:axId val="726405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052880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0.00385240775484667</c:v>
                </c:pt>
                <c:pt idx="1">
                  <c:v>0.133105559234887</c:v>
                </c:pt>
                <c:pt idx="2">
                  <c:v>0.167040866163284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-0.0859517357078334</c:v>
                </c:pt>
                <c:pt idx="1">
                  <c:v>0.0659680127055105</c:v>
                </c:pt>
                <c:pt idx="2">
                  <c:v>0.0858943960626331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927242"/>
        <c:axId val="1982346"/>
      </c:lineChart>
      <c:catAx>
        <c:axId val="1592724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82346"/>
        <c:crosses val="autoZero"/>
        <c:auto val="1"/>
        <c:lblAlgn val="ctr"/>
        <c:lblOffset val="100"/>
        <c:noMultiLvlLbl val="0"/>
      </c:catAx>
      <c:valAx>
        <c:axId val="19823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9272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-0.150491374014617</c:v>
                </c:pt>
                <c:pt idx="1">
                  <c:v>0.138957407079313</c:v>
                </c:pt>
                <c:pt idx="2">
                  <c:v>0.176758604252363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-0.244304696079284</c:v>
                </c:pt>
                <c:pt idx="1">
                  <c:v>0.193332761666247</c:v>
                </c:pt>
                <c:pt idx="2">
                  <c:v>0.215587851757068</c:v>
                </c:pt>
              </c:numCache>
            </c:numRef>
          </c:val>
        </c:ser>
        <c:gapWidth val="60"/>
        <c:overlap val="0"/>
        <c:axId val="18931608"/>
        <c:axId val="64254921"/>
      </c:barChart>
      <c:catAx>
        <c:axId val="1893160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254921"/>
        <c:crosses val="autoZero"/>
        <c:auto val="1"/>
        <c:lblAlgn val="ctr"/>
        <c:lblOffset val="100"/>
        <c:noMultiLvlLbl val="0"/>
      </c:catAx>
      <c:valAx>
        <c:axId val="642549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9316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Customers per day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KPIs!$A$29</c:f>
              <c:strCache>
                <c:ptCount val="1"/>
                <c:pt idx="0">
                  <c:v>Customers per day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KPIs!$B$29:$D$29</c:f>
              <c:numCache>
                <c:formatCode>#,##0.0;\(#,##0.0\);\-</c:formatCode>
                <c:ptCount val="3"/>
                <c:pt idx="0">
                  <c:v>160</c:v>
                </c:pt>
                <c:pt idx="1">
                  <c:v>169.6</c:v>
                </c:pt>
                <c:pt idx="2">
                  <c:v>179.776</c:v>
                </c:pt>
              </c:numCache>
            </c:numRef>
          </c:val>
        </c:ser>
        <c:gapWidth val="60"/>
        <c:overlap val="0"/>
        <c:axId val="1619648"/>
        <c:axId val="29428394"/>
      </c:barChart>
      <c:lineChart>
        <c:grouping val="standard"/>
        <c:varyColors val="0"/>
        <c:ser>
          <c:idx val="1"/>
          <c:order val="1"/>
          <c:tx>
            <c:strRef>
              <c:f>KPIs!$A$30</c:f>
              <c:strCache>
                <c:ptCount val="1"/>
                <c:pt idx="0">
                  <c:v>Average ticket (year end)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\$#,##0.00;"($"#,##0.00\);\-</c:formatCode>
                <c:ptCount val="3"/>
                <c:pt idx="0">
                  <c:v>6.5</c:v>
                </c:pt>
                <c:pt idx="1">
                  <c:v>6.695</c:v>
                </c:pt>
                <c:pt idx="2">
                  <c:v>6.89585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520939"/>
        <c:axId val="9002511"/>
      </c:lineChart>
      <c:catAx>
        <c:axId val="161964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428394"/>
        <c:crosses val="autoZero"/>
        <c:auto val="1"/>
        <c:lblAlgn val="ctr"/>
        <c:lblOffset val="100"/>
        <c:noMultiLvlLbl val="0"/>
      </c:catAx>
      <c:valAx>
        <c:axId val="2942839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19648"/>
        <c:crosses val="autoZero"/>
        <c:crossBetween val="between"/>
      </c:valAx>
      <c:catAx>
        <c:axId val="1952093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02511"/>
        <c:crosses val="autoZero"/>
        <c:auto val="1"/>
        <c:lblAlgn val="ctr"/>
        <c:lblOffset val="100"/>
        <c:noMultiLvlLbl val="0"/>
      </c:catAx>
      <c:valAx>
        <c:axId val="9002511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52093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Gross profit and gross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KPIs!$A$32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KPIs!$B$32:$D$32</c:f>
              <c:numCache>
                <c:formatCode>\$#,##0,;"($"#,##0,\);\-</c:formatCode>
                <c:ptCount val="3"/>
                <c:pt idx="0">
                  <c:v>214266</c:v>
                </c:pt>
                <c:pt idx="1">
                  <c:v>273875.8464</c:v>
                </c:pt>
                <c:pt idx="2">
                  <c:v>299017.64909952</c:v>
                </c:pt>
              </c:numCache>
            </c:numRef>
          </c:val>
        </c:ser>
        <c:gapWidth val="60"/>
        <c:overlap val="0"/>
        <c:axId val="86492782"/>
        <c:axId val="76914863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KPIs!$B$33:$D$33</c:f>
              <c:numCache>
                <c:formatCode>0.0%;\(0.0%\);\-</c:formatCode>
                <c:ptCount val="3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63884"/>
        <c:axId val="56452519"/>
      </c:lineChart>
      <c:catAx>
        <c:axId val="8649278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914863"/>
        <c:crosses val="autoZero"/>
        <c:auto val="1"/>
        <c:lblAlgn val="ctr"/>
        <c:lblOffset val="100"/>
        <c:noMultiLvlLbl val="0"/>
      </c:catAx>
      <c:valAx>
        <c:axId val="769148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492782"/>
        <c:crosses val="autoZero"/>
        <c:crossBetween val="between"/>
      </c:valAx>
      <c:catAx>
        <c:axId val="606388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452519"/>
        <c:crosses val="autoZero"/>
        <c:auto val="1"/>
        <c:lblAlgn val="ctr"/>
        <c:lblOffset val="100"/>
        <c:noMultiLvlLbl val="0"/>
      </c:catAx>
      <c:valAx>
        <c:axId val="5645251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6388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446294.998656</v>
      </c>
      <c r="B7" s="25"/>
      <c r="C7" s="26" t="n">
        <f aca="false">D17</f>
        <v>0.167040866163284</v>
      </c>
      <c r="D7" s="26"/>
      <c r="E7" s="26"/>
      <c r="F7" s="26"/>
      <c r="H7" s="25" t="n">
        <f aca="false">D18</f>
        <v>38334.2393753308</v>
      </c>
      <c r="I7" s="25"/>
      <c r="J7" s="25"/>
      <c r="K7" s="25"/>
      <c r="L7" s="25" t="n">
        <f aca="false">F37</f>
        <v>33683.9777777778</v>
      </c>
      <c r="M7" s="25"/>
      <c r="N7" s="25"/>
      <c r="O7" s="25"/>
      <c r="P7" s="25" t="n">
        <f aca="false">F35</f>
        <v>239316.022222222</v>
      </c>
      <c r="Q7" s="25"/>
      <c r="R7" s="25"/>
      <c r="S7" s="25"/>
      <c r="T7" s="25" t="n">
        <f aca="false">F42</f>
        <v>142753.262631377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0.181331488555883</v>
      </c>
      <c r="B8" s="27"/>
      <c r="C8" s="28" t="n">
        <f aca="false">D16</f>
        <v>74549.5031398401</v>
      </c>
      <c r="D8" s="28"/>
      <c r="E8" s="28"/>
      <c r="F8" s="28"/>
      <c r="H8" s="29" t="n">
        <f aca="false">D19</f>
        <v>0.0858943960626331</v>
      </c>
      <c r="I8" s="29"/>
      <c r="J8" s="29"/>
      <c r="K8" s="29"/>
      <c r="L8" s="30" t="n">
        <f aca="false">'Break-even'!B6</f>
        <v>6</v>
      </c>
      <c r="M8" s="30"/>
      <c r="N8" s="30"/>
      <c r="O8" s="30"/>
      <c r="P8" s="31" t="n">
        <f aca="false">IF(F36&gt;=0,"Covered by funding raised",-F36)</f>
        <v>19316.0222222222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SUMIF(Monthly!$C$5:$AL$5,B$11,Monthly!$C$12:$AL$12)</f>
        <v>319800</v>
      </c>
      <c r="C12" s="36" t="n">
        <f aca="false">SUMIF(Monthly!$C$5:$AL$5,C$11,Monthly!$C$12:$AL$12)</f>
        <v>408769.92</v>
      </c>
      <c r="D12" s="36" t="n">
        <f aca="false">SUMIF(Monthly!$C$5:$AL$5,D$11,Monthly!$C$12:$AL$12)</f>
        <v>446294.998656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SUMIF(Monthly!$C$5:$AL$5,B$11,Monthly!$C$14:$AL$14)</f>
        <v>214266</v>
      </c>
      <c r="C13" s="38" t="n">
        <f aca="false">SUMIF(Monthly!$C$5:$AL$5,C$11,Monthly!$C$14:$AL$14)</f>
        <v>273875.8464</v>
      </c>
      <c r="D13" s="38" t="n">
        <f aca="false">SUMIF(Monthly!$C$5:$AL$5,D$11,Monthly!$C$14:$AL$14)</f>
        <v>299017.64909952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0.67</v>
      </c>
      <c r="C14" s="40" t="n">
        <f aca="false">IF(C12=0,0,C13/C12)</f>
        <v>0.67</v>
      </c>
      <c r="D14" s="40" t="n">
        <f aca="false">IF(D12=0,0,D13/D12)</f>
        <v>0.67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SUMIF(Monthly!$C$5:$AL$5,B$11,Monthly!$C$21:$AL$21)</f>
        <v>-213034</v>
      </c>
      <c r="C15" s="36" t="n">
        <f aca="false">SUMIF(Monthly!$C$5:$AL$5,C$11,Monthly!$C$21:$AL$21)</f>
        <v>-219466.2976</v>
      </c>
      <c r="D15" s="36" t="n">
        <f aca="false">SUMIF(Monthly!$C$5:$AL$5,D$11,Monthly!$C$21:$AL$21)</f>
        <v>-224468.14595968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SUMIF(Monthly!$C$5:$AL$5,B$11,Monthly!$C$22:$AL$22)</f>
        <v>1231.99999999997</v>
      </c>
      <c r="C16" s="38" t="n">
        <f aca="false">SUMIF(Monthly!$C$5:$AL$5,C$11,Monthly!$C$22:$AL$22)</f>
        <v>54409.5488</v>
      </c>
      <c r="D16" s="38" t="n">
        <f aca="false">SUMIF(Monthly!$C$5:$AL$5,D$11,Monthly!$C$22:$AL$22)</f>
        <v>74549.5031398401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0.00385240775484667</v>
      </c>
      <c r="C17" s="40" t="n">
        <f aca="false">IF(C12=0,0,C16/C12)</f>
        <v>0.133105559234887</v>
      </c>
      <c r="D17" s="40" t="n">
        <f aca="false">IF(D12=0,0,D16/D12)</f>
        <v>0.167040866163284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SUMIF(Monthly!$C$5:$AL$5,B$11,Monthly!$C$31:$AL$31)</f>
        <v>-27487.3650793651</v>
      </c>
      <c r="C18" s="42" t="n">
        <f aca="false">SUMIF(Monthly!$C$5:$AL$5,C$11,Monthly!$C$31:$AL$31)</f>
        <v>26965.7392761905</v>
      </c>
      <c r="D18" s="42" t="n">
        <f aca="false">SUMIF(Monthly!$C$5:$AL$5,D$11,Monthly!$C$31:$AL$31)</f>
        <v>38334.2393753308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-0.0859517357078334</v>
      </c>
      <c r="C19" s="40" t="n">
        <f aca="false">IF(C12=0,0,C18/C12)</f>
        <v>0.0659680127055105</v>
      </c>
      <c r="D19" s="40" t="n">
        <f aca="false">IF(D12=0,0,D18/D12)</f>
        <v>0.0858943960626331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SUMIF(Monthly!$C$5:$AL$5,B$11,Monthly!$C$55:$AL$55)</f>
        <v>-4307.82222222226</v>
      </c>
      <c r="C20" s="36" t="n">
        <f aca="false">SUMIF(Monthly!$C$5:$AL$5,C$11,Monthly!$C$55:$AL$55)</f>
        <v>49852.4784533334</v>
      </c>
      <c r="D20" s="36" t="n">
        <f aca="false">SUMIF(Monthly!$C$5:$AL$5,D$11,Monthly!$C$55:$AL$55)</f>
        <v>61223.6954946496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SUMIF(Monthly!$C$5:$AL$5,B$11,Monthly!$C$56:$AL$56)</f>
        <v>-160000</v>
      </c>
      <c r="C21" s="36" t="n">
        <f aca="false">SUMIF(Monthly!$C$5:$AL$5,C$11,Monthly!$C$56:$AL$56)</f>
        <v>0</v>
      </c>
      <c r="D21" s="36" t="n">
        <f aca="false">SUMIF(Monthly!$C$5:$AL$5,D$11,Monthly!$C$56:$AL$56)</f>
        <v>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SUMIF(Monthly!$C$5:$AL$5,B$11,Monthly!$C$58:$AL$58)</f>
        <v>205333.333333333</v>
      </c>
      <c r="C22" s="36" t="n">
        <f aca="false">SUMIF(Monthly!$C$5:$AL$5,C$11,Monthly!$C$58:$AL$58)</f>
        <v>-16000</v>
      </c>
      <c r="D22" s="36" t="n">
        <f aca="false">SUMIF(Monthly!$C$5:$AL$5,D$11,Monthly!$C$58:$AL$58)</f>
        <v>-16000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SUMIF(Monthly!$C$5:$AL$5,B$11,Monthly!$C$59:$AL$59)</f>
        <v>41025.5111111111</v>
      </c>
      <c r="C23" s="38" t="n">
        <f aca="false">SUMIF(Monthly!$C$5:$AL$5,C$11,Monthly!$C$59:$AL$59)</f>
        <v>33852.4784533334</v>
      </c>
      <c r="D23" s="38" t="n">
        <f aca="false">SUMIF(Monthly!$C$5:$AL$5,D$11,Monthly!$C$59:$AL$59)</f>
        <v>45223.6954946496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INDEX(Monthly!$C$61:$AL$61,B$11*12)</f>
        <v>41025.5111111111</v>
      </c>
      <c r="C24" s="42" t="n">
        <f aca="false">INDEX(Monthly!$C$61:$AL$61,C$11*12)</f>
        <v>74877.9895644444</v>
      </c>
      <c r="D24" s="42" t="n">
        <f aca="false">INDEX(Monthly!$C$61:$AL$61,D$11*12)</f>
        <v>120101.685059094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INDEX(Monthly!$C$9:$AL$9,B$27*12)</f>
        <v>160</v>
      </c>
      <c r="C28" s="43" t="n">
        <f aca="false">INDEX(Monthly!$C$9:$AL$9,C$27*12)</f>
        <v>169.6</v>
      </c>
      <c r="D28" s="43" t="n">
        <f aca="false">INDEX(Monthly!$C$9:$AL$9,D$27*12)</f>
        <v>179.776</v>
      </c>
    </row>
    <row r="29" customFormat="false" ht="15" hidden="false" customHeight="false" outlineLevel="0" collapsed="false">
      <c r="A29" s="6" t="s">
        <v>59</v>
      </c>
      <c r="B29" s="44" t="n">
        <f aca="false">INDEX(Monthly!$C$10:$AL$10,B$27*12)</f>
        <v>6.5</v>
      </c>
      <c r="C29" s="44" t="n">
        <f aca="false">INDEX(Monthly!$C$10:$AL$10,C$27*12)</f>
        <v>6.695</v>
      </c>
      <c r="D29" s="44" t="n">
        <f aca="false">INDEX(Monthly!$C$10:$AL$10,D$27*12)</f>
        <v>6.89585</v>
      </c>
    </row>
    <row r="30" customFormat="false" ht="15" hidden="false" customHeight="false" outlineLevel="0" collapsed="false">
      <c r="A30" s="6" t="s">
        <v>60</v>
      </c>
      <c r="B30" s="43" t="n">
        <f aca="false">INDEX(Headcount!$C$9:$AL$9,B$27*12)</f>
        <v>3.5</v>
      </c>
      <c r="C30" s="43" t="n">
        <f aca="false">INDEX(Headcount!$C$9:$AL$9,C$27*12)</f>
        <v>3.5</v>
      </c>
      <c r="D30" s="43" t="n">
        <f aca="false">INDEX(Headcount!$C$9:$AL$9,D$27*12)</f>
        <v>3.5</v>
      </c>
    </row>
    <row r="32" customFormat="false" ht="15.75" hidden="false" customHeight="true" outlineLevel="0" collapsed="false">
      <c r="A32" s="7" t="s">
        <v>61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6" t="s">
        <v>62</v>
      </c>
      <c r="B33" s="45"/>
      <c r="C33" s="45"/>
      <c r="D33" s="45"/>
      <c r="E33" s="45"/>
      <c r="F33" s="46" t="n">
        <f aca="false">Inputs!$E$29</f>
        <v>140000</v>
      </c>
    </row>
    <row r="34" customFormat="false" ht="15" hidden="false" customHeight="false" outlineLevel="0" collapsed="false">
      <c r="A34" s="6" t="s">
        <v>63</v>
      </c>
      <c r="B34" s="45"/>
      <c r="C34" s="45"/>
      <c r="D34" s="45"/>
      <c r="E34" s="45"/>
      <c r="F34" s="46" t="n">
        <f aca="false">Inputs!$E$30</f>
        <v>80000</v>
      </c>
    </row>
    <row r="35" customFormat="false" ht="15" hidden="false" customHeight="false" outlineLevel="0" collapsed="false">
      <c r="A35" s="6" t="s">
        <v>64</v>
      </c>
      <c r="B35" s="45"/>
      <c r="C35" s="45"/>
      <c r="D35" s="45"/>
      <c r="E35" s="45"/>
      <c r="F35" s="46" t="n">
        <f aca="false">'Break-even'!B12</f>
        <v>239316.022222222</v>
      </c>
    </row>
    <row r="36" customFormat="false" ht="15" hidden="false" customHeight="false" outlineLevel="0" collapsed="false">
      <c r="A36" s="37" t="s">
        <v>65</v>
      </c>
      <c r="B36" s="37"/>
      <c r="C36" s="37"/>
      <c r="D36" s="37"/>
      <c r="E36" s="37"/>
      <c r="F36" s="38" t="n">
        <f aca="false">'Break-even'!B17</f>
        <v>-19316.0222222222</v>
      </c>
    </row>
    <row r="37" customFormat="false" ht="15" hidden="false" customHeight="false" outlineLevel="0" collapsed="false">
      <c r="A37" s="6" t="str">
        <f aca="false">"Lowest cash balance (month "&amp;'Break-even'!B6&amp;")"</f>
        <v>Lowest cash balance (month 6)</v>
      </c>
      <c r="B37" s="45"/>
      <c r="C37" s="45"/>
      <c r="D37" s="45"/>
      <c r="E37" s="45"/>
      <c r="F37" s="46" t="n">
        <f aca="false">'Break-even'!B18</f>
        <v>33683.9777777778</v>
      </c>
    </row>
    <row r="38" customFormat="false" ht="15" hidden="false" customHeight="false" outlineLevel="0" collapsed="false">
      <c r="A38" s="6" t="s">
        <v>66</v>
      </c>
      <c r="B38" s="45"/>
      <c r="C38" s="45"/>
      <c r="D38" s="45"/>
      <c r="E38" s="45"/>
      <c r="F38" s="47" t="n">
        <f aca="false">'Break-even'!B21</f>
        <v>6</v>
      </c>
    </row>
    <row r="39" customFormat="false" ht="15" hidden="false" customHeight="false" outlineLevel="0" collapsed="false">
      <c r="A39" s="6" t="s">
        <v>67</v>
      </c>
      <c r="B39" s="45"/>
      <c r="C39" s="45"/>
      <c r="D39" s="45"/>
      <c r="E39" s="45"/>
      <c r="F39" s="47" t="str">
        <f aca="false">'Break-even'!B23</f>
        <v>Not within horizon</v>
      </c>
    </row>
    <row r="40" customFormat="false" ht="15" hidden="false" customHeight="false" outlineLevel="0" collapsed="false">
      <c r="A40" s="6" t="s">
        <v>68</v>
      </c>
      <c r="B40" s="45"/>
      <c r="C40" s="45"/>
      <c r="D40" s="45"/>
      <c r="E40" s="45"/>
      <c r="F40" s="46" t="n">
        <f aca="false">Valuation!B27</f>
        <v>150352.902326066</v>
      </c>
    </row>
    <row r="41" customFormat="false" ht="15" hidden="false" customHeight="false" outlineLevel="0" collapsed="false">
      <c r="A41" s="6" t="s">
        <v>69</v>
      </c>
      <c r="B41" s="45"/>
      <c r="C41" s="45"/>
      <c r="D41" s="45"/>
      <c r="E41" s="45"/>
      <c r="F41" s="46" t="n">
        <f aca="false">Valuation!C27</f>
        <v>135153.622936688</v>
      </c>
    </row>
    <row r="42" customFormat="false" ht="15" hidden="false" customHeight="false" outlineLevel="0" collapsed="false">
      <c r="A42" s="41" t="s">
        <v>70</v>
      </c>
      <c r="B42" s="41"/>
      <c r="C42" s="41"/>
      <c r="D42" s="41"/>
      <c r="E42" s="41"/>
      <c r="F42" s="42" t="n">
        <f aca="false">Valuation!B30</f>
        <v>142753.262631377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48" t="n">
        <v>1</v>
      </c>
      <c r="S2" s="48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49" t="n">
        <f aca="false">INDEX(Monthly!$C$4:$AL$4,($R$2-1)*12+1)</f>
        <v>1</v>
      </c>
      <c r="I6" s="49" t="n">
        <f aca="false">INDEX(Monthly!$C$4:$AL$4,($R$2-1)*12+2)</f>
        <v>2</v>
      </c>
      <c r="J6" s="49" t="n">
        <f aca="false">INDEX(Monthly!$C$4:$AL$4,($R$2-1)*12+3)</f>
        <v>3</v>
      </c>
      <c r="K6" s="49" t="n">
        <f aca="false">INDEX(Monthly!$C$4:$AL$4,($R$2-1)*12+4)</f>
        <v>4</v>
      </c>
      <c r="L6" s="49" t="n">
        <f aca="false">INDEX(Monthly!$C$4:$AL$4,($R$2-1)*12+5)</f>
        <v>5</v>
      </c>
      <c r="M6" s="49" t="n">
        <f aca="false">INDEX(Monthly!$C$4:$AL$4,($R$2-1)*12+6)</f>
        <v>6</v>
      </c>
      <c r="N6" s="49" t="n">
        <f aca="false">INDEX(Monthly!$C$4:$AL$4,($R$2-1)*12+7)</f>
        <v>7</v>
      </c>
      <c r="O6" s="49" t="n">
        <f aca="false">INDEX(Monthly!$C$4:$AL$4,($R$2-1)*12+8)</f>
        <v>8</v>
      </c>
      <c r="P6" s="49" t="n">
        <f aca="false">INDEX(Monthly!$C$4:$AL$4,($R$2-1)*12+9)</f>
        <v>9</v>
      </c>
      <c r="Q6" s="49" t="n">
        <f aca="false">INDEX(Monthly!$C$4:$AL$4,($R$2-1)*12+10)</f>
        <v>10</v>
      </c>
      <c r="R6" s="49" t="n">
        <f aca="false">INDEX(Monthly!$C$4:$AL$4,($R$2-1)*12+11)</f>
        <v>11</v>
      </c>
      <c r="S6" s="49" t="n">
        <f aca="false">INDEX(Monthly!$C$4:$AL$4,($R$2-1)*12+12)</f>
        <v>12</v>
      </c>
    </row>
    <row r="7" customFormat="false" ht="15" hidden="false" customHeight="false" outlineLevel="0" collapsed="false">
      <c r="A7" s="50" t="s">
        <v>44</v>
      </c>
      <c r="B7" s="36" t="n">
        <f aca="false">'P&amp;L'!B5</f>
        <v>319800</v>
      </c>
      <c r="C7" s="36" t="n">
        <f aca="false">'P&amp;L'!C5</f>
        <v>408769.92</v>
      </c>
      <c r="D7" s="36" t="n">
        <f aca="false">'P&amp;L'!D5</f>
        <v>446294.998656</v>
      </c>
      <c r="H7" s="36" t="n">
        <f aca="false">INDEX(Monthly!$C$12:$AL$12,($R$2-1)*12+1)</f>
        <v>15600</v>
      </c>
      <c r="I7" s="36" t="n">
        <f aca="false">INDEX(Monthly!$C$12:$AL$12,($R$2-1)*12+2)</f>
        <v>18200</v>
      </c>
      <c r="J7" s="36" t="n">
        <f aca="false">INDEX(Monthly!$C$12:$AL$12,($R$2-1)*12+3)</f>
        <v>20800</v>
      </c>
      <c r="K7" s="36" t="n">
        <f aca="false">INDEX(Monthly!$C$12:$AL$12,($R$2-1)*12+4)</f>
        <v>23400</v>
      </c>
      <c r="L7" s="36" t="n">
        <f aca="false">INDEX(Monthly!$C$12:$AL$12,($R$2-1)*12+5)</f>
        <v>26000</v>
      </c>
      <c r="M7" s="36" t="n">
        <f aca="false">INDEX(Monthly!$C$12:$AL$12,($R$2-1)*12+6)</f>
        <v>28600</v>
      </c>
      <c r="N7" s="36" t="n">
        <f aca="false">INDEX(Monthly!$C$12:$AL$12,($R$2-1)*12+7)</f>
        <v>31200</v>
      </c>
      <c r="O7" s="36" t="n">
        <f aca="false">INDEX(Monthly!$C$12:$AL$12,($R$2-1)*12+8)</f>
        <v>31200</v>
      </c>
      <c r="P7" s="36" t="n">
        <f aca="false">INDEX(Monthly!$C$12:$AL$12,($R$2-1)*12+9)</f>
        <v>31200</v>
      </c>
      <c r="Q7" s="36" t="n">
        <f aca="false">INDEX(Monthly!$C$12:$AL$12,($R$2-1)*12+10)</f>
        <v>31200</v>
      </c>
      <c r="R7" s="36" t="n">
        <f aca="false">INDEX(Monthly!$C$12:$AL$12,($R$2-1)*12+11)</f>
        <v>31200</v>
      </c>
      <c r="S7" s="36" t="n">
        <f aca="false">INDEX(Monthly!$C$12:$AL$12,($R$2-1)*12+12)</f>
        <v>31200</v>
      </c>
    </row>
    <row r="8" customFormat="false" ht="15" hidden="false" customHeight="false" outlineLevel="0" collapsed="false">
      <c r="A8" s="50" t="s">
        <v>74</v>
      </c>
      <c r="B8" s="36" t="n">
        <f aca="false">'P&amp;L'!B6</f>
        <v>-105534</v>
      </c>
      <c r="C8" s="36" t="n">
        <f aca="false">'P&amp;L'!C6</f>
        <v>-134894.0736</v>
      </c>
      <c r="D8" s="36" t="n">
        <f aca="false">'P&amp;L'!D6</f>
        <v>-147277.34955648</v>
      </c>
      <c r="H8" s="36" t="n">
        <f aca="false">INDEX(Monthly!$C$13:$AL$13,($R$2-1)*12+1)</f>
        <v>-5148</v>
      </c>
      <c r="I8" s="36" t="n">
        <f aca="false">INDEX(Monthly!$C$13:$AL$13,($R$2-1)*12+2)</f>
        <v>-6006</v>
      </c>
      <c r="J8" s="36" t="n">
        <f aca="false">INDEX(Monthly!$C$13:$AL$13,($R$2-1)*12+3)</f>
        <v>-6864</v>
      </c>
      <c r="K8" s="36" t="n">
        <f aca="false">INDEX(Monthly!$C$13:$AL$13,($R$2-1)*12+4)</f>
        <v>-7722</v>
      </c>
      <c r="L8" s="36" t="n">
        <f aca="false">INDEX(Monthly!$C$13:$AL$13,($R$2-1)*12+5)</f>
        <v>-8580</v>
      </c>
      <c r="M8" s="36" t="n">
        <f aca="false">INDEX(Monthly!$C$13:$AL$13,($R$2-1)*12+6)</f>
        <v>-9438</v>
      </c>
      <c r="N8" s="36" t="n">
        <f aca="false">INDEX(Monthly!$C$13:$AL$13,($R$2-1)*12+7)</f>
        <v>-10296</v>
      </c>
      <c r="O8" s="36" t="n">
        <f aca="false">INDEX(Monthly!$C$13:$AL$13,($R$2-1)*12+8)</f>
        <v>-10296</v>
      </c>
      <c r="P8" s="36" t="n">
        <f aca="false">INDEX(Monthly!$C$13:$AL$13,($R$2-1)*12+9)</f>
        <v>-10296</v>
      </c>
      <c r="Q8" s="36" t="n">
        <f aca="false">INDEX(Monthly!$C$13:$AL$13,($R$2-1)*12+10)</f>
        <v>-10296</v>
      </c>
      <c r="R8" s="36" t="n">
        <f aca="false">INDEX(Monthly!$C$13:$AL$13,($R$2-1)*12+11)</f>
        <v>-10296</v>
      </c>
      <c r="S8" s="36" t="n">
        <f aca="false">INDEX(Monthly!$C$13:$AL$13,($R$2-1)*12+12)</f>
        <v>-10296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214266</v>
      </c>
      <c r="C9" s="38" t="n">
        <f aca="false">'P&amp;L'!C7</f>
        <v>273875.8464</v>
      </c>
      <c r="D9" s="38" t="n">
        <f aca="false">'P&amp;L'!D7</f>
        <v>299017.64909952</v>
      </c>
      <c r="E9" s="37"/>
      <c r="F9" s="37"/>
      <c r="H9" s="38" t="n">
        <f aca="false">INDEX(Monthly!$C$14:$AL$14,($R$2-1)*12+1)</f>
        <v>10452</v>
      </c>
      <c r="I9" s="38" t="n">
        <f aca="false">INDEX(Monthly!$C$14:$AL$14,($R$2-1)*12+2)</f>
        <v>12194</v>
      </c>
      <c r="J9" s="38" t="n">
        <f aca="false">INDEX(Monthly!$C$14:$AL$14,($R$2-1)*12+3)</f>
        <v>13936</v>
      </c>
      <c r="K9" s="38" t="n">
        <f aca="false">INDEX(Monthly!$C$14:$AL$14,($R$2-1)*12+4)</f>
        <v>15678</v>
      </c>
      <c r="L9" s="38" t="n">
        <f aca="false">INDEX(Monthly!$C$14:$AL$14,($R$2-1)*12+5)</f>
        <v>17420</v>
      </c>
      <c r="M9" s="38" t="n">
        <f aca="false">INDEX(Monthly!$C$14:$AL$14,($R$2-1)*12+6)</f>
        <v>19162</v>
      </c>
      <c r="N9" s="38" t="n">
        <f aca="false">INDEX(Monthly!$C$14:$AL$14,($R$2-1)*12+7)</f>
        <v>20904</v>
      </c>
      <c r="O9" s="38" t="n">
        <f aca="false">INDEX(Monthly!$C$14:$AL$14,($R$2-1)*12+8)</f>
        <v>20904</v>
      </c>
      <c r="P9" s="38" t="n">
        <f aca="false">INDEX(Monthly!$C$14:$AL$14,($R$2-1)*12+9)</f>
        <v>20904</v>
      </c>
      <c r="Q9" s="38" t="n">
        <f aca="false">INDEX(Monthly!$C$14:$AL$14,($R$2-1)*12+10)</f>
        <v>20904</v>
      </c>
      <c r="R9" s="38" t="n">
        <f aca="false">INDEX(Monthly!$C$14:$AL$14,($R$2-1)*12+11)</f>
        <v>20904</v>
      </c>
      <c r="S9" s="38" t="n">
        <f aca="false">INDEX(Monthly!$C$14:$AL$14,($R$2-1)*12+12)</f>
        <v>20904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0.67</v>
      </c>
      <c r="C10" s="40" t="n">
        <f aca="false">'P&amp;L'!C8</f>
        <v>0.67</v>
      </c>
      <c r="D10" s="40" t="n">
        <f aca="false">'P&amp;L'!D8</f>
        <v>0.67</v>
      </c>
      <c r="H10" s="40" t="n">
        <f aca="false">IF(H7=0,0,H9/H7)</f>
        <v>0.67</v>
      </c>
      <c r="I10" s="40" t="n">
        <f aca="false">IF(I7=0,0,I9/I7)</f>
        <v>0.67</v>
      </c>
      <c r="J10" s="40" t="n">
        <f aca="false">IF(J7=0,0,J9/J7)</f>
        <v>0.67</v>
      </c>
      <c r="K10" s="40" t="n">
        <f aca="false">IF(K7=0,0,K9/K7)</f>
        <v>0.67</v>
      </c>
      <c r="L10" s="40" t="n">
        <f aca="false">IF(L7=0,0,L9/L7)</f>
        <v>0.67</v>
      </c>
      <c r="M10" s="40" t="n">
        <f aca="false">IF(M7=0,0,M9/M7)</f>
        <v>0.67</v>
      </c>
      <c r="N10" s="40" t="n">
        <f aca="false">IF(N7=0,0,N9/N7)</f>
        <v>0.67</v>
      </c>
      <c r="O10" s="40" t="n">
        <f aca="false">IF(O7=0,0,O9/O7)</f>
        <v>0.67</v>
      </c>
      <c r="P10" s="40" t="n">
        <f aca="false">IF(P7=0,0,P9/P7)</f>
        <v>0.67</v>
      </c>
      <c r="Q10" s="40" t="n">
        <f aca="false">IF(Q7=0,0,Q9/Q7)</f>
        <v>0.67</v>
      </c>
      <c r="R10" s="40" t="n">
        <f aca="false">IF(R7=0,0,R9/R7)</f>
        <v>0.67</v>
      </c>
      <c r="S10" s="40" t="n">
        <f aca="false">IF(S7=0,0,S9/S7)</f>
        <v>0.67</v>
      </c>
    </row>
    <row r="11" customFormat="false" ht="15" hidden="false" customHeight="false" outlineLevel="0" collapsed="false">
      <c r="A11" s="50" t="s">
        <v>75</v>
      </c>
      <c r="B11" s="36" t="n">
        <f aca="false">'P&amp;L'!B13</f>
        <v>-213034</v>
      </c>
      <c r="C11" s="36" t="n">
        <f aca="false">'P&amp;L'!C13</f>
        <v>-219466.2976</v>
      </c>
      <c r="D11" s="36" t="n">
        <f aca="false">'P&amp;L'!D13</f>
        <v>-224468.14595968</v>
      </c>
      <c r="H11" s="36" t="n">
        <f aca="false">INDEX(Monthly!$C$21:$AL$21,($R$2-1)*12+1)</f>
        <v>-17421.3333333333</v>
      </c>
      <c r="I11" s="36" t="n">
        <f aca="false">INDEX(Monthly!$C$21:$AL$21,($R$2-1)*12+2)</f>
        <v>-17499.3333333333</v>
      </c>
      <c r="J11" s="36" t="n">
        <f aca="false">INDEX(Monthly!$C$21:$AL$21,($R$2-1)*12+3)</f>
        <v>-17577.3333333333</v>
      </c>
      <c r="K11" s="36" t="n">
        <f aca="false">INDEX(Monthly!$C$21:$AL$21,($R$2-1)*12+4)</f>
        <v>-17655.3333333333</v>
      </c>
      <c r="L11" s="36" t="n">
        <f aca="false">INDEX(Monthly!$C$21:$AL$21,($R$2-1)*12+5)</f>
        <v>-17733.3333333333</v>
      </c>
      <c r="M11" s="36" t="n">
        <f aca="false">INDEX(Monthly!$C$21:$AL$21,($R$2-1)*12+6)</f>
        <v>-17811.3333333333</v>
      </c>
      <c r="N11" s="36" t="n">
        <f aca="false">INDEX(Monthly!$C$21:$AL$21,($R$2-1)*12+7)</f>
        <v>-17889.3333333333</v>
      </c>
      <c r="O11" s="36" t="n">
        <f aca="false">INDEX(Monthly!$C$21:$AL$21,($R$2-1)*12+8)</f>
        <v>-17889.3333333333</v>
      </c>
      <c r="P11" s="36" t="n">
        <f aca="false">INDEX(Monthly!$C$21:$AL$21,($R$2-1)*12+9)</f>
        <v>-17889.3333333333</v>
      </c>
      <c r="Q11" s="36" t="n">
        <f aca="false">INDEX(Monthly!$C$21:$AL$21,($R$2-1)*12+10)</f>
        <v>-17889.3333333333</v>
      </c>
      <c r="R11" s="36" t="n">
        <f aca="false">INDEX(Monthly!$C$21:$AL$21,($R$2-1)*12+11)</f>
        <v>-17889.3333333333</v>
      </c>
      <c r="S11" s="36" t="n">
        <f aca="false">INDEX(Monthly!$C$21:$AL$21,($R$2-1)*12+12)</f>
        <v>-17889.3333333333</v>
      </c>
    </row>
    <row r="12" customFormat="false" ht="15" hidden="false" customHeight="false" outlineLevel="0" collapsed="false">
      <c r="A12" s="37" t="s">
        <v>48</v>
      </c>
      <c r="B12" s="38" t="n">
        <f aca="false">'P&amp;L'!B14</f>
        <v>1231.99999999997</v>
      </c>
      <c r="C12" s="38" t="n">
        <f aca="false">'P&amp;L'!C14</f>
        <v>54409.5488</v>
      </c>
      <c r="D12" s="38" t="n">
        <f aca="false">'P&amp;L'!D14</f>
        <v>74549.5031398401</v>
      </c>
      <c r="E12" s="37"/>
      <c r="F12" s="37"/>
      <c r="H12" s="38" t="n">
        <f aca="false">INDEX(Monthly!$C$22:$AL$22,($R$2-1)*12+1)</f>
        <v>-6969.33333333334</v>
      </c>
      <c r="I12" s="38" t="n">
        <f aca="false">INDEX(Monthly!$C$22:$AL$22,($R$2-1)*12+2)</f>
        <v>-5305.33333333333</v>
      </c>
      <c r="J12" s="38" t="n">
        <f aca="false">INDEX(Monthly!$C$22:$AL$22,($R$2-1)*12+3)</f>
        <v>-3641.33333333334</v>
      </c>
      <c r="K12" s="38" t="n">
        <f aca="false">INDEX(Monthly!$C$22:$AL$22,($R$2-1)*12+4)</f>
        <v>-1977.33333333334</v>
      </c>
      <c r="L12" s="38" t="n">
        <f aca="false">INDEX(Monthly!$C$22:$AL$22,($R$2-1)*12+5)</f>
        <v>-313.333333333339</v>
      </c>
      <c r="M12" s="38" t="n">
        <f aca="false">INDEX(Monthly!$C$22:$AL$22,($R$2-1)*12+6)</f>
        <v>1350.66666666666</v>
      </c>
      <c r="N12" s="38" t="n">
        <f aca="false">INDEX(Monthly!$C$22:$AL$22,($R$2-1)*12+7)</f>
        <v>3014.66666666666</v>
      </c>
      <c r="O12" s="38" t="n">
        <f aca="false">INDEX(Monthly!$C$22:$AL$22,($R$2-1)*12+8)</f>
        <v>3014.66666666666</v>
      </c>
      <c r="P12" s="38" t="n">
        <f aca="false">INDEX(Monthly!$C$22:$AL$22,($R$2-1)*12+9)</f>
        <v>3014.66666666666</v>
      </c>
      <c r="Q12" s="38" t="n">
        <f aca="false">INDEX(Monthly!$C$22:$AL$22,($R$2-1)*12+10)</f>
        <v>3014.66666666666</v>
      </c>
      <c r="R12" s="38" t="n">
        <f aca="false">INDEX(Monthly!$C$22:$AL$22,($R$2-1)*12+11)</f>
        <v>3014.66666666666</v>
      </c>
      <c r="S12" s="38" t="n">
        <f aca="false">INDEX(Monthly!$C$22:$AL$22,($R$2-1)*12+12)</f>
        <v>3014.66666666666</v>
      </c>
    </row>
    <row r="13" customFormat="false" ht="15" hidden="false" customHeight="false" outlineLevel="0" collapsed="false">
      <c r="A13" s="39" t="s">
        <v>49</v>
      </c>
      <c r="B13" s="40" t="n">
        <f aca="false">'P&amp;L'!B15</f>
        <v>0.00385240775484667</v>
      </c>
      <c r="C13" s="40" t="n">
        <f aca="false">'P&amp;L'!C15</f>
        <v>0.133105559234887</v>
      </c>
      <c r="D13" s="40" t="n">
        <f aca="false">'P&amp;L'!D15</f>
        <v>0.167040866163284</v>
      </c>
      <c r="H13" s="40" t="n">
        <f aca="false">IF(H7=0,0,H12/H7)</f>
        <v>-0.446752136752137</v>
      </c>
      <c r="I13" s="40" t="n">
        <f aca="false">IF(I7=0,0,I12/I7)</f>
        <v>-0.291501831501831</v>
      </c>
      <c r="J13" s="40" t="n">
        <f aca="false">IF(J7=0,0,J12/J7)</f>
        <v>-0.175064102564103</v>
      </c>
      <c r="K13" s="40" t="n">
        <f aca="false">IF(K7=0,0,K12/K7)</f>
        <v>-0.0845014245014246</v>
      </c>
      <c r="L13" s="40" t="n">
        <f aca="false">IF(L7=0,0,L12/L7)</f>
        <v>-0.0120512820512823</v>
      </c>
      <c r="M13" s="40" t="n">
        <f aca="false">IF(M7=0,0,M12/M7)</f>
        <v>0.0472261072261071</v>
      </c>
      <c r="N13" s="40" t="n">
        <f aca="false">IF(N7=0,0,N12/N7)</f>
        <v>0.0966239316239315</v>
      </c>
      <c r="O13" s="40" t="n">
        <f aca="false">IF(O7=0,0,O12/O7)</f>
        <v>0.0966239316239315</v>
      </c>
      <c r="P13" s="40" t="n">
        <f aca="false">IF(P7=0,0,P12/P7)</f>
        <v>0.0966239316239315</v>
      </c>
      <c r="Q13" s="40" t="n">
        <f aca="false">IF(Q7=0,0,Q12/Q7)</f>
        <v>0.0966239316239315</v>
      </c>
      <c r="R13" s="40" t="n">
        <f aca="false">IF(R7=0,0,R12/R7)</f>
        <v>0.0966239316239315</v>
      </c>
      <c r="S13" s="40" t="n">
        <f aca="false">IF(S7=0,0,S12/S7)</f>
        <v>0.0966239316239315</v>
      </c>
    </row>
    <row r="14" customFormat="false" ht="15" hidden="false" customHeight="false" outlineLevel="0" collapsed="false">
      <c r="A14" s="50" t="s">
        <v>76</v>
      </c>
      <c r="B14" s="36" t="n">
        <f aca="false">'P&amp;L'!B16</f>
        <v>-22857.1428571429</v>
      </c>
      <c r="C14" s="36" t="n">
        <f aca="false">'P&amp;L'!C16</f>
        <v>-22857.1428571429</v>
      </c>
      <c r="D14" s="36" t="n">
        <f aca="false">'P&amp;L'!D16</f>
        <v>-22857.1428571429</v>
      </c>
      <c r="H14" s="36" t="n">
        <f aca="false">INDEX(Monthly!$C$36:$AL$36,($R$2-1)*12+1)</f>
        <v>-1904.7619047619</v>
      </c>
      <c r="I14" s="36" t="n">
        <f aca="false">INDEX(Monthly!$C$36:$AL$36,($R$2-1)*12+2)</f>
        <v>-1904.7619047619</v>
      </c>
      <c r="J14" s="36" t="n">
        <f aca="false">INDEX(Monthly!$C$36:$AL$36,($R$2-1)*12+3)</f>
        <v>-1904.7619047619</v>
      </c>
      <c r="K14" s="36" t="n">
        <f aca="false">INDEX(Monthly!$C$36:$AL$36,($R$2-1)*12+4)</f>
        <v>-1904.7619047619</v>
      </c>
      <c r="L14" s="36" t="n">
        <f aca="false">INDEX(Monthly!$C$36:$AL$36,($R$2-1)*12+5)</f>
        <v>-1904.7619047619</v>
      </c>
      <c r="M14" s="36" t="n">
        <f aca="false">INDEX(Monthly!$C$36:$AL$36,($R$2-1)*12+6)</f>
        <v>-1904.7619047619</v>
      </c>
      <c r="N14" s="36" t="n">
        <f aca="false">INDEX(Monthly!$C$36:$AL$36,($R$2-1)*12+7)</f>
        <v>-1904.7619047619</v>
      </c>
      <c r="O14" s="36" t="n">
        <f aca="false">INDEX(Monthly!$C$36:$AL$36,($R$2-1)*12+8)</f>
        <v>-1904.7619047619</v>
      </c>
      <c r="P14" s="36" t="n">
        <f aca="false">INDEX(Monthly!$C$36:$AL$36,($R$2-1)*12+9)</f>
        <v>-1904.7619047619</v>
      </c>
      <c r="Q14" s="36" t="n">
        <f aca="false">INDEX(Monthly!$C$36:$AL$36,($R$2-1)*12+10)</f>
        <v>-1904.7619047619</v>
      </c>
      <c r="R14" s="36" t="n">
        <f aca="false">INDEX(Monthly!$C$36:$AL$36,($R$2-1)*12+11)</f>
        <v>-1904.7619047619</v>
      </c>
      <c r="S14" s="36" t="n">
        <f aca="false">INDEX(Monthly!$C$36:$AL$36,($R$2-1)*12+12)</f>
        <v>-1904.7619047619</v>
      </c>
    </row>
    <row r="15" customFormat="false" ht="15" hidden="false" customHeight="false" outlineLevel="0" collapsed="false">
      <c r="A15" s="37" t="s">
        <v>77</v>
      </c>
      <c r="B15" s="38" t="n">
        <f aca="false">'P&amp;L'!B17</f>
        <v>-21625.1428571429</v>
      </c>
      <c r="C15" s="38" t="n">
        <f aca="false">'P&amp;L'!C17</f>
        <v>31552.4059428572</v>
      </c>
      <c r="D15" s="38" t="n">
        <f aca="false">'P&amp;L'!D17</f>
        <v>51692.3602826972</v>
      </c>
      <c r="E15" s="37"/>
      <c r="F15" s="37"/>
      <c r="H15" s="38" t="n">
        <f aca="false">INDEX(Monthly!$C$25:$AL$25,($R$2-1)*12+1)</f>
        <v>-8874.09523809524</v>
      </c>
      <c r="I15" s="38" t="n">
        <f aca="false">INDEX(Monthly!$C$25:$AL$25,($R$2-1)*12+2)</f>
        <v>-7210.09523809524</v>
      </c>
      <c r="J15" s="38" t="n">
        <f aca="false">INDEX(Monthly!$C$25:$AL$25,($R$2-1)*12+3)</f>
        <v>-5546.09523809524</v>
      </c>
      <c r="K15" s="38" t="n">
        <f aca="false">INDEX(Monthly!$C$25:$AL$25,($R$2-1)*12+4)</f>
        <v>-3882.09523809524</v>
      </c>
      <c r="L15" s="38" t="n">
        <f aca="false">INDEX(Monthly!$C$25:$AL$25,($R$2-1)*12+5)</f>
        <v>-2218.09523809524</v>
      </c>
      <c r="M15" s="38" t="n">
        <f aca="false">INDEX(Monthly!$C$25:$AL$25,($R$2-1)*12+6)</f>
        <v>-554.095238095241</v>
      </c>
      <c r="N15" s="38" t="n">
        <f aca="false">INDEX(Monthly!$C$25:$AL$25,($R$2-1)*12+7)</f>
        <v>1109.90476190476</v>
      </c>
      <c r="O15" s="38" t="n">
        <f aca="false">INDEX(Monthly!$C$25:$AL$25,($R$2-1)*12+8)</f>
        <v>1109.90476190476</v>
      </c>
      <c r="P15" s="38" t="n">
        <f aca="false">INDEX(Monthly!$C$25:$AL$25,($R$2-1)*12+9)</f>
        <v>1109.90476190476</v>
      </c>
      <c r="Q15" s="38" t="n">
        <f aca="false">INDEX(Monthly!$C$25:$AL$25,($R$2-1)*12+10)</f>
        <v>1109.90476190476</v>
      </c>
      <c r="R15" s="38" t="n">
        <f aca="false">INDEX(Monthly!$C$25:$AL$25,($R$2-1)*12+11)</f>
        <v>1109.90476190476</v>
      </c>
      <c r="S15" s="38" t="n">
        <f aca="false">INDEX(Monthly!$C$25:$AL$25,($R$2-1)*12+12)</f>
        <v>1109.90476190476</v>
      </c>
    </row>
    <row r="16" customFormat="false" ht="15" hidden="false" customHeight="false" outlineLevel="0" collapsed="false">
      <c r="A16" s="50" t="s">
        <v>78</v>
      </c>
      <c r="B16" s="36" t="n">
        <f aca="false">'P&amp;L'!B18</f>
        <v>-5862.22222222222</v>
      </c>
      <c r="C16" s="36" t="n">
        <f aca="false">'P&amp;L'!C18</f>
        <v>-4586.66666666667</v>
      </c>
      <c r="D16" s="36" t="n">
        <f aca="false">'P&amp;L'!D18</f>
        <v>-3306.66666666667</v>
      </c>
      <c r="H16" s="36" t="n">
        <f aca="false">INDEX(Monthly!$C$26:$AL$26,($R$2-1)*12+1)</f>
        <v>-533.333333333333</v>
      </c>
      <c r="I16" s="36" t="n">
        <f aca="false">INDEX(Monthly!$C$26:$AL$26,($R$2-1)*12+2)</f>
        <v>-528.888888888889</v>
      </c>
      <c r="J16" s="36" t="n">
        <f aca="false">INDEX(Monthly!$C$26:$AL$26,($R$2-1)*12+3)</f>
        <v>-520</v>
      </c>
      <c r="K16" s="36" t="n">
        <f aca="false">INDEX(Monthly!$C$26:$AL$26,($R$2-1)*12+4)</f>
        <v>-511.111111111111</v>
      </c>
      <c r="L16" s="36" t="n">
        <f aca="false">INDEX(Monthly!$C$26:$AL$26,($R$2-1)*12+5)</f>
        <v>-502.222222222222</v>
      </c>
      <c r="M16" s="36" t="n">
        <f aca="false">INDEX(Monthly!$C$26:$AL$26,($R$2-1)*12+6)</f>
        <v>-493.333333333334</v>
      </c>
      <c r="N16" s="36" t="n">
        <f aca="false">INDEX(Monthly!$C$26:$AL$26,($R$2-1)*12+7)</f>
        <v>-484.444444444445</v>
      </c>
      <c r="O16" s="36" t="n">
        <f aca="false">INDEX(Monthly!$C$26:$AL$26,($R$2-1)*12+8)</f>
        <v>-475.555555555556</v>
      </c>
      <c r="P16" s="36" t="n">
        <f aca="false">INDEX(Monthly!$C$26:$AL$26,($R$2-1)*12+9)</f>
        <v>-466.666666666667</v>
      </c>
      <c r="Q16" s="36" t="n">
        <f aca="false">INDEX(Monthly!$C$26:$AL$26,($R$2-1)*12+10)</f>
        <v>-457.777777777778</v>
      </c>
      <c r="R16" s="36" t="n">
        <f aca="false">INDEX(Monthly!$C$26:$AL$26,($R$2-1)*12+11)</f>
        <v>-448.888888888889</v>
      </c>
      <c r="S16" s="36" t="n">
        <f aca="false">INDEX(Monthly!$C$26:$AL$26,($R$2-1)*12+12)</f>
        <v>-440</v>
      </c>
    </row>
    <row r="17" customFormat="false" ht="15" hidden="false" customHeight="false" outlineLevel="0" collapsed="false">
      <c r="A17" s="50" t="s">
        <v>79</v>
      </c>
      <c r="B17" s="36" t="n">
        <f aca="false">'P&amp;L'!B19</f>
        <v>-27487.3650793651</v>
      </c>
      <c r="C17" s="36" t="n">
        <f aca="false">'P&amp;L'!C19</f>
        <v>26965.7392761905</v>
      </c>
      <c r="D17" s="36" t="n">
        <f aca="false">'P&amp;L'!D19</f>
        <v>48385.6936160305</v>
      </c>
      <c r="H17" s="36" t="n">
        <f aca="false">INDEX(Monthly!$C$27:$AL$27,($R$2-1)*12+1)</f>
        <v>-9407.42857142857</v>
      </c>
      <c r="I17" s="36" t="n">
        <f aca="false">INDEX(Monthly!$C$27:$AL$27,($R$2-1)*12+2)</f>
        <v>-7738.98412698413</v>
      </c>
      <c r="J17" s="36" t="n">
        <f aca="false">INDEX(Monthly!$C$27:$AL$27,($R$2-1)*12+3)</f>
        <v>-6066.09523809524</v>
      </c>
      <c r="K17" s="36" t="n">
        <f aca="false">INDEX(Monthly!$C$27:$AL$27,($R$2-1)*12+4)</f>
        <v>-4393.20634920635</v>
      </c>
      <c r="L17" s="36" t="n">
        <f aca="false">INDEX(Monthly!$C$27:$AL$27,($R$2-1)*12+5)</f>
        <v>-2720.31746031747</v>
      </c>
      <c r="M17" s="36" t="n">
        <f aca="false">INDEX(Monthly!$C$27:$AL$27,($R$2-1)*12+6)</f>
        <v>-1047.42857142857</v>
      </c>
      <c r="N17" s="36" t="n">
        <f aca="false">INDEX(Monthly!$C$27:$AL$27,($R$2-1)*12+7)</f>
        <v>625.460317460315</v>
      </c>
      <c r="O17" s="36" t="n">
        <f aca="false">INDEX(Monthly!$C$27:$AL$27,($R$2-1)*12+8)</f>
        <v>634.349206349204</v>
      </c>
      <c r="P17" s="36" t="n">
        <f aca="false">INDEX(Monthly!$C$27:$AL$27,($R$2-1)*12+9)</f>
        <v>643.238095238093</v>
      </c>
      <c r="Q17" s="36" t="n">
        <f aca="false">INDEX(Monthly!$C$27:$AL$27,($R$2-1)*12+10)</f>
        <v>652.126984126981</v>
      </c>
      <c r="R17" s="36" t="n">
        <f aca="false">INDEX(Monthly!$C$27:$AL$27,($R$2-1)*12+11)</f>
        <v>661.01587301587</v>
      </c>
      <c r="S17" s="36" t="n">
        <f aca="false">INDEX(Monthly!$C$27:$AL$27,($R$2-1)*12+12)</f>
        <v>669.904761904759</v>
      </c>
    </row>
    <row r="18" customFormat="false" ht="15" hidden="false" customHeight="false" outlineLevel="0" collapsed="false">
      <c r="A18" s="50" t="s">
        <v>80</v>
      </c>
      <c r="B18" s="36" t="n">
        <f aca="false">'P&amp;L'!B20</f>
        <v>0</v>
      </c>
      <c r="C18" s="36" t="n">
        <f aca="false">'P&amp;L'!C20</f>
        <v>0</v>
      </c>
      <c r="D18" s="36" t="n">
        <f aca="false">'P&amp;L'!D20</f>
        <v>-10051.4542406997</v>
      </c>
      <c r="H18" s="36" t="n">
        <f aca="false">INDEX(Monthly!$C$30:$AL$30,($R$2-1)*12+1)</f>
        <v>-0</v>
      </c>
      <c r="I18" s="36" t="n">
        <f aca="false">INDEX(Monthly!$C$30:$AL$30,($R$2-1)*12+2)</f>
        <v>-0</v>
      </c>
      <c r="J18" s="36" t="n">
        <f aca="false">INDEX(Monthly!$C$30:$AL$30,($R$2-1)*12+3)</f>
        <v>-0</v>
      </c>
      <c r="K18" s="36" t="n">
        <f aca="false">INDEX(Monthly!$C$30:$AL$30,($R$2-1)*12+4)</f>
        <v>-0</v>
      </c>
      <c r="L18" s="36" t="n">
        <f aca="false">INDEX(Monthly!$C$30:$AL$30,($R$2-1)*12+5)</f>
        <v>-0</v>
      </c>
      <c r="M18" s="36" t="n">
        <f aca="false">INDEX(Monthly!$C$30:$AL$30,($R$2-1)*12+6)</f>
        <v>-0</v>
      </c>
      <c r="N18" s="36" t="n">
        <f aca="false">INDEX(Monthly!$C$30:$AL$30,($R$2-1)*12+7)</f>
        <v>-0</v>
      </c>
      <c r="O18" s="36" t="n">
        <f aca="false">INDEX(Monthly!$C$30:$AL$30,($R$2-1)*12+8)</f>
        <v>-0</v>
      </c>
      <c r="P18" s="36" t="n">
        <f aca="false">INDEX(Monthly!$C$30:$AL$30,($R$2-1)*12+9)</f>
        <v>-0</v>
      </c>
      <c r="Q18" s="36" t="n">
        <f aca="false">INDEX(Monthly!$C$30:$AL$30,($R$2-1)*12+10)</f>
        <v>-0</v>
      </c>
      <c r="R18" s="36" t="n">
        <f aca="false">INDEX(Monthly!$C$30:$AL$30,($R$2-1)*12+11)</f>
        <v>-0</v>
      </c>
      <c r="S18" s="36" t="n">
        <f aca="false">INDEX(Monthly!$C$30:$AL$30,($R$2-1)*12+12)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'P&amp;L'!B21</f>
        <v>-27487.3650793651</v>
      </c>
      <c r="C19" s="42" t="n">
        <f aca="false">'P&amp;L'!C21</f>
        <v>26965.7392761905</v>
      </c>
      <c r="D19" s="42" t="n">
        <f aca="false">'P&amp;L'!D21</f>
        <v>38334.2393753308</v>
      </c>
      <c r="E19" s="41"/>
      <c r="F19" s="41"/>
      <c r="H19" s="42" t="n">
        <f aca="false">INDEX(Monthly!$C$31:$AL$31,($R$2-1)*12+1)</f>
        <v>-9407.42857142857</v>
      </c>
      <c r="I19" s="42" t="n">
        <f aca="false">INDEX(Monthly!$C$31:$AL$31,($R$2-1)*12+2)</f>
        <v>-7738.98412698413</v>
      </c>
      <c r="J19" s="42" t="n">
        <f aca="false">INDEX(Monthly!$C$31:$AL$31,($R$2-1)*12+3)</f>
        <v>-6066.09523809524</v>
      </c>
      <c r="K19" s="42" t="n">
        <f aca="false">INDEX(Monthly!$C$31:$AL$31,($R$2-1)*12+4)</f>
        <v>-4393.20634920635</v>
      </c>
      <c r="L19" s="42" t="n">
        <f aca="false">INDEX(Monthly!$C$31:$AL$31,($R$2-1)*12+5)</f>
        <v>-2720.31746031747</v>
      </c>
      <c r="M19" s="42" t="n">
        <f aca="false">INDEX(Monthly!$C$31:$AL$31,($R$2-1)*12+6)</f>
        <v>-1047.42857142857</v>
      </c>
      <c r="N19" s="42" t="n">
        <f aca="false">INDEX(Monthly!$C$31:$AL$31,($R$2-1)*12+7)</f>
        <v>625.460317460315</v>
      </c>
      <c r="O19" s="42" t="n">
        <f aca="false">INDEX(Monthly!$C$31:$AL$31,($R$2-1)*12+8)</f>
        <v>634.349206349204</v>
      </c>
      <c r="P19" s="42" t="n">
        <f aca="false">INDEX(Monthly!$C$31:$AL$31,($R$2-1)*12+9)</f>
        <v>643.238095238093</v>
      </c>
      <c r="Q19" s="42" t="n">
        <f aca="false">INDEX(Monthly!$C$31:$AL$31,($R$2-1)*12+10)</f>
        <v>652.126984126981</v>
      </c>
      <c r="R19" s="42" t="n">
        <f aca="false">INDEX(Monthly!$C$31:$AL$31,($R$2-1)*12+11)</f>
        <v>661.01587301587</v>
      </c>
      <c r="S19" s="42" t="n">
        <f aca="false">INDEX(Monthly!$C$31:$AL$31,($R$2-1)*12+12)</f>
        <v>669.904761904759</v>
      </c>
    </row>
    <row r="20" customFormat="false" ht="15" hidden="false" customHeight="false" outlineLevel="0" collapsed="false">
      <c r="A20" s="39" t="s">
        <v>51</v>
      </c>
      <c r="B20" s="40" t="n">
        <f aca="false">'P&amp;L'!B22</f>
        <v>-0.0859517357078334</v>
      </c>
      <c r="C20" s="40" t="n">
        <f aca="false">'P&amp;L'!C22</f>
        <v>0.0659680127055105</v>
      </c>
      <c r="D20" s="40" t="n">
        <f aca="false">'P&amp;L'!D22</f>
        <v>0.0858943960626331</v>
      </c>
      <c r="H20" s="40" t="n">
        <f aca="false">IF(H7=0,0,H19/H7)</f>
        <v>-0.603040293040293</v>
      </c>
      <c r="I20" s="40" t="n">
        <f aca="false">IF(I7=0,0,I19/I7)</f>
        <v>-0.425218908076051</v>
      </c>
      <c r="J20" s="40" t="n">
        <f aca="false">IF(J7=0,0,J19/J7)</f>
        <v>-0.291639194139195</v>
      </c>
      <c r="K20" s="40" t="n">
        <f aca="false">IF(K7=0,0,K19/K7)</f>
        <v>-0.187743861077195</v>
      </c>
      <c r="L20" s="40" t="n">
        <f aca="false">IF(L7=0,0,L19/L7)</f>
        <v>-0.104627594627595</v>
      </c>
      <c r="M20" s="40" t="n">
        <f aca="false">IF(M7=0,0,M19/M7)</f>
        <v>-0.0366233766233767</v>
      </c>
      <c r="N20" s="40" t="n">
        <f aca="false">IF(N7=0,0,N19/N7)</f>
        <v>0.020046805046805</v>
      </c>
      <c r="O20" s="40" t="n">
        <f aca="false">IF(O7=0,0,O19/O7)</f>
        <v>0.0203317053317052</v>
      </c>
      <c r="P20" s="40" t="n">
        <f aca="false">IF(P7=0,0,P19/P7)</f>
        <v>0.0206166056166055</v>
      </c>
      <c r="Q20" s="40" t="n">
        <f aca="false">IF(Q7=0,0,Q19/Q7)</f>
        <v>0.0209015059015058</v>
      </c>
      <c r="R20" s="40" t="n">
        <f aca="false">IF(R7=0,0,R19/R7)</f>
        <v>0.0211864061864061</v>
      </c>
      <c r="S20" s="40" t="n">
        <f aca="false">IF(S7=0,0,S19/S7)</f>
        <v>0.0214713064713064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49" t="n">
        <f aca="false">INDEX(Monthly!$C$4:$AL$4,($R$2-1)*12+1)</f>
        <v>1</v>
      </c>
      <c r="I23" s="49" t="n">
        <f aca="false">INDEX(Monthly!$C$4:$AL$4,($R$2-1)*12+2)</f>
        <v>2</v>
      </c>
      <c r="J23" s="49" t="n">
        <f aca="false">INDEX(Monthly!$C$4:$AL$4,($R$2-1)*12+3)</f>
        <v>3</v>
      </c>
      <c r="K23" s="49" t="n">
        <f aca="false">INDEX(Monthly!$C$4:$AL$4,($R$2-1)*12+4)</f>
        <v>4</v>
      </c>
      <c r="L23" s="49" t="n">
        <f aca="false">INDEX(Monthly!$C$4:$AL$4,($R$2-1)*12+5)</f>
        <v>5</v>
      </c>
      <c r="M23" s="49" t="n">
        <f aca="false">INDEX(Monthly!$C$4:$AL$4,($R$2-1)*12+6)</f>
        <v>6</v>
      </c>
      <c r="N23" s="49" t="n">
        <f aca="false">INDEX(Monthly!$C$4:$AL$4,($R$2-1)*12+7)</f>
        <v>7</v>
      </c>
      <c r="O23" s="49" t="n">
        <f aca="false">INDEX(Monthly!$C$4:$AL$4,($R$2-1)*12+8)</f>
        <v>8</v>
      </c>
      <c r="P23" s="49" t="n">
        <f aca="false">INDEX(Monthly!$C$4:$AL$4,($R$2-1)*12+9)</f>
        <v>9</v>
      </c>
      <c r="Q23" s="49" t="n">
        <f aca="false">INDEX(Monthly!$C$4:$AL$4,($R$2-1)*12+10)</f>
        <v>10</v>
      </c>
      <c r="R23" s="49" t="n">
        <f aca="false">INDEX(Monthly!$C$4:$AL$4,($R$2-1)*12+11)</f>
        <v>11</v>
      </c>
      <c r="S23" s="49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-4307.82222222226</v>
      </c>
      <c r="C24" s="38" t="n">
        <f aca="false">'Cash Flow'!C10</f>
        <v>49852.4784533334</v>
      </c>
      <c r="D24" s="38" t="n">
        <f aca="false">'Cash Flow'!D10</f>
        <v>61223.6954946496</v>
      </c>
      <c r="E24" s="37"/>
      <c r="F24" s="37"/>
      <c r="H24" s="38" t="n">
        <f aca="false">INDEX(Monthly!$C$55:$AL$55,($R$2-1)*12+1)</f>
        <v>-7341.46666666667</v>
      </c>
      <c r="I24" s="38" t="n">
        <f aca="false">INDEX(Monthly!$C$55:$AL$55,($R$2-1)*12+2)</f>
        <v>-5807.35555555556</v>
      </c>
      <c r="J24" s="38" t="n">
        <f aca="false">INDEX(Monthly!$C$55:$AL$55,($R$2-1)*12+3)</f>
        <v>-4134.46666666667</v>
      </c>
      <c r="K24" s="38" t="n">
        <f aca="false">INDEX(Monthly!$C$55:$AL$55,($R$2-1)*12+4)</f>
        <v>-2461.57777777778</v>
      </c>
      <c r="L24" s="38" t="n">
        <f aca="false">INDEX(Monthly!$C$55:$AL$55,($R$2-1)*12+5)</f>
        <v>-788.688888888894</v>
      </c>
      <c r="M24" s="38" t="n">
        <f aca="false">INDEX(Monthly!$C$55:$AL$55,($R$2-1)*12+6)</f>
        <v>884.199999999997</v>
      </c>
      <c r="N24" s="38" t="n">
        <f aca="false">INDEX(Monthly!$C$55:$AL$55,($R$2-1)*12+7)</f>
        <v>2557.08888888889</v>
      </c>
      <c r="O24" s="38" t="n">
        <f aca="false">INDEX(Monthly!$C$55:$AL$55,($R$2-1)*12+8)</f>
        <v>2539.11111111111</v>
      </c>
      <c r="P24" s="38" t="n">
        <f aca="false">INDEX(Monthly!$C$55:$AL$55,($R$2-1)*12+9)</f>
        <v>2548</v>
      </c>
      <c r="Q24" s="38" t="n">
        <f aca="false">INDEX(Monthly!$C$55:$AL$55,($R$2-1)*12+10)</f>
        <v>2556.88888888889</v>
      </c>
      <c r="R24" s="38" t="n">
        <f aca="false">INDEX(Monthly!$C$55:$AL$55,($R$2-1)*12+11)</f>
        <v>2565.77777777778</v>
      </c>
      <c r="S24" s="38" t="n">
        <f aca="false">INDEX(Monthly!$C$55:$AL$55,($R$2-1)*12+12)</f>
        <v>2574.66666666666</v>
      </c>
    </row>
    <row r="25" customFormat="false" ht="15" hidden="false" customHeight="false" outlineLevel="0" collapsed="false">
      <c r="A25" s="50" t="s">
        <v>82</v>
      </c>
      <c r="B25" s="36" t="n">
        <f aca="false">'Cash Flow'!B11</f>
        <v>-160000</v>
      </c>
      <c r="C25" s="36" t="n">
        <f aca="false">'Cash Flow'!C11</f>
        <v>0</v>
      </c>
      <c r="D25" s="36" t="n">
        <f aca="false">'Cash Flow'!D11</f>
        <v>0</v>
      </c>
      <c r="H25" s="36" t="n">
        <f aca="false">INDEX(Monthly!$C$56:$AL$56,($R$2-1)*12+1)</f>
        <v>-160000</v>
      </c>
      <c r="I25" s="36" t="n">
        <f aca="false">INDEX(Monthly!$C$56:$AL$56,($R$2-1)*12+2)</f>
        <v>-0</v>
      </c>
      <c r="J25" s="36" t="n">
        <f aca="false">INDEX(Monthly!$C$56:$AL$56,($R$2-1)*12+3)</f>
        <v>-0</v>
      </c>
      <c r="K25" s="36" t="n">
        <f aca="false">INDEX(Monthly!$C$56:$AL$56,($R$2-1)*12+4)</f>
        <v>-0</v>
      </c>
      <c r="L25" s="36" t="n">
        <f aca="false">INDEX(Monthly!$C$56:$AL$56,($R$2-1)*12+5)</f>
        <v>-0</v>
      </c>
      <c r="M25" s="36" t="n">
        <f aca="false">INDEX(Monthly!$C$56:$AL$56,($R$2-1)*12+6)</f>
        <v>-0</v>
      </c>
      <c r="N25" s="36" t="n">
        <f aca="false">INDEX(Monthly!$C$56:$AL$56,($R$2-1)*12+7)</f>
        <v>-0</v>
      </c>
      <c r="O25" s="36" t="n">
        <f aca="false">INDEX(Monthly!$C$56:$AL$56,($R$2-1)*12+8)</f>
        <v>-0</v>
      </c>
      <c r="P25" s="36" t="n">
        <f aca="false">INDEX(Monthly!$C$56:$AL$56,($R$2-1)*12+9)</f>
        <v>-0</v>
      </c>
      <c r="Q25" s="36" t="n">
        <f aca="false">INDEX(Monthly!$C$56:$AL$56,($R$2-1)*12+10)</f>
        <v>-0</v>
      </c>
      <c r="R25" s="36" t="n">
        <f aca="false">INDEX(Monthly!$C$56:$AL$56,($R$2-1)*12+11)</f>
        <v>-0</v>
      </c>
      <c r="S25" s="36" t="n">
        <f aca="false">INDEX(Monthly!$C$56:$AL$56,($R$2-1)*12+12)</f>
        <v>-0</v>
      </c>
    </row>
    <row r="26" customFormat="false" ht="15" hidden="false" customHeight="false" outlineLevel="0" collapsed="false">
      <c r="A26" s="50" t="s">
        <v>62</v>
      </c>
      <c r="B26" s="36" t="n">
        <f aca="false">'Cash Flow'!B12</f>
        <v>140000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INDEX(Monthly!$C$57:$AL$57,($R$2-1)*12+1)</f>
        <v>140000</v>
      </c>
      <c r="I26" s="36" t="n">
        <f aca="false">INDEX(Monthly!$C$57:$AL$57,($R$2-1)*12+2)</f>
        <v>0</v>
      </c>
      <c r="J26" s="36" t="n">
        <f aca="false">INDEX(Monthly!$C$57:$AL$57,($R$2-1)*12+3)</f>
        <v>0</v>
      </c>
      <c r="K26" s="36" t="n">
        <f aca="false">INDEX(Monthly!$C$57:$AL$57,($R$2-1)*12+4)</f>
        <v>0</v>
      </c>
      <c r="L26" s="36" t="n">
        <f aca="false">INDEX(Monthly!$C$57:$AL$57,($R$2-1)*12+5)</f>
        <v>0</v>
      </c>
      <c r="M26" s="36" t="n">
        <f aca="false">INDEX(Monthly!$C$57:$AL$57,($R$2-1)*12+6)</f>
        <v>0</v>
      </c>
      <c r="N26" s="36" t="n">
        <f aca="false">INDEX(Monthly!$C$57:$AL$57,($R$2-1)*12+7)</f>
        <v>0</v>
      </c>
      <c r="O26" s="36" t="n">
        <f aca="false">INDEX(Monthly!$C$57:$AL$57,($R$2-1)*12+8)</f>
        <v>0</v>
      </c>
      <c r="P26" s="36" t="n">
        <f aca="false">INDEX(Monthly!$C$57:$AL$57,($R$2-1)*12+9)</f>
        <v>0</v>
      </c>
      <c r="Q26" s="36" t="n">
        <f aca="false">INDEX(Monthly!$C$57:$AL$57,($R$2-1)*12+10)</f>
        <v>0</v>
      </c>
      <c r="R26" s="36" t="n">
        <f aca="false">INDEX(Monthly!$C$57:$AL$57,($R$2-1)*12+11)</f>
        <v>0</v>
      </c>
      <c r="S26" s="36" t="n">
        <f aca="false">INDEX(Monthly!$C$57:$AL$57,($R$2-1)*12+12)</f>
        <v>0</v>
      </c>
    </row>
    <row r="27" customFormat="false" ht="15" hidden="false" customHeight="false" outlineLevel="0" collapsed="false">
      <c r="A27" s="50" t="s">
        <v>83</v>
      </c>
      <c r="B27" s="36" t="n">
        <f aca="false">'Cash Flow'!B13</f>
        <v>80000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INDEX(Monthly!$C$42:$AL$42,($R$2-1)*12+1)</f>
        <v>80000</v>
      </c>
      <c r="I27" s="36" t="n">
        <f aca="false">INDEX(Monthly!$C$42:$AL$42,($R$2-1)*12+2)</f>
        <v>0</v>
      </c>
      <c r="J27" s="36" t="n">
        <f aca="false">INDEX(Monthly!$C$42:$AL$42,($R$2-1)*12+3)</f>
        <v>0</v>
      </c>
      <c r="K27" s="36" t="n">
        <f aca="false">INDEX(Monthly!$C$42:$AL$42,($R$2-1)*12+4)</f>
        <v>0</v>
      </c>
      <c r="L27" s="36" t="n">
        <f aca="false">INDEX(Monthly!$C$42:$AL$42,($R$2-1)*12+5)</f>
        <v>0</v>
      </c>
      <c r="M27" s="36" t="n">
        <f aca="false">INDEX(Monthly!$C$42:$AL$42,($R$2-1)*12+6)</f>
        <v>0</v>
      </c>
      <c r="N27" s="36" t="n">
        <f aca="false">INDEX(Monthly!$C$42:$AL$42,($R$2-1)*12+7)</f>
        <v>0</v>
      </c>
      <c r="O27" s="36" t="n">
        <f aca="false">INDEX(Monthly!$C$42:$AL$42,($R$2-1)*12+8)</f>
        <v>0</v>
      </c>
      <c r="P27" s="36" t="n">
        <f aca="false">INDEX(Monthly!$C$42:$AL$42,($R$2-1)*12+9)</f>
        <v>0</v>
      </c>
      <c r="Q27" s="36" t="n">
        <f aca="false">INDEX(Monthly!$C$42:$AL$42,($R$2-1)*12+10)</f>
        <v>0</v>
      </c>
      <c r="R27" s="36" t="n">
        <f aca="false">INDEX(Monthly!$C$42:$AL$42,($R$2-1)*12+11)</f>
        <v>0</v>
      </c>
      <c r="S27" s="36" t="n">
        <f aca="false">INDEX(Monthly!$C$42:$AL$42,($R$2-1)*12+12)</f>
        <v>0</v>
      </c>
    </row>
    <row r="28" customFormat="false" ht="15" hidden="false" customHeight="false" outlineLevel="0" collapsed="false">
      <c r="A28" s="50" t="s">
        <v>84</v>
      </c>
      <c r="B28" s="36" t="n">
        <f aca="false">'Cash Flow'!B14</f>
        <v>-14666.6666666667</v>
      </c>
      <c r="C28" s="36" t="n">
        <f aca="false">'Cash Flow'!C14</f>
        <v>-16000</v>
      </c>
      <c r="D28" s="36" t="n">
        <f aca="false">'Cash Flow'!D14</f>
        <v>-16000</v>
      </c>
      <c r="H28" s="36" t="n">
        <f aca="false">INDEX(Monthly!$C$43:$AL$43,($R$2-1)*12+1)</f>
        <v>-0</v>
      </c>
      <c r="I28" s="36" t="n">
        <f aca="false">INDEX(Monthly!$C$43:$AL$43,($R$2-1)*12+2)</f>
        <v>-1333.33333333333</v>
      </c>
      <c r="J28" s="36" t="n">
        <f aca="false">INDEX(Monthly!$C$43:$AL$43,($R$2-1)*12+3)</f>
        <v>-1333.33333333333</v>
      </c>
      <c r="K28" s="36" t="n">
        <f aca="false">INDEX(Monthly!$C$43:$AL$43,($R$2-1)*12+4)</f>
        <v>-1333.33333333333</v>
      </c>
      <c r="L28" s="36" t="n">
        <f aca="false">INDEX(Monthly!$C$43:$AL$43,($R$2-1)*12+5)</f>
        <v>-1333.33333333333</v>
      </c>
      <c r="M28" s="36" t="n">
        <f aca="false">INDEX(Monthly!$C$43:$AL$43,($R$2-1)*12+6)</f>
        <v>-1333.33333333333</v>
      </c>
      <c r="N28" s="36" t="n">
        <f aca="false">INDEX(Monthly!$C$43:$AL$43,($R$2-1)*12+7)</f>
        <v>-1333.33333333333</v>
      </c>
      <c r="O28" s="36" t="n">
        <f aca="false">INDEX(Monthly!$C$43:$AL$43,($R$2-1)*12+8)</f>
        <v>-1333.33333333333</v>
      </c>
      <c r="P28" s="36" t="n">
        <f aca="false">INDEX(Monthly!$C$43:$AL$43,($R$2-1)*12+9)</f>
        <v>-1333.33333333333</v>
      </c>
      <c r="Q28" s="36" t="n">
        <f aca="false">INDEX(Monthly!$C$43:$AL$43,($R$2-1)*12+10)</f>
        <v>-1333.33333333333</v>
      </c>
      <c r="R28" s="36" t="n">
        <f aca="false">INDEX(Monthly!$C$43:$AL$43,($R$2-1)*12+11)</f>
        <v>-1333.33333333333</v>
      </c>
      <c r="S28" s="36" t="n">
        <f aca="false">INDEX(Monthly!$C$43:$AL$43,($R$2-1)*12+12)</f>
        <v>-1333.33333333333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205333.333333333</v>
      </c>
      <c r="C29" s="38" t="n">
        <f aca="false">'Cash Flow'!C15</f>
        <v>-16000</v>
      </c>
      <c r="D29" s="38" t="n">
        <f aca="false">'Cash Flow'!D15</f>
        <v>-16000</v>
      </c>
      <c r="E29" s="37"/>
      <c r="F29" s="37"/>
      <c r="H29" s="38" t="n">
        <f aca="false">INDEX(Monthly!$C$58:$AL$58,($R$2-1)*12+1)</f>
        <v>220000</v>
      </c>
      <c r="I29" s="38" t="n">
        <f aca="false">INDEX(Monthly!$C$58:$AL$58,($R$2-1)*12+2)</f>
        <v>-1333.33333333333</v>
      </c>
      <c r="J29" s="38" t="n">
        <f aca="false">INDEX(Monthly!$C$58:$AL$58,($R$2-1)*12+3)</f>
        <v>-1333.33333333333</v>
      </c>
      <c r="K29" s="38" t="n">
        <f aca="false">INDEX(Monthly!$C$58:$AL$58,($R$2-1)*12+4)</f>
        <v>-1333.33333333333</v>
      </c>
      <c r="L29" s="38" t="n">
        <f aca="false">INDEX(Monthly!$C$58:$AL$58,($R$2-1)*12+5)</f>
        <v>-1333.33333333333</v>
      </c>
      <c r="M29" s="38" t="n">
        <f aca="false">INDEX(Monthly!$C$58:$AL$58,($R$2-1)*12+6)</f>
        <v>-1333.33333333333</v>
      </c>
      <c r="N29" s="38" t="n">
        <f aca="false">INDEX(Monthly!$C$58:$AL$58,($R$2-1)*12+7)</f>
        <v>-1333.33333333333</v>
      </c>
      <c r="O29" s="38" t="n">
        <f aca="false">INDEX(Monthly!$C$58:$AL$58,($R$2-1)*12+8)</f>
        <v>-1333.33333333333</v>
      </c>
      <c r="P29" s="38" t="n">
        <f aca="false">INDEX(Monthly!$C$58:$AL$58,($R$2-1)*12+9)</f>
        <v>-1333.33333333333</v>
      </c>
      <c r="Q29" s="38" t="n">
        <f aca="false">INDEX(Monthly!$C$58:$AL$58,($R$2-1)*12+10)</f>
        <v>-1333.33333333333</v>
      </c>
      <c r="R29" s="38" t="n">
        <f aca="false">INDEX(Monthly!$C$58:$AL$58,($R$2-1)*12+11)</f>
        <v>-1333.33333333333</v>
      </c>
      <c r="S29" s="38" t="n">
        <f aca="false">INDEX(Monthly!$C$58:$AL$58,($R$2-1)*12+12)</f>
        <v>-1333.33333333333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41025.5111111111</v>
      </c>
      <c r="C30" s="38" t="n">
        <f aca="false">'Cash Flow'!C16</f>
        <v>33852.4784533334</v>
      </c>
      <c r="D30" s="38" t="n">
        <f aca="false">'Cash Flow'!D16</f>
        <v>45223.6954946496</v>
      </c>
      <c r="E30" s="37"/>
      <c r="F30" s="37"/>
      <c r="H30" s="38" t="n">
        <f aca="false">INDEX(Monthly!$C$59:$AL$59,($R$2-1)*12+1)</f>
        <v>52658.5333333333</v>
      </c>
      <c r="I30" s="38" t="n">
        <f aca="false">INDEX(Monthly!$C$59:$AL$59,($R$2-1)*12+2)</f>
        <v>-7140.68888888889</v>
      </c>
      <c r="J30" s="38" t="n">
        <f aca="false">INDEX(Monthly!$C$59:$AL$59,($R$2-1)*12+3)</f>
        <v>-5467.80000000001</v>
      </c>
      <c r="K30" s="38" t="n">
        <f aca="false">INDEX(Monthly!$C$59:$AL$59,($R$2-1)*12+4)</f>
        <v>-3794.91111111111</v>
      </c>
      <c r="L30" s="38" t="n">
        <f aca="false">INDEX(Monthly!$C$59:$AL$59,($R$2-1)*12+5)</f>
        <v>-2122.02222222223</v>
      </c>
      <c r="M30" s="38" t="n">
        <f aca="false">INDEX(Monthly!$C$59:$AL$59,($R$2-1)*12+6)</f>
        <v>-449.133333333336</v>
      </c>
      <c r="N30" s="38" t="n">
        <f aca="false">INDEX(Monthly!$C$59:$AL$59,($R$2-1)*12+7)</f>
        <v>1223.75555555555</v>
      </c>
      <c r="O30" s="38" t="n">
        <f aca="false">INDEX(Monthly!$C$59:$AL$59,($R$2-1)*12+8)</f>
        <v>1205.77777777778</v>
      </c>
      <c r="P30" s="38" t="n">
        <f aca="false">INDEX(Monthly!$C$59:$AL$59,($R$2-1)*12+9)</f>
        <v>1214.66666666666</v>
      </c>
      <c r="Q30" s="38" t="n">
        <f aca="false">INDEX(Monthly!$C$59:$AL$59,($R$2-1)*12+10)</f>
        <v>1223.55555555555</v>
      </c>
      <c r="R30" s="38" t="n">
        <f aca="false">INDEX(Monthly!$C$59:$AL$59,($R$2-1)*12+11)</f>
        <v>1232.44444444444</v>
      </c>
      <c r="S30" s="38" t="n">
        <f aca="false">INDEX(Monthly!$C$59:$AL$59,($R$2-1)*12+12)</f>
        <v>1241.33333333333</v>
      </c>
    </row>
    <row r="31" customFormat="false" ht="15" hidden="false" customHeight="false" outlineLevel="0" collapsed="false">
      <c r="A31" s="41" t="s">
        <v>85</v>
      </c>
      <c r="B31" s="42" t="n">
        <f aca="false">'Cash Flow'!B18</f>
        <v>41025.5111111111</v>
      </c>
      <c r="C31" s="42" t="n">
        <f aca="false">'Cash Flow'!C18</f>
        <v>74877.9895644444</v>
      </c>
      <c r="D31" s="42" t="n">
        <f aca="false">'Cash Flow'!D18</f>
        <v>120101.685059094</v>
      </c>
      <c r="E31" s="41"/>
      <c r="F31" s="41"/>
      <c r="H31" s="42" t="n">
        <f aca="false">INDEX(Monthly!$C$61:$AL$61,($R$2-1)*12+1)</f>
        <v>52658.5333333333</v>
      </c>
      <c r="I31" s="42" t="n">
        <f aca="false">INDEX(Monthly!$C$61:$AL$61,($R$2-1)*12+2)</f>
        <v>45517.8444444444</v>
      </c>
      <c r="J31" s="42" t="n">
        <f aca="false">INDEX(Monthly!$C$61:$AL$61,($R$2-1)*12+3)</f>
        <v>40050.0444444444</v>
      </c>
      <c r="K31" s="42" t="n">
        <f aca="false">INDEX(Monthly!$C$61:$AL$61,($R$2-1)*12+4)</f>
        <v>36255.1333333333</v>
      </c>
      <c r="L31" s="42" t="n">
        <f aca="false">INDEX(Monthly!$C$61:$AL$61,($R$2-1)*12+5)</f>
        <v>34133.1111111111</v>
      </c>
      <c r="M31" s="42" t="n">
        <f aca="false">INDEX(Monthly!$C$61:$AL$61,($R$2-1)*12+6)</f>
        <v>33683.9777777778</v>
      </c>
      <c r="N31" s="42" t="n">
        <f aca="false">INDEX(Monthly!$C$61:$AL$61,($R$2-1)*12+7)</f>
        <v>34907.7333333333</v>
      </c>
      <c r="O31" s="42" t="n">
        <f aca="false">INDEX(Monthly!$C$61:$AL$61,($R$2-1)*12+8)</f>
        <v>36113.5111111111</v>
      </c>
      <c r="P31" s="42" t="n">
        <f aca="false">INDEX(Monthly!$C$61:$AL$61,($R$2-1)*12+9)</f>
        <v>37328.1777777777</v>
      </c>
      <c r="Q31" s="42" t="n">
        <f aca="false">INDEX(Monthly!$C$61:$AL$61,($R$2-1)*12+10)</f>
        <v>38551.7333333333</v>
      </c>
      <c r="R31" s="42" t="n">
        <f aca="false">INDEX(Monthly!$C$61:$AL$61,($R$2-1)*12+11)</f>
        <v>39784.1777777777</v>
      </c>
      <c r="S31" s="42" t="n">
        <f aca="false">INDEX(Monthly!$C$61:$AL$61,($R$2-1)*12+12)</f>
        <v>41025.5111111111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49" t="n">
        <f aca="false">INDEX(Monthly!$C$4:$AL$4,($R$2-1)*12+1)</f>
        <v>1</v>
      </c>
      <c r="I40" s="49" t="n">
        <f aca="false">INDEX(Monthly!$C$4:$AL$4,($R$2-1)*12+2)</f>
        <v>2</v>
      </c>
      <c r="J40" s="49" t="n">
        <f aca="false">INDEX(Monthly!$C$4:$AL$4,($R$2-1)*12+3)</f>
        <v>3</v>
      </c>
      <c r="K40" s="49" t="n">
        <f aca="false">INDEX(Monthly!$C$4:$AL$4,($R$2-1)*12+4)</f>
        <v>4</v>
      </c>
      <c r="L40" s="49" t="n">
        <f aca="false">INDEX(Monthly!$C$4:$AL$4,($R$2-1)*12+5)</f>
        <v>5</v>
      </c>
      <c r="M40" s="49" t="n">
        <f aca="false">INDEX(Monthly!$C$4:$AL$4,($R$2-1)*12+6)</f>
        <v>6</v>
      </c>
      <c r="N40" s="49" t="n">
        <f aca="false">INDEX(Monthly!$C$4:$AL$4,($R$2-1)*12+7)</f>
        <v>7</v>
      </c>
      <c r="O40" s="49" t="n">
        <f aca="false">INDEX(Monthly!$C$4:$AL$4,($R$2-1)*12+8)</f>
        <v>8</v>
      </c>
      <c r="P40" s="49" t="n">
        <f aca="false">INDEX(Monthly!$C$4:$AL$4,($R$2-1)*12+9)</f>
        <v>9</v>
      </c>
      <c r="Q40" s="49" t="n">
        <f aca="false">INDEX(Monthly!$C$4:$AL$4,($R$2-1)*12+10)</f>
        <v>10</v>
      </c>
      <c r="R40" s="49" t="n">
        <f aca="false">INDEX(Monthly!$C$4:$AL$4,($R$2-1)*12+11)</f>
        <v>11</v>
      </c>
      <c r="S40" s="49" t="n">
        <f aca="false">INDEX(Monthly!$C$4:$AL$4,($R$2-1)*12+12)</f>
        <v>12</v>
      </c>
    </row>
    <row r="41" customFormat="false" ht="15" hidden="false" customHeight="false" outlineLevel="0" collapsed="false">
      <c r="A41" s="50" t="s">
        <v>87</v>
      </c>
      <c r="B41" s="36" t="n">
        <f aca="false">'Balance Sheet'!B5</f>
        <v>41025.5111111111</v>
      </c>
      <c r="C41" s="36" t="n">
        <f aca="false">'Balance Sheet'!C5</f>
        <v>74877.9895644444</v>
      </c>
      <c r="D41" s="36" t="n">
        <f aca="false">'Balance Sheet'!D5</f>
        <v>120101.685059094</v>
      </c>
      <c r="H41" s="36" t="n">
        <f aca="false">INDEX(Monthly!$C$61:$AL$61,($R$2-1)*12+1)</f>
        <v>52658.5333333333</v>
      </c>
      <c r="I41" s="36" t="n">
        <f aca="false">INDEX(Monthly!$C$61:$AL$61,($R$2-1)*12+2)</f>
        <v>45517.8444444444</v>
      </c>
      <c r="J41" s="36" t="n">
        <f aca="false">INDEX(Monthly!$C$61:$AL$61,($R$2-1)*12+3)</f>
        <v>40050.0444444444</v>
      </c>
      <c r="K41" s="36" t="n">
        <f aca="false">INDEX(Monthly!$C$61:$AL$61,($R$2-1)*12+4)</f>
        <v>36255.1333333333</v>
      </c>
      <c r="L41" s="36" t="n">
        <f aca="false">INDEX(Monthly!$C$61:$AL$61,($R$2-1)*12+5)</f>
        <v>34133.1111111111</v>
      </c>
      <c r="M41" s="36" t="n">
        <f aca="false">INDEX(Monthly!$C$61:$AL$61,($R$2-1)*12+6)</f>
        <v>33683.9777777778</v>
      </c>
      <c r="N41" s="36" t="n">
        <f aca="false">INDEX(Monthly!$C$61:$AL$61,($R$2-1)*12+7)</f>
        <v>34907.7333333333</v>
      </c>
      <c r="O41" s="36" t="n">
        <f aca="false">INDEX(Monthly!$C$61:$AL$61,($R$2-1)*12+8)</f>
        <v>36113.5111111111</v>
      </c>
      <c r="P41" s="36" t="n">
        <f aca="false">INDEX(Monthly!$C$61:$AL$61,($R$2-1)*12+9)</f>
        <v>37328.1777777777</v>
      </c>
      <c r="Q41" s="36" t="n">
        <f aca="false">INDEX(Monthly!$C$61:$AL$61,($R$2-1)*12+10)</f>
        <v>38551.7333333333</v>
      </c>
      <c r="R41" s="36" t="n">
        <f aca="false">INDEX(Monthly!$C$61:$AL$61,($R$2-1)*12+11)</f>
        <v>39784.1777777777</v>
      </c>
      <c r="S41" s="36" t="n">
        <f aca="false">INDEX(Monthly!$C$61:$AL$61,($R$2-1)*12+12)</f>
        <v>41025.5111111111</v>
      </c>
    </row>
    <row r="42" customFormat="false" ht="15" hidden="false" customHeight="false" outlineLevel="0" collapsed="false">
      <c r="A42" s="50" t="s">
        <v>88</v>
      </c>
      <c r="B42" s="36" t="n">
        <f aca="false">'Balance Sheet'!B6</f>
        <v>2080</v>
      </c>
      <c r="C42" s="36" t="n">
        <f aca="false">'Balance Sheet'!C6</f>
        <v>2270.944</v>
      </c>
      <c r="D42" s="36" t="n">
        <f aca="false">'Balance Sheet'!D6</f>
        <v>2479.4166592</v>
      </c>
      <c r="H42" s="36" t="n">
        <f aca="false">INDEX(Monthly!$C$47:$AL$47,($R$2-1)*12+1)</f>
        <v>1040</v>
      </c>
      <c r="I42" s="36" t="n">
        <f aca="false">INDEX(Monthly!$C$47:$AL$47,($R$2-1)*12+2)</f>
        <v>1213.33333333333</v>
      </c>
      <c r="J42" s="36" t="n">
        <f aca="false">INDEX(Monthly!$C$47:$AL$47,($R$2-1)*12+3)</f>
        <v>1386.66666666667</v>
      </c>
      <c r="K42" s="36" t="n">
        <f aca="false">INDEX(Monthly!$C$47:$AL$47,($R$2-1)*12+4)</f>
        <v>1560</v>
      </c>
      <c r="L42" s="36" t="n">
        <f aca="false">INDEX(Monthly!$C$47:$AL$47,($R$2-1)*12+5)</f>
        <v>1733.33333333333</v>
      </c>
      <c r="M42" s="36" t="n">
        <f aca="false">INDEX(Monthly!$C$47:$AL$47,($R$2-1)*12+6)</f>
        <v>1906.66666666667</v>
      </c>
      <c r="N42" s="36" t="n">
        <f aca="false">INDEX(Monthly!$C$47:$AL$47,($R$2-1)*12+7)</f>
        <v>2080</v>
      </c>
      <c r="O42" s="36" t="n">
        <f aca="false">INDEX(Monthly!$C$47:$AL$47,($R$2-1)*12+8)</f>
        <v>2080</v>
      </c>
      <c r="P42" s="36" t="n">
        <f aca="false">INDEX(Monthly!$C$47:$AL$47,($R$2-1)*12+9)</f>
        <v>2080</v>
      </c>
      <c r="Q42" s="36" t="n">
        <f aca="false">INDEX(Monthly!$C$47:$AL$47,($R$2-1)*12+10)</f>
        <v>2080</v>
      </c>
      <c r="R42" s="36" t="n">
        <f aca="false">INDEX(Monthly!$C$47:$AL$47,($R$2-1)*12+11)</f>
        <v>2080</v>
      </c>
      <c r="S42" s="36" t="n">
        <f aca="false">INDEX(Monthly!$C$47:$AL$47,($R$2-1)*12+12)</f>
        <v>2080</v>
      </c>
    </row>
    <row r="43" customFormat="false" ht="15" hidden="false" customHeight="false" outlineLevel="0" collapsed="false">
      <c r="A43" s="50" t="s">
        <v>89</v>
      </c>
      <c r="B43" s="36" t="n">
        <f aca="false">'Balance Sheet'!B7</f>
        <v>2402.4</v>
      </c>
      <c r="C43" s="36" t="n">
        <f aca="false">'Balance Sheet'!C7</f>
        <v>2622.94032</v>
      </c>
      <c r="D43" s="36" t="n">
        <f aca="false">'Balance Sheet'!D7</f>
        <v>2863.726241376</v>
      </c>
      <c r="H43" s="36" t="n">
        <f aca="false">INDEX(Monthly!$C$48:$AL$48,($R$2-1)*12+1)</f>
        <v>1201.2</v>
      </c>
      <c r="I43" s="36" t="n">
        <f aca="false">INDEX(Monthly!$C$48:$AL$48,($R$2-1)*12+2)</f>
        <v>1401.4</v>
      </c>
      <c r="J43" s="36" t="n">
        <f aca="false">INDEX(Monthly!$C$48:$AL$48,($R$2-1)*12+3)</f>
        <v>1601.6</v>
      </c>
      <c r="K43" s="36" t="n">
        <f aca="false">INDEX(Monthly!$C$48:$AL$48,($R$2-1)*12+4)</f>
        <v>1801.8</v>
      </c>
      <c r="L43" s="36" t="n">
        <f aca="false">INDEX(Monthly!$C$48:$AL$48,($R$2-1)*12+5)</f>
        <v>2002</v>
      </c>
      <c r="M43" s="36" t="n">
        <f aca="false">INDEX(Monthly!$C$48:$AL$48,($R$2-1)*12+6)</f>
        <v>2202.2</v>
      </c>
      <c r="N43" s="36" t="n">
        <f aca="false">INDEX(Monthly!$C$48:$AL$48,($R$2-1)*12+7)</f>
        <v>2402.4</v>
      </c>
      <c r="O43" s="36" t="n">
        <f aca="false">INDEX(Monthly!$C$48:$AL$48,($R$2-1)*12+8)</f>
        <v>2402.4</v>
      </c>
      <c r="P43" s="36" t="n">
        <f aca="false">INDEX(Monthly!$C$48:$AL$48,($R$2-1)*12+9)</f>
        <v>2402.4</v>
      </c>
      <c r="Q43" s="36" t="n">
        <f aca="false">INDEX(Monthly!$C$48:$AL$48,($R$2-1)*12+10)</f>
        <v>2402.4</v>
      </c>
      <c r="R43" s="36" t="n">
        <f aca="false">INDEX(Monthly!$C$48:$AL$48,($R$2-1)*12+11)</f>
        <v>2402.4</v>
      </c>
      <c r="S43" s="36" t="n">
        <f aca="false">INDEX(Monthly!$C$48:$AL$48,($R$2-1)*12+12)</f>
        <v>2402.4</v>
      </c>
    </row>
    <row r="44" customFormat="false" ht="15" hidden="false" customHeight="false" outlineLevel="0" collapsed="false">
      <c r="A44" s="50" t="s">
        <v>90</v>
      </c>
      <c r="B44" s="36" t="n">
        <f aca="false">'Balance Sheet'!B8</f>
        <v>137142.857142857</v>
      </c>
      <c r="C44" s="36" t="n">
        <f aca="false">'Balance Sheet'!C8</f>
        <v>114285.714285714</v>
      </c>
      <c r="D44" s="36" t="n">
        <f aca="false">'Balance Sheet'!D8</f>
        <v>91428.5714285714</v>
      </c>
      <c r="H44" s="36" t="n">
        <f aca="false">INDEX(Monthly!$C$38:$AL$38,($R$2-1)*12+1)</f>
        <v>158095.238095238</v>
      </c>
      <c r="I44" s="36" t="n">
        <f aca="false">INDEX(Monthly!$C$38:$AL$38,($R$2-1)*12+2)</f>
        <v>156190.476190476</v>
      </c>
      <c r="J44" s="36" t="n">
        <f aca="false">INDEX(Monthly!$C$38:$AL$38,($R$2-1)*12+3)</f>
        <v>154285.714285714</v>
      </c>
      <c r="K44" s="36" t="n">
        <f aca="false">INDEX(Monthly!$C$38:$AL$38,($R$2-1)*12+4)</f>
        <v>152380.952380952</v>
      </c>
      <c r="L44" s="36" t="n">
        <f aca="false">INDEX(Monthly!$C$38:$AL$38,($R$2-1)*12+5)</f>
        <v>150476.19047619</v>
      </c>
      <c r="M44" s="36" t="n">
        <f aca="false">INDEX(Monthly!$C$38:$AL$38,($R$2-1)*12+6)</f>
        <v>148571.428571429</v>
      </c>
      <c r="N44" s="36" t="n">
        <f aca="false">INDEX(Monthly!$C$38:$AL$38,($R$2-1)*12+7)</f>
        <v>146666.666666667</v>
      </c>
      <c r="O44" s="36" t="n">
        <f aca="false">INDEX(Monthly!$C$38:$AL$38,($R$2-1)*12+8)</f>
        <v>144761.904761905</v>
      </c>
      <c r="P44" s="36" t="n">
        <f aca="false">INDEX(Monthly!$C$38:$AL$38,($R$2-1)*12+9)</f>
        <v>142857.142857143</v>
      </c>
      <c r="Q44" s="36" t="n">
        <f aca="false">INDEX(Monthly!$C$38:$AL$38,($R$2-1)*12+10)</f>
        <v>140952.380952381</v>
      </c>
      <c r="R44" s="36" t="n">
        <f aca="false">INDEX(Monthly!$C$38:$AL$38,($R$2-1)*12+11)</f>
        <v>139047.619047619</v>
      </c>
      <c r="S44" s="36" t="n">
        <f aca="false">INDEX(Monthly!$C$38:$AL$38,($R$2-1)*12+12)</f>
        <v>137142.857142857</v>
      </c>
    </row>
    <row r="45" customFormat="false" ht="15" hidden="false" customHeight="false" outlineLevel="0" collapsed="false">
      <c r="A45" s="37" t="s">
        <v>91</v>
      </c>
      <c r="B45" s="38" t="n">
        <f aca="false">'Balance Sheet'!B9</f>
        <v>182650.768253968</v>
      </c>
      <c r="C45" s="38" t="n">
        <f aca="false">'Balance Sheet'!C9</f>
        <v>194057.588170159</v>
      </c>
      <c r="D45" s="38" t="n">
        <f aca="false">'Balance Sheet'!D9</f>
        <v>216873.399388241</v>
      </c>
      <c r="E45" s="37"/>
      <c r="F45" s="37"/>
      <c r="H45" s="38" t="n">
        <f aca="false">INDEX(Monthly!$C$75:$AL$75,($R$2-1)*12+1)</f>
        <v>212994.971428571</v>
      </c>
      <c r="I45" s="38" t="n">
        <f aca="false">INDEX(Monthly!$C$75:$AL$75,($R$2-1)*12+2)</f>
        <v>204323.053968254</v>
      </c>
      <c r="J45" s="38" t="n">
        <f aca="false">INDEX(Monthly!$C$75:$AL$75,($R$2-1)*12+3)</f>
        <v>197324.025396825</v>
      </c>
      <c r="K45" s="38" t="n">
        <f aca="false">INDEX(Monthly!$C$75:$AL$75,($R$2-1)*12+4)</f>
        <v>191997.885714286</v>
      </c>
      <c r="L45" s="38" t="n">
        <f aca="false">INDEX(Monthly!$C$75:$AL$75,($R$2-1)*12+5)</f>
        <v>188344.634920635</v>
      </c>
      <c r="M45" s="38" t="n">
        <f aca="false">INDEX(Monthly!$C$75:$AL$75,($R$2-1)*12+6)</f>
        <v>186364.273015873</v>
      </c>
      <c r="N45" s="38" t="n">
        <f aca="false">INDEX(Monthly!$C$75:$AL$75,($R$2-1)*12+7)</f>
        <v>186056.8</v>
      </c>
      <c r="O45" s="38" t="n">
        <f aca="false">INDEX(Monthly!$C$75:$AL$75,($R$2-1)*12+8)</f>
        <v>185357.815873016</v>
      </c>
      <c r="P45" s="38" t="n">
        <f aca="false">INDEX(Monthly!$C$75:$AL$75,($R$2-1)*12+9)</f>
        <v>184667.720634921</v>
      </c>
      <c r="Q45" s="38" t="n">
        <f aca="false">INDEX(Monthly!$C$75:$AL$75,($R$2-1)*12+10)</f>
        <v>183986.514285714</v>
      </c>
      <c r="R45" s="38" t="n">
        <f aca="false">INDEX(Monthly!$C$75:$AL$75,($R$2-1)*12+11)</f>
        <v>183314.196825397</v>
      </c>
      <c r="S45" s="38" t="n">
        <f aca="false">INDEX(Monthly!$C$75:$AL$75,($R$2-1)*12+12)</f>
        <v>182650.768253968</v>
      </c>
    </row>
    <row r="46" customFormat="false" ht="15" hidden="false" customHeight="false" outlineLevel="0" collapsed="false">
      <c r="A46" s="50" t="s">
        <v>92</v>
      </c>
      <c r="B46" s="36" t="n">
        <f aca="false">'Balance Sheet'!B10</f>
        <v>4804.8</v>
      </c>
      <c r="C46" s="36" t="n">
        <f aca="false">'Balance Sheet'!C10</f>
        <v>5245.88064</v>
      </c>
      <c r="D46" s="36" t="n">
        <f aca="false">'Balance Sheet'!D10</f>
        <v>5727.452482752</v>
      </c>
      <c r="H46" s="36" t="n">
        <f aca="false">INDEX(Monthly!$C$49:$AL$49,($R$2-1)*12+1)</f>
        <v>2402.4</v>
      </c>
      <c r="I46" s="36" t="n">
        <f aca="false">INDEX(Monthly!$C$49:$AL$49,($R$2-1)*12+2)</f>
        <v>2802.8</v>
      </c>
      <c r="J46" s="36" t="n">
        <f aca="false">INDEX(Monthly!$C$49:$AL$49,($R$2-1)*12+3)</f>
        <v>3203.2</v>
      </c>
      <c r="K46" s="36" t="n">
        <f aca="false">INDEX(Monthly!$C$49:$AL$49,($R$2-1)*12+4)</f>
        <v>3603.6</v>
      </c>
      <c r="L46" s="36" t="n">
        <f aca="false">INDEX(Monthly!$C$49:$AL$49,($R$2-1)*12+5)</f>
        <v>4004</v>
      </c>
      <c r="M46" s="36" t="n">
        <f aca="false">INDEX(Monthly!$C$49:$AL$49,($R$2-1)*12+6)</f>
        <v>4404.4</v>
      </c>
      <c r="N46" s="36" t="n">
        <f aca="false">INDEX(Monthly!$C$49:$AL$49,($R$2-1)*12+7)</f>
        <v>4804.8</v>
      </c>
      <c r="O46" s="36" t="n">
        <f aca="false">INDEX(Monthly!$C$49:$AL$49,($R$2-1)*12+8)</f>
        <v>4804.8</v>
      </c>
      <c r="P46" s="36" t="n">
        <f aca="false">INDEX(Monthly!$C$49:$AL$49,($R$2-1)*12+9)</f>
        <v>4804.8</v>
      </c>
      <c r="Q46" s="36" t="n">
        <f aca="false">INDEX(Monthly!$C$49:$AL$49,($R$2-1)*12+10)</f>
        <v>4804.8</v>
      </c>
      <c r="R46" s="36" t="n">
        <f aca="false">INDEX(Monthly!$C$49:$AL$49,($R$2-1)*12+11)</f>
        <v>4804.8</v>
      </c>
      <c r="S46" s="36" t="n">
        <f aca="false">INDEX(Monthly!$C$49:$AL$49,($R$2-1)*12+12)</f>
        <v>4804.8</v>
      </c>
    </row>
    <row r="47" customFormat="false" ht="15" hidden="false" customHeight="false" outlineLevel="0" collapsed="false">
      <c r="A47" s="50" t="s">
        <v>93</v>
      </c>
      <c r="B47" s="36" t="n">
        <f aca="false">'Balance Sheet'!B11</f>
        <v>65333.3333333334</v>
      </c>
      <c r="C47" s="36" t="n">
        <f aca="false">'Balance Sheet'!C11</f>
        <v>49333.3333333334</v>
      </c>
      <c r="D47" s="36" t="n">
        <f aca="false">'Balance Sheet'!D11</f>
        <v>33333.3333333333</v>
      </c>
      <c r="H47" s="36" t="n">
        <f aca="false">INDEX(Monthly!$C$44:$AL$44,($R$2-1)*12+1)</f>
        <v>80000</v>
      </c>
      <c r="I47" s="36" t="n">
        <f aca="false">INDEX(Monthly!$C$44:$AL$44,($R$2-1)*12+2)</f>
        <v>78666.6666666667</v>
      </c>
      <c r="J47" s="36" t="n">
        <f aca="false">INDEX(Monthly!$C$44:$AL$44,($R$2-1)*12+3)</f>
        <v>77333.3333333333</v>
      </c>
      <c r="K47" s="36" t="n">
        <f aca="false">INDEX(Monthly!$C$44:$AL$44,($R$2-1)*12+4)</f>
        <v>76000</v>
      </c>
      <c r="L47" s="36" t="n">
        <f aca="false">INDEX(Monthly!$C$44:$AL$44,($R$2-1)*12+5)</f>
        <v>74666.6666666667</v>
      </c>
      <c r="M47" s="36" t="n">
        <f aca="false">INDEX(Monthly!$C$44:$AL$44,($R$2-1)*12+6)</f>
        <v>73333.3333333334</v>
      </c>
      <c r="N47" s="36" t="n">
        <f aca="false">INDEX(Monthly!$C$44:$AL$44,($R$2-1)*12+7)</f>
        <v>72000</v>
      </c>
      <c r="O47" s="36" t="n">
        <f aca="false">INDEX(Monthly!$C$44:$AL$44,($R$2-1)*12+8)</f>
        <v>70666.6666666667</v>
      </c>
      <c r="P47" s="36" t="n">
        <f aca="false">INDEX(Monthly!$C$44:$AL$44,($R$2-1)*12+9)</f>
        <v>69333.3333333334</v>
      </c>
      <c r="Q47" s="36" t="n">
        <f aca="false">INDEX(Monthly!$C$44:$AL$44,($R$2-1)*12+10)</f>
        <v>68000</v>
      </c>
      <c r="R47" s="36" t="n">
        <f aca="false">INDEX(Monthly!$C$44:$AL$44,($R$2-1)*12+11)</f>
        <v>66666.6666666667</v>
      </c>
      <c r="S47" s="36" t="n">
        <f aca="false">INDEX(Monthly!$C$44:$AL$44,($R$2-1)*12+12)</f>
        <v>65333.3333333334</v>
      </c>
    </row>
    <row r="48" customFormat="false" ht="15" hidden="false" customHeight="false" outlineLevel="0" collapsed="false">
      <c r="A48" s="37" t="s">
        <v>94</v>
      </c>
      <c r="B48" s="38" t="n">
        <f aca="false">'Balance Sheet'!B12</f>
        <v>70138.1333333334</v>
      </c>
      <c r="C48" s="38" t="n">
        <f aca="false">'Balance Sheet'!C12</f>
        <v>54579.2139733334</v>
      </c>
      <c r="D48" s="38" t="n">
        <f aca="false">'Balance Sheet'!D12</f>
        <v>39060.7858160853</v>
      </c>
      <c r="E48" s="37"/>
      <c r="F48" s="37"/>
      <c r="H48" s="38" t="n">
        <f aca="false">INDEX(Monthly!$C$76:$AL$76,($R$2-1)*12+1)</f>
        <v>82402.4</v>
      </c>
      <c r="I48" s="38" t="n">
        <f aca="false">INDEX(Monthly!$C$76:$AL$76,($R$2-1)*12+2)</f>
        <v>81469.4666666667</v>
      </c>
      <c r="J48" s="38" t="n">
        <f aca="false">INDEX(Monthly!$C$76:$AL$76,($R$2-1)*12+3)</f>
        <v>80536.5333333333</v>
      </c>
      <c r="K48" s="38" t="n">
        <f aca="false">INDEX(Monthly!$C$76:$AL$76,($R$2-1)*12+4)</f>
        <v>79603.6</v>
      </c>
      <c r="L48" s="38" t="n">
        <f aca="false">INDEX(Monthly!$C$76:$AL$76,($R$2-1)*12+5)</f>
        <v>78670.6666666667</v>
      </c>
      <c r="M48" s="38" t="n">
        <f aca="false">INDEX(Monthly!$C$76:$AL$76,($R$2-1)*12+6)</f>
        <v>77737.7333333334</v>
      </c>
      <c r="N48" s="38" t="n">
        <f aca="false">INDEX(Monthly!$C$76:$AL$76,($R$2-1)*12+7)</f>
        <v>76804.8</v>
      </c>
      <c r="O48" s="38" t="n">
        <f aca="false">INDEX(Monthly!$C$76:$AL$76,($R$2-1)*12+8)</f>
        <v>75471.4666666667</v>
      </c>
      <c r="P48" s="38" t="n">
        <f aca="false">INDEX(Monthly!$C$76:$AL$76,($R$2-1)*12+9)</f>
        <v>74138.1333333334</v>
      </c>
      <c r="Q48" s="38" t="n">
        <f aca="false">INDEX(Monthly!$C$76:$AL$76,($R$2-1)*12+10)</f>
        <v>72804.8000000001</v>
      </c>
      <c r="R48" s="38" t="n">
        <f aca="false">INDEX(Monthly!$C$76:$AL$76,($R$2-1)*12+11)</f>
        <v>71471.4666666667</v>
      </c>
      <c r="S48" s="38" t="n">
        <f aca="false">INDEX(Monthly!$C$76:$AL$76,($R$2-1)*12+12)</f>
        <v>70138.1333333334</v>
      </c>
    </row>
    <row r="49" customFormat="false" ht="15" hidden="false" customHeight="false" outlineLevel="0" collapsed="false">
      <c r="A49" s="50" t="s">
        <v>95</v>
      </c>
      <c r="B49" s="36" t="n">
        <f aca="false">'Balance Sheet'!B13</f>
        <v>140000</v>
      </c>
      <c r="C49" s="36" t="n">
        <f aca="false">'Balance Sheet'!C13</f>
        <v>140000</v>
      </c>
      <c r="D49" s="36" t="n">
        <f aca="false">'Balance Sheet'!D13</f>
        <v>140000</v>
      </c>
      <c r="H49" s="36" t="n">
        <f aca="false">INDEX(Monthly!$C$73:$AL$73,($R$2-1)*12+1)</f>
        <v>140000</v>
      </c>
      <c r="I49" s="36" t="n">
        <f aca="false">INDEX(Monthly!$C$73:$AL$73,($R$2-1)*12+2)</f>
        <v>140000</v>
      </c>
      <c r="J49" s="36" t="n">
        <f aca="false">INDEX(Monthly!$C$73:$AL$73,($R$2-1)*12+3)</f>
        <v>140000</v>
      </c>
      <c r="K49" s="36" t="n">
        <f aca="false">INDEX(Monthly!$C$73:$AL$73,($R$2-1)*12+4)</f>
        <v>140000</v>
      </c>
      <c r="L49" s="36" t="n">
        <f aca="false">INDEX(Monthly!$C$73:$AL$73,($R$2-1)*12+5)</f>
        <v>140000</v>
      </c>
      <c r="M49" s="36" t="n">
        <f aca="false">INDEX(Monthly!$C$73:$AL$73,($R$2-1)*12+6)</f>
        <v>140000</v>
      </c>
      <c r="N49" s="36" t="n">
        <f aca="false">INDEX(Monthly!$C$73:$AL$73,($R$2-1)*12+7)</f>
        <v>140000</v>
      </c>
      <c r="O49" s="36" t="n">
        <f aca="false">INDEX(Monthly!$C$73:$AL$73,($R$2-1)*12+8)</f>
        <v>140000</v>
      </c>
      <c r="P49" s="36" t="n">
        <f aca="false">INDEX(Monthly!$C$73:$AL$73,($R$2-1)*12+9)</f>
        <v>140000</v>
      </c>
      <c r="Q49" s="36" t="n">
        <f aca="false">INDEX(Monthly!$C$73:$AL$73,($R$2-1)*12+10)</f>
        <v>140000</v>
      </c>
      <c r="R49" s="36" t="n">
        <f aca="false">INDEX(Monthly!$C$73:$AL$73,($R$2-1)*12+11)</f>
        <v>140000</v>
      </c>
      <c r="S49" s="36" t="n">
        <f aca="false">INDEX(Monthly!$C$73:$AL$73,($R$2-1)*12+12)</f>
        <v>140000</v>
      </c>
    </row>
    <row r="50" customFormat="false" ht="15" hidden="false" customHeight="false" outlineLevel="0" collapsed="false">
      <c r="A50" s="50" t="s">
        <v>96</v>
      </c>
      <c r="B50" s="36" t="n">
        <f aca="false">'Balance Sheet'!B14</f>
        <v>-27487.3650793651</v>
      </c>
      <c r="C50" s="36" t="n">
        <f aca="false">'Balance Sheet'!C14</f>
        <v>-521.625803174616</v>
      </c>
      <c r="D50" s="36" t="n">
        <f aca="false">'Balance Sheet'!D14</f>
        <v>37812.6135721562</v>
      </c>
      <c r="H50" s="36" t="n">
        <f aca="false">INDEX(Monthly!$C$74:$AL$74,($R$2-1)*12+1)</f>
        <v>-9407.42857142857</v>
      </c>
      <c r="I50" s="36" t="n">
        <f aca="false">INDEX(Monthly!$C$74:$AL$74,($R$2-1)*12+2)</f>
        <v>-17146.4126984127</v>
      </c>
      <c r="J50" s="36" t="n">
        <f aca="false">INDEX(Monthly!$C$74:$AL$74,($R$2-1)*12+3)</f>
        <v>-23212.5079365079</v>
      </c>
      <c r="K50" s="36" t="n">
        <f aca="false">INDEX(Monthly!$C$74:$AL$74,($R$2-1)*12+4)</f>
        <v>-27605.7142857143</v>
      </c>
      <c r="L50" s="36" t="n">
        <f aca="false">INDEX(Monthly!$C$74:$AL$74,($R$2-1)*12+5)</f>
        <v>-30326.0317460318</v>
      </c>
      <c r="M50" s="36" t="n">
        <f aca="false">INDEX(Monthly!$C$74:$AL$74,($R$2-1)*12+6)</f>
        <v>-31373.4603174603</v>
      </c>
      <c r="N50" s="36" t="n">
        <f aca="false">INDEX(Monthly!$C$74:$AL$74,($R$2-1)*12+7)</f>
        <v>-30748</v>
      </c>
      <c r="O50" s="36" t="n">
        <f aca="false">INDEX(Monthly!$C$74:$AL$74,($R$2-1)*12+8)</f>
        <v>-30113.6507936508</v>
      </c>
      <c r="P50" s="36" t="n">
        <f aca="false">INDEX(Monthly!$C$74:$AL$74,($R$2-1)*12+9)</f>
        <v>-29470.4126984127</v>
      </c>
      <c r="Q50" s="36" t="n">
        <f aca="false">INDEX(Monthly!$C$74:$AL$74,($R$2-1)*12+10)</f>
        <v>-28818.2857142857</v>
      </c>
      <c r="R50" s="36" t="n">
        <f aca="false">INDEX(Monthly!$C$74:$AL$74,($R$2-1)*12+11)</f>
        <v>-28157.2698412699</v>
      </c>
      <c r="S50" s="36" t="n">
        <f aca="false">INDEX(Monthly!$C$74:$AL$74,($R$2-1)*12+12)</f>
        <v>-27487.3650793651</v>
      </c>
    </row>
    <row r="51" customFormat="false" ht="15" hidden="false" customHeight="false" outlineLevel="0" collapsed="false">
      <c r="A51" s="37" t="s">
        <v>97</v>
      </c>
      <c r="B51" s="38" t="n">
        <f aca="false">'Balance Sheet'!B15</f>
        <v>112512.634920635</v>
      </c>
      <c r="C51" s="38" t="n">
        <f aca="false">'Balance Sheet'!C15</f>
        <v>139478.374196825</v>
      </c>
      <c r="D51" s="38" t="n">
        <f aca="false">'Balance Sheet'!D15</f>
        <v>177812.613572156</v>
      </c>
      <c r="E51" s="37"/>
      <c r="F51" s="37"/>
      <c r="H51" s="38" t="n">
        <f aca="false">INDEX(Monthly!$C$77:$AL$77,($R$2-1)*12+1)</f>
        <v>130592.571428571</v>
      </c>
      <c r="I51" s="38" t="n">
        <f aca="false">INDEX(Monthly!$C$77:$AL$77,($R$2-1)*12+2)</f>
        <v>122853.587301587</v>
      </c>
      <c r="J51" s="38" t="n">
        <f aca="false">INDEX(Monthly!$C$77:$AL$77,($R$2-1)*12+3)</f>
        <v>116787.492063492</v>
      </c>
      <c r="K51" s="38" t="n">
        <f aca="false">INDEX(Monthly!$C$77:$AL$77,($R$2-1)*12+4)</f>
        <v>112394.285714286</v>
      </c>
      <c r="L51" s="38" t="n">
        <f aca="false">INDEX(Monthly!$C$77:$AL$77,($R$2-1)*12+5)</f>
        <v>109673.968253968</v>
      </c>
      <c r="M51" s="38" t="n">
        <f aca="false">INDEX(Monthly!$C$77:$AL$77,($R$2-1)*12+6)</f>
        <v>108626.53968254</v>
      </c>
      <c r="N51" s="38" t="n">
        <f aca="false">INDEX(Monthly!$C$77:$AL$77,($R$2-1)*12+7)</f>
        <v>109252</v>
      </c>
      <c r="O51" s="38" t="n">
        <f aca="false">INDEX(Monthly!$C$77:$AL$77,($R$2-1)*12+8)</f>
        <v>109886.349206349</v>
      </c>
      <c r="P51" s="38" t="n">
        <f aca="false">INDEX(Monthly!$C$77:$AL$77,($R$2-1)*12+9)</f>
        <v>110529.587301587</v>
      </c>
      <c r="Q51" s="38" t="n">
        <f aca="false">INDEX(Monthly!$C$77:$AL$77,($R$2-1)*12+10)</f>
        <v>111181.714285714</v>
      </c>
      <c r="R51" s="38" t="n">
        <f aca="false">INDEX(Monthly!$C$77:$AL$77,($R$2-1)*12+11)</f>
        <v>111842.73015873</v>
      </c>
      <c r="S51" s="38" t="n">
        <f aca="false">INDEX(Monthly!$C$77:$AL$77,($R$2-1)*12+12)</f>
        <v>112512.634920635</v>
      </c>
    </row>
    <row r="52" customFormat="false" ht="15" hidden="false" customHeight="false" outlineLevel="0" collapsed="false">
      <c r="A52" s="41" t="s">
        <v>98</v>
      </c>
      <c r="B52" s="42" t="n">
        <f aca="false">'Balance Sheet'!B16</f>
        <v>182650.768253968</v>
      </c>
      <c r="C52" s="42" t="n">
        <f aca="false">'Balance Sheet'!C16</f>
        <v>194057.588170159</v>
      </c>
      <c r="D52" s="42" t="n">
        <f aca="false">'Balance Sheet'!D16</f>
        <v>216873.399388242</v>
      </c>
      <c r="E52" s="41"/>
      <c r="F52" s="41"/>
      <c r="H52" s="42" t="n">
        <f aca="false">INDEX(Monthly!$C$78:$AL$78,($R$2-1)*12+1)</f>
        <v>212994.971428571</v>
      </c>
      <c r="I52" s="42" t="n">
        <f aca="false">INDEX(Monthly!$C$78:$AL$78,($R$2-1)*12+2)</f>
        <v>204323.053968254</v>
      </c>
      <c r="J52" s="42" t="n">
        <f aca="false">INDEX(Monthly!$C$78:$AL$78,($R$2-1)*12+3)</f>
        <v>197324.025396825</v>
      </c>
      <c r="K52" s="42" t="n">
        <f aca="false">INDEX(Monthly!$C$78:$AL$78,($R$2-1)*12+4)</f>
        <v>191997.885714286</v>
      </c>
      <c r="L52" s="42" t="n">
        <f aca="false">INDEX(Monthly!$C$78:$AL$78,($R$2-1)*12+5)</f>
        <v>188344.634920635</v>
      </c>
      <c r="M52" s="42" t="n">
        <f aca="false">INDEX(Monthly!$C$78:$AL$78,($R$2-1)*12+6)</f>
        <v>186364.273015873</v>
      </c>
      <c r="N52" s="42" t="n">
        <f aca="false">INDEX(Monthly!$C$78:$AL$78,($R$2-1)*12+7)</f>
        <v>186056.8</v>
      </c>
      <c r="O52" s="42" t="n">
        <f aca="false">INDEX(Monthly!$C$78:$AL$78,($R$2-1)*12+8)</f>
        <v>185357.815873016</v>
      </c>
      <c r="P52" s="42" t="n">
        <f aca="false">INDEX(Monthly!$C$78:$AL$78,($R$2-1)*12+9)</f>
        <v>184667.720634921</v>
      </c>
      <c r="Q52" s="42" t="n">
        <f aca="false">INDEX(Monthly!$C$78:$AL$78,($R$2-1)*12+10)</f>
        <v>183986.514285714</v>
      </c>
      <c r="R52" s="42" t="n">
        <f aca="false">INDEX(Monthly!$C$78:$AL$78,($R$2-1)*12+11)</f>
        <v>183314.196825397</v>
      </c>
      <c r="S52" s="42" t="n">
        <f aca="false">INDEX(Monthly!$C$78:$AL$78,($R$2-1)*12+12)</f>
        <v>182650.768253968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99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102</v>
      </c>
      <c r="B6" s="35" t="s">
        <v>103</v>
      </c>
      <c r="C6" s="35" t="s">
        <v>104</v>
      </c>
      <c r="D6" s="35" t="s">
        <v>105</v>
      </c>
      <c r="E6" s="35" t="s">
        <v>106</v>
      </c>
    </row>
    <row r="7" customFormat="false" ht="15" hidden="false" customHeight="false" outlineLevel="0" collapsed="false">
      <c r="A7" s="6" t="s">
        <v>107</v>
      </c>
      <c r="B7" s="51" t="n">
        <f aca="false">Inputs!$B$7</f>
        <v>120</v>
      </c>
      <c r="C7" s="51" t="n">
        <f aca="false">Inputs!$C$7</f>
        <v>160</v>
      </c>
      <c r="D7" s="51" t="n">
        <f aca="false">Inputs!$D$7</f>
        <v>210</v>
      </c>
      <c r="E7" s="52" t="n">
        <f aca="false">Inputs!$E$7</f>
        <v>160</v>
      </c>
    </row>
    <row r="8" customFormat="false" ht="15" hidden="false" customHeight="false" outlineLevel="0" collapsed="false">
      <c r="A8" s="6" t="s">
        <v>108</v>
      </c>
      <c r="B8" s="53" t="n">
        <f aca="false">Inputs!$B$11</f>
        <v>5.5</v>
      </c>
      <c r="C8" s="53" t="n">
        <f aca="false">Inputs!$C$11</f>
        <v>6.5</v>
      </c>
      <c r="D8" s="53" t="n">
        <f aca="false">Inputs!$D$11</f>
        <v>7.5</v>
      </c>
      <c r="E8" s="54" t="n">
        <f aca="false">Inputs!$E$11</f>
        <v>6.5</v>
      </c>
    </row>
    <row r="9" customFormat="false" ht="15" hidden="false" customHeight="false" outlineLevel="0" collapsed="false">
      <c r="A9" s="6" t="s">
        <v>109</v>
      </c>
      <c r="B9" s="51" t="n">
        <f aca="false">Inputs!$B$13</f>
        <v>30</v>
      </c>
      <c r="C9" s="51" t="n">
        <f aca="false">Inputs!$C$13</f>
        <v>30</v>
      </c>
      <c r="D9" s="51" t="n">
        <f aca="false">Inputs!$D$13</f>
        <v>30</v>
      </c>
      <c r="E9" s="52" t="n">
        <f aca="false">Inputs!$E$13</f>
        <v>30</v>
      </c>
    </row>
    <row r="10" customFormat="false" ht="15" hidden="false" customHeight="false" outlineLevel="0" collapsed="false">
      <c r="A10" s="6" t="s">
        <v>110</v>
      </c>
      <c r="B10" s="55" t="n">
        <f aca="false">Inputs!$B$14</f>
        <v>0.36</v>
      </c>
      <c r="C10" s="55" t="n">
        <f aca="false">Inputs!$C$14</f>
        <v>0.33</v>
      </c>
      <c r="D10" s="55" t="n">
        <f aca="false">Inputs!$D$14</f>
        <v>0.3</v>
      </c>
      <c r="E10" s="56" t="n">
        <f aca="false">Inputs!$E$14</f>
        <v>0.33</v>
      </c>
    </row>
    <row r="11" customFormat="false" ht="15" hidden="false" customHeight="false" outlineLevel="0" collapsed="false">
      <c r="A11" s="6" t="s">
        <v>111</v>
      </c>
      <c r="B11" s="57" t="n">
        <f aca="false">Inputs!$B$15</f>
        <v>4500</v>
      </c>
      <c r="C11" s="57" t="n">
        <f aca="false">Inputs!$C$15</f>
        <v>4500</v>
      </c>
      <c r="D11" s="57" t="n">
        <f aca="false">Inputs!$D$15</f>
        <v>4500</v>
      </c>
      <c r="E11" s="58" t="n">
        <f aca="false">Inputs!$E$15</f>
        <v>4500</v>
      </c>
    </row>
    <row r="12" customFormat="false" ht="15" hidden="false" customHeight="false" outlineLevel="0" collapsed="false">
      <c r="A12" s="6" t="s">
        <v>112</v>
      </c>
      <c r="B12" s="57" t="n">
        <f aca="false">Inputs!$B$18</f>
        <v>180000</v>
      </c>
      <c r="C12" s="57" t="n">
        <f aca="false">Inputs!$C$18</f>
        <v>160000</v>
      </c>
      <c r="D12" s="57" t="n">
        <f aca="false">Inputs!$D$18</f>
        <v>150000</v>
      </c>
      <c r="E12" s="58" t="n">
        <f aca="false">Inputs!$E$18</f>
        <v>160000</v>
      </c>
    </row>
    <row r="13" customFormat="false" ht="15" hidden="false" customHeight="false" outlineLevel="0" collapsed="false">
      <c r="A13" s="6" t="s">
        <v>113</v>
      </c>
      <c r="B13" s="57" t="n">
        <f aca="false">Inputs!$B$29</f>
        <v>140000</v>
      </c>
      <c r="C13" s="57" t="n">
        <f aca="false">Inputs!$C$29</f>
        <v>140000</v>
      </c>
      <c r="D13" s="57" t="n">
        <f aca="false">Inputs!$D$29</f>
        <v>140000</v>
      </c>
      <c r="E13" s="58" t="n">
        <f aca="false">Inputs!$E$29</f>
        <v>140000</v>
      </c>
    </row>
    <row r="15" customFormat="false" ht="15.75" hidden="false" customHeight="true" outlineLevel="0" collapsed="false">
      <c r="A15" s="7" t="s">
        <v>114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115</v>
      </c>
      <c r="B16" s="35" t="s">
        <v>103</v>
      </c>
      <c r="C16" s="35" t="s">
        <v>104</v>
      </c>
      <c r="D16" s="35" t="s">
        <v>105</v>
      </c>
      <c r="E16" s="35" t="s">
        <v>106</v>
      </c>
    </row>
    <row r="17" customFormat="false" ht="15" hidden="false" customHeight="false" outlineLevel="0" collapsed="false">
      <c r="A17" s="6" t="s">
        <v>116</v>
      </c>
      <c r="B17" s="59" t="n">
        <f aca="false">D30</f>
        <v>262253.461536</v>
      </c>
      <c r="C17" s="59" t="n">
        <f aca="false">D31</f>
        <v>446294.998656</v>
      </c>
      <c r="D17" s="59" t="n">
        <f aca="false">D32</f>
        <v>728622.76032</v>
      </c>
      <c r="E17" s="60" t="n">
        <f aca="false">'P&amp;L'!D5</f>
        <v>446294.998656</v>
      </c>
    </row>
    <row r="18" customFormat="false" ht="15" hidden="false" customHeight="false" outlineLevel="0" collapsed="false">
      <c r="A18" s="6" t="s">
        <v>117</v>
      </c>
      <c r="B18" s="59" t="n">
        <f aca="false">SUM(B30:D30)</f>
        <v>690076.021536</v>
      </c>
      <c r="C18" s="59" t="n">
        <f aca="false">SUM(B31:D31)</f>
        <v>1174864.918656</v>
      </c>
      <c r="D18" s="59" t="n">
        <f aca="false">SUM(B32:D32)</f>
        <v>1891123.96032</v>
      </c>
      <c r="E18" s="60" t="n">
        <f aca="false">SUM('P&amp;L'!$B$5:$D$5)</f>
        <v>1174864.918656</v>
      </c>
    </row>
    <row r="19" customFormat="false" ht="15" hidden="false" customHeight="false" outlineLevel="0" collapsed="false">
      <c r="A19" s="6" t="s">
        <v>118</v>
      </c>
      <c r="B19" s="59" t="n">
        <f aca="false">D36</f>
        <v>-29986.6430784</v>
      </c>
      <c r="C19" s="59" t="n">
        <f aca="false">D37</f>
        <v>74549.5031398401</v>
      </c>
      <c r="D19" s="59" t="n">
        <f aca="false">D38</f>
        <v>248580.9614144</v>
      </c>
      <c r="E19" s="60" t="n">
        <f aca="false">'P&amp;L'!D14</f>
        <v>74549.5031398401</v>
      </c>
    </row>
    <row r="20" customFormat="false" ht="15" hidden="false" customHeight="false" outlineLevel="0" collapsed="false">
      <c r="A20" s="6" t="s">
        <v>119</v>
      </c>
      <c r="B20" s="61" t="n">
        <f aca="false">IF(B17=0,0,B19/B17)</f>
        <v>-0.114342220319116</v>
      </c>
      <c r="C20" s="61" t="n">
        <f aca="false">IF(C17=0,0,C19/C17)</f>
        <v>0.167040866163284</v>
      </c>
      <c r="D20" s="61" t="n">
        <f aca="false">IF(D17=0,0,D19/D17)</f>
        <v>0.341165517949545</v>
      </c>
      <c r="E20" s="62" t="n">
        <f aca="false">IF(E17=0,0,E19/E17)</f>
        <v>0.167040866163284</v>
      </c>
    </row>
    <row r="21" customFormat="false" ht="15" hidden="false" customHeight="false" outlineLevel="0" collapsed="false">
      <c r="A21" s="6" t="s">
        <v>120</v>
      </c>
      <c r="B21" s="59" t="n">
        <f aca="false">D42</f>
        <v>-59007.5954593524</v>
      </c>
      <c r="C21" s="59" t="n">
        <f aca="false">D43</f>
        <v>38334.2393753308</v>
      </c>
      <c r="D21" s="59" t="n">
        <f aca="false">D44</f>
        <v>176838.121422138</v>
      </c>
      <c r="E21" s="60" t="n">
        <f aca="false">'P&amp;L'!D21</f>
        <v>38334.2393753308</v>
      </c>
    </row>
    <row r="22" customFormat="false" ht="15" hidden="false" customHeight="false" outlineLevel="0" collapsed="false">
      <c r="A22" s="6" t="s">
        <v>121</v>
      </c>
      <c r="B22" s="59" t="n">
        <f aca="false">SUM(B42:D42)</f>
        <v>-229615.519776813</v>
      </c>
      <c r="C22" s="59" t="n">
        <f aca="false">SUM(B43:D43)</f>
        <v>37812.6135721562</v>
      </c>
      <c r="D22" s="59" t="n">
        <f aca="false">SUM(B44:D44)</f>
        <v>382522.657502773</v>
      </c>
      <c r="E22" s="60" t="n">
        <f aca="false">SUM('P&amp;L'!$B$21:$D$21)</f>
        <v>37812.6135721562</v>
      </c>
    </row>
    <row r="23" customFormat="false" ht="15" hidden="false" customHeight="false" outlineLevel="0" collapsed="false">
      <c r="A23" s="6" t="s">
        <v>122</v>
      </c>
      <c r="B23" s="59" t="n">
        <f aca="false">D48</f>
        <v>-158760.51874507</v>
      </c>
      <c r="C23" s="59" t="n">
        <f aca="false">D49</f>
        <v>120101.685059094</v>
      </c>
      <c r="D23" s="59" t="n">
        <f aca="false">D50</f>
        <v>470344.100333021</v>
      </c>
      <c r="E23" s="60" t="n">
        <f aca="false">'Balance Sheet'!D5</f>
        <v>120101.685059094</v>
      </c>
    </row>
    <row r="24" customFormat="false" ht="15" hidden="false" customHeight="false" outlineLevel="0" collapsed="false">
      <c r="A24" s="6" t="s">
        <v>123</v>
      </c>
      <c r="B24" s="59" t="n">
        <f aca="false">MIN('Scenario calc'!$C$63:$AL$63)</f>
        <v>-158760.51874507</v>
      </c>
      <c r="C24" s="59" t="n">
        <f aca="false">MIN('Scenario calc'!$C$151:$AL$151)</f>
        <v>33683.9777777778</v>
      </c>
      <c r="D24" s="59" t="n">
        <f aca="false">MIN('Scenario calc'!$C$239:$AL$239)</f>
        <v>69362.3333333333</v>
      </c>
      <c r="E24" s="60" t="n">
        <f aca="false">'Break-even'!B18</f>
        <v>33683.9777777778</v>
      </c>
    </row>
    <row r="25" customFormat="false" ht="15" hidden="false" customHeight="false" outlineLevel="0" collapsed="false">
      <c r="A25" s="6" t="s">
        <v>124</v>
      </c>
      <c r="B25" s="63" t="n">
        <f aca="false">MATCH(MIN('Scenario calc'!$C$63:$AL$63),'Scenario calc'!$C$63:$AL$63,0)</f>
        <v>36</v>
      </c>
      <c r="C25" s="63" t="n">
        <f aca="false">MATCH(MIN('Scenario calc'!$C$151:$AL$151),'Scenario calc'!$C$151:$AL$151,0)</f>
        <v>6</v>
      </c>
      <c r="D25" s="63" t="n">
        <f aca="false">MATCH(MIN('Scenario calc'!$C$239:$AL$239),'Scenario calc'!$C$239:$AL$239,0)</f>
        <v>1</v>
      </c>
      <c r="E25" s="64" t="n">
        <f aca="false">'Break-even'!B6</f>
        <v>6</v>
      </c>
    </row>
    <row r="26" customFormat="false" ht="15" hidden="false" customHeight="false" outlineLevel="0" collapsed="false">
      <c r="A26" s="4" t="s">
        <v>64</v>
      </c>
      <c r="B26" s="59" t="n">
        <f aca="false">SUMPRODUCT(--('Scenario calc'!$C$6:$AL$6&lt;=B25),'Scenario calc'!$C$36:$AL$36)-SUMPRODUCT(--('Scenario calc'!$C$6:$AL$6&lt;=B25),'Scenario calc'!$C$57:$AL$57)-SUMPRODUCT(--('Scenario calc'!$C$6:$AL$6&lt;=B25),'Scenario calc'!$C$45:$AL$45)+Inputs!$B$44</f>
        <v>431760.51874507</v>
      </c>
      <c r="C26" s="59" t="n">
        <f aca="false">SUMPRODUCT(--('Scenario calc'!$C$94:$AL$94&lt;=C25),'Scenario calc'!$C$124:$AL$124)-SUMPRODUCT(--('Scenario calc'!$C$94:$AL$94&lt;=C25),'Scenario calc'!$C$145:$AL$145)-SUMPRODUCT(--('Scenario calc'!$C$94:$AL$94&lt;=C25),'Scenario calc'!$C$133:$AL$133)+Inputs!$C$44</f>
        <v>239316.022222222</v>
      </c>
      <c r="D26" s="59" t="n">
        <f aca="false">SUMPRODUCT(--('Scenario calc'!$C$182:$AL$182&lt;=D25),'Scenario calc'!$C$212:$AL$212)-SUMPRODUCT(--('Scenario calc'!$C$182:$AL$182&lt;=D25),'Scenario calc'!$C$233:$AL$233)-SUMPRODUCT(--('Scenario calc'!$C$182:$AL$182&lt;=D25),'Scenario calc'!$C$221:$AL$221)+Inputs!$D$44</f>
        <v>203637.666666667</v>
      </c>
      <c r="E26" s="60" t="n">
        <f aca="false">'Break-even'!B12</f>
        <v>239316.022222222</v>
      </c>
    </row>
    <row r="28" customFormat="false" ht="15.75" hidden="false" customHeight="true" outlineLevel="0" collapsed="false">
      <c r="A28" s="7" t="s">
        <v>125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126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103</v>
      </c>
      <c r="B30" s="59" t="n">
        <f aca="false">SUMIF('Scenario calc'!$C$7:$AL$7,B$29,'Scenario calc'!$C$14:$AL$14)</f>
        <v>178200</v>
      </c>
      <c r="C30" s="59" t="n">
        <f aca="false">SUMIF('Scenario calc'!$C$7:$AL$7,C$29,'Scenario calc'!$C$14:$AL$14)</f>
        <v>249622.56</v>
      </c>
      <c r="D30" s="59" t="n">
        <f aca="false">SUMIF('Scenario calc'!$C$7:$AL$7,D$29,'Scenario calc'!$C$14:$AL$14)</f>
        <v>262253.461536</v>
      </c>
    </row>
    <row r="31" customFormat="false" ht="15" hidden="false" customHeight="false" outlineLevel="0" collapsed="false">
      <c r="A31" s="6" t="s">
        <v>104</v>
      </c>
      <c r="B31" s="59" t="n">
        <f aca="false">SUMIF('Scenario calc'!$C$95:$AL$95,B$29,'Scenario calc'!$C$102:$AL$102)</f>
        <v>319800</v>
      </c>
      <c r="C31" s="59" t="n">
        <f aca="false">SUMIF('Scenario calc'!$C$95:$AL$95,C$29,'Scenario calc'!$C$102:$AL$102)</f>
        <v>408769.92</v>
      </c>
      <c r="D31" s="59" t="n">
        <f aca="false">SUMIF('Scenario calc'!$C$95:$AL$95,D$29,'Scenario calc'!$C$102:$AL$102)</f>
        <v>446294.998656</v>
      </c>
    </row>
    <row r="32" customFormat="false" ht="15" hidden="false" customHeight="false" outlineLevel="0" collapsed="false">
      <c r="A32" s="6" t="s">
        <v>105</v>
      </c>
      <c r="B32" s="59" t="n">
        <f aca="false">SUMIF('Scenario calc'!$C$183:$AL$183,B$29,'Scenario calc'!$C$190:$AL$190)</f>
        <v>519750</v>
      </c>
      <c r="C32" s="59" t="n">
        <f aca="false">SUMIF('Scenario calc'!$C$183:$AL$183,C$29,'Scenario calc'!$C$190:$AL$190)</f>
        <v>642751.2</v>
      </c>
      <c r="D32" s="59" t="n">
        <f aca="false">SUMIF('Scenario calc'!$C$183:$AL$183,D$29,'Scenario calc'!$C$190:$AL$190)</f>
        <v>728622.76032</v>
      </c>
    </row>
    <row r="34" customFormat="false" ht="15.75" hidden="false" customHeight="true" outlineLevel="0" collapsed="false">
      <c r="A34" s="7" t="s">
        <v>127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126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103</v>
      </c>
      <c r="B36" s="59" t="n">
        <f aca="false">SUMIF('Scenario calc'!$C$7:$AL$7,B$35,'Scenario calc'!$C$24:$AL$24)</f>
        <v>-74280</v>
      </c>
      <c r="C36" s="59" t="n">
        <f aca="false">SUMIF('Scenario calc'!$C$7:$AL$7,C$35,'Scenario calc'!$C$24:$AL$24)</f>
        <v>-34450.464</v>
      </c>
      <c r="D36" s="59" t="n">
        <f aca="false">SUMIF('Scenario calc'!$C$7:$AL$7,D$35,'Scenario calc'!$C$24:$AL$24)</f>
        <v>-29986.6430784</v>
      </c>
    </row>
    <row r="37" customFormat="false" ht="15" hidden="false" customHeight="false" outlineLevel="0" collapsed="false">
      <c r="A37" s="6" t="s">
        <v>104</v>
      </c>
      <c r="B37" s="59" t="n">
        <f aca="false">SUMIF('Scenario calc'!$C$95:$AL$95,B$35,'Scenario calc'!$C$112:$AL$112)</f>
        <v>1231.99999999997</v>
      </c>
      <c r="C37" s="59" t="n">
        <f aca="false">SUMIF('Scenario calc'!$C$95:$AL$95,C$35,'Scenario calc'!$C$112:$AL$112)</f>
        <v>54409.5488</v>
      </c>
      <c r="D37" s="59" t="n">
        <f aca="false">SUMIF('Scenario calc'!$C$95:$AL$95,D$35,'Scenario calc'!$C$112:$AL$112)</f>
        <v>74549.5031398401</v>
      </c>
    </row>
    <row r="38" customFormat="false" ht="15" hidden="false" customHeight="false" outlineLevel="0" collapsed="false">
      <c r="A38" s="6" t="s">
        <v>105</v>
      </c>
      <c r="B38" s="59" t="n">
        <f aca="false">SUMIF('Scenario calc'!$C$183:$AL$183,B$35,'Scenario calc'!$C$200:$AL$200)</f>
        <v>117912.5</v>
      </c>
      <c r="C38" s="59" t="n">
        <f aca="false">SUMIF('Scenario calc'!$C$183:$AL$183,C$35,'Scenario calc'!$C$200:$AL$200)</f>
        <v>195753.704</v>
      </c>
      <c r="D38" s="59" t="n">
        <f aca="false">SUMIF('Scenario calc'!$C$183:$AL$183,D$35,'Scenario calc'!$C$200:$AL$200)</f>
        <v>248580.9614144</v>
      </c>
    </row>
    <row r="40" customFormat="false" ht="15.75" hidden="false" customHeight="true" outlineLevel="0" collapsed="false">
      <c r="A40" s="7" t="s">
        <v>128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126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103</v>
      </c>
      <c r="B42" s="59" t="n">
        <f aca="false">SUMIF('Scenario calc'!$C$7:$AL$7,B$41,'Scenario calc'!$C$33:$AL$33)</f>
        <v>-105856.507936508</v>
      </c>
      <c r="C42" s="59" t="n">
        <f aca="false">SUMIF('Scenario calc'!$C$7:$AL$7,C$41,'Scenario calc'!$C$33:$AL$33)</f>
        <v>-64751.4163809524</v>
      </c>
      <c r="D42" s="59" t="n">
        <f aca="false">SUMIF('Scenario calc'!$C$7:$AL$7,D$41,'Scenario calc'!$C$33:$AL$33)</f>
        <v>-59007.5954593524</v>
      </c>
    </row>
    <row r="43" customFormat="false" ht="15" hidden="false" customHeight="false" outlineLevel="0" collapsed="false">
      <c r="A43" s="6" t="s">
        <v>104</v>
      </c>
      <c r="B43" s="59" t="n">
        <f aca="false">SUMIF('Scenario calc'!$C$95:$AL$95,B$41,'Scenario calc'!$C$121:$AL$121)</f>
        <v>-27487.3650793651</v>
      </c>
      <c r="C43" s="59" t="n">
        <f aca="false">SUMIF('Scenario calc'!$C$95:$AL$95,C$41,'Scenario calc'!$C$121:$AL$121)</f>
        <v>26965.7392761905</v>
      </c>
      <c r="D43" s="59" t="n">
        <f aca="false">SUMIF('Scenario calc'!$C$95:$AL$95,D$41,'Scenario calc'!$C$121:$AL$121)</f>
        <v>38334.2393753308</v>
      </c>
    </row>
    <row r="44" customFormat="false" ht="15" hidden="false" customHeight="false" outlineLevel="0" collapsed="false">
      <c r="A44" s="6" t="s">
        <v>105</v>
      </c>
      <c r="B44" s="59" t="n">
        <f aca="false">SUMIF('Scenario calc'!$C$183:$AL$183,B$41,'Scenario calc'!$C$209:$AL$209)</f>
        <v>71591.148015873</v>
      </c>
      <c r="C44" s="59" t="n">
        <f aca="false">SUMIF('Scenario calc'!$C$183:$AL$183,C$41,'Scenario calc'!$C$209:$AL$209)</f>
        <v>134093.388064762</v>
      </c>
      <c r="D44" s="59" t="n">
        <f aca="false">SUMIF('Scenario calc'!$C$183:$AL$183,D$41,'Scenario calc'!$C$209:$AL$209)</f>
        <v>176838.121422138</v>
      </c>
    </row>
    <row r="46" customFormat="false" ht="15.75" hidden="false" customHeight="true" outlineLevel="0" collapsed="false">
      <c r="A46" s="7" t="s">
        <v>129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126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103</v>
      </c>
      <c r="B48" s="59" t="n">
        <f aca="false">INDEX('Scenario calc'!$C$63:$AL$63,B$47*12)</f>
        <v>-54465.6888888889</v>
      </c>
      <c r="C48" s="59" t="n">
        <f aca="false">INDEX('Scenario calc'!$C$63:$AL$63,C$47*12)</f>
        <v>-109485.453635556</v>
      </c>
      <c r="D48" s="59" t="n">
        <f aca="false">INDEX('Scenario calc'!$C$63:$AL$63,D$47*12)</f>
        <v>-158760.51874507</v>
      </c>
    </row>
    <row r="49" customFormat="false" ht="15" hidden="false" customHeight="false" outlineLevel="0" collapsed="false">
      <c r="A49" s="6" t="s">
        <v>104</v>
      </c>
      <c r="B49" s="59" t="n">
        <f aca="false">INDEX('Scenario calc'!$C$151:$AL$151,B$47*12)</f>
        <v>41025.5111111111</v>
      </c>
      <c r="C49" s="59" t="n">
        <f aca="false">INDEX('Scenario calc'!$C$151:$AL$151,C$47*12)</f>
        <v>74877.9895644444</v>
      </c>
      <c r="D49" s="59" t="n">
        <f aca="false">INDEX('Scenario calc'!$C$151:$AL$151,D$47*12)</f>
        <v>120101.685059094</v>
      </c>
    </row>
    <row r="50" customFormat="false" ht="15" hidden="false" customHeight="false" outlineLevel="0" collapsed="false">
      <c r="A50" s="6" t="s">
        <v>105</v>
      </c>
      <c r="B50" s="59" t="n">
        <f aca="false">INDEX('Scenario calc'!$C$239:$AL$239,B$47*12)</f>
        <v>148510.552777778</v>
      </c>
      <c r="C50" s="59" t="n">
        <f aca="false">INDEX('Scenario calc'!$C$239:$AL$239,C$47*12)</f>
        <v>288053.554271111</v>
      </c>
      <c r="D50" s="59" t="n">
        <f aca="false">INDEX('Scenario calc'!$C$239:$AL$239,D$47*12)</f>
        <v>470344.100333021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131</v>
      </c>
    </row>
    <row r="3" customFormat="false" ht="15" hidden="false" customHeight="false" outlineLevel="0" collapsed="false">
      <c r="A3" s="4" t="s">
        <v>132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133</v>
      </c>
      <c r="B5" s="7"/>
      <c r="C5" s="7"/>
      <c r="D5" s="7"/>
    </row>
    <row r="6" customFormat="false" ht="15" hidden="false" customHeight="false" outlineLevel="0" collapsed="false">
      <c r="A6" s="6" t="s">
        <v>124</v>
      </c>
      <c r="B6" s="63" t="n">
        <f aca="false">MATCH(MIN(Monthly!$C$61:$AL$61),Monthly!$C$61:$AL$61,0)</f>
        <v>6</v>
      </c>
    </row>
    <row r="7" customFormat="false" ht="15" hidden="false" customHeight="false" outlineLevel="0" collapsed="false">
      <c r="A7" s="6" t="s">
        <v>134</v>
      </c>
      <c r="B7" s="65" t="n">
        <f aca="false">SUMPRODUCT(--(Monthly!$C$4:$AL$4&lt;=$B$6),Monthly!$C$34:$AL$34)</f>
        <v>160000</v>
      </c>
    </row>
    <row r="8" customFormat="false" ht="15" hidden="false" customHeight="false" outlineLevel="0" collapsed="false">
      <c r="A8" s="6" t="s">
        <v>135</v>
      </c>
      <c r="B8" s="65" t="n">
        <f aca="false">-SUMPRODUCT(--(Monthly!$C$4:$AL$4&lt;=$B$6),Monthly!$C$55:$AL$55)</f>
        <v>19649.3555555556</v>
      </c>
      <c r="D8" s="18" t="s">
        <v>136</v>
      </c>
    </row>
    <row r="9" customFormat="false" ht="15" hidden="false" customHeight="false" outlineLevel="0" collapsed="false">
      <c r="A9" s="6" t="s">
        <v>137</v>
      </c>
      <c r="B9" s="65" t="n">
        <f aca="false">-SUMPRODUCT(--(Monthly!$C$4:$AL$4&lt;=$B$6),Monthly!$C$43:$AL$43)</f>
        <v>6666.66666666667</v>
      </c>
    </row>
    <row r="10" customFormat="false" ht="15" hidden="false" customHeight="false" outlineLevel="0" collapsed="false">
      <c r="A10" s="4" t="s">
        <v>138</v>
      </c>
      <c r="B10" s="66" t="n">
        <f aca="false">B7+B8+B9</f>
        <v>186316.022222222</v>
      </c>
    </row>
    <row r="11" customFormat="false" ht="15" hidden="false" customHeight="false" outlineLevel="0" collapsed="false">
      <c r="A11" s="6" t="s">
        <v>139</v>
      </c>
      <c r="B11" s="67" t="n">
        <f aca="false">Inputs!$E$44</f>
        <v>53000</v>
      </c>
      <c r="D11" s="18" t="s">
        <v>140</v>
      </c>
    </row>
    <row r="12" customFormat="false" ht="15" hidden="false" customHeight="false" outlineLevel="0" collapsed="false">
      <c r="A12" s="4" t="s">
        <v>141</v>
      </c>
      <c r="B12" s="66" t="n">
        <f aca="false">B10+B11</f>
        <v>239316.022222222</v>
      </c>
    </row>
    <row r="14" customFormat="false" ht="15" hidden="false" customHeight="false" outlineLevel="0" collapsed="false">
      <c r="A14" s="6" t="s">
        <v>62</v>
      </c>
      <c r="B14" s="67" t="n">
        <f aca="false">Inputs!$E$29</f>
        <v>140000</v>
      </c>
    </row>
    <row r="15" customFormat="false" ht="15" hidden="false" customHeight="false" outlineLevel="0" collapsed="false">
      <c r="A15" s="6" t="s">
        <v>63</v>
      </c>
      <c r="B15" s="67" t="n">
        <f aca="false">Inputs!$E$30</f>
        <v>80000</v>
      </c>
    </row>
    <row r="16" customFormat="false" ht="15" hidden="false" customHeight="false" outlineLevel="0" collapsed="false">
      <c r="A16" s="4" t="s">
        <v>142</v>
      </c>
      <c r="B16" s="66" t="n">
        <f aca="false">B14+B15</f>
        <v>220000</v>
      </c>
    </row>
    <row r="17" customFormat="false" ht="15" hidden="false" customHeight="false" outlineLevel="0" collapsed="false">
      <c r="A17" s="68" t="s">
        <v>65</v>
      </c>
      <c r="B17" s="69" t="n">
        <f aca="false">B16-B12</f>
        <v>-19316.0222222222</v>
      </c>
      <c r="D17" s="18" t="s">
        <v>143</v>
      </c>
    </row>
    <row r="18" customFormat="false" ht="15" hidden="false" customHeight="false" outlineLevel="0" collapsed="false">
      <c r="A18" s="6" t="s">
        <v>144</v>
      </c>
      <c r="B18" s="65" t="n">
        <f aca="false">MIN(Monthly!$C$61:$AL$61)</f>
        <v>33683.9777777778</v>
      </c>
      <c r="D18" s="18" t="s">
        <v>145</v>
      </c>
    </row>
    <row r="20" customFormat="false" ht="15.75" hidden="false" customHeight="true" outlineLevel="0" collapsed="false">
      <c r="A20" s="7" t="s">
        <v>146</v>
      </c>
      <c r="B20" s="7"/>
      <c r="C20" s="7"/>
      <c r="D20" s="7"/>
    </row>
    <row r="21" customFormat="false" ht="15" hidden="false" customHeight="false" outlineLevel="0" collapsed="false">
      <c r="A21" s="6" t="s">
        <v>147</v>
      </c>
      <c r="B21" s="63" t="n">
        <f aca="false">IFERROR(MATCH(1,Monthly!$C$62:$AL$62,0),"Not within horizon")</f>
        <v>6</v>
      </c>
    </row>
    <row r="22" customFormat="false" ht="15" hidden="false" customHeight="false" outlineLevel="0" collapsed="false">
      <c r="A22" s="6" t="s">
        <v>148</v>
      </c>
      <c r="B22" s="63" t="n">
        <f aca="false">IFERROR(MATCH(1,Monthly!$C$65:$AL$65,0),"Not within horizon")</f>
        <v>7</v>
      </c>
    </row>
    <row r="23" customFormat="false" ht="15" hidden="false" customHeight="false" outlineLevel="0" collapsed="false">
      <c r="A23" s="6" t="s">
        <v>149</v>
      </c>
      <c r="B23" s="63" t="str">
        <f aca="false">IF(MIN(Monthly!$C$67:$AL$67)&gt;=0,"No investment to pay back",IFERROR(MATCH(1,Monthly!$C$69:$AL$69,0),"Not within horizon"))</f>
        <v>Not within horizon</v>
      </c>
      <c r="D23" s="18" t="s">
        <v>150</v>
      </c>
    </row>
    <row r="25" customFormat="false" ht="15.75" hidden="false" customHeight="true" outlineLevel="0" collapsed="false">
      <c r="A25" s="7" t="s">
        <v>151</v>
      </c>
      <c r="B25" s="7"/>
      <c r="C25" s="7"/>
      <c r="D25" s="7"/>
    </row>
    <row r="26" customFormat="false" ht="15" hidden="false" customHeight="false" outlineLevel="0" collapsed="false">
      <c r="A26" s="70" t="s">
        <v>152</v>
      </c>
      <c r="B26" s="70" t="n">
        <v>1</v>
      </c>
      <c r="C26" s="70" t="n">
        <v>2</v>
      </c>
      <c r="D26" s="70" t="n">
        <v>3</v>
      </c>
    </row>
    <row r="27" customFormat="false" ht="15" hidden="false" customHeight="false" outlineLevel="0" collapsed="false">
      <c r="A27" s="33"/>
      <c r="B27" s="35" t="s">
        <v>153</v>
      </c>
      <c r="C27" s="35" t="s">
        <v>154</v>
      </c>
      <c r="D27" s="35" t="s">
        <v>155</v>
      </c>
    </row>
    <row r="28" customFormat="false" ht="15" hidden="false" customHeight="false" outlineLevel="0" collapsed="false">
      <c r="A28" s="4" t="s">
        <v>44</v>
      </c>
      <c r="B28" s="71" t="n">
        <f aca="false">SUMIF(Monthly!$C$5:$AL$5,B$26,Monthly!$C$12:$AL$12)</f>
        <v>319800</v>
      </c>
      <c r="C28" s="71" t="n">
        <f aca="false">SUMIF(Monthly!$C$5:$AL$5,C$26,Monthly!$C$12:$AL$12)</f>
        <v>408769.92</v>
      </c>
      <c r="D28" s="71" t="n">
        <f aca="false">SUMIF(Monthly!$C$5:$AL$5,D$26,Monthly!$C$12:$AL$12)</f>
        <v>446294.998656</v>
      </c>
    </row>
    <row r="29" customFormat="false" ht="15" hidden="false" customHeight="false" outlineLevel="0" collapsed="false">
      <c r="A29" s="6" t="s">
        <v>45</v>
      </c>
      <c r="B29" s="65" t="n">
        <f aca="false">SUMIF(Monthly!$C$5:$AL$5,B$26,Monthly!$C$14:$AL$14)</f>
        <v>214266</v>
      </c>
      <c r="C29" s="65" t="n">
        <f aca="false">SUMIF(Monthly!$C$5:$AL$5,C$26,Monthly!$C$14:$AL$14)</f>
        <v>273875.8464</v>
      </c>
      <c r="D29" s="65" t="n">
        <f aca="false">SUMIF(Monthly!$C$5:$AL$5,D$26,Monthly!$C$14:$AL$14)</f>
        <v>299017.64909952</v>
      </c>
    </row>
    <row r="30" customFormat="false" ht="15" hidden="false" customHeight="false" outlineLevel="0" collapsed="false">
      <c r="A30" s="39" t="s">
        <v>156</v>
      </c>
      <c r="B30" s="72" t="n">
        <f aca="false">IF(B28=0,0,B29/B28)</f>
        <v>0.67</v>
      </c>
      <c r="C30" s="72" t="n">
        <f aca="false">IF(C28=0,0,C29/C28)</f>
        <v>0.67</v>
      </c>
      <c r="D30" s="72" t="n">
        <f aca="false">IF(D28=0,0,D29/D28)</f>
        <v>0.67</v>
      </c>
    </row>
    <row r="31" customFormat="false" ht="15" hidden="false" customHeight="false" outlineLevel="0" collapsed="false">
      <c r="A31" s="6" t="s">
        <v>157</v>
      </c>
      <c r="B31" s="65" t="n">
        <f aca="false">-SUMIF(Monthly!$C$5:$AL$5,B$26,Monthly!$C$21:$AL$21)</f>
        <v>213034</v>
      </c>
      <c r="C31" s="65" t="n">
        <f aca="false">-SUMIF(Monthly!$C$5:$AL$5,C$26,Monthly!$C$21:$AL$21)</f>
        <v>219466.2976</v>
      </c>
      <c r="D31" s="65" t="n">
        <f aca="false">-SUMIF(Monthly!$C$5:$AL$5,D$26,Monthly!$C$21:$AL$21)</f>
        <v>224468.14595968</v>
      </c>
    </row>
    <row r="32" customFormat="false" ht="15" hidden="false" customHeight="false" outlineLevel="0" collapsed="false">
      <c r="A32" s="4" t="s">
        <v>158</v>
      </c>
      <c r="B32" s="71" t="n">
        <f aca="false">IF(B30&gt;0,B31/B30,"n/a")</f>
        <v>317961.194029851</v>
      </c>
      <c r="C32" s="71" t="n">
        <f aca="false">IF(C30&gt;0,C31/C30,"n/a")</f>
        <v>327561.638208955</v>
      </c>
      <c r="D32" s="71" t="n">
        <f aca="false">IF(D30&gt;0,D31/D30,"n/a")</f>
        <v>335027.083521911</v>
      </c>
    </row>
    <row r="33" customFormat="false" ht="15" hidden="false" customHeight="false" outlineLevel="0" collapsed="false">
      <c r="A33" s="39" t="s">
        <v>159</v>
      </c>
      <c r="B33" s="72" t="n">
        <f aca="false">IF(AND(ISNUMBER(B32),B28&gt;0),(B28-B32)/B28,"n/a")</f>
        <v>0.00574986232066676</v>
      </c>
      <c r="C33" s="72" t="n">
        <f aca="false">IF(AND(ISNUMBER(C32),C28&gt;0),(C28-C32)/C28,"n/a")</f>
        <v>0.198665013783413</v>
      </c>
      <c r="D33" s="72" t="n">
        <f aca="false">IF(AND(ISNUMBER(D32),D28&gt;0),(D28-D32)/D28,"n/a")</f>
        <v>0.249314725616842</v>
      </c>
    </row>
    <row r="35" customFormat="false" ht="15" hidden="false" customHeight="false" outlineLevel="0" collapsed="false">
      <c r="A35" s="39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162</v>
      </c>
    </row>
    <row r="3" customFormat="false" ht="15" hidden="false" customHeight="false" outlineLevel="0" collapsed="false">
      <c r="A3" s="4" t="s">
        <v>132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164</v>
      </c>
      <c r="B6" s="73" t="n">
        <f aca="false">Inputs!$E$47</f>
        <v>0.2</v>
      </c>
    </row>
    <row r="7" customFormat="false" ht="15" hidden="false" customHeight="false" outlineLevel="0" collapsed="false">
      <c r="A7" s="39" t="s">
        <v>165</v>
      </c>
      <c r="B7" s="73" t="n">
        <f aca="false">Inputs!$E$48</f>
        <v>0.02</v>
      </c>
    </row>
    <row r="8" customFormat="false" ht="15" hidden="false" customHeight="false" outlineLevel="0" collapsed="false">
      <c r="A8" s="6" t="s">
        <v>166</v>
      </c>
      <c r="B8" s="74" t="n">
        <f aca="false">Inputs!$E$49</f>
        <v>4.5</v>
      </c>
    </row>
    <row r="9" customFormat="false" ht="15" hidden="false" customHeight="false" outlineLevel="0" collapsed="false">
      <c r="A9" s="39" t="s">
        <v>167</v>
      </c>
      <c r="B9" s="73" t="n">
        <f aca="false">Inputs!$E$41</f>
        <v>0.21</v>
      </c>
    </row>
    <row r="10" customFormat="false" ht="15" hidden="false" customHeight="false" outlineLevel="0" collapsed="false">
      <c r="A10" s="39" t="s">
        <v>168</v>
      </c>
      <c r="B10" s="73" t="n">
        <f aca="false">Inputs!$E$50</f>
        <v>0.01</v>
      </c>
    </row>
    <row r="11" customFormat="false" ht="15" hidden="false" customHeight="false" outlineLevel="0" collapsed="false">
      <c r="A11" s="39" t="s">
        <v>169</v>
      </c>
      <c r="B11" s="73" t="n">
        <f aca="false">Inputs!$E$51</f>
        <v>0.005</v>
      </c>
    </row>
    <row r="13" customFormat="false" ht="15.75" hidden="false" customHeight="true" outlineLevel="0" collapsed="false">
      <c r="A13" s="7" t="s">
        <v>170</v>
      </c>
      <c r="B13" s="7"/>
      <c r="C13" s="7"/>
      <c r="D13" s="7"/>
    </row>
    <row r="14" customFormat="false" ht="15" hidden="false" customHeight="false" outlineLevel="0" collapsed="false">
      <c r="A14" s="70" t="s">
        <v>152</v>
      </c>
      <c r="B14" s="70" t="n">
        <v>1</v>
      </c>
      <c r="C14" s="70" t="n">
        <v>2</v>
      </c>
      <c r="D14" s="70" t="n">
        <v>3</v>
      </c>
    </row>
    <row r="15" customFormat="false" ht="15" hidden="false" customHeight="false" outlineLevel="0" collapsed="false">
      <c r="A15" s="33"/>
      <c r="B15" s="35" t="s">
        <v>153</v>
      </c>
      <c r="C15" s="35" t="s">
        <v>154</v>
      </c>
      <c r="D15" s="35" t="s">
        <v>155</v>
      </c>
    </row>
    <row r="16" customFormat="false" ht="15" hidden="false" customHeight="false" outlineLevel="0" collapsed="false">
      <c r="A16" s="6" t="s">
        <v>48</v>
      </c>
      <c r="B16" s="65" t="n">
        <f aca="false">SUMIF(Monthly!$C$5:$AL$5,B$14,Monthly!$C$22:$AL$22)</f>
        <v>1231.99999999997</v>
      </c>
      <c r="C16" s="65" t="n">
        <f aca="false">SUMIF(Monthly!$C$5:$AL$5,C$14,Monthly!$C$22:$AL$22)</f>
        <v>54409.5488</v>
      </c>
      <c r="D16" s="65" t="n">
        <f aca="false">SUMIF(Monthly!$C$5:$AL$5,D$14,Monthly!$C$22:$AL$22)</f>
        <v>74549.5031398401</v>
      </c>
    </row>
    <row r="17" customFormat="false" ht="15" hidden="false" customHeight="false" outlineLevel="0" collapsed="false">
      <c r="A17" s="4" t="s">
        <v>171</v>
      </c>
      <c r="B17" s="71" t="n">
        <f aca="false">SUMIF(Monthly!$C$5:$AL$5,B$14,Monthly!$C$70:$AL$70)</f>
        <v>-159676.666666667</v>
      </c>
      <c r="C17" s="71" t="n">
        <f aca="false">SUMIF(Monthly!$C$5:$AL$5,C$14,Monthly!$C$70:$AL$70)</f>
        <v>53475.94512</v>
      </c>
      <c r="D17" s="71" t="n">
        <f aca="false">SUMIF(Monthly!$C$5:$AL$5,D$14,Monthly!$C$70:$AL$70)</f>
        <v>63835.9621613163</v>
      </c>
    </row>
    <row r="18" customFormat="false" ht="15" hidden="false" customHeight="false" outlineLevel="0" collapsed="false">
      <c r="A18" s="6" t="s">
        <v>172</v>
      </c>
      <c r="B18" s="75" t="n">
        <f aca="false">1/(1+Inputs!$E$47)^B$14</f>
        <v>0.833333333333333</v>
      </c>
      <c r="C18" s="75" t="n">
        <f aca="false">1/(1+Inputs!$E$47)^C$14</f>
        <v>0.694444444444444</v>
      </c>
      <c r="D18" s="75" t="n">
        <f aca="false">1/(1+Inputs!$E$47)^D$14</f>
        <v>0.578703703703704</v>
      </c>
    </row>
    <row r="19" customFormat="false" ht="15" hidden="false" customHeight="false" outlineLevel="0" collapsed="false">
      <c r="A19" s="6" t="s">
        <v>173</v>
      </c>
      <c r="B19" s="65" t="n">
        <f aca="false">B17*B18</f>
        <v>-133063.888888889</v>
      </c>
      <c r="C19" s="65" t="n">
        <f aca="false">C17*C18</f>
        <v>37136.073</v>
      </c>
      <c r="D19" s="65" t="n">
        <f aca="false">D17*D18</f>
        <v>36942.1077322432</v>
      </c>
    </row>
    <row r="21" customFormat="false" ht="15.75" hidden="false" customHeight="true" outlineLevel="0" collapsed="false">
      <c r="A21" s="7" t="s">
        <v>174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175</v>
      </c>
      <c r="C22" s="35" t="s">
        <v>176</v>
      </c>
    </row>
    <row r="23" customFormat="false" ht="15" hidden="false" customHeight="false" outlineLevel="0" collapsed="false">
      <c r="A23" s="6" t="s">
        <v>177</v>
      </c>
      <c r="B23" s="65" t="n">
        <f aca="false">SUM($B$19:$D$19)</f>
        <v>-58985.7081566457</v>
      </c>
      <c r="C23" s="65" t="n">
        <f aca="false">B23</f>
        <v>-58985.7081566457</v>
      </c>
    </row>
    <row r="24" customFormat="false" ht="15" hidden="false" customHeight="false" outlineLevel="0" collapsed="false">
      <c r="A24" s="6" t="s">
        <v>178</v>
      </c>
      <c r="B24" s="65" t="n">
        <f aca="false">$D$17</f>
        <v>63835.9621613163</v>
      </c>
      <c r="C24" s="65" t="n">
        <f aca="false">$D$16</f>
        <v>74549.5031398401</v>
      </c>
    </row>
    <row r="25" customFormat="false" ht="15" hidden="false" customHeight="false" outlineLevel="0" collapsed="false">
      <c r="A25" s="6" t="s">
        <v>179</v>
      </c>
      <c r="B25" s="65" t="n">
        <f aca="false">IF($B$6&gt;$B$7,B24*(1+$B$7)/($B$6-$B$7),0)</f>
        <v>361737.118914126</v>
      </c>
      <c r="C25" s="65" t="n">
        <f aca="false">C24*$B$8</f>
        <v>335472.76412928</v>
      </c>
    </row>
    <row r="26" customFormat="false" ht="15" hidden="false" customHeight="false" outlineLevel="0" collapsed="false">
      <c r="A26" s="6" t="s">
        <v>180</v>
      </c>
      <c r="B26" s="65" t="n">
        <f aca="false">B25/(1+$B$6)^$D$14</f>
        <v>209338.610482712</v>
      </c>
      <c r="C26" s="65" t="n">
        <f aca="false">C25/(1+$B$6)^$D$14</f>
        <v>194139.331093334</v>
      </c>
    </row>
    <row r="27" customFormat="false" ht="15" hidden="false" customHeight="false" outlineLevel="0" collapsed="false">
      <c r="A27" s="4" t="s">
        <v>174</v>
      </c>
      <c r="B27" s="66" t="n">
        <f aca="false">B23+B26</f>
        <v>150352.902326066</v>
      </c>
      <c r="C27" s="66" t="n">
        <f aca="false">C23+C26</f>
        <v>135153.622936688</v>
      </c>
    </row>
    <row r="28" customFormat="false" ht="15" hidden="false" customHeight="false" outlineLevel="0" collapsed="false">
      <c r="A28" s="39" t="s">
        <v>181</v>
      </c>
      <c r="B28" s="72" t="n">
        <f aca="false">IF(B27&lt;&gt;0,B26/B27,0)</f>
        <v>1.39231506172541</v>
      </c>
      <c r="C28" s="72" t="n">
        <f aca="false">IF(C27&lt;&gt;0,C26/C27,0)</f>
        <v>1.43643453186806</v>
      </c>
    </row>
    <row r="29" customFormat="false" ht="15" hidden="false" customHeight="false" outlineLevel="0" collapsed="false">
      <c r="A29" s="6" t="s">
        <v>182</v>
      </c>
      <c r="B29" s="76" t="n">
        <f aca="false">IF(C24&gt;0,B25/C24,"n/a")</f>
        <v>4.85230757655861</v>
      </c>
      <c r="C29" s="72" t="n">
        <f aca="false">IF(C25+B24&lt;&gt;0,(C25*$B$6-B24)/(C25+B24),"n/a")</f>
        <v>0.00816057964675761</v>
      </c>
    </row>
    <row r="30" customFormat="false" ht="15" hidden="false" customHeight="false" outlineLevel="0" collapsed="false">
      <c r="A30" s="68" t="s">
        <v>183</v>
      </c>
      <c r="B30" s="69" t="n">
        <f aca="false">AVERAGE(B27,C27)</f>
        <v>142753.262631377</v>
      </c>
    </row>
    <row r="32" customFormat="false" ht="15.75" hidden="false" customHeight="true" outlineLevel="0" collapsed="false">
      <c r="A32" s="7" t="s">
        <v>184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185</v>
      </c>
      <c r="B33" s="77" t="n">
        <f aca="false">$B$7+(-2)*$B$11</f>
        <v>0.01</v>
      </c>
      <c r="C33" s="77" t="n">
        <f aca="false">$B$7+(-1)*$B$11</f>
        <v>0.015</v>
      </c>
      <c r="D33" s="77" t="n">
        <f aca="false">$B$7+(0)*$B$11</f>
        <v>0.02</v>
      </c>
      <c r="E33" s="77" t="n">
        <f aca="false">$B$7+(1)*$B$11</f>
        <v>0.025</v>
      </c>
      <c r="F33" s="77" t="n">
        <f aca="false">$B$7+(2)*$B$11</f>
        <v>0.03</v>
      </c>
    </row>
    <row r="34" customFormat="false" ht="15" hidden="false" customHeight="false" outlineLevel="0" collapsed="false">
      <c r="A34" s="72" t="n">
        <f aca="false">$B$6+(-2)*$B$10</f>
        <v>0.18</v>
      </c>
      <c r="B34" s="65" t="n">
        <f aca="false">IF($A34&gt;B$33,SUMPRODUCT($B$17:$D$17/(1+$A34)^$B$14:$D$14)+$D$17*(1+B$33)/($A34-B$33)/(1+$A34)^$D$14,"n/a")</f>
        <v>172768.700248335</v>
      </c>
      <c r="C34" s="65" t="n">
        <f aca="false">IF($A34&gt;C$33,SUMPRODUCT($B$17:$D$17/(1+$A34)^$B$14:$D$14)+$D$17*(1+C$33)/($A34-C$33)/(1+$A34)^$D$14,"n/a")</f>
        <v>180940.891706999</v>
      </c>
      <c r="D34" s="65" t="n">
        <f aca="false">IF($A34&gt;D$33,SUMPRODUCT($B$17:$D$17/(1+$A34)^$B$14:$D$14)+$D$17*(1+D$33)/($A34-D$33)/(1+$A34)^$D$14,"n/a")</f>
        <v>189623.84513183</v>
      </c>
      <c r="E34" s="65" t="n">
        <f aca="false">IF($A34&gt;E$33,SUMPRODUCT($B$17:$D$17/(1+$A34)^$B$14:$D$14)+$D$17*(1+E$33)/($A34-E$33)/(1+$A34)^$D$14,"n/a")</f>
        <v>198866.989100198</v>
      </c>
      <c r="F34" s="65" t="n">
        <f aca="false">IF($A34&gt;F$33,SUMPRODUCT($B$17:$D$17/(1+$A34)^$B$14:$D$14)+$D$17*(1+F$33)/($A34-F$33)/(1+$A34)^$D$14,"n/a")</f>
        <v>208726.342666457</v>
      </c>
    </row>
    <row r="35" customFormat="false" ht="15" hidden="false" customHeight="false" outlineLevel="0" collapsed="false">
      <c r="A35" s="72" t="n">
        <f aca="false">$B$6+(-1)*$B$10</f>
        <v>0.19</v>
      </c>
      <c r="B35" s="65" t="n">
        <f aca="false">IF($A35&gt;B$33,SUMPRODUCT($B$17:$D$17/(1+$A35)^$B$14:$D$14)+$D$17*(1+B$33)/($A35-B$33)/(1+$A35)^$D$14,"n/a")</f>
        <v>154018.039697904</v>
      </c>
      <c r="C35" s="65" t="n">
        <f aca="false">IF($A35&gt;C$33,SUMPRODUCT($B$17:$D$17/(1+$A35)^$B$14:$D$14)+$D$17*(1+C$33)/($A35-C$33)/(1+$A35)^$D$14,"n/a")</f>
        <v>161173.390595834</v>
      </c>
      <c r="D35" s="65" t="n">
        <f aca="false">IF($A35&gt;D$33,SUMPRODUCT($B$17:$D$17/(1+$A35)^$B$14:$D$14)+$D$17*(1+D$33)/($A35-D$33)/(1+$A35)^$D$14,"n/a")</f>
        <v>168749.644487759</v>
      </c>
      <c r="E35" s="65" t="n">
        <f aca="false">IF($A35&gt;E$33,SUMPRODUCT($B$17:$D$17/(1+$A35)^$B$14:$D$14)+$D$17*(1+E$33)/($A35-E$33)/(1+$A35)^$D$14,"n/a")</f>
        <v>176785.065282225</v>
      </c>
      <c r="F35" s="65" t="n">
        <f aca="false">IF($A35&gt;F$33,SUMPRODUCT($B$17:$D$17/(1+$A35)^$B$14:$D$14)+$D$17*(1+F$33)/($A35-F$33)/(1+$A35)^$D$14,"n/a")</f>
        <v>185322.699876346</v>
      </c>
    </row>
    <row r="36" customFormat="false" ht="15" hidden="false" customHeight="false" outlineLevel="0" collapsed="false">
      <c r="A36" s="72" t="n">
        <f aca="false">$B$6+(0)*$B$10</f>
        <v>0.2</v>
      </c>
      <c r="B36" s="65" t="n">
        <f aca="false">IF($A36&gt;B$33,SUMPRODUCT($B$17:$D$17/(1+$A36)^$B$14:$D$14)+$D$17*(1+B$33)/($A36-B$33)/(1+$A36)^$D$14,"n/a")</f>
        <v>137390.759262121</v>
      </c>
      <c r="C36" s="65" t="n">
        <f aca="false">IF($A36&gt;C$33,SUMPRODUCT($B$17:$D$17/(1+$A36)^$B$14:$D$14)+$D$17*(1+C$33)/($A36-C$33)/(1+$A36)^$D$14,"n/a")</f>
        <v>143696.666698635</v>
      </c>
      <c r="D36" s="65" t="n">
        <f aca="false">IF($A36&gt;D$33,SUMPRODUCT($B$17:$D$17/(1+$A36)^$B$14:$D$14)+$D$17*(1+D$33)/($A36-D$33)/(1+$A36)^$D$14,"n/a")</f>
        <v>150352.902326066</v>
      </c>
      <c r="E36" s="65" t="n">
        <f aca="false">IF($A36&gt;E$33,SUMPRODUCT($B$17:$D$17/(1+$A36)^$B$14:$D$14)+$D$17*(1+E$33)/($A36-E$33)/(1+$A36)^$D$14,"n/a")</f>
        <v>157389.494275065</v>
      </c>
      <c r="F36" s="65" t="n">
        <f aca="false">IF($A36&gt;F$33,SUMPRODUCT($B$17:$D$17/(1+$A36)^$B$14:$D$14)+$D$17*(1+F$33)/($A36-F$33)/(1+$A36)^$D$14,"n/a")</f>
        <v>164840.003397534</v>
      </c>
    </row>
    <row r="37" customFormat="false" ht="15" hidden="false" customHeight="false" outlineLevel="0" collapsed="false">
      <c r="A37" s="72" t="n">
        <f aca="false">$B$6+(1)*$B$10</f>
        <v>0.21</v>
      </c>
      <c r="B37" s="65" t="n">
        <f aca="false">IF($A37&gt;B$33,SUMPRODUCT($B$17:$D$17/(1+$A37)^$B$14:$D$14)+$D$17*(1+B$33)/($A37-B$33)/(1+$A37)^$D$14,"n/a")</f>
        <v>122564.708189273</v>
      </c>
      <c r="C37" s="65" t="n">
        <f aca="false">IF($A37&gt;C$33,SUMPRODUCT($B$17:$D$17/(1+$A37)^$B$14:$D$14)+$D$17*(1+C$33)/($A37-C$33)/(1+$A37)^$D$14,"n/a")</f>
        <v>128154.557047267</v>
      </c>
      <c r="D37" s="65" t="n">
        <f aca="false">IF($A37&gt;D$33,SUMPRODUCT($B$17:$D$17/(1+$A37)^$B$14:$D$14)+$D$17*(1+D$33)/($A37-D$33)/(1+$A37)^$D$14,"n/a")</f>
        <v>134038.608476735</v>
      </c>
      <c r="E37" s="65" t="n">
        <f aca="false">IF($A37&gt;E$33,SUMPRODUCT($B$17:$D$17/(1+$A37)^$B$14:$D$14)+$D$17*(1+E$33)/($A37-E$33)/(1+$A37)^$D$14,"n/a")</f>
        <v>140240.716740228</v>
      </c>
      <c r="F37" s="65" t="n">
        <f aca="false">IF($A37&gt;F$33,SUMPRODUCT($B$17:$D$17/(1+$A37)^$B$14:$D$14)+$D$17*(1+F$33)/($A37-F$33)/(1+$A37)^$D$14,"n/a")</f>
        <v>146787.386573915</v>
      </c>
    </row>
    <row r="38" customFormat="false" ht="15" hidden="false" customHeight="false" outlineLevel="0" collapsed="false">
      <c r="A38" s="72" t="n">
        <f aca="false">$B$6+(2)*$B$10</f>
        <v>0.22</v>
      </c>
      <c r="B38" s="65" t="n">
        <f aca="false">IF($A38&gt;B$33,SUMPRODUCT($B$17:$D$17/(1+$A38)^$B$14:$D$14)+$D$17*(1+B$33)/($A38-B$33)/(1+$A38)^$D$14,"n/a")</f>
        <v>109279.215253568</v>
      </c>
      <c r="C38" s="65" t="n">
        <f aca="false">IF($A38&gt;C$33,SUMPRODUCT($B$17:$D$17/(1+$A38)^$B$14:$D$14)+$D$17*(1+C$33)/($A38-C$33)/(1+$A38)^$D$14,"n/a")</f>
        <v>114260.514081525</v>
      </c>
      <c r="D38" s="65" t="n">
        <f aca="false">IF($A38&gt;D$33,SUMPRODUCT($B$17:$D$17/(1+$A38)^$B$14:$D$14)+$D$17*(1+D$33)/($A38-D$33)/(1+$A38)^$D$14,"n/a")</f>
        <v>119490.877850879</v>
      </c>
      <c r="E38" s="65" t="n">
        <f aca="false">IF($A38&gt;E$33,SUMPRODUCT($B$17:$D$17/(1+$A38)^$B$14:$D$14)+$D$17*(1+E$33)/($A38-E$33)/(1+$A38)^$D$14,"n/a")</f>
        <v>124989.465403277</v>
      </c>
      <c r="F38" s="65" t="n">
        <f aca="false">IF($A38&gt;F$33,SUMPRODUCT($B$17:$D$17/(1+$A38)^$B$14:$D$14)+$D$17*(1+F$33)/($A38-F$33)/(1+$A38)^$D$14,"n/a")</f>
        <v>130777.452300538</v>
      </c>
    </row>
    <row r="40" customFormat="false" ht="15" hidden="false" customHeight="false" outlineLevel="0" collapsed="false">
      <c r="A40" s="39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187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188</v>
      </c>
    </row>
    <row r="3" customFormat="false" ht="15" hidden="false" customHeight="false" outlineLevel="0" collapsed="false">
      <c r="A3" s="4" t="s">
        <v>132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189</v>
      </c>
      <c r="B5" s="7"/>
      <c r="C5" s="7"/>
    </row>
    <row r="6" customFormat="false" ht="15" hidden="false" customHeight="false" outlineLevel="0" collapsed="false">
      <c r="B6" s="35" t="s">
        <v>190</v>
      </c>
      <c r="C6" s="35" t="s">
        <v>191</v>
      </c>
    </row>
    <row r="7" customFormat="false" ht="15" hidden="false" customHeight="false" outlineLevel="0" collapsed="false">
      <c r="A7" s="6" t="s">
        <v>192</v>
      </c>
      <c r="B7" s="78" t="n">
        <f aca="false">Inputs!$E$29</f>
        <v>140000</v>
      </c>
      <c r="C7" s="72" t="n">
        <f aca="false">IF($B$9=0,0,B7/$B$9)</f>
        <v>0.636363636363636</v>
      </c>
    </row>
    <row r="8" customFormat="false" ht="15" hidden="false" customHeight="false" outlineLevel="0" collapsed="false">
      <c r="A8" s="6" t="s">
        <v>193</v>
      </c>
      <c r="B8" s="78" t="n">
        <f aca="false">Inputs!$E$30</f>
        <v>80000</v>
      </c>
      <c r="C8" s="72" t="n">
        <f aca="false">IF($B$9=0,0,B8/$B$9)</f>
        <v>0.363636363636364</v>
      </c>
    </row>
    <row r="9" customFormat="false" ht="15" hidden="false" customHeight="false" outlineLevel="0" collapsed="false">
      <c r="A9" s="4" t="s">
        <v>194</v>
      </c>
      <c r="B9" s="79" t="n">
        <f aca="false">B7+B8</f>
        <v>220000</v>
      </c>
      <c r="C9" s="80" t="n">
        <f aca="false">IF(B9=0,0,1)</f>
        <v>1</v>
      </c>
    </row>
    <row r="10" customFormat="false" ht="15" hidden="false" customHeight="false" outlineLevel="0" collapsed="false">
      <c r="A10" s="6" t="s">
        <v>195</v>
      </c>
      <c r="B10" s="76" t="n">
        <f aca="false">IF(B7&lt;=0,IF(B8&gt;0,"n/a",0),B8/B7)</f>
        <v>0.571428571428571</v>
      </c>
      <c r="D10" s="18" t="s">
        <v>196</v>
      </c>
    </row>
    <row r="11" customFormat="false" ht="15" hidden="false" customHeight="false" outlineLevel="0" collapsed="false">
      <c r="A11" s="6" t="s">
        <v>197</v>
      </c>
      <c r="B11" s="78" t="n">
        <f aca="false">'Break-even'!B12</f>
        <v>239316.022222222</v>
      </c>
    </row>
    <row r="12" customFormat="false" ht="15" hidden="false" customHeight="false" outlineLevel="0" collapsed="false">
      <c r="A12" s="68" t="s">
        <v>65</v>
      </c>
      <c r="B12" s="81" t="n">
        <f aca="false">'Break-even'!B17</f>
        <v>-19316.0222222222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198</v>
      </c>
      <c r="B15" s="82" t="n">
        <v>12</v>
      </c>
      <c r="D15" s="18" t="s">
        <v>199</v>
      </c>
    </row>
    <row r="16" customFormat="false" ht="15" hidden="false" customHeight="false" outlineLevel="0" collapsed="false">
      <c r="A16" s="6" t="s">
        <v>200</v>
      </c>
      <c r="B16" s="63" t="n">
        <f aca="false">MIN(36,MAX(1,ROUND(B15,0)))</f>
        <v>12</v>
      </c>
    </row>
    <row r="17" customFormat="false" ht="15" hidden="false" customHeight="false" outlineLevel="0" collapsed="false">
      <c r="A17" s="33" t="s">
        <v>201</v>
      </c>
      <c r="B17" s="35" t="s">
        <v>190</v>
      </c>
      <c r="C17" s="35" t="s">
        <v>191</v>
      </c>
    </row>
    <row r="18" customFormat="false" ht="15" hidden="false" customHeight="false" outlineLevel="0" collapsed="false">
      <c r="A18" s="6" t="s">
        <v>62</v>
      </c>
      <c r="B18" s="59" t="n">
        <f aca="false">SUMPRODUCT(--(Monthly!$C$4:$AL$4&lt;=$B$16),Monthly!$C$57:$AL$57)</f>
        <v>140000</v>
      </c>
      <c r="C18" s="72" t="n">
        <f aca="false">IF($B$21=0,0,B18/$B$21)</f>
        <v>0.636363636363636</v>
      </c>
    </row>
    <row r="19" customFormat="false" ht="15" hidden="false" customHeight="false" outlineLevel="0" collapsed="false">
      <c r="A19" s="6" t="s">
        <v>202</v>
      </c>
      <c r="B19" s="59" t="n">
        <f aca="false">SUMPRODUCT(--(Monthly!$C$4:$AL$4&lt;=$B$16),Monthly!$C$42:$AL$42)</f>
        <v>80000</v>
      </c>
      <c r="C19" s="72" t="n">
        <f aca="false">IF($B$21=0,0,B19/$B$21)</f>
        <v>0.363636363636364</v>
      </c>
    </row>
    <row r="20" customFormat="false" ht="15" hidden="false" customHeight="false" outlineLevel="0" collapsed="false">
      <c r="A20" s="6" t="s">
        <v>203</v>
      </c>
      <c r="B20" s="59" t="n">
        <f aca="false">MAX(0,SUMPRODUCT(--(Monthly!$C$4:$AL$4&lt;=$B$16),Monthly!$C$55:$AL$55))</f>
        <v>0</v>
      </c>
      <c r="C20" s="72" t="n">
        <f aca="false">IF($B$21=0,0,B20/$B$21)</f>
        <v>0</v>
      </c>
    </row>
    <row r="21" customFormat="false" ht="15" hidden="false" customHeight="false" outlineLevel="0" collapsed="false">
      <c r="A21" s="4" t="s">
        <v>204</v>
      </c>
      <c r="B21" s="79" t="n">
        <f aca="false">SUM(B18:B20)</f>
        <v>220000</v>
      </c>
      <c r="C21" s="80" t="n">
        <f aca="false">IF(B21=0,0,1)</f>
        <v>1</v>
      </c>
    </row>
    <row r="23" customFormat="false" ht="15" hidden="false" customHeight="false" outlineLevel="0" collapsed="false">
      <c r="A23" s="33" t="s">
        <v>205</v>
      </c>
      <c r="B23" s="35" t="s">
        <v>190</v>
      </c>
      <c r="C23" s="35" t="s">
        <v>191</v>
      </c>
    </row>
    <row r="24" customFormat="false" ht="15" hidden="false" customHeight="false" outlineLevel="0" collapsed="false">
      <c r="A24" s="6" t="s">
        <v>206</v>
      </c>
      <c r="B24" s="59" t="n">
        <f aca="false">MAX(0,-SUMPRODUCT(--(Monthly!$C$4:$AL$4&lt;=$B$16),Monthly!$C$55:$AL$55))</f>
        <v>4307.82222222226</v>
      </c>
      <c r="C24" s="72" t="n">
        <f aca="false">IF($B$28=0,0,B24/$B$28)</f>
        <v>0.0195810101010103</v>
      </c>
    </row>
    <row r="25" customFormat="false" ht="15" hidden="false" customHeight="false" outlineLevel="0" collapsed="false">
      <c r="A25" s="6" t="s">
        <v>82</v>
      </c>
      <c r="B25" s="59" t="n">
        <f aca="false">-SUMPRODUCT(--(Monthly!$C$4:$AL$4&lt;=$B$16),Monthly!$C$56:$AL$56)</f>
        <v>160000</v>
      </c>
      <c r="C25" s="72" t="n">
        <f aca="false">IF($B$28=0,0,B25/$B$28)</f>
        <v>0.727272727272727</v>
      </c>
    </row>
    <row r="26" customFormat="false" ht="15" hidden="false" customHeight="false" outlineLevel="0" collapsed="false">
      <c r="A26" s="6" t="s">
        <v>207</v>
      </c>
      <c r="B26" s="59" t="n">
        <f aca="false">-SUMPRODUCT(--(Monthly!$C$4:$AL$4&lt;=$B$16),Monthly!$C$43:$AL$43)</f>
        <v>14666.6666666667</v>
      </c>
      <c r="C26" s="72" t="n">
        <f aca="false">IF($B$28=0,0,B26/$B$28)</f>
        <v>0.0666666666666667</v>
      </c>
    </row>
    <row r="27" customFormat="false" ht="15" hidden="false" customHeight="false" outlineLevel="0" collapsed="false">
      <c r="A27" s="6" t="s">
        <v>208</v>
      </c>
      <c r="B27" s="59" t="n">
        <f aca="false">INDEX(Monthly!$C$61:$AL$61,$B$16)</f>
        <v>41025.5111111111</v>
      </c>
      <c r="C27" s="72" t="n">
        <f aca="false">IF($B$28=0,0,B27/$B$28)</f>
        <v>0.186479595959596</v>
      </c>
    </row>
    <row r="28" customFormat="false" ht="15" hidden="false" customHeight="false" outlineLevel="0" collapsed="false">
      <c r="A28" s="4" t="s">
        <v>209</v>
      </c>
      <c r="B28" s="79" t="n">
        <f aca="false">SUM(B24:B27)</f>
        <v>220000</v>
      </c>
      <c r="C28" s="80" t="n">
        <f aca="false">IF(B28=0,0,1)</f>
        <v>1</v>
      </c>
    </row>
    <row r="29" customFormat="false" ht="15" hidden="false" customHeight="false" outlineLevel="0" collapsed="false">
      <c r="A29" s="6" t="s">
        <v>210</v>
      </c>
      <c r="B29" s="59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211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212</v>
      </c>
    </row>
    <row r="4" customFormat="false" ht="15.75" hidden="false" customHeight="true" outlineLevel="0" collapsed="false">
      <c r="A4" s="7" t="s">
        <v>213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214</v>
      </c>
    </row>
    <row r="6" customFormat="false" ht="15" hidden="false" customHeight="false" outlineLevel="0" collapsed="false">
      <c r="A6" s="39" t="s">
        <v>215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0.278204878048781</v>
      </c>
      <c r="D6" s="40" t="n">
        <f aca="false">IF(N('P&amp;L'!C5)&lt;=0,"n/a",'P&amp;L'!D5/'P&amp;L'!C5-1)</f>
        <v>0.0918000000000001</v>
      </c>
      <c r="E6" s="83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0.67</v>
      </c>
      <c r="C7" s="40" t="n">
        <f aca="false">IF('P&amp;L'!C5&lt;=0,"n/a",'P&amp;L'!C7/'P&amp;L'!C5)</f>
        <v>0.67</v>
      </c>
      <c r="D7" s="40" t="n">
        <f aca="false">IF('P&amp;L'!D5&lt;=0,"n/a",'P&amp;L'!D7/'P&amp;L'!D5)</f>
        <v>0.67</v>
      </c>
      <c r="E7" s="83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IF('P&amp;L'!B5&lt;=0,"n/a",'P&amp;L'!B14/'P&amp;L'!B5)</f>
        <v>0.00385240775484667</v>
      </c>
      <c r="C8" s="40" t="n">
        <f aca="false">IF('P&amp;L'!C5&lt;=0,"n/a",'P&amp;L'!C14/'P&amp;L'!C5)</f>
        <v>0.133105559234887</v>
      </c>
      <c r="D8" s="40" t="n">
        <f aca="false">IF('P&amp;L'!D5&lt;=0,"n/a",'P&amp;L'!D14/'P&amp;L'!D5)</f>
        <v>0.167040866163284</v>
      </c>
      <c r="E8" s="83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IF('P&amp;L'!B5&lt;=0,"n/a",'P&amp;L'!B21/'P&amp;L'!B5)</f>
        <v>-0.0859517357078334</v>
      </c>
      <c r="C9" s="40" t="n">
        <f aca="false">IF('P&amp;L'!C5&lt;=0,"n/a",'P&amp;L'!C21/'P&amp;L'!C5)</f>
        <v>0.0659680127055105</v>
      </c>
      <c r="D9" s="40" t="n">
        <f aca="false">IF('P&amp;L'!D5&lt;=0,"n/a",'P&amp;L'!D21/'P&amp;L'!D5)</f>
        <v>0.0858943960626331</v>
      </c>
      <c r="E9" s="83"/>
    </row>
    <row r="10" customFormat="false" ht="15" hidden="false" customHeight="false" outlineLevel="0" collapsed="false">
      <c r="A10" s="39" t="s">
        <v>216</v>
      </c>
      <c r="B10" s="40" t="n">
        <f aca="false">IF('P&amp;L'!B5&lt;=0,"n/a",-SUMIF(Headcount!$C$5:$AL$5,B$5,Headcount!$C$13:$AL$13)/'P&amp;L'!B5)</f>
        <v>0.392245153220763</v>
      </c>
      <c r="C10" s="40" t="n">
        <f aca="false">IF('P&amp;L'!C5&lt;=0,"n/a",-SUMIF(Headcount!$C$5:$AL$5,C$5,Headcount!$C$13:$AL$13)/'P&amp;L'!C5)</f>
        <v>0.316078051927109</v>
      </c>
      <c r="D10" s="40" t="n">
        <f aca="false">IF('P&amp;L'!D5&lt;=0,"n/a",-SUMIF(Headcount!$C$5:$AL$5,D$5,Headcount!$C$13:$AL$13)/'P&amp;L'!D5)</f>
        <v>0.298186841440668</v>
      </c>
      <c r="E10" s="83"/>
    </row>
    <row r="11" customFormat="false" ht="15" hidden="false" customHeight="false" outlineLevel="0" collapsed="false">
      <c r="A11" s="39" t="s">
        <v>217</v>
      </c>
      <c r="B11" s="40" t="n">
        <f aca="false">IF('P&amp;L'!B5&lt;=0,"n/a",-'P&amp;L'!B11/'P&amp;L'!B5)</f>
        <v>0.03</v>
      </c>
      <c r="C11" s="40" t="n">
        <f aca="false">IF('P&amp;L'!C5&lt;=0,"n/a",-'P&amp;L'!C11/'P&amp;L'!C5)</f>
        <v>0.03</v>
      </c>
      <c r="D11" s="40" t="n">
        <f aca="false">IF('P&amp;L'!D5&lt;=0,"n/a",-'P&amp;L'!D11/'P&amp;L'!D5)</f>
        <v>0.03</v>
      </c>
      <c r="E11" s="83"/>
    </row>
    <row r="12" customFormat="false" ht="15" hidden="false" customHeight="false" outlineLevel="0" collapsed="false">
      <c r="A12" s="39" t="s">
        <v>218</v>
      </c>
      <c r="B12" s="40" t="n">
        <f aca="false">IF('P&amp;L'!B5&lt;=0,"n/a",-'P&amp;L'!B13/'P&amp;L'!B5)</f>
        <v>0.666147592245153</v>
      </c>
      <c r="C12" s="40" t="n">
        <f aca="false">IF('P&amp;L'!C5&lt;=0,"n/a",-'P&amp;L'!C13/'P&amp;L'!C5)</f>
        <v>0.536894440765113</v>
      </c>
      <c r="D12" s="40" t="n">
        <f aca="false">IF('P&amp;L'!D5&lt;=0,"n/a",-'P&amp;L'!D13/'P&amp;L'!D5)</f>
        <v>0.502959133836716</v>
      </c>
      <c r="E12" s="83"/>
    </row>
    <row r="13" customFormat="false" ht="15" hidden="false" customHeight="false" outlineLevel="0" collapsed="false">
      <c r="A13" s="6" t="s">
        <v>219</v>
      </c>
      <c r="B13" s="84" t="n">
        <f aca="false">IF(('Balance Sheet'!B12-'Balance Sheet'!B11)&lt;=0,"n/a",('Balance Sheet'!B5+'Balance Sheet'!B6+'Balance Sheet'!B7)/('Balance Sheet'!B12-'Balance Sheet'!B11))</f>
        <v>9.47134347134347</v>
      </c>
      <c r="C13" s="84" t="n">
        <f aca="false">IF(('Balance Sheet'!C12-'Balance Sheet'!C11)&lt;=0,"n/a",('Balance Sheet'!C5+'Balance Sheet'!C6+'Balance Sheet'!C7)/('Balance Sheet'!C12-'Balance Sheet'!C11))</f>
        <v>15.2065743311393</v>
      </c>
      <c r="D13" s="84" t="n">
        <f aca="false">IF(('Balance Sheet'!D12-'Balance Sheet'!D11)&lt;=0,"n/a",('Balance Sheet'!D5+'Balance Sheet'!D6+'Balance Sheet'!D7)/('Balance Sheet'!D12-'Balance Sheet'!D11))</f>
        <v>21.9023777739654</v>
      </c>
      <c r="E13" s="85"/>
    </row>
    <row r="14" customFormat="false" ht="15" hidden="false" customHeight="false" outlineLevel="0" collapsed="false">
      <c r="A14" s="6" t="s">
        <v>220</v>
      </c>
      <c r="B14" s="84" t="n">
        <f aca="false">IF('Balance Sheet'!B15&lt;=0,"n/a",'Balance Sheet'!B11/'Balance Sheet'!B15)</f>
        <v>0.580675524837</v>
      </c>
      <c r="C14" s="84" t="n">
        <f aca="false">IF('Balance Sheet'!C15&lt;=0,"n/a",'Balance Sheet'!C11/'Balance Sheet'!C15)</f>
        <v>0.353698798236037</v>
      </c>
      <c r="D14" s="84" t="n">
        <f aca="false">IF('Balance Sheet'!D15&lt;=0,"n/a",'Balance Sheet'!D11/'Balance Sheet'!D15)</f>
        <v>0.18746326632113</v>
      </c>
      <c r="E14" s="85"/>
    </row>
    <row r="15" customFormat="false" ht="15" hidden="false" customHeight="false" outlineLevel="0" collapsed="false">
      <c r="A15" s="39" t="s">
        <v>221</v>
      </c>
      <c r="B15" s="40" t="n">
        <f aca="false">IF('Balance Sheet'!B9&lt;=0,"n/a",'P&amp;L'!B21/'Balance Sheet'!B9)</f>
        <v>-0.150491374014617</v>
      </c>
      <c r="C15" s="40" t="n">
        <f aca="false">IF('Balance Sheet'!C9&lt;=0,"n/a",'P&amp;L'!C21/'Balance Sheet'!C9)</f>
        <v>0.138957407079313</v>
      </c>
      <c r="D15" s="40" t="n">
        <f aca="false">IF('Balance Sheet'!D9&lt;=0,"n/a",'P&amp;L'!D21/'Balance Sheet'!D9)</f>
        <v>0.176758604252363</v>
      </c>
      <c r="E15" s="83"/>
    </row>
    <row r="16" customFormat="false" ht="15" hidden="false" customHeight="false" outlineLevel="0" collapsed="false">
      <c r="A16" s="39" t="s">
        <v>222</v>
      </c>
      <c r="B16" s="40" t="n">
        <f aca="false">IF('Balance Sheet'!B15&lt;=0,"n/a",'P&amp;L'!B21/'Balance Sheet'!B15)</f>
        <v>-0.244304696079284</v>
      </c>
      <c r="C16" s="40" t="n">
        <f aca="false">IF('Balance Sheet'!C15&lt;=0,"n/a",'P&amp;L'!C21/'Balance Sheet'!C15)</f>
        <v>0.193332761666247</v>
      </c>
      <c r="D16" s="40" t="n">
        <f aca="false">IF('Balance Sheet'!D15&lt;=0,"n/a",'P&amp;L'!D21/'Balance Sheet'!D15)</f>
        <v>0.215587851757068</v>
      </c>
      <c r="E16" s="83"/>
    </row>
    <row r="18" customFormat="false" ht="15.75" hidden="false" customHeight="true" outlineLevel="0" collapsed="false">
      <c r="A18" s="7" t="s">
        <v>223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0" t="s">
        <v>51</v>
      </c>
      <c r="B20" s="40" t="n">
        <f aca="false">IF('P&amp;L'!B5&lt;=0,"n/a",'P&amp;L'!B21/'P&amp;L'!B5)</f>
        <v>-0.0859517357078334</v>
      </c>
      <c r="C20" s="40" t="n">
        <f aca="false">IF('P&amp;L'!C5&lt;=0,"n/a",'P&amp;L'!C21/'P&amp;L'!C5)</f>
        <v>0.0659680127055105</v>
      </c>
      <c r="D20" s="40" t="n">
        <f aca="false">IF('P&amp;L'!D5&lt;=0,"n/a",'P&amp;L'!D21/'P&amp;L'!D5)</f>
        <v>0.0858943960626331</v>
      </c>
    </row>
    <row r="21" customFormat="false" ht="15" hidden="false" customHeight="false" outlineLevel="0" collapsed="false">
      <c r="A21" s="50" t="s">
        <v>224</v>
      </c>
      <c r="B21" s="84" t="n">
        <f aca="false">IF('Balance Sheet'!B9&lt;=0,"n/a",'P&amp;L'!B5/'Balance Sheet'!B9)</f>
        <v>1.75088231523522</v>
      </c>
      <c r="C21" s="84" t="n">
        <f aca="false">IF('Balance Sheet'!C9&lt;=0,"n/a",'P&amp;L'!C5/'Balance Sheet'!C9)</f>
        <v>2.10643615565072</v>
      </c>
      <c r="D21" s="84" t="n">
        <f aca="false">IF('Balance Sheet'!D9&lt;=0,"n/a",'P&amp;L'!D5/'Balance Sheet'!D9)</f>
        <v>2.05785956191452</v>
      </c>
    </row>
    <row r="22" customFormat="false" ht="15" hidden="false" customHeight="false" outlineLevel="0" collapsed="false">
      <c r="A22" s="50" t="s">
        <v>225</v>
      </c>
      <c r="B22" s="84" t="n">
        <f aca="false">IF('Balance Sheet'!B15&lt;=0,"n/a",'Balance Sheet'!B9/'Balance Sheet'!B15)</f>
        <v>1.62338006200644</v>
      </c>
      <c r="C22" s="84" t="n">
        <f aca="false">IF('Balance Sheet'!C15&lt;=0,"n/a",'Balance Sheet'!C9/'Balance Sheet'!C15)</f>
        <v>1.39130950792639</v>
      </c>
      <c r="D22" s="84" t="n">
        <f aca="false">IF('Balance Sheet'!D15&lt;=0,"n/a",'Balance Sheet'!D9/'Balance Sheet'!D15)</f>
        <v>1.2196738748246</v>
      </c>
    </row>
    <row r="23" customFormat="false" ht="15" hidden="false" customHeight="false" outlineLevel="0" collapsed="false">
      <c r="A23" s="41" t="s">
        <v>226</v>
      </c>
      <c r="B23" s="86" t="n">
        <f aca="false">IF(AND(ISNUMBER(B20),ISNUMBER(B21),ISNUMBER(B22)),B20*B21*B22,"n/a")</f>
        <v>-0.244304696079284</v>
      </c>
      <c r="C23" s="86" t="n">
        <f aca="false">IF(AND(ISNUMBER(C20),ISNUMBER(C21),ISNUMBER(C22)),C20*C21*C22,"n/a")</f>
        <v>0.193332761666247</v>
      </c>
      <c r="D23" s="86" t="n">
        <f aca="false">IF(AND(ISNUMBER(D20),ISNUMBER(D21),ISNUMBER(D22)),D20*D21*D22,"n/a")</f>
        <v>0.215587851757068</v>
      </c>
    </row>
    <row r="24" customFormat="false" ht="15" hidden="false" customHeight="false" outlineLevel="0" collapsed="false">
      <c r="A24" s="21" t="s">
        <v>227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228</v>
      </c>
      <c r="B26" s="7"/>
      <c r="C26" s="7"/>
      <c r="D26" s="7"/>
      <c r="E26" s="7"/>
    </row>
    <row r="27" customFormat="false" ht="15" hidden="false" customHeight="false" outlineLevel="0" collapsed="false">
      <c r="A27" s="70" t="s">
        <v>152</v>
      </c>
      <c r="B27" s="70" t="n">
        <v>1</v>
      </c>
      <c r="C27" s="70" t="n">
        <v>2</v>
      </c>
      <c r="D27" s="70" t="n">
        <v>3</v>
      </c>
    </row>
    <row r="28" customFormat="false" ht="15" hidden="false" customHeight="false" outlineLevel="0" collapsed="false">
      <c r="A28" s="33"/>
      <c r="B28" s="35" t="s">
        <v>153</v>
      </c>
      <c r="C28" s="35" t="s">
        <v>154</v>
      </c>
      <c r="D28" s="35" t="s">
        <v>155</v>
      </c>
      <c r="E28" s="35" t="s">
        <v>214</v>
      </c>
    </row>
    <row r="29" customFormat="false" ht="15" hidden="false" customHeight="false" outlineLevel="0" collapsed="false">
      <c r="A29" s="4" t="s">
        <v>58</v>
      </c>
      <c r="B29" s="87" t="n">
        <f aca="false">INDEX(Monthly!$C$9:$AL$9,B$27*12)</f>
        <v>160</v>
      </c>
      <c r="C29" s="87" t="n">
        <f aca="false">INDEX(Monthly!$C$9:$AL$9,C$27*12)</f>
        <v>169.6</v>
      </c>
      <c r="D29" s="87" t="n">
        <f aca="false">INDEX(Monthly!$C$9:$AL$9,D$27*12)</f>
        <v>179.776</v>
      </c>
      <c r="E29" s="88"/>
    </row>
    <row r="30" customFormat="false" ht="15" hidden="false" customHeight="false" outlineLevel="0" collapsed="false">
      <c r="A30" s="6" t="s">
        <v>229</v>
      </c>
      <c r="B30" s="89" t="n">
        <f aca="false">INDEX(Monthly!$C$10:$AL$10,B$27*12)</f>
        <v>6.5</v>
      </c>
      <c r="C30" s="89" t="n">
        <f aca="false">INDEX(Monthly!$C$10:$AL$10,C$27*12)</f>
        <v>6.695</v>
      </c>
      <c r="D30" s="89" t="n">
        <f aca="false">INDEX(Monthly!$C$10:$AL$10,D$27*12)</f>
        <v>6.89585</v>
      </c>
      <c r="E30" s="90"/>
    </row>
    <row r="31" customFormat="false" ht="15" hidden="false" customHeight="false" outlineLevel="0" collapsed="false">
      <c r="A31" s="4" t="s">
        <v>44</v>
      </c>
      <c r="B31" s="91" t="n">
        <f aca="false">SUMIF(Monthly!$C$5:$AL$5,B$27,Monthly!$C$12:$AL$12)</f>
        <v>319800</v>
      </c>
      <c r="C31" s="91" t="n">
        <f aca="false">SUMIF(Monthly!$C$5:$AL$5,C$27,Monthly!$C$12:$AL$12)</f>
        <v>408769.92</v>
      </c>
      <c r="D31" s="91" t="n">
        <f aca="false">SUMIF(Monthly!$C$5:$AL$5,D$27,Monthly!$C$12:$AL$12)</f>
        <v>446294.998656</v>
      </c>
      <c r="E31" s="92"/>
    </row>
    <row r="32" customFormat="false" ht="15" hidden="false" customHeight="false" outlineLevel="0" collapsed="false">
      <c r="A32" s="6" t="s">
        <v>45</v>
      </c>
      <c r="B32" s="36" t="n">
        <f aca="false">SUMIF(Monthly!$C$5:$AL$5,B$27,Monthly!$C$14:$AL$14)</f>
        <v>214266</v>
      </c>
      <c r="C32" s="36" t="n">
        <f aca="false">SUMIF(Monthly!$C$5:$AL$5,C$27,Monthly!$C$14:$AL$14)</f>
        <v>273875.8464</v>
      </c>
      <c r="D32" s="36" t="n">
        <f aca="false">SUMIF(Monthly!$C$5:$AL$5,D$27,Monthly!$C$14:$AL$14)</f>
        <v>299017.64909952</v>
      </c>
      <c r="E32" s="92"/>
    </row>
    <row r="33" customFormat="false" ht="15" hidden="false" customHeight="false" outlineLevel="0" collapsed="false">
      <c r="A33" s="39" t="s">
        <v>46</v>
      </c>
      <c r="B33" s="93" t="n">
        <f aca="false">IF(B31=0,0,B32/B31)</f>
        <v>0.67</v>
      </c>
      <c r="C33" s="93" t="n">
        <f aca="false">IF(C31=0,0,C32/C31)</f>
        <v>0.67</v>
      </c>
      <c r="D33" s="93" t="n">
        <f aca="false">IF(D31=0,0,D32/D31)</f>
        <v>0.67</v>
      </c>
      <c r="E33" s="94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230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231</v>
      </c>
    </row>
    <row r="5" customFormat="false" ht="15" hidden="false" customHeight="false" outlineLevel="0" collapsed="false">
      <c r="A5" s="33" t="s">
        <v>102</v>
      </c>
      <c r="B5" s="35" t="s">
        <v>103</v>
      </c>
      <c r="C5" s="35" t="s">
        <v>104</v>
      </c>
      <c r="D5" s="35" t="s">
        <v>105</v>
      </c>
      <c r="E5" s="35" t="s">
        <v>106</v>
      </c>
      <c r="F5" s="33" t="s">
        <v>232</v>
      </c>
      <c r="G5" s="33" t="s">
        <v>233</v>
      </c>
    </row>
    <row r="6" customFormat="false" ht="15.75" hidden="false" customHeight="true" outlineLevel="0" collapsed="false">
      <c r="A6" s="7" t="s">
        <v>234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235</v>
      </c>
      <c r="B7" s="95" t="n">
        <v>120</v>
      </c>
      <c r="C7" s="95" t="n">
        <v>160</v>
      </c>
      <c r="D7" s="95" t="n">
        <v>210</v>
      </c>
      <c r="E7" s="96" t="n">
        <f aca="false">CHOOSE(Dashboard!$B$4,B7,C7,D7)</f>
        <v>160</v>
      </c>
      <c r="F7" s="39" t="s">
        <v>236</v>
      </c>
      <c r="G7" s="97" t="s">
        <v>237</v>
      </c>
    </row>
    <row r="8" customFormat="false" ht="15" hidden="false" customHeight="false" outlineLevel="0" collapsed="false">
      <c r="A8" s="6" t="s">
        <v>238</v>
      </c>
      <c r="B8" s="95" t="n">
        <v>9</v>
      </c>
      <c r="C8" s="95" t="n">
        <v>6</v>
      </c>
      <c r="D8" s="95" t="n">
        <v>4</v>
      </c>
      <c r="E8" s="96" t="n">
        <f aca="false">CHOOSE(Dashboard!$B$4,B8,C8,D8)</f>
        <v>6</v>
      </c>
      <c r="F8" s="39" t="s">
        <v>239</v>
      </c>
      <c r="G8" s="97" t="s">
        <v>240</v>
      </c>
    </row>
    <row r="9" customFormat="false" ht="15" hidden="false" customHeight="false" outlineLevel="0" collapsed="false">
      <c r="A9" s="6" t="s">
        <v>241</v>
      </c>
      <c r="B9" s="98" t="n">
        <v>0.4</v>
      </c>
      <c r="C9" s="98" t="n">
        <v>0.5</v>
      </c>
      <c r="D9" s="98" t="n">
        <v>0.6</v>
      </c>
      <c r="E9" s="99" t="n">
        <f aca="false">CHOOSE(Dashboard!$B$4,B9,C9,D9)</f>
        <v>0.5</v>
      </c>
      <c r="F9" s="39" t="s">
        <v>242</v>
      </c>
      <c r="G9" s="97" t="s">
        <v>237</v>
      </c>
    </row>
    <row r="10" customFormat="false" ht="15" hidden="false" customHeight="false" outlineLevel="0" collapsed="false">
      <c r="A10" s="6" t="s">
        <v>243</v>
      </c>
      <c r="B10" s="98" t="n">
        <v>0.03</v>
      </c>
      <c r="C10" s="98" t="n">
        <v>0.06</v>
      </c>
      <c r="D10" s="98" t="n">
        <v>0.09</v>
      </c>
      <c r="E10" s="99" t="n">
        <f aca="false">CHOOSE(Dashboard!$B$4,B10,C10,D10)</f>
        <v>0.06</v>
      </c>
      <c r="F10" s="39" t="s">
        <v>242</v>
      </c>
      <c r="G10" s="97" t="s">
        <v>237</v>
      </c>
    </row>
    <row r="11" customFormat="false" ht="15" hidden="false" customHeight="false" outlineLevel="0" collapsed="false">
      <c r="A11" s="6" t="s">
        <v>244</v>
      </c>
      <c r="B11" s="100" t="n">
        <v>5.5</v>
      </c>
      <c r="C11" s="100" t="n">
        <v>6.5</v>
      </c>
      <c r="D11" s="100" t="n">
        <v>7.5</v>
      </c>
      <c r="E11" s="101" t="n">
        <f aca="false">CHOOSE(Dashboard!$B$4,B11,C11,D11)</f>
        <v>6.5</v>
      </c>
      <c r="F11" s="39" t="s">
        <v>245</v>
      </c>
      <c r="G11" s="97" t="s">
        <v>237</v>
      </c>
    </row>
    <row r="12" customFormat="false" ht="15" hidden="false" customHeight="false" outlineLevel="0" collapsed="false">
      <c r="A12" s="6" t="s">
        <v>246</v>
      </c>
      <c r="B12" s="98" t="n">
        <v>0.02</v>
      </c>
      <c r="C12" s="98" t="n">
        <v>0.03</v>
      </c>
      <c r="D12" s="98" t="n">
        <v>0.04</v>
      </c>
      <c r="E12" s="99" t="n">
        <f aca="false">CHOOSE(Dashboard!$B$4,B12,C12,D12)</f>
        <v>0.03</v>
      </c>
      <c r="F12" s="39" t="s">
        <v>242</v>
      </c>
      <c r="G12" s="97" t="s">
        <v>237</v>
      </c>
    </row>
    <row r="13" customFormat="false" ht="15" hidden="false" customHeight="false" outlineLevel="0" collapsed="false">
      <c r="A13" s="6" t="s">
        <v>247</v>
      </c>
      <c r="B13" s="95" t="n">
        <v>30</v>
      </c>
      <c r="C13" s="95" t="n">
        <v>30</v>
      </c>
      <c r="D13" s="95" t="n">
        <v>30</v>
      </c>
      <c r="E13" s="96" t="n">
        <f aca="false">CHOOSE(Dashboard!$B$4,B13,C13,D13)</f>
        <v>30</v>
      </c>
      <c r="F13" s="39" t="s">
        <v>248</v>
      </c>
      <c r="G13" s="97"/>
    </row>
    <row r="14" customFormat="false" ht="15" hidden="false" customHeight="false" outlineLevel="0" collapsed="false">
      <c r="A14" s="6" t="s">
        <v>249</v>
      </c>
      <c r="B14" s="98" t="n">
        <v>0.36</v>
      </c>
      <c r="C14" s="98" t="n">
        <v>0.33</v>
      </c>
      <c r="D14" s="98" t="n">
        <v>0.3</v>
      </c>
      <c r="E14" s="99" t="n">
        <f aca="false">CHOOSE(Dashboard!$B$4,B14,C14,D14)</f>
        <v>0.33</v>
      </c>
      <c r="F14" s="39" t="s">
        <v>242</v>
      </c>
      <c r="G14" s="97" t="s">
        <v>240</v>
      </c>
    </row>
    <row r="15" customFormat="false" ht="15" hidden="false" customHeight="false" outlineLevel="0" collapsed="false">
      <c r="A15" s="6" t="s">
        <v>250</v>
      </c>
      <c r="B15" s="102" t="n">
        <v>4500</v>
      </c>
      <c r="C15" s="102" t="n">
        <v>4500</v>
      </c>
      <c r="D15" s="102" t="n">
        <v>4500</v>
      </c>
      <c r="E15" s="103" t="n">
        <f aca="false">CHOOSE(Dashboard!$B$4,B15,C15,D15)</f>
        <v>4500</v>
      </c>
      <c r="F15" s="39" t="s">
        <v>245</v>
      </c>
      <c r="G15" s="97"/>
    </row>
    <row r="16" customFormat="false" ht="15" hidden="false" customHeight="false" outlineLevel="0" collapsed="false">
      <c r="A16" s="6" t="s">
        <v>217</v>
      </c>
      <c r="B16" s="98" t="n">
        <v>0.04</v>
      </c>
      <c r="C16" s="98" t="n">
        <v>0.03</v>
      </c>
      <c r="D16" s="98" t="n">
        <v>0.03</v>
      </c>
      <c r="E16" s="99" t="n">
        <f aca="false">CHOOSE(Dashboard!$B$4,B16,C16,D16)</f>
        <v>0.03</v>
      </c>
      <c r="F16" s="39" t="s">
        <v>242</v>
      </c>
      <c r="G16" s="97" t="s">
        <v>240</v>
      </c>
    </row>
    <row r="17" customFormat="false" ht="15" hidden="false" customHeight="false" outlineLevel="0" collapsed="false">
      <c r="A17" s="6" t="s">
        <v>251</v>
      </c>
      <c r="B17" s="102" t="n">
        <v>2200</v>
      </c>
      <c r="C17" s="102" t="n">
        <v>2000</v>
      </c>
      <c r="D17" s="102" t="n">
        <v>2000</v>
      </c>
      <c r="E17" s="103" t="n">
        <f aca="false">CHOOSE(Dashboard!$B$4,B17,C17,D17)</f>
        <v>2000</v>
      </c>
      <c r="F17" s="39" t="s">
        <v>245</v>
      </c>
      <c r="G17" s="97" t="s">
        <v>240</v>
      </c>
    </row>
    <row r="18" customFormat="false" ht="15" hidden="false" customHeight="false" outlineLevel="0" collapsed="false">
      <c r="A18" s="6" t="s">
        <v>252</v>
      </c>
      <c r="B18" s="102" t="n">
        <v>180000</v>
      </c>
      <c r="C18" s="102" t="n">
        <v>160000</v>
      </c>
      <c r="D18" s="102" t="n">
        <v>150000</v>
      </c>
      <c r="E18" s="103" t="n">
        <f aca="false">CHOOSE(Dashboard!$B$4,B18,C18,D18)</f>
        <v>160000</v>
      </c>
      <c r="F18" s="39" t="s">
        <v>245</v>
      </c>
      <c r="G18" s="97" t="s">
        <v>240</v>
      </c>
    </row>
    <row r="20" customFormat="false" ht="15.75" hidden="false" customHeight="true" outlineLevel="0" collapsed="false">
      <c r="A20" s="7" t="s">
        <v>253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254</v>
      </c>
      <c r="B21" s="104" t="n">
        <v>3</v>
      </c>
      <c r="C21" s="104" t="n">
        <v>3.5</v>
      </c>
      <c r="D21" s="104" t="n">
        <v>4</v>
      </c>
      <c r="E21" s="105" t="n">
        <f aca="false">CHOOSE(Dashboard!$B$4,B21,C21,D21)</f>
        <v>3.5</v>
      </c>
      <c r="F21" s="39" t="s">
        <v>255</v>
      </c>
      <c r="G21" s="97" t="s">
        <v>237</v>
      </c>
    </row>
    <row r="22" customFormat="false" ht="15" hidden="false" customHeight="false" outlineLevel="0" collapsed="false">
      <c r="A22" s="6" t="s">
        <v>256</v>
      </c>
      <c r="B22" s="102" t="n">
        <v>30000</v>
      </c>
      <c r="C22" s="102" t="n">
        <v>32000</v>
      </c>
      <c r="D22" s="102" t="n">
        <v>34000</v>
      </c>
      <c r="E22" s="103" t="n">
        <f aca="false">CHOOSE(Dashboard!$B$4,B22,C22,D22)</f>
        <v>32000</v>
      </c>
      <c r="F22" s="39" t="s">
        <v>245</v>
      </c>
      <c r="G22" s="97"/>
    </row>
    <row r="23" customFormat="false" ht="15" hidden="false" customHeight="false" outlineLevel="0" collapsed="false">
      <c r="A23" s="6" t="s">
        <v>257</v>
      </c>
      <c r="B23" s="98" t="n">
        <v>0</v>
      </c>
      <c r="C23" s="98" t="n">
        <v>0</v>
      </c>
      <c r="D23" s="98" t="n">
        <v>0</v>
      </c>
      <c r="E23" s="99" t="n">
        <f aca="false">CHOOSE(Dashboard!$B$4,B23,C23,D23)</f>
        <v>0</v>
      </c>
      <c r="F23" s="39" t="s">
        <v>242</v>
      </c>
      <c r="G23" s="97" t="s">
        <v>237</v>
      </c>
    </row>
    <row r="24" customFormat="false" ht="15" hidden="false" customHeight="false" outlineLevel="0" collapsed="false">
      <c r="A24" s="6" t="s">
        <v>258</v>
      </c>
      <c r="B24" s="95" t="n">
        <v>1</v>
      </c>
      <c r="C24" s="95" t="n">
        <v>1</v>
      </c>
      <c r="D24" s="95" t="n">
        <v>1</v>
      </c>
      <c r="E24" s="96" t="n">
        <f aca="false">CHOOSE(Dashboard!$B$4,B24,C24,D24)</f>
        <v>1</v>
      </c>
      <c r="F24" s="39" t="s">
        <v>259</v>
      </c>
      <c r="G24" s="97"/>
    </row>
    <row r="25" customFormat="false" ht="15" hidden="false" customHeight="false" outlineLevel="0" collapsed="false">
      <c r="A25" s="6" t="s">
        <v>260</v>
      </c>
      <c r="B25" s="98" t="n">
        <v>0.12</v>
      </c>
      <c r="C25" s="98" t="n">
        <v>0.12</v>
      </c>
      <c r="D25" s="98" t="n">
        <v>0.12</v>
      </c>
      <c r="E25" s="99" t="n">
        <f aca="false">CHOOSE(Dashboard!$B$4,B25,C25,D25)</f>
        <v>0.12</v>
      </c>
      <c r="F25" s="39" t="s">
        <v>242</v>
      </c>
      <c r="G25" s="97"/>
    </row>
    <row r="26" customFormat="false" ht="15" hidden="false" customHeight="false" outlineLevel="0" collapsed="false">
      <c r="A26" s="6" t="s">
        <v>261</v>
      </c>
      <c r="B26" s="98" t="n">
        <v>0.03</v>
      </c>
      <c r="C26" s="98" t="n">
        <v>0.03</v>
      </c>
      <c r="D26" s="98" t="n">
        <v>0.03</v>
      </c>
      <c r="E26" s="99" t="n">
        <f aca="false">CHOOSE(Dashboard!$B$4,B26,C26,D26)</f>
        <v>0.03</v>
      </c>
      <c r="F26" s="39" t="s">
        <v>242</v>
      </c>
      <c r="G26" s="97"/>
    </row>
    <row r="28" customFormat="false" ht="15.75" hidden="false" customHeight="true" outlineLevel="0" collapsed="false">
      <c r="A28" s="7" t="s">
        <v>262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263</v>
      </c>
      <c r="B29" s="102" t="n">
        <v>140000</v>
      </c>
      <c r="C29" s="102" t="n">
        <v>140000</v>
      </c>
      <c r="D29" s="102" t="n">
        <v>140000</v>
      </c>
      <c r="E29" s="103" t="n">
        <f aca="false">CHOOSE(Dashboard!$B$4,B29,C29,D29)</f>
        <v>140000</v>
      </c>
      <c r="F29" s="39" t="s">
        <v>245</v>
      </c>
      <c r="G29" s="97"/>
    </row>
    <row r="30" customFormat="false" ht="15" hidden="false" customHeight="false" outlineLevel="0" collapsed="false">
      <c r="A30" s="6" t="s">
        <v>264</v>
      </c>
      <c r="B30" s="102" t="n">
        <v>80000</v>
      </c>
      <c r="C30" s="102" t="n">
        <v>80000</v>
      </c>
      <c r="D30" s="102" t="n">
        <v>80000</v>
      </c>
      <c r="E30" s="103" t="n">
        <f aca="false">CHOOSE(Dashboard!$B$4,B30,C30,D30)</f>
        <v>80000</v>
      </c>
      <c r="F30" s="39" t="s">
        <v>245</v>
      </c>
      <c r="G30" s="97"/>
    </row>
    <row r="31" customFormat="false" ht="15" hidden="false" customHeight="false" outlineLevel="0" collapsed="false">
      <c r="A31" s="6" t="s">
        <v>265</v>
      </c>
      <c r="B31" s="98" t="n">
        <v>0.08</v>
      </c>
      <c r="C31" s="98" t="n">
        <v>0.08</v>
      </c>
      <c r="D31" s="98" t="n">
        <v>0.08</v>
      </c>
      <c r="E31" s="99" t="n">
        <f aca="false">CHOOSE(Dashboard!$B$4,B31,C31,D31)</f>
        <v>0.08</v>
      </c>
      <c r="F31" s="39" t="s">
        <v>242</v>
      </c>
      <c r="G31" s="97"/>
    </row>
    <row r="32" customFormat="false" ht="15" hidden="false" customHeight="false" outlineLevel="0" collapsed="false">
      <c r="A32" s="6" t="s">
        <v>266</v>
      </c>
      <c r="B32" s="95" t="n">
        <v>5</v>
      </c>
      <c r="C32" s="95" t="n">
        <v>5</v>
      </c>
      <c r="D32" s="95" t="n">
        <v>5</v>
      </c>
      <c r="E32" s="96" t="n">
        <f aca="false">CHOOSE(Dashboard!$B$4,B32,C32,D32)</f>
        <v>5</v>
      </c>
      <c r="F32" s="39" t="s">
        <v>267</v>
      </c>
      <c r="G32" s="97"/>
    </row>
    <row r="34" customFormat="false" ht="15.75" hidden="false" customHeight="true" outlineLevel="0" collapsed="false">
      <c r="A34" s="7" t="s">
        <v>268</v>
      </c>
      <c r="B34" s="7"/>
      <c r="C34" s="7"/>
      <c r="D34" s="7"/>
      <c r="E34" s="7"/>
      <c r="F34" s="7"/>
      <c r="G34" s="7"/>
    </row>
    <row r="35" customFormat="false" ht="15" hidden="false" customHeight="false" outlineLevel="0" collapsed="false">
      <c r="A35" s="6" t="s">
        <v>269</v>
      </c>
      <c r="B35" s="95" t="n">
        <v>2</v>
      </c>
      <c r="C35" s="95" t="n">
        <v>2</v>
      </c>
      <c r="D35" s="95" t="n">
        <v>2</v>
      </c>
      <c r="E35" s="96" t="n">
        <f aca="false">CHOOSE(Dashboard!$B$4,B35,C35,D35)</f>
        <v>2</v>
      </c>
      <c r="F35" s="39" t="s">
        <v>248</v>
      </c>
      <c r="G35" s="97"/>
    </row>
    <row r="36" customFormat="false" ht="15" hidden="false" customHeight="false" outlineLevel="0" collapsed="false">
      <c r="A36" s="6" t="s">
        <v>270</v>
      </c>
      <c r="B36" s="95" t="n">
        <v>7</v>
      </c>
      <c r="C36" s="95" t="n">
        <v>7</v>
      </c>
      <c r="D36" s="95" t="n">
        <v>7</v>
      </c>
      <c r="E36" s="96" t="n">
        <f aca="false">CHOOSE(Dashboard!$B$4,B36,C36,D36)</f>
        <v>7</v>
      </c>
      <c r="F36" s="39" t="s">
        <v>248</v>
      </c>
      <c r="G36" s="97"/>
    </row>
    <row r="37" customFormat="false" ht="15" hidden="false" customHeight="false" outlineLevel="0" collapsed="false">
      <c r="A37" s="6" t="s">
        <v>271</v>
      </c>
      <c r="B37" s="95" t="n">
        <v>14</v>
      </c>
      <c r="C37" s="95" t="n">
        <v>14</v>
      </c>
      <c r="D37" s="95" t="n">
        <v>14</v>
      </c>
      <c r="E37" s="96" t="n">
        <f aca="false">CHOOSE(Dashboard!$B$4,B37,C37,D37)</f>
        <v>14</v>
      </c>
      <c r="F37" s="39" t="s">
        <v>248</v>
      </c>
      <c r="G37" s="97"/>
    </row>
    <row r="39" customFormat="false" ht="15.75" hidden="false" customHeight="true" outlineLevel="0" collapsed="false">
      <c r="A39" s="7" t="s">
        <v>272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273</v>
      </c>
      <c r="B40" s="95" t="n">
        <v>7</v>
      </c>
      <c r="C40" s="95" t="n">
        <v>7</v>
      </c>
      <c r="D40" s="95" t="n">
        <v>7</v>
      </c>
      <c r="E40" s="96" t="n">
        <f aca="false">CHOOSE(Dashboard!$B$4,B40,C40,D40)</f>
        <v>7</v>
      </c>
      <c r="F40" s="39" t="s">
        <v>267</v>
      </c>
      <c r="G40" s="97"/>
    </row>
    <row r="41" customFormat="false" ht="15" hidden="false" customHeight="false" outlineLevel="0" collapsed="false">
      <c r="A41" s="6" t="s">
        <v>274</v>
      </c>
      <c r="B41" s="98" t="n">
        <v>0.21</v>
      </c>
      <c r="C41" s="98" t="n">
        <v>0.21</v>
      </c>
      <c r="D41" s="98" t="n">
        <v>0.21</v>
      </c>
      <c r="E41" s="99" t="n">
        <f aca="false">CHOOSE(Dashboard!$B$4,B41,C41,D41)</f>
        <v>0.21</v>
      </c>
      <c r="F41" s="39" t="s">
        <v>242</v>
      </c>
      <c r="G41" s="97"/>
    </row>
    <row r="43" customFormat="false" ht="15.75" hidden="false" customHeight="true" outlineLevel="0" collapsed="false">
      <c r="A43" s="7" t="s">
        <v>275</v>
      </c>
      <c r="B43" s="7"/>
      <c r="C43" s="7"/>
      <c r="D43" s="7"/>
      <c r="E43" s="7"/>
      <c r="F43" s="7"/>
      <c r="G43" s="7"/>
    </row>
    <row r="44" customFormat="false" ht="15" hidden="false" customHeight="false" outlineLevel="0" collapsed="false">
      <c r="A44" s="6" t="s">
        <v>139</v>
      </c>
      <c r="B44" s="102" t="n">
        <v>53000</v>
      </c>
      <c r="C44" s="102" t="n">
        <v>53000</v>
      </c>
      <c r="D44" s="102" t="n">
        <v>53000</v>
      </c>
      <c r="E44" s="103" t="n">
        <f aca="false">CHOOSE(Dashboard!$B$4,B44,C44,D44)</f>
        <v>53000</v>
      </c>
      <c r="F44" s="39" t="s">
        <v>245</v>
      </c>
      <c r="G44" s="97" t="s">
        <v>276</v>
      </c>
    </row>
    <row r="46" customFormat="false" ht="15.75" hidden="false" customHeight="true" outlineLevel="0" collapsed="false">
      <c r="A46" s="7" t="s">
        <v>277</v>
      </c>
      <c r="B46" s="7"/>
      <c r="C46" s="7"/>
      <c r="D46" s="7"/>
      <c r="E46" s="7"/>
      <c r="F46" s="7"/>
      <c r="G46" s="7"/>
    </row>
    <row r="47" customFormat="false" ht="15" hidden="false" customHeight="false" outlineLevel="0" collapsed="false">
      <c r="A47" s="6" t="s">
        <v>164</v>
      </c>
      <c r="B47" s="98" t="n">
        <v>0.25</v>
      </c>
      <c r="C47" s="98" t="n">
        <v>0.2</v>
      </c>
      <c r="D47" s="98" t="n">
        <v>0.17</v>
      </c>
      <c r="E47" s="99" t="n">
        <f aca="false">CHOOSE(Dashboard!$B$4,B47,C47,D47)</f>
        <v>0.2</v>
      </c>
      <c r="F47" s="39" t="s">
        <v>242</v>
      </c>
      <c r="G47" s="97" t="s">
        <v>240</v>
      </c>
    </row>
    <row r="48" customFormat="false" ht="15" hidden="false" customHeight="false" outlineLevel="0" collapsed="false">
      <c r="A48" s="6" t="s">
        <v>278</v>
      </c>
      <c r="B48" s="98" t="n">
        <v>0.01</v>
      </c>
      <c r="C48" s="98" t="n">
        <v>0.02</v>
      </c>
      <c r="D48" s="98" t="n">
        <v>0.03</v>
      </c>
      <c r="E48" s="99" t="n">
        <f aca="false">CHOOSE(Dashboard!$B$4,B48,C48,D48)</f>
        <v>0.02</v>
      </c>
      <c r="F48" s="39" t="s">
        <v>242</v>
      </c>
      <c r="G48" s="97" t="s">
        <v>237</v>
      </c>
    </row>
    <row r="49" customFormat="false" ht="15" hidden="false" customHeight="false" outlineLevel="0" collapsed="false">
      <c r="A49" s="6" t="s">
        <v>166</v>
      </c>
      <c r="B49" s="106" t="n">
        <v>3.5</v>
      </c>
      <c r="C49" s="106" t="n">
        <v>4.5</v>
      </c>
      <c r="D49" s="106" t="n">
        <v>6</v>
      </c>
      <c r="E49" s="107" t="n">
        <f aca="false">CHOOSE(Dashboard!$B$4,B49,C49,D49)</f>
        <v>4.5</v>
      </c>
      <c r="F49" s="39" t="s">
        <v>279</v>
      </c>
      <c r="G49" s="97" t="s">
        <v>237</v>
      </c>
    </row>
    <row r="50" customFormat="false" ht="15" hidden="false" customHeight="false" outlineLevel="0" collapsed="false">
      <c r="A50" s="6" t="s">
        <v>280</v>
      </c>
      <c r="B50" s="98" t="n">
        <v>0.01</v>
      </c>
      <c r="C50" s="98" t="n">
        <v>0.01</v>
      </c>
      <c r="D50" s="98" t="n">
        <v>0.01</v>
      </c>
      <c r="E50" s="99" t="n">
        <f aca="false">CHOOSE(Dashboard!$B$4,B50,C50,D50)</f>
        <v>0.01</v>
      </c>
      <c r="F50" s="39" t="s">
        <v>242</v>
      </c>
      <c r="G50" s="97"/>
    </row>
    <row r="51" customFormat="false" ht="15" hidden="false" customHeight="false" outlineLevel="0" collapsed="false">
      <c r="A51" s="6" t="s">
        <v>281</v>
      </c>
      <c r="B51" s="98" t="n">
        <v>0.005</v>
      </c>
      <c r="C51" s="98" t="n">
        <v>0.005</v>
      </c>
      <c r="D51" s="98" t="n">
        <v>0.005</v>
      </c>
      <c r="E51" s="99" t="n">
        <f aca="false">CHOOSE(Dashboard!$B$4,B51,C51,D51)</f>
        <v>0.005</v>
      </c>
      <c r="F51" s="39" t="s">
        <v>242</v>
      </c>
      <c r="G51" s="97"/>
    </row>
    <row r="53" customFormat="false" ht="15" hidden="false" customHeight="false" outlineLevel="0" collapsed="false">
      <c r="A53" s="21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283</v>
      </c>
    </row>
    <row r="3" customFormat="false" ht="15" hidden="false" customHeight="false" outlineLevel="0" collapsed="false">
      <c r="A3" s="70" t="s">
        <v>152</v>
      </c>
      <c r="B3" s="70" t="n">
        <v>1</v>
      </c>
      <c r="C3" s="70" t="n">
        <v>2</v>
      </c>
      <c r="D3" s="70" t="n">
        <v>3</v>
      </c>
    </row>
    <row r="4" customFormat="false" ht="15" hidden="false" customHeight="false" outlineLevel="0" collapsed="false">
      <c r="A4" s="33"/>
      <c r="B4" s="35" t="s">
        <v>153</v>
      </c>
      <c r="C4" s="35" t="s">
        <v>154</v>
      </c>
      <c r="D4" s="35" t="s">
        <v>155</v>
      </c>
    </row>
    <row r="5" customFormat="false" ht="15" hidden="false" customHeight="false" outlineLevel="0" collapsed="false">
      <c r="A5" s="4" t="s">
        <v>44</v>
      </c>
      <c r="B5" s="71" t="n">
        <f aca="false">SUMIF(Monthly!$C$5:$AL$5,B$3,Monthly!$C$12:$AL$12)</f>
        <v>319800</v>
      </c>
      <c r="C5" s="71" t="n">
        <f aca="false">SUMIF(Monthly!$C$5:$AL$5,C$3,Monthly!$C$12:$AL$12)</f>
        <v>408769.92</v>
      </c>
      <c r="D5" s="71" t="n">
        <f aca="false">SUMIF(Monthly!$C$5:$AL$5,D$3,Monthly!$C$12:$AL$12)</f>
        <v>446294.998656</v>
      </c>
    </row>
    <row r="6" customFormat="false" ht="15" hidden="false" customHeight="false" outlineLevel="0" collapsed="false">
      <c r="A6" s="6" t="s">
        <v>74</v>
      </c>
      <c r="B6" s="65" t="n">
        <f aca="false">SUMIF(Monthly!$C$5:$AL$5,B$3,Monthly!$C$13:$AL$13)</f>
        <v>-105534</v>
      </c>
      <c r="C6" s="65" t="n">
        <f aca="false">SUMIF(Monthly!$C$5:$AL$5,C$3,Monthly!$C$13:$AL$13)</f>
        <v>-134894.0736</v>
      </c>
      <c r="D6" s="65" t="n">
        <f aca="false">SUMIF(Monthly!$C$5:$AL$5,D$3,Monthly!$C$13:$AL$13)</f>
        <v>-147277.34955648</v>
      </c>
    </row>
    <row r="7" customFormat="false" ht="15" hidden="false" customHeight="false" outlineLevel="0" collapsed="false">
      <c r="A7" s="108" t="s">
        <v>45</v>
      </c>
      <c r="B7" s="66" t="n">
        <f aca="false">SUMIF(Monthly!$C$5:$AL$5,B$3,Monthly!$C$14:$AL$14)</f>
        <v>214266</v>
      </c>
      <c r="C7" s="66" t="n">
        <f aca="false">SUMIF(Monthly!$C$5:$AL$5,C$3,Monthly!$C$14:$AL$14)</f>
        <v>273875.8464</v>
      </c>
      <c r="D7" s="66" t="n">
        <f aca="false">SUMIF(Monthly!$C$5:$AL$5,D$3,Monthly!$C$14:$AL$14)</f>
        <v>299017.64909952</v>
      </c>
    </row>
    <row r="8" customFormat="false" ht="15" hidden="false" customHeight="false" outlineLevel="0" collapsed="false">
      <c r="A8" s="39" t="s">
        <v>46</v>
      </c>
      <c r="B8" s="72" t="n">
        <f aca="false">IF(B5=0,0,B7/B5)</f>
        <v>0.67</v>
      </c>
      <c r="C8" s="72" t="n">
        <f aca="false">IF(C5=0,0,C7/C5)</f>
        <v>0.67</v>
      </c>
      <c r="D8" s="72" t="n">
        <f aca="false">IF(D5=0,0,D7/D5)</f>
        <v>0.67</v>
      </c>
    </row>
    <row r="9" customFormat="false" ht="15" hidden="false" customHeight="false" outlineLevel="0" collapsed="false">
      <c r="A9" s="6" t="s">
        <v>284</v>
      </c>
      <c r="B9" s="65" t="n">
        <f aca="false">SUMIF(Monthly!$C$5:$AL$5,B$3,Monthly!$C$17:$AL$17)</f>
        <v>-54000</v>
      </c>
      <c r="C9" s="65" t="n">
        <f aca="false">SUMIF(Monthly!$C$5:$AL$5,C$3,Monthly!$C$17:$AL$17)</f>
        <v>-54000</v>
      </c>
      <c r="D9" s="65" t="n">
        <f aca="false">SUMIF(Monthly!$C$5:$AL$5,D$3,Monthly!$C$17:$AL$17)</f>
        <v>-54000</v>
      </c>
    </row>
    <row r="10" customFormat="false" ht="15" hidden="false" customHeight="false" outlineLevel="0" collapsed="false">
      <c r="A10" s="6" t="s">
        <v>285</v>
      </c>
      <c r="B10" s="65" t="n">
        <f aca="false">SUMIF(Monthly!$C$5:$AL$5,B$3,Monthly!$C$18:$AL$18)</f>
        <v>-125440</v>
      </c>
      <c r="C10" s="65" t="n">
        <f aca="false">SUMIF(Monthly!$C$5:$AL$5,C$3,Monthly!$C$18:$AL$18)</f>
        <v>-129203.2</v>
      </c>
      <c r="D10" s="65" t="n">
        <f aca="false">SUMIF(Monthly!$C$5:$AL$5,D$3,Monthly!$C$18:$AL$18)</f>
        <v>-133079.296</v>
      </c>
    </row>
    <row r="11" customFormat="false" ht="15" hidden="false" customHeight="false" outlineLevel="0" collapsed="false">
      <c r="A11" s="6" t="s">
        <v>286</v>
      </c>
      <c r="B11" s="65" t="n">
        <f aca="false">SUMIF(Monthly!$C$5:$AL$5,B$3,Monthly!$C$19:$AL$19)</f>
        <v>-9594</v>
      </c>
      <c r="C11" s="65" t="n">
        <f aca="false">SUMIF(Monthly!$C$5:$AL$5,C$3,Monthly!$C$19:$AL$19)</f>
        <v>-12263.0976</v>
      </c>
      <c r="D11" s="65" t="n">
        <f aca="false">SUMIF(Monthly!$C$5:$AL$5,D$3,Monthly!$C$19:$AL$19)</f>
        <v>-13388.84995968</v>
      </c>
    </row>
    <row r="12" customFormat="false" ht="15" hidden="false" customHeight="false" outlineLevel="0" collapsed="false">
      <c r="A12" s="6" t="s">
        <v>287</v>
      </c>
      <c r="B12" s="65" t="n">
        <f aca="false">SUMIF(Monthly!$C$5:$AL$5,B$3,Monthly!$C$20:$AL$20)</f>
        <v>-24000</v>
      </c>
      <c r="C12" s="65" t="n">
        <f aca="false">SUMIF(Monthly!$C$5:$AL$5,C$3,Monthly!$C$20:$AL$20)</f>
        <v>-24000</v>
      </c>
      <c r="D12" s="65" t="n">
        <f aca="false">SUMIF(Monthly!$C$5:$AL$5,D$3,Monthly!$C$20:$AL$20)</f>
        <v>-24000</v>
      </c>
    </row>
    <row r="13" customFormat="false" ht="15" hidden="false" customHeight="false" outlineLevel="0" collapsed="false">
      <c r="A13" s="108" t="s">
        <v>75</v>
      </c>
      <c r="B13" s="66" t="n">
        <f aca="false">SUMIF(Monthly!$C$5:$AL$5,B$3,Monthly!$C$21:$AL$21)</f>
        <v>-213034</v>
      </c>
      <c r="C13" s="66" t="n">
        <f aca="false">SUMIF(Monthly!$C$5:$AL$5,C$3,Monthly!$C$21:$AL$21)</f>
        <v>-219466.2976</v>
      </c>
      <c r="D13" s="66" t="n">
        <f aca="false">SUMIF(Monthly!$C$5:$AL$5,D$3,Monthly!$C$21:$AL$21)</f>
        <v>-224468.14595968</v>
      </c>
    </row>
    <row r="14" customFormat="false" ht="15" hidden="false" customHeight="false" outlineLevel="0" collapsed="false">
      <c r="A14" s="108" t="s">
        <v>48</v>
      </c>
      <c r="B14" s="66" t="n">
        <f aca="false">SUMIF(Monthly!$C$5:$AL$5,B$3,Monthly!$C$22:$AL$22)</f>
        <v>1231.99999999997</v>
      </c>
      <c r="C14" s="66" t="n">
        <f aca="false">SUMIF(Monthly!$C$5:$AL$5,C$3,Monthly!$C$22:$AL$22)</f>
        <v>54409.5488</v>
      </c>
      <c r="D14" s="66" t="n">
        <f aca="false">SUMIF(Monthly!$C$5:$AL$5,D$3,Monthly!$C$22:$AL$22)</f>
        <v>74549.5031398401</v>
      </c>
    </row>
    <row r="15" customFormat="false" ht="15" hidden="false" customHeight="false" outlineLevel="0" collapsed="false">
      <c r="A15" s="39" t="s">
        <v>49</v>
      </c>
      <c r="B15" s="72" t="n">
        <f aca="false">IF(B5=0,0,B14/B5)</f>
        <v>0.00385240775484667</v>
      </c>
      <c r="C15" s="72" t="n">
        <f aca="false">IF(C5=0,0,C14/C5)</f>
        <v>0.133105559234887</v>
      </c>
      <c r="D15" s="72" t="n">
        <f aca="false">IF(D5=0,0,D14/D5)</f>
        <v>0.167040866163284</v>
      </c>
    </row>
    <row r="16" customFormat="false" ht="15" hidden="false" customHeight="false" outlineLevel="0" collapsed="false">
      <c r="A16" s="6" t="s">
        <v>76</v>
      </c>
      <c r="B16" s="65" t="n">
        <f aca="false">SUMIF(Monthly!$C$5:$AL$5,B$3,Monthly!$C$36:$AL$36)</f>
        <v>-22857.1428571429</v>
      </c>
      <c r="C16" s="65" t="n">
        <f aca="false">SUMIF(Monthly!$C$5:$AL$5,C$3,Monthly!$C$36:$AL$36)</f>
        <v>-22857.1428571429</v>
      </c>
      <c r="D16" s="65" t="n">
        <f aca="false">SUMIF(Monthly!$C$5:$AL$5,D$3,Monthly!$C$36:$AL$36)</f>
        <v>-22857.1428571429</v>
      </c>
    </row>
    <row r="17" customFormat="false" ht="15" hidden="false" customHeight="false" outlineLevel="0" collapsed="false">
      <c r="A17" s="4" t="s">
        <v>77</v>
      </c>
      <c r="B17" s="71" t="n">
        <f aca="false">SUMIF(Monthly!$C$5:$AL$5,B$3,Monthly!$C$25:$AL$25)</f>
        <v>-21625.1428571429</v>
      </c>
      <c r="C17" s="71" t="n">
        <f aca="false">SUMIF(Monthly!$C$5:$AL$5,C$3,Monthly!$C$25:$AL$25)</f>
        <v>31552.4059428572</v>
      </c>
      <c r="D17" s="71" t="n">
        <f aca="false">SUMIF(Monthly!$C$5:$AL$5,D$3,Monthly!$C$25:$AL$25)</f>
        <v>51692.3602826972</v>
      </c>
    </row>
    <row r="18" customFormat="false" ht="15" hidden="false" customHeight="false" outlineLevel="0" collapsed="false">
      <c r="A18" s="6" t="s">
        <v>78</v>
      </c>
      <c r="B18" s="65" t="n">
        <f aca="false">SUMIF(Monthly!$C$5:$AL$5,B$3,Monthly!$C$26:$AL$26)</f>
        <v>-5862.22222222222</v>
      </c>
      <c r="C18" s="65" t="n">
        <f aca="false">SUMIF(Monthly!$C$5:$AL$5,C$3,Monthly!$C$26:$AL$26)</f>
        <v>-4586.66666666667</v>
      </c>
      <c r="D18" s="65" t="n">
        <f aca="false">SUMIF(Monthly!$C$5:$AL$5,D$3,Monthly!$C$26:$AL$26)</f>
        <v>-3306.66666666667</v>
      </c>
    </row>
    <row r="19" customFormat="false" ht="15" hidden="false" customHeight="false" outlineLevel="0" collapsed="false">
      <c r="A19" s="109" t="s">
        <v>79</v>
      </c>
      <c r="B19" s="110" t="n">
        <f aca="false">SUMIF(Monthly!$C$5:$AL$5,B$3,Monthly!$C$27:$AL$27)</f>
        <v>-27487.3650793651</v>
      </c>
      <c r="C19" s="110" t="n">
        <f aca="false">SUMIF(Monthly!$C$5:$AL$5,C$3,Monthly!$C$27:$AL$27)</f>
        <v>26965.7392761905</v>
      </c>
      <c r="D19" s="110" t="n">
        <f aca="false">SUMIF(Monthly!$C$5:$AL$5,D$3,Monthly!$C$27:$AL$27)</f>
        <v>48385.6936160305</v>
      </c>
    </row>
    <row r="20" customFormat="false" ht="15" hidden="false" customHeight="false" outlineLevel="0" collapsed="false">
      <c r="A20" s="6" t="s">
        <v>80</v>
      </c>
      <c r="B20" s="65" t="n">
        <f aca="false">SUMIF(Monthly!$C$5:$AL$5,B$3,Monthly!$C$30:$AL$30)</f>
        <v>0</v>
      </c>
      <c r="C20" s="65" t="n">
        <f aca="false">SUMIF(Monthly!$C$5:$AL$5,C$3,Monthly!$C$30:$AL$30)</f>
        <v>0</v>
      </c>
      <c r="D20" s="65" t="n">
        <f aca="false">SUMIF(Monthly!$C$5:$AL$5,D$3,Monthly!$C$30:$AL$30)</f>
        <v>-10051.4542406997</v>
      </c>
    </row>
    <row r="21" customFormat="false" ht="15" hidden="false" customHeight="false" outlineLevel="0" collapsed="false">
      <c r="A21" s="68" t="s">
        <v>50</v>
      </c>
      <c r="B21" s="69" t="n">
        <f aca="false">SUMIF(Monthly!$C$5:$AL$5,B$3,Monthly!$C$31:$AL$31)</f>
        <v>-27487.3650793651</v>
      </c>
      <c r="C21" s="69" t="n">
        <f aca="false">SUMIF(Monthly!$C$5:$AL$5,C$3,Monthly!$C$31:$AL$31)</f>
        <v>26965.7392761905</v>
      </c>
      <c r="D21" s="69" t="n">
        <f aca="false">SUMIF(Monthly!$C$5:$AL$5,D$3,Monthly!$C$31:$AL$31)</f>
        <v>38334.2393753308</v>
      </c>
    </row>
    <row r="22" customFormat="false" ht="15" hidden="false" customHeight="false" outlineLevel="0" collapsed="false">
      <c r="A22" s="39" t="s">
        <v>51</v>
      </c>
      <c r="B22" s="72" t="n">
        <f aca="false">IF(B5=0,0,B21/B5)</f>
        <v>-0.0859517357078334</v>
      </c>
      <c r="C22" s="72" t="n">
        <f aca="false">IF(C5=0,0,C21/C5)</f>
        <v>0.0659680127055105</v>
      </c>
      <c r="D22" s="72" t="n">
        <f aca="false">IF(D5=0,0,D21/D5)</f>
        <v>0.0858943960626331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283</v>
      </c>
    </row>
    <row r="3" customFormat="false" ht="15" hidden="false" customHeight="false" outlineLevel="0" collapsed="false">
      <c r="A3" s="70" t="s">
        <v>152</v>
      </c>
      <c r="B3" s="70" t="n">
        <v>1</v>
      </c>
      <c r="C3" s="70" t="n">
        <v>2</v>
      </c>
      <c r="D3" s="70" t="n">
        <v>3</v>
      </c>
    </row>
    <row r="4" customFormat="false" ht="15" hidden="false" customHeight="false" outlineLevel="0" collapsed="false">
      <c r="A4" s="33"/>
      <c r="B4" s="35" t="s">
        <v>153</v>
      </c>
      <c r="C4" s="35" t="s">
        <v>154</v>
      </c>
      <c r="D4" s="35" t="s">
        <v>155</v>
      </c>
    </row>
    <row r="5" customFormat="false" ht="15" hidden="false" customHeight="false" outlineLevel="0" collapsed="false">
      <c r="A5" s="6" t="s">
        <v>50</v>
      </c>
      <c r="B5" s="65" t="n">
        <f aca="false">SUMIF(Monthly!$C$5:$AL$5,B$3,Monthly!$C$31:$AL$31)</f>
        <v>-27487.3650793651</v>
      </c>
      <c r="C5" s="65" t="n">
        <f aca="false">SUMIF(Monthly!$C$5:$AL$5,C$3,Monthly!$C$31:$AL$31)</f>
        <v>26965.7392761905</v>
      </c>
      <c r="D5" s="65" t="n">
        <f aca="false">SUMIF(Monthly!$C$5:$AL$5,D$3,Monthly!$C$31:$AL$31)</f>
        <v>38334.2393753308</v>
      </c>
    </row>
    <row r="6" customFormat="false" ht="15" hidden="false" customHeight="false" outlineLevel="0" collapsed="false">
      <c r="A6" s="6" t="s">
        <v>288</v>
      </c>
      <c r="B6" s="65" t="n">
        <f aca="false">-SUMIF(Monthly!$C$5:$AL$5,B$3,Monthly!$C$36:$AL$36)</f>
        <v>22857.1428571429</v>
      </c>
      <c r="C6" s="65" t="n">
        <f aca="false">-SUMIF(Monthly!$C$5:$AL$5,C$3,Monthly!$C$36:$AL$36)</f>
        <v>22857.1428571429</v>
      </c>
      <c r="D6" s="65" t="n">
        <f aca="false">-SUMIF(Monthly!$C$5:$AL$5,D$3,Monthly!$C$36:$AL$36)</f>
        <v>22857.1428571429</v>
      </c>
    </row>
    <row r="7" customFormat="false" ht="15" hidden="false" customHeight="false" outlineLevel="0" collapsed="false">
      <c r="A7" s="6" t="s">
        <v>289</v>
      </c>
      <c r="B7" s="65" t="n">
        <f aca="false">SUMIF(Monthly!$C$5:$AL$5,B$3,Monthly!$C$50:$AL$50)</f>
        <v>-2080</v>
      </c>
      <c r="C7" s="65" t="n">
        <f aca="false">SUMIF(Monthly!$C$5:$AL$5,C$3,Monthly!$C$50:$AL$50)</f>
        <v>-190.944</v>
      </c>
      <c r="D7" s="65" t="n">
        <f aca="false">SUMIF(Monthly!$C$5:$AL$5,D$3,Monthly!$C$50:$AL$50)</f>
        <v>-208.4726592</v>
      </c>
    </row>
    <row r="8" customFormat="false" ht="15" hidden="false" customHeight="false" outlineLevel="0" collapsed="false">
      <c r="A8" s="6" t="s">
        <v>290</v>
      </c>
      <c r="B8" s="65" t="n">
        <f aca="false">SUMIF(Monthly!$C$5:$AL$5,B$3,Monthly!$C$51:$AL$51)</f>
        <v>-2402.4</v>
      </c>
      <c r="C8" s="65" t="n">
        <f aca="false">SUMIF(Monthly!$C$5:$AL$5,C$3,Monthly!$C$51:$AL$51)</f>
        <v>-220.540320000001</v>
      </c>
      <c r="D8" s="65" t="n">
        <f aca="false">SUMIF(Monthly!$C$5:$AL$5,D$3,Monthly!$C$51:$AL$51)</f>
        <v>-240.785921376</v>
      </c>
    </row>
    <row r="9" customFormat="false" ht="15" hidden="false" customHeight="false" outlineLevel="0" collapsed="false">
      <c r="A9" s="6" t="s">
        <v>291</v>
      </c>
      <c r="B9" s="65" t="n">
        <f aca="false">SUMIF(Monthly!$C$5:$AL$5,B$3,Monthly!$C$52:$AL$52)</f>
        <v>4804.8</v>
      </c>
      <c r="C9" s="65" t="n">
        <f aca="false">SUMIF(Monthly!$C$5:$AL$5,C$3,Monthly!$C$52:$AL$52)</f>
        <v>441.080640000001</v>
      </c>
      <c r="D9" s="65" t="n">
        <f aca="false">SUMIF(Monthly!$C$5:$AL$5,D$3,Monthly!$C$52:$AL$52)</f>
        <v>481.571842752001</v>
      </c>
    </row>
    <row r="10" customFormat="false" ht="15" hidden="false" customHeight="false" outlineLevel="0" collapsed="false">
      <c r="A10" s="108" t="s">
        <v>52</v>
      </c>
      <c r="B10" s="66" t="n">
        <f aca="false">SUMIF(Monthly!$C$5:$AL$5,B$3,Monthly!$C$55:$AL$55)</f>
        <v>-4307.82222222226</v>
      </c>
      <c r="C10" s="66" t="n">
        <f aca="false">SUMIF(Monthly!$C$5:$AL$5,C$3,Monthly!$C$55:$AL$55)</f>
        <v>49852.4784533334</v>
      </c>
      <c r="D10" s="66" t="n">
        <f aca="false">SUMIF(Monthly!$C$5:$AL$5,D$3,Monthly!$C$55:$AL$55)</f>
        <v>61223.6954946496</v>
      </c>
    </row>
    <row r="11" customFormat="false" ht="15" hidden="false" customHeight="false" outlineLevel="0" collapsed="false">
      <c r="A11" s="6" t="s">
        <v>82</v>
      </c>
      <c r="B11" s="65" t="n">
        <f aca="false">SUMIF(Monthly!$C$5:$AL$5,B$3,Monthly!$C$56:$AL$56)</f>
        <v>-160000</v>
      </c>
      <c r="C11" s="65" t="n">
        <f aca="false">SUMIF(Monthly!$C$5:$AL$5,C$3,Monthly!$C$56:$AL$56)</f>
        <v>0</v>
      </c>
      <c r="D11" s="65" t="n">
        <f aca="false">SUMIF(Monthly!$C$5:$AL$5,D$3,Monthly!$C$56:$AL$56)</f>
        <v>0</v>
      </c>
    </row>
    <row r="12" customFormat="false" ht="15" hidden="false" customHeight="false" outlineLevel="0" collapsed="false">
      <c r="A12" s="6" t="s">
        <v>62</v>
      </c>
      <c r="B12" s="65" t="n">
        <f aca="false">SUMIF(Monthly!$C$5:$AL$5,B$3,Monthly!$C$57:$AL$57)</f>
        <v>140000</v>
      </c>
      <c r="C12" s="65" t="n">
        <f aca="false">SUMIF(Monthly!$C$5:$AL$5,C$3,Monthly!$C$57:$AL$57)</f>
        <v>0</v>
      </c>
      <c r="D12" s="65" t="n">
        <f aca="false">SUMIF(Monthly!$C$5:$AL$5,D$3,Monthly!$C$57:$AL$57)</f>
        <v>0</v>
      </c>
    </row>
    <row r="13" customFormat="false" ht="15" hidden="false" customHeight="false" outlineLevel="0" collapsed="false">
      <c r="A13" s="6" t="s">
        <v>83</v>
      </c>
      <c r="B13" s="65" t="n">
        <f aca="false">SUMIF(Monthly!$C$5:$AL$5,B$3,Monthly!$C$42:$AL$42)</f>
        <v>80000</v>
      </c>
      <c r="C13" s="65" t="n">
        <f aca="false">SUMIF(Monthly!$C$5:$AL$5,C$3,Monthly!$C$42:$AL$42)</f>
        <v>0</v>
      </c>
      <c r="D13" s="65" t="n">
        <f aca="false">SUMIF(Monthly!$C$5:$AL$5,D$3,Monthly!$C$42:$AL$42)</f>
        <v>0</v>
      </c>
    </row>
    <row r="14" customFormat="false" ht="15" hidden="false" customHeight="false" outlineLevel="0" collapsed="false">
      <c r="A14" s="6" t="s">
        <v>84</v>
      </c>
      <c r="B14" s="65" t="n">
        <f aca="false">SUMIF(Monthly!$C$5:$AL$5,B$3,Monthly!$C$43:$AL$43)</f>
        <v>-14666.6666666667</v>
      </c>
      <c r="C14" s="65" t="n">
        <f aca="false">SUMIF(Monthly!$C$5:$AL$5,C$3,Monthly!$C$43:$AL$43)</f>
        <v>-16000</v>
      </c>
      <c r="D14" s="65" t="n">
        <f aca="false">SUMIF(Monthly!$C$5:$AL$5,D$3,Monthly!$C$43:$AL$43)</f>
        <v>-16000</v>
      </c>
    </row>
    <row r="15" customFormat="false" ht="15" hidden="false" customHeight="false" outlineLevel="0" collapsed="false">
      <c r="A15" s="108" t="s">
        <v>54</v>
      </c>
      <c r="B15" s="66" t="n">
        <f aca="false">SUMIF(Monthly!$C$5:$AL$5,B$3,Monthly!$C$58:$AL$58)</f>
        <v>205333.333333333</v>
      </c>
      <c r="C15" s="66" t="n">
        <f aca="false">SUMIF(Monthly!$C$5:$AL$5,C$3,Monthly!$C$58:$AL$58)</f>
        <v>-16000</v>
      </c>
      <c r="D15" s="66" t="n">
        <f aca="false">SUMIF(Monthly!$C$5:$AL$5,D$3,Monthly!$C$58:$AL$58)</f>
        <v>-16000</v>
      </c>
    </row>
    <row r="16" customFormat="false" ht="15" hidden="false" customHeight="false" outlineLevel="0" collapsed="false">
      <c r="A16" s="4" t="s">
        <v>55</v>
      </c>
      <c r="B16" s="71" t="n">
        <f aca="false">SUMIF(Monthly!$C$5:$AL$5,B$3,Monthly!$C$59:$AL$59)</f>
        <v>41025.5111111111</v>
      </c>
      <c r="C16" s="71" t="n">
        <f aca="false">SUMIF(Monthly!$C$5:$AL$5,C$3,Monthly!$C$59:$AL$59)</f>
        <v>33852.4784533334</v>
      </c>
      <c r="D16" s="71" t="n">
        <f aca="false">SUMIF(Monthly!$C$5:$AL$5,D$3,Monthly!$C$59:$AL$59)</f>
        <v>45223.6954946496</v>
      </c>
    </row>
    <row r="17" customFormat="false" ht="15" hidden="false" customHeight="false" outlineLevel="0" collapsed="false">
      <c r="A17" s="6" t="s">
        <v>292</v>
      </c>
      <c r="B17" s="65" t="n">
        <f aca="false">INDEX(Monthly!$C$60:$AL$60,(B$3-1)*12+1)</f>
        <v>0</v>
      </c>
      <c r="C17" s="65" t="n">
        <f aca="false">INDEX(Monthly!$C$60:$AL$60,(C$3-1)*12+1)</f>
        <v>41025.5111111111</v>
      </c>
      <c r="D17" s="65" t="n">
        <f aca="false">INDEX(Monthly!$C$60:$AL$60,(D$3-1)*12+1)</f>
        <v>74877.9895644444</v>
      </c>
    </row>
    <row r="18" customFormat="false" ht="15" hidden="false" customHeight="false" outlineLevel="0" collapsed="false">
      <c r="A18" s="68" t="s">
        <v>85</v>
      </c>
      <c r="B18" s="69" t="n">
        <f aca="false">INDEX(Monthly!$C$61:$AL$61,B$3*12)</f>
        <v>41025.5111111111</v>
      </c>
      <c r="C18" s="69" t="n">
        <f aca="false">INDEX(Monthly!$C$61:$AL$61,C$3*12)</f>
        <v>74877.9895644444</v>
      </c>
      <c r="D18" s="69" t="n">
        <f aca="false">INDEX(Monthly!$C$61:$AL$61,D$3*12)</f>
        <v>120101.685059094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283</v>
      </c>
    </row>
    <row r="3" customFormat="false" ht="15" hidden="false" customHeight="false" outlineLevel="0" collapsed="false">
      <c r="A3" s="70" t="s">
        <v>152</v>
      </c>
      <c r="B3" s="70" t="n">
        <v>1</v>
      </c>
      <c r="C3" s="70" t="n">
        <v>2</v>
      </c>
      <c r="D3" s="70" t="n">
        <v>3</v>
      </c>
    </row>
    <row r="4" customFormat="false" ht="15" hidden="false" customHeight="false" outlineLevel="0" collapsed="false">
      <c r="A4" s="33"/>
      <c r="B4" s="35" t="s">
        <v>153</v>
      </c>
      <c r="C4" s="35" t="s">
        <v>154</v>
      </c>
      <c r="D4" s="35" t="s">
        <v>155</v>
      </c>
    </row>
    <row r="5" customFormat="false" ht="15" hidden="false" customHeight="false" outlineLevel="0" collapsed="false">
      <c r="A5" s="6" t="s">
        <v>87</v>
      </c>
      <c r="B5" s="65" t="n">
        <f aca="false">INDEX(Monthly!$C$61:$AL$61,B$3*12)</f>
        <v>41025.5111111111</v>
      </c>
      <c r="C5" s="65" t="n">
        <f aca="false">INDEX(Monthly!$C$61:$AL$61,C$3*12)</f>
        <v>74877.9895644444</v>
      </c>
      <c r="D5" s="65" t="n">
        <f aca="false">INDEX(Monthly!$C$61:$AL$61,D$3*12)</f>
        <v>120101.685059094</v>
      </c>
    </row>
    <row r="6" customFormat="false" ht="15" hidden="false" customHeight="false" outlineLevel="0" collapsed="false">
      <c r="A6" s="6" t="s">
        <v>88</v>
      </c>
      <c r="B6" s="65" t="n">
        <f aca="false">INDEX(Monthly!$C$47:$AL$47,B$3*12)</f>
        <v>2080</v>
      </c>
      <c r="C6" s="65" t="n">
        <f aca="false">INDEX(Monthly!$C$47:$AL$47,C$3*12)</f>
        <v>2270.944</v>
      </c>
      <c r="D6" s="65" t="n">
        <f aca="false">INDEX(Monthly!$C$47:$AL$47,D$3*12)</f>
        <v>2479.4166592</v>
      </c>
    </row>
    <row r="7" customFormat="false" ht="15" hidden="false" customHeight="false" outlineLevel="0" collapsed="false">
      <c r="A7" s="6" t="s">
        <v>89</v>
      </c>
      <c r="B7" s="65" t="n">
        <f aca="false">INDEX(Monthly!$C$48:$AL$48,B$3*12)</f>
        <v>2402.4</v>
      </c>
      <c r="C7" s="65" t="n">
        <f aca="false">INDEX(Monthly!$C$48:$AL$48,C$3*12)</f>
        <v>2622.94032</v>
      </c>
      <c r="D7" s="65" t="n">
        <f aca="false">INDEX(Monthly!$C$48:$AL$48,D$3*12)</f>
        <v>2863.726241376</v>
      </c>
    </row>
    <row r="8" customFormat="false" ht="15" hidden="false" customHeight="false" outlineLevel="0" collapsed="false">
      <c r="A8" s="6" t="s">
        <v>90</v>
      </c>
      <c r="B8" s="65" t="n">
        <f aca="false">INDEX(Monthly!$C$38:$AL$38,B$3*12)</f>
        <v>137142.857142857</v>
      </c>
      <c r="C8" s="65" t="n">
        <f aca="false">INDEX(Monthly!$C$38:$AL$38,C$3*12)</f>
        <v>114285.714285714</v>
      </c>
      <c r="D8" s="65" t="n">
        <f aca="false">INDEX(Monthly!$C$38:$AL$38,D$3*12)</f>
        <v>91428.5714285714</v>
      </c>
    </row>
    <row r="9" customFormat="false" ht="15" hidden="false" customHeight="false" outlineLevel="0" collapsed="false">
      <c r="A9" s="108" t="s">
        <v>91</v>
      </c>
      <c r="B9" s="66" t="n">
        <f aca="false">INDEX(Monthly!$C$75:$AL$75,B$3*12)</f>
        <v>182650.768253968</v>
      </c>
      <c r="C9" s="66" t="n">
        <f aca="false">INDEX(Monthly!$C$75:$AL$75,C$3*12)</f>
        <v>194057.588170159</v>
      </c>
      <c r="D9" s="66" t="n">
        <f aca="false">INDEX(Monthly!$C$75:$AL$75,D$3*12)</f>
        <v>216873.399388241</v>
      </c>
    </row>
    <row r="10" customFormat="false" ht="15" hidden="false" customHeight="false" outlineLevel="0" collapsed="false">
      <c r="A10" s="6" t="s">
        <v>92</v>
      </c>
      <c r="B10" s="65" t="n">
        <f aca="false">INDEX(Monthly!$C$49:$AL$49,B$3*12)</f>
        <v>4804.8</v>
      </c>
      <c r="C10" s="65" t="n">
        <f aca="false">INDEX(Monthly!$C$49:$AL$49,C$3*12)</f>
        <v>5245.88064</v>
      </c>
      <c r="D10" s="65" t="n">
        <f aca="false">INDEX(Monthly!$C$49:$AL$49,D$3*12)</f>
        <v>5727.452482752</v>
      </c>
    </row>
    <row r="11" customFormat="false" ht="15" hidden="false" customHeight="false" outlineLevel="0" collapsed="false">
      <c r="A11" s="6" t="s">
        <v>93</v>
      </c>
      <c r="B11" s="65" t="n">
        <f aca="false">INDEX(Monthly!$C$44:$AL$44,B$3*12)</f>
        <v>65333.3333333334</v>
      </c>
      <c r="C11" s="65" t="n">
        <f aca="false">INDEX(Monthly!$C$44:$AL$44,C$3*12)</f>
        <v>49333.3333333334</v>
      </c>
      <c r="D11" s="65" t="n">
        <f aca="false">INDEX(Monthly!$C$44:$AL$44,D$3*12)</f>
        <v>33333.3333333333</v>
      </c>
    </row>
    <row r="12" customFormat="false" ht="15" hidden="false" customHeight="false" outlineLevel="0" collapsed="false">
      <c r="A12" s="109" t="s">
        <v>94</v>
      </c>
      <c r="B12" s="110" t="n">
        <f aca="false">INDEX(Monthly!$C$76:$AL$76,B$3*12)</f>
        <v>70138.1333333334</v>
      </c>
      <c r="C12" s="110" t="n">
        <f aca="false">INDEX(Monthly!$C$76:$AL$76,C$3*12)</f>
        <v>54579.2139733334</v>
      </c>
      <c r="D12" s="110" t="n">
        <f aca="false">INDEX(Monthly!$C$76:$AL$76,D$3*12)</f>
        <v>39060.7858160853</v>
      </c>
    </row>
    <row r="13" customFormat="false" ht="15" hidden="false" customHeight="false" outlineLevel="0" collapsed="false">
      <c r="A13" s="6" t="s">
        <v>95</v>
      </c>
      <c r="B13" s="65" t="n">
        <f aca="false">INDEX(Monthly!$C$73:$AL$73,B$3*12)</f>
        <v>140000</v>
      </c>
      <c r="C13" s="65" t="n">
        <f aca="false">INDEX(Monthly!$C$73:$AL$73,C$3*12)</f>
        <v>140000</v>
      </c>
      <c r="D13" s="65" t="n">
        <f aca="false">INDEX(Monthly!$C$73:$AL$73,D$3*12)</f>
        <v>140000</v>
      </c>
    </row>
    <row r="14" customFormat="false" ht="15" hidden="false" customHeight="false" outlineLevel="0" collapsed="false">
      <c r="A14" s="6" t="s">
        <v>96</v>
      </c>
      <c r="B14" s="65" t="n">
        <f aca="false">INDEX(Monthly!$C$74:$AL$74,B$3*12)</f>
        <v>-27487.3650793651</v>
      </c>
      <c r="C14" s="65" t="n">
        <f aca="false">INDEX(Monthly!$C$74:$AL$74,C$3*12)</f>
        <v>-521.625803174616</v>
      </c>
      <c r="D14" s="65" t="n">
        <f aca="false">INDEX(Monthly!$C$74:$AL$74,D$3*12)</f>
        <v>37812.6135721562</v>
      </c>
    </row>
    <row r="15" customFormat="false" ht="15" hidden="false" customHeight="false" outlineLevel="0" collapsed="false">
      <c r="A15" s="109" t="s">
        <v>97</v>
      </c>
      <c r="B15" s="110" t="n">
        <f aca="false">INDEX(Monthly!$C$77:$AL$77,B$3*12)</f>
        <v>112512.634920635</v>
      </c>
      <c r="C15" s="110" t="n">
        <f aca="false">INDEX(Monthly!$C$77:$AL$77,C$3*12)</f>
        <v>139478.374196825</v>
      </c>
      <c r="D15" s="110" t="n">
        <f aca="false">INDEX(Monthly!$C$77:$AL$77,D$3*12)</f>
        <v>177812.613572156</v>
      </c>
    </row>
    <row r="16" customFormat="false" ht="15" hidden="false" customHeight="false" outlineLevel="0" collapsed="false">
      <c r="A16" s="68" t="s">
        <v>98</v>
      </c>
      <c r="B16" s="69" t="n">
        <f aca="false">INDEX(Monthly!$C$78:$AL$78,B$3*12)</f>
        <v>182650.768253968</v>
      </c>
      <c r="C16" s="69" t="n">
        <f aca="false">INDEX(Monthly!$C$78:$AL$78,C$3*12)</f>
        <v>194057.588170159</v>
      </c>
      <c r="D16" s="69" t="n">
        <f aca="false">INDEX(Monthly!$C$78:$AL$78,D$3*12)</f>
        <v>216873.399388242</v>
      </c>
    </row>
    <row r="17" customFormat="false" ht="15" hidden="false" customHeight="false" outlineLevel="0" collapsed="false">
      <c r="A17" s="6" t="s">
        <v>293</v>
      </c>
      <c r="B17" s="65" t="n">
        <f aca="false">INDEX(Monthly!$C$79:$AL$79,B$3*12)</f>
        <v>0</v>
      </c>
      <c r="C17" s="65" t="n">
        <f aca="false">INDEX(Monthly!$C$79:$AL$79,C$3*12)</f>
        <v>0</v>
      </c>
      <c r="D17" s="65" t="n">
        <f aca="false">INDEX(Monthly!$C$79:$AL$79,D$3*12)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294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295</v>
      </c>
    </row>
    <row r="3" customFormat="false" ht="15" hidden="false" customHeight="false" outlineLevel="0" collapsed="false">
      <c r="A3" s="33" t="s">
        <v>296</v>
      </c>
      <c r="C3" s="35" t="s">
        <v>297</v>
      </c>
      <c r="D3" s="35" t="s">
        <v>298</v>
      </c>
      <c r="E3" s="35" t="s">
        <v>299</v>
      </c>
      <c r="F3" s="35" t="s">
        <v>300</v>
      </c>
      <c r="G3" s="35" t="s">
        <v>301</v>
      </c>
      <c r="H3" s="35" t="s">
        <v>302</v>
      </c>
      <c r="I3" s="35" t="s">
        <v>303</v>
      </c>
      <c r="J3" s="35" t="s">
        <v>304</v>
      </c>
      <c r="K3" s="35" t="s">
        <v>305</v>
      </c>
      <c r="L3" s="35" t="s">
        <v>306</v>
      </c>
      <c r="M3" s="35" t="s">
        <v>307</v>
      </c>
      <c r="N3" s="35" t="s">
        <v>308</v>
      </c>
      <c r="O3" s="35" t="s">
        <v>309</v>
      </c>
      <c r="P3" s="35" t="s">
        <v>310</v>
      </c>
      <c r="Q3" s="35" t="s">
        <v>311</v>
      </c>
      <c r="R3" s="35" t="s">
        <v>312</v>
      </c>
      <c r="S3" s="35" t="s">
        <v>313</v>
      </c>
      <c r="T3" s="35" t="s">
        <v>314</v>
      </c>
      <c r="U3" s="35" t="s">
        <v>315</v>
      </c>
      <c r="V3" s="35" t="s">
        <v>316</v>
      </c>
      <c r="W3" s="35" t="s">
        <v>317</v>
      </c>
      <c r="X3" s="35" t="s">
        <v>318</v>
      </c>
      <c r="Y3" s="35" t="s">
        <v>319</v>
      </c>
      <c r="Z3" s="35" t="s">
        <v>320</v>
      </c>
      <c r="AA3" s="35" t="s">
        <v>321</v>
      </c>
      <c r="AB3" s="35" t="s">
        <v>322</v>
      </c>
      <c r="AC3" s="35" t="s">
        <v>323</v>
      </c>
      <c r="AD3" s="35" t="s">
        <v>324</v>
      </c>
      <c r="AE3" s="35" t="s">
        <v>325</v>
      </c>
      <c r="AF3" s="35" t="s">
        <v>326</v>
      </c>
      <c r="AG3" s="35" t="s">
        <v>327</v>
      </c>
      <c r="AH3" s="35" t="s">
        <v>328</v>
      </c>
      <c r="AI3" s="35" t="s">
        <v>329</v>
      </c>
      <c r="AJ3" s="35" t="s">
        <v>330</v>
      </c>
      <c r="AK3" s="35" t="s">
        <v>331</v>
      </c>
      <c r="AL3" s="35" t="s">
        <v>332</v>
      </c>
    </row>
    <row r="4" customFormat="false" ht="15" hidden="false" customHeight="false" outlineLevel="0" collapsed="false">
      <c r="A4" s="70" t="s">
        <v>333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</row>
    <row r="5" customFormat="false" ht="15" hidden="false" customHeight="false" outlineLevel="0" collapsed="false">
      <c r="A5" s="70" t="s">
        <v>152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</row>
    <row r="7" customFormat="false" ht="15.75" hidden="false" customHeight="true" outlineLevel="0" collapsed="false">
      <c r="A7" s="7" t="s">
        <v>334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9" t="s">
        <v>335</v>
      </c>
      <c r="C8" s="72" t="n">
        <f aca="false">MIN(1,Inputs!$E$9+(1-Inputs!$E$9)*(C$4-1)/MAX(1,Inputs!$E$8))</f>
        <v>0.5</v>
      </c>
      <c r="D8" s="72" t="n">
        <f aca="false">MIN(1,Inputs!$E$9+(1-Inputs!$E$9)*(D$4-1)/MAX(1,Inputs!$E$8))</f>
        <v>0.583333333333333</v>
      </c>
      <c r="E8" s="72" t="n">
        <f aca="false">MIN(1,Inputs!$E$9+(1-Inputs!$E$9)*(E$4-1)/MAX(1,Inputs!$E$8))</f>
        <v>0.666666666666667</v>
      </c>
      <c r="F8" s="72" t="n">
        <f aca="false">MIN(1,Inputs!$E$9+(1-Inputs!$E$9)*(F$4-1)/MAX(1,Inputs!$E$8))</f>
        <v>0.75</v>
      </c>
      <c r="G8" s="72" t="n">
        <f aca="false">MIN(1,Inputs!$E$9+(1-Inputs!$E$9)*(G$4-1)/MAX(1,Inputs!$E$8))</f>
        <v>0.833333333333333</v>
      </c>
      <c r="H8" s="72" t="n">
        <f aca="false">MIN(1,Inputs!$E$9+(1-Inputs!$E$9)*(H$4-1)/MAX(1,Inputs!$E$8))</f>
        <v>0.916666666666667</v>
      </c>
      <c r="I8" s="72" t="n">
        <f aca="false">MIN(1,Inputs!$E$9+(1-Inputs!$E$9)*(I$4-1)/MAX(1,Inputs!$E$8))</f>
        <v>1</v>
      </c>
      <c r="J8" s="72" t="n">
        <f aca="false">MIN(1,Inputs!$E$9+(1-Inputs!$E$9)*(J$4-1)/MAX(1,Inputs!$E$8))</f>
        <v>1</v>
      </c>
      <c r="K8" s="72" t="n">
        <f aca="false">MIN(1,Inputs!$E$9+(1-Inputs!$E$9)*(K$4-1)/MAX(1,Inputs!$E$8))</f>
        <v>1</v>
      </c>
      <c r="L8" s="72" t="n">
        <f aca="false">MIN(1,Inputs!$E$9+(1-Inputs!$E$9)*(L$4-1)/MAX(1,Inputs!$E$8))</f>
        <v>1</v>
      </c>
      <c r="M8" s="72" t="n">
        <f aca="false">MIN(1,Inputs!$E$9+(1-Inputs!$E$9)*(M$4-1)/MAX(1,Inputs!$E$8))</f>
        <v>1</v>
      </c>
      <c r="N8" s="72" t="n">
        <f aca="false">MIN(1,Inputs!$E$9+(1-Inputs!$E$9)*(N$4-1)/MAX(1,Inputs!$E$8))</f>
        <v>1</v>
      </c>
      <c r="O8" s="72" t="n">
        <f aca="false">MIN(1,Inputs!$E$9+(1-Inputs!$E$9)*(O$4-1)/MAX(1,Inputs!$E$8))</f>
        <v>1</v>
      </c>
      <c r="P8" s="72" t="n">
        <f aca="false">MIN(1,Inputs!$E$9+(1-Inputs!$E$9)*(P$4-1)/MAX(1,Inputs!$E$8))</f>
        <v>1</v>
      </c>
      <c r="Q8" s="72" t="n">
        <f aca="false">MIN(1,Inputs!$E$9+(1-Inputs!$E$9)*(Q$4-1)/MAX(1,Inputs!$E$8))</f>
        <v>1</v>
      </c>
      <c r="R8" s="72" t="n">
        <f aca="false">MIN(1,Inputs!$E$9+(1-Inputs!$E$9)*(R$4-1)/MAX(1,Inputs!$E$8))</f>
        <v>1</v>
      </c>
      <c r="S8" s="72" t="n">
        <f aca="false">MIN(1,Inputs!$E$9+(1-Inputs!$E$9)*(S$4-1)/MAX(1,Inputs!$E$8))</f>
        <v>1</v>
      </c>
      <c r="T8" s="72" t="n">
        <f aca="false">MIN(1,Inputs!$E$9+(1-Inputs!$E$9)*(T$4-1)/MAX(1,Inputs!$E$8))</f>
        <v>1</v>
      </c>
      <c r="U8" s="72" t="n">
        <f aca="false">MIN(1,Inputs!$E$9+(1-Inputs!$E$9)*(U$4-1)/MAX(1,Inputs!$E$8))</f>
        <v>1</v>
      </c>
      <c r="V8" s="72" t="n">
        <f aca="false">MIN(1,Inputs!$E$9+(1-Inputs!$E$9)*(V$4-1)/MAX(1,Inputs!$E$8))</f>
        <v>1</v>
      </c>
      <c r="W8" s="72" t="n">
        <f aca="false">MIN(1,Inputs!$E$9+(1-Inputs!$E$9)*(W$4-1)/MAX(1,Inputs!$E$8))</f>
        <v>1</v>
      </c>
      <c r="X8" s="72" t="n">
        <f aca="false">MIN(1,Inputs!$E$9+(1-Inputs!$E$9)*(X$4-1)/MAX(1,Inputs!$E$8))</f>
        <v>1</v>
      </c>
      <c r="Y8" s="72" t="n">
        <f aca="false">MIN(1,Inputs!$E$9+(1-Inputs!$E$9)*(Y$4-1)/MAX(1,Inputs!$E$8))</f>
        <v>1</v>
      </c>
      <c r="Z8" s="72" t="n">
        <f aca="false">MIN(1,Inputs!$E$9+(1-Inputs!$E$9)*(Z$4-1)/MAX(1,Inputs!$E$8))</f>
        <v>1</v>
      </c>
      <c r="AA8" s="72" t="n">
        <f aca="false">MIN(1,Inputs!$E$9+(1-Inputs!$E$9)*(AA$4-1)/MAX(1,Inputs!$E$8))</f>
        <v>1</v>
      </c>
      <c r="AB8" s="72" t="n">
        <f aca="false">MIN(1,Inputs!$E$9+(1-Inputs!$E$9)*(AB$4-1)/MAX(1,Inputs!$E$8))</f>
        <v>1</v>
      </c>
      <c r="AC8" s="72" t="n">
        <f aca="false">MIN(1,Inputs!$E$9+(1-Inputs!$E$9)*(AC$4-1)/MAX(1,Inputs!$E$8))</f>
        <v>1</v>
      </c>
      <c r="AD8" s="72" t="n">
        <f aca="false">MIN(1,Inputs!$E$9+(1-Inputs!$E$9)*(AD$4-1)/MAX(1,Inputs!$E$8))</f>
        <v>1</v>
      </c>
      <c r="AE8" s="72" t="n">
        <f aca="false">MIN(1,Inputs!$E$9+(1-Inputs!$E$9)*(AE$4-1)/MAX(1,Inputs!$E$8))</f>
        <v>1</v>
      </c>
      <c r="AF8" s="72" t="n">
        <f aca="false">MIN(1,Inputs!$E$9+(1-Inputs!$E$9)*(AF$4-1)/MAX(1,Inputs!$E$8))</f>
        <v>1</v>
      </c>
      <c r="AG8" s="72" t="n">
        <f aca="false">MIN(1,Inputs!$E$9+(1-Inputs!$E$9)*(AG$4-1)/MAX(1,Inputs!$E$8))</f>
        <v>1</v>
      </c>
      <c r="AH8" s="72" t="n">
        <f aca="false">MIN(1,Inputs!$E$9+(1-Inputs!$E$9)*(AH$4-1)/MAX(1,Inputs!$E$8))</f>
        <v>1</v>
      </c>
      <c r="AI8" s="72" t="n">
        <f aca="false">MIN(1,Inputs!$E$9+(1-Inputs!$E$9)*(AI$4-1)/MAX(1,Inputs!$E$8))</f>
        <v>1</v>
      </c>
      <c r="AJ8" s="72" t="n">
        <f aca="false">MIN(1,Inputs!$E$9+(1-Inputs!$E$9)*(AJ$4-1)/MAX(1,Inputs!$E$8))</f>
        <v>1</v>
      </c>
      <c r="AK8" s="72" t="n">
        <f aca="false">MIN(1,Inputs!$E$9+(1-Inputs!$E$9)*(AK$4-1)/MAX(1,Inputs!$E$8))</f>
        <v>1</v>
      </c>
      <c r="AL8" s="72" t="n">
        <f aca="false">MIN(1,Inputs!$E$9+(1-Inputs!$E$9)*(AL$4-1)/MAX(1,Inputs!$E$8))</f>
        <v>1</v>
      </c>
    </row>
    <row r="9" customFormat="false" ht="15" hidden="false" customHeight="false" outlineLevel="0" collapsed="false">
      <c r="A9" s="6" t="s">
        <v>336</v>
      </c>
      <c r="C9" s="111" t="n">
        <f aca="false">Inputs!$E$7*C8*(1+Inputs!$E$10)^(C$5-1)</f>
        <v>80</v>
      </c>
      <c r="D9" s="111" t="n">
        <f aca="false">Inputs!$E$7*D8*(1+Inputs!$E$10)^(D$5-1)</f>
        <v>93.3333333333333</v>
      </c>
      <c r="E9" s="111" t="n">
        <f aca="false">Inputs!$E$7*E8*(1+Inputs!$E$10)^(E$5-1)</f>
        <v>106.666666666667</v>
      </c>
      <c r="F9" s="111" t="n">
        <f aca="false">Inputs!$E$7*F8*(1+Inputs!$E$10)^(F$5-1)</f>
        <v>120</v>
      </c>
      <c r="G9" s="111" t="n">
        <f aca="false">Inputs!$E$7*G8*(1+Inputs!$E$10)^(G$5-1)</f>
        <v>133.333333333333</v>
      </c>
      <c r="H9" s="111" t="n">
        <f aca="false">Inputs!$E$7*H8*(1+Inputs!$E$10)^(H$5-1)</f>
        <v>146.666666666667</v>
      </c>
      <c r="I9" s="111" t="n">
        <f aca="false">Inputs!$E$7*I8*(1+Inputs!$E$10)^(I$5-1)</f>
        <v>160</v>
      </c>
      <c r="J9" s="111" t="n">
        <f aca="false">Inputs!$E$7*J8*(1+Inputs!$E$10)^(J$5-1)</f>
        <v>160</v>
      </c>
      <c r="K9" s="111" t="n">
        <f aca="false">Inputs!$E$7*K8*(1+Inputs!$E$10)^(K$5-1)</f>
        <v>160</v>
      </c>
      <c r="L9" s="111" t="n">
        <f aca="false">Inputs!$E$7*L8*(1+Inputs!$E$10)^(L$5-1)</f>
        <v>160</v>
      </c>
      <c r="M9" s="111" t="n">
        <f aca="false">Inputs!$E$7*M8*(1+Inputs!$E$10)^(M$5-1)</f>
        <v>160</v>
      </c>
      <c r="N9" s="111" t="n">
        <f aca="false">Inputs!$E$7*N8*(1+Inputs!$E$10)^(N$5-1)</f>
        <v>160</v>
      </c>
      <c r="O9" s="111" t="n">
        <f aca="false">Inputs!$E$7*O8*(1+Inputs!$E$10)^(O$5-1)</f>
        <v>169.6</v>
      </c>
      <c r="P9" s="111" t="n">
        <f aca="false">Inputs!$E$7*P8*(1+Inputs!$E$10)^(P$5-1)</f>
        <v>169.6</v>
      </c>
      <c r="Q9" s="111" t="n">
        <f aca="false">Inputs!$E$7*Q8*(1+Inputs!$E$10)^(Q$5-1)</f>
        <v>169.6</v>
      </c>
      <c r="R9" s="111" t="n">
        <f aca="false">Inputs!$E$7*R8*(1+Inputs!$E$10)^(R$5-1)</f>
        <v>169.6</v>
      </c>
      <c r="S9" s="111" t="n">
        <f aca="false">Inputs!$E$7*S8*(1+Inputs!$E$10)^(S$5-1)</f>
        <v>169.6</v>
      </c>
      <c r="T9" s="111" t="n">
        <f aca="false">Inputs!$E$7*T8*(1+Inputs!$E$10)^(T$5-1)</f>
        <v>169.6</v>
      </c>
      <c r="U9" s="111" t="n">
        <f aca="false">Inputs!$E$7*U8*(1+Inputs!$E$10)^(U$5-1)</f>
        <v>169.6</v>
      </c>
      <c r="V9" s="111" t="n">
        <f aca="false">Inputs!$E$7*V8*(1+Inputs!$E$10)^(V$5-1)</f>
        <v>169.6</v>
      </c>
      <c r="W9" s="111" t="n">
        <f aca="false">Inputs!$E$7*W8*(1+Inputs!$E$10)^(W$5-1)</f>
        <v>169.6</v>
      </c>
      <c r="X9" s="111" t="n">
        <f aca="false">Inputs!$E$7*X8*(1+Inputs!$E$10)^(X$5-1)</f>
        <v>169.6</v>
      </c>
      <c r="Y9" s="111" t="n">
        <f aca="false">Inputs!$E$7*Y8*(1+Inputs!$E$10)^(Y$5-1)</f>
        <v>169.6</v>
      </c>
      <c r="Z9" s="111" t="n">
        <f aca="false">Inputs!$E$7*Z8*(1+Inputs!$E$10)^(Z$5-1)</f>
        <v>169.6</v>
      </c>
      <c r="AA9" s="111" t="n">
        <f aca="false">Inputs!$E$7*AA8*(1+Inputs!$E$10)^(AA$5-1)</f>
        <v>179.776</v>
      </c>
      <c r="AB9" s="111" t="n">
        <f aca="false">Inputs!$E$7*AB8*(1+Inputs!$E$10)^(AB$5-1)</f>
        <v>179.776</v>
      </c>
      <c r="AC9" s="111" t="n">
        <f aca="false">Inputs!$E$7*AC8*(1+Inputs!$E$10)^(AC$5-1)</f>
        <v>179.776</v>
      </c>
      <c r="AD9" s="111" t="n">
        <f aca="false">Inputs!$E$7*AD8*(1+Inputs!$E$10)^(AD$5-1)</f>
        <v>179.776</v>
      </c>
      <c r="AE9" s="111" t="n">
        <f aca="false">Inputs!$E$7*AE8*(1+Inputs!$E$10)^(AE$5-1)</f>
        <v>179.776</v>
      </c>
      <c r="AF9" s="111" t="n">
        <f aca="false">Inputs!$E$7*AF8*(1+Inputs!$E$10)^(AF$5-1)</f>
        <v>179.776</v>
      </c>
      <c r="AG9" s="111" t="n">
        <f aca="false">Inputs!$E$7*AG8*(1+Inputs!$E$10)^(AG$5-1)</f>
        <v>179.776</v>
      </c>
      <c r="AH9" s="111" t="n">
        <f aca="false">Inputs!$E$7*AH8*(1+Inputs!$E$10)^(AH$5-1)</f>
        <v>179.776</v>
      </c>
      <c r="AI9" s="111" t="n">
        <f aca="false">Inputs!$E$7*AI8*(1+Inputs!$E$10)^(AI$5-1)</f>
        <v>179.776</v>
      </c>
      <c r="AJ9" s="111" t="n">
        <f aca="false">Inputs!$E$7*AJ8*(1+Inputs!$E$10)^(AJ$5-1)</f>
        <v>179.776</v>
      </c>
      <c r="AK9" s="111" t="n">
        <f aca="false">Inputs!$E$7*AK8*(1+Inputs!$E$10)^(AK$5-1)</f>
        <v>179.776</v>
      </c>
      <c r="AL9" s="111" t="n">
        <f aca="false">Inputs!$E$7*AL8*(1+Inputs!$E$10)^(AL$5-1)</f>
        <v>179.776</v>
      </c>
    </row>
    <row r="10" customFormat="false" ht="15" hidden="false" customHeight="false" outlineLevel="0" collapsed="false">
      <c r="A10" s="6" t="s">
        <v>244</v>
      </c>
      <c r="C10" s="112" t="n">
        <f aca="false">Inputs!$E$11*(1+Inputs!$E$12)^(C$5-1)</f>
        <v>6.5</v>
      </c>
      <c r="D10" s="112" t="n">
        <f aca="false">Inputs!$E$11*(1+Inputs!$E$12)^(D$5-1)</f>
        <v>6.5</v>
      </c>
      <c r="E10" s="112" t="n">
        <f aca="false">Inputs!$E$11*(1+Inputs!$E$12)^(E$5-1)</f>
        <v>6.5</v>
      </c>
      <c r="F10" s="112" t="n">
        <f aca="false">Inputs!$E$11*(1+Inputs!$E$12)^(F$5-1)</f>
        <v>6.5</v>
      </c>
      <c r="G10" s="112" t="n">
        <f aca="false">Inputs!$E$11*(1+Inputs!$E$12)^(G$5-1)</f>
        <v>6.5</v>
      </c>
      <c r="H10" s="112" t="n">
        <f aca="false">Inputs!$E$11*(1+Inputs!$E$12)^(H$5-1)</f>
        <v>6.5</v>
      </c>
      <c r="I10" s="112" t="n">
        <f aca="false">Inputs!$E$11*(1+Inputs!$E$12)^(I$5-1)</f>
        <v>6.5</v>
      </c>
      <c r="J10" s="112" t="n">
        <f aca="false">Inputs!$E$11*(1+Inputs!$E$12)^(J$5-1)</f>
        <v>6.5</v>
      </c>
      <c r="K10" s="112" t="n">
        <f aca="false">Inputs!$E$11*(1+Inputs!$E$12)^(K$5-1)</f>
        <v>6.5</v>
      </c>
      <c r="L10" s="112" t="n">
        <f aca="false">Inputs!$E$11*(1+Inputs!$E$12)^(L$5-1)</f>
        <v>6.5</v>
      </c>
      <c r="M10" s="112" t="n">
        <f aca="false">Inputs!$E$11*(1+Inputs!$E$12)^(M$5-1)</f>
        <v>6.5</v>
      </c>
      <c r="N10" s="112" t="n">
        <f aca="false">Inputs!$E$11*(1+Inputs!$E$12)^(N$5-1)</f>
        <v>6.5</v>
      </c>
      <c r="O10" s="112" t="n">
        <f aca="false">Inputs!$E$11*(1+Inputs!$E$12)^(O$5-1)</f>
        <v>6.695</v>
      </c>
      <c r="P10" s="112" t="n">
        <f aca="false">Inputs!$E$11*(1+Inputs!$E$12)^(P$5-1)</f>
        <v>6.695</v>
      </c>
      <c r="Q10" s="112" t="n">
        <f aca="false">Inputs!$E$11*(1+Inputs!$E$12)^(Q$5-1)</f>
        <v>6.695</v>
      </c>
      <c r="R10" s="112" t="n">
        <f aca="false">Inputs!$E$11*(1+Inputs!$E$12)^(R$5-1)</f>
        <v>6.695</v>
      </c>
      <c r="S10" s="112" t="n">
        <f aca="false">Inputs!$E$11*(1+Inputs!$E$12)^(S$5-1)</f>
        <v>6.695</v>
      </c>
      <c r="T10" s="112" t="n">
        <f aca="false">Inputs!$E$11*(1+Inputs!$E$12)^(T$5-1)</f>
        <v>6.695</v>
      </c>
      <c r="U10" s="112" t="n">
        <f aca="false">Inputs!$E$11*(1+Inputs!$E$12)^(U$5-1)</f>
        <v>6.695</v>
      </c>
      <c r="V10" s="112" t="n">
        <f aca="false">Inputs!$E$11*(1+Inputs!$E$12)^(V$5-1)</f>
        <v>6.695</v>
      </c>
      <c r="W10" s="112" t="n">
        <f aca="false">Inputs!$E$11*(1+Inputs!$E$12)^(W$5-1)</f>
        <v>6.695</v>
      </c>
      <c r="X10" s="112" t="n">
        <f aca="false">Inputs!$E$11*(1+Inputs!$E$12)^(X$5-1)</f>
        <v>6.695</v>
      </c>
      <c r="Y10" s="112" t="n">
        <f aca="false">Inputs!$E$11*(1+Inputs!$E$12)^(Y$5-1)</f>
        <v>6.695</v>
      </c>
      <c r="Z10" s="112" t="n">
        <f aca="false">Inputs!$E$11*(1+Inputs!$E$12)^(Z$5-1)</f>
        <v>6.695</v>
      </c>
      <c r="AA10" s="112" t="n">
        <f aca="false">Inputs!$E$11*(1+Inputs!$E$12)^(AA$5-1)</f>
        <v>6.89585</v>
      </c>
      <c r="AB10" s="112" t="n">
        <f aca="false">Inputs!$E$11*(1+Inputs!$E$12)^(AB$5-1)</f>
        <v>6.89585</v>
      </c>
      <c r="AC10" s="112" t="n">
        <f aca="false">Inputs!$E$11*(1+Inputs!$E$12)^(AC$5-1)</f>
        <v>6.89585</v>
      </c>
      <c r="AD10" s="112" t="n">
        <f aca="false">Inputs!$E$11*(1+Inputs!$E$12)^(AD$5-1)</f>
        <v>6.89585</v>
      </c>
      <c r="AE10" s="112" t="n">
        <f aca="false">Inputs!$E$11*(1+Inputs!$E$12)^(AE$5-1)</f>
        <v>6.89585</v>
      </c>
      <c r="AF10" s="112" t="n">
        <f aca="false">Inputs!$E$11*(1+Inputs!$E$12)^(AF$5-1)</f>
        <v>6.89585</v>
      </c>
      <c r="AG10" s="112" t="n">
        <f aca="false">Inputs!$E$11*(1+Inputs!$E$12)^(AG$5-1)</f>
        <v>6.89585</v>
      </c>
      <c r="AH10" s="112" t="n">
        <f aca="false">Inputs!$E$11*(1+Inputs!$E$12)^(AH$5-1)</f>
        <v>6.89585</v>
      </c>
      <c r="AI10" s="112" t="n">
        <f aca="false">Inputs!$E$11*(1+Inputs!$E$12)^(AI$5-1)</f>
        <v>6.89585</v>
      </c>
      <c r="AJ10" s="112" t="n">
        <f aca="false">Inputs!$E$11*(1+Inputs!$E$12)^(AJ$5-1)</f>
        <v>6.89585</v>
      </c>
      <c r="AK10" s="112" t="n">
        <f aca="false">Inputs!$E$11*(1+Inputs!$E$12)^(AK$5-1)</f>
        <v>6.89585</v>
      </c>
      <c r="AL10" s="112" t="n">
        <f aca="false">Inputs!$E$11*(1+Inputs!$E$12)^(AL$5-1)</f>
        <v>6.89585</v>
      </c>
    </row>
    <row r="11" customFormat="false" ht="15" hidden="false" customHeight="false" outlineLevel="0" collapsed="false">
      <c r="A11" s="6" t="s">
        <v>337</v>
      </c>
      <c r="C11" s="113" t="n">
        <f aca="false">Inputs!$E$13*1</f>
        <v>30</v>
      </c>
      <c r="D11" s="113" t="n">
        <f aca="false">Inputs!$E$13*1</f>
        <v>30</v>
      </c>
      <c r="E11" s="113" t="n">
        <f aca="false">Inputs!$E$13*1</f>
        <v>30</v>
      </c>
      <c r="F11" s="113" t="n">
        <f aca="false">Inputs!$E$13*1</f>
        <v>30</v>
      </c>
      <c r="G11" s="113" t="n">
        <f aca="false">Inputs!$E$13*1</f>
        <v>30</v>
      </c>
      <c r="H11" s="113" t="n">
        <f aca="false">Inputs!$E$13*1</f>
        <v>30</v>
      </c>
      <c r="I11" s="113" t="n">
        <f aca="false">Inputs!$E$13*1</f>
        <v>30</v>
      </c>
      <c r="J11" s="113" t="n">
        <f aca="false">Inputs!$E$13*1</f>
        <v>30</v>
      </c>
      <c r="K11" s="113" t="n">
        <f aca="false">Inputs!$E$13*1</f>
        <v>30</v>
      </c>
      <c r="L11" s="113" t="n">
        <f aca="false">Inputs!$E$13*1</f>
        <v>30</v>
      </c>
      <c r="M11" s="113" t="n">
        <f aca="false">Inputs!$E$13*1</f>
        <v>30</v>
      </c>
      <c r="N11" s="113" t="n">
        <f aca="false">Inputs!$E$13*1</f>
        <v>30</v>
      </c>
      <c r="O11" s="113" t="n">
        <f aca="false">Inputs!$E$13*1</f>
        <v>30</v>
      </c>
      <c r="P11" s="113" t="n">
        <f aca="false">Inputs!$E$13*1</f>
        <v>30</v>
      </c>
      <c r="Q11" s="113" t="n">
        <f aca="false">Inputs!$E$13*1</f>
        <v>30</v>
      </c>
      <c r="R11" s="113" t="n">
        <f aca="false">Inputs!$E$13*1</f>
        <v>30</v>
      </c>
      <c r="S11" s="113" t="n">
        <f aca="false">Inputs!$E$13*1</f>
        <v>30</v>
      </c>
      <c r="T11" s="113" t="n">
        <f aca="false">Inputs!$E$13*1</f>
        <v>30</v>
      </c>
      <c r="U11" s="113" t="n">
        <f aca="false">Inputs!$E$13*1</f>
        <v>30</v>
      </c>
      <c r="V11" s="113" t="n">
        <f aca="false">Inputs!$E$13*1</f>
        <v>30</v>
      </c>
      <c r="W11" s="113" t="n">
        <f aca="false">Inputs!$E$13*1</f>
        <v>30</v>
      </c>
      <c r="X11" s="113" t="n">
        <f aca="false">Inputs!$E$13*1</f>
        <v>30</v>
      </c>
      <c r="Y11" s="113" t="n">
        <f aca="false">Inputs!$E$13*1</f>
        <v>30</v>
      </c>
      <c r="Z11" s="113" t="n">
        <f aca="false">Inputs!$E$13*1</f>
        <v>30</v>
      </c>
      <c r="AA11" s="113" t="n">
        <f aca="false">Inputs!$E$13*1</f>
        <v>30</v>
      </c>
      <c r="AB11" s="113" t="n">
        <f aca="false">Inputs!$E$13*1</f>
        <v>30</v>
      </c>
      <c r="AC11" s="113" t="n">
        <f aca="false">Inputs!$E$13*1</f>
        <v>30</v>
      </c>
      <c r="AD11" s="113" t="n">
        <f aca="false">Inputs!$E$13*1</f>
        <v>30</v>
      </c>
      <c r="AE11" s="113" t="n">
        <f aca="false">Inputs!$E$13*1</f>
        <v>30</v>
      </c>
      <c r="AF11" s="113" t="n">
        <f aca="false">Inputs!$E$13*1</f>
        <v>30</v>
      </c>
      <c r="AG11" s="113" t="n">
        <f aca="false">Inputs!$E$13*1</f>
        <v>30</v>
      </c>
      <c r="AH11" s="113" t="n">
        <f aca="false">Inputs!$E$13*1</f>
        <v>30</v>
      </c>
      <c r="AI11" s="113" t="n">
        <f aca="false">Inputs!$E$13*1</f>
        <v>30</v>
      </c>
      <c r="AJ11" s="113" t="n">
        <f aca="false">Inputs!$E$13*1</f>
        <v>30</v>
      </c>
      <c r="AK11" s="113" t="n">
        <f aca="false">Inputs!$E$13*1</f>
        <v>30</v>
      </c>
      <c r="AL11" s="113" t="n">
        <f aca="false">Inputs!$E$13*1</f>
        <v>30</v>
      </c>
    </row>
    <row r="12" customFormat="false" ht="15" hidden="false" customHeight="false" outlineLevel="0" collapsed="false">
      <c r="A12" s="108" t="s">
        <v>44</v>
      </c>
      <c r="C12" s="66" t="n">
        <f aca="false">C9*C10*C11</f>
        <v>15600</v>
      </c>
      <c r="D12" s="66" t="n">
        <f aca="false">D9*D10*D11</f>
        <v>18200</v>
      </c>
      <c r="E12" s="66" t="n">
        <f aca="false">E9*E10*E11</f>
        <v>20800</v>
      </c>
      <c r="F12" s="66" t="n">
        <f aca="false">F9*F10*F11</f>
        <v>23400</v>
      </c>
      <c r="G12" s="66" t="n">
        <f aca="false">G9*G10*G11</f>
        <v>26000</v>
      </c>
      <c r="H12" s="66" t="n">
        <f aca="false">H9*H10*H11</f>
        <v>28600</v>
      </c>
      <c r="I12" s="66" t="n">
        <f aca="false">I9*I10*I11</f>
        <v>31200</v>
      </c>
      <c r="J12" s="66" t="n">
        <f aca="false">J9*J10*J11</f>
        <v>31200</v>
      </c>
      <c r="K12" s="66" t="n">
        <f aca="false">K9*K10*K11</f>
        <v>31200</v>
      </c>
      <c r="L12" s="66" t="n">
        <f aca="false">L9*L10*L11</f>
        <v>31200</v>
      </c>
      <c r="M12" s="66" t="n">
        <f aca="false">M9*M10*M11</f>
        <v>31200</v>
      </c>
      <c r="N12" s="66" t="n">
        <f aca="false">N9*N10*N11</f>
        <v>31200</v>
      </c>
      <c r="O12" s="66" t="n">
        <f aca="false">O9*O10*O11</f>
        <v>34064.16</v>
      </c>
      <c r="P12" s="66" t="n">
        <f aca="false">P9*P10*P11</f>
        <v>34064.16</v>
      </c>
      <c r="Q12" s="66" t="n">
        <f aca="false">Q9*Q10*Q11</f>
        <v>34064.16</v>
      </c>
      <c r="R12" s="66" t="n">
        <f aca="false">R9*R10*R11</f>
        <v>34064.16</v>
      </c>
      <c r="S12" s="66" t="n">
        <f aca="false">S9*S10*S11</f>
        <v>34064.16</v>
      </c>
      <c r="T12" s="66" t="n">
        <f aca="false">T9*T10*T11</f>
        <v>34064.16</v>
      </c>
      <c r="U12" s="66" t="n">
        <f aca="false">U9*U10*U11</f>
        <v>34064.16</v>
      </c>
      <c r="V12" s="66" t="n">
        <f aca="false">V9*V10*V11</f>
        <v>34064.16</v>
      </c>
      <c r="W12" s="66" t="n">
        <f aca="false">W9*W10*W11</f>
        <v>34064.16</v>
      </c>
      <c r="X12" s="66" t="n">
        <f aca="false">X9*X10*X11</f>
        <v>34064.16</v>
      </c>
      <c r="Y12" s="66" t="n">
        <f aca="false">Y9*Y10*Y11</f>
        <v>34064.16</v>
      </c>
      <c r="Z12" s="66" t="n">
        <f aca="false">Z9*Z10*Z11</f>
        <v>34064.16</v>
      </c>
      <c r="AA12" s="66" t="n">
        <f aca="false">AA9*AA10*AA11</f>
        <v>37191.249888</v>
      </c>
      <c r="AB12" s="66" t="n">
        <f aca="false">AB9*AB10*AB11</f>
        <v>37191.249888</v>
      </c>
      <c r="AC12" s="66" t="n">
        <f aca="false">AC9*AC10*AC11</f>
        <v>37191.249888</v>
      </c>
      <c r="AD12" s="66" t="n">
        <f aca="false">AD9*AD10*AD11</f>
        <v>37191.249888</v>
      </c>
      <c r="AE12" s="66" t="n">
        <f aca="false">AE9*AE10*AE11</f>
        <v>37191.249888</v>
      </c>
      <c r="AF12" s="66" t="n">
        <f aca="false">AF9*AF10*AF11</f>
        <v>37191.249888</v>
      </c>
      <c r="AG12" s="66" t="n">
        <f aca="false">AG9*AG10*AG11</f>
        <v>37191.249888</v>
      </c>
      <c r="AH12" s="66" t="n">
        <f aca="false">AH9*AH10*AH11</f>
        <v>37191.249888</v>
      </c>
      <c r="AI12" s="66" t="n">
        <f aca="false">AI9*AI10*AI11</f>
        <v>37191.249888</v>
      </c>
      <c r="AJ12" s="66" t="n">
        <f aca="false">AJ9*AJ10*AJ11</f>
        <v>37191.249888</v>
      </c>
      <c r="AK12" s="66" t="n">
        <f aca="false">AK9*AK10*AK11</f>
        <v>37191.249888</v>
      </c>
      <c r="AL12" s="66" t="n">
        <f aca="false">AL9*AL10*AL11</f>
        <v>37191.249888</v>
      </c>
    </row>
    <row r="13" customFormat="false" ht="15" hidden="false" customHeight="false" outlineLevel="0" collapsed="false">
      <c r="A13" s="6" t="s">
        <v>74</v>
      </c>
      <c r="C13" s="65" t="n">
        <f aca="false">-C12*Inputs!$E$14</f>
        <v>-5148</v>
      </c>
      <c r="D13" s="65" t="n">
        <f aca="false">-D12*Inputs!$E$14</f>
        <v>-6006</v>
      </c>
      <c r="E13" s="65" t="n">
        <f aca="false">-E12*Inputs!$E$14</f>
        <v>-6864</v>
      </c>
      <c r="F13" s="65" t="n">
        <f aca="false">-F12*Inputs!$E$14</f>
        <v>-7722</v>
      </c>
      <c r="G13" s="65" t="n">
        <f aca="false">-G12*Inputs!$E$14</f>
        <v>-8580</v>
      </c>
      <c r="H13" s="65" t="n">
        <f aca="false">-H12*Inputs!$E$14</f>
        <v>-9438</v>
      </c>
      <c r="I13" s="65" t="n">
        <f aca="false">-I12*Inputs!$E$14</f>
        <v>-10296</v>
      </c>
      <c r="J13" s="65" t="n">
        <f aca="false">-J12*Inputs!$E$14</f>
        <v>-10296</v>
      </c>
      <c r="K13" s="65" t="n">
        <f aca="false">-K12*Inputs!$E$14</f>
        <v>-10296</v>
      </c>
      <c r="L13" s="65" t="n">
        <f aca="false">-L12*Inputs!$E$14</f>
        <v>-10296</v>
      </c>
      <c r="M13" s="65" t="n">
        <f aca="false">-M12*Inputs!$E$14</f>
        <v>-10296</v>
      </c>
      <c r="N13" s="65" t="n">
        <f aca="false">-N12*Inputs!$E$14</f>
        <v>-10296</v>
      </c>
      <c r="O13" s="65" t="n">
        <f aca="false">-O12*Inputs!$E$14</f>
        <v>-11241.1728</v>
      </c>
      <c r="P13" s="65" t="n">
        <f aca="false">-P12*Inputs!$E$14</f>
        <v>-11241.1728</v>
      </c>
      <c r="Q13" s="65" t="n">
        <f aca="false">-Q12*Inputs!$E$14</f>
        <v>-11241.1728</v>
      </c>
      <c r="R13" s="65" t="n">
        <f aca="false">-R12*Inputs!$E$14</f>
        <v>-11241.1728</v>
      </c>
      <c r="S13" s="65" t="n">
        <f aca="false">-S12*Inputs!$E$14</f>
        <v>-11241.1728</v>
      </c>
      <c r="T13" s="65" t="n">
        <f aca="false">-T12*Inputs!$E$14</f>
        <v>-11241.1728</v>
      </c>
      <c r="U13" s="65" t="n">
        <f aca="false">-U12*Inputs!$E$14</f>
        <v>-11241.1728</v>
      </c>
      <c r="V13" s="65" t="n">
        <f aca="false">-V12*Inputs!$E$14</f>
        <v>-11241.1728</v>
      </c>
      <c r="W13" s="65" t="n">
        <f aca="false">-W12*Inputs!$E$14</f>
        <v>-11241.1728</v>
      </c>
      <c r="X13" s="65" t="n">
        <f aca="false">-X12*Inputs!$E$14</f>
        <v>-11241.1728</v>
      </c>
      <c r="Y13" s="65" t="n">
        <f aca="false">-Y12*Inputs!$E$14</f>
        <v>-11241.1728</v>
      </c>
      <c r="Z13" s="65" t="n">
        <f aca="false">-Z12*Inputs!$E$14</f>
        <v>-11241.1728</v>
      </c>
      <c r="AA13" s="65" t="n">
        <f aca="false">-AA12*Inputs!$E$14</f>
        <v>-12273.11246304</v>
      </c>
      <c r="AB13" s="65" t="n">
        <f aca="false">-AB12*Inputs!$E$14</f>
        <v>-12273.11246304</v>
      </c>
      <c r="AC13" s="65" t="n">
        <f aca="false">-AC12*Inputs!$E$14</f>
        <v>-12273.11246304</v>
      </c>
      <c r="AD13" s="65" t="n">
        <f aca="false">-AD12*Inputs!$E$14</f>
        <v>-12273.11246304</v>
      </c>
      <c r="AE13" s="65" t="n">
        <f aca="false">-AE12*Inputs!$E$14</f>
        <v>-12273.11246304</v>
      </c>
      <c r="AF13" s="65" t="n">
        <f aca="false">-AF12*Inputs!$E$14</f>
        <v>-12273.11246304</v>
      </c>
      <c r="AG13" s="65" t="n">
        <f aca="false">-AG12*Inputs!$E$14</f>
        <v>-12273.11246304</v>
      </c>
      <c r="AH13" s="65" t="n">
        <f aca="false">-AH12*Inputs!$E$14</f>
        <v>-12273.11246304</v>
      </c>
      <c r="AI13" s="65" t="n">
        <f aca="false">-AI12*Inputs!$E$14</f>
        <v>-12273.11246304</v>
      </c>
      <c r="AJ13" s="65" t="n">
        <f aca="false">-AJ12*Inputs!$E$14</f>
        <v>-12273.11246304</v>
      </c>
      <c r="AK13" s="65" t="n">
        <f aca="false">-AK12*Inputs!$E$14</f>
        <v>-12273.11246304</v>
      </c>
      <c r="AL13" s="65" t="n">
        <f aca="false">-AL12*Inputs!$E$14</f>
        <v>-12273.11246304</v>
      </c>
    </row>
    <row r="14" customFormat="false" ht="15" hidden="false" customHeight="false" outlineLevel="0" collapsed="false">
      <c r="A14" s="108" t="s">
        <v>45</v>
      </c>
      <c r="C14" s="66" t="n">
        <f aca="false">C12+C13</f>
        <v>10452</v>
      </c>
      <c r="D14" s="66" t="n">
        <f aca="false">D12+D13</f>
        <v>12194</v>
      </c>
      <c r="E14" s="66" t="n">
        <f aca="false">E12+E13</f>
        <v>13936</v>
      </c>
      <c r="F14" s="66" t="n">
        <f aca="false">F12+F13</f>
        <v>15678</v>
      </c>
      <c r="G14" s="66" t="n">
        <f aca="false">G12+G13</f>
        <v>17420</v>
      </c>
      <c r="H14" s="66" t="n">
        <f aca="false">H12+H13</f>
        <v>19162</v>
      </c>
      <c r="I14" s="66" t="n">
        <f aca="false">I12+I13</f>
        <v>20904</v>
      </c>
      <c r="J14" s="66" t="n">
        <f aca="false">J12+J13</f>
        <v>20904</v>
      </c>
      <c r="K14" s="66" t="n">
        <f aca="false">K12+K13</f>
        <v>20904</v>
      </c>
      <c r="L14" s="66" t="n">
        <f aca="false">L12+L13</f>
        <v>20904</v>
      </c>
      <c r="M14" s="66" t="n">
        <f aca="false">M12+M13</f>
        <v>20904</v>
      </c>
      <c r="N14" s="66" t="n">
        <f aca="false">N12+N13</f>
        <v>20904</v>
      </c>
      <c r="O14" s="66" t="n">
        <f aca="false">O12+O13</f>
        <v>22822.9872</v>
      </c>
      <c r="P14" s="66" t="n">
        <f aca="false">P12+P13</f>
        <v>22822.9872</v>
      </c>
      <c r="Q14" s="66" t="n">
        <f aca="false">Q12+Q13</f>
        <v>22822.9872</v>
      </c>
      <c r="R14" s="66" t="n">
        <f aca="false">R12+R13</f>
        <v>22822.9872</v>
      </c>
      <c r="S14" s="66" t="n">
        <f aca="false">S12+S13</f>
        <v>22822.9872</v>
      </c>
      <c r="T14" s="66" t="n">
        <f aca="false">T12+T13</f>
        <v>22822.9872</v>
      </c>
      <c r="U14" s="66" t="n">
        <f aca="false">U12+U13</f>
        <v>22822.9872</v>
      </c>
      <c r="V14" s="66" t="n">
        <f aca="false">V12+V13</f>
        <v>22822.9872</v>
      </c>
      <c r="W14" s="66" t="n">
        <f aca="false">W12+W13</f>
        <v>22822.9872</v>
      </c>
      <c r="X14" s="66" t="n">
        <f aca="false">X12+X13</f>
        <v>22822.9872</v>
      </c>
      <c r="Y14" s="66" t="n">
        <f aca="false">Y12+Y13</f>
        <v>22822.9872</v>
      </c>
      <c r="Z14" s="66" t="n">
        <f aca="false">Z12+Z13</f>
        <v>22822.9872</v>
      </c>
      <c r="AA14" s="66" t="n">
        <f aca="false">AA12+AA13</f>
        <v>24918.13742496</v>
      </c>
      <c r="AB14" s="66" t="n">
        <f aca="false">AB12+AB13</f>
        <v>24918.13742496</v>
      </c>
      <c r="AC14" s="66" t="n">
        <f aca="false">AC12+AC13</f>
        <v>24918.13742496</v>
      </c>
      <c r="AD14" s="66" t="n">
        <f aca="false">AD12+AD13</f>
        <v>24918.13742496</v>
      </c>
      <c r="AE14" s="66" t="n">
        <f aca="false">AE12+AE13</f>
        <v>24918.13742496</v>
      </c>
      <c r="AF14" s="66" t="n">
        <f aca="false">AF12+AF13</f>
        <v>24918.13742496</v>
      </c>
      <c r="AG14" s="66" t="n">
        <f aca="false">AG12+AG13</f>
        <v>24918.13742496</v>
      </c>
      <c r="AH14" s="66" t="n">
        <f aca="false">AH12+AH13</f>
        <v>24918.13742496</v>
      </c>
      <c r="AI14" s="66" t="n">
        <f aca="false">AI12+AI13</f>
        <v>24918.13742496</v>
      </c>
      <c r="AJ14" s="66" t="n">
        <f aca="false">AJ12+AJ13</f>
        <v>24918.13742496</v>
      </c>
      <c r="AK14" s="66" t="n">
        <f aca="false">AK12+AK13</f>
        <v>24918.13742496</v>
      </c>
      <c r="AL14" s="66" t="n">
        <f aca="false">AL12+AL13</f>
        <v>24918.13742496</v>
      </c>
    </row>
    <row r="16" customFormat="false" ht="15.75" hidden="false" customHeight="true" outlineLevel="0" collapsed="false">
      <c r="A16" s="7" t="s">
        <v>47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284</v>
      </c>
      <c r="C17" s="65" t="n">
        <f aca="false">-Inputs!$E$15*1</f>
        <v>-4500</v>
      </c>
      <c r="D17" s="65" t="n">
        <f aca="false">-Inputs!$E$15*1</f>
        <v>-4500</v>
      </c>
      <c r="E17" s="65" t="n">
        <f aca="false">-Inputs!$E$15*1</f>
        <v>-4500</v>
      </c>
      <c r="F17" s="65" t="n">
        <f aca="false">-Inputs!$E$15*1</f>
        <v>-4500</v>
      </c>
      <c r="G17" s="65" t="n">
        <f aca="false">-Inputs!$E$15*1</f>
        <v>-4500</v>
      </c>
      <c r="H17" s="65" t="n">
        <f aca="false">-Inputs!$E$15*1</f>
        <v>-4500</v>
      </c>
      <c r="I17" s="65" t="n">
        <f aca="false">-Inputs!$E$15*1</f>
        <v>-4500</v>
      </c>
      <c r="J17" s="65" t="n">
        <f aca="false">-Inputs!$E$15*1</f>
        <v>-4500</v>
      </c>
      <c r="K17" s="65" t="n">
        <f aca="false">-Inputs!$E$15*1</f>
        <v>-4500</v>
      </c>
      <c r="L17" s="65" t="n">
        <f aca="false">-Inputs!$E$15*1</f>
        <v>-4500</v>
      </c>
      <c r="M17" s="65" t="n">
        <f aca="false">-Inputs!$E$15*1</f>
        <v>-4500</v>
      </c>
      <c r="N17" s="65" t="n">
        <f aca="false">-Inputs!$E$15*1</f>
        <v>-4500</v>
      </c>
      <c r="O17" s="65" t="n">
        <f aca="false">-Inputs!$E$15*1</f>
        <v>-4500</v>
      </c>
      <c r="P17" s="65" t="n">
        <f aca="false">-Inputs!$E$15*1</f>
        <v>-4500</v>
      </c>
      <c r="Q17" s="65" t="n">
        <f aca="false">-Inputs!$E$15*1</f>
        <v>-4500</v>
      </c>
      <c r="R17" s="65" t="n">
        <f aca="false">-Inputs!$E$15*1</f>
        <v>-4500</v>
      </c>
      <c r="S17" s="65" t="n">
        <f aca="false">-Inputs!$E$15*1</f>
        <v>-4500</v>
      </c>
      <c r="T17" s="65" t="n">
        <f aca="false">-Inputs!$E$15*1</f>
        <v>-4500</v>
      </c>
      <c r="U17" s="65" t="n">
        <f aca="false">-Inputs!$E$15*1</f>
        <v>-4500</v>
      </c>
      <c r="V17" s="65" t="n">
        <f aca="false">-Inputs!$E$15*1</f>
        <v>-4500</v>
      </c>
      <c r="W17" s="65" t="n">
        <f aca="false">-Inputs!$E$15*1</f>
        <v>-4500</v>
      </c>
      <c r="X17" s="65" t="n">
        <f aca="false">-Inputs!$E$15*1</f>
        <v>-4500</v>
      </c>
      <c r="Y17" s="65" t="n">
        <f aca="false">-Inputs!$E$15*1</f>
        <v>-4500</v>
      </c>
      <c r="Z17" s="65" t="n">
        <f aca="false">-Inputs!$E$15*1</f>
        <v>-4500</v>
      </c>
      <c r="AA17" s="65" t="n">
        <f aca="false">-Inputs!$E$15*1</f>
        <v>-4500</v>
      </c>
      <c r="AB17" s="65" t="n">
        <f aca="false">-Inputs!$E$15*1</f>
        <v>-4500</v>
      </c>
      <c r="AC17" s="65" t="n">
        <f aca="false">-Inputs!$E$15*1</f>
        <v>-4500</v>
      </c>
      <c r="AD17" s="65" t="n">
        <f aca="false">-Inputs!$E$15*1</f>
        <v>-4500</v>
      </c>
      <c r="AE17" s="65" t="n">
        <f aca="false">-Inputs!$E$15*1</f>
        <v>-4500</v>
      </c>
      <c r="AF17" s="65" t="n">
        <f aca="false">-Inputs!$E$15*1</f>
        <v>-4500</v>
      </c>
      <c r="AG17" s="65" t="n">
        <f aca="false">-Inputs!$E$15*1</f>
        <v>-4500</v>
      </c>
      <c r="AH17" s="65" t="n">
        <f aca="false">-Inputs!$E$15*1</f>
        <v>-4500</v>
      </c>
      <c r="AI17" s="65" t="n">
        <f aca="false">-Inputs!$E$15*1</f>
        <v>-4500</v>
      </c>
      <c r="AJ17" s="65" t="n">
        <f aca="false">-Inputs!$E$15*1</f>
        <v>-4500</v>
      </c>
      <c r="AK17" s="65" t="n">
        <f aca="false">-Inputs!$E$15*1</f>
        <v>-4500</v>
      </c>
      <c r="AL17" s="65" t="n">
        <f aca="false">-Inputs!$E$15*1</f>
        <v>-4500</v>
      </c>
    </row>
    <row r="18" customFormat="false" ht="15" hidden="false" customHeight="false" outlineLevel="0" collapsed="false">
      <c r="A18" s="6" t="s">
        <v>285</v>
      </c>
      <c r="C18" s="67" t="n">
        <f aca="false">Headcount!C13</f>
        <v>-10453.3333333333</v>
      </c>
      <c r="D18" s="67" t="n">
        <f aca="false">Headcount!D13</f>
        <v>-10453.3333333333</v>
      </c>
      <c r="E18" s="67" t="n">
        <f aca="false">Headcount!E13</f>
        <v>-10453.3333333333</v>
      </c>
      <c r="F18" s="67" t="n">
        <f aca="false">Headcount!F13</f>
        <v>-10453.3333333333</v>
      </c>
      <c r="G18" s="67" t="n">
        <f aca="false">Headcount!G13</f>
        <v>-10453.3333333333</v>
      </c>
      <c r="H18" s="67" t="n">
        <f aca="false">Headcount!H13</f>
        <v>-10453.3333333333</v>
      </c>
      <c r="I18" s="67" t="n">
        <f aca="false">Headcount!I13</f>
        <v>-10453.3333333333</v>
      </c>
      <c r="J18" s="67" t="n">
        <f aca="false">Headcount!J13</f>
        <v>-10453.3333333333</v>
      </c>
      <c r="K18" s="67" t="n">
        <f aca="false">Headcount!K13</f>
        <v>-10453.3333333333</v>
      </c>
      <c r="L18" s="67" t="n">
        <f aca="false">Headcount!L13</f>
        <v>-10453.3333333333</v>
      </c>
      <c r="M18" s="67" t="n">
        <f aca="false">Headcount!M13</f>
        <v>-10453.3333333333</v>
      </c>
      <c r="N18" s="67" t="n">
        <f aca="false">Headcount!N13</f>
        <v>-10453.3333333333</v>
      </c>
      <c r="O18" s="67" t="n">
        <f aca="false">Headcount!O13</f>
        <v>-10766.9333333333</v>
      </c>
      <c r="P18" s="67" t="n">
        <f aca="false">Headcount!P13</f>
        <v>-10766.9333333333</v>
      </c>
      <c r="Q18" s="67" t="n">
        <f aca="false">Headcount!Q13</f>
        <v>-10766.9333333333</v>
      </c>
      <c r="R18" s="67" t="n">
        <f aca="false">Headcount!R13</f>
        <v>-10766.9333333333</v>
      </c>
      <c r="S18" s="67" t="n">
        <f aca="false">Headcount!S13</f>
        <v>-10766.9333333333</v>
      </c>
      <c r="T18" s="67" t="n">
        <f aca="false">Headcount!T13</f>
        <v>-10766.9333333333</v>
      </c>
      <c r="U18" s="67" t="n">
        <f aca="false">Headcount!U13</f>
        <v>-10766.9333333333</v>
      </c>
      <c r="V18" s="67" t="n">
        <f aca="false">Headcount!V13</f>
        <v>-10766.9333333333</v>
      </c>
      <c r="W18" s="67" t="n">
        <f aca="false">Headcount!W13</f>
        <v>-10766.9333333333</v>
      </c>
      <c r="X18" s="67" t="n">
        <f aca="false">Headcount!X13</f>
        <v>-10766.9333333333</v>
      </c>
      <c r="Y18" s="67" t="n">
        <f aca="false">Headcount!Y13</f>
        <v>-10766.9333333333</v>
      </c>
      <c r="Z18" s="67" t="n">
        <f aca="false">Headcount!Z13</f>
        <v>-10766.9333333333</v>
      </c>
      <c r="AA18" s="67" t="n">
        <f aca="false">Headcount!AA13</f>
        <v>-11089.9413333333</v>
      </c>
      <c r="AB18" s="67" t="n">
        <f aca="false">Headcount!AB13</f>
        <v>-11089.9413333333</v>
      </c>
      <c r="AC18" s="67" t="n">
        <f aca="false">Headcount!AC13</f>
        <v>-11089.9413333333</v>
      </c>
      <c r="AD18" s="67" t="n">
        <f aca="false">Headcount!AD13</f>
        <v>-11089.9413333333</v>
      </c>
      <c r="AE18" s="67" t="n">
        <f aca="false">Headcount!AE13</f>
        <v>-11089.9413333333</v>
      </c>
      <c r="AF18" s="67" t="n">
        <f aca="false">Headcount!AF13</f>
        <v>-11089.9413333333</v>
      </c>
      <c r="AG18" s="67" t="n">
        <f aca="false">Headcount!AG13</f>
        <v>-11089.9413333333</v>
      </c>
      <c r="AH18" s="67" t="n">
        <f aca="false">Headcount!AH13</f>
        <v>-11089.9413333333</v>
      </c>
      <c r="AI18" s="67" t="n">
        <f aca="false">Headcount!AI13</f>
        <v>-11089.9413333333</v>
      </c>
      <c r="AJ18" s="67" t="n">
        <f aca="false">Headcount!AJ13</f>
        <v>-11089.9413333333</v>
      </c>
      <c r="AK18" s="67" t="n">
        <f aca="false">Headcount!AK13</f>
        <v>-11089.9413333333</v>
      </c>
      <c r="AL18" s="67" t="n">
        <f aca="false">Headcount!AL13</f>
        <v>-11089.9413333333</v>
      </c>
    </row>
    <row r="19" customFormat="false" ht="15" hidden="false" customHeight="false" outlineLevel="0" collapsed="false">
      <c r="A19" s="6" t="s">
        <v>286</v>
      </c>
      <c r="C19" s="65" t="n">
        <f aca="false">-C12*Inputs!$E$16</f>
        <v>-468</v>
      </c>
      <c r="D19" s="65" t="n">
        <f aca="false">-D12*Inputs!$E$16</f>
        <v>-546</v>
      </c>
      <c r="E19" s="65" t="n">
        <f aca="false">-E12*Inputs!$E$16</f>
        <v>-624</v>
      </c>
      <c r="F19" s="65" t="n">
        <f aca="false">-F12*Inputs!$E$16</f>
        <v>-702</v>
      </c>
      <c r="G19" s="65" t="n">
        <f aca="false">-G12*Inputs!$E$16</f>
        <v>-780</v>
      </c>
      <c r="H19" s="65" t="n">
        <f aca="false">-H12*Inputs!$E$16</f>
        <v>-858</v>
      </c>
      <c r="I19" s="65" t="n">
        <f aca="false">-I12*Inputs!$E$16</f>
        <v>-936</v>
      </c>
      <c r="J19" s="65" t="n">
        <f aca="false">-J12*Inputs!$E$16</f>
        <v>-936</v>
      </c>
      <c r="K19" s="65" t="n">
        <f aca="false">-K12*Inputs!$E$16</f>
        <v>-936</v>
      </c>
      <c r="L19" s="65" t="n">
        <f aca="false">-L12*Inputs!$E$16</f>
        <v>-936</v>
      </c>
      <c r="M19" s="65" t="n">
        <f aca="false">-M12*Inputs!$E$16</f>
        <v>-936</v>
      </c>
      <c r="N19" s="65" t="n">
        <f aca="false">-N12*Inputs!$E$16</f>
        <v>-936</v>
      </c>
      <c r="O19" s="65" t="n">
        <f aca="false">-O12*Inputs!$E$16</f>
        <v>-1021.9248</v>
      </c>
      <c r="P19" s="65" t="n">
        <f aca="false">-P12*Inputs!$E$16</f>
        <v>-1021.9248</v>
      </c>
      <c r="Q19" s="65" t="n">
        <f aca="false">-Q12*Inputs!$E$16</f>
        <v>-1021.9248</v>
      </c>
      <c r="R19" s="65" t="n">
        <f aca="false">-R12*Inputs!$E$16</f>
        <v>-1021.9248</v>
      </c>
      <c r="S19" s="65" t="n">
        <f aca="false">-S12*Inputs!$E$16</f>
        <v>-1021.9248</v>
      </c>
      <c r="T19" s="65" t="n">
        <f aca="false">-T12*Inputs!$E$16</f>
        <v>-1021.9248</v>
      </c>
      <c r="U19" s="65" t="n">
        <f aca="false">-U12*Inputs!$E$16</f>
        <v>-1021.9248</v>
      </c>
      <c r="V19" s="65" t="n">
        <f aca="false">-V12*Inputs!$E$16</f>
        <v>-1021.9248</v>
      </c>
      <c r="W19" s="65" t="n">
        <f aca="false">-W12*Inputs!$E$16</f>
        <v>-1021.9248</v>
      </c>
      <c r="X19" s="65" t="n">
        <f aca="false">-X12*Inputs!$E$16</f>
        <v>-1021.9248</v>
      </c>
      <c r="Y19" s="65" t="n">
        <f aca="false">-Y12*Inputs!$E$16</f>
        <v>-1021.9248</v>
      </c>
      <c r="Z19" s="65" t="n">
        <f aca="false">-Z12*Inputs!$E$16</f>
        <v>-1021.9248</v>
      </c>
      <c r="AA19" s="65" t="n">
        <f aca="false">-AA12*Inputs!$E$16</f>
        <v>-1115.73749664</v>
      </c>
      <c r="AB19" s="65" t="n">
        <f aca="false">-AB12*Inputs!$E$16</f>
        <v>-1115.73749664</v>
      </c>
      <c r="AC19" s="65" t="n">
        <f aca="false">-AC12*Inputs!$E$16</f>
        <v>-1115.73749664</v>
      </c>
      <c r="AD19" s="65" t="n">
        <f aca="false">-AD12*Inputs!$E$16</f>
        <v>-1115.73749664</v>
      </c>
      <c r="AE19" s="65" t="n">
        <f aca="false">-AE12*Inputs!$E$16</f>
        <v>-1115.73749664</v>
      </c>
      <c r="AF19" s="65" t="n">
        <f aca="false">-AF12*Inputs!$E$16</f>
        <v>-1115.73749664</v>
      </c>
      <c r="AG19" s="65" t="n">
        <f aca="false">-AG12*Inputs!$E$16</f>
        <v>-1115.73749664</v>
      </c>
      <c r="AH19" s="65" t="n">
        <f aca="false">-AH12*Inputs!$E$16</f>
        <v>-1115.73749664</v>
      </c>
      <c r="AI19" s="65" t="n">
        <f aca="false">-AI12*Inputs!$E$16</f>
        <v>-1115.73749664</v>
      </c>
      <c r="AJ19" s="65" t="n">
        <f aca="false">-AJ12*Inputs!$E$16</f>
        <v>-1115.73749664</v>
      </c>
      <c r="AK19" s="65" t="n">
        <f aca="false">-AK12*Inputs!$E$16</f>
        <v>-1115.73749664</v>
      </c>
      <c r="AL19" s="65" t="n">
        <f aca="false">-AL12*Inputs!$E$16</f>
        <v>-1115.73749664</v>
      </c>
    </row>
    <row r="20" customFormat="false" ht="15" hidden="false" customHeight="false" outlineLevel="0" collapsed="false">
      <c r="A20" s="6" t="s">
        <v>287</v>
      </c>
      <c r="C20" s="65" t="n">
        <f aca="false">-Inputs!$E$17*1</f>
        <v>-2000</v>
      </c>
      <c r="D20" s="65" t="n">
        <f aca="false">-Inputs!$E$17*1</f>
        <v>-2000</v>
      </c>
      <c r="E20" s="65" t="n">
        <f aca="false">-Inputs!$E$17*1</f>
        <v>-2000</v>
      </c>
      <c r="F20" s="65" t="n">
        <f aca="false">-Inputs!$E$17*1</f>
        <v>-2000</v>
      </c>
      <c r="G20" s="65" t="n">
        <f aca="false">-Inputs!$E$17*1</f>
        <v>-2000</v>
      </c>
      <c r="H20" s="65" t="n">
        <f aca="false">-Inputs!$E$17*1</f>
        <v>-2000</v>
      </c>
      <c r="I20" s="65" t="n">
        <f aca="false">-Inputs!$E$17*1</f>
        <v>-2000</v>
      </c>
      <c r="J20" s="65" t="n">
        <f aca="false">-Inputs!$E$17*1</f>
        <v>-2000</v>
      </c>
      <c r="K20" s="65" t="n">
        <f aca="false">-Inputs!$E$17*1</f>
        <v>-2000</v>
      </c>
      <c r="L20" s="65" t="n">
        <f aca="false">-Inputs!$E$17*1</f>
        <v>-2000</v>
      </c>
      <c r="M20" s="65" t="n">
        <f aca="false">-Inputs!$E$17*1</f>
        <v>-2000</v>
      </c>
      <c r="N20" s="65" t="n">
        <f aca="false">-Inputs!$E$17*1</f>
        <v>-2000</v>
      </c>
      <c r="O20" s="65" t="n">
        <f aca="false">-Inputs!$E$17*1</f>
        <v>-2000</v>
      </c>
      <c r="P20" s="65" t="n">
        <f aca="false">-Inputs!$E$17*1</f>
        <v>-2000</v>
      </c>
      <c r="Q20" s="65" t="n">
        <f aca="false">-Inputs!$E$17*1</f>
        <v>-2000</v>
      </c>
      <c r="R20" s="65" t="n">
        <f aca="false">-Inputs!$E$17*1</f>
        <v>-2000</v>
      </c>
      <c r="S20" s="65" t="n">
        <f aca="false">-Inputs!$E$17*1</f>
        <v>-2000</v>
      </c>
      <c r="T20" s="65" t="n">
        <f aca="false">-Inputs!$E$17*1</f>
        <v>-2000</v>
      </c>
      <c r="U20" s="65" t="n">
        <f aca="false">-Inputs!$E$17*1</f>
        <v>-2000</v>
      </c>
      <c r="V20" s="65" t="n">
        <f aca="false">-Inputs!$E$17*1</f>
        <v>-2000</v>
      </c>
      <c r="W20" s="65" t="n">
        <f aca="false">-Inputs!$E$17*1</f>
        <v>-2000</v>
      </c>
      <c r="X20" s="65" t="n">
        <f aca="false">-Inputs!$E$17*1</f>
        <v>-2000</v>
      </c>
      <c r="Y20" s="65" t="n">
        <f aca="false">-Inputs!$E$17*1</f>
        <v>-2000</v>
      </c>
      <c r="Z20" s="65" t="n">
        <f aca="false">-Inputs!$E$17*1</f>
        <v>-2000</v>
      </c>
      <c r="AA20" s="65" t="n">
        <f aca="false">-Inputs!$E$17*1</f>
        <v>-2000</v>
      </c>
      <c r="AB20" s="65" t="n">
        <f aca="false">-Inputs!$E$17*1</f>
        <v>-2000</v>
      </c>
      <c r="AC20" s="65" t="n">
        <f aca="false">-Inputs!$E$17*1</f>
        <v>-2000</v>
      </c>
      <c r="AD20" s="65" t="n">
        <f aca="false">-Inputs!$E$17*1</f>
        <v>-2000</v>
      </c>
      <c r="AE20" s="65" t="n">
        <f aca="false">-Inputs!$E$17*1</f>
        <v>-2000</v>
      </c>
      <c r="AF20" s="65" t="n">
        <f aca="false">-Inputs!$E$17*1</f>
        <v>-2000</v>
      </c>
      <c r="AG20" s="65" t="n">
        <f aca="false">-Inputs!$E$17*1</f>
        <v>-2000</v>
      </c>
      <c r="AH20" s="65" t="n">
        <f aca="false">-Inputs!$E$17*1</f>
        <v>-2000</v>
      </c>
      <c r="AI20" s="65" t="n">
        <f aca="false">-Inputs!$E$17*1</f>
        <v>-2000</v>
      </c>
      <c r="AJ20" s="65" t="n">
        <f aca="false">-Inputs!$E$17*1</f>
        <v>-2000</v>
      </c>
      <c r="AK20" s="65" t="n">
        <f aca="false">-Inputs!$E$17*1</f>
        <v>-2000</v>
      </c>
      <c r="AL20" s="65" t="n">
        <f aca="false">-Inputs!$E$17*1</f>
        <v>-2000</v>
      </c>
    </row>
    <row r="21" customFormat="false" ht="15" hidden="false" customHeight="false" outlineLevel="0" collapsed="false">
      <c r="A21" s="108" t="s">
        <v>75</v>
      </c>
      <c r="C21" s="66" t="n">
        <f aca="false">C17+C18+C19+C20</f>
        <v>-17421.3333333333</v>
      </c>
      <c r="D21" s="66" t="n">
        <f aca="false">D17+D18+D19+D20</f>
        <v>-17499.3333333333</v>
      </c>
      <c r="E21" s="66" t="n">
        <f aca="false">E17+E18+E19+E20</f>
        <v>-17577.3333333333</v>
      </c>
      <c r="F21" s="66" t="n">
        <f aca="false">F17+F18+F19+F20</f>
        <v>-17655.3333333333</v>
      </c>
      <c r="G21" s="66" t="n">
        <f aca="false">G17+G18+G19+G20</f>
        <v>-17733.3333333333</v>
      </c>
      <c r="H21" s="66" t="n">
        <f aca="false">H17+H18+H19+H20</f>
        <v>-17811.3333333333</v>
      </c>
      <c r="I21" s="66" t="n">
        <f aca="false">I17+I18+I19+I20</f>
        <v>-17889.3333333333</v>
      </c>
      <c r="J21" s="66" t="n">
        <f aca="false">J17+J18+J19+J20</f>
        <v>-17889.3333333333</v>
      </c>
      <c r="K21" s="66" t="n">
        <f aca="false">K17+K18+K19+K20</f>
        <v>-17889.3333333333</v>
      </c>
      <c r="L21" s="66" t="n">
        <f aca="false">L17+L18+L19+L20</f>
        <v>-17889.3333333333</v>
      </c>
      <c r="M21" s="66" t="n">
        <f aca="false">M17+M18+M19+M20</f>
        <v>-17889.3333333333</v>
      </c>
      <c r="N21" s="66" t="n">
        <f aca="false">N17+N18+N19+N20</f>
        <v>-17889.3333333333</v>
      </c>
      <c r="O21" s="66" t="n">
        <f aca="false">O17+O18+O19+O20</f>
        <v>-18288.8581333333</v>
      </c>
      <c r="P21" s="66" t="n">
        <f aca="false">P17+P18+P19+P20</f>
        <v>-18288.8581333333</v>
      </c>
      <c r="Q21" s="66" t="n">
        <f aca="false">Q17+Q18+Q19+Q20</f>
        <v>-18288.8581333333</v>
      </c>
      <c r="R21" s="66" t="n">
        <f aca="false">R17+R18+R19+R20</f>
        <v>-18288.8581333333</v>
      </c>
      <c r="S21" s="66" t="n">
        <f aca="false">S17+S18+S19+S20</f>
        <v>-18288.8581333333</v>
      </c>
      <c r="T21" s="66" t="n">
        <f aca="false">T17+T18+T19+T20</f>
        <v>-18288.8581333333</v>
      </c>
      <c r="U21" s="66" t="n">
        <f aca="false">U17+U18+U19+U20</f>
        <v>-18288.8581333333</v>
      </c>
      <c r="V21" s="66" t="n">
        <f aca="false">V17+V18+V19+V20</f>
        <v>-18288.8581333333</v>
      </c>
      <c r="W21" s="66" t="n">
        <f aca="false">W17+W18+W19+W20</f>
        <v>-18288.8581333333</v>
      </c>
      <c r="X21" s="66" t="n">
        <f aca="false">X17+X18+X19+X20</f>
        <v>-18288.8581333333</v>
      </c>
      <c r="Y21" s="66" t="n">
        <f aca="false">Y17+Y18+Y19+Y20</f>
        <v>-18288.8581333333</v>
      </c>
      <c r="Z21" s="66" t="n">
        <f aca="false">Z17+Z18+Z19+Z20</f>
        <v>-18288.8581333333</v>
      </c>
      <c r="AA21" s="66" t="n">
        <f aca="false">AA17+AA18+AA19+AA20</f>
        <v>-18705.6788299733</v>
      </c>
      <c r="AB21" s="66" t="n">
        <f aca="false">AB17+AB18+AB19+AB20</f>
        <v>-18705.6788299733</v>
      </c>
      <c r="AC21" s="66" t="n">
        <f aca="false">AC17+AC18+AC19+AC20</f>
        <v>-18705.6788299733</v>
      </c>
      <c r="AD21" s="66" t="n">
        <f aca="false">AD17+AD18+AD19+AD20</f>
        <v>-18705.6788299733</v>
      </c>
      <c r="AE21" s="66" t="n">
        <f aca="false">AE17+AE18+AE19+AE20</f>
        <v>-18705.6788299733</v>
      </c>
      <c r="AF21" s="66" t="n">
        <f aca="false">AF17+AF18+AF19+AF20</f>
        <v>-18705.6788299733</v>
      </c>
      <c r="AG21" s="66" t="n">
        <f aca="false">AG17+AG18+AG19+AG20</f>
        <v>-18705.6788299733</v>
      </c>
      <c r="AH21" s="66" t="n">
        <f aca="false">AH17+AH18+AH19+AH20</f>
        <v>-18705.6788299733</v>
      </c>
      <c r="AI21" s="66" t="n">
        <f aca="false">AI17+AI18+AI19+AI20</f>
        <v>-18705.6788299733</v>
      </c>
      <c r="AJ21" s="66" t="n">
        <f aca="false">AJ17+AJ18+AJ19+AJ20</f>
        <v>-18705.6788299733</v>
      </c>
      <c r="AK21" s="66" t="n">
        <f aca="false">AK17+AK18+AK19+AK20</f>
        <v>-18705.6788299733</v>
      </c>
      <c r="AL21" s="66" t="n">
        <f aca="false">AL17+AL18+AL19+AL20</f>
        <v>-18705.6788299733</v>
      </c>
    </row>
    <row r="22" customFormat="false" ht="15" hidden="false" customHeight="false" outlineLevel="0" collapsed="false">
      <c r="A22" s="108" t="s">
        <v>48</v>
      </c>
      <c r="C22" s="66" t="n">
        <f aca="false">C14+C21</f>
        <v>-6969.33333333334</v>
      </c>
      <c r="D22" s="66" t="n">
        <f aca="false">D14+D21</f>
        <v>-5305.33333333333</v>
      </c>
      <c r="E22" s="66" t="n">
        <f aca="false">E14+E21</f>
        <v>-3641.33333333334</v>
      </c>
      <c r="F22" s="66" t="n">
        <f aca="false">F14+F21</f>
        <v>-1977.33333333334</v>
      </c>
      <c r="G22" s="66" t="n">
        <f aca="false">G14+G21</f>
        <v>-313.333333333339</v>
      </c>
      <c r="H22" s="66" t="n">
        <f aca="false">H14+H21</f>
        <v>1350.66666666666</v>
      </c>
      <c r="I22" s="66" t="n">
        <f aca="false">I14+I21</f>
        <v>3014.66666666666</v>
      </c>
      <c r="J22" s="66" t="n">
        <f aca="false">J14+J21</f>
        <v>3014.66666666666</v>
      </c>
      <c r="K22" s="66" t="n">
        <f aca="false">K14+K21</f>
        <v>3014.66666666666</v>
      </c>
      <c r="L22" s="66" t="n">
        <f aca="false">L14+L21</f>
        <v>3014.66666666666</v>
      </c>
      <c r="M22" s="66" t="n">
        <f aca="false">M14+M21</f>
        <v>3014.66666666666</v>
      </c>
      <c r="N22" s="66" t="n">
        <f aca="false">N14+N21</f>
        <v>3014.66666666666</v>
      </c>
      <c r="O22" s="66" t="n">
        <f aca="false">O14+O21</f>
        <v>4534.12906666667</v>
      </c>
      <c r="P22" s="66" t="n">
        <f aca="false">P14+P21</f>
        <v>4534.12906666667</v>
      </c>
      <c r="Q22" s="66" t="n">
        <f aca="false">Q14+Q21</f>
        <v>4534.12906666667</v>
      </c>
      <c r="R22" s="66" t="n">
        <f aca="false">R14+R21</f>
        <v>4534.12906666667</v>
      </c>
      <c r="S22" s="66" t="n">
        <f aca="false">S14+S21</f>
        <v>4534.12906666667</v>
      </c>
      <c r="T22" s="66" t="n">
        <f aca="false">T14+T21</f>
        <v>4534.12906666667</v>
      </c>
      <c r="U22" s="66" t="n">
        <f aca="false">U14+U21</f>
        <v>4534.12906666667</v>
      </c>
      <c r="V22" s="66" t="n">
        <f aca="false">V14+V21</f>
        <v>4534.12906666667</v>
      </c>
      <c r="W22" s="66" t="n">
        <f aca="false">W14+W21</f>
        <v>4534.12906666667</v>
      </c>
      <c r="X22" s="66" t="n">
        <f aca="false">X14+X21</f>
        <v>4534.12906666667</v>
      </c>
      <c r="Y22" s="66" t="n">
        <f aca="false">Y14+Y21</f>
        <v>4534.12906666667</v>
      </c>
      <c r="Z22" s="66" t="n">
        <f aca="false">Z14+Z21</f>
        <v>4534.12906666667</v>
      </c>
      <c r="AA22" s="66" t="n">
        <f aca="false">AA14+AA21</f>
        <v>6212.45859498667</v>
      </c>
      <c r="AB22" s="66" t="n">
        <f aca="false">AB14+AB21</f>
        <v>6212.45859498667</v>
      </c>
      <c r="AC22" s="66" t="n">
        <f aca="false">AC14+AC21</f>
        <v>6212.45859498667</v>
      </c>
      <c r="AD22" s="66" t="n">
        <f aca="false">AD14+AD21</f>
        <v>6212.45859498667</v>
      </c>
      <c r="AE22" s="66" t="n">
        <f aca="false">AE14+AE21</f>
        <v>6212.45859498667</v>
      </c>
      <c r="AF22" s="66" t="n">
        <f aca="false">AF14+AF21</f>
        <v>6212.45859498667</v>
      </c>
      <c r="AG22" s="66" t="n">
        <f aca="false">AG14+AG21</f>
        <v>6212.45859498667</v>
      </c>
      <c r="AH22" s="66" t="n">
        <f aca="false">AH14+AH21</f>
        <v>6212.45859498667</v>
      </c>
      <c r="AI22" s="66" t="n">
        <f aca="false">AI14+AI21</f>
        <v>6212.45859498667</v>
      </c>
      <c r="AJ22" s="66" t="n">
        <f aca="false">AJ14+AJ21</f>
        <v>6212.45859498667</v>
      </c>
      <c r="AK22" s="66" t="n">
        <f aca="false">AK14+AK21</f>
        <v>6212.45859498667</v>
      </c>
      <c r="AL22" s="66" t="n">
        <f aca="false">AL14+AL21</f>
        <v>6212.45859498667</v>
      </c>
    </row>
    <row r="24" customFormat="false" ht="15.75" hidden="false" customHeight="true" outlineLevel="0" collapsed="false">
      <c r="A24" s="7" t="s">
        <v>338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4" t="s">
        <v>77</v>
      </c>
      <c r="C25" s="71" t="n">
        <f aca="false">C22+C36</f>
        <v>-8874.09523809524</v>
      </c>
      <c r="D25" s="71" t="n">
        <f aca="false">D22+D36</f>
        <v>-7210.09523809524</v>
      </c>
      <c r="E25" s="71" t="n">
        <f aca="false">E22+E36</f>
        <v>-5546.09523809524</v>
      </c>
      <c r="F25" s="71" t="n">
        <f aca="false">F22+F36</f>
        <v>-3882.09523809524</v>
      </c>
      <c r="G25" s="71" t="n">
        <f aca="false">G22+G36</f>
        <v>-2218.09523809524</v>
      </c>
      <c r="H25" s="71" t="n">
        <f aca="false">H22+H36</f>
        <v>-554.095238095241</v>
      </c>
      <c r="I25" s="71" t="n">
        <f aca="false">I22+I36</f>
        <v>1109.90476190476</v>
      </c>
      <c r="J25" s="71" t="n">
        <f aca="false">J22+J36</f>
        <v>1109.90476190476</v>
      </c>
      <c r="K25" s="71" t="n">
        <f aca="false">K22+K36</f>
        <v>1109.90476190476</v>
      </c>
      <c r="L25" s="71" t="n">
        <f aca="false">L22+L36</f>
        <v>1109.90476190476</v>
      </c>
      <c r="M25" s="71" t="n">
        <f aca="false">M22+M36</f>
        <v>1109.90476190476</v>
      </c>
      <c r="N25" s="71" t="n">
        <f aca="false">N22+N36</f>
        <v>1109.90476190476</v>
      </c>
      <c r="O25" s="71" t="n">
        <f aca="false">O22+O36</f>
        <v>2629.36716190476</v>
      </c>
      <c r="P25" s="71" t="n">
        <f aca="false">P22+P36</f>
        <v>2629.36716190476</v>
      </c>
      <c r="Q25" s="71" t="n">
        <f aca="false">Q22+Q36</f>
        <v>2629.36716190476</v>
      </c>
      <c r="R25" s="71" t="n">
        <f aca="false">R22+R36</f>
        <v>2629.36716190476</v>
      </c>
      <c r="S25" s="71" t="n">
        <f aca="false">S22+S36</f>
        <v>2629.36716190476</v>
      </c>
      <c r="T25" s="71" t="n">
        <f aca="false">T22+T36</f>
        <v>2629.36716190476</v>
      </c>
      <c r="U25" s="71" t="n">
        <f aca="false">U22+U36</f>
        <v>2629.36716190476</v>
      </c>
      <c r="V25" s="71" t="n">
        <f aca="false">V22+V36</f>
        <v>2629.36716190476</v>
      </c>
      <c r="W25" s="71" t="n">
        <f aca="false">W22+W36</f>
        <v>2629.36716190476</v>
      </c>
      <c r="X25" s="71" t="n">
        <f aca="false">X22+X36</f>
        <v>2629.36716190476</v>
      </c>
      <c r="Y25" s="71" t="n">
        <f aca="false">Y22+Y36</f>
        <v>2629.36716190476</v>
      </c>
      <c r="Z25" s="71" t="n">
        <f aca="false">Z22+Z36</f>
        <v>2629.36716190476</v>
      </c>
      <c r="AA25" s="71" t="n">
        <f aca="false">AA22+AA36</f>
        <v>4307.69669022477</v>
      </c>
      <c r="AB25" s="71" t="n">
        <f aca="false">AB22+AB36</f>
        <v>4307.69669022477</v>
      </c>
      <c r="AC25" s="71" t="n">
        <f aca="false">AC22+AC36</f>
        <v>4307.69669022477</v>
      </c>
      <c r="AD25" s="71" t="n">
        <f aca="false">AD22+AD36</f>
        <v>4307.69669022477</v>
      </c>
      <c r="AE25" s="71" t="n">
        <f aca="false">AE22+AE36</f>
        <v>4307.69669022477</v>
      </c>
      <c r="AF25" s="71" t="n">
        <f aca="false">AF22+AF36</f>
        <v>4307.69669022477</v>
      </c>
      <c r="AG25" s="71" t="n">
        <f aca="false">AG22+AG36</f>
        <v>4307.69669022477</v>
      </c>
      <c r="AH25" s="71" t="n">
        <f aca="false">AH22+AH36</f>
        <v>4307.69669022477</v>
      </c>
      <c r="AI25" s="71" t="n">
        <f aca="false">AI22+AI36</f>
        <v>4307.69669022477</v>
      </c>
      <c r="AJ25" s="71" t="n">
        <f aca="false">AJ22+AJ36</f>
        <v>4307.69669022477</v>
      </c>
      <c r="AK25" s="71" t="n">
        <f aca="false">AK22+AK36</f>
        <v>4307.69669022477</v>
      </c>
      <c r="AL25" s="71" t="n">
        <f aca="false">AL22+AL36</f>
        <v>4307.69669022477</v>
      </c>
    </row>
    <row r="26" customFormat="false" ht="15" hidden="false" customHeight="false" outlineLevel="0" collapsed="false">
      <c r="A26" s="6" t="s">
        <v>339</v>
      </c>
      <c r="C26" s="65" t="n">
        <f aca="false">-(C41+C42+C44)/2*Inputs!$E$31/12</f>
        <v>-533.333333333333</v>
      </c>
      <c r="D26" s="65" t="n">
        <f aca="false">-(D41+D42+D44)/2*Inputs!$E$31/12</f>
        <v>-528.888888888889</v>
      </c>
      <c r="E26" s="65" t="n">
        <f aca="false">-(E41+E42+E44)/2*Inputs!$E$31/12</f>
        <v>-520</v>
      </c>
      <c r="F26" s="65" t="n">
        <f aca="false">-(F41+F42+F44)/2*Inputs!$E$31/12</f>
        <v>-511.111111111111</v>
      </c>
      <c r="G26" s="65" t="n">
        <f aca="false">-(G41+G42+G44)/2*Inputs!$E$31/12</f>
        <v>-502.222222222222</v>
      </c>
      <c r="H26" s="65" t="n">
        <f aca="false">-(H41+H42+H44)/2*Inputs!$E$31/12</f>
        <v>-493.333333333334</v>
      </c>
      <c r="I26" s="65" t="n">
        <f aca="false">-(I41+I42+I44)/2*Inputs!$E$31/12</f>
        <v>-484.444444444445</v>
      </c>
      <c r="J26" s="65" t="n">
        <f aca="false">-(J41+J42+J44)/2*Inputs!$E$31/12</f>
        <v>-475.555555555556</v>
      </c>
      <c r="K26" s="65" t="n">
        <f aca="false">-(K41+K42+K44)/2*Inputs!$E$31/12</f>
        <v>-466.666666666667</v>
      </c>
      <c r="L26" s="65" t="n">
        <f aca="false">-(L41+L42+L44)/2*Inputs!$E$31/12</f>
        <v>-457.777777777778</v>
      </c>
      <c r="M26" s="65" t="n">
        <f aca="false">-(M41+M42+M44)/2*Inputs!$E$31/12</f>
        <v>-448.888888888889</v>
      </c>
      <c r="N26" s="65" t="n">
        <f aca="false">-(N41+N42+N44)/2*Inputs!$E$31/12</f>
        <v>-440</v>
      </c>
      <c r="O26" s="65" t="n">
        <f aca="false">-(O41+O42+O44)/2*Inputs!$E$31/12</f>
        <v>-431.111111111112</v>
      </c>
      <c r="P26" s="65" t="n">
        <f aca="false">-(P41+P42+P44)/2*Inputs!$E$31/12</f>
        <v>-422.222222222222</v>
      </c>
      <c r="Q26" s="65" t="n">
        <f aca="false">-(Q41+Q42+Q44)/2*Inputs!$E$31/12</f>
        <v>-413.333333333334</v>
      </c>
      <c r="R26" s="65" t="n">
        <f aca="false">-(R41+R42+R44)/2*Inputs!$E$31/12</f>
        <v>-404.444444444445</v>
      </c>
      <c r="S26" s="65" t="n">
        <f aca="false">-(S41+S42+S44)/2*Inputs!$E$31/12</f>
        <v>-395.555555555556</v>
      </c>
      <c r="T26" s="65" t="n">
        <f aca="false">-(T41+T42+T44)/2*Inputs!$E$31/12</f>
        <v>-386.666666666667</v>
      </c>
      <c r="U26" s="65" t="n">
        <f aca="false">-(U41+U42+U44)/2*Inputs!$E$31/12</f>
        <v>-377.777777777778</v>
      </c>
      <c r="V26" s="65" t="n">
        <f aca="false">-(V41+V42+V44)/2*Inputs!$E$31/12</f>
        <v>-368.888888888889</v>
      </c>
      <c r="W26" s="65" t="n">
        <f aca="false">-(W41+W42+W44)/2*Inputs!$E$31/12</f>
        <v>-360</v>
      </c>
      <c r="X26" s="65" t="n">
        <f aca="false">-(X41+X42+X44)/2*Inputs!$E$31/12</f>
        <v>-351.111111111111</v>
      </c>
      <c r="Y26" s="65" t="n">
        <f aca="false">-(Y41+Y42+Y44)/2*Inputs!$E$31/12</f>
        <v>-342.222222222222</v>
      </c>
      <c r="Z26" s="65" t="n">
        <f aca="false">-(Z41+Z42+Z44)/2*Inputs!$E$31/12</f>
        <v>-333.333333333333</v>
      </c>
      <c r="AA26" s="65" t="n">
        <f aca="false">-(AA41+AA42+AA44)/2*Inputs!$E$31/12</f>
        <v>-324.444444444445</v>
      </c>
      <c r="AB26" s="65" t="n">
        <f aca="false">-(AB41+AB42+AB44)/2*Inputs!$E$31/12</f>
        <v>-315.555555555556</v>
      </c>
      <c r="AC26" s="65" t="n">
        <f aca="false">-(AC41+AC42+AC44)/2*Inputs!$E$31/12</f>
        <v>-306.666666666667</v>
      </c>
      <c r="AD26" s="65" t="n">
        <f aca="false">-(AD41+AD42+AD44)/2*Inputs!$E$31/12</f>
        <v>-297.777777777778</v>
      </c>
      <c r="AE26" s="65" t="n">
        <f aca="false">-(AE41+AE42+AE44)/2*Inputs!$E$31/12</f>
        <v>-288.888888888889</v>
      </c>
      <c r="AF26" s="65" t="n">
        <f aca="false">-(AF41+AF42+AF44)/2*Inputs!$E$31/12</f>
        <v>-280</v>
      </c>
      <c r="AG26" s="65" t="n">
        <f aca="false">-(AG41+AG42+AG44)/2*Inputs!$E$31/12</f>
        <v>-271.111111111111</v>
      </c>
      <c r="AH26" s="65" t="n">
        <f aca="false">-(AH41+AH42+AH44)/2*Inputs!$E$31/12</f>
        <v>-262.222222222222</v>
      </c>
      <c r="AI26" s="65" t="n">
        <f aca="false">-(AI41+AI42+AI44)/2*Inputs!$E$31/12</f>
        <v>-253.333333333333</v>
      </c>
      <c r="AJ26" s="65" t="n">
        <f aca="false">-(AJ41+AJ42+AJ44)/2*Inputs!$E$31/12</f>
        <v>-244.444444444444</v>
      </c>
      <c r="AK26" s="65" t="n">
        <f aca="false">-(AK41+AK42+AK44)/2*Inputs!$E$31/12</f>
        <v>-235.555555555556</v>
      </c>
      <c r="AL26" s="65" t="n">
        <f aca="false">-(AL41+AL42+AL44)/2*Inputs!$E$31/12</f>
        <v>-226.666666666667</v>
      </c>
    </row>
    <row r="27" customFormat="false" ht="15" hidden="false" customHeight="false" outlineLevel="0" collapsed="false">
      <c r="A27" s="108" t="s">
        <v>79</v>
      </c>
      <c r="C27" s="66" t="n">
        <f aca="false">C25+C26</f>
        <v>-9407.42857142857</v>
      </c>
      <c r="D27" s="66" t="n">
        <f aca="false">D25+D26</f>
        <v>-7738.98412698413</v>
      </c>
      <c r="E27" s="66" t="n">
        <f aca="false">E25+E26</f>
        <v>-6066.09523809524</v>
      </c>
      <c r="F27" s="66" t="n">
        <f aca="false">F25+F26</f>
        <v>-4393.20634920635</v>
      </c>
      <c r="G27" s="66" t="n">
        <f aca="false">G25+G26</f>
        <v>-2720.31746031747</v>
      </c>
      <c r="H27" s="66" t="n">
        <f aca="false">H25+H26</f>
        <v>-1047.42857142857</v>
      </c>
      <c r="I27" s="66" t="n">
        <f aca="false">I25+I26</f>
        <v>625.460317460315</v>
      </c>
      <c r="J27" s="66" t="n">
        <f aca="false">J25+J26</f>
        <v>634.349206349204</v>
      </c>
      <c r="K27" s="66" t="n">
        <f aca="false">K25+K26</f>
        <v>643.238095238093</v>
      </c>
      <c r="L27" s="66" t="n">
        <f aca="false">L25+L26</f>
        <v>652.126984126981</v>
      </c>
      <c r="M27" s="66" t="n">
        <f aca="false">M25+M26</f>
        <v>661.01587301587</v>
      </c>
      <c r="N27" s="66" t="n">
        <f aca="false">N25+N26</f>
        <v>669.904761904759</v>
      </c>
      <c r="O27" s="66" t="n">
        <f aca="false">O25+O26</f>
        <v>2198.25605079365</v>
      </c>
      <c r="P27" s="66" t="n">
        <f aca="false">P25+P26</f>
        <v>2207.14493968254</v>
      </c>
      <c r="Q27" s="66" t="n">
        <f aca="false">Q25+Q26</f>
        <v>2216.03382857143</v>
      </c>
      <c r="R27" s="66" t="n">
        <f aca="false">R25+R26</f>
        <v>2224.92271746032</v>
      </c>
      <c r="S27" s="66" t="n">
        <f aca="false">S25+S26</f>
        <v>2233.81160634921</v>
      </c>
      <c r="T27" s="66" t="n">
        <f aca="false">T25+T26</f>
        <v>2242.7004952381</v>
      </c>
      <c r="U27" s="66" t="n">
        <f aca="false">U25+U26</f>
        <v>2251.58938412699</v>
      </c>
      <c r="V27" s="66" t="n">
        <f aca="false">V25+V26</f>
        <v>2260.47827301587</v>
      </c>
      <c r="W27" s="66" t="n">
        <f aca="false">W25+W26</f>
        <v>2269.36716190476</v>
      </c>
      <c r="X27" s="66" t="n">
        <f aca="false">X25+X26</f>
        <v>2278.25605079365</v>
      </c>
      <c r="Y27" s="66" t="n">
        <f aca="false">Y25+Y26</f>
        <v>2287.14493968254</v>
      </c>
      <c r="Z27" s="66" t="n">
        <f aca="false">Z25+Z26</f>
        <v>2296.03382857143</v>
      </c>
      <c r="AA27" s="66" t="n">
        <f aca="false">AA25+AA26</f>
        <v>3983.25224578032</v>
      </c>
      <c r="AB27" s="66" t="n">
        <f aca="false">AB25+AB26</f>
        <v>3992.14113466921</v>
      </c>
      <c r="AC27" s="66" t="n">
        <f aca="false">AC25+AC26</f>
        <v>4001.0300235581</v>
      </c>
      <c r="AD27" s="66" t="n">
        <f aca="false">AD25+AD26</f>
        <v>4009.91891244699</v>
      </c>
      <c r="AE27" s="66" t="n">
        <f aca="false">AE25+AE26</f>
        <v>4018.80780133588</v>
      </c>
      <c r="AF27" s="66" t="n">
        <f aca="false">AF25+AF26</f>
        <v>4027.69669022477</v>
      </c>
      <c r="AG27" s="66" t="n">
        <f aca="false">AG25+AG26</f>
        <v>4036.58557911365</v>
      </c>
      <c r="AH27" s="66" t="n">
        <f aca="false">AH25+AH26</f>
        <v>4045.47446800254</v>
      </c>
      <c r="AI27" s="66" t="n">
        <f aca="false">AI25+AI26</f>
        <v>4054.36335689143</v>
      </c>
      <c r="AJ27" s="66" t="n">
        <f aca="false">AJ25+AJ26</f>
        <v>4063.25224578032</v>
      </c>
      <c r="AK27" s="66" t="n">
        <f aca="false">AK25+AK26</f>
        <v>4072.14113466921</v>
      </c>
      <c r="AL27" s="66" t="n">
        <f aca="false">AL25+AL26</f>
        <v>4081.0300235581</v>
      </c>
    </row>
    <row r="28" customFormat="false" ht="15" hidden="false" customHeight="false" outlineLevel="0" collapsed="false">
      <c r="A28" s="114" t="s">
        <v>340</v>
      </c>
      <c r="C28" s="65" t="n">
        <f aca="false">C27</f>
        <v>-9407.42857142857</v>
      </c>
      <c r="D28" s="65" t="n">
        <f aca="false">C28+D27</f>
        <v>-17146.4126984127</v>
      </c>
      <c r="E28" s="65" t="n">
        <f aca="false">D28+E27</f>
        <v>-23212.5079365079</v>
      </c>
      <c r="F28" s="65" t="n">
        <f aca="false">E28+F27</f>
        <v>-27605.7142857143</v>
      </c>
      <c r="G28" s="65" t="n">
        <f aca="false">F28+G27</f>
        <v>-30326.0317460318</v>
      </c>
      <c r="H28" s="65" t="n">
        <f aca="false">G28+H27</f>
        <v>-31373.4603174603</v>
      </c>
      <c r="I28" s="65" t="n">
        <f aca="false">H28+I27</f>
        <v>-30748</v>
      </c>
      <c r="J28" s="65" t="n">
        <f aca="false">I28+J27</f>
        <v>-30113.6507936508</v>
      </c>
      <c r="K28" s="65" t="n">
        <f aca="false">J28+K27</f>
        <v>-29470.4126984127</v>
      </c>
      <c r="L28" s="65" t="n">
        <f aca="false">K28+L27</f>
        <v>-28818.2857142857</v>
      </c>
      <c r="M28" s="65" t="n">
        <f aca="false">L28+M27</f>
        <v>-28157.2698412699</v>
      </c>
      <c r="N28" s="65" t="n">
        <f aca="false">M28+N27</f>
        <v>-27487.3650793651</v>
      </c>
      <c r="O28" s="65" t="n">
        <f aca="false">N28+O27</f>
        <v>-25289.1090285715</v>
      </c>
      <c r="P28" s="65" t="n">
        <f aca="false">O28+P27</f>
        <v>-23081.9640888889</v>
      </c>
      <c r="Q28" s="65" t="n">
        <f aca="false">P28+Q27</f>
        <v>-20865.9302603175</v>
      </c>
      <c r="R28" s="65" t="n">
        <f aca="false">Q28+R27</f>
        <v>-18641.0075428572</v>
      </c>
      <c r="S28" s="65" t="n">
        <f aca="false">R28+S27</f>
        <v>-16407.195936508</v>
      </c>
      <c r="T28" s="65" t="n">
        <f aca="false">S28+T27</f>
        <v>-14164.4954412699</v>
      </c>
      <c r="U28" s="65" t="n">
        <f aca="false">T28+U27</f>
        <v>-11912.9060571429</v>
      </c>
      <c r="V28" s="65" t="n">
        <f aca="false">U28+V27</f>
        <v>-9652.427784127</v>
      </c>
      <c r="W28" s="65" t="n">
        <f aca="false">V28+W27</f>
        <v>-7383.06062222224</v>
      </c>
      <c r="X28" s="65" t="n">
        <f aca="false">W28+X27</f>
        <v>-5104.80457142859</v>
      </c>
      <c r="Y28" s="65" t="n">
        <f aca="false">X28+Y27</f>
        <v>-2817.65963174605</v>
      </c>
      <c r="Z28" s="65" t="n">
        <f aca="false">Y28+Z27</f>
        <v>-521.625803174616</v>
      </c>
      <c r="AA28" s="65" t="n">
        <f aca="false">Z28+AA27</f>
        <v>3461.62644260571</v>
      </c>
      <c r="AB28" s="65" t="n">
        <f aca="false">AA28+AB27</f>
        <v>7453.76757727492</v>
      </c>
      <c r="AC28" s="65" t="n">
        <f aca="false">AB28+AC27</f>
        <v>11454.797600833</v>
      </c>
      <c r="AD28" s="65" t="n">
        <f aca="false">AC28+AD27</f>
        <v>15464.71651328</v>
      </c>
      <c r="AE28" s="65" t="n">
        <f aca="false">AD28+AE27</f>
        <v>19483.5243146159</v>
      </c>
      <c r="AF28" s="65" t="n">
        <f aca="false">AE28+AF27</f>
        <v>23511.2210048406</v>
      </c>
      <c r="AG28" s="65" t="n">
        <f aca="false">AF28+AG27</f>
        <v>27547.8065839543</v>
      </c>
      <c r="AH28" s="65" t="n">
        <f aca="false">AG28+AH27</f>
        <v>31593.2810519568</v>
      </c>
      <c r="AI28" s="65" t="n">
        <f aca="false">AH28+AI27</f>
        <v>35647.6444088483</v>
      </c>
      <c r="AJ28" s="65" t="n">
        <f aca="false">AI28+AJ27</f>
        <v>39710.8966546286</v>
      </c>
      <c r="AK28" s="65" t="n">
        <f aca="false">AJ28+AK27</f>
        <v>43783.0377892978</v>
      </c>
      <c r="AL28" s="65" t="n">
        <f aca="false">AK28+AL27</f>
        <v>47864.0678128559</v>
      </c>
    </row>
    <row r="29" customFormat="false" ht="15" hidden="false" customHeight="false" outlineLevel="0" collapsed="false">
      <c r="A29" s="114" t="s">
        <v>341</v>
      </c>
      <c r="C29" s="65" t="n">
        <f aca="false">MAX(0,C28)</f>
        <v>0</v>
      </c>
      <c r="D29" s="65" t="n">
        <f aca="false">MAX(C29,D28)</f>
        <v>0</v>
      </c>
      <c r="E29" s="65" t="n">
        <f aca="false">MAX(D29,E28)</f>
        <v>0</v>
      </c>
      <c r="F29" s="65" t="n">
        <f aca="false">MAX(E29,F28)</f>
        <v>0</v>
      </c>
      <c r="G29" s="65" t="n">
        <f aca="false">MAX(F29,G28)</f>
        <v>0</v>
      </c>
      <c r="H29" s="65" t="n">
        <f aca="false">MAX(G29,H28)</f>
        <v>0</v>
      </c>
      <c r="I29" s="65" t="n">
        <f aca="false">MAX(H29,I28)</f>
        <v>0</v>
      </c>
      <c r="J29" s="65" t="n">
        <f aca="false">MAX(I29,J28)</f>
        <v>0</v>
      </c>
      <c r="K29" s="65" t="n">
        <f aca="false">MAX(J29,K28)</f>
        <v>0</v>
      </c>
      <c r="L29" s="65" t="n">
        <f aca="false">MAX(K29,L28)</f>
        <v>0</v>
      </c>
      <c r="M29" s="65" t="n">
        <f aca="false">MAX(L29,M28)</f>
        <v>0</v>
      </c>
      <c r="N29" s="65" t="n">
        <f aca="false">MAX(M29,N28)</f>
        <v>0</v>
      </c>
      <c r="O29" s="65" t="n">
        <f aca="false">MAX(N29,O28)</f>
        <v>0</v>
      </c>
      <c r="P29" s="65" t="n">
        <f aca="false">MAX(O29,P28)</f>
        <v>0</v>
      </c>
      <c r="Q29" s="65" t="n">
        <f aca="false">MAX(P29,Q28)</f>
        <v>0</v>
      </c>
      <c r="R29" s="65" t="n">
        <f aca="false">MAX(Q29,R28)</f>
        <v>0</v>
      </c>
      <c r="S29" s="65" t="n">
        <f aca="false">MAX(R29,S28)</f>
        <v>0</v>
      </c>
      <c r="T29" s="65" t="n">
        <f aca="false">MAX(S29,T28)</f>
        <v>0</v>
      </c>
      <c r="U29" s="65" t="n">
        <f aca="false">MAX(T29,U28)</f>
        <v>0</v>
      </c>
      <c r="V29" s="65" t="n">
        <f aca="false">MAX(U29,V28)</f>
        <v>0</v>
      </c>
      <c r="W29" s="65" t="n">
        <f aca="false">MAX(V29,W28)</f>
        <v>0</v>
      </c>
      <c r="X29" s="65" t="n">
        <f aca="false">MAX(W29,X28)</f>
        <v>0</v>
      </c>
      <c r="Y29" s="65" t="n">
        <f aca="false">MAX(X29,Y28)</f>
        <v>0</v>
      </c>
      <c r="Z29" s="65" t="n">
        <f aca="false">MAX(Y29,Z28)</f>
        <v>0</v>
      </c>
      <c r="AA29" s="65" t="n">
        <f aca="false">MAX(Z29,AA28)</f>
        <v>3461.62644260571</v>
      </c>
      <c r="AB29" s="65" t="n">
        <f aca="false">MAX(AA29,AB28)</f>
        <v>7453.76757727492</v>
      </c>
      <c r="AC29" s="65" t="n">
        <f aca="false">MAX(AB29,AC28)</f>
        <v>11454.797600833</v>
      </c>
      <c r="AD29" s="65" t="n">
        <f aca="false">MAX(AC29,AD28)</f>
        <v>15464.71651328</v>
      </c>
      <c r="AE29" s="65" t="n">
        <f aca="false">MAX(AD29,AE28)</f>
        <v>19483.5243146159</v>
      </c>
      <c r="AF29" s="65" t="n">
        <f aca="false">MAX(AE29,AF28)</f>
        <v>23511.2210048406</v>
      </c>
      <c r="AG29" s="65" t="n">
        <f aca="false">MAX(AF29,AG28)</f>
        <v>27547.8065839543</v>
      </c>
      <c r="AH29" s="65" t="n">
        <f aca="false">MAX(AG29,AH28)</f>
        <v>31593.2810519568</v>
      </c>
      <c r="AI29" s="65" t="n">
        <f aca="false">MAX(AH29,AI28)</f>
        <v>35647.6444088483</v>
      </c>
      <c r="AJ29" s="65" t="n">
        <f aca="false">MAX(AI29,AJ28)</f>
        <v>39710.8966546286</v>
      </c>
      <c r="AK29" s="65" t="n">
        <f aca="false">MAX(AJ29,AK28)</f>
        <v>43783.0377892978</v>
      </c>
      <c r="AL29" s="65" t="n">
        <f aca="false">MAX(AK29,AL28)</f>
        <v>47864.0678128559</v>
      </c>
    </row>
    <row r="30" customFormat="false" ht="15" hidden="false" customHeight="false" outlineLevel="0" collapsed="false">
      <c r="A30" s="6" t="s">
        <v>80</v>
      </c>
      <c r="C30" s="65" t="n">
        <f aca="false">-C29*Inputs!$E$41</f>
        <v>-0</v>
      </c>
      <c r="D30" s="65" t="n">
        <f aca="false">-(D29-C29)*Inputs!$E$41</f>
        <v>-0</v>
      </c>
      <c r="E30" s="65" t="n">
        <f aca="false">-(E29-D29)*Inputs!$E$41</f>
        <v>-0</v>
      </c>
      <c r="F30" s="65" t="n">
        <f aca="false">-(F29-E29)*Inputs!$E$41</f>
        <v>-0</v>
      </c>
      <c r="G30" s="65" t="n">
        <f aca="false">-(G29-F29)*Inputs!$E$41</f>
        <v>-0</v>
      </c>
      <c r="H30" s="65" t="n">
        <f aca="false">-(H29-G29)*Inputs!$E$41</f>
        <v>-0</v>
      </c>
      <c r="I30" s="65" t="n">
        <f aca="false">-(I29-H29)*Inputs!$E$41</f>
        <v>-0</v>
      </c>
      <c r="J30" s="65" t="n">
        <f aca="false">-(J29-I29)*Inputs!$E$41</f>
        <v>-0</v>
      </c>
      <c r="K30" s="65" t="n">
        <f aca="false">-(K29-J29)*Inputs!$E$41</f>
        <v>-0</v>
      </c>
      <c r="L30" s="65" t="n">
        <f aca="false">-(L29-K29)*Inputs!$E$41</f>
        <v>-0</v>
      </c>
      <c r="M30" s="65" t="n">
        <f aca="false">-(M29-L29)*Inputs!$E$41</f>
        <v>-0</v>
      </c>
      <c r="N30" s="65" t="n">
        <f aca="false">-(N29-M29)*Inputs!$E$41</f>
        <v>-0</v>
      </c>
      <c r="O30" s="65" t="n">
        <f aca="false">-(O29-N29)*Inputs!$E$41</f>
        <v>-0</v>
      </c>
      <c r="P30" s="65" t="n">
        <f aca="false">-(P29-O29)*Inputs!$E$41</f>
        <v>-0</v>
      </c>
      <c r="Q30" s="65" t="n">
        <f aca="false">-(Q29-P29)*Inputs!$E$41</f>
        <v>-0</v>
      </c>
      <c r="R30" s="65" t="n">
        <f aca="false">-(R29-Q29)*Inputs!$E$41</f>
        <v>-0</v>
      </c>
      <c r="S30" s="65" t="n">
        <f aca="false">-(S29-R29)*Inputs!$E$41</f>
        <v>-0</v>
      </c>
      <c r="T30" s="65" t="n">
        <f aca="false">-(T29-S29)*Inputs!$E$41</f>
        <v>-0</v>
      </c>
      <c r="U30" s="65" t="n">
        <f aca="false">-(U29-T29)*Inputs!$E$41</f>
        <v>-0</v>
      </c>
      <c r="V30" s="65" t="n">
        <f aca="false">-(V29-U29)*Inputs!$E$41</f>
        <v>-0</v>
      </c>
      <c r="W30" s="65" t="n">
        <f aca="false">-(W29-V29)*Inputs!$E$41</f>
        <v>-0</v>
      </c>
      <c r="X30" s="65" t="n">
        <f aca="false">-(X29-W29)*Inputs!$E$41</f>
        <v>-0</v>
      </c>
      <c r="Y30" s="65" t="n">
        <f aca="false">-(Y29-X29)*Inputs!$E$41</f>
        <v>-0</v>
      </c>
      <c r="Z30" s="65" t="n">
        <f aca="false">-(Z29-Y29)*Inputs!$E$41</f>
        <v>-0</v>
      </c>
      <c r="AA30" s="65" t="n">
        <f aca="false">-(AA29-Z29)*Inputs!$E$41</f>
        <v>-726.941552947198</v>
      </c>
      <c r="AB30" s="65" t="n">
        <f aca="false">-(AB29-AA29)*Inputs!$E$41</f>
        <v>-838.349638280534</v>
      </c>
      <c r="AC30" s="65" t="n">
        <f aca="false">-(AC29-AB29)*Inputs!$E$41</f>
        <v>-840.216304947201</v>
      </c>
      <c r="AD30" s="65" t="n">
        <f aca="false">-(AD29-AC29)*Inputs!$E$41</f>
        <v>-842.082971613868</v>
      </c>
      <c r="AE30" s="65" t="n">
        <f aca="false">-(AE29-AD29)*Inputs!$E$41</f>
        <v>-843.949638280534</v>
      </c>
      <c r="AF30" s="65" t="n">
        <f aca="false">-(AF29-AE29)*Inputs!$E$41</f>
        <v>-845.816304947201</v>
      </c>
      <c r="AG30" s="65" t="n">
        <f aca="false">-(AG29-AF29)*Inputs!$E$41</f>
        <v>-847.682971613867</v>
      </c>
      <c r="AH30" s="65" t="n">
        <f aca="false">-(AH29-AG29)*Inputs!$E$41</f>
        <v>-849.549638280534</v>
      </c>
      <c r="AI30" s="65" t="n">
        <f aca="false">-(AI29-AH29)*Inputs!$E$41</f>
        <v>-851.416304947201</v>
      </c>
      <c r="AJ30" s="65" t="n">
        <f aca="false">-(AJ29-AI29)*Inputs!$E$41</f>
        <v>-853.282971613867</v>
      </c>
      <c r="AK30" s="65" t="n">
        <f aca="false">-(AK29-AJ29)*Inputs!$E$41</f>
        <v>-855.149638280534</v>
      </c>
      <c r="AL30" s="65" t="n">
        <f aca="false">-(AL29-AK29)*Inputs!$E$41</f>
        <v>-857.016304947201</v>
      </c>
    </row>
    <row r="31" customFormat="false" ht="15" hidden="false" customHeight="false" outlineLevel="0" collapsed="false">
      <c r="A31" s="108" t="s">
        <v>50</v>
      </c>
      <c r="C31" s="66" t="n">
        <f aca="false">C27+C30</f>
        <v>-9407.42857142857</v>
      </c>
      <c r="D31" s="66" t="n">
        <f aca="false">D27+D30</f>
        <v>-7738.98412698413</v>
      </c>
      <c r="E31" s="66" t="n">
        <f aca="false">E27+E30</f>
        <v>-6066.09523809524</v>
      </c>
      <c r="F31" s="66" t="n">
        <f aca="false">F27+F30</f>
        <v>-4393.20634920635</v>
      </c>
      <c r="G31" s="66" t="n">
        <f aca="false">G27+G30</f>
        <v>-2720.31746031747</v>
      </c>
      <c r="H31" s="66" t="n">
        <f aca="false">H27+H30</f>
        <v>-1047.42857142857</v>
      </c>
      <c r="I31" s="66" t="n">
        <f aca="false">I27+I30</f>
        <v>625.460317460315</v>
      </c>
      <c r="J31" s="66" t="n">
        <f aca="false">J27+J30</f>
        <v>634.349206349204</v>
      </c>
      <c r="K31" s="66" t="n">
        <f aca="false">K27+K30</f>
        <v>643.238095238093</v>
      </c>
      <c r="L31" s="66" t="n">
        <f aca="false">L27+L30</f>
        <v>652.126984126981</v>
      </c>
      <c r="M31" s="66" t="n">
        <f aca="false">M27+M30</f>
        <v>661.01587301587</v>
      </c>
      <c r="N31" s="66" t="n">
        <f aca="false">N27+N30</f>
        <v>669.904761904759</v>
      </c>
      <c r="O31" s="66" t="n">
        <f aca="false">O27+O30</f>
        <v>2198.25605079365</v>
      </c>
      <c r="P31" s="66" t="n">
        <f aca="false">P27+P30</f>
        <v>2207.14493968254</v>
      </c>
      <c r="Q31" s="66" t="n">
        <f aca="false">Q27+Q30</f>
        <v>2216.03382857143</v>
      </c>
      <c r="R31" s="66" t="n">
        <f aca="false">R27+R30</f>
        <v>2224.92271746032</v>
      </c>
      <c r="S31" s="66" t="n">
        <f aca="false">S27+S30</f>
        <v>2233.81160634921</v>
      </c>
      <c r="T31" s="66" t="n">
        <f aca="false">T27+T30</f>
        <v>2242.7004952381</v>
      </c>
      <c r="U31" s="66" t="n">
        <f aca="false">U27+U30</f>
        <v>2251.58938412699</v>
      </c>
      <c r="V31" s="66" t="n">
        <f aca="false">V27+V30</f>
        <v>2260.47827301587</v>
      </c>
      <c r="W31" s="66" t="n">
        <f aca="false">W27+W30</f>
        <v>2269.36716190476</v>
      </c>
      <c r="X31" s="66" t="n">
        <f aca="false">X27+X30</f>
        <v>2278.25605079365</v>
      </c>
      <c r="Y31" s="66" t="n">
        <f aca="false">Y27+Y30</f>
        <v>2287.14493968254</v>
      </c>
      <c r="Z31" s="66" t="n">
        <f aca="false">Z27+Z30</f>
        <v>2296.03382857143</v>
      </c>
      <c r="AA31" s="66" t="n">
        <f aca="false">AA27+AA30</f>
        <v>3256.31069283312</v>
      </c>
      <c r="AB31" s="66" t="n">
        <f aca="false">AB27+AB30</f>
        <v>3153.79149638868</v>
      </c>
      <c r="AC31" s="66" t="n">
        <f aca="false">AC27+AC30</f>
        <v>3160.8137186109</v>
      </c>
      <c r="AD31" s="66" t="n">
        <f aca="false">AD27+AD30</f>
        <v>3167.83594083312</v>
      </c>
      <c r="AE31" s="66" t="n">
        <f aca="false">AE27+AE30</f>
        <v>3174.85816305534</v>
      </c>
      <c r="AF31" s="66" t="n">
        <f aca="false">AF27+AF30</f>
        <v>3181.88038527757</v>
      </c>
      <c r="AG31" s="66" t="n">
        <f aca="false">AG27+AG30</f>
        <v>3188.90260749979</v>
      </c>
      <c r="AH31" s="66" t="n">
        <f aca="false">AH27+AH30</f>
        <v>3195.92482972201</v>
      </c>
      <c r="AI31" s="66" t="n">
        <f aca="false">AI27+AI30</f>
        <v>3202.94705194423</v>
      </c>
      <c r="AJ31" s="66" t="n">
        <f aca="false">AJ27+AJ30</f>
        <v>3209.96927416645</v>
      </c>
      <c r="AK31" s="66" t="n">
        <f aca="false">AK27+AK30</f>
        <v>3216.99149638868</v>
      </c>
      <c r="AL31" s="66" t="n">
        <f aca="false">AL27+AL30</f>
        <v>3224.0137186109</v>
      </c>
    </row>
    <row r="33" customFormat="false" ht="15.75" hidden="false" customHeight="true" outlineLevel="0" collapsed="false">
      <c r="A33" s="7" t="s">
        <v>342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82</v>
      </c>
      <c r="C34" s="65" t="n">
        <f aca="false">IF(C$4=1,Inputs!$E$18,0)</f>
        <v>160000</v>
      </c>
      <c r="D34" s="65" t="n">
        <f aca="false">IF(D$4=1,Inputs!$E$18,0)</f>
        <v>0</v>
      </c>
      <c r="E34" s="65" t="n">
        <f aca="false">IF(E$4=1,Inputs!$E$18,0)</f>
        <v>0</v>
      </c>
      <c r="F34" s="65" t="n">
        <f aca="false">IF(F$4=1,Inputs!$E$18,0)</f>
        <v>0</v>
      </c>
      <c r="G34" s="65" t="n">
        <f aca="false">IF(G$4=1,Inputs!$E$18,0)</f>
        <v>0</v>
      </c>
      <c r="H34" s="65" t="n">
        <f aca="false">IF(H$4=1,Inputs!$E$18,0)</f>
        <v>0</v>
      </c>
      <c r="I34" s="65" t="n">
        <f aca="false">IF(I$4=1,Inputs!$E$18,0)</f>
        <v>0</v>
      </c>
      <c r="J34" s="65" t="n">
        <f aca="false">IF(J$4=1,Inputs!$E$18,0)</f>
        <v>0</v>
      </c>
      <c r="K34" s="65" t="n">
        <f aca="false">IF(K$4=1,Inputs!$E$18,0)</f>
        <v>0</v>
      </c>
      <c r="L34" s="65" t="n">
        <f aca="false">IF(L$4=1,Inputs!$E$18,0)</f>
        <v>0</v>
      </c>
      <c r="M34" s="65" t="n">
        <f aca="false">IF(M$4=1,Inputs!$E$18,0)</f>
        <v>0</v>
      </c>
      <c r="N34" s="65" t="n">
        <f aca="false">IF(N$4=1,Inputs!$E$18,0)</f>
        <v>0</v>
      </c>
      <c r="O34" s="65" t="n">
        <f aca="false">IF(O$4=1,Inputs!$E$18,0)</f>
        <v>0</v>
      </c>
      <c r="P34" s="65" t="n">
        <f aca="false">IF(P$4=1,Inputs!$E$18,0)</f>
        <v>0</v>
      </c>
      <c r="Q34" s="65" t="n">
        <f aca="false">IF(Q$4=1,Inputs!$E$18,0)</f>
        <v>0</v>
      </c>
      <c r="R34" s="65" t="n">
        <f aca="false">IF(R$4=1,Inputs!$E$18,0)</f>
        <v>0</v>
      </c>
      <c r="S34" s="65" t="n">
        <f aca="false">IF(S$4=1,Inputs!$E$18,0)</f>
        <v>0</v>
      </c>
      <c r="T34" s="65" t="n">
        <f aca="false">IF(T$4=1,Inputs!$E$18,0)</f>
        <v>0</v>
      </c>
      <c r="U34" s="65" t="n">
        <f aca="false">IF(U$4=1,Inputs!$E$18,0)</f>
        <v>0</v>
      </c>
      <c r="V34" s="65" t="n">
        <f aca="false">IF(V$4=1,Inputs!$E$18,0)</f>
        <v>0</v>
      </c>
      <c r="W34" s="65" t="n">
        <f aca="false">IF(W$4=1,Inputs!$E$18,0)</f>
        <v>0</v>
      </c>
      <c r="X34" s="65" t="n">
        <f aca="false">IF(X$4=1,Inputs!$E$18,0)</f>
        <v>0</v>
      </c>
      <c r="Y34" s="65" t="n">
        <f aca="false">IF(Y$4=1,Inputs!$E$18,0)</f>
        <v>0</v>
      </c>
      <c r="Z34" s="65" t="n">
        <f aca="false">IF(Z$4=1,Inputs!$E$18,0)</f>
        <v>0</v>
      </c>
      <c r="AA34" s="65" t="n">
        <f aca="false">IF(AA$4=1,Inputs!$E$18,0)</f>
        <v>0</v>
      </c>
      <c r="AB34" s="65" t="n">
        <f aca="false">IF(AB$4=1,Inputs!$E$18,0)</f>
        <v>0</v>
      </c>
      <c r="AC34" s="65" t="n">
        <f aca="false">IF(AC$4=1,Inputs!$E$18,0)</f>
        <v>0</v>
      </c>
      <c r="AD34" s="65" t="n">
        <f aca="false">IF(AD$4=1,Inputs!$E$18,0)</f>
        <v>0</v>
      </c>
      <c r="AE34" s="65" t="n">
        <f aca="false">IF(AE$4=1,Inputs!$E$18,0)</f>
        <v>0</v>
      </c>
      <c r="AF34" s="65" t="n">
        <f aca="false">IF(AF$4=1,Inputs!$E$18,0)</f>
        <v>0</v>
      </c>
      <c r="AG34" s="65" t="n">
        <f aca="false">IF(AG$4=1,Inputs!$E$18,0)</f>
        <v>0</v>
      </c>
      <c r="AH34" s="65" t="n">
        <f aca="false">IF(AH$4=1,Inputs!$E$18,0)</f>
        <v>0</v>
      </c>
      <c r="AI34" s="65" t="n">
        <f aca="false">IF(AI$4=1,Inputs!$E$18,0)</f>
        <v>0</v>
      </c>
      <c r="AJ34" s="65" t="n">
        <f aca="false">IF(AJ$4=1,Inputs!$E$18,0)</f>
        <v>0</v>
      </c>
      <c r="AK34" s="65" t="n">
        <f aca="false">IF(AK$4=1,Inputs!$E$18,0)</f>
        <v>0</v>
      </c>
      <c r="AL34" s="65" t="n">
        <f aca="false">IF(AL$4=1,Inputs!$E$18,0)</f>
        <v>0</v>
      </c>
    </row>
    <row r="35" customFormat="false" ht="15" hidden="false" customHeight="false" outlineLevel="0" collapsed="false">
      <c r="A35" s="6" t="s">
        <v>343</v>
      </c>
      <c r="C35" s="65" t="n">
        <f aca="false">C34</f>
        <v>160000</v>
      </c>
      <c r="D35" s="65" t="n">
        <f aca="false">C35+D34</f>
        <v>160000</v>
      </c>
      <c r="E35" s="65" t="n">
        <f aca="false">D35+E34</f>
        <v>160000</v>
      </c>
      <c r="F35" s="65" t="n">
        <f aca="false">E35+F34</f>
        <v>160000</v>
      </c>
      <c r="G35" s="65" t="n">
        <f aca="false">F35+G34</f>
        <v>160000</v>
      </c>
      <c r="H35" s="65" t="n">
        <f aca="false">G35+H34</f>
        <v>160000</v>
      </c>
      <c r="I35" s="65" t="n">
        <f aca="false">H35+I34</f>
        <v>160000</v>
      </c>
      <c r="J35" s="65" t="n">
        <f aca="false">I35+J34</f>
        <v>160000</v>
      </c>
      <c r="K35" s="65" t="n">
        <f aca="false">J35+K34</f>
        <v>160000</v>
      </c>
      <c r="L35" s="65" t="n">
        <f aca="false">K35+L34</f>
        <v>160000</v>
      </c>
      <c r="M35" s="65" t="n">
        <f aca="false">L35+M34</f>
        <v>160000</v>
      </c>
      <c r="N35" s="65" t="n">
        <f aca="false">M35+N34</f>
        <v>160000</v>
      </c>
      <c r="O35" s="65" t="n">
        <f aca="false">N35+O34</f>
        <v>160000</v>
      </c>
      <c r="P35" s="65" t="n">
        <f aca="false">O35+P34</f>
        <v>160000</v>
      </c>
      <c r="Q35" s="65" t="n">
        <f aca="false">P35+Q34</f>
        <v>160000</v>
      </c>
      <c r="R35" s="65" t="n">
        <f aca="false">Q35+R34</f>
        <v>160000</v>
      </c>
      <c r="S35" s="65" t="n">
        <f aca="false">R35+S34</f>
        <v>160000</v>
      </c>
      <c r="T35" s="65" t="n">
        <f aca="false">S35+T34</f>
        <v>160000</v>
      </c>
      <c r="U35" s="65" t="n">
        <f aca="false">T35+U34</f>
        <v>160000</v>
      </c>
      <c r="V35" s="65" t="n">
        <f aca="false">U35+V34</f>
        <v>160000</v>
      </c>
      <c r="W35" s="65" t="n">
        <f aca="false">V35+W34</f>
        <v>160000</v>
      </c>
      <c r="X35" s="65" t="n">
        <f aca="false">W35+X34</f>
        <v>160000</v>
      </c>
      <c r="Y35" s="65" t="n">
        <f aca="false">X35+Y34</f>
        <v>160000</v>
      </c>
      <c r="Z35" s="65" t="n">
        <f aca="false">Y35+Z34</f>
        <v>160000</v>
      </c>
      <c r="AA35" s="65" t="n">
        <f aca="false">Z35+AA34</f>
        <v>160000</v>
      </c>
      <c r="AB35" s="65" t="n">
        <f aca="false">AA35+AB34</f>
        <v>160000</v>
      </c>
      <c r="AC35" s="65" t="n">
        <f aca="false">AB35+AC34</f>
        <v>160000</v>
      </c>
      <c r="AD35" s="65" t="n">
        <f aca="false">AC35+AD34</f>
        <v>160000</v>
      </c>
      <c r="AE35" s="65" t="n">
        <f aca="false">AD35+AE34</f>
        <v>160000</v>
      </c>
      <c r="AF35" s="65" t="n">
        <f aca="false">AE35+AF34</f>
        <v>160000</v>
      </c>
      <c r="AG35" s="65" t="n">
        <f aca="false">AF35+AG34</f>
        <v>160000</v>
      </c>
      <c r="AH35" s="65" t="n">
        <f aca="false">AG35+AH34</f>
        <v>160000</v>
      </c>
      <c r="AI35" s="65" t="n">
        <f aca="false">AH35+AI34</f>
        <v>160000</v>
      </c>
      <c r="AJ35" s="65" t="n">
        <f aca="false">AI35+AJ34</f>
        <v>160000</v>
      </c>
      <c r="AK35" s="65" t="n">
        <f aca="false">AJ35+AK34</f>
        <v>160000</v>
      </c>
      <c r="AL35" s="65" t="n">
        <f aca="false">AK35+AL34</f>
        <v>160000</v>
      </c>
    </row>
    <row r="36" customFormat="false" ht="15" hidden="false" customHeight="false" outlineLevel="0" collapsed="false">
      <c r="A36" s="6" t="s">
        <v>76</v>
      </c>
      <c r="C36" s="65" t="n">
        <f aca="false">-MIN(C35/MAX(1,Inputs!$E$40*12),C34)</f>
        <v>-1904.7619047619</v>
      </c>
      <c r="D36" s="65" t="n">
        <f aca="false">-MIN(D35/MAX(1,Inputs!$E$40*12),C38+D34)</f>
        <v>-1904.7619047619</v>
      </c>
      <c r="E36" s="65" t="n">
        <f aca="false">-MIN(E35/MAX(1,Inputs!$E$40*12),D38+E34)</f>
        <v>-1904.7619047619</v>
      </c>
      <c r="F36" s="65" t="n">
        <f aca="false">-MIN(F35/MAX(1,Inputs!$E$40*12),E38+F34)</f>
        <v>-1904.7619047619</v>
      </c>
      <c r="G36" s="65" t="n">
        <f aca="false">-MIN(G35/MAX(1,Inputs!$E$40*12),F38+G34)</f>
        <v>-1904.7619047619</v>
      </c>
      <c r="H36" s="65" t="n">
        <f aca="false">-MIN(H35/MAX(1,Inputs!$E$40*12),G38+H34)</f>
        <v>-1904.7619047619</v>
      </c>
      <c r="I36" s="65" t="n">
        <f aca="false">-MIN(I35/MAX(1,Inputs!$E$40*12),H38+I34)</f>
        <v>-1904.7619047619</v>
      </c>
      <c r="J36" s="65" t="n">
        <f aca="false">-MIN(J35/MAX(1,Inputs!$E$40*12),I38+J34)</f>
        <v>-1904.7619047619</v>
      </c>
      <c r="K36" s="65" t="n">
        <f aca="false">-MIN(K35/MAX(1,Inputs!$E$40*12),J38+K34)</f>
        <v>-1904.7619047619</v>
      </c>
      <c r="L36" s="65" t="n">
        <f aca="false">-MIN(L35/MAX(1,Inputs!$E$40*12),K38+L34)</f>
        <v>-1904.7619047619</v>
      </c>
      <c r="M36" s="65" t="n">
        <f aca="false">-MIN(M35/MAX(1,Inputs!$E$40*12),L38+M34)</f>
        <v>-1904.7619047619</v>
      </c>
      <c r="N36" s="65" t="n">
        <f aca="false">-MIN(N35/MAX(1,Inputs!$E$40*12),M38+N34)</f>
        <v>-1904.7619047619</v>
      </c>
      <c r="O36" s="65" t="n">
        <f aca="false">-MIN(O35/MAX(1,Inputs!$E$40*12),N38+O34)</f>
        <v>-1904.7619047619</v>
      </c>
      <c r="P36" s="65" t="n">
        <f aca="false">-MIN(P35/MAX(1,Inputs!$E$40*12),O38+P34)</f>
        <v>-1904.7619047619</v>
      </c>
      <c r="Q36" s="65" t="n">
        <f aca="false">-MIN(Q35/MAX(1,Inputs!$E$40*12),P38+Q34)</f>
        <v>-1904.7619047619</v>
      </c>
      <c r="R36" s="65" t="n">
        <f aca="false">-MIN(R35/MAX(1,Inputs!$E$40*12),Q38+R34)</f>
        <v>-1904.7619047619</v>
      </c>
      <c r="S36" s="65" t="n">
        <f aca="false">-MIN(S35/MAX(1,Inputs!$E$40*12),R38+S34)</f>
        <v>-1904.7619047619</v>
      </c>
      <c r="T36" s="65" t="n">
        <f aca="false">-MIN(T35/MAX(1,Inputs!$E$40*12),S38+T34)</f>
        <v>-1904.7619047619</v>
      </c>
      <c r="U36" s="65" t="n">
        <f aca="false">-MIN(U35/MAX(1,Inputs!$E$40*12),T38+U34)</f>
        <v>-1904.7619047619</v>
      </c>
      <c r="V36" s="65" t="n">
        <f aca="false">-MIN(V35/MAX(1,Inputs!$E$40*12),U38+V34)</f>
        <v>-1904.7619047619</v>
      </c>
      <c r="W36" s="65" t="n">
        <f aca="false">-MIN(W35/MAX(1,Inputs!$E$40*12),V38+W34)</f>
        <v>-1904.7619047619</v>
      </c>
      <c r="X36" s="65" t="n">
        <f aca="false">-MIN(X35/MAX(1,Inputs!$E$40*12),W38+X34)</f>
        <v>-1904.7619047619</v>
      </c>
      <c r="Y36" s="65" t="n">
        <f aca="false">-MIN(Y35/MAX(1,Inputs!$E$40*12),X38+Y34)</f>
        <v>-1904.7619047619</v>
      </c>
      <c r="Z36" s="65" t="n">
        <f aca="false">-MIN(Z35/MAX(1,Inputs!$E$40*12),Y38+Z34)</f>
        <v>-1904.7619047619</v>
      </c>
      <c r="AA36" s="65" t="n">
        <f aca="false">-MIN(AA35/MAX(1,Inputs!$E$40*12),Z38+AA34)</f>
        <v>-1904.7619047619</v>
      </c>
      <c r="AB36" s="65" t="n">
        <f aca="false">-MIN(AB35/MAX(1,Inputs!$E$40*12),AA38+AB34)</f>
        <v>-1904.7619047619</v>
      </c>
      <c r="AC36" s="65" t="n">
        <f aca="false">-MIN(AC35/MAX(1,Inputs!$E$40*12),AB38+AC34)</f>
        <v>-1904.7619047619</v>
      </c>
      <c r="AD36" s="65" t="n">
        <f aca="false">-MIN(AD35/MAX(1,Inputs!$E$40*12),AC38+AD34)</f>
        <v>-1904.7619047619</v>
      </c>
      <c r="AE36" s="65" t="n">
        <f aca="false">-MIN(AE35/MAX(1,Inputs!$E$40*12),AD38+AE34)</f>
        <v>-1904.7619047619</v>
      </c>
      <c r="AF36" s="65" t="n">
        <f aca="false">-MIN(AF35/MAX(1,Inputs!$E$40*12),AE38+AF34)</f>
        <v>-1904.7619047619</v>
      </c>
      <c r="AG36" s="65" t="n">
        <f aca="false">-MIN(AG35/MAX(1,Inputs!$E$40*12),AF38+AG34)</f>
        <v>-1904.7619047619</v>
      </c>
      <c r="AH36" s="65" t="n">
        <f aca="false">-MIN(AH35/MAX(1,Inputs!$E$40*12),AG38+AH34)</f>
        <v>-1904.7619047619</v>
      </c>
      <c r="AI36" s="65" t="n">
        <f aca="false">-MIN(AI35/MAX(1,Inputs!$E$40*12),AH38+AI34)</f>
        <v>-1904.7619047619</v>
      </c>
      <c r="AJ36" s="65" t="n">
        <f aca="false">-MIN(AJ35/MAX(1,Inputs!$E$40*12),AI38+AJ34)</f>
        <v>-1904.7619047619</v>
      </c>
      <c r="AK36" s="65" t="n">
        <f aca="false">-MIN(AK35/MAX(1,Inputs!$E$40*12),AJ38+AK34)</f>
        <v>-1904.7619047619</v>
      </c>
      <c r="AL36" s="65" t="n">
        <f aca="false">-MIN(AL35/MAX(1,Inputs!$E$40*12),AK38+AL34)</f>
        <v>-1904.7619047619</v>
      </c>
    </row>
    <row r="37" customFormat="false" ht="15" hidden="false" customHeight="false" outlineLevel="0" collapsed="false">
      <c r="A37" s="6" t="s">
        <v>344</v>
      </c>
      <c r="C37" s="65" t="n">
        <f aca="false">C36</f>
        <v>-1904.7619047619</v>
      </c>
      <c r="D37" s="65" t="n">
        <f aca="false">C37+D36</f>
        <v>-3809.52380952381</v>
      </c>
      <c r="E37" s="65" t="n">
        <f aca="false">D37+E36</f>
        <v>-5714.28571428572</v>
      </c>
      <c r="F37" s="65" t="n">
        <f aca="false">E37+F36</f>
        <v>-7619.04761904762</v>
      </c>
      <c r="G37" s="65" t="n">
        <f aca="false">F37+G36</f>
        <v>-9523.80952380953</v>
      </c>
      <c r="H37" s="65" t="n">
        <f aca="false">G37+H36</f>
        <v>-11428.5714285714</v>
      </c>
      <c r="I37" s="65" t="n">
        <f aca="false">H37+I36</f>
        <v>-13333.3333333333</v>
      </c>
      <c r="J37" s="65" t="n">
        <f aca="false">I37+J36</f>
        <v>-15238.0952380952</v>
      </c>
      <c r="K37" s="65" t="n">
        <f aca="false">J37+K36</f>
        <v>-17142.8571428571</v>
      </c>
      <c r="L37" s="65" t="n">
        <f aca="false">K37+L36</f>
        <v>-19047.6190476191</v>
      </c>
      <c r="M37" s="65" t="n">
        <f aca="false">L37+M36</f>
        <v>-20952.380952381</v>
      </c>
      <c r="N37" s="65" t="n">
        <f aca="false">M37+N36</f>
        <v>-22857.1428571429</v>
      </c>
      <c r="O37" s="65" t="n">
        <f aca="false">N37+O36</f>
        <v>-24761.9047619048</v>
      </c>
      <c r="P37" s="65" t="n">
        <f aca="false">O37+P36</f>
        <v>-26666.6666666667</v>
      </c>
      <c r="Q37" s="65" t="n">
        <f aca="false">P37+Q36</f>
        <v>-28571.4285714286</v>
      </c>
      <c r="R37" s="65" t="n">
        <f aca="false">Q37+R36</f>
        <v>-30476.1904761905</v>
      </c>
      <c r="S37" s="65" t="n">
        <f aca="false">R37+S36</f>
        <v>-32380.9523809524</v>
      </c>
      <c r="T37" s="65" t="n">
        <f aca="false">S37+T36</f>
        <v>-34285.7142857143</v>
      </c>
      <c r="U37" s="65" t="n">
        <f aca="false">T37+U36</f>
        <v>-36190.4761904762</v>
      </c>
      <c r="V37" s="65" t="n">
        <f aca="false">U37+V36</f>
        <v>-38095.2380952381</v>
      </c>
      <c r="W37" s="65" t="n">
        <f aca="false">V37+W36</f>
        <v>-40000</v>
      </c>
      <c r="X37" s="65" t="n">
        <f aca="false">W37+X36</f>
        <v>-41904.7619047619</v>
      </c>
      <c r="Y37" s="65" t="n">
        <f aca="false">X37+Y36</f>
        <v>-43809.5238095238</v>
      </c>
      <c r="Z37" s="65" t="n">
        <f aca="false">Y37+Z36</f>
        <v>-45714.2857142857</v>
      </c>
      <c r="AA37" s="65" t="n">
        <f aca="false">Z37+AA36</f>
        <v>-47619.0476190477</v>
      </c>
      <c r="AB37" s="65" t="n">
        <f aca="false">AA37+AB36</f>
        <v>-49523.8095238096</v>
      </c>
      <c r="AC37" s="65" t="n">
        <f aca="false">AB37+AC36</f>
        <v>-51428.5714285715</v>
      </c>
      <c r="AD37" s="65" t="n">
        <f aca="false">AC37+AD36</f>
        <v>-53333.3333333334</v>
      </c>
      <c r="AE37" s="65" t="n">
        <f aca="false">AD37+AE36</f>
        <v>-55238.0952380953</v>
      </c>
      <c r="AF37" s="65" t="n">
        <f aca="false">AE37+AF36</f>
        <v>-57142.8571428572</v>
      </c>
      <c r="AG37" s="65" t="n">
        <f aca="false">AF37+AG36</f>
        <v>-59047.6190476191</v>
      </c>
      <c r="AH37" s="65" t="n">
        <f aca="false">AG37+AH36</f>
        <v>-60952.380952381</v>
      </c>
      <c r="AI37" s="65" t="n">
        <f aca="false">AH37+AI36</f>
        <v>-62857.1428571429</v>
      </c>
      <c r="AJ37" s="65" t="n">
        <f aca="false">AI37+AJ36</f>
        <v>-64761.9047619048</v>
      </c>
      <c r="AK37" s="65" t="n">
        <f aca="false">AJ37+AK36</f>
        <v>-66666.6666666667</v>
      </c>
      <c r="AL37" s="65" t="n">
        <f aca="false">AK37+AL36</f>
        <v>-68571.4285714286</v>
      </c>
    </row>
    <row r="38" customFormat="false" ht="15" hidden="false" customHeight="false" outlineLevel="0" collapsed="false">
      <c r="A38" s="4" t="s">
        <v>90</v>
      </c>
      <c r="C38" s="71" t="n">
        <f aca="false">C35+C37</f>
        <v>158095.238095238</v>
      </c>
      <c r="D38" s="71" t="n">
        <f aca="false">D35+D37</f>
        <v>156190.476190476</v>
      </c>
      <c r="E38" s="71" t="n">
        <f aca="false">E35+E37</f>
        <v>154285.714285714</v>
      </c>
      <c r="F38" s="71" t="n">
        <f aca="false">F35+F37</f>
        <v>152380.952380952</v>
      </c>
      <c r="G38" s="71" t="n">
        <f aca="false">G35+G37</f>
        <v>150476.19047619</v>
      </c>
      <c r="H38" s="71" t="n">
        <f aca="false">H35+H37</f>
        <v>148571.428571429</v>
      </c>
      <c r="I38" s="71" t="n">
        <f aca="false">I35+I37</f>
        <v>146666.666666667</v>
      </c>
      <c r="J38" s="71" t="n">
        <f aca="false">J35+J37</f>
        <v>144761.904761905</v>
      </c>
      <c r="K38" s="71" t="n">
        <f aca="false">K35+K37</f>
        <v>142857.142857143</v>
      </c>
      <c r="L38" s="71" t="n">
        <f aca="false">L35+L37</f>
        <v>140952.380952381</v>
      </c>
      <c r="M38" s="71" t="n">
        <f aca="false">M35+M37</f>
        <v>139047.619047619</v>
      </c>
      <c r="N38" s="71" t="n">
        <f aca="false">N35+N37</f>
        <v>137142.857142857</v>
      </c>
      <c r="O38" s="71" t="n">
        <f aca="false">O35+O37</f>
        <v>135238.095238095</v>
      </c>
      <c r="P38" s="71" t="n">
        <f aca="false">P35+P37</f>
        <v>133333.333333333</v>
      </c>
      <c r="Q38" s="71" t="n">
        <f aca="false">Q35+Q37</f>
        <v>131428.571428571</v>
      </c>
      <c r="R38" s="71" t="n">
        <f aca="false">R35+R37</f>
        <v>129523.80952381</v>
      </c>
      <c r="S38" s="71" t="n">
        <f aca="false">S35+S37</f>
        <v>127619.047619048</v>
      </c>
      <c r="T38" s="71" t="n">
        <f aca="false">T35+T37</f>
        <v>125714.285714286</v>
      </c>
      <c r="U38" s="71" t="n">
        <f aca="false">U35+U37</f>
        <v>123809.523809524</v>
      </c>
      <c r="V38" s="71" t="n">
        <f aca="false">V35+V37</f>
        <v>121904.761904762</v>
      </c>
      <c r="W38" s="71" t="n">
        <f aca="false">W35+W37</f>
        <v>120000</v>
      </c>
      <c r="X38" s="71" t="n">
        <f aca="false">X35+X37</f>
        <v>118095.238095238</v>
      </c>
      <c r="Y38" s="71" t="n">
        <f aca="false">Y35+Y37</f>
        <v>116190.476190476</v>
      </c>
      <c r="Z38" s="71" t="n">
        <f aca="false">Z35+Z37</f>
        <v>114285.714285714</v>
      </c>
      <c r="AA38" s="71" t="n">
        <f aca="false">AA35+AA37</f>
        <v>112380.952380952</v>
      </c>
      <c r="AB38" s="71" t="n">
        <f aca="false">AB35+AB37</f>
        <v>110476.19047619</v>
      </c>
      <c r="AC38" s="71" t="n">
        <f aca="false">AC35+AC37</f>
        <v>108571.428571429</v>
      </c>
      <c r="AD38" s="71" t="n">
        <f aca="false">AD35+AD37</f>
        <v>106666.666666667</v>
      </c>
      <c r="AE38" s="71" t="n">
        <f aca="false">AE35+AE37</f>
        <v>104761.904761905</v>
      </c>
      <c r="AF38" s="71" t="n">
        <f aca="false">AF35+AF37</f>
        <v>102857.142857143</v>
      </c>
      <c r="AG38" s="71" t="n">
        <f aca="false">AG35+AG37</f>
        <v>100952.380952381</v>
      </c>
      <c r="AH38" s="71" t="n">
        <f aca="false">AH35+AH37</f>
        <v>99047.619047619</v>
      </c>
      <c r="AI38" s="71" t="n">
        <f aca="false">AI35+AI37</f>
        <v>97142.8571428571</v>
      </c>
      <c r="AJ38" s="71" t="n">
        <f aca="false">AJ35+AJ37</f>
        <v>95238.0952380952</v>
      </c>
      <c r="AK38" s="71" t="n">
        <f aca="false">AK35+AK37</f>
        <v>93333.3333333333</v>
      </c>
      <c r="AL38" s="71" t="n">
        <f aca="false">AL35+AL37</f>
        <v>91428.5714285714</v>
      </c>
    </row>
    <row r="40" customFormat="false" ht="15.75" hidden="false" customHeight="true" outlineLevel="0" collapsed="false">
      <c r="A40" s="7" t="s">
        <v>345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346</v>
      </c>
      <c r="C41" s="65" t="n">
        <f aca="false">0</f>
        <v>0</v>
      </c>
      <c r="D41" s="65" t="n">
        <f aca="false">C44</f>
        <v>80000</v>
      </c>
      <c r="E41" s="65" t="n">
        <f aca="false">D44</f>
        <v>78666.6666666667</v>
      </c>
      <c r="F41" s="65" t="n">
        <f aca="false">E44</f>
        <v>77333.3333333333</v>
      </c>
      <c r="G41" s="65" t="n">
        <f aca="false">F44</f>
        <v>76000</v>
      </c>
      <c r="H41" s="65" t="n">
        <f aca="false">G44</f>
        <v>74666.6666666667</v>
      </c>
      <c r="I41" s="65" t="n">
        <f aca="false">H44</f>
        <v>73333.3333333334</v>
      </c>
      <c r="J41" s="65" t="n">
        <f aca="false">I44</f>
        <v>72000</v>
      </c>
      <c r="K41" s="65" t="n">
        <f aca="false">J44</f>
        <v>70666.6666666667</v>
      </c>
      <c r="L41" s="65" t="n">
        <f aca="false">K44</f>
        <v>69333.3333333334</v>
      </c>
      <c r="M41" s="65" t="n">
        <f aca="false">L44</f>
        <v>68000</v>
      </c>
      <c r="N41" s="65" t="n">
        <f aca="false">M44</f>
        <v>66666.6666666667</v>
      </c>
      <c r="O41" s="65" t="n">
        <f aca="false">N44</f>
        <v>65333.3333333334</v>
      </c>
      <c r="P41" s="65" t="n">
        <f aca="false">O44</f>
        <v>64000</v>
      </c>
      <c r="Q41" s="65" t="n">
        <f aca="false">P44</f>
        <v>62666.6666666667</v>
      </c>
      <c r="R41" s="65" t="n">
        <f aca="false">Q44</f>
        <v>61333.3333333334</v>
      </c>
      <c r="S41" s="65" t="n">
        <f aca="false">R44</f>
        <v>60000</v>
      </c>
      <c r="T41" s="65" t="n">
        <f aca="false">S44</f>
        <v>58666.6666666667</v>
      </c>
      <c r="U41" s="65" t="n">
        <f aca="false">T44</f>
        <v>57333.3333333334</v>
      </c>
      <c r="V41" s="65" t="n">
        <f aca="false">U44</f>
        <v>56000</v>
      </c>
      <c r="W41" s="65" t="n">
        <f aca="false">V44</f>
        <v>54666.6666666667</v>
      </c>
      <c r="X41" s="65" t="n">
        <f aca="false">W44</f>
        <v>53333.3333333334</v>
      </c>
      <c r="Y41" s="65" t="n">
        <f aca="false">X44</f>
        <v>52000</v>
      </c>
      <c r="Z41" s="65" t="n">
        <f aca="false">Y44</f>
        <v>50666.6666666667</v>
      </c>
      <c r="AA41" s="65" t="n">
        <f aca="false">Z44</f>
        <v>49333.3333333334</v>
      </c>
      <c r="AB41" s="65" t="n">
        <f aca="false">AA44</f>
        <v>48000</v>
      </c>
      <c r="AC41" s="65" t="n">
        <f aca="false">AB44</f>
        <v>46666.6666666667</v>
      </c>
      <c r="AD41" s="65" t="n">
        <f aca="false">AC44</f>
        <v>45333.3333333333</v>
      </c>
      <c r="AE41" s="65" t="n">
        <f aca="false">AD44</f>
        <v>44000</v>
      </c>
      <c r="AF41" s="65" t="n">
        <f aca="false">AE44</f>
        <v>42666.6666666667</v>
      </c>
      <c r="AG41" s="65" t="n">
        <f aca="false">AF44</f>
        <v>41333.3333333333</v>
      </c>
      <c r="AH41" s="65" t="n">
        <f aca="false">AG44</f>
        <v>40000</v>
      </c>
      <c r="AI41" s="65" t="n">
        <f aca="false">AH44</f>
        <v>38666.6666666667</v>
      </c>
      <c r="AJ41" s="65" t="n">
        <f aca="false">AI44</f>
        <v>37333.3333333333</v>
      </c>
      <c r="AK41" s="65" t="n">
        <f aca="false">AJ44</f>
        <v>36000</v>
      </c>
      <c r="AL41" s="65" t="n">
        <f aca="false">AK44</f>
        <v>34666.6666666667</v>
      </c>
    </row>
    <row r="42" customFormat="false" ht="15" hidden="false" customHeight="false" outlineLevel="0" collapsed="false">
      <c r="A42" s="6" t="s">
        <v>83</v>
      </c>
      <c r="C42" s="65" t="n">
        <f aca="false">IF(C$4=1,Inputs!$E$30,0)</f>
        <v>80000</v>
      </c>
      <c r="D42" s="65" t="n">
        <f aca="false">IF(D$4=1,Inputs!$E$30,0)</f>
        <v>0</v>
      </c>
      <c r="E42" s="65" t="n">
        <f aca="false">IF(E$4=1,Inputs!$E$30,0)</f>
        <v>0</v>
      </c>
      <c r="F42" s="65" t="n">
        <f aca="false">IF(F$4=1,Inputs!$E$30,0)</f>
        <v>0</v>
      </c>
      <c r="G42" s="65" t="n">
        <f aca="false">IF(G$4=1,Inputs!$E$30,0)</f>
        <v>0</v>
      </c>
      <c r="H42" s="65" t="n">
        <f aca="false">IF(H$4=1,Inputs!$E$30,0)</f>
        <v>0</v>
      </c>
      <c r="I42" s="65" t="n">
        <f aca="false">IF(I$4=1,Inputs!$E$30,0)</f>
        <v>0</v>
      </c>
      <c r="J42" s="65" t="n">
        <f aca="false">IF(J$4=1,Inputs!$E$30,0)</f>
        <v>0</v>
      </c>
      <c r="K42" s="65" t="n">
        <f aca="false">IF(K$4=1,Inputs!$E$30,0)</f>
        <v>0</v>
      </c>
      <c r="L42" s="65" t="n">
        <f aca="false">IF(L$4=1,Inputs!$E$30,0)</f>
        <v>0</v>
      </c>
      <c r="M42" s="65" t="n">
        <f aca="false">IF(M$4=1,Inputs!$E$30,0)</f>
        <v>0</v>
      </c>
      <c r="N42" s="65" t="n">
        <f aca="false">IF(N$4=1,Inputs!$E$30,0)</f>
        <v>0</v>
      </c>
      <c r="O42" s="65" t="n">
        <f aca="false">IF(O$4=1,Inputs!$E$30,0)</f>
        <v>0</v>
      </c>
      <c r="P42" s="65" t="n">
        <f aca="false">IF(P$4=1,Inputs!$E$30,0)</f>
        <v>0</v>
      </c>
      <c r="Q42" s="65" t="n">
        <f aca="false">IF(Q$4=1,Inputs!$E$30,0)</f>
        <v>0</v>
      </c>
      <c r="R42" s="65" t="n">
        <f aca="false">IF(R$4=1,Inputs!$E$30,0)</f>
        <v>0</v>
      </c>
      <c r="S42" s="65" t="n">
        <f aca="false">IF(S$4=1,Inputs!$E$30,0)</f>
        <v>0</v>
      </c>
      <c r="T42" s="65" t="n">
        <f aca="false">IF(T$4=1,Inputs!$E$30,0)</f>
        <v>0</v>
      </c>
      <c r="U42" s="65" t="n">
        <f aca="false">IF(U$4=1,Inputs!$E$30,0)</f>
        <v>0</v>
      </c>
      <c r="V42" s="65" t="n">
        <f aca="false">IF(V$4=1,Inputs!$E$30,0)</f>
        <v>0</v>
      </c>
      <c r="W42" s="65" t="n">
        <f aca="false">IF(W$4=1,Inputs!$E$30,0)</f>
        <v>0</v>
      </c>
      <c r="X42" s="65" t="n">
        <f aca="false">IF(X$4=1,Inputs!$E$30,0)</f>
        <v>0</v>
      </c>
      <c r="Y42" s="65" t="n">
        <f aca="false">IF(Y$4=1,Inputs!$E$30,0)</f>
        <v>0</v>
      </c>
      <c r="Z42" s="65" t="n">
        <f aca="false">IF(Z$4=1,Inputs!$E$30,0)</f>
        <v>0</v>
      </c>
      <c r="AA42" s="65" t="n">
        <f aca="false">IF(AA$4=1,Inputs!$E$30,0)</f>
        <v>0</v>
      </c>
      <c r="AB42" s="65" t="n">
        <f aca="false">IF(AB$4=1,Inputs!$E$30,0)</f>
        <v>0</v>
      </c>
      <c r="AC42" s="65" t="n">
        <f aca="false">IF(AC$4=1,Inputs!$E$30,0)</f>
        <v>0</v>
      </c>
      <c r="AD42" s="65" t="n">
        <f aca="false">IF(AD$4=1,Inputs!$E$30,0)</f>
        <v>0</v>
      </c>
      <c r="AE42" s="65" t="n">
        <f aca="false">IF(AE$4=1,Inputs!$E$30,0)</f>
        <v>0</v>
      </c>
      <c r="AF42" s="65" t="n">
        <f aca="false">IF(AF$4=1,Inputs!$E$30,0)</f>
        <v>0</v>
      </c>
      <c r="AG42" s="65" t="n">
        <f aca="false">IF(AG$4=1,Inputs!$E$30,0)</f>
        <v>0</v>
      </c>
      <c r="AH42" s="65" t="n">
        <f aca="false">IF(AH$4=1,Inputs!$E$30,0)</f>
        <v>0</v>
      </c>
      <c r="AI42" s="65" t="n">
        <f aca="false">IF(AI$4=1,Inputs!$E$30,0)</f>
        <v>0</v>
      </c>
      <c r="AJ42" s="65" t="n">
        <f aca="false">IF(AJ$4=1,Inputs!$E$30,0)</f>
        <v>0</v>
      </c>
      <c r="AK42" s="65" t="n">
        <f aca="false">IF(AK$4=1,Inputs!$E$30,0)</f>
        <v>0</v>
      </c>
      <c r="AL42" s="65" t="n">
        <f aca="false">IF(AL$4=1,Inputs!$E$30,0)</f>
        <v>0</v>
      </c>
    </row>
    <row r="43" customFormat="false" ht="15" hidden="false" customHeight="false" outlineLevel="0" collapsed="false">
      <c r="A43" s="6" t="s">
        <v>84</v>
      </c>
      <c r="C43" s="65" t="n">
        <f aca="false">-MIN(C41,Inputs!$E$30/MAX(1,Inputs!$E$32*12))</f>
        <v>-0</v>
      </c>
      <c r="D43" s="65" t="n">
        <f aca="false">-MIN(D41,Inputs!$E$30/MAX(1,Inputs!$E$32*12))</f>
        <v>-1333.33333333333</v>
      </c>
      <c r="E43" s="65" t="n">
        <f aca="false">-MIN(E41,Inputs!$E$30/MAX(1,Inputs!$E$32*12))</f>
        <v>-1333.33333333333</v>
      </c>
      <c r="F43" s="65" t="n">
        <f aca="false">-MIN(F41,Inputs!$E$30/MAX(1,Inputs!$E$32*12))</f>
        <v>-1333.33333333333</v>
      </c>
      <c r="G43" s="65" t="n">
        <f aca="false">-MIN(G41,Inputs!$E$30/MAX(1,Inputs!$E$32*12))</f>
        <v>-1333.33333333333</v>
      </c>
      <c r="H43" s="65" t="n">
        <f aca="false">-MIN(H41,Inputs!$E$30/MAX(1,Inputs!$E$32*12))</f>
        <v>-1333.33333333333</v>
      </c>
      <c r="I43" s="65" t="n">
        <f aca="false">-MIN(I41,Inputs!$E$30/MAX(1,Inputs!$E$32*12))</f>
        <v>-1333.33333333333</v>
      </c>
      <c r="J43" s="65" t="n">
        <f aca="false">-MIN(J41,Inputs!$E$30/MAX(1,Inputs!$E$32*12))</f>
        <v>-1333.33333333333</v>
      </c>
      <c r="K43" s="65" t="n">
        <f aca="false">-MIN(K41,Inputs!$E$30/MAX(1,Inputs!$E$32*12))</f>
        <v>-1333.33333333333</v>
      </c>
      <c r="L43" s="65" t="n">
        <f aca="false">-MIN(L41,Inputs!$E$30/MAX(1,Inputs!$E$32*12))</f>
        <v>-1333.33333333333</v>
      </c>
      <c r="M43" s="65" t="n">
        <f aca="false">-MIN(M41,Inputs!$E$30/MAX(1,Inputs!$E$32*12))</f>
        <v>-1333.33333333333</v>
      </c>
      <c r="N43" s="65" t="n">
        <f aca="false">-MIN(N41,Inputs!$E$30/MAX(1,Inputs!$E$32*12))</f>
        <v>-1333.33333333333</v>
      </c>
      <c r="O43" s="65" t="n">
        <f aca="false">-MIN(O41,Inputs!$E$30/MAX(1,Inputs!$E$32*12))</f>
        <v>-1333.33333333333</v>
      </c>
      <c r="P43" s="65" t="n">
        <f aca="false">-MIN(P41,Inputs!$E$30/MAX(1,Inputs!$E$32*12))</f>
        <v>-1333.33333333333</v>
      </c>
      <c r="Q43" s="65" t="n">
        <f aca="false">-MIN(Q41,Inputs!$E$30/MAX(1,Inputs!$E$32*12))</f>
        <v>-1333.33333333333</v>
      </c>
      <c r="R43" s="65" t="n">
        <f aca="false">-MIN(R41,Inputs!$E$30/MAX(1,Inputs!$E$32*12))</f>
        <v>-1333.33333333333</v>
      </c>
      <c r="S43" s="65" t="n">
        <f aca="false">-MIN(S41,Inputs!$E$30/MAX(1,Inputs!$E$32*12))</f>
        <v>-1333.33333333333</v>
      </c>
      <c r="T43" s="65" t="n">
        <f aca="false">-MIN(T41,Inputs!$E$30/MAX(1,Inputs!$E$32*12))</f>
        <v>-1333.33333333333</v>
      </c>
      <c r="U43" s="65" t="n">
        <f aca="false">-MIN(U41,Inputs!$E$30/MAX(1,Inputs!$E$32*12))</f>
        <v>-1333.33333333333</v>
      </c>
      <c r="V43" s="65" t="n">
        <f aca="false">-MIN(V41,Inputs!$E$30/MAX(1,Inputs!$E$32*12))</f>
        <v>-1333.33333333333</v>
      </c>
      <c r="W43" s="65" t="n">
        <f aca="false">-MIN(W41,Inputs!$E$30/MAX(1,Inputs!$E$32*12))</f>
        <v>-1333.33333333333</v>
      </c>
      <c r="X43" s="65" t="n">
        <f aca="false">-MIN(X41,Inputs!$E$30/MAX(1,Inputs!$E$32*12))</f>
        <v>-1333.33333333333</v>
      </c>
      <c r="Y43" s="65" t="n">
        <f aca="false">-MIN(Y41,Inputs!$E$30/MAX(1,Inputs!$E$32*12))</f>
        <v>-1333.33333333333</v>
      </c>
      <c r="Z43" s="65" t="n">
        <f aca="false">-MIN(Z41,Inputs!$E$30/MAX(1,Inputs!$E$32*12))</f>
        <v>-1333.33333333333</v>
      </c>
      <c r="AA43" s="65" t="n">
        <f aca="false">-MIN(AA41,Inputs!$E$30/MAX(1,Inputs!$E$32*12))</f>
        <v>-1333.33333333333</v>
      </c>
      <c r="AB43" s="65" t="n">
        <f aca="false">-MIN(AB41,Inputs!$E$30/MAX(1,Inputs!$E$32*12))</f>
        <v>-1333.33333333333</v>
      </c>
      <c r="AC43" s="65" t="n">
        <f aca="false">-MIN(AC41,Inputs!$E$30/MAX(1,Inputs!$E$32*12))</f>
        <v>-1333.33333333333</v>
      </c>
      <c r="AD43" s="65" t="n">
        <f aca="false">-MIN(AD41,Inputs!$E$30/MAX(1,Inputs!$E$32*12))</f>
        <v>-1333.33333333333</v>
      </c>
      <c r="AE43" s="65" t="n">
        <f aca="false">-MIN(AE41,Inputs!$E$30/MAX(1,Inputs!$E$32*12))</f>
        <v>-1333.33333333333</v>
      </c>
      <c r="AF43" s="65" t="n">
        <f aca="false">-MIN(AF41,Inputs!$E$30/MAX(1,Inputs!$E$32*12))</f>
        <v>-1333.33333333333</v>
      </c>
      <c r="AG43" s="65" t="n">
        <f aca="false">-MIN(AG41,Inputs!$E$30/MAX(1,Inputs!$E$32*12))</f>
        <v>-1333.33333333333</v>
      </c>
      <c r="AH43" s="65" t="n">
        <f aca="false">-MIN(AH41,Inputs!$E$30/MAX(1,Inputs!$E$32*12))</f>
        <v>-1333.33333333333</v>
      </c>
      <c r="AI43" s="65" t="n">
        <f aca="false">-MIN(AI41,Inputs!$E$30/MAX(1,Inputs!$E$32*12))</f>
        <v>-1333.33333333333</v>
      </c>
      <c r="AJ43" s="65" t="n">
        <f aca="false">-MIN(AJ41,Inputs!$E$30/MAX(1,Inputs!$E$32*12))</f>
        <v>-1333.33333333333</v>
      </c>
      <c r="AK43" s="65" t="n">
        <f aca="false">-MIN(AK41,Inputs!$E$30/MAX(1,Inputs!$E$32*12))</f>
        <v>-1333.33333333333</v>
      </c>
      <c r="AL43" s="65" t="n">
        <f aca="false">-MIN(AL41,Inputs!$E$30/MAX(1,Inputs!$E$32*12))</f>
        <v>-1333.33333333333</v>
      </c>
    </row>
    <row r="44" customFormat="false" ht="15" hidden="false" customHeight="false" outlineLevel="0" collapsed="false">
      <c r="A44" s="4" t="s">
        <v>347</v>
      </c>
      <c r="C44" s="71" t="n">
        <f aca="false">C41+C42+C43</f>
        <v>80000</v>
      </c>
      <c r="D44" s="71" t="n">
        <f aca="false">D41+D42+D43</f>
        <v>78666.6666666667</v>
      </c>
      <c r="E44" s="71" t="n">
        <f aca="false">E41+E42+E43</f>
        <v>77333.3333333333</v>
      </c>
      <c r="F44" s="71" t="n">
        <f aca="false">F41+F42+F43</f>
        <v>76000</v>
      </c>
      <c r="G44" s="71" t="n">
        <f aca="false">G41+G42+G43</f>
        <v>74666.6666666667</v>
      </c>
      <c r="H44" s="71" t="n">
        <f aca="false">H41+H42+H43</f>
        <v>73333.3333333334</v>
      </c>
      <c r="I44" s="71" t="n">
        <f aca="false">I41+I42+I43</f>
        <v>72000</v>
      </c>
      <c r="J44" s="71" t="n">
        <f aca="false">J41+J42+J43</f>
        <v>70666.6666666667</v>
      </c>
      <c r="K44" s="71" t="n">
        <f aca="false">K41+K42+K43</f>
        <v>69333.3333333334</v>
      </c>
      <c r="L44" s="71" t="n">
        <f aca="false">L41+L42+L43</f>
        <v>68000</v>
      </c>
      <c r="M44" s="71" t="n">
        <f aca="false">M41+M42+M43</f>
        <v>66666.6666666667</v>
      </c>
      <c r="N44" s="71" t="n">
        <f aca="false">N41+N42+N43</f>
        <v>65333.3333333334</v>
      </c>
      <c r="O44" s="71" t="n">
        <f aca="false">O41+O42+O43</f>
        <v>64000</v>
      </c>
      <c r="P44" s="71" t="n">
        <f aca="false">P41+P42+P43</f>
        <v>62666.6666666667</v>
      </c>
      <c r="Q44" s="71" t="n">
        <f aca="false">Q41+Q42+Q43</f>
        <v>61333.3333333334</v>
      </c>
      <c r="R44" s="71" t="n">
        <f aca="false">R41+R42+R43</f>
        <v>60000</v>
      </c>
      <c r="S44" s="71" t="n">
        <f aca="false">S41+S42+S43</f>
        <v>58666.6666666667</v>
      </c>
      <c r="T44" s="71" t="n">
        <f aca="false">T41+T42+T43</f>
        <v>57333.3333333334</v>
      </c>
      <c r="U44" s="71" t="n">
        <f aca="false">U41+U42+U43</f>
        <v>56000</v>
      </c>
      <c r="V44" s="71" t="n">
        <f aca="false">V41+V42+V43</f>
        <v>54666.6666666667</v>
      </c>
      <c r="W44" s="71" t="n">
        <f aca="false">W41+W42+W43</f>
        <v>53333.3333333334</v>
      </c>
      <c r="X44" s="71" t="n">
        <f aca="false">X41+X42+X43</f>
        <v>52000</v>
      </c>
      <c r="Y44" s="71" t="n">
        <f aca="false">Y41+Y42+Y43</f>
        <v>50666.6666666667</v>
      </c>
      <c r="Z44" s="71" t="n">
        <f aca="false">Z41+Z42+Z43</f>
        <v>49333.3333333334</v>
      </c>
      <c r="AA44" s="71" t="n">
        <f aca="false">AA41+AA42+AA43</f>
        <v>48000</v>
      </c>
      <c r="AB44" s="71" t="n">
        <f aca="false">AB41+AB42+AB43</f>
        <v>46666.6666666667</v>
      </c>
      <c r="AC44" s="71" t="n">
        <f aca="false">AC41+AC42+AC43</f>
        <v>45333.3333333333</v>
      </c>
      <c r="AD44" s="71" t="n">
        <f aca="false">AD41+AD42+AD43</f>
        <v>44000</v>
      </c>
      <c r="AE44" s="71" t="n">
        <f aca="false">AE41+AE42+AE43</f>
        <v>42666.6666666667</v>
      </c>
      <c r="AF44" s="71" t="n">
        <f aca="false">AF41+AF42+AF43</f>
        <v>41333.3333333333</v>
      </c>
      <c r="AG44" s="71" t="n">
        <f aca="false">AG41+AG42+AG43</f>
        <v>40000</v>
      </c>
      <c r="AH44" s="71" t="n">
        <f aca="false">AH41+AH42+AH43</f>
        <v>38666.6666666667</v>
      </c>
      <c r="AI44" s="71" t="n">
        <f aca="false">AI41+AI42+AI43</f>
        <v>37333.3333333333</v>
      </c>
      <c r="AJ44" s="71" t="n">
        <f aca="false">AJ41+AJ42+AJ43</f>
        <v>36000</v>
      </c>
      <c r="AK44" s="71" t="n">
        <f aca="false">AK41+AK42+AK43</f>
        <v>34666.6666666667</v>
      </c>
      <c r="AL44" s="71" t="n">
        <f aca="false">AL41+AL42+AL43</f>
        <v>33333.3333333333</v>
      </c>
    </row>
    <row r="46" customFormat="false" ht="15.75" hidden="false" customHeight="true" outlineLevel="0" collapsed="false">
      <c r="A46" s="7" t="s">
        <v>268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88</v>
      </c>
      <c r="C47" s="65" t="n">
        <f aca="false">C12*Inputs!$E$35/30</f>
        <v>1040</v>
      </c>
      <c r="D47" s="65" t="n">
        <f aca="false">D12*Inputs!$E$35/30</f>
        <v>1213.33333333333</v>
      </c>
      <c r="E47" s="65" t="n">
        <f aca="false">E12*Inputs!$E$35/30</f>
        <v>1386.66666666667</v>
      </c>
      <c r="F47" s="65" t="n">
        <f aca="false">F12*Inputs!$E$35/30</f>
        <v>1560</v>
      </c>
      <c r="G47" s="65" t="n">
        <f aca="false">G12*Inputs!$E$35/30</f>
        <v>1733.33333333333</v>
      </c>
      <c r="H47" s="65" t="n">
        <f aca="false">H12*Inputs!$E$35/30</f>
        <v>1906.66666666667</v>
      </c>
      <c r="I47" s="65" t="n">
        <f aca="false">I12*Inputs!$E$35/30</f>
        <v>2080</v>
      </c>
      <c r="J47" s="65" t="n">
        <f aca="false">J12*Inputs!$E$35/30</f>
        <v>2080</v>
      </c>
      <c r="K47" s="65" t="n">
        <f aca="false">K12*Inputs!$E$35/30</f>
        <v>2080</v>
      </c>
      <c r="L47" s="65" t="n">
        <f aca="false">L12*Inputs!$E$35/30</f>
        <v>2080</v>
      </c>
      <c r="M47" s="65" t="n">
        <f aca="false">M12*Inputs!$E$35/30</f>
        <v>2080</v>
      </c>
      <c r="N47" s="65" t="n">
        <f aca="false">N12*Inputs!$E$35/30</f>
        <v>2080</v>
      </c>
      <c r="O47" s="65" t="n">
        <f aca="false">O12*Inputs!$E$35/30</f>
        <v>2270.944</v>
      </c>
      <c r="P47" s="65" t="n">
        <f aca="false">P12*Inputs!$E$35/30</f>
        <v>2270.944</v>
      </c>
      <c r="Q47" s="65" t="n">
        <f aca="false">Q12*Inputs!$E$35/30</f>
        <v>2270.944</v>
      </c>
      <c r="R47" s="65" t="n">
        <f aca="false">R12*Inputs!$E$35/30</f>
        <v>2270.944</v>
      </c>
      <c r="S47" s="65" t="n">
        <f aca="false">S12*Inputs!$E$35/30</f>
        <v>2270.944</v>
      </c>
      <c r="T47" s="65" t="n">
        <f aca="false">T12*Inputs!$E$35/30</f>
        <v>2270.944</v>
      </c>
      <c r="U47" s="65" t="n">
        <f aca="false">U12*Inputs!$E$35/30</f>
        <v>2270.944</v>
      </c>
      <c r="V47" s="65" t="n">
        <f aca="false">V12*Inputs!$E$35/30</f>
        <v>2270.944</v>
      </c>
      <c r="W47" s="65" t="n">
        <f aca="false">W12*Inputs!$E$35/30</f>
        <v>2270.944</v>
      </c>
      <c r="X47" s="65" t="n">
        <f aca="false">X12*Inputs!$E$35/30</f>
        <v>2270.944</v>
      </c>
      <c r="Y47" s="65" t="n">
        <f aca="false">Y12*Inputs!$E$35/30</f>
        <v>2270.944</v>
      </c>
      <c r="Z47" s="65" t="n">
        <f aca="false">Z12*Inputs!$E$35/30</f>
        <v>2270.944</v>
      </c>
      <c r="AA47" s="65" t="n">
        <f aca="false">AA12*Inputs!$E$35/30</f>
        <v>2479.4166592</v>
      </c>
      <c r="AB47" s="65" t="n">
        <f aca="false">AB12*Inputs!$E$35/30</f>
        <v>2479.4166592</v>
      </c>
      <c r="AC47" s="65" t="n">
        <f aca="false">AC12*Inputs!$E$35/30</f>
        <v>2479.4166592</v>
      </c>
      <c r="AD47" s="65" t="n">
        <f aca="false">AD12*Inputs!$E$35/30</f>
        <v>2479.4166592</v>
      </c>
      <c r="AE47" s="65" t="n">
        <f aca="false">AE12*Inputs!$E$35/30</f>
        <v>2479.4166592</v>
      </c>
      <c r="AF47" s="65" t="n">
        <f aca="false">AF12*Inputs!$E$35/30</f>
        <v>2479.4166592</v>
      </c>
      <c r="AG47" s="65" t="n">
        <f aca="false">AG12*Inputs!$E$35/30</f>
        <v>2479.4166592</v>
      </c>
      <c r="AH47" s="65" t="n">
        <f aca="false">AH12*Inputs!$E$35/30</f>
        <v>2479.4166592</v>
      </c>
      <c r="AI47" s="65" t="n">
        <f aca="false">AI12*Inputs!$E$35/30</f>
        <v>2479.4166592</v>
      </c>
      <c r="AJ47" s="65" t="n">
        <f aca="false">AJ12*Inputs!$E$35/30</f>
        <v>2479.4166592</v>
      </c>
      <c r="AK47" s="65" t="n">
        <f aca="false">AK12*Inputs!$E$35/30</f>
        <v>2479.4166592</v>
      </c>
      <c r="AL47" s="65" t="n">
        <f aca="false">AL12*Inputs!$E$35/30</f>
        <v>2479.4166592</v>
      </c>
    </row>
    <row r="48" customFormat="false" ht="15" hidden="false" customHeight="false" outlineLevel="0" collapsed="false">
      <c r="A48" s="6" t="s">
        <v>89</v>
      </c>
      <c r="C48" s="65" t="n">
        <f aca="false">-C13*Inputs!$E$36/30</f>
        <v>1201.2</v>
      </c>
      <c r="D48" s="65" t="n">
        <f aca="false">-D13*Inputs!$E$36/30</f>
        <v>1401.4</v>
      </c>
      <c r="E48" s="65" t="n">
        <f aca="false">-E13*Inputs!$E$36/30</f>
        <v>1601.6</v>
      </c>
      <c r="F48" s="65" t="n">
        <f aca="false">-F13*Inputs!$E$36/30</f>
        <v>1801.8</v>
      </c>
      <c r="G48" s="65" t="n">
        <f aca="false">-G13*Inputs!$E$36/30</f>
        <v>2002</v>
      </c>
      <c r="H48" s="65" t="n">
        <f aca="false">-H13*Inputs!$E$36/30</f>
        <v>2202.2</v>
      </c>
      <c r="I48" s="65" t="n">
        <f aca="false">-I13*Inputs!$E$36/30</f>
        <v>2402.4</v>
      </c>
      <c r="J48" s="65" t="n">
        <f aca="false">-J13*Inputs!$E$36/30</f>
        <v>2402.4</v>
      </c>
      <c r="K48" s="65" t="n">
        <f aca="false">-K13*Inputs!$E$36/30</f>
        <v>2402.4</v>
      </c>
      <c r="L48" s="65" t="n">
        <f aca="false">-L13*Inputs!$E$36/30</f>
        <v>2402.4</v>
      </c>
      <c r="M48" s="65" t="n">
        <f aca="false">-M13*Inputs!$E$36/30</f>
        <v>2402.4</v>
      </c>
      <c r="N48" s="65" t="n">
        <f aca="false">-N13*Inputs!$E$36/30</f>
        <v>2402.4</v>
      </c>
      <c r="O48" s="65" t="n">
        <f aca="false">-O13*Inputs!$E$36/30</f>
        <v>2622.94032</v>
      </c>
      <c r="P48" s="65" t="n">
        <f aca="false">-P13*Inputs!$E$36/30</f>
        <v>2622.94032</v>
      </c>
      <c r="Q48" s="65" t="n">
        <f aca="false">-Q13*Inputs!$E$36/30</f>
        <v>2622.94032</v>
      </c>
      <c r="R48" s="65" t="n">
        <f aca="false">-R13*Inputs!$E$36/30</f>
        <v>2622.94032</v>
      </c>
      <c r="S48" s="65" t="n">
        <f aca="false">-S13*Inputs!$E$36/30</f>
        <v>2622.94032</v>
      </c>
      <c r="T48" s="65" t="n">
        <f aca="false">-T13*Inputs!$E$36/30</f>
        <v>2622.94032</v>
      </c>
      <c r="U48" s="65" t="n">
        <f aca="false">-U13*Inputs!$E$36/30</f>
        <v>2622.94032</v>
      </c>
      <c r="V48" s="65" t="n">
        <f aca="false">-V13*Inputs!$E$36/30</f>
        <v>2622.94032</v>
      </c>
      <c r="W48" s="65" t="n">
        <f aca="false">-W13*Inputs!$E$36/30</f>
        <v>2622.94032</v>
      </c>
      <c r="X48" s="65" t="n">
        <f aca="false">-X13*Inputs!$E$36/30</f>
        <v>2622.94032</v>
      </c>
      <c r="Y48" s="65" t="n">
        <f aca="false">-Y13*Inputs!$E$36/30</f>
        <v>2622.94032</v>
      </c>
      <c r="Z48" s="65" t="n">
        <f aca="false">-Z13*Inputs!$E$36/30</f>
        <v>2622.94032</v>
      </c>
      <c r="AA48" s="65" t="n">
        <f aca="false">-AA13*Inputs!$E$36/30</f>
        <v>2863.726241376</v>
      </c>
      <c r="AB48" s="65" t="n">
        <f aca="false">-AB13*Inputs!$E$36/30</f>
        <v>2863.726241376</v>
      </c>
      <c r="AC48" s="65" t="n">
        <f aca="false">-AC13*Inputs!$E$36/30</f>
        <v>2863.726241376</v>
      </c>
      <c r="AD48" s="65" t="n">
        <f aca="false">-AD13*Inputs!$E$36/30</f>
        <v>2863.726241376</v>
      </c>
      <c r="AE48" s="65" t="n">
        <f aca="false">-AE13*Inputs!$E$36/30</f>
        <v>2863.726241376</v>
      </c>
      <c r="AF48" s="65" t="n">
        <f aca="false">-AF13*Inputs!$E$36/30</f>
        <v>2863.726241376</v>
      </c>
      <c r="AG48" s="65" t="n">
        <f aca="false">-AG13*Inputs!$E$36/30</f>
        <v>2863.726241376</v>
      </c>
      <c r="AH48" s="65" t="n">
        <f aca="false">-AH13*Inputs!$E$36/30</f>
        <v>2863.726241376</v>
      </c>
      <c r="AI48" s="65" t="n">
        <f aca="false">-AI13*Inputs!$E$36/30</f>
        <v>2863.726241376</v>
      </c>
      <c r="AJ48" s="65" t="n">
        <f aca="false">-AJ13*Inputs!$E$36/30</f>
        <v>2863.726241376</v>
      </c>
      <c r="AK48" s="65" t="n">
        <f aca="false">-AK13*Inputs!$E$36/30</f>
        <v>2863.726241376</v>
      </c>
      <c r="AL48" s="65" t="n">
        <f aca="false">-AL13*Inputs!$E$36/30</f>
        <v>2863.726241376</v>
      </c>
    </row>
    <row r="49" customFormat="false" ht="15" hidden="false" customHeight="false" outlineLevel="0" collapsed="false">
      <c r="A49" s="6" t="s">
        <v>92</v>
      </c>
      <c r="C49" s="65" t="n">
        <f aca="false">-C13*Inputs!$E$37/30</f>
        <v>2402.4</v>
      </c>
      <c r="D49" s="65" t="n">
        <f aca="false">-D13*Inputs!$E$37/30</f>
        <v>2802.8</v>
      </c>
      <c r="E49" s="65" t="n">
        <f aca="false">-E13*Inputs!$E$37/30</f>
        <v>3203.2</v>
      </c>
      <c r="F49" s="65" t="n">
        <f aca="false">-F13*Inputs!$E$37/30</f>
        <v>3603.6</v>
      </c>
      <c r="G49" s="65" t="n">
        <f aca="false">-G13*Inputs!$E$37/30</f>
        <v>4004</v>
      </c>
      <c r="H49" s="65" t="n">
        <f aca="false">-H13*Inputs!$E$37/30</f>
        <v>4404.4</v>
      </c>
      <c r="I49" s="65" t="n">
        <f aca="false">-I13*Inputs!$E$37/30</f>
        <v>4804.8</v>
      </c>
      <c r="J49" s="65" t="n">
        <f aca="false">-J13*Inputs!$E$37/30</f>
        <v>4804.8</v>
      </c>
      <c r="K49" s="65" t="n">
        <f aca="false">-K13*Inputs!$E$37/30</f>
        <v>4804.8</v>
      </c>
      <c r="L49" s="65" t="n">
        <f aca="false">-L13*Inputs!$E$37/30</f>
        <v>4804.8</v>
      </c>
      <c r="M49" s="65" t="n">
        <f aca="false">-M13*Inputs!$E$37/30</f>
        <v>4804.8</v>
      </c>
      <c r="N49" s="65" t="n">
        <f aca="false">-N13*Inputs!$E$37/30</f>
        <v>4804.8</v>
      </c>
      <c r="O49" s="65" t="n">
        <f aca="false">-O13*Inputs!$E$37/30</f>
        <v>5245.88064</v>
      </c>
      <c r="P49" s="65" t="n">
        <f aca="false">-P13*Inputs!$E$37/30</f>
        <v>5245.88064</v>
      </c>
      <c r="Q49" s="65" t="n">
        <f aca="false">-Q13*Inputs!$E$37/30</f>
        <v>5245.88064</v>
      </c>
      <c r="R49" s="65" t="n">
        <f aca="false">-R13*Inputs!$E$37/30</f>
        <v>5245.88064</v>
      </c>
      <c r="S49" s="65" t="n">
        <f aca="false">-S13*Inputs!$E$37/30</f>
        <v>5245.88064</v>
      </c>
      <c r="T49" s="65" t="n">
        <f aca="false">-T13*Inputs!$E$37/30</f>
        <v>5245.88064</v>
      </c>
      <c r="U49" s="65" t="n">
        <f aca="false">-U13*Inputs!$E$37/30</f>
        <v>5245.88064</v>
      </c>
      <c r="V49" s="65" t="n">
        <f aca="false">-V13*Inputs!$E$37/30</f>
        <v>5245.88064</v>
      </c>
      <c r="W49" s="65" t="n">
        <f aca="false">-W13*Inputs!$E$37/30</f>
        <v>5245.88064</v>
      </c>
      <c r="X49" s="65" t="n">
        <f aca="false">-X13*Inputs!$E$37/30</f>
        <v>5245.88064</v>
      </c>
      <c r="Y49" s="65" t="n">
        <f aca="false">-Y13*Inputs!$E$37/30</f>
        <v>5245.88064</v>
      </c>
      <c r="Z49" s="65" t="n">
        <f aca="false">-Z13*Inputs!$E$37/30</f>
        <v>5245.88064</v>
      </c>
      <c r="AA49" s="65" t="n">
        <f aca="false">-AA13*Inputs!$E$37/30</f>
        <v>5727.452482752</v>
      </c>
      <c r="AB49" s="65" t="n">
        <f aca="false">-AB13*Inputs!$E$37/30</f>
        <v>5727.452482752</v>
      </c>
      <c r="AC49" s="65" t="n">
        <f aca="false">-AC13*Inputs!$E$37/30</f>
        <v>5727.452482752</v>
      </c>
      <c r="AD49" s="65" t="n">
        <f aca="false">-AD13*Inputs!$E$37/30</f>
        <v>5727.452482752</v>
      </c>
      <c r="AE49" s="65" t="n">
        <f aca="false">-AE13*Inputs!$E$37/30</f>
        <v>5727.452482752</v>
      </c>
      <c r="AF49" s="65" t="n">
        <f aca="false">-AF13*Inputs!$E$37/30</f>
        <v>5727.452482752</v>
      </c>
      <c r="AG49" s="65" t="n">
        <f aca="false">-AG13*Inputs!$E$37/30</f>
        <v>5727.452482752</v>
      </c>
      <c r="AH49" s="65" t="n">
        <f aca="false">-AH13*Inputs!$E$37/30</f>
        <v>5727.452482752</v>
      </c>
      <c r="AI49" s="65" t="n">
        <f aca="false">-AI13*Inputs!$E$37/30</f>
        <v>5727.452482752</v>
      </c>
      <c r="AJ49" s="65" t="n">
        <f aca="false">-AJ13*Inputs!$E$37/30</f>
        <v>5727.452482752</v>
      </c>
      <c r="AK49" s="65" t="n">
        <f aca="false">-AK13*Inputs!$E$37/30</f>
        <v>5727.452482752</v>
      </c>
      <c r="AL49" s="65" t="n">
        <f aca="false">-AL13*Inputs!$E$37/30</f>
        <v>5727.452482752</v>
      </c>
    </row>
    <row r="50" customFormat="false" ht="15" hidden="false" customHeight="false" outlineLevel="0" collapsed="false">
      <c r="A50" s="6" t="s">
        <v>289</v>
      </c>
      <c r="C50" s="65" t="n">
        <f aca="false">-C47</f>
        <v>-1040</v>
      </c>
      <c r="D50" s="65" t="n">
        <f aca="false">C47-D47</f>
        <v>-173.333333333333</v>
      </c>
      <c r="E50" s="65" t="n">
        <f aca="false">D47-E47</f>
        <v>-173.333333333333</v>
      </c>
      <c r="F50" s="65" t="n">
        <f aca="false">E47-F47</f>
        <v>-173.333333333333</v>
      </c>
      <c r="G50" s="65" t="n">
        <f aca="false">F47-G47</f>
        <v>-173.333333333333</v>
      </c>
      <c r="H50" s="65" t="n">
        <f aca="false">G47-H47</f>
        <v>-173.333333333334</v>
      </c>
      <c r="I50" s="65" t="n">
        <f aca="false">H47-I47</f>
        <v>-173.333333333333</v>
      </c>
      <c r="J50" s="65" t="n">
        <f aca="false">I47-J47</f>
        <v>0</v>
      </c>
      <c r="K50" s="65" t="n">
        <f aca="false">J47-K47</f>
        <v>0</v>
      </c>
      <c r="L50" s="65" t="n">
        <f aca="false">K47-L47</f>
        <v>0</v>
      </c>
      <c r="M50" s="65" t="n">
        <f aca="false">L47-M47</f>
        <v>0</v>
      </c>
      <c r="N50" s="65" t="n">
        <f aca="false">M47-N47</f>
        <v>0</v>
      </c>
      <c r="O50" s="65" t="n">
        <f aca="false">N47-O47</f>
        <v>-190.944</v>
      </c>
      <c r="P50" s="65" t="n">
        <f aca="false">O47-P47</f>
        <v>0</v>
      </c>
      <c r="Q50" s="65" t="n">
        <f aca="false">P47-Q47</f>
        <v>0</v>
      </c>
      <c r="R50" s="65" t="n">
        <f aca="false">Q47-R47</f>
        <v>0</v>
      </c>
      <c r="S50" s="65" t="n">
        <f aca="false">R47-S47</f>
        <v>0</v>
      </c>
      <c r="T50" s="65" t="n">
        <f aca="false">S47-T47</f>
        <v>0</v>
      </c>
      <c r="U50" s="65" t="n">
        <f aca="false">T47-U47</f>
        <v>0</v>
      </c>
      <c r="V50" s="65" t="n">
        <f aca="false">U47-V47</f>
        <v>0</v>
      </c>
      <c r="W50" s="65" t="n">
        <f aca="false">V47-W47</f>
        <v>0</v>
      </c>
      <c r="X50" s="65" t="n">
        <f aca="false">W47-X47</f>
        <v>0</v>
      </c>
      <c r="Y50" s="65" t="n">
        <f aca="false">X47-Y47</f>
        <v>0</v>
      </c>
      <c r="Z50" s="65" t="n">
        <f aca="false">Y47-Z47</f>
        <v>0</v>
      </c>
      <c r="AA50" s="65" t="n">
        <f aca="false">Z47-AA47</f>
        <v>-208.4726592</v>
      </c>
      <c r="AB50" s="65" t="n">
        <f aca="false">AA47-AB47</f>
        <v>0</v>
      </c>
      <c r="AC50" s="65" t="n">
        <f aca="false">AB47-AC47</f>
        <v>0</v>
      </c>
      <c r="AD50" s="65" t="n">
        <f aca="false">AC47-AD47</f>
        <v>0</v>
      </c>
      <c r="AE50" s="65" t="n">
        <f aca="false">AD47-AE47</f>
        <v>0</v>
      </c>
      <c r="AF50" s="65" t="n">
        <f aca="false">AE47-AF47</f>
        <v>0</v>
      </c>
      <c r="AG50" s="65" t="n">
        <f aca="false">AF47-AG47</f>
        <v>0</v>
      </c>
      <c r="AH50" s="65" t="n">
        <f aca="false">AG47-AH47</f>
        <v>0</v>
      </c>
      <c r="AI50" s="65" t="n">
        <f aca="false">AH47-AI47</f>
        <v>0</v>
      </c>
      <c r="AJ50" s="65" t="n">
        <f aca="false">AI47-AJ47</f>
        <v>0</v>
      </c>
      <c r="AK50" s="65" t="n">
        <f aca="false">AJ47-AK47</f>
        <v>0</v>
      </c>
      <c r="AL50" s="65" t="n">
        <f aca="false">AK47-AL47</f>
        <v>0</v>
      </c>
    </row>
    <row r="51" customFormat="false" ht="15" hidden="false" customHeight="false" outlineLevel="0" collapsed="false">
      <c r="A51" s="6" t="s">
        <v>290</v>
      </c>
      <c r="C51" s="65" t="n">
        <f aca="false">-C48</f>
        <v>-1201.2</v>
      </c>
      <c r="D51" s="65" t="n">
        <f aca="false">C48-D48</f>
        <v>-200.200000000001</v>
      </c>
      <c r="E51" s="65" t="n">
        <f aca="false">D48-E48</f>
        <v>-200.199999999999</v>
      </c>
      <c r="F51" s="65" t="n">
        <f aca="false">E48-F48</f>
        <v>-200.2</v>
      </c>
      <c r="G51" s="65" t="n">
        <f aca="false">F48-G48</f>
        <v>-200.2</v>
      </c>
      <c r="H51" s="65" t="n">
        <f aca="false">G48-H48</f>
        <v>-200.2</v>
      </c>
      <c r="I51" s="65" t="n">
        <f aca="false">H48-I48</f>
        <v>-200.2</v>
      </c>
      <c r="J51" s="65" t="n">
        <f aca="false">I48-J48</f>
        <v>0</v>
      </c>
      <c r="K51" s="65" t="n">
        <f aca="false">J48-K48</f>
        <v>0</v>
      </c>
      <c r="L51" s="65" t="n">
        <f aca="false">K48-L48</f>
        <v>0</v>
      </c>
      <c r="M51" s="65" t="n">
        <f aca="false">L48-M48</f>
        <v>0</v>
      </c>
      <c r="N51" s="65" t="n">
        <f aca="false">M48-N48</f>
        <v>0</v>
      </c>
      <c r="O51" s="65" t="n">
        <f aca="false">N48-O48</f>
        <v>-220.540320000001</v>
      </c>
      <c r="P51" s="65" t="n">
        <f aca="false">O48-P48</f>
        <v>0</v>
      </c>
      <c r="Q51" s="65" t="n">
        <f aca="false">P48-Q48</f>
        <v>0</v>
      </c>
      <c r="R51" s="65" t="n">
        <f aca="false">Q48-R48</f>
        <v>0</v>
      </c>
      <c r="S51" s="65" t="n">
        <f aca="false">R48-S48</f>
        <v>0</v>
      </c>
      <c r="T51" s="65" t="n">
        <f aca="false">S48-T48</f>
        <v>0</v>
      </c>
      <c r="U51" s="65" t="n">
        <f aca="false">T48-U48</f>
        <v>0</v>
      </c>
      <c r="V51" s="65" t="n">
        <f aca="false">U48-V48</f>
        <v>0</v>
      </c>
      <c r="W51" s="65" t="n">
        <f aca="false">V48-W48</f>
        <v>0</v>
      </c>
      <c r="X51" s="65" t="n">
        <f aca="false">W48-X48</f>
        <v>0</v>
      </c>
      <c r="Y51" s="65" t="n">
        <f aca="false">X48-Y48</f>
        <v>0</v>
      </c>
      <c r="Z51" s="65" t="n">
        <f aca="false">Y48-Z48</f>
        <v>0</v>
      </c>
      <c r="AA51" s="65" t="n">
        <f aca="false">Z48-AA48</f>
        <v>-240.785921376</v>
      </c>
      <c r="AB51" s="65" t="n">
        <f aca="false">AA48-AB48</f>
        <v>0</v>
      </c>
      <c r="AC51" s="65" t="n">
        <f aca="false">AB48-AC48</f>
        <v>0</v>
      </c>
      <c r="AD51" s="65" t="n">
        <f aca="false">AC48-AD48</f>
        <v>0</v>
      </c>
      <c r="AE51" s="65" t="n">
        <f aca="false">AD48-AE48</f>
        <v>0</v>
      </c>
      <c r="AF51" s="65" t="n">
        <f aca="false">AE48-AF48</f>
        <v>0</v>
      </c>
      <c r="AG51" s="65" t="n">
        <f aca="false">AF48-AG48</f>
        <v>0</v>
      </c>
      <c r="AH51" s="65" t="n">
        <f aca="false">AG48-AH48</f>
        <v>0</v>
      </c>
      <c r="AI51" s="65" t="n">
        <f aca="false">AH48-AI48</f>
        <v>0</v>
      </c>
      <c r="AJ51" s="65" t="n">
        <f aca="false">AI48-AJ48</f>
        <v>0</v>
      </c>
      <c r="AK51" s="65" t="n">
        <f aca="false">AJ48-AK48</f>
        <v>0</v>
      </c>
      <c r="AL51" s="65" t="n">
        <f aca="false">AK48-AL48</f>
        <v>0</v>
      </c>
    </row>
    <row r="52" customFormat="false" ht="15" hidden="false" customHeight="false" outlineLevel="0" collapsed="false">
      <c r="A52" s="6" t="s">
        <v>291</v>
      </c>
      <c r="C52" s="65" t="n">
        <f aca="false">C49</f>
        <v>2402.4</v>
      </c>
      <c r="D52" s="65" t="n">
        <f aca="false">D49-C49</f>
        <v>400.400000000001</v>
      </c>
      <c r="E52" s="65" t="n">
        <f aca="false">E49-D49</f>
        <v>400.399999999998</v>
      </c>
      <c r="F52" s="65" t="n">
        <f aca="false">F49-E49</f>
        <v>400.400000000001</v>
      </c>
      <c r="G52" s="65" t="n">
        <f aca="false">G49-F49</f>
        <v>400.4</v>
      </c>
      <c r="H52" s="65" t="n">
        <f aca="false">H49-G49</f>
        <v>400.400000000001</v>
      </c>
      <c r="I52" s="65" t="n">
        <f aca="false">I49-H49</f>
        <v>400.4</v>
      </c>
      <c r="J52" s="65" t="n">
        <f aca="false">J49-I49</f>
        <v>0</v>
      </c>
      <c r="K52" s="65" t="n">
        <f aca="false">K49-J49</f>
        <v>0</v>
      </c>
      <c r="L52" s="65" t="n">
        <f aca="false">L49-K49</f>
        <v>0</v>
      </c>
      <c r="M52" s="65" t="n">
        <f aca="false">M49-L49</f>
        <v>0</v>
      </c>
      <c r="N52" s="65" t="n">
        <f aca="false">N49-M49</f>
        <v>0</v>
      </c>
      <c r="O52" s="65" t="n">
        <f aca="false">O49-N49</f>
        <v>441.080640000001</v>
      </c>
      <c r="P52" s="65" t="n">
        <f aca="false">P49-O49</f>
        <v>0</v>
      </c>
      <c r="Q52" s="65" t="n">
        <f aca="false">Q49-P49</f>
        <v>0</v>
      </c>
      <c r="R52" s="65" t="n">
        <f aca="false">R49-Q49</f>
        <v>0</v>
      </c>
      <c r="S52" s="65" t="n">
        <f aca="false">S49-R49</f>
        <v>0</v>
      </c>
      <c r="T52" s="65" t="n">
        <f aca="false">T49-S49</f>
        <v>0</v>
      </c>
      <c r="U52" s="65" t="n">
        <f aca="false">U49-T49</f>
        <v>0</v>
      </c>
      <c r="V52" s="65" t="n">
        <f aca="false">V49-U49</f>
        <v>0</v>
      </c>
      <c r="W52" s="65" t="n">
        <f aca="false">W49-V49</f>
        <v>0</v>
      </c>
      <c r="X52" s="65" t="n">
        <f aca="false">X49-W49</f>
        <v>0</v>
      </c>
      <c r="Y52" s="65" t="n">
        <f aca="false">Y49-X49</f>
        <v>0</v>
      </c>
      <c r="Z52" s="65" t="n">
        <f aca="false">Z49-Y49</f>
        <v>0</v>
      </c>
      <c r="AA52" s="65" t="n">
        <f aca="false">AA49-Z49</f>
        <v>481.571842752001</v>
      </c>
      <c r="AB52" s="65" t="n">
        <f aca="false">AB49-AA49</f>
        <v>0</v>
      </c>
      <c r="AC52" s="65" t="n">
        <f aca="false">AC49-AB49</f>
        <v>0</v>
      </c>
      <c r="AD52" s="65" t="n">
        <f aca="false">AD49-AC49</f>
        <v>0</v>
      </c>
      <c r="AE52" s="65" t="n">
        <f aca="false">AE49-AD49</f>
        <v>0</v>
      </c>
      <c r="AF52" s="65" t="n">
        <f aca="false">AF49-AE49</f>
        <v>0</v>
      </c>
      <c r="AG52" s="65" t="n">
        <f aca="false">AG49-AF49</f>
        <v>0</v>
      </c>
      <c r="AH52" s="65" t="n">
        <f aca="false">AH49-AG49</f>
        <v>0</v>
      </c>
      <c r="AI52" s="65" t="n">
        <f aca="false">AI49-AH49</f>
        <v>0</v>
      </c>
      <c r="AJ52" s="65" t="n">
        <f aca="false">AJ49-AI49</f>
        <v>0</v>
      </c>
      <c r="AK52" s="65" t="n">
        <f aca="false">AK49-AJ49</f>
        <v>0</v>
      </c>
      <c r="AL52" s="65" t="n">
        <f aca="false">AL49-AK49</f>
        <v>0</v>
      </c>
    </row>
    <row r="54" customFormat="false" ht="15.75" hidden="false" customHeight="true" outlineLevel="0" collapsed="false">
      <c r="A54" s="7" t="s">
        <v>348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52</v>
      </c>
      <c r="C55" s="71" t="n">
        <f aca="false">C31-C36+C50+C51+C52</f>
        <v>-7341.46666666667</v>
      </c>
      <c r="D55" s="71" t="n">
        <f aca="false">D31-D36+D50+D51+D52</f>
        <v>-5807.35555555556</v>
      </c>
      <c r="E55" s="71" t="n">
        <f aca="false">E31-E36+E50+E51+E52</f>
        <v>-4134.46666666667</v>
      </c>
      <c r="F55" s="71" t="n">
        <f aca="false">F31-F36+F50+F51+F52</f>
        <v>-2461.57777777778</v>
      </c>
      <c r="G55" s="71" t="n">
        <f aca="false">G31-G36+G50+G51+G52</f>
        <v>-788.688888888894</v>
      </c>
      <c r="H55" s="71" t="n">
        <f aca="false">H31-H36+H50+H51+H52</f>
        <v>884.199999999997</v>
      </c>
      <c r="I55" s="71" t="n">
        <f aca="false">I31-I36+I50+I51+I52</f>
        <v>2557.08888888889</v>
      </c>
      <c r="J55" s="71" t="n">
        <f aca="false">J31-J36+J50+J51+J52</f>
        <v>2539.11111111111</v>
      </c>
      <c r="K55" s="71" t="n">
        <f aca="false">K31-K36+K50+K51+K52</f>
        <v>2548</v>
      </c>
      <c r="L55" s="71" t="n">
        <f aca="false">L31-L36+L50+L51+L52</f>
        <v>2556.88888888889</v>
      </c>
      <c r="M55" s="71" t="n">
        <f aca="false">M31-M36+M50+M51+M52</f>
        <v>2565.77777777778</v>
      </c>
      <c r="N55" s="71" t="n">
        <f aca="false">N31-N36+N50+N51+N52</f>
        <v>2574.66666666666</v>
      </c>
      <c r="O55" s="71" t="n">
        <f aca="false">O31-O36+O50+O51+O52</f>
        <v>4132.61427555556</v>
      </c>
      <c r="P55" s="71" t="n">
        <f aca="false">P31-P36+P50+P51+P52</f>
        <v>4111.90684444445</v>
      </c>
      <c r="Q55" s="71" t="n">
        <f aca="false">Q31-Q36+Q50+Q51+Q52</f>
        <v>4120.79573333334</v>
      </c>
      <c r="R55" s="71" t="n">
        <f aca="false">R31-R36+R50+R51+R52</f>
        <v>4129.68462222222</v>
      </c>
      <c r="S55" s="71" t="n">
        <f aca="false">S31-S36+S50+S51+S52</f>
        <v>4138.57351111111</v>
      </c>
      <c r="T55" s="71" t="n">
        <f aca="false">T31-T36+T50+T51+T52</f>
        <v>4147.4624</v>
      </c>
      <c r="U55" s="71" t="n">
        <f aca="false">U31-U36+U50+U51+U52</f>
        <v>4156.35128888889</v>
      </c>
      <c r="V55" s="71" t="n">
        <f aca="false">V31-V36+V50+V51+V52</f>
        <v>4165.24017777778</v>
      </c>
      <c r="W55" s="71" t="n">
        <f aca="false">W31-W36+W50+W51+W52</f>
        <v>4174.12906666667</v>
      </c>
      <c r="X55" s="71" t="n">
        <f aca="false">X31-X36+X50+X51+X52</f>
        <v>4183.01795555556</v>
      </c>
      <c r="Y55" s="71" t="n">
        <f aca="false">Y31-Y36+Y50+Y51+Y52</f>
        <v>4191.90684444445</v>
      </c>
      <c r="Z55" s="71" t="n">
        <f aca="false">Z31-Z36+Z50+Z51+Z52</f>
        <v>4200.79573333334</v>
      </c>
      <c r="AA55" s="71" t="n">
        <f aca="false">AA31-AA36+AA50+AA51+AA52</f>
        <v>5193.38585977103</v>
      </c>
      <c r="AB55" s="71" t="n">
        <f aca="false">AB31-AB36+AB50+AB51+AB52</f>
        <v>5058.55340115058</v>
      </c>
      <c r="AC55" s="71" t="n">
        <f aca="false">AC31-AC36+AC50+AC51+AC52</f>
        <v>5065.5756233728</v>
      </c>
      <c r="AD55" s="71" t="n">
        <f aca="false">AD31-AD36+AD50+AD51+AD52</f>
        <v>5072.59784559503</v>
      </c>
      <c r="AE55" s="71" t="n">
        <f aca="false">AE31-AE36+AE50+AE51+AE52</f>
        <v>5079.62006781725</v>
      </c>
      <c r="AF55" s="71" t="n">
        <f aca="false">AF31-AF36+AF50+AF51+AF52</f>
        <v>5086.64229003947</v>
      </c>
      <c r="AG55" s="71" t="n">
        <f aca="false">AG31-AG36+AG50+AG51+AG52</f>
        <v>5093.66451226169</v>
      </c>
      <c r="AH55" s="71" t="n">
        <f aca="false">AH31-AH36+AH50+AH51+AH52</f>
        <v>5100.68673448392</v>
      </c>
      <c r="AI55" s="71" t="n">
        <f aca="false">AI31-AI36+AI50+AI51+AI52</f>
        <v>5107.70895670614</v>
      </c>
      <c r="AJ55" s="71" t="n">
        <f aca="false">AJ31-AJ36+AJ50+AJ51+AJ52</f>
        <v>5114.73117892836</v>
      </c>
      <c r="AK55" s="71" t="n">
        <f aca="false">AK31-AK36+AK50+AK51+AK52</f>
        <v>5121.75340115058</v>
      </c>
      <c r="AL55" s="71" t="n">
        <f aca="false">AL31-AL36+AL50+AL51+AL52</f>
        <v>5128.7756233728</v>
      </c>
    </row>
    <row r="56" customFormat="false" ht="15" hidden="false" customHeight="false" outlineLevel="0" collapsed="false">
      <c r="A56" s="6" t="s">
        <v>349</v>
      </c>
      <c r="C56" s="65" t="n">
        <f aca="false">-C34</f>
        <v>-160000</v>
      </c>
      <c r="D56" s="65" t="n">
        <f aca="false">-D34</f>
        <v>-0</v>
      </c>
      <c r="E56" s="65" t="n">
        <f aca="false">-E34</f>
        <v>-0</v>
      </c>
      <c r="F56" s="65" t="n">
        <f aca="false">-F34</f>
        <v>-0</v>
      </c>
      <c r="G56" s="65" t="n">
        <f aca="false">-G34</f>
        <v>-0</v>
      </c>
      <c r="H56" s="65" t="n">
        <f aca="false">-H34</f>
        <v>-0</v>
      </c>
      <c r="I56" s="65" t="n">
        <f aca="false">-I34</f>
        <v>-0</v>
      </c>
      <c r="J56" s="65" t="n">
        <f aca="false">-J34</f>
        <v>-0</v>
      </c>
      <c r="K56" s="65" t="n">
        <f aca="false">-K34</f>
        <v>-0</v>
      </c>
      <c r="L56" s="65" t="n">
        <f aca="false">-L34</f>
        <v>-0</v>
      </c>
      <c r="M56" s="65" t="n">
        <f aca="false">-M34</f>
        <v>-0</v>
      </c>
      <c r="N56" s="65" t="n">
        <f aca="false">-N34</f>
        <v>-0</v>
      </c>
      <c r="O56" s="65" t="n">
        <f aca="false">-O34</f>
        <v>-0</v>
      </c>
      <c r="P56" s="65" t="n">
        <f aca="false">-P34</f>
        <v>-0</v>
      </c>
      <c r="Q56" s="65" t="n">
        <f aca="false">-Q34</f>
        <v>-0</v>
      </c>
      <c r="R56" s="65" t="n">
        <f aca="false">-R34</f>
        <v>-0</v>
      </c>
      <c r="S56" s="65" t="n">
        <f aca="false">-S34</f>
        <v>-0</v>
      </c>
      <c r="T56" s="65" t="n">
        <f aca="false">-T34</f>
        <v>-0</v>
      </c>
      <c r="U56" s="65" t="n">
        <f aca="false">-U34</f>
        <v>-0</v>
      </c>
      <c r="V56" s="65" t="n">
        <f aca="false">-V34</f>
        <v>-0</v>
      </c>
      <c r="W56" s="65" t="n">
        <f aca="false">-W34</f>
        <v>-0</v>
      </c>
      <c r="X56" s="65" t="n">
        <f aca="false">-X34</f>
        <v>-0</v>
      </c>
      <c r="Y56" s="65" t="n">
        <f aca="false">-Y34</f>
        <v>-0</v>
      </c>
      <c r="Z56" s="65" t="n">
        <f aca="false">-Z34</f>
        <v>-0</v>
      </c>
      <c r="AA56" s="65" t="n">
        <f aca="false">-AA34</f>
        <v>-0</v>
      </c>
      <c r="AB56" s="65" t="n">
        <f aca="false">-AB34</f>
        <v>-0</v>
      </c>
      <c r="AC56" s="65" t="n">
        <f aca="false">-AC34</f>
        <v>-0</v>
      </c>
      <c r="AD56" s="65" t="n">
        <f aca="false">-AD34</f>
        <v>-0</v>
      </c>
      <c r="AE56" s="65" t="n">
        <f aca="false">-AE34</f>
        <v>-0</v>
      </c>
      <c r="AF56" s="65" t="n">
        <f aca="false">-AF34</f>
        <v>-0</v>
      </c>
      <c r="AG56" s="65" t="n">
        <f aca="false">-AG34</f>
        <v>-0</v>
      </c>
      <c r="AH56" s="65" t="n">
        <f aca="false">-AH34</f>
        <v>-0</v>
      </c>
      <c r="AI56" s="65" t="n">
        <f aca="false">-AI34</f>
        <v>-0</v>
      </c>
      <c r="AJ56" s="65" t="n">
        <f aca="false">-AJ34</f>
        <v>-0</v>
      </c>
      <c r="AK56" s="65" t="n">
        <f aca="false">-AK34</f>
        <v>-0</v>
      </c>
      <c r="AL56" s="65" t="n">
        <f aca="false">-AL34</f>
        <v>-0</v>
      </c>
    </row>
    <row r="57" customFormat="false" ht="15" hidden="false" customHeight="false" outlineLevel="0" collapsed="false">
      <c r="A57" s="6" t="s">
        <v>62</v>
      </c>
      <c r="C57" s="65" t="n">
        <f aca="false">IF(C$4=1,Inputs!$E$29,0)</f>
        <v>140000</v>
      </c>
      <c r="D57" s="65" t="n">
        <f aca="false">IF(D$4=1,Inputs!$E$29,0)</f>
        <v>0</v>
      </c>
      <c r="E57" s="65" t="n">
        <f aca="false">IF(E$4=1,Inputs!$E$29,0)</f>
        <v>0</v>
      </c>
      <c r="F57" s="65" t="n">
        <f aca="false">IF(F$4=1,Inputs!$E$29,0)</f>
        <v>0</v>
      </c>
      <c r="G57" s="65" t="n">
        <f aca="false">IF(G$4=1,Inputs!$E$29,0)</f>
        <v>0</v>
      </c>
      <c r="H57" s="65" t="n">
        <f aca="false">IF(H$4=1,Inputs!$E$29,0)</f>
        <v>0</v>
      </c>
      <c r="I57" s="65" t="n">
        <f aca="false">IF(I$4=1,Inputs!$E$29,0)</f>
        <v>0</v>
      </c>
      <c r="J57" s="65" t="n">
        <f aca="false">IF(J$4=1,Inputs!$E$29,0)</f>
        <v>0</v>
      </c>
      <c r="K57" s="65" t="n">
        <f aca="false">IF(K$4=1,Inputs!$E$29,0)</f>
        <v>0</v>
      </c>
      <c r="L57" s="65" t="n">
        <f aca="false">IF(L$4=1,Inputs!$E$29,0)</f>
        <v>0</v>
      </c>
      <c r="M57" s="65" t="n">
        <f aca="false">IF(M$4=1,Inputs!$E$29,0)</f>
        <v>0</v>
      </c>
      <c r="N57" s="65" t="n">
        <f aca="false">IF(N$4=1,Inputs!$E$29,0)</f>
        <v>0</v>
      </c>
      <c r="O57" s="65" t="n">
        <f aca="false">IF(O$4=1,Inputs!$E$29,0)</f>
        <v>0</v>
      </c>
      <c r="P57" s="65" t="n">
        <f aca="false">IF(P$4=1,Inputs!$E$29,0)</f>
        <v>0</v>
      </c>
      <c r="Q57" s="65" t="n">
        <f aca="false">IF(Q$4=1,Inputs!$E$29,0)</f>
        <v>0</v>
      </c>
      <c r="R57" s="65" t="n">
        <f aca="false">IF(R$4=1,Inputs!$E$29,0)</f>
        <v>0</v>
      </c>
      <c r="S57" s="65" t="n">
        <f aca="false">IF(S$4=1,Inputs!$E$29,0)</f>
        <v>0</v>
      </c>
      <c r="T57" s="65" t="n">
        <f aca="false">IF(T$4=1,Inputs!$E$29,0)</f>
        <v>0</v>
      </c>
      <c r="U57" s="65" t="n">
        <f aca="false">IF(U$4=1,Inputs!$E$29,0)</f>
        <v>0</v>
      </c>
      <c r="V57" s="65" t="n">
        <f aca="false">IF(V$4=1,Inputs!$E$29,0)</f>
        <v>0</v>
      </c>
      <c r="W57" s="65" t="n">
        <f aca="false">IF(W$4=1,Inputs!$E$29,0)</f>
        <v>0</v>
      </c>
      <c r="X57" s="65" t="n">
        <f aca="false">IF(X$4=1,Inputs!$E$29,0)</f>
        <v>0</v>
      </c>
      <c r="Y57" s="65" t="n">
        <f aca="false">IF(Y$4=1,Inputs!$E$29,0)</f>
        <v>0</v>
      </c>
      <c r="Z57" s="65" t="n">
        <f aca="false">IF(Z$4=1,Inputs!$E$29,0)</f>
        <v>0</v>
      </c>
      <c r="AA57" s="65" t="n">
        <f aca="false">IF(AA$4=1,Inputs!$E$29,0)</f>
        <v>0</v>
      </c>
      <c r="AB57" s="65" t="n">
        <f aca="false">IF(AB$4=1,Inputs!$E$29,0)</f>
        <v>0</v>
      </c>
      <c r="AC57" s="65" t="n">
        <f aca="false">IF(AC$4=1,Inputs!$E$29,0)</f>
        <v>0</v>
      </c>
      <c r="AD57" s="65" t="n">
        <f aca="false">IF(AD$4=1,Inputs!$E$29,0)</f>
        <v>0</v>
      </c>
      <c r="AE57" s="65" t="n">
        <f aca="false">IF(AE$4=1,Inputs!$E$29,0)</f>
        <v>0</v>
      </c>
      <c r="AF57" s="65" t="n">
        <f aca="false">IF(AF$4=1,Inputs!$E$29,0)</f>
        <v>0</v>
      </c>
      <c r="AG57" s="65" t="n">
        <f aca="false">IF(AG$4=1,Inputs!$E$29,0)</f>
        <v>0</v>
      </c>
      <c r="AH57" s="65" t="n">
        <f aca="false">IF(AH$4=1,Inputs!$E$29,0)</f>
        <v>0</v>
      </c>
      <c r="AI57" s="65" t="n">
        <f aca="false">IF(AI$4=1,Inputs!$E$29,0)</f>
        <v>0</v>
      </c>
      <c r="AJ57" s="65" t="n">
        <f aca="false">IF(AJ$4=1,Inputs!$E$29,0)</f>
        <v>0</v>
      </c>
      <c r="AK57" s="65" t="n">
        <f aca="false">IF(AK$4=1,Inputs!$E$29,0)</f>
        <v>0</v>
      </c>
      <c r="AL57" s="65" t="n">
        <f aca="false">IF(AL$4=1,Inputs!$E$29,0)</f>
        <v>0</v>
      </c>
    </row>
    <row r="58" customFormat="false" ht="15" hidden="false" customHeight="false" outlineLevel="0" collapsed="false">
      <c r="A58" s="6" t="s">
        <v>54</v>
      </c>
      <c r="C58" s="65" t="n">
        <f aca="false">C57+C42+C43</f>
        <v>220000</v>
      </c>
      <c r="D58" s="65" t="n">
        <f aca="false">D57+D42+D43</f>
        <v>-1333.33333333333</v>
      </c>
      <c r="E58" s="65" t="n">
        <f aca="false">E57+E42+E43</f>
        <v>-1333.33333333333</v>
      </c>
      <c r="F58" s="65" t="n">
        <f aca="false">F57+F42+F43</f>
        <v>-1333.33333333333</v>
      </c>
      <c r="G58" s="65" t="n">
        <f aca="false">G57+G42+G43</f>
        <v>-1333.33333333333</v>
      </c>
      <c r="H58" s="65" t="n">
        <f aca="false">H57+H42+H43</f>
        <v>-1333.33333333333</v>
      </c>
      <c r="I58" s="65" t="n">
        <f aca="false">I57+I42+I43</f>
        <v>-1333.33333333333</v>
      </c>
      <c r="J58" s="65" t="n">
        <f aca="false">J57+J42+J43</f>
        <v>-1333.33333333333</v>
      </c>
      <c r="K58" s="65" t="n">
        <f aca="false">K57+K42+K43</f>
        <v>-1333.33333333333</v>
      </c>
      <c r="L58" s="65" t="n">
        <f aca="false">L57+L42+L43</f>
        <v>-1333.33333333333</v>
      </c>
      <c r="M58" s="65" t="n">
        <f aca="false">M57+M42+M43</f>
        <v>-1333.33333333333</v>
      </c>
      <c r="N58" s="65" t="n">
        <f aca="false">N57+N42+N43</f>
        <v>-1333.33333333333</v>
      </c>
      <c r="O58" s="65" t="n">
        <f aca="false">O57+O42+O43</f>
        <v>-1333.33333333333</v>
      </c>
      <c r="P58" s="65" t="n">
        <f aca="false">P57+P42+P43</f>
        <v>-1333.33333333333</v>
      </c>
      <c r="Q58" s="65" t="n">
        <f aca="false">Q57+Q42+Q43</f>
        <v>-1333.33333333333</v>
      </c>
      <c r="R58" s="65" t="n">
        <f aca="false">R57+R42+R43</f>
        <v>-1333.33333333333</v>
      </c>
      <c r="S58" s="65" t="n">
        <f aca="false">S57+S42+S43</f>
        <v>-1333.33333333333</v>
      </c>
      <c r="T58" s="65" t="n">
        <f aca="false">T57+T42+T43</f>
        <v>-1333.33333333333</v>
      </c>
      <c r="U58" s="65" t="n">
        <f aca="false">U57+U42+U43</f>
        <v>-1333.33333333333</v>
      </c>
      <c r="V58" s="65" t="n">
        <f aca="false">V57+V42+V43</f>
        <v>-1333.33333333333</v>
      </c>
      <c r="W58" s="65" t="n">
        <f aca="false">W57+W42+W43</f>
        <v>-1333.33333333333</v>
      </c>
      <c r="X58" s="65" t="n">
        <f aca="false">X57+X42+X43</f>
        <v>-1333.33333333333</v>
      </c>
      <c r="Y58" s="65" t="n">
        <f aca="false">Y57+Y42+Y43</f>
        <v>-1333.33333333333</v>
      </c>
      <c r="Z58" s="65" t="n">
        <f aca="false">Z57+Z42+Z43</f>
        <v>-1333.33333333333</v>
      </c>
      <c r="AA58" s="65" t="n">
        <f aca="false">AA57+AA42+AA43</f>
        <v>-1333.33333333333</v>
      </c>
      <c r="AB58" s="65" t="n">
        <f aca="false">AB57+AB42+AB43</f>
        <v>-1333.33333333333</v>
      </c>
      <c r="AC58" s="65" t="n">
        <f aca="false">AC57+AC42+AC43</f>
        <v>-1333.33333333333</v>
      </c>
      <c r="AD58" s="65" t="n">
        <f aca="false">AD57+AD42+AD43</f>
        <v>-1333.33333333333</v>
      </c>
      <c r="AE58" s="65" t="n">
        <f aca="false">AE57+AE42+AE43</f>
        <v>-1333.33333333333</v>
      </c>
      <c r="AF58" s="65" t="n">
        <f aca="false">AF57+AF42+AF43</f>
        <v>-1333.33333333333</v>
      </c>
      <c r="AG58" s="65" t="n">
        <f aca="false">AG57+AG42+AG43</f>
        <v>-1333.33333333333</v>
      </c>
      <c r="AH58" s="65" t="n">
        <f aca="false">AH57+AH42+AH43</f>
        <v>-1333.33333333333</v>
      </c>
      <c r="AI58" s="65" t="n">
        <f aca="false">AI57+AI42+AI43</f>
        <v>-1333.33333333333</v>
      </c>
      <c r="AJ58" s="65" t="n">
        <f aca="false">AJ57+AJ42+AJ43</f>
        <v>-1333.33333333333</v>
      </c>
      <c r="AK58" s="65" t="n">
        <f aca="false">AK57+AK42+AK43</f>
        <v>-1333.33333333333</v>
      </c>
      <c r="AL58" s="65" t="n">
        <f aca="false">AL57+AL42+AL43</f>
        <v>-1333.33333333333</v>
      </c>
    </row>
    <row r="59" customFormat="false" ht="15" hidden="false" customHeight="false" outlineLevel="0" collapsed="false">
      <c r="A59" s="108" t="s">
        <v>350</v>
      </c>
      <c r="C59" s="66" t="n">
        <f aca="false">C55+C56+C58</f>
        <v>52658.5333333333</v>
      </c>
      <c r="D59" s="66" t="n">
        <f aca="false">D55+D56+D58</f>
        <v>-7140.68888888889</v>
      </c>
      <c r="E59" s="66" t="n">
        <f aca="false">E55+E56+E58</f>
        <v>-5467.80000000001</v>
      </c>
      <c r="F59" s="66" t="n">
        <f aca="false">F55+F56+F58</f>
        <v>-3794.91111111111</v>
      </c>
      <c r="G59" s="66" t="n">
        <f aca="false">G55+G56+G58</f>
        <v>-2122.02222222223</v>
      </c>
      <c r="H59" s="66" t="n">
        <f aca="false">H55+H56+H58</f>
        <v>-449.133333333336</v>
      </c>
      <c r="I59" s="66" t="n">
        <f aca="false">I55+I56+I58</f>
        <v>1223.75555555555</v>
      </c>
      <c r="J59" s="66" t="n">
        <f aca="false">J55+J56+J58</f>
        <v>1205.77777777778</v>
      </c>
      <c r="K59" s="66" t="n">
        <f aca="false">K55+K56+K58</f>
        <v>1214.66666666666</v>
      </c>
      <c r="L59" s="66" t="n">
        <f aca="false">L55+L56+L58</f>
        <v>1223.55555555555</v>
      </c>
      <c r="M59" s="66" t="n">
        <f aca="false">M55+M56+M58</f>
        <v>1232.44444444444</v>
      </c>
      <c r="N59" s="66" t="n">
        <f aca="false">N55+N56+N58</f>
        <v>1241.33333333333</v>
      </c>
      <c r="O59" s="66" t="n">
        <f aca="false">O55+O56+O58</f>
        <v>2799.28094222222</v>
      </c>
      <c r="P59" s="66" t="n">
        <f aca="false">P55+P56+P58</f>
        <v>2778.57351111111</v>
      </c>
      <c r="Q59" s="66" t="n">
        <f aca="false">Q55+Q56+Q58</f>
        <v>2787.4624</v>
      </c>
      <c r="R59" s="66" t="n">
        <f aca="false">R55+R56+R58</f>
        <v>2796.35128888889</v>
      </c>
      <c r="S59" s="66" t="n">
        <f aca="false">S55+S56+S58</f>
        <v>2805.24017777778</v>
      </c>
      <c r="T59" s="66" t="n">
        <f aca="false">T55+T56+T58</f>
        <v>2814.12906666667</v>
      </c>
      <c r="U59" s="66" t="n">
        <f aca="false">U55+U56+U58</f>
        <v>2823.01795555556</v>
      </c>
      <c r="V59" s="66" t="n">
        <f aca="false">V55+V56+V58</f>
        <v>2831.90684444445</v>
      </c>
      <c r="W59" s="66" t="n">
        <f aca="false">W55+W56+W58</f>
        <v>2840.79573333334</v>
      </c>
      <c r="X59" s="66" t="n">
        <f aca="false">X55+X56+X58</f>
        <v>2849.68462222222</v>
      </c>
      <c r="Y59" s="66" t="n">
        <f aca="false">Y55+Y56+Y58</f>
        <v>2858.57351111111</v>
      </c>
      <c r="Z59" s="66" t="n">
        <f aca="false">Z55+Z56+Z58</f>
        <v>2867.4624</v>
      </c>
      <c r="AA59" s="66" t="n">
        <f aca="false">AA55+AA56+AA58</f>
        <v>3860.05252643769</v>
      </c>
      <c r="AB59" s="66" t="n">
        <f aca="false">AB55+AB56+AB58</f>
        <v>3725.22006781725</v>
      </c>
      <c r="AC59" s="66" t="n">
        <f aca="false">AC55+AC56+AC58</f>
        <v>3732.24229003947</v>
      </c>
      <c r="AD59" s="66" t="n">
        <f aca="false">AD55+AD56+AD58</f>
        <v>3739.26451226169</v>
      </c>
      <c r="AE59" s="66" t="n">
        <f aca="false">AE55+AE56+AE58</f>
        <v>3746.28673448392</v>
      </c>
      <c r="AF59" s="66" t="n">
        <f aca="false">AF55+AF56+AF58</f>
        <v>3753.30895670614</v>
      </c>
      <c r="AG59" s="66" t="n">
        <f aca="false">AG55+AG56+AG58</f>
        <v>3760.33117892836</v>
      </c>
      <c r="AH59" s="66" t="n">
        <f aca="false">AH55+AH56+AH58</f>
        <v>3767.35340115058</v>
      </c>
      <c r="AI59" s="66" t="n">
        <f aca="false">AI55+AI56+AI58</f>
        <v>3774.3756233728</v>
      </c>
      <c r="AJ59" s="66" t="n">
        <f aca="false">AJ55+AJ56+AJ58</f>
        <v>3781.39784559503</v>
      </c>
      <c r="AK59" s="66" t="n">
        <f aca="false">AK55+AK56+AK58</f>
        <v>3788.42006781725</v>
      </c>
      <c r="AL59" s="66" t="n">
        <f aca="false">AL55+AL56+AL58</f>
        <v>3795.44229003947</v>
      </c>
    </row>
    <row r="60" customFormat="false" ht="15" hidden="false" customHeight="false" outlineLevel="0" collapsed="false">
      <c r="A60" s="6" t="s">
        <v>292</v>
      </c>
      <c r="C60" s="65" t="n">
        <f aca="false">0</f>
        <v>0</v>
      </c>
      <c r="D60" s="65" t="n">
        <f aca="false">C61</f>
        <v>52658.5333333333</v>
      </c>
      <c r="E60" s="65" t="n">
        <f aca="false">D61</f>
        <v>45517.8444444444</v>
      </c>
      <c r="F60" s="65" t="n">
        <f aca="false">E61</f>
        <v>40050.0444444444</v>
      </c>
      <c r="G60" s="65" t="n">
        <f aca="false">F61</f>
        <v>36255.1333333333</v>
      </c>
      <c r="H60" s="65" t="n">
        <f aca="false">G61</f>
        <v>34133.1111111111</v>
      </c>
      <c r="I60" s="65" t="n">
        <f aca="false">H61</f>
        <v>33683.9777777778</v>
      </c>
      <c r="J60" s="65" t="n">
        <f aca="false">I61</f>
        <v>34907.7333333333</v>
      </c>
      <c r="K60" s="65" t="n">
        <f aca="false">J61</f>
        <v>36113.5111111111</v>
      </c>
      <c r="L60" s="65" t="n">
        <f aca="false">K61</f>
        <v>37328.1777777777</v>
      </c>
      <c r="M60" s="65" t="n">
        <f aca="false">L61</f>
        <v>38551.7333333333</v>
      </c>
      <c r="N60" s="65" t="n">
        <f aca="false">M61</f>
        <v>39784.1777777777</v>
      </c>
      <c r="O60" s="65" t="n">
        <f aca="false">N61</f>
        <v>41025.5111111111</v>
      </c>
      <c r="P60" s="65" t="n">
        <f aca="false">O61</f>
        <v>43824.7920533333</v>
      </c>
      <c r="Q60" s="65" t="n">
        <f aca="false">P61</f>
        <v>46603.3655644444</v>
      </c>
      <c r="R60" s="65" t="n">
        <f aca="false">Q61</f>
        <v>49390.8279644444</v>
      </c>
      <c r="S60" s="65" t="n">
        <f aca="false">R61</f>
        <v>52187.1792533333</v>
      </c>
      <c r="T60" s="65" t="n">
        <f aca="false">S61</f>
        <v>54992.4194311111</v>
      </c>
      <c r="U60" s="65" t="n">
        <f aca="false">T61</f>
        <v>57806.5484977778</v>
      </c>
      <c r="V60" s="65" t="n">
        <f aca="false">U61</f>
        <v>60629.5664533333</v>
      </c>
      <c r="W60" s="65" t="n">
        <f aca="false">V61</f>
        <v>63461.4732977778</v>
      </c>
      <c r="X60" s="65" t="n">
        <f aca="false">W61</f>
        <v>66302.2690311111</v>
      </c>
      <c r="Y60" s="65" t="n">
        <f aca="false">X61</f>
        <v>69151.9536533333</v>
      </c>
      <c r="Z60" s="65" t="n">
        <f aca="false">Y61</f>
        <v>72010.5271644444</v>
      </c>
      <c r="AA60" s="65" t="n">
        <f aca="false">Z61</f>
        <v>74877.9895644444</v>
      </c>
      <c r="AB60" s="65" t="n">
        <f aca="false">AA61</f>
        <v>78738.0420908821</v>
      </c>
      <c r="AC60" s="65" t="n">
        <f aca="false">AB61</f>
        <v>82463.2621586994</v>
      </c>
      <c r="AD60" s="65" t="n">
        <f aca="false">AC61</f>
        <v>86195.5044487389</v>
      </c>
      <c r="AE60" s="65" t="n">
        <f aca="false">AD61</f>
        <v>89934.7689610006</v>
      </c>
      <c r="AF60" s="65" t="n">
        <f aca="false">AE61</f>
        <v>93681.0556954845</v>
      </c>
      <c r="AG60" s="65" t="n">
        <f aca="false">AF61</f>
        <v>97434.3646521906</v>
      </c>
      <c r="AH60" s="65" t="n">
        <f aca="false">AG61</f>
        <v>101194.695831119</v>
      </c>
      <c r="AI60" s="65" t="n">
        <f aca="false">AH61</f>
        <v>104962.04923227</v>
      </c>
      <c r="AJ60" s="65" t="n">
        <f aca="false">AI61</f>
        <v>108736.424855642</v>
      </c>
      <c r="AK60" s="65" t="n">
        <f aca="false">AJ61</f>
        <v>112517.822701237</v>
      </c>
      <c r="AL60" s="65" t="n">
        <f aca="false">AK61</f>
        <v>116306.242769055</v>
      </c>
    </row>
    <row r="61" customFormat="false" ht="15" hidden="false" customHeight="false" outlineLevel="0" collapsed="false">
      <c r="A61" s="108" t="s">
        <v>85</v>
      </c>
      <c r="C61" s="66" t="n">
        <f aca="false">C60+C59</f>
        <v>52658.5333333333</v>
      </c>
      <c r="D61" s="66" t="n">
        <f aca="false">D60+D59</f>
        <v>45517.8444444444</v>
      </c>
      <c r="E61" s="66" t="n">
        <f aca="false">E60+E59</f>
        <v>40050.0444444444</v>
      </c>
      <c r="F61" s="66" t="n">
        <f aca="false">F60+F59</f>
        <v>36255.1333333333</v>
      </c>
      <c r="G61" s="66" t="n">
        <f aca="false">G60+G59</f>
        <v>34133.1111111111</v>
      </c>
      <c r="H61" s="66" t="n">
        <f aca="false">H60+H59</f>
        <v>33683.9777777778</v>
      </c>
      <c r="I61" s="66" t="n">
        <f aca="false">I60+I59</f>
        <v>34907.7333333333</v>
      </c>
      <c r="J61" s="66" t="n">
        <f aca="false">J60+J59</f>
        <v>36113.5111111111</v>
      </c>
      <c r="K61" s="66" t="n">
        <f aca="false">K60+K59</f>
        <v>37328.1777777777</v>
      </c>
      <c r="L61" s="66" t="n">
        <f aca="false">L60+L59</f>
        <v>38551.7333333333</v>
      </c>
      <c r="M61" s="66" t="n">
        <f aca="false">M60+M59</f>
        <v>39784.1777777777</v>
      </c>
      <c r="N61" s="66" t="n">
        <f aca="false">N60+N59</f>
        <v>41025.5111111111</v>
      </c>
      <c r="O61" s="66" t="n">
        <f aca="false">O60+O59</f>
        <v>43824.7920533333</v>
      </c>
      <c r="P61" s="66" t="n">
        <f aca="false">P60+P59</f>
        <v>46603.3655644444</v>
      </c>
      <c r="Q61" s="66" t="n">
        <f aca="false">Q60+Q59</f>
        <v>49390.8279644444</v>
      </c>
      <c r="R61" s="66" t="n">
        <f aca="false">R60+R59</f>
        <v>52187.1792533333</v>
      </c>
      <c r="S61" s="66" t="n">
        <f aca="false">S60+S59</f>
        <v>54992.4194311111</v>
      </c>
      <c r="T61" s="66" t="n">
        <f aca="false">T60+T59</f>
        <v>57806.5484977778</v>
      </c>
      <c r="U61" s="66" t="n">
        <f aca="false">U60+U59</f>
        <v>60629.5664533333</v>
      </c>
      <c r="V61" s="66" t="n">
        <f aca="false">V60+V59</f>
        <v>63461.4732977778</v>
      </c>
      <c r="W61" s="66" t="n">
        <f aca="false">W60+W59</f>
        <v>66302.2690311111</v>
      </c>
      <c r="X61" s="66" t="n">
        <f aca="false">X60+X59</f>
        <v>69151.9536533333</v>
      </c>
      <c r="Y61" s="66" t="n">
        <f aca="false">Y60+Y59</f>
        <v>72010.5271644444</v>
      </c>
      <c r="Z61" s="66" t="n">
        <f aca="false">Z60+Z59</f>
        <v>74877.9895644444</v>
      </c>
      <c r="AA61" s="66" t="n">
        <f aca="false">AA60+AA59</f>
        <v>78738.0420908821</v>
      </c>
      <c r="AB61" s="66" t="n">
        <f aca="false">AB60+AB59</f>
        <v>82463.2621586994</v>
      </c>
      <c r="AC61" s="66" t="n">
        <f aca="false">AC60+AC59</f>
        <v>86195.5044487389</v>
      </c>
      <c r="AD61" s="66" t="n">
        <f aca="false">AD60+AD59</f>
        <v>89934.7689610006</v>
      </c>
      <c r="AE61" s="66" t="n">
        <f aca="false">AE60+AE59</f>
        <v>93681.0556954845</v>
      </c>
      <c r="AF61" s="66" t="n">
        <f aca="false">AF60+AF59</f>
        <v>97434.3646521906</v>
      </c>
      <c r="AG61" s="66" t="n">
        <f aca="false">AG60+AG59</f>
        <v>101194.695831119</v>
      </c>
      <c r="AH61" s="66" t="n">
        <f aca="false">AH60+AH59</f>
        <v>104962.04923227</v>
      </c>
      <c r="AI61" s="66" t="n">
        <f aca="false">AI60+AI59</f>
        <v>108736.424855642</v>
      </c>
      <c r="AJ61" s="66" t="n">
        <f aca="false">AJ60+AJ59</f>
        <v>112517.822701237</v>
      </c>
      <c r="AK61" s="66" t="n">
        <f aca="false">AK60+AK59</f>
        <v>116306.242769055</v>
      </c>
      <c r="AL61" s="66" t="n">
        <f aca="false">AL60+AL59</f>
        <v>120101.685059094</v>
      </c>
    </row>
    <row r="62" customFormat="false" ht="15" hidden="false" customHeight="false" outlineLevel="0" collapsed="false">
      <c r="A62" s="114" t="s">
        <v>351</v>
      </c>
      <c r="C62" s="113" t="n">
        <f aca="false">IF(C22&gt;0,1,0)</f>
        <v>0</v>
      </c>
      <c r="D62" s="113" t="n">
        <f aca="false">IF(D22&gt;0,1,0)</f>
        <v>0</v>
      </c>
      <c r="E62" s="113" t="n">
        <f aca="false">IF(E22&gt;0,1,0)</f>
        <v>0</v>
      </c>
      <c r="F62" s="113" t="n">
        <f aca="false">IF(F22&gt;0,1,0)</f>
        <v>0</v>
      </c>
      <c r="G62" s="113" t="n">
        <f aca="false">IF(G22&gt;0,1,0)</f>
        <v>0</v>
      </c>
      <c r="H62" s="113" t="n">
        <f aca="false">IF(H22&gt;0,1,0)</f>
        <v>1</v>
      </c>
      <c r="I62" s="113" t="n">
        <f aca="false">IF(I22&gt;0,1,0)</f>
        <v>1</v>
      </c>
      <c r="J62" s="113" t="n">
        <f aca="false">IF(J22&gt;0,1,0)</f>
        <v>1</v>
      </c>
      <c r="K62" s="113" t="n">
        <f aca="false">IF(K22&gt;0,1,0)</f>
        <v>1</v>
      </c>
      <c r="L62" s="113" t="n">
        <f aca="false">IF(L22&gt;0,1,0)</f>
        <v>1</v>
      </c>
      <c r="M62" s="113" t="n">
        <f aca="false">IF(M22&gt;0,1,0)</f>
        <v>1</v>
      </c>
      <c r="N62" s="113" t="n">
        <f aca="false">IF(N22&gt;0,1,0)</f>
        <v>1</v>
      </c>
      <c r="O62" s="113" t="n">
        <f aca="false">IF(O22&gt;0,1,0)</f>
        <v>1</v>
      </c>
      <c r="P62" s="113" t="n">
        <f aca="false">IF(P22&gt;0,1,0)</f>
        <v>1</v>
      </c>
      <c r="Q62" s="113" t="n">
        <f aca="false">IF(Q22&gt;0,1,0)</f>
        <v>1</v>
      </c>
      <c r="R62" s="113" t="n">
        <f aca="false">IF(R22&gt;0,1,0)</f>
        <v>1</v>
      </c>
      <c r="S62" s="113" t="n">
        <f aca="false">IF(S22&gt;0,1,0)</f>
        <v>1</v>
      </c>
      <c r="T62" s="113" t="n">
        <f aca="false">IF(T22&gt;0,1,0)</f>
        <v>1</v>
      </c>
      <c r="U62" s="113" t="n">
        <f aca="false">IF(U22&gt;0,1,0)</f>
        <v>1</v>
      </c>
      <c r="V62" s="113" t="n">
        <f aca="false">IF(V22&gt;0,1,0)</f>
        <v>1</v>
      </c>
      <c r="W62" s="113" t="n">
        <f aca="false">IF(W22&gt;0,1,0)</f>
        <v>1</v>
      </c>
      <c r="X62" s="113" t="n">
        <f aca="false">IF(X22&gt;0,1,0)</f>
        <v>1</v>
      </c>
      <c r="Y62" s="113" t="n">
        <f aca="false">IF(Y22&gt;0,1,0)</f>
        <v>1</v>
      </c>
      <c r="Z62" s="113" t="n">
        <f aca="false">IF(Z22&gt;0,1,0)</f>
        <v>1</v>
      </c>
      <c r="AA62" s="113" t="n">
        <f aca="false">IF(AA22&gt;0,1,0)</f>
        <v>1</v>
      </c>
      <c r="AB62" s="113" t="n">
        <f aca="false">IF(AB22&gt;0,1,0)</f>
        <v>1</v>
      </c>
      <c r="AC62" s="113" t="n">
        <f aca="false">IF(AC22&gt;0,1,0)</f>
        <v>1</v>
      </c>
      <c r="AD62" s="113" t="n">
        <f aca="false">IF(AD22&gt;0,1,0)</f>
        <v>1</v>
      </c>
      <c r="AE62" s="113" t="n">
        <f aca="false">IF(AE22&gt;0,1,0)</f>
        <v>1</v>
      </c>
      <c r="AF62" s="113" t="n">
        <f aca="false">IF(AF22&gt;0,1,0)</f>
        <v>1</v>
      </c>
      <c r="AG62" s="113" t="n">
        <f aca="false">IF(AG22&gt;0,1,0)</f>
        <v>1</v>
      </c>
      <c r="AH62" s="113" t="n">
        <f aca="false">IF(AH22&gt;0,1,0)</f>
        <v>1</v>
      </c>
      <c r="AI62" s="113" t="n">
        <f aca="false">IF(AI22&gt;0,1,0)</f>
        <v>1</v>
      </c>
      <c r="AJ62" s="113" t="n">
        <f aca="false">IF(AJ22&gt;0,1,0)</f>
        <v>1</v>
      </c>
      <c r="AK62" s="113" t="n">
        <f aca="false">IF(AK22&gt;0,1,0)</f>
        <v>1</v>
      </c>
      <c r="AL62" s="113" t="n">
        <f aca="false">IF(AL22&gt;0,1,0)</f>
        <v>1</v>
      </c>
    </row>
    <row r="64" customFormat="false" ht="15.75" hidden="false" customHeight="true" outlineLevel="0" collapsed="false">
      <c r="A64" s="7" t="s">
        <v>352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114" t="s">
        <v>353</v>
      </c>
      <c r="C65" s="113" t="n">
        <f aca="false">IF(C31&gt;0,1,0)</f>
        <v>0</v>
      </c>
      <c r="D65" s="113" t="n">
        <f aca="false">IF(D31&gt;0,1,0)</f>
        <v>0</v>
      </c>
      <c r="E65" s="113" t="n">
        <f aca="false">IF(E31&gt;0,1,0)</f>
        <v>0</v>
      </c>
      <c r="F65" s="113" t="n">
        <f aca="false">IF(F31&gt;0,1,0)</f>
        <v>0</v>
      </c>
      <c r="G65" s="113" t="n">
        <f aca="false">IF(G31&gt;0,1,0)</f>
        <v>0</v>
      </c>
      <c r="H65" s="113" t="n">
        <f aca="false">IF(H31&gt;0,1,0)</f>
        <v>0</v>
      </c>
      <c r="I65" s="113" t="n">
        <f aca="false">IF(I31&gt;0,1,0)</f>
        <v>1</v>
      </c>
      <c r="J65" s="113" t="n">
        <f aca="false">IF(J31&gt;0,1,0)</f>
        <v>1</v>
      </c>
      <c r="K65" s="113" t="n">
        <f aca="false">IF(K31&gt;0,1,0)</f>
        <v>1</v>
      </c>
      <c r="L65" s="113" t="n">
        <f aca="false">IF(L31&gt;0,1,0)</f>
        <v>1</v>
      </c>
      <c r="M65" s="113" t="n">
        <f aca="false">IF(M31&gt;0,1,0)</f>
        <v>1</v>
      </c>
      <c r="N65" s="113" t="n">
        <f aca="false">IF(N31&gt;0,1,0)</f>
        <v>1</v>
      </c>
      <c r="O65" s="113" t="n">
        <f aca="false">IF(O31&gt;0,1,0)</f>
        <v>1</v>
      </c>
      <c r="P65" s="113" t="n">
        <f aca="false">IF(P31&gt;0,1,0)</f>
        <v>1</v>
      </c>
      <c r="Q65" s="113" t="n">
        <f aca="false">IF(Q31&gt;0,1,0)</f>
        <v>1</v>
      </c>
      <c r="R65" s="113" t="n">
        <f aca="false">IF(R31&gt;0,1,0)</f>
        <v>1</v>
      </c>
      <c r="S65" s="113" t="n">
        <f aca="false">IF(S31&gt;0,1,0)</f>
        <v>1</v>
      </c>
      <c r="T65" s="113" t="n">
        <f aca="false">IF(T31&gt;0,1,0)</f>
        <v>1</v>
      </c>
      <c r="U65" s="113" t="n">
        <f aca="false">IF(U31&gt;0,1,0)</f>
        <v>1</v>
      </c>
      <c r="V65" s="113" t="n">
        <f aca="false">IF(V31&gt;0,1,0)</f>
        <v>1</v>
      </c>
      <c r="W65" s="113" t="n">
        <f aca="false">IF(W31&gt;0,1,0)</f>
        <v>1</v>
      </c>
      <c r="X65" s="113" t="n">
        <f aca="false">IF(X31&gt;0,1,0)</f>
        <v>1</v>
      </c>
      <c r="Y65" s="113" t="n">
        <f aca="false">IF(Y31&gt;0,1,0)</f>
        <v>1</v>
      </c>
      <c r="Z65" s="113" t="n">
        <f aca="false">IF(Z31&gt;0,1,0)</f>
        <v>1</v>
      </c>
      <c r="AA65" s="113" t="n">
        <f aca="false">IF(AA31&gt;0,1,0)</f>
        <v>1</v>
      </c>
      <c r="AB65" s="113" t="n">
        <f aca="false">IF(AB31&gt;0,1,0)</f>
        <v>1</v>
      </c>
      <c r="AC65" s="113" t="n">
        <f aca="false">IF(AC31&gt;0,1,0)</f>
        <v>1</v>
      </c>
      <c r="AD65" s="113" t="n">
        <f aca="false">IF(AD31&gt;0,1,0)</f>
        <v>1</v>
      </c>
      <c r="AE65" s="113" t="n">
        <f aca="false">IF(AE31&gt;0,1,0)</f>
        <v>1</v>
      </c>
      <c r="AF65" s="113" t="n">
        <f aca="false">IF(AF31&gt;0,1,0)</f>
        <v>1</v>
      </c>
      <c r="AG65" s="113" t="n">
        <f aca="false">IF(AG31&gt;0,1,0)</f>
        <v>1</v>
      </c>
      <c r="AH65" s="113" t="n">
        <f aca="false">IF(AH31&gt;0,1,0)</f>
        <v>1</v>
      </c>
      <c r="AI65" s="113" t="n">
        <f aca="false">IF(AI31&gt;0,1,0)</f>
        <v>1</v>
      </c>
      <c r="AJ65" s="113" t="n">
        <f aca="false">IF(AJ31&gt;0,1,0)</f>
        <v>1</v>
      </c>
      <c r="AK65" s="113" t="n">
        <f aca="false">IF(AK31&gt;0,1,0)</f>
        <v>1</v>
      </c>
      <c r="AL65" s="113" t="n">
        <f aca="false">IF(AL31&gt;0,1,0)</f>
        <v>1</v>
      </c>
    </row>
    <row r="66" customFormat="false" ht="15" hidden="false" customHeight="false" outlineLevel="0" collapsed="false">
      <c r="A66" s="6" t="s">
        <v>354</v>
      </c>
      <c r="C66" s="65" t="n">
        <f aca="false">C55+C56</f>
        <v>-167341.466666667</v>
      </c>
      <c r="D66" s="65" t="n">
        <f aca="false">D55+D56</f>
        <v>-5807.35555555556</v>
      </c>
      <c r="E66" s="65" t="n">
        <f aca="false">E55+E56</f>
        <v>-4134.46666666667</v>
      </c>
      <c r="F66" s="65" t="n">
        <f aca="false">F55+F56</f>
        <v>-2461.57777777778</v>
      </c>
      <c r="G66" s="65" t="n">
        <f aca="false">G55+G56</f>
        <v>-788.688888888894</v>
      </c>
      <c r="H66" s="65" t="n">
        <f aca="false">H55+H56</f>
        <v>884.199999999997</v>
      </c>
      <c r="I66" s="65" t="n">
        <f aca="false">I55+I56</f>
        <v>2557.08888888889</v>
      </c>
      <c r="J66" s="65" t="n">
        <f aca="false">J55+J56</f>
        <v>2539.11111111111</v>
      </c>
      <c r="K66" s="65" t="n">
        <f aca="false">K55+K56</f>
        <v>2548</v>
      </c>
      <c r="L66" s="65" t="n">
        <f aca="false">L55+L56</f>
        <v>2556.88888888889</v>
      </c>
      <c r="M66" s="65" t="n">
        <f aca="false">M55+M56</f>
        <v>2565.77777777778</v>
      </c>
      <c r="N66" s="65" t="n">
        <f aca="false">N55+N56</f>
        <v>2574.66666666666</v>
      </c>
      <c r="O66" s="65" t="n">
        <f aca="false">O55+O56</f>
        <v>4132.61427555556</v>
      </c>
      <c r="P66" s="65" t="n">
        <f aca="false">P55+P56</f>
        <v>4111.90684444445</v>
      </c>
      <c r="Q66" s="65" t="n">
        <f aca="false">Q55+Q56</f>
        <v>4120.79573333334</v>
      </c>
      <c r="R66" s="65" t="n">
        <f aca="false">R55+R56</f>
        <v>4129.68462222222</v>
      </c>
      <c r="S66" s="65" t="n">
        <f aca="false">S55+S56</f>
        <v>4138.57351111111</v>
      </c>
      <c r="T66" s="65" t="n">
        <f aca="false">T55+T56</f>
        <v>4147.4624</v>
      </c>
      <c r="U66" s="65" t="n">
        <f aca="false">U55+U56</f>
        <v>4156.35128888889</v>
      </c>
      <c r="V66" s="65" t="n">
        <f aca="false">V55+V56</f>
        <v>4165.24017777778</v>
      </c>
      <c r="W66" s="65" t="n">
        <f aca="false">W55+W56</f>
        <v>4174.12906666667</v>
      </c>
      <c r="X66" s="65" t="n">
        <f aca="false">X55+X56</f>
        <v>4183.01795555556</v>
      </c>
      <c r="Y66" s="65" t="n">
        <f aca="false">Y55+Y56</f>
        <v>4191.90684444445</v>
      </c>
      <c r="Z66" s="65" t="n">
        <f aca="false">Z55+Z56</f>
        <v>4200.79573333334</v>
      </c>
      <c r="AA66" s="65" t="n">
        <f aca="false">AA55+AA56</f>
        <v>5193.38585977103</v>
      </c>
      <c r="AB66" s="65" t="n">
        <f aca="false">AB55+AB56</f>
        <v>5058.55340115058</v>
      </c>
      <c r="AC66" s="65" t="n">
        <f aca="false">AC55+AC56</f>
        <v>5065.5756233728</v>
      </c>
      <c r="AD66" s="65" t="n">
        <f aca="false">AD55+AD56</f>
        <v>5072.59784559503</v>
      </c>
      <c r="AE66" s="65" t="n">
        <f aca="false">AE55+AE56</f>
        <v>5079.62006781725</v>
      </c>
      <c r="AF66" s="65" t="n">
        <f aca="false">AF55+AF56</f>
        <v>5086.64229003947</v>
      </c>
      <c r="AG66" s="65" t="n">
        <f aca="false">AG55+AG56</f>
        <v>5093.66451226169</v>
      </c>
      <c r="AH66" s="65" t="n">
        <f aca="false">AH55+AH56</f>
        <v>5100.68673448392</v>
      </c>
      <c r="AI66" s="65" t="n">
        <f aca="false">AI55+AI56</f>
        <v>5107.70895670614</v>
      </c>
      <c r="AJ66" s="65" t="n">
        <f aca="false">AJ55+AJ56</f>
        <v>5114.73117892836</v>
      </c>
      <c r="AK66" s="65" t="n">
        <f aca="false">AK55+AK56</f>
        <v>5121.75340115058</v>
      </c>
      <c r="AL66" s="65" t="n">
        <f aca="false">AL55+AL56</f>
        <v>5128.7756233728</v>
      </c>
    </row>
    <row r="67" customFormat="false" ht="15" hidden="false" customHeight="false" outlineLevel="0" collapsed="false">
      <c r="A67" s="6" t="s">
        <v>355</v>
      </c>
      <c r="C67" s="65" t="n">
        <f aca="false">C66</f>
        <v>-167341.466666667</v>
      </c>
      <c r="D67" s="65" t="n">
        <f aca="false">C67+D66</f>
        <v>-173148.822222222</v>
      </c>
      <c r="E67" s="65" t="n">
        <f aca="false">D67+E66</f>
        <v>-177283.288888889</v>
      </c>
      <c r="F67" s="65" t="n">
        <f aca="false">E67+F66</f>
        <v>-179744.866666667</v>
      </c>
      <c r="G67" s="65" t="n">
        <f aca="false">F67+G66</f>
        <v>-180533.555555556</v>
      </c>
      <c r="H67" s="65" t="n">
        <f aca="false">G67+H66</f>
        <v>-179649.355555556</v>
      </c>
      <c r="I67" s="65" t="n">
        <f aca="false">H67+I66</f>
        <v>-177092.266666667</v>
      </c>
      <c r="J67" s="65" t="n">
        <f aca="false">I67+J66</f>
        <v>-174553.155555556</v>
      </c>
      <c r="K67" s="65" t="n">
        <f aca="false">J67+K66</f>
        <v>-172005.155555556</v>
      </c>
      <c r="L67" s="65" t="n">
        <f aca="false">K67+L66</f>
        <v>-169448.266666667</v>
      </c>
      <c r="M67" s="65" t="n">
        <f aca="false">L67+M66</f>
        <v>-166882.488888889</v>
      </c>
      <c r="N67" s="65" t="n">
        <f aca="false">M67+N66</f>
        <v>-164307.822222222</v>
      </c>
      <c r="O67" s="65" t="n">
        <f aca="false">N67+O66</f>
        <v>-160175.207946667</v>
      </c>
      <c r="P67" s="65" t="n">
        <f aca="false">O67+P66</f>
        <v>-156063.301102222</v>
      </c>
      <c r="Q67" s="65" t="n">
        <f aca="false">P67+Q66</f>
        <v>-151942.505368889</v>
      </c>
      <c r="R67" s="65" t="n">
        <f aca="false">Q67+R66</f>
        <v>-147812.820746667</v>
      </c>
      <c r="S67" s="65" t="n">
        <f aca="false">R67+S66</f>
        <v>-143674.247235556</v>
      </c>
      <c r="T67" s="65" t="n">
        <f aca="false">S67+T66</f>
        <v>-139526.784835556</v>
      </c>
      <c r="U67" s="65" t="n">
        <f aca="false">T67+U66</f>
        <v>-135370.433546667</v>
      </c>
      <c r="V67" s="65" t="n">
        <f aca="false">U67+V66</f>
        <v>-131205.193368889</v>
      </c>
      <c r="W67" s="65" t="n">
        <f aca="false">V67+W66</f>
        <v>-127031.064302222</v>
      </c>
      <c r="X67" s="65" t="n">
        <f aca="false">W67+X66</f>
        <v>-122848.046346667</v>
      </c>
      <c r="Y67" s="65" t="n">
        <f aca="false">X67+Y66</f>
        <v>-118656.139502222</v>
      </c>
      <c r="Z67" s="65" t="n">
        <f aca="false">Y67+Z66</f>
        <v>-114455.343768889</v>
      </c>
      <c r="AA67" s="65" t="n">
        <f aca="false">Z67+AA66</f>
        <v>-109261.957909118</v>
      </c>
      <c r="AB67" s="65" t="n">
        <f aca="false">AA67+AB66</f>
        <v>-104203.404507967</v>
      </c>
      <c r="AC67" s="65" t="n">
        <f aca="false">AB67+AC66</f>
        <v>-99137.8288845945</v>
      </c>
      <c r="AD67" s="65" t="n">
        <f aca="false">AC67+AD66</f>
        <v>-94065.2310389995</v>
      </c>
      <c r="AE67" s="65" t="n">
        <f aca="false">AD67+AE66</f>
        <v>-88985.6109711822</v>
      </c>
      <c r="AF67" s="65" t="n">
        <f aca="false">AE67+AF66</f>
        <v>-83898.9686811427</v>
      </c>
      <c r="AG67" s="65" t="n">
        <f aca="false">AF67+AG66</f>
        <v>-78805.3041688811</v>
      </c>
      <c r="AH67" s="65" t="n">
        <f aca="false">AG67+AH66</f>
        <v>-73704.6174343971</v>
      </c>
      <c r="AI67" s="65" t="n">
        <f aca="false">AH67+AI66</f>
        <v>-68596.908477691</v>
      </c>
      <c r="AJ67" s="65" t="n">
        <f aca="false">AI67+AJ66</f>
        <v>-63482.1772987627</v>
      </c>
      <c r="AK67" s="65" t="n">
        <f aca="false">AJ67+AK66</f>
        <v>-58360.4238976121</v>
      </c>
      <c r="AL67" s="65" t="n">
        <f aca="false">AK67+AL66</f>
        <v>-53231.6482742393</v>
      </c>
    </row>
    <row r="68" customFormat="false" ht="15" hidden="false" customHeight="false" outlineLevel="0" collapsed="false">
      <c r="A68" s="114" t="s">
        <v>356</v>
      </c>
      <c r="C68" s="65" t="n">
        <f aca="false">C67</f>
        <v>-167341.466666667</v>
      </c>
      <c r="D68" s="65" t="n">
        <f aca="false">MIN(C68,D67)</f>
        <v>-173148.822222222</v>
      </c>
      <c r="E68" s="65" t="n">
        <f aca="false">MIN(D68,E67)</f>
        <v>-177283.288888889</v>
      </c>
      <c r="F68" s="65" t="n">
        <f aca="false">MIN(E68,F67)</f>
        <v>-179744.866666667</v>
      </c>
      <c r="G68" s="65" t="n">
        <f aca="false">MIN(F68,G67)</f>
        <v>-180533.555555556</v>
      </c>
      <c r="H68" s="65" t="n">
        <f aca="false">MIN(G68,H67)</f>
        <v>-180533.555555556</v>
      </c>
      <c r="I68" s="65" t="n">
        <f aca="false">MIN(H68,I67)</f>
        <v>-180533.555555556</v>
      </c>
      <c r="J68" s="65" t="n">
        <f aca="false">MIN(I68,J67)</f>
        <v>-180533.555555556</v>
      </c>
      <c r="K68" s="65" t="n">
        <f aca="false">MIN(J68,K67)</f>
        <v>-180533.555555556</v>
      </c>
      <c r="L68" s="65" t="n">
        <f aca="false">MIN(K68,L67)</f>
        <v>-180533.555555556</v>
      </c>
      <c r="M68" s="65" t="n">
        <f aca="false">MIN(L68,M67)</f>
        <v>-180533.555555556</v>
      </c>
      <c r="N68" s="65" t="n">
        <f aca="false">MIN(M68,N67)</f>
        <v>-180533.555555556</v>
      </c>
      <c r="O68" s="65" t="n">
        <f aca="false">MIN(N68,O67)</f>
        <v>-180533.555555556</v>
      </c>
      <c r="P68" s="65" t="n">
        <f aca="false">MIN(O68,P67)</f>
        <v>-180533.555555556</v>
      </c>
      <c r="Q68" s="65" t="n">
        <f aca="false">MIN(P68,Q67)</f>
        <v>-180533.555555556</v>
      </c>
      <c r="R68" s="65" t="n">
        <f aca="false">MIN(Q68,R67)</f>
        <v>-180533.555555556</v>
      </c>
      <c r="S68" s="65" t="n">
        <f aca="false">MIN(R68,S67)</f>
        <v>-180533.555555556</v>
      </c>
      <c r="T68" s="65" t="n">
        <f aca="false">MIN(S68,T67)</f>
        <v>-180533.555555556</v>
      </c>
      <c r="U68" s="65" t="n">
        <f aca="false">MIN(T68,U67)</f>
        <v>-180533.555555556</v>
      </c>
      <c r="V68" s="65" t="n">
        <f aca="false">MIN(U68,V67)</f>
        <v>-180533.555555556</v>
      </c>
      <c r="W68" s="65" t="n">
        <f aca="false">MIN(V68,W67)</f>
        <v>-180533.555555556</v>
      </c>
      <c r="X68" s="65" t="n">
        <f aca="false">MIN(W68,X67)</f>
        <v>-180533.555555556</v>
      </c>
      <c r="Y68" s="65" t="n">
        <f aca="false">MIN(X68,Y67)</f>
        <v>-180533.555555556</v>
      </c>
      <c r="Z68" s="65" t="n">
        <f aca="false">MIN(Y68,Z67)</f>
        <v>-180533.555555556</v>
      </c>
      <c r="AA68" s="65" t="n">
        <f aca="false">MIN(Z68,AA67)</f>
        <v>-180533.555555556</v>
      </c>
      <c r="AB68" s="65" t="n">
        <f aca="false">MIN(AA68,AB67)</f>
        <v>-180533.555555556</v>
      </c>
      <c r="AC68" s="65" t="n">
        <f aca="false">MIN(AB68,AC67)</f>
        <v>-180533.555555556</v>
      </c>
      <c r="AD68" s="65" t="n">
        <f aca="false">MIN(AC68,AD67)</f>
        <v>-180533.555555556</v>
      </c>
      <c r="AE68" s="65" t="n">
        <f aca="false">MIN(AD68,AE67)</f>
        <v>-180533.555555556</v>
      </c>
      <c r="AF68" s="65" t="n">
        <f aca="false">MIN(AE68,AF67)</f>
        <v>-180533.555555556</v>
      </c>
      <c r="AG68" s="65" t="n">
        <f aca="false">MIN(AF68,AG67)</f>
        <v>-180533.555555556</v>
      </c>
      <c r="AH68" s="65" t="n">
        <f aca="false">MIN(AG68,AH67)</f>
        <v>-180533.555555556</v>
      </c>
      <c r="AI68" s="65" t="n">
        <f aca="false">MIN(AH68,AI67)</f>
        <v>-180533.555555556</v>
      </c>
      <c r="AJ68" s="65" t="n">
        <f aca="false">MIN(AI68,AJ67)</f>
        <v>-180533.555555556</v>
      </c>
      <c r="AK68" s="65" t="n">
        <f aca="false">MIN(AJ68,AK67)</f>
        <v>-180533.555555556</v>
      </c>
      <c r="AL68" s="65" t="n">
        <f aca="false">MIN(AK68,AL67)</f>
        <v>-180533.555555556</v>
      </c>
    </row>
    <row r="69" customFormat="false" ht="15" hidden="false" customHeight="false" outlineLevel="0" collapsed="false">
      <c r="A69" s="114" t="s">
        <v>357</v>
      </c>
      <c r="C69" s="113" t="n">
        <f aca="false">IF(AND(C67&gt;=0,C68&lt;0),1,0)</f>
        <v>0</v>
      </c>
      <c r="D69" s="113" t="n">
        <f aca="false">IF(AND(D67&gt;=0,D68&lt;0),1,0)</f>
        <v>0</v>
      </c>
      <c r="E69" s="113" t="n">
        <f aca="false">IF(AND(E67&gt;=0,E68&lt;0),1,0)</f>
        <v>0</v>
      </c>
      <c r="F69" s="113" t="n">
        <f aca="false">IF(AND(F67&gt;=0,F68&lt;0),1,0)</f>
        <v>0</v>
      </c>
      <c r="G69" s="113" t="n">
        <f aca="false">IF(AND(G67&gt;=0,G68&lt;0),1,0)</f>
        <v>0</v>
      </c>
      <c r="H69" s="113" t="n">
        <f aca="false">IF(AND(H67&gt;=0,H68&lt;0),1,0)</f>
        <v>0</v>
      </c>
      <c r="I69" s="113" t="n">
        <f aca="false">IF(AND(I67&gt;=0,I68&lt;0),1,0)</f>
        <v>0</v>
      </c>
      <c r="J69" s="113" t="n">
        <f aca="false">IF(AND(J67&gt;=0,J68&lt;0),1,0)</f>
        <v>0</v>
      </c>
      <c r="K69" s="113" t="n">
        <f aca="false">IF(AND(K67&gt;=0,K68&lt;0),1,0)</f>
        <v>0</v>
      </c>
      <c r="L69" s="113" t="n">
        <f aca="false">IF(AND(L67&gt;=0,L68&lt;0),1,0)</f>
        <v>0</v>
      </c>
      <c r="M69" s="113" t="n">
        <f aca="false">IF(AND(M67&gt;=0,M68&lt;0),1,0)</f>
        <v>0</v>
      </c>
      <c r="N69" s="113" t="n">
        <f aca="false">IF(AND(N67&gt;=0,N68&lt;0),1,0)</f>
        <v>0</v>
      </c>
      <c r="O69" s="113" t="n">
        <f aca="false">IF(AND(O67&gt;=0,O68&lt;0),1,0)</f>
        <v>0</v>
      </c>
      <c r="P69" s="113" t="n">
        <f aca="false">IF(AND(P67&gt;=0,P68&lt;0),1,0)</f>
        <v>0</v>
      </c>
      <c r="Q69" s="113" t="n">
        <f aca="false">IF(AND(Q67&gt;=0,Q68&lt;0),1,0)</f>
        <v>0</v>
      </c>
      <c r="R69" s="113" t="n">
        <f aca="false">IF(AND(R67&gt;=0,R68&lt;0),1,0)</f>
        <v>0</v>
      </c>
      <c r="S69" s="113" t="n">
        <f aca="false">IF(AND(S67&gt;=0,S68&lt;0),1,0)</f>
        <v>0</v>
      </c>
      <c r="T69" s="113" t="n">
        <f aca="false">IF(AND(T67&gt;=0,T68&lt;0),1,0)</f>
        <v>0</v>
      </c>
      <c r="U69" s="113" t="n">
        <f aca="false">IF(AND(U67&gt;=0,U68&lt;0),1,0)</f>
        <v>0</v>
      </c>
      <c r="V69" s="113" t="n">
        <f aca="false">IF(AND(V67&gt;=0,V68&lt;0),1,0)</f>
        <v>0</v>
      </c>
      <c r="W69" s="113" t="n">
        <f aca="false">IF(AND(W67&gt;=0,W68&lt;0),1,0)</f>
        <v>0</v>
      </c>
      <c r="X69" s="113" t="n">
        <f aca="false">IF(AND(X67&gt;=0,X68&lt;0),1,0)</f>
        <v>0</v>
      </c>
      <c r="Y69" s="113" t="n">
        <f aca="false">IF(AND(Y67&gt;=0,Y68&lt;0),1,0)</f>
        <v>0</v>
      </c>
      <c r="Z69" s="113" t="n">
        <f aca="false">IF(AND(Z67&gt;=0,Z68&lt;0),1,0)</f>
        <v>0</v>
      </c>
      <c r="AA69" s="113" t="n">
        <f aca="false">IF(AND(AA67&gt;=0,AA68&lt;0),1,0)</f>
        <v>0</v>
      </c>
      <c r="AB69" s="113" t="n">
        <f aca="false">IF(AND(AB67&gt;=0,AB68&lt;0),1,0)</f>
        <v>0</v>
      </c>
      <c r="AC69" s="113" t="n">
        <f aca="false">IF(AND(AC67&gt;=0,AC68&lt;0),1,0)</f>
        <v>0</v>
      </c>
      <c r="AD69" s="113" t="n">
        <f aca="false">IF(AND(AD67&gt;=0,AD68&lt;0),1,0)</f>
        <v>0</v>
      </c>
      <c r="AE69" s="113" t="n">
        <f aca="false">IF(AND(AE67&gt;=0,AE68&lt;0),1,0)</f>
        <v>0</v>
      </c>
      <c r="AF69" s="113" t="n">
        <f aca="false">IF(AND(AF67&gt;=0,AF68&lt;0),1,0)</f>
        <v>0</v>
      </c>
      <c r="AG69" s="113" t="n">
        <f aca="false">IF(AND(AG67&gt;=0,AG68&lt;0),1,0)</f>
        <v>0</v>
      </c>
      <c r="AH69" s="113" t="n">
        <f aca="false">IF(AND(AH67&gt;=0,AH68&lt;0),1,0)</f>
        <v>0</v>
      </c>
      <c r="AI69" s="113" t="n">
        <f aca="false">IF(AND(AI67&gt;=0,AI68&lt;0),1,0)</f>
        <v>0</v>
      </c>
      <c r="AJ69" s="113" t="n">
        <f aca="false">IF(AND(AJ67&gt;=0,AJ68&lt;0),1,0)</f>
        <v>0</v>
      </c>
      <c r="AK69" s="113" t="n">
        <f aca="false">IF(AND(AK67&gt;=0,AK68&lt;0),1,0)</f>
        <v>0</v>
      </c>
      <c r="AL69" s="113" t="n">
        <f aca="false">IF(AND(AL67&gt;=0,AL68&lt;0),1,0)</f>
        <v>0</v>
      </c>
    </row>
    <row r="70" customFormat="false" ht="15" hidden="false" customHeight="false" outlineLevel="0" collapsed="false">
      <c r="A70" s="6" t="s">
        <v>358</v>
      </c>
      <c r="C70" s="65" t="n">
        <f aca="false">C55-C26*(1-Inputs!$E$41)+C56</f>
        <v>-166920.133333333</v>
      </c>
      <c r="D70" s="65" t="n">
        <f aca="false">D55-D26*(1-Inputs!$E$41)+D56</f>
        <v>-5389.53333333333</v>
      </c>
      <c r="E70" s="65" t="n">
        <f aca="false">E55-E26*(1-Inputs!$E$41)+E56</f>
        <v>-3723.66666666667</v>
      </c>
      <c r="F70" s="65" t="n">
        <f aca="false">F55-F26*(1-Inputs!$E$41)+F56</f>
        <v>-2057.8</v>
      </c>
      <c r="G70" s="65" t="n">
        <f aca="false">G55-G26*(1-Inputs!$E$41)+G56</f>
        <v>-391.933333333339</v>
      </c>
      <c r="H70" s="65" t="n">
        <f aca="false">H55-H26*(1-Inputs!$E$41)+H56</f>
        <v>1273.93333333333</v>
      </c>
      <c r="I70" s="65" t="n">
        <f aca="false">I55-I26*(1-Inputs!$E$41)+I56</f>
        <v>2939.8</v>
      </c>
      <c r="J70" s="65" t="n">
        <f aca="false">J55-J26*(1-Inputs!$E$41)+J56</f>
        <v>2914.8</v>
      </c>
      <c r="K70" s="65" t="n">
        <f aca="false">K55-K26*(1-Inputs!$E$41)+K56</f>
        <v>2916.66666666666</v>
      </c>
      <c r="L70" s="65" t="n">
        <f aca="false">L55-L26*(1-Inputs!$E$41)+L56</f>
        <v>2918.53333333333</v>
      </c>
      <c r="M70" s="65" t="n">
        <f aca="false">M55-M26*(1-Inputs!$E$41)+M56</f>
        <v>2920.4</v>
      </c>
      <c r="N70" s="65" t="n">
        <f aca="false">N55-N26*(1-Inputs!$E$41)+N56</f>
        <v>2922.26666666666</v>
      </c>
      <c r="O70" s="65" t="n">
        <f aca="false">O55-O26*(1-Inputs!$E$41)+O56</f>
        <v>4473.19205333334</v>
      </c>
      <c r="P70" s="65" t="n">
        <f aca="false">P55-P26*(1-Inputs!$E$41)+P56</f>
        <v>4445.4624</v>
      </c>
      <c r="Q70" s="65" t="n">
        <f aca="false">Q55-Q26*(1-Inputs!$E$41)+Q56</f>
        <v>4447.32906666667</v>
      </c>
      <c r="R70" s="65" t="n">
        <f aca="false">R55-R26*(1-Inputs!$E$41)+R56</f>
        <v>4449.19573333334</v>
      </c>
      <c r="S70" s="65" t="n">
        <f aca="false">S55-S26*(1-Inputs!$E$41)+S56</f>
        <v>4451.0624</v>
      </c>
      <c r="T70" s="65" t="n">
        <f aca="false">T55-T26*(1-Inputs!$E$41)+T56</f>
        <v>4452.92906666667</v>
      </c>
      <c r="U70" s="65" t="n">
        <f aca="false">U55-U26*(1-Inputs!$E$41)+U56</f>
        <v>4454.79573333334</v>
      </c>
      <c r="V70" s="65" t="n">
        <f aca="false">V55-V26*(1-Inputs!$E$41)+V56</f>
        <v>4456.6624</v>
      </c>
      <c r="W70" s="65" t="n">
        <f aca="false">W55-W26*(1-Inputs!$E$41)+W56</f>
        <v>4458.52906666667</v>
      </c>
      <c r="X70" s="65" t="n">
        <f aca="false">X55-X26*(1-Inputs!$E$41)+X56</f>
        <v>4460.39573333334</v>
      </c>
      <c r="Y70" s="65" t="n">
        <f aca="false">Y55-Y26*(1-Inputs!$E$41)+Y56</f>
        <v>4462.2624</v>
      </c>
      <c r="Z70" s="65" t="n">
        <f aca="false">Z55-Z26*(1-Inputs!$E$41)+Z56</f>
        <v>4464.12906666667</v>
      </c>
      <c r="AA70" s="65" t="n">
        <f aca="false">AA55-AA26*(1-Inputs!$E$41)+AA56</f>
        <v>5449.69697088214</v>
      </c>
      <c r="AB70" s="65" t="n">
        <f aca="false">AB55-AB26*(1-Inputs!$E$41)+AB56</f>
        <v>5307.84229003947</v>
      </c>
      <c r="AC70" s="65" t="n">
        <f aca="false">AC55-AC26*(1-Inputs!$E$41)+AC56</f>
        <v>5307.84229003947</v>
      </c>
      <c r="AD70" s="65" t="n">
        <f aca="false">AD55-AD26*(1-Inputs!$E$41)+AD56</f>
        <v>5307.84229003947</v>
      </c>
      <c r="AE70" s="65" t="n">
        <f aca="false">AE55-AE26*(1-Inputs!$E$41)+AE56</f>
        <v>5307.84229003947</v>
      </c>
      <c r="AF70" s="65" t="n">
        <f aca="false">AF55-AF26*(1-Inputs!$E$41)+AF56</f>
        <v>5307.84229003947</v>
      </c>
      <c r="AG70" s="65" t="n">
        <f aca="false">AG55-AG26*(1-Inputs!$E$41)+AG56</f>
        <v>5307.84229003947</v>
      </c>
      <c r="AH70" s="65" t="n">
        <f aca="false">AH55-AH26*(1-Inputs!$E$41)+AH56</f>
        <v>5307.84229003947</v>
      </c>
      <c r="AI70" s="65" t="n">
        <f aca="false">AI55-AI26*(1-Inputs!$E$41)+AI56</f>
        <v>5307.84229003947</v>
      </c>
      <c r="AJ70" s="65" t="n">
        <f aca="false">AJ55-AJ26*(1-Inputs!$E$41)+AJ56</f>
        <v>5307.84229003947</v>
      </c>
      <c r="AK70" s="65" t="n">
        <f aca="false">AK55-AK26*(1-Inputs!$E$41)+AK56</f>
        <v>5307.84229003947</v>
      </c>
      <c r="AL70" s="65" t="n">
        <f aca="false">AL55-AL26*(1-Inputs!$E$41)+AL56</f>
        <v>5307.84229003947</v>
      </c>
    </row>
    <row r="72" customFormat="false" ht="15.75" hidden="false" customHeight="true" outlineLevel="0" collapsed="false">
      <c r="A72" s="7" t="s">
        <v>359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6" t="s">
        <v>95</v>
      </c>
      <c r="C73" s="65" t="n">
        <f aca="false">C57</f>
        <v>140000</v>
      </c>
      <c r="D73" s="65" t="n">
        <f aca="false">C73+D57</f>
        <v>140000</v>
      </c>
      <c r="E73" s="65" t="n">
        <f aca="false">D73+E57</f>
        <v>140000</v>
      </c>
      <c r="F73" s="65" t="n">
        <f aca="false">E73+F57</f>
        <v>140000</v>
      </c>
      <c r="G73" s="65" t="n">
        <f aca="false">F73+G57</f>
        <v>140000</v>
      </c>
      <c r="H73" s="65" t="n">
        <f aca="false">G73+H57</f>
        <v>140000</v>
      </c>
      <c r="I73" s="65" t="n">
        <f aca="false">H73+I57</f>
        <v>140000</v>
      </c>
      <c r="J73" s="65" t="n">
        <f aca="false">I73+J57</f>
        <v>140000</v>
      </c>
      <c r="K73" s="65" t="n">
        <f aca="false">J73+K57</f>
        <v>140000</v>
      </c>
      <c r="L73" s="65" t="n">
        <f aca="false">K73+L57</f>
        <v>140000</v>
      </c>
      <c r="M73" s="65" t="n">
        <f aca="false">L73+M57</f>
        <v>140000</v>
      </c>
      <c r="N73" s="65" t="n">
        <f aca="false">M73+N57</f>
        <v>140000</v>
      </c>
      <c r="O73" s="65" t="n">
        <f aca="false">N73+O57</f>
        <v>140000</v>
      </c>
      <c r="P73" s="65" t="n">
        <f aca="false">O73+P57</f>
        <v>140000</v>
      </c>
      <c r="Q73" s="65" t="n">
        <f aca="false">P73+Q57</f>
        <v>140000</v>
      </c>
      <c r="R73" s="65" t="n">
        <f aca="false">Q73+R57</f>
        <v>140000</v>
      </c>
      <c r="S73" s="65" t="n">
        <f aca="false">R73+S57</f>
        <v>140000</v>
      </c>
      <c r="T73" s="65" t="n">
        <f aca="false">S73+T57</f>
        <v>140000</v>
      </c>
      <c r="U73" s="65" t="n">
        <f aca="false">T73+U57</f>
        <v>140000</v>
      </c>
      <c r="V73" s="65" t="n">
        <f aca="false">U73+V57</f>
        <v>140000</v>
      </c>
      <c r="W73" s="65" t="n">
        <f aca="false">V73+W57</f>
        <v>140000</v>
      </c>
      <c r="X73" s="65" t="n">
        <f aca="false">W73+X57</f>
        <v>140000</v>
      </c>
      <c r="Y73" s="65" t="n">
        <f aca="false">X73+Y57</f>
        <v>140000</v>
      </c>
      <c r="Z73" s="65" t="n">
        <f aca="false">Y73+Z57</f>
        <v>140000</v>
      </c>
      <c r="AA73" s="65" t="n">
        <f aca="false">Z73+AA57</f>
        <v>140000</v>
      </c>
      <c r="AB73" s="65" t="n">
        <f aca="false">AA73+AB57</f>
        <v>140000</v>
      </c>
      <c r="AC73" s="65" t="n">
        <f aca="false">AB73+AC57</f>
        <v>140000</v>
      </c>
      <c r="AD73" s="65" t="n">
        <f aca="false">AC73+AD57</f>
        <v>140000</v>
      </c>
      <c r="AE73" s="65" t="n">
        <f aca="false">AD73+AE57</f>
        <v>140000</v>
      </c>
      <c r="AF73" s="65" t="n">
        <f aca="false">AE73+AF57</f>
        <v>140000</v>
      </c>
      <c r="AG73" s="65" t="n">
        <f aca="false">AF73+AG57</f>
        <v>140000</v>
      </c>
      <c r="AH73" s="65" t="n">
        <f aca="false">AG73+AH57</f>
        <v>140000</v>
      </c>
      <c r="AI73" s="65" t="n">
        <f aca="false">AH73+AI57</f>
        <v>140000</v>
      </c>
      <c r="AJ73" s="65" t="n">
        <f aca="false">AI73+AJ57</f>
        <v>140000</v>
      </c>
      <c r="AK73" s="65" t="n">
        <f aca="false">AJ73+AK57</f>
        <v>140000</v>
      </c>
      <c r="AL73" s="65" t="n">
        <f aca="false">AK73+AL57</f>
        <v>140000</v>
      </c>
    </row>
    <row r="74" customFormat="false" ht="15" hidden="false" customHeight="false" outlineLevel="0" collapsed="false">
      <c r="A74" s="6" t="s">
        <v>96</v>
      </c>
      <c r="C74" s="65" t="n">
        <f aca="false">C31</f>
        <v>-9407.42857142857</v>
      </c>
      <c r="D74" s="65" t="n">
        <f aca="false">C74+D31</f>
        <v>-17146.4126984127</v>
      </c>
      <c r="E74" s="65" t="n">
        <f aca="false">D74+E31</f>
        <v>-23212.5079365079</v>
      </c>
      <c r="F74" s="65" t="n">
        <f aca="false">E74+F31</f>
        <v>-27605.7142857143</v>
      </c>
      <c r="G74" s="65" t="n">
        <f aca="false">F74+G31</f>
        <v>-30326.0317460318</v>
      </c>
      <c r="H74" s="65" t="n">
        <f aca="false">G74+H31</f>
        <v>-31373.4603174603</v>
      </c>
      <c r="I74" s="65" t="n">
        <f aca="false">H74+I31</f>
        <v>-30748</v>
      </c>
      <c r="J74" s="65" t="n">
        <f aca="false">I74+J31</f>
        <v>-30113.6507936508</v>
      </c>
      <c r="K74" s="65" t="n">
        <f aca="false">J74+K31</f>
        <v>-29470.4126984127</v>
      </c>
      <c r="L74" s="65" t="n">
        <f aca="false">K74+L31</f>
        <v>-28818.2857142857</v>
      </c>
      <c r="M74" s="65" t="n">
        <f aca="false">L74+M31</f>
        <v>-28157.2698412699</v>
      </c>
      <c r="N74" s="65" t="n">
        <f aca="false">M74+N31</f>
        <v>-27487.3650793651</v>
      </c>
      <c r="O74" s="65" t="n">
        <f aca="false">N74+O31</f>
        <v>-25289.1090285715</v>
      </c>
      <c r="P74" s="65" t="n">
        <f aca="false">O74+P31</f>
        <v>-23081.9640888889</v>
      </c>
      <c r="Q74" s="65" t="n">
        <f aca="false">P74+Q31</f>
        <v>-20865.9302603175</v>
      </c>
      <c r="R74" s="65" t="n">
        <f aca="false">Q74+R31</f>
        <v>-18641.0075428572</v>
      </c>
      <c r="S74" s="65" t="n">
        <f aca="false">R74+S31</f>
        <v>-16407.195936508</v>
      </c>
      <c r="T74" s="65" t="n">
        <f aca="false">S74+T31</f>
        <v>-14164.4954412699</v>
      </c>
      <c r="U74" s="65" t="n">
        <f aca="false">T74+U31</f>
        <v>-11912.9060571429</v>
      </c>
      <c r="V74" s="65" t="n">
        <f aca="false">U74+V31</f>
        <v>-9652.427784127</v>
      </c>
      <c r="W74" s="65" t="n">
        <f aca="false">V74+W31</f>
        <v>-7383.06062222224</v>
      </c>
      <c r="X74" s="65" t="n">
        <f aca="false">W74+X31</f>
        <v>-5104.80457142859</v>
      </c>
      <c r="Y74" s="65" t="n">
        <f aca="false">X74+Y31</f>
        <v>-2817.65963174605</v>
      </c>
      <c r="Z74" s="65" t="n">
        <f aca="false">Y74+Z31</f>
        <v>-521.625803174616</v>
      </c>
      <c r="AA74" s="65" t="n">
        <f aca="false">Z74+AA31</f>
        <v>2734.68488965851</v>
      </c>
      <c r="AB74" s="65" t="n">
        <f aca="false">AA74+AB31</f>
        <v>5888.47638604718</v>
      </c>
      <c r="AC74" s="65" t="n">
        <f aca="false">AB74+AC31</f>
        <v>9049.29010465808</v>
      </c>
      <c r="AD74" s="65" t="n">
        <f aca="false">AC74+AD31</f>
        <v>12217.1260454912</v>
      </c>
      <c r="AE74" s="65" t="n">
        <f aca="false">AD74+AE31</f>
        <v>15391.9842085465</v>
      </c>
      <c r="AF74" s="65" t="n">
        <f aca="false">AE74+AF31</f>
        <v>18573.8645938241</v>
      </c>
      <c r="AG74" s="65" t="n">
        <f aca="false">AF74+AG31</f>
        <v>21762.7672013239</v>
      </c>
      <c r="AH74" s="65" t="n">
        <f aca="false">AG74+AH31</f>
        <v>24958.6920310459</v>
      </c>
      <c r="AI74" s="65" t="n">
        <f aca="false">AH74+AI31</f>
        <v>28161.6390829901</v>
      </c>
      <c r="AJ74" s="65" t="n">
        <f aca="false">AI74+AJ31</f>
        <v>31371.6083571566</v>
      </c>
      <c r="AK74" s="65" t="n">
        <f aca="false">AJ74+AK31</f>
        <v>34588.5998535453</v>
      </c>
      <c r="AL74" s="65" t="n">
        <f aca="false">AK74+AL31</f>
        <v>37812.6135721562</v>
      </c>
    </row>
    <row r="75" customFormat="false" ht="15" hidden="false" customHeight="false" outlineLevel="0" collapsed="false">
      <c r="A75" s="4" t="s">
        <v>91</v>
      </c>
      <c r="C75" s="71" t="n">
        <f aca="false">C61+C47+C48+C38</f>
        <v>212994.971428571</v>
      </c>
      <c r="D75" s="71" t="n">
        <f aca="false">D61+D47+D48+D38</f>
        <v>204323.053968254</v>
      </c>
      <c r="E75" s="71" t="n">
        <f aca="false">E61+E47+E48+E38</f>
        <v>197324.025396825</v>
      </c>
      <c r="F75" s="71" t="n">
        <f aca="false">F61+F47+F48+F38</f>
        <v>191997.885714286</v>
      </c>
      <c r="G75" s="71" t="n">
        <f aca="false">G61+G47+G48+G38</f>
        <v>188344.634920635</v>
      </c>
      <c r="H75" s="71" t="n">
        <f aca="false">H61+H47+H48+H38</f>
        <v>186364.273015873</v>
      </c>
      <c r="I75" s="71" t="n">
        <f aca="false">I61+I47+I48+I38</f>
        <v>186056.8</v>
      </c>
      <c r="J75" s="71" t="n">
        <f aca="false">J61+J47+J48+J38</f>
        <v>185357.815873016</v>
      </c>
      <c r="K75" s="71" t="n">
        <f aca="false">K61+K47+K48+K38</f>
        <v>184667.720634921</v>
      </c>
      <c r="L75" s="71" t="n">
        <f aca="false">L61+L47+L48+L38</f>
        <v>183986.514285714</v>
      </c>
      <c r="M75" s="71" t="n">
        <f aca="false">M61+M47+M48+M38</f>
        <v>183314.196825397</v>
      </c>
      <c r="N75" s="71" t="n">
        <f aca="false">N61+N47+N48+N38</f>
        <v>182650.768253968</v>
      </c>
      <c r="O75" s="71" t="n">
        <f aca="false">O61+O47+O48+O38</f>
        <v>183956.771611429</v>
      </c>
      <c r="P75" s="71" t="n">
        <f aca="false">P61+P47+P48+P38</f>
        <v>184830.583217778</v>
      </c>
      <c r="Q75" s="71" t="n">
        <f aca="false">Q61+Q47+Q48+Q38</f>
        <v>185713.283713016</v>
      </c>
      <c r="R75" s="71" t="n">
        <f aca="false">R61+R47+R48+R38</f>
        <v>186604.873097143</v>
      </c>
      <c r="S75" s="71" t="n">
        <f aca="false">S61+S47+S48+S38</f>
        <v>187505.351370159</v>
      </c>
      <c r="T75" s="71" t="n">
        <f aca="false">T61+T47+T48+T38</f>
        <v>188414.718532063</v>
      </c>
      <c r="U75" s="71" t="n">
        <f aca="false">U61+U47+U48+U38</f>
        <v>189332.974582857</v>
      </c>
      <c r="V75" s="71" t="n">
        <f aca="false">V61+V47+V48+V38</f>
        <v>190260.11952254</v>
      </c>
      <c r="W75" s="71" t="n">
        <f aca="false">W61+W47+W48+W38</f>
        <v>191196.153351111</v>
      </c>
      <c r="X75" s="71" t="n">
        <f aca="false">X61+X47+X48+X38</f>
        <v>192141.076068571</v>
      </c>
      <c r="Y75" s="71" t="n">
        <f aca="false">Y61+Y47+Y48+Y38</f>
        <v>193094.887674921</v>
      </c>
      <c r="Z75" s="71" t="n">
        <f aca="false">Z61+Z47+Z48+Z38</f>
        <v>194057.588170159</v>
      </c>
      <c r="AA75" s="71" t="n">
        <f aca="false">AA61+AA47+AA48+AA38</f>
        <v>196462.13737241</v>
      </c>
      <c r="AB75" s="71" t="n">
        <f aca="false">AB61+AB47+AB48+AB38</f>
        <v>198282.595535466</v>
      </c>
      <c r="AC75" s="71" t="n">
        <f aca="false">AC61+AC47+AC48+AC38</f>
        <v>200110.075920743</v>
      </c>
      <c r="AD75" s="71" t="n">
        <f aca="false">AD61+AD47+AD48+AD38</f>
        <v>201944.578528243</v>
      </c>
      <c r="AE75" s="71" t="n">
        <f aca="false">AE61+AE47+AE48+AE38</f>
        <v>203786.103357965</v>
      </c>
      <c r="AF75" s="71" t="n">
        <f aca="false">AF61+AF47+AF48+AF38</f>
        <v>205634.650409909</v>
      </c>
      <c r="AG75" s="71" t="n">
        <f aca="false">AG61+AG47+AG48+AG38</f>
        <v>207490.219684076</v>
      </c>
      <c r="AH75" s="71" t="n">
        <f aca="false">AH61+AH47+AH48+AH38</f>
        <v>209352.811180465</v>
      </c>
      <c r="AI75" s="71" t="n">
        <f aca="false">AI61+AI47+AI48+AI38</f>
        <v>211222.424899075</v>
      </c>
      <c r="AJ75" s="71" t="n">
        <f aca="false">AJ61+AJ47+AJ48+AJ38</f>
        <v>213099.060839909</v>
      </c>
      <c r="AK75" s="71" t="n">
        <f aca="false">AK61+AK47+AK48+AK38</f>
        <v>214982.719002964</v>
      </c>
      <c r="AL75" s="71" t="n">
        <f aca="false">AL61+AL47+AL48+AL38</f>
        <v>216873.399388241</v>
      </c>
    </row>
    <row r="76" customFormat="false" ht="15" hidden="false" customHeight="false" outlineLevel="0" collapsed="false">
      <c r="A76" s="6" t="s">
        <v>94</v>
      </c>
      <c r="C76" s="65" t="n">
        <f aca="false">C49+C44</f>
        <v>82402.4</v>
      </c>
      <c r="D76" s="65" t="n">
        <f aca="false">D49+D44</f>
        <v>81469.4666666667</v>
      </c>
      <c r="E76" s="65" t="n">
        <f aca="false">E49+E44</f>
        <v>80536.5333333333</v>
      </c>
      <c r="F76" s="65" t="n">
        <f aca="false">F49+F44</f>
        <v>79603.6</v>
      </c>
      <c r="G76" s="65" t="n">
        <f aca="false">G49+G44</f>
        <v>78670.6666666667</v>
      </c>
      <c r="H76" s="65" t="n">
        <f aca="false">H49+H44</f>
        <v>77737.7333333334</v>
      </c>
      <c r="I76" s="65" t="n">
        <f aca="false">I49+I44</f>
        <v>76804.8</v>
      </c>
      <c r="J76" s="65" t="n">
        <f aca="false">J49+J44</f>
        <v>75471.4666666667</v>
      </c>
      <c r="K76" s="65" t="n">
        <f aca="false">K49+K44</f>
        <v>74138.1333333334</v>
      </c>
      <c r="L76" s="65" t="n">
        <f aca="false">L49+L44</f>
        <v>72804.8000000001</v>
      </c>
      <c r="M76" s="65" t="n">
        <f aca="false">M49+M44</f>
        <v>71471.4666666667</v>
      </c>
      <c r="N76" s="65" t="n">
        <f aca="false">N49+N44</f>
        <v>70138.1333333334</v>
      </c>
      <c r="O76" s="65" t="n">
        <f aca="false">O49+O44</f>
        <v>69245.8806400001</v>
      </c>
      <c r="P76" s="65" t="n">
        <f aca="false">P49+P44</f>
        <v>67912.5473066667</v>
      </c>
      <c r="Q76" s="65" t="n">
        <f aca="false">Q49+Q44</f>
        <v>66579.2139733334</v>
      </c>
      <c r="R76" s="65" t="n">
        <f aca="false">R49+R44</f>
        <v>65245.88064</v>
      </c>
      <c r="S76" s="65" t="n">
        <f aca="false">S49+S44</f>
        <v>63912.5473066667</v>
      </c>
      <c r="T76" s="65" t="n">
        <f aca="false">T49+T44</f>
        <v>62579.2139733334</v>
      </c>
      <c r="U76" s="65" t="n">
        <f aca="false">U49+U44</f>
        <v>61245.88064</v>
      </c>
      <c r="V76" s="65" t="n">
        <f aca="false">V49+V44</f>
        <v>59912.5473066667</v>
      </c>
      <c r="W76" s="65" t="n">
        <f aca="false">W49+W44</f>
        <v>58579.2139733334</v>
      </c>
      <c r="X76" s="65" t="n">
        <f aca="false">X49+X44</f>
        <v>57245.88064</v>
      </c>
      <c r="Y76" s="65" t="n">
        <f aca="false">Y49+Y44</f>
        <v>55912.5473066667</v>
      </c>
      <c r="Z76" s="65" t="n">
        <f aca="false">Z49+Z44</f>
        <v>54579.2139733334</v>
      </c>
      <c r="AA76" s="65" t="n">
        <f aca="false">AA49+AA44</f>
        <v>53727.452482752</v>
      </c>
      <c r="AB76" s="65" t="n">
        <f aca="false">AB49+AB44</f>
        <v>52394.1191494187</v>
      </c>
      <c r="AC76" s="65" t="n">
        <f aca="false">AC49+AC44</f>
        <v>51060.7858160853</v>
      </c>
      <c r="AD76" s="65" t="n">
        <f aca="false">AD49+AD44</f>
        <v>49727.452482752</v>
      </c>
      <c r="AE76" s="65" t="n">
        <f aca="false">AE49+AE44</f>
        <v>48394.1191494187</v>
      </c>
      <c r="AF76" s="65" t="n">
        <f aca="false">AF49+AF44</f>
        <v>47060.7858160853</v>
      </c>
      <c r="AG76" s="65" t="n">
        <f aca="false">AG49+AG44</f>
        <v>45727.452482752</v>
      </c>
      <c r="AH76" s="65" t="n">
        <f aca="false">AH49+AH44</f>
        <v>44394.1191494187</v>
      </c>
      <c r="AI76" s="65" t="n">
        <f aca="false">AI49+AI44</f>
        <v>43060.7858160853</v>
      </c>
      <c r="AJ76" s="65" t="n">
        <f aca="false">AJ49+AJ44</f>
        <v>41727.452482752</v>
      </c>
      <c r="AK76" s="65" t="n">
        <f aca="false">AK49+AK44</f>
        <v>40394.1191494187</v>
      </c>
      <c r="AL76" s="65" t="n">
        <f aca="false">AL49+AL44</f>
        <v>39060.7858160853</v>
      </c>
    </row>
    <row r="77" customFormat="false" ht="15" hidden="false" customHeight="false" outlineLevel="0" collapsed="false">
      <c r="A77" s="6" t="s">
        <v>97</v>
      </c>
      <c r="C77" s="65" t="n">
        <f aca="false">C73+C74</f>
        <v>130592.571428571</v>
      </c>
      <c r="D77" s="65" t="n">
        <f aca="false">D73+D74</f>
        <v>122853.587301587</v>
      </c>
      <c r="E77" s="65" t="n">
        <f aca="false">E73+E74</f>
        <v>116787.492063492</v>
      </c>
      <c r="F77" s="65" t="n">
        <f aca="false">F73+F74</f>
        <v>112394.285714286</v>
      </c>
      <c r="G77" s="65" t="n">
        <f aca="false">G73+G74</f>
        <v>109673.968253968</v>
      </c>
      <c r="H77" s="65" t="n">
        <f aca="false">H73+H74</f>
        <v>108626.53968254</v>
      </c>
      <c r="I77" s="65" t="n">
        <f aca="false">I73+I74</f>
        <v>109252</v>
      </c>
      <c r="J77" s="65" t="n">
        <f aca="false">J73+J74</f>
        <v>109886.349206349</v>
      </c>
      <c r="K77" s="65" t="n">
        <f aca="false">K73+K74</f>
        <v>110529.587301587</v>
      </c>
      <c r="L77" s="65" t="n">
        <f aca="false">L73+L74</f>
        <v>111181.714285714</v>
      </c>
      <c r="M77" s="65" t="n">
        <f aca="false">M73+M74</f>
        <v>111842.73015873</v>
      </c>
      <c r="N77" s="65" t="n">
        <f aca="false">N73+N74</f>
        <v>112512.634920635</v>
      </c>
      <c r="O77" s="65" t="n">
        <f aca="false">O73+O74</f>
        <v>114710.890971429</v>
      </c>
      <c r="P77" s="65" t="n">
        <f aca="false">P73+P74</f>
        <v>116918.035911111</v>
      </c>
      <c r="Q77" s="65" t="n">
        <f aca="false">Q73+Q74</f>
        <v>119134.069739683</v>
      </c>
      <c r="R77" s="65" t="n">
        <f aca="false">R73+R74</f>
        <v>121358.992457143</v>
      </c>
      <c r="S77" s="65" t="n">
        <f aca="false">S73+S74</f>
        <v>123592.804063492</v>
      </c>
      <c r="T77" s="65" t="n">
        <f aca="false">T73+T74</f>
        <v>125835.50455873</v>
      </c>
      <c r="U77" s="65" t="n">
        <f aca="false">U73+U74</f>
        <v>128087.093942857</v>
      </c>
      <c r="V77" s="65" t="n">
        <f aca="false">V73+V74</f>
        <v>130347.572215873</v>
      </c>
      <c r="W77" s="65" t="n">
        <f aca="false">W73+W74</f>
        <v>132616.939377778</v>
      </c>
      <c r="X77" s="65" t="n">
        <f aca="false">X73+X74</f>
        <v>134895.195428571</v>
      </c>
      <c r="Y77" s="65" t="n">
        <f aca="false">Y73+Y74</f>
        <v>137182.340368254</v>
      </c>
      <c r="Z77" s="65" t="n">
        <f aca="false">Z73+Z74</f>
        <v>139478.374196825</v>
      </c>
      <c r="AA77" s="65" t="n">
        <f aca="false">AA73+AA74</f>
        <v>142734.684889659</v>
      </c>
      <c r="AB77" s="65" t="n">
        <f aca="false">AB73+AB74</f>
        <v>145888.476386047</v>
      </c>
      <c r="AC77" s="65" t="n">
        <f aca="false">AC73+AC74</f>
        <v>149049.290104658</v>
      </c>
      <c r="AD77" s="65" t="n">
        <f aca="false">AD73+AD74</f>
        <v>152217.126045491</v>
      </c>
      <c r="AE77" s="65" t="n">
        <f aca="false">AE73+AE74</f>
        <v>155391.984208547</v>
      </c>
      <c r="AF77" s="65" t="n">
        <f aca="false">AF73+AF74</f>
        <v>158573.864593824</v>
      </c>
      <c r="AG77" s="65" t="n">
        <f aca="false">AG73+AG74</f>
        <v>161762.767201324</v>
      </c>
      <c r="AH77" s="65" t="n">
        <f aca="false">AH73+AH74</f>
        <v>164958.692031046</v>
      </c>
      <c r="AI77" s="65" t="n">
        <f aca="false">AI73+AI74</f>
        <v>168161.63908299</v>
      </c>
      <c r="AJ77" s="65" t="n">
        <f aca="false">AJ73+AJ74</f>
        <v>171371.608357157</v>
      </c>
      <c r="AK77" s="65" t="n">
        <f aca="false">AK73+AK74</f>
        <v>174588.599853545</v>
      </c>
      <c r="AL77" s="65" t="n">
        <f aca="false">AL73+AL74</f>
        <v>177812.613572156</v>
      </c>
    </row>
    <row r="78" customFormat="false" ht="15" hidden="false" customHeight="false" outlineLevel="0" collapsed="false">
      <c r="A78" s="4" t="s">
        <v>98</v>
      </c>
      <c r="C78" s="71" t="n">
        <f aca="false">C76+C77</f>
        <v>212994.971428571</v>
      </c>
      <c r="D78" s="71" t="n">
        <f aca="false">D76+D77</f>
        <v>204323.053968254</v>
      </c>
      <c r="E78" s="71" t="n">
        <f aca="false">E76+E77</f>
        <v>197324.025396825</v>
      </c>
      <c r="F78" s="71" t="n">
        <f aca="false">F76+F77</f>
        <v>191997.885714286</v>
      </c>
      <c r="G78" s="71" t="n">
        <f aca="false">G76+G77</f>
        <v>188344.634920635</v>
      </c>
      <c r="H78" s="71" t="n">
        <f aca="false">H76+H77</f>
        <v>186364.273015873</v>
      </c>
      <c r="I78" s="71" t="n">
        <f aca="false">I76+I77</f>
        <v>186056.8</v>
      </c>
      <c r="J78" s="71" t="n">
        <f aca="false">J76+J77</f>
        <v>185357.815873016</v>
      </c>
      <c r="K78" s="71" t="n">
        <f aca="false">K76+K77</f>
        <v>184667.720634921</v>
      </c>
      <c r="L78" s="71" t="n">
        <f aca="false">L76+L77</f>
        <v>183986.514285714</v>
      </c>
      <c r="M78" s="71" t="n">
        <f aca="false">M76+M77</f>
        <v>183314.196825397</v>
      </c>
      <c r="N78" s="71" t="n">
        <f aca="false">N76+N77</f>
        <v>182650.768253968</v>
      </c>
      <c r="O78" s="71" t="n">
        <f aca="false">O76+O77</f>
        <v>183956.771611429</v>
      </c>
      <c r="P78" s="71" t="n">
        <f aca="false">P76+P77</f>
        <v>184830.583217778</v>
      </c>
      <c r="Q78" s="71" t="n">
        <f aca="false">Q76+Q77</f>
        <v>185713.283713016</v>
      </c>
      <c r="R78" s="71" t="n">
        <f aca="false">R76+R77</f>
        <v>186604.873097143</v>
      </c>
      <c r="S78" s="71" t="n">
        <f aca="false">S76+S77</f>
        <v>187505.351370159</v>
      </c>
      <c r="T78" s="71" t="n">
        <f aca="false">T76+T77</f>
        <v>188414.718532064</v>
      </c>
      <c r="U78" s="71" t="n">
        <f aca="false">U76+U77</f>
        <v>189332.974582857</v>
      </c>
      <c r="V78" s="71" t="n">
        <f aca="false">V76+V77</f>
        <v>190260.11952254</v>
      </c>
      <c r="W78" s="71" t="n">
        <f aca="false">W76+W77</f>
        <v>191196.153351111</v>
      </c>
      <c r="X78" s="71" t="n">
        <f aca="false">X76+X77</f>
        <v>192141.076068571</v>
      </c>
      <c r="Y78" s="71" t="n">
        <f aca="false">Y76+Y77</f>
        <v>193094.887674921</v>
      </c>
      <c r="Z78" s="71" t="n">
        <f aca="false">Z76+Z77</f>
        <v>194057.588170159</v>
      </c>
      <c r="AA78" s="71" t="n">
        <f aca="false">AA76+AA77</f>
        <v>196462.137372411</v>
      </c>
      <c r="AB78" s="71" t="n">
        <f aca="false">AB76+AB77</f>
        <v>198282.595535466</v>
      </c>
      <c r="AC78" s="71" t="n">
        <f aca="false">AC76+AC77</f>
        <v>200110.075920743</v>
      </c>
      <c r="AD78" s="71" t="n">
        <f aca="false">AD76+AD77</f>
        <v>201944.578528243</v>
      </c>
      <c r="AE78" s="71" t="n">
        <f aca="false">AE76+AE77</f>
        <v>203786.103357965</v>
      </c>
      <c r="AF78" s="71" t="n">
        <f aca="false">AF76+AF77</f>
        <v>205634.650409909</v>
      </c>
      <c r="AG78" s="71" t="n">
        <f aca="false">AG76+AG77</f>
        <v>207490.219684076</v>
      </c>
      <c r="AH78" s="71" t="n">
        <f aca="false">AH76+AH77</f>
        <v>209352.811180465</v>
      </c>
      <c r="AI78" s="71" t="n">
        <f aca="false">AI76+AI77</f>
        <v>211222.424899075</v>
      </c>
      <c r="AJ78" s="71" t="n">
        <f aca="false">AJ76+AJ77</f>
        <v>213099.060839909</v>
      </c>
      <c r="AK78" s="71" t="n">
        <f aca="false">AK76+AK77</f>
        <v>214982.719002964</v>
      </c>
      <c r="AL78" s="71" t="n">
        <f aca="false">AL76+AL77</f>
        <v>216873.399388242</v>
      </c>
    </row>
    <row r="79" customFormat="false" ht="15" hidden="false" customHeight="false" outlineLevel="0" collapsed="false">
      <c r="A79" s="6" t="s">
        <v>360</v>
      </c>
      <c r="C79" s="65" t="n">
        <f aca="false">C75-C78</f>
        <v>0</v>
      </c>
      <c r="D79" s="65" t="n">
        <f aca="false">D75-D78</f>
        <v>0</v>
      </c>
      <c r="E79" s="65" t="n">
        <f aca="false">E75-E78</f>
        <v>0</v>
      </c>
      <c r="F79" s="65" t="n">
        <f aca="false">F75-F78</f>
        <v>0</v>
      </c>
      <c r="G79" s="65" t="n">
        <f aca="false">G75-G78</f>
        <v>0</v>
      </c>
      <c r="H79" s="65" t="n">
        <f aca="false">H75-H78</f>
        <v>0</v>
      </c>
      <c r="I79" s="65" t="n">
        <f aca="false">I75-I78</f>
        <v>0</v>
      </c>
      <c r="J79" s="65" t="n">
        <f aca="false">J75-J78</f>
        <v>0</v>
      </c>
      <c r="K79" s="65" t="n">
        <f aca="false">K75-K78</f>
        <v>0</v>
      </c>
      <c r="L79" s="65" t="n">
        <f aca="false">L75-L78</f>
        <v>0</v>
      </c>
      <c r="M79" s="65" t="n">
        <f aca="false">M75-M78</f>
        <v>0</v>
      </c>
      <c r="N79" s="65" t="n">
        <f aca="false">N75-N78</f>
        <v>0</v>
      </c>
      <c r="O79" s="65" t="n">
        <f aca="false">O75-O78</f>
        <v>0</v>
      </c>
      <c r="P79" s="65" t="n">
        <f aca="false">P75-P78</f>
        <v>0</v>
      </c>
      <c r="Q79" s="65" t="n">
        <f aca="false">Q75-Q78</f>
        <v>0</v>
      </c>
      <c r="R79" s="65" t="n">
        <f aca="false">R75-R78</f>
        <v>0</v>
      </c>
      <c r="S79" s="65" t="n">
        <f aca="false">S75-S78</f>
        <v>0</v>
      </c>
      <c r="T79" s="65" t="n">
        <f aca="false">T75-T78</f>
        <v>0</v>
      </c>
      <c r="U79" s="65" t="n">
        <f aca="false">U75-U78</f>
        <v>0</v>
      </c>
      <c r="V79" s="65" t="n">
        <f aca="false">V75-V78</f>
        <v>0</v>
      </c>
      <c r="W79" s="65" t="n">
        <f aca="false">W75-W78</f>
        <v>0</v>
      </c>
      <c r="X79" s="65" t="n">
        <f aca="false">X75-X78</f>
        <v>0</v>
      </c>
      <c r="Y79" s="65" t="n">
        <f aca="false">Y75-Y78</f>
        <v>0</v>
      </c>
      <c r="Z79" s="65" t="n">
        <f aca="false">Z75-Z78</f>
        <v>0</v>
      </c>
      <c r="AA79" s="65" t="n">
        <f aca="false">AA75-AA78</f>
        <v>0</v>
      </c>
      <c r="AB79" s="65" t="n">
        <f aca="false">AB75-AB78</f>
        <v>0</v>
      </c>
      <c r="AC79" s="65" t="n">
        <f aca="false">AC75-AC78</f>
        <v>0</v>
      </c>
      <c r="AD79" s="65" t="n">
        <f aca="false">AD75-AD78</f>
        <v>0</v>
      </c>
      <c r="AE79" s="65" t="n">
        <f aca="false">AE75-AE78</f>
        <v>0</v>
      </c>
      <c r="AF79" s="65" t="n">
        <f aca="false">AF75-AF78</f>
        <v>0</v>
      </c>
      <c r="AG79" s="65" t="n">
        <f aca="false">AG75-AG78</f>
        <v>0</v>
      </c>
      <c r="AH79" s="65" t="n">
        <f aca="false">AH75-AH78</f>
        <v>0</v>
      </c>
      <c r="AI79" s="65" t="n">
        <f aca="false">AI75-AI78</f>
        <v>0</v>
      </c>
      <c r="AJ79" s="65" t="n">
        <f aca="false">AJ75-AJ78</f>
        <v>0</v>
      </c>
      <c r="AK79" s="65" t="n">
        <f aca="false">AK75-AK78</f>
        <v>0</v>
      </c>
      <c r="AL79" s="65" t="n">
        <f aca="false">AL75-AL78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361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295</v>
      </c>
    </row>
    <row r="3" customFormat="false" ht="15" hidden="false" customHeight="false" outlineLevel="0" collapsed="false">
      <c r="A3" s="33" t="s">
        <v>296</v>
      </c>
      <c r="C3" s="35" t="s">
        <v>297</v>
      </c>
      <c r="D3" s="35" t="s">
        <v>298</v>
      </c>
      <c r="E3" s="35" t="s">
        <v>299</v>
      </c>
      <c r="F3" s="35" t="s">
        <v>300</v>
      </c>
      <c r="G3" s="35" t="s">
        <v>301</v>
      </c>
      <c r="H3" s="35" t="s">
        <v>302</v>
      </c>
      <c r="I3" s="35" t="s">
        <v>303</v>
      </c>
      <c r="J3" s="35" t="s">
        <v>304</v>
      </c>
      <c r="K3" s="35" t="s">
        <v>305</v>
      </c>
      <c r="L3" s="35" t="s">
        <v>306</v>
      </c>
      <c r="M3" s="35" t="s">
        <v>307</v>
      </c>
      <c r="N3" s="35" t="s">
        <v>308</v>
      </c>
      <c r="O3" s="35" t="s">
        <v>309</v>
      </c>
      <c r="P3" s="35" t="s">
        <v>310</v>
      </c>
      <c r="Q3" s="35" t="s">
        <v>311</v>
      </c>
      <c r="R3" s="35" t="s">
        <v>312</v>
      </c>
      <c r="S3" s="35" t="s">
        <v>313</v>
      </c>
      <c r="T3" s="35" t="s">
        <v>314</v>
      </c>
      <c r="U3" s="35" t="s">
        <v>315</v>
      </c>
      <c r="V3" s="35" t="s">
        <v>316</v>
      </c>
      <c r="W3" s="35" t="s">
        <v>317</v>
      </c>
      <c r="X3" s="35" t="s">
        <v>318</v>
      </c>
      <c r="Y3" s="35" t="s">
        <v>319</v>
      </c>
      <c r="Z3" s="35" t="s">
        <v>320</v>
      </c>
      <c r="AA3" s="35" t="s">
        <v>321</v>
      </c>
      <c r="AB3" s="35" t="s">
        <v>322</v>
      </c>
      <c r="AC3" s="35" t="s">
        <v>323</v>
      </c>
      <c r="AD3" s="35" t="s">
        <v>324</v>
      </c>
      <c r="AE3" s="35" t="s">
        <v>325</v>
      </c>
      <c r="AF3" s="35" t="s">
        <v>326</v>
      </c>
      <c r="AG3" s="35" t="s">
        <v>327</v>
      </c>
      <c r="AH3" s="35" t="s">
        <v>328</v>
      </c>
      <c r="AI3" s="35" t="s">
        <v>329</v>
      </c>
      <c r="AJ3" s="35" t="s">
        <v>330</v>
      </c>
      <c r="AK3" s="35" t="s">
        <v>331</v>
      </c>
      <c r="AL3" s="35" t="s">
        <v>332</v>
      </c>
    </row>
    <row r="4" customFormat="false" ht="15" hidden="false" customHeight="false" outlineLevel="0" collapsed="false">
      <c r="A4" s="70" t="s">
        <v>333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</row>
    <row r="5" customFormat="false" ht="15" hidden="false" customHeight="false" outlineLevel="0" collapsed="false">
      <c r="A5" s="70" t="s">
        <v>152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</row>
    <row r="7" customFormat="false" ht="15.75" hidden="false" customHeight="true" outlineLevel="0" collapsed="false">
      <c r="A7" s="7" t="s">
        <v>362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363</v>
      </c>
      <c r="C8" s="111" t="n">
        <f aca="false">Inputs!$E$21*(1+Inputs!$E$23)^(C$5-1)*MAX(0,MIN(1,C$4*1-Inputs!$E$24+1))/1</f>
        <v>3.5</v>
      </c>
      <c r="D8" s="111" t="n">
        <f aca="false">Inputs!$E$21*(1+Inputs!$E$23)^(D$5-1)*MAX(0,MIN(1,D$4*1-Inputs!$E$24+1))/1</f>
        <v>3.5</v>
      </c>
      <c r="E8" s="111" t="n">
        <f aca="false">Inputs!$E$21*(1+Inputs!$E$23)^(E$5-1)*MAX(0,MIN(1,E$4*1-Inputs!$E$24+1))/1</f>
        <v>3.5</v>
      </c>
      <c r="F8" s="111" t="n">
        <f aca="false">Inputs!$E$21*(1+Inputs!$E$23)^(F$5-1)*MAX(0,MIN(1,F$4*1-Inputs!$E$24+1))/1</f>
        <v>3.5</v>
      </c>
      <c r="G8" s="111" t="n">
        <f aca="false">Inputs!$E$21*(1+Inputs!$E$23)^(G$5-1)*MAX(0,MIN(1,G$4*1-Inputs!$E$24+1))/1</f>
        <v>3.5</v>
      </c>
      <c r="H8" s="111" t="n">
        <f aca="false">Inputs!$E$21*(1+Inputs!$E$23)^(H$5-1)*MAX(0,MIN(1,H$4*1-Inputs!$E$24+1))/1</f>
        <v>3.5</v>
      </c>
      <c r="I8" s="111" t="n">
        <f aca="false">Inputs!$E$21*(1+Inputs!$E$23)^(I$5-1)*MAX(0,MIN(1,I$4*1-Inputs!$E$24+1))/1</f>
        <v>3.5</v>
      </c>
      <c r="J8" s="111" t="n">
        <f aca="false">Inputs!$E$21*(1+Inputs!$E$23)^(J$5-1)*MAX(0,MIN(1,J$4*1-Inputs!$E$24+1))/1</f>
        <v>3.5</v>
      </c>
      <c r="K8" s="111" t="n">
        <f aca="false">Inputs!$E$21*(1+Inputs!$E$23)^(K$5-1)*MAX(0,MIN(1,K$4*1-Inputs!$E$24+1))/1</f>
        <v>3.5</v>
      </c>
      <c r="L8" s="111" t="n">
        <f aca="false">Inputs!$E$21*(1+Inputs!$E$23)^(L$5-1)*MAX(0,MIN(1,L$4*1-Inputs!$E$24+1))/1</f>
        <v>3.5</v>
      </c>
      <c r="M8" s="111" t="n">
        <f aca="false">Inputs!$E$21*(1+Inputs!$E$23)^(M$5-1)*MAX(0,MIN(1,M$4*1-Inputs!$E$24+1))/1</f>
        <v>3.5</v>
      </c>
      <c r="N8" s="111" t="n">
        <f aca="false">Inputs!$E$21*(1+Inputs!$E$23)^(N$5-1)*MAX(0,MIN(1,N$4*1-Inputs!$E$24+1))/1</f>
        <v>3.5</v>
      </c>
      <c r="O8" s="111" t="n">
        <f aca="false">Inputs!$E$21*(1+Inputs!$E$23)^(O$5-1)*MAX(0,MIN(1,O$4*1-Inputs!$E$24+1))/1</f>
        <v>3.5</v>
      </c>
      <c r="P8" s="111" t="n">
        <f aca="false">Inputs!$E$21*(1+Inputs!$E$23)^(P$5-1)*MAX(0,MIN(1,P$4*1-Inputs!$E$24+1))/1</f>
        <v>3.5</v>
      </c>
      <c r="Q8" s="111" t="n">
        <f aca="false">Inputs!$E$21*(1+Inputs!$E$23)^(Q$5-1)*MAX(0,MIN(1,Q$4*1-Inputs!$E$24+1))/1</f>
        <v>3.5</v>
      </c>
      <c r="R8" s="111" t="n">
        <f aca="false">Inputs!$E$21*(1+Inputs!$E$23)^(R$5-1)*MAX(0,MIN(1,R$4*1-Inputs!$E$24+1))/1</f>
        <v>3.5</v>
      </c>
      <c r="S8" s="111" t="n">
        <f aca="false">Inputs!$E$21*(1+Inputs!$E$23)^(S$5-1)*MAX(0,MIN(1,S$4*1-Inputs!$E$24+1))/1</f>
        <v>3.5</v>
      </c>
      <c r="T8" s="111" t="n">
        <f aca="false">Inputs!$E$21*(1+Inputs!$E$23)^(T$5-1)*MAX(0,MIN(1,T$4*1-Inputs!$E$24+1))/1</f>
        <v>3.5</v>
      </c>
      <c r="U8" s="111" t="n">
        <f aca="false">Inputs!$E$21*(1+Inputs!$E$23)^(U$5-1)*MAX(0,MIN(1,U$4*1-Inputs!$E$24+1))/1</f>
        <v>3.5</v>
      </c>
      <c r="V8" s="111" t="n">
        <f aca="false">Inputs!$E$21*(1+Inputs!$E$23)^(V$5-1)*MAX(0,MIN(1,V$4*1-Inputs!$E$24+1))/1</f>
        <v>3.5</v>
      </c>
      <c r="W8" s="111" t="n">
        <f aca="false">Inputs!$E$21*(1+Inputs!$E$23)^(W$5-1)*MAX(0,MIN(1,W$4*1-Inputs!$E$24+1))/1</f>
        <v>3.5</v>
      </c>
      <c r="X8" s="111" t="n">
        <f aca="false">Inputs!$E$21*(1+Inputs!$E$23)^(X$5-1)*MAX(0,MIN(1,X$4*1-Inputs!$E$24+1))/1</f>
        <v>3.5</v>
      </c>
      <c r="Y8" s="111" t="n">
        <f aca="false">Inputs!$E$21*(1+Inputs!$E$23)^(Y$5-1)*MAX(0,MIN(1,Y$4*1-Inputs!$E$24+1))/1</f>
        <v>3.5</v>
      </c>
      <c r="Z8" s="111" t="n">
        <f aca="false">Inputs!$E$21*(1+Inputs!$E$23)^(Z$5-1)*MAX(0,MIN(1,Z$4*1-Inputs!$E$24+1))/1</f>
        <v>3.5</v>
      </c>
      <c r="AA8" s="111" t="n">
        <f aca="false">Inputs!$E$21*(1+Inputs!$E$23)^(AA$5-1)*MAX(0,MIN(1,AA$4*1-Inputs!$E$24+1))/1</f>
        <v>3.5</v>
      </c>
      <c r="AB8" s="111" t="n">
        <f aca="false">Inputs!$E$21*(1+Inputs!$E$23)^(AB$5-1)*MAX(0,MIN(1,AB$4*1-Inputs!$E$24+1))/1</f>
        <v>3.5</v>
      </c>
      <c r="AC8" s="111" t="n">
        <f aca="false">Inputs!$E$21*(1+Inputs!$E$23)^(AC$5-1)*MAX(0,MIN(1,AC$4*1-Inputs!$E$24+1))/1</f>
        <v>3.5</v>
      </c>
      <c r="AD8" s="111" t="n">
        <f aca="false">Inputs!$E$21*(1+Inputs!$E$23)^(AD$5-1)*MAX(0,MIN(1,AD$4*1-Inputs!$E$24+1))/1</f>
        <v>3.5</v>
      </c>
      <c r="AE8" s="111" t="n">
        <f aca="false">Inputs!$E$21*(1+Inputs!$E$23)^(AE$5-1)*MAX(0,MIN(1,AE$4*1-Inputs!$E$24+1))/1</f>
        <v>3.5</v>
      </c>
      <c r="AF8" s="111" t="n">
        <f aca="false">Inputs!$E$21*(1+Inputs!$E$23)^(AF$5-1)*MAX(0,MIN(1,AF$4*1-Inputs!$E$24+1))/1</f>
        <v>3.5</v>
      </c>
      <c r="AG8" s="111" t="n">
        <f aca="false">Inputs!$E$21*(1+Inputs!$E$23)^(AG$5-1)*MAX(0,MIN(1,AG$4*1-Inputs!$E$24+1))/1</f>
        <v>3.5</v>
      </c>
      <c r="AH8" s="111" t="n">
        <f aca="false">Inputs!$E$21*(1+Inputs!$E$23)^(AH$5-1)*MAX(0,MIN(1,AH$4*1-Inputs!$E$24+1))/1</f>
        <v>3.5</v>
      </c>
      <c r="AI8" s="111" t="n">
        <f aca="false">Inputs!$E$21*(1+Inputs!$E$23)^(AI$5-1)*MAX(0,MIN(1,AI$4*1-Inputs!$E$24+1))/1</f>
        <v>3.5</v>
      </c>
      <c r="AJ8" s="111" t="n">
        <f aca="false">Inputs!$E$21*(1+Inputs!$E$23)^(AJ$5-1)*MAX(0,MIN(1,AJ$4*1-Inputs!$E$24+1))/1</f>
        <v>3.5</v>
      </c>
      <c r="AK8" s="111" t="n">
        <f aca="false">Inputs!$E$21*(1+Inputs!$E$23)^(AK$5-1)*MAX(0,MIN(1,AK$4*1-Inputs!$E$24+1))/1</f>
        <v>3.5</v>
      </c>
      <c r="AL8" s="111" t="n">
        <f aca="false">Inputs!$E$21*(1+Inputs!$E$23)^(AL$5-1)*MAX(0,MIN(1,AL$4*1-Inputs!$E$24+1))/1</f>
        <v>3.5</v>
      </c>
    </row>
    <row r="9" customFormat="false" ht="15" hidden="false" customHeight="false" outlineLevel="0" collapsed="false">
      <c r="A9" s="108" t="s">
        <v>364</v>
      </c>
      <c r="C9" s="115" t="n">
        <f aca="false">C8</f>
        <v>3.5</v>
      </c>
      <c r="D9" s="115" t="n">
        <f aca="false">D8</f>
        <v>3.5</v>
      </c>
      <c r="E9" s="115" t="n">
        <f aca="false">E8</f>
        <v>3.5</v>
      </c>
      <c r="F9" s="115" t="n">
        <f aca="false">F8</f>
        <v>3.5</v>
      </c>
      <c r="G9" s="115" t="n">
        <f aca="false">G8</f>
        <v>3.5</v>
      </c>
      <c r="H9" s="115" t="n">
        <f aca="false">H8</f>
        <v>3.5</v>
      </c>
      <c r="I9" s="115" t="n">
        <f aca="false">I8</f>
        <v>3.5</v>
      </c>
      <c r="J9" s="115" t="n">
        <f aca="false">J8</f>
        <v>3.5</v>
      </c>
      <c r="K9" s="115" t="n">
        <f aca="false">K8</f>
        <v>3.5</v>
      </c>
      <c r="L9" s="115" t="n">
        <f aca="false">L8</f>
        <v>3.5</v>
      </c>
      <c r="M9" s="115" t="n">
        <f aca="false">M8</f>
        <v>3.5</v>
      </c>
      <c r="N9" s="115" t="n">
        <f aca="false">N8</f>
        <v>3.5</v>
      </c>
      <c r="O9" s="115" t="n">
        <f aca="false">O8</f>
        <v>3.5</v>
      </c>
      <c r="P9" s="115" t="n">
        <f aca="false">P8</f>
        <v>3.5</v>
      </c>
      <c r="Q9" s="115" t="n">
        <f aca="false">Q8</f>
        <v>3.5</v>
      </c>
      <c r="R9" s="115" t="n">
        <f aca="false">R8</f>
        <v>3.5</v>
      </c>
      <c r="S9" s="115" t="n">
        <f aca="false">S8</f>
        <v>3.5</v>
      </c>
      <c r="T9" s="115" t="n">
        <f aca="false">T8</f>
        <v>3.5</v>
      </c>
      <c r="U9" s="115" t="n">
        <f aca="false">U8</f>
        <v>3.5</v>
      </c>
      <c r="V9" s="115" t="n">
        <f aca="false">V8</f>
        <v>3.5</v>
      </c>
      <c r="W9" s="115" t="n">
        <f aca="false">W8</f>
        <v>3.5</v>
      </c>
      <c r="X9" s="115" t="n">
        <f aca="false">X8</f>
        <v>3.5</v>
      </c>
      <c r="Y9" s="115" t="n">
        <f aca="false">Y8</f>
        <v>3.5</v>
      </c>
      <c r="Z9" s="115" t="n">
        <f aca="false">Z8</f>
        <v>3.5</v>
      </c>
      <c r="AA9" s="115" t="n">
        <f aca="false">AA8</f>
        <v>3.5</v>
      </c>
      <c r="AB9" s="115" t="n">
        <f aca="false">AB8</f>
        <v>3.5</v>
      </c>
      <c r="AC9" s="115" t="n">
        <f aca="false">AC8</f>
        <v>3.5</v>
      </c>
      <c r="AD9" s="115" t="n">
        <f aca="false">AD8</f>
        <v>3.5</v>
      </c>
      <c r="AE9" s="115" t="n">
        <f aca="false">AE8</f>
        <v>3.5</v>
      </c>
      <c r="AF9" s="115" t="n">
        <f aca="false">AF8</f>
        <v>3.5</v>
      </c>
      <c r="AG9" s="115" t="n">
        <f aca="false">AG8</f>
        <v>3.5</v>
      </c>
      <c r="AH9" s="115" t="n">
        <f aca="false">AH8</f>
        <v>3.5</v>
      </c>
      <c r="AI9" s="115" t="n">
        <f aca="false">AI8</f>
        <v>3.5</v>
      </c>
      <c r="AJ9" s="115" t="n">
        <f aca="false">AJ8</f>
        <v>3.5</v>
      </c>
      <c r="AK9" s="115" t="n">
        <f aca="false">AK8</f>
        <v>3.5</v>
      </c>
      <c r="AL9" s="115" t="n">
        <f aca="false">AL8</f>
        <v>3.5</v>
      </c>
    </row>
    <row r="11" customFormat="false" ht="15.75" hidden="false" customHeight="true" outlineLevel="0" collapsed="false">
      <c r="A11" s="7" t="s">
        <v>365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customFormat="false" ht="15" hidden="false" customHeight="false" outlineLevel="0" collapsed="false">
      <c r="A12" s="6" t="s">
        <v>366</v>
      </c>
      <c r="C12" s="65" t="n">
        <f aca="false">-C8*Inputs!$E$22/12*1*(1+Inputs!$E$25)*(1+Inputs!$E$26)^(C$5-1)</f>
        <v>-10453.3333333333</v>
      </c>
      <c r="D12" s="65" t="n">
        <f aca="false">-D8*Inputs!$E$22/12*1*(1+Inputs!$E$25)*(1+Inputs!$E$26)^(D$5-1)</f>
        <v>-10453.3333333333</v>
      </c>
      <c r="E12" s="65" t="n">
        <f aca="false">-E8*Inputs!$E$22/12*1*(1+Inputs!$E$25)*(1+Inputs!$E$26)^(E$5-1)</f>
        <v>-10453.3333333333</v>
      </c>
      <c r="F12" s="65" t="n">
        <f aca="false">-F8*Inputs!$E$22/12*1*(1+Inputs!$E$25)*(1+Inputs!$E$26)^(F$5-1)</f>
        <v>-10453.3333333333</v>
      </c>
      <c r="G12" s="65" t="n">
        <f aca="false">-G8*Inputs!$E$22/12*1*(1+Inputs!$E$25)*(1+Inputs!$E$26)^(G$5-1)</f>
        <v>-10453.3333333333</v>
      </c>
      <c r="H12" s="65" t="n">
        <f aca="false">-H8*Inputs!$E$22/12*1*(1+Inputs!$E$25)*(1+Inputs!$E$26)^(H$5-1)</f>
        <v>-10453.3333333333</v>
      </c>
      <c r="I12" s="65" t="n">
        <f aca="false">-I8*Inputs!$E$22/12*1*(1+Inputs!$E$25)*(1+Inputs!$E$26)^(I$5-1)</f>
        <v>-10453.3333333333</v>
      </c>
      <c r="J12" s="65" t="n">
        <f aca="false">-J8*Inputs!$E$22/12*1*(1+Inputs!$E$25)*(1+Inputs!$E$26)^(J$5-1)</f>
        <v>-10453.3333333333</v>
      </c>
      <c r="K12" s="65" t="n">
        <f aca="false">-K8*Inputs!$E$22/12*1*(1+Inputs!$E$25)*(1+Inputs!$E$26)^(K$5-1)</f>
        <v>-10453.3333333333</v>
      </c>
      <c r="L12" s="65" t="n">
        <f aca="false">-L8*Inputs!$E$22/12*1*(1+Inputs!$E$25)*(1+Inputs!$E$26)^(L$5-1)</f>
        <v>-10453.3333333333</v>
      </c>
      <c r="M12" s="65" t="n">
        <f aca="false">-M8*Inputs!$E$22/12*1*(1+Inputs!$E$25)*(1+Inputs!$E$26)^(M$5-1)</f>
        <v>-10453.3333333333</v>
      </c>
      <c r="N12" s="65" t="n">
        <f aca="false">-N8*Inputs!$E$22/12*1*(1+Inputs!$E$25)*(1+Inputs!$E$26)^(N$5-1)</f>
        <v>-10453.3333333333</v>
      </c>
      <c r="O12" s="65" t="n">
        <f aca="false">-O8*Inputs!$E$22/12*1*(1+Inputs!$E$25)*(1+Inputs!$E$26)^(O$5-1)</f>
        <v>-10766.9333333333</v>
      </c>
      <c r="P12" s="65" t="n">
        <f aca="false">-P8*Inputs!$E$22/12*1*(1+Inputs!$E$25)*(1+Inputs!$E$26)^(P$5-1)</f>
        <v>-10766.9333333333</v>
      </c>
      <c r="Q12" s="65" t="n">
        <f aca="false">-Q8*Inputs!$E$22/12*1*(1+Inputs!$E$25)*(1+Inputs!$E$26)^(Q$5-1)</f>
        <v>-10766.9333333333</v>
      </c>
      <c r="R12" s="65" t="n">
        <f aca="false">-R8*Inputs!$E$22/12*1*(1+Inputs!$E$25)*(1+Inputs!$E$26)^(R$5-1)</f>
        <v>-10766.9333333333</v>
      </c>
      <c r="S12" s="65" t="n">
        <f aca="false">-S8*Inputs!$E$22/12*1*(1+Inputs!$E$25)*(1+Inputs!$E$26)^(S$5-1)</f>
        <v>-10766.9333333333</v>
      </c>
      <c r="T12" s="65" t="n">
        <f aca="false">-T8*Inputs!$E$22/12*1*(1+Inputs!$E$25)*(1+Inputs!$E$26)^(T$5-1)</f>
        <v>-10766.9333333333</v>
      </c>
      <c r="U12" s="65" t="n">
        <f aca="false">-U8*Inputs!$E$22/12*1*(1+Inputs!$E$25)*(1+Inputs!$E$26)^(U$5-1)</f>
        <v>-10766.9333333333</v>
      </c>
      <c r="V12" s="65" t="n">
        <f aca="false">-V8*Inputs!$E$22/12*1*(1+Inputs!$E$25)*(1+Inputs!$E$26)^(V$5-1)</f>
        <v>-10766.9333333333</v>
      </c>
      <c r="W12" s="65" t="n">
        <f aca="false">-W8*Inputs!$E$22/12*1*(1+Inputs!$E$25)*(1+Inputs!$E$26)^(W$5-1)</f>
        <v>-10766.9333333333</v>
      </c>
      <c r="X12" s="65" t="n">
        <f aca="false">-X8*Inputs!$E$22/12*1*(1+Inputs!$E$25)*(1+Inputs!$E$26)^(X$5-1)</f>
        <v>-10766.9333333333</v>
      </c>
      <c r="Y12" s="65" t="n">
        <f aca="false">-Y8*Inputs!$E$22/12*1*(1+Inputs!$E$25)*(1+Inputs!$E$26)^(Y$5-1)</f>
        <v>-10766.9333333333</v>
      </c>
      <c r="Z12" s="65" t="n">
        <f aca="false">-Z8*Inputs!$E$22/12*1*(1+Inputs!$E$25)*(1+Inputs!$E$26)^(Z$5-1)</f>
        <v>-10766.9333333333</v>
      </c>
      <c r="AA12" s="65" t="n">
        <f aca="false">-AA8*Inputs!$E$22/12*1*(1+Inputs!$E$25)*(1+Inputs!$E$26)^(AA$5-1)</f>
        <v>-11089.9413333333</v>
      </c>
      <c r="AB12" s="65" t="n">
        <f aca="false">-AB8*Inputs!$E$22/12*1*(1+Inputs!$E$25)*(1+Inputs!$E$26)^(AB$5-1)</f>
        <v>-11089.9413333333</v>
      </c>
      <c r="AC12" s="65" t="n">
        <f aca="false">-AC8*Inputs!$E$22/12*1*(1+Inputs!$E$25)*(1+Inputs!$E$26)^(AC$5-1)</f>
        <v>-11089.9413333333</v>
      </c>
      <c r="AD12" s="65" t="n">
        <f aca="false">-AD8*Inputs!$E$22/12*1*(1+Inputs!$E$25)*(1+Inputs!$E$26)^(AD$5-1)</f>
        <v>-11089.9413333333</v>
      </c>
      <c r="AE12" s="65" t="n">
        <f aca="false">-AE8*Inputs!$E$22/12*1*(1+Inputs!$E$25)*(1+Inputs!$E$26)^(AE$5-1)</f>
        <v>-11089.9413333333</v>
      </c>
      <c r="AF12" s="65" t="n">
        <f aca="false">-AF8*Inputs!$E$22/12*1*(1+Inputs!$E$25)*(1+Inputs!$E$26)^(AF$5-1)</f>
        <v>-11089.9413333333</v>
      </c>
      <c r="AG12" s="65" t="n">
        <f aca="false">-AG8*Inputs!$E$22/12*1*(1+Inputs!$E$25)*(1+Inputs!$E$26)^(AG$5-1)</f>
        <v>-11089.9413333333</v>
      </c>
      <c r="AH12" s="65" t="n">
        <f aca="false">-AH8*Inputs!$E$22/12*1*(1+Inputs!$E$25)*(1+Inputs!$E$26)^(AH$5-1)</f>
        <v>-11089.9413333333</v>
      </c>
      <c r="AI12" s="65" t="n">
        <f aca="false">-AI8*Inputs!$E$22/12*1*(1+Inputs!$E$25)*(1+Inputs!$E$26)^(AI$5-1)</f>
        <v>-11089.9413333333</v>
      </c>
      <c r="AJ12" s="65" t="n">
        <f aca="false">-AJ8*Inputs!$E$22/12*1*(1+Inputs!$E$25)*(1+Inputs!$E$26)^(AJ$5-1)</f>
        <v>-11089.9413333333</v>
      </c>
      <c r="AK12" s="65" t="n">
        <f aca="false">-AK8*Inputs!$E$22/12*1*(1+Inputs!$E$25)*(1+Inputs!$E$26)^(AK$5-1)</f>
        <v>-11089.9413333333</v>
      </c>
      <c r="AL12" s="65" t="n">
        <f aca="false">-AL8*Inputs!$E$22/12*1*(1+Inputs!$E$25)*(1+Inputs!$E$26)^(AL$5-1)</f>
        <v>-11089.9413333333</v>
      </c>
    </row>
    <row r="13" customFormat="false" ht="15" hidden="false" customHeight="false" outlineLevel="0" collapsed="false">
      <c r="A13" s="108" t="s">
        <v>367</v>
      </c>
      <c r="C13" s="66" t="n">
        <f aca="false">C12</f>
        <v>-10453.3333333333</v>
      </c>
      <c r="D13" s="66" t="n">
        <f aca="false">D12</f>
        <v>-10453.3333333333</v>
      </c>
      <c r="E13" s="66" t="n">
        <f aca="false">E12</f>
        <v>-10453.3333333333</v>
      </c>
      <c r="F13" s="66" t="n">
        <f aca="false">F12</f>
        <v>-10453.3333333333</v>
      </c>
      <c r="G13" s="66" t="n">
        <f aca="false">G12</f>
        <v>-10453.3333333333</v>
      </c>
      <c r="H13" s="66" t="n">
        <f aca="false">H12</f>
        <v>-10453.3333333333</v>
      </c>
      <c r="I13" s="66" t="n">
        <f aca="false">I12</f>
        <v>-10453.3333333333</v>
      </c>
      <c r="J13" s="66" t="n">
        <f aca="false">J12</f>
        <v>-10453.3333333333</v>
      </c>
      <c r="K13" s="66" t="n">
        <f aca="false">K12</f>
        <v>-10453.3333333333</v>
      </c>
      <c r="L13" s="66" t="n">
        <f aca="false">L12</f>
        <v>-10453.3333333333</v>
      </c>
      <c r="M13" s="66" t="n">
        <f aca="false">M12</f>
        <v>-10453.3333333333</v>
      </c>
      <c r="N13" s="66" t="n">
        <f aca="false">N12</f>
        <v>-10453.3333333333</v>
      </c>
      <c r="O13" s="66" t="n">
        <f aca="false">O12</f>
        <v>-10766.9333333333</v>
      </c>
      <c r="P13" s="66" t="n">
        <f aca="false">P12</f>
        <v>-10766.9333333333</v>
      </c>
      <c r="Q13" s="66" t="n">
        <f aca="false">Q12</f>
        <v>-10766.9333333333</v>
      </c>
      <c r="R13" s="66" t="n">
        <f aca="false">R12</f>
        <v>-10766.9333333333</v>
      </c>
      <c r="S13" s="66" t="n">
        <f aca="false">S12</f>
        <v>-10766.9333333333</v>
      </c>
      <c r="T13" s="66" t="n">
        <f aca="false">T12</f>
        <v>-10766.9333333333</v>
      </c>
      <c r="U13" s="66" t="n">
        <f aca="false">U12</f>
        <v>-10766.9333333333</v>
      </c>
      <c r="V13" s="66" t="n">
        <f aca="false">V12</f>
        <v>-10766.9333333333</v>
      </c>
      <c r="W13" s="66" t="n">
        <f aca="false">W12</f>
        <v>-10766.9333333333</v>
      </c>
      <c r="X13" s="66" t="n">
        <f aca="false">X12</f>
        <v>-10766.9333333333</v>
      </c>
      <c r="Y13" s="66" t="n">
        <f aca="false">Y12</f>
        <v>-10766.9333333333</v>
      </c>
      <c r="Z13" s="66" t="n">
        <f aca="false">Z12</f>
        <v>-10766.9333333333</v>
      </c>
      <c r="AA13" s="66" t="n">
        <f aca="false">AA12</f>
        <v>-11089.9413333333</v>
      </c>
      <c r="AB13" s="66" t="n">
        <f aca="false">AB12</f>
        <v>-11089.9413333333</v>
      </c>
      <c r="AC13" s="66" t="n">
        <f aca="false">AC12</f>
        <v>-11089.9413333333</v>
      </c>
      <c r="AD13" s="66" t="n">
        <f aca="false">AD12</f>
        <v>-11089.9413333333</v>
      </c>
      <c r="AE13" s="66" t="n">
        <f aca="false">AE12</f>
        <v>-11089.9413333333</v>
      </c>
      <c r="AF13" s="66" t="n">
        <f aca="false">AF12</f>
        <v>-11089.9413333333</v>
      </c>
      <c r="AG13" s="66" t="n">
        <f aca="false">AG12</f>
        <v>-11089.9413333333</v>
      </c>
      <c r="AH13" s="66" t="n">
        <f aca="false">AH12</f>
        <v>-11089.9413333333</v>
      </c>
      <c r="AI13" s="66" t="n">
        <f aca="false">AI12</f>
        <v>-11089.9413333333</v>
      </c>
      <c r="AJ13" s="66" t="n">
        <f aca="false">AJ12</f>
        <v>-11089.9413333333</v>
      </c>
      <c r="AK13" s="66" t="n">
        <f aca="false">AK12</f>
        <v>-11089.9413333333</v>
      </c>
      <c r="AL13" s="66" t="n">
        <f aca="false">AL12</f>
        <v>-11089.9413333333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26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368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369</v>
      </c>
    </row>
    <row r="4" customFormat="false" ht="15.75" hidden="false" customHeight="true" outlineLevel="0" collapsed="false">
      <c r="A4" s="7" t="s">
        <v>370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296</v>
      </c>
      <c r="C5" s="35" t="s">
        <v>297</v>
      </c>
      <c r="D5" s="35" t="s">
        <v>298</v>
      </c>
      <c r="E5" s="35" t="s">
        <v>299</v>
      </c>
      <c r="F5" s="35" t="s">
        <v>300</v>
      </c>
      <c r="G5" s="35" t="s">
        <v>301</v>
      </c>
      <c r="H5" s="35" t="s">
        <v>302</v>
      </c>
      <c r="I5" s="35" t="s">
        <v>303</v>
      </c>
      <c r="J5" s="35" t="s">
        <v>304</v>
      </c>
      <c r="K5" s="35" t="s">
        <v>305</v>
      </c>
      <c r="L5" s="35" t="s">
        <v>306</v>
      </c>
      <c r="M5" s="35" t="s">
        <v>307</v>
      </c>
      <c r="N5" s="35" t="s">
        <v>308</v>
      </c>
      <c r="O5" s="35" t="s">
        <v>309</v>
      </c>
      <c r="P5" s="35" t="s">
        <v>310</v>
      </c>
      <c r="Q5" s="35" t="s">
        <v>311</v>
      </c>
      <c r="R5" s="35" t="s">
        <v>312</v>
      </c>
      <c r="S5" s="35" t="s">
        <v>313</v>
      </c>
      <c r="T5" s="35" t="s">
        <v>314</v>
      </c>
      <c r="U5" s="35" t="s">
        <v>315</v>
      </c>
      <c r="V5" s="35" t="s">
        <v>316</v>
      </c>
      <c r="W5" s="35" t="s">
        <v>317</v>
      </c>
      <c r="X5" s="35" t="s">
        <v>318</v>
      </c>
      <c r="Y5" s="35" t="s">
        <v>319</v>
      </c>
      <c r="Z5" s="35" t="s">
        <v>320</v>
      </c>
      <c r="AA5" s="35" t="s">
        <v>321</v>
      </c>
      <c r="AB5" s="35" t="s">
        <v>322</v>
      </c>
      <c r="AC5" s="35" t="s">
        <v>323</v>
      </c>
      <c r="AD5" s="35" t="s">
        <v>324</v>
      </c>
      <c r="AE5" s="35" t="s">
        <v>325</v>
      </c>
      <c r="AF5" s="35" t="s">
        <v>326</v>
      </c>
      <c r="AG5" s="35" t="s">
        <v>327</v>
      </c>
      <c r="AH5" s="35" t="s">
        <v>328</v>
      </c>
      <c r="AI5" s="35" t="s">
        <v>329</v>
      </c>
      <c r="AJ5" s="35" t="s">
        <v>330</v>
      </c>
      <c r="AK5" s="35" t="s">
        <v>331</v>
      </c>
      <c r="AL5" s="35" t="s">
        <v>332</v>
      </c>
    </row>
    <row r="6" customFormat="false" ht="15" hidden="false" customHeight="false" outlineLevel="0" collapsed="false">
      <c r="A6" s="70" t="s">
        <v>333</v>
      </c>
      <c r="C6" s="70" t="n">
        <v>1</v>
      </c>
      <c r="D6" s="70" t="n">
        <v>2</v>
      </c>
      <c r="E6" s="70" t="n">
        <v>3</v>
      </c>
      <c r="F6" s="70" t="n">
        <v>4</v>
      </c>
      <c r="G6" s="70" t="n">
        <v>5</v>
      </c>
      <c r="H6" s="70" t="n">
        <v>6</v>
      </c>
      <c r="I6" s="70" t="n">
        <v>7</v>
      </c>
      <c r="J6" s="70" t="n">
        <v>8</v>
      </c>
      <c r="K6" s="70" t="n">
        <v>9</v>
      </c>
      <c r="L6" s="70" t="n">
        <v>10</v>
      </c>
      <c r="M6" s="70" t="n">
        <v>11</v>
      </c>
      <c r="N6" s="70" t="n">
        <v>12</v>
      </c>
      <c r="O6" s="70" t="n">
        <v>13</v>
      </c>
      <c r="P6" s="70" t="n">
        <v>14</v>
      </c>
      <c r="Q6" s="70" t="n">
        <v>15</v>
      </c>
      <c r="R6" s="70" t="n">
        <v>16</v>
      </c>
      <c r="S6" s="70" t="n">
        <v>17</v>
      </c>
      <c r="T6" s="70" t="n">
        <v>18</v>
      </c>
      <c r="U6" s="70" t="n">
        <v>19</v>
      </c>
      <c r="V6" s="70" t="n">
        <v>20</v>
      </c>
      <c r="W6" s="70" t="n">
        <v>21</v>
      </c>
      <c r="X6" s="70" t="n">
        <v>22</v>
      </c>
      <c r="Y6" s="70" t="n">
        <v>23</v>
      </c>
      <c r="Z6" s="70" t="n">
        <v>24</v>
      </c>
      <c r="AA6" s="70" t="n">
        <v>25</v>
      </c>
      <c r="AB6" s="70" t="n">
        <v>26</v>
      </c>
      <c r="AC6" s="70" t="n">
        <v>27</v>
      </c>
      <c r="AD6" s="70" t="n">
        <v>28</v>
      </c>
      <c r="AE6" s="70" t="n">
        <v>29</v>
      </c>
      <c r="AF6" s="70" t="n">
        <v>30</v>
      </c>
      <c r="AG6" s="70" t="n">
        <v>31</v>
      </c>
      <c r="AH6" s="70" t="n">
        <v>32</v>
      </c>
      <c r="AI6" s="70" t="n">
        <v>33</v>
      </c>
      <c r="AJ6" s="70" t="n">
        <v>34</v>
      </c>
      <c r="AK6" s="70" t="n">
        <v>35</v>
      </c>
      <c r="AL6" s="70" t="n">
        <v>36</v>
      </c>
    </row>
    <row r="7" customFormat="false" ht="15" hidden="false" customHeight="false" outlineLevel="0" collapsed="false">
      <c r="A7" s="70" t="s">
        <v>152</v>
      </c>
      <c r="C7" s="70" t="n">
        <f aca="false">ROUNDUP(C6*1/12,0)</f>
        <v>1</v>
      </c>
      <c r="D7" s="70" t="n">
        <f aca="false">ROUNDUP(D6*1/12,0)</f>
        <v>1</v>
      </c>
      <c r="E7" s="70" t="n">
        <f aca="false">ROUNDUP(E6*1/12,0)</f>
        <v>1</v>
      </c>
      <c r="F7" s="70" t="n">
        <f aca="false">ROUNDUP(F6*1/12,0)</f>
        <v>1</v>
      </c>
      <c r="G7" s="70" t="n">
        <f aca="false">ROUNDUP(G6*1/12,0)</f>
        <v>1</v>
      </c>
      <c r="H7" s="70" t="n">
        <f aca="false">ROUNDUP(H6*1/12,0)</f>
        <v>1</v>
      </c>
      <c r="I7" s="70" t="n">
        <f aca="false">ROUNDUP(I6*1/12,0)</f>
        <v>1</v>
      </c>
      <c r="J7" s="70" t="n">
        <f aca="false">ROUNDUP(J6*1/12,0)</f>
        <v>1</v>
      </c>
      <c r="K7" s="70" t="n">
        <f aca="false">ROUNDUP(K6*1/12,0)</f>
        <v>1</v>
      </c>
      <c r="L7" s="70" t="n">
        <f aca="false">ROUNDUP(L6*1/12,0)</f>
        <v>1</v>
      </c>
      <c r="M7" s="70" t="n">
        <f aca="false">ROUNDUP(M6*1/12,0)</f>
        <v>1</v>
      </c>
      <c r="N7" s="70" t="n">
        <f aca="false">ROUNDUP(N6*1/12,0)</f>
        <v>1</v>
      </c>
      <c r="O7" s="70" t="n">
        <f aca="false">ROUNDUP(O6*1/12,0)</f>
        <v>2</v>
      </c>
      <c r="P7" s="70" t="n">
        <f aca="false">ROUNDUP(P6*1/12,0)</f>
        <v>2</v>
      </c>
      <c r="Q7" s="70" t="n">
        <f aca="false">ROUNDUP(Q6*1/12,0)</f>
        <v>2</v>
      </c>
      <c r="R7" s="70" t="n">
        <f aca="false">ROUNDUP(R6*1/12,0)</f>
        <v>2</v>
      </c>
      <c r="S7" s="70" t="n">
        <f aca="false">ROUNDUP(S6*1/12,0)</f>
        <v>2</v>
      </c>
      <c r="T7" s="70" t="n">
        <f aca="false">ROUNDUP(T6*1/12,0)</f>
        <v>2</v>
      </c>
      <c r="U7" s="70" t="n">
        <f aca="false">ROUNDUP(U6*1/12,0)</f>
        <v>2</v>
      </c>
      <c r="V7" s="70" t="n">
        <f aca="false">ROUNDUP(V6*1/12,0)</f>
        <v>2</v>
      </c>
      <c r="W7" s="70" t="n">
        <f aca="false">ROUNDUP(W6*1/12,0)</f>
        <v>2</v>
      </c>
      <c r="X7" s="70" t="n">
        <f aca="false">ROUNDUP(X6*1/12,0)</f>
        <v>2</v>
      </c>
      <c r="Y7" s="70" t="n">
        <f aca="false">ROUNDUP(Y6*1/12,0)</f>
        <v>2</v>
      </c>
      <c r="Z7" s="70" t="n">
        <f aca="false">ROUNDUP(Z6*1/12,0)</f>
        <v>2</v>
      </c>
      <c r="AA7" s="70" t="n">
        <f aca="false">ROUNDUP(AA6*1/12,0)</f>
        <v>3</v>
      </c>
      <c r="AB7" s="70" t="n">
        <f aca="false">ROUNDUP(AB6*1/12,0)</f>
        <v>3</v>
      </c>
      <c r="AC7" s="70" t="n">
        <f aca="false">ROUNDUP(AC6*1/12,0)</f>
        <v>3</v>
      </c>
      <c r="AD7" s="70" t="n">
        <f aca="false">ROUNDUP(AD6*1/12,0)</f>
        <v>3</v>
      </c>
      <c r="AE7" s="70" t="n">
        <f aca="false">ROUNDUP(AE6*1/12,0)</f>
        <v>3</v>
      </c>
      <c r="AF7" s="70" t="n">
        <f aca="false">ROUNDUP(AF6*1/12,0)</f>
        <v>3</v>
      </c>
      <c r="AG7" s="70" t="n">
        <f aca="false">ROUNDUP(AG6*1/12,0)</f>
        <v>3</v>
      </c>
      <c r="AH7" s="70" t="n">
        <f aca="false">ROUNDUP(AH6*1/12,0)</f>
        <v>3</v>
      </c>
      <c r="AI7" s="70" t="n">
        <f aca="false">ROUNDUP(AI6*1/12,0)</f>
        <v>3</v>
      </c>
      <c r="AJ7" s="70" t="n">
        <f aca="false">ROUNDUP(AJ6*1/12,0)</f>
        <v>3</v>
      </c>
      <c r="AK7" s="70" t="n">
        <f aca="false">ROUNDUP(AK6*1/12,0)</f>
        <v>3</v>
      </c>
      <c r="AL7" s="70" t="n">
        <f aca="false">ROUNDUP(AL6*1/12,0)</f>
        <v>3</v>
      </c>
    </row>
    <row r="9" customFormat="false" ht="15.75" hidden="false" customHeight="true" outlineLevel="0" collapsed="false">
      <c r="A9" s="7" t="s">
        <v>334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39" t="s">
        <v>335</v>
      </c>
      <c r="C10" s="72" t="n">
        <f aca="false">MIN(1,Inputs!$B$9+(1-Inputs!$B$9)*(C$6-1)/MAX(1,Inputs!$B$8))</f>
        <v>0.4</v>
      </c>
      <c r="D10" s="72" t="n">
        <f aca="false">MIN(1,Inputs!$B$9+(1-Inputs!$B$9)*(D$6-1)/MAX(1,Inputs!$B$8))</f>
        <v>0.466666666666667</v>
      </c>
      <c r="E10" s="72" t="n">
        <f aca="false">MIN(1,Inputs!$B$9+(1-Inputs!$B$9)*(E$6-1)/MAX(1,Inputs!$B$8))</f>
        <v>0.533333333333333</v>
      </c>
      <c r="F10" s="72" t="n">
        <f aca="false">MIN(1,Inputs!$B$9+(1-Inputs!$B$9)*(F$6-1)/MAX(1,Inputs!$B$8))</f>
        <v>0.6</v>
      </c>
      <c r="G10" s="72" t="n">
        <f aca="false">MIN(1,Inputs!$B$9+(1-Inputs!$B$9)*(G$6-1)/MAX(1,Inputs!$B$8))</f>
        <v>0.666666666666667</v>
      </c>
      <c r="H10" s="72" t="n">
        <f aca="false">MIN(1,Inputs!$B$9+(1-Inputs!$B$9)*(H$6-1)/MAX(1,Inputs!$B$8))</f>
        <v>0.733333333333333</v>
      </c>
      <c r="I10" s="72" t="n">
        <f aca="false">MIN(1,Inputs!$B$9+(1-Inputs!$B$9)*(I$6-1)/MAX(1,Inputs!$B$8))</f>
        <v>0.8</v>
      </c>
      <c r="J10" s="72" t="n">
        <f aca="false">MIN(1,Inputs!$B$9+(1-Inputs!$B$9)*(J$6-1)/MAX(1,Inputs!$B$8))</f>
        <v>0.866666666666667</v>
      </c>
      <c r="K10" s="72" t="n">
        <f aca="false">MIN(1,Inputs!$B$9+(1-Inputs!$B$9)*(K$6-1)/MAX(1,Inputs!$B$8))</f>
        <v>0.933333333333333</v>
      </c>
      <c r="L10" s="72" t="n">
        <f aca="false">MIN(1,Inputs!$B$9+(1-Inputs!$B$9)*(L$6-1)/MAX(1,Inputs!$B$8))</f>
        <v>1</v>
      </c>
      <c r="M10" s="72" t="n">
        <f aca="false">MIN(1,Inputs!$B$9+(1-Inputs!$B$9)*(M$6-1)/MAX(1,Inputs!$B$8))</f>
        <v>1</v>
      </c>
      <c r="N10" s="72" t="n">
        <f aca="false">MIN(1,Inputs!$B$9+(1-Inputs!$B$9)*(N$6-1)/MAX(1,Inputs!$B$8))</f>
        <v>1</v>
      </c>
      <c r="O10" s="72" t="n">
        <f aca="false">MIN(1,Inputs!$B$9+(1-Inputs!$B$9)*(O$6-1)/MAX(1,Inputs!$B$8))</f>
        <v>1</v>
      </c>
      <c r="P10" s="72" t="n">
        <f aca="false">MIN(1,Inputs!$B$9+(1-Inputs!$B$9)*(P$6-1)/MAX(1,Inputs!$B$8))</f>
        <v>1</v>
      </c>
      <c r="Q10" s="72" t="n">
        <f aca="false">MIN(1,Inputs!$B$9+(1-Inputs!$B$9)*(Q$6-1)/MAX(1,Inputs!$B$8))</f>
        <v>1</v>
      </c>
      <c r="R10" s="72" t="n">
        <f aca="false">MIN(1,Inputs!$B$9+(1-Inputs!$B$9)*(R$6-1)/MAX(1,Inputs!$B$8))</f>
        <v>1</v>
      </c>
      <c r="S10" s="72" t="n">
        <f aca="false">MIN(1,Inputs!$B$9+(1-Inputs!$B$9)*(S$6-1)/MAX(1,Inputs!$B$8))</f>
        <v>1</v>
      </c>
      <c r="T10" s="72" t="n">
        <f aca="false">MIN(1,Inputs!$B$9+(1-Inputs!$B$9)*(T$6-1)/MAX(1,Inputs!$B$8))</f>
        <v>1</v>
      </c>
      <c r="U10" s="72" t="n">
        <f aca="false">MIN(1,Inputs!$B$9+(1-Inputs!$B$9)*(U$6-1)/MAX(1,Inputs!$B$8))</f>
        <v>1</v>
      </c>
      <c r="V10" s="72" t="n">
        <f aca="false">MIN(1,Inputs!$B$9+(1-Inputs!$B$9)*(V$6-1)/MAX(1,Inputs!$B$8))</f>
        <v>1</v>
      </c>
      <c r="W10" s="72" t="n">
        <f aca="false">MIN(1,Inputs!$B$9+(1-Inputs!$B$9)*(W$6-1)/MAX(1,Inputs!$B$8))</f>
        <v>1</v>
      </c>
      <c r="X10" s="72" t="n">
        <f aca="false">MIN(1,Inputs!$B$9+(1-Inputs!$B$9)*(X$6-1)/MAX(1,Inputs!$B$8))</f>
        <v>1</v>
      </c>
      <c r="Y10" s="72" t="n">
        <f aca="false">MIN(1,Inputs!$B$9+(1-Inputs!$B$9)*(Y$6-1)/MAX(1,Inputs!$B$8))</f>
        <v>1</v>
      </c>
      <c r="Z10" s="72" t="n">
        <f aca="false">MIN(1,Inputs!$B$9+(1-Inputs!$B$9)*(Z$6-1)/MAX(1,Inputs!$B$8))</f>
        <v>1</v>
      </c>
      <c r="AA10" s="72" t="n">
        <f aca="false">MIN(1,Inputs!$B$9+(1-Inputs!$B$9)*(AA$6-1)/MAX(1,Inputs!$B$8))</f>
        <v>1</v>
      </c>
      <c r="AB10" s="72" t="n">
        <f aca="false">MIN(1,Inputs!$B$9+(1-Inputs!$B$9)*(AB$6-1)/MAX(1,Inputs!$B$8))</f>
        <v>1</v>
      </c>
      <c r="AC10" s="72" t="n">
        <f aca="false">MIN(1,Inputs!$B$9+(1-Inputs!$B$9)*(AC$6-1)/MAX(1,Inputs!$B$8))</f>
        <v>1</v>
      </c>
      <c r="AD10" s="72" t="n">
        <f aca="false">MIN(1,Inputs!$B$9+(1-Inputs!$B$9)*(AD$6-1)/MAX(1,Inputs!$B$8))</f>
        <v>1</v>
      </c>
      <c r="AE10" s="72" t="n">
        <f aca="false">MIN(1,Inputs!$B$9+(1-Inputs!$B$9)*(AE$6-1)/MAX(1,Inputs!$B$8))</f>
        <v>1</v>
      </c>
      <c r="AF10" s="72" t="n">
        <f aca="false">MIN(1,Inputs!$B$9+(1-Inputs!$B$9)*(AF$6-1)/MAX(1,Inputs!$B$8))</f>
        <v>1</v>
      </c>
      <c r="AG10" s="72" t="n">
        <f aca="false">MIN(1,Inputs!$B$9+(1-Inputs!$B$9)*(AG$6-1)/MAX(1,Inputs!$B$8))</f>
        <v>1</v>
      </c>
      <c r="AH10" s="72" t="n">
        <f aca="false">MIN(1,Inputs!$B$9+(1-Inputs!$B$9)*(AH$6-1)/MAX(1,Inputs!$B$8))</f>
        <v>1</v>
      </c>
      <c r="AI10" s="72" t="n">
        <f aca="false">MIN(1,Inputs!$B$9+(1-Inputs!$B$9)*(AI$6-1)/MAX(1,Inputs!$B$8))</f>
        <v>1</v>
      </c>
      <c r="AJ10" s="72" t="n">
        <f aca="false">MIN(1,Inputs!$B$9+(1-Inputs!$B$9)*(AJ$6-1)/MAX(1,Inputs!$B$8))</f>
        <v>1</v>
      </c>
      <c r="AK10" s="72" t="n">
        <f aca="false">MIN(1,Inputs!$B$9+(1-Inputs!$B$9)*(AK$6-1)/MAX(1,Inputs!$B$8))</f>
        <v>1</v>
      </c>
      <c r="AL10" s="72" t="n">
        <f aca="false">MIN(1,Inputs!$B$9+(1-Inputs!$B$9)*(AL$6-1)/MAX(1,Inputs!$B$8))</f>
        <v>1</v>
      </c>
    </row>
    <row r="11" customFormat="false" ht="15" hidden="false" customHeight="false" outlineLevel="0" collapsed="false">
      <c r="A11" s="6" t="s">
        <v>336</v>
      </c>
      <c r="C11" s="111" t="n">
        <f aca="false">Inputs!$B$7*C10*(1+Inputs!$B$10)^(C$7-1)</f>
        <v>48</v>
      </c>
      <c r="D11" s="111" t="n">
        <f aca="false">Inputs!$B$7*D10*(1+Inputs!$B$10)^(D$7-1)</f>
        <v>56</v>
      </c>
      <c r="E11" s="111" t="n">
        <f aca="false">Inputs!$B$7*E10*(1+Inputs!$B$10)^(E$7-1)</f>
        <v>64</v>
      </c>
      <c r="F11" s="111" t="n">
        <f aca="false">Inputs!$B$7*F10*(1+Inputs!$B$10)^(F$7-1)</f>
        <v>72</v>
      </c>
      <c r="G11" s="111" t="n">
        <f aca="false">Inputs!$B$7*G10*(1+Inputs!$B$10)^(G$7-1)</f>
        <v>80</v>
      </c>
      <c r="H11" s="111" t="n">
        <f aca="false">Inputs!$B$7*H10*(1+Inputs!$B$10)^(H$7-1)</f>
        <v>88</v>
      </c>
      <c r="I11" s="111" t="n">
        <f aca="false">Inputs!$B$7*I10*(1+Inputs!$B$10)^(I$7-1)</f>
        <v>96</v>
      </c>
      <c r="J11" s="111" t="n">
        <f aca="false">Inputs!$B$7*J10*(1+Inputs!$B$10)^(J$7-1)</f>
        <v>104</v>
      </c>
      <c r="K11" s="111" t="n">
        <f aca="false">Inputs!$B$7*K10*(1+Inputs!$B$10)^(K$7-1)</f>
        <v>112</v>
      </c>
      <c r="L11" s="111" t="n">
        <f aca="false">Inputs!$B$7*L10*(1+Inputs!$B$10)^(L$7-1)</f>
        <v>120</v>
      </c>
      <c r="M11" s="111" t="n">
        <f aca="false">Inputs!$B$7*M10*(1+Inputs!$B$10)^(M$7-1)</f>
        <v>120</v>
      </c>
      <c r="N11" s="111" t="n">
        <f aca="false">Inputs!$B$7*N10*(1+Inputs!$B$10)^(N$7-1)</f>
        <v>120</v>
      </c>
      <c r="O11" s="111" t="n">
        <f aca="false">Inputs!$B$7*O10*(1+Inputs!$B$10)^(O$7-1)</f>
        <v>123.6</v>
      </c>
      <c r="P11" s="111" t="n">
        <f aca="false">Inputs!$B$7*P10*(1+Inputs!$B$10)^(P$7-1)</f>
        <v>123.6</v>
      </c>
      <c r="Q11" s="111" t="n">
        <f aca="false">Inputs!$B$7*Q10*(1+Inputs!$B$10)^(Q$7-1)</f>
        <v>123.6</v>
      </c>
      <c r="R11" s="111" t="n">
        <f aca="false">Inputs!$B$7*R10*(1+Inputs!$B$10)^(R$7-1)</f>
        <v>123.6</v>
      </c>
      <c r="S11" s="111" t="n">
        <f aca="false">Inputs!$B$7*S10*(1+Inputs!$B$10)^(S$7-1)</f>
        <v>123.6</v>
      </c>
      <c r="T11" s="111" t="n">
        <f aca="false">Inputs!$B$7*T10*(1+Inputs!$B$10)^(T$7-1)</f>
        <v>123.6</v>
      </c>
      <c r="U11" s="111" t="n">
        <f aca="false">Inputs!$B$7*U10*(1+Inputs!$B$10)^(U$7-1)</f>
        <v>123.6</v>
      </c>
      <c r="V11" s="111" t="n">
        <f aca="false">Inputs!$B$7*V10*(1+Inputs!$B$10)^(V$7-1)</f>
        <v>123.6</v>
      </c>
      <c r="W11" s="111" t="n">
        <f aca="false">Inputs!$B$7*W10*(1+Inputs!$B$10)^(W$7-1)</f>
        <v>123.6</v>
      </c>
      <c r="X11" s="111" t="n">
        <f aca="false">Inputs!$B$7*X10*(1+Inputs!$B$10)^(X$7-1)</f>
        <v>123.6</v>
      </c>
      <c r="Y11" s="111" t="n">
        <f aca="false">Inputs!$B$7*Y10*(1+Inputs!$B$10)^(Y$7-1)</f>
        <v>123.6</v>
      </c>
      <c r="Z11" s="111" t="n">
        <f aca="false">Inputs!$B$7*Z10*(1+Inputs!$B$10)^(Z$7-1)</f>
        <v>123.6</v>
      </c>
      <c r="AA11" s="111" t="n">
        <f aca="false">Inputs!$B$7*AA10*(1+Inputs!$B$10)^(AA$7-1)</f>
        <v>127.308</v>
      </c>
      <c r="AB11" s="111" t="n">
        <f aca="false">Inputs!$B$7*AB10*(1+Inputs!$B$10)^(AB$7-1)</f>
        <v>127.308</v>
      </c>
      <c r="AC11" s="111" t="n">
        <f aca="false">Inputs!$B$7*AC10*(1+Inputs!$B$10)^(AC$7-1)</f>
        <v>127.308</v>
      </c>
      <c r="AD11" s="111" t="n">
        <f aca="false">Inputs!$B$7*AD10*(1+Inputs!$B$10)^(AD$7-1)</f>
        <v>127.308</v>
      </c>
      <c r="AE11" s="111" t="n">
        <f aca="false">Inputs!$B$7*AE10*(1+Inputs!$B$10)^(AE$7-1)</f>
        <v>127.308</v>
      </c>
      <c r="AF11" s="111" t="n">
        <f aca="false">Inputs!$B$7*AF10*(1+Inputs!$B$10)^(AF$7-1)</f>
        <v>127.308</v>
      </c>
      <c r="AG11" s="111" t="n">
        <f aca="false">Inputs!$B$7*AG10*(1+Inputs!$B$10)^(AG$7-1)</f>
        <v>127.308</v>
      </c>
      <c r="AH11" s="111" t="n">
        <f aca="false">Inputs!$B$7*AH10*(1+Inputs!$B$10)^(AH$7-1)</f>
        <v>127.308</v>
      </c>
      <c r="AI11" s="111" t="n">
        <f aca="false">Inputs!$B$7*AI10*(1+Inputs!$B$10)^(AI$7-1)</f>
        <v>127.308</v>
      </c>
      <c r="AJ11" s="111" t="n">
        <f aca="false">Inputs!$B$7*AJ10*(1+Inputs!$B$10)^(AJ$7-1)</f>
        <v>127.308</v>
      </c>
      <c r="AK11" s="111" t="n">
        <f aca="false">Inputs!$B$7*AK10*(1+Inputs!$B$10)^(AK$7-1)</f>
        <v>127.308</v>
      </c>
      <c r="AL11" s="111" t="n">
        <f aca="false">Inputs!$B$7*AL10*(1+Inputs!$B$10)^(AL$7-1)</f>
        <v>127.308</v>
      </c>
    </row>
    <row r="12" customFormat="false" ht="15" hidden="false" customHeight="false" outlineLevel="0" collapsed="false">
      <c r="A12" s="6" t="s">
        <v>244</v>
      </c>
      <c r="C12" s="112" t="n">
        <f aca="false">Inputs!$B$11*(1+Inputs!$B$12)^(C$7-1)</f>
        <v>5.5</v>
      </c>
      <c r="D12" s="112" t="n">
        <f aca="false">Inputs!$B$11*(1+Inputs!$B$12)^(D$7-1)</f>
        <v>5.5</v>
      </c>
      <c r="E12" s="112" t="n">
        <f aca="false">Inputs!$B$11*(1+Inputs!$B$12)^(E$7-1)</f>
        <v>5.5</v>
      </c>
      <c r="F12" s="112" t="n">
        <f aca="false">Inputs!$B$11*(1+Inputs!$B$12)^(F$7-1)</f>
        <v>5.5</v>
      </c>
      <c r="G12" s="112" t="n">
        <f aca="false">Inputs!$B$11*(1+Inputs!$B$12)^(G$7-1)</f>
        <v>5.5</v>
      </c>
      <c r="H12" s="112" t="n">
        <f aca="false">Inputs!$B$11*(1+Inputs!$B$12)^(H$7-1)</f>
        <v>5.5</v>
      </c>
      <c r="I12" s="112" t="n">
        <f aca="false">Inputs!$B$11*(1+Inputs!$B$12)^(I$7-1)</f>
        <v>5.5</v>
      </c>
      <c r="J12" s="112" t="n">
        <f aca="false">Inputs!$B$11*(1+Inputs!$B$12)^(J$7-1)</f>
        <v>5.5</v>
      </c>
      <c r="K12" s="112" t="n">
        <f aca="false">Inputs!$B$11*(1+Inputs!$B$12)^(K$7-1)</f>
        <v>5.5</v>
      </c>
      <c r="L12" s="112" t="n">
        <f aca="false">Inputs!$B$11*(1+Inputs!$B$12)^(L$7-1)</f>
        <v>5.5</v>
      </c>
      <c r="M12" s="112" t="n">
        <f aca="false">Inputs!$B$11*(1+Inputs!$B$12)^(M$7-1)</f>
        <v>5.5</v>
      </c>
      <c r="N12" s="112" t="n">
        <f aca="false">Inputs!$B$11*(1+Inputs!$B$12)^(N$7-1)</f>
        <v>5.5</v>
      </c>
      <c r="O12" s="112" t="n">
        <f aca="false">Inputs!$B$11*(1+Inputs!$B$12)^(O$7-1)</f>
        <v>5.61</v>
      </c>
      <c r="P12" s="112" t="n">
        <f aca="false">Inputs!$B$11*(1+Inputs!$B$12)^(P$7-1)</f>
        <v>5.61</v>
      </c>
      <c r="Q12" s="112" t="n">
        <f aca="false">Inputs!$B$11*(1+Inputs!$B$12)^(Q$7-1)</f>
        <v>5.61</v>
      </c>
      <c r="R12" s="112" t="n">
        <f aca="false">Inputs!$B$11*(1+Inputs!$B$12)^(R$7-1)</f>
        <v>5.61</v>
      </c>
      <c r="S12" s="112" t="n">
        <f aca="false">Inputs!$B$11*(1+Inputs!$B$12)^(S$7-1)</f>
        <v>5.61</v>
      </c>
      <c r="T12" s="112" t="n">
        <f aca="false">Inputs!$B$11*(1+Inputs!$B$12)^(T$7-1)</f>
        <v>5.61</v>
      </c>
      <c r="U12" s="112" t="n">
        <f aca="false">Inputs!$B$11*(1+Inputs!$B$12)^(U$7-1)</f>
        <v>5.61</v>
      </c>
      <c r="V12" s="112" t="n">
        <f aca="false">Inputs!$B$11*(1+Inputs!$B$12)^(V$7-1)</f>
        <v>5.61</v>
      </c>
      <c r="W12" s="112" t="n">
        <f aca="false">Inputs!$B$11*(1+Inputs!$B$12)^(W$7-1)</f>
        <v>5.61</v>
      </c>
      <c r="X12" s="112" t="n">
        <f aca="false">Inputs!$B$11*(1+Inputs!$B$12)^(X$7-1)</f>
        <v>5.61</v>
      </c>
      <c r="Y12" s="112" t="n">
        <f aca="false">Inputs!$B$11*(1+Inputs!$B$12)^(Y$7-1)</f>
        <v>5.61</v>
      </c>
      <c r="Z12" s="112" t="n">
        <f aca="false">Inputs!$B$11*(1+Inputs!$B$12)^(Z$7-1)</f>
        <v>5.61</v>
      </c>
      <c r="AA12" s="112" t="n">
        <f aca="false">Inputs!$B$11*(1+Inputs!$B$12)^(AA$7-1)</f>
        <v>5.7222</v>
      </c>
      <c r="AB12" s="112" t="n">
        <f aca="false">Inputs!$B$11*(1+Inputs!$B$12)^(AB$7-1)</f>
        <v>5.7222</v>
      </c>
      <c r="AC12" s="112" t="n">
        <f aca="false">Inputs!$B$11*(1+Inputs!$B$12)^(AC$7-1)</f>
        <v>5.7222</v>
      </c>
      <c r="AD12" s="112" t="n">
        <f aca="false">Inputs!$B$11*(1+Inputs!$B$12)^(AD$7-1)</f>
        <v>5.7222</v>
      </c>
      <c r="AE12" s="112" t="n">
        <f aca="false">Inputs!$B$11*(1+Inputs!$B$12)^(AE$7-1)</f>
        <v>5.7222</v>
      </c>
      <c r="AF12" s="112" t="n">
        <f aca="false">Inputs!$B$11*(1+Inputs!$B$12)^(AF$7-1)</f>
        <v>5.7222</v>
      </c>
      <c r="AG12" s="112" t="n">
        <f aca="false">Inputs!$B$11*(1+Inputs!$B$12)^(AG$7-1)</f>
        <v>5.7222</v>
      </c>
      <c r="AH12" s="112" t="n">
        <f aca="false">Inputs!$B$11*(1+Inputs!$B$12)^(AH$7-1)</f>
        <v>5.7222</v>
      </c>
      <c r="AI12" s="112" t="n">
        <f aca="false">Inputs!$B$11*(1+Inputs!$B$12)^(AI$7-1)</f>
        <v>5.7222</v>
      </c>
      <c r="AJ12" s="112" t="n">
        <f aca="false">Inputs!$B$11*(1+Inputs!$B$12)^(AJ$7-1)</f>
        <v>5.7222</v>
      </c>
      <c r="AK12" s="112" t="n">
        <f aca="false">Inputs!$B$11*(1+Inputs!$B$12)^(AK$7-1)</f>
        <v>5.7222</v>
      </c>
      <c r="AL12" s="112" t="n">
        <f aca="false">Inputs!$B$11*(1+Inputs!$B$12)^(AL$7-1)</f>
        <v>5.7222</v>
      </c>
    </row>
    <row r="13" customFormat="false" ht="15" hidden="false" customHeight="false" outlineLevel="0" collapsed="false">
      <c r="A13" s="6" t="s">
        <v>337</v>
      </c>
      <c r="C13" s="113" t="n">
        <f aca="false">Inputs!$B$13*1</f>
        <v>30</v>
      </c>
      <c r="D13" s="113" t="n">
        <f aca="false">Inputs!$B$13*1</f>
        <v>30</v>
      </c>
      <c r="E13" s="113" t="n">
        <f aca="false">Inputs!$B$13*1</f>
        <v>30</v>
      </c>
      <c r="F13" s="113" t="n">
        <f aca="false">Inputs!$B$13*1</f>
        <v>30</v>
      </c>
      <c r="G13" s="113" t="n">
        <f aca="false">Inputs!$B$13*1</f>
        <v>30</v>
      </c>
      <c r="H13" s="113" t="n">
        <f aca="false">Inputs!$B$13*1</f>
        <v>30</v>
      </c>
      <c r="I13" s="113" t="n">
        <f aca="false">Inputs!$B$13*1</f>
        <v>30</v>
      </c>
      <c r="J13" s="113" t="n">
        <f aca="false">Inputs!$B$13*1</f>
        <v>30</v>
      </c>
      <c r="K13" s="113" t="n">
        <f aca="false">Inputs!$B$13*1</f>
        <v>30</v>
      </c>
      <c r="L13" s="113" t="n">
        <f aca="false">Inputs!$B$13*1</f>
        <v>30</v>
      </c>
      <c r="M13" s="113" t="n">
        <f aca="false">Inputs!$B$13*1</f>
        <v>30</v>
      </c>
      <c r="N13" s="113" t="n">
        <f aca="false">Inputs!$B$13*1</f>
        <v>30</v>
      </c>
      <c r="O13" s="113" t="n">
        <f aca="false">Inputs!$B$13*1</f>
        <v>30</v>
      </c>
      <c r="P13" s="113" t="n">
        <f aca="false">Inputs!$B$13*1</f>
        <v>30</v>
      </c>
      <c r="Q13" s="113" t="n">
        <f aca="false">Inputs!$B$13*1</f>
        <v>30</v>
      </c>
      <c r="R13" s="113" t="n">
        <f aca="false">Inputs!$B$13*1</f>
        <v>30</v>
      </c>
      <c r="S13" s="113" t="n">
        <f aca="false">Inputs!$B$13*1</f>
        <v>30</v>
      </c>
      <c r="T13" s="113" t="n">
        <f aca="false">Inputs!$B$13*1</f>
        <v>30</v>
      </c>
      <c r="U13" s="113" t="n">
        <f aca="false">Inputs!$B$13*1</f>
        <v>30</v>
      </c>
      <c r="V13" s="113" t="n">
        <f aca="false">Inputs!$B$13*1</f>
        <v>30</v>
      </c>
      <c r="W13" s="113" t="n">
        <f aca="false">Inputs!$B$13*1</f>
        <v>30</v>
      </c>
      <c r="X13" s="113" t="n">
        <f aca="false">Inputs!$B$13*1</f>
        <v>30</v>
      </c>
      <c r="Y13" s="113" t="n">
        <f aca="false">Inputs!$B$13*1</f>
        <v>30</v>
      </c>
      <c r="Z13" s="113" t="n">
        <f aca="false">Inputs!$B$13*1</f>
        <v>30</v>
      </c>
      <c r="AA13" s="113" t="n">
        <f aca="false">Inputs!$B$13*1</f>
        <v>30</v>
      </c>
      <c r="AB13" s="113" t="n">
        <f aca="false">Inputs!$B$13*1</f>
        <v>30</v>
      </c>
      <c r="AC13" s="113" t="n">
        <f aca="false">Inputs!$B$13*1</f>
        <v>30</v>
      </c>
      <c r="AD13" s="113" t="n">
        <f aca="false">Inputs!$B$13*1</f>
        <v>30</v>
      </c>
      <c r="AE13" s="113" t="n">
        <f aca="false">Inputs!$B$13*1</f>
        <v>30</v>
      </c>
      <c r="AF13" s="113" t="n">
        <f aca="false">Inputs!$B$13*1</f>
        <v>30</v>
      </c>
      <c r="AG13" s="113" t="n">
        <f aca="false">Inputs!$B$13*1</f>
        <v>30</v>
      </c>
      <c r="AH13" s="113" t="n">
        <f aca="false">Inputs!$B$13*1</f>
        <v>30</v>
      </c>
      <c r="AI13" s="113" t="n">
        <f aca="false">Inputs!$B$13*1</f>
        <v>30</v>
      </c>
      <c r="AJ13" s="113" t="n">
        <f aca="false">Inputs!$B$13*1</f>
        <v>30</v>
      </c>
      <c r="AK13" s="113" t="n">
        <f aca="false">Inputs!$B$13*1</f>
        <v>30</v>
      </c>
      <c r="AL13" s="113" t="n">
        <f aca="false">Inputs!$B$13*1</f>
        <v>30</v>
      </c>
    </row>
    <row r="14" customFormat="false" ht="15" hidden="false" customHeight="false" outlineLevel="0" collapsed="false">
      <c r="A14" s="108" t="s">
        <v>44</v>
      </c>
      <c r="C14" s="66" t="n">
        <f aca="false">C11*C12*C13</f>
        <v>7920</v>
      </c>
      <c r="D14" s="66" t="n">
        <f aca="false">D11*D12*D13</f>
        <v>9240</v>
      </c>
      <c r="E14" s="66" t="n">
        <f aca="false">E11*E12*E13</f>
        <v>10560</v>
      </c>
      <c r="F14" s="66" t="n">
        <f aca="false">F11*F12*F13</f>
        <v>11880</v>
      </c>
      <c r="G14" s="66" t="n">
        <f aca="false">G11*G12*G13</f>
        <v>13200</v>
      </c>
      <c r="H14" s="66" t="n">
        <f aca="false">H11*H12*H13</f>
        <v>14520</v>
      </c>
      <c r="I14" s="66" t="n">
        <f aca="false">I11*I12*I13</f>
        <v>15840</v>
      </c>
      <c r="J14" s="66" t="n">
        <f aca="false">J11*J12*J13</f>
        <v>17160</v>
      </c>
      <c r="K14" s="66" t="n">
        <f aca="false">K11*K12*K13</f>
        <v>18480</v>
      </c>
      <c r="L14" s="66" t="n">
        <f aca="false">L11*L12*L13</f>
        <v>19800</v>
      </c>
      <c r="M14" s="66" t="n">
        <f aca="false">M11*M12*M13</f>
        <v>19800</v>
      </c>
      <c r="N14" s="66" t="n">
        <f aca="false">N11*N12*N13</f>
        <v>19800</v>
      </c>
      <c r="O14" s="66" t="n">
        <f aca="false">O11*O12*O13</f>
        <v>20801.88</v>
      </c>
      <c r="P14" s="66" t="n">
        <f aca="false">P11*P12*P13</f>
        <v>20801.88</v>
      </c>
      <c r="Q14" s="66" t="n">
        <f aca="false">Q11*Q12*Q13</f>
        <v>20801.88</v>
      </c>
      <c r="R14" s="66" t="n">
        <f aca="false">R11*R12*R13</f>
        <v>20801.88</v>
      </c>
      <c r="S14" s="66" t="n">
        <f aca="false">S11*S12*S13</f>
        <v>20801.88</v>
      </c>
      <c r="T14" s="66" t="n">
        <f aca="false">T11*T12*T13</f>
        <v>20801.88</v>
      </c>
      <c r="U14" s="66" t="n">
        <f aca="false">U11*U12*U13</f>
        <v>20801.88</v>
      </c>
      <c r="V14" s="66" t="n">
        <f aca="false">V11*V12*V13</f>
        <v>20801.88</v>
      </c>
      <c r="W14" s="66" t="n">
        <f aca="false">W11*W12*W13</f>
        <v>20801.88</v>
      </c>
      <c r="X14" s="66" t="n">
        <f aca="false">X11*X12*X13</f>
        <v>20801.88</v>
      </c>
      <c r="Y14" s="66" t="n">
        <f aca="false">Y11*Y12*Y13</f>
        <v>20801.88</v>
      </c>
      <c r="Z14" s="66" t="n">
        <f aca="false">Z11*Z12*Z13</f>
        <v>20801.88</v>
      </c>
      <c r="AA14" s="66" t="n">
        <f aca="false">AA11*AA12*AA13</f>
        <v>21854.455128</v>
      </c>
      <c r="AB14" s="66" t="n">
        <f aca="false">AB11*AB12*AB13</f>
        <v>21854.455128</v>
      </c>
      <c r="AC14" s="66" t="n">
        <f aca="false">AC11*AC12*AC13</f>
        <v>21854.455128</v>
      </c>
      <c r="AD14" s="66" t="n">
        <f aca="false">AD11*AD12*AD13</f>
        <v>21854.455128</v>
      </c>
      <c r="AE14" s="66" t="n">
        <f aca="false">AE11*AE12*AE13</f>
        <v>21854.455128</v>
      </c>
      <c r="AF14" s="66" t="n">
        <f aca="false">AF11*AF12*AF13</f>
        <v>21854.455128</v>
      </c>
      <c r="AG14" s="66" t="n">
        <f aca="false">AG11*AG12*AG13</f>
        <v>21854.455128</v>
      </c>
      <c r="AH14" s="66" t="n">
        <f aca="false">AH11*AH12*AH13</f>
        <v>21854.455128</v>
      </c>
      <c r="AI14" s="66" t="n">
        <f aca="false">AI11*AI12*AI13</f>
        <v>21854.455128</v>
      </c>
      <c r="AJ14" s="66" t="n">
        <f aca="false">AJ11*AJ12*AJ13</f>
        <v>21854.455128</v>
      </c>
      <c r="AK14" s="66" t="n">
        <f aca="false">AK11*AK12*AK13</f>
        <v>21854.455128</v>
      </c>
      <c r="AL14" s="66" t="n">
        <f aca="false">AL11*AL12*AL13</f>
        <v>21854.455128</v>
      </c>
    </row>
    <row r="15" customFormat="false" ht="15" hidden="false" customHeight="false" outlineLevel="0" collapsed="false">
      <c r="A15" s="6" t="s">
        <v>74</v>
      </c>
      <c r="C15" s="65" t="n">
        <f aca="false">-C14*Inputs!$B$14</f>
        <v>-2851.2</v>
      </c>
      <c r="D15" s="65" t="n">
        <f aca="false">-D14*Inputs!$B$14</f>
        <v>-3326.4</v>
      </c>
      <c r="E15" s="65" t="n">
        <f aca="false">-E14*Inputs!$B$14</f>
        <v>-3801.6</v>
      </c>
      <c r="F15" s="65" t="n">
        <f aca="false">-F14*Inputs!$B$14</f>
        <v>-4276.8</v>
      </c>
      <c r="G15" s="65" t="n">
        <f aca="false">-G14*Inputs!$B$14</f>
        <v>-4752</v>
      </c>
      <c r="H15" s="65" t="n">
        <f aca="false">-H14*Inputs!$B$14</f>
        <v>-5227.2</v>
      </c>
      <c r="I15" s="65" t="n">
        <f aca="false">-I14*Inputs!$B$14</f>
        <v>-5702.4</v>
      </c>
      <c r="J15" s="65" t="n">
        <f aca="false">-J14*Inputs!$B$14</f>
        <v>-6177.6</v>
      </c>
      <c r="K15" s="65" t="n">
        <f aca="false">-K14*Inputs!$B$14</f>
        <v>-6652.8</v>
      </c>
      <c r="L15" s="65" t="n">
        <f aca="false">-L14*Inputs!$B$14</f>
        <v>-7128</v>
      </c>
      <c r="M15" s="65" t="n">
        <f aca="false">-M14*Inputs!$B$14</f>
        <v>-7128</v>
      </c>
      <c r="N15" s="65" t="n">
        <f aca="false">-N14*Inputs!$B$14</f>
        <v>-7128</v>
      </c>
      <c r="O15" s="65" t="n">
        <f aca="false">-O14*Inputs!$B$14</f>
        <v>-7488.6768</v>
      </c>
      <c r="P15" s="65" t="n">
        <f aca="false">-P14*Inputs!$B$14</f>
        <v>-7488.6768</v>
      </c>
      <c r="Q15" s="65" t="n">
        <f aca="false">-Q14*Inputs!$B$14</f>
        <v>-7488.6768</v>
      </c>
      <c r="R15" s="65" t="n">
        <f aca="false">-R14*Inputs!$B$14</f>
        <v>-7488.6768</v>
      </c>
      <c r="S15" s="65" t="n">
        <f aca="false">-S14*Inputs!$B$14</f>
        <v>-7488.6768</v>
      </c>
      <c r="T15" s="65" t="n">
        <f aca="false">-T14*Inputs!$B$14</f>
        <v>-7488.6768</v>
      </c>
      <c r="U15" s="65" t="n">
        <f aca="false">-U14*Inputs!$B$14</f>
        <v>-7488.6768</v>
      </c>
      <c r="V15" s="65" t="n">
        <f aca="false">-V14*Inputs!$B$14</f>
        <v>-7488.6768</v>
      </c>
      <c r="W15" s="65" t="n">
        <f aca="false">-W14*Inputs!$B$14</f>
        <v>-7488.6768</v>
      </c>
      <c r="X15" s="65" t="n">
        <f aca="false">-X14*Inputs!$B$14</f>
        <v>-7488.6768</v>
      </c>
      <c r="Y15" s="65" t="n">
        <f aca="false">-Y14*Inputs!$B$14</f>
        <v>-7488.6768</v>
      </c>
      <c r="Z15" s="65" t="n">
        <f aca="false">-Z14*Inputs!$B$14</f>
        <v>-7488.6768</v>
      </c>
      <c r="AA15" s="65" t="n">
        <f aca="false">-AA14*Inputs!$B$14</f>
        <v>-7867.60384608</v>
      </c>
      <c r="AB15" s="65" t="n">
        <f aca="false">-AB14*Inputs!$B$14</f>
        <v>-7867.60384608</v>
      </c>
      <c r="AC15" s="65" t="n">
        <f aca="false">-AC14*Inputs!$B$14</f>
        <v>-7867.60384608</v>
      </c>
      <c r="AD15" s="65" t="n">
        <f aca="false">-AD14*Inputs!$B$14</f>
        <v>-7867.60384608</v>
      </c>
      <c r="AE15" s="65" t="n">
        <f aca="false">-AE14*Inputs!$B$14</f>
        <v>-7867.60384608</v>
      </c>
      <c r="AF15" s="65" t="n">
        <f aca="false">-AF14*Inputs!$B$14</f>
        <v>-7867.60384608</v>
      </c>
      <c r="AG15" s="65" t="n">
        <f aca="false">-AG14*Inputs!$B$14</f>
        <v>-7867.60384608</v>
      </c>
      <c r="AH15" s="65" t="n">
        <f aca="false">-AH14*Inputs!$B$14</f>
        <v>-7867.60384608</v>
      </c>
      <c r="AI15" s="65" t="n">
        <f aca="false">-AI14*Inputs!$B$14</f>
        <v>-7867.60384608</v>
      </c>
      <c r="AJ15" s="65" t="n">
        <f aca="false">-AJ14*Inputs!$B$14</f>
        <v>-7867.60384608</v>
      </c>
      <c r="AK15" s="65" t="n">
        <f aca="false">-AK14*Inputs!$B$14</f>
        <v>-7867.60384608</v>
      </c>
      <c r="AL15" s="65" t="n">
        <f aca="false">-AL14*Inputs!$B$14</f>
        <v>-7867.60384608</v>
      </c>
    </row>
    <row r="16" customFormat="false" ht="15" hidden="false" customHeight="false" outlineLevel="0" collapsed="false">
      <c r="A16" s="108" t="s">
        <v>45</v>
      </c>
      <c r="C16" s="66" t="n">
        <f aca="false">C14+C15</f>
        <v>5068.8</v>
      </c>
      <c r="D16" s="66" t="n">
        <f aca="false">D14+D15</f>
        <v>5913.6</v>
      </c>
      <c r="E16" s="66" t="n">
        <f aca="false">E14+E15</f>
        <v>6758.4</v>
      </c>
      <c r="F16" s="66" t="n">
        <f aca="false">F14+F15</f>
        <v>7603.2</v>
      </c>
      <c r="G16" s="66" t="n">
        <f aca="false">G14+G15</f>
        <v>8448</v>
      </c>
      <c r="H16" s="66" t="n">
        <f aca="false">H14+H15</f>
        <v>9292.8</v>
      </c>
      <c r="I16" s="66" t="n">
        <f aca="false">I14+I15</f>
        <v>10137.6</v>
      </c>
      <c r="J16" s="66" t="n">
        <f aca="false">J14+J15</f>
        <v>10982.4</v>
      </c>
      <c r="K16" s="66" t="n">
        <f aca="false">K14+K15</f>
        <v>11827.2</v>
      </c>
      <c r="L16" s="66" t="n">
        <f aca="false">L14+L15</f>
        <v>12672</v>
      </c>
      <c r="M16" s="66" t="n">
        <f aca="false">M14+M15</f>
        <v>12672</v>
      </c>
      <c r="N16" s="66" t="n">
        <f aca="false">N14+N15</f>
        <v>12672</v>
      </c>
      <c r="O16" s="66" t="n">
        <f aca="false">O14+O15</f>
        <v>13313.2032</v>
      </c>
      <c r="P16" s="66" t="n">
        <f aca="false">P14+P15</f>
        <v>13313.2032</v>
      </c>
      <c r="Q16" s="66" t="n">
        <f aca="false">Q14+Q15</f>
        <v>13313.2032</v>
      </c>
      <c r="R16" s="66" t="n">
        <f aca="false">R14+R15</f>
        <v>13313.2032</v>
      </c>
      <c r="S16" s="66" t="n">
        <f aca="false">S14+S15</f>
        <v>13313.2032</v>
      </c>
      <c r="T16" s="66" t="n">
        <f aca="false">T14+T15</f>
        <v>13313.2032</v>
      </c>
      <c r="U16" s="66" t="n">
        <f aca="false">U14+U15</f>
        <v>13313.2032</v>
      </c>
      <c r="V16" s="66" t="n">
        <f aca="false">V14+V15</f>
        <v>13313.2032</v>
      </c>
      <c r="W16" s="66" t="n">
        <f aca="false">W14+W15</f>
        <v>13313.2032</v>
      </c>
      <c r="X16" s="66" t="n">
        <f aca="false">X14+X15</f>
        <v>13313.2032</v>
      </c>
      <c r="Y16" s="66" t="n">
        <f aca="false">Y14+Y15</f>
        <v>13313.2032</v>
      </c>
      <c r="Z16" s="66" t="n">
        <f aca="false">Z14+Z15</f>
        <v>13313.2032</v>
      </c>
      <c r="AA16" s="66" t="n">
        <f aca="false">AA14+AA15</f>
        <v>13986.85128192</v>
      </c>
      <c r="AB16" s="66" t="n">
        <f aca="false">AB14+AB15</f>
        <v>13986.85128192</v>
      </c>
      <c r="AC16" s="66" t="n">
        <f aca="false">AC14+AC15</f>
        <v>13986.85128192</v>
      </c>
      <c r="AD16" s="66" t="n">
        <f aca="false">AD14+AD15</f>
        <v>13986.85128192</v>
      </c>
      <c r="AE16" s="66" t="n">
        <f aca="false">AE14+AE15</f>
        <v>13986.85128192</v>
      </c>
      <c r="AF16" s="66" t="n">
        <f aca="false">AF14+AF15</f>
        <v>13986.85128192</v>
      </c>
      <c r="AG16" s="66" t="n">
        <f aca="false">AG14+AG15</f>
        <v>13986.85128192</v>
      </c>
      <c r="AH16" s="66" t="n">
        <f aca="false">AH14+AH15</f>
        <v>13986.85128192</v>
      </c>
      <c r="AI16" s="66" t="n">
        <f aca="false">AI14+AI15</f>
        <v>13986.85128192</v>
      </c>
      <c r="AJ16" s="66" t="n">
        <f aca="false">AJ14+AJ15</f>
        <v>13986.85128192</v>
      </c>
      <c r="AK16" s="66" t="n">
        <f aca="false">AK14+AK15</f>
        <v>13986.85128192</v>
      </c>
      <c r="AL16" s="66" t="n">
        <f aca="false">AL14+AL15</f>
        <v>13986.85128192</v>
      </c>
    </row>
    <row r="18" customFormat="false" ht="15.75" hidden="false" customHeight="true" outlineLevel="0" collapsed="false">
      <c r="A18" s="7" t="s">
        <v>47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284</v>
      </c>
      <c r="C19" s="65" t="n">
        <f aca="false">-Inputs!$B$15*1</f>
        <v>-4500</v>
      </c>
      <c r="D19" s="65" t="n">
        <f aca="false">-Inputs!$B$15*1</f>
        <v>-4500</v>
      </c>
      <c r="E19" s="65" t="n">
        <f aca="false">-Inputs!$B$15*1</f>
        <v>-4500</v>
      </c>
      <c r="F19" s="65" t="n">
        <f aca="false">-Inputs!$B$15*1</f>
        <v>-4500</v>
      </c>
      <c r="G19" s="65" t="n">
        <f aca="false">-Inputs!$B$15*1</f>
        <v>-4500</v>
      </c>
      <c r="H19" s="65" t="n">
        <f aca="false">-Inputs!$B$15*1</f>
        <v>-4500</v>
      </c>
      <c r="I19" s="65" t="n">
        <f aca="false">-Inputs!$B$15*1</f>
        <v>-4500</v>
      </c>
      <c r="J19" s="65" t="n">
        <f aca="false">-Inputs!$B$15*1</f>
        <v>-4500</v>
      </c>
      <c r="K19" s="65" t="n">
        <f aca="false">-Inputs!$B$15*1</f>
        <v>-4500</v>
      </c>
      <c r="L19" s="65" t="n">
        <f aca="false">-Inputs!$B$15*1</f>
        <v>-4500</v>
      </c>
      <c r="M19" s="65" t="n">
        <f aca="false">-Inputs!$B$15*1</f>
        <v>-4500</v>
      </c>
      <c r="N19" s="65" t="n">
        <f aca="false">-Inputs!$B$15*1</f>
        <v>-4500</v>
      </c>
      <c r="O19" s="65" t="n">
        <f aca="false">-Inputs!$B$15*1</f>
        <v>-4500</v>
      </c>
      <c r="P19" s="65" t="n">
        <f aca="false">-Inputs!$B$15*1</f>
        <v>-4500</v>
      </c>
      <c r="Q19" s="65" t="n">
        <f aca="false">-Inputs!$B$15*1</f>
        <v>-4500</v>
      </c>
      <c r="R19" s="65" t="n">
        <f aca="false">-Inputs!$B$15*1</f>
        <v>-4500</v>
      </c>
      <c r="S19" s="65" t="n">
        <f aca="false">-Inputs!$B$15*1</f>
        <v>-4500</v>
      </c>
      <c r="T19" s="65" t="n">
        <f aca="false">-Inputs!$B$15*1</f>
        <v>-4500</v>
      </c>
      <c r="U19" s="65" t="n">
        <f aca="false">-Inputs!$B$15*1</f>
        <v>-4500</v>
      </c>
      <c r="V19" s="65" t="n">
        <f aca="false">-Inputs!$B$15*1</f>
        <v>-4500</v>
      </c>
      <c r="W19" s="65" t="n">
        <f aca="false">-Inputs!$B$15*1</f>
        <v>-4500</v>
      </c>
      <c r="X19" s="65" t="n">
        <f aca="false">-Inputs!$B$15*1</f>
        <v>-4500</v>
      </c>
      <c r="Y19" s="65" t="n">
        <f aca="false">-Inputs!$B$15*1</f>
        <v>-4500</v>
      </c>
      <c r="Z19" s="65" t="n">
        <f aca="false">-Inputs!$B$15*1</f>
        <v>-4500</v>
      </c>
      <c r="AA19" s="65" t="n">
        <f aca="false">-Inputs!$B$15*1</f>
        <v>-4500</v>
      </c>
      <c r="AB19" s="65" t="n">
        <f aca="false">-Inputs!$B$15*1</f>
        <v>-4500</v>
      </c>
      <c r="AC19" s="65" t="n">
        <f aca="false">-Inputs!$B$15*1</f>
        <v>-4500</v>
      </c>
      <c r="AD19" s="65" t="n">
        <f aca="false">-Inputs!$B$15*1</f>
        <v>-4500</v>
      </c>
      <c r="AE19" s="65" t="n">
        <f aca="false">-Inputs!$B$15*1</f>
        <v>-4500</v>
      </c>
      <c r="AF19" s="65" t="n">
        <f aca="false">-Inputs!$B$15*1</f>
        <v>-4500</v>
      </c>
      <c r="AG19" s="65" t="n">
        <f aca="false">-Inputs!$B$15*1</f>
        <v>-4500</v>
      </c>
      <c r="AH19" s="65" t="n">
        <f aca="false">-Inputs!$B$15*1</f>
        <v>-4500</v>
      </c>
      <c r="AI19" s="65" t="n">
        <f aca="false">-Inputs!$B$15*1</f>
        <v>-4500</v>
      </c>
      <c r="AJ19" s="65" t="n">
        <f aca="false">-Inputs!$B$15*1</f>
        <v>-4500</v>
      </c>
      <c r="AK19" s="65" t="n">
        <f aca="false">-Inputs!$B$15*1</f>
        <v>-4500</v>
      </c>
      <c r="AL19" s="65" t="n">
        <f aca="false">-Inputs!$B$15*1</f>
        <v>-4500</v>
      </c>
    </row>
    <row r="20" customFormat="false" ht="15" hidden="false" customHeight="false" outlineLevel="0" collapsed="false">
      <c r="A20" s="6" t="s">
        <v>285</v>
      </c>
      <c r="C20" s="65" t="n">
        <f aca="false">C89</f>
        <v>-8400</v>
      </c>
      <c r="D20" s="65" t="n">
        <f aca="false">D89</f>
        <v>-8400</v>
      </c>
      <c r="E20" s="65" t="n">
        <f aca="false">E89</f>
        <v>-8400</v>
      </c>
      <c r="F20" s="65" t="n">
        <f aca="false">F89</f>
        <v>-8400</v>
      </c>
      <c r="G20" s="65" t="n">
        <f aca="false">G89</f>
        <v>-8400</v>
      </c>
      <c r="H20" s="65" t="n">
        <f aca="false">H89</f>
        <v>-8400</v>
      </c>
      <c r="I20" s="65" t="n">
        <f aca="false">I89</f>
        <v>-8400</v>
      </c>
      <c r="J20" s="65" t="n">
        <f aca="false">J89</f>
        <v>-8400</v>
      </c>
      <c r="K20" s="65" t="n">
        <f aca="false">K89</f>
        <v>-8400</v>
      </c>
      <c r="L20" s="65" t="n">
        <f aca="false">L89</f>
        <v>-8400</v>
      </c>
      <c r="M20" s="65" t="n">
        <f aca="false">M89</f>
        <v>-8400</v>
      </c>
      <c r="N20" s="65" t="n">
        <f aca="false">N89</f>
        <v>-8400</v>
      </c>
      <c r="O20" s="65" t="n">
        <f aca="false">O89</f>
        <v>-8652</v>
      </c>
      <c r="P20" s="65" t="n">
        <f aca="false">P89</f>
        <v>-8652</v>
      </c>
      <c r="Q20" s="65" t="n">
        <f aca="false">Q89</f>
        <v>-8652</v>
      </c>
      <c r="R20" s="65" t="n">
        <f aca="false">R89</f>
        <v>-8652</v>
      </c>
      <c r="S20" s="65" t="n">
        <f aca="false">S89</f>
        <v>-8652</v>
      </c>
      <c r="T20" s="65" t="n">
        <f aca="false">T89</f>
        <v>-8652</v>
      </c>
      <c r="U20" s="65" t="n">
        <f aca="false">U89</f>
        <v>-8652</v>
      </c>
      <c r="V20" s="65" t="n">
        <f aca="false">V89</f>
        <v>-8652</v>
      </c>
      <c r="W20" s="65" t="n">
        <f aca="false">W89</f>
        <v>-8652</v>
      </c>
      <c r="X20" s="65" t="n">
        <f aca="false">X89</f>
        <v>-8652</v>
      </c>
      <c r="Y20" s="65" t="n">
        <f aca="false">Y89</f>
        <v>-8652</v>
      </c>
      <c r="Z20" s="65" t="n">
        <f aca="false">Z89</f>
        <v>-8652</v>
      </c>
      <c r="AA20" s="65" t="n">
        <f aca="false">AA89</f>
        <v>-8911.56</v>
      </c>
      <c r="AB20" s="65" t="n">
        <f aca="false">AB89</f>
        <v>-8911.56</v>
      </c>
      <c r="AC20" s="65" t="n">
        <f aca="false">AC89</f>
        <v>-8911.56</v>
      </c>
      <c r="AD20" s="65" t="n">
        <f aca="false">AD89</f>
        <v>-8911.56</v>
      </c>
      <c r="AE20" s="65" t="n">
        <f aca="false">AE89</f>
        <v>-8911.56</v>
      </c>
      <c r="AF20" s="65" t="n">
        <f aca="false">AF89</f>
        <v>-8911.56</v>
      </c>
      <c r="AG20" s="65" t="n">
        <f aca="false">AG89</f>
        <v>-8911.56</v>
      </c>
      <c r="AH20" s="65" t="n">
        <f aca="false">AH89</f>
        <v>-8911.56</v>
      </c>
      <c r="AI20" s="65" t="n">
        <f aca="false">AI89</f>
        <v>-8911.56</v>
      </c>
      <c r="AJ20" s="65" t="n">
        <f aca="false">AJ89</f>
        <v>-8911.56</v>
      </c>
      <c r="AK20" s="65" t="n">
        <f aca="false">AK89</f>
        <v>-8911.56</v>
      </c>
      <c r="AL20" s="65" t="n">
        <f aca="false">AL89</f>
        <v>-8911.56</v>
      </c>
    </row>
    <row r="21" customFormat="false" ht="15" hidden="false" customHeight="false" outlineLevel="0" collapsed="false">
      <c r="A21" s="6" t="s">
        <v>286</v>
      </c>
      <c r="C21" s="65" t="n">
        <f aca="false">-C14*Inputs!$B$16</f>
        <v>-316.8</v>
      </c>
      <c r="D21" s="65" t="n">
        <f aca="false">-D14*Inputs!$B$16</f>
        <v>-369.6</v>
      </c>
      <c r="E21" s="65" t="n">
        <f aca="false">-E14*Inputs!$B$16</f>
        <v>-422.4</v>
      </c>
      <c r="F21" s="65" t="n">
        <f aca="false">-F14*Inputs!$B$16</f>
        <v>-475.2</v>
      </c>
      <c r="G21" s="65" t="n">
        <f aca="false">-G14*Inputs!$B$16</f>
        <v>-528</v>
      </c>
      <c r="H21" s="65" t="n">
        <f aca="false">-H14*Inputs!$B$16</f>
        <v>-580.8</v>
      </c>
      <c r="I21" s="65" t="n">
        <f aca="false">-I14*Inputs!$B$16</f>
        <v>-633.6</v>
      </c>
      <c r="J21" s="65" t="n">
        <f aca="false">-J14*Inputs!$B$16</f>
        <v>-686.4</v>
      </c>
      <c r="K21" s="65" t="n">
        <f aca="false">-K14*Inputs!$B$16</f>
        <v>-739.2</v>
      </c>
      <c r="L21" s="65" t="n">
        <f aca="false">-L14*Inputs!$B$16</f>
        <v>-792</v>
      </c>
      <c r="M21" s="65" t="n">
        <f aca="false">-M14*Inputs!$B$16</f>
        <v>-792</v>
      </c>
      <c r="N21" s="65" t="n">
        <f aca="false">-N14*Inputs!$B$16</f>
        <v>-792</v>
      </c>
      <c r="O21" s="65" t="n">
        <f aca="false">-O14*Inputs!$B$16</f>
        <v>-832.0752</v>
      </c>
      <c r="P21" s="65" t="n">
        <f aca="false">-P14*Inputs!$B$16</f>
        <v>-832.0752</v>
      </c>
      <c r="Q21" s="65" t="n">
        <f aca="false">-Q14*Inputs!$B$16</f>
        <v>-832.0752</v>
      </c>
      <c r="R21" s="65" t="n">
        <f aca="false">-R14*Inputs!$B$16</f>
        <v>-832.0752</v>
      </c>
      <c r="S21" s="65" t="n">
        <f aca="false">-S14*Inputs!$B$16</f>
        <v>-832.0752</v>
      </c>
      <c r="T21" s="65" t="n">
        <f aca="false">-T14*Inputs!$B$16</f>
        <v>-832.0752</v>
      </c>
      <c r="U21" s="65" t="n">
        <f aca="false">-U14*Inputs!$B$16</f>
        <v>-832.0752</v>
      </c>
      <c r="V21" s="65" t="n">
        <f aca="false">-V14*Inputs!$B$16</f>
        <v>-832.0752</v>
      </c>
      <c r="W21" s="65" t="n">
        <f aca="false">-W14*Inputs!$B$16</f>
        <v>-832.0752</v>
      </c>
      <c r="X21" s="65" t="n">
        <f aca="false">-X14*Inputs!$B$16</f>
        <v>-832.0752</v>
      </c>
      <c r="Y21" s="65" t="n">
        <f aca="false">-Y14*Inputs!$B$16</f>
        <v>-832.0752</v>
      </c>
      <c r="Z21" s="65" t="n">
        <f aca="false">-Z14*Inputs!$B$16</f>
        <v>-832.0752</v>
      </c>
      <c r="AA21" s="65" t="n">
        <f aca="false">-AA14*Inputs!$B$16</f>
        <v>-874.17820512</v>
      </c>
      <c r="AB21" s="65" t="n">
        <f aca="false">-AB14*Inputs!$B$16</f>
        <v>-874.17820512</v>
      </c>
      <c r="AC21" s="65" t="n">
        <f aca="false">-AC14*Inputs!$B$16</f>
        <v>-874.17820512</v>
      </c>
      <c r="AD21" s="65" t="n">
        <f aca="false">-AD14*Inputs!$B$16</f>
        <v>-874.17820512</v>
      </c>
      <c r="AE21" s="65" t="n">
        <f aca="false">-AE14*Inputs!$B$16</f>
        <v>-874.17820512</v>
      </c>
      <c r="AF21" s="65" t="n">
        <f aca="false">-AF14*Inputs!$B$16</f>
        <v>-874.17820512</v>
      </c>
      <c r="AG21" s="65" t="n">
        <f aca="false">-AG14*Inputs!$B$16</f>
        <v>-874.17820512</v>
      </c>
      <c r="AH21" s="65" t="n">
        <f aca="false">-AH14*Inputs!$B$16</f>
        <v>-874.17820512</v>
      </c>
      <c r="AI21" s="65" t="n">
        <f aca="false">-AI14*Inputs!$B$16</f>
        <v>-874.17820512</v>
      </c>
      <c r="AJ21" s="65" t="n">
        <f aca="false">-AJ14*Inputs!$B$16</f>
        <v>-874.17820512</v>
      </c>
      <c r="AK21" s="65" t="n">
        <f aca="false">-AK14*Inputs!$B$16</f>
        <v>-874.17820512</v>
      </c>
      <c r="AL21" s="65" t="n">
        <f aca="false">-AL14*Inputs!$B$16</f>
        <v>-874.17820512</v>
      </c>
    </row>
    <row r="22" customFormat="false" ht="15" hidden="false" customHeight="false" outlineLevel="0" collapsed="false">
      <c r="A22" s="6" t="s">
        <v>287</v>
      </c>
      <c r="C22" s="65" t="n">
        <f aca="false">-Inputs!$B$17*1</f>
        <v>-2200</v>
      </c>
      <c r="D22" s="65" t="n">
        <f aca="false">-Inputs!$B$17*1</f>
        <v>-2200</v>
      </c>
      <c r="E22" s="65" t="n">
        <f aca="false">-Inputs!$B$17*1</f>
        <v>-2200</v>
      </c>
      <c r="F22" s="65" t="n">
        <f aca="false">-Inputs!$B$17*1</f>
        <v>-2200</v>
      </c>
      <c r="G22" s="65" t="n">
        <f aca="false">-Inputs!$B$17*1</f>
        <v>-2200</v>
      </c>
      <c r="H22" s="65" t="n">
        <f aca="false">-Inputs!$B$17*1</f>
        <v>-2200</v>
      </c>
      <c r="I22" s="65" t="n">
        <f aca="false">-Inputs!$B$17*1</f>
        <v>-2200</v>
      </c>
      <c r="J22" s="65" t="n">
        <f aca="false">-Inputs!$B$17*1</f>
        <v>-2200</v>
      </c>
      <c r="K22" s="65" t="n">
        <f aca="false">-Inputs!$B$17*1</f>
        <v>-2200</v>
      </c>
      <c r="L22" s="65" t="n">
        <f aca="false">-Inputs!$B$17*1</f>
        <v>-2200</v>
      </c>
      <c r="M22" s="65" t="n">
        <f aca="false">-Inputs!$B$17*1</f>
        <v>-2200</v>
      </c>
      <c r="N22" s="65" t="n">
        <f aca="false">-Inputs!$B$17*1</f>
        <v>-2200</v>
      </c>
      <c r="O22" s="65" t="n">
        <f aca="false">-Inputs!$B$17*1</f>
        <v>-2200</v>
      </c>
      <c r="P22" s="65" t="n">
        <f aca="false">-Inputs!$B$17*1</f>
        <v>-2200</v>
      </c>
      <c r="Q22" s="65" t="n">
        <f aca="false">-Inputs!$B$17*1</f>
        <v>-2200</v>
      </c>
      <c r="R22" s="65" t="n">
        <f aca="false">-Inputs!$B$17*1</f>
        <v>-2200</v>
      </c>
      <c r="S22" s="65" t="n">
        <f aca="false">-Inputs!$B$17*1</f>
        <v>-2200</v>
      </c>
      <c r="T22" s="65" t="n">
        <f aca="false">-Inputs!$B$17*1</f>
        <v>-2200</v>
      </c>
      <c r="U22" s="65" t="n">
        <f aca="false">-Inputs!$B$17*1</f>
        <v>-2200</v>
      </c>
      <c r="V22" s="65" t="n">
        <f aca="false">-Inputs!$B$17*1</f>
        <v>-2200</v>
      </c>
      <c r="W22" s="65" t="n">
        <f aca="false">-Inputs!$B$17*1</f>
        <v>-2200</v>
      </c>
      <c r="X22" s="65" t="n">
        <f aca="false">-Inputs!$B$17*1</f>
        <v>-2200</v>
      </c>
      <c r="Y22" s="65" t="n">
        <f aca="false">-Inputs!$B$17*1</f>
        <v>-2200</v>
      </c>
      <c r="Z22" s="65" t="n">
        <f aca="false">-Inputs!$B$17*1</f>
        <v>-2200</v>
      </c>
      <c r="AA22" s="65" t="n">
        <f aca="false">-Inputs!$B$17*1</f>
        <v>-2200</v>
      </c>
      <c r="AB22" s="65" t="n">
        <f aca="false">-Inputs!$B$17*1</f>
        <v>-2200</v>
      </c>
      <c r="AC22" s="65" t="n">
        <f aca="false">-Inputs!$B$17*1</f>
        <v>-2200</v>
      </c>
      <c r="AD22" s="65" t="n">
        <f aca="false">-Inputs!$B$17*1</f>
        <v>-2200</v>
      </c>
      <c r="AE22" s="65" t="n">
        <f aca="false">-Inputs!$B$17*1</f>
        <v>-2200</v>
      </c>
      <c r="AF22" s="65" t="n">
        <f aca="false">-Inputs!$B$17*1</f>
        <v>-2200</v>
      </c>
      <c r="AG22" s="65" t="n">
        <f aca="false">-Inputs!$B$17*1</f>
        <v>-2200</v>
      </c>
      <c r="AH22" s="65" t="n">
        <f aca="false">-Inputs!$B$17*1</f>
        <v>-2200</v>
      </c>
      <c r="AI22" s="65" t="n">
        <f aca="false">-Inputs!$B$17*1</f>
        <v>-2200</v>
      </c>
      <c r="AJ22" s="65" t="n">
        <f aca="false">-Inputs!$B$17*1</f>
        <v>-2200</v>
      </c>
      <c r="AK22" s="65" t="n">
        <f aca="false">-Inputs!$B$17*1</f>
        <v>-2200</v>
      </c>
      <c r="AL22" s="65" t="n">
        <f aca="false">-Inputs!$B$17*1</f>
        <v>-2200</v>
      </c>
    </row>
    <row r="23" customFormat="false" ht="15" hidden="false" customHeight="false" outlineLevel="0" collapsed="false">
      <c r="A23" s="108" t="s">
        <v>75</v>
      </c>
      <c r="C23" s="66" t="n">
        <f aca="false">C19+C20+C21+C22</f>
        <v>-15416.8</v>
      </c>
      <c r="D23" s="66" t="n">
        <f aca="false">D19+D20+D21+D22</f>
        <v>-15469.6</v>
      </c>
      <c r="E23" s="66" t="n">
        <f aca="false">E19+E20+E21+E22</f>
        <v>-15522.4</v>
      </c>
      <c r="F23" s="66" t="n">
        <f aca="false">F19+F20+F21+F22</f>
        <v>-15575.2</v>
      </c>
      <c r="G23" s="66" t="n">
        <f aca="false">G19+G20+G21+G22</f>
        <v>-15628</v>
      </c>
      <c r="H23" s="66" t="n">
        <f aca="false">H19+H20+H21+H22</f>
        <v>-15680.8</v>
      </c>
      <c r="I23" s="66" t="n">
        <f aca="false">I19+I20+I21+I22</f>
        <v>-15733.6</v>
      </c>
      <c r="J23" s="66" t="n">
        <f aca="false">J19+J20+J21+J22</f>
        <v>-15786.4</v>
      </c>
      <c r="K23" s="66" t="n">
        <f aca="false">K19+K20+K21+K22</f>
        <v>-15839.2</v>
      </c>
      <c r="L23" s="66" t="n">
        <f aca="false">L19+L20+L21+L22</f>
        <v>-15892</v>
      </c>
      <c r="M23" s="66" t="n">
        <f aca="false">M19+M20+M21+M22</f>
        <v>-15892</v>
      </c>
      <c r="N23" s="66" t="n">
        <f aca="false">N19+N20+N21+N22</f>
        <v>-15892</v>
      </c>
      <c r="O23" s="66" t="n">
        <f aca="false">O19+O20+O21+O22</f>
        <v>-16184.0752</v>
      </c>
      <c r="P23" s="66" t="n">
        <f aca="false">P19+P20+P21+P22</f>
        <v>-16184.0752</v>
      </c>
      <c r="Q23" s="66" t="n">
        <f aca="false">Q19+Q20+Q21+Q22</f>
        <v>-16184.0752</v>
      </c>
      <c r="R23" s="66" t="n">
        <f aca="false">R19+R20+R21+R22</f>
        <v>-16184.0752</v>
      </c>
      <c r="S23" s="66" t="n">
        <f aca="false">S19+S20+S21+S22</f>
        <v>-16184.0752</v>
      </c>
      <c r="T23" s="66" t="n">
        <f aca="false">T19+T20+T21+T22</f>
        <v>-16184.0752</v>
      </c>
      <c r="U23" s="66" t="n">
        <f aca="false">U19+U20+U21+U22</f>
        <v>-16184.0752</v>
      </c>
      <c r="V23" s="66" t="n">
        <f aca="false">V19+V20+V21+V22</f>
        <v>-16184.0752</v>
      </c>
      <c r="W23" s="66" t="n">
        <f aca="false">W19+W20+W21+W22</f>
        <v>-16184.0752</v>
      </c>
      <c r="X23" s="66" t="n">
        <f aca="false">X19+X20+X21+X22</f>
        <v>-16184.0752</v>
      </c>
      <c r="Y23" s="66" t="n">
        <f aca="false">Y19+Y20+Y21+Y22</f>
        <v>-16184.0752</v>
      </c>
      <c r="Z23" s="66" t="n">
        <f aca="false">Z19+Z20+Z21+Z22</f>
        <v>-16184.0752</v>
      </c>
      <c r="AA23" s="66" t="n">
        <f aca="false">AA19+AA20+AA21+AA22</f>
        <v>-16485.73820512</v>
      </c>
      <c r="AB23" s="66" t="n">
        <f aca="false">AB19+AB20+AB21+AB22</f>
        <v>-16485.73820512</v>
      </c>
      <c r="AC23" s="66" t="n">
        <f aca="false">AC19+AC20+AC21+AC22</f>
        <v>-16485.73820512</v>
      </c>
      <c r="AD23" s="66" t="n">
        <f aca="false">AD19+AD20+AD21+AD22</f>
        <v>-16485.73820512</v>
      </c>
      <c r="AE23" s="66" t="n">
        <f aca="false">AE19+AE20+AE21+AE22</f>
        <v>-16485.73820512</v>
      </c>
      <c r="AF23" s="66" t="n">
        <f aca="false">AF19+AF20+AF21+AF22</f>
        <v>-16485.73820512</v>
      </c>
      <c r="AG23" s="66" t="n">
        <f aca="false">AG19+AG20+AG21+AG22</f>
        <v>-16485.73820512</v>
      </c>
      <c r="AH23" s="66" t="n">
        <f aca="false">AH19+AH20+AH21+AH22</f>
        <v>-16485.73820512</v>
      </c>
      <c r="AI23" s="66" t="n">
        <f aca="false">AI19+AI20+AI21+AI22</f>
        <v>-16485.73820512</v>
      </c>
      <c r="AJ23" s="66" t="n">
        <f aca="false">AJ19+AJ20+AJ21+AJ22</f>
        <v>-16485.73820512</v>
      </c>
      <c r="AK23" s="66" t="n">
        <f aca="false">AK19+AK20+AK21+AK22</f>
        <v>-16485.73820512</v>
      </c>
      <c r="AL23" s="66" t="n">
        <f aca="false">AL19+AL20+AL21+AL22</f>
        <v>-16485.73820512</v>
      </c>
    </row>
    <row r="24" customFormat="false" ht="15" hidden="false" customHeight="false" outlineLevel="0" collapsed="false">
      <c r="A24" s="108" t="s">
        <v>48</v>
      </c>
      <c r="C24" s="66" t="n">
        <f aca="false">C16+C23</f>
        <v>-10348</v>
      </c>
      <c r="D24" s="66" t="n">
        <f aca="false">D16+D23</f>
        <v>-9556</v>
      </c>
      <c r="E24" s="66" t="n">
        <f aca="false">E16+E23</f>
        <v>-8764</v>
      </c>
      <c r="F24" s="66" t="n">
        <f aca="false">F16+F23</f>
        <v>-7972</v>
      </c>
      <c r="G24" s="66" t="n">
        <f aca="false">G16+G23</f>
        <v>-7180</v>
      </c>
      <c r="H24" s="66" t="n">
        <f aca="false">H16+H23</f>
        <v>-6388</v>
      </c>
      <c r="I24" s="66" t="n">
        <f aca="false">I16+I23</f>
        <v>-5596</v>
      </c>
      <c r="J24" s="66" t="n">
        <f aca="false">J16+J23</f>
        <v>-4804</v>
      </c>
      <c r="K24" s="66" t="n">
        <f aca="false">K16+K23</f>
        <v>-4012</v>
      </c>
      <c r="L24" s="66" t="n">
        <f aca="false">L16+L23</f>
        <v>-3220</v>
      </c>
      <c r="M24" s="66" t="n">
        <f aca="false">M16+M23</f>
        <v>-3220</v>
      </c>
      <c r="N24" s="66" t="n">
        <f aca="false">N16+N23</f>
        <v>-3220</v>
      </c>
      <c r="O24" s="66" t="n">
        <f aca="false">O16+O23</f>
        <v>-2870.872</v>
      </c>
      <c r="P24" s="66" t="n">
        <f aca="false">P16+P23</f>
        <v>-2870.872</v>
      </c>
      <c r="Q24" s="66" t="n">
        <f aca="false">Q16+Q23</f>
        <v>-2870.872</v>
      </c>
      <c r="R24" s="66" t="n">
        <f aca="false">R16+R23</f>
        <v>-2870.872</v>
      </c>
      <c r="S24" s="66" t="n">
        <f aca="false">S16+S23</f>
        <v>-2870.872</v>
      </c>
      <c r="T24" s="66" t="n">
        <f aca="false">T16+T23</f>
        <v>-2870.872</v>
      </c>
      <c r="U24" s="66" t="n">
        <f aca="false">U16+U23</f>
        <v>-2870.872</v>
      </c>
      <c r="V24" s="66" t="n">
        <f aca="false">V16+V23</f>
        <v>-2870.872</v>
      </c>
      <c r="W24" s="66" t="n">
        <f aca="false">W16+W23</f>
        <v>-2870.872</v>
      </c>
      <c r="X24" s="66" t="n">
        <f aca="false">X16+X23</f>
        <v>-2870.872</v>
      </c>
      <c r="Y24" s="66" t="n">
        <f aca="false">Y16+Y23</f>
        <v>-2870.872</v>
      </c>
      <c r="Z24" s="66" t="n">
        <f aca="false">Z16+Z23</f>
        <v>-2870.872</v>
      </c>
      <c r="AA24" s="66" t="n">
        <f aca="false">AA16+AA23</f>
        <v>-2498.8869232</v>
      </c>
      <c r="AB24" s="66" t="n">
        <f aca="false">AB16+AB23</f>
        <v>-2498.8869232</v>
      </c>
      <c r="AC24" s="66" t="n">
        <f aca="false">AC16+AC23</f>
        <v>-2498.8869232</v>
      </c>
      <c r="AD24" s="66" t="n">
        <f aca="false">AD16+AD23</f>
        <v>-2498.8869232</v>
      </c>
      <c r="AE24" s="66" t="n">
        <f aca="false">AE16+AE23</f>
        <v>-2498.8869232</v>
      </c>
      <c r="AF24" s="66" t="n">
        <f aca="false">AF16+AF23</f>
        <v>-2498.8869232</v>
      </c>
      <c r="AG24" s="66" t="n">
        <f aca="false">AG16+AG23</f>
        <v>-2498.8869232</v>
      </c>
      <c r="AH24" s="66" t="n">
        <f aca="false">AH16+AH23</f>
        <v>-2498.8869232</v>
      </c>
      <c r="AI24" s="66" t="n">
        <f aca="false">AI16+AI23</f>
        <v>-2498.8869232</v>
      </c>
      <c r="AJ24" s="66" t="n">
        <f aca="false">AJ16+AJ23</f>
        <v>-2498.8869232</v>
      </c>
      <c r="AK24" s="66" t="n">
        <f aca="false">AK16+AK23</f>
        <v>-2498.8869232</v>
      </c>
      <c r="AL24" s="66" t="n">
        <f aca="false">AL16+AL23</f>
        <v>-2498.8869232</v>
      </c>
    </row>
    <row r="26" customFormat="false" ht="15.75" hidden="false" customHeight="true" outlineLevel="0" collapsed="false">
      <c r="A26" s="7" t="s">
        <v>338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4" t="s">
        <v>77</v>
      </c>
      <c r="C27" s="71" t="n">
        <f aca="false">C24+C38</f>
        <v>-12490.8571428571</v>
      </c>
      <c r="D27" s="71" t="n">
        <f aca="false">D24+D38</f>
        <v>-11698.8571428571</v>
      </c>
      <c r="E27" s="71" t="n">
        <f aca="false">E24+E38</f>
        <v>-10906.8571428571</v>
      </c>
      <c r="F27" s="71" t="n">
        <f aca="false">F24+F38</f>
        <v>-10114.8571428571</v>
      </c>
      <c r="G27" s="71" t="n">
        <f aca="false">G24+G38</f>
        <v>-9322.85714285714</v>
      </c>
      <c r="H27" s="71" t="n">
        <f aca="false">H24+H38</f>
        <v>-8530.85714285714</v>
      </c>
      <c r="I27" s="71" t="n">
        <f aca="false">I24+I38</f>
        <v>-7738.85714285714</v>
      </c>
      <c r="J27" s="71" t="n">
        <f aca="false">J24+J38</f>
        <v>-6946.85714285714</v>
      </c>
      <c r="K27" s="71" t="n">
        <f aca="false">K24+K38</f>
        <v>-6154.85714285714</v>
      </c>
      <c r="L27" s="71" t="n">
        <f aca="false">L24+L38</f>
        <v>-5362.85714285714</v>
      </c>
      <c r="M27" s="71" t="n">
        <f aca="false">M24+M38</f>
        <v>-5362.85714285714</v>
      </c>
      <c r="N27" s="71" t="n">
        <f aca="false">N24+N38</f>
        <v>-5362.85714285714</v>
      </c>
      <c r="O27" s="71" t="n">
        <f aca="false">O24+O38</f>
        <v>-5013.72914285714</v>
      </c>
      <c r="P27" s="71" t="n">
        <f aca="false">P24+P38</f>
        <v>-5013.72914285714</v>
      </c>
      <c r="Q27" s="71" t="n">
        <f aca="false">Q24+Q38</f>
        <v>-5013.72914285714</v>
      </c>
      <c r="R27" s="71" t="n">
        <f aca="false">R24+R38</f>
        <v>-5013.72914285714</v>
      </c>
      <c r="S27" s="71" t="n">
        <f aca="false">S24+S38</f>
        <v>-5013.72914285714</v>
      </c>
      <c r="T27" s="71" t="n">
        <f aca="false">T24+T38</f>
        <v>-5013.72914285714</v>
      </c>
      <c r="U27" s="71" t="n">
        <f aca="false">U24+U38</f>
        <v>-5013.72914285714</v>
      </c>
      <c r="V27" s="71" t="n">
        <f aca="false">V24+V38</f>
        <v>-5013.72914285714</v>
      </c>
      <c r="W27" s="71" t="n">
        <f aca="false">W24+W38</f>
        <v>-5013.72914285714</v>
      </c>
      <c r="X27" s="71" t="n">
        <f aca="false">X24+X38</f>
        <v>-5013.72914285714</v>
      </c>
      <c r="Y27" s="71" t="n">
        <f aca="false">Y24+Y38</f>
        <v>-5013.72914285714</v>
      </c>
      <c r="Z27" s="71" t="n">
        <f aca="false">Z24+Z38</f>
        <v>-5013.72914285714</v>
      </c>
      <c r="AA27" s="71" t="n">
        <f aca="false">AA24+AA38</f>
        <v>-4641.74406605715</v>
      </c>
      <c r="AB27" s="71" t="n">
        <f aca="false">AB24+AB38</f>
        <v>-4641.74406605715</v>
      </c>
      <c r="AC27" s="71" t="n">
        <f aca="false">AC24+AC38</f>
        <v>-4641.74406605715</v>
      </c>
      <c r="AD27" s="71" t="n">
        <f aca="false">AD24+AD38</f>
        <v>-4641.74406605715</v>
      </c>
      <c r="AE27" s="71" t="n">
        <f aca="false">AE24+AE38</f>
        <v>-4641.74406605715</v>
      </c>
      <c r="AF27" s="71" t="n">
        <f aca="false">AF24+AF38</f>
        <v>-4641.74406605715</v>
      </c>
      <c r="AG27" s="71" t="n">
        <f aca="false">AG24+AG38</f>
        <v>-4641.74406605715</v>
      </c>
      <c r="AH27" s="71" t="n">
        <f aca="false">AH24+AH38</f>
        <v>-4641.74406605715</v>
      </c>
      <c r="AI27" s="71" t="n">
        <f aca="false">AI24+AI38</f>
        <v>-4641.74406605715</v>
      </c>
      <c r="AJ27" s="71" t="n">
        <f aca="false">AJ24+AJ38</f>
        <v>-4641.74406605715</v>
      </c>
      <c r="AK27" s="71" t="n">
        <f aca="false">AK24+AK38</f>
        <v>-4641.74406605715</v>
      </c>
      <c r="AL27" s="71" t="n">
        <f aca="false">AL24+AL38</f>
        <v>-4641.74406605715</v>
      </c>
    </row>
    <row r="28" customFormat="false" ht="15" hidden="false" customHeight="false" outlineLevel="0" collapsed="false">
      <c r="A28" s="6" t="s">
        <v>339</v>
      </c>
      <c r="C28" s="65" t="n">
        <f aca="false">-(C43+C44+C46)/2*Inputs!$B$31/12</f>
        <v>-533.333333333333</v>
      </c>
      <c r="D28" s="65" t="n">
        <f aca="false">-(D43+D44+D46)/2*Inputs!$B$31/12</f>
        <v>-528.888888888889</v>
      </c>
      <c r="E28" s="65" t="n">
        <f aca="false">-(E43+E44+E46)/2*Inputs!$B$31/12</f>
        <v>-520</v>
      </c>
      <c r="F28" s="65" t="n">
        <f aca="false">-(F43+F44+F46)/2*Inputs!$B$31/12</f>
        <v>-511.111111111111</v>
      </c>
      <c r="G28" s="65" t="n">
        <f aca="false">-(G43+G44+G46)/2*Inputs!$B$31/12</f>
        <v>-502.222222222222</v>
      </c>
      <c r="H28" s="65" t="n">
        <f aca="false">-(H43+H44+H46)/2*Inputs!$B$31/12</f>
        <v>-493.333333333334</v>
      </c>
      <c r="I28" s="65" t="n">
        <f aca="false">-(I43+I44+I46)/2*Inputs!$B$31/12</f>
        <v>-484.444444444445</v>
      </c>
      <c r="J28" s="65" t="n">
        <f aca="false">-(J43+J44+J46)/2*Inputs!$B$31/12</f>
        <v>-475.555555555556</v>
      </c>
      <c r="K28" s="65" t="n">
        <f aca="false">-(K43+K44+K46)/2*Inputs!$B$31/12</f>
        <v>-466.666666666667</v>
      </c>
      <c r="L28" s="65" t="n">
        <f aca="false">-(L43+L44+L46)/2*Inputs!$B$31/12</f>
        <v>-457.777777777778</v>
      </c>
      <c r="M28" s="65" t="n">
        <f aca="false">-(M43+M44+M46)/2*Inputs!$B$31/12</f>
        <v>-448.888888888889</v>
      </c>
      <c r="N28" s="65" t="n">
        <f aca="false">-(N43+N44+N46)/2*Inputs!$B$31/12</f>
        <v>-440</v>
      </c>
      <c r="O28" s="65" t="n">
        <f aca="false">-(O43+O44+O46)/2*Inputs!$B$31/12</f>
        <v>-431.111111111112</v>
      </c>
      <c r="P28" s="65" t="n">
        <f aca="false">-(P43+P44+P46)/2*Inputs!$B$31/12</f>
        <v>-422.222222222222</v>
      </c>
      <c r="Q28" s="65" t="n">
        <f aca="false">-(Q43+Q44+Q46)/2*Inputs!$B$31/12</f>
        <v>-413.333333333334</v>
      </c>
      <c r="R28" s="65" t="n">
        <f aca="false">-(R43+R44+R46)/2*Inputs!$B$31/12</f>
        <v>-404.444444444445</v>
      </c>
      <c r="S28" s="65" t="n">
        <f aca="false">-(S43+S44+S46)/2*Inputs!$B$31/12</f>
        <v>-395.555555555556</v>
      </c>
      <c r="T28" s="65" t="n">
        <f aca="false">-(T43+T44+T46)/2*Inputs!$B$31/12</f>
        <v>-386.666666666667</v>
      </c>
      <c r="U28" s="65" t="n">
        <f aca="false">-(U43+U44+U46)/2*Inputs!$B$31/12</f>
        <v>-377.777777777778</v>
      </c>
      <c r="V28" s="65" t="n">
        <f aca="false">-(V43+V44+V46)/2*Inputs!$B$31/12</f>
        <v>-368.888888888889</v>
      </c>
      <c r="W28" s="65" t="n">
        <f aca="false">-(W43+W44+W46)/2*Inputs!$B$31/12</f>
        <v>-360</v>
      </c>
      <c r="X28" s="65" t="n">
        <f aca="false">-(X43+X44+X46)/2*Inputs!$B$31/12</f>
        <v>-351.111111111111</v>
      </c>
      <c r="Y28" s="65" t="n">
        <f aca="false">-(Y43+Y44+Y46)/2*Inputs!$B$31/12</f>
        <v>-342.222222222222</v>
      </c>
      <c r="Z28" s="65" t="n">
        <f aca="false">-(Z43+Z44+Z46)/2*Inputs!$B$31/12</f>
        <v>-333.333333333333</v>
      </c>
      <c r="AA28" s="65" t="n">
        <f aca="false">-(AA43+AA44+AA46)/2*Inputs!$B$31/12</f>
        <v>-324.444444444445</v>
      </c>
      <c r="AB28" s="65" t="n">
        <f aca="false">-(AB43+AB44+AB46)/2*Inputs!$B$31/12</f>
        <v>-315.555555555556</v>
      </c>
      <c r="AC28" s="65" t="n">
        <f aca="false">-(AC43+AC44+AC46)/2*Inputs!$B$31/12</f>
        <v>-306.666666666667</v>
      </c>
      <c r="AD28" s="65" t="n">
        <f aca="false">-(AD43+AD44+AD46)/2*Inputs!$B$31/12</f>
        <v>-297.777777777778</v>
      </c>
      <c r="AE28" s="65" t="n">
        <f aca="false">-(AE43+AE44+AE46)/2*Inputs!$B$31/12</f>
        <v>-288.888888888889</v>
      </c>
      <c r="AF28" s="65" t="n">
        <f aca="false">-(AF43+AF44+AF46)/2*Inputs!$B$31/12</f>
        <v>-280</v>
      </c>
      <c r="AG28" s="65" t="n">
        <f aca="false">-(AG43+AG44+AG46)/2*Inputs!$B$31/12</f>
        <v>-271.111111111111</v>
      </c>
      <c r="AH28" s="65" t="n">
        <f aca="false">-(AH43+AH44+AH46)/2*Inputs!$B$31/12</f>
        <v>-262.222222222222</v>
      </c>
      <c r="AI28" s="65" t="n">
        <f aca="false">-(AI43+AI44+AI46)/2*Inputs!$B$31/12</f>
        <v>-253.333333333333</v>
      </c>
      <c r="AJ28" s="65" t="n">
        <f aca="false">-(AJ43+AJ44+AJ46)/2*Inputs!$B$31/12</f>
        <v>-244.444444444444</v>
      </c>
      <c r="AK28" s="65" t="n">
        <f aca="false">-(AK43+AK44+AK46)/2*Inputs!$B$31/12</f>
        <v>-235.555555555556</v>
      </c>
      <c r="AL28" s="65" t="n">
        <f aca="false">-(AL43+AL44+AL46)/2*Inputs!$B$31/12</f>
        <v>-226.666666666667</v>
      </c>
    </row>
    <row r="29" customFormat="false" ht="15" hidden="false" customHeight="false" outlineLevel="0" collapsed="false">
      <c r="A29" s="108" t="s">
        <v>79</v>
      </c>
      <c r="C29" s="66" t="n">
        <f aca="false">C27+C28</f>
        <v>-13024.1904761905</v>
      </c>
      <c r="D29" s="66" t="n">
        <f aca="false">D27+D28</f>
        <v>-12227.746031746</v>
      </c>
      <c r="E29" s="66" t="n">
        <f aca="false">E27+E28</f>
        <v>-11426.8571428571</v>
      </c>
      <c r="F29" s="66" t="n">
        <f aca="false">F27+F28</f>
        <v>-10625.9682539683</v>
      </c>
      <c r="G29" s="66" t="n">
        <f aca="false">G27+G28</f>
        <v>-9825.07936507937</v>
      </c>
      <c r="H29" s="66" t="n">
        <f aca="false">H27+H28</f>
        <v>-9024.19047619048</v>
      </c>
      <c r="I29" s="66" t="n">
        <f aca="false">I27+I28</f>
        <v>-8223.30158730159</v>
      </c>
      <c r="J29" s="66" t="n">
        <f aca="false">J27+J28</f>
        <v>-7422.4126984127</v>
      </c>
      <c r="K29" s="66" t="n">
        <f aca="false">K27+K28</f>
        <v>-6621.52380952381</v>
      </c>
      <c r="L29" s="66" t="n">
        <f aca="false">L27+L28</f>
        <v>-5820.63492063492</v>
      </c>
      <c r="M29" s="66" t="n">
        <f aca="false">M27+M28</f>
        <v>-5811.74603174603</v>
      </c>
      <c r="N29" s="66" t="n">
        <f aca="false">N27+N28</f>
        <v>-5802.85714285714</v>
      </c>
      <c r="O29" s="66" t="n">
        <f aca="false">O27+O28</f>
        <v>-5444.84025396825</v>
      </c>
      <c r="P29" s="66" t="n">
        <f aca="false">P27+P28</f>
        <v>-5435.95136507937</v>
      </c>
      <c r="Q29" s="66" t="n">
        <f aca="false">Q27+Q28</f>
        <v>-5427.06247619048</v>
      </c>
      <c r="R29" s="66" t="n">
        <f aca="false">R27+R28</f>
        <v>-5418.17358730159</v>
      </c>
      <c r="S29" s="66" t="n">
        <f aca="false">S27+S28</f>
        <v>-5409.2846984127</v>
      </c>
      <c r="T29" s="66" t="n">
        <f aca="false">T27+T28</f>
        <v>-5400.39580952381</v>
      </c>
      <c r="U29" s="66" t="n">
        <f aca="false">U27+U28</f>
        <v>-5391.50692063492</v>
      </c>
      <c r="V29" s="66" t="n">
        <f aca="false">V27+V28</f>
        <v>-5382.61803174603</v>
      </c>
      <c r="W29" s="66" t="n">
        <f aca="false">W27+W28</f>
        <v>-5373.72914285714</v>
      </c>
      <c r="X29" s="66" t="n">
        <f aca="false">X27+X28</f>
        <v>-5364.84025396825</v>
      </c>
      <c r="Y29" s="66" t="n">
        <f aca="false">Y27+Y28</f>
        <v>-5355.95136507937</v>
      </c>
      <c r="Z29" s="66" t="n">
        <f aca="false">Z27+Z28</f>
        <v>-5347.06247619048</v>
      </c>
      <c r="AA29" s="66" t="n">
        <f aca="false">AA27+AA28</f>
        <v>-4966.18851050159</v>
      </c>
      <c r="AB29" s="66" t="n">
        <f aca="false">AB27+AB28</f>
        <v>-4957.2996216127</v>
      </c>
      <c r="AC29" s="66" t="n">
        <f aca="false">AC27+AC28</f>
        <v>-4948.41073272381</v>
      </c>
      <c r="AD29" s="66" t="n">
        <f aca="false">AD27+AD28</f>
        <v>-4939.52184383492</v>
      </c>
      <c r="AE29" s="66" t="n">
        <f aca="false">AE27+AE28</f>
        <v>-4930.63295494603</v>
      </c>
      <c r="AF29" s="66" t="n">
        <f aca="false">AF27+AF28</f>
        <v>-4921.74406605715</v>
      </c>
      <c r="AG29" s="66" t="n">
        <f aca="false">AG27+AG28</f>
        <v>-4912.85517716826</v>
      </c>
      <c r="AH29" s="66" t="n">
        <f aca="false">AH27+AH28</f>
        <v>-4903.96628827937</v>
      </c>
      <c r="AI29" s="66" t="n">
        <f aca="false">AI27+AI28</f>
        <v>-4895.07739939048</v>
      </c>
      <c r="AJ29" s="66" t="n">
        <f aca="false">AJ27+AJ28</f>
        <v>-4886.18851050159</v>
      </c>
      <c r="AK29" s="66" t="n">
        <f aca="false">AK27+AK28</f>
        <v>-4877.2996216127</v>
      </c>
      <c r="AL29" s="66" t="n">
        <f aca="false">AL27+AL28</f>
        <v>-4868.41073272381</v>
      </c>
    </row>
    <row r="30" customFormat="false" ht="15" hidden="false" customHeight="false" outlineLevel="0" collapsed="false">
      <c r="A30" s="114" t="s">
        <v>340</v>
      </c>
      <c r="C30" s="65" t="n">
        <f aca="false">C29</f>
        <v>-13024.1904761905</v>
      </c>
      <c r="D30" s="65" t="n">
        <f aca="false">C30+D29</f>
        <v>-25251.9365079365</v>
      </c>
      <c r="E30" s="65" t="n">
        <f aca="false">D30+E29</f>
        <v>-36678.7936507937</v>
      </c>
      <c r="F30" s="65" t="n">
        <f aca="false">E30+F29</f>
        <v>-47304.7619047619</v>
      </c>
      <c r="G30" s="65" t="n">
        <f aca="false">F30+G29</f>
        <v>-57129.8412698413</v>
      </c>
      <c r="H30" s="65" t="n">
        <f aca="false">G30+H29</f>
        <v>-66154.0317460318</v>
      </c>
      <c r="I30" s="65" t="n">
        <f aca="false">H30+I29</f>
        <v>-74377.3333333333</v>
      </c>
      <c r="J30" s="65" t="n">
        <f aca="false">I30+J29</f>
        <v>-81799.746031746</v>
      </c>
      <c r="K30" s="65" t="n">
        <f aca="false">J30+K29</f>
        <v>-88421.2698412698</v>
      </c>
      <c r="L30" s="65" t="n">
        <f aca="false">K30+L29</f>
        <v>-94241.9047619048</v>
      </c>
      <c r="M30" s="65" t="n">
        <f aca="false">L30+M29</f>
        <v>-100053.650793651</v>
      </c>
      <c r="N30" s="65" t="n">
        <f aca="false">M30+N29</f>
        <v>-105856.507936508</v>
      </c>
      <c r="O30" s="65" t="n">
        <f aca="false">N30+O29</f>
        <v>-111301.348190476</v>
      </c>
      <c r="P30" s="65" t="n">
        <f aca="false">O30+P29</f>
        <v>-116737.299555556</v>
      </c>
      <c r="Q30" s="65" t="n">
        <f aca="false">P30+Q29</f>
        <v>-122164.362031746</v>
      </c>
      <c r="R30" s="65" t="n">
        <f aca="false">Q30+R29</f>
        <v>-127582.535619048</v>
      </c>
      <c r="S30" s="65" t="n">
        <f aca="false">R30+S29</f>
        <v>-132991.82031746</v>
      </c>
      <c r="T30" s="65" t="n">
        <f aca="false">S30+T29</f>
        <v>-138392.216126984</v>
      </c>
      <c r="U30" s="65" t="n">
        <f aca="false">T30+U29</f>
        <v>-143783.723047619</v>
      </c>
      <c r="V30" s="65" t="n">
        <f aca="false">U30+V29</f>
        <v>-149166.341079365</v>
      </c>
      <c r="W30" s="65" t="n">
        <f aca="false">V30+W29</f>
        <v>-154540.070222222</v>
      </c>
      <c r="X30" s="65" t="n">
        <f aca="false">W30+X29</f>
        <v>-159904.910476191</v>
      </c>
      <c r="Y30" s="65" t="n">
        <f aca="false">X30+Y29</f>
        <v>-165260.86184127</v>
      </c>
      <c r="Z30" s="65" t="n">
        <f aca="false">Y30+Z29</f>
        <v>-170607.92431746</v>
      </c>
      <c r="AA30" s="65" t="n">
        <f aca="false">Z30+AA29</f>
        <v>-175574.112827962</v>
      </c>
      <c r="AB30" s="65" t="n">
        <f aca="false">AA30+AB29</f>
        <v>-180531.412449575</v>
      </c>
      <c r="AC30" s="65" t="n">
        <f aca="false">AB30+AC29</f>
        <v>-185479.823182298</v>
      </c>
      <c r="AD30" s="65" t="n">
        <f aca="false">AC30+AD29</f>
        <v>-190419.345026133</v>
      </c>
      <c r="AE30" s="65" t="n">
        <f aca="false">AD30+AE29</f>
        <v>-195349.977981079</v>
      </c>
      <c r="AF30" s="65" t="n">
        <f aca="false">AE30+AF29</f>
        <v>-200271.722047137</v>
      </c>
      <c r="AG30" s="65" t="n">
        <f aca="false">AF30+AG29</f>
        <v>-205184.577224305</v>
      </c>
      <c r="AH30" s="65" t="n">
        <f aca="false">AG30+AH29</f>
        <v>-210088.543512584</v>
      </c>
      <c r="AI30" s="65" t="n">
        <f aca="false">AH30+AI29</f>
        <v>-214983.620911975</v>
      </c>
      <c r="AJ30" s="65" t="n">
        <f aca="false">AI30+AJ29</f>
        <v>-219869.809422476</v>
      </c>
      <c r="AK30" s="65" t="n">
        <f aca="false">AJ30+AK29</f>
        <v>-224747.109044089</v>
      </c>
      <c r="AL30" s="65" t="n">
        <f aca="false">AK30+AL29</f>
        <v>-229615.519776813</v>
      </c>
    </row>
    <row r="31" customFormat="false" ht="15" hidden="false" customHeight="false" outlineLevel="0" collapsed="false">
      <c r="A31" s="114" t="s">
        <v>341</v>
      </c>
      <c r="C31" s="65" t="n">
        <f aca="false">MAX(0,C30)</f>
        <v>0</v>
      </c>
      <c r="D31" s="65" t="n">
        <f aca="false">MAX(C31,D30)</f>
        <v>0</v>
      </c>
      <c r="E31" s="65" t="n">
        <f aca="false">MAX(D31,E30)</f>
        <v>0</v>
      </c>
      <c r="F31" s="65" t="n">
        <f aca="false">MAX(E31,F30)</f>
        <v>0</v>
      </c>
      <c r="G31" s="65" t="n">
        <f aca="false">MAX(F31,G30)</f>
        <v>0</v>
      </c>
      <c r="H31" s="65" t="n">
        <f aca="false">MAX(G31,H30)</f>
        <v>0</v>
      </c>
      <c r="I31" s="65" t="n">
        <f aca="false">MAX(H31,I30)</f>
        <v>0</v>
      </c>
      <c r="J31" s="65" t="n">
        <f aca="false">MAX(I31,J30)</f>
        <v>0</v>
      </c>
      <c r="K31" s="65" t="n">
        <f aca="false">MAX(J31,K30)</f>
        <v>0</v>
      </c>
      <c r="L31" s="65" t="n">
        <f aca="false">MAX(K31,L30)</f>
        <v>0</v>
      </c>
      <c r="M31" s="65" t="n">
        <f aca="false">MAX(L31,M30)</f>
        <v>0</v>
      </c>
      <c r="N31" s="65" t="n">
        <f aca="false">MAX(M31,N30)</f>
        <v>0</v>
      </c>
      <c r="O31" s="65" t="n">
        <f aca="false">MAX(N31,O30)</f>
        <v>0</v>
      </c>
      <c r="P31" s="65" t="n">
        <f aca="false">MAX(O31,P30)</f>
        <v>0</v>
      </c>
      <c r="Q31" s="65" t="n">
        <f aca="false">MAX(P31,Q30)</f>
        <v>0</v>
      </c>
      <c r="R31" s="65" t="n">
        <f aca="false">MAX(Q31,R30)</f>
        <v>0</v>
      </c>
      <c r="S31" s="65" t="n">
        <f aca="false">MAX(R31,S30)</f>
        <v>0</v>
      </c>
      <c r="T31" s="65" t="n">
        <f aca="false">MAX(S31,T30)</f>
        <v>0</v>
      </c>
      <c r="U31" s="65" t="n">
        <f aca="false">MAX(T31,U30)</f>
        <v>0</v>
      </c>
      <c r="V31" s="65" t="n">
        <f aca="false">MAX(U31,V30)</f>
        <v>0</v>
      </c>
      <c r="W31" s="65" t="n">
        <f aca="false">MAX(V31,W30)</f>
        <v>0</v>
      </c>
      <c r="X31" s="65" t="n">
        <f aca="false">MAX(W31,X30)</f>
        <v>0</v>
      </c>
      <c r="Y31" s="65" t="n">
        <f aca="false">MAX(X31,Y30)</f>
        <v>0</v>
      </c>
      <c r="Z31" s="65" t="n">
        <f aca="false">MAX(Y31,Z30)</f>
        <v>0</v>
      </c>
      <c r="AA31" s="65" t="n">
        <f aca="false">MAX(Z31,AA30)</f>
        <v>0</v>
      </c>
      <c r="AB31" s="65" t="n">
        <f aca="false">MAX(AA31,AB30)</f>
        <v>0</v>
      </c>
      <c r="AC31" s="65" t="n">
        <f aca="false">MAX(AB31,AC30)</f>
        <v>0</v>
      </c>
      <c r="AD31" s="65" t="n">
        <f aca="false">MAX(AC31,AD30)</f>
        <v>0</v>
      </c>
      <c r="AE31" s="65" t="n">
        <f aca="false">MAX(AD31,AE30)</f>
        <v>0</v>
      </c>
      <c r="AF31" s="65" t="n">
        <f aca="false">MAX(AE31,AF30)</f>
        <v>0</v>
      </c>
      <c r="AG31" s="65" t="n">
        <f aca="false">MAX(AF31,AG30)</f>
        <v>0</v>
      </c>
      <c r="AH31" s="65" t="n">
        <f aca="false">MAX(AG31,AH30)</f>
        <v>0</v>
      </c>
      <c r="AI31" s="65" t="n">
        <f aca="false">MAX(AH31,AI30)</f>
        <v>0</v>
      </c>
      <c r="AJ31" s="65" t="n">
        <f aca="false">MAX(AI31,AJ30)</f>
        <v>0</v>
      </c>
      <c r="AK31" s="65" t="n">
        <f aca="false">MAX(AJ31,AK30)</f>
        <v>0</v>
      </c>
      <c r="AL31" s="65" t="n">
        <f aca="false">MAX(AK31,AL30)</f>
        <v>0</v>
      </c>
    </row>
    <row r="32" customFormat="false" ht="15" hidden="false" customHeight="false" outlineLevel="0" collapsed="false">
      <c r="A32" s="6" t="s">
        <v>80</v>
      </c>
      <c r="C32" s="65" t="n">
        <f aca="false">-C31*Inputs!$B$41</f>
        <v>-0</v>
      </c>
      <c r="D32" s="65" t="n">
        <f aca="false">-(D31-C31)*Inputs!$B$41</f>
        <v>-0</v>
      </c>
      <c r="E32" s="65" t="n">
        <f aca="false">-(E31-D31)*Inputs!$B$41</f>
        <v>-0</v>
      </c>
      <c r="F32" s="65" t="n">
        <f aca="false">-(F31-E31)*Inputs!$B$41</f>
        <v>-0</v>
      </c>
      <c r="G32" s="65" t="n">
        <f aca="false">-(G31-F31)*Inputs!$B$41</f>
        <v>-0</v>
      </c>
      <c r="H32" s="65" t="n">
        <f aca="false">-(H31-G31)*Inputs!$B$41</f>
        <v>-0</v>
      </c>
      <c r="I32" s="65" t="n">
        <f aca="false">-(I31-H31)*Inputs!$B$41</f>
        <v>-0</v>
      </c>
      <c r="J32" s="65" t="n">
        <f aca="false">-(J31-I31)*Inputs!$B$41</f>
        <v>-0</v>
      </c>
      <c r="K32" s="65" t="n">
        <f aca="false">-(K31-J31)*Inputs!$B$41</f>
        <v>-0</v>
      </c>
      <c r="L32" s="65" t="n">
        <f aca="false">-(L31-K31)*Inputs!$B$41</f>
        <v>-0</v>
      </c>
      <c r="M32" s="65" t="n">
        <f aca="false">-(M31-L31)*Inputs!$B$41</f>
        <v>-0</v>
      </c>
      <c r="N32" s="65" t="n">
        <f aca="false">-(N31-M31)*Inputs!$B$41</f>
        <v>-0</v>
      </c>
      <c r="O32" s="65" t="n">
        <f aca="false">-(O31-N31)*Inputs!$B$41</f>
        <v>-0</v>
      </c>
      <c r="P32" s="65" t="n">
        <f aca="false">-(P31-O31)*Inputs!$B$41</f>
        <v>-0</v>
      </c>
      <c r="Q32" s="65" t="n">
        <f aca="false">-(Q31-P31)*Inputs!$B$41</f>
        <v>-0</v>
      </c>
      <c r="R32" s="65" t="n">
        <f aca="false">-(R31-Q31)*Inputs!$B$41</f>
        <v>-0</v>
      </c>
      <c r="S32" s="65" t="n">
        <f aca="false">-(S31-R31)*Inputs!$B$41</f>
        <v>-0</v>
      </c>
      <c r="T32" s="65" t="n">
        <f aca="false">-(T31-S31)*Inputs!$B$41</f>
        <v>-0</v>
      </c>
      <c r="U32" s="65" t="n">
        <f aca="false">-(U31-T31)*Inputs!$B$41</f>
        <v>-0</v>
      </c>
      <c r="V32" s="65" t="n">
        <f aca="false">-(V31-U31)*Inputs!$B$41</f>
        <v>-0</v>
      </c>
      <c r="W32" s="65" t="n">
        <f aca="false">-(W31-V31)*Inputs!$B$41</f>
        <v>-0</v>
      </c>
      <c r="X32" s="65" t="n">
        <f aca="false">-(X31-W31)*Inputs!$B$41</f>
        <v>-0</v>
      </c>
      <c r="Y32" s="65" t="n">
        <f aca="false">-(Y31-X31)*Inputs!$B$41</f>
        <v>-0</v>
      </c>
      <c r="Z32" s="65" t="n">
        <f aca="false">-(Z31-Y31)*Inputs!$B$41</f>
        <v>-0</v>
      </c>
      <c r="AA32" s="65" t="n">
        <f aca="false">-(AA31-Z31)*Inputs!$B$41</f>
        <v>-0</v>
      </c>
      <c r="AB32" s="65" t="n">
        <f aca="false">-(AB31-AA31)*Inputs!$B$41</f>
        <v>-0</v>
      </c>
      <c r="AC32" s="65" t="n">
        <f aca="false">-(AC31-AB31)*Inputs!$B$41</f>
        <v>-0</v>
      </c>
      <c r="AD32" s="65" t="n">
        <f aca="false">-(AD31-AC31)*Inputs!$B$41</f>
        <v>-0</v>
      </c>
      <c r="AE32" s="65" t="n">
        <f aca="false">-(AE31-AD31)*Inputs!$B$41</f>
        <v>-0</v>
      </c>
      <c r="AF32" s="65" t="n">
        <f aca="false">-(AF31-AE31)*Inputs!$B$41</f>
        <v>-0</v>
      </c>
      <c r="AG32" s="65" t="n">
        <f aca="false">-(AG31-AF31)*Inputs!$B$41</f>
        <v>-0</v>
      </c>
      <c r="AH32" s="65" t="n">
        <f aca="false">-(AH31-AG31)*Inputs!$B$41</f>
        <v>-0</v>
      </c>
      <c r="AI32" s="65" t="n">
        <f aca="false">-(AI31-AH31)*Inputs!$B$41</f>
        <v>-0</v>
      </c>
      <c r="AJ32" s="65" t="n">
        <f aca="false">-(AJ31-AI31)*Inputs!$B$41</f>
        <v>-0</v>
      </c>
      <c r="AK32" s="65" t="n">
        <f aca="false">-(AK31-AJ31)*Inputs!$B$41</f>
        <v>-0</v>
      </c>
      <c r="AL32" s="65" t="n">
        <f aca="false">-(AL31-AK31)*Inputs!$B$41</f>
        <v>-0</v>
      </c>
    </row>
    <row r="33" customFormat="false" ht="15" hidden="false" customHeight="false" outlineLevel="0" collapsed="false">
      <c r="A33" s="108" t="s">
        <v>50</v>
      </c>
      <c r="C33" s="66" t="n">
        <f aca="false">C29+C32</f>
        <v>-13024.1904761905</v>
      </c>
      <c r="D33" s="66" t="n">
        <f aca="false">D29+D32</f>
        <v>-12227.746031746</v>
      </c>
      <c r="E33" s="66" t="n">
        <f aca="false">E29+E32</f>
        <v>-11426.8571428571</v>
      </c>
      <c r="F33" s="66" t="n">
        <f aca="false">F29+F32</f>
        <v>-10625.9682539683</v>
      </c>
      <c r="G33" s="66" t="n">
        <f aca="false">G29+G32</f>
        <v>-9825.07936507937</v>
      </c>
      <c r="H33" s="66" t="n">
        <f aca="false">H29+H32</f>
        <v>-9024.19047619048</v>
      </c>
      <c r="I33" s="66" t="n">
        <f aca="false">I29+I32</f>
        <v>-8223.30158730159</v>
      </c>
      <c r="J33" s="66" t="n">
        <f aca="false">J29+J32</f>
        <v>-7422.4126984127</v>
      </c>
      <c r="K33" s="66" t="n">
        <f aca="false">K29+K32</f>
        <v>-6621.52380952381</v>
      </c>
      <c r="L33" s="66" t="n">
        <f aca="false">L29+L32</f>
        <v>-5820.63492063492</v>
      </c>
      <c r="M33" s="66" t="n">
        <f aca="false">M29+M32</f>
        <v>-5811.74603174603</v>
      </c>
      <c r="N33" s="66" t="n">
        <f aca="false">N29+N32</f>
        <v>-5802.85714285714</v>
      </c>
      <c r="O33" s="66" t="n">
        <f aca="false">O29+O32</f>
        <v>-5444.84025396825</v>
      </c>
      <c r="P33" s="66" t="n">
        <f aca="false">P29+P32</f>
        <v>-5435.95136507937</v>
      </c>
      <c r="Q33" s="66" t="n">
        <f aca="false">Q29+Q32</f>
        <v>-5427.06247619048</v>
      </c>
      <c r="R33" s="66" t="n">
        <f aca="false">R29+R32</f>
        <v>-5418.17358730159</v>
      </c>
      <c r="S33" s="66" t="n">
        <f aca="false">S29+S32</f>
        <v>-5409.2846984127</v>
      </c>
      <c r="T33" s="66" t="n">
        <f aca="false">T29+T32</f>
        <v>-5400.39580952381</v>
      </c>
      <c r="U33" s="66" t="n">
        <f aca="false">U29+U32</f>
        <v>-5391.50692063492</v>
      </c>
      <c r="V33" s="66" t="n">
        <f aca="false">V29+V32</f>
        <v>-5382.61803174603</v>
      </c>
      <c r="W33" s="66" t="n">
        <f aca="false">W29+W32</f>
        <v>-5373.72914285714</v>
      </c>
      <c r="X33" s="66" t="n">
        <f aca="false">X29+X32</f>
        <v>-5364.84025396825</v>
      </c>
      <c r="Y33" s="66" t="n">
        <f aca="false">Y29+Y32</f>
        <v>-5355.95136507937</v>
      </c>
      <c r="Z33" s="66" t="n">
        <f aca="false">Z29+Z32</f>
        <v>-5347.06247619048</v>
      </c>
      <c r="AA33" s="66" t="n">
        <f aca="false">AA29+AA32</f>
        <v>-4966.18851050159</v>
      </c>
      <c r="AB33" s="66" t="n">
        <f aca="false">AB29+AB32</f>
        <v>-4957.2996216127</v>
      </c>
      <c r="AC33" s="66" t="n">
        <f aca="false">AC29+AC32</f>
        <v>-4948.41073272381</v>
      </c>
      <c r="AD33" s="66" t="n">
        <f aca="false">AD29+AD32</f>
        <v>-4939.52184383492</v>
      </c>
      <c r="AE33" s="66" t="n">
        <f aca="false">AE29+AE32</f>
        <v>-4930.63295494603</v>
      </c>
      <c r="AF33" s="66" t="n">
        <f aca="false">AF29+AF32</f>
        <v>-4921.74406605715</v>
      </c>
      <c r="AG33" s="66" t="n">
        <f aca="false">AG29+AG32</f>
        <v>-4912.85517716826</v>
      </c>
      <c r="AH33" s="66" t="n">
        <f aca="false">AH29+AH32</f>
        <v>-4903.96628827937</v>
      </c>
      <c r="AI33" s="66" t="n">
        <f aca="false">AI29+AI32</f>
        <v>-4895.07739939048</v>
      </c>
      <c r="AJ33" s="66" t="n">
        <f aca="false">AJ29+AJ32</f>
        <v>-4886.18851050159</v>
      </c>
      <c r="AK33" s="66" t="n">
        <f aca="false">AK29+AK32</f>
        <v>-4877.2996216127</v>
      </c>
      <c r="AL33" s="66" t="n">
        <f aca="false">AL29+AL32</f>
        <v>-4868.41073272381</v>
      </c>
    </row>
    <row r="35" customFormat="false" ht="15.75" hidden="false" customHeight="true" outlineLevel="0" collapsed="false">
      <c r="A35" s="7" t="s">
        <v>342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82</v>
      </c>
      <c r="C36" s="65" t="n">
        <f aca="false">IF(C$6=1,Inputs!$B$18,0)</f>
        <v>180000</v>
      </c>
      <c r="D36" s="65" t="n">
        <f aca="false">IF(D$6=1,Inputs!$B$18,0)</f>
        <v>0</v>
      </c>
      <c r="E36" s="65" t="n">
        <f aca="false">IF(E$6=1,Inputs!$B$18,0)</f>
        <v>0</v>
      </c>
      <c r="F36" s="65" t="n">
        <f aca="false">IF(F$6=1,Inputs!$B$18,0)</f>
        <v>0</v>
      </c>
      <c r="G36" s="65" t="n">
        <f aca="false">IF(G$6=1,Inputs!$B$18,0)</f>
        <v>0</v>
      </c>
      <c r="H36" s="65" t="n">
        <f aca="false">IF(H$6=1,Inputs!$B$18,0)</f>
        <v>0</v>
      </c>
      <c r="I36" s="65" t="n">
        <f aca="false">IF(I$6=1,Inputs!$B$18,0)</f>
        <v>0</v>
      </c>
      <c r="J36" s="65" t="n">
        <f aca="false">IF(J$6=1,Inputs!$B$18,0)</f>
        <v>0</v>
      </c>
      <c r="K36" s="65" t="n">
        <f aca="false">IF(K$6=1,Inputs!$B$18,0)</f>
        <v>0</v>
      </c>
      <c r="L36" s="65" t="n">
        <f aca="false">IF(L$6=1,Inputs!$B$18,0)</f>
        <v>0</v>
      </c>
      <c r="M36" s="65" t="n">
        <f aca="false">IF(M$6=1,Inputs!$B$18,0)</f>
        <v>0</v>
      </c>
      <c r="N36" s="65" t="n">
        <f aca="false">IF(N$6=1,Inputs!$B$18,0)</f>
        <v>0</v>
      </c>
      <c r="O36" s="65" t="n">
        <f aca="false">IF(O$6=1,Inputs!$B$18,0)</f>
        <v>0</v>
      </c>
      <c r="P36" s="65" t="n">
        <f aca="false">IF(P$6=1,Inputs!$B$18,0)</f>
        <v>0</v>
      </c>
      <c r="Q36" s="65" t="n">
        <f aca="false">IF(Q$6=1,Inputs!$B$18,0)</f>
        <v>0</v>
      </c>
      <c r="R36" s="65" t="n">
        <f aca="false">IF(R$6=1,Inputs!$B$18,0)</f>
        <v>0</v>
      </c>
      <c r="S36" s="65" t="n">
        <f aca="false">IF(S$6=1,Inputs!$B$18,0)</f>
        <v>0</v>
      </c>
      <c r="T36" s="65" t="n">
        <f aca="false">IF(T$6=1,Inputs!$B$18,0)</f>
        <v>0</v>
      </c>
      <c r="U36" s="65" t="n">
        <f aca="false">IF(U$6=1,Inputs!$B$18,0)</f>
        <v>0</v>
      </c>
      <c r="V36" s="65" t="n">
        <f aca="false">IF(V$6=1,Inputs!$B$18,0)</f>
        <v>0</v>
      </c>
      <c r="W36" s="65" t="n">
        <f aca="false">IF(W$6=1,Inputs!$B$18,0)</f>
        <v>0</v>
      </c>
      <c r="X36" s="65" t="n">
        <f aca="false">IF(X$6=1,Inputs!$B$18,0)</f>
        <v>0</v>
      </c>
      <c r="Y36" s="65" t="n">
        <f aca="false">IF(Y$6=1,Inputs!$B$18,0)</f>
        <v>0</v>
      </c>
      <c r="Z36" s="65" t="n">
        <f aca="false">IF(Z$6=1,Inputs!$B$18,0)</f>
        <v>0</v>
      </c>
      <c r="AA36" s="65" t="n">
        <f aca="false">IF(AA$6=1,Inputs!$B$18,0)</f>
        <v>0</v>
      </c>
      <c r="AB36" s="65" t="n">
        <f aca="false">IF(AB$6=1,Inputs!$B$18,0)</f>
        <v>0</v>
      </c>
      <c r="AC36" s="65" t="n">
        <f aca="false">IF(AC$6=1,Inputs!$B$18,0)</f>
        <v>0</v>
      </c>
      <c r="AD36" s="65" t="n">
        <f aca="false">IF(AD$6=1,Inputs!$B$18,0)</f>
        <v>0</v>
      </c>
      <c r="AE36" s="65" t="n">
        <f aca="false">IF(AE$6=1,Inputs!$B$18,0)</f>
        <v>0</v>
      </c>
      <c r="AF36" s="65" t="n">
        <f aca="false">IF(AF$6=1,Inputs!$B$18,0)</f>
        <v>0</v>
      </c>
      <c r="AG36" s="65" t="n">
        <f aca="false">IF(AG$6=1,Inputs!$B$18,0)</f>
        <v>0</v>
      </c>
      <c r="AH36" s="65" t="n">
        <f aca="false">IF(AH$6=1,Inputs!$B$18,0)</f>
        <v>0</v>
      </c>
      <c r="AI36" s="65" t="n">
        <f aca="false">IF(AI$6=1,Inputs!$B$18,0)</f>
        <v>0</v>
      </c>
      <c r="AJ36" s="65" t="n">
        <f aca="false">IF(AJ$6=1,Inputs!$B$18,0)</f>
        <v>0</v>
      </c>
      <c r="AK36" s="65" t="n">
        <f aca="false">IF(AK$6=1,Inputs!$B$18,0)</f>
        <v>0</v>
      </c>
      <c r="AL36" s="65" t="n">
        <f aca="false">IF(AL$6=1,Inputs!$B$18,0)</f>
        <v>0</v>
      </c>
    </row>
    <row r="37" customFormat="false" ht="15" hidden="false" customHeight="false" outlineLevel="0" collapsed="false">
      <c r="A37" s="6" t="s">
        <v>343</v>
      </c>
      <c r="C37" s="65" t="n">
        <f aca="false">C36</f>
        <v>180000</v>
      </c>
      <c r="D37" s="65" t="n">
        <f aca="false">C37+D36</f>
        <v>180000</v>
      </c>
      <c r="E37" s="65" t="n">
        <f aca="false">D37+E36</f>
        <v>180000</v>
      </c>
      <c r="F37" s="65" t="n">
        <f aca="false">E37+F36</f>
        <v>180000</v>
      </c>
      <c r="G37" s="65" t="n">
        <f aca="false">F37+G36</f>
        <v>180000</v>
      </c>
      <c r="H37" s="65" t="n">
        <f aca="false">G37+H36</f>
        <v>180000</v>
      </c>
      <c r="I37" s="65" t="n">
        <f aca="false">H37+I36</f>
        <v>180000</v>
      </c>
      <c r="J37" s="65" t="n">
        <f aca="false">I37+J36</f>
        <v>180000</v>
      </c>
      <c r="K37" s="65" t="n">
        <f aca="false">J37+K36</f>
        <v>180000</v>
      </c>
      <c r="L37" s="65" t="n">
        <f aca="false">K37+L36</f>
        <v>180000</v>
      </c>
      <c r="M37" s="65" t="n">
        <f aca="false">L37+M36</f>
        <v>180000</v>
      </c>
      <c r="N37" s="65" t="n">
        <f aca="false">M37+N36</f>
        <v>180000</v>
      </c>
      <c r="O37" s="65" t="n">
        <f aca="false">N37+O36</f>
        <v>180000</v>
      </c>
      <c r="P37" s="65" t="n">
        <f aca="false">O37+P36</f>
        <v>180000</v>
      </c>
      <c r="Q37" s="65" t="n">
        <f aca="false">P37+Q36</f>
        <v>180000</v>
      </c>
      <c r="R37" s="65" t="n">
        <f aca="false">Q37+R36</f>
        <v>180000</v>
      </c>
      <c r="S37" s="65" t="n">
        <f aca="false">R37+S36</f>
        <v>180000</v>
      </c>
      <c r="T37" s="65" t="n">
        <f aca="false">S37+T36</f>
        <v>180000</v>
      </c>
      <c r="U37" s="65" t="n">
        <f aca="false">T37+U36</f>
        <v>180000</v>
      </c>
      <c r="V37" s="65" t="n">
        <f aca="false">U37+V36</f>
        <v>180000</v>
      </c>
      <c r="W37" s="65" t="n">
        <f aca="false">V37+W36</f>
        <v>180000</v>
      </c>
      <c r="X37" s="65" t="n">
        <f aca="false">W37+X36</f>
        <v>180000</v>
      </c>
      <c r="Y37" s="65" t="n">
        <f aca="false">X37+Y36</f>
        <v>180000</v>
      </c>
      <c r="Z37" s="65" t="n">
        <f aca="false">Y37+Z36</f>
        <v>180000</v>
      </c>
      <c r="AA37" s="65" t="n">
        <f aca="false">Z37+AA36</f>
        <v>180000</v>
      </c>
      <c r="AB37" s="65" t="n">
        <f aca="false">AA37+AB36</f>
        <v>180000</v>
      </c>
      <c r="AC37" s="65" t="n">
        <f aca="false">AB37+AC36</f>
        <v>180000</v>
      </c>
      <c r="AD37" s="65" t="n">
        <f aca="false">AC37+AD36</f>
        <v>180000</v>
      </c>
      <c r="AE37" s="65" t="n">
        <f aca="false">AD37+AE36</f>
        <v>180000</v>
      </c>
      <c r="AF37" s="65" t="n">
        <f aca="false">AE37+AF36</f>
        <v>180000</v>
      </c>
      <c r="AG37" s="65" t="n">
        <f aca="false">AF37+AG36</f>
        <v>180000</v>
      </c>
      <c r="AH37" s="65" t="n">
        <f aca="false">AG37+AH36</f>
        <v>180000</v>
      </c>
      <c r="AI37" s="65" t="n">
        <f aca="false">AH37+AI36</f>
        <v>180000</v>
      </c>
      <c r="AJ37" s="65" t="n">
        <f aca="false">AI37+AJ36</f>
        <v>180000</v>
      </c>
      <c r="AK37" s="65" t="n">
        <f aca="false">AJ37+AK36</f>
        <v>180000</v>
      </c>
      <c r="AL37" s="65" t="n">
        <f aca="false">AK37+AL36</f>
        <v>180000</v>
      </c>
    </row>
    <row r="38" customFormat="false" ht="15" hidden="false" customHeight="false" outlineLevel="0" collapsed="false">
      <c r="A38" s="6" t="s">
        <v>76</v>
      </c>
      <c r="C38" s="65" t="n">
        <f aca="false">-MIN(C37/MAX(1,Inputs!$B$40*12),C36)</f>
        <v>-2142.85714285714</v>
      </c>
      <c r="D38" s="65" t="n">
        <f aca="false">-MIN(D37/MAX(1,Inputs!$B$40*12),C40+D36)</f>
        <v>-2142.85714285714</v>
      </c>
      <c r="E38" s="65" t="n">
        <f aca="false">-MIN(E37/MAX(1,Inputs!$B$40*12),D40+E36)</f>
        <v>-2142.85714285714</v>
      </c>
      <c r="F38" s="65" t="n">
        <f aca="false">-MIN(F37/MAX(1,Inputs!$B$40*12),E40+F36)</f>
        <v>-2142.85714285714</v>
      </c>
      <c r="G38" s="65" t="n">
        <f aca="false">-MIN(G37/MAX(1,Inputs!$B$40*12),F40+G36)</f>
        <v>-2142.85714285714</v>
      </c>
      <c r="H38" s="65" t="n">
        <f aca="false">-MIN(H37/MAX(1,Inputs!$B$40*12),G40+H36)</f>
        <v>-2142.85714285714</v>
      </c>
      <c r="I38" s="65" t="n">
        <f aca="false">-MIN(I37/MAX(1,Inputs!$B$40*12),H40+I36)</f>
        <v>-2142.85714285714</v>
      </c>
      <c r="J38" s="65" t="n">
        <f aca="false">-MIN(J37/MAX(1,Inputs!$B$40*12),I40+J36)</f>
        <v>-2142.85714285714</v>
      </c>
      <c r="K38" s="65" t="n">
        <f aca="false">-MIN(K37/MAX(1,Inputs!$B$40*12),J40+K36)</f>
        <v>-2142.85714285714</v>
      </c>
      <c r="L38" s="65" t="n">
        <f aca="false">-MIN(L37/MAX(1,Inputs!$B$40*12),K40+L36)</f>
        <v>-2142.85714285714</v>
      </c>
      <c r="M38" s="65" t="n">
        <f aca="false">-MIN(M37/MAX(1,Inputs!$B$40*12),L40+M36)</f>
        <v>-2142.85714285714</v>
      </c>
      <c r="N38" s="65" t="n">
        <f aca="false">-MIN(N37/MAX(1,Inputs!$B$40*12),M40+N36)</f>
        <v>-2142.85714285714</v>
      </c>
      <c r="O38" s="65" t="n">
        <f aca="false">-MIN(O37/MAX(1,Inputs!$B$40*12),N40+O36)</f>
        <v>-2142.85714285714</v>
      </c>
      <c r="P38" s="65" t="n">
        <f aca="false">-MIN(P37/MAX(1,Inputs!$B$40*12),O40+P36)</f>
        <v>-2142.85714285714</v>
      </c>
      <c r="Q38" s="65" t="n">
        <f aca="false">-MIN(Q37/MAX(1,Inputs!$B$40*12),P40+Q36)</f>
        <v>-2142.85714285714</v>
      </c>
      <c r="R38" s="65" t="n">
        <f aca="false">-MIN(R37/MAX(1,Inputs!$B$40*12),Q40+R36)</f>
        <v>-2142.85714285714</v>
      </c>
      <c r="S38" s="65" t="n">
        <f aca="false">-MIN(S37/MAX(1,Inputs!$B$40*12),R40+S36)</f>
        <v>-2142.85714285714</v>
      </c>
      <c r="T38" s="65" t="n">
        <f aca="false">-MIN(T37/MAX(1,Inputs!$B$40*12),S40+T36)</f>
        <v>-2142.85714285714</v>
      </c>
      <c r="U38" s="65" t="n">
        <f aca="false">-MIN(U37/MAX(1,Inputs!$B$40*12),T40+U36)</f>
        <v>-2142.85714285714</v>
      </c>
      <c r="V38" s="65" t="n">
        <f aca="false">-MIN(V37/MAX(1,Inputs!$B$40*12),U40+V36)</f>
        <v>-2142.85714285714</v>
      </c>
      <c r="W38" s="65" t="n">
        <f aca="false">-MIN(W37/MAX(1,Inputs!$B$40*12),V40+W36)</f>
        <v>-2142.85714285714</v>
      </c>
      <c r="X38" s="65" t="n">
        <f aca="false">-MIN(X37/MAX(1,Inputs!$B$40*12),W40+X36)</f>
        <v>-2142.85714285714</v>
      </c>
      <c r="Y38" s="65" t="n">
        <f aca="false">-MIN(Y37/MAX(1,Inputs!$B$40*12),X40+Y36)</f>
        <v>-2142.85714285714</v>
      </c>
      <c r="Z38" s="65" t="n">
        <f aca="false">-MIN(Z37/MAX(1,Inputs!$B$40*12),Y40+Z36)</f>
        <v>-2142.85714285714</v>
      </c>
      <c r="AA38" s="65" t="n">
        <f aca="false">-MIN(AA37/MAX(1,Inputs!$B$40*12),Z40+AA36)</f>
        <v>-2142.85714285714</v>
      </c>
      <c r="AB38" s="65" t="n">
        <f aca="false">-MIN(AB37/MAX(1,Inputs!$B$40*12),AA40+AB36)</f>
        <v>-2142.85714285714</v>
      </c>
      <c r="AC38" s="65" t="n">
        <f aca="false">-MIN(AC37/MAX(1,Inputs!$B$40*12),AB40+AC36)</f>
        <v>-2142.85714285714</v>
      </c>
      <c r="AD38" s="65" t="n">
        <f aca="false">-MIN(AD37/MAX(1,Inputs!$B$40*12),AC40+AD36)</f>
        <v>-2142.85714285714</v>
      </c>
      <c r="AE38" s="65" t="n">
        <f aca="false">-MIN(AE37/MAX(1,Inputs!$B$40*12),AD40+AE36)</f>
        <v>-2142.85714285714</v>
      </c>
      <c r="AF38" s="65" t="n">
        <f aca="false">-MIN(AF37/MAX(1,Inputs!$B$40*12),AE40+AF36)</f>
        <v>-2142.85714285714</v>
      </c>
      <c r="AG38" s="65" t="n">
        <f aca="false">-MIN(AG37/MAX(1,Inputs!$B$40*12),AF40+AG36)</f>
        <v>-2142.85714285714</v>
      </c>
      <c r="AH38" s="65" t="n">
        <f aca="false">-MIN(AH37/MAX(1,Inputs!$B$40*12),AG40+AH36)</f>
        <v>-2142.85714285714</v>
      </c>
      <c r="AI38" s="65" t="n">
        <f aca="false">-MIN(AI37/MAX(1,Inputs!$B$40*12),AH40+AI36)</f>
        <v>-2142.85714285714</v>
      </c>
      <c r="AJ38" s="65" t="n">
        <f aca="false">-MIN(AJ37/MAX(1,Inputs!$B$40*12),AI40+AJ36)</f>
        <v>-2142.85714285714</v>
      </c>
      <c r="AK38" s="65" t="n">
        <f aca="false">-MIN(AK37/MAX(1,Inputs!$B$40*12),AJ40+AK36)</f>
        <v>-2142.85714285714</v>
      </c>
      <c r="AL38" s="65" t="n">
        <f aca="false">-MIN(AL37/MAX(1,Inputs!$B$40*12),AK40+AL36)</f>
        <v>-2142.85714285714</v>
      </c>
    </row>
    <row r="39" customFormat="false" ht="15" hidden="false" customHeight="false" outlineLevel="0" collapsed="false">
      <c r="A39" s="6" t="s">
        <v>344</v>
      </c>
      <c r="C39" s="65" t="n">
        <f aca="false">C38</f>
        <v>-2142.85714285714</v>
      </c>
      <c r="D39" s="65" t="n">
        <f aca="false">C39+D38</f>
        <v>-4285.71428571429</v>
      </c>
      <c r="E39" s="65" t="n">
        <f aca="false">D39+E38</f>
        <v>-6428.57142857143</v>
      </c>
      <c r="F39" s="65" t="n">
        <f aca="false">E39+F38</f>
        <v>-8571.42857142857</v>
      </c>
      <c r="G39" s="65" t="n">
        <f aca="false">F39+G38</f>
        <v>-10714.2857142857</v>
      </c>
      <c r="H39" s="65" t="n">
        <f aca="false">G39+H38</f>
        <v>-12857.1428571429</v>
      </c>
      <c r="I39" s="65" t="n">
        <f aca="false">H39+I38</f>
        <v>-15000</v>
      </c>
      <c r="J39" s="65" t="n">
        <f aca="false">I39+J38</f>
        <v>-17142.8571428571</v>
      </c>
      <c r="K39" s="65" t="n">
        <f aca="false">J39+K38</f>
        <v>-19285.7142857143</v>
      </c>
      <c r="L39" s="65" t="n">
        <f aca="false">K39+L38</f>
        <v>-21428.5714285714</v>
      </c>
      <c r="M39" s="65" t="n">
        <f aca="false">L39+M38</f>
        <v>-23571.4285714286</v>
      </c>
      <c r="N39" s="65" t="n">
        <f aca="false">M39+N38</f>
        <v>-25714.2857142857</v>
      </c>
      <c r="O39" s="65" t="n">
        <f aca="false">N39+O38</f>
        <v>-27857.1428571428</v>
      </c>
      <c r="P39" s="65" t="n">
        <f aca="false">O39+P38</f>
        <v>-30000</v>
      </c>
      <c r="Q39" s="65" t="n">
        <f aca="false">P39+Q38</f>
        <v>-32142.8571428571</v>
      </c>
      <c r="R39" s="65" t="n">
        <f aca="false">Q39+R38</f>
        <v>-34285.7142857143</v>
      </c>
      <c r="S39" s="65" t="n">
        <f aca="false">R39+S38</f>
        <v>-36428.5714285714</v>
      </c>
      <c r="T39" s="65" t="n">
        <f aca="false">S39+T38</f>
        <v>-38571.4285714286</v>
      </c>
      <c r="U39" s="65" t="n">
        <f aca="false">T39+U38</f>
        <v>-40714.2857142857</v>
      </c>
      <c r="V39" s="65" t="n">
        <f aca="false">U39+V38</f>
        <v>-42857.1428571429</v>
      </c>
      <c r="W39" s="65" t="n">
        <f aca="false">V39+W38</f>
        <v>-45000</v>
      </c>
      <c r="X39" s="65" t="n">
        <f aca="false">W39+X38</f>
        <v>-47142.8571428571</v>
      </c>
      <c r="Y39" s="65" t="n">
        <f aca="false">X39+Y38</f>
        <v>-49285.7142857143</v>
      </c>
      <c r="Z39" s="65" t="n">
        <f aca="false">Y39+Z38</f>
        <v>-51428.5714285714</v>
      </c>
      <c r="AA39" s="65" t="n">
        <f aca="false">Z39+AA38</f>
        <v>-53571.4285714286</v>
      </c>
      <c r="AB39" s="65" t="n">
        <f aca="false">AA39+AB38</f>
        <v>-55714.2857142857</v>
      </c>
      <c r="AC39" s="65" t="n">
        <f aca="false">AB39+AC38</f>
        <v>-57857.1428571429</v>
      </c>
      <c r="AD39" s="65" t="n">
        <f aca="false">AC39+AD38</f>
        <v>-60000</v>
      </c>
      <c r="AE39" s="65" t="n">
        <f aca="false">AD39+AE38</f>
        <v>-62142.8571428572</v>
      </c>
      <c r="AF39" s="65" t="n">
        <f aca="false">AE39+AF38</f>
        <v>-64285.7142857143</v>
      </c>
      <c r="AG39" s="65" t="n">
        <f aca="false">AF39+AG38</f>
        <v>-66428.5714285715</v>
      </c>
      <c r="AH39" s="65" t="n">
        <f aca="false">AG39+AH38</f>
        <v>-68571.4285714286</v>
      </c>
      <c r="AI39" s="65" t="n">
        <f aca="false">AH39+AI38</f>
        <v>-70714.2857142857</v>
      </c>
      <c r="AJ39" s="65" t="n">
        <f aca="false">AI39+AJ38</f>
        <v>-72857.1428571429</v>
      </c>
      <c r="AK39" s="65" t="n">
        <f aca="false">AJ39+AK38</f>
        <v>-75000</v>
      </c>
      <c r="AL39" s="65" t="n">
        <f aca="false">AK39+AL38</f>
        <v>-77142.8571428572</v>
      </c>
    </row>
    <row r="40" customFormat="false" ht="15" hidden="false" customHeight="false" outlineLevel="0" collapsed="false">
      <c r="A40" s="4" t="s">
        <v>90</v>
      </c>
      <c r="C40" s="71" t="n">
        <f aca="false">C37+C39</f>
        <v>177857.142857143</v>
      </c>
      <c r="D40" s="71" t="n">
        <f aca="false">D37+D39</f>
        <v>175714.285714286</v>
      </c>
      <c r="E40" s="71" t="n">
        <f aca="false">E37+E39</f>
        <v>173571.428571429</v>
      </c>
      <c r="F40" s="71" t="n">
        <f aca="false">F37+F39</f>
        <v>171428.571428571</v>
      </c>
      <c r="G40" s="71" t="n">
        <f aca="false">G37+G39</f>
        <v>169285.714285714</v>
      </c>
      <c r="H40" s="71" t="n">
        <f aca="false">H37+H39</f>
        <v>167142.857142857</v>
      </c>
      <c r="I40" s="71" t="n">
        <f aca="false">I37+I39</f>
        <v>165000</v>
      </c>
      <c r="J40" s="71" t="n">
        <f aca="false">J37+J39</f>
        <v>162857.142857143</v>
      </c>
      <c r="K40" s="71" t="n">
        <f aca="false">K37+K39</f>
        <v>160714.285714286</v>
      </c>
      <c r="L40" s="71" t="n">
        <f aca="false">L37+L39</f>
        <v>158571.428571429</v>
      </c>
      <c r="M40" s="71" t="n">
        <f aca="false">M37+M39</f>
        <v>156428.571428571</v>
      </c>
      <c r="N40" s="71" t="n">
        <f aca="false">N37+N39</f>
        <v>154285.714285714</v>
      </c>
      <c r="O40" s="71" t="n">
        <f aca="false">O37+O39</f>
        <v>152142.857142857</v>
      </c>
      <c r="P40" s="71" t="n">
        <f aca="false">P37+P39</f>
        <v>150000</v>
      </c>
      <c r="Q40" s="71" t="n">
        <f aca="false">Q37+Q39</f>
        <v>147857.142857143</v>
      </c>
      <c r="R40" s="71" t="n">
        <f aca="false">R37+R39</f>
        <v>145714.285714286</v>
      </c>
      <c r="S40" s="71" t="n">
        <f aca="false">S37+S39</f>
        <v>143571.428571429</v>
      </c>
      <c r="T40" s="71" t="n">
        <f aca="false">T37+T39</f>
        <v>141428.571428571</v>
      </c>
      <c r="U40" s="71" t="n">
        <f aca="false">U37+U39</f>
        <v>139285.714285714</v>
      </c>
      <c r="V40" s="71" t="n">
        <f aca="false">V37+V39</f>
        <v>137142.857142857</v>
      </c>
      <c r="W40" s="71" t="n">
        <f aca="false">W37+W39</f>
        <v>135000</v>
      </c>
      <c r="X40" s="71" t="n">
        <f aca="false">X37+X39</f>
        <v>132857.142857143</v>
      </c>
      <c r="Y40" s="71" t="n">
        <f aca="false">Y37+Y39</f>
        <v>130714.285714286</v>
      </c>
      <c r="Z40" s="71" t="n">
        <f aca="false">Z37+Z39</f>
        <v>128571.428571429</v>
      </c>
      <c r="AA40" s="71" t="n">
        <f aca="false">AA37+AA39</f>
        <v>126428.571428571</v>
      </c>
      <c r="AB40" s="71" t="n">
        <f aca="false">AB37+AB39</f>
        <v>124285.714285714</v>
      </c>
      <c r="AC40" s="71" t="n">
        <f aca="false">AC37+AC39</f>
        <v>122142.857142857</v>
      </c>
      <c r="AD40" s="71" t="n">
        <f aca="false">AD37+AD39</f>
        <v>120000</v>
      </c>
      <c r="AE40" s="71" t="n">
        <f aca="false">AE37+AE39</f>
        <v>117857.142857143</v>
      </c>
      <c r="AF40" s="71" t="n">
        <f aca="false">AF37+AF39</f>
        <v>115714.285714286</v>
      </c>
      <c r="AG40" s="71" t="n">
        <f aca="false">AG37+AG39</f>
        <v>113571.428571429</v>
      </c>
      <c r="AH40" s="71" t="n">
        <f aca="false">AH37+AH39</f>
        <v>111428.571428571</v>
      </c>
      <c r="AI40" s="71" t="n">
        <f aca="false">AI37+AI39</f>
        <v>109285.714285714</v>
      </c>
      <c r="AJ40" s="71" t="n">
        <f aca="false">AJ37+AJ39</f>
        <v>107142.857142857</v>
      </c>
      <c r="AK40" s="71" t="n">
        <f aca="false">AK37+AK39</f>
        <v>105000</v>
      </c>
      <c r="AL40" s="71" t="n">
        <f aca="false">AL37+AL39</f>
        <v>102857.142857143</v>
      </c>
    </row>
    <row r="42" customFormat="false" ht="15.75" hidden="false" customHeight="true" outlineLevel="0" collapsed="false">
      <c r="A42" s="7" t="s">
        <v>345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6" t="s">
        <v>346</v>
      </c>
      <c r="C43" s="65" t="n">
        <f aca="false">0</f>
        <v>0</v>
      </c>
      <c r="D43" s="65" t="n">
        <f aca="false">C46</f>
        <v>80000</v>
      </c>
      <c r="E43" s="65" t="n">
        <f aca="false">D46</f>
        <v>78666.6666666667</v>
      </c>
      <c r="F43" s="65" t="n">
        <f aca="false">E46</f>
        <v>77333.3333333333</v>
      </c>
      <c r="G43" s="65" t="n">
        <f aca="false">F46</f>
        <v>76000</v>
      </c>
      <c r="H43" s="65" t="n">
        <f aca="false">G46</f>
        <v>74666.6666666667</v>
      </c>
      <c r="I43" s="65" t="n">
        <f aca="false">H46</f>
        <v>73333.3333333334</v>
      </c>
      <c r="J43" s="65" t="n">
        <f aca="false">I46</f>
        <v>72000</v>
      </c>
      <c r="K43" s="65" t="n">
        <f aca="false">J46</f>
        <v>70666.6666666667</v>
      </c>
      <c r="L43" s="65" t="n">
        <f aca="false">K46</f>
        <v>69333.3333333334</v>
      </c>
      <c r="M43" s="65" t="n">
        <f aca="false">L46</f>
        <v>68000</v>
      </c>
      <c r="N43" s="65" t="n">
        <f aca="false">M46</f>
        <v>66666.6666666667</v>
      </c>
      <c r="O43" s="65" t="n">
        <f aca="false">N46</f>
        <v>65333.3333333334</v>
      </c>
      <c r="P43" s="65" t="n">
        <f aca="false">O46</f>
        <v>64000</v>
      </c>
      <c r="Q43" s="65" t="n">
        <f aca="false">P46</f>
        <v>62666.6666666667</v>
      </c>
      <c r="R43" s="65" t="n">
        <f aca="false">Q46</f>
        <v>61333.3333333334</v>
      </c>
      <c r="S43" s="65" t="n">
        <f aca="false">R46</f>
        <v>60000</v>
      </c>
      <c r="T43" s="65" t="n">
        <f aca="false">S46</f>
        <v>58666.6666666667</v>
      </c>
      <c r="U43" s="65" t="n">
        <f aca="false">T46</f>
        <v>57333.3333333334</v>
      </c>
      <c r="V43" s="65" t="n">
        <f aca="false">U46</f>
        <v>56000</v>
      </c>
      <c r="W43" s="65" t="n">
        <f aca="false">V46</f>
        <v>54666.6666666667</v>
      </c>
      <c r="X43" s="65" t="n">
        <f aca="false">W46</f>
        <v>53333.3333333334</v>
      </c>
      <c r="Y43" s="65" t="n">
        <f aca="false">X46</f>
        <v>52000</v>
      </c>
      <c r="Z43" s="65" t="n">
        <f aca="false">Y46</f>
        <v>50666.6666666667</v>
      </c>
      <c r="AA43" s="65" t="n">
        <f aca="false">Z46</f>
        <v>49333.3333333334</v>
      </c>
      <c r="AB43" s="65" t="n">
        <f aca="false">AA46</f>
        <v>48000</v>
      </c>
      <c r="AC43" s="65" t="n">
        <f aca="false">AB46</f>
        <v>46666.6666666667</v>
      </c>
      <c r="AD43" s="65" t="n">
        <f aca="false">AC46</f>
        <v>45333.3333333333</v>
      </c>
      <c r="AE43" s="65" t="n">
        <f aca="false">AD46</f>
        <v>44000</v>
      </c>
      <c r="AF43" s="65" t="n">
        <f aca="false">AE46</f>
        <v>42666.6666666667</v>
      </c>
      <c r="AG43" s="65" t="n">
        <f aca="false">AF46</f>
        <v>41333.3333333333</v>
      </c>
      <c r="AH43" s="65" t="n">
        <f aca="false">AG46</f>
        <v>40000</v>
      </c>
      <c r="AI43" s="65" t="n">
        <f aca="false">AH46</f>
        <v>38666.6666666667</v>
      </c>
      <c r="AJ43" s="65" t="n">
        <f aca="false">AI46</f>
        <v>37333.3333333333</v>
      </c>
      <c r="AK43" s="65" t="n">
        <f aca="false">AJ46</f>
        <v>36000</v>
      </c>
      <c r="AL43" s="65" t="n">
        <f aca="false">AK46</f>
        <v>34666.6666666667</v>
      </c>
    </row>
    <row r="44" customFormat="false" ht="15" hidden="false" customHeight="false" outlineLevel="0" collapsed="false">
      <c r="A44" s="6" t="s">
        <v>83</v>
      </c>
      <c r="C44" s="65" t="n">
        <f aca="false">IF(C$6=1,Inputs!$B$30,0)</f>
        <v>80000</v>
      </c>
      <c r="D44" s="65" t="n">
        <f aca="false">IF(D$6=1,Inputs!$B$30,0)</f>
        <v>0</v>
      </c>
      <c r="E44" s="65" t="n">
        <f aca="false">IF(E$6=1,Inputs!$B$30,0)</f>
        <v>0</v>
      </c>
      <c r="F44" s="65" t="n">
        <f aca="false">IF(F$6=1,Inputs!$B$30,0)</f>
        <v>0</v>
      </c>
      <c r="G44" s="65" t="n">
        <f aca="false">IF(G$6=1,Inputs!$B$30,0)</f>
        <v>0</v>
      </c>
      <c r="H44" s="65" t="n">
        <f aca="false">IF(H$6=1,Inputs!$B$30,0)</f>
        <v>0</v>
      </c>
      <c r="I44" s="65" t="n">
        <f aca="false">IF(I$6=1,Inputs!$B$30,0)</f>
        <v>0</v>
      </c>
      <c r="J44" s="65" t="n">
        <f aca="false">IF(J$6=1,Inputs!$B$30,0)</f>
        <v>0</v>
      </c>
      <c r="K44" s="65" t="n">
        <f aca="false">IF(K$6=1,Inputs!$B$30,0)</f>
        <v>0</v>
      </c>
      <c r="L44" s="65" t="n">
        <f aca="false">IF(L$6=1,Inputs!$B$30,0)</f>
        <v>0</v>
      </c>
      <c r="M44" s="65" t="n">
        <f aca="false">IF(M$6=1,Inputs!$B$30,0)</f>
        <v>0</v>
      </c>
      <c r="N44" s="65" t="n">
        <f aca="false">IF(N$6=1,Inputs!$B$30,0)</f>
        <v>0</v>
      </c>
      <c r="O44" s="65" t="n">
        <f aca="false">IF(O$6=1,Inputs!$B$30,0)</f>
        <v>0</v>
      </c>
      <c r="P44" s="65" t="n">
        <f aca="false">IF(P$6=1,Inputs!$B$30,0)</f>
        <v>0</v>
      </c>
      <c r="Q44" s="65" t="n">
        <f aca="false">IF(Q$6=1,Inputs!$B$30,0)</f>
        <v>0</v>
      </c>
      <c r="R44" s="65" t="n">
        <f aca="false">IF(R$6=1,Inputs!$B$30,0)</f>
        <v>0</v>
      </c>
      <c r="S44" s="65" t="n">
        <f aca="false">IF(S$6=1,Inputs!$B$30,0)</f>
        <v>0</v>
      </c>
      <c r="T44" s="65" t="n">
        <f aca="false">IF(T$6=1,Inputs!$B$30,0)</f>
        <v>0</v>
      </c>
      <c r="U44" s="65" t="n">
        <f aca="false">IF(U$6=1,Inputs!$B$30,0)</f>
        <v>0</v>
      </c>
      <c r="V44" s="65" t="n">
        <f aca="false">IF(V$6=1,Inputs!$B$30,0)</f>
        <v>0</v>
      </c>
      <c r="W44" s="65" t="n">
        <f aca="false">IF(W$6=1,Inputs!$B$30,0)</f>
        <v>0</v>
      </c>
      <c r="X44" s="65" t="n">
        <f aca="false">IF(X$6=1,Inputs!$B$30,0)</f>
        <v>0</v>
      </c>
      <c r="Y44" s="65" t="n">
        <f aca="false">IF(Y$6=1,Inputs!$B$30,0)</f>
        <v>0</v>
      </c>
      <c r="Z44" s="65" t="n">
        <f aca="false">IF(Z$6=1,Inputs!$B$30,0)</f>
        <v>0</v>
      </c>
      <c r="AA44" s="65" t="n">
        <f aca="false">IF(AA$6=1,Inputs!$B$30,0)</f>
        <v>0</v>
      </c>
      <c r="AB44" s="65" t="n">
        <f aca="false">IF(AB$6=1,Inputs!$B$30,0)</f>
        <v>0</v>
      </c>
      <c r="AC44" s="65" t="n">
        <f aca="false">IF(AC$6=1,Inputs!$B$30,0)</f>
        <v>0</v>
      </c>
      <c r="AD44" s="65" t="n">
        <f aca="false">IF(AD$6=1,Inputs!$B$30,0)</f>
        <v>0</v>
      </c>
      <c r="AE44" s="65" t="n">
        <f aca="false">IF(AE$6=1,Inputs!$B$30,0)</f>
        <v>0</v>
      </c>
      <c r="AF44" s="65" t="n">
        <f aca="false">IF(AF$6=1,Inputs!$B$30,0)</f>
        <v>0</v>
      </c>
      <c r="AG44" s="65" t="n">
        <f aca="false">IF(AG$6=1,Inputs!$B$30,0)</f>
        <v>0</v>
      </c>
      <c r="AH44" s="65" t="n">
        <f aca="false">IF(AH$6=1,Inputs!$B$30,0)</f>
        <v>0</v>
      </c>
      <c r="AI44" s="65" t="n">
        <f aca="false">IF(AI$6=1,Inputs!$B$30,0)</f>
        <v>0</v>
      </c>
      <c r="AJ44" s="65" t="n">
        <f aca="false">IF(AJ$6=1,Inputs!$B$30,0)</f>
        <v>0</v>
      </c>
      <c r="AK44" s="65" t="n">
        <f aca="false">IF(AK$6=1,Inputs!$B$30,0)</f>
        <v>0</v>
      </c>
      <c r="AL44" s="65" t="n">
        <f aca="false">IF(AL$6=1,Inputs!$B$30,0)</f>
        <v>0</v>
      </c>
    </row>
    <row r="45" customFormat="false" ht="15" hidden="false" customHeight="false" outlineLevel="0" collapsed="false">
      <c r="A45" s="6" t="s">
        <v>84</v>
      </c>
      <c r="C45" s="65" t="n">
        <f aca="false">-MIN(C43,Inputs!$B$30/MAX(1,Inputs!$B$32*12))</f>
        <v>-0</v>
      </c>
      <c r="D45" s="65" t="n">
        <f aca="false">-MIN(D43,Inputs!$B$30/MAX(1,Inputs!$B$32*12))</f>
        <v>-1333.33333333333</v>
      </c>
      <c r="E45" s="65" t="n">
        <f aca="false">-MIN(E43,Inputs!$B$30/MAX(1,Inputs!$B$32*12))</f>
        <v>-1333.33333333333</v>
      </c>
      <c r="F45" s="65" t="n">
        <f aca="false">-MIN(F43,Inputs!$B$30/MAX(1,Inputs!$B$32*12))</f>
        <v>-1333.33333333333</v>
      </c>
      <c r="G45" s="65" t="n">
        <f aca="false">-MIN(G43,Inputs!$B$30/MAX(1,Inputs!$B$32*12))</f>
        <v>-1333.33333333333</v>
      </c>
      <c r="H45" s="65" t="n">
        <f aca="false">-MIN(H43,Inputs!$B$30/MAX(1,Inputs!$B$32*12))</f>
        <v>-1333.33333333333</v>
      </c>
      <c r="I45" s="65" t="n">
        <f aca="false">-MIN(I43,Inputs!$B$30/MAX(1,Inputs!$B$32*12))</f>
        <v>-1333.33333333333</v>
      </c>
      <c r="J45" s="65" t="n">
        <f aca="false">-MIN(J43,Inputs!$B$30/MAX(1,Inputs!$B$32*12))</f>
        <v>-1333.33333333333</v>
      </c>
      <c r="K45" s="65" t="n">
        <f aca="false">-MIN(K43,Inputs!$B$30/MAX(1,Inputs!$B$32*12))</f>
        <v>-1333.33333333333</v>
      </c>
      <c r="L45" s="65" t="n">
        <f aca="false">-MIN(L43,Inputs!$B$30/MAX(1,Inputs!$B$32*12))</f>
        <v>-1333.33333333333</v>
      </c>
      <c r="M45" s="65" t="n">
        <f aca="false">-MIN(M43,Inputs!$B$30/MAX(1,Inputs!$B$32*12))</f>
        <v>-1333.33333333333</v>
      </c>
      <c r="N45" s="65" t="n">
        <f aca="false">-MIN(N43,Inputs!$B$30/MAX(1,Inputs!$B$32*12))</f>
        <v>-1333.33333333333</v>
      </c>
      <c r="O45" s="65" t="n">
        <f aca="false">-MIN(O43,Inputs!$B$30/MAX(1,Inputs!$B$32*12))</f>
        <v>-1333.33333333333</v>
      </c>
      <c r="P45" s="65" t="n">
        <f aca="false">-MIN(P43,Inputs!$B$30/MAX(1,Inputs!$B$32*12))</f>
        <v>-1333.33333333333</v>
      </c>
      <c r="Q45" s="65" t="n">
        <f aca="false">-MIN(Q43,Inputs!$B$30/MAX(1,Inputs!$B$32*12))</f>
        <v>-1333.33333333333</v>
      </c>
      <c r="R45" s="65" t="n">
        <f aca="false">-MIN(R43,Inputs!$B$30/MAX(1,Inputs!$B$32*12))</f>
        <v>-1333.33333333333</v>
      </c>
      <c r="S45" s="65" t="n">
        <f aca="false">-MIN(S43,Inputs!$B$30/MAX(1,Inputs!$B$32*12))</f>
        <v>-1333.33333333333</v>
      </c>
      <c r="T45" s="65" t="n">
        <f aca="false">-MIN(T43,Inputs!$B$30/MAX(1,Inputs!$B$32*12))</f>
        <v>-1333.33333333333</v>
      </c>
      <c r="U45" s="65" t="n">
        <f aca="false">-MIN(U43,Inputs!$B$30/MAX(1,Inputs!$B$32*12))</f>
        <v>-1333.33333333333</v>
      </c>
      <c r="V45" s="65" t="n">
        <f aca="false">-MIN(V43,Inputs!$B$30/MAX(1,Inputs!$B$32*12))</f>
        <v>-1333.33333333333</v>
      </c>
      <c r="W45" s="65" t="n">
        <f aca="false">-MIN(W43,Inputs!$B$30/MAX(1,Inputs!$B$32*12))</f>
        <v>-1333.33333333333</v>
      </c>
      <c r="X45" s="65" t="n">
        <f aca="false">-MIN(X43,Inputs!$B$30/MAX(1,Inputs!$B$32*12))</f>
        <v>-1333.33333333333</v>
      </c>
      <c r="Y45" s="65" t="n">
        <f aca="false">-MIN(Y43,Inputs!$B$30/MAX(1,Inputs!$B$32*12))</f>
        <v>-1333.33333333333</v>
      </c>
      <c r="Z45" s="65" t="n">
        <f aca="false">-MIN(Z43,Inputs!$B$30/MAX(1,Inputs!$B$32*12))</f>
        <v>-1333.33333333333</v>
      </c>
      <c r="AA45" s="65" t="n">
        <f aca="false">-MIN(AA43,Inputs!$B$30/MAX(1,Inputs!$B$32*12))</f>
        <v>-1333.33333333333</v>
      </c>
      <c r="AB45" s="65" t="n">
        <f aca="false">-MIN(AB43,Inputs!$B$30/MAX(1,Inputs!$B$32*12))</f>
        <v>-1333.33333333333</v>
      </c>
      <c r="AC45" s="65" t="n">
        <f aca="false">-MIN(AC43,Inputs!$B$30/MAX(1,Inputs!$B$32*12))</f>
        <v>-1333.33333333333</v>
      </c>
      <c r="AD45" s="65" t="n">
        <f aca="false">-MIN(AD43,Inputs!$B$30/MAX(1,Inputs!$B$32*12))</f>
        <v>-1333.33333333333</v>
      </c>
      <c r="AE45" s="65" t="n">
        <f aca="false">-MIN(AE43,Inputs!$B$30/MAX(1,Inputs!$B$32*12))</f>
        <v>-1333.33333333333</v>
      </c>
      <c r="AF45" s="65" t="n">
        <f aca="false">-MIN(AF43,Inputs!$B$30/MAX(1,Inputs!$B$32*12))</f>
        <v>-1333.33333333333</v>
      </c>
      <c r="AG45" s="65" t="n">
        <f aca="false">-MIN(AG43,Inputs!$B$30/MAX(1,Inputs!$B$32*12))</f>
        <v>-1333.33333333333</v>
      </c>
      <c r="AH45" s="65" t="n">
        <f aca="false">-MIN(AH43,Inputs!$B$30/MAX(1,Inputs!$B$32*12))</f>
        <v>-1333.33333333333</v>
      </c>
      <c r="AI45" s="65" t="n">
        <f aca="false">-MIN(AI43,Inputs!$B$30/MAX(1,Inputs!$B$32*12))</f>
        <v>-1333.33333333333</v>
      </c>
      <c r="AJ45" s="65" t="n">
        <f aca="false">-MIN(AJ43,Inputs!$B$30/MAX(1,Inputs!$B$32*12))</f>
        <v>-1333.33333333333</v>
      </c>
      <c r="AK45" s="65" t="n">
        <f aca="false">-MIN(AK43,Inputs!$B$30/MAX(1,Inputs!$B$32*12))</f>
        <v>-1333.33333333333</v>
      </c>
      <c r="AL45" s="65" t="n">
        <f aca="false">-MIN(AL43,Inputs!$B$30/MAX(1,Inputs!$B$32*12))</f>
        <v>-1333.33333333333</v>
      </c>
    </row>
    <row r="46" customFormat="false" ht="15" hidden="false" customHeight="false" outlineLevel="0" collapsed="false">
      <c r="A46" s="4" t="s">
        <v>347</v>
      </c>
      <c r="C46" s="71" t="n">
        <f aca="false">C43+C44+C45</f>
        <v>80000</v>
      </c>
      <c r="D46" s="71" t="n">
        <f aca="false">D43+D44+D45</f>
        <v>78666.6666666667</v>
      </c>
      <c r="E46" s="71" t="n">
        <f aca="false">E43+E44+E45</f>
        <v>77333.3333333333</v>
      </c>
      <c r="F46" s="71" t="n">
        <f aca="false">F43+F44+F45</f>
        <v>76000</v>
      </c>
      <c r="G46" s="71" t="n">
        <f aca="false">G43+G44+G45</f>
        <v>74666.6666666667</v>
      </c>
      <c r="H46" s="71" t="n">
        <f aca="false">H43+H44+H45</f>
        <v>73333.3333333334</v>
      </c>
      <c r="I46" s="71" t="n">
        <f aca="false">I43+I44+I45</f>
        <v>72000</v>
      </c>
      <c r="J46" s="71" t="n">
        <f aca="false">J43+J44+J45</f>
        <v>70666.6666666667</v>
      </c>
      <c r="K46" s="71" t="n">
        <f aca="false">K43+K44+K45</f>
        <v>69333.3333333334</v>
      </c>
      <c r="L46" s="71" t="n">
        <f aca="false">L43+L44+L45</f>
        <v>68000</v>
      </c>
      <c r="M46" s="71" t="n">
        <f aca="false">M43+M44+M45</f>
        <v>66666.6666666667</v>
      </c>
      <c r="N46" s="71" t="n">
        <f aca="false">N43+N44+N45</f>
        <v>65333.3333333334</v>
      </c>
      <c r="O46" s="71" t="n">
        <f aca="false">O43+O44+O45</f>
        <v>64000</v>
      </c>
      <c r="P46" s="71" t="n">
        <f aca="false">P43+P44+P45</f>
        <v>62666.6666666667</v>
      </c>
      <c r="Q46" s="71" t="n">
        <f aca="false">Q43+Q44+Q45</f>
        <v>61333.3333333334</v>
      </c>
      <c r="R46" s="71" t="n">
        <f aca="false">R43+R44+R45</f>
        <v>60000</v>
      </c>
      <c r="S46" s="71" t="n">
        <f aca="false">S43+S44+S45</f>
        <v>58666.6666666667</v>
      </c>
      <c r="T46" s="71" t="n">
        <f aca="false">T43+T44+T45</f>
        <v>57333.3333333334</v>
      </c>
      <c r="U46" s="71" t="n">
        <f aca="false">U43+U44+U45</f>
        <v>56000</v>
      </c>
      <c r="V46" s="71" t="n">
        <f aca="false">V43+V44+V45</f>
        <v>54666.6666666667</v>
      </c>
      <c r="W46" s="71" t="n">
        <f aca="false">W43+W44+W45</f>
        <v>53333.3333333334</v>
      </c>
      <c r="X46" s="71" t="n">
        <f aca="false">X43+X44+X45</f>
        <v>52000</v>
      </c>
      <c r="Y46" s="71" t="n">
        <f aca="false">Y43+Y44+Y45</f>
        <v>50666.6666666667</v>
      </c>
      <c r="Z46" s="71" t="n">
        <f aca="false">Z43+Z44+Z45</f>
        <v>49333.3333333334</v>
      </c>
      <c r="AA46" s="71" t="n">
        <f aca="false">AA43+AA44+AA45</f>
        <v>48000</v>
      </c>
      <c r="AB46" s="71" t="n">
        <f aca="false">AB43+AB44+AB45</f>
        <v>46666.6666666667</v>
      </c>
      <c r="AC46" s="71" t="n">
        <f aca="false">AC43+AC44+AC45</f>
        <v>45333.3333333333</v>
      </c>
      <c r="AD46" s="71" t="n">
        <f aca="false">AD43+AD44+AD45</f>
        <v>44000</v>
      </c>
      <c r="AE46" s="71" t="n">
        <f aca="false">AE43+AE44+AE45</f>
        <v>42666.6666666667</v>
      </c>
      <c r="AF46" s="71" t="n">
        <f aca="false">AF43+AF44+AF45</f>
        <v>41333.3333333333</v>
      </c>
      <c r="AG46" s="71" t="n">
        <f aca="false">AG43+AG44+AG45</f>
        <v>40000</v>
      </c>
      <c r="AH46" s="71" t="n">
        <f aca="false">AH43+AH44+AH45</f>
        <v>38666.6666666667</v>
      </c>
      <c r="AI46" s="71" t="n">
        <f aca="false">AI43+AI44+AI45</f>
        <v>37333.3333333333</v>
      </c>
      <c r="AJ46" s="71" t="n">
        <f aca="false">AJ43+AJ44+AJ45</f>
        <v>36000</v>
      </c>
      <c r="AK46" s="71" t="n">
        <f aca="false">AK43+AK44+AK45</f>
        <v>34666.6666666667</v>
      </c>
      <c r="AL46" s="71" t="n">
        <f aca="false">AL43+AL44+AL45</f>
        <v>33333.3333333333</v>
      </c>
    </row>
    <row r="48" customFormat="false" ht="15.75" hidden="false" customHeight="true" outlineLevel="0" collapsed="false">
      <c r="A48" s="7" t="s">
        <v>268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88</v>
      </c>
      <c r="C49" s="65" t="n">
        <f aca="false">C14*Inputs!$B$35/30</f>
        <v>528</v>
      </c>
      <c r="D49" s="65" t="n">
        <f aca="false">D14*Inputs!$B$35/30</f>
        <v>616</v>
      </c>
      <c r="E49" s="65" t="n">
        <f aca="false">E14*Inputs!$B$35/30</f>
        <v>704</v>
      </c>
      <c r="F49" s="65" t="n">
        <f aca="false">F14*Inputs!$B$35/30</f>
        <v>792</v>
      </c>
      <c r="G49" s="65" t="n">
        <f aca="false">G14*Inputs!$B$35/30</f>
        <v>880</v>
      </c>
      <c r="H49" s="65" t="n">
        <f aca="false">H14*Inputs!$B$35/30</f>
        <v>968</v>
      </c>
      <c r="I49" s="65" t="n">
        <f aca="false">I14*Inputs!$B$35/30</f>
        <v>1056</v>
      </c>
      <c r="J49" s="65" t="n">
        <f aca="false">J14*Inputs!$B$35/30</f>
        <v>1144</v>
      </c>
      <c r="K49" s="65" t="n">
        <f aca="false">K14*Inputs!$B$35/30</f>
        <v>1232</v>
      </c>
      <c r="L49" s="65" t="n">
        <f aca="false">L14*Inputs!$B$35/30</f>
        <v>1320</v>
      </c>
      <c r="M49" s="65" t="n">
        <f aca="false">M14*Inputs!$B$35/30</f>
        <v>1320</v>
      </c>
      <c r="N49" s="65" t="n">
        <f aca="false">N14*Inputs!$B$35/30</f>
        <v>1320</v>
      </c>
      <c r="O49" s="65" t="n">
        <f aca="false">O14*Inputs!$B$35/30</f>
        <v>1386.792</v>
      </c>
      <c r="P49" s="65" t="n">
        <f aca="false">P14*Inputs!$B$35/30</f>
        <v>1386.792</v>
      </c>
      <c r="Q49" s="65" t="n">
        <f aca="false">Q14*Inputs!$B$35/30</f>
        <v>1386.792</v>
      </c>
      <c r="R49" s="65" t="n">
        <f aca="false">R14*Inputs!$B$35/30</f>
        <v>1386.792</v>
      </c>
      <c r="S49" s="65" t="n">
        <f aca="false">S14*Inputs!$B$35/30</f>
        <v>1386.792</v>
      </c>
      <c r="T49" s="65" t="n">
        <f aca="false">T14*Inputs!$B$35/30</f>
        <v>1386.792</v>
      </c>
      <c r="U49" s="65" t="n">
        <f aca="false">U14*Inputs!$B$35/30</f>
        <v>1386.792</v>
      </c>
      <c r="V49" s="65" t="n">
        <f aca="false">V14*Inputs!$B$35/30</f>
        <v>1386.792</v>
      </c>
      <c r="W49" s="65" t="n">
        <f aca="false">W14*Inputs!$B$35/30</f>
        <v>1386.792</v>
      </c>
      <c r="X49" s="65" t="n">
        <f aca="false">X14*Inputs!$B$35/30</f>
        <v>1386.792</v>
      </c>
      <c r="Y49" s="65" t="n">
        <f aca="false">Y14*Inputs!$B$35/30</f>
        <v>1386.792</v>
      </c>
      <c r="Z49" s="65" t="n">
        <f aca="false">Z14*Inputs!$B$35/30</f>
        <v>1386.792</v>
      </c>
      <c r="AA49" s="65" t="n">
        <f aca="false">AA14*Inputs!$B$35/30</f>
        <v>1456.9636752</v>
      </c>
      <c r="AB49" s="65" t="n">
        <f aca="false">AB14*Inputs!$B$35/30</f>
        <v>1456.9636752</v>
      </c>
      <c r="AC49" s="65" t="n">
        <f aca="false">AC14*Inputs!$B$35/30</f>
        <v>1456.9636752</v>
      </c>
      <c r="AD49" s="65" t="n">
        <f aca="false">AD14*Inputs!$B$35/30</f>
        <v>1456.9636752</v>
      </c>
      <c r="AE49" s="65" t="n">
        <f aca="false">AE14*Inputs!$B$35/30</f>
        <v>1456.9636752</v>
      </c>
      <c r="AF49" s="65" t="n">
        <f aca="false">AF14*Inputs!$B$35/30</f>
        <v>1456.9636752</v>
      </c>
      <c r="AG49" s="65" t="n">
        <f aca="false">AG14*Inputs!$B$35/30</f>
        <v>1456.9636752</v>
      </c>
      <c r="AH49" s="65" t="n">
        <f aca="false">AH14*Inputs!$B$35/30</f>
        <v>1456.9636752</v>
      </c>
      <c r="AI49" s="65" t="n">
        <f aca="false">AI14*Inputs!$B$35/30</f>
        <v>1456.9636752</v>
      </c>
      <c r="AJ49" s="65" t="n">
        <f aca="false">AJ14*Inputs!$B$35/30</f>
        <v>1456.9636752</v>
      </c>
      <c r="AK49" s="65" t="n">
        <f aca="false">AK14*Inputs!$B$35/30</f>
        <v>1456.9636752</v>
      </c>
      <c r="AL49" s="65" t="n">
        <f aca="false">AL14*Inputs!$B$35/30</f>
        <v>1456.9636752</v>
      </c>
    </row>
    <row r="50" customFormat="false" ht="15" hidden="false" customHeight="false" outlineLevel="0" collapsed="false">
      <c r="A50" s="6" t="s">
        <v>89</v>
      </c>
      <c r="C50" s="65" t="n">
        <f aca="false">-C15*Inputs!$B$36/30</f>
        <v>665.28</v>
      </c>
      <c r="D50" s="65" t="n">
        <f aca="false">-D15*Inputs!$B$36/30</f>
        <v>776.16</v>
      </c>
      <c r="E50" s="65" t="n">
        <f aca="false">-E15*Inputs!$B$36/30</f>
        <v>887.04</v>
      </c>
      <c r="F50" s="65" t="n">
        <f aca="false">-F15*Inputs!$B$36/30</f>
        <v>997.92</v>
      </c>
      <c r="G50" s="65" t="n">
        <f aca="false">-G15*Inputs!$B$36/30</f>
        <v>1108.8</v>
      </c>
      <c r="H50" s="65" t="n">
        <f aca="false">-H15*Inputs!$B$36/30</f>
        <v>1219.68</v>
      </c>
      <c r="I50" s="65" t="n">
        <f aca="false">-I15*Inputs!$B$36/30</f>
        <v>1330.56</v>
      </c>
      <c r="J50" s="65" t="n">
        <f aca="false">-J15*Inputs!$B$36/30</f>
        <v>1441.44</v>
      </c>
      <c r="K50" s="65" t="n">
        <f aca="false">-K15*Inputs!$B$36/30</f>
        <v>1552.32</v>
      </c>
      <c r="L50" s="65" t="n">
        <f aca="false">-L15*Inputs!$B$36/30</f>
        <v>1663.2</v>
      </c>
      <c r="M50" s="65" t="n">
        <f aca="false">-M15*Inputs!$B$36/30</f>
        <v>1663.2</v>
      </c>
      <c r="N50" s="65" t="n">
        <f aca="false">-N15*Inputs!$B$36/30</f>
        <v>1663.2</v>
      </c>
      <c r="O50" s="65" t="n">
        <f aca="false">-O15*Inputs!$B$36/30</f>
        <v>1747.35792</v>
      </c>
      <c r="P50" s="65" t="n">
        <f aca="false">-P15*Inputs!$B$36/30</f>
        <v>1747.35792</v>
      </c>
      <c r="Q50" s="65" t="n">
        <f aca="false">-Q15*Inputs!$B$36/30</f>
        <v>1747.35792</v>
      </c>
      <c r="R50" s="65" t="n">
        <f aca="false">-R15*Inputs!$B$36/30</f>
        <v>1747.35792</v>
      </c>
      <c r="S50" s="65" t="n">
        <f aca="false">-S15*Inputs!$B$36/30</f>
        <v>1747.35792</v>
      </c>
      <c r="T50" s="65" t="n">
        <f aca="false">-T15*Inputs!$B$36/30</f>
        <v>1747.35792</v>
      </c>
      <c r="U50" s="65" t="n">
        <f aca="false">-U15*Inputs!$B$36/30</f>
        <v>1747.35792</v>
      </c>
      <c r="V50" s="65" t="n">
        <f aca="false">-V15*Inputs!$B$36/30</f>
        <v>1747.35792</v>
      </c>
      <c r="W50" s="65" t="n">
        <f aca="false">-W15*Inputs!$B$36/30</f>
        <v>1747.35792</v>
      </c>
      <c r="X50" s="65" t="n">
        <f aca="false">-X15*Inputs!$B$36/30</f>
        <v>1747.35792</v>
      </c>
      <c r="Y50" s="65" t="n">
        <f aca="false">-Y15*Inputs!$B$36/30</f>
        <v>1747.35792</v>
      </c>
      <c r="Z50" s="65" t="n">
        <f aca="false">-Z15*Inputs!$B$36/30</f>
        <v>1747.35792</v>
      </c>
      <c r="AA50" s="65" t="n">
        <f aca="false">-AA15*Inputs!$B$36/30</f>
        <v>1835.774230752</v>
      </c>
      <c r="AB50" s="65" t="n">
        <f aca="false">-AB15*Inputs!$B$36/30</f>
        <v>1835.774230752</v>
      </c>
      <c r="AC50" s="65" t="n">
        <f aca="false">-AC15*Inputs!$B$36/30</f>
        <v>1835.774230752</v>
      </c>
      <c r="AD50" s="65" t="n">
        <f aca="false">-AD15*Inputs!$B$36/30</f>
        <v>1835.774230752</v>
      </c>
      <c r="AE50" s="65" t="n">
        <f aca="false">-AE15*Inputs!$B$36/30</f>
        <v>1835.774230752</v>
      </c>
      <c r="AF50" s="65" t="n">
        <f aca="false">-AF15*Inputs!$B$36/30</f>
        <v>1835.774230752</v>
      </c>
      <c r="AG50" s="65" t="n">
        <f aca="false">-AG15*Inputs!$B$36/30</f>
        <v>1835.774230752</v>
      </c>
      <c r="AH50" s="65" t="n">
        <f aca="false">-AH15*Inputs!$B$36/30</f>
        <v>1835.774230752</v>
      </c>
      <c r="AI50" s="65" t="n">
        <f aca="false">-AI15*Inputs!$B$36/30</f>
        <v>1835.774230752</v>
      </c>
      <c r="AJ50" s="65" t="n">
        <f aca="false">-AJ15*Inputs!$B$36/30</f>
        <v>1835.774230752</v>
      </c>
      <c r="AK50" s="65" t="n">
        <f aca="false">-AK15*Inputs!$B$36/30</f>
        <v>1835.774230752</v>
      </c>
      <c r="AL50" s="65" t="n">
        <f aca="false">-AL15*Inputs!$B$36/30</f>
        <v>1835.774230752</v>
      </c>
    </row>
    <row r="51" customFormat="false" ht="15" hidden="false" customHeight="false" outlineLevel="0" collapsed="false">
      <c r="A51" s="6" t="s">
        <v>92</v>
      </c>
      <c r="C51" s="65" t="n">
        <f aca="false">-C15*Inputs!$B$37/30</f>
        <v>1330.56</v>
      </c>
      <c r="D51" s="65" t="n">
        <f aca="false">-D15*Inputs!$B$37/30</f>
        <v>1552.32</v>
      </c>
      <c r="E51" s="65" t="n">
        <f aca="false">-E15*Inputs!$B$37/30</f>
        <v>1774.08</v>
      </c>
      <c r="F51" s="65" t="n">
        <f aca="false">-F15*Inputs!$B$37/30</f>
        <v>1995.84</v>
      </c>
      <c r="G51" s="65" t="n">
        <f aca="false">-G15*Inputs!$B$37/30</f>
        <v>2217.6</v>
      </c>
      <c r="H51" s="65" t="n">
        <f aca="false">-H15*Inputs!$B$37/30</f>
        <v>2439.36</v>
      </c>
      <c r="I51" s="65" t="n">
        <f aca="false">-I15*Inputs!$B$37/30</f>
        <v>2661.12</v>
      </c>
      <c r="J51" s="65" t="n">
        <f aca="false">-J15*Inputs!$B$37/30</f>
        <v>2882.88</v>
      </c>
      <c r="K51" s="65" t="n">
        <f aca="false">-K15*Inputs!$B$37/30</f>
        <v>3104.64</v>
      </c>
      <c r="L51" s="65" t="n">
        <f aca="false">-L15*Inputs!$B$37/30</f>
        <v>3326.4</v>
      </c>
      <c r="M51" s="65" t="n">
        <f aca="false">-M15*Inputs!$B$37/30</f>
        <v>3326.4</v>
      </c>
      <c r="N51" s="65" t="n">
        <f aca="false">-N15*Inputs!$B$37/30</f>
        <v>3326.4</v>
      </c>
      <c r="O51" s="65" t="n">
        <f aca="false">-O15*Inputs!$B$37/30</f>
        <v>3494.71584</v>
      </c>
      <c r="P51" s="65" t="n">
        <f aca="false">-P15*Inputs!$B$37/30</f>
        <v>3494.71584</v>
      </c>
      <c r="Q51" s="65" t="n">
        <f aca="false">-Q15*Inputs!$B$37/30</f>
        <v>3494.71584</v>
      </c>
      <c r="R51" s="65" t="n">
        <f aca="false">-R15*Inputs!$B$37/30</f>
        <v>3494.71584</v>
      </c>
      <c r="S51" s="65" t="n">
        <f aca="false">-S15*Inputs!$B$37/30</f>
        <v>3494.71584</v>
      </c>
      <c r="T51" s="65" t="n">
        <f aca="false">-T15*Inputs!$B$37/30</f>
        <v>3494.71584</v>
      </c>
      <c r="U51" s="65" t="n">
        <f aca="false">-U15*Inputs!$B$37/30</f>
        <v>3494.71584</v>
      </c>
      <c r="V51" s="65" t="n">
        <f aca="false">-V15*Inputs!$B$37/30</f>
        <v>3494.71584</v>
      </c>
      <c r="W51" s="65" t="n">
        <f aca="false">-W15*Inputs!$B$37/30</f>
        <v>3494.71584</v>
      </c>
      <c r="X51" s="65" t="n">
        <f aca="false">-X15*Inputs!$B$37/30</f>
        <v>3494.71584</v>
      </c>
      <c r="Y51" s="65" t="n">
        <f aca="false">-Y15*Inputs!$B$37/30</f>
        <v>3494.71584</v>
      </c>
      <c r="Z51" s="65" t="n">
        <f aca="false">-Z15*Inputs!$B$37/30</f>
        <v>3494.71584</v>
      </c>
      <c r="AA51" s="65" t="n">
        <f aca="false">-AA15*Inputs!$B$37/30</f>
        <v>3671.548461504</v>
      </c>
      <c r="AB51" s="65" t="n">
        <f aca="false">-AB15*Inputs!$B$37/30</f>
        <v>3671.548461504</v>
      </c>
      <c r="AC51" s="65" t="n">
        <f aca="false">-AC15*Inputs!$B$37/30</f>
        <v>3671.548461504</v>
      </c>
      <c r="AD51" s="65" t="n">
        <f aca="false">-AD15*Inputs!$B$37/30</f>
        <v>3671.548461504</v>
      </c>
      <c r="AE51" s="65" t="n">
        <f aca="false">-AE15*Inputs!$B$37/30</f>
        <v>3671.548461504</v>
      </c>
      <c r="AF51" s="65" t="n">
        <f aca="false">-AF15*Inputs!$B$37/30</f>
        <v>3671.548461504</v>
      </c>
      <c r="AG51" s="65" t="n">
        <f aca="false">-AG15*Inputs!$B$37/30</f>
        <v>3671.548461504</v>
      </c>
      <c r="AH51" s="65" t="n">
        <f aca="false">-AH15*Inputs!$B$37/30</f>
        <v>3671.548461504</v>
      </c>
      <c r="AI51" s="65" t="n">
        <f aca="false">-AI15*Inputs!$B$37/30</f>
        <v>3671.548461504</v>
      </c>
      <c r="AJ51" s="65" t="n">
        <f aca="false">-AJ15*Inputs!$B$37/30</f>
        <v>3671.548461504</v>
      </c>
      <c r="AK51" s="65" t="n">
        <f aca="false">-AK15*Inputs!$B$37/30</f>
        <v>3671.548461504</v>
      </c>
      <c r="AL51" s="65" t="n">
        <f aca="false">-AL15*Inputs!$B$37/30</f>
        <v>3671.548461504</v>
      </c>
    </row>
    <row r="52" customFormat="false" ht="15" hidden="false" customHeight="false" outlineLevel="0" collapsed="false">
      <c r="A52" s="6" t="s">
        <v>289</v>
      </c>
      <c r="C52" s="65" t="n">
        <f aca="false">-C49</f>
        <v>-528</v>
      </c>
      <c r="D52" s="65" t="n">
        <f aca="false">C49-D49</f>
        <v>-88</v>
      </c>
      <c r="E52" s="65" t="n">
        <f aca="false">D49-E49</f>
        <v>-88</v>
      </c>
      <c r="F52" s="65" t="n">
        <f aca="false">E49-F49</f>
        <v>-88</v>
      </c>
      <c r="G52" s="65" t="n">
        <f aca="false">F49-G49</f>
        <v>-88.0000000000001</v>
      </c>
      <c r="H52" s="65" t="n">
        <f aca="false">G49-H49</f>
        <v>-87.9999999999999</v>
      </c>
      <c r="I52" s="65" t="n">
        <f aca="false">H49-I49</f>
        <v>-88</v>
      </c>
      <c r="J52" s="65" t="n">
        <f aca="false">I49-J49</f>
        <v>-88</v>
      </c>
      <c r="K52" s="65" t="n">
        <f aca="false">J49-K49</f>
        <v>-88</v>
      </c>
      <c r="L52" s="65" t="n">
        <f aca="false">K49-L49</f>
        <v>-88</v>
      </c>
      <c r="M52" s="65" t="n">
        <f aca="false">L49-M49</f>
        <v>0</v>
      </c>
      <c r="N52" s="65" t="n">
        <f aca="false">M49-N49</f>
        <v>0</v>
      </c>
      <c r="O52" s="65" t="n">
        <f aca="false">N49-O49</f>
        <v>-66.7920000000001</v>
      </c>
      <c r="P52" s="65" t="n">
        <f aca="false">O49-P49</f>
        <v>0</v>
      </c>
      <c r="Q52" s="65" t="n">
        <f aca="false">P49-Q49</f>
        <v>0</v>
      </c>
      <c r="R52" s="65" t="n">
        <f aca="false">Q49-R49</f>
        <v>0</v>
      </c>
      <c r="S52" s="65" t="n">
        <f aca="false">R49-S49</f>
        <v>0</v>
      </c>
      <c r="T52" s="65" t="n">
        <f aca="false">S49-T49</f>
        <v>0</v>
      </c>
      <c r="U52" s="65" t="n">
        <f aca="false">T49-U49</f>
        <v>0</v>
      </c>
      <c r="V52" s="65" t="n">
        <f aca="false">U49-V49</f>
        <v>0</v>
      </c>
      <c r="W52" s="65" t="n">
        <f aca="false">V49-W49</f>
        <v>0</v>
      </c>
      <c r="X52" s="65" t="n">
        <f aca="false">W49-X49</f>
        <v>0</v>
      </c>
      <c r="Y52" s="65" t="n">
        <f aca="false">X49-Y49</f>
        <v>0</v>
      </c>
      <c r="Z52" s="65" t="n">
        <f aca="false">Y49-Z49</f>
        <v>0</v>
      </c>
      <c r="AA52" s="65" t="n">
        <f aca="false">Z49-AA49</f>
        <v>-70.1716751999998</v>
      </c>
      <c r="AB52" s="65" t="n">
        <f aca="false">AA49-AB49</f>
        <v>0</v>
      </c>
      <c r="AC52" s="65" t="n">
        <f aca="false">AB49-AC49</f>
        <v>0</v>
      </c>
      <c r="AD52" s="65" t="n">
        <f aca="false">AC49-AD49</f>
        <v>0</v>
      </c>
      <c r="AE52" s="65" t="n">
        <f aca="false">AD49-AE49</f>
        <v>0</v>
      </c>
      <c r="AF52" s="65" t="n">
        <f aca="false">AE49-AF49</f>
        <v>0</v>
      </c>
      <c r="AG52" s="65" t="n">
        <f aca="false">AF49-AG49</f>
        <v>0</v>
      </c>
      <c r="AH52" s="65" t="n">
        <f aca="false">AG49-AH49</f>
        <v>0</v>
      </c>
      <c r="AI52" s="65" t="n">
        <f aca="false">AH49-AI49</f>
        <v>0</v>
      </c>
      <c r="AJ52" s="65" t="n">
        <f aca="false">AI49-AJ49</f>
        <v>0</v>
      </c>
      <c r="AK52" s="65" t="n">
        <f aca="false">AJ49-AK49</f>
        <v>0</v>
      </c>
      <c r="AL52" s="65" t="n">
        <f aca="false">AK49-AL49</f>
        <v>0</v>
      </c>
    </row>
    <row r="53" customFormat="false" ht="15" hidden="false" customHeight="false" outlineLevel="0" collapsed="false">
      <c r="A53" s="6" t="s">
        <v>290</v>
      </c>
      <c r="C53" s="65" t="n">
        <f aca="false">-C50</f>
        <v>-665.28</v>
      </c>
      <c r="D53" s="65" t="n">
        <f aca="false">C50-D50</f>
        <v>-110.88</v>
      </c>
      <c r="E53" s="65" t="n">
        <f aca="false">D50-E50</f>
        <v>-110.88</v>
      </c>
      <c r="F53" s="65" t="n">
        <f aca="false">E50-F50</f>
        <v>-110.88</v>
      </c>
      <c r="G53" s="65" t="n">
        <f aca="false">F50-G50</f>
        <v>-110.88</v>
      </c>
      <c r="H53" s="65" t="n">
        <f aca="false">G50-H50</f>
        <v>-110.88</v>
      </c>
      <c r="I53" s="65" t="n">
        <f aca="false">H50-I50</f>
        <v>-110.88</v>
      </c>
      <c r="J53" s="65" t="n">
        <f aca="false">I50-J50</f>
        <v>-110.88</v>
      </c>
      <c r="K53" s="65" t="n">
        <f aca="false">J50-K50</f>
        <v>-110.88</v>
      </c>
      <c r="L53" s="65" t="n">
        <f aca="false">K50-L50</f>
        <v>-110.88</v>
      </c>
      <c r="M53" s="65" t="n">
        <f aca="false">L50-M50</f>
        <v>0</v>
      </c>
      <c r="N53" s="65" t="n">
        <f aca="false">M50-N50</f>
        <v>0</v>
      </c>
      <c r="O53" s="65" t="n">
        <f aca="false">N50-O50</f>
        <v>-84.1579199999999</v>
      </c>
      <c r="P53" s="65" t="n">
        <f aca="false">O50-P50</f>
        <v>0</v>
      </c>
      <c r="Q53" s="65" t="n">
        <f aca="false">P50-Q50</f>
        <v>0</v>
      </c>
      <c r="R53" s="65" t="n">
        <f aca="false">Q50-R50</f>
        <v>0</v>
      </c>
      <c r="S53" s="65" t="n">
        <f aca="false">R50-S50</f>
        <v>0</v>
      </c>
      <c r="T53" s="65" t="n">
        <f aca="false">S50-T50</f>
        <v>0</v>
      </c>
      <c r="U53" s="65" t="n">
        <f aca="false">T50-U50</f>
        <v>0</v>
      </c>
      <c r="V53" s="65" t="n">
        <f aca="false">U50-V50</f>
        <v>0</v>
      </c>
      <c r="W53" s="65" t="n">
        <f aca="false">V50-W50</f>
        <v>0</v>
      </c>
      <c r="X53" s="65" t="n">
        <f aca="false">W50-X50</f>
        <v>0</v>
      </c>
      <c r="Y53" s="65" t="n">
        <f aca="false">X50-Y50</f>
        <v>0</v>
      </c>
      <c r="Z53" s="65" t="n">
        <f aca="false">Y50-Z50</f>
        <v>0</v>
      </c>
      <c r="AA53" s="65" t="n">
        <f aca="false">Z50-AA50</f>
        <v>-88.4163107519998</v>
      </c>
      <c r="AB53" s="65" t="n">
        <f aca="false">AA50-AB50</f>
        <v>0</v>
      </c>
      <c r="AC53" s="65" t="n">
        <f aca="false">AB50-AC50</f>
        <v>0</v>
      </c>
      <c r="AD53" s="65" t="n">
        <f aca="false">AC50-AD50</f>
        <v>0</v>
      </c>
      <c r="AE53" s="65" t="n">
        <f aca="false">AD50-AE50</f>
        <v>0</v>
      </c>
      <c r="AF53" s="65" t="n">
        <f aca="false">AE50-AF50</f>
        <v>0</v>
      </c>
      <c r="AG53" s="65" t="n">
        <f aca="false">AF50-AG50</f>
        <v>0</v>
      </c>
      <c r="AH53" s="65" t="n">
        <f aca="false">AG50-AH50</f>
        <v>0</v>
      </c>
      <c r="AI53" s="65" t="n">
        <f aca="false">AH50-AI50</f>
        <v>0</v>
      </c>
      <c r="AJ53" s="65" t="n">
        <f aca="false">AI50-AJ50</f>
        <v>0</v>
      </c>
      <c r="AK53" s="65" t="n">
        <f aca="false">AJ50-AK50</f>
        <v>0</v>
      </c>
      <c r="AL53" s="65" t="n">
        <f aca="false">AK50-AL50</f>
        <v>0</v>
      </c>
    </row>
    <row r="54" customFormat="false" ht="15" hidden="false" customHeight="false" outlineLevel="0" collapsed="false">
      <c r="A54" s="6" t="s">
        <v>291</v>
      </c>
      <c r="C54" s="65" t="n">
        <f aca="false">C51</f>
        <v>1330.56</v>
      </c>
      <c r="D54" s="65" t="n">
        <f aca="false">D51-C51</f>
        <v>221.76</v>
      </c>
      <c r="E54" s="65" t="n">
        <f aca="false">E51-D51</f>
        <v>221.76</v>
      </c>
      <c r="F54" s="65" t="n">
        <f aca="false">F51-E51</f>
        <v>221.76</v>
      </c>
      <c r="G54" s="65" t="n">
        <f aca="false">G51-F51</f>
        <v>221.76</v>
      </c>
      <c r="H54" s="65" t="n">
        <f aca="false">H51-G51</f>
        <v>221.76</v>
      </c>
      <c r="I54" s="65" t="n">
        <f aca="false">I51-H51</f>
        <v>221.76</v>
      </c>
      <c r="J54" s="65" t="n">
        <f aca="false">J51-I51</f>
        <v>221.76</v>
      </c>
      <c r="K54" s="65" t="n">
        <f aca="false">K51-J51</f>
        <v>221.76</v>
      </c>
      <c r="L54" s="65" t="n">
        <f aca="false">L51-K51</f>
        <v>221.76</v>
      </c>
      <c r="M54" s="65" t="n">
        <f aca="false">M51-L51</f>
        <v>0</v>
      </c>
      <c r="N54" s="65" t="n">
        <f aca="false">N51-M51</f>
        <v>0</v>
      </c>
      <c r="O54" s="65" t="n">
        <f aca="false">O51-N51</f>
        <v>168.31584</v>
      </c>
      <c r="P54" s="65" t="n">
        <f aca="false">P51-O51</f>
        <v>0</v>
      </c>
      <c r="Q54" s="65" t="n">
        <f aca="false">Q51-P51</f>
        <v>0</v>
      </c>
      <c r="R54" s="65" t="n">
        <f aca="false">R51-Q51</f>
        <v>0</v>
      </c>
      <c r="S54" s="65" t="n">
        <f aca="false">S51-R51</f>
        <v>0</v>
      </c>
      <c r="T54" s="65" t="n">
        <f aca="false">T51-S51</f>
        <v>0</v>
      </c>
      <c r="U54" s="65" t="n">
        <f aca="false">U51-T51</f>
        <v>0</v>
      </c>
      <c r="V54" s="65" t="n">
        <f aca="false">V51-U51</f>
        <v>0</v>
      </c>
      <c r="W54" s="65" t="n">
        <f aca="false">W51-V51</f>
        <v>0</v>
      </c>
      <c r="X54" s="65" t="n">
        <f aca="false">X51-W51</f>
        <v>0</v>
      </c>
      <c r="Y54" s="65" t="n">
        <f aca="false">Y51-X51</f>
        <v>0</v>
      </c>
      <c r="Z54" s="65" t="n">
        <f aca="false">Z51-Y51</f>
        <v>0</v>
      </c>
      <c r="AA54" s="65" t="n">
        <f aca="false">AA51-Z51</f>
        <v>176.832621504</v>
      </c>
      <c r="AB54" s="65" t="n">
        <f aca="false">AB51-AA51</f>
        <v>0</v>
      </c>
      <c r="AC54" s="65" t="n">
        <f aca="false">AC51-AB51</f>
        <v>0</v>
      </c>
      <c r="AD54" s="65" t="n">
        <f aca="false">AD51-AC51</f>
        <v>0</v>
      </c>
      <c r="AE54" s="65" t="n">
        <f aca="false">AE51-AD51</f>
        <v>0</v>
      </c>
      <c r="AF54" s="65" t="n">
        <f aca="false">AF51-AE51</f>
        <v>0</v>
      </c>
      <c r="AG54" s="65" t="n">
        <f aca="false">AG51-AF51</f>
        <v>0</v>
      </c>
      <c r="AH54" s="65" t="n">
        <f aca="false">AH51-AG51</f>
        <v>0</v>
      </c>
      <c r="AI54" s="65" t="n">
        <f aca="false">AI51-AH51</f>
        <v>0</v>
      </c>
      <c r="AJ54" s="65" t="n">
        <f aca="false">AJ51-AI51</f>
        <v>0</v>
      </c>
      <c r="AK54" s="65" t="n">
        <f aca="false">AK51-AJ51</f>
        <v>0</v>
      </c>
      <c r="AL54" s="65" t="n">
        <f aca="false">AL51-AK51</f>
        <v>0</v>
      </c>
    </row>
    <row r="56" customFormat="false" ht="15.75" hidden="false" customHeight="true" outlineLevel="0" collapsed="false">
      <c r="A56" s="7" t="s">
        <v>348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4" t="s">
        <v>52</v>
      </c>
      <c r="C57" s="71" t="n">
        <f aca="false">C33-C38+C52+C53+C54</f>
        <v>-10744.0533333333</v>
      </c>
      <c r="D57" s="71" t="n">
        <f aca="false">D33-D38+D52+D53+D54</f>
        <v>-10062.0088888889</v>
      </c>
      <c r="E57" s="71" t="n">
        <f aca="false">E33-E38+E52+E53+E54</f>
        <v>-9261.12</v>
      </c>
      <c r="F57" s="71" t="n">
        <f aca="false">F33-F38+F52+F53+F54</f>
        <v>-8460.23111111111</v>
      </c>
      <c r="G57" s="71" t="n">
        <f aca="false">G33-G38+G52+G53+G54</f>
        <v>-7659.34222222222</v>
      </c>
      <c r="H57" s="71" t="n">
        <f aca="false">H33-H38+H52+H53+H54</f>
        <v>-6858.45333333334</v>
      </c>
      <c r="I57" s="71" t="n">
        <f aca="false">I33-I38+I52+I53+I54</f>
        <v>-6057.56444444445</v>
      </c>
      <c r="J57" s="71" t="n">
        <f aca="false">J33-J38+J52+J53+J54</f>
        <v>-5256.67555555556</v>
      </c>
      <c r="K57" s="71" t="n">
        <f aca="false">K33-K38+K52+K53+K54</f>
        <v>-4455.78666666667</v>
      </c>
      <c r="L57" s="71" t="n">
        <f aca="false">L33-L38+L52+L53+L54</f>
        <v>-3654.89777777778</v>
      </c>
      <c r="M57" s="71" t="n">
        <f aca="false">M33-M38+M52+M53+M54</f>
        <v>-3668.88888888889</v>
      </c>
      <c r="N57" s="71" t="n">
        <f aca="false">N33-N38+N52+N53+N54</f>
        <v>-3660</v>
      </c>
      <c r="O57" s="71" t="n">
        <f aca="false">O33-O38+O52+O53+O54</f>
        <v>-3284.61719111111</v>
      </c>
      <c r="P57" s="71" t="n">
        <f aca="false">P33-P38+P52+P53+P54</f>
        <v>-3293.09422222222</v>
      </c>
      <c r="Q57" s="71" t="n">
        <f aca="false">Q33-Q38+Q52+Q53+Q54</f>
        <v>-3284.20533333333</v>
      </c>
      <c r="R57" s="71" t="n">
        <f aca="false">R33-R38+R52+R53+R54</f>
        <v>-3275.31644444444</v>
      </c>
      <c r="S57" s="71" t="n">
        <f aca="false">S33-S38+S52+S53+S54</f>
        <v>-3266.42755555556</v>
      </c>
      <c r="T57" s="71" t="n">
        <f aca="false">T33-T38+T52+T53+T54</f>
        <v>-3257.53866666667</v>
      </c>
      <c r="U57" s="71" t="n">
        <f aca="false">U33-U38+U52+U53+U54</f>
        <v>-3248.64977777778</v>
      </c>
      <c r="V57" s="71" t="n">
        <f aca="false">V33-V38+V52+V53+V54</f>
        <v>-3239.76088888889</v>
      </c>
      <c r="W57" s="71" t="n">
        <f aca="false">W33-W38+W52+W53+W54</f>
        <v>-3230.872</v>
      </c>
      <c r="X57" s="71" t="n">
        <f aca="false">X33-X38+X52+X53+X54</f>
        <v>-3221.98311111111</v>
      </c>
      <c r="Y57" s="71" t="n">
        <f aca="false">Y33-Y38+Y52+Y53+Y54</f>
        <v>-3213.09422222222</v>
      </c>
      <c r="Z57" s="71" t="n">
        <f aca="false">Z33-Z38+Z52+Z53+Z54</f>
        <v>-3204.20533333333</v>
      </c>
      <c r="AA57" s="71" t="n">
        <f aca="false">AA33-AA38+AA52+AA53+AA54</f>
        <v>-2805.08673209245</v>
      </c>
      <c r="AB57" s="71" t="n">
        <f aca="false">AB33-AB38+AB52+AB53+AB54</f>
        <v>-2814.44247875556</v>
      </c>
      <c r="AC57" s="71" t="n">
        <f aca="false">AC33-AC38+AC52+AC53+AC54</f>
        <v>-2805.55358986667</v>
      </c>
      <c r="AD57" s="71" t="n">
        <f aca="false">AD33-AD38+AD52+AD53+AD54</f>
        <v>-2796.66470097778</v>
      </c>
      <c r="AE57" s="71" t="n">
        <f aca="false">AE33-AE38+AE52+AE53+AE54</f>
        <v>-2787.77581208889</v>
      </c>
      <c r="AF57" s="71" t="n">
        <f aca="false">AF33-AF38+AF52+AF53+AF54</f>
        <v>-2778.8869232</v>
      </c>
      <c r="AG57" s="71" t="n">
        <f aca="false">AG33-AG38+AG52+AG53+AG54</f>
        <v>-2769.99803431111</v>
      </c>
      <c r="AH57" s="71" t="n">
        <f aca="false">AH33-AH38+AH52+AH53+AH54</f>
        <v>-2761.10914542222</v>
      </c>
      <c r="AI57" s="71" t="n">
        <f aca="false">AI33-AI38+AI52+AI53+AI54</f>
        <v>-2752.22025653334</v>
      </c>
      <c r="AJ57" s="71" t="n">
        <f aca="false">AJ33-AJ38+AJ52+AJ53+AJ54</f>
        <v>-2743.33136764445</v>
      </c>
      <c r="AK57" s="71" t="n">
        <f aca="false">AK33-AK38+AK52+AK53+AK54</f>
        <v>-2734.44247875556</v>
      </c>
      <c r="AL57" s="71" t="n">
        <f aca="false">AL33-AL38+AL52+AL53+AL54</f>
        <v>-2725.55358986667</v>
      </c>
    </row>
    <row r="58" customFormat="false" ht="15" hidden="false" customHeight="false" outlineLevel="0" collapsed="false">
      <c r="A58" s="6" t="s">
        <v>349</v>
      </c>
      <c r="C58" s="65" t="n">
        <f aca="false">-C36</f>
        <v>-180000</v>
      </c>
      <c r="D58" s="65" t="n">
        <f aca="false">-D36</f>
        <v>-0</v>
      </c>
      <c r="E58" s="65" t="n">
        <f aca="false">-E36</f>
        <v>-0</v>
      </c>
      <c r="F58" s="65" t="n">
        <f aca="false">-F36</f>
        <v>-0</v>
      </c>
      <c r="G58" s="65" t="n">
        <f aca="false">-G36</f>
        <v>-0</v>
      </c>
      <c r="H58" s="65" t="n">
        <f aca="false">-H36</f>
        <v>-0</v>
      </c>
      <c r="I58" s="65" t="n">
        <f aca="false">-I36</f>
        <v>-0</v>
      </c>
      <c r="J58" s="65" t="n">
        <f aca="false">-J36</f>
        <v>-0</v>
      </c>
      <c r="K58" s="65" t="n">
        <f aca="false">-K36</f>
        <v>-0</v>
      </c>
      <c r="L58" s="65" t="n">
        <f aca="false">-L36</f>
        <v>-0</v>
      </c>
      <c r="M58" s="65" t="n">
        <f aca="false">-M36</f>
        <v>-0</v>
      </c>
      <c r="N58" s="65" t="n">
        <f aca="false">-N36</f>
        <v>-0</v>
      </c>
      <c r="O58" s="65" t="n">
        <f aca="false">-O36</f>
        <v>-0</v>
      </c>
      <c r="P58" s="65" t="n">
        <f aca="false">-P36</f>
        <v>-0</v>
      </c>
      <c r="Q58" s="65" t="n">
        <f aca="false">-Q36</f>
        <v>-0</v>
      </c>
      <c r="R58" s="65" t="n">
        <f aca="false">-R36</f>
        <v>-0</v>
      </c>
      <c r="S58" s="65" t="n">
        <f aca="false">-S36</f>
        <v>-0</v>
      </c>
      <c r="T58" s="65" t="n">
        <f aca="false">-T36</f>
        <v>-0</v>
      </c>
      <c r="U58" s="65" t="n">
        <f aca="false">-U36</f>
        <v>-0</v>
      </c>
      <c r="V58" s="65" t="n">
        <f aca="false">-V36</f>
        <v>-0</v>
      </c>
      <c r="W58" s="65" t="n">
        <f aca="false">-W36</f>
        <v>-0</v>
      </c>
      <c r="X58" s="65" t="n">
        <f aca="false">-X36</f>
        <v>-0</v>
      </c>
      <c r="Y58" s="65" t="n">
        <f aca="false">-Y36</f>
        <v>-0</v>
      </c>
      <c r="Z58" s="65" t="n">
        <f aca="false">-Z36</f>
        <v>-0</v>
      </c>
      <c r="AA58" s="65" t="n">
        <f aca="false">-AA36</f>
        <v>-0</v>
      </c>
      <c r="AB58" s="65" t="n">
        <f aca="false">-AB36</f>
        <v>-0</v>
      </c>
      <c r="AC58" s="65" t="n">
        <f aca="false">-AC36</f>
        <v>-0</v>
      </c>
      <c r="AD58" s="65" t="n">
        <f aca="false">-AD36</f>
        <v>-0</v>
      </c>
      <c r="AE58" s="65" t="n">
        <f aca="false">-AE36</f>
        <v>-0</v>
      </c>
      <c r="AF58" s="65" t="n">
        <f aca="false">-AF36</f>
        <v>-0</v>
      </c>
      <c r="AG58" s="65" t="n">
        <f aca="false">-AG36</f>
        <v>-0</v>
      </c>
      <c r="AH58" s="65" t="n">
        <f aca="false">-AH36</f>
        <v>-0</v>
      </c>
      <c r="AI58" s="65" t="n">
        <f aca="false">-AI36</f>
        <v>-0</v>
      </c>
      <c r="AJ58" s="65" t="n">
        <f aca="false">-AJ36</f>
        <v>-0</v>
      </c>
      <c r="AK58" s="65" t="n">
        <f aca="false">-AK36</f>
        <v>-0</v>
      </c>
      <c r="AL58" s="65" t="n">
        <f aca="false">-AL36</f>
        <v>-0</v>
      </c>
    </row>
    <row r="59" customFormat="false" ht="15" hidden="false" customHeight="false" outlineLevel="0" collapsed="false">
      <c r="A59" s="6" t="s">
        <v>62</v>
      </c>
      <c r="C59" s="65" t="n">
        <f aca="false">IF(C$6=1,Inputs!$B$29,0)</f>
        <v>140000</v>
      </c>
      <c r="D59" s="65" t="n">
        <f aca="false">IF(D$6=1,Inputs!$B$29,0)</f>
        <v>0</v>
      </c>
      <c r="E59" s="65" t="n">
        <f aca="false">IF(E$6=1,Inputs!$B$29,0)</f>
        <v>0</v>
      </c>
      <c r="F59" s="65" t="n">
        <f aca="false">IF(F$6=1,Inputs!$B$29,0)</f>
        <v>0</v>
      </c>
      <c r="G59" s="65" t="n">
        <f aca="false">IF(G$6=1,Inputs!$B$29,0)</f>
        <v>0</v>
      </c>
      <c r="H59" s="65" t="n">
        <f aca="false">IF(H$6=1,Inputs!$B$29,0)</f>
        <v>0</v>
      </c>
      <c r="I59" s="65" t="n">
        <f aca="false">IF(I$6=1,Inputs!$B$29,0)</f>
        <v>0</v>
      </c>
      <c r="J59" s="65" t="n">
        <f aca="false">IF(J$6=1,Inputs!$B$29,0)</f>
        <v>0</v>
      </c>
      <c r="K59" s="65" t="n">
        <f aca="false">IF(K$6=1,Inputs!$B$29,0)</f>
        <v>0</v>
      </c>
      <c r="L59" s="65" t="n">
        <f aca="false">IF(L$6=1,Inputs!$B$29,0)</f>
        <v>0</v>
      </c>
      <c r="M59" s="65" t="n">
        <f aca="false">IF(M$6=1,Inputs!$B$29,0)</f>
        <v>0</v>
      </c>
      <c r="N59" s="65" t="n">
        <f aca="false">IF(N$6=1,Inputs!$B$29,0)</f>
        <v>0</v>
      </c>
      <c r="O59" s="65" t="n">
        <f aca="false">IF(O$6=1,Inputs!$B$29,0)</f>
        <v>0</v>
      </c>
      <c r="P59" s="65" t="n">
        <f aca="false">IF(P$6=1,Inputs!$B$29,0)</f>
        <v>0</v>
      </c>
      <c r="Q59" s="65" t="n">
        <f aca="false">IF(Q$6=1,Inputs!$B$29,0)</f>
        <v>0</v>
      </c>
      <c r="R59" s="65" t="n">
        <f aca="false">IF(R$6=1,Inputs!$B$29,0)</f>
        <v>0</v>
      </c>
      <c r="S59" s="65" t="n">
        <f aca="false">IF(S$6=1,Inputs!$B$29,0)</f>
        <v>0</v>
      </c>
      <c r="T59" s="65" t="n">
        <f aca="false">IF(T$6=1,Inputs!$B$29,0)</f>
        <v>0</v>
      </c>
      <c r="U59" s="65" t="n">
        <f aca="false">IF(U$6=1,Inputs!$B$29,0)</f>
        <v>0</v>
      </c>
      <c r="V59" s="65" t="n">
        <f aca="false">IF(V$6=1,Inputs!$B$29,0)</f>
        <v>0</v>
      </c>
      <c r="W59" s="65" t="n">
        <f aca="false">IF(W$6=1,Inputs!$B$29,0)</f>
        <v>0</v>
      </c>
      <c r="X59" s="65" t="n">
        <f aca="false">IF(X$6=1,Inputs!$B$29,0)</f>
        <v>0</v>
      </c>
      <c r="Y59" s="65" t="n">
        <f aca="false">IF(Y$6=1,Inputs!$B$29,0)</f>
        <v>0</v>
      </c>
      <c r="Z59" s="65" t="n">
        <f aca="false">IF(Z$6=1,Inputs!$B$29,0)</f>
        <v>0</v>
      </c>
      <c r="AA59" s="65" t="n">
        <f aca="false">IF(AA$6=1,Inputs!$B$29,0)</f>
        <v>0</v>
      </c>
      <c r="AB59" s="65" t="n">
        <f aca="false">IF(AB$6=1,Inputs!$B$29,0)</f>
        <v>0</v>
      </c>
      <c r="AC59" s="65" t="n">
        <f aca="false">IF(AC$6=1,Inputs!$B$29,0)</f>
        <v>0</v>
      </c>
      <c r="AD59" s="65" t="n">
        <f aca="false">IF(AD$6=1,Inputs!$B$29,0)</f>
        <v>0</v>
      </c>
      <c r="AE59" s="65" t="n">
        <f aca="false">IF(AE$6=1,Inputs!$B$29,0)</f>
        <v>0</v>
      </c>
      <c r="AF59" s="65" t="n">
        <f aca="false">IF(AF$6=1,Inputs!$B$29,0)</f>
        <v>0</v>
      </c>
      <c r="AG59" s="65" t="n">
        <f aca="false">IF(AG$6=1,Inputs!$B$29,0)</f>
        <v>0</v>
      </c>
      <c r="AH59" s="65" t="n">
        <f aca="false">IF(AH$6=1,Inputs!$B$29,0)</f>
        <v>0</v>
      </c>
      <c r="AI59" s="65" t="n">
        <f aca="false">IF(AI$6=1,Inputs!$B$29,0)</f>
        <v>0</v>
      </c>
      <c r="AJ59" s="65" t="n">
        <f aca="false">IF(AJ$6=1,Inputs!$B$29,0)</f>
        <v>0</v>
      </c>
      <c r="AK59" s="65" t="n">
        <f aca="false">IF(AK$6=1,Inputs!$B$29,0)</f>
        <v>0</v>
      </c>
      <c r="AL59" s="65" t="n">
        <f aca="false">IF(AL$6=1,Inputs!$B$29,0)</f>
        <v>0</v>
      </c>
    </row>
    <row r="60" customFormat="false" ht="15" hidden="false" customHeight="false" outlineLevel="0" collapsed="false">
      <c r="A60" s="6" t="s">
        <v>54</v>
      </c>
      <c r="C60" s="65" t="n">
        <f aca="false">C59+C44+C45</f>
        <v>220000</v>
      </c>
      <c r="D60" s="65" t="n">
        <f aca="false">D59+D44+D45</f>
        <v>-1333.33333333333</v>
      </c>
      <c r="E60" s="65" t="n">
        <f aca="false">E59+E44+E45</f>
        <v>-1333.33333333333</v>
      </c>
      <c r="F60" s="65" t="n">
        <f aca="false">F59+F44+F45</f>
        <v>-1333.33333333333</v>
      </c>
      <c r="G60" s="65" t="n">
        <f aca="false">G59+G44+G45</f>
        <v>-1333.33333333333</v>
      </c>
      <c r="H60" s="65" t="n">
        <f aca="false">H59+H44+H45</f>
        <v>-1333.33333333333</v>
      </c>
      <c r="I60" s="65" t="n">
        <f aca="false">I59+I44+I45</f>
        <v>-1333.33333333333</v>
      </c>
      <c r="J60" s="65" t="n">
        <f aca="false">J59+J44+J45</f>
        <v>-1333.33333333333</v>
      </c>
      <c r="K60" s="65" t="n">
        <f aca="false">K59+K44+K45</f>
        <v>-1333.33333333333</v>
      </c>
      <c r="L60" s="65" t="n">
        <f aca="false">L59+L44+L45</f>
        <v>-1333.33333333333</v>
      </c>
      <c r="M60" s="65" t="n">
        <f aca="false">M59+M44+M45</f>
        <v>-1333.33333333333</v>
      </c>
      <c r="N60" s="65" t="n">
        <f aca="false">N59+N44+N45</f>
        <v>-1333.33333333333</v>
      </c>
      <c r="O60" s="65" t="n">
        <f aca="false">O59+O44+O45</f>
        <v>-1333.33333333333</v>
      </c>
      <c r="P60" s="65" t="n">
        <f aca="false">P59+P44+P45</f>
        <v>-1333.33333333333</v>
      </c>
      <c r="Q60" s="65" t="n">
        <f aca="false">Q59+Q44+Q45</f>
        <v>-1333.33333333333</v>
      </c>
      <c r="R60" s="65" t="n">
        <f aca="false">R59+R44+R45</f>
        <v>-1333.33333333333</v>
      </c>
      <c r="S60" s="65" t="n">
        <f aca="false">S59+S44+S45</f>
        <v>-1333.33333333333</v>
      </c>
      <c r="T60" s="65" t="n">
        <f aca="false">T59+T44+T45</f>
        <v>-1333.33333333333</v>
      </c>
      <c r="U60" s="65" t="n">
        <f aca="false">U59+U44+U45</f>
        <v>-1333.33333333333</v>
      </c>
      <c r="V60" s="65" t="n">
        <f aca="false">V59+V44+V45</f>
        <v>-1333.33333333333</v>
      </c>
      <c r="W60" s="65" t="n">
        <f aca="false">W59+W44+W45</f>
        <v>-1333.33333333333</v>
      </c>
      <c r="X60" s="65" t="n">
        <f aca="false">X59+X44+X45</f>
        <v>-1333.33333333333</v>
      </c>
      <c r="Y60" s="65" t="n">
        <f aca="false">Y59+Y44+Y45</f>
        <v>-1333.33333333333</v>
      </c>
      <c r="Z60" s="65" t="n">
        <f aca="false">Z59+Z44+Z45</f>
        <v>-1333.33333333333</v>
      </c>
      <c r="AA60" s="65" t="n">
        <f aca="false">AA59+AA44+AA45</f>
        <v>-1333.33333333333</v>
      </c>
      <c r="AB60" s="65" t="n">
        <f aca="false">AB59+AB44+AB45</f>
        <v>-1333.33333333333</v>
      </c>
      <c r="AC60" s="65" t="n">
        <f aca="false">AC59+AC44+AC45</f>
        <v>-1333.33333333333</v>
      </c>
      <c r="AD60" s="65" t="n">
        <f aca="false">AD59+AD44+AD45</f>
        <v>-1333.33333333333</v>
      </c>
      <c r="AE60" s="65" t="n">
        <f aca="false">AE59+AE44+AE45</f>
        <v>-1333.33333333333</v>
      </c>
      <c r="AF60" s="65" t="n">
        <f aca="false">AF59+AF44+AF45</f>
        <v>-1333.33333333333</v>
      </c>
      <c r="AG60" s="65" t="n">
        <f aca="false">AG59+AG44+AG45</f>
        <v>-1333.33333333333</v>
      </c>
      <c r="AH60" s="65" t="n">
        <f aca="false">AH59+AH44+AH45</f>
        <v>-1333.33333333333</v>
      </c>
      <c r="AI60" s="65" t="n">
        <f aca="false">AI59+AI44+AI45</f>
        <v>-1333.33333333333</v>
      </c>
      <c r="AJ60" s="65" t="n">
        <f aca="false">AJ59+AJ44+AJ45</f>
        <v>-1333.33333333333</v>
      </c>
      <c r="AK60" s="65" t="n">
        <f aca="false">AK59+AK44+AK45</f>
        <v>-1333.33333333333</v>
      </c>
      <c r="AL60" s="65" t="n">
        <f aca="false">AL59+AL44+AL45</f>
        <v>-1333.33333333333</v>
      </c>
    </row>
    <row r="61" customFormat="false" ht="15" hidden="false" customHeight="false" outlineLevel="0" collapsed="false">
      <c r="A61" s="108" t="s">
        <v>350</v>
      </c>
      <c r="C61" s="66" t="n">
        <f aca="false">C57+C58+C60</f>
        <v>29255.9466666667</v>
      </c>
      <c r="D61" s="66" t="n">
        <f aca="false">D57+D58+D60</f>
        <v>-11395.3422222222</v>
      </c>
      <c r="E61" s="66" t="n">
        <f aca="false">E57+E58+E60</f>
        <v>-10594.4533333333</v>
      </c>
      <c r="F61" s="66" t="n">
        <f aca="false">F57+F58+F60</f>
        <v>-9793.56444444444</v>
      </c>
      <c r="G61" s="66" t="n">
        <f aca="false">G57+G58+G60</f>
        <v>-8992.67555555556</v>
      </c>
      <c r="H61" s="66" t="n">
        <f aca="false">H57+H58+H60</f>
        <v>-8191.78666666667</v>
      </c>
      <c r="I61" s="66" t="n">
        <f aca="false">I57+I58+I60</f>
        <v>-7390.89777777778</v>
      </c>
      <c r="J61" s="66" t="n">
        <f aca="false">J57+J58+J60</f>
        <v>-6590.00888888889</v>
      </c>
      <c r="K61" s="66" t="n">
        <f aca="false">K57+K58+K60</f>
        <v>-5789.12</v>
      </c>
      <c r="L61" s="66" t="n">
        <f aca="false">L57+L58+L60</f>
        <v>-4988.23111111111</v>
      </c>
      <c r="M61" s="66" t="n">
        <f aca="false">M57+M58+M60</f>
        <v>-5002.22222222222</v>
      </c>
      <c r="N61" s="66" t="n">
        <f aca="false">N57+N58+N60</f>
        <v>-4993.33333333333</v>
      </c>
      <c r="O61" s="66" t="n">
        <f aca="false">O57+O58+O60</f>
        <v>-4617.95052444444</v>
      </c>
      <c r="P61" s="66" t="n">
        <f aca="false">P57+P58+P60</f>
        <v>-4626.42755555556</v>
      </c>
      <c r="Q61" s="66" t="n">
        <f aca="false">Q57+Q58+Q60</f>
        <v>-4617.53866666667</v>
      </c>
      <c r="R61" s="66" t="n">
        <f aca="false">R57+R58+R60</f>
        <v>-4608.64977777778</v>
      </c>
      <c r="S61" s="66" t="n">
        <f aca="false">S57+S58+S60</f>
        <v>-4599.76088888889</v>
      </c>
      <c r="T61" s="66" t="n">
        <f aca="false">T57+T58+T60</f>
        <v>-4590.872</v>
      </c>
      <c r="U61" s="66" t="n">
        <f aca="false">U57+U58+U60</f>
        <v>-4581.98311111111</v>
      </c>
      <c r="V61" s="66" t="n">
        <f aca="false">V57+V58+V60</f>
        <v>-4573.09422222222</v>
      </c>
      <c r="W61" s="66" t="n">
        <f aca="false">W57+W58+W60</f>
        <v>-4564.20533333333</v>
      </c>
      <c r="X61" s="66" t="n">
        <f aca="false">X57+X58+X60</f>
        <v>-4555.31644444445</v>
      </c>
      <c r="Y61" s="66" t="n">
        <f aca="false">Y57+Y58+Y60</f>
        <v>-4546.42755555556</v>
      </c>
      <c r="Z61" s="66" t="n">
        <f aca="false">Z57+Z58+Z60</f>
        <v>-4537.53866666667</v>
      </c>
      <c r="AA61" s="66" t="n">
        <f aca="false">AA57+AA58+AA60</f>
        <v>-4138.42006542578</v>
      </c>
      <c r="AB61" s="66" t="n">
        <f aca="false">AB57+AB58+AB60</f>
        <v>-4147.77581208889</v>
      </c>
      <c r="AC61" s="66" t="n">
        <f aca="false">AC57+AC58+AC60</f>
        <v>-4138.8869232</v>
      </c>
      <c r="AD61" s="66" t="n">
        <f aca="false">AD57+AD58+AD60</f>
        <v>-4129.99803431111</v>
      </c>
      <c r="AE61" s="66" t="n">
        <f aca="false">AE57+AE58+AE60</f>
        <v>-4121.10914542222</v>
      </c>
      <c r="AF61" s="66" t="n">
        <f aca="false">AF57+AF58+AF60</f>
        <v>-4112.22025653334</v>
      </c>
      <c r="AG61" s="66" t="n">
        <f aca="false">AG57+AG58+AG60</f>
        <v>-4103.33136764445</v>
      </c>
      <c r="AH61" s="66" t="n">
        <f aca="false">AH57+AH58+AH60</f>
        <v>-4094.44247875556</v>
      </c>
      <c r="AI61" s="66" t="n">
        <f aca="false">AI57+AI58+AI60</f>
        <v>-4085.55358986667</v>
      </c>
      <c r="AJ61" s="66" t="n">
        <f aca="false">AJ57+AJ58+AJ60</f>
        <v>-4076.66470097778</v>
      </c>
      <c r="AK61" s="66" t="n">
        <f aca="false">AK57+AK58+AK60</f>
        <v>-4067.77581208889</v>
      </c>
      <c r="AL61" s="66" t="n">
        <f aca="false">AL57+AL58+AL60</f>
        <v>-4058.8869232</v>
      </c>
    </row>
    <row r="62" customFormat="false" ht="15" hidden="false" customHeight="false" outlineLevel="0" collapsed="false">
      <c r="A62" s="6" t="s">
        <v>292</v>
      </c>
      <c r="C62" s="65" t="n">
        <f aca="false">0</f>
        <v>0</v>
      </c>
      <c r="D62" s="65" t="n">
        <f aca="false">C63</f>
        <v>29255.9466666667</v>
      </c>
      <c r="E62" s="65" t="n">
        <f aca="false">D63</f>
        <v>17860.6044444444</v>
      </c>
      <c r="F62" s="65" t="n">
        <f aca="false">E63</f>
        <v>7266.1511111111</v>
      </c>
      <c r="G62" s="65" t="n">
        <f aca="false">F63</f>
        <v>-2527.41333333335</v>
      </c>
      <c r="H62" s="65" t="n">
        <f aca="false">G63</f>
        <v>-11520.0888888889</v>
      </c>
      <c r="I62" s="65" t="n">
        <f aca="false">H63</f>
        <v>-19711.8755555556</v>
      </c>
      <c r="J62" s="65" t="n">
        <f aca="false">I63</f>
        <v>-27102.7733333334</v>
      </c>
      <c r="K62" s="65" t="n">
        <f aca="false">J63</f>
        <v>-33692.7822222222</v>
      </c>
      <c r="L62" s="65" t="n">
        <f aca="false">K63</f>
        <v>-39481.9022222222</v>
      </c>
      <c r="M62" s="65" t="n">
        <f aca="false">L63</f>
        <v>-44470.1333333334</v>
      </c>
      <c r="N62" s="65" t="n">
        <f aca="false">M63</f>
        <v>-49472.3555555556</v>
      </c>
      <c r="O62" s="65" t="n">
        <f aca="false">N63</f>
        <v>-54465.6888888889</v>
      </c>
      <c r="P62" s="65" t="n">
        <f aca="false">O63</f>
        <v>-59083.6394133334</v>
      </c>
      <c r="Q62" s="65" t="n">
        <f aca="false">P63</f>
        <v>-63710.0669688889</v>
      </c>
      <c r="R62" s="65" t="n">
        <f aca="false">Q63</f>
        <v>-68327.6056355556</v>
      </c>
      <c r="S62" s="65" t="n">
        <f aca="false">R63</f>
        <v>-72936.2554133334</v>
      </c>
      <c r="T62" s="65" t="n">
        <f aca="false">S63</f>
        <v>-77536.0163022223</v>
      </c>
      <c r="U62" s="65" t="n">
        <f aca="false">T63</f>
        <v>-82126.8883022223</v>
      </c>
      <c r="V62" s="65" t="n">
        <f aca="false">U63</f>
        <v>-86708.8714133334</v>
      </c>
      <c r="W62" s="65" t="n">
        <f aca="false">V63</f>
        <v>-91281.9656355556</v>
      </c>
      <c r="X62" s="65" t="n">
        <f aca="false">W63</f>
        <v>-95846.1709688889</v>
      </c>
      <c r="Y62" s="65" t="n">
        <f aca="false">X63</f>
        <v>-100401.487413333</v>
      </c>
      <c r="Z62" s="65" t="n">
        <f aca="false">Y63</f>
        <v>-104947.914968889</v>
      </c>
      <c r="AA62" s="65" t="n">
        <f aca="false">Z63</f>
        <v>-109485.453635556</v>
      </c>
      <c r="AB62" s="65" t="n">
        <f aca="false">AA63</f>
        <v>-113623.873700981</v>
      </c>
      <c r="AC62" s="65" t="n">
        <f aca="false">AB63</f>
        <v>-117771.64951307</v>
      </c>
      <c r="AD62" s="65" t="n">
        <f aca="false">AC63</f>
        <v>-121910.53643627</v>
      </c>
      <c r="AE62" s="65" t="n">
        <f aca="false">AD63</f>
        <v>-126040.534470581</v>
      </c>
      <c r="AF62" s="65" t="n">
        <f aca="false">AE63</f>
        <v>-130161.643616004</v>
      </c>
      <c r="AG62" s="65" t="n">
        <f aca="false">AF63</f>
        <v>-134273.863872537</v>
      </c>
      <c r="AH62" s="65" t="n">
        <f aca="false">AG63</f>
        <v>-138377.195240181</v>
      </c>
      <c r="AI62" s="65" t="n">
        <f aca="false">AH63</f>
        <v>-142471.637718937</v>
      </c>
      <c r="AJ62" s="65" t="n">
        <f aca="false">AI63</f>
        <v>-146557.191308804</v>
      </c>
      <c r="AK62" s="65" t="n">
        <f aca="false">AJ63</f>
        <v>-150633.856009781</v>
      </c>
      <c r="AL62" s="65" t="n">
        <f aca="false">AK63</f>
        <v>-154701.63182187</v>
      </c>
    </row>
    <row r="63" customFormat="false" ht="15" hidden="false" customHeight="false" outlineLevel="0" collapsed="false">
      <c r="A63" s="108" t="s">
        <v>85</v>
      </c>
      <c r="C63" s="66" t="n">
        <f aca="false">C62+C61</f>
        <v>29255.9466666667</v>
      </c>
      <c r="D63" s="66" t="n">
        <f aca="false">D62+D61</f>
        <v>17860.6044444444</v>
      </c>
      <c r="E63" s="66" t="n">
        <f aca="false">E62+E61</f>
        <v>7266.1511111111</v>
      </c>
      <c r="F63" s="66" t="n">
        <f aca="false">F62+F61</f>
        <v>-2527.41333333335</v>
      </c>
      <c r="G63" s="66" t="n">
        <f aca="false">G62+G61</f>
        <v>-11520.0888888889</v>
      </c>
      <c r="H63" s="66" t="n">
        <f aca="false">H62+H61</f>
        <v>-19711.8755555556</v>
      </c>
      <c r="I63" s="66" t="n">
        <f aca="false">I62+I61</f>
        <v>-27102.7733333334</v>
      </c>
      <c r="J63" s="66" t="n">
        <f aca="false">J62+J61</f>
        <v>-33692.7822222222</v>
      </c>
      <c r="K63" s="66" t="n">
        <f aca="false">K62+K61</f>
        <v>-39481.9022222222</v>
      </c>
      <c r="L63" s="66" t="n">
        <f aca="false">L62+L61</f>
        <v>-44470.1333333334</v>
      </c>
      <c r="M63" s="66" t="n">
        <f aca="false">M62+M61</f>
        <v>-49472.3555555556</v>
      </c>
      <c r="N63" s="66" t="n">
        <f aca="false">N62+N61</f>
        <v>-54465.6888888889</v>
      </c>
      <c r="O63" s="66" t="n">
        <f aca="false">O62+O61</f>
        <v>-59083.6394133334</v>
      </c>
      <c r="P63" s="66" t="n">
        <f aca="false">P62+P61</f>
        <v>-63710.0669688889</v>
      </c>
      <c r="Q63" s="66" t="n">
        <f aca="false">Q62+Q61</f>
        <v>-68327.6056355556</v>
      </c>
      <c r="R63" s="66" t="n">
        <f aca="false">R62+R61</f>
        <v>-72936.2554133334</v>
      </c>
      <c r="S63" s="66" t="n">
        <f aca="false">S62+S61</f>
        <v>-77536.0163022223</v>
      </c>
      <c r="T63" s="66" t="n">
        <f aca="false">T62+T61</f>
        <v>-82126.8883022223</v>
      </c>
      <c r="U63" s="66" t="n">
        <f aca="false">U62+U61</f>
        <v>-86708.8714133334</v>
      </c>
      <c r="V63" s="66" t="n">
        <f aca="false">V62+V61</f>
        <v>-91281.9656355556</v>
      </c>
      <c r="W63" s="66" t="n">
        <f aca="false">W62+W61</f>
        <v>-95846.1709688889</v>
      </c>
      <c r="X63" s="66" t="n">
        <f aca="false">X62+X61</f>
        <v>-100401.487413333</v>
      </c>
      <c r="Y63" s="66" t="n">
        <f aca="false">Y62+Y61</f>
        <v>-104947.914968889</v>
      </c>
      <c r="Z63" s="66" t="n">
        <f aca="false">Z62+Z61</f>
        <v>-109485.453635556</v>
      </c>
      <c r="AA63" s="66" t="n">
        <f aca="false">AA62+AA61</f>
        <v>-113623.873700981</v>
      </c>
      <c r="AB63" s="66" t="n">
        <f aca="false">AB62+AB61</f>
        <v>-117771.64951307</v>
      </c>
      <c r="AC63" s="66" t="n">
        <f aca="false">AC62+AC61</f>
        <v>-121910.53643627</v>
      </c>
      <c r="AD63" s="66" t="n">
        <f aca="false">AD62+AD61</f>
        <v>-126040.534470581</v>
      </c>
      <c r="AE63" s="66" t="n">
        <f aca="false">AE62+AE61</f>
        <v>-130161.643616004</v>
      </c>
      <c r="AF63" s="66" t="n">
        <f aca="false">AF62+AF61</f>
        <v>-134273.863872537</v>
      </c>
      <c r="AG63" s="66" t="n">
        <f aca="false">AG62+AG61</f>
        <v>-138377.195240181</v>
      </c>
      <c r="AH63" s="66" t="n">
        <f aca="false">AH62+AH61</f>
        <v>-142471.637718937</v>
      </c>
      <c r="AI63" s="66" t="n">
        <f aca="false">AI62+AI61</f>
        <v>-146557.191308804</v>
      </c>
      <c r="AJ63" s="66" t="n">
        <f aca="false">AJ62+AJ61</f>
        <v>-150633.856009781</v>
      </c>
      <c r="AK63" s="66" t="n">
        <f aca="false">AK62+AK61</f>
        <v>-154701.63182187</v>
      </c>
      <c r="AL63" s="66" t="n">
        <f aca="false">AL62+AL61</f>
        <v>-158760.51874507</v>
      </c>
    </row>
    <row r="64" customFormat="false" ht="15" hidden="false" customHeight="false" outlineLevel="0" collapsed="false">
      <c r="A64" s="114" t="s">
        <v>351</v>
      </c>
      <c r="C64" s="113" t="n">
        <f aca="false">IF(C24&gt;0,1,0)</f>
        <v>0</v>
      </c>
      <c r="D64" s="113" t="n">
        <f aca="false">IF(D24&gt;0,1,0)</f>
        <v>0</v>
      </c>
      <c r="E64" s="113" t="n">
        <f aca="false">IF(E24&gt;0,1,0)</f>
        <v>0</v>
      </c>
      <c r="F64" s="113" t="n">
        <f aca="false">IF(F24&gt;0,1,0)</f>
        <v>0</v>
      </c>
      <c r="G64" s="113" t="n">
        <f aca="false">IF(G24&gt;0,1,0)</f>
        <v>0</v>
      </c>
      <c r="H64" s="113" t="n">
        <f aca="false">IF(H24&gt;0,1,0)</f>
        <v>0</v>
      </c>
      <c r="I64" s="113" t="n">
        <f aca="false">IF(I24&gt;0,1,0)</f>
        <v>0</v>
      </c>
      <c r="J64" s="113" t="n">
        <f aca="false">IF(J24&gt;0,1,0)</f>
        <v>0</v>
      </c>
      <c r="K64" s="113" t="n">
        <f aca="false">IF(K24&gt;0,1,0)</f>
        <v>0</v>
      </c>
      <c r="L64" s="113" t="n">
        <f aca="false">IF(L24&gt;0,1,0)</f>
        <v>0</v>
      </c>
      <c r="M64" s="113" t="n">
        <f aca="false">IF(M24&gt;0,1,0)</f>
        <v>0</v>
      </c>
      <c r="N64" s="113" t="n">
        <f aca="false">IF(N24&gt;0,1,0)</f>
        <v>0</v>
      </c>
      <c r="O64" s="113" t="n">
        <f aca="false">IF(O24&gt;0,1,0)</f>
        <v>0</v>
      </c>
      <c r="P64" s="113" t="n">
        <f aca="false">IF(P24&gt;0,1,0)</f>
        <v>0</v>
      </c>
      <c r="Q64" s="113" t="n">
        <f aca="false">IF(Q24&gt;0,1,0)</f>
        <v>0</v>
      </c>
      <c r="R64" s="113" t="n">
        <f aca="false">IF(R24&gt;0,1,0)</f>
        <v>0</v>
      </c>
      <c r="S64" s="113" t="n">
        <f aca="false">IF(S24&gt;0,1,0)</f>
        <v>0</v>
      </c>
      <c r="T64" s="113" t="n">
        <f aca="false">IF(T24&gt;0,1,0)</f>
        <v>0</v>
      </c>
      <c r="U64" s="113" t="n">
        <f aca="false">IF(U24&gt;0,1,0)</f>
        <v>0</v>
      </c>
      <c r="V64" s="113" t="n">
        <f aca="false">IF(V24&gt;0,1,0)</f>
        <v>0</v>
      </c>
      <c r="W64" s="113" t="n">
        <f aca="false">IF(W24&gt;0,1,0)</f>
        <v>0</v>
      </c>
      <c r="X64" s="113" t="n">
        <f aca="false">IF(X24&gt;0,1,0)</f>
        <v>0</v>
      </c>
      <c r="Y64" s="113" t="n">
        <f aca="false">IF(Y24&gt;0,1,0)</f>
        <v>0</v>
      </c>
      <c r="Z64" s="113" t="n">
        <f aca="false">IF(Z24&gt;0,1,0)</f>
        <v>0</v>
      </c>
      <c r="AA64" s="113" t="n">
        <f aca="false">IF(AA24&gt;0,1,0)</f>
        <v>0</v>
      </c>
      <c r="AB64" s="113" t="n">
        <f aca="false">IF(AB24&gt;0,1,0)</f>
        <v>0</v>
      </c>
      <c r="AC64" s="113" t="n">
        <f aca="false">IF(AC24&gt;0,1,0)</f>
        <v>0</v>
      </c>
      <c r="AD64" s="113" t="n">
        <f aca="false">IF(AD24&gt;0,1,0)</f>
        <v>0</v>
      </c>
      <c r="AE64" s="113" t="n">
        <f aca="false">IF(AE24&gt;0,1,0)</f>
        <v>0</v>
      </c>
      <c r="AF64" s="113" t="n">
        <f aca="false">IF(AF24&gt;0,1,0)</f>
        <v>0</v>
      </c>
      <c r="AG64" s="113" t="n">
        <f aca="false">IF(AG24&gt;0,1,0)</f>
        <v>0</v>
      </c>
      <c r="AH64" s="113" t="n">
        <f aca="false">IF(AH24&gt;0,1,0)</f>
        <v>0</v>
      </c>
      <c r="AI64" s="113" t="n">
        <f aca="false">IF(AI24&gt;0,1,0)</f>
        <v>0</v>
      </c>
      <c r="AJ64" s="113" t="n">
        <f aca="false">IF(AJ24&gt;0,1,0)</f>
        <v>0</v>
      </c>
      <c r="AK64" s="113" t="n">
        <f aca="false">IF(AK24&gt;0,1,0)</f>
        <v>0</v>
      </c>
      <c r="AL64" s="113" t="n">
        <f aca="false">IF(AL24&gt;0,1,0)</f>
        <v>0</v>
      </c>
    </row>
    <row r="66" customFormat="false" ht="15.75" hidden="false" customHeight="true" outlineLevel="0" collapsed="false">
      <c r="A66" s="7" t="s">
        <v>352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114" t="s">
        <v>353</v>
      </c>
      <c r="C67" s="113" t="n">
        <f aca="false">IF(C33&gt;0,1,0)</f>
        <v>0</v>
      </c>
      <c r="D67" s="113" t="n">
        <f aca="false">IF(D33&gt;0,1,0)</f>
        <v>0</v>
      </c>
      <c r="E67" s="113" t="n">
        <f aca="false">IF(E33&gt;0,1,0)</f>
        <v>0</v>
      </c>
      <c r="F67" s="113" t="n">
        <f aca="false">IF(F33&gt;0,1,0)</f>
        <v>0</v>
      </c>
      <c r="G67" s="113" t="n">
        <f aca="false">IF(G33&gt;0,1,0)</f>
        <v>0</v>
      </c>
      <c r="H67" s="113" t="n">
        <f aca="false">IF(H33&gt;0,1,0)</f>
        <v>0</v>
      </c>
      <c r="I67" s="113" t="n">
        <f aca="false">IF(I33&gt;0,1,0)</f>
        <v>0</v>
      </c>
      <c r="J67" s="113" t="n">
        <f aca="false">IF(J33&gt;0,1,0)</f>
        <v>0</v>
      </c>
      <c r="K67" s="113" t="n">
        <f aca="false">IF(K33&gt;0,1,0)</f>
        <v>0</v>
      </c>
      <c r="L67" s="113" t="n">
        <f aca="false">IF(L33&gt;0,1,0)</f>
        <v>0</v>
      </c>
      <c r="M67" s="113" t="n">
        <f aca="false">IF(M33&gt;0,1,0)</f>
        <v>0</v>
      </c>
      <c r="N67" s="113" t="n">
        <f aca="false">IF(N33&gt;0,1,0)</f>
        <v>0</v>
      </c>
      <c r="O67" s="113" t="n">
        <f aca="false">IF(O33&gt;0,1,0)</f>
        <v>0</v>
      </c>
      <c r="P67" s="113" t="n">
        <f aca="false">IF(P33&gt;0,1,0)</f>
        <v>0</v>
      </c>
      <c r="Q67" s="113" t="n">
        <f aca="false">IF(Q33&gt;0,1,0)</f>
        <v>0</v>
      </c>
      <c r="R67" s="113" t="n">
        <f aca="false">IF(R33&gt;0,1,0)</f>
        <v>0</v>
      </c>
      <c r="S67" s="113" t="n">
        <f aca="false">IF(S33&gt;0,1,0)</f>
        <v>0</v>
      </c>
      <c r="T67" s="113" t="n">
        <f aca="false">IF(T33&gt;0,1,0)</f>
        <v>0</v>
      </c>
      <c r="U67" s="113" t="n">
        <f aca="false">IF(U33&gt;0,1,0)</f>
        <v>0</v>
      </c>
      <c r="V67" s="113" t="n">
        <f aca="false">IF(V33&gt;0,1,0)</f>
        <v>0</v>
      </c>
      <c r="W67" s="113" t="n">
        <f aca="false">IF(W33&gt;0,1,0)</f>
        <v>0</v>
      </c>
      <c r="X67" s="113" t="n">
        <f aca="false">IF(X33&gt;0,1,0)</f>
        <v>0</v>
      </c>
      <c r="Y67" s="113" t="n">
        <f aca="false">IF(Y33&gt;0,1,0)</f>
        <v>0</v>
      </c>
      <c r="Z67" s="113" t="n">
        <f aca="false">IF(Z33&gt;0,1,0)</f>
        <v>0</v>
      </c>
      <c r="AA67" s="113" t="n">
        <f aca="false">IF(AA33&gt;0,1,0)</f>
        <v>0</v>
      </c>
      <c r="AB67" s="113" t="n">
        <f aca="false">IF(AB33&gt;0,1,0)</f>
        <v>0</v>
      </c>
      <c r="AC67" s="113" t="n">
        <f aca="false">IF(AC33&gt;0,1,0)</f>
        <v>0</v>
      </c>
      <c r="AD67" s="113" t="n">
        <f aca="false">IF(AD33&gt;0,1,0)</f>
        <v>0</v>
      </c>
      <c r="AE67" s="113" t="n">
        <f aca="false">IF(AE33&gt;0,1,0)</f>
        <v>0</v>
      </c>
      <c r="AF67" s="113" t="n">
        <f aca="false">IF(AF33&gt;0,1,0)</f>
        <v>0</v>
      </c>
      <c r="AG67" s="113" t="n">
        <f aca="false">IF(AG33&gt;0,1,0)</f>
        <v>0</v>
      </c>
      <c r="AH67" s="113" t="n">
        <f aca="false">IF(AH33&gt;0,1,0)</f>
        <v>0</v>
      </c>
      <c r="AI67" s="113" t="n">
        <f aca="false">IF(AI33&gt;0,1,0)</f>
        <v>0</v>
      </c>
      <c r="AJ67" s="113" t="n">
        <f aca="false">IF(AJ33&gt;0,1,0)</f>
        <v>0</v>
      </c>
      <c r="AK67" s="113" t="n">
        <f aca="false">IF(AK33&gt;0,1,0)</f>
        <v>0</v>
      </c>
      <c r="AL67" s="113" t="n">
        <f aca="false">IF(AL33&gt;0,1,0)</f>
        <v>0</v>
      </c>
    </row>
    <row r="68" customFormat="false" ht="15" hidden="false" customHeight="false" outlineLevel="0" collapsed="false">
      <c r="A68" s="6" t="s">
        <v>354</v>
      </c>
      <c r="C68" s="65" t="n">
        <f aca="false">C57+C58</f>
        <v>-190744.053333333</v>
      </c>
      <c r="D68" s="65" t="n">
        <f aca="false">D57+D58</f>
        <v>-10062.0088888889</v>
      </c>
      <c r="E68" s="65" t="n">
        <f aca="false">E57+E58</f>
        <v>-9261.12</v>
      </c>
      <c r="F68" s="65" t="n">
        <f aca="false">F57+F58</f>
        <v>-8460.23111111111</v>
      </c>
      <c r="G68" s="65" t="n">
        <f aca="false">G57+G58</f>
        <v>-7659.34222222222</v>
      </c>
      <c r="H68" s="65" t="n">
        <f aca="false">H57+H58</f>
        <v>-6858.45333333334</v>
      </c>
      <c r="I68" s="65" t="n">
        <f aca="false">I57+I58</f>
        <v>-6057.56444444445</v>
      </c>
      <c r="J68" s="65" t="n">
        <f aca="false">J57+J58</f>
        <v>-5256.67555555556</v>
      </c>
      <c r="K68" s="65" t="n">
        <f aca="false">K57+K58</f>
        <v>-4455.78666666667</v>
      </c>
      <c r="L68" s="65" t="n">
        <f aca="false">L57+L58</f>
        <v>-3654.89777777778</v>
      </c>
      <c r="M68" s="65" t="n">
        <f aca="false">M57+M58</f>
        <v>-3668.88888888889</v>
      </c>
      <c r="N68" s="65" t="n">
        <f aca="false">N57+N58</f>
        <v>-3660</v>
      </c>
      <c r="O68" s="65" t="n">
        <f aca="false">O57+O58</f>
        <v>-3284.61719111111</v>
      </c>
      <c r="P68" s="65" t="n">
        <f aca="false">P57+P58</f>
        <v>-3293.09422222222</v>
      </c>
      <c r="Q68" s="65" t="n">
        <f aca="false">Q57+Q58</f>
        <v>-3284.20533333333</v>
      </c>
      <c r="R68" s="65" t="n">
        <f aca="false">R57+R58</f>
        <v>-3275.31644444444</v>
      </c>
      <c r="S68" s="65" t="n">
        <f aca="false">S57+S58</f>
        <v>-3266.42755555556</v>
      </c>
      <c r="T68" s="65" t="n">
        <f aca="false">T57+T58</f>
        <v>-3257.53866666667</v>
      </c>
      <c r="U68" s="65" t="n">
        <f aca="false">U57+U58</f>
        <v>-3248.64977777778</v>
      </c>
      <c r="V68" s="65" t="n">
        <f aca="false">V57+V58</f>
        <v>-3239.76088888889</v>
      </c>
      <c r="W68" s="65" t="n">
        <f aca="false">W57+W58</f>
        <v>-3230.872</v>
      </c>
      <c r="X68" s="65" t="n">
        <f aca="false">X57+X58</f>
        <v>-3221.98311111111</v>
      </c>
      <c r="Y68" s="65" t="n">
        <f aca="false">Y57+Y58</f>
        <v>-3213.09422222222</v>
      </c>
      <c r="Z68" s="65" t="n">
        <f aca="false">Z57+Z58</f>
        <v>-3204.20533333333</v>
      </c>
      <c r="AA68" s="65" t="n">
        <f aca="false">AA57+AA58</f>
        <v>-2805.08673209245</v>
      </c>
      <c r="AB68" s="65" t="n">
        <f aca="false">AB57+AB58</f>
        <v>-2814.44247875556</v>
      </c>
      <c r="AC68" s="65" t="n">
        <f aca="false">AC57+AC58</f>
        <v>-2805.55358986667</v>
      </c>
      <c r="AD68" s="65" t="n">
        <f aca="false">AD57+AD58</f>
        <v>-2796.66470097778</v>
      </c>
      <c r="AE68" s="65" t="n">
        <f aca="false">AE57+AE58</f>
        <v>-2787.77581208889</v>
      </c>
      <c r="AF68" s="65" t="n">
        <f aca="false">AF57+AF58</f>
        <v>-2778.8869232</v>
      </c>
      <c r="AG68" s="65" t="n">
        <f aca="false">AG57+AG58</f>
        <v>-2769.99803431111</v>
      </c>
      <c r="AH68" s="65" t="n">
        <f aca="false">AH57+AH58</f>
        <v>-2761.10914542222</v>
      </c>
      <c r="AI68" s="65" t="n">
        <f aca="false">AI57+AI58</f>
        <v>-2752.22025653334</v>
      </c>
      <c r="AJ68" s="65" t="n">
        <f aca="false">AJ57+AJ58</f>
        <v>-2743.33136764445</v>
      </c>
      <c r="AK68" s="65" t="n">
        <f aca="false">AK57+AK58</f>
        <v>-2734.44247875556</v>
      </c>
      <c r="AL68" s="65" t="n">
        <f aca="false">AL57+AL58</f>
        <v>-2725.55358986667</v>
      </c>
    </row>
    <row r="69" customFormat="false" ht="15" hidden="false" customHeight="false" outlineLevel="0" collapsed="false">
      <c r="A69" s="6" t="s">
        <v>355</v>
      </c>
      <c r="C69" s="65" t="n">
        <f aca="false">C68</f>
        <v>-190744.053333333</v>
      </c>
      <c r="D69" s="65" t="n">
        <f aca="false">C69+D68</f>
        <v>-200806.062222222</v>
      </c>
      <c r="E69" s="65" t="n">
        <f aca="false">D69+E68</f>
        <v>-210067.182222222</v>
      </c>
      <c r="F69" s="65" t="n">
        <f aca="false">E69+F68</f>
        <v>-218527.413333333</v>
      </c>
      <c r="G69" s="65" t="n">
        <f aca="false">F69+G68</f>
        <v>-226186.755555556</v>
      </c>
      <c r="H69" s="65" t="n">
        <f aca="false">G69+H68</f>
        <v>-233045.208888889</v>
      </c>
      <c r="I69" s="65" t="n">
        <f aca="false">H69+I68</f>
        <v>-239102.773333333</v>
      </c>
      <c r="J69" s="65" t="n">
        <f aca="false">I69+J68</f>
        <v>-244359.448888889</v>
      </c>
      <c r="K69" s="65" t="n">
        <f aca="false">J69+K68</f>
        <v>-248815.235555556</v>
      </c>
      <c r="L69" s="65" t="n">
        <f aca="false">K69+L68</f>
        <v>-252470.133333333</v>
      </c>
      <c r="M69" s="65" t="n">
        <f aca="false">L69+M68</f>
        <v>-256139.022222222</v>
      </c>
      <c r="N69" s="65" t="n">
        <f aca="false">M69+N68</f>
        <v>-259799.022222222</v>
      </c>
      <c r="O69" s="65" t="n">
        <f aca="false">N69+O68</f>
        <v>-263083.639413333</v>
      </c>
      <c r="P69" s="65" t="n">
        <f aca="false">O69+P68</f>
        <v>-266376.733635556</v>
      </c>
      <c r="Q69" s="65" t="n">
        <f aca="false">P69+Q68</f>
        <v>-269660.938968889</v>
      </c>
      <c r="R69" s="65" t="n">
        <f aca="false">Q69+R68</f>
        <v>-272936.255413333</v>
      </c>
      <c r="S69" s="65" t="n">
        <f aca="false">R69+S68</f>
        <v>-276202.682968889</v>
      </c>
      <c r="T69" s="65" t="n">
        <f aca="false">S69+T68</f>
        <v>-279460.221635556</v>
      </c>
      <c r="U69" s="65" t="n">
        <f aca="false">T69+U68</f>
        <v>-282708.871413333</v>
      </c>
      <c r="V69" s="65" t="n">
        <f aca="false">U69+V68</f>
        <v>-285948.632302222</v>
      </c>
      <c r="W69" s="65" t="n">
        <f aca="false">V69+W68</f>
        <v>-289179.504302222</v>
      </c>
      <c r="X69" s="65" t="n">
        <f aca="false">W69+X68</f>
        <v>-292401.487413333</v>
      </c>
      <c r="Y69" s="65" t="n">
        <f aca="false">X69+Y68</f>
        <v>-295614.581635556</v>
      </c>
      <c r="Z69" s="65" t="n">
        <f aca="false">Y69+Z68</f>
        <v>-298818.786968889</v>
      </c>
      <c r="AA69" s="65" t="n">
        <f aca="false">Z69+AA68</f>
        <v>-301623.873700981</v>
      </c>
      <c r="AB69" s="65" t="n">
        <f aca="false">AA69+AB68</f>
        <v>-304438.316179737</v>
      </c>
      <c r="AC69" s="65" t="n">
        <f aca="false">AB69+AC68</f>
        <v>-307243.869769604</v>
      </c>
      <c r="AD69" s="65" t="n">
        <f aca="false">AC69+AD68</f>
        <v>-310040.534470581</v>
      </c>
      <c r="AE69" s="65" t="n">
        <f aca="false">AD69+AE68</f>
        <v>-312828.31028267</v>
      </c>
      <c r="AF69" s="65" t="n">
        <f aca="false">AE69+AF68</f>
        <v>-315607.19720587</v>
      </c>
      <c r="AG69" s="65" t="n">
        <f aca="false">AF69+AG68</f>
        <v>-318377.195240181</v>
      </c>
      <c r="AH69" s="65" t="n">
        <f aca="false">AG69+AH68</f>
        <v>-321138.304385604</v>
      </c>
      <c r="AI69" s="65" t="n">
        <f aca="false">AH69+AI68</f>
        <v>-323890.524642137</v>
      </c>
      <c r="AJ69" s="65" t="n">
        <f aca="false">AI69+AJ68</f>
        <v>-326633.856009781</v>
      </c>
      <c r="AK69" s="65" t="n">
        <f aca="false">AJ69+AK68</f>
        <v>-329368.298488537</v>
      </c>
      <c r="AL69" s="65" t="n">
        <f aca="false">AK69+AL68</f>
        <v>-332093.852078404</v>
      </c>
    </row>
    <row r="70" customFormat="false" ht="15" hidden="false" customHeight="false" outlineLevel="0" collapsed="false">
      <c r="A70" s="114" t="s">
        <v>356</v>
      </c>
      <c r="C70" s="65" t="n">
        <f aca="false">C69</f>
        <v>-190744.053333333</v>
      </c>
      <c r="D70" s="65" t="n">
        <f aca="false">MIN(C70,D69)</f>
        <v>-200806.062222222</v>
      </c>
      <c r="E70" s="65" t="n">
        <f aca="false">MIN(D70,E69)</f>
        <v>-210067.182222222</v>
      </c>
      <c r="F70" s="65" t="n">
        <f aca="false">MIN(E70,F69)</f>
        <v>-218527.413333333</v>
      </c>
      <c r="G70" s="65" t="n">
        <f aca="false">MIN(F70,G69)</f>
        <v>-226186.755555556</v>
      </c>
      <c r="H70" s="65" t="n">
        <f aca="false">MIN(G70,H69)</f>
        <v>-233045.208888889</v>
      </c>
      <c r="I70" s="65" t="n">
        <f aca="false">MIN(H70,I69)</f>
        <v>-239102.773333333</v>
      </c>
      <c r="J70" s="65" t="n">
        <f aca="false">MIN(I70,J69)</f>
        <v>-244359.448888889</v>
      </c>
      <c r="K70" s="65" t="n">
        <f aca="false">MIN(J70,K69)</f>
        <v>-248815.235555556</v>
      </c>
      <c r="L70" s="65" t="n">
        <f aca="false">MIN(K70,L69)</f>
        <v>-252470.133333333</v>
      </c>
      <c r="M70" s="65" t="n">
        <f aca="false">MIN(L70,M69)</f>
        <v>-256139.022222222</v>
      </c>
      <c r="N70" s="65" t="n">
        <f aca="false">MIN(M70,N69)</f>
        <v>-259799.022222222</v>
      </c>
      <c r="O70" s="65" t="n">
        <f aca="false">MIN(N70,O69)</f>
        <v>-263083.639413333</v>
      </c>
      <c r="P70" s="65" t="n">
        <f aca="false">MIN(O70,P69)</f>
        <v>-266376.733635556</v>
      </c>
      <c r="Q70" s="65" t="n">
        <f aca="false">MIN(P70,Q69)</f>
        <v>-269660.938968889</v>
      </c>
      <c r="R70" s="65" t="n">
        <f aca="false">MIN(Q70,R69)</f>
        <v>-272936.255413333</v>
      </c>
      <c r="S70" s="65" t="n">
        <f aca="false">MIN(R70,S69)</f>
        <v>-276202.682968889</v>
      </c>
      <c r="T70" s="65" t="n">
        <f aca="false">MIN(S70,T69)</f>
        <v>-279460.221635556</v>
      </c>
      <c r="U70" s="65" t="n">
        <f aca="false">MIN(T70,U69)</f>
        <v>-282708.871413333</v>
      </c>
      <c r="V70" s="65" t="n">
        <f aca="false">MIN(U70,V69)</f>
        <v>-285948.632302222</v>
      </c>
      <c r="W70" s="65" t="n">
        <f aca="false">MIN(V70,W69)</f>
        <v>-289179.504302222</v>
      </c>
      <c r="X70" s="65" t="n">
        <f aca="false">MIN(W70,X69)</f>
        <v>-292401.487413333</v>
      </c>
      <c r="Y70" s="65" t="n">
        <f aca="false">MIN(X70,Y69)</f>
        <v>-295614.581635556</v>
      </c>
      <c r="Z70" s="65" t="n">
        <f aca="false">MIN(Y70,Z69)</f>
        <v>-298818.786968889</v>
      </c>
      <c r="AA70" s="65" t="n">
        <f aca="false">MIN(Z70,AA69)</f>
        <v>-301623.873700981</v>
      </c>
      <c r="AB70" s="65" t="n">
        <f aca="false">MIN(AA70,AB69)</f>
        <v>-304438.316179737</v>
      </c>
      <c r="AC70" s="65" t="n">
        <f aca="false">MIN(AB70,AC69)</f>
        <v>-307243.869769604</v>
      </c>
      <c r="AD70" s="65" t="n">
        <f aca="false">MIN(AC70,AD69)</f>
        <v>-310040.534470581</v>
      </c>
      <c r="AE70" s="65" t="n">
        <f aca="false">MIN(AD70,AE69)</f>
        <v>-312828.31028267</v>
      </c>
      <c r="AF70" s="65" t="n">
        <f aca="false">MIN(AE70,AF69)</f>
        <v>-315607.19720587</v>
      </c>
      <c r="AG70" s="65" t="n">
        <f aca="false">MIN(AF70,AG69)</f>
        <v>-318377.195240181</v>
      </c>
      <c r="AH70" s="65" t="n">
        <f aca="false">MIN(AG70,AH69)</f>
        <v>-321138.304385604</v>
      </c>
      <c r="AI70" s="65" t="n">
        <f aca="false">MIN(AH70,AI69)</f>
        <v>-323890.524642137</v>
      </c>
      <c r="AJ70" s="65" t="n">
        <f aca="false">MIN(AI70,AJ69)</f>
        <v>-326633.856009781</v>
      </c>
      <c r="AK70" s="65" t="n">
        <f aca="false">MIN(AJ70,AK69)</f>
        <v>-329368.298488537</v>
      </c>
      <c r="AL70" s="65" t="n">
        <f aca="false">MIN(AK70,AL69)</f>
        <v>-332093.852078404</v>
      </c>
    </row>
    <row r="71" customFormat="false" ht="15" hidden="false" customHeight="false" outlineLevel="0" collapsed="false">
      <c r="A71" s="114" t="s">
        <v>357</v>
      </c>
      <c r="C71" s="113" t="n">
        <f aca="false">IF(AND(C69&gt;=0,C70&lt;0),1,0)</f>
        <v>0</v>
      </c>
      <c r="D71" s="113" t="n">
        <f aca="false">IF(AND(D69&gt;=0,D70&lt;0),1,0)</f>
        <v>0</v>
      </c>
      <c r="E71" s="113" t="n">
        <f aca="false">IF(AND(E69&gt;=0,E70&lt;0),1,0)</f>
        <v>0</v>
      </c>
      <c r="F71" s="113" t="n">
        <f aca="false">IF(AND(F69&gt;=0,F70&lt;0),1,0)</f>
        <v>0</v>
      </c>
      <c r="G71" s="113" t="n">
        <f aca="false">IF(AND(G69&gt;=0,G70&lt;0),1,0)</f>
        <v>0</v>
      </c>
      <c r="H71" s="113" t="n">
        <f aca="false">IF(AND(H69&gt;=0,H70&lt;0),1,0)</f>
        <v>0</v>
      </c>
      <c r="I71" s="113" t="n">
        <f aca="false">IF(AND(I69&gt;=0,I70&lt;0),1,0)</f>
        <v>0</v>
      </c>
      <c r="J71" s="113" t="n">
        <f aca="false">IF(AND(J69&gt;=0,J70&lt;0),1,0)</f>
        <v>0</v>
      </c>
      <c r="K71" s="113" t="n">
        <f aca="false">IF(AND(K69&gt;=0,K70&lt;0),1,0)</f>
        <v>0</v>
      </c>
      <c r="L71" s="113" t="n">
        <f aca="false">IF(AND(L69&gt;=0,L70&lt;0),1,0)</f>
        <v>0</v>
      </c>
      <c r="M71" s="113" t="n">
        <f aca="false">IF(AND(M69&gt;=0,M70&lt;0),1,0)</f>
        <v>0</v>
      </c>
      <c r="N71" s="113" t="n">
        <f aca="false">IF(AND(N69&gt;=0,N70&lt;0),1,0)</f>
        <v>0</v>
      </c>
      <c r="O71" s="113" t="n">
        <f aca="false">IF(AND(O69&gt;=0,O70&lt;0),1,0)</f>
        <v>0</v>
      </c>
      <c r="P71" s="113" t="n">
        <f aca="false">IF(AND(P69&gt;=0,P70&lt;0),1,0)</f>
        <v>0</v>
      </c>
      <c r="Q71" s="113" t="n">
        <f aca="false">IF(AND(Q69&gt;=0,Q70&lt;0),1,0)</f>
        <v>0</v>
      </c>
      <c r="R71" s="113" t="n">
        <f aca="false">IF(AND(R69&gt;=0,R70&lt;0),1,0)</f>
        <v>0</v>
      </c>
      <c r="S71" s="113" t="n">
        <f aca="false">IF(AND(S69&gt;=0,S70&lt;0),1,0)</f>
        <v>0</v>
      </c>
      <c r="T71" s="113" t="n">
        <f aca="false">IF(AND(T69&gt;=0,T70&lt;0),1,0)</f>
        <v>0</v>
      </c>
      <c r="U71" s="113" t="n">
        <f aca="false">IF(AND(U69&gt;=0,U70&lt;0),1,0)</f>
        <v>0</v>
      </c>
      <c r="V71" s="113" t="n">
        <f aca="false">IF(AND(V69&gt;=0,V70&lt;0),1,0)</f>
        <v>0</v>
      </c>
      <c r="W71" s="113" t="n">
        <f aca="false">IF(AND(W69&gt;=0,W70&lt;0),1,0)</f>
        <v>0</v>
      </c>
      <c r="X71" s="113" t="n">
        <f aca="false">IF(AND(X69&gt;=0,X70&lt;0),1,0)</f>
        <v>0</v>
      </c>
      <c r="Y71" s="113" t="n">
        <f aca="false">IF(AND(Y69&gt;=0,Y70&lt;0),1,0)</f>
        <v>0</v>
      </c>
      <c r="Z71" s="113" t="n">
        <f aca="false">IF(AND(Z69&gt;=0,Z70&lt;0),1,0)</f>
        <v>0</v>
      </c>
      <c r="AA71" s="113" t="n">
        <f aca="false">IF(AND(AA69&gt;=0,AA70&lt;0),1,0)</f>
        <v>0</v>
      </c>
      <c r="AB71" s="113" t="n">
        <f aca="false">IF(AND(AB69&gt;=0,AB70&lt;0),1,0)</f>
        <v>0</v>
      </c>
      <c r="AC71" s="113" t="n">
        <f aca="false">IF(AND(AC69&gt;=0,AC70&lt;0),1,0)</f>
        <v>0</v>
      </c>
      <c r="AD71" s="113" t="n">
        <f aca="false">IF(AND(AD69&gt;=0,AD70&lt;0),1,0)</f>
        <v>0</v>
      </c>
      <c r="AE71" s="113" t="n">
        <f aca="false">IF(AND(AE69&gt;=0,AE70&lt;0),1,0)</f>
        <v>0</v>
      </c>
      <c r="AF71" s="113" t="n">
        <f aca="false">IF(AND(AF69&gt;=0,AF70&lt;0),1,0)</f>
        <v>0</v>
      </c>
      <c r="AG71" s="113" t="n">
        <f aca="false">IF(AND(AG69&gt;=0,AG70&lt;0),1,0)</f>
        <v>0</v>
      </c>
      <c r="AH71" s="113" t="n">
        <f aca="false">IF(AND(AH69&gt;=0,AH70&lt;0),1,0)</f>
        <v>0</v>
      </c>
      <c r="AI71" s="113" t="n">
        <f aca="false">IF(AND(AI69&gt;=0,AI70&lt;0),1,0)</f>
        <v>0</v>
      </c>
      <c r="AJ71" s="113" t="n">
        <f aca="false">IF(AND(AJ69&gt;=0,AJ70&lt;0),1,0)</f>
        <v>0</v>
      </c>
      <c r="AK71" s="113" t="n">
        <f aca="false">IF(AND(AK69&gt;=0,AK70&lt;0),1,0)</f>
        <v>0</v>
      </c>
      <c r="AL71" s="113" t="n">
        <f aca="false">IF(AND(AL69&gt;=0,AL70&lt;0),1,0)</f>
        <v>0</v>
      </c>
    </row>
    <row r="72" customFormat="false" ht="15" hidden="false" customHeight="false" outlineLevel="0" collapsed="false">
      <c r="A72" s="6" t="s">
        <v>358</v>
      </c>
      <c r="C72" s="65" t="n">
        <f aca="false">C57-C28*(1-Inputs!$B$41)+C58</f>
        <v>-190322.72</v>
      </c>
      <c r="D72" s="65" t="n">
        <f aca="false">D57-D28*(1-Inputs!$B$41)+D58</f>
        <v>-9644.18666666667</v>
      </c>
      <c r="E72" s="65" t="n">
        <f aca="false">E57-E28*(1-Inputs!$B$41)+E58</f>
        <v>-8850.32</v>
      </c>
      <c r="F72" s="65" t="n">
        <f aca="false">F57-F28*(1-Inputs!$B$41)+F58</f>
        <v>-8056.45333333333</v>
      </c>
      <c r="G72" s="65" t="n">
        <f aca="false">G57-G28*(1-Inputs!$B$41)+G58</f>
        <v>-7262.58666666667</v>
      </c>
      <c r="H72" s="65" t="n">
        <f aca="false">H57-H28*(1-Inputs!$B$41)+H58</f>
        <v>-6468.72</v>
      </c>
      <c r="I72" s="65" t="n">
        <f aca="false">I57-I28*(1-Inputs!$B$41)+I58</f>
        <v>-5674.85333333333</v>
      </c>
      <c r="J72" s="65" t="n">
        <f aca="false">J57-J28*(1-Inputs!$B$41)+J58</f>
        <v>-4880.98666666667</v>
      </c>
      <c r="K72" s="65" t="n">
        <f aca="false">K57-K28*(1-Inputs!$B$41)+K58</f>
        <v>-4087.12</v>
      </c>
      <c r="L72" s="65" t="n">
        <f aca="false">L57-L28*(1-Inputs!$B$41)+L58</f>
        <v>-3293.25333333333</v>
      </c>
      <c r="M72" s="65" t="n">
        <f aca="false">M57-M28*(1-Inputs!$B$41)+M58</f>
        <v>-3314.26666666667</v>
      </c>
      <c r="N72" s="65" t="n">
        <f aca="false">N57-N28*(1-Inputs!$B$41)+N58</f>
        <v>-3312.4</v>
      </c>
      <c r="O72" s="65" t="n">
        <f aca="false">O57-O28*(1-Inputs!$B$41)+O58</f>
        <v>-2944.03941333333</v>
      </c>
      <c r="P72" s="65" t="n">
        <f aca="false">P57-P28*(1-Inputs!$B$41)+P58</f>
        <v>-2959.53866666667</v>
      </c>
      <c r="Q72" s="65" t="n">
        <f aca="false">Q57-Q28*(1-Inputs!$B$41)+Q58</f>
        <v>-2957.672</v>
      </c>
      <c r="R72" s="65" t="n">
        <f aca="false">R57-R28*(1-Inputs!$B$41)+R58</f>
        <v>-2955.80533333333</v>
      </c>
      <c r="S72" s="65" t="n">
        <f aca="false">S57-S28*(1-Inputs!$B$41)+S58</f>
        <v>-2953.93866666667</v>
      </c>
      <c r="T72" s="65" t="n">
        <f aca="false">T57-T28*(1-Inputs!$B$41)+T58</f>
        <v>-2952.072</v>
      </c>
      <c r="U72" s="65" t="n">
        <f aca="false">U57-U28*(1-Inputs!$B$41)+U58</f>
        <v>-2950.20533333333</v>
      </c>
      <c r="V72" s="65" t="n">
        <f aca="false">V57-V28*(1-Inputs!$B$41)+V58</f>
        <v>-2948.33866666667</v>
      </c>
      <c r="W72" s="65" t="n">
        <f aca="false">W57-W28*(1-Inputs!$B$41)+W58</f>
        <v>-2946.472</v>
      </c>
      <c r="X72" s="65" t="n">
        <f aca="false">X57-X28*(1-Inputs!$B$41)+X58</f>
        <v>-2944.60533333333</v>
      </c>
      <c r="Y72" s="65" t="n">
        <f aca="false">Y57-Y28*(1-Inputs!$B$41)+Y58</f>
        <v>-2942.73866666667</v>
      </c>
      <c r="Z72" s="65" t="n">
        <f aca="false">Z57-Z28*(1-Inputs!$B$41)+Z58</f>
        <v>-2940.872</v>
      </c>
      <c r="AA72" s="65" t="n">
        <f aca="false">AA57-AA28*(1-Inputs!$B$41)+AA58</f>
        <v>-2548.77562098134</v>
      </c>
      <c r="AB72" s="65" t="n">
        <f aca="false">AB57-AB28*(1-Inputs!$B$41)+AB58</f>
        <v>-2565.15358986667</v>
      </c>
      <c r="AC72" s="65" t="n">
        <f aca="false">AC57-AC28*(1-Inputs!$B$41)+AC58</f>
        <v>-2563.2869232</v>
      </c>
      <c r="AD72" s="65" t="n">
        <f aca="false">AD57-AD28*(1-Inputs!$B$41)+AD58</f>
        <v>-2561.42025653334</v>
      </c>
      <c r="AE72" s="65" t="n">
        <f aca="false">AE57-AE28*(1-Inputs!$B$41)+AE58</f>
        <v>-2559.55358986667</v>
      </c>
      <c r="AF72" s="65" t="n">
        <f aca="false">AF57-AF28*(1-Inputs!$B$41)+AF58</f>
        <v>-2557.6869232</v>
      </c>
      <c r="AG72" s="65" t="n">
        <f aca="false">AG57-AG28*(1-Inputs!$B$41)+AG58</f>
        <v>-2555.82025653334</v>
      </c>
      <c r="AH72" s="65" t="n">
        <f aca="false">AH57-AH28*(1-Inputs!$B$41)+AH58</f>
        <v>-2553.95358986667</v>
      </c>
      <c r="AI72" s="65" t="n">
        <f aca="false">AI57-AI28*(1-Inputs!$B$41)+AI58</f>
        <v>-2552.0869232</v>
      </c>
      <c r="AJ72" s="65" t="n">
        <f aca="false">AJ57-AJ28*(1-Inputs!$B$41)+AJ58</f>
        <v>-2550.22025653334</v>
      </c>
      <c r="AK72" s="65" t="n">
        <f aca="false">AK57-AK28*(1-Inputs!$B$41)+AK58</f>
        <v>-2548.35358986667</v>
      </c>
      <c r="AL72" s="65" t="n">
        <f aca="false">AL57-AL28*(1-Inputs!$B$41)+AL58</f>
        <v>-2546.4869232</v>
      </c>
    </row>
    <row r="74" customFormat="false" ht="15.75" hidden="false" customHeight="true" outlineLevel="0" collapsed="false">
      <c r="A74" s="7" t="s">
        <v>359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95</v>
      </c>
      <c r="C75" s="65" t="n">
        <f aca="false">C59</f>
        <v>140000</v>
      </c>
      <c r="D75" s="65" t="n">
        <f aca="false">C75+D59</f>
        <v>140000</v>
      </c>
      <c r="E75" s="65" t="n">
        <f aca="false">D75+E59</f>
        <v>140000</v>
      </c>
      <c r="F75" s="65" t="n">
        <f aca="false">E75+F59</f>
        <v>140000</v>
      </c>
      <c r="G75" s="65" t="n">
        <f aca="false">F75+G59</f>
        <v>140000</v>
      </c>
      <c r="H75" s="65" t="n">
        <f aca="false">G75+H59</f>
        <v>140000</v>
      </c>
      <c r="I75" s="65" t="n">
        <f aca="false">H75+I59</f>
        <v>140000</v>
      </c>
      <c r="J75" s="65" t="n">
        <f aca="false">I75+J59</f>
        <v>140000</v>
      </c>
      <c r="K75" s="65" t="n">
        <f aca="false">J75+K59</f>
        <v>140000</v>
      </c>
      <c r="L75" s="65" t="n">
        <f aca="false">K75+L59</f>
        <v>140000</v>
      </c>
      <c r="M75" s="65" t="n">
        <f aca="false">L75+M59</f>
        <v>140000</v>
      </c>
      <c r="N75" s="65" t="n">
        <f aca="false">M75+N59</f>
        <v>140000</v>
      </c>
      <c r="O75" s="65" t="n">
        <f aca="false">N75+O59</f>
        <v>140000</v>
      </c>
      <c r="P75" s="65" t="n">
        <f aca="false">O75+P59</f>
        <v>140000</v>
      </c>
      <c r="Q75" s="65" t="n">
        <f aca="false">P75+Q59</f>
        <v>140000</v>
      </c>
      <c r="R75" s="65" t="n">
        <f aca="false">Q75+R59</f>
        <v>140000</v>
      </c>
      <c r="S75" s="65" t="n">
        <f aca="false">R75+S59</f>
        <v>140000</v>
      </c>
      <c r="T75" s="65" t="n">
        <f aca="false">S75+T59</f>
        <v>140000</v>
      </c>
      <c r="U75" s="65" t="n">
        <f aca="false">T75+U59</f>
        <v>140000</v>
      </c>
      <c r="V75" s="65" t="n">
        <f aca="false">U75+V59</f>
        <v>140000</v>
      </c>
      <c r="W75" s="65" t="n">
        <f aca="false">V75+W59</f>
        <v>140000</v>
      </c>
      <c r="X75" s="65" t="n">
        <f aca="false">W75+X59</f>
        <v>140000</v>
      </c>
      <c r="Y75" s="65" t="n">
        <f aca="false">X75+Y59</f>
        <v>140000</v>
      </c>
      <c r="Z75" s="65" t="n">
        <f aca="false">Y75+Z59</f>
        <v>140000</v>
      </c>
      <c r="AA75" s="65" t="n">
        <f aca="false">Z75+AA59</f>
        <v>140000</v>
      </c>
      <c r="AB75" s="65" t="n">
        <f aca="false">AA75+AB59</f>
        <v>140000</v>
      </c>
      <c r="AC75" s="65" t="n">
        <f aca="false">AB75+AC59</f>
        <v>140000</v>
      </c>
      <c r="AD75" s="65" t="n">
        <f aca="false">AC75+AD59</f>
        <v>140000</v>
      </c>
      <c r="AE75" s="65" t="n">
        <f aca="false">AD75+AE59</f>
        <v>140000</v>
      </c>
      <c r="AF75" s="65" t="n">
        <f aca="false">AE75+AF59</f>
        <v>140000</v>
      </c>
      <c r="AG75" s="65" t="n">
        <f aca="false">AF75+AG59</f>
        <v>140000</v>
      </c>
      <c r="AH75" s="65" t="n">
        <f aca="false">AG75+AH59</f>
        <v>140000</v>
      </c>
      <c r="AI75" s="65" t="n">
        <f aca="false">AH75+AI59</f>
        <v>140000</v>
      </c>
      <c r="AJ75" s="65" t="n">
        <f aca="false">AI75+AJ59</f>
        <v>140000</v>
      </c>
      <c r="AK75" s="65" t="n">
        <f aca="false">AJ75+AK59</f>
        <v>140000</v>
      </c>
      <c r="AL75" s="65" t="n">
        <f aca="false">AK75+AL59</f>
        <v>140000</v>
      </c>
    </row>
    <row r="76" customFormat="false" ht="15" hidden="false" customHeight="false" outlineLevel="0" collapsed="false">
      <c r="A76" s="6" t="s">
        <v>96</v>
      </c>
      <c r="C76" s="65" t="n">
        <f aca="false">C33</f>
        <v>-13024.1904761905</v>
      </c>
      <c r="D76" s="65" t="n">
        <f aca="false">C76+D33</f>
        <v>-25251.9365079365</v>
      </c>
      <c r="E76" s="65" t="n">
        <f aca="false">D76+E33</f>
        <v>-36678.7936507937</v>
      </c>
      <c r="F76" s="65" t="n">
        <f aca="false">E76+F33</f>
        <v>-47304.7619047619</v>
      </c>
      <c r="G76" s="65" t="n">
        <f aca="false">F76+G33</f>
        <v>-57129.8412698413</v>
      </c>
      <c r="H76" s="65" t="n">
        <f aca="false">G76+H33</f>
        <v>-66154.0317460318</v>
      </c>
      <c r="I76" s="65" t="n">
        <f aca="false">H76+I33</f>
        <v>-74377.3333333333</v>
      </c>
      <c r="J76" s="65" t="n">
        <f aca="false">I76+J33</f>
        <v>-81799.746031746</v>
      </c>
      <c r="K76" s="65" t="n">
        <f aca="false">J76+K33</f>
        <v>-88421.2698412698</v>
      </c>
      <c r="L76" s="65" t="n">
        <f aca="false">K76+L33</f>
        <v>-94241.9047619048</v>
      </c>
      <c r="M76" s="65" t="n">
        <f aca="false">L76+M33</f>
        <v>-100053.650793651</v>
      </c>
      <c r="N76" s="65" t="n">
        <f aca="false">M76+N33</f>
        <v>-105856.507936508</v>
      </c>
      <c r="O76" s="65" t="n">
        <f aca="false">N76+O33</f>
        <v>-111301.348190476</v>
      </c>
      <c r="P76" s="65" t="n">
        <f aca="false">O76+P33</f>
        <v>-116737.299555556</v>
      </c>
      <c r="Q76" s="65" t="n">
        <f aca="false">P76+Q33</f>
        <v>-122164.362031746</v>
      </c>
      <c r="R76" s="65" t="n">
        <f aca="false">Q76+R33</f>
        <v>-127582.535619048</v>
      </c>
      <c r="S76" s="65" t="n">
        <f aca="false">R76+S33</f>
        <v>-132991.82031746</v>
      </c>
      <c r="T76" s="65" t="n">
        <f aca="false">S76+T33</f>
        <v>-138392.216126984</v>
      </c>
      <c r="U76" s="65" t="n">
        <f aca="false">T76+U33</f>
        <v>-143783.723047619</v>
      </c>
      <c r="V76" s="65" t="n">
        <f aca="false">U76+V33</f>
        <v>-149166.341079365</v>
      </c>
      <c r="W76" s="65" t="n">
        <f aca="false">V76+W33</f>
        <v>-154540.070222222</v>
      </c>
      <c r="X76" s="65" t="n">
        <f aca="false">W76+X33</f>
        <v>-159904.910476191</v>
      </c>
      <c r="Y76" s="65" t="n">
        <f aca="false">X76+Y33</f>
        <v>-165260.86184127</v>
      </c>
      <c r="Z76" s="65" t="n">
        <f aca="false">Y76+Z33</f>
        <v>-170607.92431746</v>
      </c>
      <c r="AA76" s="65" t="n">
        <f aca="false">Z76+AA33</f>
        <v>-175574.112827962</v>
      </c>
      <c r="AB76" s="65" t="n">
        <f aca="false">AA76+AB33</f>
        <v>-180531.412449575</v>
      </c>
      <c r="AC76" s="65" t="n">
        <f aca="false">AB76+AC33</f>
        <v>-185479.823182298</v>
      </c>
      <c r="AD76" s="65" t="n">
        <f aca="false">AC76+AD33</f>
        <v>-190419.345026133</v>
      </c>
      <c r="AE76" s="65" t="n">
        <f aca="false">AD76+AE33</f>
        <v>-195349.977981079</v>
      </c>
      <c r="AF76" s="65" t="n">
        <f aca="false">AE76+AF33</f>
        <v>-200271.722047137</v>
      </c>
      <c r="AG76" s="65" t="n">
        <f aca="false">AF76+AG33</f>
        <v>-205184.577224305</v>
      </c>
      <c r="AH76" s="65" t="n">
        <f aca="false">AG76+AH33</f>
        <v>-210088.543512584</v>
      </c>
      <c r="AI76" s="65" t="n">
        <f aca="false">AH76+AI33</f>
        <v>-214983.620911975</v>
      </c>
      <c r="AJ76" s="65" t="n">
        <f aca="false">AI76+AJ33</f>
        <v>-219869.809422476</v>
      </c>
      <c r="AK76" s="65" t="n">
        <f aca="false">AJ76+AK33</f>
        <v>-224747.109044089</v>
      </c>
      <c r="AL76" s="65" t="n">
        <f aca="false">AK76+AL33</f>
        <v>-229615.519776813</v>
      </c>
    </row>
    <row r="77" customFormat="false" ht="15" hidden="false" customHeight="false" outlineLevel="0" collapsed="false">
      <c r="A77" s="4" t="s">
        <v>91</v>
      </c>
      <c r="C77" s="71" t="n">
        <f aca="false">C63+C49+C50+C40</f>
        <v>208306.36952381</v>
      </c>
      <c r="D77" s="71" t="n">
        <f aca="false">D63+D49+D50+D40</f>
        <v>194967.05015873</v>
      </c>
      <c r="E77" s="71" t="n">
        <f aca="false">E63+E49+E50+E40</f>
        <v>182428.61968254</v>
      </c>
      <c r="F77" s="71" t="n">
        <f aca="false">F63+F49+F50+F40</f>
        <v>170691.078095238</v>
      </c>
      <c r="G77" s="71" t="n">
        <f aca="false">G63+G49+G50+G40</f>
        <v>159754.425396825</v>
      </c>
      <c r="H77" s="71" t="n">
        <f aca="false">H63+H49+H50+H40</f>
        <v>149618.661587302</v>
      </c>
      <c r="I77" s="71" t="n">
        <f aca="false">I63+I49+I50+I40</f>
        <v>140283.786666667</v>
      </c>
      <c r="J77" s="71" t="n">
        <f aca="false">J63+J49+J50+J40</f>
        <v>131749.800634921</v>
      </c>
      <c r="K77" s="71" t="n">
        <f aca="false">K63+K49+K50+K40</f>
        <v>124016.703492063</v>
      </c>
      <c r="L77" s="71" t="n">
        <f aca="false">L63+L49+L50+L40</f>
        <v>117084.495238095</v>
      </c>
      <c r="M77" s="71" t="n">
        <f aca="false">M63+M49+M50+M40</f>
        <v>109939.415873016</v>
      </c>
      <c r="N77" s="71" t="n">
        <f aca="false">N63+N49+N50+N40</f>
        <v>102803.225396825</v>
      </c>
      <c r="O77" s="71" t="n">
        <f aca="false">O63+O49+O50+O40</f>
        <v>96193.3676495238</v>
      </c>
      <c r="P77" s="71" t="n">
        <f aca="false">P63+P49+P50+P40</f>
        <v>89424.0829511111</v>
      </c>
      <c r="Q77" s="71" t="n">
        <f aca="false">Q63+Q49+Q50+Q40</f>
        <v>82663.6871415873</v>
      </c>
      <c r="R77" s="71" t="n">
        <f aca="false">R63+R49+R50+R40</f>
        <v>75912.1802209524</v>
      </c>
      <c r="S77" s="71" t="n">
        <f aca="false">S63+S49+S50+S40</f>
        <v>69169.5621892063</v>
      </c>
      <c r="T77" s="71" t="n">
        <f aca="false">T63+T49+T50+T40</f>
        <v>62435.8330463492</v>
      </c>
      <c r="U77" s="71" t="n">
        <f aca="false">U63+U49+U50+U40</f>
        <v>55710.9927923809</v>
      </c>
      <c r="V77" s="71" t="n">
        <f aca="false">V63+V49+V50+V40</f>
        <v>48995.0414273016</v>
      </c>
      <c r="W77" s="71" t="n">
        <f aca="false">W63+W49+W50+W40</f>
        <v>42287.9789511111</v>
      </c>
      <c r="X77" s="71" t="n">
        <f aca="false">X63+X49+X50+X40</f>
        <v>35589.8053638095</v>
      </c>
      <c r="Y77" s="71" t="n">
        <f aca="false">Y63+Y49+Y50+Y40</f>
        <v>28900.5206653968</v>
      </c>
      <c r="Z77" s="71" t="n">
        <f aca="false">Z63+Z49+Z50+Z40</f>
        <v>22220.124855873</v>
      </c>
      <c r="AA77" s="71" t="n">
        <f aca="false">AA63+AA49+AA50+AA40</f>
        <v>16097.4356335421</v>
      </c>
      <c r="AB77" s="71" t="n">
        <f aca="false">AB63+AB49+AB50+AB40</f>
        <v>9806.80267859603</v>
      </c>
      <c r="AC77" s="71" t="n">
        <f aca="false">AC63+AC49+AC50+AC40</f>
        <v>3525.05861253888</v>
      </c>
      <c r="AD77" s="71" t="n">
        <f aca="false">AD63+AD49+AD50+AD40</f>
        <v>-2747.79656462937</v>
      </c>
      <c r="AE77" s="71" t="n">
        <f aca="false">AE63+AE49+AE50+AE40</f>
        <v>-9011.76285290874</v>
      </c>
      <c r="AF77" s="71" t="n">
        <f aca="false">AF63+AF49+AF50+AF40</f>
        <v>-15266.8402522992</v>
      </c>
      <c r="AG77" s="71" t="n">
        <f aca="false">AG63+AG49+AG50+AG40</f>
        <v>-21513.0287628008</v>
      </c>
      <c r="AH77" s="71" t="n">
        <f aca="false">AH63+AH49+AH50+AH40</f>
        <v>-27750.3283844135</v>
      </c>
      <c r="AI77" s="71" t="n">
        <f aca="false">AI63+AI49+AI50+AI40</f>
        <v>-33978.7391171373</v>
      </c>
      <c r="AJ77" s="71" t="n">
        <f aca="false">AJ63+AJ49+AJ50+AJ40</f>
        <v>-40198.2609609722</v>
      </c>
      <c r="AK77" s="71" t="n">
        <f aca="false">AK63+AK49+AK50+AK40</f>
        <v>-46408.8939159183</v>
      </c>
      <c r="AL77" s="71" t="n">
        <f aca="false">AL63+AL49+AL50+AL40</f>
        <v>-52610.6379819754</v>
      </c>
    </row>
    <row r="78" customFormat="false" ht="15" hidden="false" customHeight="false" outlineLevel="0" collapsed="false">
      <c r="A78" s="6" t="s">
        <v>94</v>
      </c>
      <c r="C78" s="65" t="n">
        <f aca="false">C51+C46</f>
        <v>81330.56</v>
      </c>
      <c r="D78" s="65" t="n">
        <f aca="false">D51+D46</f>
        <v>80218.9866666667</v>
      </c>
      <c r="E78" s="65" t="n">
        <f aca="false">E51+E46</f>
        <v>79107.4133333333</v>
      </c>
      <c r="F78" s="65" t="n">
        <f aca="false">F51+F46</f>
        <v>77995.84</v>
      </c>
      <c r="G78" s="65" t="n">
        <f aca="false">G51+G46</f>
        <v>76884.2666666667</v>
      </c>
      <c r="H78" s="65" t="n">
        <f aca="false">H51+H46</f>
        <v>75772.6933333334</v>
      </c>
      <c r="I78" s="65" t="n">
        <f aca="false">I51+I46</f>
        <v>74661.12</v>
      </c>
      <c r="J78" s="65" t="n">
        <f aca="false">J51+J46</f>
        <v>73549.5466666667</v>
      </c>
      <c r="K78" s="65" t="n">
        <f aca="false">K51+K46</f>
        <v>72437.9733333334</v>
      </c>
      <c r="L78" s="65" t="n">
        <f aca="false">L51+L46</f>
        <v>71326.4</v>
      </c>
      <c r="M78" s="65" t="n">
        <f aca="false">M51+M46</f>
        <v>69993.0666666667</v>
      </c>
      <c r="N78" s="65" t="n">
        <f aca="false">N51+N46</f>
        <v>68659.7333333334</v>
      </c>
      <c r="O78" s="65" t="n">
        <f aca="false">O51+O46</f>
        <v>67494.7158400001</v>
      </c>
      <c r="P78" s="65" t="n">
        <f aca="false">P51+P46</f>
        <v>66161.3825066667</v>
      </c>
      <c r="Q78" s="65" t="n">
        <f aca="false">Q51+Q46</f>
        <v>64828.0491733334</v>
      </c>
      <c r="R78" s="65" t="n">
        <f aca="false">R51+R46</f>
        <v>63494.71584</v>
      </c>
      <c r="S78" s="65" t="n">
        <f aca="false">S51+S46</f>
        <v>62161.3825066667</v>
      </c>
      <c r="T78" s="65" t="n">
        <f aca="false">T51+T46</f>
        <v>60828.0491733334</v>
      </c>
      <c r="U78" s="65" t="n">
        <f aca="false">U51+U46</f>
        <v>59494.71584</v>
      </c>
      <c r="V78" s="65" t="n">
        <f aca="false">V51+V46</f>
        <v>58161.3825066667</v>
      </c>
      <c r="W78" s="65" t="n">
        <f aca="false">W51+W46</f>
        <v>56828.0491733334</v>
      </c>
      <c r="X78" s="65" t="n">
        <f aca="false">X51+X46</f>
        <v>55494.71584</v>
      </c>
      <c r="Y78" s="65" t="n">
        <f aca="false">Y51+Y46</f>
        <v>54161.3825066667</v>
      </c>
      <c r="Z78" s="65" t="n">
        <f aca="false">Z51+Z46</f>
        <v>52828.0491733334</v>
      </c>
      <c r="AA78" s="65" t="n">
        <f aca="false">AA51+AA46</f>
        <v>51671.548461504</v>
      </c>
      <c r="AB78" s="65" t="n">
        <f aca="false">AB51+AB46</f>
        <v>50338.2151281707</v>
      </c>
      <c r="AC78" s="65" t="n">
        <f aca="false">AC51+AC46</f>
        <v>49004.8817948373</v>
      </c>
      <c r="AD78" s="65" t="n">
        <f aca="false">AD51+AD46</f>
        <v>47671.548461504</v>
      </c>
      <c r="AE78" s="65" t="n">
        <f aca="false">AE51+AE46</f>
        <v>46338.2151281707</v>
      </c>
      <c r="AF78" s="65" t="n">
        <f aca="false">AF51+AF46</f>
        <v>45004.8817948373</v>
      </c>
      <c r="AG78" s="65" t="n">
        <f aca="false">AG51+AG46</f>
        <v>43671.548461504</v>
      </c>
      <c r="AH78" s="65" t="n">
        <f aca="false">AH51+AH46</f>
        <v>42338.2151281707</v>
      </c>
      <c r="AI78" s="65" t="n">
        <f aca="false">AI51+AI46</f>
        <v>41004.8817948373</v>
      </c>
      <c r="AJ78" s="65" t="n">
        <f aca="false">AJ51+AJ46</f>
        <v>39671.548461504</v>
      </c>
      <c r="AK78" s="65" t="n">
        <f aca="false">AK51+AK46</f>
        <v>38338.2151281707</v>
      </c>
      <c r="AL78" s="65" t="n">
        <f aca="false">AL51+AL46</f>
        <v>37004.8817948373</v>
      </c>
    </row>
    <row r="79" customFormat="false" ht="15" hidden="false" customHeight="false" outlineLevel="0" collapsed="false">
      <c r="A79" s="6" t="s">
        <v>97</v>
      </c>
      <c r="C79" s="65" t="n">
        <f aca="false">C75+C76</f>
        <v>126975.80952381</v>
      </c>
      <c r="D79" s="65" t="n">
        <f aca="false">D75+D76</f>
        <v>114748.063492063</v>
      </c>
      <c r="E79" s="65" t="n">
        <f aca="false">E75+E76</f>
        <v>103321.206349206</v>
      </c>
      <c r="F79" s="65" t="n">
        <f aca="false">F75+F76</f>
        <v>92695.2380952381</v>
      </c>
      <c r="G79" s="65" t="n">
        <f aca="false">G75+G76</f>
        <v>82870.1587301587</v>
      </c>
      <c r="H79" s="65" t="n">
        <f aca="false">H75+H76</f>
        <v>73845.9682539683</v>
      </c>
      <c r="I79" s="65" t="n">
        <f aca="false">I75+I76</f>
        <v>65622.6666666667</v>
      </c>
      <c r="J79" s="65" t="n">
        <f aca="false">J75+J76</f>
        <v>58200.253968254</v>
      </c>
      <c r="K79" s="65" t="n">
        <f aca="false">K75+K76</f>
        <v>51578.7301587302</v>
      </c>
      <c r="L79" s="65" t="n">
        <f aca="false">L75+L76</f>
        <v>45758.0952380952</v>
      </c>
      <c r="M79" s="65" t="n">
        <f aca="false">M75+M76</f>
        <v>39946.3492063492</v>
      </c>
      <c r="N79" s="65" t="n">
        <f aca="false">N75+N76</f>
        <v>34143.4920634921</v>
      </c>
      <c r="O79" s="65" t="n">
        <f aca="false">O75+O76</f>
        <v>28698.6518095238</v>
      </c>
      <c r="P79" s="65" t="n">
        <f aca="false">P75+P76</f>
        <v>23262.7004444444</v>
      </c>
      <c r="Q79" s="65" t="n">
        <f aca="false">Q75+Q76</f>
        <v>17835.637968254</v>
      </c>
      <c r="R79" s="65" t="n">
        <f aca="false">R75+R76</f>
        <v>12417.4643809524</v>
      </c>
      <c r="S79" s="65" t="n">
        <f aca="false">S75+S76</f>
        <v>7008.17968253966</v>
      </c>
      <c r="T79" s="65" t="n">
        <f aca="false">T75+T76</f>
        <v>1607.78387301584</v>
      </c>
      <c r="U79" s="65" t="n">
        <f aca="false">U75+U76</f>
        <v>-3783.72304761907</v>
      </c>
      <c r="V79" s="65" t="n">
        <f aca="false">V75+V76</f>
        <v>-9166.34107936511</v>
      </c>
      <c r="W79" s="65" t="n">
        <f aca="false">W75+W76</f>
        <v>-14540.0702222222</v>
      </c>
      <c r="X79" s="65" t="n">
        <f aca="false">X75+X76</f>
        <v>-19904.9104761905</v>
      </c>
      <c r="Y79" s="65" t="n">
        <f aca="false">Y75+Y76</f>
        <v>-25260.8618412699</v>
      </c>
      <c r="Z79" s="65" t="n">
        <f aca="false">Z75+Z76</f>
        <v>-30607.9243174603</v>
      </c>
      <c r="AA79" s="65" t="n">
        <f aca="false">AA75+AA76</f>
        <v>-35574.1128279619</v>
      </c>
      <c r="AB79" s="65" t="n">
        <f aca="false">AB75+AB76</f>
        <v>-40531.4124495746</v>
      </c>
      <c r="AC79" s="65" t="n">
        <f aca="false">AC75+AC76</f>
        <v>-45479.8231822984</v>
      </c>
      <c r="AD79" s="65" t="n">
        <f aca="false">AD75+AD76</f>
        <v>-50419.3450261334</v>
      </c>
      <c r="AE79" s="65" t="n">
        <f aca="false">AE75+AE76</f>
        <v>-55349.9779810794</v>
      </c>
      <c r="AF79" s="65" t="n">
        <f aca="false">AF75+AF76</f>
        <v>-60271.7220471365</v>
      </c>
      <c r="AG79" s="65" t="n">
        <f aca="false">AG75+AG76</f>
        <v>-65184.5772243048</v>
      </c>
      <c r="AH79" s="65" t="n">
        <f aca="false">AH75+AH76</f>
        <v>-70088.5435125842</v>
      </c>
      <c r="AI79" s="65" t="n">
        <f aca="false">AI75+AI76</f>
        <v>-74983.6209119746</v>
      </c>
      <c r="AJ79" s="65" t="n">
        <f aca="false">AJ75+AJ76</f>
        <v>-79869.8094224762</v>
      </c>
      <c r="AK79" s="65" t="n">
        <f aca="false">AK75+AK76</f>
        <v>-84747.1090440889</v>
      </c>
      <c r="AL79" s="65" t="n">
        <f aca="false">AL75+AL76</f>
        <v>-89615.5197768127</v>
      </c>
    </row>
    <row r="80" customFormat="false" ht="15" hidden="false" customHeight="false" outlineLevel="0" collapsed="false">
      <c r="A80" s="4" t="s">
        <v>98</v>
      </c>
      <c r="C80" s="71" t="n">
        <f aca="false">C78+C79</f>
        <v>208306.36952381</v>
      </c>
      <c r="D80" s="71" t="n">
        <f aca="false">D78+D79</f>
        <v>194967.05015873</v>
      </c>
      <c r="E80" s="71" t="n">
        <f aca="false">E78+E79</f>
        <v>182428.61968254</v>
      </c>
      <c r="F80" s="71" t="n">
        <f aca="false">F78+F79</f>
        <v>170691.078095238</v>
      </c>
      <c r="G80" s="71" t="n">
        <f aca="false">G78+G79</f>
        <v>159754.425396825</v>
      </c>
      <c r="H80" s="71" t="n">
        <f aca="false">H78+H79</f>
        <v>149618.661587302</v>
      </c>
      <c r="I80" s="71" t="n">
        <f aca="false">I78+I79</f>
        <v>140283.786666667</v>
      </c>
      <c r="J80" s="71" t="n">
        <f aca="false">J78+J79</f>
        <v>131749.800634921</v>
      </c>
      <c r="K80" s="71" t="n">
        <f aca="false">K78+K79</f>
        <v>124016.703492064</v>
      </c>
      <c r="L80" s="71" t="n">
        <f aca="false">L78+L79</f>
        <v>117084.495238095</v>
      </c>
      <c r="M80" s="71" t="n">
        <f aca="false">M78+M79</f>
        <v>109939.415873016</v>
      </c>
      <c r="N80" s="71" t="n">
        <f aca="false">N78+N79</f>
        <v>102803.225396825</v>
      </c>
      <c r="O80" s="71" t="n">
        <f aca="false">O78+O79</f>
        <v>96193.3676495239</v>
      </c>
      <c r="P80" s="71" t="n">
        <f aca="false">P78+P79</f>
        <v>89424.0829511111</v>
      </c>
      <c r="Q80" s="71" t="n">
        <f aca="false">Q78+Q79</f>
        <v>82663.6871415873</v>
      </c>
      <c r="R80" s="71" t="n">
        <f aca="false">R78+R79</f>
        <v>75912.1802209524</v>
      </c>
      <c r="S80" s="71" t="n">
        <f aca="false">S78+S79</f>
        <v>69169.5621892064</v>
      </c>
      <c r="T80" s="71" t="n">
        <f aca="false">T78+T79</f>
        <v>62435.8330463492</v>
      </c>
      <c r="U80" s="71" t="n">
        <f aca="false">U78+U79</f>
        <v>55710.992792381</v>
      </c>
      <c r="V80" s="71" t="n">
        <f aca="false">V78+V79</f>
        <v>48995.0414273016</v>
      </c>
      <c r="W80" s="71" t="n">
        <f aca="false">W78+W79</f>
        <v>42287.9789511111</v>
      </c>
      <c r="X80" s="71" t="n">
        <f aca="false">X78+X79</f>
        <v>35589.8053638095</v>
      </c>
      <c r="Y80" s="71" t="n">
        <f aca="false">Y78+Y79</f>
        <v>28900.5206653968</v>
      </c>
      <c r="Z80" s="71" t="n">
        <f aca="false">Z78+Z79</f>
        <v>22220.124855873</v>
      </c>
      <c r="AA80" s="71" t="n">
        <f aca="false">AA78+AA79</f>
        <v>16097.4356335421</v>
      </c>
      <c r="AB80" s="71" t="n">
        <f aca="false">AB78+AB79</f>
        <v>9806.80267859605</v>
      </c>
      <c r="AC80" s="71" t="n">
        <f aca="false">AC78+AC79</f>
        <v>3525.05861253892</v>
      </c>
      <c r="AD80" s="71" t="n">
        <f aca="false">AD78+AD79</f>
        <v>-2747.79656462935</v>
      </c>
      <c r="AE80" s="71" t="n">
        <f aca="false">AE78+AE79</f>
        <v>-9011.7628529087</v>
      </c>
      <c r="AF80" s="71" t="n">
        <f aca="false">AF78+AF79</f>
        <v>-15266.8402522992</v>
      </c>
      <c r="AG80" s="71" t="n">
        <f aca="false">AG78+AG79</f>
        <v>-21513.0287628008</v>
      </c>
      <c r="AH80" s="71" t="n">
        <f aca="false">AH78+AH79</f>
        <v>-27750.3283844135</v>
      </c>
      <c r="AI80" s="71" t="n">
        <f aca="false">AI78+AI79</f>
        <v>-33978.7391171373</v>
      </c>
      <c r="AJ80" s="71" t="n">
        <f aca="false">AJ78+AJ79</f>
        <v>-40198.2609609722</v>
      </c>
      <c r="AK80" s="71" t="n">
        <f aca="false">AK78+AK79</f>
        <v>-46408.8939159183</v>
      </c>
      <c r="AL80" s="71" t="n">
        <f aca="false">AL78+AL79</f>
        <v>-52610.6379819754</v>
      </c>
    </row>
    <row r="81" customFormat="false" ht="15" hidden="false" customHeight="false" outlineLevel="0" collapsed="false">
      <c r="A81" s="6" t="s">
        <v>360</v>
      </c>
      <c r="C81" s="65" t="n">
        <f aca="false">C77-C80</f>
        <v>0</v>
      </c>
      <c r="D81" s="65" t="n">
        <f aca="false">D77-D80</f>
        <v>0</v>
      </c>
      <c r="E81" s="65" t="n">
        <f aca="false">E77-E80</f>
        <v>0</v>
      </c>
      <c r="F81" s="65" t="n">
        <f aca="false">F77-F80</f>
        <v>0</v>
      </c>
      <c r="G81" s="65" t="n">
        <f aca="false">G77-G80</f>
        <v>0</v>
      </c>
      <c r="H81" s="65" t="n">
        <f aca="false">H77-H80</f>
        <v>0</v>
      </c>
      <c r="I81" s="65" t="n">
        <f aca="false">I77-I80</f>
        <v>0</v>
      </c>
      <c r="J81" s="65" t="n">
        <f aca="false">J77-J80</f>
        <v>0</v>
      </c>
      <c r="K81" s="65" t="n">
        <f aca="false">K77-K80</f>
        <v>0</v>
      </c>
      <c r="L81" s="65" t="n">
        <f aca="false">L77-L80</f>
        <v>0</v>
      </c>
      <c r="M81" s="65" t="n">
        <f aca="false">M77-M80</f>
        <v>0</v>
      </c>
      <c r="N81" s="65" t="n">
        <f aca="false">N77-N80</f>
        <v>0</v>
      </c>
      <c r="O81" s="65" t="n">
        <f aca="false">O77-O80</f>
        <v>0</v>
      </c>
      <c r="P81" s="65" t="n">
        <f aca="false">P77-P80</f>
        <v>0</v>
      </c>
      <c r="Q81" s="65" t="n">
        <f aca="false">Q77-Q80</f>
        <v>0</v>
      </c>
      <c r="R81" s="65" t="n">
        <f aca="false">R77-R80</f>
        <v>0</v>
      </c>
      <c r="S81" s="65" t="n">
        <f aca="false">S77-S80</f>
        <v>0</v>
      </c>
      <c r="T81" s="65" t="n">
        <f aca="false">T77-T80</f>
        <v>0</v>
      </c>
      <c r="U81" s="65" t="n">
        <f aca="false">U77-U80</f>
        <v>0</v>
      </c>
      <c r="V81" s="65" t="n">
        <f aca="false">V77-V80</f>
        <v>0</v>
      </c>
      <c r="W81" s="65" t="n">
        <f aca="false">W77-W80</f>
        <v>0</v>
      </c>
      <c r="X81" s="65" t="n">
        <f aca="false">X77-X80</f>
        <v>0</v>
      </c>
      <c r="Y81" s="65" t="n">
        <f aca="false">Y77-Y80</f>
        <v>0</v>
      </c>
      <c r="Z81" s="65" t="n">
        <f aca="false">Z77-Z80</f>
        <v>0</v>
      </c>
      <c r="AA81" s="65" t="n">
        <f aca="false">AA77-AA80</f>
        <v>0</v>
      </c>
      <c r="AB81" s="65" t="n">
        <f aca="false">AB77-AB80</f>
        <v>0</v>
      </c>
      <c r="AC81" s="65" t="n">
        <f aca="false">AC77-AC80</f>
        <v>-3.63797880709171E-011</v>
      </c>
      <c r="AD81" s="65" t="n">
        <f aca="false">AD77-AD80</f>
        <v>-2.91038304567337E-011</v>
      </c>
      <c r="AE81" s="65" t="n">
        <f aca="false">AE77-AE80</f>
        <v>-3.63797880709171E-011</v>
      </c>
      <c r="AF81" s="65" t="n">
        <f aca="false">AF77-AF80</f>
        <v>0</v>
      </c>
      <c r="AG81" s="65" t="n">
        <f aca="false">AG77-AG80</f>
        <v>0</v>
      </c>
      <c r="AH81" s="65" t="n">
        <f aca="false">AH77-AH80</f>
        <v>0</v>
      </c>
      <c r="AI81" s="65" t="n">
        <f aca="false">AI77-AI80</f>
        <v>0</v>
      </c>
      <c r="AJ81" s="65" t="n">
        <f aca="false">AJ77-AJ80</f>
        <v>0</v>
      </c>
      <c r="AK81" s="65" t="n">
        <f aca="false">AK77-AK80</f>
        <v>0</v>
      </c>
      <c r="AL81" s="65" t="n">
        <f aca="false">AL77-AL80</f>
        <v>0</v>
      </c>
    </row>
    <row r="83" customFormat="false" ht="15.75" hidden="false" customHeight="true" outlineLevel="0" collapsed="false">
      <c r="A83" s="7" t="s">
        <v>362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6" t="s">
        <v>363</v>
      </c>
      <c r="C84" s="111" t="n">
        <f aca="false">Inputs!$B$21*(1+Inputs!$B$23)^(C$7-1)*MAX(0,MIN(1,C$6*1-Inputs!$B$24+1))/1</f>
        <v>3</v>
      </c>
      <c r="D84" s="111" t="n">
        <f aca="false">Inputs!$B$21*(1+Inputs!$B$23)^(D$7-1)*MAX(0,MIN(1,D$6*1-Inputs!$B$24+1))/1</f>
        <v>3</v>
      </c>
      <c r="E84" s="111" t="n">
        <f aca="false">Inputs!$B$21*(1+Inputs!$B$23)^(E$7-1)*MAX(0,MIN(1,E$6*1-Inputs!$B$24+1))/1</f>
        <v>3</v>
      </c>
      <c r="F84" s="111" t="n">
        <f aca="false">Inputs!$B$21*(1+Inputs!$B$23)^(F$7-1)*MAX(0,MIN(1,F$6*1-Inputs!$B$24+1))/1</f>
        <v>3</v>
      </c>
      <c r="G84" s="111" t="n">
        <f aca="false">Inputs!$B$21*(1+Inputs!$B$23)^(G$7-1)*MAX(0,MIN(1,G$6*1-Inputs!$B$24+1))/1</f>
        <v>3</v>
      </c>
      <c r="H84" s="111" t="n">
        <f aca="false">Inputs!$B$21*(1+Inputs!$B$23)^(H$7-1)*MAX(0,MIN(1,H$6*1-Inputs!$B$24+1))/1</f>
        <v>3</v>
      </c>
      <c r="I84" s="111" t="n">
        <f aca="false">Inputs!$B$21*(1+Inputs!$B$23)^(I$7-1)*MAX(0,MIN(1,I$6*1-Inputs!$B$24+1))/1</f>
        <v>3</v>
      </c>
      <c r="J84" s="111" t="n">
        <f aca="false">Inputs!$B$21*(1+Inputs!$B$23)^(J$7-1)*MAX(0,MIN(1,J$6*1-Inputs!$B$24+1))/1</f>
        <v>3</v>
      </c>
      <c r="K84" s="111" t="n">
        <f aca="false">Inputs!$B$21*(1+Inputs!$B$23)^(K$7-1)*MAX(0,MIN(1,K$6*1-Inputs!$B$24+1))/1</f>
        <v>3</v>
      </c>
      <c r="L84" s="111" t="n">
        <f aca="false">Inputs!$B$21*(1+Inputs!$B$23)^(L$7-1)*MAX(0,MIN(1,L$6*1-Inputs!$B$24+1))/1</f>
        <v>3</v>
      </c>
      <c r="M84" s="111" t="n">
        <f aca="false">Inputs!$B$21*(1+Inputs!$B$23)^(M$7-1)*MAX(0,MIN(1,M$6*1-Inputs!$B$24+1))/1</f>
        <v>3</v>
      </c>
      <c r="N84" s="111" t="n">
        <f aca="false">Inputs!$B$21*(1+Inputs!$B$23)^(N$7-1)*MAX(0,MIN(1,N$6*1-Inputs!$B$24+1))/1</f>
        <v>3</v>
      </c>
      <c r="O84" s="111" t="n">
        <f aca="false">Inputs!$B$21*(1+Inputs!$B$23)^(O$7-1)*MAX(0,MIN(1,O$6*1-Inputs!$B$24+1))/1</f>
        <v>3</v>
      </c>
      <c r="P84" s="111" t="n">
        <f aca="false">Inputs!$B$21*(1+Inputs!$B$23)^(P$7-1)*MAX(0,MIN(1,P$6*1-Inputs!$B$24+1))/1</f>
        <v>3</v>
      </c>
      <c r="Q84" s="111" t="n">
        <f aca="false">Inputs!$B$21*(1+Inputs!$B$23)^(Q$7-1)*MAX(0,MIN(1,Q$6*1-Inputs!$B$24+1))/1</f>
        <v>3</v>
      </c>
      <c r="R84" s="111" t="n">
        <f aca="false">Inputs!$B$21*(1+Inputs!$B$23)^(R$7-1)*MAX(0,MIN(1,R$6*1-Inputs!$B$24+1))/1</f>
        <v>3</v>
      </c>
      <c r="S84" s="111" t="n">
        <f aca="false">Inputs!$B$21*(1+Inputs!$B$23)^(S$7-1)*MAX(0,MIN(1,S$6*1-Inputs!$B$24+1))/1</f>
        <v>3</v>
      </c>
      <c r="T84" s="111" t="n">
        <f aca="false">Inputs!$B$21*(1+Inputs!$B$23)^(T$7-1)*MAX(0,MIN(1,T$6*1-Inputs!$B$24+1))/1</f>
        <v>3</v>
      </c>
      <c r="U84" s="111" t="n">
        <f aca="false">Inputs!$B$21*(1+Inputs!$B$23)^(U$7-1)*MAX(0,MIN(1,U$6*1-Inputs!$B$24+1))/1</f>
        <v>3</v>
      </c>
      <c r="V84" s="111" t="n">
        <f aca="false">Inputs!$B$21*(1+Inputs!$B$23)^(V$7-1)*MAX(0,MIN(1,V$6*1-Inputs!$B$24+1))/1</f>
        <v>3</v>
      </c>
      <c r="W84" s="111" t="n">
        <f aca="false">Inputs!$B$21*(1+Inputs!$B$23)^(W$7-1)*MAX(0,MIN(1,W$6*1-Inputs!$B$24+1))/1</f>
        <v>3</v>
      </c>
      <c r="X84" s="111" t="n">
        <f aca="false">Inputs!$B$21*(1+Inputs!$B$23)^(X$7-1)*MAX(0,MIN(1,X$6*1-Inputs!$B$24+1))/1</f>
        <v>3</v>
      </c>
      <c r="Y84" s="111" t="n">
        <f aca="false">Inputs!$B$21*(1+Inputs!$B$23)^(Y$7-1)*MAX(0,MIN(1,Y$6*1-Inputs!$B$24+1))/1</f>
        <v>3</v>
      </c>
      <c r="Z84" s="111" t="n">
        <f aca="false">Inputs!$B$21*(1+Inputs!$B$23)^(Z$7-1)*MAX(0,MIN(1,Z$6*1-Inputs!$B$24+1))/1</f>
        <v>3</v>
      </c>
      <c r="AA84" s="111" t="n">
        <f aca="false">Inputs!$B$21*(1+Inputs!$B$23)^(AA$7-1)*MAX(0,MIN(1,AA$6*1-Inputs!$B$24+1))/1</f>
        <v>3</v>
      </c>
      <c r="AB84" s="111" t="n">
        <f aca="false">Inputs!$B$21*(1+Inputs!$B$23)^(AB$7-1)*MAX(0,MIN(1,AB$6*1-Inputs!$B$24+1))/1</f>
        <v>3</v>
      </c>
      <c r="AC84" s="111" t="n">
        <f aca="false">Inputs!$B$21*(1+Inputs!$B$23)^(AC$7-1)*MAX(0,MIN(1,AC$6*1-Inputs!$B$24+1))/1</f>
        <v>3</v>
      </c>
      <c r="AD84" s="111" t="n">
        <f aca="false">Inputs!$B$21*(1+Inputs!$B$23)^(AD$7-1)*MAX(0,MIN(1,AD$6*1-Inputs!$B$24+1))/1</f>
        <v>3</v>
      </c>
      <c r="AE84" s="111" t="n">
        <f aca="false">Inputs!$B$21*(1+Inputs!$B$23)^(AE$7-1)*MAX(0,MIN(1,AE$6*1-Inputs!$B$24+1))/1</f>
        <v>3</v>
      </c>
      <c r="AF84" s="111" t="n">
        <f aca="false">Inputs!$B$21*(1+Inputs!$B$23)^(AF$7-1)*MAX(0,MIN(1,AF$6*1-Inputs!$B$24+1))/1</f>
        <v>3</v>
      </c>
      <c r="AG84" s="111" t="n">
        <f aca="false">Inputs!$B$21*(1+Inputs!$B$23)^(AG$7-1)*MAX(0,MIN(1,AG$6*1-Inputs!$B$24+1))/1</f>
        <v>3</v>
      </c>
      <c r="AH84" s="111" t="n">
        <f aca="false">Inputs!$B$21*(1+Inputs!$B$23)^(AH$7-1)*MAX(0,MIN(1,AH$6*1-Inputs!$B$24+1))/1</f>
        <v>3</v>
      </c>
      <c r="AI84" s="111" t="n">
        <f aca="false">Inputs!$B$21*(1+Inputs!$B$23)^(AI$7-1)*MAX(0,MIN(1,AI$6*1-Inputs!$B$24+1))/1</f>
        <v>3</v>
      </c>
      <c r="AJ84" s="111" t="n">
        <f aca="false">Inputs!$B$21*(1+Inputs!$B$23)^(AJ$7-1)*MAX(0,MIN(1,AJ$6*1-Inputs!$B$24+1))/1</f>
        <v>3</v>
      </c>
      <c r="AK84" s="111" t="n">
        <f aca="false">Inputs!$B$21*(1+Inputs!$B$23)^(AK$7-1)*MAX(0,MIN(1,AK$6*1-Inputs!$B$24+1))/1</f>
        <v>3</v>
      </c>
      <c r="AL84" s="111" t="n">
        <f aca="false">Inputs!$B$21*(1+Inputs!$B$23)^(AL$7-1)*MAX(0,MIN(1,AL$6*1-Inputs!$B$24+1))/1</f>
        <v>3</v>
      </c>
    </row>
    <row r="85" customFormat="false" ht="15" hidden="false" customHeight="false" outlineLevel="0" collapsed="false">
      <c r="A85" s="108" t="s">
        <v>364</v>
      </c>
      <c r="C85" s="115" t="n">
        <f aca="false">C84</f>
        <v>3</v>
      </c>
      <c r="D85" s="115" t="n">
        <f aca="false">D84</f>
        <v>3</v>
      </c>
      <c r="E85" s="115" t="n">
        <f aca="false">E84</f>
        <v>3</v>
      </c>
      <c r="F85" s="115" t="n">
        <f aca="false">F84</f>
        <v>3</v>
      </c>
      <c r="G85" s="115" t="n">
        <f aca="false">G84</f>
        <v>3</v>
      </c>
      <c r="H85" s="115" t="n">
        <f aca="false">H84</f>
        <v>3</v>
      </c>
      <c r="I85" s="115" t="n">
        <f aca="false">I84</f>
        <v>3</v>
      </c>
      <c r="J85" s="115" t="n">
        <f aca="false">J84</f>
        <v>3</v>
      </c>
      <c r="K85" s="115" t="n">
        <f aca="false">K84</f>
        <v>3</v>
      </c>
      <c r="L85" s="115" t="n">
        <f aca="false">L84</f>
        <v>3</v>
      </c>
      <c r="M85" s="115" t="n">
        <f aca="false">M84</f>
        <v>3</v>
      </c>
      <c r="N85" s="115" t="n">
        <f aca="false">N84</f>
        <v>3</v>
      </c>
      <c r="O85" s="115" t="n">
        <f aca="false">O84</f>
        <v>3</v>
      </c>
      <c r="P85" s="115" t="n">
        <f aca="false">P84</f>
        <v>3</v>
      </c>
      <c r="Q85" s="115" t="n">
        <f aca="false">Q84</f>
        <v>3</v>
      </c>
      <c r="R85" s="115" t="n">
        <f aca="false">R84</f>
        <v>3</v>
      </c>
      <c r="S85" s="115" t="n">
        <f aca="false">S84</f>
        <v>3</v>
      </c>
      <c r="T85" s="115" t="n">
        <f aca="false">T84</f>
        <v>3</v>
      </c>
      <c r="U85" s="115" t="n">
        <f aca="false">U84</f>
        <v>3</v>
      </c>
      <c r="V85" s="115" t="n">
        <f aca="false">V84</f>
        <v>3</v>
      </c>
      <c r="W85" s="115" t="n">
        <f aca="false">W84</f>
        <v>3</v>
      </c>
      <c r="X85" s="115" t="n">
        <f aca="false">X84</f>
        <v>3</v>
      </c>
      <c r="Y85" s="115" t="n">
        <f aca="false">Y84</f>
        <v>3</v>
      </c>
      <c r="Z85" s="115" t="n">
        <f aca="false">Z84</f>
        <v>3</v>
      </c>
      <c r="AA85" s="115" t="n">
        <f aca="false">AA84</f>
        <v>3</v>
      </c>
      <c r="AB85" s="115" t="n">
        <f aca="false">AB84</f>
        <v>3</v>
      </c>
      <c r="AC85" s="115" t="n">
        <f aca="false">AC84</f>
        <v>3</v>
      </c>
      <c r="AD85" s="115" t="n">
        <f aca="false">AD84</f>
        <v>3</v>
      </c>
      <c r="AE85" s="115" t="n">
        <f aca="false">AE84</f>
        <v>3</v>
      </c>
      <c r="AF85" s="115" t="n">
        <f aca="false">AF84</f>
        <v>3</v>
      </c>
      <c r="AG85" s="115" t="n">
        <f aca="false">AG84</f>
        <v>3</v>
      </c>
      <c r="AH85" s="115" t="n">
        <f aca="false">AH84</f>
        <v>3</v>
      </c>
      <c r="AI85" s="115" t="n">
        <f aca="false">AI84</f>
        <v>3</v>
      </c>
      <c r="AJ85" s="115" t="n">
        <f aca="false">AJ84</f>
        <v>3</v>
      </c>
      <c r="AK85" s="115" t="n">
        <f aca="false">AK84</f>
        <v>3</v>
      </c>
      <c r="AL85" s="115" t="n">
        <f aca="false">AL84</f>
        <v>3</v>
      </c>
    </row>
    <row r="87" customFormat="false" ht="15.75" hidden="false" customHeight="true" outlineLevel="0" collapsed="false">
      <c r="A87" s="7" t="s">
        <v>365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customFormat="false" ht="15" hidden="false" customHeight="false" outlineLevel="0" collapsed="false">
      <c r="A88" s="6" t="s">
        <v>366</v>
      </c>
      <c r="C88" s="65" t="n">
        <f aca="false">-C84*Inputs!$B$22/12*1*(1+Inputs!$B$25)*(1+Inputs!$B$26)^(C$7-1)</f>
        <v>-8400</v>
      </c>
      <c r="D88" s="65" t="n">
        <f aca="false">-D84*Inputs!$B$22/12*1*(1+Inputs!$B$25)*(1+Inputs!$B$26)^(D$7-1)</f>
        <v>-8400</v>
      </c>
      <c r="E88" s="65" t="n">
        <f aca="false">-E84*Inputs!$B$22/12*1*(1+Inputs!$B$25)*(1+Inputs!$B$26)^(E$7-1)</f>
        <v>-8400</v>
      </c>
      <c r="F88" s="65" t="n">
        <f aca="false">-F84*Inputs!$B$22/12*1*(1+Inputs!$B$25)*(1+Inputs!$B$26)^(F$7-1)</f>
        <v>-8400</v>
      </c>
      <c r="G88" s="65" t="n">
        <f aca="false">-G84*Inputs!$B$22/12*1*(1+Inputs!$B$25)*(1+Inputs!$B$26)^(G$7-1)</f>
        <v>-8400</v>
      </c>
      <c r="H88" s="65" t="n">
        <f aca="false">-H84*Inputs!$B$22/12*1*(1+Inputs!$B$25)*(1+Inputs!$B$26)^(H$7-1)</f>
        <v>-8400</v>
      </c>
      <c r="I88" s="65" t="n">
        <f aca="false">-I84*Inputs!$B$22/12*1*(1+Inputs!$B$25)*(1+Inputs!$B$26)^(I$7-1)</f>
        <v>-8400</v>
      </c>
      <c r="J88" s="65" t="n">
        <f aca="false">-J84*Inputs!$B$22/12*1*(1+Inputs!$B$25)*(1+Inputs!$B$26)^(J$7-1)</f>
        <v>-8400</v>
      </c>
      <c r="K88" s="65" t="n">
        <f aca="false">-K84*Inputs!$B$22/12*1*(1+Inputs!$B$25)*(1+Inputs!$B$26)^(K$7-1)</f>
        <v>-8400</v>
      </c>
      <c r="L88" s="65" t="n">
        <f aca="false">-L84*Inputs!$B$22/12*1*(1+Inputs!$B$25)*(1+Inputs!$B$26)^(L$7-1)</f>
        <v>-8400</v>
      </c>
      <c r="M88" s="65" t="n">
        <f aca="false">-M84*Inputs!$B$22/12*1*(1+Inputs!$B$25)*(1+Inputs!$B$26)^(M$7-1)</f>
        <v>-8400</v>
      </c>
      <c r="N88" s="65" t="n">
        <f aca="false">-N84*Inputs!$B$22/12*1*(1+Inputs!$B$25)*(1+Inputs!$B$26)^(N$7-1)</f>
        <v>-8400</v>
      </c>
      <c r="O88" s="65" t="n">
        <f aca="false">-O84*Inputs!$B$22/12*1*(1+Inputs!$B$25)*(1+Inputs!$B$26)^(O$7-1)</f>
        <v>-8652</v>
      </c>
      <c r="P88" s="65" t="n">
        <f aca="false">-P84*Inputs!$B$22/12*1*(1+Inputs!$B$25)*(1+Inputs!$B$26)^(P$7-1)</f>
        <v>-8652</v>
      </c>
      <c r="Q88" s="65" t="n">
        <f aca="false">-Q84*Inputs!$B$22/12*1*(1+Inputs!$B$25)*(1+Inputs!$B$26)^(Q$7-1)</f>
        <v>-8652</v>
      </c>
      <c r="R88" s="65" t="n">
        <f aca="false">-R84*Inputs!$B$22/12*1*(1+Inputs!$B$25)*(1+Inputs!$B$26)^(R$7-1)</f>
        <v>-8652</v>
      </c>
      <c r="S88" s="65" t="n">
        <f aca="false">-S84*Inputs!$B$22/12*1*(1+Inputs!$B$25)*(1+Inputs!$B$26)^(S$7-1)</f>
        <v>-8652</v>
      </c>
      <c r="T88" s="65" t="n">
        <f aca="false">-T84*Inputs!$B$22/12*1*(1+Inputs!$B$25)*(1+Inputs!$B$26)^(T$7-1)</f>
        <v>-8652</v>
      </c>
      <c r="U88" s="65" t="n">
        <f aca="false">-U84*Inputs!$B$22/12*1*(1+Inputs!$B$25)*(1+Inputs!$B$26)^(U$7-1)</f>
        <v>-8652</v>
      </c>
      <c r="V88" s="65" t="n">
        <f aca="false">-V84*Inputs!$B$22/12*1*(1+Inputs!$B$25)*(1+Inputs!$B$26)^(V$7-1)</f>
        <v>-8652</v>
      </c>
      <c r="W88" s="65" t="n">
        <f aca="false">-W84*Inputs!$B$22/12*1*(1+Inputs!$B$25)*(1+Inputs!$B$26)^(W$7-1)</f>
        <v>-8652</v>
      </c>
      <c r="X88" s="65" t="n">
        <f aca="false">-X84*Inputs!$B$22/12*1*(1+Inputs!$B$25)*(1+Inputs!$B$26)^(X$7-1)</f>
        <v>-8652</v>
      </c>
      <c r="Y88" s="65" t="n">
        <f aca="false">-Y84*Inputs!$B$22/12*1*(1+Inputs!$B$25)*(1+Inputs!$B$26)^(Y$7-1)</f>
        <v>-8652</v>
      </c>
      <c r="Z88" s="65" t="n">
        <f aca="false">-Z84*Inputs!$B$22/12*1*(1+Inputs!$B$25)*(1+Inputs!$B$26)^(Z$7-1)</f>
        <v>-8652</v>
      </c>
      <c r="AA88" s="65" t="n">
        <f aca="false">-AA84*Inputs!$B$22/12*1*(1+Inputs!$B$25)*(1+Inputs!$B$26)^(AA$7-1)</f>
        <v>-8911.56</v>
      </c>
      <c r="AB88" s="65" t="n">
        <f aca="false">-AB84*Inputs!$B$22/12*1*(1+Inputs!$B$25)*(1+Inputs!$B$26)^(AB$7-1)</f>
        <v>-8911.56</v>
      </c>
      <c r="AC88" s="65" t="n">
        <f aca="false">-AC84*Inputs!$B$22/12*1*(1+Inputs!$B$25)*(1+Inputs!$B$26)^(AC$7-1)</f>
        <v>-8911.56</v>
      </c>
      <c r="AD88" s="65" t="n">
        <f aca="false">-AD84*Inputs!$B$22/12*1*(1+Inputs!$B$25)*(1+Inputs!$B$26)^(AD$7-1)</f>
        <v>-8911.56</v>
      </c>
      <c r="AE88" s="65" t="n">
        <f aca="false">-AE84*Inputs!$B$22/12*1*(1+Inputs!$B$25)*(1+Inputs!$B$26)^(AE$7-1)</f>
        <v>-8911.56</v>
      </c>
      <c r="AF88" s="65" t="n">
        <f aca="false">-AF84*Inputs!$B$22/12*1*(1+Inputs!$B$25)*(1+Inputs!$B$26)^(AF$7-1)</f>
        <v>-8911.56</v>
      </c>
      <c r="AG88" s="65" t="n">
        <f aca="false">-AG84*Inputs!$B$22/12*1*(1+Inputs!$B$25)*(1+Inputs!$B$26)^(AG$7-1)</f>
        <v>-8911.56</v>
      </c>
      <c r="AH88" s="65" t="n">
        <f aca="false">-AH84*Inputs!$B$22/12*1*(1+Inputs!$B$25)*(1+Inputs!$B$26)^(AH$7-1)</f>
        <v>-8911.56</v>
      </c>
      <c r="AI88" s="65" t="n">
        <f aca="false">-AI84*Inputs!$B$22/12*1*(1+Inputs!$B$25)*(1+Inputs!$B$26)^(AI$7-1)</f>
        <v>-8911.56</v>
      </c>
      <c r="AJ88" s="65" t="n">
        <f aca="false">-AJ84*Inputs!$B$22/12*1*(1+Inputs!$B$25)*(1+Inputs!$B$26)^(AJ$7-1)</f>
        <v>-8911.56</v>
      </c>
      <c r="AK88" s="65" t="n">
        <f aca="false">-AK84*Inputs!$B$22/12*1*(1+Inputs!$B$25)*(1+Inputs!$B$26)^(AK$7-1)</f>
        <v>-8911.56</v>
      </c>
      <c r="AL88" s="65" t="n">
        <f aca="false">-AL84*Inputs!$B$22/12*1*(1+Inputs!$B$25)*(1+Inputs!$B$26)^(AL$7-1)</f>
        <v>-8911.56</v>
      </c>
    </row>
    <row r="89" customFormat="false" ht="15" hidden="false" customHeight="false" outlineLevel="0" collapsed="false">
      <c r="A89" s="108" t="s">
        <v>367</v>
      </c>
      <c r="C89" s="66" t="n">
        <f aca="false">C88</f>
        <v>-8400</v>
      </c>
      <c r="D89" s="66" t="n">
        <f aca="false">D88</f>
        <v>-8400</v>
      </c>
      <c r="E89" s="66" t="n">
        <f aca="false">E88</f>
        <v>-8400</v>
      </c>
      <c r="F89" s="66" t="n">
        <f aca="false">F88</f>
        <v>-8400</v>
      </c>
      <c r="G89" s="66" t="n">
        <f aca="false">G88</f>
        <v>-8400</v>
      </c>
      <c r="H89" s="66" t="n">
        <f aca="false">H88</f>
        <v>-8400</v>
      </c>
      <c r="I89" s="66" t="n">
        <f aca="false">I88</f>
        <v>-8400</v>
      </c>
      <c r="J89" s="66" t="n">
        <f aca="false">J88</f>
        <v>-8400</v>
      </c>
      <c r="K89" s="66" t="n">
        <f aca="false">K88</f>
        <v>-8400</v>
      </c>
      <c r="L89" s="66" t="n">
        <f aca="false">L88</f>
        <v>-8400</v>
      </c>
      <c r="M89" s="66" t="n">
        <f aca="false">M88</f>
        <v>-8400</v>
      </c>
      <c r="N89" s="66" t="n">
        <f aca="false">N88</f>
        <v>-8400</v>
      </c>
      <c r="O89" s="66" t="n">
        <f aca="false">O88</f>
        <v>-8652</v>
      </c>
      <c r="P89" s="66" t="n">
        <f aca="false">P88</f>
        <v>-8652</v>
      </c>
      <c r="Q89" s="66" t="n">
        <f aca="false">Q88</f>
        <v>-8652</v>
      </c>
      <c r="R89" s="66" t="n">
        <f aca="false">R88</f>
        <v>-8652</v>
      </c>
      <c r="S89" s="66" t="n">
        <f aca="false">S88</f>
        <v>-8652</v>
      </c>
      <c r="T89" s="66" t="n">
        <f aca="false">T88</f>
        <v>-8652</v>
      </c>
      <c r="U89" s="66" t="n">
        <f aca="false">U88</f>
        <v>-8652</v>
      </c>
      <c r="V89" s="66" t="n">
        <f aca="false">V88</f>
        <v>-8652</v>
      </c>
      <c r="W89" s="66" t="n">
        <f aca="false">W88</f>
        <v>-8652</v>
      </c>
      <c r="X89" s="66" t="n">
        <f aca="false">X88</f>
        <v>-8652</v>
      </c>
      <c r="Y89" s="66" t="n">
        <f aca="false">Y88</f>
        <v>-8652</v>
      </c>
      <c r="Z89" s="66" t="n">
        <f aca="false">Z88</f>
        <v>-8652</v>
      </c>
      <c r="AA89" s="66" t="n">
        <f aca="false">AA88</f>
        <v>-8911.56</v>
      </c>
      <c r="AB89" s="66" t="n">
        <f aca="false">AB88</f>
        <v>-8911.56</v>
      </c>
      <c r="AC89" s="66" t="n">
        <f aca="false">AC88</f>
        <v>-8911.56</v>
      </c>
      <c r="AD89" s="66" t="n">
        <f aca="false">AD88</f>
        <v>-8911.56</v>
      </c>
      <c r="AE89" s="66" t="n">
        <f aca="false">AE88</f>
        <v>-8911.56</v>
      </c>
      <c r="AF89" s="66" t="n">
        <f aca="false">AF88</f>
        <v>-8911.56</v>
      </c>
      <c r="AG89" s="66" t="n">
        <f aca="false">AG88</f>
        <v>-8911.56</v>
      </c>
      <c r="AH89" s="66" t="n">
        <f aca="false">AH88</f>
        <v>-8911.56</v>
      </c>
      <c r="AI89" s="66" t="n">
        <f aca="false">AI88</f>
        <v>-8911.56</v>
      </c>
      <c r="AJ89" s="66" t="n">
        <f aca="false">AJ88</f>
        <v>-8911.56</v>
      </c>
      <c r="AK89" s="66" t="n">
        <f aca="false">AK88</f>
        <v>-8911.56</v>
      </c>
      <c r="AL89" s="66" t="n">
        <f aca="false">AL88</f>
        <v>-8911.56</v>
      </c>
    </row>
    <row r="92" customFormat="false" ht="15.75" hidden="false" customHeight="true" outlineLevel="0" collapsed="false">
      <c r="A92" s="7" t="s">
        <v>371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33" t="s">
        <v>296</v>
      </c>
      <c r="C93" s="35" t="s">
        <v>297</v>
      </c>
      <c r="D93" s="35" t="s">
        <v>298</v>
      </c>
      <c r="E93" s="35" t="s">
        <v>299</v>
      </c>
      <c r="F93" s="35" t="s">
        <v>300</v>
      </c>
      <c r="G93" s="35" t="s">
        <v>301</v>
      </c>
      <c r="H93" s="35" t="s">
        <v>302</v>
      </c>
      <c r="I93" s="35" t="s">
        <v>303</v>
      </c>
      <c r="J93" s="35" t="s">
        <v>304</v>
      </c>
      <c r="K93" s="35" t="s">
        <v>305</v>
      </c>
      <c r="L93" s="35" t="s">
        <v>306</v>
      </c>
      <c r="M93" s="35" t="s">
        <v>307</v>
      </c>
      <c r="N93" s="35" t="s">
        <v>308</v>
      </c>
      <c r="O93" s="35" t="s">
        <v>309</v>
      </c>
      <c r="P93" s="35" t="s">
        <v>310</v>
      </c>
      <c r="Q93" s="35" t="s">
        <v>311</v>
      </c>
      <c r="R93" s="35" t="s">
        <v>312</v>
      </c>
      <c r="S93" s="35" t="s">
        <v>313</v>
      </c>
      <c r="T93" s="35" t="s">
        <v>314</v>
      </c>
      <c r="U93" s="35" t="s">
        <v>315</v>
      </c>
      <c r="V93" s="35" t="s">
        <v>316</v>
      </c>
      <c r="W93" s="35" t="s">
        <v>317</v>
      </c>
      <c r="X93" s="35" t="s">
        <v>318</v>
      </c>
      <c r="Y93" s="35" t="s">
        <v>319</v>
      </c>
      <c r="Z93" s="35" t="s">
        <v>320</v>
      </c>
      <c r="AA93" s="35" t="s">
        <v>321</v>
      </c>
      <c r="AB93" s="35" t="s">
        <v>322</v>
      </c>
      <c r="AC93" s="35" t="s">
        <v>323</v>
      </c>
      <c r="AD93" s="35" t="s">
        <v>324</v>
      </c>
      <c r="AE93" s="35" t="s">
        <v>325</v>
      </c>
      <c r="AF93" s="35" t="s">
        <v>326</v>
      </c>
      <c r="AG93" s="35" t="s">
        <v>327</v>
      </c>
      <c r="AH93" s="35" t="s">
        <v>328</v>
      </c>
      <c r="AI93" s="35" t="s">
        <v>329</v>
      </c>
      <c r="AJ93" s="35" t="s">
        <v>330</v>
      </c>
      <c r="AK93" s="35" t="s">
        <v>331</v>
      </c>
      <c r="AL93" s="35" t="s">
        <v>332</v>
      </c>
    </row>
    <row r="94" customFormat="false" ht="15" hidden="false" customHeight="false" outlineLevel="0" collapsed="false">
      <c r="A94" s="70" t="s">
        <v>333</v>
      </c>
      <c r="C94" s="70" t="n">
        <v>1</v>
      </c>
      <c r="D94" s="70" t="n">
        <v>2</v>
      </c>
      <c r="E94" s="70" t="n">
        <v>3</v>
      </c>
      <c r="F94" s="70" t="n">
        <v>4</v>
      </c>
      <c r="G94" s="70" t="n">
        <v>5</v>
      </c>
      <c r="H94" s="70" t="n">
        <v>6</v>
      </c>
      <c r="I94" s="70" t="n">
        <v>7</v>
      </c>
      <c r="J94" s="70" t="n">
        <v>8</v>
      </c>
      <c r="K94" s="70" t="n">
        <v>9</v>
      </c>
      <c r="L94" s="70" t="n">
        <v>10</v>
      </c>
      <c r="M94" s="70" t="n">
        <v>11</v>
      </c>
      <c r="N94" s="70" t="n">
        <v>12</v>
      </c>
      <c r="O94" s="70" t="n">
        <v>13</v>
      </c>
      <c r="P94" s="70" t="n">
        <v>14</v>
      </c>
      <c r="Q94" s="70" t="n">
        <v>15</v>
      </c>
      <c r="R94" s="70" t="n">
        <v>16</v>
      </c>
      <c r="S94" s="70" t="n">
        <v>17</v>
      </c>
      <c r="T94" s="70" t="n">
        <v>18</v>
      </c>
      <c r="U94" s="70" t="n">
        <v>19</v>
      </c>
      <c r="V94" s="70" t="n">
        <v>20</v>
      </c>
      <c r="W94" s="70" t="n">
        <v>21</v>
      </c>
      <c r="X94" s="70" t="n">
        <v>22</v>
      </c>
      <c r="Y94" s="70" t="n">
        <v>23</v>
      </c>
      <c r="Z94" s="70" t="n">
        <v>24</v>
      </c>
      <c r="AA94" s="70" t="n">
        <v>25</v>
      </c>
      <c r="AB94" s="70" t="n">
        <v>26</v>
      </c>
      <c r="AC94" s="70" t="n">
        <v>27</v>
      </c>
      <c r="AD94" s="70" t="n">
        <v>28</v>
      </c>
      <c r="AE94" s="70" t="n">
        <v>29</v>
      </c>
      <c r="AF94" s="70" t="n">
        <v>30</v>
      </c>
      <c r="AG94" s="70" t="n">
        <v>31</v>
      </c>
      <c r="AH94" s="70" t="n">
        <v>32</v>
      </c>
      <c r="AI94" s="70" t="n">
        <v>33</v>
      </c>
      <c r="AJ94" s="70" t="n">
        <v>34</v>
      </c>
      <c r="AK94" s="70" t="n">
        <v>35</v>
      </c>
      <c r="AL94" s="70" t="n">
        <v>36</v>
      </c>
    </row>
    <row r="95" customFormat="false" ht="15" hidden="false" customHeight="false" outlineLevel="0" collapsed="false">
      <c r="A95" s="70" t="s">
        <v>152</v>
      </c>
      <c r="C95" s="70" t="n">
        <f aca="false">ROUNDUP(C94*1/12,0)</f>
        <v>1</v>
      </c>
      <c r="D95" s="70" t="n">
        <f aca="false">ROUNDUP(D94*1/12,0)</f>
        <v>1</v>
      </c>
      <c r="E95" s="70" t="n">
        <f aca="false">ROUNDUP(E94*1/12,0)</f>
        <v>1</v>
      </c>
      <c r="F95" s="70" t="n">
        <f aca="false">ROUNDUP(F94*1/12,0)</f>
        <v>1</v>
      </c>
      <c r="G95" s="70" t="n">
        <f aca="false">ROUNDUP(G94*1/12,0)</f>
        <v>1</v>
      </c>
      <c r="H95" s="70" t="n">
        <f aca="false">ROUNDUP(H94*1/12,0)</f>
        <v>1</v>
      </c>
      <c r="I95" s="70" t="n">
        <f aca="false">ROUNDUP(I94*1/12,0)</f>
        <v>1</v>
      </c>
      <c r="J95" s="70" t="n">
        <f aca="false">ROUNDUP(J94*1/12,0)</f>
        <v>1</v>
      </c>
      <c r="K95" s="70" t="n">
        <f aca="false">ROUNDUP(K94*1/12,0)</f>
        <v>1</v>
      </c>
      <c r="L95" s="70" t="n">
        <f aca="false">ROUNDUP(L94*1/12,0)</f>
        <v>1</v>
      </c>
      <c r="M95" s="70" t="n">
        <f aca="false">ROUNDUP(M94*1/12,0)</f>
        <v>1</v>
      </c>
      <c r="N95" s="70" t="n">
        <f aca="false">ROUNDUP(N94*1/12,0)</f>
        <v>1</v>
      </c>
      <c r="O95" s="70" t="n">
        <f aca="false">ROUNDUP(O94*1/12,0)</f>
        <v>2</v>
      </c>
      <c r="P95" s="70" t="n">
        <f aca="false">ROUNDUP(P94*1/12,0)</f>
        <v>2</v>
      </c>
      <c r="Q95" s="70" t="n">
        <f aca="false">ROUNDUP(Q94*1/12,0)</f>
        <v>2</v>
      </c>
      <c r="R95" s="70" t="n">
        <f aca="false">ROUNDUP(R94*1/12,0)</f>
        <v>2</v>
      </c>
      <c r="S95" s="70" t="n">
        <f aca="false">ROUNDUP(S94*1/12,0)</f>
        <v>2</v>
      </c>
      <c r="T95" s="70" t="n">
        <f aca="false">ROUNDUP(T94*1/12,0)</f>
        <v>2</v>
      </c>
      <c r="U95" s="70" t="n">
        <f aca="false">ROUNDUP(U94*1/12,0)</f>
        <v>2</v>
      </c>
      <c r="V95" s="70" t="n">
        <f aca="false">ROUNDUP(V94*1/12,0)</f>
        <v>2</v>
      </c>
      <c r="W95" s="70" t="n">
        <f aca="false">ROUNDUP(W94*1/12,0)</f>
        <v>2</v>
      </c>
      <c r="X95" s="70" t="n">
        <f aca="false">ROUNDUP(X94*1/12,0)</f>
        <v>2</v>
      </c>
      <c r="Y95" s="70" t="n">
        <f aca="false">ROUNDUP(Y94*1/12,0)</f>
        <v>2</v>
      </c>
      <c r="Z95" s="70" t="n">
        <f aca="false">ROUNDUP(Z94*1/12,0)</f>
        <v>2</v>
      </c>
      <c r="AA95" s="70" t="n">
        <f aca="false">ROUNDUP(AA94*1/12,0)</f>
        <v>3</v>
      </c>
      <c r="AB95" s="70" t="n">
        <f aca="false">ROUNDUP(AB94*1/12,0)</f>
        <v>3</v>
      </c>
      <c r="AC95" s="70" t="n">
        <f aca="false">ROUNDUP(AC94*1/12,0)</f>
        <v>3</v>
      </c>
      <c r="AD95" s="70" t="n">
        <f aca="false">ROUNDUP(AD94*1/12,0)</f>
        <v>3</v>
      </c>
      <c r="AE95" s="70" t="n">
        <f aca="false">ROUNDUP(AE94*1/12,0)</f>
        <v>3</v>
      </c>
      <c r="AF95" s="70" t="n">
        <f aca="false">ROUNDUP(AF94*1/12,0)</f>
        <v>3</v>
      </c>
      <c r="AG95" s="70" t="n">
        <f aca="false">ROUNDUP(AG94*1/12,0)</f>
        <v>3</v>
      </c>
      <c r="AH95" s="70" t="n">
        <f aca="false">ROUNDUP(AH94*1/12,0)</f>
        <v>3</v>
      </c>
      <c r="AI95" s="70" t="n">
        <f aca="false">ROUNDUP(AI94*1/12,0)</f>
        <v>3</v>
      </c>
      <c r="AJ95" s="70" t="n">
        <f aca="false">ROUNDUP(AJ94*1/12,0)</f>
        <v>3</v>
      </c>
      <c r="AK95" s="70" t="n">
        <f aca="false">ROUNDUP(AK94*1/12,0)</f>
        <v>3</v>
      </c>
      <c r="AL95" s="70" t="n">
        <f aca="false">ROUNDUP(AL94*1/12,0)</f>
        <v>3</v>
      </c>
    </row>
    <row r="97" customFormat="false" ht="15.75" hidden="false" customHeight="true" outlineLevel="0" collapsed="false">
      <c r="A97" s="7" t="s">
        <v>334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customFormat="false" ht="15" hidden="false" customHeight="false" outlineLevel="0" collapsed="false">
      <c r="A98" s="39" t="s">
        <v>335</v>
      </c>
      <c r="C98" s="72" t="n">
        <f aca="false">MIN(1,Inputs!$C$9+(1-Inputs!$C$9)*(C$94-1)/MAX(1,Inputs!$C$8))</f>
        <v>0.5</v>
      </c>
      <c r="D98" s="72" t="n">
        <f aca="false">MIN(1,Inputs!$C$9+(1-Inputs!$C$9)*(D$94-1)/MAX(1,Inputs!$C$8))</f>
        <v>0.583333333333333</v>
      </c>
      <c r="E98" s="72" t="n">
        <f aca="false">MIN(1,Inputs!$C$9+(1-Inputs!$C$9)*(E$94-1)/MAX(1,Inputs!$C$8))</f>
        <v>0.666666666666667</v>
      </c>
      <c r="F98" s="72" t="n">
        <f aca="false">MIN(1,Inputs!$C$9+(1-Inputs!$C$9)*(F$94-1)/MAX(1,Inputs!$C$8))</f>
        <v>0.75</v>
      </c>
      <c r="G98" s="72" t="n">
        <f aca="false">MIN(1,Inputs!$C$9+(1-Inputs!$C$9)*(G$94-1)/MAX(1,Inputs!$C$8))</f>
        <v>0.833333333333333</v>
      </c>
      <c r="H98" s="72" t="n">
        <f aca="false">MIN(1,Inputs!$C$9+(1-Inputs!$C$9)*(H$94-1)/MAX(1,Inputs!$C$8))</f>
        <v>0.916666666666667</v>
      </c>
      <c r="I98" s="72" t="n">
        <f aca="false">MIN(1,Inputs!$C$9+(1-Inputs!$C$9)*(I$94-1)/MAX(1,Inputs!$C$8))</f>
        <v>1</v>
      </c>
      <c r="J98" s="72" t="n">
        <f aca="false">MIN(1,Inputs!$C$9+(1-Inputs!$C$9)*(J$94-1)/MAX(1,Inputs!$C$8))</f>
        <v>1</v>
      </c>
      <c r="K98" s="72" t="n">
        <f aca="false">MIN(1,Inputs!$C$9+(1-Inputs!$C$9)*(K$94-1)/MAX(1,Inputs!$C$8))</f>
        <v>1</v>
      </c>
      <c r="L98" s="72" t="n">
        <f aca="false">MIN(1,Inputs!$C$9+(1-Inputs!$C$9)*(L$94-1)/MAX(1,Inputs!$C$8))</f>
        <v>1</v>
      </c>
      <c r="M98" s="72" t="n">
        <f aca="false">MIN(1,Inputs!$C$9+(1-Inputs!$C$9)*(M$94-1)/MAX(1,Inputs!$C$8))</f>
        <v>1</v>
      </c>
      <c r="N98" s="72" t="n">
        <f aca="false">MIN(1,Inputs!$C$9+(1-Inputs!$C$9)*(N$94-1)/MAX(1,Inputs!$C$8))</f>
        <v>1</v>
      </c>
      <c r="O98" s="72" t="n">
        <f aca="false">MIN(1,Inputs!$C$9+(1-Inputs!$C$9)*(O$94-1)/MAX(1,Inputs!$C$8))</f>
        <v>1</v>
      </c>
      <c r="P98" s="72" t="n">
        <f aca="false">MIN(1,Inputs!$C$9+(1-Inputs!$C$9)*(P$94-1)/MAX(1,Inputs!$C$8))</f>
        <v>1</v>
      </c>
      <c r="Q98" s="72" t="n">
        <f aca="false">MIN(1,Inputs!$C$9+(1-Inputs!$C$9)*(Q$94-1)/MAX(1,Inputs!$C$8))</f>
        <v>1</v>
      </c>
      <c r="R98" s="72" t="n">
        <f aca="false">MIN(1,Inputs!$C$9+(1-Inputs!$C$9)*(R$94-1)/MAX(1,Inputs!$C$8))</f>
        <v>1</v>
      </c>
      <c r="S98" s="72" t="n">
        <f aca="false">MIN(1,Inputs!$C$9+(1-Inputs!$C$9)*(S$94-1)/MAX(1,Inputs!$C$8))</f>
        <v>1</v>
      </c>
      <c r="T98" s="72" t="n">
        <f aca="false">MIN(1,Inputs!$C$9+(1-Inputs!$C$9)*(T$94-1)/MAX(1,Inputs!$C$8))</f>
        <v>1</v>
      </c>
      <c r="U98" s="72" t="n">
        <f aca="false">MIN(1,Inputs!$C$9+(1-Inputs!$C$9)*(U$94-1)/MAX(1,Inputs!$C$8))</f>
        <v>1</v>
      </c>
      <c r="V98" s="72" t="n">
        <f aca="false">MIN(1,Inputs!$C$9+(1-Inputs!$C$9)*(V$94-1)/MAX(1,Inputs!$C$8))</f>
        <v>1</v>
      </c>
      <c r="W98" s="72" t="n">
        <f aca="false">MIN(1,Inputs!$C$9+(1-Inputs!$C$9)*(W$94-1)/MAX(1,Inputs!$C$8))</f>
        <v>1</v>
      </c>
      <c r="X98" s="72" t="n">
        <f aca="false">MIN(1,Inputs!$C$9+(1-Inputs!$C$9)*(X$94-1)/MAX(1,Inputs!$C$8))</f>
        <v>1</v>
      </c>
      <c r="Y98" s="72" t="n">
        <f aca="false">MIN(1,Inputs!$C$9+(1-Inputs!$C$9)*(Y$94-1)/MAX(1,Inputs!$C$8))</f>
        <v>1</v>
      </c>
      <c r="Z98" s="72" t="n">
        <f aca="false">MIN(1,Inputs!$C$9+(1-Inputs!$C$9)*(Z$94-1)/MAX(1,Inputs!$C$8))</f>
        <v>1</v>
      </c>
      <c r="AA98" s="72" t="n">
        <f aca="false">MIN(1,Inputs!$C$9+(1-Inputs!$C$9)*(AA$94-1)/MAX(1,Inputs!$C$8))</f>
        <v>1</v>
      </c>
      <c r="AB98" s="72" t="n">
        <f aca="false">MIN(1,Inputs!$C$9+(1-Inputs!$C$9)*(AB$94-1)/MAX(1,Inputs!$C$8))</f>
        <v>1</v>
      </c>
      <c r="AC98" s="72" t="n">
        <f aca="false">MIN(1,Inputs!$C$9+(1-Inputs!$C$9)*(AC$94-1)/MAX(1,Inputs!$C$8))</f>
        <v>1</v>
      </c>
      <c r="AD98" s="72" t="n">
        <f aca="false">MIN(1,Inputs!$C$9+(1-Inputs!$C$9)*(AD$94-1)/MAX(1,Inputs!$C$8))</f>
        <v>1</v>
      </c>
      <c r="AE98" s="72" t="n">
        <f aca="false">MIN(1,Inputs!$C$9+(1-Inputs!$C$9)*(AE$94-1)/MAX(1,Inputs!$C$8))</f>
        <v>1</v>
      </c>
      <c r="AF98" s="72" t="n">
        <f aca="false">MIN(1,Inputs!$C$9+(1-Inputs!$C$9)*(AF$94-1)/MAX(1,Inputs!$C$8))</f>
        <v>1</v>
      </c>
      <c r="AG98" s="72" t="n">
        <f aca="false">MIN(1,Inputs!$C$9+(1-Inputs!$C$9)*(AG$94-1)/MAX(1,Inputs!$C$8))</f>
        <v>1</v>
      </c>
      <c r="AH98" s="72" t="n">
        <f aca="false">MIN(1,Inputs!$C$9+(1-Inputs!$C$9)*(AH$94-1)/MAX(1,Inputs!$C$8))</f>
        <v>1</v>
      </c>
      <c r="AI98" s="72" t="n">
        <f aca="false">MIN(1,Inputs!$C$9+(1-Inputs!$C$9)*(AI$94-1)/MAX(1,Inputs!$C$8))</f>
        <v>1</v>
      </c>
      <c r="AJ98" s="72" t="n">
        <f aca="false">MIN(1,Inputs!$C$9+(1-Inputs!$C$9)*(AJ$94-1)/MAX(1,Inputs!$C$8))</f>
        <v>1</v>
      </c>
      <c r="AK98" s="72" t="n">
        <f aca="false">MIN(1,Inputs!$C$9+(1-Inputs!$C$9)*(AK$94-1)/MAX(1,Inputs!$C$8))</f>
        <v>1</v>
      </c>
      <c r="AL98" s="72" t="n">
        <f aca="false">MIN(1,Inputs!$C$9+(1-Inputs!$C$9)*(AL$94-1)/MAX(1,Inputs!$C$8))</f>
        <v>1</v>
      </c>
    </row>
    <row r="99" customFormat="false" ht="15" hidden="false" customHeight="false" outlineLevel="0" collapsed="false">
      <c r="A99" s="6" t="s">
        <v>336</v>
      </c>
      <c r="C99" s="111" t="n">
        <f aca="false">Inputs!$C$7*C98*(1+Inputs!$C$10)^(C$95-1)</f>
        <v>80</v>
      </c>
      <c r="D99" s="111" t="n">
        <f aca="false">Inputs!$C$7*D98*(1+Inputs!$C$10)^(D$95-1)</f>
        <v>93.3333333333333</v>
      </c>
      <c r="E99" s="111" t="n">
        <f aca="false">Inputs!$C$7*E98*(1+Inputs!$C$10)^(E$95-1)</f>
        <v>106.666666666667</v>
      </c>
      <c r="F99" s="111" t="n">
        <f aca="false">Inputs!$C$7*F98*(1+Inputs!$C$10)^(F$95-1)</f>
        <v>120</v>
      </c>
      <c r="G99" s="111" t="n">
        <f aca="false">Inputs!$C$7*G98*(1+Inputs!$C$10)^(G$95-1)</f>
        <v>133.333333333333</v>
      </c>
      <c r="H99" s="111" t="n">
        <f aca="false">Inputs!$C$7*H98*(1+Inputs!$C$10)^(H$95-1)</f>
        <v>146.666666666667</v>
      </c>
      <c r="I99" s="111" t="n">
        <f aca="false">Inputs!$C$7*I98*(1+Inputs!$C$10)^(I$95-1)</f>
        <v>160</v>
      </c>
      <c r="J99" s="111" t="n">
        <f aca="false">Inputs!$C$7*J98*(1+Inputs!$C$10)^(J$95-1)</f>
        <v>160</v>
      </c>
      <c r="K99" s="111" t="n">
        <f aca="false">Inputs!$C$7*K98*(1+Inputs!$C$10)^(K$95-1)</f>
        <v>160</v>
      </c>
      <c r="L99" s="111" t="n">
        <f aca="false">Inputs!$C$7*L98*(1+Inputs!$C$10)^(L$95-1)</f>
        <v>160</v>
      </c>
      <c r="M99" s="111" t="n">
        <f aca="false">Inputs!$C$7*M98*(1+Inputs!$C$10)^(M$95-1)</f>
        <v>160</v>
      </c>
      <c r="N99" s="111" t="n">
        <f aca="false">Inputs!$C$7*N98*(1+Inputs!$C$10)^(N$95-1)</f>
        <v>160</v>
      </c>
      <c r="O99" s="111" t="n">
        <f aca="false">Inputs!$C$7*O98*(1+Inputs!$C$10)^(O$95-1)</f>
        <v>169.6</v>
      </c>
      <c r="P99" s="111" t="n">
        <f aca="false">Inputs!$C$7*P98*(1+Inputs!$C$10)^(P$95-1)</f>
        <v>169.6</v>
      </c>
      <c r="Q99" s="111" t="n">
        <f aca="false">Inputs!$C$7*Q98*(1+Inputs!$C$10)^(Q$95-1)</f>
        <v>169.6</v>
      </c>
      <c r="R99" s="111" t="n">
        <f aca="false">Inputs!$C$7*R98*(1+Inputs!$C$10)^(R$95-1)</f>
        <v>169.6</v>
      </c>
      <c r="S99" s="111" t="n">
        <f aca="false">Inputs!$C$7*S98*(1+Inputs!$C$10)^(S$95-1)</f>
        <v>169.6</v>
      </c>
      <c r="T99" s="111" t="n">
        <f aca="false">Inputs!$C$7*T98*(1+Inputs!$C$10)^(T$95-1)</f>
        <v>169.6</v>
      </c>
      <c r="U99" s="111" t="n">
        <f aca="false">Inputs!$C$7*U98*(1+Inputs!$C$10)^(U$95-1)</f>
        <v>169.6</v>
      </c>
      <c r="V99" s="111" t="n">
        <f aca="false">Inputs!$C$7*V98*(1+Inputs!$C$10)^(V$95-1)</f>
        <v>169.6</v>
      </c>
      <c r="W99" s="111" t="n">
        <f aca="false">Inputs!$C$7*W98*(1+Inputs!$C$10)^(W$95-1)</f>
        <v>169.6</v>
      </c>
      <c r="X99" s="111" t="n">
        <f aca="false">Inputs!$C$7*X98*(1+Inputs!$C$10)^(X$95-1)</f>
        <v>169.6</v>
      </c>
      <c r="Y99" s="111" t="n">
        <f aca="false">Inputs!$C$7*Y98*(1+Inputs!$C$10)^(Y$95-1)</f>
        <v>169.6</v>
      </c>
      <c r="Z99" s="111" t="n">
        <f aca="false">Inputs!$C$7*Z98*(1+Inputs!$C$10)^(Z$95-1)</f>
        <v>169.6</v>
      </c>
      <c r="AA99" s="111" t="n">
        <f aca="false">Inputs!$C$7*AA98*(1+Inputs!$C$10)^(AA$95-1)</f>
        <v>179.776</v>
      </c>
      <c r="AB99" s="111" t="n">
        <f aca="false">Inputs!$C$7*AB98*(1+Inputs!$C$10)^(AB$95-1)</f>
        <v>179.776</v>
      </c>
      <c r="AC99" s="111" t="n">
        <f aca="false">Inputs!$C$7*AC98*(1+Inputs!$C$10)^(AC$95-1)</f>
        <v>179.776</v>
      </c>
      <c r="AD99" s="111" t="n">
        <f aca="false">Inputs!$C$7*AD98*(1+Inputs!$C$10)^(AD$95-1)</f>
        <v>179.776</v>
      </c>
      <c r="AE99" s="111" t="n">
        <f aca="false">Inputs!$C$7*AE98*(1+Inputs!$C$10)^(AE$95-1)</f>
        <v>179.776</v>
      </c>
      <c r="AF99" s="111" t="n">
        <f aca="false">Inputs!$C$7*AF98*(1+Inputs!$C$10)^(AF$95-1)</f>
        <v>179.776</v>
      </c>
      <c r="AG99" s="111" t="n">
        <f aca="false">Inputs!$C$7*AG98*(1+Inputs!$C$10)^(AG$95-1)</f>
        <v>179.776</v>
      </c>
      <c r="AH99" s="111" t="n">
        <f aca="false">Inputs!$C$7*AH98*(1+Inputs!$C$10)^(AH$95-1)</f>
        <v>179.776</v>
      </c>
      <c r="AI99" s="111" t="n">
        <f aca="false">Inputs!$C$7*AI98*(1+Inputs!$C$10)^(AI$95-1)</f>
        <v>179.776</v>
      </c>
      <c r="AJ99" s="111" t="n">
        <f aca="false">Inputs!$C$7*AJ98*(1+Inputs!$C$10)^(AJ$95-1)</f>
        <v>179.776</v>
      </c>
      <c r="AK99" s="111" t="n">
        <f aca="false">Inputs!$C$7*AK98*(1+Inputs!$C$10)^(AK$95-1)</f>
        <v>179.776</v>
      </c>
      <c r="AL99" s="111" t="n">
        <f aca="false">Inputs!$C$7*AL98*(1+Inputs!$C$10)^(AL$95-1)</f>
        <v>179.776</v>
      </c>
    </row>
    <row r="100" customFormat="false" ht="15" hidden="false" customHeight="false" outlineLevel="0" collapsed="false">
      <c r="A100" s="6" t="s">
        <v>244</v>
      </c>
      <c r="C100" s="112" t="n">
        <f aca="false">Inputs!$C$11*(1+Inputs!$C$12)^(C$95-1)</f>
        <v>6.5</v>
      </c>
      <c r="D100" s="112" t="n">
        <f aca="false">Inputs!$C$11*(1+Inputs!$C$12)^(D$95-1)</f>
        <v>6.5</v>
      </c>
      <c r="E100" s="112" t="n">
        <f aca="false">Inputs!$C$11*(1+Inputs!$C$12)^(E$95-1)</f>
        <v>6.5</v>
      </c>
      <c r="F100" s="112" t="n">
        <f aca="false">Inputs!$C$11*(1+Inputs!$C$12)^(F$95-1)</f>
        <v>6.5</v>
      </c>
      <c r="G100" s="112" t="n">
        <f aca="false">Inputs!$C$11*(1+Inputs!$C$12)^(G$95-1)</f>
        <v>6.5</v>
      </c>
      <c r="H100" s="112" t="n">
        <f aca="false">Inputs!$C$11*(1+Inputs!$C$12)^(H$95-1)</f>
        <v>6.5</v>
      </c>
      <c r="I100" s="112" t="n">
        <f aca="false">Inputs!$C$11*(1+Inputs!$C$12)^(I$95-1)</f>
        <v>6.5</v>
      </c>
      <c r="J100" s="112" t="n">
        <f aca="false">Inputs!$C$11*(1+Inputs!$C$12)^(J$95-1)</f>
        <v>6.5</v>
      </c>
      <c r="K100" s="112" t="n">
        <f aca="false">Inputs!$C$11*(1+Inputs!$C$12)^(K$95-1)</f>
        <v>6.5</v>
      </c>
      <c r="L100" s="112" t="n">
        <f aca="false">Inputs!$C$11*(1+Inputs!$C$12)^(L$95-1)</f>
        <v>6.5</v>
      </c>
      <c r="M100" s="112" t="n">
        <f aca="false">Inputs!$C$11*(1+Inputs!$C$12)^(M$95-1)</f>
        <v>6.5</v>
      </c>
      <c r="N100" s="112" t="n">
        <f aca="false">Inputs!$C$11*(1+Inputs!$C$12)^(N$95-1)</f>
        <v>6.5</v>
      </c>
      <c r="O100" s="112" t="n">
        <f aca="false">Inputs!$C$11*(1+Inputs!$C$12)^(O$95-1)</f>
        <v>6.695</v>
      </c>
      <c r="P100" s="112" t="n">
        <f aca="false">Inputs!$C$11*(1+Inputs!$C$12)^(P$95-1)</f>
        <v>6.695</v>
      </c>
      <c r="Q100" s="112" t="n">
        <f aca="false">Inputs!$C$11*(1+Inputs!$C$12)^(Q$95-1)</f>
        <v>6.695</v>
      </c>
      <c r="R100" s="112" t="n">
        <f aca="false">Inputs!$C$11*(1+Inputs!$C$12)^(R$95-1)</f>
        <v>6.695</v>
      </c>
      <c r="S100" s="112" t="n">
        <f aca="false">Inputs!$C$11*(1+Inputs!$C$12)^(S$95-1)</f>
        <v>6.695</v>
      </c>
      <c r="T100" s="112" t="n">
        <f aca="false">Inputs!$C$11*(1+Inputs!$C$12)^(T$95-1)</f>
        <v>6.695</v>
      </c>
      <c r="U100" s="112" t="n">
        <f aca="false">Inputs!$C$11*(1+Inputs!$C$12)^(U$95-1)</f>
        <v>6.695</v>
      </c>
      <c r="V100" s="112" t="n">
        <f aca="false">Inputs!$C$11*(1+Inputs!$C$12)^(V$95-1)</f>
        <v>6.695</v>
      </c>
      <c r="W100" s="112" t="n">
        <f aca="false">Inputs!$C$11*(1+Inputs!$C$12)^(W$95-1)</f>
        <v>6.695</v>
      </c>
      <c r="X100" s="112" t="n">
        <f aca="false">Inputs!$C$11*(1+Inputs!$C$12)^(X$95-1)</f>
        <v>6.695</v>
      </c>
      <c r="Y100" s="112" t="n">
        <f aca="false">Inputs!$C$11*(1+Inputs!$C$12)^(Y$95-1)</f>
        <v>6.695</v>
      </c>
      <c r="Z100" s="112" t="n">
        <f aca="false">Inputs!$C$11*(1+Inputs!$C$12)^(Z$95-1)</f>
        <v>6.695</v>
      </c>
      <c r="AA100" s="112" t="n">
        <f aca="false">Inputs!$C$11*(1+Inputs!$C$12)^(AA$95-1)</f>
        <v>6.89585</v>
      </c>
      <c r="AB100" s="112" t="n">
        <f aca="false">Inputs!$C$11*(1+Inputs!$C$12)^(AB$95-1)</f>
        <v>6.89585</v>
      </c>
      <c r="AC100" s="112" t="n">
        <f aca="false">Inputs!$C$11*(1+Inputs!$C$12)^(AC$95-1)</f>
        <v>6.89585</v>
      </c>
      <c r="AD100" s="112" t="n">
        <f aca="false">Inputs!$C$11*(1+Inputs!$C$12)^(AD$95-1)</f>
        <v>6.89585</v>
      </c>
      <c r="AE100" s="112" t="n">
        <f aca="false">Inputs!$C$11*(1+Inputs!$C$12)^(AE$95-1)</f>
        <v>6.89585</v>
      </c>
      <c r="AF100" s="112" t="n">
        <f aca="false">Inputs!$C$11*(1+Inputs!$C$12)^(AF$95-1)</f>
        <v>6.89585</v>
      </c>
      <c r="AG100" s="112" t="n">
        <f aca="false">Inputs!$C$11*(1+Inputs!$C$12)^(AG$95-1)</f>
        <v>6.89585</v>
      </c>
      <c r="AH100" s="112" t="n">
        <f aca="false">Inputs!$C$11*(1+Inputs!$C$12)^(AH$95-1)</f>
        <v>6.89585</v>
      </c>
      <c r="AI100" s="112" t="n">
        <f aca="false">Inputs!$C$11*(1+Inputs!$C$12)^(AI$95-1)</f>
        <v>6.89585</v>
      </c>
      <c r="AJ100" s="112" t="n">
        <f aca="false">Inputs!$C$11*(1+Inputs!$C$12)^(AJ$95-1)</f>
        <v>6.89585</v>
      </c>
      <c r="AK100" s="112" t="n">
        <f aca="false">Inputs!$C$11*(1+Inputs!$C$12)^(AK$95-1)</f>
        <v>6.89585</v>
      </c>
      <c r="AL100" s="112" t="n">
        <f aca="false">Inputs!$C$11*(1+Inputs!$C$12)^(AL$95-1)</f>
        <v>6.89585</v>
      </c>
    </row>
    <row r="101" customFormat="false" ht="15" hidden="false" customHeight="false" outlineLevel="0" collapsed="false">
      <c r="A101" s="6" t="s">
        <v>337</v>
      </c>
      <c r="C101" s="113" t="n">
        <f aca="false">Inputs!$C$13*1</f>
        <v>30</v>
      </c>
      <c r="D101" s="113" t="n">
        <f aca="false">Inputs!$C$13*1</f>
        <v>30</v>
      </c>
      <c r="E101" s="113" t="n">
        <f aca="false">Inputs!$C$13*1</f>
        <v>30</v>
      </c>
      <c r="F101" s="113" t="n">
        <f aca="false">Inputs!$C$13*1</f>
        <v>30</v>
      </c>
      <c r="G101" s="113" t="n">
        <f aca="false">Inputs!$C$13*1</f>
        <v>30</v>
      </c>
      <c r="H101" s="113" t="n">
        <f aca="false">Inputs!$C$13*1</f>
        <v>30</v>
      </c>
      <c r="I101" s="113" t="n">
        <f aca="false">Inputs!$C$13*1</f>
        <v>30</v>
      </c>
      <c r="J101" s="113" t="n">
        <f aca="false">Inputs!$C$13*1</f>
        <v>30</v>
      </c>
      <c r="K101" s="113" t="n">
        <f aca="false">Inputs!$C$13*1</f>
        <v>30</v>
      </c>
      <c r="L101" s="113" t="n">
        <f aca="false">Inputs!$C$13*1</f>
        <v>30</v>
      </c>
      <c r="M101" s="113" t="n">
        <f aca="false">Inputs!$C$13*1</f>
        <v>30</v>
      </c>
      <c r="N101" s="113" t="n">
        <f aca="false">Inputs!$C$13*1</f>
        <v>30</v>
      </c>
      <c r="O101" s="113" t="n">
        <f aca="false">Inputs!$C$13*1</f>
        <v>30</v>
      </c>
      <c r="P101" s="113" t="n">
        <f aca="false">Inputs!$C$13*1</f>
        <v>30</v>
      </c>
      <c r="Q101" s="113" t="n">
        <f aca="false">Inputs!$C$13*1</f>
        <v>30</v>
      </c>
      <c r="R101" s="113" t="n">
        <f aca="false">Inputs!$C$13*1</f>
        <v>30</v>
      </c>
      <c r="S101" s="113" t="n">
        <f aca="false">Inputs!$C$13*1</f>
        <v>30</v>
      </c>
      <c r="T101" s="113" t="n">
        <f aca="false">Inputs!$C$13*1</f>
        <v>30</v>
      </c>
      <c r="U101" s="113" t="n">
        <f aca="false">Inputs!$C$13*1</f>
        <v>30</v>
      </c>
      <c r="V101" s="113" t="n">
        <f aca="false">Inputs!$C$13*1</f>
        <v>30</v>
      </c>
      <c r="W101" s="113" t="n">
        <f aca="false">Inputs!$C$13*1</f>
        <v>30</v>
      </c>
      <c r="X101" s="113" t="n">
        <f aca="false">Inputs!$C$13*1</f>
        <v>30</v>
      </c>
      <c r="Y101" s="113" t="n">
        <f aca="false">Inputs!$C$13*1</f>
        <v>30</v>
      </c>
      <c r="Z101" s="113" t="n">
        <f aca="false">Inputs!$C$13*1</f>
        <v>30</v>
      </c>
      <c r="AA101" s="113" t="n">
        <f aca="false">Inputs!$C$13*1</f>
        <v>30</v>
      </c>
      <c r="AB101" s="113" t="n">
        <f aca="false">Inputs!$C$13*1</f>
        <v>30</v>
      </c>
      <c r="AC101" s="113" t="n">
        <f aca="false">Inputs!$C$13*1</f>
        <v>30</v>
      </c>
      <c r="AD101" s="113" t="n">
        <f aca="false">Inputs!$C$13*1</f>
        <v>30</v>
      </c>
      <c r="AE101" s="113" t="n">
        <f aca="false">Inputs!$C$13*1</f>
        <v>30</v>
      </c>
      <c r="AF101" s="113" t="n">
        <f aca="false">Inputs!$C$13*1</f>
        <v>30</v>
      </c>
      <c r="AG101" s="113" t="n">
        <f aca="false">Inputs!$C$13*1</f>
        <v>30</v>
      </c>
      <c r="AH101" s="113" t="n">
        <f aca="false">Inputs!$C$13*1</f>
        <v>30</v>
      </c>
      <c r="AI101" s="113" t="n">
        <f aca="false">Inputs!$C$13*1</f>
        <v>30</v>
      </c>
      <c r="AJ101" s="113" t="n">
        <f aca="false">Inputs!$C$13*1</f>
        <v>30</v>
      </c>
      <c r="AK101" s="113" t="n">
        <f aca="false">Inputs!$C$13*1</f>
        <v>30</v>
      </c>
      <c r="AL101" s="113" t="n">
        <f aca="false">Inputs!$C$13*1</f>
        <v>30</v>
      </c>
    </row>
    <row r="102" customFormat="false" ht="15" hidden="false" customHeight="false" outlineLevel="0" collapsed="false">
      <c r="A102" s="108" t="s">
        <v>44</v>
      </c>
      <c r="C102" s="66" t="n">
        <f aca="false">C99*C100*C101</f>
        <v>15600</v>
      </c>
      <c r="D102" s="66" t="n">
        <f aca="false">D99*D100*D101</f>
        <v>18200</v>
      </c>
      <c r="E102" s="66" t="n">
        <f aca="false">E99*E100*E101</f>
        <v>20800</v>
      </c>
      <c r="F102" s="66" t="n">
        <f aca="false">F99*F100*F101</f>
        <v>23400</v>
      </c>
      <c r="G102" s="66" t="n">
        <f aca="false">G99*G100*G101</f>
        <v>26000</v>
      </c>
      <c r="H102" s="66" t="n">
        <f aca="false">H99*H100*H101</f>
        <v>28600</v>
      </c>
      <c r="I102" s="66" t="n">
        <f aca="false">I99*I100*I101</f>
        <v>31200</v>
      </c>
      <c r="J102" s="66" t="n">
        <f aca="false">J99*J100*J101</f>
        <v>31200</v>
      </c>
      <c r="K102" s="66" t="n">
        <f aca="false">K99*K100*K101</f>
        <v>31200</v>
      </c>
      <c r="L102" s="66" t="n">
        <f aca="false">L99*L100*L101</f>
        <v>31200</v>
      </c>
      <c r="M102" s="66" t="n">
        <f aca="false">M99*M100*M101</f>
        <v>31200</v>
      </c>
      <c r="N102" s="66" t="n">
        <f aca="false">N99*N100*N101</f>
        <v>31200</v>
      </c>
      <c r="O102" s="66" t="n">
        <f aca="false">O99*O100*O101</f>
        <v>34064.16</v>
      </c>
      <c r="P102" s="66" t="n">
        <f aca="false">P99*P100*P101</f>
        <v>34064.16</v>
      </c>
      <c r="Q102" s="66" t="n">
        <f aca="false">Q99*Q100*Q101</f>
        <v>34064.16</v>
      </c>
      <c r="R102" s="66" t="n">
        <f aca="false">R99*R100*R101</f>
        <v>34064.16</v>
      </c>
      <c r="S102" s="66" t="n">
        <f aca="false">S99*S100*S101</f>
        <v>34064.16</v>
      </c>
      <c r="T102" s="66" t="n">
        <f aca="false">T99*T100*T101</f>
        <v>34064.16</v>
      </c>
      <c r="U102" s="66" t="n">
        <f aca="false">U99*U100*U101</f>
        <v>34064.16</v>
      </c>
      <c r="V102" s="66" t="n">
        <f aca="false">V99*V100*V101</f>
        <v>34064.16</v>
      </c>
      <c r="W102" s="66" t="n">
        <f aca="false">W99*W100*W101</f>
        <v>34064.16</v>
      </c>
      <c r="X102" s="66" t="n">
        <f aca="false">X99*X100*X101</f>
        <v>34064.16</v>
      </c>
      <c r="Y102" s="66" t="n">
        <f aca="false">Y99*Y100*Y101</f>
        <v>34064.16</v>
      </c>
      <c r="Z102" s="66" t="n">
        <f aca="false">Z99*Z100*Z101</f>
        <v>34064.16</v>
      </c>
      <c r="AA102" s="66" t="n">
        <f aca="false">AA99*AA100*AA101</f>
        <v>37191.249888</v>
      </c>
      <c r="AB102" s="66" t="n">
        <f aca="false">AB99*AB100*AB101</f>
        <v>37191.249888</v>
      </c>
      <c r="AC102" s="66" t="n">
        <f aca="false">AC99*AC100*AC101</f>
        <v>37191.249888</v>
      </c>
      <c r="AD102" s="66" t="n">
        <f aca="false">AD99*AD100*AD101</f>
        <v>37191.249888</v>
      </c>
      <c r="AE102" s="66" t="n">
        <f aca="false">AE99*AE100*AE101</f>
        <v>37191.249888</v>
      </c>
      <c r="AF102" s="66" t="n">
        <f aca="false">AF99*AF100*AF101</f>
        <v>37191.249888</v>
      </c>
      <c r="AG102" s="66" t="n">
        <f aca="false">AG99*AG100*AG101</f>
        <v>37191.249888</v>
      </c>
      <c r="AH102" s="66" t="n">
        <f aca="false">AH99*AH100*AH101</f>
        <v>37191.249888</v>
      </c>
      <c r="AI102" s="66" t="n">
        <f aca="false">AI99*AI100*AI101</f>
        <v>37191.249888</v>
      </c>
      <c r="AJ102" s="66" t="n">
        <f aca="false">AJ99*AJ100*AJ101</f>
        <v>37191.249888</v>
      </c>
      <c r="AK102" s="66" t="n">
        <f aca="false">AK99*AK100*AK101</f>
        <v>37191.249888</v>
      </c>
      <c r="AL102" s="66" t="n">
        <f aca="false">AL99*AL100*AL101</f>
        <v>37191.249888</v>
      </c>
    </row>
    <row r="103" customFormat="false" ht="15" hidden="false" customHeight="false" outlineLevel="0" collapsed="false">
      <c r="A103" s="6" t="s">
        <v>74</v>
      </c>
      <c r="C103" s="65" t="n">
        <f aca="false">-C102*Inputs!$C$14</f>
        <v>-5148</v>
      </c>
      <c r="D103" s="65" t="n">
        <f aca="false">-D102*Inputs!$C$14</f>
        <v>-6006</v>
      </c>
      <c r="E103" s="65" t="n">
        <f aca="false">-E102*Inputs!$C$14</f>
        <v>-6864</v>
      </c>
      <c r="F103" s="65" t="n">
        <f aca="false">-F102*Inputs!$C$14</f>
        <v>-7722</v>
      </c>
      <c r="G103" s="65" t="n">
        <f aca="false">-G102*Inputs!$C$14</f>
        <v>-8580</v>
      </c>
      <c r="H103" s="65" t="n">
        <f aca="false">-H102*Inputs!$C$14</f>
        <v>-9438</v>
      </c>
      <c r="I103" s="65" t="n">
        <f aca="false">-I102*Inputs!$C$14</f>
        <v>-10296</v>
      </c>
      <c r="J103" s="65" t="n">
        <f aca="false">-J102*Inputs!$C$14</f>
        <v>-10296</v>
      </c>
      <c r="K103" s="65" t="n">
        <f aca="false">-K102*Inputs!$C$14</f>
        <v>-10296</v>
      </c>
      <c r="L103" s="65" t="n">
        <f aca="false">-L102*Inputs!$C$14</f>
        <v>-10296</v>
      </c>
      <c r="M103" s="65" t="n">
        <f aca="false">-M102*Inputs!$C$14</f>
        <v>-10296</v>
      </c>
      <c r="N103" s="65" t="n">
        <f aca="false">-N102*Inputs!$C$14</f>
        <v>-10296</v>
      </c>
      <c r="O103" s="65" t="n">
        <f aca="false">-O102*Inputs!$C$14</f>
        <v>-11241.1728</v>
      </c>
      <c r="P103" s="65" t="n">
        <f aca="false">-P102*Inputs!$C$14</f>
        <v>-11241.1728</v>
      </c>
      <c r="Q103" s="65" t="n">
        <f aca="false">-Q102*Inputs!$C$14</f>
        <v>-11241.1728</v>
      </c>
      <c r="R103" s="65" t="n">
        <f aca="false">-R102*Inputs!$C$14</f>
        <v>-11241.1728</v>
      </c>
      <c r="S103" s="65" t="n">
        <f aca="false">-S102*Inputs!$C$14</f>
        <v>-11241.1728</v>
      </c>
      <c r="T103" s="65" t="n">
        <f aca="false">-T102*Inputs!$C$14</f>
        <v>-11241.1728</v>
      </c>
      <c r="U103" s="65" t="n">
        <f aca="false">-U102*Inputs!$C$14</f>
        <v>-11241.1728</v>
      </c>
      <c r="V103" s="65" t="n">
        <f aca="false">-V102*Inputs!$C$14</f>
        <v>-11241.1728</v>
      </c>
      <c r="W103" s="65" t="n">
        <f aca="false">-W102*Inputs!$C$14</f>
        <v>-11241.1728</v>
      </c>
      <c r="X103" s="65" t="n">
        <f aca="false">-X102*Inputs!$C$14</f>
        <v>-11241.1728</v>
      </c>
      <c r="Y103" s="65" t="n">
        <f aca="false">-Y102*Inputs!$C$14</f>
        <v>-11241.1728</v>
      </c>
      <c r="Z103" s="65" t="n">
        <f aca="false">-Z102*Inputs!$C$14</f>
        <v>-11241.1728</v>
      </c>
      <c r="AA103" s="65" t="n">
        <f aca="false">-AA102*Inputs!$C$14</f>
        <v>-12273.11246304</v>
      </c>
      <c r="AB103" s="65" t="n">
        <f aca="false">-AB102*Inputs!$C$14</f>
        <v>-12273.11246304</v>
      </c>
      <c r="AC103" s="65" t="n">
        <f aca="false">-AC102*Inputs!$C$14</f>
        <v>-12273.11246304</v>
      </c>
      <c r="AD103" s="65" t="n">
        <f aca="false">-AD102*Inputs!$C$14</f>
        <v>-12273.11246304</v>
      </c>
      <c r="AE103" s="65" t="n">
        <f aca="false">-AE102*Inputs!$C$14</f>
        <v>-12273.11246304</v>
      </c>
      <c r="AF103" s="65" t="n">
        <f aca="false">-AF102*Inputs!$C$14</f>
        <v>-12273.11246304</v>
      </c>
      <c r="AG103" s="65" t="n">
        <f aca="false">-AG102*Inputs!$C$14</f>
        <v>-12273.11246304</v>
      </c>
      <c r="AH103" s="65" t="n">
        <f aca="false">-AH102*Inputs!$C$14</f>
        <v>-12273.11246304</v>
      </c>
      <c r="AI103" s="65" t="n">
        <f aca="false">-AI102*Inputs!$C$14</f>
        <v>-12273.11246304</v>
      </c>
      <c r="AJ103" s="65" t="n">
        <f aca="false">-AJ102*Inputs!$C$14</f>
        <v>-12273.11246304</v>
      </c>
      <c r="AK103" s="65" t="n">
        <f aca="false">-AK102*Inputs!$C$14</f>
        <v>-12273.11246304</v>
      </c>
      <c r="AL103" s="65" t="n">
        <f aca="false">-AL102*Inputs!$C$14</f>
        <v>-12273.11246304</v>
      </c>
    </row>
    <row r="104" customFormat="false" ht="15" hidden="false" customHeight="false" outlineLevel="0" collapsed="false">
      <c r="A104" s="108" t="s">
        <v>45</v>
      </c>
      <c r="C104" s="66" t="n">
        <f aca="false">C102+C103</f>
        <v>10452</v>
      </c>
      <c r="D104" s="66" t="n">
        <f aca="false">D102+D103</f>
        <v>12194</v>
      </c>
      <c r="E104" s="66" t="n">
        <f aca="false">E102+E103</f>
        <v>13936</v>
      </c>
      <c r="F104" s="66" t="n">
        <f aca="false">F102+F103</f>
        <v>15678</v>
      </c>
      <c r="G104" s="66" t="n">
        <f aca="false">G102+G103</f>
        <v>17420</v>
      </c>
      <c r="H104" s="66" t="n">
        <f aca="false">H102+H103</f>
        <v>19162</v>
      </c>
      <c r="I104" s="66" t="n">
        <f aca="false">I102+I103</f>
        <v>20904</v>
      </c>
      <c r="J104" s="66" t="n">
        <f aca="false">J102+J103</f>
        <v>20904</v>
      </c>
      <c r="K104" s="66" t="n">
        <f aca="false">K102+K103</f>
        <v>20904</v>
      </c>
      <c r="L104" s="66" t="n">
        <f aca="false">L102+L103</f>
        <v>20904</v>
      </c>
      <c r="M104" s="66" t="n">
        <f aca="false">M102+M103</f>
        <v>20904</v>
      </c>
      <c r="N104" s="66" t="n">
        <f aca="false">N102+N103</f>
        <v>20904</v>
      </c>
      <c r="O104" s="66" t="n">
        <f aca="false">O102+O103</f>
        <v>22822.9872</v>
      </c>
      <c r="P104" s="66" t="n">
        <f aca="false">P102+P103</f>
        <v>22822.9872</v>
      </c>
      <c r="Q104" s="66" t="n">
        <f aca="false">Q102+Q103</f>
        <v>22822.9872</v>
      </c>
      <c r="R104" s="66" t="n">
        <f aca="false">R102+R103</f>
        <v>22822.9872</v>
      </c>
      <c r="S104" s="66" t="n">
        <f aca="false">S102+S103</f>
        <v>22822.9872</v>
      </c>
      <c r="T104" s="66" t="n">
        <f aca="false">T102+T103</f>
        <v>22822.9872</v>
      </c>
      <c r="U104" s="66" t="n">
        <f aca="false">U102+U103</f>
        <v>22822.9872</v>
      </c>
      <c r="V104" s="66" t="n">
        <f aca="false">V102+V103</f>
        <v>22822.9872</v>
      </c>
      <c r="W104" s="66" t="n">
        <f aca="false">W102+W103</f>
        <v>22822.9872</v>
      </c>
      <c r="X104" s="66" t="n">
        <f aca="false">X102+X103</f>
        <v>22822.9872</v>
      </c>
      <c r="Y104" s="66" t="n">
        <f aca="false">Y102+Y103</f>
        <v>22822.9872</v>
      </c>
      <c r="Z104" s="66" t="n">
        <f aca="false">Z102+Z103</f>
        <v>22822.9872</v>
      </c>
      <c r="AA104" s="66" t="n">
        <f aca="false">AA102+AA103</f>
        <v>24918.13742496</v>
      </c>
      <c r="AB104" s="66" t="n">
        <f aca="false">AB102+AB103</f>
        <v>24918.13742496</v>
      </c>
      <c r="AC104" s="66" t="n">
        <f aca="false">AC102+AC103</f>
        <v>24918.13742496</v>
      </c>
      <c r="AD104" s="66" t="n">
        <f aca="false">AD102+AD103</f>
        <v>24918.13742496</v>
      </c>
      <c r="AE104" s="66" t="n">
        <f aca="false">AE102+AE103</f>
        <v>24918.13742496</v>
      </c>
      <c r="AF104" s="66" t="n">
        <f aca="false">AF102+AF103</f>
        <v>24918.13742496</v>
      </c>
      <c r="AG104" s="66" t="n">
        <f aca="false">AG102+AG103</f>
        <v>24918.13742496</v>
      </c>
      <c r="AH104" s="66" t="n">
        <f aca="false">AH102+AH103</f>
        <v>24918.13742496</v>
      </c>
      <c r="AI104" s="66" t="n">
        <f aca="false">AI102+AI103</f>
        <v>24918.13742496</v>
      </c>
      <c r="AJ104" s="66" t="n">
        <f aca="false">AJ102+AJ103</f>
        <v>24918.13742496</v>
      </c>
      <c r="AK104" s="66" t="n">
        <f aca="false">AK102+AK103</f>
        <v>24918.13742496</v>
      </c>
      <c r="AL104" s="66" t="n">
        <f aca="false">AL102+AL103</f>
        <v>24918.13742496</v>
      </c>
    </row>
    <row r="106" customFormat="false" ht="15.75" hidden="false" customHeight="true" outlineLevel="0" collapsed="false">
      <c r="A106" s="7" t="s">
        <v>47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284</v>
      </c>
      <c r="C107" s="65" t="n">
        <f aca="false">-Inputs!$C$15*1</f>
        <v>-4500</v>
      </c>
      <c r="D107" s="65" t="n">
        <f aca="false">-Inputs!$C$15*1</f>
        <v>-4500</v>
      </c>
      <c r="E107" s="65" t="n">
        <f aca="false">-Inputs!$C$15*1</f>
        <v>-4500</v>
      </c>
      <c r="F107" s="65" t="n">
        <f aca="false">-Inputs!$C$15*1</f>
        <v>-4500</v>
      </c>
      <c r="G107" s="65" t="n">
        <f aca="false">-Inputs!$C$15*1</f>
        <v>-4500</v>
      </c>
      <c r="H107" s="65" t="n">
        <f aca="false">-Inputs!$C$15*1</f>
        <v>-4500</v>
      </c>
      <c r="I107" s="65" t="n">
        <f aca="false">-Inputs!$C$15*1</f>
        <v>-4500</v>
      </c>
      <c r="J107" s="65" t="n">
        <f aca="false">-Inputs!$C$15*1</f>
        <v>-4500</v>
      </c>
      <c r="K107" s="65" t="n">
        <f aca="false">-Inputs!$C$15*1</f>
        <v>-4500</v>
      </c>
      <c r="L107" s="65" t="n">
        <f aca="false">-Inputs!$C$15*1</f>
        <v>-4500</v>
      </c>
      <c r="M107" s="65" t="n">
        <f aca="false">-Inputs!$C$15*1</f>
        <v>-4500</v>
      </c>
      <c r="N107" s="65" t="n">
        <f aca="false">-Inputs!$C$15*1</f>
        <v>-4500</v>
      </c>
      <c r="O107" s="65" t="n">
        <f aca="false">-Inputs!$C$15*1</f>
        <v>-4500</v>
      </c>
      <c r="P107" s="65" t="n">
        <f aca="false">-Inputs!$C$15*1</f>
        <v>-4500</v>
      </c>
      <c r="Q107" s="65" t="n">
        <f aca="false">-Inputs!$C$15*1</f>
        <v>-4500</v>
      </c>
      <c r="R107" s="65" t="n">
        <f aca="false">-Inputs!$C$15*1</f>
        <v>-4500</v>
      </c>
      <c r="S107" s="65" t="n">
        <f aca="false">-Inputs!$C$15*1</f>
        <v>-4500</v>
      </c>
      <c r="T107" s="65" t="n">
        <f aca="false">-Inputs!$C$15*1</f>
        <v>-4500</v>
      </c>
      <c r="U107" s="65" t="n">
        <f aca="false">-Inputs!$C$15*1</f>
        <v>-4500</v>
      </c>
      <c r="V107" s="65" t="n">
        <f aca="false">-Inputs!$C$15*1</f>
        <v>-4500</v>
      </c>
      <c r="W107" s="65" t="n">
        <f aca="false">-Inputs!$C$15*1</f>
        <v>-4500</v>
      </c>
      <c r="X107" s="65" t="n">
        <f aca="false">-Inputs!$C$15*1</f>
        <v>-4500</v>
      </c>
      <c r="Y107" s="65" t="n">
        <f aca="false">-Inputs!$C$15*1</f>
        <v>-4500</v>
      </c>
      <c r="Z107" s="65" t="n">
        <f aca="false">-Inputs!$C$15*1</f>
        <v>-4500</v>
      </c>
      <c r="AA107" s="65" t="n">
        <f aca="false">-Inputs!$C$15*1</f>
        <v>-4500</v>
      </c>
      <c r="AB107" s="65" t="n">
        <f aca="false">-Inputs!$C$15*1</f>
        <v>-4500</v>
      </c>
      <c r="AC107" s="65" t="n">
        <f aca="false">-Inputs!$C$15*1</f>
        <v>-4500</v>
      </c>
      <c r="AD107" s="65" t="n">
        <f aca="false">-Inputs!$C$15*1</f>
        <v>-4500</v>
      </c>
      <c r="AE107" s="65" t="n">
        <f aca="false">-Inputs!$C$15*1</f>
        <v>-4500</v>
      </c>
      <c r="AF107" s="65" t="n">
        <f aca="false">-Inputs!$C$15*1</f>
        <v>-4500</v>
      </c>
      <c r="AG107" s="65" t="n">
        <f aca="false">-Inputs!$C$15*1</f>
        <v>-4500</v>
      </c>
      <c r="AH107" s="65" t="n">
        <f aca="false">-Inputs!$C$15*1</f>
        <v>-4500</v>
      </c>
      <c r="AI107" s="65" t="n">
        <f aca="false">-Inputs!$C$15*1</f>
        <v>-4500</v>
      </c>
      <c r="AJ107" s="65" t="n">
        <f aca="false">-Inputs!$C$15*1</f>
        <v>-4500</v>
      </c>
      <c r="AK107" s="65" t="n">
        <f aca="false">-Inputs!$C$15*1</f>
        <v>-4500</v>
      </c>
      <c r="AL107" s="65" t="n">
        <f aca="false">-Inputs!$C$15*1</f>
        <v>-4500</v>
      </c>
    </row>
    <row r="108" customFormat="false" ht="15" hidden="false" customHeight="false" outlineLevel="0" collapsed="false">
      <c r="A108" s="6" t="s">
        <v>285</v>
      </c>
      <c r="C108" s="65" t="n">
        <f aca="false">C177</f>
        <v>-10453.3333333333</v>
      </c>
      <c r="D108" s="65" t="n">
        <f aca="false">D177</f>
        <v>-10453.3333333333</v>
      </c>
      <c r="E108" s="65" t="n">
        <f aca="false">E177</f>
        <v>-10453.3333333333</v>
      </c>
      <c r="F108" s="65" t="n">
        <f aca="false">F177</f>
        <v>-10453.3333333333</v>
      </c>
      <c r="G108" s="65" t="n">
        <f aca="false">G177</f>
        <v>-10453.3333333333</v>
      </c>
      <c r="H108" s="65" t="n">
        <f aca="false">H177</f>
        <v>-10453.3333333333</v>
      </c>
      <c r="I108" s="65" t="n">
        <f aca="false">I177</f>
        <v>-10453.3333333333</v>
      </c>
      <c r="J108" s="65" t="n">
        <f aca="false">J177</f>
        <v>-10453.3333333333</v>
      </c>
      <c r="K108" s="65" t="n">
        <f aca="false">K177</f>
        <v>-10453.3333333333</v>
      </c>
      <c r="L108" s="65" t="n">
        <f aca="false">L177</f>
        <v>-10453.3333333333</v>
      </c>
      <c r="M108" s="65" t="n">
        <f aca="false">M177</f>
        <v>-10453.3333333333</v>
      </c>
      <c r="N108" s="65" t="n">
        <f aca="false">N177</f>
        <v>-10453.3333333333</v>
      </c>
      <c r="O108" s="65" t="n">
        <f aca="false">O177</f>
        <v>-10766.9333333333</v>
      </c>
      <c r="P108" s="65" t="n">
        <f aca="false">P177</f>
        <v>-10766.9333333333</v>
      </c>
      <c r="Q108" s="65" t="n">
        <f aca="false">Q177</f>
        <v>-10766.9333333333</v>
      </c>
      <c r="R108" s="65" t="n">
        <f aca="false">R177</f>
        <v>-10766.9333333333</v>
      </c>
      <c r="S108" s="65" t="n">
        <f aca="false">S177</f>
        <v>-10766.9333333333</v>
      </c>
      <c r="T108" s="65" t="n">
        <f aca="false">T177</f>
        <v>-10766.9333333333</v>
      </c>
      <c r="U108" s="65" t="n">
        <f aca="false">U177</f>
        <v>-10766.9333333333</v>
      </c>
      <c r="V108" s="65" t="n">
        <f aca="false">V177</f>
        <v>-10766.9333333333</v>
      </c>
      <c r="W108" s="65" t="n">
        <f aca="false">W177</f>
        <v>-10766.9333333333</v>
      </c>
      <c r="X108" s="65" t="n">
        <f aca="false">X177</f>
        <v>-10766.9333333333</v>
      </c>
      <c r="Y108" s="65" t="n">
        <f aca="false">Y177</f>
        <v>-10766.9333333333</v>
      </c>
      <c r="Z108" s="65" t="n">
        <f aca="false">Z177</f>
        <v>-10766.9333333333</v>
      </c>
      <c r="AA108" s="65" t="n">
        <f aca="false">AA177</f>
        <v>-11089.9413333333</v>
      </c>
      <c r="AB108" s="65" t="n">
        <f aca="false">AB177</f>
        <v>-11089.9413333333</v>
      </c>
      <c r="AC108" s="65" t="n">
        <f aca="false">AC177</f>
        <v>-11089.9413333333</v>
      </c>
      <c r="AD108" s="65" t="n">
        <f aca="false">AD177</f>
        <v>-11089.9413333333</v>
      </c>
      <c r="AE108" s="65" t="n">
        <f aca="false">AE177</f>
        <v>-11089.9413333333</v>
      </c>
      <c r="AF108" s="65" t="n">
        <f aca="false">AF177</f>
        <v>-11089.9413333333</v>
      </c>
      <c r="AG108" s="65" t="n">
        <f aca="false">AG177</f>
        <v>-11089.9413333333</v>
      </c>
      <c r="AH108" s="65" t="n">
        <f aca="false">AH177</f>
        <v>-11089.9413333333</v>
      </c>
      <c r="AI108" s="65" t="n">
        <f aca="false">AI177</f>
        <v>-11089.9413333333</v>
      </c>
      <c r="AJ108" s="65" t="n">
        <f aca="false">AJ177</f>
        <v>-11089.9413333333</v>
      </c>
      <c r="AK108" s="65" t="n">
        <f aca="false">AK177</f>
        <v>-11089.9413333333</v>
      </c>
      <c r="AL108" s="65" t="n">
        <f aca="false">AL177</f>
        <v>-11089.9413333333</v>
      </c>
    </row>
    <row r="109" customFormat="false" ht="15" hidden="false" customHeight="false" outlineLevel="0" collapsed="false">
      <c r="A109" s="6" t="s">
        <v>286</v>
      </c>
      <c r="C109" s="65" t="n">
        <f aca="false">-C102*Inputs!$C$16</f>
        <v>-468</v>
      </c>
      <c r="D109" s="65" t="n">
        <f aca="false">-D102*Inputs!$C$16</f>
        <v>-546</v>
      </c>
      <c r="E109" s="65" t="n">
        <f aca="false">-E102*Inputs!$C$16</f>
        <v>-624</v>
      </c>
      <c r="F109" s="65" t="n">
        <f aca="false">-F102*Inputs!$C$16</f>
        <v>-702</v>
      </c>
      <c r="G109" s="65" t="n">
        <f aca="false">-G102*Inputs!$C$16</f>
        <v>-780</v>
      </c>
      <c r="H109" s="65" t="n">
        <f aca="false">-H102*Inputs!$C$16</f>
        <v>-858</v>
      </c>
      <c r="I109" s="65" t="n">
        <f aca="false">-I102*Inputs!$C$16</f>
        <v>-936</v>
      </c>
      <c r="J109" s="65" t="n">
        <f aca="false">-J102*Inputs!$C$16</f>
        <v>-936</v>
      </c>
      <c r="K109" s="65" t="n">
        <f aca="false">-K102*Inputs!$C$16</f>
        <v>-936</v>
      </c>
      <c r="L109" s="65" t="n">
        <f aca="false">-L102*Inputs!$C$16</f>
        <v>-936</v>
      </c>
      <c r="M109" s="65" t="n">
        <f aca="false">-M102*Inputs!$C$16</f>
        <v>-936</v>
      </c>
      <c r="N109" s="65" t="n">
        <f aca="false">-N102*Inputs!$C$16</f>
        <v>-936</v>
      </c>
      <c r="O109" s="65" t="n">
        <f aca="false">-O102*Inputs!$C$16</f>
        <v>-1021.9248</v>
      </c>
      <c r="P109" s="65" t="n">
        <f aca="false">-P102*Inputs!$C$16</f>
        <v>-1021.9248</v>
      </c>
      <c r="Q109" s="65" t="n">
        <f aca="false">-Q102*Inputs!$C$16</f>
        <v>-1021.9248</v>
      </c>
      <c r="R109" s="65" t="n">
        <f aca="false">-R102*Inputs!$C$16</f>
        <v>-1021.9248</v>
      </c>
      <c r="S109" s="65" t="n">
        <f aca="false">-S102*Inputs!$C$16</f>
        <v>-1021.9248</v>
      </c>
      <c r="T109" s="65" t="n">
        <f aca="false">-T102*Inputs!$C$16</f>
        <v>-1021.9248</v>
      </c>
      <c r="U109" s="65" t="n">
        <f aca="false">-U102*Inputs!$C$16</f>
        <v>-1021.9248</v>
      </c>
      <c r="V109" s="65" t="n">
        <f aca="false">-V102*Inputs!$C$16</f>
        <v>-1021.9248</v>
      </c>
      <c r="W109" s="65" t="n">
        <f aca="false">-W102*Inputs!$C$16</f>
        <v>-1021.9248</v>
      </c>
      <c r="X109" s="65" t="n">
        <f aca="false">-X102*Inputs!$C$16</f>
        <v>-1021.9248</v>
      </c>
      <c r="Y109" s="65" t="n">
        <f aca="false">-Y102*Inputs!$C$16</f>
        <v>-1021.9248</v>
      </c>
      <c r="Z109" s="65" t="n">
        <f aca="false">-Z102*Inputs!$C$16</f>
        <v>-1021.9248</v>
      </c>
      <c r="AA109" s="65" t="n">
        <f aca="false">-AA102*Inputs!$C$16</f>
        <v>-1115.73749664</v>
      </c>
      <c r="AB109" s="65" t="n">
        <f aca="false">-AB102*Inputs!$C$16</f>
        <v>-1115.73749664</v>
      </c>
      <c r="AC109" s="65" t="n">
        <f aca="false">-AC102*Inputs!$C$16</f>
        <v>-1115.73749664</v>
      </c>
      <c r="AD109" s="65" t="n">
        <f aca="false">-AD102*Inputs!$C$16</f>
        <v>-1115.73749664</v>
      </c>
      <c r="AE109" s="65" t="n">
        <f aca="false">-AE102*Inputs!$C$16</f>
        <v>-1115.73749664</v>
      </c>
      <c r="AF109" s="65" t="n">
        <f aca="false">-AF102*Inputs!$C$16</f>
        <v>-1115.73749664</v>
      </c>
      <c r="AG109" s="65" t="n">
        <f aca="false">-AG102*Inputs!$C$16</f>
        <v>-1115.73749664</v>
      </c>
      <c r="AH109" s="65" t="n">
        <f aca="false">-AH102*Inputs!$C$16</f>
        <v>-1115.73749664</v>
      </c>
      <c r="AI109" s="65" t="n">
        <f aca="false">-AI102*Inputs!$C$16</f>
        <v>-1115.73749664</v>
      </c>
      <c r="AJ109" s="65" t="n">
        <f aca="false">-AJ102*Inputs!$C$16</f>
        <v>-1115.73749664</v>
      </c>
      <c r="AK109" s="65" t="n">
        <f aca="false">-AK102*Inputs!$C$16</f>
        <v>-1115.73749664</v>
      </c>
      <c r="AL109" s="65" t="n">
        <f aca="false">-AL102*Inputs!$C$16</f>
        <v>-1115.73749664</v>
      </c>
    </row>
    <row r="110" customFormat="false" ht="15" hidden="false" customHeight="false" outlineLevel="0" collapsed="false">
      <c r="A110" s="6" t="s">
        <v>287</v>
      </c>
      <c r="C110" s="65" t="n">
        <f aca="false">-Inputs!$C$17*1</f>
        <v>-2000</v>
      </c>
      <c r="D110" s="65" t="n">
        <f aca="false">-Inputs!$C$17*1</f>
        <v>-2000</v>
      </c>
      <c r="E110" s="65" t="n">
        <f aca="false">-Inputs!$C$17*1</f>
        <v>-2000</v>
      </c>
      <c r="F110" s="65" t="n">
        <f aca="false">-Inputs!$C$17*1</f>
        <v>-2000</v>
      </c>
      <c r="G110" s="65" t="n">
        <f aca="false">-Inputs!$C$17*1</f>
        <v>-2000</v>
      </c>
      <c r="H110" s="65" t="n">
        <f aca="false">-Inputs!$C$17*1</f>
        <v>-2000</v>
      </c>
      <c r="I110" s="65" t="n">
        <f aca="false">-Inputs!$C$17*1</f>
        <v>-2000</v>
      </c>
      <c r="J110" s="65" t="n">
        <f aca="false">-Inputs!$C$17*1</f>
        <v>-2000</v>
      </c>
      <c r="K110" s="65" t="n">
        <f aca="false">-Inputs!$C$17*1</f>
        <v>-2000</v>
      </c>
      <c r="L110" s="65" t="n">
        <f aca="false">-Inputs!$C$17*1</f>
        <v>-2000</v>
      </c>
      <c r="M110" s="65" t="n">
        <f aca="false">-Inputs!$C$17*1</f>
        <v>-2000</v>
      </c>
      <c r="N110" s="65" t="n">
        <f aca="false">-Inputs!$C$17*1</f>
        <v>-2000</v>
      </c>
      <c r="O110" s="65" t="n">
        <f aca="false">-Inputs!$C$17*1</f>
        <v>-2000</v>
      </c>
      <c r="P110" s="65" t="n">
        <f aca="false">-Inputs!$C$17*1</f>
        <v>-2000</v>
      </c>
      <c r="Q110" s="65" t="n">
        <f aca="false">-Inputs!$C$17*1</f>
        <v>-2000</v>
      </c>
      <c r="R110" s="65" t="n">
        <f aca="false">-Inputs!$C$17*1</f>
        <v>-2000</v>
      </c>
      <c r="S110" s="65" t="n">
        <f aca="false">-Inputs!$C$17*1</f>
        <v>-2000</v>
      </c>
      <c r="T110" s="65" t="n">
        <f aca="false">-Inputs!$C$17*1</f>
        <v>-2000</v>
      </c>
      <c r="U110" s="65" t="n">
        <f aca="false">-Inputs!$C$17*1</f>
        <v>-2000</v>
      </c>
      <c r="V110" s="65" t="n">
        <f aca="false">-Inputs!$C$17*1</f>
        <v>-2000</v>
      </c>
      <c r="W110" s="65" t="n">
        <f aca="false">-Inputs!$C$17*1</f>
        <v>-2000</v>
      </c>
      <c r="X110" s="65" t="n">
        <f aca="false">-Inputs!$C$17*1</f>
        <v>-2000</v>
      </c>
      <c r="Y110" s="65" t="n">
        <f aca="false">-Inputs!$C$17*1</f>
        <v>-2000</v>
      </c>
      <c r="Z110" s="65" t="n">
        <f aca="false">-Inputs!$C$17*1</f>
        <v>-2000</v>
      </c>
      <c r="AA110" s="65" t="n">
        <f aca="false">-Inputs!$C$17*1</f>
        <v>-2000</v>
      </c>
      <c r="AB110" s="65" t="n">
        <f aca="false">-Inputs!$C$17*1</f>
        <v>-2000</v>
      </c>
      <c r="AC110" s="65" t="n">
        <f aca="false">-Inputs!$C$17*1</f>
        <v>-2000</v>
      </c>
      <c r="AD110" s="65" t="n">
        <f aca="false">-Inputs!$C$17*1</f>
        <v>-2000</v>
      </c>
      <c r="AE110" s="65" t="n">
        <f aca="false">-Inputs!$C$17*1</f>
        <v>-2000</v>
      </c>
      <c r="AF110" s="65" t="n">
        <f aca="false">-Inputs!$C$17*1</f>
        <v>-2000</v>
      </c>
      <c r="AG110" s="65" t="n">
        <f aca="false">-Inputs!$C$17*1</f>
        <v>-2000</v>
      </c>
      <c r="AH110" s="65" t="n">
        <f aca="false">-Inputs!$C$17*1</f>
        <v>-2000</v>
      </c>
      <c r="AI110" s="65" t="n">
        <f aca="false">-Inputs!$C$17*1</f>
        <v>-2000</v>
      </c>
      <c r="AJ110" s="65" t="n">
        <f aca="false">-Inputs!$C$17*1</f>
        <v>-2000</v>
      </c>
      <c r="AK110" s="65" t="n">
        <f aca="false">-Inputs!$C$17*1</f>
        <v>-2000</v>
      </c>
      <c r="AL110" s="65" t="n">
        <f aca="false">-Inputs!$C$17*1</f>
        <v>-2000</v>
      </c>
    </row>
    <row r="111" customFormat="false" ht="15" hidden="false" customHeight="false" outlineLevel="0" collapsed="false">
      <c r="A111" s="108" t="s">
        <v>75</v>
      </c>
      <c r="C111" s="66" t="n">
        <f aca="false">C107+C108+C109+C110</f>
        <v>-17421.3333333333</v>
      </c>
      <c r="D111" s="66" t="n">
        <f aca="false">D107+D108+D109+D110</f>
        <v>-17499.3333333333</v>
      </c>
      <c r="E111" s="66" t="n">
        <f aca="false">E107+E108+E109+E110</f>
        <v>-17577.3333333333</v>
      </c>
      <c r="F111" s="66" t="n">
        <f aca="false">F107+F108+F109+F110</f>
        <v>-17655.3333333333</v>
      </c>
      <c r="G111" s="66" t="n">
        <f aca="false">G107+G108+G109+G110</f>
        <v>-17733.3333333333</v>
      </c>
      <c r="H111" s="66" t="n">
        <f aca="false">H107+H108+H109+H110</f>
        <v>-17811.3333333333</v>
      </c>
      <c r="I111" s="66" t="n">
        <f aca="false">I107+I108+I109+I110</f>
        <v>-17889.3333333333</v>
      </c>
      <c r="J111" s="66" t="n">
        <f aca="false">J107+J108+J109+J110</f>
        <v>-17889.3333333333</v>
      </c>
      <c r="K111" s="66" t="n">
        <f aca="false">K107+K108+K109+K110</f>
        <v>-17889.3333333333</v>
      </c>
      <c r="L111" s="66" t="n">
        <f aca="false">L107+L108+L109+L110</f>
        <v>-17889.3333333333</v>
      </c>
      <c r="M111" s="66" t="n">
        <f aca="false">M107+M108+M109+M110</f>
        <v>-17889.3333333333</v>
      </c>
      <c r="N111" s="66" t="n">
        <f aca="false">N107+N108+N109+N110</f>
        <v>-17889.3333333333</v>
      </c>
      <c r="O111" s="66" t="n">
        <f aca="false">O107+O108+O109+O110</f>
        <v>-18288.8581333333</v>
      </c>
      <c r="P111" s="66" t="n">
        <f aca="false">P107+P108+P109+P110</f>
        <v>-18288.8581333333</v>
      </c>
      <c r="Q111" s="66" t="n">
        <f aca="false">Q107+Q108+Q109+Q110</f>
        <v>-18288.8581333333</v>
      </c>
      <c r="R111" s="66" t="n">
        <f aca="false">R107+R108+R109+R110</f>
        <v>-18288.8581333333</v>
      </c>
      <c r="S111" s="66" t="n">
        <f aca="false">S107+S108+S109+S110</f>
        <v>-18288.8581333333</v>
      </c>
      <c r="T111" s="66" t="n">
        <f aca="false">T107+T108+T109+T110</f>
        <v>-18288.8581333333</v>
      </c>
      <c r="U111" s="66" t="n">
        <f aca="false">U107+U108+U109+U110</f>
        <v>-18288.8581333333</v>
      </c>
      <c r="V111" s="66" t="n">
        <f aca="false">V107+V108+V109+V110</f>
        <v>-18288.8581333333</v>
      </c>
      <c r="W111" s="66" t="n">
        <f aca="false">W107+W108+W109+W110</f>
        <v>-18288.8581333333</v>
      </c>
      <c r="X111" s="66" t="n">
        <f aca="false">X107+X108+X109+X110</f>
        <v>-18288.8581333333</v>
      </c>
      <c r="Y111" s="66" t="n">
        <f aca="false">Y107+Y108+Y109+Y110</f>
        <v>-18288.8581333333</v>
      </c>
      <c r="Z111" s="66" t="n">
        <f aca="false">Z107+Z108+Z109+Z110</f>
        <v>-18288.8581333333</v>
      </c>
      <c r="AA111" s="66" t="n">
        <f aca="false">AA107+AA108+AA109+AA110</f>
        <v>-18705.6788299733</v>
      </c>
      <c r="AB111" s="66" t="n">
        <f aca="false">AB107+AB108+AB109+AB110</f>
        <v>-18705.6788299733</v>
      </c>
      <c r="AC111" s="66" t="n">
        <f aca="false">AC107+AC108+AC109+AC110</f>
        <v>-18705.6788299733</v>
      </c>
      <c r="AD111" s="66" t="n">
        <f aca="false">AD107+AD108+AD109+AD110</f>
        <v>-18705.6788299733</v>
      </c>
      <c r="AE111" s="66" t="n">
        <f aca="false">AE107+AE108+AE109+AE110</f>
        <v>-18705.6788299733</v>
      </c>
      <c r="AF111" s="66" t="n">
        <f aca="false">AF107+AF108+AF109+AF110</f>
        <v>-18705.6788299733</v>
      </c>
      <c r="AG111" s="66" t="n">
        <f aca="false">AG107+AG108+AG109+AG110</f>
        <v>-18705.6788299733</v>
      </c>
      <c r="AH111" s="66" t="n">
        <f aca="false">AH107+AH108+AH109+AH110</f>
        <v>-18705.6788299733</v>
      </c>
      <c r="AI111" s="66" t="n">
        <f aca="false">AI107+AI108+AI109+AI110</f>
        <v>-18705.6788299733</v>
      </c>
      <c r="AJ111" s="66" t="n">
        <f aca="false">AJ107+AJ108+AJ109+AJ110</f>
        <v>-18705.6788299733</v>
      </c>
      <c r="AK111" s="66" t="n">
        <f aca="false">AK107+AK108+AK109+AK110</f>
        <v>-18705.6788299733</v>
      </c>
      <c r="AL111" s="66" t="n">
        <f aca="false">AL107+AL108+AL109+AL110</f>
        <v>-18705.6788299733</v>
      </c>
    </row>
    <row r="112" customFormat="false" ht="15" hidden="false" customHeight="false" outlineLevel="0" collapsed="false">
      <c r="A112" s="108" t="s">
        <v>48</v>
      </c>
      <c r="C112" s="66" t="n">
        <f aca="false">C104+C111</f>
        <v>-6969.33333333334</v>
      </c>
      <c r="D112" s="66" t="n">
        <f aca="false">D104+D111</f>
        <v>-5305.33333333333</v>
      </c>
      <c r="E112" s="66" t="n">
        <f aca="false">E104+E111</f>
        <v>-3641.33333333334</v>
      </c>
      <c r="F112" s="66" t="n">
        <f aca="false">F104+F111</f>
        <v>-1977.33333333334</v>
      </c>
      <c r="G112" s="66" t="n">
        <f aca="false">G104+G111</f>
        <v>-313.333333333339</v>
      </c>
      <c r="H112" s="66" t="n">
        <f aca="false">H104+H111</f>
        <v>1350.66666666666</v>
      </c>
      <c r="I112" s="66" t="n">
        <f aca="false">I104+I111</f>
        <v>3014.66666666666</v>
      </c>
      <c r="J112" s="66" t="n">
        <f aca="false">J104+J111</f>
        <v>3014.66666666666</v>
      </c>
      <c r="K112" s="66" t="n">
        <f aca="false">K104+K111</f>
        <v>3014.66666666666</v>
      </c>
      <c r="L112" s="66" t="n">
        <f aca="false">L104+L111</f>
        <v>3014.66666666666</v>
      </c>
      <c r="M112" s="66" t="n">
        <f aca="false">M104+M111</f>
        <v>3014.66666666666</v>
      </c>
      <c r="N112" s="66" t="n">
        <f aca="false">N104+N111</f>
        <v>3014.66666666666</v>
      </c>
      <c r="O112" s="66" t="n">
        <f aca="false">O104+O111</f>
        <v>4534.12906666667</v>
      </c>
      <c r="P112" s="66" t="n">
        <f aca="false">P104+P111</f>
        <v>4534.12906666667</v>
      </c>
      <c r="Q112" s="66" t="n">
        <f aca="false">Q104+Q111</f>
        <v>4534.12906666667</v>
      </c>
      <c r="R112" s="66" t="n">
        <f aca="false">R104+R111</f>
        <v>4534.12906666667</v>
      </c>
      <c r="S112" s="66" t="n">
        <f aca="false">S104+S111</f>
        <v>4534.12906666667</v>
      </c>
      <c r="T112" s="66" t="n">
        <f aca="false">T104+T111</f>
        <v>4534.12906666667</v>
      </c>
      <c r="U112" s="66" t="n">
        <f aca="false">U104+U111</f>
        <v>4534.12906666667</v>
      </c>
      <c r="V112" s="66" t="n">
        <f aca="false">V104+V111</f>
        <v>4534.12906666667</v>
      </c>
      <c r="W112" s="66" t="n">
        <f aca="false">W104+W111</f>
        <v>4534.12906666667</v>
      </c>
      <c r="X112" s="66" t="n">
        <f aca="false">X104+X111</f>
        <v>4534.12906666667</v>
      </c>
      <c r="Y112" s="66" t="n">
        <f aca="false">Y104+Y111</f>
        <v>4534.12906666667</v>
      </c>
      <c r="Z112" s="66" t="n">
        <f aca="false">Z104+Z111</f>
        <v>4534.12906666667</v>
      </c>
      <c r="AA112" s="66" t="n">
        <f aca="false">AA104+AA111</f>
        <v>6212.45859498667</v>
      </c>
      <c r="AB112" s="66" t="n">
        <f aca="false">AB104+AB111</f>
        <v>6212.45859498667</v>
      </c>
      <c r="AC112" s="66" t="n">
        <f aca="false">AC104+AC111</f>
        <v>6212.45859498667</v>
      </c>
      <c r="AD112" s="66" t="n">
        <f aca="false">AD104+AD111</f>
        <v>6212.45859498667</v>
      </c>
      <c r="AE112" s="66" t="n">
        <f aca="false">AE104+AE111</f>
        <v>6212.45859498667</v>
      </c>
      <c r="AF112" s="66" t="n">
        <f aca="false">AF104+AF111</f>
        <v>6212.45859498667</v>
      </c>
      <c r="AG112" s="66" t="n">
        <f aca="false">AG104+AG111</f>
        <v>6212.45859498667</v>
      </c>
      <c r="AH112" s="66" t="n">
        <f aca="false">AH104+AH111</f>
        <v>6212.45859498667</v>
      </c>
      <c r="AI112" s="66" t="n">
        <f aca="false">AI104+AI111</f>
        <v>6212.45859498667</v>
      </c>
      <c r="AJ112" s="66" t="n">
        <f aca="false">AJ104+AJ111</f>
        <v>6212.45859498667</v>
      </c>
      <c r="AK112" s="66" t="n">
        <f aca="false">AK104+AK111</f>
        <v>6212.45859498667</v>
      </c>
      <c r="AL112" s="66" t="n">
        <f aca="false">AL104+AL111</f>
        <v>6212.45859498667</v>
      </c>
    </row>
    <row r="114" customFormat="false" ht="15.75" hidden="false" customHeight="true" outlineLevel="0" collapsed="false">
      <c r="A114" s="7" t="s">
        <v>338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4" t="s">
        <v>77</v>
      </c>
      <c r="C115" s="71" t="n">
        <f aca="false">C112+C126</f>
        <v>-8874.09523809524</v>
      </c>
      <c r="D115" s="71" t="n">
        <f aca="false">D112+D126</f>
        <v>-7210.09523809524</v>
      </c>
      <c r="E115" s="71" t="n">
        <f aca="false">E112+E126</f>
        <v>-5546.09523809524</v>
      </c>
      <c r="F115" s="71" t="n">
        <f aca="false">F112+F126</f>
        <v>-3882.09523809524</v>
      </c>
      <c r="G115" s="71" t="n">
        <f aca="false">G112+G126</f>
        <v>-2218.09523809524</v>
      </c>
      <c r="H115" s="71" t="n">
        <f aca="false">H112+H126</f>
        <v>-554.095238095241</v>
      </c>
      <c r="I115" s="71" t="n">
        <f aca="false">I112+I126</f>
        <v>1109.90476190476</v>
      </c>
      <c r="J115" s="71" t="n">
        <f aca="false">J112+J126</f>
        <v>1109.90476190476</v>
      </c>
      <c r="K115" s="71" t="n">
        <f aca="false">K112+K126</f>
        <v>1109.90476190476</v>
      </c>
      <c r="L115" s="71" t="n">
        <f aca="false">L112+L126</f>
        <v>1109.90476190476</v>
      </c>
      <c r="M115" s="71" t="n">
        <f aca="false">M112+M126</f>
        <v>1109.90476190476</v>
      </c>
      <c r="N115" s="71" t="n">
        <f aca="false">N112+N126</f>
        <v>1109.90476190476</v>
      </c>
      <c r="O115" s="71" t="n">
        <f aca="false">O112+O126</f>
        <v>2629.36716190476</v>
      </c>
      <c r="P115" s="71" t="n">
        <f aca="false">P112+P126</f>
        <v>2629.36716190476</v>
      </c>
      <c r="Q115" s="71" t="n">
        <f aca="false">Q112+Q126</f>
        <v>2629.36716190476</v>
      </c>
      <c r="R115" s="71" t="n">
        <f aca="false">R112+R126</f>
        <v>2629.36716190476</v>
      </c>
      <c r="S115" s="71" t="n">
        <f aca="false">S112+S126</f>
        <v>2629.36716190476</v>
      </c>
      <c r="T115" s="71" t="n">
        <f aca="false">T112+T126</f>
        <v>2629.36716190476</v>
      </c>
      <c r="U115" s="71" t="n">
        <f aca="false">U112+U126</f>
        <v>2629.36716190476</v>
      </c>
      <c r="V115" s="71" t="n">
        <f aca="false">V112+V126</f>
        <v>2629.36716190476</v>
      </c>
      <c r="W115" s="71" t="n">
        <f aca="false">W112+W126</f>
        <v>2629.36716190476</v>
      </c>
      <c r="X115" s="71" t="n">
        <f aca="false">X112+X126</f>
        <v>2629.36716190476</v>
      </c>
      <c r="Y115" s="71" t="n">
        <f aca="false">Y112+Y126</f>
        <v>2629.36716190476</v>
      </c>
      <c r="Z115" s="71" t="n">
        <f aca="false">Z112+Z126</f>
        <v>2629.36716190476</v>
      </c>
      <c r="AA115" s="71" t="n">
        <f aca="false">AA112+AA126</f>
        <v>4307.69669022477</v>
      </c>
      <c r="AB115" s="71" t="n">
        <f aca="false">AB112+AB126</f>
        <v>4307.69669022477</v>
      </c>
      <c r="AC115" s="71" t="n">
        <f aca="false">AC112+AC126</f>
        <v>4307.69669022477</v>
      </c>
      <c r="AD115" s="71" t="n">
        <f aca="false">AD112+AD126</f>
        <v>4307.69669022477</v>
      </c>
      <c r="AE115" s="71" t="n">
        <f aca="false">AE112+AE126</f>
        <v>4307.69669022477</v>
      </c>
      <c r="AF115" s="71" t="n">
        <f aca="false">AF112+AF126</f>
        <v>4307.69669022477</v>
      </c>
      <c r="AG115" s="71" t="n">
        <f aca="false">AG112+AG126</f>
        <v>4307.69669022477</v>
      </c>
      <c r="AH115" s="71" t="n">
        <f aca="false">AH112+AH126</f>
        <v>4307.69669022477</v>
      </c>
      <c r="AI115" s="71" t="n">
        <f aca="false">AI112+AI126</f>
        <v>4307.69669022477</v>
      </c>
      <c r="AJ115" s="71" t="n">
        <f aca="false">AJ112+AJ126</f>
        <v>4307.69669022477</v>
      </c>
      <c r="AK115" s="71" t="n">
        <f aca="false">AK112+AK126</f>
        <v>4307.69669022477</v>
      </c>
      <c r="AL115" s="71" t="n">
        <f aca="false">AL112+AL126</f>
        <v>4307.69669022477</v>
      </c>
    </row>
    <row r="116" customFormat="false" ht="15" hidden="false" customHeight="false" outlineLevel="0" collapsed="false">
      <c r="A116" s="6" t="s">
        <v>339</v>
      </c>
      <c r="C116" s="65" t="n">
        <f aca="false">-(C131+C132+C134)/2*Inputs!$C$31/12</f>
        <v>-533.333333333333</v>
      </c>
      <c r="D116" s="65" t="n">
        <f aca="false">-(D131+D132+D134)/2*Inputs!$C$31/12</f>
        <v>-528.888888888889</v>
      </c>
      <c r="E116" s="65" t="n">
        <f aca="false">-(E131+E132+E134)/2*Inputs!$C$31/12</f>
        <v>-520</v>
      </c>
      <c r="F116" s="65" t="n">
        <f aca="false">-(F131+F132+F134)/2*Inputs!$C$31/12</f>
        <v>-511.111111111111</v>
      </c>
      <c r="G116" s="65" t="n">
        <f aca="false">-(G131+G132+G134)/2*Inputs!$C$31/12</f>
        <v>-502.222222222222</v>
      </c>
      <c r="H116" s="65" t="n">
        <f aca="false">-(H131+H132+H134)/2*Inputs!$C$31/12</f>
        <v>-493.333333333334</v>
      </c>
      <c r="I116" s="65" t="n">
        <f aca="false">-(I131+I132+I134)/2*Inputs!$C$31/12</f>
        <v>-484.444444444445</v>
      </c>
      <c r="J116" s="65" t="n">
        <f aca="false">-(J131+J132+J134)/2*Inputs!$C$31/12</f>
        <v>-475.555555555556</v>
      </c>
      <c r="K116" s="65" t="n">
        <f aca="false">-(K131+K132+K134)/2*Inputs!$C$31/12</f>
        <v>-466.666666666667</v>
      </c>
      <c r="L116" s="65" t="n">
        <f aca="false">-(L131+L132+L134)/2*Inputs!$C$31/12</f>
        <v>-457.777777777778</v>
      </c>
      <c r="M116" s="65" t="n">
        <f aca="false">-(M131+M132+M134)/2*Inputs!$C$31/12</f>
        <v>-448.888888888889</v>
      </c>
      <c r="N116" s="65" t="n">
        <f aca="false">-(N131+N132+N134)/2*Inputs!$C$31/12</f>
        <v>-440</v>
      </c>
      <c r="O116" s="65" t="n">
        <f aca="false">-(O131+O132+O134)/2*Inputs!$C$31/12</f>
        <v>-431.111111111112</v>
      </c>
      <c r="P116" s="65" t="n">
        <f aca="false">-(P131+P132+P134)/2*Inputs!$C$31/12</f>
        <v>-422.222222222222</v>
      </c>
      <c r="Q116" s="65" t="n">
        <f aca="false">-(Q131+Q132+Q134)/2*Inputs!$C$31/12</f>
        <v>-413.333333333334</v>
      </c>
      <c r="R116" s="65" t="n">
        <f aca="false">-(R131+R132+R134)/2*Inputs!$C$31/12</f>
        <v>-404.444444444445</v>
      </c>
      <c r="S116" s="65" t="n">
        <f aca="false">-(S131+S132+S134)/2*Inputs!$C$31/12</f>
        <v>-395.555555555556</v>
      </c>
      <c r="T116" s="65" t="n">
        <f aca="false">-(T131+T132+T134)/2*Inputs!$C$31/12</f>
        <v>-386.666666666667</v>
      </c>
      <c r="U116" s="65" t="n">
        <f aca="false">-(U131+U132+U134)/2*Inputs!$C$31/12</f>
        <v>-377.777777777778</v>
      </c>
      <c r="V116" s="65" t="n">
        <f aca="false">-(V131+V132+V134)/2*Inputs!$C$31/12</f>
        <v>-368.888888888889</v>
      </c>
      <c r="W116" s="65" t="n">
        <f aca="false">-(W131+W132+W134)/2*Inputs!$C$31/12</f>
        <v>-360</v>
      </c>
      <c r="X116" s="65" t="n">
        <f aca="false">-(X131+X132+X134)/2*Inputs!$C$31/12</f>
        <v>-351.111111111111</v>
      </c>
      <c r="Y116" s="65" t="n">
        <f aca="false">-(Y131+Y132+Y134)/2*Inputs!$C$31/12</f>
        <v>-342.222222222222</v>
      </c>
      <c r="Z116" s="65" t="n">
        <f aca="false">-(Z131+Z132+Z134)/2*Inputs!$C$31/12</f>
        <v>-333.333333333333</v>
      </c>
      <c r="AA116" s="65" t="n">
        <f aca="false">-(AA131+AA132+AA134)/2*Inputs!$C$31/12</f>
        <v>-324.444444444445</v>
      </c>
      <c r="AB116" s="65" t="n">
        <f aca="false">-(AB131+AB132+AB134)/2*Inputs!$C$31/12</f>
        <v>-315.555555555556</v>
      </c>
      <c r="AC116" s="65" t="n">
        <f aca="false">-(AC131+AC132+AC134)/2*Inputs!$C$31/12</f>
        <v>-306.666666666667</v>
      </c>
      <c r="AD116" s="65" t="n">
        <f aca="false">-(AD131+AD132+AD134)/2*Inputs!$C$31/12</f>
        <v>-297.777777777778</v>
      </c>
      <c r="AE116" s="65" t="n">
        <f aca="false">-(AE131+AE132+AE134)/2*Inputs!$C$31/12</f>
        <v>-288.888888888889</v>
      </c>
      <c r="AF116" s="65" t="n">
        <f aca="false">-(AF131+AF132+AF134)/2*Inputs!$C$31/12</f>
        <v>-280</v>
      </c>
      <c r="AG116" s="65" t="n">
        <f aca="false">-(AG131+AG132+AG134)/2*Inputs!$C$31/12</f>
        <v>-271.111111111111</v>
      </c>
      <c r="AH116" s="65" t="n">
        <f aca="false">-(AH131+AH132+AH134)/2*Inputs!$C$31/12</f>
        <v>-262.222222222222</v>
      </c>
      <c r="AI116" s="65" t="n">
        <f aca="false">-(AI131+AI132+AI134)/2*Inputs!$C$31/12</f>
        <v>-253.333333333333</v>
      </c>
      <c r="AJ116" s="65" t="n">
        <f aca="false">-(AJ131+AJ132+AJ134)/2*Inputs!$C$31/12</f>
        <v>-244.444444444444</v>
      </c>
      <c r="AK116" s="65" t="n">
        <f aca="false">-(AK131+AK132+AK134)/2*Inputs!$C$31/12</f>
        <v>-235.555555555556</v>
      </c>
      <c r="AL116" s="65" t="n">
        <f aca="false">-(AL131+AL132+AL134)/2*Inputs!$C$31/12</f>
        <v>-226.666666666667</v>
      </c>
    </row>
    <row r="117" customFormat="false" ht="15" hidden="false" customHeight="false" outlineLevel="0" collapsed="false">
      <c r="A117" s="108" t="s">
        <v>79</v>
      </c>
      <c r="C117" s="66" t="n">
        <f aca="false">C115+C116</f>
        <v>-9407.42857142857</v>
      </c>
      <c r="D117" s="66" t="n">
        <f aca="false">D115+D116</f>
        <v>-7738.98412698413</v>
      </c>
      <c r="E117" s="66" t="n">
        <f aca="false">E115+E116</f>
        <v>-6066.09523809524</v>
      </c>
      <c r="F117" s="66" t="n">
        <f aca="false">F115+F116</f>
        <v>-4393.20634920635</v>
      </c>
      <c r="G117" s="66" t="n">
        <f aca="false">G115+G116</f>
        <v>-2720.31746031747</v>
      </c>
      <c r="H117" s="66" t="n">
        <f aca="false">H115+H116</f>
        <v>-1047.42857142857</v>
      </c>
      <c r="I117" s="66" t="n">
        <f aca="false">I115+I116</f>
        <v>625.460317460315</v>
      </c>
      <c r="J117" s="66" t="n">
        <f aca="false">J115+J116</f>
        <v>634.349206349204</v>
      </c>
      <c r="K117" s="66" t="n">
        <f aca="false">K115+K116</f>
        <v>643.238095238093</v>
      </c>
      <c r="L117" s="66" t="n">
        <f aca="false">L115+L116</f>
        <v>652.126984126981</v>
      </c>
      <c r="M117" s="66" t="n">
        <f aca="false">M115+M116</f>
        <v>661.01587301587</v>
      </c>
      <c r="N117" s="66" t="n">
        <f aca="false">N115+N116</f>
        <v>669.904761904759</v>
      </c>
      <c r="O117" s="66" t="n">
        <f aca="false">O115+O116</f>
        <v>2198.25605079365</v>
      </c>
      <c r="P117" s="66" t="n">
        <f aca="false">P115+P116</f>
        <v>2207.14493968254</v>
      </c>
      <c r="Q117" s="66" t="n">
        <f aca="false">Q115+Q116</f>
        <v>2216.03382857143</v>
      </c>
      <c r="R117" s="66" t="n">
        <f aca="false">R115+R116</f>
        <v>2224.92271746032</v>
      </c>
      <c r="S117" s="66" t="n">
        <f aca="false">S115+S116</f>
        <v>2233.81160634921</v>
      </c>
      <c r="T117" s="66" t="n">
        <f aca="false">T115+T116</f>
        <v>2242.7004952381</v>
      </c>
      <c r="U117" s="66" t="n">
        <f aca="false">U115+U116</f>
        <v>2251.58938412699</v>
      </c>
      <c r="V117" s="66" t="n">
        <f aca="false">V115+V116</f>
        <v>2260.47827301587</v>
      </c>
      <c r="W117" s="66" t="n">
        <f aca="false">W115+W116</f>
        <v>2269.36716190476</v>
      </c>
      <c r="X117" s="66" t="n">
        <f aca="false">X115+X116</f>
        <v>2278.25605079365</v>
      </c>
      <c r="Y117" s="66" t="n">
        <f aca="false">Y115+Y116</f>
        <v>2287.14493968254</v>
      </c>
      <c r="Z117" s="66" t="n">
        <f aca="false">Z115+Z116</f>
        <v>2296.03382857143</v>
      </c>
      <c r="AA117" s="66" t="n">
        <f aca="false">AA115+AA116</f>
        <v>3983.25224578032</v>
      </c>
      <c r="AB117" s="66" t="n">
        <f aca="false">AB115+AB116</f>
        <v>3992.14113466921</v>
      </c>
      <c r="AC117" s="66" t="n">
        <f aca="false">AC115+AC116</f>
        <v>4001.0300235581</v>
      </c>
      <c r="AD117" s="66" t="n">
        <f aca="false">AD115+AD116</f>
        <v>4009.91891244699</v>
      </c>
      <c r="AE117" s="66" t="n">
        <f aca="false">AE115+AE116</f>
        <v>4018.80780133588</v>
      </c>
      <c r="AF117" s="66" t="n">
        <f aca="false">AF115+AF116</f>
        <v>4027.69669022477</v>
      </c>
      <c r="AG117" s="66" t="n">
        <f aca="false">AG115+AG116</f>
        <v>4036.58557911365</v>
      </c>
      <c r="AH117" s="66" t="n">
        <f aca="false">AH115+AH116</f>
        <v>4045.47446800254</v>
      </c>
      <c r="AI117" s="66" t="n">
        <f aca="false">AI115+AI116</f>
        <v>4054.36335689143</v>
      </c>
      <c r="AJ117" s="66" t="n">
        <f aca="false">AJ115+AJ116</f>
        <v>4063.25224578032</v>
      </c>
      <c r="AK117" s="66" t="n">
        <f aca="false">AK115+AK116</f>
        <v>4072.14113466921</v>
      </c>
      <c r="AL117" s="66" t="n">
        <f aca="false">AL115+AL116</f>
        <v>4081.0300235581</v>
      </c>
    </row>
    <row r="118" customFormat="false" ht="15" hidden="false" customHeight="false" outlineLevel="0" collapsed="false">
      <c r="A118" s="114" t="s">
        <v>340</v>
      </c>
      <c r="C118" s="65" t="n">
        <f aca="false">C117</f>
        <v>-9407.42857142857</v>
      </c>
      <c r="D118" s="65" t="n">
        <f aca="false">C118+D117</f>
        <v>-17146.4126984127</v>
      </c>
      <c r="E118" s="65" t="n">
        <f aca="false">D118+E117</f>
        <v>-23212.5079365079</v>
      </c>
      <c r="F118" s="65" t="n">
        <f aca="false">E118+F117</f>
        <v>-27605.7142857143</v>
      </c>
      <c r="G118" s="65" t="n">
        <f aca="false">F118+G117</f>
        <v>-30326.0317460318</v>
      </c>
      <c r="H118" s="65" t="n">
        <f aca="false">G118+H117</f>
        <v>-31373.4603174603</v>
      </c>
      <c r="I118" s="65" t="n">
        <f aca="false">H118+I117</f>
        <v>-30748</v>
      </c>
      <c r="J118" s="65" t="n">
        <f aca="false">I118+J117</f>
        <v>-30113.6507936508</v>
      </c>
      <c r="K118" s="65" t="n">
        <f aca="false">J118+K117</f>
        <v>-29470.4126984127</v>
      </c>
      <c r="L118" s="65" t="n">
        <f aca="false">K118+L117</f>
        <v>-28818.2857142857</v>
      </c>
      <c r="M118" s="65" t="n">
        <f aca="false">L118+M117</f>
        <v>-28157.2698412699</v>
      </c>
      <c r="N118" s="65" t="n">
        <f aca="false">M118+N117</f>
        <v>-27487.3650793651</v>
      </c>
      <c r="O118" s="65" t="n">
        <f aca="false">N118+O117</f>
        <v>-25289.1090285715</v>
      </c>
      <c r="P118" s="65" t="n">
        <f aca="false">O118+P117</f>
        <v>-23081.9640888889</v>
      </c>
      <c r="Q118" s="65" t="n">
        <f aca="false">P118+Q117</f>
        <v>-20865.9302603175</v>
      </c>
      <c r="R118" s="65" t="n">
        <f aca="false">Q118+R117</f>
        <v>-18641.0075428572</v>
      </c>
      <c r="S118" s="65" t="n">
        <f aca="false">R118+S117</f>
        <v>-16407.195936508</v>
      </c>
      <c r="T118" s="65" t="n">
        <f aca="false">S118+T117</f>
        <v>-14164.4954412699</v>
      </c>
      <c r="U118" s="65" t="n">
        <f aca="false">T118+U117</f>
        <v>-11912.9060571429</v>
      </c>
      <c r="V118" s="65" t="n">
        <f aca="false">U118+V117</f>
        <v>-9652.427784127</v>
      </c>
      <c r="W118" s="65" t="n">
        <f aca="false">V118+W117</f>
        <v>-7383.06062222224</v>
      </c>
      <c r="X118" s="65" t="n">
        <f aca="false">W118+X117</f>
        <v>-5104.80457142859</v>
      </c>
      <c r="Y118" s="65" t="n">
        <f aca="false">X118+Y117</f>
        <v>-2817.65963174605</v>
      </c>
      <c r="Z118" s="65" t="n">
        <f aca="false">Y118+Z117</f>
        <v>-521.625803174616</v>
      </c>
      <c r="AA118" s="65" t="n">
        <f aca="false">Z118+AA117</f>
        <v>3461.62644260571</v>
      </c>
      <c r="AB118" s="65" t="n">
        <f aca="false">AA118+AB117</f>
        <v>7453.76757727492</v>
      </c>
      <c r="AC118" s="65" t="n">
        <f aca="false">AB118+AC117</f>
        <v>11454.797600833</v>
      </c>
      <c r="AD118" s="65" t="n">
        <f aca="false">AC118+AD117</f>
        <v>15464.71651328</v>
      </c>
      <c r="AE118" s="65" t="n">
        <f aca="false">AD118+AE117</f>
        <v>19483.5243146159</v>
      </c>
      <c r="AF118" s="65" t="n">
        <f aca="false">AE118+AF117</f>
        <v>23511.2210048406</v>
      </c>
      <c r="AG118" s="65" t="n">
        <f aca="false">AF118+AG117</f>
        <v>27547.8065839543</v>
      </c>
      <c r="AH118" s="65" t="n">
        <f aca="false">AG118+AH117</f>
        <v>31593.2810519568</v>
      </c>
      <c r="AI118" s="65" t="n">
        <f aca="false">AH118+AI117</f>
        <v>35647.6444088483</v>
      </c>
      <c r="AJ118" s="65" t="n">
        <f aca="false">AI118+AJ117</f>
        <v>39710.8966546286</v>
      </c>
      <c r="AK118" s="65" t="n">
        <f aca="false">AJ118+AK117</f>
        <v>43783.0377892978</v>
      </c>
      <c r="AL118" s="65" t="n">
        <f aca="false">AK118+AL117</f>
        <v>47864.0678128559</v>
      </c>
    </row>
    <row r="119" customFormat="false" ht="15" hidden="false" customHeight="false" outlineLevel="0" collapsed="false">
      <c r="A119" s="114" t="s">
        <v>341</v>
      </c>
      <c r="C119" s="65" t="n">
        <f aca="false">MAX(0,C118)</f>
        <v>0</v>
      </c>
      <c r="D119" s="65" t="n">
        <f aca="false">MAX(C119,D118)</f>
        <v>0</v>
      </c>
      <c r="E119" s="65" t="n">
        <f aca="false">MAX(D119,E118)</f>
        <v>0</v>
      </c>
      <c r="F119" s="65" t="n">
        <f aca="false">MAX(E119,F118)</f>
        <v>0</v>
      </c>
      <c r="G119" s="65" t="n">
        <f aca="false">MAX(F119,G118)</f>
        <v>0</v>
      </c>
      <c r="H119" s="65" t="n">
        <f aca="false">MAX(G119,H118)</f>
        <v>0</v>
      </c>
      <c r="I119" s="65" t="n">
        <f aca="false">MAX(H119,I118)</f>
        <v>0</v>
      </c>
      <c r="J119" s="65" t="n">
        <f aca="false">MAX(I119,J118)</f>
        <v>0</v>
      </c>
      <c r="K119" s="65" t="n">
        <f aca="false">MAX(J119,K118)</f>
        <v>0</v>
      </c>
      <c r="L119" s="65" t="n">
        <f aca="false">MAX(K119,L118)</f>
        <v>0</v>
      </c>
      <c r="M119" s="65" t="n">
        <f aca="false">MAX(L119,M118)</f>
        <v>0</v>
      </c>
      <c r="N119" s="65" t="n">
        <f aca="false">MAX(M119,N118)</f>
        <v>0</v>
      </c>
      <c r="O119" s="65" t="n">
        <f aca="false">MAX(N119,O118)</f>
        <v>0</v>
      </c>
      <c r="P119" s="65" t="n">
        <f aca="false">MAX(O119,P118)</f>
        <v>0</v>
      </c>
      <c r="Q119" s="65" t="n">
        <f aca="false">MAX(P119,Q118)</f>
        <v>0</v>
      </c>
      <c r="R119" s="65" t="n">
        <f aca="false">MAX(Q119,R118)</f>
        <v>0</v>
      </c>
      <c r="S119" s="65" t="n">
        <f aca="false">MAX(R119,S118)</f>
        <v>0</v>
      </c>
      <c r="T119" s="65" t="n">
        <f aca="false">MAX(S119,T118)</f>
        <v>0</v>
      </c>
      <c r="U119" s="65" t="n">
        <f aca="false">MAX(T119,U118)</f>
        <v>0</v>
      </c>
      <c r="V119" s="65" t="n">
        <f aca="false">MAX(U119,V118)</f>
        <v>0</v>
      </c>
      <c r="W119" s="65" t="n">
        <f aca="false">MAX(V119,W118)</f>
        <v>0</v>
      </c>
      <c r="X119" s="65" t="n">
        <f aca="false">MAX(W119,X118)</f>
        <v>0</v>
      </c>
      <c r="Y119" s="65" t="n">
        <f aca="false">MAX(X119,Y118)</f>
        <v>0</v>
      </c>
      <c r="Z119" s="65" t="n">
        <f aca="false">MAX(Y119,Z118)</f>
        <v>0</v>
      </c>
      <c r="AA119" s="65" t="n">
        <f aca="false">MAX(Z119,AA118)</f>
        <v>3461.62644260571</v>
      </c>
      <c r="AB119" s="65" t="n">
        <f aca="false">MAX(AA119,AB118)</f>
        <v>7453.76757727492</v>
      </c>
      <c r="AC119" s="65" t="n">
        <f aca="false">MAX(AB119,AC118)</f>
        <v>11454.797600833</v>
      </c>
      <c r="AD119" s="65" t="n">
        <f aca="false">MAX(AC119,AD118)</f>
        <v>15464.71651328</v>
      </c>
      <c r="AE119" s="65" t="n">
        <f aca="false">MAX(AD119,AE118)</f>
        <v>19483.5243146159</v>
      </c>
      <c r="AF119" s="65" t="n">
        <f aca="false">MAX(AE119,AF118)</f>
        <v>23511.2210048406</v>
      </c>
      <c r="AG119" s="65" t="n">
        <f aca="false">MAX(AF119,AG118)</f>
        <v>27547.8065839543</v>
      </c>
      <c r="AH119" s="65" t="n">
        <f aca="false">MAX(AG119,AH118)</f>
        <v>31593.2810519568</v>
      </c>
      <c r="AI119" s="65" t="n">
        <f aca="false">MAX(AH119,AI118)</f>
        <v>35647.6444088483</v>
      </c>
      <c r="AJ119" s="65" t="n">
        <f aca="false">MAX(AI119,AJ118)</f>
        <v>39710.8966546286</v>
      </c>
      <c r="AK119" s="65" t="n">
        <f aca="false">MAX(AJ119,AK118)</f>
        <v>43783.0377892978</v>
      </c>
      <c r="AL119" s="65" t="n">
        <f aca="false">MAX(AK119,AL118)</f>
        <v>47864.0678128559</v>
      </c>
    </row>
    <row r="120" customFormat="false" ht="15" hidden="false" customHeight="false" outlineLevel="0" collapsed="false">
      <c r="A120" s="6" t="s">
        <v>80</v>
      </c>
      <c r="C120" s="65" t="n">
        <f aca="false">-C119*Inputs!$C$41</f>
        <v>-0</v>
      </c>
      <c r="D120" s="65" t="n">
        <f aca="false">-(D119-C119)*Inputs!$C$41</f>
        <v>-0</v>
      </c>
      <c r="E120" s="65" t="n">
        <f aca="false">-(E119-D119)*Inputs!$C$41</f>
        <v>-0</v>
      </c>
      <c r="F120" s="65" t="n">
        <f aca="false">-(F119-E119)*Inputs!$C$41</f>
        <v>-0</v>
      </c>
      <c r="G120" s="65" t="n">
        <f aca="false">-(G119-F119)*Inputs!$C$41</f>
        <v>-0</v>
      </c>
      <c r="H120" s="65" t="n">
        <f aca="false">-(H119-G119)*Inputs!$C$41</f>
        <v>-0</v>
      </c>
      <c r="I120" s="65" t="n">
        <f aca="false">-(I119-H119)*Inputs!$C$41</f>
        <v>-0</v>
      </c>
      <c r="J120" s="65" t="n">
        <f aca="false">-(J119-I119)*Inputs!$C$41</f>
        <v>-0</v>
      </c>
      <c r="K120" s="65" t="n">
        <f aca="false">-(K119-J119)*Inputs!$C$41</f>
        <v>-0</v>
      </c>
      <c r="L120" s="65" t="n">
        <f aca="false">-(L119-K119)*Inputs!$C$41</f>
        <v>-0</v>
      </c>
      <c r="M120" s="65" t="n">
        <f aca="false">-(M119-L119)*Inputs!$C$41</f>
        <v>-0</v>
      </c>
      <c r="N120" s="65" t="n">
        <f aca="false">-(N119-M119)*Inputs!$C$41</f>
        <v>-0</v>
      </c>
      <c r="O120" s="65" t="n">
        <f aca="false">-(O119-N119)*Inputs!$C$41</f>
        <v>-0</v>
      </c>
      <c r="P120" s="65" t="n">
        <f aca="false">-(P119-O119)*Inputs!$C$41</f>
        <v>-0</v>
      </c>
      <c r="Q120" s="65" t="n">
        <f aca="false">-(Q119-P119)*Inputs!$C$41</f>
        <v>-0</v>
      </c>
      <c r="R120" s="65" t="n">
        <f aca="false">-(R119-Q119)*Inputs!$C$41</f>
        <v>-0</v>
      </c>
      <c r="S120" s="65" t="n">
        <f aca="false">-(S119-R119)*Inputs!$C$41</f>
        <v>-0</v>
      </c>
      <c r="T120" s="65" t="n">
        <f aca="false">-(T119-S119)*Inputs!$C$41</f>
        <v>-0</v>
      </c>
      <c r="U120" s="65" t="n">
        <f aca="false">-(U119-T119)*Inputs!$C$41</f>
        <v>-0</v>
      </c>
      <c r="V120" s="65" t="n">
        <f aca="false">-(V119-U119)*Inputs!$C$41</f>
        <v>-0</v>
      </c>
      <c r="W120" s="65" t="n">
        <f aca="false">-(W119-V119)*Inputs!$C$41</f>
        <v>-0</v>
      </c>
      <c r="X120" s="65" t="n">
        <f aca="false">-(X119-W119)*Inputs!$C$41</f>
        <v>-0</v>
      </c>
      <c r="Y120" s="65" t="n">
        <f aca="false">-(Y119-X119)*Inputs!$C$41</f>
        <v>-0</v>
      </c>
      <c r="Z120" s="65" t="n">
        <f aca="false">-(Z119-Y119)*Inputs!$C$41</f>
        <v>-0</v>
      </c>
      <c r="AA120" s="65" t="n">
        <f aca="false">-(AA119-Z119)*Inputs!$C$41</f>
        <v>-726.941552947198</v>
      </c>
      <c r="AB120" s="65" t="n">
        <f aca="false">-(AB119-AA119)*Inputs!$C$41</f>
        <v>-838.349638280534</v>
      </c>
      <c r="AC120" s="65" t="n">
        <f aca="false">-(AC119-AB119)*Inputs!$C$41</f>
        <v>-840.216304947201</v>
      </c>
      <c r="AD120" s="65" t="n">
        <f aca="false">-(AD119-AC119)*Inputs!$C$41</f>
        <v>-842.082971613868</v>
      </c>
      <c r="AE120" s="65" t="n">
        <f aca="false">-(AE119-AD119)*Inputs!$C$41</f>
        <v>-843.949638280534</v>
      </c>
      <c r="AF120" s="65" t="n">
        <f aca="false">-(AF119-AE119)*Inputs!$C$41</f>
        <v>-845.816304947201</v>
      </c>
      <c r="AG120" s="65" t="n">
        <f aca="false">-(AG119-AF119)*Inputs!$C$41</f>
        <v>-847.682971613867</v>
      </c>
      <c r="AH120" s="65" t="n">
        <f aca="false">-(AH119-AG119)*Inputs!$C$41</f>
        <v>-849.549638280534</v>
      </c>
      <c r="AI120" s="65" t="n">
        <f aca="false">-(AI119-AH119)*Inputs!$C$41</f>
        <v>-851.416304947201</v>
      </c>
      <c r="AJ120" s="65" t="n">
        <f aca="false">-(AJ119-AI119)*Inputs!$C$41</f>
        <v>-853.282971613867</v>
      </c>
      <c r="AK120" s="65" t="n">
        <f aca="false">-(AK119-AJ119)*Inputs!$C$41</f>
        <v>-855.149638280534</v>
      </c>
      <c r="AL120" s="65" t="n">
        <f aca="false">-(AL119-AK119)*Inputs!$C$41</f>
        <v>-857.016304947201</v>
      </c>
    </row>
    <row r="121" customFormat="false" ht="15" hidden="false" customHeight="false" outlineLevel="0" collapsed="false">
      <c r="A121" s="108" t="s">
        <v>50</v>
      </c>
      <c r="C121" s="66" t="n">
        <f aca="false">C117+C120</f>
        <v>-9407.42857142857</v>
      </c>
      <c r="D121" s="66" t="n">
        <f aca="false">D117+D120</f>
        <v>-7738.98412698413</v>
      </c>
      <c r="E121" s="66" t="n">
        <f aca="false">E117+E120</f>
        <v>-6066.09523809524</v>
      </c>
      <c r="F121" s="66" t="n">
        <f aca="false">F117+F120</f>
        <v>-4393.20634920635</v>
      </c>
      <c r="G121" s="66" t="n">
        <f aca="false">G117+G120</f>
        <v>-2720.31746031747</v>
      </c>
      <c r="H121" s="66" t="n">
        <f aca="false">H117+H120</f>
        <v>-1047.42857142857</v>
      </c>
      <c r="I121" s="66" t="n">
        <f aca="false">I117+I120</f>
        <v>625.460317460315</v>
      </c>
      <c r="J121" s="66" t="n">
        <f aca="false">J117+J120</f>
        <v>634.349206349204</v>
      </c>
      <c r="K121" s="66" t="n">
        <f aca="false">K117+K120</f>
        <v>643.238095238093</v>
      </c>
      <c r="L121" s="66" t="n">
        <f aca="false">L117+L120</f>
        <v>652.126984126981</v>
      </c>
      <c r="M121" s="66" t="n">
        <f aca="false">M117+M120</f>
        <v>661.01587301587</v>
      </c>
      <c r="N121" s="66" t="n">
        <f aca="false">N117+N120</f>
        <v>669.904761904759</v>
      </c>
      <c r="O121" s="66" t="n">
        <f aca="false">O117+O120</f>
        <v>2198.25605079365</v>
      </c>
      <c r="P121" s="66" t="n">
        <f aca="false">P117+P120</f>
        <v>2207.14493968254</v>
      </c>
      <c r="Q121" s="66" t="n">
        <f aca="false">Q117+Q120</f>
        <v>2216.03382857143</v>
      </c>
      <c r="R121" s="66" t="n">
        <f aca="false">R117+R120</f>
        <v>2224.92271746032</v>
      </c>
      <c r="S121" s="66" t="n">
        <f aca="false">S117+S120</f>
        <v>2233.81160634921</v>
      </c>
      <c r="T121" s="66" t="n">
        <f aca="false">T117+T120</f>
        <v>2242.7004952381</v>
      </c>
      <c r="U121" s="66" t="n">
        <f aca="false">U117+U120</f>
        <v>2251.58938412699</v>
      </c>
      <c r="V121" s="66" t="n">
        <f aca="false">V117+V120</f>
        <v>2260.47827301587</v>
      </c>
      <c r="W121" s="66" t="n">
        <f aca="false">W117+W120</f>
        <v>2269.36716190476</v>
      </c>
      <c r="X121" s="66" t="n">
        <f aca="false">X117+X120</f>
        <v>2278.25605079365</v>
      </c>
      <c r="Y121" s="66" t="n">
        <f aca="false">Y117+Y120</f>
        <v>2287.14493968254</v>
      </c>
      <c r="Z121" s="66" t="n">
        <f aca="false">Z117+Z120</f>
        <v>2296.03382857143</v>
      </c>
      <c r="AA121" s="66" t="n">
        <f aca="false">AA117+AA120</f>
        <v>3256.31069283312</v>
      </c>
      <c r="AB121" s="66" t="n">
        <f aca="false">AB117+AB120</f>
        <v>3153.79149638868</v>
      </c>
      <c r="AC121" s="66" t="n">
        <f aca="false">AC117+AC120</f>
        <v>3160.8137186109</v>
      </c>
      <c r="AD121" s="66" t="n">
        <f aca="false">AD117+AD120</f>
        <v>3167.83594083312</v>
      </c>
      <c r="AE121" s="66" t="n">
        <f aca="false">AE117+AE120</f>
        <v>3174.85816305534</v>
      </c>
      <c r="AF121" s="66" t="n">
        <f aca="false">AF117+AF120</f>
        <v>3181.88038527757</v>
      </c>
      <c r="AG121" s="66" t="n">
        <f aca="false">AG117+AG120</f>
        <v>3188.90260749979</v>
      </c>
      <c r="AH121" s="66" t="n">
        <f aca="false">AH117+AH120</f>
        <v>3195.92482972201</v>
      </c>
      <c r="AI121" s="66" t="n">
        <f aca="false">AI117+AI120</f>
        <v>3202.94705194423</v>
      </c>
      <c r="AJ121" s="66" t="n">
        <f aca="false">AJ117+AJ120</f>
        <v>3209.96927416645</v>
      </c>
      <c r="AK121" s="66" t="n">
        <f aca="false">AK117+AK120</f>
        <v>3216.99149638868</v>
      </c>
      <c r="AL121" s="66" t="n">
        <f aca="false">AL117+AL120</f>
        <v>3224.0137186109</v>
      </c>
    </row>
    <row r="123" customFormat="false" ht="15.75" hidden="false" customHeight="true" outlineLevel="0" collapsed="false">
      <c r="A123" s="7" t="s">
        <v>342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82</v>
      </c>
      <c r="C124" s="65" t="n">
        <f aca="false">IF(C$94=1,Inputs!$C$18,0)</f>
        <v>160000</v>
      </c>
      <c r="D124" s="65" t="n">
        <f aca="false">IF(D$94=1,Inputs!$C$18,0)</f>
        <v>0</v>
      </c>
      <c r="E124" s="65" t="n">
        <f aca="false">IF(E$94=1,Inputs!$C$18,0)</f>
        <v>0</v>
      </c>
      <c r="F124" s="65" t="n">
        <f aca="false">IF(F$94=1,Inputs!$C$18,0)</f>
        <v>0</v>
      </c>
      <c r="G124" s="65" t="n">
        <f aca="false">IF(G$94=1,Inputs!$C$18,0)</f>
        <v>0</v>
      </c>
      <c r="H124" s="65" t="n">
        <f aca="false">IF(H$94=1,Inputs!$C$18,0)</f>
        <v>0</v>
      </c>
      <c r="I124" s="65" t="n">
        <f aca="false">IF(I$94=1,Inputs!$C$18,0)</f>
        <v>0</v>
      </c>
      <c r="J124" s="65" t="n">
        <f aca="false">IF(J$94=1,Inputs!$C$18,0)</f>
        <v>0</v>
      </c>
      <c r="K124" s="65" t="n">
        <f aca="false">IF(K$94=1,Inputs!$C$18,0)</f>
        <v>0</v>
      </c>
      <c r="L124" s="65" t="n">
        <f aca="false">IF(L$94=1,Inputs!$C$18,0)</f>
        <v>0</v>
      </c>
      <c r="M124" s="65" t="n">
        <f aca="false">IF(M$94=1,Inputs!$C$18,0)</f>
        <v>0</v>
      </c>
      <c r="N124" s="65" t="n">
        <f aca="false">IF(N$94=1,Inputs!$C$18,0)</f>
        <v>0</v>
      </c>
      <c r="O124" s="65" t="n">
        <f aca="false">IF(O$94=1,Inputs!$C$18,0)</f>
        <v>0</v>
      </c>
      <c r="P124" s="65" t="n">
        <f aca="false">IF(P$94=1,Inputs!$C$18,0)</f>
        <v>0</v>
      </c>
      <c r="Q124" s="65" t="n">
        <f aca="false">IF(Q$94=1,Inputs!$C$18,0)</f>
        <v>0</v>
      </c>
      <c r="R124" s="65" t="n">
        <f aca="false">IF(R$94=1,Inputs!$C$18,0)</f>
        <v>0</v>
      </c>
      <c r="S124" s="65" t="n">
        <f aca="false">IF(S$94=1,Inputs!$C$18,0)</f>
        <v>0</v>
      </c>
      <c r="T124" s="65" t="n">
        <f aca="false">IF(T$94=1,Inputs!$C$18,0)</f>
        <v>0</v>
      </c>
      <c r="U124" s="65" t="n">
        <f aca="false">IF(U$94=1,Inputs!$C$18,0)</f>
        <v>0</v>
      </c>
      <c r="V124" s="65" t="n">
        <f aca="false">IF(V$94=1,Inputs!$C$18,0)</f>
        <v>0</v>
      </c>
      <c r="W124" s="65" t="n">
        <f aca="false">IF(W$94=1,Inputs!$C$18,0)</f>
        <v>0</v>
      </c>
      <c r="X124" s="65" t="n">
        <f aca="false">IF(X$94=1,Inputs!$C$18,0)</f>
        <v>0</v>
      </c>
      <c r="Y124" s="65" t="n">
        <f aca="false">IF(Y$94=1,Inputs!$C$18,0)</f>
        <v>0</v>
      </c>
      <c r="Z124" s="65" t="n">
        <f aca="false">IF(Z$94=1,Inputs!$C$18,0)</f>
        <v>0</v>
      </c>
      <c r="AA124" s="65" t="n">
        <f aca="false">IF(AA$94=1,Inputs!$C$18,0)</f>
        <v>0</v>
      </c>
      <c r="AB124" s="65" t="n">
        <f aca="false">IF(AB$94=1,Inputs!$C$18,0)</f>
        <v>0</v>
      </c>
      <c r="AC124" s="65" t="n">
        <f aca="false">IF(AC$94=1,Inputs!$C$18,0)</f>
        <v>0</v>
      </c>
      <c r="AD124" s="65" t="n">
        <f aca="false">IF(AD$94=1,Inputs!$C$18,0)</f>
        <v>0</v>
      </c>
      <c r="AE124" s="65" t="n">
        <f aca="false">IF(AE$94=1,Inputs!$C$18,0)</f>
        <v>0</v>
      </c>
      <c r="AF124" s="65" t="n">
        <f aca="false">IF(AF$94=1,Inputs!$C$18,0)</f>
        <v>0</v>
      </c>
      <c r="AG124" s="65" t="n">
        <f aca="false">IF(AG$94=1,Inputs!$C$18,0)</f>
        <v>0</v>
      </c>
      <c r="AH124" s="65" t="n">
        <f aca="false">IF(AH$94=1,Inputs!$C$18,0)</f>
        <v>0</v>
      </c>
      <c r="AI124" s="65" t="n">
        <f aca="false">IF(AI$94=1,Inputs!$C$18,0)</f>
        <v>0</v>
      </c>
      <c r="AJ124" s="65" t="n">
        <f aca="false">IF(AJ$94=1,Inputs!$C$18,0)</f>
        <v>0</v>
      </c>
      <c r="AK124" s="65" t="n">
        <f aca="false">IF(AK$94=1,Inputs!$C$18,0)</f>
        <v>0</v>
      </c>
      <c r="AL124" s="65" t="n">
        <f aca="false">IF(AL$94=1,Inputs!$C$18,0)</f>
        <v>0</v>
      </c>
    </row>
    <row r="125" customFormat="false" ht="15" hidden="false" customHeight="false" outlineLevel="0" collapsed="false">
      <c r="A125" s="6" t="s">
        <v>343</v>
      </c>
      <c r="C125" s="65" t="n">
        <f aca="false">C124</f>
        <v>160000</v>
      </c>
      <c r="D125" s="65" t="n">
        <f aca="false">C125+D124</f>
        <v>160000</v>
      </c>
      <c r="E125" s="65" t="n">
        <f aca="false">D125+E124</f>
        <v>160000</v>
      </c>
      <c r="F125" s="65" t="n">
        <f aca="false">E125+F124</f>
        <v>160000</v>
      </c>
      <c r="G125" s="65" t="n">
        <f aca="false">F125+G124</f>
        <v>160000</v>
      </c>
      <c r="H125" s="65" t="n">
        <f aca="false">G125+H124</f>
        <v>160000</v>
      </c>
      <c r="I125" s="65" t="n">
        <f aca="false">H125+I124</f>
        <v>160000</v>
      </c>
      <c r="J125" s="65" t="n">
        <f aca="false">I125+J124</f>
        <v>160000</v>
      </c>
      <c r="K125" s="65" t="n">
        <f aca="false">J125+K124</f>
        <v>160000</v>
      </c>
      <c r="L125" s="65" t="n">
        <f aca="false">K125+L124</f>
        <v>160000</v>
      </c>
      <c r="M125" s="65" t="n">
        <f aca="false">L125+M124</f>
        <v>160000</v>
      </c>
      <c r="N125" s="65" t="n">
        <f aca="false">M125+N124</f>
        <v>160000</v>
      </c>
      <c r="O125" s="65" t="n">
        <f aca="false">N125+O124</f>
        <v>160000</v>
      </c>
      <c r="P125" s="65" t="n">
        <f aca="false">O125+P124</f>
        <v>160000</v>
      </c>
      <c r="Q125" s="65" t="n">
        <f aca="false">P125+Q124</f>
        <v>160000</v>
      </c>
      <c r="R125" s="65" t="n">
        <f aca="false">Q125+R124</f>
        <v>160000</v>
      </c>
      <c r="S125" s="65" t="n">
        <f aca="false">R125+S124</f>
        <v>160000</v>
      </c>
      <c r="T125" s="65" t="n">
        <f aca="false">S125+T124</f>
        <v>160000</v>
      </c>
      <c r="U125" s="65" t="n">
        <f aca="false">T125+U124</f>
        <v>160000</v>
      </c>
      <c r="V125" s="65" t="n">
        <f aca="false">U125+V124</f>
        <v>160000</v>
      </c>
      <c r="W125" s="65" t="n">
        <f aca="false">V125+W124</f>
        <v>160000</v>
      </c>
      <c r="X125" s="65" t="n">
        <f aca="false">W125+X124</f>
        <v>160000</v>
      </c>
      <c r="Y125" s="65" t="n">
        <f aca="false">X125+Y124</f>
        <v>160000</v>
      </c>
      <c r="Z125" s="65" t="n">
        <f aca="false">Y125+Z124</f>
        <v>160000</v>
      </c>
      <c r="AA125" s="65" t="n">
        <f aca="false">Z125+AA124</f>
        <v>160000</v>
      </c>
      <c r="AB125" s="65" t="n">
        <f aca="false">AA125+AB124</f>
        <v>160000</v>
      </c>
      <c r="AC125" s="65" t="n">
        <f aca="false">AB125+AC124</f>
        <v>160000</v>
      </c>
      <c r="AD125" s="65" t="n">
        <f aca="false">AC125+AD124</f>
        <v>160000</v>
      </c>
      <c r="AE125" s="65" t="n">
        <f aca="false">AD125+AE124</f>
        <v>160000</v>
      </c>
      <c r="AF125" s="65" t="n">
        <f aca="false">AE125+AF124</f>
        <v>160000</v>
      </c>
      <c r="AG125" s="65" t="n">
        <f aca="false">AF125+AG124</f>
        <v>160000</v>
      </c>
      <c r="AH125" s="65" t="n">
        <f aca="false">AG125+AH124</f>
        <v>160000</v>
      </c>
      <c r="AI125" s="65" t="n">
        <f aca="false">AH125+AI124</f>
        <v>160000</v>
      </c>
      <c r="AJ125" s="65" t="n">
        <f aca="false">AI125+AJ124</f>
        <v>160000</v>
      </c>
      <c r="AK125" s="65" t="n">
        <f aca="false">AJ125+AK124</f>
        <v>160000</v>
      </c>
      <c r="AL125" s="65" t="n">
        <f aca="false">AK125+AL124</f>
        <v>160000</v>
      </c>
    </row>
    <row r="126" customFormat="false" ht="15" hidden="false" customHeight="false" outlineLevel="0" collapsed="false">
      <c r="A126" s="6" t="s">
        <v>76</v>
      </c>
      <c r="C126" s="65" t="n">
        <f aca="false">-MIN(C125/MAX(1,Inputs!$C$40*12),C124)</f>
        <v>-1904.7619047619</v>
      </c>
      <c r="D126" s="65" t="n">
        <f aca="false">-MIN(D125/MAX(1,Inputs!$C$40*12),C128+D124)</f>
        <v>-1904.7619047619</v>
      </c>
      <c r="E126" s="65" t="n">
        <f aca="false">-MIN(E125/MAX(1,Inputs!$C$40*12),D128+E124)</f>
        <v>-1904.7619047619</v>
      </c>
      <c r="F126" s="65" t="n">
        <f aca="false">-MIN(F125/MAX(1,Inputs!$C$40*12),E128+F124)</f>
        <v>-1904.7619047619</v>
      </c>
      <c r="G126" s="65" t="n">
        <f aca="false">-MIN(G125/MAX(1,Inputs!$C$40*12),F128+G124)</f>
        <v>-1904.7619047619</v>
      </c>
      <c r="H126" s="65" t="n">
        <f aca="false">-MIN(H125/MAX(1,Inputs!$C$40*12),G128+H124)</f>
        <v>-1904.7619047619</v>
      </c>
      <c r="I126" s="65" t="n">
        <f aca="false">-MIN(I125/MAX(1,Inputs!$C$40*12),H128+I124)</f>
        <v>-1904.7619047619</v>
      </c>
      <c r="J126" s="65" t="n">
        <f aca="false">-MIN(J125/MAX(1,Inputs!$C$40*12),I128+J124)</f>
        <v>-1904.7619047619</v>
      </c>
      <c r="K126" s="65" t="n">
        <f aca="false">-MIN(K125/MAX(1,Inputs!$C$40*12),J128+K124)</f>
        <v>-1904.7619047619</v>
      </c>
      <c r="L126" s="65" t="n">
        <f aca="false">-MIN(L125/MAX(1,Inputs!$C$40*12),K128+L124)</f>
        <v>-1904.7619047619</v>
      </c>
      <c r="M126" s="65" t="n">
        <f aca="false">-MIN(M125/MAX(1,Inputs!$C$40*12),L128+M124)</f>
        <v>-1904.7619047619</v>
      </c>
      <c r="N126" s="65" t="n">
        <f aca="false">-MIN(N125/MAX(1,Inputs!$C$40*12),M128+N124)</f>
        <v>-1904.7619047619</v>
      </c>
      <c r="O126" s="65" t="n">
        <f aca="false">-MIN(O125/MAX(1,Inputs!$C$40*12),N128+O124)</f>
        <v>-1904.7619047619</v>
      </c>
      <c r="P126" s="65" t="n">
        <f aca="false">-MIN(P125/MAX(1,Inputs!$C$40*12),O128+P124)</f>
        <v>-1904.7619047619</v>
      </c>
      <c r="Q126" s="65" t="n">
        <f aca="false">-MIN(Q125/MAX(1,Inputs!$C$40*12),P128+Q124)</f>
        <v>-1904.7619047619</v>
      </c>
      <c r="R126" s="65" t="n">
        <f aca="false">-MIN(R125/MAX(1,Inputs!$C$40*12),Q128+R124)</f>
        <v>-1904.7619047619</v>
      </c>
      <c r="S126" s="65" t="n">
        <f aca="false">-MIN(S125/MAX(1,Inputs!$C$40*12),R128+S124)</f>
        <v>-1904.7619047619</v>
      </c>
      <c r="T126" s="65" t="n">
        <f aca="false">-MIN(T125/MAX(1,Inputs!$C$40*12),S128+T124)</f>
        <v>-1904.7619047619</v>
      </c>
      <c r="U126" s="65" t="n">
        <f aca="false">-MIN(U125/MAX(1,Inputs!$C$40*12),T128+U124)</f>
        <v>-1904.7619047619</v>
      </c>
      <c r="V126" s="65" t="n">
        <f aca="false">-MIN(V125/MAX(1,Inputs!$C$40*12),U128+V124)</f>
        <v>-1904.7619047619</v>
      </c>
      <c r="W126" s="65" t="n">
        <f aca="false">-MIN(W125/MAX(1,Inputs!$C$40*12),V128+W124)</f>
        <v>-1904.7619047619</v>
      </c>
      <c r="X126" s="65" t="n">
        <f aca="false">-MIN(X125/MAX(1,Inputs!$C$40*12),W128+X124)</f>
        <v>-1904.7619047619</v>
      </c>
      <c r="Y126" s="65" t="n">
        <f aca="false">-MIN(Y125/MAX(1,Inputs!$C$40*12),X128+Y124)</f>
        <v>-1904.7619047619</v>
      </c>
      <c r="Z126" s="65" t="n">
        <f aca="false">-MIN(Z125/MAX(1,Inputs!$C$40*12),Y128+Z124)</f>
        <v>-1904.7619047619</v>
      </c>
      <c r="AA126" s="65" t="n">
        <f aca="false">-MIN(AA125/MAX(1,Inputs!$C$40*12),Z128+AA124)</f>
        <v>-1904.7619047619</v>
      </c>
      <c r="AB126" s="65" t="n">
        <f aca="false">-MIN(AB125/MAX(1,Inputs!$C$40*12),AA128+AB124)</f>
        <v>-1904.7619047619</v>
      </c>
      <c r="AC126" s="65" t="n">
        <f aca="false">-MIN(AC125/MAX(1,Inputs!$C$40*12),AB128+AC124)</f>
        <v>-1904.7619047619</v>
      </c>
      <c r="AD126" s="65" t="n">
        <f aca="false">-MIN(AD125/MAX(1,Inputs!$C$40*12),AC128+AD124)</f>
        <v>-1904.7619047619</v>
      </c>
      <c r="AE126" s="65" t="n">
        <f aca="false">-MIN(AE125/MAX(1,Inputs!$C$40*12),AD128+AE124)</f>
        <v>-1904.7619047619</v>
      </c>
      <c r="AF126" s="65" t="n">
        <f aca="false">-MIN(AF125/MAX(1,Inputs!$C$40*12),AE128+AF124)</f>
        <v>-1904.7619047619</v>
      </c>
      <c r="AG126" s="65" t="n">
        <f aca="false">-MIN(AG125/MAX(1,Inputs!$C$40*12),AF128+AG124)</f>
        <v>-1904.7619047619</v>
      </c>
      <c r="AH126" s="65" t="n">
        <f aca="false">-MIN(AH125/MAX(1,Inputs!$C$40*12),AG128+AH124)</f>
        <v>-1904.7619047619</v>
      </c>
      <c r="AI126" s="65" t="n">
        <f aca="false">-MIN(AI125/MAX(1,Inputs!$C$40*12),AH128+AI124)</f>
        <v>-1904.7619047619</v>
      </c>
      <c r="AJ126" s="65" t="n">
        <f aca="false">-MIN(AJ125/MAX(1,Inputs!$C$40*12),AI128+AJ124)</f>
        <v>-1904.7619047619</v>
      </c>
      <c r="AK126" s="65" t="n">
        <f aca="false">-MIN(AK125/MAX(1,Inputs!$C$40*12),AJ128+AK124)</f>
        <v>-1904.7619047619</v>
      </c>
      <c r="AL126" s="65" t="n">
        <f aca="false">-MIN(AL125/MAX(1,Inputs!$C$40*12),AK128+AL124)</f>
        <v>-1904.7619047619</v>
      </c>
    </row>
    <row r="127" customFormat="false" ht="15" hidden="false" customHeight="false" outlineLevel="0" collapsed="false">
      <c r="A127" s="6" t="s">
        <v>344</v>
      </c>
      <c r="C127" s="65" t="n">
        <f aca="false">C126</f>
        <v>-1904.7619047619</v>
      </c>
      <c r="D127" s="65" t="n">
        <f aca="false">C127+D126</f>
        <v>-3809.52380952381</v>
      </c>
      <c r="E127" s="65" t="n">
        <f aca="false">D127+E126</f>
        <v>-5714.28571428572</v>
      </c>
      <c r="F127" s="65" t="n">
        <f aca="false">E127+F126</f>
        <v>-7619.04761904762</v>
      </c>
      <c r="G127" s="65" t="n">
        <f aca="false">F127+G126</f>
        <v>-9523.80952380953</v>
      </c>
      <c r="H127" s="65" t="n">
        <f aca="false">G127+H126</f>
        <v>-11428.5714285714</v>
      </c>
      <c r="I127" s="65" t="n">
        <f aca="false">H127+I126</f>
        <v>-13333.3333333333</v>
      </c>
      <c r="J127" s="65" t="n">
        <f aca="false">I127+J126</f>
        <v>-15238.0952380952</v>
      </c>
      <c r="K127" s="65" t="n">
        <f aca="false">J127+K126</f>
        <v>-17142.8571428571</v>
      </c>
      <c r="L127" s="65" t="n">
        <f aca="false">K127+L126</f>
        <v>-19047.6190476191</v>
      </c>
      <c r="M127" s="65" t="n">
        <f aca="false">L127+M126</f>
        <v>-20952.380952381</v>
      </c>
      <c r="N127" s="65" t="n">
        <f aca="false">M127+N126</f>
        <v>-22857.1428571429</v>
      </c>
      <c r="O127" s="65" t="n">
        <f aca="false">N127+O126</f>
        <v>-24761.9047619048</v>
      </c>
      <c r="P127" s="65" t="n">
        <f aca="false">O127+P126</f>
        <v>-26666.6666666667</v>
      </c>
      <c r="Q127" s="65" t="n">
        <f aca="false">P127+Q126</f>
        <v>-28571.4285714286</v>
      </c>
      <c r="R127" s="65" t="n">
        <f aca="false">Q127+R126</f>
        <v>-30476.1904761905</v>
      </c>
      <c r="S127" s="65" t="n">
        <f aca="false">R127+S126</f>
        <v>-32380.9523809524</v>
      </c>
      <c r="T127" s="65" t="n">
        <f aca="false">S127+T126</f>
        <v>-34285.7142857143</v>
      </c>
      <c r="U127" s="65" t="n">
        <f aca="false">T127+U126</f>
        <v>-36190.4761904762</v>
      </c>
      <c r="V127" s="65" t="n">
        <f aca="false">U127+V126</f>
        <v>-38095.2380952381</v>
      </c>
      <c r="W127" s="65" t="n">
        <f aca="false">V127+W126</f>
        <v>-40000</v>
      </c>
      <c r="X127" s="65" t="n">
        <f aca="false">W127+X126</f>
        <v>-41904.7619047619</v>
      </c>
      <c r="Y127" s="65" t="n">
        <f aca="false">X127+Y126</f>
        <v>-43809.5238095238</v>
      </c>
      <c r="Z127" s="65" t="n">
        <f aca="false">Y127+Z126</f>
        <v>-45714.2857142857</v>
      </c>
      <c r="AA127" s="65" t="n">
        <f aca="false">Z127+AA126</f>
        <v>-47619.0476190477</v>
      </c>
      <c r="AB127" s="65" t="n">
        <f aca="false">AA127+AB126</f>
        <v>-49523.8095238096</v>
      </c>
      <c r="AC127" s="65" t="n">
        <f aca="false">AB127+AC126</f>
        <v>-51428.5714285715</v>
      </c>
      <c r="AD127" s="65" t="n">
        <f aca="false">AC127+AD126</f>
        <v>-53333.3333333334</v>
      </c>
      <c r="AE127" s="65" t="n">
        <f aca="false">AD127+AE126</f>
        <v>-55238.0952380953</v>
      </c>
      <c r="AF127" s="65" t="n">
        <f aca="false">AE127+AF126</f>
        <v>-57142.8571428572</v>
      </c>
      <c r="AG127" s="65" t="n">
        <f aca="false">AF127+AG126</f>
        <v>-59047.6190476191</v>
      </c>
      <c r="AH127" s="65" t="n">
        <f aca="false">AG127+AH126</f>
        <v>-60952.380952381</v>
      </c>
      <c r="AI127" s="65" t="n">
        <f aca="false">AH127+AI126</f>
        <v>-62857.1428571429</v>
      </c>
      <c r="AJ127" s="65" t="n">
        <f aca="false">AI127+AJ126</f>
        <v>-64761.9047619048</v>
      </c>
      <c r="AK127" s="65" t="n">
        <f aca="false">AJ127+AK126</f>
        <v>-66666.6666666667</v>
      </c>
      <c r="AL127" s="65" t="n">
        <f aca="false">AK127+AL126</f>
        <v>-68571.4285714286</v>
      </c>
    </row>
    <row r="128" customFormat="false" ht="15" hidden="false" customHeight="false" outlineLevel="0" collapsed="false">
      <c r="A128" s="4" t="s">
        <v>90</v>
      </c>
      <c r="C128" s="71" t="n">
        <f aca="false">C125+C127</f>
        <v>158095.238095238</v>
      </c>
      <c r="D128" s="71" t="n">
        <f aca="false">D125+D127</f>
        <v>156190.476190476</v>
      </c>
      <c r="E128" s="71" t="n">
        <f aca="false">E125+E127</f>
        <v>154285.714285714</v>
      </c>
      <c r="F128" s="71" t="n">
        <f aca="false">F125+F127</f>
        <v>152380.952380952</v>
      </c>
      <c r="G128" s="71" t="n">
        <f aca="false">G125+G127</f>
        <v>150476.19047619</v>
      </c>
      <c r="H128" s="71" t="n">
        <f aca="false">H125+H127</f>
        <v>148571.428571429</v>
      </c>
      <c r="I128" s="71" t="n">
        <f aca="false">I125+I127</f>
        <v>146666.666666667</v>
      </c>
      <c r="J128" s="71" t="n">
        <f aca="false">J125+J127</f>
        <v>144761.904761905</v>
      </c>
      <c r="K128" s="71" t="n">
        <f aca="false">K125+K127</f>
        <v>142857.142857143</v>
      </c>
      <c r="L128" s="71" t="n">
        <f aca="false">L125+L127</f>
        <v>140952.380952381</v>
      </c>
      <c r="M128" s="71" t="n">
        <f aca="false">M125+M127</f>
        <v>139047.619047619</v>
      </c>
      <c r="N128" s="71" t="n">
        <f aca="false">N125+N127</f>
        <v>137142.857142857</v>
      </c>
      <c r="O128" s="71" t="n">
        <f aca="false">O125+O127</f>
        <v>135238.095238095</v>
      </c>
      <c r="P128" s="71" t="n">
        <f aca="false">P125+P127</f>
        <v>133333.333333333</v>
      </c>
      <c r="Q128" s="71" t="n">
        <f aca="false">Q125+Q127</f>
        <v>131428.571428571</v>
      </c>
      <c r="R128" s="71" t="n">
        <f aca="false">R125+R127</f>
        <v>129523.80952381</v>
      </c>
      <c r="S128" s="71" t="n">
        <f aca="false">S125+S127</f>
        <v>127619.047619048</v>
      </c>
      <c r="T128" s="71" t="n">
        <f aca="false">T125+T127</f>
        <v>125714.285714286</v>
      </c>
      <c r="U128" s="71" t="n">
        <f aca="false">U125+U127</f>
        <v>123809.523809524</v>
      </c>
      <c r="V128" s="71" t="n">
        <f aca="false">V125+V127</f>
        <v>121904.761904762</v>
      </c>
      <c r="W128" s="71" t="n">
        <f aca="false">W125+W127</f>
        <v>120000</v>
      </c>
      <c r="X128" s="71" t="n">
        <f aca="false">X125+X127</f>
        <v>118095.238095238</v>
      </c>
      <c r="Y128" s="71" t="n">
        <f aca="false">Y125+Y127</f>
        <v>116190.476190476</v>
      </c>
      <c r="Z128" s="71" t="n">
        <f aca="false">Z125+Z127</f>
        <v>114285.714285714</v>
      </c>
      <c r="AA128" s="71" t="n">
        <f aca="false">AA125+AA127</f>
        <v>112380.952380952</v>
      </c>
      <c r="AB128" s="71" t="n">
        <f aca="false">AB125+AB127</f>
        <v>110476.19047619</v>
      </c>
      <c r="AC128" s="71" t="n">
        <f aca="false">AC125+AC127</f>
        <v>108571.428571429</v>
      </c>
      <c r="AD128" s="71" t="n">
        <f aca="false">AD125+AD127</f>
        <v>106666.666666667</v>
      </c>
      <c r="AE128" s="71" t="n">
        <f aca="false">AE125+AE127</f>
        <v>104761.904761905</v>
      </c>
      <c r="AF128" s="71" t="n">
        <f aca="false">AF125+AF127</f>
        <v>102857.142857143</v>
      </c>
      <c r="AG128" s="71" t="n">
        <f aca="false">AG125+AG127</f>
        <v>100952.380952381</v>
      </c>
      <c r="AH128" s="71" t="n">
        <f aca="false">AH125+AH127</f>
        <v>99047.619047619</v>
      </c>
      <c r="AI128" s="71" t="n">
        <f aca="false">AI125+AI127</f>
        <v>97142.8571428571</v>
      </c>
      <c r="AJ128" s="71" t="n">
        <f aca="false">AJ125+AJ127</f>
        <v>95238.0952380952</v>
      </c>
      <c r="AK128" s="71" t="n">
        <f aca="false">AK125+AK127</f>
        <v>93333.3333333333</v>
      </c>
      <c r="AL128" s="71" t="n">
        <f aca="false">AL125+AL127</f>
        <v>91428.5714285714</v>
      </c>
    </row>
    <row r="130" customFormat="false" ht="15.75" hidden="false" customHeight="true" outlineLevel="0" collapsed="false">
      <c r="A130" s="7" t="s">
        <v>345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6" t="s">
        <v>346</v>
      </c>
      <c r="C131" s="65" t="n">
        <f aca="false">0</f>
        <v>0</v>
      </c>
      <c r="D131" s="65" t="n">
        <f aca="false">C134</f>
        <v>80000</v>
      </c>
      <c r="E131" s="65" t="n">
        <f aca="false">D134</f>
        <v>78666.6666666667</v>
      </c>
      <c r="F131" s="65" t="n">
        <f aca="false">E134</f>
        <v>77333.3333333333</v>
      </c>
      <c r="G131" s="65" t="n">
        <f aca="false">F134</f>
        <v>76000</v>
      </c>
      <c r="H131" s="65" t="n">
        <f aca="false">G134</f>
        <v>74666.6666666667</v>
      </c>
      <c r="I131" s="65" t="n">
        <f aca="false">H134</f>
        <v>73333.3333333334</v>
      </c>
      <c r="J131" s="65" t="n">
        <f aca="false">I134</f>
        <v>72000</v>
      </c>
      <c r="K131" s="65" t="n">
        <f aca="false">J134</f>
        <v>70666.6666666667</v>
      </c>
      <c r="L131" s="65" t="n">
        <f aca="false">K134</f>
        <v>69333.3333333334</v>
      </c>
      <c r="M131" s="65" t="n">
        <f aca="false">L134</f>
        <v>68000</v>
      </c>
      <c r="N131" s="65" t="n">
        <f aca="false">M134</f>
        <v>66666.6666666667</v>
      </c>
      <c r="O131" s="65" t="n">
        <f aca="false">N134</f>
        <v>65333.3333333334</v>
      </c>
      <c r="P131" s="65" t="n">
        <f aca="false">O134</f>
        <v>64000</v>
      </c>
      <c r="Q131" s="65" t="n">
        <f aca="false">P134</f>
        <v>62666.6666666667</v>
      </c>
      <c r="R131" s="65" t="n">
        <f aca="false">Q134</f>
        <v>61333.3333333334</v>
      </c>
      <c r="S131" s="65" t="n">
        <f aca="false">R134</f>
        <v>60000</v>
      </c>
      <c r="T131" s="65" t="n">
        <f aca="false">S134</f>
        <v>58666.6666666667</v>
      </c>
      <c r="U131" s="65" t="n">
        <f aca="false">T134</f>
        <v>57333.3333333334</v>
      </c>
      <c r="V131" s="65" t="n">
        <f aca="false">U134</f>
        <v>56000</v>
      </c>
      <c r="W131" s="65" t="n">
        <f aca="false">V134</f>
        <v>54666.6666666667</v>
      </c>
      <c r="X131" s="65" t="n">
        <f aca="false">W134</f>
        <v>53333.3333333334</v>
      </c>
      <c r="Y131" s="65" t="n">
        <f aca="false">X134</f>
        <v>52000</v>
      </c>
      <c r="Z131" s="65" t="n">
        <f aca="false">Y134</f>
        <v>50666.6666666667</v>
      </c>
      <c r="AA131" s="65" t="n">
        <f aca="false">Z134</f>
        <v>49333.3333333334</v>
      </c>
      <c r="AB131" s="65" t="n">
        <f aca="false">AA134</f>
        <v>48000</v>
      </c>
      <c r="AC131" s="65" t="n">
        <f aca="false">AB134</f>
        <v>46666.6666666667</v>
      </c>
      <c r="AD131" s="65" t="n">
        <f aca="false">AC134</f>
        <v>45333.3333333333</v>
      </c>
      <c r="AE131" s="65" t="n">
        <f aca="false">AD134</f>
        <v>44000</v>
      </c>
      <c r="AF131" s="65" t="n">
        <f aca="false">AE134</f>
        <v>42666.6666666667</v>
      </c>
      <c r="AG131" s="65" t="n">
        <f aca="false">AF134</f>
        <v>41333.3333333333</v>
      </c>
      <c r="AH131" s="65" t="n">
        <f aca="false">AG134</f>
        <v>40000</v>
      </c>
      <c r="AI131" s="65" t="n">
        <f aca="false">AH134</f>
        <v>38666.6666666667</v>
      </c>
      <c r="AJ131" s="65" t="n">
        <f aca="false">AI134</f>
        <v>37333.3333333333</v>
      </c>
      <c r="AK131" s="65" t="n">
        <f aca="false">AJ134</f>
        <v>36000</v>
      </c>
      <c r="AL131" s="65" t="n">
        <f aca="false">AK134</f>
        <v>34666.6666666667</v>
      </c>
    </row>
    <row r="132" customFormat="false" ht="15" hidden="false" customHeight="false" outlineLevel="0" collapsed="false">
      <c r="A132" s="6" t="s">
        <v>83</v>
      </c>
      <c r="C132" s="65" t="n">
        <f aca="false">IF(C$94=1,Inputs!$C$30,0)</f>
        <v>80000</v>
      </c>
      <c r="D132" s="65" t="n">
        <f aca="false">IF(D$94=1,Inputs!$C$30,0)</f>
        <v>0</v>
      </c>
      <c r="E132" s="65" t="n">
        <f aca="false">IF(E$94=1,Inputs!$C$30,0)</f>
        <v>0</v>
      </c>
      <c r="F132" s="65" t="n">
        <f aca="false">IF(F$94=1,Inputs!$C$30,0)</f>
        <v>0</v>
      </c>
      <c r="G132" s="65" t="n">
        <f aca="false">IF(G$94=1,Inputs!$C$30,0)</f>
        <v>0</v>
      </c>
      <c r="H132" s="65" t="n">
        <f aca="false">IF(H$94=1,Inputs!$C$30,0)</f>
        <v>0</v>
      </c>
      <c r="I132" s="65" t="n">
        <f aca="false">IF(I$94=1,Inputs!$C$30,0)</f>
        <v>0</v>
      </c>
      <c r="J132" s="65" t="n">
        <f aca="false">IF(J$94=1,Inputs!$C$30,0)</f>
        <v>0</v>
      </c>
      <c r="K132" s="65" t="n">
        <f aca="false">IF(K$94=1,Inputs!$C$30,0)</f>
        <v>0</v>
      </c>
      <c r="L132" s="65" t="n">
        <f aca="false">IF(L$94=1,Inputs!$C$30,0)</f>
        <v>0</v>
      </c>
      <c r="M132" s="65" t="n">
        <f aca="false">IF(M$94=1,Inputs!$C$30,0)</f>
        <v>0</v>
      </c>
      <c r="N132" s="65" t="n">
        <f aca="false">IF(N$94=1,Inputs!$C$30,0)</f>
        <v>0</v>
      </c>
      <c r="O132" s="65" t="n">
        <f aca="false">IF(O$94=1,Inputs!$C$30,0)</f>
        <v>0</v>
      </c>
      <c r="P132" s="65" t="n">
        <f aca="false">IF(P$94=1,Inputs!$C$30,0)</f>
        <v>0</v>
      </c>
      <c r="Q132" s="65" t="n">
        <f aca="false">IF(Q$94=1,Inputs!$C$30,0)</f>
        <v>0</v>
      </c>
      <c r="R132" s="65" t="n">
        <f aca="false">IF(R$94=1,Inputs!$C$30,0)</f>
        <v>0</v>
      </c>
      <c r="S132" s="65" t="n">
        <f aca="false">IF(S$94=1,Inputs!$C$30,0)</f>
        <v>0</v>
      </c>
      <c r="T132" s="65" t="n">
        <f aca="false">IF(T$94=1,Inputs!$C$30,0)</f>
        <v>0</v>
      </c>
      <c r="U132" s="65" t="n">
        <f aca="false">IF(U$94=1,Inputs!$C$30,0)</f>
        <v>0</v>
      </c>
      <c r="V132" s="65" t="n">
        <f aca="false">IF(V$94=1,Inputs!$C$30,0)</f>
        <v>0</v>
      </c>
      <c r="W132" s="65" t="n">
        <f aca="false">IF(W$94=1,Inputs!$C$30,0)</f>
        <v>0</v>
      </c>
      <c r="X132" s="65" t="n">
        <f aca="false">IF(X$94=1,Inputs!$C$30,0)</f>
        <v>0</v>
      </c>
      <c r="Y132" s="65" t="n">
        <f aca="false">IF(Y$94=1,Inputs!$C$30,0)</f>
        <v>0</v>
      </c>
      <c r="Z132" s="65" t="n">
        <f aca="false">IF(Z$94=1,Inputs!$C$30,0)</f>
        <v>0</v>
      </c>
      <c r="AA132" s="65" t="n">
        <f aca="false">IF(AA$94=1,Inputs!$C$30,0)</f>
        <v>0</v>
      </c>
      <c r="AB132" s="65" t="n">
        <f aca="false">IF(AB$94=1,Inputs!$C$30,0)</f>
        <v>0</v>
      </c>
      <c r="AC132" s="65" t="n">
        <f aca="false">IF(AC$94=1,Inputs!$C$30,0)</f>
        <v>0</v>
      </c>
      <c r="AD132" s="65" t="n">
        <f aca="false">IF(AD$94=1,Inputs!$C$30,0)</f>
        <v>0</v>
      </c>
      <c r="AE132" s="65" t="n">
        <f aca="false">IF(AE$94=1,Inputs!$C$30,0)</f>
        <v>0</v>
      </c>
      <c r="AF132" s="65" t="n">
        <f aca="false">IF(AF$94=1,Inputs!$C$30,0)</f>
        <v>0</v>
      </c>
      <c r="AG132" s="65" t="n">
        <f aca="false">IF(AG$94=1,Inputs!$C$30,0)</f>
        <v>0</v>
      </c>
      <c r="AH132" s="65" t="n">
        <f aca="false">IF(AH$94=1,Inputs!$C$30,0)</f>
        <v>0</v>
      </c>
      <c r="AI132" s="65" t="n">
        <f aca="false">IF(AI$94=1,Inputs!$C$30,0)</f>
        <v>0</v>
      </c>
      <c r="AJ132" s="65" t="n">
        <f aca="false">IF(AJ$94=1,Inputs!$C$30,0)</f>
        <v>0</v>
      </c>
      <c r="AK132" s="65" t="n">
        <f aca="false">IF(AK$94=1,Inputs!$C$30,0)</f>
        <v>0</v>
      </c>
      <c r="AL132" s="65" t="n">
        <f aca="false">IF(AL$94=1,Inputs!$C$30,0)</f>
        <v>0</v>
      </c>
    </row>
    <row r="133" customFormat="false" ht="15" hidden="false" customHeight="false" outlineLevel="0" collapsed="false">
      <c r="A133" s="6" t="s">
        <v>84</v>
      </c>
      <c r="C133" s="65" t="n">
        <f aca="false">-MIN(C131,Inputs!$C$30/MAX(1,Inputs!$C$32*12))</f>
        <v>-0</v>
      </c>
      <c r="D133" s="65" t="n">
        <f aca="false">-MIN(D131,Inputs!$C$30/MAX(1,Inputs!$C$32*12))</f>
        <v>-1333.33333333333</v>
      </c>
      <c r="E133" s="65" t="n">
        <f aca="false">-MIN(E131,Inputs!$C$30/MAX(1,Inputs!$C$32*12))</f>
        <v>-1333.33333333333</v>
      </c>
      <c r="F133" s="65" t="n">
        <f aca="false">-MIN(F131,Inputs!$C$30/MAX(1,Inputs!$C$32*12))</f>
        <v>-1333.33333333333</v>
      </c>
      <c r="G133" s="65" t="n">
        <f aca="false">-MIN(G131,Inputs!$C$30/MAX(1,Inputs!$C$32*12))</f>
        <v>-1333.33333333333</v>
      </c>
      <c r="H133" s="65" t="n">
        <f aca="false">-MIN(H131,Inputs!$C$30/MAX(1,Inputs!$C$32*12))</f>
        <v>-1333.33333333333</v>
      </c>
      <c r="I133" s="65" t="n">
        <f aca="false">-MIN(I131,Inputs!$C$30/MAX(1,Inputs!$C$32*12))</f>
        <v>-1333.33333333333</v>
      </c>
      <c r="J133" s="65" t="n">
        <f aca="false">-MIN(J131,Inputs!$C$30/MAX(1,Inputs!$C$32*12))</f>
        <v>-1333.33333333333</v>
      </c>
      <c r="K133" s="65" t="n">
        <f aca="false">-MIN(K131,Inputs!$C$30/MAX(1,Inputs!$C$32*12))</f>
        <v>-1333.33333333333</v>
      </c>
      <c r="L133" s="65" t="n">
        <f aca="false">-MIN(L131,Inputs!$C$30/MAX(1,Inputs!$C$32*12))</f>
        <v>-1333.33333333333</v>
      </c>
      <c r="M133" s="65" t="n">
        <f aca="false">-MIN(M131,Inputs!$C$30/MAX(1,Inputs!$C$32*12))</f>
        <v>-1333.33333333333</v>
      </c>
      <c r="N133" s="65" t="n">
        <f aca="false">-MIN(N131,Inputs!$C$30/MAX(1,Inputs!$C$32*12))</f>
        <v>-1333.33333333333</v>
      </c>
      <c r="O133" s="65" t="n">
        <f aca="false">-MIN(O131,Inputs!$C$30/MAX(1,Inputs!$C$32*12))</f>
        <v>-1333.33333333333</v>
      </c>
      <c r="P133" s="65" t="n">
        <f aca="false">-MIN(P131,Inputs!$C$30/MAX(1,Inputs!$C$32*12))</f>
        <v>-1333.33333333333</v>
      </c>
      <c r="Q133" s="65" t="n">
        <f aca="false">-MIN(Q131,Inputs!$C$30/MAX(1,Inputs!$C$32*12))</f>
        <v>-1333.33333333333</v>
      </c>
      <c r="R133" s="65" t="n">
        <f aca="false">-MIN(R131,Inputs!$C$30/MAX(1,Inputs!$C$32*12))</f>
        <v>-1333.33333333333</v>
      </c>
      <c r="S133" s="65" t="n">
        <f aca="false">-MIN(S131,Inputs!$C$30/MAX(1,Inputs!$C$32*12))</f>
        <v>-1333.33333333333</v>
      </c>
      <c r="T133" s="65" t="n">
        <f aca="false">-MIN(T131,Inputs!$C$30/MAX(1,Inputs!$C$32*12))</f>
        <v>-1333.33333333333</v>
      </c>
      <c r="U133" s="65" t="n">
        <f aca="false">-MIN(U131,Inputs!$C$30/MAX(1,Inputs!$C$32*12))</f>
        <v>-1333.33333333333</v>
      </c>
      <c r="V133" s="65" t="n">
        <f aca="false">-MIN(V131,Inputs!$C$30/MAX(1,Inputs!$C$32*12))</f>
        <v>-1333.33333333333</v>
      </c>
      <c r="W133" s="65" t="n">
        <f aca="false">-MIN(W131,Inputs!$C$30/MAX(1,Inputs!$C$32*12))</f>
        <v>-1333.33333333333</v>
      </c>
      <c r="X133" s="65" t="n">
        <f aca="false">-MIN(X131,Inputs!$C$30/MAX(1,Inputs!$C$32*12))</f>
        <v>-1333.33333333333</v>
      </c>
      <c r="Y133" s="65" t="n">
        <f aca="false">-MIN(Y131,Inputs!$C$30/MAX(1,Inputs!$C$32*12))</f>
        <v>-1333.33333333333</v>
      </c>
      <c r="Z133" s="65" t="n">
        <f aca="false">-MIN(Z131,Inputs!$C$30/MAX(1,Inputs!$C$32*12))</f>
        <v>-1333.33333333333</v>
      </c>
      <c r="AA133" s="65" t="n">
        <f aca="false">-MIN(AA131,Inputs!$C$30/MAX(1,Inputs!$C$32*12))</f>
        <v>-1333.33333333333</v>
      </c>
      <c r="AB133" s="65" t="n">
        <f aca="false">-MIN(AB131,Inputs!$C$30/MAX(1,Inputs!$C$32*12))</f>
        <v>-1333.33333333333</v>
      </c>
      <c r="AC133" s="65" t="n">
        <f aca="false">-MIN(AC131,Inputs!$C$30/MAX(1,Inputs!$C$32*12))</f>
        <v>-1333.33333333333</v>
      </c>
      <c r="AD133" s="65" t="n">
        <f aca="false">-MIN(AD131,Inputs!$C$30/MAX(1,Inputs!$C$32*12))</f>
        <v>-1333.33333333333</v>
      </c>
      <c r="AE133" s="65" t="n">
        <f aca="false">-MIN(AE131,Inputs!$C$30/MAX(1,Inputs!$C$32*12))</f>
        <v>-1333.33333333333</v>
      </c>
      <c r="AF133" s="65" t="n">
        <f aca="false">-MIN(AF131,Inputs!$C$30/MAX(1,Inputs!$C$32*12))</f>
        <v>-1333.33333333333</v>
      </c>
      <c r="AG133" s="65" t="n">
        <f aca="false">-MIN(AG131,Inputs!$C$30/MAX(1,Inputs!$C$32*12))</f>
        <v>-1333.33333333333</v>
      </c>
      <c r="AH133" s="65" t="n">
        <f aca="false">-MIN(AH131,Inputs!$C$30/MAX(1,Inputs!$C$32*12))</f>
        <v>-1333.33333333333</v>
      </c>
      <c r="AI133" s="65" t="n">
        <f aca="false">-MIN(AI131,Inputs!$C$30/MAX(1,Inputs!$C$32*12))</f>
        <v>-1333.33333333333</v>
      </c>
      <c r="AJ133" s="65" t="n">
        <f aca="false">-MIN(AJ131,Inputs!$C$30/MAX(1,Inputs!$C$32*12))</f>
        <v>-1333.33333333333</v>
      </c>
      <c r="AK133" s="65" t="n">
        <f aca="false">-MIN(AK131,Inputs!$C$30/MAX(1,Inputs!$C$32*12))</f>
        <v>-1333.33333333333</v>
      </c>
      <c r="AL133" s="65" t="n">
        <f aca="false">-MIN(AL131,Inputs!$C$30/MAX(1,Inputs!$C$32*12))</f>
        <v>-1333.33333333333</v>
      </c>
    </row>
    <row r="134" customFormat="false" ht="15" hidden="false" customHeight="false" outlineLevel="0" collapsed="false">
      <c r="A134" s="4" t="s">
        <v>347</v>
      </c>
      <c r="C134" s="71" t="n">
        <f aca="false">C131+C132+C133</f>
        <v>80000</v>
      </c>
      <c r="D134" s="71" t="n">
        <f aca="false">D131+D132+D133</f>
        <v>78666.6666666667</v>
      </c>
      <c r="E134" s="71" t="n">
        <f aca="false">E131+E132+E133</f>
        <v>77333.3333333333</v>
      </c>
      <c r="F134" s="71" t="n">
        <f aca="false">F131+F132+F133</f>
        <v>76000</v>
      </c>
      <c r="G134" s="71" t="n">
        <f aca="false">G131+G132+G133</f>
        <v>74666.6666666667</v>
      </c>
      <c r="H134" s="71" t="n">
        <f aca="false">H131+H132+H133</f>
        <v>73333.3333333334</v>
      </c>
      <c r="I134" s="71" t="n">
        <f aca="false">I131+I132+I133</f>
        <v>72000</v>
      </c>
      <c r="J134" s="71" t="n">
        <f aca="false">J131+J132+J133</f>
        <v>70666.6666666667</v>
      </c>
      <c r="K134" s="71" t="n">
        <f aca="false">K131+K132+K133</f>
        <v>69333.3333333334</v>
      </c>
      <c r="L134" s="71" t="n">
        <f aca="false">L131+L132+L133</f>
        <v>68000</v>
      </c>
      <c r="M134" s="71" t="n">
        <f aca="false">M131+M132+M133</f>
        <v>66666.6666666667</v>
      </c>
      <c r="N134" s="71" t="n">
        <f aca="false">N131+N132+N133</f>
        <v>65333.3333333334</v>
      </c>
      <c r="O134" s="71" t="n">
        <f aca="false">O131+O132+O133</f>
        <v>64000</v>
      </c>
      <c r="P134" s="71" t="n">
        <f aca="false">P131+P132+P133</f>
        <v>62666.6666666667</v>
      </c>
      <c r="Q134" s="71" t="n">
        <f aca="false">Q131+Q132+Q133</f>
        <v>61333.3333333334</v>
      </c>
      <c r="R134" s="71" t="n">
        <f aca="false">R131+R132+R133</f>
        <v>60000</v>
      </c>
      <c r="S134" s="71" t="n">
        <f aca="false">S131+S132+S133</f>
        <v>58666.6666666667</v>
      </c>
      <c r="T134" s="71" t="n">
        <f aca="false">T131+T132+T133</f>
        <v>57333.3333333334</v>
      </c>
      <c r="U134" s="71" t="n">
        <f aca="false">U131+U132+U133</f>
        <v>56000</v>
      </c>
      <c r="V134" s="71" t="n">
        <f aca="false">V131+V132+V133</f>
        <v>54666.6666666667</v>
      </c>
      <c r="W134" s="71" t="n">
        <f aca="false">W131+W132+W133</f>
        <v>53333.3333333334</v>
      </c>
      <c r="X134" s="71" t="n">
        <f aca="false">X131+X132+X133</f>
        <v>52000</v>
      </c>
      <c r="Y134" s="71" t="n">
        <f aca="false">Y131+Y132+Y133</f>
        <v>50666.6666666667</v>
      </c>
      <c r="Z134" s="71" t="n">
        <f aca="false">Z131+Z132+Z133</f>
        <v>49333.3333333334</v>
      </c>
      <c r="AA134" s="71" t="n">
        <f aca="false">AA131+AA132+AA133</f>
        <v>48000</v>
      </c>
      <c r="AB134" s="71" t="n">
        <f aca="false">AB131+AB132+AB133</f>
        <v>46666.6666666667</v>
      </c>
      <c r="AC134" s="71" t="n">
        <f aca="false">AC131+AC132+AC133</f>
        <v>45333.3333333333</v>
      </c>
      <c r="AD134" s="71" t="n">
        <f aca="false">AD131+AD132+AD133</f>
        <v>44000</v>
      </c>
      <c r="AE134" s="71" t="n">
        <f aca="false">AE131+AE132+AE133</f>
        <v>42666.6666666667</v>
      </c>
      <c r="AF134" s="71" t="n">
        <f aca="false">AF131+AF132+AF133</f>
        <v>41333.3333333333</v>
      </c>
      <c r="AG134" s="71" t="n">
        <f aca="false">AG131+AG132+AG133</f>
        <v>40000</v>
      </c>
      <c r="AH134" s="71" t="n">
        <f aca="false">AH131+AH132+AH133</f>
        <v>38666.6666666667</v>
      </c>
      <c r="AI134" s="71" t="n">
        <f aca="false">AI131+AI132+AI133</f>
        <v>37333.3333333333</v>
      </c>
      <c r="AJ134" s="71" t="n">
        <f aca="false">AJ131+AJ132+AJ133</f>
        <v>36000</v>
      </c>
      <c r="AK134" s="71" t="n">
        <f aca="false">AK131+AK132+AK133</f>
        <v>34666.6666666667</v>
      </c>
      <c r="AL134" s="71" t="n">
        <f aca="false">AL131+AL132+AL133</f>
        <v>33333.3333333333</v>
      </c>
    </row>
    <row r="136" customFormat="false" ht="15.75" hidden="false" customHeight="true" outlineLevel="0" collapsed="false">
      <c r="A136" s="7" t="s">
        <v>268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6" t="s">
        <v>88</v>
      </c>
      <c r="C137" s="65" t="n">
        <f aca="false">C102*Inputs!$C$35/30</f>
        <v>1040</v>
      </c>
      <c r="D137" s="65" t="n">
        <f aca="false">D102*Inputs!$C$35/30</f>
        <v>1213.33333333333</v>
      </c>
      <c r="E137" s="65" t="n">
        <f aca="false">E102*Inputs!$C$35/30</f>
        <v>1386.66666666667</v>
      </c>
      <c r="F137" s="65" t="n">
        <f aca="false">F102*Inputs!$C$35/30</f>
        <v>1560</v>
      </c>
      <c r="G137" s="65" t="n">
        <f aca="false">G102*Inputs!$C$35/30</f>
        <v>1733.33333333333</v>
      </c>
      <c r="H137" s="65" t="n">
        <f aca="false">H102*Inputs!$C$35/30</f>
        <v>1906.66666666667</v>
      </c>
      <c r="I137" s="65" t="n">
        <f aca="false">I102*Inputs!$C$35/30</f>
        <v>2080</v>
      </c>
      <c r="J137" s="65" t="n">
        <f aca="false">J102*Inputs!$C$35/30</f>
        <v>2080</v>
      </c>
      <c r="K137" s="65" t="n">
        <f aca="false">K102*Inputs!$C$35/30</f>
        <v>2080</v>
      </c>
      <c r="L137" s="65" t="n">
        <f aca="false">L102*Inputs!$C$35/30</f>
        <v>2080</v>
      </c>
      <c r="M137" s="65" t="n">
        <f aca="false">M102*Inputs!$C$35/30</f>
        <v>2080</v>
      </c>
      <c r="N137" s="65" t="n">
        <f aca="false">N102*Inputs!$C$35/30</f>
        <v>2080</v>
      </c>
      <c r="O137" s="65" t="n">
        <f aca="false">O102*Inputs!$C$35/30</f>
        <v>2270.944</v>
      </c>
      <c r="P137" s="65" t="n">
        <f aca="false">P102*Inputs!$C$35/30</f>
        <v>2270.944</v>
      </c>
      <c r="Q137" s="65" t="n">
        <f aca="false">Q102*Inputs!$C$35/30</f>
        <v>2270.944</v>
      </c>
      <c r="R137" s="65" t="n">
        <f aca="false">R102*Inputs!$C$35/30</f>
        <v>2270.944</v>
      </c>
      <c r="S137" s="65" t="n">
        <f aca="false">S102*Inputs!$C$35/30</f>
        <v>2270.944</v>
      </c>
      <c r="T137" s="65" t="n">
        <f aca="false">T102*Inputs!$C$35/30</f>
        <v>2270.944</v>
      </c>
      <c r="U137" s="65" t="n">
        <f aca="false">U102*Inputs!$C$35/30</f>
        <v>2270.944</v>
      </c>
      <c r="V137" s="65" t="n">
        <f aca="false">V102*Inputs!$C$35/30</f>
        <v>2270.944</v>
      </c>
      <c r="W137" s="65" t="n">
        <f aca="false">W102*Inputs!$C$35/30</f>
        <v>2270.944</v>
      </c>
      <c r="X137" s="65" t="n">
        <f aca="false">X102*Inputs!$C$35/30</f>
        <v>2270.944</v>
      </c>
      <c r="Y137" s="65" t="n">
        <f aca="false">Y102*Inputs!$C$35/30</f>
        <v>2270.944</v>
      </c>
      <c r="Z137" s="65" t="n">
        <f aca="false">Z102*Inputs!$C$35/30</f>
        <v>2270.944</v>
      </c>
      <c r="AA137" s="65" t="n">
        <f aca="false">AA102*Inputs!$C$35/30</f>
        <v>2479.4166592</v>
      </c>
      <c r="AB137" s="65" t="n">
        <f aca="false">AB102*Inputs!$C$35/30</f>
        <v>2479.4166592</v>
      </c>
      <c r="AC137" s="65" t="n">
        <f aca="false">AC102*Inputs!$C$35/30</f>
        <v>2479.4166592</v>
      </c>
      <c r="AD137" s="65" t="n">
        <f aca="false">AD102*Inputs!$C$35/30</f>
        <v>2479.4166592</v>
      </c>
      <c r="AE137" s="65" t="n">
        <f aca="false">AE102*Inputs!$C$35/30</f>
        <v>2479.4166592</v>
      </c>
      <c r="AF137" s="65" t="n">
        <f aca="false">AF102*Inputs!$C$35/30</f>
        <v>2479.4166592</v>
      </c>
      <c r="AG137" s="65" t="n">
        <f aca="false">AG102*Inputs!$C$35/30</f>
        <v>2479.4166592</v>
      </c>
      <c r="AH137" s="65" t="n">
        <f aca="false">AH102*Inputs!$C$35/30</f>
        <v>2479.4166592</v>
      </c>
      <c r="AI137" s="65" t="n">
        <f aca="false">AI102*Inputs!$C$35/30</f>
        <v>2479.4166592</v>
      </c>
      <c r="AJ137" s="65" t="n">
        <f aca="false">AJ102*Inputs!$C$35/30</f>
        <v>2479.4166592</v>
      </c>
      <c r="AK137" s="65" t="n">
        <f aca="false">AK102*Inputs!$C$35/30</f>
        <v>2479.4166592</v>
      </c>
      <c r="AL137" s="65" t="n">
        <f aca="false">AL102*Inputs!$C$35/30</f>
        <v>2479.4166592</v>
      </c>
    </row>
    <row r="138" customFormat="false" ht="15" hidden="false" customHeight="false" outlineLevel="0" collapsed="false">
      <c r="A138" s="6" t="s">
        <v>89</v>
      </c>
      <c r="C138" s="65" t="n">
        <f aca="false">-C103*Inputs!$C$36/30</f>
        <v>1201.2</v>
      </c>
      <c r="D138" s="65" t="n">
        <f aca="false">-D103*Inputs!$C$36/30</f>
        <v>1401.4</v>
      </c>
      <c r="E138" s="65" t="n">
        <f aca="false">-E103*Inputs!$C$36/30</f>
        <v>1601.6</v>
      </c>
      <c r="F138" s="65" t="n">
        <f aca="false">-F103*Inputs!$C$36/30</f>
        <v>1801.8</v>
      </c>
      <c r="G138" s="65" t="n">
        <f aca="false">-G103*Inputs!$C$36/30</f>
        <v>2002</v>
      </c>
      <c r="H138" s="65" t="n">
        <f aca="false">-H103*Inputs!$C$36/30</f>
        <v>2202.2</v>
      </c>
      <c r="I138" s="65" t="n">
        <f aca="false">-I103*Inputs!$C$36/30</f>
        <v>2402.4</v>
      </c>
      <c r="J138" s="65" t="n">
        <f aca="false">-J103*Inputs!$C$36/30</f>
        <v>2402.4</v>
      </c>
      <c r="K138" s="65" t="n">
        <f aca="false">-K103*Inputs!$C$36/30</f>
        <v>2402.4</v>
      </c>
      <c r="L138" s="65" t="n">
        <f aca="false">-L103*Inputs!$C$36/30</f>
        <v>2402.4</v>
      </c>
      <c r="M138" s="65" t="n">
        <f aca="false">-M103*Inputs!$C$36/30</f>
        <v>2402.4</v>
      </c>
      <c r="N138" s="65" t="n">
        <f aca="false">-N103*Inputs!$C$36/30</f>
        <v>2402.4</v>
      </c>
      <c r="O138" s="65" t="n">
        <f aca="false">-O103*Inputs!$C$36/30</f>
        <v>2622.94032</v>
      </c>
      <c r="P138" s="65" t="n">
        <f aca="false">-P103*Inputs!$C$36/30</f>
        <v>2622.94032</v>
      </c>
      <c r="Q138" s="65" t="n">
        <f aca="false">-Q103*Inputs!$C$36/30</f>
        <v>2622.94032</v>
      </c>
      <c r="R138" s="65" t="n">
        <f aca="false">-R103*Inputs!$C$36/30</f>
        <v>2622.94032</v>
      </c>
      <c r="S138" s="65" t="n">
        <f aca="false">-S103*Inputs!$C$36/30</f>
        <v>2622.94032</v>
      </c>
      <c r="T138" s="65" t="n">
        <f aca="false">-T103*Inputs!$C$36/30</f>
        <v>2622.94032</v>
      </c>
      <c r="U138" s="65" t="n">
        <f aca="false">-U103*Inputs!$C$36/30</f>
        <v>2622.94032</v>
      </c>
      <c r="V138" s="65" t="n">
        <f aca="false">-V103*Inputs!$C$36/30</f>
        <v>2622.94032</v>
      </c>
      <c r="W138" s="65" t="n">
        <f aca="false">-W103*Inputs!$C$36/30</f>
        <v>2622.94032</v>
      </c>
      <c r="X138" s="65" t="n">
        <f aca="false">-X103*Inputs!$C$36/30</f>
        <v>2622.94032</v>
      </c>
      <c r="Y138" s="65" t="n">
        <f aca="false">-Y103*Inputs!$C$36/30</f>
        <v>2622.94032</v>
      </c>
      <c r="Z138" s="65" t="n">
        <f aca="false">-Z103*Inputs!$C$36/30</f>
        <v>2622.94032</v>
      </c>
      <c r="AA138" s="65" t="n">
        <f aca="false">-AA103*Inputs!$C$36/30</f>
        <v>2863.726241376</v>
      </c>
      <c r="AB138" s="65" t="n">
        <f aca="false">-AB103*Inputs!$C$36/30</f>
        <v>2863.726241376</v>
      </c>
      <c r="AC138" s="65" t="n">
        <f aca="false">-AC103*Inputs!$C$36/30</f>
        <v>2863.726241376</v>
      </c>
      <c r="AD138" s="65" t="n">
        <f aca="false">-AD103*Inputs!$C$36/30</f>
        <v>2863.726241376</v>
      </c>
      <c r="AE138" s="65" t="n">
        <f aca="false">-AE103*Inputs!$C$36/30</f>
        <v>2863.726241376</v>
      </c>
      <c r="AF138" s="65" t="n">
        <f aca="false">-AF103*Inputs!$C$36/30</f>
        <v>2863.726241376</v>
      </c>
      <c r="AG138" s="65" t="n">
        <f aca="false">-AG103*Inputs!$C$36/30</f>
        <v>2863.726241376</v>
      </c>
      <c r="AH138" s="65" t="n">
        <f aca="false">-AH103*Inputs!$C$36/30</f>
        <v>2863.726241376</v>
      </c>
      <c r="AI138" s="65" t="n">
        <f aca="false">-AI103*Inputs!$C$36/30</f>
        <v>2863.726241376</v>
      </c>
      <c r="AJ138" s="65" t="n">
        <f aca="false">-AJ103*Inputs!$C$36/30</f>
        <v>2863.726241376</v>
      </c>
      <c r="AK138" s="65" t="n">
        <f aca="false">-AK103*Inputs!$C$36/30</f>
        <v>2863.726241376</v>
      </c>
      <c r="AL138" s="65" t="n">
        <f aca="false">-AL103*Inputs!$C$36/30</f>
        <v>2863.726241376</v>
      </c>
    </row>
    <row r="139" customFormat="false" ht="15" hidden="false" customHeight="false" outlineLevel="0" collapsed="false">
      <c r="A139" s="6" t="s">
        <v>92</v>
      </c>
      <c r="C139" s="65" t="n">
        <f aca="false">-C103*Inputs!$C$37/30</f>
        <v>2402.4</v>
      </c>
      <c r="D139" s="65" t="n">
        <f aca="false">-D103*Inputs!$C$37/30</f>
        <v>2802.8</v>
      </c>
      <c r="E139" s="65" t="n">
        <f aca="false">-E103*Inputs!$C$37/30</f>
        <v>3203.2</v>
      </c>
      <c r="F139" s="65" t="n">
        <f aca="false">-F103*Inputs!$C$37/30</f>
        <v>3603.6</v>
      </c>
      <c r="G139" s="65" t="n">
        <f aca="false">-G103*Inputs!$C$37/30</f>
        <v>4004</v>
      </c>
      <c r="H139" s="65" t="n">
        <f aca="false">-H103*Inputs!$C$37/30</f>
        <v>4404.4</v>
      </c>
      <c r="I139" s="65" t="n">
        <f aca="false">-I103*Inputs!$C$37/30</f>
        <v>4804.8</v>
      </c>
      <c r="J139" s="65" t="n">
        <f aca="false">-J103*Inputs!$C$37/30</f>
        <v>4804.8</v>
      </c>
      <c r="K139" s="65" t="n">
        <f aca="false">-K103*Inputs!$C$37/30</f>
        <v>4804.8</v>
      </c>
      <c r="L139" s="65" t="n">
        <f aca="false">-L103*Inputs!$C$37/30</f>
        <v>4804.8</v>
      </c>
      <c r="M139" s="65" t="n">
        <f aca="false">-M103*Inputs!$C$37/30</f>
        <v>4804.8</v>
      </c>
      <c r="N139" s="65" t="n">
        <f aca="false">-N103*Inputs!$C$37/30</f>
        <v>4804.8</v>
      </c>
      <c r="O139" s="65" t="n">
        <f aca="false">-O103*Inputs!$C$37/30</f>
        <v>5245.88064</v>
      </c>
      <c r="P139" s="65" t="n">
        <f aca="false">-P103*Inputs!$C$37/30</f>
        <v>5245.88064</v>
      </c>
      <c r="Q139" s="65" t="n">
        <f aca="false">-Q103*Inputs!$C$37/30</f>
        <v>5245.88064</v>
      </c>
      <c r="R139" s="65" t="n">
        <f aca="false">-R103*Inputs!$C$37/30</f>
        <v>5245.88064</v>
      </c>
      <c r="S139" s="65" t="n">
        <f aca="false">-S103*Inputs!$C$37/30</f>
        <v>5245.88064</v>
      </c>
      <c r="T139" s="65" t="n">
        <f aca="false">-T103*Inputs!$C$37/30</f>
        <v>5245.88064</v>
      </c>
      <c r="U139" s="65" t="n">
        <f aca="false">-U103*Inputs!$C$37/30</f>
        <v>5245.88064</v>
      </c>
      <c r="V139" s="65" t="n">
        <f aca="false">-V103*Inputs!$C$37/30</f>
        <v>5245.88064</v>
      </c>
      <c r="W139" s="65" t="n">
        <f aca="false">-W103*Inputs!$C$37/30</f>
        <v>5245.88064</v>
      </c>
      <c r="X139" s="65" t="n">
        <f aca="false">-X103*Inputs!$C$37/30</f>
        <v>5245.88064</v>
      </c>
      <c r="Y139" s="65" t="n">
        <f aca="false">-Y103*Inputs!$C$37/30</f>
        <v>5245.88064</v>
      </c>
      <c r="Z139" s="65" t="n">
        <f aca="false">-Z103*Inputs!$C$37/30</f>
        <v>5245.88064</v>
      </c>
      <c r="AA139" s="65" t="n">
        <f aca="false">-AA103*Inputs!$C$37/30</f>
        <v>5727.452482752</v>
      </c>
      <c r="AB139" s="65" t="n">
        <f aca="false">-AB103*Inputs!$C$37/30</f>
        <v>5727.452482752</v>
      </c>
      <c r="AC139" s="65" t="n">
        <f aca="false">-AC103*Inputs!$C$37/30</f>
        <v>5727.452482752</v>
      </c>
      <c r="AD139" s="65" t="n">
        <f aca="false">-AD103*Inputs!$C$37/30</f>
        <v>5727.452482752</v>
      </c>
      <c r="AE139" s="65" t="n">
        <f aca="false">-AE103*Inputs!$C$37/30</f>
        <v>5727.452482752</v>
      </c>
      <c r="AF139" s="65" t="n">
        <f aca="false">-AF103*Inputs!$C$37/30</f>
        <v>5727.452482752</v>
      </c>
      <c r="AG139" s="65" t="n">
        <f aca="false">-AG103*Inputs!$C$37/30</f>
        <v>5727.452482752</v>
      </c>
      <c r="AH139" s="65" t="n">
        <f aca="false">-AH103*Inputs!$C$37/30</f>
        <v>5727.452482752</v>
      </c>
      <c r="AI139" s="65" t="n">
        <f aca="false">-AI103*Inputs!$C$37/30</f>
        <v>5727.452482752</v>
      </c>
      <c r="AJ139" s="65" t="n">
        <f aca="false">-AJ103*Inputs!$C$37/30</f>
        <v>5727.452482752</v>
      </c>
      <c r="AK139" s="65" t="n">
        <f aca="false">-AK103*Inputs!$C$37/30</f>
        <v>5727.452482752</v>
      </c>
      <c r="AL139" s="65" t="n">
        <f aca="false">-AL103*Inputs!$C$37/30</f>
        <v>5727.452482752</v>
      </c>
    </row>
    <row r="140" customFormat="false" ht="15" hidden="false" customHeight="false" outlineLevel="0" collapsed="false">
      <c r="A140" s="6" t="s">
        <v>289</v>
      </c>
      <c r="C140" s="65" t="n">
        <f aca="false">-C137</f>
        <v>-1040</v>
      </c>
      <c r="D140" s="65" t="n">
        <f aca="false">C137-D137</f>
        <v>-173.333333333333</v>
      </c>
      <c r="E140" s="65" t="n">
        <f aca="false">D137-E137</f>
        <v>-173.333333333333</v>
      </c>
      <c r="F140" s="65" t="n">
        <f aca="false">E137-F137</f>
        <v>-173.333333333333</v>
      </c>
      <c r="G140" s="65" t="n">
        <f aca="false">F137-G137</f>
        <v>-173.333333333333</v>
      </c>
      <c r="H140" s="65" t="n">
        <f aca="false">G137-H137</f>
        <v>-173.333333333334</v>
      </c>
      <c r="I140" s="65" t="n">
        <f aca="false">H137-I137</f>
        <v>-173.333333333333</v>
      </c>
      <c r="J140" s="65" t="n">
        <f aca="false">I137-J137</f>
        <v>0</v>
      </c>
      <c r="K140" s="65" t="n">
        <f aca="false">J137-K137</f>
        <v>0</v>
      </c>
      <c r="L140" s="65" t="n">
        <f aca="false">K137-L137</f>
        <v>0</v>
      </c>
      <c r="M140" s="65" t="n">
        <f aca="false">L137-M137</f>
        <v>0</v>
      </c>
      <c r="N140" s="65" t="n">
        <f aca="false">M137-N137</f>
        <v>0</v>
      </c>
      <c r="O140" s="65" t="n">
        <f aca="false">N137-O137</f>
        <v>-190.944</v>
      </c>
      <c r="P140" s="65" t="n">
        <f aca="false">O137-P137</f>
        <v>0</v>
      </c>
      <c r="Q140" s="65" t="n">
        <f aca="false">P137-Q137</f>
        <v>0</v>
      </c>
      <c r="R140" s="65" t="n">
        <f aca="false">Q137-R137</f>
        <v>0</v>
      </c>
      <c r="S140" s="65" t="n">
        <f aca="false">R137-S137</f>
        <v>0</v>
      </c>
      <c r="T140" s="65" t="n">
        <f aca="false">S137-T137</f>
        <v>0</v>
      </c>
      <c r="U140" s="65" t="n">
        <f aca="false">T137-U137</f>
        <v>0</v>
      </c>
      <c r="V140" s="65" t="n">
        <f aca="false">U137-V137</f>
        <v>0</v>
      </c>
      <c r="W140" s="65" t="n">
        <f aca="false">V137-W137</f>
        <v>0</v>
      </c>
      <c r="X140" s="65" t="n">
        <f aca="false">W137-X137</f>
        <v>0</v>
      </c>
      <c r="Y140" s="65" t="n">
        <f aca="false">X137-Y137</f>
        <v>0</v>
      </c>
      <c r="Z140" s="65" t="n">
        <f aca="false">Y137-Z137</f>
        <v>0</v>
      </c>
      <c r="AA140" s="65" t="n">
        <f aca="false">Z137-AA137</f>
        <v>-208.4726592</v>
      </c>
      <c r="AB140" s="65" t="n">
        <f aca="false">AA137-AB137</f>
        <v>0</v>
      </c>
      <c r="AC140" s="65" t="n">
        <f aca="false">AB137-AC137</f>
        <v>0</v>
      </c>
      <c r="AD140" s="65" t="n">
        <f aca="false">AC137-AD137</f>
        <v>0</v>
      </c>
      <c r="AE140" s="65" t="n">
        <f aca="false">AD137-AE137</f>
        <v>0</v>
      </c>
      <c r="AF140" s="65" t="n">
        <f aca="false">AE137-AF137</f>
        <v>0</v>
      </c>
      <c r="AG140" s="65" t="n">
        <f aca="false">AF137-AG137</f>
        <v>0</v>
      </c>
      <c r="AH140" s="65" t="n">
        <f aca="false">AG137-AH137</f>
        <v>0</v>
      </c>
      <c r="AI140" s="65" t="n">
        <f aca="false">AH137-AI137</f>
        <v>0</v>
      </c>
      <c r="AJ140" s="65" t="n">
        <f aca="false">AI137-AJ137</f>
        <v>0</v>
      </c>
      <c r="AK140" s="65" t="n">
        <f aca="false">AJ137-AK137</f>
        <v>0</v>
      </c>
      <c r="AL140" s="65" t="n">
        <f aca="false">AK137-AL137</f>
        <v>0</v>
      </c>
    </row>
    <row r="141" customFormat="false" ht="15" hidden="false" customHeight="false" outlineLevel="0" collapsed="false">
      <c r="A141" s="6" t="s">
        <v>290</v>
      </c>
      <c r="C141" s="65" t="n">
        <f aca="false">-C138</f>
        <v>-1201.2</v>
      </c>
      <c r="D141" s="65" t="n">
        <f aca="false">C138-D138</f>
        <v>-200.200000000001</v>
      </c>
      <c r="E141" s="65" t="n">
        <f aca="false">D138-E138</f>
        <v>-200.199999999999</v>
      </c>
      <c r="F141" s="65" t="n">
        <f aca="false">E138-F138</f>
        <v>-200.2</v>
      </c>
      <c r="G141" s="65" t="n">
        <f aca="false">F138-G138</f>
        <v>-200.2</v>
      </c>
      <c r="H141" s="65" t="n">
        <f aca="false">G138-H138</f>
        <v>-200.2</v>
      </c>
      <c r="I141" s="65" t="n">
        <f aca="false">H138-I138</f>
        <v>-200.2</v>
      </c>
      <c r="J141" s="65" t="n">
        <f aca="false">I138-J138</f>
        <v>0</v>
      </c>
      <c r="K141" s="65" t="n">
        <f aca="false">J138-K138</f>
        <v>0</v>
      </c>
      <c r="L141" s="65" t="n">
        <f aca="false">K138-L138</f>
        <v>0</v>
      </c>
      <c r="M141" s="65" t="n">
        <f aca="false">L138-M138</f>
        <v>0</v>
      </c>
      <c r="N141" s="65" t="n">
        <f aca="false">M138-N138</f>
        <v>0</v>
      </c>
      <c r="O141" s="65" t="n">
        <f aca="false">N138-O138</f>
        <v>-220.540320000001</v>
      </c>
      <c r="P141" s="65" t="n">
        <f aca="false">O138-P138</f>
        <v>0</v>
      </c>
      <c r="Q141" s="65" t="n">
        <f aca="false">P138-Q138</f>
        <v>0</v>
      </c>
      <c r="R141" s="65" t="n">
        <f aca="false">Q138-R138</f>
        <v>0</v>
      </c>
      <c r="S141" s="65" t="n">
        <f aca="false">R138-S138</f>
        <v>0</v>
      </c>
      <c r="T141" s="65" t="n">
        <f aca="false">S138-T138</f>
        <v>0</v>
      </c>
      <c r="U141" s="65" t="n">
        <f aca="false">T138-U138</f>
        <v>0</v>
      </c>
      <c r="V141" s="65" t="n">
        <f aca="false">U138-V138</f>
        <v>0</v>
      </c>
      <c r="W141" s="65" t="n">
        <f aca="false">V138-W138</f>
        <v>0</v>
      </c>
      <c r="X141" s="65" t="n">
        <f aca="false">W138-X138</f>
        <v>0</v>
      </c>
      <c r="Y141" s="65" t="n">
        <f aca="false">X138-Y138</f>
        <v>0</v>
      </c>
      <c r="Z141" s="65" t="n">
        <f aca="false">Y138-Z138</f>
        <v>0</v>
      </c>
      <c r="AA141" s="65" t="n">
        <f aca="false">Z138-AA138</f>
        <v>-240.785921376</v>
      </c>
      <c r="AB141" s="65" t="n">
        <f aca="false">AA138-AB138</f>
        <v>0</v>
      </c>
      <c r="AC141" s="65" t="n">
        <f aca="false">AB138-AC138</f>
        <v>0</v>
      </c>
      <c r="AD141" s="65" t="n">
        <f aca="false">AC138-AD138</f>
        <v>0</v>
      </c>
      <c r="AE141" s="65" t="n">
        <f aca="false">AD138-AE138</f>
        <v>0</v>
      </c>
      <c r="AF141" s="65" t="n">
        <f aca="false">AE138-AF138</f>
        <v>0</v>
      </c>
      <c r="AG141" s="65" t="n">
        <f aca="false">AF138-AG138</f>
        <v>0</v>
      </c>
      <c r="AH141" s="65" t="n">
        <f aca="false">AG138-AH138</f>
        <v>0</v>
      </c>
      <c r="AI141" s="65" t="n">
        <f aca="false">AH138-AI138</f>
        <v>0</v>
      </c>
      <c r="AJ141" s="65" t="n">
        <f aca="false">AI138-AJ138</f>
        <v>0</v>
      </c>
      <c r="AK141" s="65" t="n">
        <f aca="false">AJ138-AK138</f>
        <v>0</v>
      </c>
      <c r="AL141" s="65" t="n">
        <f aca="false">AK138-AL138</f>
        <v>0</v>
      </c>
    </row>
    <row r="142" customFormat="false" ht="15" hidden="false" customHeight="false" outlineLevel="0" collapsed="false">
      <c r="A142" s="6" t="s">
        <v>291</v>
      </c>
      <c r="C142" s="65" t="n">
        <f aca="false">C139</f>
        <v>2402.4</v>
      </c>
      <c r="D142" s="65" t="n">
        <f aca="false">D139-C139</f>
        <v>400.400000000001</v>
      </c>
      <c r="E142" s="65" t="n">
        <f aca="false">E139-D139</f>
        <v>400.399999999998</v>
      </c>
      <c r="F142" s="65" t="n">
        <f aca="false">F139-E139</f>
        <v>400.400000000001</v>
      </c>
      <c r="G142" s="65" t="n">
        <f aca="false">G139-F139</f>
        <v>400.4</v>
      </c>
      <c r="H142" s="65" t="n">
        <f aca="false">H139-G139</f>
        <v>400.400000000001</v>
      </c>
      <c r="I142" s="65" t="n">
        <f aca="false">I139-H139</f>
        <v>400.4</v>
      </c>
      <c r="J142" s="65" t="n">
        <f aca="false">J139-I139</f>
        <v>0</v>
      </c>
      <c r="K142" s="65" t="n">
        <f aca="false">K139-J139</f>
        <v>0</v>
      </c>
      <c r="L142" s="65" t="n">
        <f aca="false">L139-K139</f>
        <v>0</v>
      </c>
      <c r="M142" s="65" t="n">
        <f aca="false">M139-L139</f>
        <v>0</v>
      </c>
      <c r="N142" s="65" t="n">
        <f aca="false">N139-M139</f>
        <v>0</v>
      </c>
      <c r="O142" s="65" t="n">
        <f aca="false">O139-N139</f>
        <v>441.080640000001</v>
      </c>
      <c r="P142" s="65" t="n">
        <f aca="false">P139-O139</f>
        <v>0</v>
      </c>
      <c r="Q142" s="65" t="n">
        <f aca="false">Q139-P139</f>
        <v>0</v>
      </c>
      <c r="R142" s="65" t="n">
        <f aca="false">R139-Q139</f>
        <v>0</v>
      </c>
      <c r="S142" s="65" t="n">
        <f aca="false">S139-R139</f>
        <v>0</v>
      </c>
      <c r="T142" s="65" t="n">
        <f aca="false">T139-S139</f>
        <v>0</v>
      </c>
      <c r="U142" s="65" t="n">
        <f aca="false">U139-T139</f>
        <v>0</v>
      </c>
      <c r="V142" s="65" t="n">
        <f aca="false">V139-U139</f>
        <v>0</v>
      </c>
      <c r="W142" s="65" t="n">
        <f aca="false">W139-V139</f>
        <v>0</v>
      </c>
      <c r="X142" s="65" t="n">
        <f aca="false">X139-W139</f>
        <v>0</v>
      </c>
      <c r="Y142" s="65" t="n">
        <f aca="false">Y139-X139</f>
        <v>0</v>
      </c>
      <c r="Z142" s="65" t="n">
        <f aca="false">Z139-Y139</f>
        <v>0</v>
      </c>
      <c r="AA142" s="65" t="n">
        <f aca="false">AA139-Z139</f>
        <v>481.571842752001</v>
      </c>
      <c r="AB142" s="65" t="n">
        <f aca="false">AB139-AA139</f>
        <v>0</v>
      </c>
      <c r="AC142" s="65" t="n">
        <f aca="false">AC139-AB139</f>
        <v>0</v>
      </c>
      <c r="AD142" s="65" t="n">
        <f aca="false">AD139-AC139</f>
        <v>0</v>
      </c>
      <c r="AE142" s="65" t="n">
        <f aca="false">AE139-AD139</f>
        <v>0</v>
      </c>
      <c r="AF142" s="65" t="n">
        <f aca="false">AF139-AE139</f>
        <v>0</v>
      </c>
      <c r="AG142" s="65" t="n">
        <f aca="false">AG139-AF139</f>
        <v>0</v>
      </c>
      <c r="AH142" s="65" t="n">
        <f aca="false">AH139-AG139</f>
        <v>0</v>
      </c>
      <c r="AI142" s="65" t="n">
        <f aca="false">AI139-AH139</f>
        <v>0</v>
      </c>
      <c r="AJ142" s="65" t="n">
        <f aca="false">AJ139-AI139</f>
        <v>0</v>
      </c>
      <c r="AK142" s="65" t="n">
        <f aca="false">AK139-AJ139</f>
        <v>0</v>
      </c>
      <c r="AL142" s="65" t="n">
        <f aca="false">AL139-AK139</f>
        <v>0</v>
      </c>
    </row>
    <row r="144" customFormat="false" ht="15.75" hidden="false" customHeight="true" outlineLevel="0" collapsed="false">
      <c r="A144" s="7" t="s">
        <v>348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4" t="s">
        <v>52</v>
      </c>
      <c r="C145" s="71" t="n">
        <f aca="false">C121-C126+C140+C141+C142</f>
        <v>-7341.46666666667</v>
      </c>
      <c r="D145" s="71" t="n">
        <f aca="false">D121-D126+D140+D141+D142</f>
        <v>-5807.35555555556</v>
      </c>
      <c r="E145" s="71" t="n">
        <f aca="false">E121-E126+E140+E141+E142</f>
        <v>-4134.46666666667</v>
      </c>
      <c r="F145" s="71" t="n">
        <f aca="false">F121-F126+F140+F141+F142</f>
        <v>-2461.57777777778</v>
      </c>
      <c r="G145" s="71" t="n">
        <f aca="false">G121-G126+G140+G141+G142</f>
        <v>-788.688888888894</v>
      </c>
      <c r="H145" s="71" t="n">
        <f aca="false">H121-H126+H140+H141+H142</f>
        <v>884.199999999997</v>
      </c>
      <c r="I145" s="71" t="n">
        <f aca="false">I121-I126+I140+I141+I142</f>
        <v>2557.08888888889</v>
      </c>
      <c r="J145" s="71" t="n">
        <f aca="false">J121-J126+J140+J141+J142</f>
        <v>2539.11111111111</v>
      </c>
      <c r="K145" s="71" t="n">
        <f aca="false">K121-K126+K140+K141+K142</f>
        <v>2548</v>
      </c>
      <c r="L145" s="71" t="n">
        <f aca="false">L121-L126+L140+L141+L142</f>
        <v>2556.88888888889</v>
      </c>
      <c r="M145" s="71" t="n">
        <f aca="false">M121-M126+M140+M141+M142</f>
        <v>2565.77777777778</v>
      </c>
      <c r="N145" s="71" t="n">
        <f aca="false">N121-N126+N140+N141+N142</f>
        <v>2574.66666666666</v>
      </c>
      <c r="O145" s="71" t="n">
        <f aca="false">O121-O126+O140+O141+O142</f>
        <v>4132.61427555556</v>
      </c>
      <c r="P145" s="71" t="n">
        <f aca="false">P121-P126+P140+P141+P142</f>
        <v>4111.90684444445</v>
      </c>
      <c r="Q145" s="71" t="n">
        <f aca="false">Q121-Q126+Q140+Q141+Q142</f>
        <v>4120.79573333334</v>
      </c>
      <c r="R145" s="71" t="n">
        <f aca="false">R121-R126+R140+R141+R142</f>
        <v>4129.68462222222</v>
      </c>
      <c r="S145" s="71" t="n">
        <f aca="false">S121-S126+S140+S141+S142</f>
        <v>4138.57351111111</v>
      </c>
      <c r="T145" s="71" t="n">
        <f aca="false">T121-T126+T140+T141+T142</f>
        <v>4147.4624</v>
      </c>
      <c r="U145" s="71" t="n">
        <f aca="false">U121-U126+U140+U141+U142</f>
        <v>4156.35128888889</v>
      </c>
      <c r="V145" s="71" t="n">
        <f aca="false">V121-V126+V140+V141+V142</f>
        <v>4165.24017777778</v>
      </c>
      <c r="W145" s="71" t="n">
        <f aca="false">W121-W126+W140+W141+W142</f>
        <v>4174.12906666667</v>
      </c>
      <c r="X145" s="71" t="n">
        <f aca="false">X121-X126+X140+X141+X142</f>
        <v>4183.01795555556</v>
      </c>
      <c r="Y145" s="71" t="n">
        <f aca="false">Y121-Y126+Y140+Y141+Y142</f>
        <v>4191.90684444445</v>
      </c>
      <c r="Z145" s="71" t="n">
        <f aca="false">Z121-Z126+Z140+Z141+Z142</f>
        <v>4200.79573333334</v>
      </c>
      <c r="AA145" s="71" t="n">
        <f aca="false">AA121-AA126+AA140+AA141+AA142</f>
        <v>5193.38585977103</v>
      </c>
      <c r="AB145" s="71" t="n">
        <f aca="false">AB121-AB126+AB140+AB141+AB142</f>
        <v>5058.55340115058</v>
      </c>
      <c r="AC145" s="71" t="n">
        <f aca="false">AC121-AC126+AC140+AC141+AC142</f>
        <v>5065.5756233728</v>
      </c>
      <c r="AD145" s="71" t="n">
        <f aca="false">AD121-AD126+AD140+AD141+AD142</f>
        <v>5072.59784559503</v>
      </c>
      <c r="AE145" s="71" t="n">
        <f aca="false">AE121-AE126+AE140+AE141+AE142</f>
        <v>5079.62006781725</v>
      </c>
      <c r="AF145" s="71" t="n">
        <f aca="false">AF121-AF126+AF140+AF141+AF142</f>
        <v>5086.64229003947</v>
      </c>
      <c r="AG145" s="71" t="n">
        <f aca="false">AG121-AG126+AG140+AG141+AG142</f>
        <v>5093.66451226169</v>
      </c>
      <c r="AH145" s="71" t="n">
        <f aca="false">AH121-AH126+AH140+AH141+AH142</f>
        <v>5100.68673448392</v>
      </c>
      <c r="AI145" s="71" t="n">
        <f aca="false">AI121-AI126+AI140+AI141+AI142</f>
        <v>5107.70895670614</v>
      </c>
      <c r="AJ145" s="71" t="n">
        <f aca="false">AJ121-AJ126+AJ140+AJ141+AJ142</f>
        <v>5114.73117892836</v>
      </c>
      <c r="AK145" s="71" t="n">
        <f aca="false">AK121-AK126+AK140+AK141+AK142</f>
        <v>5121.75340115058</v>
      </c>
      <c r="AL145" s="71" t="n">
        <f aca="false">AL121-AL126+AL140+AL141+AL142</f>
        <v>5128.7756233728</v>
      </c>
    </row>
    <row r="146" customFormat="false" ht="15" hidden="false" customHeight="false" outlineLevel="0" collapsed="false">
      <c r="A146" s="6" t="s">
        <v>349</v>
      </c>
      <c r="C146" s="65" t="n">
        <f aca="false">-C124</f>
        <v>-160000</v>
      </c>
      <c r="D146" s="65" t="n">
        <f aca="false">-D124</f>
        <v>-0</v>
      </c>
      <c r="E146" s="65" t="n">
        <f aca="false">-E124</f>
        <v>-0</v>
      </c>
      <c r="F146" s="65" t="n">
        <f aca="false">-F124</f>
        <v>-0</v>
      </c>
      <c r="G146" s="65" t="n">
        <f aca="false">-G124</f>
        <v>-0</v>
      </c>
      <c r="H146" s="65" t="n">
        <f aca="false">-H124</f>
        <v>-0</v>
      </c>
      <c r="I146" s="65" t="n">
        <f aca="false">-I124</f>
        <v>-0</v>
      </c>
      <c r="J146" s="65" t="n">
        <f aca="false">-J124</f>
        <v>-0</v>
      </c>
      <c r="K146" s="65" t="n">
        <f aca="false">-K124</f>
        <v>-0</v>
      </c>
      <c r="L146" s="65" t="n">
        <f aca="false">-L124</f>
        <v>-0</v>
      </c>
      <c r="M146" s="65" t="n">
        <f aca="false">-M124</f>
        <v>-0</v>
      </c>
      <c r="N146" s="65" t="n">
        <f aca="false">-N124</f>
        <v>-0</v>
      </c>
      <c r="O146" s="65" t="n">
        <f aca="false">-O124</f>
        <v>-0</v>
      </c>
      <c r="P146" s="65" t="n">
        <f aca="false">-P124</f>
        <v>-0</v>
      </c>
      <c r="Q146" s="65" t="n">
        <f aca="false">-Q124</f>
        <v>-0</v>
      </c>
      <c r="R146" s="65" t="n">
        <f aca="false">-R124</f>
        <v>-0</v>
      </c>
      <c r="S146" s="65" t="n">
        <f aca="false">-S124</f>
        <v>-0</v>
      </c>
      <c r="T146" s="65" t="n">
        <f aca="false">-T124</f>
        <v>-0</v>
      </c>
      <c r="U146" s="65" t="n">
        <f aca="false">-U124</f>
        <v>-0</v>
      </c>
      <c r="V146" s="65" t="n">
        <f aca="false">-V124</f>
        <v>-0</v>
      </c>
      <c r="W146" s="65" t="n">
        <f aca="false">-W124</f>
        <v>-0</v>
      </c>
      <c r="X146" s="65" t="n">
        <f aca="false">-X124</f>
        <v>-0</v>
      </c>
      <c r="Y146" s="65" t="n">
        <f aca="false">-Y124</f>
        <v>-0</v>
      </c>
      <c r="Z146" s="65" t="n">
        <f aca="false">-Z124</f>
        <v>-0</v>
      </c>
      <c r="AA146" s="65" t="n">
        <f aca="false">-AA124</f>
        <v>-0</v>
      </c>
      <c r="AB146" s="65" t="n">
        <f aca="false">-AB124</f>
        <v>-0</v>
      </c>
      <c r="AC146" s="65" t="n">
        <f aca="false">-AC124</f>
        <v>-0</v>
      </c>
      <c r="AD146" s="65" t="n">
        <f aca="false">-AD124</f>
        <v>-0</v>
      </c>
      <c r="AE146" s="65" t="n">
        <f aca="false">-AE124</f>
        <v>-0</v>
      </c>
      <c r="AF146" s="65" t="n">
        <f aca="false">-AF124</f>
        <v>-0</v>
      </c>
      <c r="AG146" s="65" t="n">
        <f aca="false">-AG124</f>
        <v>-0</v>
      </c>
      <c r="AH146" s="65" t="n">
        <f aca="false">-AH124</f>
        <v>-0</v>
      </c>
      <c r="AI146" s="65" t="n">
        <f aca="false">-AI124</f>
        <v>-0</v>
      </c>
      <c r="AJ146" s="65" t="n">
        <f aca="false">-AJ124</f>
        <v>-0</v>
      </c>
      <c r="AK146" s="65" t="n">
        <f aca="false">-AK124</f>
        <v>-0</v>
      </c>
      <c r="AL146" s="65" t="n">
        <f aca="false">-AL124</f>
        <v>-0</v>
      </c>
    </row>
    <row r="147" customFormat="false" ht="15" hidden="false" customHeight="false" outlineLevel="0" collapsed="false">
      <c r="A147" s="6" t="s">
        <v>62</v>
      </c>
      <c r="C147" s="65" t="n">
        <f aca="false">IF(C$94=1,Inputs!$C$29,0)</f>
        <v>140000</v>
      </c>
      <c r="D147" s="65" t="n">
        <f aca="false">IF(D$94=1,Inputs!$C$29,0)</f>
        <v>0</v>
      </c>
      <c r="E147" s="65" t="n">
        <f aca="false">IF(E$94=1,Inputs!$C$29,0)</f>
        <v>0</v>
      </c>
      <c r="F147" s="65" t="n">
        <f aca="false">IF(F$94=1,Inputs!$C$29,0)</f>
        <v>0</v>
      </c>
      <c r="G147" s="65" t="n">
        <f aca="false">IF(G$94=1,Inputs!$C$29,0)</f>
        <v>0</v>
      </c>
      <c r="H147" s="65" t="n">
        <f aca="false">IF(H$94=1,Inputs!$C$29,0)</f>
        <v>0</v>
      </c>
      <c r="I147" s="65" t="n">
        <f aca="false">IF(I$94=1,Inputs!$C$29,0)</f>
        <v>0</v>
      </c>
      <c r="J147" s="65" t="n">
        <f aca="false">IF(J$94=1,Inputs!$C$29,0)</f>
        <v>0</v>
      </c>
      <c r="K147" s="65" t="n">
        <f aca="false">IF(K$94=1,Inputs!$C$29,0)</f>
        <v>0</v>
      </c>
      <c r="L147" s="65" t="n">
        <f aca="false">IF(L$94=1,Inputs!$C$29,0)</f>
        <v>0</v>
      </c>
      <c r="M147" s="65" t="n">
        <f aca="false">IF(M$94=1,Inputs!$C$29,0)</f>
        <v>0</v>
      </c>
      <c r="N147" s="65" t="n">
        <f aca="false">IF(N$94=1,Inputs!$C$29,0)</f>
        <v>0</v>
      </c>
      <c r="O147" s="65" t="n">
        <f aca="false">IF(O$94=1,Inputs!$C$29,0)</f>
        <v>0</v>
      </c>
      <c r="P147" s="65" t="n">
        <f aca="false">IF(P$94=1,Inputs!$C$29,0)</f>
        <v>0</v>
      </c>
      <c r="Q147" s="65" t="n">
        <f aca="false">IF(Q$94=1,Inputs!$C$29,0)</f>
        <v>0</v>
      </c>
      <c r="R147" s="65" t="n">
        <f aca="false">IF(R$94=1,Inputs!$C$29,0)</f>
        <v>0</v>
      </c>
      <c r="S147" s="65" t="n">
        <f aca="false">IF(S$94=1,Inputs!$C$29,0)</f>
        <v>0</v>
      </c>
      <c r="T147" s="65" t="n">
        <f aca="false">IF(T$94=1,Inputs!$C$29,0)</f>
        <v>0</v>
      </c>
      <c r="U147" s="65" t="n">
        <f aca="false">IF(U$94=1,Inputs!$C$29,0)</f>
        <v>0</v>
      </c>
      <c r="V147" s="65" t="n">
        <f aca="false">IF(V$94=1,Inputs!$C$29,0)</f>
        <v>0</v>
      </c>
      <c r="W147" s="65" t="n">
        <f aca="false">IF(W$94=1,Inputs!$C$29,0)</f>
        <v>0</v>
      </c>
      <c r="X147" s="65" t="n">
        <f aca="false">IF(X$94=1,Inputs!$C$29,0)</f>
        <v>0</v>
      </c>
      <c r="Y147" s="65" t="n">
        <f aca="false">IF(Y$94=1,Inputs!$C$29,0)</f>
        <v>0</v>
      </c>
      <c r="Z147" s="65" t="n">
        <f aca="false">IF(Z$94=1,Inputs!$C$29,0)</f>
        <v>0</v>
      </c>
      <c r="AA147" s="65" t="n">
        <f aca="false">IF(AA$94=1,Inputs!$C$29,0)</f>
        <v>0</v>
      </c>
      <c r="AB147" s="65" t="n">
        <f aca="false">IF(AB$94=1,Inputs!$C$29,0)</f>
        <v>0</v>
      </c>
      <c r="AC147" s="65" t="n">
        <f aca="false">IF(AC$94=1,Inputs!$C$29,0)</f>
        <v>0</v>
      </c>
      <c r="AD147" s="65" t="n">
        <f aca="false">IF(AD$94=1,Inputs!$C$29,0)</f>
        <v>0</v>
      </c>
      <c r="AE147" s="65" t="n">
        <f aca="false">IF(AE$94=1,Inputs!$C$29,0)</f>
        <v>0</v>
      </c>
      <c r="AF147" s="65" t="n">
        <f aca="false">IF(AF$94=1,Inputs!$C$29,0)</f>
        <v>0</v>
      </c>
      <c r="AG147" s="65" t="n">
        <f aca="false">IF(AG$94=1,Inputs!$C$29,0)</f>
        <v>0</v>
      </c>
      <c r="AH147" s="65" t="n">
        <f aca="false">IF(AH$94=1,Inputs!$C$29,0)</f>
        <v>0</v>
      </c>
      <c r="AI147" s="65" t="n">
        <f aca="false">IF(AI$94=1,Inputs!$C$29,0)</f>
        <v>0</v>
      </c>
      <c r="AJ147" s="65" t="n">
        <f aca="false">IF(AJ$94=1,Inputs!$C$29,0)</f>
        <v>0</v>
      </c>
      <c r="AK147" s="65" t="n">
        <f aca="false">IF(AK$94=1,Inputs!$C$29,0)</f>
        <v>0</v>
      </c>
      <c r="AL147" s="65" t="n">
        <f aca="false">IF(AL$94=1,Inputs!$C$29,0)</f>
        <v>0</v>
      </c>
    </row>
    <row r="148" customFormat="false" ht="15" hidden="false" customHeight="false" outlineLevel="0" collapsed="false">
      <c r="A148" s="6" t="s">
        <v>54</v>
      </c>
      <c r="C148" s="65" t="n">
        <f aca="false">C147+C132+C133</f>
        <v>220000</v>
      </c>
      <c r="D148" s="65" t="n">
        <f aca="false">D147+D132+D133</f>
        <v>-1333.33333333333</v>
      </c>
      <c r="E148" s="65" t="n">
        <f aca="false">E147+E132+E133</f>
        <v>-1333.33333333333</v>
      </c>
      <c r="F148" s="65" t="n">
        <f aca="false">F147+F132+F133</f>
        <v>-1333.33333333333</v>
      </c>
      <c r="G148" s="65" t="n">
        <f aca="false">G147+G132+G133</f>
        <v>-1333.33333333333</v>
      </c>
      <c r="H148" s="65" t="n">
        <f aca="false">H147+H132+H133</f>
        <v>-1333.33333333333</v>
      </c>
      <c r="I148" s="65" t="n">
        <f aca="false">I147+I132+I133</f>
        <v>-1333.33333333333</v>
      </c>
      <c r="J148" s="65" t="n">
        <f aca="false">J147+J132+J133</f>
        <v>-1333.33333333333</v>
      </c>
      <c r="K148" s="65" t="n">
        <f aca="false">K147+K132+K133</f>
        <v>-1333.33333333333</v>
      </c>
      <c r="L148" s="65" t="n">
        <f aca="false">L147+L132+L133</f>
        <v>-1333.33333333333</v>
      </c>
      <c r="M148" s="65" t="n">
        <f aca="false">M147+M132+M133</f>
        <v>-1333.33333333333</v>
      </c>
      <c r="N148" s="65" t="n">
        <f aca="false">N147+N132+N133</f>
        <v>-1333.33333333333</v>
      </c>
      <c r="O148" s="65" t="n">
        <f aca="false">O147+O132+O133</f>
        <v>-1333.33333333333</v>
      </c>
      <c r="P148" s="65" t="n">
        <f aca="false">P147+P132+P133</f>
        <v>-1333.33333333333</v>
      </c>
      <c r="Q148" s="65" t="n">
        <f aca="false">Q147+Q132+Q133</f>
        <v>-1333.33333333333</v>
      </c>
      <c r="R148" s="65" t="n">
        <f aca="false">R147+R132+R133</f>
        <v>-1333.33333333333</v>
      </c>
      <c r="S148" s="65" t="n">
        <f aca="false">S147+S132+S133</f>
        <v>-1333.33333333333</v>
      </c>
      <c r="T148" s="65" t="n">
        <f aca="false">T147+T132+T133</f>
        <v>-1333.33333333333</v>
      </c>
      <c r="U148" s="65" t="n">
        <f aca="false">U147+U132+U133</f>
        <v>-1333.33333333333</v>
      </c>
      <c r="V148" s="65" t="n">
        <f aca="false">V147+V132+V133</f>
        <v>-1333.33333333333</v>
      </c>
      <c r="W148" s="65" t="n">
        <f aca="false">W147+W132+W133</f>
        <v>-1333.33333333333</v>
      </c>
      <c r="X148" s="65" t="n">
        <f aca="false">X147+X132+X133</f>
        <v>-1333.33333333333</v>
      </c>
      <c r="Y148" s="65" t="n">
        <f aca="false">Y147+Y132+Y133</f>
        <v>-1333.33333333333</v>
      </c>
      <c r="Z148" s="65" t="n">
        <f aca="false">Z147+Z132+Z133</f>
        <v>-1333.33333333333</v>
      </c>
      <c r="AA148" s="65" t="n">
        <f aca="false">AA147+AA132+AA133</f>
        <v>-1333.33333333333</v>
      </c>
      <c r="AB148" s="65" t="n">
        <f aca="false">AB147+AB132+AB133</f>
        <v>-1333.33333333333</v>
      </c>
      <c r="AC148" s="65" t="n">
        <f aca="false">AC147+AC132+AC133</f>
        <v>-1333.33333333333</v>
      </c>
      <c r="AD148" s="65" t="n">
        <f aca="false">AD147+AD132+AD133</f>
        <v>-1333.33333333333</v>
      </c>
      <c r="AE148" s="65" t="n">
        <f aca="false">AE147+AE132+AE133</f>
        <v>-1333.33333333333</v>
      </c>
      <c r="AF148" s="65" t="n">
        <f aca="false">AF147+AF132+AF133</f>
        <v>-1333.33333333333</v>
      </c>
      <c r="AG148" s="65" t="n">
        <f aca="false">AG147+AG132+AG133</f>
        <v>-1333.33333333333</v>
      </c>
      <c r="AH148" s="65" t="n">
        <f aca="false">AH147+AH132+AH133</f>
        <v>-1333.33333333333</v>
      </c>
      <c r="AI148" s="65" t="n">
        <f aca="false">AI147+AI132+AI133</f>
        <v>-1333.33333333333</v>
      </c>
      <c r="AJ148" s="65" t="n">
        <f aca="false">AJ147+AJ132+AJ133</f>
        <v>-1333.33333333333</v>
      </c>
      <c r="AK148" s="65" t="n">
        <f aca="false">AK147+AK132+AK133</f>
        <v>-1333.33333333333</v>
      </c>
      <c r="AL148" s="65" t="n">
        <f aca="false">AL147+AL132+AL133</f>
        <v>-1333.33333333333</v>
      </c>
    </row>
    <row r="149" customFormat="false" ht="15" hidden="false" customHeight="false" outlineLevel="0" collapsed="false">
      <c r="A149" s="108" t="s">
        <v>350</v>
      </c>
      <c r="C149" s="66" t="n">
        <f aca="false">C145+C146+C148</f>
        <v>52658.5333333333</v>
      </c>
      <c r="D149" s="66" t="n">
        <f aca="false">D145+D146+D148</f>
        <v>-7140.68888888889</v>
      </c>
      <c r="E149" s="66" t="n">
        <f aca="false">E145+E146+E148</f>
        <v>-5467.80000000001</v>
      </c>
      <c r="F149" s="66" t="n">
        <f aca="false">F145+F146+F148</f>
        <v>-3794.91111111111</v>
      </c>
      <c r="G149" s="66" t="n">
        <f aca="false">G145+G146+G148</f>
        <v>-2122.02222222223</v>
      </c>
      <c r="H149" s="66" t="n">
        <f aca="false">H145+H146+H148</f>
        <v>-449.133333333336</v>
      </c>
      <c r="I149" s="66" t="n">
        <f aca="false">I145+I146+I148</f>
        <v>1223.75555555555</v>
      </c>
      <c r="J149" s="66" t="n">
        <f aca="false">J145+J146+J148</f>
        <v>1205.77777777778</v>
      </c>
      <c r="K149" s="66" t="n">
        <f aca="false">K145+K146+K148</f>
        <v>1214.66666666666</v>
      </c>
      <c r="L149" s="66" t="n">
        <f aca="false">L145+L146+L148</f>
        <v>1223.55555555555</v>
      </c>
      <c r="M149" s="66" t="n">
        <f aca="false">M145+M146+M148</f>
        <v>1232.44444444444</v>
      </c>
      <c r="N149" s="66" t="n">
        <f aca="false">N145+N146+N148</f>
        <v>1241.33333333333</v>
      </c>
      <c r="O149" s="66" t="n">
        <f aca="false">O145+O146+O148</f>
        <v>2799.28094222222</v>
      </c>
      <c r="P149" s="66" t="n">
        <f aca="false">P145+P146+P148</f>
        <v>2778.57351111111</v>
      </c>
      <c r="Q149" s="66" t="n">
        <f aca="false">Q145+Q146+Q148</f>
        <v>2787.4624</v>
      </c>
      <c r="R149" s="66" t="n">
        <f aca="false">R145+R146+R148</f>
        <v>2796.35128888889</v>
      </c>
      <c r="S149" s="66" t="n">
        <f aca="false">S145+S146+S148</f>
        <v>2805.24017777778</v>
      </c>
      <c r="T149" s="66" t="n">
        <f aca="false">T145+T146+T148</f>
        <v>2814.12906666667</v>
      </c>
      <c r="U149" s="66" t="n">
        <f aca="false">U145+U146+U148</f>
        <v>2823.01795555556</v>
      </c>
      <c r="V149" s="66" t="n">
        <f aca="false">V145+V146+V148</f>
        <v>2831.90684444445</v>
      </c>
      <c r="W149" s="66" t="n">
        <f aca="false">W145+W146+W148</f>
        <v>2840.79573333334</v>
      </c>
      <c r="X149" s="66" t="n">
        <f aca="false">X145+X146+X148</f>
        <v>2849.68462222222</v>
      </c>
      <c r="Y149" s="66" t="n">
        <f aca="false">Y145+Y146+Y148</f>
        <v>2858.57351111111</v>
      </c>
      <c r="Z149" s="66" t="n">
        <f aca="false">Z145+Z146+Z148</f>
        <v>2867.4624</v>
      </c>
      <c r="AA149" s="66" t="n">
        <f aca="false">AA145+AA146+AA148</f>
        <v>3860.05252643769</v>
      </c>
      <c r="AB149" s="66" t="n">
        <f aca="false">AB145+AB146+AB148</f>
        <v>3725.22006781725</v>
      </c>
      <c r="AC149" s="66" t="n">
        <f aca="false">AC145+AC146+AC148</f>
        <v>3732.24229003947</v>
      </c>
      <c r="AD149" s="66" t="n">
        <f aca="false">AD145+AD146+AD148</f>
        <v>3739.26451226169</v>
      </c>
      <c r="AE149" s="66" t="n">
        <f aca="false">AE145+AE146+AE148</f>
        <v>3746.28673448392</v>
      </c>
      <c r="AF149" s="66" t="n">
        <f aca="false">AF145+AF146+AF148</f>
        <v>3753.30895670614</v>
      </c>
      <c r="AG149" s="66" t="n">
        <f aca="false">AG145+AG146+AG148</f>
        <v>3760.33117892836</v>
      </c>
      <c r="AH149" s="66" t="n">
        <f aca="false">AH145+AH146+AH148</f>
        <v>3767.35340115058</v>
      </c>
      <c r="AI149" s="66" t="n">
        <f aca="false">AI145+AI146+AI148</f>
        <v>3774.3756233728</v>
      </c>
      <c r="AJ149" s="66" t="n">
        <f aca="false">AJ145+AJ146+AJ148</f>
        <v>3781.39784559503</v>
      </c>
      <c r="AK149" s="66" t="n">
        <f aca="false">AK145+AK146+AK148</f>
        <v>3788.42006781725</v>
      </c>
      <c r="AL149" s="66" t="n">
        <f aca="false">AL145+AL146+AL148</f>
        <v>3795.44229003947</v>
      </c>
    </row>
    <row r="150" customFormat="false" ht="15" hidden="false" customHeight="false" outlineLevel="0" collapsed="false">
      <c r="A150" s="6" t="s">
        <v>292</v>
      </c>
      <c r="C150" s="65" t="n">
        <f aca="false">0</f>
        <v>0</v>
      </c>
      <c r="D150" s="65" t="n">
        <f aca="false">C151</f>
        <v>52658.5333333333</v>
      </c>
      <c r="E150" s="65" t="n">
        <f aca="false">D151</f>
        <v>45517.8444444444</v>
      </c>
      <c r="F150" s="65" t="n">
        <f aca="false">E151</f>
        <v>40050.0444444444</v>
      </c>
      <c r="G150" s="65" t="n">
        <f aca="false">F151</f>
        <v>36255.1333333333</v>
      </c>
      <c r="H150" s="65" t="n">
        <f aca="false">G151</f>
        <v>34133.1111111111</v>
      </c>
      <c r="I150" s="65" t="n">
        <f aca="false">H151</f>
        <v>33683.9777777778</v>
      </c>
      <c r="J150" s="65" t="n">
        <f aca="false">I151</f>
        <v>34907.7333333333</v>
      </c>
      <c r="K150" s="65" t="n">
        <f aca="false">J151</f>
        <v>36113.5111111111</v>
      </c>
      <c r="L150" s="65" t="n">
        <f aca="false">K151</f>
        <v>37328.1777777777</v>
      </c>
      <c r="M150" s="65" t="n">
        <f aca="false">L151</f>
        <v>38551.7333333333</v>
      </c>
      <c r="N150" s="65" t="n">
        <f aca="false">M151</f>
        <v>39784.1777777777</v>
      </c>
      <c r="O150" s="65" t="n">
        <f aca="false">N151</f>
        <v>41025.5111111111</v>
      </c>
      <c r="P150" s="65" t="n">
        <f aca="false">O151</f>
        <v>43824.7920533333</v>
      </c>
      <c r="Q150" s="65" t="n">
        <f aca="false">P151</f>
        <v>46603.3655644444</v>
      </c>
      <c r="R150" s="65" t="n">
        <f aca="false">Q151</f>
        <v>49390.8279644444</v>
      </c>
      <c r="S150" s="65" t="n">
        <f aca="false">R151</f>
        <v>52187.1792533333</v>
      </c>
      <c r="T150" s="65" t="n">
        <f aca="false">S151</f>
        <v>54992.4194311111</v>
      </c>
      <c r="U150" s="65" t="n">
        <f aca="false">T151</f>
        <v>57806.5484977778</v>
      </c>
      <c r="V150" s="65" t="n">
        <f aca="false">U151</f>
        <v>60629.5664533333</v>
      </c>
      <c r="W150" s="65" t="n">
        <f aca="false">V151</f>
        <v>63461.4732977778</v>
      </c>
      <c r="X150" s="65" t="n">
        <f aca="false">W151</f>
        <v>66302.2690311111</v>
      </c>
      <c r="Y150" s="65" t="n">
        <f aca="false">X151</f>
        <v>69151.9536533333</v>
      </c>
      <c r="Z150" s="65" t="n">
        <f aca="false">Y151</f>
        <v>72010.5271644444</v>
      </c>
      <c r="AA150" s="65" t="n">
        <f aca="false">Z151</f>
        <v>74877.9895644444</v>
      </c>
      <c r="AB150" s="65" t="n">
        <f aca="false">AA151</f>
        <v>78738.0420908821</v>
      </c>
      <c r="AC150" s="65" t="n">
        <f aca="false">AB151</f>
        <v>82463.2621586994</v>
      </c>
      <c r="AD150" s="65" t="n">
        <f aca="false">AC151</f>
        <v>86195.5044487389</v>
      </c>
      <c r="AE150" s="65" t="n">
        <f aca="false">AD151</f>
        <v>89934.7689610006</v>
      </c>
      <c r="AF150" s="65" t="n">
        <f aca="false">AE151</f>
        <v>93681.0556954845</v>
      </c>
      <c r="AG150" s="65" t="n">
        <f aca="false">AF151</f>
        <v>97434.3646521906</v>
      </c>
      <c r="AH150" s="65" t="n">
        <f aca="false">AG151</f>
        <v>101194.695831119</v>
      </c>
      <c r="AI150" s="65" t="n">
        <f aca="false">AH151</f>
        <v>104962.04923227</v>
      </c>
      <c r="AJ150" s="65" t="n">
        <f aca="false">AI151</f>
        <v>108736.424855642</v>
      </c>
      <c r="AK150" s="65" t="n">
        <f aca="false">AJ151</f>
        <v>112517.822701237</v>
      </c>
      <c r="AL150" s="65" t="n">
        <f aca="false">AK151</f>
        <v>116306.242769055</v>
      </c>
    </row>
    <row r="151" customFormat="false" ht="15" hidden="false" customHeight="false" outlineLevel="0" collapsed="false">
      <c r="A151" s="108" t="s">
        <v>85</v>
      </c>
      <c r="C151" s="66" t="n">
        <f aca="false">C150+C149</f>
        <v>52658.5333333333</v>
      </c>
      <c r="D151" s="66" t="n">
        <f aca="false">D150+D149</f>
        <v>45517.8444444444</v>
      </c>
      <c r="E151" s="66" t="n">
        <f aca="false">E150+E149</f>
        <v>40050.0444444444</v>
      </c>
      <c r="F151" s="66" t="n">
        <f aca="false">F150+F149</f>
        <v>36255.1333333333</v>
      </c>
      <c r="G151" s="66" t="n">
        <f aca="false">G150+G149</f>
        <v>34133.1111111111</v>
      </c>
      <c r="H151" s="66" t="n">
        <f aca="false">H150+H149</f>
        <v>33683.9777777778</v>
      </c>
      <c r="I151" s="66" t="n">
        <f aca="false">I150+I149</f>
        <v>34907.7333333333</v>
      </c>
      <c r="J151" s="66" t="n">
        <f aca="false">J150+J149</f>
        <v>36113.5111111111</v>
      </c>
      <c r="K151" s="66" t="n">
        <f aca="false">K150+K149</f>
        <v>37328.1777777777</v>
      </c>
      <c r="L151" s="66" t="n">
        <f aca="false">L150+L149</f>
        <v>38551.7333333333</v>
      </c>
      <c r="M151" s="66" t="n">
        <f aca="false">M150+M149</f>
        <v>39784.1777777777</v>
      </c>
      <c r="N151" s="66" t="n">
        <f aca="false">N150+N149</f>
        <v>41025.5111111111</v>
      </c>
      <c r="O151" s="66" t="n">
        <f aca="false">O150+O149</f>
        <v>43824.7920533333</v>
      </c>
      <c r="P151" s="66" t="n">
        <f aca="false">P150+P149</f>
        <v>46603.3655644444</v>
      </c>
      <c r="Q151" s="66" t="n">
        <f aca="false">Q150+Q149</f>
        <v>49390.8279644444</v>
      </c>
      <c r="R151" s="66" t="n">
        <f aca="false">R150+R149</f>
        <v>52187.1792533333</v>
      </c>
      <c r="S151" s="66" t="n">
        <f aca="false">S150+S149</f>
        <v>54992.4194311111</v>
      </c>
      <c r="T151" s="66" t="n">
        <f aca="false">T150+T149</f>
        <v>57806.5484977778</v>
      </c>
      <c r="U151" s="66" t="n">
        <f aca="false">U150+U149</f>
        <v>60629.5664533333</v>
      </c>
      <c r="V151" s="66" t="n">
        <f aca="false">V150+V149</f>
        <v>63461.4732977778</v>
      </c>
      <c r="W151" s="66" t="n">
        <f aca="false">W150+W149</f>
        <v>66302.2690311111</v>
      </c>
      <c r="X151" s="66" t="n">
        <f aca="false">X150+X149</f>
        <v>69151.9536533333</v>
      </c>
      <c r="Y151" s="66" t="n">
        <f aca="false">Y150+Y149</f>
        <v>72010.5271644444</v>
      </c>
      <c r="Z151" s="66" t="n">
        <f aca="false">Z150+Z149</f>
        <v>74877.9895644444</v>
      </c>
      <c r="AA151" s="66" t="n">
        <f aca="false">AA150+AA149</f>
        <v>78738.0420908821</v>
      </c>
      <c r="AB151" s="66" t="n">
        <f aca="false">AB150+AB149</f>
        <v>82463.2621586994</v>
      </c>
      <c r="AC151" s="66" t="n">
        <f aca="false">AC150+AC149</f>
        <v>86195.5044487389</v>
      </c>
      <c r="AD151" s="66" t="n">
        <f aca="false">AD150+AD149</f>
        <v>89934.7689610006</v>
      </c>
      <c r="AE151" s="66" t="n">
        <f aca="false">AE150+AE149</f>
        <v>93681.0556954845</v>
      </c>
      <c r="AF151" s="66" t="n">
        <f aca="false">AF150+AF149</f>
        <v>97434.3646521906</v>
      </c>
      <c r="AG151" s="66" t="n">
        <f aca="false">AG150+AG149</f>
        <v>101194.695831119</v>
      </c>
      <c r="AH151" s="66" t="n">
        <f aca="false">AH150+AH149</f>
        <v>104962.04923227</v>
      </c>
      <c r="AI151" s="66" t="n">
        <f aca="false">AI150+AI149</f>
        <v>108736.424855642</v>
      </c>
      <c r="AJ151" s="66" t="n">
        <f aca="false">AJ150+AJ149</f>
        <v>112517.822701237</v>
      </c>
      <c r="AK151" s="66" t="n">
        <f aca="false">AK150+AK149</f>
        <v>116306.242769055</v>
      </c>
      <c r="AL151" s="66" t="n">
        <f aca="false">AL150+AL149</f>
        <v>120101.685059094</v>
      </c>
    </row>
    <row r="152" customFormat="false" ht="15" hidden="false" customHeight="false" outlineLevel="0" collapsed="false">
      <c r="A152" s="114" t="s">
        <v>351</v>
      </c>
      <c r="C152" s="113" t="n">
        <f aca="false">IF(C112&gt;0,1,0)</f>
        <v>0</v>
      </c>
      <c r="D152" s="113" t="n">
        <f aca="false">IF(D112&gt;0,1,0)</f>
        <v>0</v>
      </c>
      <c r="E152" s="113" t="n">
        <f aca="false">IF(E112&gt;0,1,0)</f>
        <v>0</v>
      </c>
      <c r="F152" s="113" t="n">
        <f aca="false">IF(F112&gt;0,1,0)</f>
        <v>0</v>
      </c>
      <c r="G152" s="113" t="n">
        <f aca="false">IF(G112&gt;0,1,0)</f>
        <v>0</v>
      </c>
      <c r="H152" s="113" t="n">
        <f aca="false">IF(H112&gt;0,1,0)</f>
        <v>1</v>
      </c>
      <c r="I152" s="113" t="n">
        <f aca="false">IF(I112&gt;0,1,0)</f>
        <v>1</v>
      </c>
      <c r="J152" s="113" t="n">
        <f aca="false">IF(J112&gt;0,1,0)</f>
        <v>1</v>
      </c>
      <c r="K152" s="113" t="n">
        <f aca="false">IF(K112&gt;0,1,0)</f>
        <v>1</v>
      </c>
      <c r="L152" s="113" t="n">
        <f aca="false">IF(L112&gt;0,1,0)</f>
        <v>1</v>
      </c>
      <c r="M152" s="113" t="n">
        <f aca="false">IF(M112&gt;0,1,0)</f>
        <v>1</v>
      </c>
      <c r="N152" s="113" t="n">
        <f aca="false">IF(N112&gt;0,1,0)</f>
        <v>1</v>
      </c>
      <c r="O152" s="113" t="n">
        <f aca="false">IF(O112&gt;0,1,0)</f>
        <v>1</v>
      </c>
      <c r="P152" s="113" t="n">
        <f aca="false">IF(P112&gt;0,1,0)</f>
        <v>1</v>
      </c>
      <c r="Q152" s="113" t="n">
        <f aca="false">IF(Q112&gt;0,1,0)</f>
        <v>1</v>
      </c>
      <c r="R152" s="113" t="n">
        <f aca="false">IF(R112&gt;0,1,0)</f>
        <v>1</v>
      </c>
      <c r="S152" s="113" t="n">
        <f aca="false">IF(S112&gt;0,1,0)</f>
        <v>1</v>
      </c>
      <c r="T152" s="113" t="n">
        <f aca="false">IF(T112&gt;0,1,0)</f>
        <v>1</v>
      </c>
      <c r="U152" s="113" t="n">
        <f aca="false">IF(U112&gt;0,1,0)</f>
        <v>1</v>
      </c>
      <c r="V152" s="113" t="n">
        <f aca="false">IF(V112&gt;0,1,0)</f>
        <v>1</v>
      </c>
      <c r="W152" s="113" t="n">
        <f aca="false">IF(W112&gt;0,1,0)</f>
        <v>1</v>
      </c>
      <c r="X152" s="113" t="n">
        <f aca="false">IF(X112&gt;0,1,0)</f>
        <v>1</v>
      </c>
      <c r="Y152" s="113" t="n">
        <f aca="false">IF(Y112&gt;0,1,0)</f>
        <v>1</v>
      </c>
      <c r="Z152" s="113" t="n">
        <f aca="false">IF(Z112&gt;0,1,0)</f>
        <v>1</v>
      </c>
      <c r="AA152" s="113" t="n">
        <f aca="false">IF(AA112&gt;0,1,0)</f>
        <v>1</v>
      </c>
      <c r="AB152" s="113" t="n">
        <f aca="false">IF(AB112&gt;0,1,0)</f>
        <v>1</v>
      </c>
      <c r="AC152" s="113" t="n">
        <f aca="false">IF(AC112&gt;0,1,0)</f>
        <v>1</v>
      </c>
      <c r="AD152" s="113" t="n">
        <f aca="false">IF(AD112&gt;0,1,0)</f>
        <v>1</v>
      </c>
      <c r="AE152" s="113" t="n">
        <f aca="false">IF(AE112&gt;0,1,0)</f>
        <v>1</v>
      </c>
      <c r="AF152" s="113" t="n">
        <f aca="false">IF(AF112&gt;0,1,0)</f>
        <v>1</v>
      </c>
      <c r="AG152" s="113" t="n">
        <f aca="false">IF(AG112&gt;0,1,0)</f>
        <v>1</v>
      </c>
      <c r="AH152" s="113" t="n">
        <f aca="false">IF(AH112&gt;0,1,0)</f>
        <v>1</v>
      </c>
      <c r="AI152" s="113" t="n">
        <f aca="false">IF(AI112&gt;0,1,0)</f>
        <v>1</v>
      </c>
      <c r="AJ152" s="113" t="n">
        <f aca="false">IF(AJ112&gt;0,1,0)</f>
        <v>1</v>
      </c>
      <c r="AK152" s="113" t="n">
        <f aca="false">IF(AK112&gt;0,1,0)</f>
        <v>1</v>
      </c>
      <c r="AL152" s="113" t="n">
        <f aca="false">IF(AL112&gt;0,1,0)</f>
        <v>1</v>
      </c>
    </row>
    <row r="154" customFormat="false" ht="15.75" hidden="false" customHeight="true" outlineLevel="0" collapsed="false">
      <c r="A154" s="7" t="s">
        <v>352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114" t="s">
        <v>353</v>
      </c>
      <c r="C155" s="113" t="n">
        <f aca="false">IF(C121&gt;0,1,0)</f>
        <v>0</v>
      </c>
      <c r="D155" s="113" t="n">
        <f aca="false">IF(D121&gt;0,1,0)</f>
        <v>0</v>
      </c>
      <c r="E155" s="113" t="n">
        <f aca="false">IF(E121&gt;0,1,0)</f>
        <v>0</v>
      </c>
      <c r="F155" s="113" t="n">
        <f aca="false">IF(F121&gt;0,1,0)</f>
        <v>0</v>
      </c>
      <c r="G155" s="113" t="n">
        <f aca="false">IF(G121&gt;0,1,0)</f>
        <v>0</v>
      </c>
      <c r="H155" s="113" t="n">
        <f aca="false">IF(H121&gt;0,1,0)</f>
        <v>0</v>
      </c>
      <c r="I155" s="113" t="n">
        <f aca="false">IF(I121&gt;0,1,0)</f>
        <v>1</v>
      </c>
      <c r="J155" s="113" t="n">
        <f aca="false">IF(J121&gt;0,1,0)</f>
        <v>1</v>
      </c>
      <c r="K155" s="113" t="n">
        <f aca="false">IF(K121&gt;0,1,0)</f>
        <v>1</v>
      </c>
      <c r="L155" s="113" t="n">
        <f aca="false">IF(L121&gt;0,1,0)</f>
        <v>1</v>
      </c>
      <c r="M155" s="113" t="n">
        <f aca="false">IF(M121&gt;0,1,0)</f>
        <v>1</v>
      </c>
      <c r="N155" s="113" t="n">
        <f aca="false">IF(N121&gt;0,1,0)</f>
        <v>1</v>
      </c>
      <c r="O155" s="113" t="n">
        <f aca="false">IF(O121&gt;0,1,0)</f>
        <v>1</v>
      </c>
      <c r="P155" s="113" t="n">
        <f aca="false">IF(P121&gt;0,1,0)</f>
        <v>1</v>
      </c>
      <c r="Q155" s="113" t="n">
        <f aca="false">IF(Q121&gt;0,1,0)</f>
        <v>1</v>
      </c>
      <c r="R155" s="113" t="n">
        <f aca="false">IF(R121&gt;0,1,0)</f>
        <v>1</v>
      </c>
      <c r="S155" s="113" t="n">
        <f aca="false">IF(S121&gt;0,1,0)</f>
        <v>1</v>
      </c>
      <c r="T155" s="113" t="n">
        <f aca="false">IF(T121&gt;0,1,0)</f>
        <v>1</v>
      </c>
      <c r="U155" s="113" t="n">
        <f aca="false">IF(U121&gt;0,1,0)</f>
        <v>1</v>
      </c>
      <c r="V155" s="113" t="n">
        <f aca="false">IF(V121&gt;0,1,0)</f>
        <v>1</v>
      </c>
      <c r="W155" s="113" t="n">
        <f aca="false">IF(W121&gt;0,1,0)</f>
        <v>1</v>
      </c>
      <c r="X155" s="113" t="n">
        <f aca="false">IF(X121&gt;0,1,0)</f>
        <v>1</v>
      </c>
      <c r="Y155" s="113" t="n">
        <f aca="false">IF(Y121&gt;0,1,0)</f>
        <v>1</v>
      </c>
      <c r="Z155" s="113" t="n">
        <f aca="false">IF(Z121&gt;0,1,0)</f>
        <v>1</v>
      </c>
      <c r="AA155" s="113" t="n">
        <f aca="false">IF(AA121&gt;0,1,0)</f>
        <v>1</v>
      </c>
      <c r="AB155" s="113" t="n">
        <f aca="false">IF(AB121&gt;0,1,0)</f>
        <v>1</v>
      </c>
      <c r="AC155" s="113" t="n">
        <f aca="false">IF(AC121&gt;0,1,0)</f>
        <v>1</v>
      </c>
      <c r="AD155" s="113" t="n">
        <f aca="false">IF(AD121&gt;0,1,0)</f>
        <v>1</v>
      </c>
      <c r="AE155" s="113" t="n">
        <f aca="false">IF(AE121&gt;0,1,0)</f>
        <v>1</v>
      </c>
      <c r="AF155" s="113" t="n">
        <f aca="false">IF(AF121&gt;0,1,0)</f>
        <v>1</v>
      </c>
      <c r="AG155" s="113" t="n">
        <f aca="false">IF(AG121&gt;0,1,0)</f>
        <v>1</v>
      </c>
      <c r="AH155" s="113" t="n">
        <f aca="false">IF(AH121&gt;0,1,0)</f>
        <v>1</v>
      </c>
      <c r="AI155" s="113" t="n">
        <f aca="false">IF(AI121&gt;0,1,0)</f>
        <v>1</v>
      </c>
      <c r="AJ155" s="113" t="n">
        <f aca="false">IF(AJ121&gt;0,1,0)</f>
        <v>1</v>
      </c>
      <c r="AK155" s="113" t="n">
        <f aca="false">IF(AK121&gt;0,1,0)</f>
        <v>1</v>
      </c>
      <c r="AL155" s="113" t="n">
        <f aca="false">IF(AL121&gt;0,1,0)</f>
        <v>1</v>
      </c>
    </row>
    <row r="156" customFormat="false" ht="15" hidden="false" customHeight="false" outlineLevel="0" collapsed="false">
      <c r="A156" s="6" t="s">
        <v>354</v>
      </c>
      <c r="C156" s="65" t="n">
        <f aca="false">C145+C146</f>
        <v>-167341.466666667</v>
      </c>
      <c r="D156" s="65" t="n">
        <f aca="false">D145+D146</f>
        <v>-5807.35555555556</v>
      </c>
      <c r="E156" s="65" t="n">
        <f aca="false">E145+E146</f>
        <v>-4134.46666666667</v>
      </c>
      <c r="F156" s="65" t="n">
        <f aca="false">F145+F146</f>
        <v>-2461.57777777778</v>
      </c>
      <c r="G156" s="65" t="n">
        <f aca="false">G145+G146</f>
        <v>-788.688888888894</v>
      </c>
      <c r="H156" s="65" t="n">
        <f aca="false">H145+H146</f>
        <v>884.199999999997</v>
      </c>
      <c r="I156" s="65" t="n">
        <f aca="false">I145+I146</f>
        <v>2557.08888888889</v>
      </c>
      <c r="J156" s="65" t="n">
        <f aca="false">J145+J146</f>
        <v>2539.11111111111</v>
      </c>
      <c r="K156" s="65" t="n">
        <f aca="false">K145+K146</f>
        <v>2548</v>
      </c>
      <c r="L156" s="65" t="n">
        <f aca="false">L145+L146</f>
        <v>2556.88888888889</v>
      </c>
      <c r="M156" s="65" t="n">
        <f aca="false">M145+M146</f>
        <v>2565.77777777778</v>
      </c>
      <c r="N156" s="65" t="n">
        <f aca="false">N145+N146</f>
        <v>2574.66666666666</v>
      </c>
      <c r="O156" s="65" t="n">
        <f aca="false">O145+O146</f>
        <v>4132.61427555556</v>
      </c>
      <c r="P156" s="65" t="n">
        <f aca="false">P145+P146</f>
        <v>4111.90684444445</v>
      </c>
      <c r="Q156" s="65" t="n">
        <f aca="false">Q145+Q146</f>
        <v>4120.79573333334</v>
      </c>
      <c r="R156" s="65" t="n">
        <f aca="false">R145+R146</f>
        <v>4129.68462222222</v>
      </c>
      <c r="S156" s="65" t="n">
        <f aca="false">S145+S146</f>
        <v>4138.57351111111</v>
      </c>
      <c r="T156" s="65" t="n">
        <f aca="false">T145+T146</f>
        <v>4147.4624</v>
      </c>
      <c r="U156" s="65" t="n">
        <f aca="false">U145+U146</f>
        <v>4156.35128888889</v>
      </c>
      <c r="V156" s="65" t="n">
        <f aca="false">V145+V146</f>
        <v>4165.24017777778</v>
      </c>
      <c r="W156" s="65" t="n">
        <f aca="false">W145+W146</f>
        <v>4174.12906666667</v>
      </c>
      <c r="X156" s="65" t="n">
        <f aca="false">X145+X146</f>
        <v>4183.01795555556</v>
      </c>
      <c r="Y156" s="65" t="n">
        <f aca="false">Y145+Y146</f>
        <v>4191.90684444445</v>
      </c>
      <c r="Z156" s="65" t="n">
        <f aca="false">Z145+Z146</f>
        <v>4200.79573333334</v>
      </c>
      <c r="AA156" s="65" t="n">
        <f aca="false">AA145+AA146</f>
        <v>5193.38585977103</v>
      </c>
      <c r="AB156" s="65" t="n">
        <f aca="false">AB145+AB146</f>
        <v>5058.55340115058</v>
      </c>
      <c r="AC156" s="65" t="n">
        <f aca="false">AC145+AC146</f>
        <v>5065.5756233728</v>
      </c>
      <c r="AD156" s="65" t="n">
        <f aca="false">AD145+AD146</f>
        <v>5072.59784559503</v>
      </c>
      <c r="AE156" s="65" t="n">
        <f aca="false">AE145+AE146</f>
        <v>5079.62006781725</v>
      </c>
      <c r="AF156" s="65" t="n">
        <f aca="false">AF145+AF146</f>
        <v>5086.64229003947</v>
      </c>
      <c r="AG156" s="65" t="n">
        <f aca="false">AG145+AG146</f>
        <v>5093.66451226169</v>
      </c>
      <c r="AH156" s="65" t="n">
        <f aca="false">AH145+AH146</f>
        <v>5100.68673448392</v>
      </c>
      <c r="AI156" s="65" t="n">
        <f aca="false">AI145+AI146</f>
        <v>5107.70895670614</v>
      </c>
      <c r="AJ156" s="65" t="n">
        <f aca="false">AJ145+AJ146</f>
        <v>5114.73117892836</v>
      </c>
      <c r="AK156" s="65" t="n">
        <f aca="false">AK145+AK146</f>
        <v>5121.75340115058</v>
      </c>
      <c r="AL156" s="65" t="n">
        <f aca="false">AL145+AL146</f>
        <v>5128.7756233728</v>
      </c>
    </row>
    <row r="157" customFormat="false" ht="15" hidden="false" customHeight="false" outlineLevel="0" collapsed="false">
      <c r="A157" s="6" t="s">
        <v>355</v>
      </c>
      <c r="C157" s="65" t="n">
        <f aca="false">C156</f>
        <v>-167341.466666667</v>
      </c>
      <c r="D157" s="65" t="n">
        <f aca="false">C157+D156</f>
        <v>-173148.822222222</v>
      </c>
      <c r="E157" s="65" t="n">
        <f aca="false">D157+E156</f>
        <v>-177283.288888889</v>
      </c>
      <c r="F157" s="65" t="n">
        <f aca="false">E157+F156</f>
        <v>-179744.866666667</v>
      </c>
      <c r="G157" s="65" t="n">
        <f aca="false">F157+G156</f>
        <v>-180533.555555556</v>
      </c>
      <c r="H157" s="65" t="n">
        <f aca="false">G157+H156</f>
        <v>-179649.355555556</v>
      </c>
      <c r="I157" s="65" t="n">
        <f aca="false">H157+I156</f>
        <v>-177092.266666667</v>
      </c>
      <c r="J157" s="65" t="n">
        <f aca="false">I157+J156</f>
        <v>-174553.155555556</v>
      </c>
      <c r="K157" s="65" t="n">
        <f aca="false">J157+K156</f>
        <v>-172005.155555556</v>
      </c>
      <c r="L157" s="65" t="n">
        <f aca="false">K157+L156</f>
        <v>-169448.266666667</v>
      </c>
      <c r="M157" s="65" t="n">
        <f aca="false">L157+M156</f>
        <v>-166882.488888889</v>
      </c>
      <c r="N157" s="65" t="n">
        <f aca="false">M157+N156</f>
        <v>-164307.822222222</v>
      </c>
      <c r="O157" s="65" t="n">
        <f aca="false">N157+O156</f>
        <v>-160175.207946667</v>
      </c>
      <c r="P157" s="65" t="n">
        <f aca="false">O157+P156</f>
        <v>-156063.301102222</v>
      </c>
      <c r="Q157" s="65" t="n">
        <f aca="false">P157+Q156</f>
        <v>-151942.505368889</v>
      </c>
      <c r="R157" s="65" t="n">
        <f aca="false">Q157+R156</f>
        <v>-147812.820746667</v>
      </c>
      <c r="S157" s="65" t="n">
        <f aca="false">R157+S156</f>
        <v>-143674.247235556</v>
      </c>
      <c r="T157" s="65" t="n">
        <f aca="false">S157+T156</f>
        <v>-139526.784835556</v>
      </c>
      <c r="U157" s="65" t="n">
        <f aca="false">T157+U156</f>
        <v>-135370.433546667</v>
      </c>
      <c r="V157" s="65" t="n">
        <f aca="false">U157+V156</f>
        <v>-131205.193368889</v>
      </c>
      <c r="W157" s="65" t="n">
        <f aca="false">V157+W156</f>
        <v>-127031.064302222</v>
      </c>
      <c r="X157" s="65" t="n">
        <f aca="false">W157+X156</f>
        <v>-122848.046346667</v>
      </c>
      <c r="Y157" s="65" t="n">
        <f aca="false">X157+Y156</f>
        <v>-118656.139502222</v>
      </c>
      <c r="Z157" s="65" t="n">
        <f aca="false">Y157+Z156</f>
        <v>-114455.343768889</v>
      </c>
      <c r="AA157" s="65" t="n">
        <f aca="false">Z157+AA156</f>
        <v>-109261.957909118</v>
      </c>
      <c r="AB157" s="65" t="n">
        <f aca="false">AA157+AB156</f>
        <v>-104203.404507967</v>
      </c>
      <c r="AC157" s="65" t="n">
        <f aca="false">AB157+AC156</f>
        <v>-99137.8288845945</v>
      </c>
      <c r="AD157" s="65" t="n">
        <f aca="false">AC157+AD156</f>
        <v>-94065.2310389995</v>
      </c>
      <c r="AE157" s="65" t="n">
        <f aca="false">AD157+AE156</f>
        <v>-88985.6109711822</v>
      </c>
      <c r="AF157" s="65" t="n">
        <f aca="false">AE157+AF156</f>
        <v>-83898.9686811427</v>
      </c>
      <c r="AG157" s="65" t="n">
        <f aca="false">AF157+AG156</f>
        <v>-78805.3041688811</v>
      </c>
      <c r="AH157" s="65" t="n">
        <f aca="false">AG157+AH156</f>
        <v>-73704.6174343971</v>
      </c>
      <c r="AI157" s="65" t="n">
        <f aca="false">AH157+AI156</f>
        <v>-68596.908477691</v>
      </c>
      <c r="AJ157" s="65" t="n">
        <f aca="false">AI157+AJ156</f>
        <v>-63482.1772987627</v>
      </c>
      <c r="AK157" s="65" t="n">
        <f aca="false">AJ157+AK156</f>
        <v>-58360.4238976121</v>
      </c>
      <c r="AL157" s="65" t="n">
        <f aca="false">AK157+AL156</f>
        <v>-53231.6482742393</v>
      </c>
    </row>
    <row r="158" customFormat="false" ht="15" hidden="false" customHeight="false" outlineLevel="0" collapsed="false">
      <c r="A158" s="114" t="s">
        <v>356</v>
      </c>
      <c r="C158" s="65" t="n">
        <f aca="false">C157</f>
        <v>-167341.466666667</v>
      </c>
      <c r="D158" s="65" t="n">
        <f aca="false">MIN(C158,D157)</f>
        <v>-173148.822222222</v>
      </c>
      <c r="E158" s="65" t="n">
        <f aca="false">MIN(D158,E157)</f>
        <v>-177283.288888889</v>
      </c>
      <c r="F158" s="65" t="n">
        <f aca="false">MIN(E158,F157)</f>
        <v>-179744.866666667</v>
      </c>
      <c r="G158" s="65" t="n">
        <f aca="false">MIN(F158,G157)</f>
        <v>-180533.555555556</v>
      </c>
      <c r="H158" s="65" t="n">
        <f aca="false">MIN(G158,H157)</f>
        <v>-180533.555555556</v>
      </c>
      <c r="I158" s="65" t="n">
        <f aca="false">MIN(H158,I157)</f>
        <v>-180533.555555556</v>
      </c>
      <c r="J158" s="65" t="n">
        <f aca="false">MIN(I158,J157)</f>
        <v>-180533.555555556</v>
      </c>
      <c r="K158" s="65" t="n">
        <f aca="false">MIN(J158,K157)</f>
        <v>-180533.555555556</v>
      </c>
      <c r="L158" s="65" t="n">
        <f aca="false">MIN(K158,L157)</f>
        <v>-180533.555555556</v>
      </c>
      <c r="M158" s="65" t="n">
        <f aca="false">MIN(L158,M157)</f>
        <v>-180533.555555556</v>
      </c>
      <c r="N158" s="65" t="n">
        <f aca="false">MIN(M158,N157)</f>
        <v>-180533.555555556</v>
      </c>
      <c r="O158" s="65" t="n">
        <f aca="false">MIN(N158,O157)</f>
        <v>-180533.555555556</v>
      </c>
      <c r="P158" s="65" t="n">
        <f aca="false">MIN(O158,P157)</f>
        <v>-180533.555555556</v>
      </c>
      <c r="Q158" s="65" t="n">
        <f aca="false">MIN(P158,Q157)</f>
        <v>-180533.555555556</v>
      </c>
      <c r="R158" s="65" t="n">
        <f aca="false">MIN(Q158,R157)</f>
        <v>-180533.555555556</v>
      </c>
      <c r="S158" s="65" t="n">
        <f aca="false">MIN(R158,S157)</f>
        <v>-180533.555555556</v>
      </c>
      <c r="T158" s="65" t="n">
        <f aca="false">MIN(S158,T157)</f>
        <v>-180533.555555556</v>
      </c>
      <c r="U158" s="65" t="n">
        <f aca="false">MIN(T158,U157)</f>
        <v>-180533.555555556</v>
      </c>
      <c r="V158" s="65" t="n">
        <f aca="false">MIN(U158,V157)</f>
        <v>-180533.555555556</v>
      </c>
      <c r="W158" s="65" t="n">
        <f aca="false">MIN(V158,W157)</f>
        <v>-180533.555555556</v>
      </c>
      <c r="X158" s="65" t="n">
        <f aca="false">MIN(W158,X157)</f>
        <v>-180533.555555556</v>
      </c>
      <c r="Y158" s="65" t="n">
        <f aca="false">MIN(X158,Y157)</f>
        <v>-180533.555555556</v>
      </c>
      <c r="Z158" s="65" t="n">
        <f aca="false">MIN(Y158,Z157)</f>
        <v>-180533.555555556</v>
      </c>
      <c r="AA158" s="65" t="n">
        <f aca="false">MIN(Z158,AA157)</f>
        <v>-180533.555555556</v>
      </c>
      <c r="AB158" s="65" t="n">
        <f aca="false">MIN(AA158,AB157)</f>
        <v>-180533.555555556</v>
      </c>
      <c r="AC158" s="65" t="n">
        <f aca="false">MIN(AB158,AC157)</f>
        <v>-180533.555555556</v>
      </c>
      <c r="AD158" s="65" t="n">
        <f aca="false">MIN(AC158,AD157)</f>
        <v>-180533.555555556</v>
      </c>
      <c r="AE158" s="65" t="n">
        <f aca="false">MIN(AD158,AE157)</f>
        <v>-180533.555555556</v>
      </c>
      <c r="AF158" s="65" t="n">
        <f aca="false">MIN(AE158,AF157)</f>
        <v>-180533.555555556</v>
      </c>
      <c r="AG158" s="65" t="n">
        <f aca="false">MIN(AF158,AG157)</f>
        <v>-180533.555555556</v>
      </c>
      <c r="AH158" s="65" t="n">
        <f aca="false">MIN(AG158,AH157)</f>
        <v>-180533.555555556</v>
      </c>
      <c r="AI158" s="65" t="n">
        <f aca="false">MIN(AH158,AI157)</f>
        <v>-180533.555555556</v>
      </c>
      <c r="AJ158" s="65" t="n">
        <f aca="false">MIN(AI158,AJ157)</f>
        <v>-180533.555555556</v>
      </c>
      <c r="AK158" s="65" t="n">
        <f aca="false">MIN(AJ158,AK157)</f>
        <v>-180533.555555556</v>
      </c>
      <c r="AL158" s="65" t="n">
        <f aca="false">MIN(AK158,AL157)</f>
        <v>-180533.555555556</v>
      </c>
    </row>
    <row r="159" customFormat="false" ht="15" hidden="false" customHeight="false" outlineLevel="0" collapsed="false">
      <c r="A159" s="114" t="s">
        <v>357</v>
      </c>
      <c r="C159" s="113" t="n">
        <f aca="false">IF(AND(C157&gt;=0,C158&lt;0),1,0)</f>
        <v>0</v>
      </c>
      <c r="D159" s="113" t="n">
        <f aca="false">IF(AND(D157&gt;=0,D158&lt;0),1,0)</f>
        <v>0</v>
      </c>
      <c r="E159" s="113" t="n">
        <f aca="false">IF(AND(E157&gt;=0,E158&lt;0),1,0)</f>
        <v>0</v>
      </c>
      <c r="F159" s="113" t="n">
        <f aca="false">IF(AND(F157&gt;=0,F158&lt;0),1,0)</f>
        <v>0</v>
      </c>
      <c r="G159" s="113" t="n">
        <f aca="false">IF(AND(G157&gt;=0,G158&lt;0),1,0)</f>
        <v>0</v>
      </c>
      <c r="H159" s="113" t="n">
        <f aca="false">IF(AND(H157&gt;=0,H158&lt;0),1,0)</f>
        <v>0</v>
      </c>
      <c r="I159" s="113" t="n">
        <f aca="false">IF(AND(I157&gt;=0,I158&lt;0),1,0)</f>
        <v>0</v>
      </c>
      <c r="J159" s="113" t="n">
        <f aca="false">IF(AND(J157&gt;=0,J158&lt;0),1,0)</f>
        <v>0</v>
      </c>
      <c r="K159" s="113" t="n">
        <f aca="false">IF(AND(K157&gt;=0,K158&lt;0),1,0)</f>
        <v>0</v>
      </c>
      <c r="L159" s="113" t="n">
        <f aca="false">IF(AND(L157&gt;=0,L158&lt;0),1,0)</f>
        <v>0</v>
      </c>
      <c r="M159" s="113" t="n">
        <f aca="false">IF(AND(M157&gt;=0,M158&lt;0),1,0)</f>
        <v>0</v>
      </c>
      <c r="N159" s="113" t="n">
        <f aca="false">IF(AND(N157&gt;=0,N158&lt;0),1,0)</f>
        <v>0</v>
      </c>
      <c r="O159" s="113" t="n">
        <f aca="false">IF(AND(O157&gt;=0,O158&lt;0),1,0)</f>
        <v>0</v>
      </c>
      <c r="P159" s="113" t="n">
        <f aca="false">IF(AND(P157&gt;=0,P158&lt;0),1,0)</f>
        <v>0</v>
      </c>
      <c r="Q159" s="113" t="n">
        <f aca="false">IF(AND(Q157&gt;=0,Q158&lt;0),1,0)</f>
        <v>0</v>
      </c>
      <c r="R159" s="113" t="n">
        <f aca="false">IF(AND(R157&gt;=0,R158&lt;0),1,0)</f>
        <v>0</v>
      </c>
      <c r="S159" s="113" t="n">
        <f aca="false">IF(AND(S157&gt;=0,S158&lt;0),1,0)</f>
        <v>0</v>
      </c>
      <c r="T159" s="113" t="n">
        <f aca="false">IF(AND(T157&gt;=0,T158&lt;0),1,0)</f>
        <v>0</v>
      </c>
      <c r="U159" s="113" t="n">
        <f aca="false">IF(AND(U157&gt;=0,U158&lt;0),1,0)</f>
        <v>0</v>
      </c>
      <c r="V159" s="113" t="n">
        <f aca="false">IF(AND(V157&gt;=0,V158&lt;0),1,0)</f>
        <v>0</v>
      </c>
      <c r="W159" s="113" t="n">
        <f aca="false">IF(AND(W157&gt;=0,W158&lt;0),1,0)</f>
        <v>0</v>
      </c>
      <c r="X159" s="113" t="n">
        <f aca="false">IF(AND(X157&gt;=0,X158&lt;0),1,0)</f>
        <v>0</v>
      </c>
      <c r="Y159" s="113" t="n">
        <f aca="false">IF(AND(Y157&gt;=0,Y158&lt;0),1,0)</f>
        <v>0</v>
      </c>
      <c r="Z159" s="113" t="n">
        <f aca="false">IF(AND(Z157&gt;=0,Z158&lt;0),1,0)</f>
        <v>0</v>
      </c>
      <c r="AA159" s="113" t="n">
        <f aca="false">IF(AND(AA157&gt;=0,AA158&lt;0),1,0)</f>
        <v>0</v>
      </c>
      <c r="AB159" s="113" t="n">
        <f aca="false">IF(AND(AB157&gt;=0,AB158&lt;0),1,0)</f>
        <v>0</v>
      </c>
      <c r="AC159" s="113" t="n">
        <f aca="false">IF(AND(AC157&gt;=0,AC158&lt;0),1,0)</f>
        <v>0</v>
      </c>
      <c r="AD159" s="113" t="n">
        <f aca="false">IF(AND(AD157&gt;=0,AD158&lt;0),1,0)</f>
        <v>0</v>
      </c>
      <c r="AE159" s="113" t="n">
        <f aca="false">IF(AND(AE157&gt;=0,AE158&lt;0),1,0)</f>
        <v>0</v>
      </c>
      <c r="AF159" s="113" t="n">
        <f aca="false">IF(AND(AF157&gt;=0,AF158&lt;0),1,0)</f>
        <v>0</v>
      </c>
      <c r="AG159" s="113" t="n">
        <f aca="false">IF(AND(AG157&gt;=0,AG158&lt;0),1,0)</f>
        <v>0</v>
      </c>
      <c r="AH159" s="113" t="n">
        <f aca="false">IF(AND(AH157&gt;=0,AH158&lt;0),1,0)</f>
        <v>0</v>
      </c>
      <c r="AI159" s="113" t="n">
        <f aca="false">IF(AND(AI157&gt;=0,AI158&lt;0),1,0)</f>
        <v>0</v>
      </c>
      <c r="AJ159" s="113" t="n">
        <f aca="false">IF(AND(AJ157&gt;=0,AJ158&lt;0),1,0)</f>
        <v>0</v>
      </c>
      <c r="AK159" s="113" t="n">
        <f aca="false">IF(AND(AK157&gt;=0,AK158&lt;0),1,0)</f>
        <v>0</v>
      </c>
      <c r="AL159" s="113" t="n">
        <f aca="false">IF(AND(AL157&gt;=0,AL158&lt;0),1,0)</f>
        <v>0</v>
      </c>
    </row>
    <row r="160" customFormat="false" ht="15" hidden="false" customHeight="false" outlineLevel="0" collapsed="false">
      <c r="A160" s="6" t="s">
        <v>358</v>
      </c>
      <c r="C160" s="65" t="n">
        <f aca="false">C145-C116*(1-Inputs!$C$41)+C146</f>
        <v>-166920.133333333</v>
      </c>
      <c r="D160" s="65" t="n">
        <f aca="false">D145-D116*(1-Inputs!$C$41)+D146</f>
        <v>-5389.53333333333</v>
      </c>
      <c r="E160" s="65" t="n">
        <f aca="false">E145-E116*(1-Inputs!$C$41)+E146</f>
        <v>-3723.66666666667</v>
      </c>
      <c r="F160" s="65" t="n">
        <f aca="false">F145-F116*(1-Inputs!$C$41)+F146</f>
        <v>-2057.8</v>
      </c>
      <c r="G160" s="65" t="n">
        <f aca="false">G145-G116*(1-Inputs!$C$41)+G146</f>
        <v>-391.933333333339</v>
      </c>
      <c r="H160" s="65" t="n">
        <f aca="false">H145-H116*(1-Inputs!$C$41)+H146</f>
        <v>1273.93333333333</v>
      </c>
      <c r="I160" s="65" t="n">
        <f aca="false">I145-I116*(1-Inputs!$C$41)+I146</f>
        <v>2939.8</v>
      </c>
      <c r="J160" s="65" t="n">
        <f aca="false">J145-J116*(1-Inputs!$C$41)+J146</f>
        <v>2914.8</v>
      </c>
      <c r="K160" s="65" t="n">
        <f aca="false">K145-K116*(1-Inputs!$C$41)+K146</f>
        <v>2916.66666666666</v>
      </c>
      <c r="L160" s="65" t="n">
        <f aca="false">L145-L116*(1-Inputs!$C$41)+L146</f>
        <v>2918.53333333333</v>
      </c>
      <c r="M160" s="65" t="n">
        <f aca="false">M145-M116*(1-Inputs!$C$41)+M146</f>
        <v>2920.4</v>
      </c>
      <c r="N160" s="65" t="n">
        <f aca="false">N145-N116*(1-Inputs!$C$41)+N146</f>
        <v>2922.26666666666</v>
      </c>
      <c r="O160" s="65" t="n">
        <f aca="false">O145-O116*(1-Inputs!$C$41)+O146</f>
        <v>4473.19205333334</v>
      </c>
      <c r="P160" s="65" t="n">
        <f aca="false">P145-P116*(1-Inputs!$C$41)+P146</f>
        <v>4445.4624</v>
      </c>
      <c r="Q160" s="65" t="n">
        <f aca="false">Q145-Q116*(1-Inputs!$C$41)+Q146</f>
        <v>4447.32906666667</v>
      </c>
      <c r="R160" s="65" t="n">
        <f aca="false">R145-R116*(1-Inputs!$C$41)+R146</f>
        <v>4449.19573333334</v>
      </c>
      <c r="S160" s="65" t="n">
        <f aca="false">S145-S116*(1-Inputs!$C$41)+S146</f>
        <v>4451.0624</v>
      </c>
      <c r="T160" s="65" t="n">
        <f aca="false">T145-T116*(1-Inputs!$C$41)+T146</f>
        <v>4452.92906666667</v>
      </c>
      <c r="U160" s="65" t="n">
        <f aca="false">U145-U116*(1-Inputs!$C$41)+U146</f>
        <v>4454.79573333334</v>
      </c>
      <c r="V160" s="65" t="n">
        <f aca="false">V145-V116*(1-Inputs!$C$41)+V146</f>
        <v>4456.6624</v>
      </c>
      <c r="W160" s="65" t="n">
        <f aca="false">W145-W116*(1-Inputs!$C$41)+W146</f>
        <v>4458.52906666667</v>
      </c>
      <c r="X160" s="65" t="n">
        <f aca="false">X145-X116*(1-Inputs!$C$41)+X146</f>
        <v>4460.39573333334</v>
      </c>
      <c r="Y160" s="65" t="n">
        <f aca="false">Y145-Y116*(1-Inputs!$C$41)+Y146</f>
        <v>4462.2624</v>
      </c>
      <c r="Z160" s="65" t="n">
        <f aca="false">Z145-Z116*(1-Inputs!$C$41)+Z146</f>
        <v>4464.12906666667</v>
      </c>
      <c r="AA160" s="65" t="n">
        <f aca="false">AA145-AA116*(1-Inputs!$C$41)+AA146</f>
        <v>5449.69697088214</v>
      </c>
      <c r="AB160" s="65" t="n">
        <f aca="false">AB145-AB116*(1-Inputs!$C$41)+AB146</f>
        <v>5307.84229003947</v>
      </c>
      <c r="AC160" s="65" t="n">
        <f aca="false">AC145-AC116*(1-Inputs!$C$41)+AC146</f>
        <v>5307.84229003947</v>
      </c>
      <c r="AD160" s="65" t="n">
        <f aca="false">AD145-AD116*(1-Inputs!$C$41)+AD146</f>
        <v>5307.84229003947</v>
      </c>
      <c r="AE160" s="65" t="n">
        <f aca="false">AE145-AE116*(1-Inputs!$C$41)+AE146</f>
        <v>5307.84229003947</v>
      </c>
      <c r="AF160" s="65" t="n">
        <f aca="false">AF145-AF116*(1-Inputs!$C$41)+AF146</f>
        <v>5307.84229003947</v>
      </c>
      <c r="AG160" s="65" t="n">
        <f aca="false">AG145-AG116*(1-Inputs!$C$41)+AG146</f>
        <v>5307.84229003947</v>
      </c>
      <c r="AH160" s="65" t="n">
        <f aca="false">AH145-AH116*(1-Inputs!$C$41)+AH146</f>
        <v>5307.84229003947</v>
      </c>
      <c r="AI160" s="65" t="n">
        <f aca="false">AI145-AI116*(1-Inputs!$C$41)+AI146</f>
        <v>5307.84229003947</v>
      </c>
      <c r="AJ160" s="65" t="n">
        <f aca="false">AJ145-AJ116*(1-Inputs!$C$41)+AJ146</f>
        <v>5307.84229003947</v>
      </c>
      <c r="AK160" s="65" t="n">
        <f aca="false">AK145-AK116*(1-Inputs!$C$41)+AK146</f>
        <v>5307.84229003947</v>
      </c>
      <c r="AL160" s="65" t="n">
        <f aca="false">AL145-AL116*(1-Inputs!$C$41)+AL146</f>
        <v>5307.84229003947</v>
      </c>
    </row>
    <row r="162" customFormat="false" ht="15.75" hidden="false" customHeight="true" outlineLevel="0" collapsed="false">
      <c r="A162" s="7" t="s">
        <v>359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95</v>
      </c>
      <c r="C163" s="65" t="n">
        <f aca="false">C147</f>
        <v>140000</v>
      </c>
      <c r="D163" s="65" t="n">
        <f aca="false">C163+D147</f>
        <v>140000</v>
      </c>
      <c r="E163" s="65" t="n">
        <f aca="false">D163+E147</f>
        <v>140000</v>
      </c>
      <c r="F163" s="65" t="n">
        <f aca="false">E163+F147</f>
        <v>140000</v>
      </c>
      <c r="G163" s="65" t="n">
        <f aca="false">F163+G147</f>
        <v>140000</v>
      </c>
      <c r="H163" s="65" t="n">
        <f aca="false">G163+H147</f>
        <v>140000</v>
      </c>
      <c r="I163" s="65" t="n">
        <f aca="false">H163+I147</f>
        <v>140000</v>
      </c>
      <c r="J163" s="65" t="n">
        <f aca="false">I163+J147</f>
        <v>140000</v>
      </c>
      <c r="K163" s="65" t="n">
        <f aca="false">J163+K147</f>
        <v>140000</v>
      </c>
      <c r="L163" s="65" t="n">
        <f aca="false">K163+L147</f>
        <v>140000</v>
      </c>
      <c r="M163" s="65" t="n">
        <f aca="false">L163+M147</f>
        <v>140000</v>
      </c>
      <c r="N163" s="65" t="n">
        <f aca="false">M163+N147</f>
        <v>140000</v>
      </c>
      <c r="O163" s="65" t="n">
        <f aca="false">N163+O147</f>
        <v>140000</v>
      </c>
      <c r="P163" s="65" t="n">
        <f aca="false">O163+P147</f>
        <v>140000</v>
      </c>
      <c r="Q163" s="65" t="n">
        <f aca="false">P163+Q147</f>
        <v>140000</v>
      </c>
      <c r="R163" s="65" t="n">
        <f aca="false">Q163+R147</f>
        <v>140000</v>
      </c>
      <c r="S163" s="65" t="n">
        <f aca="false">R163+S147</f>
        <v>140000</v>
      </c>
      <c r="T163" s="65" t="n">
        <f aca="false">S163+T147</f>
        <v>140000</v>
      </c>
      <c r="U163" s="65" t="n">
        <f aca="false">T163+U147</f>
        <v>140000</v>
      </c>
      <c r="V163" s="65" t="n">
        <f aca="false">U163+V147</f>
        <v>140000</v>
      </c>
      <c r="W163" s="65" t="n">
        <f aca="false">V163+W147</f>
        <v>140000</v>
      </c>
      <c r="X163" s="65" t="n">
        <f aca="false">W163+X147</f>
        <v>140000</v>
      </c>
      <c r="Y163" s="65" t="n">
        <f aca="false">X163+Y147</f>
        <v>140000</v>
      </c>
      <c r="Z163" s="65" t="n">
        <f aca="false">Y163+Z147</f>
        <v>140000</v>
      </c>
      <c r="AA163" s="65" t="n">
        <f aca="false">Z163+AA147</f>
        <v>140000</v>
      </c>
      <c r="AB163" s="65" t="n">
        <f aca="false">AA163+AB147</f>
        <v>140000</v>
      </c>
      <c r="AC163" s="65" t="n">
        <f aca="false">AB163+AC147</f>
        <v>140000</v>
      </c>
      <c r="AD163" s="65" t="n">
        <f aca="false">AC163+AD147</f>
        <v>140000</v>
      </c>
      <c r="AE163" s="65" t="n">
        <f aca="false">AD163+AE147</f>
        <v>140000</v>
      </c>
      <c r="AF163" s="65" t="n">
        <f aca="false">AE163+AF147</f>
        <v>140000</v>
      </c>
      <c r="AG163" s="65" t="n">
        <f aca="false">AF163+AG147</f>
        <v>140000</v>
      </c>
      <c r="AH163" s="65" t="n">
        <f aca="false">AG163+AH147</f>
        <v>140000</v>
      </c>
      <c r="AI163" s="65" t="n">
        <f aca="false">AH163+AI147</f>
        <v>140000</v>
      </c>
      <c r="AJ163" s="65" t="n">
        <f aca="false">AI163+AJ147</f>
        <v>140000</v>
      </c>
      <c r="AK163" s="65" t="n">
        <f aca="false">AJ163+AK147</f>
        <v>140000</v>
      </c>
      <c r="AL163" s="65" t="n">
        <f aca="false">AK163+AL147</f>
        <v>140000</v>
      </c>
    </row>
    <row r="164" customFormat="false" ht="15" hidden="false" customHeight="false" outlineLevel="0" collapsed="false">
      <c r="A164" s="6" t="s">
        <v>96</v>
      </c>
      <c r="C164" s="65" t="n">
        <f aca="false">C121</f>
        <v>-9407.42857142857</v>
      </c>
      <c r="D164" s="65" t="n">
        <f aca="false">C164+D121</f>
        <v>-17146.4126984127</v>
      </c>
      <c r="E164" s="65" t="n">
        <f aca="false">D164+E121</f>
        <v>-23212.5079365079</v>
      </c>
      <c r="F164" s="65" t="n">
        <f aca="false">E164+F121</f>
        <v>-27605.7142857143</v>
      </c>
      <c r="G164" s="65" t="n">
        <f aca="false">F164+G121</f>
        <v>-30326.0317460318</v>
      </c>
      <c r="H164" s="65" t="n">
        <f aca="false">G164+H121</f>
        <v>-31373.4603174603</v>
      </c>
      <c r="I164" s="65" t="n">
        <f aca="false">H164+I121</f>
        <v>-30748</v>
      </c>
      <c r="J164" s="65" t="n">
        <f aca="false">I164+J121</f>
        <v>-30113.6507936508</v>
      </c>
      <c r="K164" s="65" t="n">
        <f aca="false">J164+K121</f>
        <v>-29470.4126984127</v>
      </c>
      <c r="L164" s="65" t="n">
        <f aca="false">K164+L121</f>
        <v>-28818.2857142857</v>
      </c>
      <c r="M164" s="65" t="n">
        <f aca="false">L164+M121</f>
        <v>-28157.2698412699</v>
      </c>
      <c r="N164" s="65" t="n">
        <f aca="false">M164+N121</f>
        <v>-27487.3650793651</v>
      </c>
      <c r="O164" s="65" t="n">
        <f aca="false">N164+O121</f>
        <v>-25289.1090285715</v>
      </c>
      <c r="P164" s="65" t="n">
        <f aca="false">O164+P121</f>
        <v>-23081.9640888889</v>
      </c>
      <c r="Q164" s="65" t="n">
        <f aca="false">P164+Q121</f>
        <v>-20865.9302603175</v>
      </c>
      <c r="R164" s="65" t="n">
        <f aca="false">Q164+R121</f>
        <v>-18641.0075428572</v>
      </c>
      <c r="S164" s="65" t="n">
        <f aca="false">R164+S121</f>
        <v>-16407.195936508</v>
      </c>
      <c r="T164" s="65" t="n">
        <f aca="false">S164+T121</f>
        <v>-14164.4954412699</v>
      </c>
      <c r="U164" s="65" t="n">
        <f aca="false">T164+U121</f>
        <v>-11912.9060571429</v>
      </c>
      <c r="V164" s="65" t="n">
        <f aca="false">U164+V121</f>
        <v>-9652.427784127</v>
      </c>
      <c r="W164" s="65" t="n">
        <f aca="false">V164+W121</f>
        <v>-7383.06062222224</v>
      </c>
      <c r="X164" s="65" t="n">
        <f aca="false">W164+X121</f>
        <v>-5104.80457142859</v>
      </c>
      <c r="Y164" s="65" t="n">
        <f aca="false">X164+Y121</f>
        <v>-2817.65963174605</v>
      </c>
      <c r="Z164" s="65" t="n">
        <f aca="false">Y164+Z121</f>
        <v>-521.625803174616</v>
      </c>
      <c r="AA164" s="65" t="n">
        <f aca="false">Z164+AA121</f>
        <v>2734.68488965851</v>
      </c>
      <c r="AB164" s="65" t="n">
        <f aca="false">AA164+AB121</f>
        <v>5888.47638604718</v>
      </c>
      <c r="AC164" s="65" t="n">
        <f aca="false">AB164+AC121</f>
        <v>9049.29010465808</v>
      </c>
      <c r="AD164" s="65" t="n">
        <f aca="false">AC164+AD121</f>
        <v>12217.1260454912</v>
      </c>
      <c r="AE164" s="65" t="n">
        <f aca="false">AD164+AE121</f>
        <v>15391.9842085465</v>
      </c>
      <c r="AF164" s="65" t="n">
        <f aca="false">AE164+AF121</f>
        <v>18573.8645938241</v>
      </c>
      <c r="AG164" s="65" t="n">
        <f aca="false">AF164+AG121</f>
        <v>21762.7672013239</v>
      </c>
      <c r="AH164" s="65" t="n">
        <f aca="false">AG164+AH121</f>
        <v>24958.6920310459</v>
      </c>
      <c r="AI164" s="65" t="n">
        <f aca="false">AH164+AI121</f>
        <v>28161.6390829901</v>
      </c>
      <c r="AJ164" s="65" t="n">
        <f aca="false">AI164+AJ121</f>
        <v>31371.6083571566</v>
      </c>
      <c r="AK164" s="65" t="n">
        <f aca="false">AJ164+AK121</f>
        <v>34588.5998535453</v>
      </c>
      <c r="AL164" s="65" t="n">
        <f aca="false">AK164+AL121</f>
        <v>37812.6135721562</v>
      </c>
    </row>
    <row r="165" customFormat="false" ht="15" hidden="false" customHeight="false" outlineLevel="0" collapsed="false">
      <c r="A165" s="4" t="s">
        <v>91</v>
      </c>
      <c r="C165" s="71" t="n">
        <f aca="false">C151+C137+C138+C128</f>
        <v>212994.971428571</v>
      </c>
      <c r="D165" s="71" t="n">
        <f aca="false">D151+D137+D138+D128</f>
        <v>204323.053968254</v>
      </c>
      <c r="E165" s="71" t="n">
        <f aca="false">E151+E137+E138+E128</f>
        <v>197324.025396825</v>
      </c>
      <c r="F165" s="71" t="n">
        <f aca="false">F151+F137+F138+F128</f>
        <v>191997.885714286</v>
      </c>
      <c r="G165" s="71" t="n">
        <f aca="false">G151+G137+G138+G128</f>
        <v>188344.634920635</v>
      </c>
      <c r="H165" s="71" t="n">
        <f aca="false">H151+H137+H138+H128</f>
        <v>186364.273015873</v>
      </c>
      <c r="I165" s="71" t="n">
        <f aca="false">I151+I137+I138+I128</f>
        <v>186056.8</v>
      </c>
      <c r="J165" s="71" t="n">
        <f aca="false">J151+J137+J138+J128</f>
        <v>185357.815873016</v>
      </c>
      <c r="K165" s="71" t="n">
        <f aca="false">K151+K137+K138+K128</f>
        <v>184667.720634921</v>
      </c>
      <c r="L165" s="71" t="n">
        <f aca="false">L151+L137+L138+L128</f>
        <v>183986.514285714</v>
      </c>
      <c r="M165" s="71" t="n">
        <f aca="false">M151+M137+M138+M128</f>
        <v>183314.196825397</v>
      </c>
      <c r="N165" s="71" t="n">
        <f aca="false">N151+N137+N138+N128</f>
        <v>182650.768253968</v>
      </c>
      <c r="O165" s="71" t="n">
        <f aca="false">O151+O137+O138+O128</f>
        <v>183956.771611429</v>
      </c>
      <c r="P165" s="71" t="n">
        <f aca="false">P151+P137+P138+P128</f>
        <v>184830.583217778</v>
      </c>
      <c r="Q165" s="71" t="n">
        <f aca="false">Q151+Q137+Q138+Q128</f>
        <v>185713.283713016</v>
      </c>
      <c r="R165" s="71" t="n">
        <f aca="false">R151+R137+R138+R128</f>
        <v>186604.873097143</v>
      </c>
      <c r="S165" s="71" t="n">
        <f aca="false">S151+S137+S138+S128</f>
        <v>187505.351370159</v>
      </c>
      <c r="T165" s="71" t="n">
        <f aca="false">T151+T137+T138+T128</f>
        <v>188414.718532063</v>
      </c>
      <c r="U165" s="71" t="n">
        <f aca="false">U151+U137+U138+U128</f>
        <v>189332.974582857</v>
      </c>
      <c r="V165" s="71" t="n">
        <f aca="false">V151+V137+V138+V128</f>
        <v>190260.11952254</v>
      </c>
      <c r="W165" s="71" t="n">
        <f aca="false">W151+W137+W138+W128</f>
        <v>191196.153351111</v>
      </c>
      <c r="X165" s="71" t="n">
        <f aca="false">X151+X137+X138+X128</f>
        <v>192141.076068571</v>
      </c>
      <c r="Y165" s="71" t="n">
        <f aca="false">Y151+Y137+Y138+Y128</f>
        <v>193094.887674921</v>
      </c>
      <c r="Z165" s="71" t="n">
        <f aca="false">Z151+Z137+Z138+Z128</f>
        <v>194057.588170159</v>
      </c>
      <c r="AA165" s="71" t="n">
        <f aca="false">AA151+AA137+AA138+AA128</f>
        <v>196462.13737241</v>
      </c>
      <c r="AB165" s="71" t="n">
        <f aca="false">AB151+AB137+AB138+AB128</f>
        <v>198282.595535466</v>
      </c>
      <c r="AC165" s="71" t="n">
        <f aca="false">AC151+AC137+AC138+AC128</f>
        <v>200110.075920743</v>
      </c>
      <c r="AD165" s="71" t="n">
        <f aca="false">AD151+AD137+AD138+AD128</f>
        <v>201944.578528243</v>
      </c>
      <c r="AE165" s="71" t="n">
        <f aca="false">AE151+AE137+AE138+AE128</f>
        <v>203786.103357965</v>
      </c>
      <c r="AF165" s="71" t="n">
        <f aca="false">AF151+AF137+AF138+AF128</f>
        <v>205634.650409909</v>
      </c>
      <c r="AG165" s="71" t="n">
        <f aca="false">AG151+AG137+AG138+AG128</f>
        <v>207490.219684076</v>
      </c>
      <c r="AH165" s="71" t="n">
        <f aca="false">AH151+AH137+AH138+AH128</f>
        <v>209352.811180465</v>
      </c>
      <c r="AI165" s="71" t="n">
        <f aca="false">AI151+AI137+AI138+AI128</f>
        <v>211222.424899075</v>
      </c>
      <c r="AJ165" s="71" t="n">
        <f aca="false">AJ151+AJ137+AJ138+AJ128</f>
        <v>213099.060839909</v>
      </c>
      <c r="AK165" s="71" t="n">
        <f aca="false">AK151+AK137+AK138+AK128</f>
        <v>214982.719002964</v>
      </c>
      <c r="AL165" s="71" t="n">
        <f aca="false">AL151+AL137+AL138+AL128</f>
        <v>216873.399388241</v>
      </c>
    </row>
    <row r="166" customFormat="false" ht="15" hidden="false" customHeight="false" outlineLevel="0" collapsed="false">
      <c r="A166" s="6" t="s">
        <v>94</v>
      </c>
      <c r="C166" s="65" t="n">
        <f aca="false">C139+C134</f>
        <v>82402.4</v>
      </c>
      <c r="D166" s="65" t="n">
        <f aca="false">D139+D134</f>
        <v>81469.4666666667</v>
      </c>
      <c r="E166" s="65" t="n">
        <f aca="false">E139+E134</f>
        <v>80536.5333333333</v>
      </c>
      <c r="F166" s="65" t="n">
        <f aca="false">F139+F134</f>
        <v>79603.6</v>
      </c>
      <c r="G166" s="65" t="n">
        <f aca="false">G139+G134</f>
        <v>78670.6666666667</v>
      </c>
      <c r="H166" s="65" t="n">
        <f aca="false">H139+H134</f>
        <v>77737.7333333334</v>
      </c>
      <c r="I166" s="65" t="n">
        <f aca="false">I139+I134</f>
        <v>76804.8</v>
      </c>
      <c r="J166" s="65" t="n">
        <f aca="false">J139+J134</f>
        <v>75471.4666666667</v>
      </c>
      <c r="K166" s="65" t="n">
        <f aca="false">K139+K134</f>
        <v>74138.1333333334</v>
      </c>
      <c r="L166" s="65" t="n">
        <f aca="false">L139+L134</f>
        <v>72804.8000000001</v>
      </c>
      <c r="M166" s="65" t="n">
        <f aca="false">M139+M134</f>
        <v>71471.4666666667</v>
      </c>
      <c r="N166" s="65" t="n">
        <f aca="false">N139+N134</f>
        <v>70138.1333333334</v>
      </c>
      <c r="O166" s="65" t="n">
        <f aca="false">O139+O134</f>
        <v>69245.8806400001</v>
      </c>
      <c r="P166" s="65" t="n">
        <f aca="false">P139+P134</f>
        <v>67912.5473066667</v>
      </c>
      <c r="Q166" s="65" t="n">
        <f aca="false">Q139+Q134</f>
        <v>66579.2139733334</v>
      </c>
      <c r="R166" s="65" t="n">
        <f aca="false">R139+R134</f>
        <v>65245.88064</v>
      </c>
      <c r="S166" s="65" t="n">
        <f aca="false">S139+S134</f>
        <v>63912.5473066667</v>
      </c>
      <c r="T166" s="65" t="n">
        <f aca="false">T139+T134</f>
        <v>62579.2139733334</v>
      </c>
      <c r="U166" s="65" t="n">
        <f aca="false">U139+U134</f>
        <v>61245.88064</v>
      </c>
      <c r="V166" s="65" t="n">
        <f aca="false">V139+V134</f>
        <v>59912.5473066667</v>
      </c>
      <c r="W166" s="65" t="n">
        <f aca="false">W139+W134</f>
        <v>58579.2139733334</v>
      </c>
      <c r="X166" s="65" t="n">
        <f aca="false">X139+X134</f>
        <v>57245.88064</v>
      </c>
      <c r="Y166" s="65" t="n">
        <f aca="false">Y139+Y134</f>
        <v>55912.5473066667</v>
      </c>
      <c r="Z166" s="65" t="n">
        <f aca="false">Z139+Z134</f>
        <v>54579.2139733334</v>
      </c>
      <c r="AA166" s="65" t="n">
        <f aca="false">AA139+AA134</f>
        <v>53727.452482752</v>
      </c>
      <c r="AB166" s="65" t="n">
        <f aca="false">AB139+AB134</f>
        <v>52394.1191494187</v>
      </c>
      <c r="AC166" s="65" t="n">
        <f aca="false">AC139+AC134</f>
        <v>51060.7858160853</v>
      </c>
      <c r="AD166" s="65" t="n">
        <f aca="false">AD139+AD134</f>
        <v>49727.452482752</v>
      </c>
      <c r="AE166" s="65" t="n">
        <f aca="false">AE139+AE134</f>
        <v>48394.1191494187</v>
      </c>
      <c r="AF166" s="65" t="n">
        <f aca="false">AF139+AF134</f>
        <v>47060.7858160853</v>
      </c>
      <c r="AG166" s="65" t="n">
        <f aca="false">AG139+AG134</f>
        <v>45727.452482752</v>
      </c>
      <c r="AH166" s="65" t="n">
        <f aca="false">AH139+AH134</f>
        <v>44394.1191494187</v>
      </c>
      <c r="AI166" s="65" t="n">
        <f aca="false">AI139+AI134</f>
        <v>43060.7858160853</v>
      </c>
      <c r="AJ166" s="65" t="n">
        <f aca="false">AJ139+AJ134</f>
        <v>41727.452482752</v>
      </c>
      <c r="AK166" s="65" t="n">
        <f aca="false">AK139+AK134</f>
        <v>40394.1191494187</v>
      </c>
      <c r="AL166" s="65" t="n">
        <f aca="false">AL139+AL134</f>
        <v>39060.7858160853</v>
      </c>
    </row>
    <row r="167" customFormat="false" ht="15" hidden="false" customHeight="false" outlineLevel="0" collapsed="false">
      <c r="A167" s="6" t="s">
        <v>97</v>
      </c>
      <c r="C167" s="65" t="n">
        <f aca="false">C163+C164</f>
        <v>130592.571428571</v>
      </c>
      <c r="D167" s="65" t="n">
        <f aca="false">D163+D164</f>
        <v>122853.587301587</v>
      </c>
      <c r="E167" s="65" t="n">
        <f aca="false">E163+E164</f>
        <v>116787.492063492</v>
      </c>
      <c r="F167" s="65" t="n">
        <f aca="false">F163+F164</f>
        <v>112394.285714286</v>
      </c>
      <c r="G167" s="65" t="n">
        <f aca="false">G163+G164</f>
        <v>109673.968253968</v>
      </c>
      <c r="H167" s="65" t="n">
        <f aca="false">H163+H164</f>
        <v>108626.53968254</v>
      </c>
      <c r="I167" s="65" t="n">
        <f aca="false">I163+I164</f>
        <v>109252</v>
      </c>
      <c r="J167" s="65" t="n">
        <f aca="false">J163+J164</f>
        <v>109886.349206349</v>
      </c>
      <c r="K167" s="65" t="n">
        <f aca="false">K163+K164</f>
        <v>110529.587301587</v>
      </c>
      <c r="L167" s="65" t="n">
        <f aca="false">L163+L164</f>
        <v>111181.714285714</v>
      </c>
      <c r="M167" s="65" t="n">
        <f aca="false">M163+M164</f>
        <v>111842.73015873</v>
      </c>
      <c r="N167" s="65" t="n">
        <f aca="false">N163+N164</f>
        <v>112512.634920635</v>
      </c>
      <c r="O167" s="65" t="n">
        <f aca="false">O163+O164</f>
        <v>114710.890971429</v>
      </c>
      <c r="P167" s="65" t="n">
        <f aca="false">P163+P164</f>
        <v>116918.035911111</v>
      </c>
      <c r="Q167" s="65" t="n">
        <f aca="false">Q163+Q164</f>
        <v>119134.069739683</v>
      </c>
      <c r="R167" s="65" t="n">
        <f aca="false">R163+R164</f>
        <v>121358.992457143</v>
      </c>
      <c r="S167" s="65" t="n">
        <f aca="false">S163+S164</f>
        <v>123592.804063492</v>
      </c>
      <c r="T167" s="65" t="n">
        <f aca="false">T163+T164</f>
        <v>125835.50455873</v>
      </c>
      <c r="U167" s="65" t="n">
        <f aca="false">U163+U164</f>
        <v>128087.093942857</v>
      </c>
      <c r="V167" s="65" t="n">
        <f aca="false">V163+V164</f>
        <v>130347.572215873</v>
      </c>
      <c r="W167" s="65" t="n">
        <f aca="false">W163+W164</f>
        <v>132616.939377778</v>
      </c>
      <c r="X167" s="65" t="n">
        <f aca="false">X163+X164</f>
        <v>134895.195428571</v>
      </c>
      <c r="Y167" s="65" t="n">
        <f aca="false">Y163+Y164</f>
        <v>137182.340368254</v>
      </c>
      <c r="Z167" s="65" t="n">
        <f aca="false">Z163+Z164</f>
        <v>139478.374196825</v>
      </c>
      <c r="AA167" s="65" t="n">
        <f aca="false">AA163+AA164</f>
        <v>142734.684889659</v>
      </c>
      <c r="AB167" s="65" t="n">
        <f aca="false">AB163+AB164</f>
        <v>145888.476386047</v>
      </c>
      <c r="AC167" s="65" t="n">
        <f aca="false">AC163+AC164</f>
        <v>149049.290104658</v>
      </c>
      <c r="AD167" s="65" t="n">
        <f aca="false">AD163+AD164</f>
        <v>152217.126045491</v>
      </c>
      <c r="AE167" s="65" t="n">
        <f aca="false">AE163+AE164</f>
        <v>155391.984208547</v>
      </c>
      <c r="AF167" s="65" t="n">
        <f aca="false">AF163+AF164</f>
        <v>158573.864593824</v>
      </c>
      <c r="AG167" s="65" t="n">
        <f aca="false">AG163+AG164</f>
        <v>161762.767201324</v>
      </c>
      <c r="AH167" s="65" t="n">
        <f aca="false">AH163+AH164</f>
        <v>164958.692031046</v>
      </c>
      <c r="AI167" s="65" t="n">
        <f aca="false">AI163+AI164</f>
        <v>168161.63908299</v>
      </c>
      <c r="AJ167" s="65" t="n">
        <f aca="false">AJ163+AJ164</f>
        <v>171371.608357157</v>
      </c>
      <c r="AK167" s="65" t="n">
        <f aca="false">AK163+AK164</f>
        <v>174588.599853545</v>
      </c>
      <c r="AL167" s="65" t="n">
        <f aca="false">AL163+AL164</f>
        <v>177812.613572156</v>
      </c>
    </row>
    <row r="168" customFormat="false" ht="15" hidden="false" customHeight="false" outlineLevel="0" collapsed="false">
      <c r="A168" s="4" t="s">
        <v>98</v>
      </c>
      <c r="C168" s="71" t="n">
        <f aca="false">C166+C167</f>
        <v>212994.971428571</v>
      </c>
      <c r="D168" s="71" t="n">
        <f aca="false">D166+D167</f>
        <v>204323.053968254</v>
      </c>
      <c r="E168" s="71" t="n">
        <f aca="false">E166+E167</f>
        <v>197324.025396825</v>
      </c>
      <c r="F168" s="71" t="n">
        <f aca="false">F166+F167</f>
        <v>191997.885714286</v>
      </c>
      <c r="G168" s="71" t="n">
        <f aca="false">G166+G167</f>
        <v>188344.634920635</v>
      </c>
      <c r="H168" s="71" t="n">
        <f aca="false">H166+H167</f>
        <v>186364.273015873</v>
      </c>
      <c r="I168" s="71" t="n">
        <f aca="false">I166+I167</f>
        <v>186056.8</v>
      </c>
      <c r="J168" s="71" t="n">
        <f aca="false">J166+J167</f>
        <v>185357.815873016</v>
      </c>
      <c r="K168" s="71" t="n">
        <f aca="false">K166+K167</f>
        <v>184667.720634921</v>
      </c>
      <c r="L168" s="71" t="n">
        <f aca="false">L166+L167</f>
        <v>183986.514285714</v>
      </c>
      <c r="M168" s="71" t="n">
        <f aca="false">M166+M167</f>
        <v>183314.196825397</v>
      </c>
      <c r="N168" s="71" t="n">
        <f aca="false">N166+N167</f>
        <v>182650.768253968</v>
      </c>
      <c r="O168" s="71" t="n">
        <f aca="false">O166+O167</f>
        <v>183956.771611429</v>
      </c>
      <c r="P168" s="71" t="n">
        <f aca="false">P166+P167</f>
        <v>184830.583217778</v>
      </c>
      <c r="Q168" s="71" t="n">
        <f aca="false">Q166+Q167</f>
        <v>185713.283713016</v>
      </c>
      <c r="R168" s="71" t="n">
        <f aca="false">R166+R167</f>
        <v>186604.873097143</v>
      </c>
      <c r="S168" s="71" t="n">
        <f aca="false">S166+S167</f>
        <v>187505.351370159</v>
      </c>
      <c r="T168" s="71" t="n">
        <f aca="false">T166+T167</f>
        <v>188414.718532064</v>
      </c>
      <c r="U168" s="71" t="n">
        <f aca="false">U166+U167</f>
        <v>189332.974582857</v>
      </c>
      <c r="V168" s="71" t="n">
        <f aca="false">V166+V167</f>
        <v>190260.11952254</v>
      </c>
      <c r="W168" s="71" t="n">
        <f aca="false">W166+W167</f>
        <v>191196.153351111</v>
      </c>
      <c r="X168" s="71" t="n">
        <f aca="false">X166+X167</f>
        <v>192141.076068571</v>
      </c>
      <c r="Y168" s="71" t="n">
        <f aca="false">Y166+Y167</f>
        <v>193094.887674921</v>
      </c>
      <c r="Z168" s="71" t="n">
        <f aca="false">Z166+Z167</f>
        <v>194057.588170159</v>
      </c>
      <c r="AA168" s="71" t="n">
        <f aca="false">AA166+AA167</f>
        <v>196462.137372411</v>
      </c>
      <c r="AB168" s="71" t="n">
        <f aca="false">AB166+AB167</f>
        <v>198282.595535466</v>
      </c>
      <c r="AC168" s="71" t="n">
        <f aca="false">AC166+AC167</f>
        <v>200110.075920743</v>
      </c>
      <c r="AD168" s="71" t="n">
        <f aca="false">AD166+AD167</f>
        <v>201944.578528243</v>
      </c>
      <c r="AE168" s="71" t="n">
        <f aca="false">AE166+AE167</f>
        <v>203786.103357965</v>
      </c>
      <c r="AF168" s="71" t="n">
        <f aca="false">AF166+AF167</f>
        <v>205634.650409909</v>
      </c>
      <c r="AG168" s="71" t="n">
        <f aca="false">AG166+AG167</f>
        <v>207490.219684076</v>
      </c>
      <c r="AH168" s="71" t="n">
        <f aca="false">AH166+AH167</f>
        <v>209352.811180465</v>
      </c>
      <c r="AI168" s="71" t="n">
        <f aca="false">AI166+AI167</f>
        <v>211222.424899075</v>
      </c>
      <c r="AJ168" s="71" t="n">
        <f aca="false">AJ166+AJ167</f>
        <v>213099.060839909</v>
      </c>
      <c r="AK168" s="71" t="n">
        <f aca="false">AK166+AK167</f>
        <v>214982.719002964</v>
      </c>
      <c r="AL168" s="71" t="n">
        <f aca="false">AL166+AL167</f>
        <v>216873.399388242</v>
      </c>
    </row>
    <row r="169" customFormat="false" ht="15" hidden="false" customHeight="false" outlineLevel="0" collapsed="false">
      <c r="A169" s="6" t="s">
        <v>360</v>
      </c>
      <c r="C169" s="65" t="n">
        <f aca="false">C165-C168</f>
        <v>0</v>
      </c>
      <c r="D169" s="65" t="n">
        <f aca="false">D165-D168</f>
        <v>0</v>
      </c>
      <c r="E169" s="65" t="n">
        <f aca="false">E165-E168</f>
        <v>0</v>
      </c>
      <c r="F169" s="65" t="n">
        <f aca="false">F165-F168</f>
        <v>0</v>
      </c>
      <c r="G169" s="65" t="n">
        <f aca="false">G165-G168</f>
        <v>0</v>
      </c>
      <c r="H169" s="65" t="n">
        <f aca="false">H165-H168</f>
        <v>0</v>
      </c>
      <c r="I169" s="65" t="n">
        <f aca="false">I165-I168</f>
        <v>0</v>
      </c>
      <c r="J169" s="65" t="n">
        <f aca="false">J165-J168</f>
        <v>0</v>
      </c>
      <c r="K169" s="65" t="n">
        <f aca="false">K165-K168</f>
        <v>0</v>
      </c>
      <c r="L169" s="65" t="n">
        <f aca="false">L165-L168</f>
        <v>0</v>
      </c>
      <c r="M169" s="65" t="n">
        <f aca="false">M165-M168</f>
        <v>0</v>
      </c>
      <c r="N169" s="65" t="n">
        <f aca="false">N165-N168</f>
        <v>0</v>
      </c>
      <c r="O169" s="65" t="n">
        <f aca="false">O165-O168</f>
        <v>0</v>
      </c>
      <c r="P169" s="65" t="n">
        <f aca="false">P165-P168</f>
        <v>0</v>
      </c>
      <c r="Q169" s="65" t="n">
        <f aca="false">Q165-Q168</f>
        <v>0</v>
      </c>
      <c r="R169" s="65" t="n">
        <f aca="false">R165-R168</f>
        <v>0</v>
      </c>
      <c r="S169" s="65" t="n">
        <f aca="false">S165-S168</f>
        <v>0</v>
      </c>
      <c r="T169" s="65" t="n">
        <f aca="false">T165-T168</f>
        <v>0</v>
      </c>
      <c r="U169" s="65" t="n">
        <f aca="false">U165-U168</f>
        <v>0</v>
      </c>
      <c r="V169" s="65" t="n">
        <f aca="false">V165-V168</f>
        <v>0</v>
      </c>
      <c r="W169" s="65" t="n">
        <f aca="false">W165-W168</f>
        <v>0</v>
      </c>
      <c r="X169" s="65" t="n">
        <f aca="false">X165-X168</f>
        <v>0</v>
      </c>
      <c r="Y169" s="65" t="n">
        <f aca="false">Y165-Y168</f>
        <v>0</v>
      </c>
      <c r="Z169" s="65" t="n">
        <f aca="false">Z165-Z168</f>
        <v>0</v>
      </c>
      <c r="AA169" s="65" t="n">
        <f aca="false">AA165-AA168</f>
        <v>0</v>
      </c>
      <c r="AB169" s="65" t="n">
        <f aca="false">AB165-AB168</f>
        <v>0</v>
      </c>
      <c r="AC169" s="65" t="n">
        <f aca="false">AC165-AC168</f>
        <v>0</v>
      </c>
      <c r="AD169" s="65" t="n">
        <f aca="false">AD165-AD168</f>
        <v>0</v>
      </c>
      <c r="AE169" s="65" t="n">
        <f aca="false">AE165-AE168</f>
        <v>0</v>
      </c>
      <c r="AF169" s="65" t="n">
        <f aca="false">AF165-AF168</f>
        <v>0</v>
      </c>
      <c r="AG169" s="65" t="n">
        <f aca="false">AG165-AG168</f>
        <v>0</v>
      </c>
      <c r="AH169" s="65" t="n">
        <f aca="false">AH165-AH168</f>
        <v>0</v>
      </c>
      <c r="AI169" s="65" t="n">
        <f aca="false">AI165-AI168</f>
        <v>0</v>
      </c>
      <c r="AJ169" s="65" t="n">
        <f aca="false">AJ165-AJ168</f>
        <v>0</v>
      </c>
      <c r="AK169" s="65" t="n">
        <f aca="false">AK165-AK168</f>
        <v>0</v>
      </c>
      <c r="AL169" s="65" t="n">
        <f aca="false">AL165-AL168</f>
        <v>0</v>
      </c>
    </row>
    <row r="171" customFormat="false" ht="15.75" hidden="false" customHeight="true" outlineLevel="0" collapsed="false">
      <c r="A171" s="7" t="s">
        <v>362</v>
      </c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</row>
    <row r="172" customFormat="false" ht="15" hidden="false" customHeight="false" outlineLevel="0" collapsed="false">
      <c r="A172" s="6" t="s">
        <v>363</v>
      </c>
      <c r="C172" s="111" t="n">
        <f aca="false">Inputs!$C$21*(1+Inputs!$C$23)^(C$95-1)*MAX(0,MIN(1,C$94*1-Inputs!$C$24+1))/1</f>
        <v>3.5</v>
      </c>
      <c r="D172" s="111" t="n">
        <f aca="false">Inputs!$C$21*(1+Inputs!$C$23)^(D$95-1)*MAX(0,MIN(1,D$94*1-Inputs!$C$24+1))/1</f>
        <v>3.5</v>
      </c>
      <c r="E172" s="111" t="n">
        <f aca="false">Inputs!$C$21*(1+Inputs!$C$23)^(E$95-1)*MAX(0,MIN(1,E$94*1-Inputs!$C$24+1))/1</f>
        <v>3.5</v>
      </c>
      <c r="F172" s="111" t="n">
        <f aca="false">Inputs!$C$21*(1+Inputs!$C$23)^(F$95-1)*MAX(0,MIN(1,F$94*1-Inputs!$C$24+1))/1</f>
        <v>3.5</v>
      </c>
      <c r="G172" s="111" t="n">
        <f aca="false">Inputs!$C$21*(1+Inputs!$C$23)^(G$95-1)*MAX(0,MIN(1,G$94*1-Inputs!$C$24+1))/1</f>
        <v>3.5</v>
      </c>
      <c r="H172" s="111" t="n">
        <f aca="false">Inputs!$C$21*(1+Inputs!$C$23)^(H$95-1)*MAX(0,MIN(1,H$94*1-Inputs!$C$24+1))/1</f>
        <v>3.5</v>
      </c>
      <c r="I172" s="111" t="n">
        <f aca="false">Inputs!$C$21*(1+Inputs!$C$23)^(I$95-1)*MAX(0,MIN(1,I$94*1-Inputs!$C$24+1))/1</f>
        <v>3.5</v>
      </c>
      <c r="J172" s="111" t="n">
        <f aca="false">Inputs!$C$21*(1+Inputs!$C$23)^(J$95-1)*MAX(0,MIN(1,J$94*1-Inputs!$C$24+1))/1</f>
        <v>3.5</v>
      </c>
      <c r="K172" s="111" t="n">
        <f aca="false">Inputs!$C$21*(1+Inputs!$C$23)^(K$95-1)*MAX(0,MIN(1,K$94*1-Inputs!$C$24+1))/1</f>
        <v>3.5</v>
      </c>
      <c r="L172" s="111" t="n">
        <f aca="false">Inputs!$C$21*(1+Inputs!$C$23)^(L$95-1)*MAX(0,MIN(1,L$94*1-Inputs!$C$24+1))/1</f>
        <v>3.5</v>
      </c>
      <c r="M172" s="111" t="n">
        <f aca="false">Inputs!$C$21*(1+Inputs!$C$23)^(M$95-1)*MAX(0,MIN(1,M$94*1-Inputs!$C$24+1))/1</f>
        <v>3.5</v>
      </c>
      <c r="N172" s="111" t="n">
        <f aca="false">Inputs!$C$21*(1+Inputs!$C$23)^(N$95-1)*MAX(0,MIN(1,N$94*1-Inputs!$C$24+1))/1</f>
        <v>3.5</v>
      </c>
      <c r="O172" s="111" t="n">
        <f aca="false">Inputs!$C$21*(1+Inputs!$C$23)^(O$95-1)*MAX(0,MIN(1,O$94*1-Inputs!$C$24+1))/1</f>
        <v>3.5</v>
      </c>
      <c r="P172" s="111" t="n">
        <f aca="false">Inputs!$C$21*(1+Inputs!$C$23)^(P$95-1)*MAX(0,MIN(1,P$94*1-Inputs!$C$24+1))/1</f>
        <v>3.5</v>
      </c>
      <c r="Q172" s="111" t="n">
        <f aca="false">Inputs!$C$21*(1+Inputs!$C$23)^(Q$95-1)*MAX(0,MIN(1,Q$94*1-Inputs!$C$24+1))/1</f>
        <v>3.5</v>
      </c>
      <c r="R172" s="111" t="n">
        <f aca="false">Inputs!$C$21*(1+Inputs!$C$23)^(R$95-1)*MAX(0,MIN(1,R$94*1-Inputs!$C$24+1))/1</f>
        <v>3.5</v>
      </c>
      <c r="S172" s="111" t="n">
        <f aca="false">Inputs!$C$21*(1+Inputs!$C$23)^(S$95-1)*MAX(0,MIN(1,S$94*1-Inputs!$C$24+1))/1</f>
        <v>3.5</v>
      </c>
      <c r="T172" s="111" t="n">
        <f aca="false">Inputs!$C$21*(1+Inputs!$C$23)^(T$95-1)*MAX(0,MIN(1,T$94*1-Inputs!$C$24+1))/1</f>
        <v>3.5</v>
      </c>
      <c r="U172" s="111" t="n">
        <f aca="false">Inputs!$C$21*(1+Inputs!$C$23)^(U$95-1)*MAX(0,MIN(1,U$94*1-Inputs!$C$24+1))/1</f>
        <v>3.5</v>
      </c>
      <c r="V172" s="111" t="n">
        <f aca="false">Inputs!$C$21*(1+Inputs!$C$23)^(V$95-1)*MAX(0,MIN(1,V$94*1-Inputs!$C$24+1))/1</f>
        <v>3.5</v>
      </c>
      <c r="W172" s="111" t="n">
        <f aca="false">Inputs!$C$21*(1+Inputs!$C$23)^(W$95-1)*MAX(0,MIN(1,W$94*1-Inputs!$C$24+1))/1</f>
        <v>3.5</v>
      </c>
      <c r="X172" s="111" t="n">
        <f aca="false">Inputs!$C$21*(1+Inputs!$C$23)^(X$95-1)*MAX(0,MIN(1,X$94*1-Inputs!$C$24+1))/1</f>
        <v>3.5</v>
      </c>
      <c r="Y172" s="111" t="n">
        <f aca="false">Inputs!$C$21*(1+Inputs!$C$23)^(Y$95-1)*MAX(0,MIN(1,Y$94*1-Inputs!$C$24+1))/1</f>
        <v>3.5</v>
      </c>
      <c r="Z172" s="111" t="n">
        <f aca="false">Inputs!$C$21*(1+Inputs!$C$23)^(Z$95-1)*MAX(0,MIN(1,Z$94*1-Inputs!$C$24+1))/1</f>
        <v>3.5</v>
      </c>
      <c r="AA172" s="111" t="n">
        <f aca="false">Inputs!$C$21*(1+Inputs!$C$23)^(AA$95-1)*MAX(0,MIN(1,AA$94*1-Inputs!$C$24+1))/1</f>
        <v>3.5</v>
      </c>
      <c r="AB172" s="111" t="n">
        <f aca="false">Inputs!$C$21*(1+Inputs!$C$23)^(AB$95-1)*MAX(0,MIN(1,AB$94*1-Inputs!$C$24+1))/1</f>
        <v>3.5</v>
      </c>
      <c r="AC172" s="111" t="n">
        <f aca="false">Inputs!$C$21*(1+Inputs!$C$23)^(AC$95-1)*MAX(0,MIN(1,AC$94*1-Inputs!$C$24+1))/1</f>
        <v>3.5</v>
      </c>
      <c r="AD172" s="111" t="n">
        <f aca="false">Inputs!$C$21*(1+Inputs!$C$23)^(AD$95-1)*MAX(0,MIN(1,AD$94*1-Inputs!$C$24+1))/1</f>
        <v>3.5</v>
      </c>
      <c r="AE172" s="111" t="n">
        <f aca="false">Inputs!$C$21*(1+Inputs!$C$23)^(AE$95-1)*MAX(0,MIN(1,AE$94*1-Inputs!$C$24+1))/1</f>
        <v>3.5</v>
      </c>
      <c r="AF172" s="111" t="n">
        <f aca="false">Inputs!$C$21*(1+Inputs!$C$23)^(AF$95-1)*MAX(0,MIN(1,AF$94*1-Inputs!$C$24+1))/1</f>
        <v>3.5</v>
      </c>
      <c r="AG172" s="111" t="n">
        <f aca="false">Inputs!$C$21*(1+Inputs!$C$23)^(AG$95-1)*MAX(0,MIN(1,AG$94*1-Inputs!$C$24+1))/1</f>
        <v>3.5</v>
      </c>
      <c r="AH172" s="111" t="n">
        <f aca="false">Inputs!$C$21*(1+Inputs!$C$23)^(AH$95-1)*MAX(0,MIN(1,AH$94*1-Inputs!$C$24+1))/1</f>
        <v>3.5</v>
      </c>
      <c r="AI172" s="111" t="n">
        <f aca="false">Inputs!$C$21*(1+Inputs!$C$23)^(AI$95-1)*MAX(0,MIN(1,AI$94*1-Inputs!$C$24+1))/1</f>
        <v>3.5</v>
      </c>
      <c r="AJ172" s="111" t="n">
        <f aca="false">Inputs!$C$21*(1+Inputs!$C$23)^(AJ$95-1)*MAX(0,MIN(1,AJ$94*1-Inputs!$C$24+1))/1</f>
        <v>3.5</v>
      </c>
      <c r="AK172" s="111" t="n">
        <f aca="false">Inputs!$C$21*(1+Inputs!$C$23)^(AK$95-1)*MAX(0,MIN(1,AK$94*1-Inputs!$C$24+1))/1</f>
        <v>3.5</v>
      </c>
      <c r="AL172" s="111" t="n">
        <f aca="false">Inputs!$C$21*(1+Inputs!$C$23)^(AL$95-1)*MAX(0,MIN(1,AL$94*1-Inputs!$C$24+1))/1</f>
        <v>3.5</v>
      </c>
    </row>
    <row r="173" customFormat="false" ht="15" hidden="false" customHeight="false" outlineLevel="0" collapsed="false">
      <c r="A173" s="108" t="s">
        <v>364</v>
      </c>
      <c r="C173" s="115" t="n">
        <f aca="false">C172</f>
        <v>3.5</v>
      </c>
      <c r="D173" s="115" t="n">
        <f aca="false">D172</f>
        <v>3.5</v>
      </c>
      <c r="E173" s="115" t="n">
        <f aca="false">E172</f>
        <v>3.5</v>
      </c>
      <c r="F173" s="115" t="n">
        <f aca="false">F172</f>
        <v>3.5</v>
      </c>
      <c r="G173" s="115" t="n">
        <f aca="false">G172</f>
        <v>3.5</v>
      </c>
      <c r="H173" s="115" t="n">
        <f aca="false">H172</f>
        <v>3.5</v>
      </c>
      <c r="I173" s="115" t="n">
        <f aca="false">I172</f>
        <v>3.5</v>
      </c>
      <c r="J173" s="115" t="n">
        <f aca="false">J172</f>
        <v>3.5</v>
      </c>
      <c r="K173" s="115" t="n">
        <f aca="false">K172</f>
        <v>3.5</v>
      </c>
      <c r="L173" s="115" t="n">
        <f aca="false">L172</f>
        <v>3.5</v>
      </c>
      <c r="M173" s="115" t="n">
        <f aca="false">M172</f>
        <v>3.5</v>
      </c>
      <c r="N173" s="115" t="n">
        <f aca="false">N172</f>
        <v>3.5</v>
      </c>
      <c r="O173" s="115" t="n">
        <f aca="false">O172</f>
        <v>3.5</v>
      </c>
      <c r="P173" s="115" t="n">
        <f aca="false">P172</f>
        <v>3.5</v>
      </c>
      <c r="Q173" s="115" t="n">
        <f aca="false">Q172</f>
        <v>3.5</v>
      </c>
      <c r="R173" s="115" t="n">
        <f aca="false">R172</f>
        <v>3.5</v>
      </c>
      <c r="S173" s="115" t="n">
        <f aca="false">S172</f>
        <v>3.5</v>
      </c>
      <c r="T173" s="115" t="n">
        <f aca="false">T172</f>
        <v>3.5</v>
      </c>
      <c r="U173" s="115" t="n">
        <f aca="false">U172</f>
        <v>3.5</v>
      </c>
      <c r="V173" s="115" t="n">
        <f aca="false">V172</f>
        <v>3.5</v>
      </c>
      <c r="W173" s="115" t="n">
        <f aca="false">W172</f>
        <v>3.5</v>
      </c>
      <c r="X173" s="115" t="n">
        <f aca="false">X172</f>
        <v>3.5</v>
      </c>
      <c r="Y173" s="115" t="n">
        <f aca="false">Y172</f>
        <v>3.5</v>
      </c>
      <c r="Z173" s="115" t="n">
        <f aca="false">Z172</f>
        <v>3.5</v>
      </c>
      <c r="AA173" s="115" t="n">
        <f aca="false">AA172</f>
        <v>3.5</v>
      </c>
      <c r="AB173" s="115" t="n">
        <f aca="false">AB172</f>
        <v>3.5</v>
      </c>
      <c r="AC173" s="115" t="n">
        <f aca="false">AC172</f>
        <v>3.5</v>
      </c>
      <c r="AD173" s="115" t="n">
        <f aca="false">AD172</f>
        <v>3.5</v>
      </c>
      <c r="AE173" s="115" t="n">
        <f aca="false">AE172</f>
        <v>3.5</v>
      </c>
      <c r="AF173" s="115" t="n">
        <f aca="false">AF172</f>
        <v>3.5</v>
      </c>
      <c r="AG173" s="115" t="n">
        <f aca="false">AG172</f>
        <v>3.5</v>
      </c>
      <c r="AH173" s="115" t="n">
        <f aca="false">AH172</f>
        <v>3.5</v>
      </c>
      <c r="AI173" s="115" t="n">
        <f aca="false">AI172</f>
        <v>3.5</v>
      </c>
      <c r="AJ173" s="115" t="n">
        <f aca="false">AJ172</f>
        <v>3.5</v>
      </c>
      <c r="AK173" s="115" t="n">
        <f aca="false">AK172</f>
        <v>3.5</v>
      </c>
      <c r="AL173" s="115" t="n">
        <f aca="false">AL172</f>
        <v>3.5</v>
      </c>
    </row>
    <row r="175" customFormat="false" ht="15.75" hidden="false" customHeight="true" outlineLevel="0" collapsed="false">
      <c r="A175" s="7" t="s">
        <v>365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366</v>
      </c>
      <c r="C176" s="65" t="n">
        <f aca="false">-C172*Inputs!$C$22/12*1*(1+Inputs!$C$25)*(1+Inputs!$C$26)^(C$95-1)</f>
        <v>-10453.3333333333</v>
      </c>
      <c r="D176" s="65" t="n">
        <f aca="false">-D172*Inputs!$C$22/12*1*(1+Inputs!$C$25)*(1+Inputs!$C$26)^(D$95-1)</f>
        <v>-10453.3333333333</v>
      </c>
      <c r="E176" s="65" t="n">
        <f aca="false">-E172*Inputs!$C$22/12*1*(1+Inputs!$C$25)*(1+Inputs!$C$26)^(E$95-1)</f>
        <v>-10453.3333333333</v>
      </c>
      <c r="F176" s="65" t="n">
        <f aca="false">-F172*Inputs!$C$22/12*1*(1+Inputs!$C$25)*(1+Inputs!$C$26)^(F$95-1)</f>
        <v>-10453.3333333333</v>
      </c>
      <c r="G176" s="65" t="n">
        <f aca="false">-G172*Inputs!$C$22/12*1*(1+Inputs!$C$25)*(1+Inputs!$C$26)^(G$95-1)</f>
        <v>-10453.3333333333</v>
      </c>
      <c r="H176" s="65" t="n">
        <f aca="false">-H172*Inputs!$C$22/12*1*(1+Inputs!$C$25)*(1+Inputs!$C$26)^(H$95-1)</f>
        <v>-10453.3333333333</v>
      </c>
      <c r="I176" s="65" t="n">
        <f aca="false">-I172*Inputs!$C$22/12*1*(1+Inputs!$C$25)*(1+Inputs!$C$26)^(I$95-1)</f>
        <v>-10453.3333333333</v>
      </c>
      <c r="J176" s="65" t="n">
        <f aca="false">-J172*Inputs!$C$22/12*1*(1+Inputs!$C$25)*(1+Inputs!$C$26)^(J$95-1)</f>
        <v>-10453.3333333333</v>
      </c>
      <c r="K176" s="65" t="n">
        <f aca="false">-K172*Inputs!$C$22/12*1*(1+Inputs!$C$25)*(1+Inputs!$C$26)^(K$95-1)</f>
        <v>-10453.3333333333</v>
      </c>
      <c r="L176" s="65" t="n">
        <f aca="false">-L172*Inputs!$C$22/12*1*(1+Inputs!$C$25)*(1+Inputs!$C$26)^(L$95-1)</f>
        <v>-10453.3333333333</v>
      </c>
      <c r="M176" s="65" t="n">
        <f aca="false">-M172*Inputs!$C$22/12*1*(1+Inputs!$C$25)*(1+Inputs!$C$26)^(M$95-1)</f>
        <v>-10453.3333333333</v>
      </c>
      <c r="N176" s="65" t="n">
        <f aca="false">-N172*Inputs!$C$22/12*1*(1+Inputs!$C$25)*(1+Inputs!$C$26)^(N$95-1)</f>
        <v>-10453.3333333333</v>
      </c>
      <c r="O176" s="65" t="n">
        <f aca="false">-O172*Inputs!$C$22/12*1*(1+Inputs!$C$25)*(1+Inputs!$C$26)^(O$95-1)</f>
        <v>-10766.9333333333</v>
      </c>
      <c r="P176" s="65" t="n">
        <f aca="false">-P172*Inputs!$C$22/12*1*(1+Inputs!$C$25)*(1+Inputs!$C$26)^(P$95-1)</f>
        <v>-10766.9333333333</v>
      </c>
      <c r="Q176" s="65" t="n">
        <f aca="false">-Q172*Inputs!$C$22/12*1*(1+Inputs!$C$25)*(1+Inputs!$C$26)^(Q$95-1)</f>
        <v>-10766.9333333333</v>
      </c>
      <c r="R176" s="65" t="n">
        <f aca="false">-R172*Inputs!$C$22/12*1*(1+Inputs!$C$25)*(1+Inputs!$C$26)^(R$95-1)</f>
        <v>-10766.9333333333</v>
      </c>
      <c r="S176" s="65" t="n">
        <f aca="false">-S172*Inputs!$C$22/12*1*(1+Inputs!$C$25)*(1+Inputs!$C$26)^(S$95-1)</f>
        <v>-10766.9333333333</v>
      </c>
      <c r="T176" s="65" t="n">
        <f aca="false">-T172*Inputs!$C$22/12*1*(1+Inputs!$C$25)*(1+Inputs!$C$26)^(T$95-1)</f>
        <v>-10766.9333333333</v>
      </c>
      <c r="U176" s="65" t="n">
        <f aca="false">-U172*Inputs!$C$22/12*1*(1+Inputs!$C$25)*(1+Inputs!$C$26)^(U$95-1)</f>
        <v>-10766.9333333333</v>
      </c>
      <c r="V176" s="65" t="n">
        <f aca="false">-V172*Inputs!$C$22/12*1*(1+Inputs!$C$25)*(1+Inputs!$C$26)^(V$95-1)</f>
        <v>-10766.9333333333</v>
      </c>
      <c r="W176" s="65" t="n">
        <f aca="false">-W172*Inputs!$C$22/12*1*(1+Inputs!$C$25)*(1+Inputs!$C$26)^(W$95-1)</f>
        <v>-10766.9333333333</v>
      </c>
      <c r="X176" s="65" t="n">
        <f aca="false">-X172*Inputs!$C$22/12*1*(1+Inputs!$C$25)*(1+Inputs!$C$26)^(X$95-1)</f>
        <v>-10766.9333333333</v>
      </c>
      <c r="Y176" s="65" t="n">
        <f aca="false">-Y172*Inputs!$C$22/12*1*(1+Inputs!$C$25)*(1+Inputs!$C$26)^(Y$95-1)</f>
        <v>-10766.9333333333</v>
      </c>
      <c r="Z176" s="65" t="n">
        <f aca="false">-Z172*Inputs!$C$22/12*1*(1+Inputs!$C$25)*(1+Inputs!$C$26)^(Z$95-1)</f>
        <v>-10766.9333333333</v>
      </c>
      <c r="AA176" s="65" t="n">
        <f aca="false">-AA172*Inputs!$C$22/12*1*(1+Inputs!$C$25)*(1+Inputs!$C$26)^(AA$95-1)</f>
        <v>-11089.9413333333</v>
      </c>
      <c r="AB176" s="65" t="n">
        <f aca="false">-AB172*Inputs!$C$22/12*1*(1+Inputs!$C$25)*(1+Inputs!$C$26)^(AB$95-1)</f>
        <v>-11089.9413333333</v>
      </c>
      <c r="AC176" s="65" t="n">
        <f aca="false">-AC172*Inputs!$C$22/12*1*(1+Inputs!$C$25)*(1+Inputs!$C$26)^(AC$95-1)</f>
        <v>-11089.9413333333</v>
      </c>
      <c r="AD176" s="65" t="n">
        <f aca="false">-AD172*Inputs!$C$22/12*1*(1+Inputs!$C$25)*(1+Inputs!$C$26)^(AD$95-1)</f>
        <v>-11089.9413333333</v>
      </c>
      <c r="AE176" s="65" t="n">
        <f aca="false">-AE172*Inputs!$C$22/12*1*(1+Inputs!$C$25)*(1+Inputs!$C$26)^(AE$95-1)</f>
        <v>-11089.9413333333</v>
      </c>
      <c r="AF176" s="65" t="n">
        <f aca="false">-AF172*Inputs!$C$22/12*1*(1+Inputs!$C$25)*(1+Inputs!$C$26)^(AF$95-1)</f>
        <v>-11089.9413333333</v>
      </c>
      <c r="AG176" s="65" t="n">
        <f aca="false">-AG172*Inputs!$C$22/12*1*(1+Inputs!$C$25)*(1+Inputs!$C$26)^(AG$95-1)</f>
        <v>-11089.9413333333</v>
      </c>
      <c r="AH176" s="65" t="n">
        <f aca="false">-AH172*Inputs!$C$22/12*1*(1+Inputs!$C$25)*(1+Inputs!$C$26)^(AH$95-1)</f>
        <v>-11089.9413333333</v>
      </c>
      <c r="AI176" s="65" t="n">
        <f aca="false">-AI172*Inputs!$C$22/12*1*(1+Inputs!$C$25)*(1+Inputs!$C$26)^(AI$95-1)</f>
        <v>-11089.9413333333</v>
      </c>
      <c r="AJ176" s="65" t="n">
        <f aca="false">-AJ172*Inputs!$C$22/12*1*(1+Inputs!$C$25)*(1+Inputs!$C$26)^(AJ$95-1)</f>
        <v>-11089.9413333333</v>
      </c>
      <c r="AK176" s="65" t="n">
        <f aca="false">-AK172*Inputs!$C$22/12*1*(1+Inputs!$C$25)*(1+Inputs!$C$26)^(AK$95-1)</f>
        <v>-11089.9413333333</v>
      </c>
      <c r="AL176" s="65" t="n">
        <f aca="false">-AL172*Inputs!$C$22/12*1*(1+Inputs!$C$25)*(1+Inputs!$C$26)^(AL$95-1)</f>
        <v>-11089.9413333333</v>
      </c>
    </row>
    <row r="177" customFormat="false" ht="15" hidden="false" customHeight="false" outlineLevel="0" collapsed="false">
      <c r="A177" s="108" t="s">
        <v>367</v>
      </c>
      <c r="C177" s="66" t="n">
        <f aca="false">C176</f>
        <v>-10453.3333333333</v>
      </c>
      <c r="D177" s="66" t="n">
        <f aca="false">D176</f>
        <v>-10453.3333333333</v>
      </c>
      <c r="E177" s="66" t="n">
        <f aca="false">E176</f>
        <v>-10453.3333333333</v>
      </c>
      <c r="F177" s="66" t="n">
        <f aca="false">F176</f>
        <v>-10453.3333333333</v>
      </c>
      <c r="G177" s="66" t="n">
        <f aca="false">G176</f>
        <v>-10453.3333333333</v>
      </c>
      <c r="H177" s="66" t="n">
        <f aca="false">H176</f>
        <v>-10453.3333333333</v>
      </c>
      <c r="I177" s="66" t="n">
        <f aca="false">I176</f>
        <v>-10453.3333333333</v>
      </c>
      <c r="J177" s="66" t="n">
        <f aca="false">J176</f>
        <v>-10453.3333333333</v>
      </c>
      <c r="K177" s="66" t="n">
        <f aca="false">K176</f>
        <v>-10453.3333333333</v>
      </c>
      <c r="L177" s="66" t="n">
        <f aca="false">L176</f>
        <v>-10453.3333333333</v>
      </c>
      <c r="M177" s="66" t="n">
        <f aca="false">M176</f>
        <v>-10453.3333333333</v>
      </c>
      <c r="N177" s="66" t="n">
        <f aca="false">N176</f>
        <v>-10453.3333333333</v>
      </c>
      <c r="O177" s="66" t="n">
        <f aca="false">O176</f>
        <v>-10766.9333333333</v>
      </c>
      <c r="P177" s="66" t="n">
        <f aca="false">P176</f>
        <v>-10766.9333333333</v>
      </c>
      <c r="Q177" s="66" t="n">
        <f aca="false">Q176</f>
        <v>-10766.9333333333</v>
      </c>
      <c r="R177" s="66" t="n">
        <f aca="false">R176</f>
        <v>-10766.9333333333</v>
      </c>
      <c r="S177" s="66" t="n">
        <f aca="false">S176</f>
        <v>-10766.9333333333</v>
      </c>
      <c r="T177" s="66" t="n">
        <f aca="false">T176</f>
        <v>-10766.9333333333</v>
      </c>
      <c r="U177" s="66" t="n">
        <f aca="false">U176</f>
        <v>-10766.9333333333</v>
      </c>
      <c r="V177" s="66" t="n">
        <f aca="false">V176</f>
        <v>-10766.9333333333</v>
      </c>
      <c r="W177" s="66" t="n">
        <f aca="false">W176</f>
        <v>-10766.9333333333</v>
      </c>
      <c r="X177" s="66" t="n">
        <f aca="false">X176</f>
        <v>-10766.9333333333</v>
      </c>
      <c r="Y177" s="66" t="n">
        <f aca="false">Y176</f>
        <v>-10766.9333333333</v>
      </c>
      <c r="Z177" s="66" t="n">
        <f aca="false">Z176</f>
        <v>-10766.9333333333</v>
      </c>
      <c r="AA177" s="66" t="n">
        <f aca="false">AA176</f>
        <v>-11089.9413333333</v>
      </c>
      <c r="AB177" s="66" t="n">
        <f aca="false">AB176</f>
        <v>-11089.9413333333</v>
      </c>
      <c r="AC177" s="66" t="n">
        <f aca="false">AC176</f>
        <v>-11089.9413333333</v>
      </c>
      <c r="AD177" s="66" t="n">
        <f aca="false">AD176</f>
        <v>-11089.9413333333</v>
      </c>
      <c r="AE177" s="66" t="n">
        <f aca="false">AE176</f>
        <v>-11089.9413333333</v>
      </c>
      <c r="AF177" s="66" t="n">
        <f aca="false">AF176</f>
        <v>-11089.9413333333</v>
      </c>
      <c r="AG177" s="66" t="n">
        <f aca="false">AG176</f>
        <v>-11089.9413333333</v>
      </c>
      <c r="AH177" s="66" t="n">
        <f aca="false">AH176</f>
        <v>-11089.9413333333</v>
      </c>
      <c r="AI177" s="66" t="n">
        <f aca="false">AI176</f>
        <v>-11089.9413333333</v>
      </c>
      <c r="AJ177" s="66" t="n">
        <f aca="false">AJ176</f>
        <v>-11089.9413333333</v>
      </c>
      <c r="AK177" s="66" t="n">
        <f aca="false">AK176</f>
        <v>-11089.9413333333</v>
      </c>
      <c r="AL177" s="66" t="n">
        <f aca="false">AL176</f>
        <v>-11089.9413333333</v>
      </c>
    </row>
    <row r="180" customFormat="false" ht="15.75" hidden="false" customHeight="true" outlineLevel="0" collapsed="false">
      <c r="A180" s="7" t="s">
        <v>372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customFormat="false" ht="15" hidden="false" customHeight="false" outlineLevel="0" collapsed="false">
      <c r="A181" s="33" t="s">
        <v>296</v>
      </c>
      <c r="C181" s="35" t="s">
        <v>297</v>
      </c>
      <c r="D181" s="35" t="s">
        <v>298</v>
      </c>
      <c r="E181" s="35" t="s">
        <v>299</v>
      </c>
      <c r="F181" s="35" t="s">
        <v>300</v>
      </c>
      <c r="G181" s="35" t="s">
        <v>301</v>
      </c>
      <c r="H181" s="35" t="s">
        <v>302</v>
      </c>
      <c r="I181" s="35" t="s">
        <v>303</v>
      </c>
      <c r="J181" s="35" t="s">
        <v>304</v>
      </c>
      <c r="K181" s="35" t="s">
        <v>305</v>
      </c>
      <c r="L181" s="35" t="s">
        <v>306</v>
      </c>
      <c r="M181" s="35" t="s">
        <v>307</v>
      </c>
      <c r="N181" s="35" t="s">
        <v>308</v>
      </c>
      <c r="O181" s="35" t="s">
        <v>309</v>
      </c>
      <c r="P181" s="35" t="s">
        <v>310</v>
      </c>
      <c r="Q181" s="35" t="s">
        <v>311</v>
      </c>
      <c r="R181" s="35" t="s">
        <v>312</v>
      </c>
      <c r="S181" s="35" t="s">
        <v>313</v>
      </c>
      <c r="T181" s="35" t="s">
        <v>314</v>
      </c>
      <c r="U181" s="35" t="s">
        <v>315</v>
      </c>
      <c r="V181" s="35" t="s">
        <v>316</v>
      </c>
      <c r="W181" s="35" t="s">
        <v>317</v>
      </c>
      <c r="X181" s="35" t="s">
        <v>318</v>
      </c>
      <c r="Y181" s="35" t="s">
        <v>319</v>
      </c>
      <c r="Z181" s="35" t="s">
        <v>320</v>
      </c>
      <c r="AA181" s="35" t="s">
        <v>321</v>
      </c>
      <c r="AB181" s="35" t="s">
        <v>322</v>
      </c>
      <c r="AC181" s="35" t="s">
        <v>323</v>
      </c>
      <c r="AD181" s="35" t="s">
        <v>324</v>
      </c>
      <c r="AE181" s="35" t="s">
        <v>325</v>
      </c>
      <c r="AF181" s="35" t="s">
        <v>326</v>
      </c>
      <c r="AG181" s="35" t="s">
        <v>327</v>
      </c>
      <c r="AH181" s="35" t="s">
        <v>328</v>
      </c>
      <c r="AI181" s="35" t="s">
        <v>329</v>
      </c>
      <c r="AJ181" s="35" t="s">
        <v>330</v>
      </c>
      <c r="AK181" s="35" t="s">
        <v>331</v>
      </c>
      <c r="AL181" s="35" t="s">
        <v>332</v>
      </c>
    </row>
    <row r="182" customFormat="false" ht="15" hidden="false" customHeight="false" outlineLevel="0" collapsed="false">
      <c r="A182" s="70" t="s">
        <v>333</v>
      </c>
      <c r="C182" s="70" t="n">
        <v>1</v>
      </c>
      <c r="D182" s="70" t="n">
        <v>2</v>
      </c>
      <c r="E182" s="70" t="n">
        <v>3</v>
      </c>
      <c r="F182" s="70" t="n">
        <v>4</v>
      </c>
      <c r="G182" s="70" t="n">
        <v>5</v>
      </c>
      <c r="H182" s="70" t="n">
        <v>6</v>
      </c>
      <c r="I182" s="70" t="n">
        <v>7</v>
      </c>
      <c r="J182" s="70" t="n">
        <v>8</v>
      </c>
      <c r="K182" s="70" t="n">
        <v>9</v>
      </c>
      <c r="L182" s="70" t="n">
        <v>10</v>
      </c>
      <c r="M182" s="70" t="n">
        <v>11</v>
      </c>
      <c r="N182" s="70" t="n">
        <v>12</v>
      </c>
      <c r="O182" s="70" t="n">
        <v>13</v>
      </c>
      <c r="P182" s="70" t="n">
        <v>14</v>
      </c>
      <c r="Q182" s="70" t="n">
        <v>15</v>
      </c>
      <c r="R182" s="70" t="n">
        <v>16</v>
      </c>
      <c r="S182" s="70" t="n">
        <v>17</v>
      </c>
      <c r="T182" s="70" t="n">
        <v>18</v>
      </c>
      <c r="U182" s="70" t="n">
        <v>19</v>
      </c>
      <c r="V182" s="70" t="n">
        <v>20</v>
      </c>
      <c r="W182" s="70" t="n">
        <v>21</v>
      </c>
      <c r="X182" s="70" t="n">
        <v>22</v>
      </c>
      <c r="Y182" s="70" t="n">
        <v>23</v>
      </c>
      <c r="Z182" s="70" t="n">
        <v>24</v>
      </c>
      <c r="AA182" s="70" t="n">
        <v>25</v>
      </c>
      <c r="AB182" s="70" t="n">
        <v>26</v>
      </c>
      <c r="AC182" s="70" t="n">
        <v>27</v>
      </c>
      <c r="AD182" s="70" t="n">
        <v>28</v>
      </c>
      <c r="AE182" s="70" t="n">
        <v>29</v>
      </c>
      <c r="AF182" s="70" t="n">
        <v>30</v>
      </c>
      <c r="AG182" s="70" t="n">
        <v>31</v>
      </c>
      <c r="AH182" s="70" t="n">
        <v>32</v>
      </c>
      <c r="AI182" s="70" t="n">
        <v>33</v>
      </c>
      <c r="AJ182" s="70" t="n">
        <v>34</v>
      </c>
      <c r="AK182" s="70" t="n">
        <v>35</v>
      </c>
      <c r="AL182" s="70" t="n">
        <v>36</v>
      </c>
    </row>
    <row r="183" customFormat="false" ht="15" hidden="false" customHeight="false" outlineLevel="0" collapsed="false">
      <c r="A183" s="70" t="s">
        <v>152</v>
      </c>
      <c r="C183" s="70" t="n">
        <f aca="false">ROUNDUP(C182*1/12,0)</f>
        <v>1</v>
      </c>
      <c r="D183" s="70" t="n">
        <f aca="false">ROUNDUP(D182*1/12,0)</f>
        <v>1</v>
      </c>
      <c r="E183" s="70" t="n">
        <f aca="false">ROUNDUP(E182*1/12,0)</f>
        <v>1</v>
      </c>
      <c r="F183" s="70" t="n">
        <f aca="false">ROUNDUP(F182*1/12,0)</f>
        <v>1</v>
      </c>
      <c r="G183" s="70" t="n">
        <f aca="false">ROUNDUP(G182*1/12,0)</f>
        <v>1</v>
      </c>
      <c r="H183" s="70" t="n">
        <f aca="false">ROUNDUP(H182*1/12,0)</f>
        <v>1</v>
      </c>
      <c r="I183" s="70" t="n">
        <f aca="false">ROUNDUP(I182*1/12,0)</f>
        <v>1</v>
      </c>
      <c r="J183" s="70" t="n">
        <f aca="false">ROUNDUP(J182*1/12,0)</f>
        <v>1</v>
      </c>
      <c r="K183" s="70" t="n">
        <f aca="false">ROUNDUP(K182*1/12,0)</f>
        <v>1</v>
      </c>
      <c r="L183" s="70" t="n">
        <f aca="false">ROUNDUP(L182*1/12,0)</f>
        <v>1</v>
      </c>
      <c r="M183" s="70" t="n">
        <f aca="false">ROUNDUP(M182*1/12,0)</f>
        <v>1</v>
      </c>
      <c r="N183" s="70" t="n">
        <f aca="false">ROUNDUP(N182*1/12,0)</f>
        <v>1</v>
      </c>
      <c r="O183" s="70" t="n">
        <f aca="false">ROUNDUP(O182*1/12,0)</f>
        <v>2</v>
      </c>
      <c r="P183" s="70" t="n">
        <f aca="false">ROUNDUP(P182*1/12,0)</f>
        <v>2</v>
      </c>
      <c r="Q183" s="70" t="n">
        <f aca="false">ROUNDUP(Q182*1/12,0)</f>
        <v>2</v>
      </c>
      <c r="R183" s="70" t="n">
        <f aca="false">ROUNDUP(R182*1/12,0)</f>
        <v>2</v>
      </c>
      <c r="S183" s="70" t="n">
        <f aca="false">ROUNDUP(S182*1/12,0)</f>
        <v>2</v>
      </c>
      <c r="T183" s="70" t="n">
        <f aca="false">ROUNDUP(T182*1/12,0)</f>
        <v>2</v>
      </c>
      <c r="U183" s="70" t="n">
        <f aca="false">ROUNDUP(U182*1/12,0)</f>
        <v>2</v>
      </c>
      <c r="V183" s="70" t="n">
        <f aca="false">ROUNDUP(V182*1/12,0)</f>
        <v>2</v>
      </c>
      <c r="W183" s="70" t="n">
        <f aca="false">ROUNDUP(W182*1/12,0)</f>
        <v>2</v>
      </c>
      <c r="X183" s="70" t="n">
        <f aca="false">ROUNDUP(X182*1/12,0)</f>
        <v>2</v>
      </c>
      <c r="Y183" s="70" t="n">
        <f aca="false">ROUNDUP(Y182*1/12,0)</f>
        <v>2</v>
      </c>
      <c r="Z183" s="70" t="n">
        <f aca="false">ROUNDUP(Z182*1/12,0)</f>
        <v>2</v>
      </c>
      <c r="AA183" s="70" t="n">
        <f aca="false">ROUNDUP(AA182*1/12,0)</f>
        <v>3</v>
      </c>
      <c r="AB183" s="70" t="n">
        <f aca="false">ROUNDUP(AB182*1/12,0)</f>
        <v>3</v>
      </c>
      <c r="AC183" s="70" t="n">
        <f aca="false">ROUNDUP(AC182*1/12,0)</f>
        <v>3</v>
      </c>
      <c r="AD183" s="70" t="n">
        <f aca="false">ROUNDUP(AD182*1/12,0)</f>
        <v>3</v>
      </c>
      <c r="AE183" s="70" t="n">
        <f aca="false">ROUNDUP(AE182*1/12,0)</f>
        <v>3</v>
      </c>
      <c r="AF183" s="70" t="n">
        <f aca="false">ROUNDUP(AF182*1/12,0)</f>
        <v>3</v>
      </c>
      <c r="AG183" s="70" t="n">
        <f aca="false">ROUNDUP(AG182*1/12,0)</f>
        <v>3</v>
      </c>
      <c r="AH183" s="70" t="n">
        <f aca="false">ROUNDUP(AH182*1/12,0)</f>
        <v>3</v>
      </c>
      <c r="AI183" s="70" t="n">
        <f aca="false">ROUNDUP(AI182*1/12,0)</f>
        <v>3</v>
      </c>
      <c r="AJ183" s="70" t="n">
        <f aca="false">ROUNDUP(AJ182*1/12,0)</f>
        <v>3</v>
      </c>
      <c r="AK183" s="70" t="n">
        <f aca="false">ROUNDUP(AK182*1/12,0)</f>
        <v>3</v>
      </c>
      <c r="AL183" s="70" t="n">
        <f aca="false">ROUNDUP(AL182*1/12,0)</f>
        <v>3</v>
      </c>
    </row>
    <row r="185" customFormat="false" ht="15.75" hidden="false" customHeight="true" outlineLevel="0" collapsed="false">
      <c r="A185" s="7" t="s">
        <v>334</v>
      </c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</row>
    <row r="186" customFormat="false" ht="15" hidden="false" customHeight="false" outlineLevel="0" collapsed="false">
      <c r="A186" s="39" t="s">
        <v>335</v>
      </c>
      <c r="C186" s="72" t="n">
        <f aca="false">MIN(1,Inputs!$D$9+(1-Inputs!$D$9)*(C$182-1)/MAX(1,Inputs!$D$8))</f>
        <v>0.6</v>
      </c>
      <c r="D186" s="72" t="n">
        <f aca="false">MIN(1,Inputs!$D$9+(1-Inputs!$D$9)*(D$182-1)/MAX(1,Inputs!$D$8))</f>
        <v>0.7</v>
      </c>
      <c r="E186" s="72" t="n">
        <f aca="false">MIN(1,Inputs!$D$9+(1-Inputs!$D$9)*(E$182-1)/MAX(1,Inputs!$D$8))</f>
        <v>0.8</v>
      </c>
      <c r="F186" s="72" t="n">
        <f aca="false">MIN(1,Inputs!$D$9+(1-Inputs!$D$9)*(F$182-1)/MAX(1,Inputs!$D$8))</f>
        <v>0.9</v>
      </c>
      <c r="G186" s="72" t="n">
        <f aca="false">MIN(1,Inputs!$D$9+(1-Inputs!$D$9)*(G$182-1)/MAX(1,Inputs!$D$8))</f>
        <v>1</v>
      </c>
      <c r="H186" s="72" t="n">
        <f aca="false">MIN(1,Inputs!$D$9+(1-Inputs!$D$9)*(H$182-1)/MAX(1,Inputs!$D$8))</f>
        <v>1</v>
      </c>
      <c r="I186" s="72" t="n">
        <f aca="false">MIN(1,Inputs!$D$9+(1-Inputs!$D$9)*(I$182-1)/MAX(1,Inputs!$D$8))</f>
        <v>1</v>
      </c>
      <c r="J186" s="72" t="n">
        <f aca="false">MIN(1,Inputs!$D$9+(1-Inputs!$D$9)*(J$182-1)/MAX(1,Inputs!$D$8))</f>
        <v>1</v>
      </c>
      <c r="K186" s="72" t="n">
        <f aca="false">MIN(1,Inputs!$D$9+(1-Inputs!$D$9)*(K$182-1)/MAX(1,Inputs!$D$8))</f>
        <v>1</v>
      </c>
      <c r="L186" s="72" t="n">
        <f aca="false">MIN(1,Inputs!$D$9+(1-Inputs!$D$9)*(L$182-1)/MAX(1,Inputs!$D$8))</f>
        <v>1</v>
      </c>
      <c r="M186" s="72" t="n">
        <f aca="false">MIN(1,Inputs!$D$9+(1-Inputs!$D$9)*(M$182-1)/MAX(1,Inputs!$D$8))</f>
        <v>1</v>
      </c>
      <c r="N186" s="72" t="n">
        <f aca="false">MIN(1,Inputs!$D$9+(1-Inputs!$D$9)*(N$182-1)/MAX(1,Inputs!$D$8))</f>
        <v>1</v>
      </c>
      <c r="O186" s="72" t="n">
        <f aca="false">MIN(1,Inputs!$D$9+(1-Inputs!$D$9)*(O$182-1)/MAX(1,Inputs!$D$8))</f>
        <v>1</v>
      </c>
      <c r="P186" s="72" t="n">
        <f aca="false">MIN(1,Inputs!$D$9+(1-Inputs!$D$9)*(P$182-1)/MAX(1,Inputs!$D$8))</f>
        <v>1</v>
      </c>
      <c r="Q186" s="72" t="n">
        <f aca="false">MIN(1,Inputs!$D$9+(1-Inputs!$D$9)*(Q$182-1)/MAX(1,Inputs!$D$8))</f>
        <v>1</v>
      </c>
      <c r="R186" s="72" t="n">
        <f aca="false">MIN(1,Inputs!$D$9+(1-Inputs!$D$9)*(R$182-1)/MAX(1,Inputs!$D$8))</f>
        <v>1</v>
      </c>
      <c r="S186" s="72" t="n">
        <f aca="false">MIN(1,Inputs!$D$9+(1-Inputs!$D$9)*(S$182-1)/MAX(1,Inputs!$D$8))</f>
        <v>1</v>
      </c>
      <c r="T186" s="72" t="n">
        <f aca="false">MIN(1,Inputs!$D$9+(1-Inputs!$D$9)*(T$182-1)/MAX(1,Inputs!$D$8))</f>
        <v>1</v>
      </c>
      <c r="U186" s="72" t="n">
        <f aca="false">MIN(1,Inputs!$D$9+(1-Inputs!$D$9)*(U$182-1)/MAX(1,Inputs!$D$8))</f>
        <v>1</v>
      </c>
      <c r="V186" s="72" t="n">
        <f aca="false">MIN(1,Inputs!$D$9+(1-Inputs!$D$9)*(V$182-1)/MAX(1,Inputs!$D$8))</f>
        <v>1</v>
      </c>
      <c r="W186" s="72" t="n">
        <f aca="false">MIN(1,Inputs!$D$9+(1-Inputs!$D$9)*(W$182-1)/MAX(1,Inputs!$D$8))</f>
        <v>1</v>
      </c>
      <c r="X186" s="72" t="n">
        <f aca="false">MIN(1,Inputs!$D$9+(1-Inputs!$D$9)*(X$182-1)/MAX(1,Inputs!$D$8))</f>
        <v>1</v>
      </c>
      <c r="Y186" s="72" t="n">
        <f aca="false">MIN(1,Inputs!$D$9+(1-Inputs!$D$9)*(Y$182-1)/MAX(1,Inputs!$D$8))</f>
        <v>1</v>
      </c>
      <c r="Z186" s="72" t="n">
        <f aca="false">MIN(1,Inputs!$D$9+(1-Inputs!$D$9)*(Z$182-1)/MAX(1,Inputs!$D$8))</f>
        <v>1</v>
      </c>
      <c r="AA186" s="72" t="n">
        <f aca="false">MIN(1,Inputs!$D$9+(1-Inputs!$D$9)*(AA$182-1)/MAX(1,Inputs!$D$8))</f>
        <v>1</v>
      </c>
      <c r="AB186" s="72" t="n">
        <f aca="false">MIN(1,Inputs!$D$9+(1-Inputs!$D$9)*(AB$182-1)/MAX(1,Inputs!$D$8))</f>
        <v>1</v>
      </c>
      <c r="AC186" s="72" t="n">
        <f aca="false">MIN(1,Inputs!$D$9+(1-Inputs!$D$9)*(AC$182-1)/MAX(1,Inputs!$D$8))</f>
        <v>1</v>
      </c>
      <c r="AD186" s="72" t="n">
        <f aca="false">MIN(1,Inputs!$D$9+(1-Inputs!$D$9)*(AD$182-1)/MAX(1,Inputs!$D$8))</f>
        <v>1</v>
      </c>
      <c r="AE186" s="72" t="n">
        <f aca="false">MIN(1,Inputs!$D$9+(1-Inputs!$D$9)*(AE$182-1)/MAX(1,Inputs!$D$8))</f>
        <v>1</v>
      </c>
      <c r="AF186" s="72" t="n">
        <f aca="false">MIN(1,Inputs!$D$9+(1-Inputs!$D$9)*(AF$182-1)/MAX(1,Inputs!$D$8))</f>
        <v>1</v>
      </c>
      <c r="AG186" s="72" t="n">
        <f aca="false">MIN(1,Inputs!$D$9+(1-Inputs!$D$9)*(AG$182-1)/MAX(1,Inputs!$D$8))</f>
        <v>1</v>
      </c>
      <c r="AH186" s="72" t="n">
        <f aca="false">MIN(1,Inputs!$D$9+(1-Inputs!$D$9)*(AH$182-1)/MAX(1,Inputs!$D$8))</f>
        <v>1</v>
      </c>
      <c r="AI186" s="72" t="n">
        <f aca="false">MIN(1,Inputs!$D$9+(1-Inputs!$D$9)*(AI$182-1)/MAX(1,Inputs!$D$8))</f>
        <v>1</v>
      </c>
      <c r="AJ186" s="72" t="n">
        <f aca="false">MIN(1,Inputs!$D$9+(1-Inputs!$D$9)*(AJ$182-1)/MAX(1,Inputs!$D$8))</f>
        <v>1</v>
      </c>
      <c r="AK186" s="72" t="n">
        <f aca="false">MIN(1,Inputs!$D$9+(1-Inputs!$D$9)*(AK$182-1)/MAX(1,Inputs!$D$8))</f>
        <v>1</v>
      </c>
      <c r="AL186" s="72" t="n">
        <f aca="false">MIN(1,Inputs!$D$9+(1-Inputs!$D$9)*(AL$182-1)/MAX(1,Inputs!$D$8))</f>
        <v>1</v>
      </c>
    </row>
    <row r="187" customFormat="false" ht="15" hidden="false" customHeight="false" outlineLevel="0" collapsed="false">
      <c r="A187" s="6" t="s">
        <v>336</v>
      </c>
      <c r="C187" s="111" t="n">
        <f aca="false">Inputs!$D$7*C186*(1+Inputs!$D$10)^(C$183-1)</f>
        <v>126</v>
      </c>
      <c r="D187" s="111" t="n">
        <f aca="false">Inputs!$D$7*D186*(1+Inputs!$D$10)^(D$183-1)</f>
        <v>147</v>
      </c>
      <c r="E187" s="111" t="n">
        <f aca="false">Inputs!$D$7*E186*(1+Inputs!$D$10)^(E$183-1)</f>
        <v>168</v>
      </c>
      <c r="F187" s="111" t="n">
        <f aca="false">Inputs!$D$7*F186*(1+Inputs!$D$10)^(F$183-1)</f>
        <v>189</v>
      </c>
      <c r="G187" s="111" t="n">
        <f aca="false">Inputs!$D$7*G186*(1+Inputs!$D$10)^(G$183-1)</f>
        <v>210</v>
      </c>
      <c r="H187" s="111" t="n">
        <f aca="false">Inputs!$D$7*H186*(1+Inputs!$D$10)^(H$183-1)</f>
        <v>210</v>
      </c>
      <c r="I187" s="111" t="n">
        <f aca="false">Inputs!$D$7*I186*(1+Inputs!$D$10)^(I$183-1)</f>
        <v>210</v>
      </c>
      <c r="J187" s="111" t="n">
        <f aca="false">Inputs!$D$7*J186*(1+Inputs!$D$10)^(J$183-1)</f>
        <v>210</v>
      </c>
      <c r="K187" s="111" t="n">
        <f aca="false">Inputs!$D$7*K186*(1+Inputs!$D$10)^(K$183-1)</f>
        <v>210</v>
      </c>
      <c r="L187" s="111" t="n">
        <f aca="false">Inputs!$D$7*L186*(1+Inputs!$D$10)^(L$183-1)</f>
        <v>210</v>
      </c>
      <c r="M187" s="111" t="n">
        <f aca="false">Inputs!$D$7*M186*(1+Inputs!$D$10)^(M$183-1)</f>
        <v>210</v>
      </c>
      <c r="N187" s="111" t="n">
        <f aca="false">Inputs!$D$7*N186*(1+Inputs!$D$10)^(N$183-1)</f>
        <v>210</v>
      </c>
      <c r="O187" s="111" t="n">
        <f aca="false">Inputs!$D$7*O186*(1+Inputs!$D$10)^(O$183-1)</f>
        <v>228.9</v>
      </c>
      <c r="P187" s="111" t="n">
        <f aca="false">Inputs!$D$7*P186*(1+Inputs!$D$10)^(P$183-1)</f>
        <v>228.9</v>
      </c>
      <c r="Q187" s="111" t="n">
        <f aca="false">Inputs!$D$7*Q186*(1+Inputs!$D$10)^(Q$183-1)</f>
        <v>228.9</v>
      </c>
      <c r="R187" s="111" t="n">
        <f aca="false">Inputs!$D$7*R186*(1+Inputs!$D$10)^(R$183-1)</f>
        <v>228.9</v>
      </c>
      <c r="S187" s="111" t="n">
        <f aca="false">Inputs!$D$7*S186*(1+Inputs!$D$10)^(S$183-1)</f>
        <v>228.9</v>
      </c>
      <c r="T187" s="111" t="n">
        <f aca="false">Inputs!$D$7*T186*(1+Inputs!$D$10)^(T$183-1)</f>
        <v>228.9</v>
      </c>
      <c r="U187" s="111" t="n">
        <f aca="false">Inputs!$D$7*U186*(1+Inputs!$D$10)^(U$183-1)</f>
        <v>228.9</v>
      </c>
      <c r="V187" s="111" t="n">
        <f aca="false">Inputs!$D$7*V186*(1+Inputs!$D$10)^(V$183-1)</f>
        <v>228.9</v>
      </c>
      <c r="W187" s="111" t="n">
        <f aca="false">Inputs!$D$7*W186*(1+Inputs!$D$10)^(W$183-1)</f>
        <v>228.9</v>
      </c>
      <c r="X187" s="111" t="n">
        <f aca="false">Inputs!$D$7*X186*(1+Inputs!$D$10)^(X$183-1)</f>
        <v>228.9</v>
      </c>
      <c r="Y187" s="111" t="n">
        <f aca="false">Inputs!$D$7*Y186*(1+Inputs!$D$10)^(Y$183-1)</f>
        <v>228.9</v>
      </c>
      <c r="Z187" s="111" t="n">
        <f aca="false">Inputs!$D$7*Z186*(1+Inputs!$D$10)^(Z$183-1)</f>
        <v>228.9</v>
      </c>
      <c r="AA187" s="111" t="n">
        <f aca="false">Inputs!$D$7*AA186*(1+Inputs!$D$10)^(AA$183-1)</f>
        <v>249.501</v>
      </c>
      <c r="AB187" s="111" t="n">
        <f aca="false">Inputs!$D$7*AB186*(1+Inputs!$D$10)^(AB$183-1)</f>
        <v>249.501</v>
      </c>
      <c r="AC187" s="111" t="n">
        <f aca="false">Inputs!$D$7*AC186*(1+Inputs!$D$10)^(AC$183-1)</f>
        <v>249.501</v>
      </c>
      <c r="AD187" s="111" t="n">
        <f aca="false">Inputs!$D$7*AD186*(1+Inputs!$D$10)^(AD$183-1)</f>
        <v>249.501</v>
      </c>
      <c r="AE187" s="111" t="n">
        <f aca="false">Inputs!$D$7*AE186*(1+Inputs!$D$10)^(AE$183-1)</f>
        <v>249.501</v>
      </c>
      <c r="AF187" s="111" t="n">
        <f aca="false">Inputs!$D$7*AF186*(1+Inputs!$D$10)^(AF$183-1)</f>
        <v>249.501</v>
      </c>
      <c r="AG187" s="111" t="n">
        <f aca="false">Inputs!$D$7*AG186*(1+Inputs!$D$10)^(AG$183-1)</f>
        <v>249.501</v>
      </c>
      <c r="AH187" s="111" t="n">
        <f aca="false">Inputs!$D$7*AH186*(1+Inputs!$D$10)^(AH$183-1)</f>
        <v>249.501</v>
      </c>
      <c r="AI187" s="111" t="n">
        <f aca="false">Inputs!$D$7*AI186*(1+Inputs!$D$10)^(AI$183-1)</f>
        <v>249.501</v>
      </c>
      <c r="AJ187" s="111" t="n">
        <f aca="false">Inputs!$D$7*AJ186*(1+Inputs!$D$10)^(AJ$183-1)</f>
        <v>249.501</v>
      </c>
      <c r="AK187" s="111" t="n">
        <f aca="false">Inputs!$D$7*AK186*(1+Inputs!$D$10)^(AK$183-1)</f>
        <v>249.501</v>
      </c>
      <c r="AL187" s="111" t="n">
        <f aca="false">Inputs!$D$7*AL186*(1+Inputs!$D$10)^(AL$183-1)</f>
        <v>249.501</v>
      </c>
    </row>
    <row r="188" customFormat="false" ht="15" hidden="false" customHeight="false" outlineLevel="0" collapsed="false">
      <c r="A188" s="6" t="s">
        <v>244</v>
      </c>
      <c r="C188" s="112" t="n">
        <f aca="false">Inputs!$D$11*(1+Inputs!$D$12)^(C$183-1)</f>
        <v>7.5</v>
      </c>
      <c r="D188" s="112" t="n">
        <f aca="false">Inputs!$D$11*(1+Inputs!$D$12)^(D$183-1)</f>
        <v>7.5</v>
      </c>
      <c r="E188" s="112" t="n">
        <f aca="false">Inputs!$D$11*(1+Inputs!$D$12)^(E$183-1)</f>
        <v>7.5</v>
      </c>
      <c r="F188" s="112" t="n">
        <f aca="false">Inputs!$D$11*(1+Inputs!$D$12)^(F$183-1)</f>
        <v>7.5</v>
      </c>
      <c r="G188" s="112" t="n">
        <f aca="false">Inputs!$D$11*(1+Inputs!$D$12)^(G$183-1)</f>
        <v>7.5</v>
      </c>
      <c r="H188" s="112" t="n">
        <f aca="false">Inputs!$D$11*(1+Inputs!$D$12)^(H$183-1)</f>
        <v>7.5</v>
      </c>
      <c r="I188" s="112" t="n">
        <f aca="false">Inputs!$D$11*(1+Inputs!$D$12)^(I$183-1)</f>
        <v>7.5</v>
      </c>
      <c r="J188" s="112" t="n">
        <f aca="false">Inputs!$D$11*(1+Inputs!$D$12)^(J$183-1)</f>
        <v>7.5</v>
      </c>
      <c r="K188" s="112" t="n">
        <f aca="false">Inputs!$D$11*(1+Inputs!$D$12)^(K$183-1)</f>
        <v>7.5</v>
      </c>
      <c r="L188" s="112" t="n">
        <f aca="false">Inputs!$D$11*(1+Inputs!$D$12)^(L$183-1)</f>
        <v>7.5</v>
      </c>
      <c r="M188" s="112" t="n">
        <f aca="false">Inputs!$D$11*(1+Inputs!$D$12)^(M$183-1)</f>
        <v>7.5</v>
      </c>
      <c r="N188" s="112" t="n">
        <f aca="false">Inputs!$D$11*(1+Inputs!$D$12)^(N$183-1)</f>
        <v>7.5</v>
      </c>
      <c r="O188" s="112" t="n">
        <f aca="false">Inputs!$D$11*(1+Inputs!$D$12)^(O$183-1)</f>
        <v>7.8</v>
      </c>
      <c r="P188" s="112" t="n">
        <f aca="false">Inputs!$D$11*(1+Inputs!$D$12)^(P$183-1)</f>
        <v>7.8</v>
      </c>
      <c r="Q188" s="112" t="n">
        <f aca="false">Inputs!$D$11*(1+Inputs!$D$12)^(Q$183-1)</f>
        <v>7.8</v>
      </c>
      <c r="R188" s="112" t="n">
        <f aca="false">Inputs!$D$11*(1+Inputs!$D$12)^(R$183-1)</f>
        <v>7.8</v>
      </c>
      <c r="S188" s="112" t="n">
        <f aca="false">Inputs!$D$11*(1+Inputs!$D$12)^(S$183-1)</f>
        <v>7.8</v>
      </c>
      <c r="T188" s="112" t="n">
        <f aca="false">Inputs!$D$11*(1+Inputs!$D$12)^(T$183-1)</f>
        <v>7.8</v>
      </c>
      <c r="U188" s="112" t="n">
        <f aca="false">Inputs!$D$11*(1+Inputs!$D$12)^(U$183-1)</f>
        <v>7.8</v>
      </c>
      <c r="V188" s="112" t="n">
        <f aca="false">Inputs!$D$11*(1+Inputs!$D$12)^(V$183-1)</f>
        <v>7.8</v>
      </c>
      <c r="W188" s="112" t="n">
        <f aca="false">Inputs!$D$11*(1+Inputs!$D$12)^(W$183-1)</f>
        <v>7.8</v>
      </c>
      <c r="X188" s="112" t="n">
        <f aca="false">Inputs!$D$11*(1+Inputs!$D$12)^(X$183-1)</f>
        <v>7.8</v>
      </c>
      <c r="Y188" s="112" t="n">
        <f aca="false">Inputs!$D$11*(1+Inputs!$D$12)^(Y$183-1)</f>
        <v>7.8</v>
      </c>
      <c r="Z188" s="112" t="n">
        <f aca="false">Inputs!$D$11*(1+Inputs!$D$12)^(Z$183-1)</f>
        <v>7.8</v>
      </c>
      <c r="AA188" s="112" t="n">
        <f aca="false">Inputs!$D$11*(1+Inputs!$D$12)^(AA$183-1)</f>
        <v>8.112</v>
      </c>
      <c r="AB188" s="112" t="n">
        <f aca="false">Inputs!$D$11*(1+Inputs!$D$12)^(AB$183-1)</f>
        <v>8.112</v>
      </c>
      <c r="AC188" s="112" t="n">
        <f aca="false">Inputs!$D$11*(1+Inputs!$D$12)^(AC$183-1)</f>
        <v>8.112</v>
      </c>
      <c r="AD188" s="112" t="n">
        <f aca="false">Inputs!$D$11*(1+Inputs!$D$12)^(AD$183-1)</f>
        <v>8.112</v>
      </c>
      <c r="AE188" s="112" t="n">
        <f aca="false">Inputs!$D$11*(1+Inputs!$D$12)^(AE$183-1)</f>
        <v>8.112</v>
      </c>
      <c r="AF188" s="112" t="n">
        <f aca="false">Inputs!$D$11*(1+Inputs!$D$12)^(AF$183-1)</f>
        <v>8.112</v>
      </c>
      <c r="AG188" s="112" t="n">
        <f aca="false">Inputs!$D$11*(1+Inputs!$D$12)^(AG$183-1)</f>
        <v>8.112</v>
      </c>
      <c r="AH188" s="112" t="n">
        <f aca="false">Inputs!$D$11*(1+Inputs!$D$12)^(AH$183-1)</f>
        <v>8.112</v>
      </c>
      <c r="AI188" s="112" t="n">
        <f aca="false">Inputs!$D$11*(1+Inputs!$D$12)^(AI$183-1)</f>
        <v>8.112</v>
      </c>
      <c r="AJ188" s="112" t="n">
        <f aca="false">Inputs!$D$11*(1+Inputs!$D$12)^(AJ$183-1)</f>
        <v>8.112</v>
      </c>
      <c r="AK188" s="112" t="n">
        <f aca="false">Inputs!$D$11*(1+Inputs!$D$12)^(AK$183-1)</f>
        <v>8.112</v>
      </c>
      <c r="AL188" s="112" t="n">
        <f aca="false">Inputs!$D$11*(1+Inputs!$D$12)^(AL$183-1)</f>
        <v>8.112</v>
      </c>
    </row>
    <row r="189" customFormat="false" ht="15" hidden="false" customHeight="false" outlineLevel="0" collapsed="false">
      <c r="A189" s="6" t="s">
        <v>337</v>
      </c>
      <c r="C189" s="113" t="n">
        <f aca="false">Inputs!$D$13*1</f>
        <v>30</v>
      </c>
      <c r="D189" s="113" t="n">
        <f aca="false">Inputs!$D$13*1</f>
        <v>30</v>
      </c>
      <c r="E189" s="113" t="n">
        <f aca="false">Inputs!$D$13*1</f>
        <v>30</v>
      </c>
      <c r="F189" s="113" t="n">
        <f aca="false">Inputs!$D$13*1</f>
        <v>30</v>
      </c>
      <c r="G189" s="113" t="n">
        <f aca="false">Inputs!$D$13*1</f>
        <v>30</v>
      </c>
      <c r="H189" s="113" t="n">
        <f aca="false">Inputs!$D$13*1</f>
        <v>30</v>
      </c>
      <c r="I189" s="113" t="n">
        <f aca="false">Inputs!$D$13*1</f>
        <v>30</v>
      </c>
      <c r="J189" s="113" t="n">
        <f aca="false">Inputs!$D$13*1</f>
        <v>30</v>
      </c>
      <c r="K189" s="113" t="n">
        <f aca="false">Inputs!$D$13*1</f>
        <v>30</v>
      </c>
      <c r="L189" s="113" t="n">
        <f aca="false">Inputs!$D$13*1</f>
        <v>30</v>
      </c>
      <c r="M189" s="113" t="n">
        <f aca="false">Inputs!$D$13*1</f>
        <v>30</v>
      </c>
      <c r="N189" s="113" t="n">
        <f aca="false">Inputs!$D$13*1</f>
        <v>30</v>
      </c>
      <c r="O189" s="113" t="n">
        <f aca="false">Inputs!$D$13*1</f>
        <v>30</v>
      </c>
      <c r="P189" s="113" t="n">
        <f aca="false">Inputs!$D$13*1</f>
        <v>30</v>
      </c>
      <c r="Q189" s="113" t="n">
        <f aca="false">Inputs!$D$13*1</f>
        <v>30</v>
      </c>
      <c r="R189" s="113" t="n">
        <f aca="false">Inputs!$D$13*1</f>
        <v>30</v>
      </c>
      <c r="S189" s="113" t="n">
        <f aca="false">Inputs!$D$13*1</f>
        <v>30</v>
      </c>
      <c r="T189" s="113" t="n">
        <f aca="false">Inputs!$D$13*1</f>
        <v>30</v>
      </c>
      <c r="U189" s="113" t="n">
        <f aca="false">Inputs!$D$13*1</f>
        <v>30</v>
      </c>
      <c r="V189" s="113" t="n">
        <f aca="false">Inputs!$D$13*1</f>
        <v>30</v>
      </c>
      <c r="W189" s="113" t="n">
        <f aca="false">Inputs!$D$13*1</f>
        <v>30</v>
      </c>
      <c r="X189" s="113" t="n">
        <f aca="false">Inputs!$D$13*1</f>
        <v>30</v>
      </c>
      <c r="Y189" s="113" t="n">
        <f aca="false">Inputs!$D$13*1</f>
        <v>30</v>
      </c>
      <c r="Z189" s="113" t="n">
        <f aca="false">Inputs!$D$13*1</f>
        <v>30</v>
      </c>
      <c r="AA189" s="113" t="n">
        <f aca="false">Inputs!$D$13*1</f>
        <v>30</v>
      </c>
      <c r="AB189" s="113" t="n">
        <f aca="false">Inputs!$D$13*1</f>
        <v>30</v>
      </c>
      <c r="AC189" s="113" t="n">
        <f aca="false">Inputs!$D$13*1</f>
        <v>30</v>
      </c>
      <c r="AD189" s="113" t="n">
        <f aca="false">Inputs!$D$13*1</f>
        <v>30</v>
      </c>
      <c r="AE189" s="113" t="n">
        <f aca="false">Inputs!$D$13*1</f>
        <v>30</v>
      </c>
      <c r="AF189" s="113" t="n">
        <f aca="false">Inputs!$D$13*1</f>
        <v>30</v>
      </c>
      <c r="AG189" s="113" t="n">
        <f aca="false">Inputs!$D$13*1</f>
        <v>30</v>
      </c>
      <c r="AH189" s="113" t="n">
        <f aca="false">Inputs!$D$13*1</f>
        <v>30</v>
      </c>
      <c r="AI189" s="113" t="n">
        <f aca="false">Inputs!$D$13*1</f>
        <v>30</v>
      </c>
      <c r="AJ189" s="113" t="n">
        <f aca="false">Inputs!$D$13*1</f>
        <v>30</v>
      </c>
      <c r="AK189" s="113" t="n">
        <f aca="false">Inputs!$D$13*1</f>
        <v>30</v>
      </c>
      <c r="AL189" s="113" t="n">
        <f aca="false">Inputs!$D$13*1</f>
        <v>30</v>
      </c>
    </row>
    <row r="190" customFormat="false" ht="15" hidden="false" customHeight="false" outlineLevel="0" collapsed="false">
      <c r="A190" s="108" t="s">
        <v>44</v>
      </c>
      <c r="C190" s="66" t="n">
        <f aca="false">C187*C188*C189</f>
        <v>28350</v>
      </c>
      <c r="D190" s="66" t="n">
        <f aca="false">D187*D188*D189</f>
        <v>33075</v>
      </c>
      <c r="E190" s="66" t="n">
        <f aca="false">E187*E188*E189</f>
        <v>37800</v>
      </c>
      <c r="F190" s="66" t="n">
        <f aca="false">F187*F188*F189</f>
        <v>42525</v>
      </c>
      <c r="G190" s="66" t="n">
        <f aca="false">G187*G188*G189</f>
        <v>47250</v>
      </c>
      <c r="H190" s="66" t="n">
        <f aca="false">H187*H188*H189</f>
        <v>47250</v>
      </c>
      <c r="I190" s="66" t="n">
        <f aca="false">I187*I188*I189</f>
        <v>47250</v>
      </c>
      <c r="J190" s="66" t="n">
        <f aca="false">J187*J188*J189</f>
        <v>47250</v>
      </c>
      <c r="K190" s="66" t="n">
        <f aca="false">K187*K188*K189</f>
        <v>47250</v>
      </c>
      <c r="L190" s="66" t="n">
        <f aca="false">L187*L188*L189</f>
        <v>47250</v>
      </c>
      <c r="M190" s="66" t="n">
        <f aca="false">M187*M188*M189</f>
        <v>47250</v>
      </c>
      <c r="N190" s="66" t="n">
        <f aca="false">N187*N188*N189</f>
        <v>47250</v>
      </c>
      <c r="O190" s="66" t="n">
        <f aca="false">O187*O188*O189</f>
        <v>53562.6</v>
      </c>
      <c r="P190" s="66" t="n">
        <f aca="false">P187*P188*P189</f>
        <v>53562.6</v>
      </c>
      <c r="Q190" s="66" t="n">
        <f aca="false">Q187*Q188*Q189</f>
        <v>53562.6</v>
      </c>
      <c r="R190" s="66" t="n">
        <f aca="false">R187*R188*R189</f>
        <v>53562.6</v>
      </c>
      <c r="S190" s="66" t="n">
        <f aca="false">S187*S188*S189</f>
        <v>53562.6</v>
      </c>
      <c r="T190" s="66" t="n">
        <f aca="false">T187*T188*T189</f>
        <v>53562.6</v>
      </c>
      <c r="U190" s="66" t="n">
        <f aca="false">U187*U188*U189</f>
        <v>53562.6</v>
      </c>
      <c r="V190" s="66" t="n">
        <f aca="false">V187*V188*V189</f>
        <v>53562.6</v>
      </c>
      <c r="W190" s="66" t="n">
        <f aca="false">W187*W188*W189</f>
        <v>53562.6</v>
      </c>
      <c r="X190" s="66" t="n">
        <f aca="false">X187*X188*X189</f>
        <v>53562.6</v>
      </c>
      <c r="Y190" s="66" t="n">
        <f aca="false">Y187*Y188*Y189</f>
        <v>53562.6</v>
      </c>
      <c r="Z190" s="66" t="n">
        <f aca="false">Z187*Z188*Z189</f>
        <v>53562.6</v>
      </c>
      <c r="AA190" s="66" t="n">
        <f aca="false">AA187*AA188*AA189</f>
        <v>60718.56336</v>
      </c>
      <c r="AB190" s="66" t="n">
        <f aca="false">AB187*AB188*AB189</f>
        <v>60718.56336</v>
      </c>
      <c r="AC190" s="66" t="n">
        <f aca="false">AC187*AC188*AC189</f>
        <v>60718.56336</v>
      </c>
      <c r="AD190" s="66" t="n">
        <f aca="false">AD187*AD188*AD189</f>
        <v>60718.56336</v>
      </c>
      <c r="AE190" s="66" t="n">
        <f aca="false">AE187*AE188*AE189</f>
        <v>60718.56336</v>
      </c>
      <c r="AF190" s="66" t="n">
        <f aca="false">AF187*AF188*AF189</f>
        <v>60718.56336</v>
      </c>
      <c r="AG190" s="66" t="n">
        <f aca="false">AG187*AG188*AG189</f>
        <v>60718.56336</v>
      </c>
      <c r="AH190" s="66" t="n">
        <f aca="false">AH187*AH188*AH189</f>
        <v>60718.56336</v>
      </c>
      <c r="AI190" s="66" t="n">
        <f aca="false">AI187*AI188*AI189</f>
        <v>60718.56336</v>
      </c>
      <c r="AJ190" s="66" t="n">
        <f aca="false">AJ187*AJ188*AJ189</f>
        <v>60718.56336</v>
      </c>
      <c r="AK190" s="66" t="n">
        <f aca="false">AK187*AK188*AK189</f>
        <v>60718.56336</v>
      </c>
      <c r="AL190" s="66" t="n">
        <f aca="false">AL187*AL188*AL189</f>
        <v>60718.56336</v>
      </c>
    </row>
    <row r="191" customFormat="false" ht="15" hidden="false" customHeight="false" outlineLevel="0" collapsed="false">
      <c r="A191" s="6" t="s">
        <v>74</v>
      </c>
      <c r="C191" s="65" t="n">
        <f aca="false">-C190*Inputs!$D$14</f>
        <v>-8505</v>
      </c>
      <c r="D191" s="65" t="n">
        <f aca="false">-D190*Inputs!$D$14</f>
        <v>-9922.5</v>
      </c>
      <c r="E191" s="65" t="n">
        <f aca="false">-E190*Inputs!$D$14</f>
        <v>-11340</v>
      </c>
      <c r="F191" s="65" t="n">
        <f aca="false">-F190*Inputs!$D$14</f>
        <v>-12757.5</v>
      </c>
      <c r="G191" s="65" t="n">
        <f aca="false">-G190*Inputs!$D$14</f>
        <v>-14175</v>
      </c>
      <c r="H191" s="65" t="n">
        <f aca="false">-H190*Inputs!$D$14</f>
        <v>-14175</v>
      </c>
      <c r="I191" s="65" t="n">
        <f aca="false">-I190*Inputs!$D$14</f>
        <v>-14175</v>
      </c>
      <c r="J191" s="65" t="n">
        <f aca="false">-J190*Inputs!$D$14</f>
        <v>-14175</v>
      </c>
      <c r="K191" s="65" t="n">
        <f aca="false">-K190*Inputs!$D$14</f>
        <v>-14175</v>
      </c>
      <c r="L191" s="65" t="n">
        <f aca="false">-L190*Inputs!$D$14</f>
        <v>-14175</v>
      </c>
      <c r="M191" s="65" t="n">
        <f aca="false">-M190*Inputs!$D$14</f>
        <v>-14175</v>
      </c>
      <c r="N191" s="65" t="n">
        <f aca="false">-N190*Inputs!$D$14</f>
        <v>-14175</v>
      </c>
      <c r="O191" s="65" t="n">
        <f aca="false">-O190*Inputs!$D$14</f>
        <v>-16068.78</v>
      </c>
      <c r="P191" s="65" t="n">
        <f aca="false">-P190*Inputs!$D$14</f>
        <v>-16068.78</v>
      </c>
      <c r="Q191" s="65" t="n">
        <f aca="false">-Q190*Inputs!$D$14</f>
        <v>-16068.78</v>
      </c>
      <c r="R191" s="65" t="n">
        <f aca="false">-R190*Inputs!$D$14</f>
        <v>-16068.78</v>
      </c>
      <c r="S191" s="65" t="n">
        <f aca="false">-S190*Inputs!$D$14</f>
        <v>-16068.78</v>
      </c>
      <c r="T191" s="65" t="n">
        <f aca="false">-T190*Inputs!$D$14</f>
        <v>-16068.78</v>
      </c>
      <c r="U191" s="65" t="n">
        <f aca="false">-U190*Inputs!$D$14</f>
        <v>-16068.78</v>
      </c>
      <c r="V191" s="65" t="n">
        <f aca="false">-V190*Inputs!$D$14</f>
        <v>-16068.78</v>
      </c>
      <c r="W191" s="65" t="n">
        <f aca="false">-W190*Inputs!$D$14</f>
        <v>-16068.78</v>
      </c>
      <c r="X191" s="65" t="n">
        <f aca="false">-X190*Inputs!$D$14</f>
        <v>-16068.78</v>
      </c>
      <c r="Y191" s="65" t="n">
        <f aca="false">-Y190*Inputs!$D$14</f>
        <v>-16068.78</v>
      </c>
      <c r="Z191" s="65" t="n">
        <f aca="false">-Z190*Inputs!$D$14</f>
        <v>-16068.78</v>
      </c>
      <c r="AA191" s="65" t="n">
        <f aca="false">-AA190*Inputs!$D$14</f>
        <v>-18215.569008</v>
      </c>
      <c r="AB191" s="65" t="n">
        <f aca="false">-AB190*Inputs!$D$14</f>
        <v>-18215.569008</v>
      </c>
      <c r="AC191" s="65" t="n">
        <f aca="false">-AC190*Inputs!$D$14</f>
        <v>-18215.569008</v>
      </c>
      <c r="AD191" s="65" t="n">
        <f aca="false">-AD190*Inputs!$D$14</f>
        <v>-18215.569008</v>
      </c>
      <c r="AE191" s="65" t="n">
        <f aca="false">-AE190*Inputs!$D$14</f>
        <v>-18215.569008</v>
      </c>
      <c r="AF191" s="65" t="n">
        <f aca="false">-AF190*Inputs!$D$14</f>
        <v>-18215.569008</v>
      </c>
      <c r="AG191" s="65" t="n">
        <f aca="false">-AG190*Inputs!$D$14</f>
        <v>-18215.569008</v>
      </c>
      <c r="AH191" s="65" t="n">
        <f aca="false">-AH190*Inputs!$D$14</f>
        <v>-18215.569008</v>
      </c>
      <c r="AI191" s="65" t="n">
        <f aca="false">-AI190*Inputs!$D$14</f>
        <v>-18215.569008</v>
      </c>
      <c r="AJ191" s="65" t="n">
        <f aca="false">-AJ190*Inputs!$D$14</f>
        <v>-18215.569008</v>
      </c>
      <c r="AK191" s="65" t="n">
        <f aca="false">-AK190*Inputs!$D$14</f>
        <v>-18215.569008</v>
      </c>
      <c r="AL191" s="65" t="n">
        <f aca="false">-AL190*Inputs!$D$14</f>
        <v>-18215.569008</v>
      </c>
    </row>
    <row r="192" customFormat="false" ht="15" hidden="false" customHeight="false" outlineLevel="0" collapsed="false">
      <c r="A192" s="108" t="s">
        <v>45</v>
      </c>
      <c r="C192" s="66" t="n">
        <f aca="false">C190+C191</f>
        <v>19845</v>
      </c>
      <c r="D192" s="66" t="n">
        <f aca="false">D190+D191</f>
        <v>23152.5</v>
      </c>
      <c r="E192" s="66" t="n">
        <f aca="false">E190+E191</f>
        <v>26460</v>
      </c>
      <c r="F192" s="66" t="n">
        <f aca="false">F190+F191</f>
        <v>29767.5</v>
      </c>
      <c r="G192" s="66" t="n">
        <f aca="false">G190+G191</f>
        <v>33075</v>
      </c>
      <c r="H192" s="66" t="n">
        <f aca="false">H190+H191</f>
        <v>33075</v>
      </c>
      <c r="I192" s="66" t="n">
        <f aca="false">I190+I191</f>
        <v>33075</v>
      </c>
      <c r="J192" s="66" t="n">
        <f aca="false">J190+J191</f>
        <v>33075</v>
      </c>
      <c r="K192" s="66" t="n">
        <f aca="false">K190+K191</f>
        <v>33075</v>
      </c>
      <c r="L192" s="66" t="n">
        <f aca="false">L190+L191</f>
        <v>33075</v>
      </c>
      <c r="M192" s="66" t="n">
        <f aca="false">M190+M191</f>
        <v>33075</v>
      </c>
      <c r="N192" s="66" t="n">
        <f aca="false">N190+N191</f>
        <v>33075</v>
      </c>
      <c r="O192" s="66" t="n">
        <f aca="false">O190+O191</f>
        <v>37493.82</v>
      </c>
      <c r="P192" s="66" t="n">
        <f aca="false">P190+P191</f>
        <v>37493.82</v>
      </c>
      <c r="Q192" s="66" t="n">
        <f aca="false">Q190+Q191</f>
        <v>37493.82</v>
      </c>
      <c r="R192" s="66" t="n">
        <f aca="false">R190+R191</f>
        <v>37493.82</v>
      </c>
      <c r="S192" s="66" t="n">
        <f aca="false">S190+S191</f>
        <v>37493.82</v>
      </c>
      <c r="T192" s="66" t="n">
        <f aca="false">T190+T191</f>
        <v>37493.82</v>
      </c>
      <c r="U192" s="66" t="n">
        <f aca="false">U190+U191</f>
        <v>37493.82</v>
      </c>
      <c r="V192" s="66" t="n">
        <f aca="false">V190+V191</f>
        <v>37493.82</v>
      </c>
      <c r="W192" s="66" t="n">
        <f aca="false">W190+W191</f>
        <v>37493.82</v>
      </c>
      <c r="X192" s="66" t="n">
        <f aca="false">X190+X191</f>
        <v>37493.82</v>
      </c>
      <c r="Y192" s="66" t="n">
        <f aca="false">Y190+Y191</f>
        <v>37493.82</v>
      </c>
      <c r="Z192" s="66" t="n">
        <f aca="false">Z190+Z191</f>
        <v>37493.82</v>
      </c>
      <c r="AA192" s="66" t="n">
        <f aca="false">AA190+AA191</f>
        <v>42502.994352</v>
      </c>
      <c r="AB192" s="66" t="n">
        <f aca="false">AB190+AB191</f>
        <v>42502.994352</v>
      </c>
      <c r="AC192" s="66" t="n">
        <f aca="false">AC190+AC191</f>
        <v>42502.994352</v>
      </c>
      <c r="AD192" s="66" t="n">
        <f aca="false">AD190+AD191</f>
        <v>42502.994352</v>
      </c>
      <c r="AE192" s="66" t="n">
        <f aca="false">AE190+AE191</f>
        <v>42502.994352</v>
      </c>
      <c r="AF192" s="66" t="n">
        <f aca="false">AF190+AF191</f>
        <v>42502.994352</v>
      </c>
      <c r="AG192" s="66" t="n">
        <f aca="false">AG190+AG191</f>
        <v>42502.994352</v>
      </c>
      <c r="AH192" s="66" t="n">
        <f aca="false">AH190+AH191</f>
        <v>42502.994352</v>
      </c>
      <c r="AI192" s="66" t="n">
        <f aca="false">AI190+AI191</f>
        <v>42502.994352</v>
      </c>
      <c r="AJ192" s="66" t="n">
        <f aca="false">AJ190+AJ191</f>
        <v>42502.994352</v>
      </c>
      <c r="AK192" s="66" t="n">
        <f aca="false">AK190+AK191</f>
        <v>42502.994352</v>
      </c>
      <c r="AL192" s="66" t="n">
        <f aca="false">AL190+AL191</f>
        <v>42502.994352</v>
      </c>
    </row>
    <row r="194" customFormat="false" ht="15.75" hidden="false" customHeight="true" outlineLevel="0" collapsed="false">
      <c r="A194" s="7" t="s">
        <v>47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6" t="s">
        <v>284</v>
      </c>
      <c r="C195" s="65" t="n">
        <f aca="false">-Inputs!$D$15*1</f>
        <v>-4500</v>
      </c>
      <c r="D195" s="65" t="n">
        <f aca="false">-Inputs!$D$15*1</f>
        <v>-4500</v>
      </c>
      <c r="E195" s="65" t="n">
        <f aca="false">-Inputs!$D$15*1</f>
        <v>-4500</v>
      </c>
      <c r="F195" s="65" t="n">
        <f aca="false">-Inputs!$D$15*1</f>
        <v>-4500</v>
      </c>
      <c r="G195" s="65" t="n">
        <f aca="false">-Inputs!$D$15*1</f>
        <v>-4500</v>
      </c>
      <c r="H195" s="65" t="n">
        <f aca="false">-Inputs!$D$15*1</f>
        <v>-4500</v>
      </c>
      <c r="I195" s="65" t="n">
        <f aca="false">-Inputs!$D$15*1</f>
        <v>-4500</v>
      </c>
      <c r="J195" s="65" t="n">
        <f aca="false">-Inputs!$D$15*1</f>
        <v>-4500</v>
      </c>
      <c r="K195" s="65" t="n">
        <f aca="false">-Inputs!$D$15*1</f>
        <v>-4500</v>
      </c>
      <c r="L195" s="65" t="n">
        <f aca="false">-Inputs!$D$15*1</f>
        <v>-4500</v>
      </c>
      <c r="M195" s="65" t="n">
        <f aca="false">-Inputs!$D$15*1</f>
        <v>-4500</v>
      </c>
      <c r="N195" s="65" t="n">
        <f aca="false">-Inputs!$D$15*1</f>
        <v>-4500</v>
      </c>
      <c r="O195" s="65" t="n">
        <f aca="false">-Inputs!$D$15*1</f>
        <v>-4500</v>
      </c>
      <c r="P195" s="65" t="n">
        <f aca="false">-Inputs!$D$15*1</f>
        <v>-4500</v>
      </c>
      <c r="Q195" s="65" t="n">
        <f aca="false">-Inputs!$D$15*1</f>
        <v>-4500</v>
      </c>
      <c r="R195" s="65" t="n">
        <f aca="false">-Inputs!$D$15*1</f>
        <v>-4500</v>
      </c>
      <c r="S195" s="65" t="n">
        <f aca="false">-Inputs!$D$15*1</f>
        <v>-4500</v>
      </c>
      <c r="T195" s="65" t="n">
        <f aca="false">-Inputs!$D$15*1</f>
        <v>-4500</v>
      </c>
      <c r="U195" s="65" t="n">
        <f aca="false">-Inputs!$D$15*1</f>
        <v>-4500</v>
      </c>
      <c r="V195" s="65" t="n">
        <f aca="false">-Inputs!$D$15*1</f>
        <v>-4500</v>
      </c>
      <c r="W195" s="65" t="n">
        <f aca="false">-Inputs!$D$15*1</f>
        <v>-4500</v>
      </c>
      <c r="X195" s="65" t="n">
        <f aca="false">-Inputs!$D$15*1</f>
        <v>-4500</v>
      </c>
      <c r="Y195" s="65" t="n">
        <f aca="false">-Inputs!$D$15*1</f>
        <v>-4500</v>
      </c>
      <c r="Z195" s="65" t="n">
        <f aca="false">-Inputs!$D$15*1</f>
        <v>-4500</v>
      </c>
      <c r="AA195" s="65" t="n">
        <f aca="false">-Inputs!$D$15*1</f>
        <v>-4500</v>
      </c>
      <c r="AB195" s="65" t="n">
        <f aca="false">-Inputs!$D$15*1</f>
        <v>-4500</v>
      </c>
      <c r="AC195" s="65" t="n">
        <f aca="false">-Inputs!$D$15*1</f>
        <v>-4500</v>
      </c>
      <c r="AD195" s="65" t="n">
        <f aca="false">-Inputs!$D$15*1</f>
        <v>-4500</v>
      </c>
      <c r="AE195" s="65" t="n">
        <f aca="false">-Inputs!$D$15*1</f>
        <v>-4500</v>
      </c>
      <c r="AF195" s="65" t="n">
        <f aca="false">-Inputs!$D$15*1</f>
        <v>-4500</v>
      </c>
      <c r="AG195" s="65" t="n">
        <f aca="false">-Inputs!$D$15*1</f>
        <v>-4500</v>
      </c>
      <c r="AH195" s="65" t="n">
        <f aca="false">-Inputs!$D$15*1</f>
        <v>-4500</v>
      </c>
      <c r="AI195" s="65" t="n">
        <f aca="false">-Inputs!$D$15*1</f>
        <v>-4500</v>
      </c>
      <c r="AJ195" s="65" t="n">
        <f aca="false">-Inputs!$D$15*1</f>
        <v>-4500</v>
      </c>
      <c r="AK195" s="65" t="n">
        <f aca="false">-Inputs!$D$15*1</f>
        <v>-4500</v>
      </c>
      <c r="AL195" s="65" t="n">
        <f aca="false">-Inputs!$D$15*1</f>
        <v>-4500</v>
      </c>
    </row>
    <row r="196" customFormat="false" ht="15" hidden="false" customHeight="false" outlineLevel="0" collapsed="false">
      <c r="A196" s="6" t="s">
        <v>285</v>
      </c>
      <c r="C196" s="65" t="n">
        <f aca="false">C265</f>
        <v>-12693.3333333333</v>
      </c>
      <c r="D196" s="65" t="n">
        <f aca="false">D265</f>
        <v>-12693.3333333333</v>
      </c>
      <c r="E196" s="65" t="n">
        <f aca="false">E265</f>
        <v>-12693.3333333333</v>
      </c>
      <c r="F196" s="65" t="n">
        <f aca="false">F265</f>
        <v>-12693.3333333333</v>
      </c>
      <c r="G196" s="65" t="n">
        <f aca="false">G265</f>
        <v>-12693.3333333333</v>
      </c>
      <c r="H196" s="65" t="n">
        <f aca="false">H265</f>
        <v>-12693.3333333333</v>
      </c>
      <c r="I196" s="65" t="n">
        <f aca="false">I265</f>
        <v>-12693.3333333333</v>
      </c>
      <c r="J196" s="65" t="n">
        <f aca="false">J265</f>
        <v>-12693.3333333333</v>
      </c>
      <c r="K196" s="65" t="n">
        <f aca="false">K265</f>
        <v>-12693.3333333333</v>
      </c>
      <c r="L196" s="65" t="n">
        <f aca="false">L265</f>
        <v>-12693.3333333333</v>
      </c>
      <c r="M196" s="65" t="n">
        <f aca="false">M265</f>
        <v>-12693.3333333333</v>
      </c>
      <c r="N196" s="65" t="n">
        <f aca="false">N265</f>
        <v>-12693.3333333333</v>
      </c>
      <c r="O196" s="65" t="n">
        <f aca="false">O265</f>
        <v>-13074.1333333333</v>
      </c>
      <c r="P196" s="65" t="n">
        <f aca="false">P265</f>
        <v>-13074.1333333333</v>
      </c>
      <c r="Q196" s="65" t="n">
        <f aca="false">Q265</f>
        <v>-13074.1333333333</v>
      </c>
      <c r="R196" s="65" t="n">
        <f aca="false">R265</f>
        <v>-13074.1333333333</v>
      </c>
      <c r="S196" s="65" t="n">
        <f aca="false">S265</f>
        <v>-13074.1333333333</v>
      </c>
      <c r="T196" s="65" t="n">
        <f aca="false">T265</f>
        <v>-13074.1333333333</v>
      </c>
      <c r="U196" s="65" t="n">
        <f aca="false">U265</f>
        <v>-13074.1333333333</v>
      </c>
      <c r="V196" s="65" t="n">
        <f aca="false">V265</f>
        <v>-13074.1333333333</v>
      </c>
      <c r="W196" s="65" t="n">
        <f aca="false">W265</f>
        <v>-13074.1333333333</v>
      </c>
      <c r="X196" s="65" t="n">
        <f aca="false">X265</f>
        <v>-13074.1333333333</v>
      </c>
      <c r="Y196" s="65" t="n">
        <f aca="false">Y265</f>
        <v>-13074.1333333333</v>
      </c>
      <c r="Z196" s="65" t="n">
        <f aca="false">Z265</f>
        <v>-13074.1333333333</v>
      </c>
      <c r="AA196" s="65" t="n">
        <f aca="false">AA265</f>
        <v>-13466.3573333333</v>
      </c>
      <c r="AB196" s="65" t="n">
        <f aca="false">AB265</f>
        <v>-13466.3573333333</v>
      </c>
      <c r="AC196" s="65" t="n">
        <f aca="false">AC265</f>
        <v>-13466.3573333333</v>
      </c>
      <c r="AD196" s="65" t="n">
        <f aca="false">AD265</f>
        <v>-13466.3573333333</v>
      </c>
      <c r="AE196" s="65" t="n">
        <f aca="false">AE265</f>
        <v>-13466.3573333333</v>
      </c>
      <c r="AF196" s="65" t="n">
        <f aca="false">AF265</f>
        <v>-13466.3573333333</v>
      </c>
      <c r="AG196" s="65" t="n">
        <f aca="false">AG265</f>
        <v>-13466.3573333333</v>
      </c>
      <c r="AH196" s="65" t="n">
        <f aca="false">AH265</f>
        <v>-13466.3573333333</v>
      </c>
      <c r="AI196" s="65" t="n">
        <f aca="false">AI265</f>
        <v>-13466.3573333333</v>
      </c>
      <c r="AJ196" s="65" t="n">
        <f aca="false">AJ265</f>
        <v>-13466.3573333333</v>
      </c>
      <c r="AK196" s="65" t="n">
        <f aca="false">AK265</f>
        <v>-13466.3573333333</v>
      </c>
      <c r="AL196" s="65" t="n">
        <f aca="false">AL265</f>
        <v>-13466.3573333333</v>
      </c>
    </row>
    <row r="197" customFormat="false" ht="15" hidden="false" customHeight="false" outlineLevel="0" collapsed="false">
      <c r="A197" s="6" t="s">
        <v>286</v>
      </c>
      <c r="C197" s="65" t="n">
        <f aca="false">-C190*Inputs!$D$16</f>
        <v>-850.5</v>
      </c>
      <c r="D197" s="65" t="n">
        <f aca="false">-D190*Inputs!$D$16</f>
        <v>-992.25</v>
      </c>
      <c r="E197" s="65" t="n">
        <f aca="false">-E190*Inputs!$D$16</f>
        <v>-1134</v>
      </c>
      <c r="F197" s="65" t="n">
        <f aca="false">-F190*Inputs!$D$16</f>
        <v>-1275.75</v>
      </c>
      <c r="G197" s="65" t="n">
        <f aca="false">-G190*Inputs!$D$16</f>
        <v>-1417.5</v>
      </c>
      <c r="H197" s="65" t="n">
        <f aca="false">-H190*Inputs!$D$16</f>
        <v>-1417.5</v>
      </c>
      <c r="I197" s="65" t="n">
        <f aca="false">-I190*Inputs!$D$16</f>
        <v>-1417.5</v>
      </c>
      <c r="J197" s="65" t="n">
        <f aca="false">-J190*Inputs!$D$16</f>
        <v>-1417.5</v>
      </c>
      <c r="K197" s="65" t="n">
        <f aca="false">-K190*Inputs!$D$16</f>
        <v>-1417.5</v>
      </c>
      <c r="L197" s="65" t="n">
        <f aca="false">-L190*Inputs!$D$16</f>
        <v>-1417.5</v>
      </c>
      <c r="M197" s="65" t="n">
        <f aca="false">-M190*Inputs!$D$16</f>
        <v>-1417.5</v>
      </c>
      <c r="N197" s="65" t="n">
        <f aca="false">-N190*Inputs!$D$16</f>
        <v>-1417.5</v>
      </c>
      <c r="O197" s="65" t="n">
        <f aca="false">-O190*Inputs!$D$16</f>
        <v>-1606.878</v>
      </c>
      <c r="P197" s="65" t="n">
        <f aca="false">-P190*Inputs!$D$16</f>
        <v>-1606.878</v>
      </c>
      <c r="Q197" s="65" t="n">
        <f aca="false">-Q190*Inputs!$D$16</f>
        <v>-1606.878</v>
      </c>
      <c r="R197" s="65" t="n">
        <f aca="false">-R190*Inputs!$D$16</f>
        <v>-1606.878</v>
      </c>
      <c r="S197" s="65" t="n">
        <f aca="false">-S190*Inputs!$D$16</f>
        <v>-1606.878</v>
      </c>
      <c r="T197" s="65" t="n">
        <f aca="false">-T190*Inputs!$D$16</f>
        <v>-1606.878</v>
      </c>
      <c r="U197" s="65" t="n">
        <f aca="false">-U190*Inputs!$D$16</f>
        <v>-1606.878</v>
      </c>
      <c r="V197" s="65" t="n">
        <f aca="false">-V190*Inputs!$D$16</f>
        <v>-1606.878</v>
      </c>
      <c r="W197" s="65" t="n">
        <f aca="false">-W190*Inputs!$D$16</f>
        <v>-1606.878</v>
      </c>
      <c r="X197" s="65" t="n">
        <f aca="false">-X190*Inputs!$D$16</f>
        <v>-1606.878</v>
      </c>
      <c r="Y197" s="65" t="n">
        <f aca="false">-Y190*Inputs!$D$16</f>
        <v>-1606.878</v>
      </c>
      <c r="Z197" s="65" t="n">
        <f aca="false">-Z190*Inputs!$D$16</f>
        <v>-1606.878</v>
      </c>
      <c r="AA197" s="65" t="n">
        <f aca="false">-AA190*Inputs!$D$16</f>
        <v>-1821.5569008</v>
      </c>
      <c r="AB197" s="65" t="n">
        <f aca="false">-AB190*Inputs!$D$16</f>
        <v>-1821.5569008</v>
      </c>
      <c r="AC197" s="65" t="n">
        <f aca="false">-AC190*Inputs!$D$16</f>
        <v>-1821.5569008</v>
      </c>
      <c r="AD197" s="65" t="n">
        <f aca="false">-AD190*Inputs!$D$16</f>
        <v>-1821.5569008</v>
      </c>
      <c r="AE197" s="65" t="n">
        <f aca="false">-AE190*Inputs!$D$16</f>
        <v>-1821.5569008</v>
      </c>
      <c r="AF197" s="65" t="n">
        <f aca="false">-AF190*Inputs!$D$16</f>
        <v>-1821.5569008</v>
      </c>
      <c r="AG197" s="65" t="n">
        <f aca="false">-AG190*Inputs!$D$16</f>
        <v>-1821.5569008</v>
      </c>
      <c r="AH197" s="65" t="n">
        <f aca="false">-AH190*Inputs!$D$16</f>
        <v>-1821.5569008</v>
      </c>
      <c r="AI197" s="65" t="n">
        <f aca="false">-AI190*Inputs!$D$16</f>
        <v>-1821.5569008</v>
      </c>
      <c r="AJ197" s="65" t="n">
        <f aca="false">-AJ190*Inputs!$D$16</f>
        <v>-1821.5569008</v>
      </c>
      <c r="AK197" s="65" t="n">
        <f aca="false">-AK190*Inputs!$D$16</f>
        <v>-1821.5569008</v>
      </c>
      <c r="AL197" s="65" t="n">
        <f aca="false">-AL190*Inputs!$D$16</f>
        <v>-1821.5569008</v>
      </c>
    </row>
    <row r="198" customFormat="false" ht="15" hidden="false" customHeight="false" outlineLevel="0" collapsed="false">
      <c r="A198" s="6" t="s">
        <v>287</v>
      </c>
      <c r="C198" s="65" t="n">
        <f aca="false">-Inputs!$D$17*1</f>
        <v>-2000</v>
      </c>
      <c r="D198" s="65" t="n">
        <f aca="false">-Inputs!$D$17*1</f>
        <v>-2000</v>
      </c>
      <c r="E198" s="65" t="n">
        <f aca="false">-Inputs!$D$17*1</f>
        <v>-2000</v>
      </c>
      <c r="F198" s="65" t="n">
        <f aca="false">-Inputs!$D$17*1</f>
        <v>-2000</v>
      </c>
      <c r="G198" s="65" t="n">
        <f aca="false">-Inputs!$D$17*1</f>
        <v>-2000</v>
      </c>
      <c r="H198" s="65" t="n">
        <f aca="false">-Inputs!$D$17*1</f>
        <v>-2000</v>
      </c>
      <c r="I198" s="65" t="n">
        <f aca="false">-Inputs!$D$17*1</f>
        <v>-2000</v>
      </c>
      <c r="J198" s="65" t="n">
        <f aca="false">-Inputs!$D$17*1</f>
        <v>-2000</v>
      </c>
      <c r="K198" s="65" t="n">
        <f aca="false">-Inputs!$D$17*1</f>
        <v>-2000</v>
      </c>
      <c r="L198" s="65" t="n">
        <f aca="false">-Inputs!$D$17*1</f>
        <v>-2000</v>
      </c>
      <c r="M198" s="65" t="n">
        <f aca="false">-Inputs!$D$17*1</f>
        <v>-2000</v>
      </c>
      <c r="N198" s="65" t="n">
        <f aca="false">-Inputs!$D$17*1</f>
        <v>-2000</v>
      </c>
      <c r="O198" s="65" t="n">
        <f aca="false">-Inputs!$D$17*1</f>
        <v>-2000</v>
      </c>
      <c r="P198" s="65" t="n">
        <f aca="false">-Inputs!$D$17*1</f>
        <v>-2000</v>
      </c>
      <c r="Q198" s="65" t="n">
        <f aca="false">-Inputs!$D$17*1</f>
        <v>-2000</v>
      </c>
      <c r="R198" s="65" t="n">
        <f aca="false">-Inputs!$D$17*1</f>
        <v>-2000</v>
      </c>
      <c r="S198" s="65" t="n">
        <f aca="false">-Inputs!$D$17*1</f>
        <v>-2000</v>
      </c>
      <c r="T198" s="65" t="n">
        <f aca="false">-Inputs!$D$17*1</f>
        <v>-2000</v>
      </c>
      <c r="U198" s="65" t="n">
        <f aca="false">-Inputs!$D$17*1</f>
        <v>-2000</v>
      </c>
      <c r="V198" s="65" t="n">
        <f aca="false">-Inputs!$D$17*1</f>
        <v>-2000</v>
      </c>
      <c r="W198" s="65" t="n">
        <f aca="false">-Inputs!$D$17*1</f>
        <v>-2000</v>
      </c>
      <c r="X198" s="65" t="n">
        <f aca="false">-Inputs!$D$17*1</f>
        <v>-2000</v>
      </c>
      <c r="Y198" s="65" t="n">
        <f aca="false">-Inputs!$D$17*1</f>
        <v>-2000</v>
      </c>
      <c r="Z198" s="65" t="n">
        <f aca="false">-Inputs!$D$17*1</f>
        <v>-2000</v>
      </c>
      <c r="AA198" s="65" t="n">
        <f aca="false">-Inputs!$D$17*1</f>
        <v>-2000</v>
      </c>
      <c r="AB198" s="65" t="n">
        <f aca="false">-Inputs!$D$17*1</f>
        <v>-2000</v>
      </c>
      <c r="AC198" s="65" t="n">
        <f aca="false">-Inputs!$D$17*1</f>
        <v>-2000</v>
      </c>
      <c r="AD198" s="65" t="n">
        <f aca="false">-Inputs!$D$17*1</f>
        <v>-2000</v>
      </c>
      <c r="AE198" s="65" t="n">
        <f aca="false">-Inputs!$D$17*1</f>
        <v>-2000</v>
      </c>
      <c r="AF198" s="65" t="n">
        <f aca="false">-Inputs!$D$17*1</f>
        <v>-2000</v>
      </c>
      <c r="AG198" s="65" t="n">
        <f aca="false">-Inputs!$D$17*1</f>
        <v>-2000</v>
      </c>
      <c r="AH198" s="65" t="n">
        <f aca="false">-Inputs!$D$17*1</f>
        <v>-2000</v>
      </c>
      <c r="AI198" s="65" t="n">
        <f aca="false">-Inputs!$D$17*1</f>
        <v>-2000</v>
      </c>
      <c r="AJ198" s="65" t="n">
        <f aca="false">-Inputs!$D$17*1</f>
        <v>-2000</v>
      </c>
      <c r="AK198" s="65" t="n">
        <f aca="false">-Inputs!$D$17*1</f>
        <v>-2000</v>
      </c>
      <c r="AL198" s="65" t="n">
        <f aca="false">-Inputs!$D$17*1</f>
        <v>-2000</v>
      </c>
    </row>
    <row r="199" customFormat="false" ht="15" hidden="false" customHeight="false" outlineLevel="0" collapsed="false">
      <c r="A199" s="108" t="s">
        <v>75</v>
      </c>
      <c r="C199" s="66" t="n">
        <f aca="false">C195+C196+C197+C198</f>
        <v>-20043.8333333333</v>
      </c>
      <c r="D199" s="66" t="n">
        <f aca="false">D195+D196+D197+D198</f>
        <v>-20185.5833333333</v>
      </c>
      <c r="E199" s="66" t="n">
        <f aca="false">E195+E196+E197+E198</f>
        <v>-20327.3333333333</v>
      </c>
      <c r="F199" s="66" t="n">
        <f aca="false">F195+F196+F197+F198</f>
        <v>-20469.0833333333</v>
      </c>
      <c r="G199" s="66" t="n">
        <f aca="false">G195+G196+G197+G198</f>
        <v>-20610.8333333333</v>
      </c>
      <c r="H199" s="66" t="n">
        <f aca="false">H195+H196+H197+H198</f>
        <v>-20610.8333333333</v>
      </c>
      <c r="I199" s="66" t="n">
        <f aca="false">I195+I196+I197+I198</f>
        <v>-20610.8333333333</v>
      </c>
      <c r="J199" s="66" t="n">
        <f aca="false">J195+J196+J197+J198</f>
        <v>-20610.8333333333</v>
      </c>
      <c r="K199" s="66" t="n">
        <f aca="false">K195+K196+K197+K198</f>
        <v>-20610.8333333333</v>
      </c>
      <c r="L199" s="66" t="n">
        <f aca="false">L195+L196+L197+L198</f>
        <v>-20610.8333333333</v>
      </c>
      <c r="M199" s="66" t="n">
        <f aca="false">M195+M196+M197+M198</f>
        <v>-20610.8333333333</v>
      </c>
      <c r="N199" s="66" t="n">
        <f aca="false">N195+N196+N197+N198</f>
        <v>-20610.8333333333</v>
      </c>
      <c r="O199" s="66" t="n">
        <f aca="false">O195+O196+O197+O198</f>
        <v>-21181.0113333333</v>
      </c>
      <c r="P199" s="66" t="n">
        <f aca="false">P195+P196+P197+P198</f>
        <v>-21181.0113333333</v>
      </c>
      <c r="Q199" s="66" t="n">
        <f aca="false">Q195+Q196+Q197+Q198</f>
        <v>-21181.0113333333</v>
      </c>
      <c r="R199" s="66" t="n">
        <f aca="false">R195+R196+R197+R198</f>
        <v>-21181.0113333333</v>
      </c>
      <c r="S199" s="66" t="n">
        <f aca="false">S195+S196+S197+S198</f>
        <v>-21181.0113333333</v>
      </c>
      <c r="T199" s="66" t="n">
        <f aca="false">T195+T196+T197+T198</f>
        <v>-21181.0113333333</v>
      </c>
      <c r="U199" s="66" t="n">
        <f aca="false">U195+U196+U197+U198</f>
        <v>-21181.0113333333</v>
      </c>
      <c r="V199" s="66" t="n">
        <f aca="false">V195+V196+V197+V198</f>
        <v>-21181.0113333333</v>
      </c>
      <c r="W199" s="66" t="n">
        <f aca="false">W195+W196+W197+W198</f>
        <v>-21181.0113333333</v>
      </c>
      <c r="X199" s="66" t="n">
        <f aca="false">X195+X196+X197+X198</f>
        <v>-21181.0113333333</v>
      </c>
      <c r="Y199" s="66" t="n">
        <f aca="false">Y195+Y196+Y197+Y198</f>
        <v>-21181.0113333333</v>
      </c>
      <c r="Z199" s="66" t="n">
        <f aca="false">Z195+Z196+Z197+Z198</f>
        <v>-21181.0113333333</v>
      </c>
      <c r="AA199" s="66" t="n">
        <f aca="false">AA195+AA196+AA197+AA198</f>
        <v>-21787.9142341333</v>
      </c>
      <c r="AB199" s="66" t="n">
        <f aca="false">AB195+AB196+AB197+AB198</f>
        <v>-21787.9142341333</v>
      </c>
      <c r="AC199" s="66" t="n">
        <f aca="false">AC195+AC196+AC197+AC198</f>
        <v>-21787.9142341333</v>
      </c>
      <c r="AD199" s="66" t="n">
        <f aca="false">AD195+AD196+AD197+AD198</f>
        <v>-21787.9142341333</v>
      </c>
      <c r="AE199" s="66" t="n">
        <f aca="false">AE195+AE196+AE197+AE198</f>
        <v>-21787.9142341333</v>
      </c>
      <c r="AF199" s="66" t="n">
        <f aca="false">AF195+AF196+AF197+AF198</f>
        <v>-21787.9142341333</v>
      </c>
      <c r="AG199" s="66" t="n">
        <f aca="false">AG195+AG196+AG197+AG198</f>
        <v>-21787.9142341333</v>
      </c>
      <c r="AH199" s="66" t="n">
        <f aca="false">AH195+AH196+AH197+AH198</f>
        <v>-21787.9142341333</v>
      </c>
      <c r="AI199" s="66" t="n">
        <f aca="false">AI195+AI196+AI197+AI198</f>
        <v>-21787.9142341333</v>
      </c>
      <c r="AJ199" s="66" t="n">
        <f aca="false">AJ195+AJ196+AJ197+AJ198</f>
        <v>-21787.9142341333</v>
      </c>
      <c r="AK199" s="66" t="n">
        <f aca="false">AK195+AK196+AK197+AK198</f>
        <v>-21787.9142341333</v>
      </c>
      <c r="AL199" s="66" t="n">
        <f aca="false">AL195+AL196+AL197+AL198</f>
        <v>-21787.9142341333</v>
      </c>
    </row>
    <row r="200" customFormat="false" ht="15" hidden="false" customHeight="false" outlineLevel="0" collapsed="false">
      <c r="A200" s="108" t="s">
        <v>48</v>
      </c>
      <c r="C200" s="66" t="n">
        <f aca="false">C192+C199</f>
        <v>-198.833333333336</v>
      </c>
      <c r="D200" s="66" t="n">
        <f aca="false">D192+D199</f>
        <v>2966.91666666666</v>
      </c>
      <c r="E200" s="66" t="n">
        <f aca="false">E192+E199</f>
        <v>6132.66666666666</v>
      </c>
      <c r="F200" s="66" t="n">
        <f aca="false">F192+F199</f>
        <v>9298.41666666666</v>
      </c>
      <c r="G200" s="66" t="n">
        <f aca="false">G192+G199</f>
        <v>12464.1666666667</v>
      </c>
      <c r="H200" s="66" t="n">
        <f aca="false">H192+H199</f>
        <v>12464.1666666667</v>
      </c>
      <c r="I200" s="66" t="n">
        <f aca="false">I192+I199</f>
        <v>12464.1666666667</v>
      </c>
      <c r="J200" s="66" t="n">
        <f aca="false">J192+J199</f>
        <v>12464.1666666667</v>
      </c>
      <c r="K200" s="66" t="n">
        <f aca="false">K192+K199</f>
        <v>12464.1666666667</v>
      </c>
      <c r="L200" s="66" t="n">
        <f aca="false">L192+L199</f>
        <v>12464.1666666667</v>
      </c>
      <c r="M200" s="66" t="n">
        <f aca="false">M192+M199</f>
        <v>12464.1666666667</v>
      </c>
      <c r="N200" s="66" t="n">
        <f aca="false">N192+N199</f>
        <v>12464.1666666667</v>
      </c>
      <c r="O200" s="66" t="n">
        <f aca="false">O192+O199</f>
        <v>16312.8086666667</v>
      </c>
      <c r="P200" s="66" t="n">
        <f aca="false">P192+P199</f>
        <v>16312.8086666667</v>
      </c>
      <c r="Q200" s="66" t="n">
        <f aca="false">Q192+Q199</f>
        <v>16312.8086666667</v>
      </c>
      <c r="R200" s="66" t="n">
        <f aca="false">R192+R199</f>
        <v>16312.8086666667</v>
      </c>
      <c r="S200" s="66" t="n">
        <f aca="false">S192+S199</f>
        <v>16312.8086666667</v>
      </c>
      <c r="T200" s="66" t="n">
        <f aca="false">T192+T199</f>
        <v>16312.8086666667</v>
      </c>
      <c r="U200" s="66" t="n">
        <f aca="false">U192+U199</f>
        <v>16312.8086666667</v>
      </c>
      <c r="V200" s="66" t="n">
        <f aca="false">V192+V199</f>
        <v>16312.8086666667</v>
      </c>
      <c r="W200" s="66" t="n">
        <f aca="false">W192+W199</f>
        <v>16312.8086666667</v>
      </c>
      <c r="X200" s="66" t="n">
        <f aca="false">X192+X199</f>
        <v>16312.8086666667</v>
      </c>
      <c r="Y200" s="66" t="n">
        <f aca="false">Y192+Y199</f>
        <v>16312.8086666667</v>
      </c>
      <c r="Z200" s="66" t="n">
        <f aca="false">Z192+Z199</f>
        <v>16312.8086666667</v>
      </c>
      <c r="AA200" s="66" t="n">
        <f aca="false">AA192+AA199</f>
        <v>20715.0801178667</v>
      </c>
      <c r="AB200" s="66" t="n">
        <f aca="false">AB192+AB199</f>
        <v>20715.0801178667</v>
      </c>
      <c r="AC200" s="66" t="n">
        <f aca="false">AC192+AC199</f>
        <v>20715.0801178667</v>
      </c>
      <c r="AD200" s="66" t="n">
        <f aca="false">AD192+AD199</f>
        <v>20715.0801178667</v>
      </c>
      <c r="AE200" s="66" t="n">
        <f aca="false">AE192+AE199</f>
        <v>20715.0801178667</v>
      </c>
      <c r="AF200" s="66" t="n">
        <f aca="false">AF192+AF199</f>
        <v>20715.0801178667</v>
      </c>
      <c r="AG200" s="66" t="n">
        <f aca="false">AG192+AG199</f>
        <v>20715.0801178667</v>
      </c>
      <c r="AH200" s="66" t="n">
        <f aca="false">AH192+AH199</f>
        <v>20715.0801178667</v>
      </c>
      <c r="AI200" s="66" t="n">
        <f aca="false">AI192+AI199</f>
        <v>20715.0801178667</v>
      </c>
      <c r="AJ200" s="66" t="n">
        <f aca="false">AJ192+AJ199</f>
        <v>20715.0801178667</v>
      </c>
      <c r="AK200" s="66" t="n">
        <f aca="false">AK192+AK199</f>
        <v>20715.0801178667</v>
      </c>
      <c r="AL200" s="66" t="n">
        <f aca="false">AL192+AL199</f>
        <v>20715.0801178667</v>
      </c>
    </row>
    <row r="202" customFormat="false" ht="15.75" hidden="false" customHeight="true" outlineLevel="0" collapsed="false">
      <c r="A202" s="7" t="s">
        <v>338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4" t="s">
        <v>77</v>
      </c>
      <c r="C203" s="71" t="n">
        <f aca="false">C200+C214</f>
        <v>-1984.54761904762</v>
      </c>
      <c r="D203" s="71" t="n">
        <f aca="false">D200+D214</f>
        <v>1181.20238095238</v>
      </c>
      <c r="E203" s="71" t="n">
        <f aca="false">E200+E214</f>
        <v>4346.95238095238</v>
      </c>
      <c r="F203" s="71" t="n">
        <f aca="false">F200+F214</f>
        <v>7512.70238095238</v>
      </c>
      <c r="G203" s="71" t="n">
        <f aca="false">G200+G214</f>
        <v>10678.4523809524</v>
      </c>
      <c r="H203" s="71" t="n">
        <f aca="false">H200+H214</f>
        <v>10678.4523809524</v>
      </c>
      <c r="I203" s="71" t="n">
        <f aca="false">I200+I214</f>
        <v>10678.4523809524</v>
      </c>
      <c r="J203" s="71" t="n">
        <f aca="false">J200+J214</f>
        <v>10678.4523809524</v>
      </c>
      <c r="K203" s="71" t="n">
        <f aca="false">K200+K214</f>
        <v>10678.4523809524</v>
      </c>
      <c r="L203" s="71" t="n">
        <f aca="false">L200+L214</f>
        <v>10678.4523809524</v>
      </c>
      <c r="M203" s="71" t="n">
        <f aca="false">M200+M214</f>
        <v>10678.4523809524</v>
      </c>
      <c r="N203" s="71" t="n">
        <f aca="false">N200+N214</f>
        <v>10678.4523809524</v>
      </c>
      <c r="O203" s="71" t="n">
        <f aca="false">O200+O214</f>
        <v>14527.0943809524</v>
      </c>
      <c r="P203" s="71" t="n">
        <f aca="false">P200+P214</f>
        <v>14527.0943809524</v>
      </c>
      <c r="Q203" s="71" t="n">
        <f aca="false">Q200+Q214</f>
        <v>14527.0943809524</v>
      </c>
      <c r="R203" s="71" t="n">
        <f aca="false">R200+R214</f>
        <v>14527.0943809524</v>
      </c>
      <c r="S203" s="71" t="n">
        <f aca="false">S200+S214</f>
        <v>14527.0943809524</v>
      </c>
      <c r="T203" s="71" t="n">
        <f aca="false">T200+T214</f>
        <v>14527.0943809524</v>
      </c>
      <c r="U203" s="71" t="n">
        <f aca="false">U200+U214</f>
        <v>14527.0943809524</v>
      </c>
      <c r="V203" s="71" t="n">
        <f aca="false">V200+V214</f>
        <v>14527.0943809524</v>
      </c>
      <c r="W203" s="71" t="n">
        <f aca="false">W200+W214</f>
        <v>14527.0943809524</v>
      </c>
      <c r="X203" s="71" t="n">
        <f aca="false">X200+X214</f>
        <v>14527.0943809524</v>
      </c>
      <c r="Y203" s="71" t="n">
        <f aca="false">Y200+Y214</f>
        <v>14527.0943809524</v>
      </c>
      <c r="Z203" s="71" t="n">
        <f aca="false">Z200+Z214</f>
        <v>14527.0943809524</v>
      </c>
      <c r="AA203" s="71" t="n">
        <f aca="false">AA200+AA214</f>
        <v>18929.3658321524</v>
      </c>
      <c r="AB203" s="71" t="n">
        <f aca="false">AB200+AB214</f>
        <v>18929.3658321524</v>
      </c>
      <c r="AC203" s="71" t="n">
        <f aca="false">AC200+AC214</f>
        <v>18929.3658321524</v>
      </c>
      <c r="AD203" s="71" t="n">
        <f aca="false">AD200+AD214</f>
        <v>18929.3658321524</v>
      </c>
      <c r="AE203" s="71" t="n">
        <f aca="false">AE200+AE214</f>
        <v>18929.3658321524</v>
      </c>
      <c r="AF203" s="71" t="n">
        <f aca="false">AF200+AF214</f>
        <v>18929.3658321524</v>
      </c>
      <c r="AG203" s="71" t="n">
        <f aca="false">AG200+AG214</f>
        <v>18929.3658321524</v>
      </c>
      <c r="AH203" s="71" t="n">
        <f aca="false">AH200+AH214</f>
        <v>18929.3658321524</v>
      </c>
      <c r="AI203" s="71" t="n">
        <f aca="false">AI200+AI214</f>
        <v>18929.3658321524</v>
      </c>
      <c r="AJ203" s="71" t="n">
        <f aca="false">AJ200+AJ214</f>
        <v>18929.3658321524</v>
      </c>
      <c r="AK203" s="71" t="n">
        <f aca="false">AK200+AK214</f>
        <v>18929.3658321524</v>
      </c>
      <c r="AL203" s="71" t="n">
        <f aca="false">AL200+AL214</f>
        <v>18929.3658321524</v>
      </c>
    </row>
    <row r="204" customFormat="false" ht="15" hidden="false" customHeight="false" outlineLevel="0" collapsed="false">
      <c r="A204" s="6" t="s">
        <v>339</v>
      </c>
      <c r="C204" s="65" t="n">
        <f aca="false">-(C219+C220+C222)/2*Inputs!$D$31/12</f>
        <v>-533.333333333333</v>
      </c>
      <c r="D204" s="65" t="n">
        <f aca="false">-(D219+D220+D222)/2*Inputs!$D$31/12</f>
        <v>-528.888888888889</v>
      </c>
      <c r="E204" s="65" t="n">
        <f aca="false">-(E219+E220+E222)/2*Inputs!$D$31/12</f>
        <v>-520</v>
      </c>
      <c r="F204" s="65" t="n">
        <f aca="false">-(F219+F220+F222)/2*Inputs!$D$31/12</f>
        <v>-511.111111111111</v>
      </c>
      <c r="G204" s="65" t="n">
        <f aca="false">-(G219+G220+G222)/2*Inputs!$D$31/12</f>
        <v>-502.222222222222</v>
      </c>
      <c r="H204" s="65" t="n">
        <f aca="false">-(H219+H220+H222)/2*Inputs!$D$31/12</f>
        <v>-493.333333333334</v>
      </c>
      <c r="I204" s="65" t="n">
        <f aca="false">-(I219+I220+I222)/2*Inputs!$D$31/12</f>
        <v>-484.444444444445</v>
      </c>
      <c r="J204" s="65" t="n">
        <f aca="false">-(J219+J220+J222)/2*Inputs!$D$31/12</f>
        <v>-475.555555555556</v>
      </c>
      <c r="K204" s="65" t="n">
        <f aca="false">-(K219+K220+K222)/2*Inputs!$D$31/12</f>
        <v>-466.666666666667</v>
      </c>
      <c r="L204" s="65" t="n">
        <f aca="false">-(L219+L220+L222)/2*Inputs!$D$31/12</f>
        <v>-457.777777777778</v>
      </c>
      <c r="M204" s="65" t="n">
        <f aca="false">-(M219+M220+M222)/2*Inputs!$D$31/12</f>
        <v>-448.888888888889</v>
      </c>
      <c r="N204" s="65" t="n">
        <f aca="false">-(N219+N220+N222)/2*Inputs!$D$31/12</f>
        <v>-440</v>
      </c>
      <c r="O204" s="65" t="n">
        <f aca="false">-(O219+O220+O222)/2*Inputs!$D$31/12</f>
        <v>-431.111111111112</v>
      </c>
      <c r="P204" s="65" t="n">
        <f aca="false">-(P219+P220+P222)/2*Inputs!$D$31/12</f>
        <v>-422.222222222222</v>
      </c>
      <c r="Q204" s="65" t="n">
        <f aca="false">-(Q219+Q220+Q222)/2*Inputs!$D$31/12</f>
        <v>-413.333333333334</v>
      </c>
      <c r="R204" s="65" t="n">
        <f aca="false">-(R219+R220+R222)/2*Inputs!$D$31/12</f>
        <v>-404.444444444445</v>
      </c>
      <c r="S204" s="65" t="n">
        <f aca="false">-(S219+S220+S222)/2*Inputs!$D$31/12</f>
        <v>-395.555555555556</v>
      </c>
      <c r="T204" s="65" t="n">
        <f aca="false">-(T219+T220+T222)/2*Inputs!$D$31/12</f>
        <v>-386.666666666667</v>
      </c>
      <c r="U204" s="65" t="n">
        <f aca="false">-(U219+U220+U222)/2*Inputs!$D$31/12</f>
        <v>-377.777777777778</v>
      </c>
      <c r="V204" s="65" t="n">
        <f aca="false">-(V219+V220+V222)/2*Inputs!$D$31/12</f>
        <v>-368.888888888889</v>
      </c>
      <c r="W204" s="65" t="n">
        <f aca="false">-(W219+W220+W222)/2*Inputs!$D$31/12</f>
        <v>-360</v>
      </c>
      <c r="X204" s="65" t="n">
        <f aca="false">-(X219+X220+X222)/2*Inputs!$D$31/12</f>
        <v>-351.111111111111</v>
      </c>
      <c r="Y204" s="65" t="n">
        <f aca="false">-(Y219+Y220+Y222)/2*Inputs!$D$31/12</f>
        <v>-342.222222222222</v>
      </c>
      <c r="Z204" s="65" t="n">
        <f aca="false">-(Z219+Z220+Z222)/2*Inputs!$D$31/12</f>
        <v>-333.333333333333</v>
      </c>
      <c r="AA204" s="65" t="n">
        <f aca="false">-(AA219+AA220+AA222)/2*Inputs!$D$31/12</f>
        <v>-324.444444444445</v>
      </c>
      <c r="AB204" s="65" t="n">
        <f aca="false">-(AB219+AB220+AB222)/2*Inputs!$D$31/12</f>
        <v>-315.555555555556</v>
      </c>
      <c r="AC204" s="65" t="n">
        <f aca="false">-(AC219+AC220+AC222)/2*Inputs!$D$31/12</f>
        <v>-306.666666666667</v>
      </c>
      <c r="AD204" s="65" t="n">
        <f aca="false">-(AD219+AD220+AD222)/2*Inputs!$D$31/12</f>
        <v>-297.777777777778</v>
      </c>
      <c r="AE204" s="65" t="n">
        <f aca="false">-(AE219+AE220+AE222)/2*Inputs!$D$31/12</f>
        <v>-288.888888888889</v>
      </c>
      <c r="AF204" s="65" t="n">
        <f aca="false">-(AF219+AF220+AF222)/2*Inputs!$D$31/12</f>
        <v>-280</v>
      </c>
      <c r="AG204" s="65" t="n">
        <f aca="false">-(AG219+AG220+AG222)/2*Inputs!$D$31/12</f>
        <v>-271.111111111111</v>
      </c>
      <c r="AH204" s="65" t="n">
        <f aca="false">-(AH219+AH220+AH222)/2*Inputs!$D$31/12</f>
        <v>-262.222222222222</v>
      </c>
      <c r="AI204" s="65" t="n">
        <f aca="false">-(AI219+AI220+AI222)/2*Inputs!$D$31/12</f>
        <v>-253.333333333333</v>
      </c>
      <c r="AJ204" s="65" t="n">
        <f aca="false">-(AJ219+AJ220+AJ222)/2*Inputs!$D$31/12</f>
        <v>-244.444444444444</v>
      </c>
      <c r="AK204" s="65" t="n">
        <f aca="false">-(AK219+AK220+AK222)/2*Inputs!$D$31/12</f>
        <v>-235.555555555556</v>
      </c>
      <c r="AL204" s="65" t="n">
        <f aca="false">-(AL219+AL220+AL222)/2*Inputs!$D$31/12</f>
        <v>-226.666666666667</v>
      </c>
    </row>
    <row r="205" customFormat="false" ht="15" hidden="false" customHeight="false" outlineLevel="0" collapsed="false">
      <c r="A205" s="108" t="s">
        <v>79</v>
      </c>
      <c r="C205" s="66" t="n">
        <f aca="false">C203+C204</f>
        <v>-2517.88095238096</v>
      </c>
      <c r="D205" s="66" t="n">
        <f aca="false">D203+D204</f>
        <v>652.313492063489</v>
      </c>
      <c r="E205" s="66" t="n">
        <f aca="false">E203+E204</f>
        <v>3826.95238095238</v>
      </c>
      <c r="F205" s="66" t="n">
        <f aca="false">F203+F204</f>
        <v>7001.59126984127</v>
      </c>
      <c r="G205" s="66" t="n">
        <f aca="false">G203+G204</f>
        <v>10176.2301587302</v>
      </c>
      <c r="H205" s="66" t="n">
        <f aca="false">H203+H204</f>
        <v>10185.119047619</v>
      </c>
      <c r="I205" s="66" t="n">
        <f aca="false">I203+I204</f>
        <v>10194.0079365079</v>
      </c>
      <c r="J205" s="66" t="n">
        <f aca="false">J203+J204</f>
        <v>10202.8968253968</v>
      </c>
      <c r="K205" s="66" t="n">
        <f aca="false">K203+K204</f>
        <v>10211.7857142857</v>
      </c>
      <c r="L205" s="66" t="n">
        <f aca="false">L203+L204</f>
        <v>10220.6746031746</v>
      </c>
      <c r="M205" s="66" t="n">
        <f aca="false">M203+M204</f>
        <v>10229.5634920635</v>
      </c>
      <c r="N205" s="66" t="n">
        <f aca="false">N203+N204</f>
        <v>10238.4523809524</v>
      </c>
      <c r="O205" s="66" t="n">
        <f aca="false">O203+O204</f>
        <v>14095.9832698413</v>
      </c>
      <c r="P205" s="66" t="n">
        <f aca="false">P203+P204</f>
        <v>14104.8721587302</v>
      </c>
      <c r="Q205" s="66" t="n">
        <f aca="false">Q203+Q204</f>
        <v>14113.761047619</v>
      </c>
      <c r="R205" s="66" t="n">
        <f aca="false">R203+R204</f>
        <v>14122.6499365079</v>
      </c>
      <c r="S205" s="66" t="n">
        <f aca="false">S203+S204</f>
        <v>14131.5388253968</v>
      </c>
      <c r="T205" s="66" t="n">
        <f aca="false">T203+T204</f>
        <v>14140.4277142857</v>
      </c>
      <c r="U205" s="66" t="n">
        <f aca="false">U203+U204</f>
        <v>14149.3166031746</v>
      </c>
      <c r="V205" s="66" t="n">
        <f aca="false">V203+V204</f>
        <v>14158.2054920635</v>
      </c>
      <c r="W205" s="66" t="n">
        <f aca="false">W203+W204</f>
        <v>14167.0943809524</v>
      </c>
      <c r="X205" s="66" t="n">
        <f aca="false">X203+X204</f>
        <v>14175.9832698413</v>
      </c>
      <c r="Y205" s="66" t="n">
        <f aca="false">Y203+Y204</f>
        <v>14184.8721587302</v>
      </c>
      <c r="Z205" s="66" t="n">
        <f aca="false">Z203+Z204</f>
        <v>14193.761047619</v>
      </c>
      <c r="AA205" s="66" t="n">
        <f aca="false">AA203+AA204</f>
        <v>18604.9213877079</v>
      </c>
      <c r="AB205" s="66" t="n">
        <f aca="false">AB203+AB204</f>
        <v>18613.8102765968</v>
      </c>
      <c r="AC205" s="66" t="n">
        <f aca="false">AC203+AC204</f>
        <v>18622.6991654857</v>
      </c>
      <c r="AD205" s="66" t="n">
        <f aca="false">AD203+AD204</f>
        <v>18631.5880543746</v>
      </c>
      <c r="AE205" s="66" t="n">
        <f aca="false">AE203+AE204</f>
        <v>18640.4769432635</v>
      </c>
      <c r="AF205" s="66" t="n">
        <f aca="false">AF203+AF204</f>
        <v>18649.3658321524</v>
      </c>
      <c r="AG205" s="66" t="n">
        <f aca="false">AG203+AG204</f>
        <v>18658.2547210413</v>
      </c>
      <c r="AH205" s="66" t="n">
        <f aca="false">AH203+AH204</f>
        <v>18667.1436099302</v>
      </c>
      <c r="AI205" s="66" t="n">
        <f aca="false">AI203+AI204</f>
        <v>18676.0324988191</v>
      </c>
      <c r="AJ205" s="66" t="n">
        <f aca="false">AJ203+AJ204</f>
        <v>18684.9213877079</v>
      </c>
      <c r="AK205" s="66" t="n">
        <f aca="false">AK203+AK204</f>
        <v>18693.8102765968</v>
      </c>
      <c r="AL205" s="66" t="n">
        <f aca="false">AL203+AL204</f>
        <v>18702.6991654857</v>
      </c>
    </row>
    <row r="206" customFormat="false" ht="15" hidden="false" customHeight="false" outlineLevel="0" collapsed="false">
      <c r="A206" s="114" t="s">
        <v>340</v>
      </c>
      <c r="C206" s="65" t="n">
        <f aca="false">C205</f>
        <v>-2517.88095238096</v>
      </c>
      <c r="D206" s="65" t="n">
        <f aca="false">C206+D205</f>
        <v>-1865.56746031747</v>
      </c>
      <c r="E206" s="65" t="n">
        <f aca="false">D206+E205</f>
        <v>1961.38492063491</v>
      </c>
      <c r="F206" s="65" t="n">
        <f aca="false">E206+F205</f>
        <v>8962.97619047618</v>
      </c>
      <c r="G206" s="65" t="n">
        <f aca="false">F206+G205</f>
        <v>19139.2063492063</v>
      </c>
      <c r="H206" s="65" t="n">
        <f aca="false">G206+H205</f>
        <v>29324.3253968254</v>
      </c>
      <c r="I206" s="65" t="n">
        <f aca="false">H206+I205</f>
        <v>39518.3333333333</v>
      </c>
      <c r="J206" s="65" t="n">
        <f aca="false">I206+J205</f>
        <v>49721.2301587301</v>
      </c>
      <c r="K206" s="65" t="n">
        <f aca="false">J206+K205</f>
        <v>59933.0158730158</v>
      </c>
      <c r="L206" s="65" t="n">
        <f aca="false">K206+L205</f>
        <v>70153.6904761904</v>
      </c>
      <c r="M206" s="65" t="n">
        <f aca="false">L206+M205</f>
        <v>80383.2539682539</v>
      </c>
      <c r="N206" s="65" t="n">
        <f aca="false">M206+N205</f>
        <v>90621.7063492063</v>
      </c>
      <c r="O206" s="65" t="n">
        <f aca="false">N206+O205</f>
        <v>104717.689619048</v>
      </c>
      <c r="P206" s="65" t="n">
        <f aca="false">O206+P205</f>
        <v>118822.561777778</v>
      </c>
      <c r="Q206" s="65" t="n">
        <f aca="false">P206+Q205</f>
        <v>132936.322825397</v>
      </c>
      <c r="R206" s="65" t="n">
        <f aca="false">Q206+R205</f>
        <v>147058.972761905</v>
      </c>
      <c r="S206" s="65" t="n">
        <f aca="false">R206+S205</f>
        <v>161190.511587302</v>
      </c>
      <c r="T206" s="65" t="n">
        <f aca="false">S206+T205</f>
        <v>175330.939301587</v>
      </c>
      <c r="U206" s="65" t="n">
        <f aca="false">T206+U205</f>
        <v>189480.255904762</v>
      </c>
      <c r="V206" s="65" t="n">
        <f aca="false">U206+V205</f>
        <v>203638.461396825</v>
      </c>
      <c r="W206" s="65" t="n">
        <f aca="false">V206+W205</f>
        <v>217805.555777778</v>
      </c>
      <c r="X206" s="65" t="n">
        <f aca="false">W206+X205</f>
        <v>231981.539047619</v>
      </c>
      <c r="Y206" s="65" t="n">
        <f aca="false">X206+Y205</f>
        <v>246166.411206349</v>
      </c>
      <c r="Z206" s="65" t="n">
        <f aca="false">Y206+Z205</f>
        <v>260360.172253968</v>
      </c>
      <c r="AA206" s="65" t="n">
        <f aca="false">Z206+AA205</f>
        <v>278965.093641676</v>
      </c>
      <c r="AB206" s="65" t="n">
        <f aca="false">AA206+AB205</f>
        <v>297578.903918273</v>
      </c>
      <c r="AC206" s="65" t="n">
        <f aca="false">AB206+AC205</f>
        <v>316201.603083759</v>
      </c>
      <c r="AD206" s="65" t="n">
        <f aca="false">AC206+AD205</f>
        <v>334833.191138133</v>
      </c>
      <c r="AE206" s="65" t="n">
        <f aca="false">AD206+AE205</f>
        <v>353473.668081397</v>
      </c>
      <c r="AF206" s="65" t="n">
        <f aca="false">AE206+AF205</f>
        <v>372123.033913549</v>
      </c>
      <c r="AG206" s="65" t="n">
        <f aca="false">AF206+AG205</f>
        <v>390781.28863459</v>
      </c>
      <c r="AH206" s="65" t="n">
        <f aca="false">AG206+AH205</f>
        <v>409448.432244521</v>
      </c>
      <c r="AI206" s="65" t="n">
        <f aca="false">AH206+AI205</f>
        <v>428124.46474334</v>
      </c>
      <c r="AJ206" s="65" t="n">
        <f aca="false">AI206+AJ205</f>
        <v>446809.386131048</v>
      </c>
      <c r="AK206" s="65" t="n">
        <f aca="false">AJ206+AK205</f>
        <v>465503.196407644</v>
      </c>
      <c r="AL206" s="65" t="n">
        <f aca="false">AK206+AL205</f>
        <v>484205.89557313</v>
      </c>
    </row>
    <row r="207" customFormat="false" ht="15" hidden="false" customHeight="false" outlineLevel="0" collapsed="false">
      <c r="A207" s="114" t="s">
        <v>341</v>
      </c>
      <c r="C207" s="65" t="n">
        <f aca="false">MAX(0,C206)</f>
        <v>0</v>
      </c>
      <c r="D207" s="65" t="n">
        <f aca="false">MAX(C207,D206)</f>
        <v>0</v>
      </c>
      <c r="E207" s="65" t="n">
        <f aca="false">MAX(D207,E206)</f>
        <v>1961.38492063491</v>
      </c>
      <c r="F207" s="65" t="n">
        <f aca="false">MAX(E207,F206)</f>
        <v>8962.97619047618</v>
      </c>
      <c r="G207" s="65" t="n">
        <f aca="false">MAX(F207,G206)</f>
        <v>19139.2063492063</v>
      </c>
      <c r="H207" s="65" t="n">
        <f aca="false">MAX(G207,H206)</f>
        <v>29324.3253968254</v>
      </c>
      <c r="I207" s="65" t="n">
        <f aca="false">MAX(H207,I206)</f>
        <v>39518.3333333333</v>
      </c>
      <c r="J207" s="65" t="n">
        <f aca="false">MAX(I207,J206)</f>
        <v>49721.2301587301</v>
      </c>
      <c r="K207" s="65" t="n">
        <f aca="false">MAX(J207,K206)</f>
        <v>59933.0158730158</v>
      </c>
      <c r="L207" s="65" t="n">
        <f aca="false">MAX(K207,L206)</f>
        <v>70153.6904761904</v>
      </c>
      <c r="M207" s="65" t="n">
        <f aca="false">MAX(L207,M206)</f>
        <v>80383.2539682539</v>
      </c>
      <c r="N207" s="65" t="n">
        <f aca="false">MAX(M207,N206)</f>
        <v>90621.7063492063</v>
      </c>
      <c r="O207" s="65" t="n">
        <f aca="false">MAX(N207,O206)</f>
        <v>104717.689619048</v>
      </c>
      <c r="P207" s="65" t="n">
        <f aca="false">MAX(O207,P206)</f>
        <v>118822.561777778</v>
      </c>
      <c r="Q207" s="65" t="n">
        <f aca="false">MAX(P207,Q206)</f>
        <v>132936.322825397</v>
      </c>
      <c r="R207" s="65" t="n">
        <f aca="false">MAX(Q207,R206)</f>
        <v>147058.972761905</v>
      </c>
      <c r="S207" s="65" t="n">
        <f aca="false">MAX(R207,S206)</f>
        <v>161190.511587302</v>
      </c>
      <c r="T207" s="65" t="n">
        <f aca="false">MAX(S207,T206)</f>
        <v>175330.939301587</v>
      </c>
      <c r="U207" s="65" t="n">
        <f aca="false">MAX(T207,U206)</f>
        <v>189480.255904762</v>
      </c>
      <c r="V207" s="65" t="n">
        <f aca="false">MAX(U207,V206)</f>
        <v>203638.461396825</v>
      </c>
      <c r="W207" s="65" t="n">
        <f aca="false">MAX(V207,W206)</f>
        <v>217805.555777778</v>
      </c>
      <c r="X207" s="65" t="n">
        <f aca="false">MAX(W207,X206)</f>
        <v>231981.539047619</v>
      </c>
      <c r="Y207" s="65" t="n">
        <f aca="false">MAX(X207,Y206)</f>
        <v>246166.411206349</v>
      </c>
      <c r="Z207" s="65" t="n">
        <f aca="false">MAX(Y207,Z206)</f>
        <v>260360.172253968</v>
      </c>
      <c r="AA207" s="65" t="n">
        <f aca="false">MAX(Z207,AA206)</f>
        <v>278965.093641676</v>
      </c>
      <c r="AB207" s="65" t="n">
        <f aca="false">MAX(AA207,AB206)</f>
        <v>297578.903918273</v>
      </c>
      <c r="AC207" s="65" t="n">
        <f aca="false">MAX(AB207,AC206)</f>
        <v>316201.603083759</v>
      </c>
      <c r="AD207" s="65" t="n">
        <f aca="false">MAX(AC207,AD206)</f>
        <v>334833.191138133</v>
      </c>
      <c r="AE207" s="65" t="n">
        <f aca="false">MAX(AD207,AE206)</f>
        <v>353473.668081397</v>
      </c>
      <c r="AF207" s="65" t="n">
        <f aca="false">MAX(AE207,AF206)</f>
        <v>372123.033913549</v>
      </c>
      <c r="AG207" s="65" t="n">
        <f aca="false">MAX(AF207,AG206)</f>
        <v>390781.28863459</v>
      </c>
      <c r="AH207" s="65" t="n">
        <f aca="false">MAX(AG207,AH206)</f>
        <v>409448.432244521</v>
      </c>
      <c r="AI207" s="65" t="n">
        <f aca="false">MAX(AH207,AI206)</f>
        <v>428124.46474334</v>
      </c>
      <c r="AJ207" s="65" t="n">
        <f aca="false">MAX(AI207,AJ206)</f>
        <v>446809.386131048</v>
      </c>
      <c r="AK207" s="65" t="n">
        <f aca="false">MAX(AJ207,AK206)</f>
        <v>465503.196407644</v>
      </c>
      <c r="AL207" s="65" t="n">
        <f aca="false">MAX(AK207,AL206)</f>
        <v>484205.89557313</v>
      </c>
    </row>
    <row r="208" customFormat="false" ht="15" hidden="false" customHeight="false" outlineLevel="0" collapsed="false">
      <c r="A208" s="6" t="s">
        <v>80</v>
      </c>
      <c r="C208" s="65" t="n">
        <f aca="false">-C207*Inputs!$D$41</f>
        <v>-0</v>
      </c>
      <c r="D208" s="65" t="n">
        <f aca="false">-(D207-C207)*Inputs!$D$41</f>
        <v>-0</v>
      </c>
      <c r="E208" s="65" t="n">
        <f aca="false">-(E207-D207)*Inputs!$D$41</f>
        <v>-411.890833333332</v>
      </c>
      <c r="F208" s="65" t="n">
        <f aca="false">-(F207-E207)*Inputs!$D$41</f>
        <v>-1470.33416666667</v>
      </c>
      <c r="G208" s="65" t="n">
        <f aca="false">-(G207-F207)*Inputs!$D$41</f>
        <v>-2137.00833333333</v>
      </c>
      <c r="H208" s="65" t="n">
        <f aca="false">-(H207-G207)*Inputs!$D$41</f>
        <v>-2138.875</v>
      </c>
      <c r="I208" s="65" t="n">
        <f aca="false">-(I207-H207)*Inputs!$D$41</f>
        <v>-2140.74166666667</v>
      </c>
      <c r="J208" s="65" t="n">
        <f aca="false">-(J207-I207)*Inputs!$D$41</f>
        <v>-2142.60833333333</v>
      </c>
      <c r="K208" s="65" t="n">
        <f aca="false">-(K207-J207)*Inputs!$D$41</f>
        <v>-2144.475</v>
      </c>
      <c r="L208" s="65" t="n">
        <f aca="false">-(L207-K207)*Inputs!$D$41</f>
        <v>-2146.34166666667</v>
      </c>
      <c r="M208" s="65" t="n">
        <f aca="false">-(M207-L207)*Inputs!$D$41</f>
        <v>-2148.20833333333</v>
      </c>
      <c r="N208" s="65" t="n">
        <f aca="false">-(N207-M207)*Inputs!$D$41</f>
        <v>-2150.075</v>
      </c>
      <c r="O208" s="65" t="n">
        <f aca="false">-(O207-N207)*Inputs!$D$41</f>
        <v>-2960.15648666667</v>
      </c>
      <c r="P208" s="65" t="n">
        <f aca="false">-(P207-O207)*Inputs!$D$41</f>
        <v>-2962.02315333333</v>
      </c>
      <c r="Q208" s="65" t="n">
        <f aca="false">-(Q207-P207)*Inputs!$D$41</f>
        <v>-2963.88982</v>
      </c>
      <c r="R208" s="65" t="n">
        <f aca="false">-(R207-Q207)*Inputs!$D$41</f>
        <v>-2965.75648666666</v>
      </c>
      <c r="S208" s="65" t="n">
        <f aca="false">-(S207-R207)*Inputs!$D$41</f>
        <v>-2967.62315333333</v>
      </c>
      <c r="T208" s="65" t="n">
        <f aca="false">-(T207-S207)*Inputs!$D$41</f>
        <v>-2969.48982</v>
      </c>
      <c r="U208" s="65" t="n">
        <f aca="false">-(U207-T207)*Inputs!$D$41</f>
        <v>-2971.35648666667</v>
      </c>
      <c r="V208" s="65" t="n">
        <f aca="false">-(V207-U207)*Inputs!$D$41</f>
        <v>-2973.22315333333</v>
      </c>
      <c r="W208" s="65" t="n">
        <f aca="false">-(W207-V207)*Inputs!$D$41</f>
        <v>-2975.08982</v>
      </c>
      <c r="X208" s="65" t="n">
        <f aca="false">-(X207-W207)*Inputs!$D$41</f>
        <v>-2976.95648666667</v>
      </c>
      <c r="Y208" s="65" t="n">
        <f aca="false">-(Y207-X207)*Inputs!$D$41</f>
        <v>-2978.82315333334</v>
      </c>
      <c r="Z208" s="65" t="n">
        <f aca="false">-(Z207-Y207)*Inputs!$D$41</f>
        <v>-2980.68982</v>
      </c>
      <c r="AA208" s="65" t="n">
        <f aca="false">-(AA207-Z207)*Inputs!$D$41</f>
        <v>-3907.03349141867</v>
      </c>
      <c r="AB208" s="65" t="n">
        <f aca="false">-(AB207-AA207)*Inputs!$D$41</f>
        <v>-3908.90015808533</v>
      </c>
      <c r="AC208" s="65" t="n">
        <f aca="false">-(AC207-AB207)*Inputs!$D$41</f>
        <v>-3910.76682475201</v>
      </c>
      <c r="AD208" s="65" t="n">
        <f aca="false">-(AD207-AC207)*Inputs!$D$41</f>
        <v>-3912.63349141867</v>
      </c>
      <c r="AE208" s="65" t="n">
        <f aca="false">-(AE207-AD207)*Inputs!$D$41</f>
        <v>-3914.50015808533</v>
      </c>
      <c r="AF208" s="65" t="n">
        <f aca="false">-(AF207-AE207)*Inputs!$D$41</f>
        <v>-3916.366824752</v>
      </c>
      <c r="AG208" s="65" t="n">
        <f aca="false">-(AG207-AF207)*Inputs!$D$41</f>
        <v>-3918.23349141867</v>
      </c>
      <c r="AH208" s="65" t="n">
        <f aca="false">-(AH207-AG207)*Inputs!$D$41</f>
        <v>-3920.10015808534</v>
      </c>
      <c r="AI208" s="65" t="n">
        <f aca="false">-(AI207-AH207)*Inputs!$D$41</f>
        <v>-3921.966824752</v>
      </c>
      <c r="AJ208" s="65" t="n">
        <f aca="false">-(AJ207-AI207)*Inputs!$D$41</f>
        <v>-3923.83349141867</v>
      </c>
      <c r="AK208" s="65" t="n">
        <f aca="false">-(AK207-AJ207)*Inputs!$D$41</f>
        <v>-3925.70015808533</v>
      </c>
      <c r="AL208" s="65" t="n">
        <f aca="false">-(AL207-AK207)*Inputs!$D$41</f>
        <v>-3927.56682475201</v>
      </c>
    </row>
    <row r="209" customFormat="false" ht="15" hidden="false" customHeight="false" outlineLevel="0" collapsed="false">
      <c r="A209" s="108" t="s">
        <v>50</v>
      </c>
      <c r="C209" s="66" t="n">
        <f aca="false">C205+C208</f>
        <v>-2517.88095238096</v>
      </c>
      <c r="D209" s="66" t="n">
        <f aca="false">D205+D208</f>
        <v>652.313492063489</v>
      </c>
      <c r="E209" s="66" t="n">
        <f aca="false">E205+E208</f>
        <v>3415.06154761905</v>
      </c>
      <c r="F209" s="66" t="n">
        <f aca="false">F205+F208</f>
        <v>5531.2571031746</v>
      </c>
      <c r="G209" s="66" t="n">
        <f aca="false">G205+G208</f>
        <v>8039.22182539682</v>
      </c>
      <c r="H209" s="66" t="n">
        <f aca="false">H205+H208</f>
        <v>8046.24404761905</v>
      </c>
      <c r="I209" s="66" t="n">
        <f aca="false">I205+I208</f>
        <v>8053.26626984127</v>
      </c>
      <c r="J209" s="66" t="n">
        <f aca="false">J205+J208</f>
        <v>8060.28849206349</v>
      </c>
      <c r="K209" s="66" t="n">
        <f aca="false">K205+K208</f>
        <v>8067.31071428571</v>
      </c>
      <c r="L209" s="66" t="n">
        <f aca="false">L205+L208</f>
        <v>8074.33293650793</v>
      </c>
      <c r="M209" s="66" t="n">
        <f aca="false">M205+M208</f>
        <v>8081.35515873016</v>
      </c>
      <c r="N209" s="66" t="n">
        <f aca="false">N205+N208</f>
        <v>8088.37738095238</v>
      </c>
      <c r="O209" s="66" t="n">
        <f aca="false">O205+O208</f>
        <v>11135.8267831746</v>
      </c>
      <c r="P209" s="66" t="n">
        <f aca="false">P205+P208</f>
        <v>11142.8490053968</v>
      </c>
      <c r="Q209" s="66" t="n">
        <f aca="false">Q205+Q208</f>
        <v>11149.871227619</v>
      </c>
      <c r="R209" s="66" t="n">
        <f aca="false">R205+R208</f>
        <v>11156.8934498413</v>
      </c>
      <c r="S209" s="66" t="n">
        <f aca="false">S205+S208</f>
        <v>11163.9156720635</v>
      </c>
      <c r="T209" s="66" t="n">
        <f aca="false">T205+T208</f>
        <v>11170.9378942857</v>
      </c>
      <c r="U209" s="66" t="n">
        <f aca="false">U205+U208</f>
        <v>11177.9601165079</v>
      </c>
      <c r="V209" s="66" t="n">
        <f aca="false">V205+V208</f>
        <v>11184.9823387302</v>
      </c>
      <c r="W209" s="66" t="n">
        <f aca="false">W205+W208</f>
        <v>11192.0045609524</v>
      </c>
      <c r="X209" s="66" t="n">
        <f aca="false">X205+X208</f>
        <v>11199.0267831746</v>
      </c>
      <c r="Y209" s="66" t="n">
        <f aca="false">Y205+Y208</f>
        <v>11206.0490053968</v>
      </c>
      <c r="Z209" s="66" t="n">
        <f aca="false">Z205+Z208</f>
        <v>11213.071227619</v>
      </c>
      <c r="AA209" s="66" t="n">
        <f aca="false">AA205+AA208</f>
        <v>14697.8878962893</v>
      </c>
      <c r="AB209" s="66" t="n">
        <f aca="false">AB205+AB208</f>
        <v>14704.9101185115</v>
      </c>
      <c r="AC209" s="66" t="n">
        <f aca="false">AC205+AC208</f>
        <v>14711.9323407337</v>
      </c>
      <c r="AD209" s="66" t="n">
        <f aca="false">AD205+AD208</f>
        <v>14718.9545629559</v>
      </c>
      <c r="AE209" s="66" t="n">
        <f aca="false">AE205+AE208</f>
        <v>14725.9767851782</v>
      </c>
      <c r="AF209" s="66" t="n">
        <f aca="false">AF205+AF208</f>
        <v>14732.9990074004</v>
      </c>
      <c r="AG209" s="66" t="n">
        <f aca="false">AG205+AG208</f>
        <v>14740.0212296226</v>
      </c>
      <c r="AH209" s="66" t="n">
        <f aca="false">AH205+AH208</f>
        <v>14747.0434518448</v>
      </c>
      <c r="AI209" s="66" t="n">
        <f aca="false">AI205+AI208</f>
        <v>14754.0656740671</v>
      </c>
      <c r="AJ209" s="66" t="n">
        <f aca="false">AJ205+AJ208</f>
        <v>14761.0878962893</v>
      </c>
      <c r="AK209" s="66" t="n">
        <f aca="false">AK205+AK208</f>
        <v>14768.1101185115</v>
      </c>
      <c r="AL209" s="66" t="n">
        <f aca="false">AL205+AL208</f>
        <v>14775.1323407337</v>
      </c>
    </row>
    <row r="211" customFormat="false" ht="15.75" hidden="false" customHeight="true" outlineLevel="0" collapsed="false">
      <c r="A211" s="7" t="s">
        <v>342</v>
      </c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customFormat="false" ht="15" hidden="false" customHeight="false" outlineLevel="0" collapsed="false">
      <c r="A212" s="6" t="s">
        <v>82</v>
      </c>
      <c r="C212" s="65" t="n">
        <f aca="false">IF(C$182=1,Inputs!$D$18,0)</f>
        <v>150000</v>
      </c>
      <c r="D212" s="65" t="n">
        <f aca="false">IF(D$182=1,Inputs!$D$18,0)</f>
        <v>0</v>
      </c>
      <c r="E212" s="65" t="n">
        <f aca="false">IF(E$182=1,Inputs!$D$18,0)</f>
        <v>0</v>
      </c>
      <c r="F212" s="65" t="n">
        <f aca="false">IF(F$182=1,Inputs!$D$18,0)</f>
        <v>0</v>
      </c>
      <c r="G212" s="65" t="n">
        <f aca="false">IF(G$182=1,Inputs!$D$18,0)</f>
        <v>0</v>
      </c>
      <c r="H212" s="65" t="n">
        <f aca="false">IF(H$182=1,Inputs!$D$18,0)</f>
        <v>0</v>
      </c>
      <c r="I212" s="65" t="n">
        <f aca="false">IF(I$182=1,Inputs!$D$18,0)</f>
        <v>0</v>
      </c>
      <c r="J212" s="65" t="n">
        <f aca="false">IF(J$182=1,Inputs!$D$18,0)</f>
        <v>0</v>
      </c>
      <c r="K212" s="65" t="n">
        <f aca="false">IF(K$182=1,Inputs!$D$18,0)</f>
        <v>0</v>
      </c>
      <c r="L212" s="65" t="n">
        <f aca="false">IF(L$182=1,Inputs!$D$18,0)</f>
        <v>0</v>
      </c>
      <c r="M212" s="65" t="n">
        <f aca="false">IF(M$182=1,Inputs!$D$18,0)</f>
        <v>0</v>
      </c>
      <c r="N212" s="65" t="n">
        <f aca="false">IF(N$182=1,Inputs!$D$18,0)</f>
        <v>0</v>
      </c>
      <c r="O212" s="65" t="n">
        <f aca="false">IF(O$182=1,Inputs!$D$18,0)</f>
        <v>0</v>
      </c>
      <c r="P212" s="65" t="n">
        <f aca="false">IF(P$182=1,Inputs!$D$18,0)</f>
        <v>0</v>
      </c>
      <c r="Q212" s="65" t="n">
        <f aca="false">IF(Q$182=1,Inputs!$D$18,0)</f>
        <v>0</v>
      </c>
      <c r="R212" s="65" t="n">
        <f aca="false">IF(R$182=1,Inputs!$D$18,0)</f>
        <v>0</v>
      </c>
      <c r="S212" s="65" t="n">
        <f aca="false">IF(S$182=1,Inputs!$D$18,0)</f>
        <v>0</v>
      </c>
      <c r="T212" s="65" t="n">
        <f aca="false">IF(T$182=1,Inputs!$D$18,0)</f>
        <v>0</v>
      </c>
      <c r="U212" s="65" t="n">
        <f aca="false">IF(U$182=1,Inputs!$D$18,0)</f>
        <v>0</v>
      </c>
      <c r="V212" s="65" t="n">
        <f aca="false">IF(V$182=1,Inputs!$D$18,0)</f>
        <v>0</v>
      </c>
      <c r="W212" s="65" t="n">
        <f aca="false">IF(W$182=1,Inputs!$D$18,0)</f>
        <v>0</v>
      </c>
      <c r="X212" s="65" t="n">
        <f aca="false">IF(X$182=1,Inputs!$D$18,0)</f>
        <v>0</v>
      </c>
      <c r="Y212" s="65" t="n">
        <f aca="false">IF(Y$182=1,Inputs!$D$18,0)</f>
        <v>0</v>
      </c>
      <c r="Z212" s="65" t="n">
        <f aca="false">IF(Z$182=1,Inputs!$D$18,0)</f>
        <v>0</v>
      </c>
      <c r="AA212" s="65" t="n">
        <f aca="false">IF(AA$182=1,Inputs!$D$18,0)</f>
        <v>0</v>
      </c>
      <c r="AB212" s="65" t="n">
        <f aca="false">IF(AB$182=1,Inputs!$D$18,0)</f>
        <v>0</v>
      </c>
      <c r="AC212" s="65" t="n">
        <f aca="false">IF(AC$182=1,Inputs!$D$18,0)</f>
        <v>0</v>
      </c>
      <c r="AD212" s="65" t="n">
        <f aca="false">IF(AD$182=1,Inputs!$D$18,0)</f>
        <v>0</v>
      </c>
      <c r="AE212" s="65" t="n">
        <f aca="false">IF(AE$182=1,Inputs!$D$18,0)</f>
        <v>0</v>
      </c>
      <c r="AF212" s="65" t="n">
        <f aca="false">IF(AF$182=1,Inputs!$D$18,0)</f>
        <v>0</v>
      </c>
      <c r="AG212" s="65" t="n">
        <f aca="false">IF(AG$182=1,Inputs!$D$18,0)</f>
        <v>0</v>
      </c>
      <c r="AH212" s="65" t="n">
        <f aca="false">IF(AH$182=1,Inputs!$D$18,0)</f>
        <v>0</v>
      </c>
      <c r="AI212" s="65" t="n">
        <f aca="false">IF(AI$182=1,Inputs!$D$18,0)</f>
        <v>0</v>
      </c>
      <c r="AJ212" s="65" t="n">
        <f aca="false">IF(AJ$182=1,Inputs!$D$18,0)</f>
        <v>0</v>
      </c>
      <c r="AK212" s="65" t="n">
        <f aca="false">IF(AK$182=1,Inputs!$D$18,0)</f>
        <v>0</v>
      </c>
      <c r="AL212" s="65" t="n">
        <f aca="false">IF(AL$182=1,Inputs!$D$18,0)</f>
        <v>0</v>
      </c>
    </row>
    <row r="213" customFormat="false" ht="15" hidden="false" customHeight="false" outlineLevel="0" collapsed="false">
      <c r="A213" s="6" t="s">
        <v>343</v>
      </c>
      <c r="C213" s="65" t="n">
        <f aca="false">C212</f>
        <v>150000</v>
      </c>
      <c r="D213" s="65" t="n">
        <f aca="false">C213+D212</f>
        <v>150000</v>
      </c>
      <c r="E213" s="65" t="n">
        <f aca="false">D213+E212</f>
        <v>150000</v>
      </c>
      <c r="F213" s="65" t="n">
        <f aca="false">E213+F212</f>
        <v>150000</v>
      </c>
      <c r="G213" s="65" t="n">
        <f aca="false">F213+G212</f>
        <v>150000</v>
      </c>
      <c r="H213" s="65" t="n">
        <f aca="false">G213+H212</f>
        <v>150000</v>
      </c>
      <c r="I213" s="65" t="n">
        <f aca="false">H213+I212</f>
        <v>150000</v>
      </c>
      <c r="J213" s="65" t="n">
        <f aca="false">I213+J212</f>
        <v>150000</v>
      </c>
      <c r="K213" s="65" t="n">
        <f aca="false">J213+K212</f>
        <v>150000</v>
      </c>
      <c r="L213" s="65" t="n">
        <f aca="false">K213+L212</f>
        <v>150000</v>
      </c>
      <c r="M213" s="65" t="n">
        <f aca="false">L213+M212</f>
        <v>150000</v>
      </c>
      <c r="N213" s="65" t="n">
        <f aca="false">M213+N212</f>
        <v>150000</v>
      </c>
      <c r="O213" s="65" t="n">
        <f aca="false">N213+O212</f>
        <v>150000</v>
      </c>
      <c r="P213" s="65" t="n">
        <f aca="false">O213+P212</f>
        <v>150000</v>
      </c>
      <c r="Q213" s="65" t="n">
        <f aca="false">P213+Q212</f>
        <v>150000</v>
      </c>
      <c r="R213" s="65" t="n">
        <f aca="false">Q213+R212</f>
        <v>150000</v>
      </c>
      <c r="S213" s="65" t="n">
        <f aca="false">R213+S212</f>
        <v>150000</v>
      </c>
      <c r="T213" s="65" t="n">
        <f aca="false">S213+T212</f>
        <v>150000</v>
      </c>
      <c r="U213" s="65" t="n">
        <f aca="false">T213+U212</f>
        <v>150000</v>
      </c>
      <c r="V213" s="65" t="n">
        <f aca="false">U213+V212</f>
        <v>150000</v>
      </c>
      <c r="W213" s="65" t="n">
        <f aca="false">V213+W212</f>
        <v>150000</v>
      </c>
      <c r="X213" s="65" t="n">
        <f aca="false">W213+X212</f>
        <v>150000</v>
      </c>
      <c r="Y213" s="65" t="n">
        <f aca="false">X213+Y212</f>
        <v>150000</v>
      </c>
      <c r="Z213" s="65" t="n">
        <f aca="false">Y213+Z212</f>
        <v>150000</v>
      </c>
      <c r="AA213" s="65" t="n">
        <f aca="false">Z213+AA212</f>
        <v>150000</v>
      </c>
      <c r="AB213" s="65" t="n">
        <f aca="false">AA213+AB212</f>
        <v>150000</v>
      </c>
      <c r="AC213" s="65" t="n">
        <f aca="false">AB213+AC212</f>
        <v>150000</v>
      </c>
      <c r="AD213" s="65" t="n">
        <f aca="false">AC213+AD212</f>
        <v>150000</v>
      </c>
      <c r="AE213" s="65" t="n">
        <f aca="false">AD213+AE212</f>
        <v>150000</v>
      </c>
      <c r="AF213" s="65" t="n">
        <f aca="false">AE213+AF212</f>
        <v>150000</v>
      </c>
      <c r="AG213" s="65" t="n">
        <f aca="false">AF213+AG212</f>
        <v>150000</v>
      </c>
      <c r="AH213" s="65" t="n">
        <f aca="false">AG213+AH212</f>
        <v>150000</v>
      </c>
      <c r="AI213" s="65" t="n">
        <f aca="false">AH213+AI212</f>
        <v>150000</v>
      </c>
      <c r="AJ213" s="65" t="n">
        <f aca="false">AI213+AJ212</f>
        <v>150000</v>
      </c>
      <c r="AK213" s="65" t="n">
        <f aca="false">AJ213+AK212</f>
        <v>150000</v>
      </c>
      <c r="AL213" s="65" t="n">
        <f aca="false">AK213+AL212</f>
        <v>150000</v>
      </c>
    </row>
    <row r="214" customFormat="false" ht="15" hidden="false" customHeight="false" outlineLevel="0" collapsed="false">
      <c r="A214" s="6" t="s">
        <v>76</v>
      </c>
      <c r="C214" s="65" t="n">
        <f aca="false">-MIN(C213/MAX(1,Inputs!$D$40*12),C212)</f>
        <v>-1785.71428571429</v>
      </c>
      <c r="D214" s="65" t="n">
        <f aca="false">-MIN(D213/MAX(1,Inputs!$D$40*12),C216+D212)</f>
        <v>-1785.71428571429</v>
      </c>
      <c r="E214" s="65" t="n">
        <f aca="false">-MIN(E213/MAX(1,Inputs!$D$40*12),D216+E212)</f>
        <v>-1785.71428571429</v>
      </c>
      <c r="F214" s="65" t="n">
        <f aca="false">-MIN(F213/MAX(1,Inputs!$D$40*12),E216+F212)</f>
        <v>-1785.71428571429</v>
      </c>
      <c r="G214" s="65" t="n">
        <f aca="false">-MIN(G213/MAX(1,Inputs!$D$40*12),F216+G212)</f>
        <v>-1785.71428571429</v>
      </c>
      <c r="H214" s="65" t="n">
        <f aca="false">-MIN(H213/MAX(1,Inputs!$D$40*12),G216+H212)</f>
        <v>-1785.71428571429</v>
      </c>
      <c r="I214" s="65" t="n">
        <f aca="false">-MIN(I213/MAX(1,Inputs!$D$40*12),H216+I212)</f>
        <v>-1785.71428571429</v>
      </c>
      <c r="J214" s="65" t="n">
        <f aca="false">-MIN(J213/MAX(1,Inputs!$D$40*12),I216+J212)</f>
        <v>-1785.71428571429</v>
      </c>
      <c r="K214" s="65" t="n">
        <f aca="false">-MIN(K213/MAX(1,Inputs!$D$40*12),J216+K212)</f>
        <v>-1785.71428571429</v>
      </c>
      <c r="L214" s="65" t="n">
        <f aca="false">-MIN(L213/MAX(1,Inputs!$D$40*12),K216+L212)</f>
        <v>-1785.71428571429</v>
      </c>
      <c r="M214" s="65" t="n">
        <f aca="false">-MIN(M213/MAX(1,Inputs!$D$40*12),L216+M212)</f>
        <v>-1785.71428571429</v>
      </c>
      <c r="N214" s="65" t="n">
        <f aca="false">-MIN(N213/MAX(1,Inputs!$D$40*12),M216+N212)</f>
        <v>-1785.71428571429</v>
      </c>
      <c r="O214" s="65" t="n">
        <f aca="false">-MIN(O213/MAX(1,Inputs!$D$40*12),N216+O212)</f>
        <v>-1785.71428571429</v>
      </c>
      <c r="P214" s="65" t="n">
        <f aca="false">-MIN(P213/MAX(1,Inputs!$D$40*12),O216+P212)</f>
        <v>-1785.71428571429</v>
      </c>
      <c r="Q214" s="65" t="n">
        <f aca="false">-MIN(Q213/MAX(1,Inputs!$D$40*12),P216+Q212)</f>
        <v>-1785.71428571429</v>
      </c>
      <c r="R214" s="65" t="n">
        <f aca="false">-MIN(R213/MAX(1,Inputs!$D$40*12),Q216+R212)</f>
        <v>-1785.71428571429</v>
      </c>
      <c r="S214" s="65" t="n">
        <f aca="false">-MIN(S213/MAX(1,Inputs!$D$40*12),R216+S212)</f>
        <v>-1785.71428571429</v>
      </c>
      <c r="T214" s="65" t="n">
        <f aca="false">-MIN(T213/MAX(1,Inputs!$D$40*12),S216+T212)</f>
        <v>-1785.71428571429</v>
      </c>
      <c r="U214" s="65" t="n">
        <f aca="false">-MIN(U213/MAX(1,Inputs!$D$40*12),T216+U212)</f>
        <v>-1785.71428571429</v>
      </c>
      <c r="V214" s="65" t="n">
        <f aca="false">-MIN(V213/MAX(1,Inputs!$D$40*12),U216+V212)</f>
        <v>-1785.71428571429</v>
      </c>
      <c r="W214" s="65" t="n">
        <f aca="false">-MIN(W213/MAX(1,Inputs!$D$40*12),V216+W212)</f>
        <v>-1785.71428571429</v>
      </c>
      <c r="X214" s="65" t="n">
        <f aca="false">-MIN(X213/MAX(1,Inputs!$D$40*12),W216+X212)</f>
        <v>-1785.71428571429</v>
      </c>
      <c r="Y214" s="65" t="n">
        <f aca="false">-MIN(Y213/MAX(1,Inputs!$D$40*12),X216+Y212)</f>
        <v>-1785.71428571429</v>
      </c>
      <c r="Z214" s="65" t="n">
        <f aca="false">-MIN(Z213/MAX(1,Inputs!$D$40*12),Y216+Z212)</f>
        <v>-1785.71428571429</v>
      </c>
      <c r="AA214" s="65" t="n">
        <f aca="false">-MIN(AA213/MAX(1,Inputs!$D$40*12),Z216+AA212)</f>
        <v>-1785.71428571429</v>
      </c>
      <c r="AB214" s="65" t="n">
        <f aca="false">-MIN(AB213/MAX(1,Inputs!$D$40*12),AA216+AB212)</f>
        <v>-1785.71428571429</v>
      </c>
      <c r="AC214" s="65" t="n">
        <f aca="false">-MIN(AC213/MAX(1,Inputs!$D$40*12),AB216+AC212)</f>
        <v>-1785.71428571429</v>
      </c>
      <c r="AD214" s="65" t="n">
        <f aca="false">-MIN(AD213/MAX(1,Inputs!$D$40*12),AC216+AD212)</f>
        <v>-1785.71428571429</v>
      </c>
      <c r="AE214" s="65" t="n">
        <f aca="false">-MIN(AE213/MAX(1,Inputs!$D$40*12),AD216+AE212)</f>
        <v>-1785.71428571429</v>
      </c>
      <c r="AF214" s="65" t="n">
        <f aca="false">-MIN(AF213/MAX(1,Inputs!$D$40*12),AE216+AF212)</f>
        <v>-1785.71428571429</v>
      </c>
      <c r="AG214" s="65" t="n">
        <f aca="false">-MIN(AG213/MAX(1,Inputs!$D$40*12),AF216+AG212)</f>
        <v>-1785.71428571429</v>
      </c>
      <c r="AH214" s="65" t="n">
        <f aca="false">-MIN(AH213/MAX(1,Inputs!$D$40*12),AG216+AH212)</f>
        <v>-1785.71428571429</v>
      </c>
      <c r="AI214" s="65" t="n">
        <f aca="false">-MIN(AI213/MAX(1,Inputs!$D$40*12),AH216+AI212)</f>
        <v>-1785.71428571429</v>
      </c>
      <c r="AJ214" s="65" t="n">
        <f aca="false">-MIN(AJ213/MAX(1,Inputs!$D$40*12),AI216+AJ212)</f>
        <v>-1785.71428571429</v>
      </c>
      <c r="AK214" s="65" t="n">
        <f aca="false">-MIN(AK213/MAX(1,Inputs!$D$40*12),AJ216+AK212)</f>
        <v>-1785.71428571429</v>
      </c>
      <c r="AL214" s="65" t="n">
        <f aca="false">-MIN(AL213/MAX(1,Inputs!$D$40*12),AK216+AL212)</f>
        <v>-1785.71428571429</v>
      </c>
    </row>
    <row r="215" customFormat="false" ht="15" hidden="false" customHeight="false" outlineLevel="0" collapsed="false">
      <c r="A215" s="6" t="s">
        <v>344</v>
      </c>
      <c r="C215" s="65" t="n">
        <f aca="false">C214</f>
        <v>-1785.71428571429</v>
      </c>
      <c r="D215" s="65" t="n">
        <f aca="false">C215+D214</f>
        <v>-3571.42857142857</v>
      </c>
      <c r="E215" s="65" t="n">
        <f aca="false">D215+E214</f>
        <v>-5357.14285714286</v>
      </c>
      <c r="F215" s="65" t="n">
        <f aca="false">E215+F214</f>
        <v>-7142.85714285714</v>
      </c>
      <c r="G215" s="65" t="n">
        <f aca="false">F215+G214</f>
        <v>-8928.57142857143</v>
      </c>
      <c r="H215" s="65" t="n">
        <f aca="false">G215+H214</f>
        <v>-10714.2857142857</v>
      </c>
      <c r="I215" s="65" t="n">
        <f aca="false">H215+I214</f>
        <v>-12500</v>
      </c>
      <c r="J215" s="65" t="n">
        <f aca="false">I215+J214</f>
        <v>-14285.7142857143</v>
      </c>
      <c r="K215" s="65" t="n">
        <f aca="false">J215+K214</f>
        <v>-16071.4285714286</v>
      </c>
      <c r="L215" s="65" t="n">
        <f aca="false">K215+L214</f>
        <v>-17857.1428571429</v>
      </c>
      <c r="M215" s="65" t="n">
        <f aca="false">L215+M214</f>
        <v>-19642.8571428571</v>
      </c>
      <c r="N215" s="65" t="n">
        <f aca="false">M215+N214</f>
        <v>-21428.5714285714</v>
      </c>
      <c r="O215" s="65" t="n">
        <f aca="false">N215+O214</f>
        <v>-23214.2857142857</v>
      </c>
      <c r="P215" s="65" t="n">
        <f aca="false">O215+P214</f>
        <v>-25000</v>
      </c>
      <c r="Q215" s="65" t="n">
        <f aca="false">P215+Q214</f>
        <v>-26785.7142857143</v>
      </c>
      <c r="R215" s="65" t="n">
        <f aca="false">Q215+R214</f>
        <v>-28571.4285714286</v>
      </c>
      <c r="S215" s="65" t="n">
        <f aca="false">R215+S214</f>
        <v>-30357.1428571429</v>
      </c>
      <c r="T215" s="65" t="n">
        <f aca="false">S215+T214</f>
        <v>-32142.8571428572</v>
      </c>
      <c r="U215" s="65" t="n">
        <f aca="false">T215+U214</f>
        <v>-33928.5714285714</v>
      </c>
      <c r="V215" s="65" t="n">
        <f aca="false">U215+V214</f>
        <v>-35714.2857142857</v>
      </c>
      <c r="W215" s="65" t="n">
        <f aca="false">V215+W214</f>
        <v>-37500</v>
      </c>
      <c r="X215" s="65" t="n">
        <f aca="false">W215+X214</f>
        <v>-39285.7142857143</v>
      </c>
      <c r="Y215" s="65" t="n">
        <f aca="false">X215+Y214</f>
        <v>-41071.4285714286</v>
      </c>
      <c r="Z215" s="65" t="n">
        <f aca="false">Y215+Z214</f>
        <v>-42857.1428571429</v>
      </c>
      <c r="AA215" s="65" t="n">
        <f aca="false">Z215+AA214</f>
        <v>-44642.8571428571</v>
      </c>
      <c r="AB215" s="65" t="n">
        <f aca="false">AA215+AB214</f>
        <v>-46428.5714285714</v>
      </c>
      <c r="AC215" s="65" t="n">
        <f aca="false">AB215+AC214</f>
        <v>-48214.2857142857</v>
      </c>
      <c r="AD215" s="65" t="n">
        <f aca="false">AC215+AD214</f>
        <v>-50000</v>
      </c>
      <c r="AE215" s="65" t="n">
        <f aca="false">AD215+AE214</f>
        <v>-51785.7142857143</v>
      </c>
      <c r="AF215" s="65" t="n">
        <f aca="false">AE215+AF214</f>
        <v>-53571.4285714285</v>
      </c>
      <c r="AG215" s="65" t="n">
        <f aca="false">AF215+AG214</f>
        <v>-55357.1428571428</v>
      </c>
      <c r="AH215" s="65" t="n">
        <f aca="false">AG215+AH214</f>
        <v>-57142.8571428571</v>
      </c>
      <c r="AI215" s="65" t="n">
        <f aca="false">AH215+AI214</f>
        <v>-58928.5714285714</v>
      </c>
      <c r="AJ215" s="65" t="n">
        <f aca="false">AI215+AJ214</f>
        <v>-60714.2857142857</v>
      </c>
      <c r="AK215" s="65" t="n">
        <f aca="false">AJ215+AK214</f>
        <v>-62500</v>
      </c>
      <c r="AL215" s="65" t="n">
        <f aca="false">AK215+AL214</f>
        <v>-64285.7142857142</v>
      </c>
    </row>
    <row r="216" customFormat="false" ht="15" hidden="false" customHeight="false" outlineLevel="0" collapsed="false">
      <c r="A216" s="4" t="s">
        <v>90</v>
      </c>
      <c r="C216" s="71" t="n">
        <f aca="false">C213+C215</f>
        <v>148214.285714286</v>
      </c>
      <c r="D216" s="71" t="n">
        <f aca="false">D213+D215</f>
        <v>146428.571428571</v>
      </c>
      <c r="E216" s="71" t="n">
        <f aca="false">E213+E215</f>
        <v>144642.857142857</v>
      </c>
      <c r="F216" s="71" t="n">
        <f aca="false">F213+F215</f>
        <v>142857.142857143</v>
      </c>
      <c r="G216" s="71" t="n">
        <f aca="false">G213+G215</f>
        <v>141071.428571429</v>
      </c>
      <c r="H216" s="71" t="n">
        <f aca="false">H213+H215</f>
        <v>139285.714285714</v>
      </c>
      <c r="I216" s="71" t="n">
        <f aca="false">I213+I215</f>
        <v>137500</v>
      </c>
      <c r="J216" s="71" t="n">
        <f aca="false">J213+J215</f>
        <v>135714.285714286</v>
      </c>
      <c r="K216" s="71" t="n">
        <f aca="false">K213+K215</f>
        <v>133928.571428571</v>
      </c>
      <c r="L216" s="71" t="n">
        <f aca="false">L213+L215</f>
        <v>132142.857142857</v>
      </c>
      <c r="M216" s="71" t="n">
        <f aca="false">M213+M215</f>
        <v>130357.142857143</v>
      </c>
      <c r="N216" s="71" t="n">
        <f aca="false">N213+N215</f>
        <v>128571.428571429</v>
      </c>
      <c r="O216" s="71" t="n">
        <f aca="false">O213+O215</f>
        <v>126785.714285714</v>
      </c>
      <c r="P216" s="71" t="n">
        <f aca="false">P213+P215</f>
        <v>125000</v>
      </c>
      <c r="Q216" s="71" t="n">
        <f aca="false">Q213+Q215</f>
        <v>123214.285714286</v>
      </c>
      <c r="R216" s="71" t="n">
        <f aca="false">R213+R215</f>
        <v>121428.571428571</v>
      </c>
      <c r="S216" s="71" t="n">
        <f aca="false">S213+S215</f>
        <v>119642.857142857</v>
      </c>
      <c r="T216" s="71" t="n">
        <f aca="false">T213+T215</f>
        <v>117857.142857143</v>
      </c>
      <c r="U216" s="71" t="n">
        <f aca="false">U213+U215</f>
        <v>116071.428571429</v>
      </c>
      <c r="V216" s="71" t="n">
        <f aca="false">V213+V215</f>
        <v>114285.714285714</v>
      </c>
      <c r="W216" s="71" t="n">
        <f aca="false">W213+W215</f>
        <v>112500</v>
      </c>
      <c r="X216" s="71" t="n">
        <f aca="false">X213+X215</f>
        <v>110714.285714286</v>
      </c>
      <c r="Y216" s="71" t="n">
        <f aca="false">Y213+Y215</f>
        <v>108928.571428571</v>
      </c>
      <c r="Z216" s="71" t="n">
        <f aca="false">Z213+Z215</f>
        <v>107142.857142857</v>
      </c>
      <c r="AA216" s="71" t="n">
        <f aca="false">AA213+AA215</f>
        <v>105357.142857143</v>
      </c>
      <c r="AB216" s="71" t="n">
        <f aca="false">AB213+AB215</f>
        <v>103571.428571429</v>
      </c>
      <c r="AC216" s="71" t="n">
        <f aca="false">AC213+AC215</f>
        <v>101785.714285714</v>
      </c>
      <c r="AD216" s="71" t="n">
        <f aca="false">AD213+AD215</f>
        <v>100000</v>
      </c>
      <c r="AE216" s="71" t="n">
        <f aca="false">AE213+AE215</f>
        <v>98214.2857142857</v>
      </c>
      <c r="AF216" s="71" t="n">
        <f aca="false">AF213+AF215</f>
        <v>96428.5714285715</v>
      </c>
      <c r="AG216" s="71" t="n">
        <f aca="false">AG213+AG215</f>
        <v>94642.8571428572</v>
      </c>
      <c r="AH216" s="71" t="n">
        <f aca="false">AH213+AH215</f>
        <v>92857.1428571429</v>
      </c>
      <c r="AI216" s="71" t="n">
        <f aca="false">AI213+AI215</f>
        <v>91071.4285714286</v>
      </c>
      <c r="AJ216" s="71" t="n">
        <f aca="false">AJ213+AJ215</f>
        <v>89285.7142857143</v>
      </c>
      <c r="AK216" s="71" t="n">
        <f aca="false">AK213+AK215</f>
        <v>87500</v>
      </c>
      <c r="AL216" s="71" t="n">
        <f aca="false">AL213+AL215</f>
        <v>85714.2857142858</v>
      </c>
    </row>
    <row r="218" customFormat="false" ht="15.75" hidden="false" customHeight="true" outlineLevel="0" collapsed="false">
      <c r="A218" s="7" t="s">
        <v>345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6" t="s">
        <v>346</v>
      </c>
      <c r="C219" s="65" t="n">
        <f aca="false">0</f>
        <v>0</v>
      </c>
      <c r="D219" s="65" t="n">
        <f aca="false">C222</f>
        <v>80000</v>
      </c>
      <c r="E219" s="65" t="n">
        <f aca="false">D222</f>
        <v>78666.6666666667</v>
      </c>
      <c r="F219" s="65" t="n">
        <f aca="false">E222</f>
        <v>77333.3333333333</v>
      </c>
      <c r="G219" s="65" t="n">
        <f aca="false">F222</f>
        <v>76000</v>
      </c>
      <c r="H219" s="65" t="n">
        <f aca="false">G222</f>
        <v>74666.6666666667</v>
      </c>
      <c r="I219" s="65" t="n">
        <f aca="false">H222</f>
        <v>73333.3333333334</v>
      </c>
      <c r="J219" s="65" t="n">
        <f aca="false">I222</f>
        <v>72000</v>
      </c>
      <c r="K219" s="65" t="n">
        <f aca="false">J222</f>
        <v>70666.6666666667</v>
      </c>
      <c r="L219" s="65" t="n">
        <f aca="false">K222</f>
        <v>69333.3333333334</v>
      </c>
      <c r="M219" s="65" t="n">
        <f aca="false">L222</f>
        <v>68000</v>
      </c>
      <c r="N219" s="65" t="n">
        <f aca="false">M222</f>
        <v>66666.6666666667</v>
      </c>
      <c r="O219" s="65" t="n">
        <f aca="false">N222</f>
        <v>65333.3333333334</v>
      </c>
      <c r="P219" s="65" t="n">
        <f aca="false">O222</f>
        <v>64000</v>
      </c>
      <c r="Q219" s="65" t="n">
        <f aca="false">P222</f>
        <v>62666.6666666667</v>
      </c>
      <c r="R219" s="65" t="n">
        <f aca="false">Q222</f>
        <v>61333.3333333334</v>
      </c>
      <c r="S219" s="65" t="n">
        <f aca="false">R222</f>
        <v>60000</v>
      </c>
      <c r="T219" s="65" t="n">
        <f aca="false">S222</f>
        <v>58666.6666666667</v>
      </c>
      <c r="U219" s="65" t="n">
        <f aca="false">T222</f>
        <v>57333.3333333334</v>
      </c>
      <c r="V219" s="65" t="n">
        <f aca="false">U222</f>
        <v>56000</v>
      </c>
      <c r="W219" s="65" t="n">
        <f aca="false">V222</f>
        <v>54666.6666666667</v>
      </c>
      <c r="X219" s="65" t="n">
        <f aca="false">W222</f>
        <v>53333.3333333334</v>
      </c>
      <c r="Y219" s="65" t="n">
        <f aca="false">X222</f>
        <v>52000</v>
      </c>
      <c r="Z219" s="65" t="n">
        <f aca="false">Y222</f>
        <v>50666.6666666667</v>
      </c>
      <c r="AA219" s="65" t="n">
        <f aca="false">Z222</f>
        <v>49333.3333333334</v>
      </c>
      <c r="AB219" s="65" t="n">
        <f aca="false">AA222</f>
        <v>48000</v>
      </c>
      <c r="AC219" s="65" t="n">
        <f aca="false">AB222</f>
        <v>46666.6666666667</v>
      </c>
      <c r="AD219" s="65" t="n">
        <f aca="false">AC222</f>
        <v>45333.3333333333</v>
      </c>
      <c r="AE219" s="65" t="n">
        <f aca="false">AD222</f>
        <v>44000</v>
      </c>
      <c r="AF219" s="65" t="n">
        <f aca="false">AE222</f>
        <v>42666.6666666667</v>
      </c>
      <c r="AG219" s="65" t="n">
        <f aca="false">AF222</f>
        <v>41333.3333333333</v>
      </c>
      <c r="AH219" s="65" t="n">
        <f aca="false">AG222</f>
        <v>40000</v>
      </c>
      <c r="AI219" s="65" t="n">
        <f aca="false">AH222</f>
        <v>38666.6666666667</v>
      </c>
      <c r="AJ219" s="65" t="n">
        <f aca="false">AI222</f>
        <v>37333.3333333333</v>
      </c>
      <c r="AK219" s="65" t="n">
        <f aca="false">AJ222</f>
        <v>36000</v>
      </c>
      <c r="AL219" s="65" t="n">
        <f aca="false">AK222</f>
        <v>34666.6666666667</v>
      </c>
    </row>
    <row r="220" customFormat="false" ht="15" hidden="false" customHeight="false" outlineLevel="0" collapsed="false">
      <c r="A220" s="6" t="s">
        <v>83</v>
      </c>
      <c r="C220" s="65" t="n">
        <f aca="false">IF(C$182=1,Inputs!$D$30,0)</f>
        <v>80000</v>
      </c>
      <c r="D220" s="65" t="n">
        <f aca="false">IF(D$182=1,Inputs!$D$30,0)</f>
        <v>0</v>
      </c>
      <c r="E220" s="65" t="n">
        <f aca="false">IF(E$182=1,Inputs!$D$30,0)</f>
        <v>0</v>
      </c>
      <c r="F220" s="65" t="n">
        <f aca="false">IF(F$182=1,Inputs!$D$30,0)</f>
        <v>0</v>
      </c>
      <c r="G220" s="65" t="n">
        <f aca="false">IF(G$182=1,Inputs!$D$30,0)</f>
        <v>0</v>
      </c>
      <c r="H220" s="65" t="n">
        <f aca="false">IF(H$182=1,Inputs!$D$30,0)</f>
        <v>0</v>
      </c>
      <c r="I220" s="65" t="n">
        <f aca="false">IF(I$182=1,Inputs!$D$30,0)</f>
        <v>0</v>
      </c>
      <c r="J220" s="65" t="n">
        <f aca="false">IF(J$182=1,Inputs!$D$30,0)</f>
        <v>0</v>
      </c>
      <c r="K220" s="65" t="n">
        <f aca="false">IF(K$182=1,Inputs!$D$30,0)</f>
        <v>0</v>
      </c>
      <c r="L220" s="65" t="n">
        <f aca="false">IF(L$182=1,Inputs!$D$30,0)</f>
        <v>0</v>
      </c>
      <c r="M220" s="65" t="n">
        <f aca="false">IF(M$182=1,Inputs!$D$30,0)</f>
        <v>0</v>
      </c>
      <c r="N220" s="65" t="n">
        <f aca="false">IF(N$182=1,Inputs!$D$30,0)</f>
        <v>0</v>
      </c>
      <c r="O220" s="65" t="n">
        <f aca="false">IF(O$182=1,Inputs!$D$30,0)</f>
        <v>0</v>
      </c>
      <c r="P220" s="65" t="n">
        <f aca="false">IF(P$182=1,Inputs!$D$30,0)</f>
        <v>0</v>
      </c>
      <c r="Q220" s="65" t="n">
        <f aca="false">IF(Q$182=1,Inputs!$D$30,0)</f>
        <v>0</v>
      </c>
      <c r="R220" s="65" t="n">
        <f aca="false">IF(R$182=1,Inputs!$D$30,0)</f>
        <v>0</v>
      </c>
      <c r="S220" s="65" t="n">
        <f aca="false">IF(S$182=1,Inputs!$D$30,0)</f>
        <v>0</v>
      </c>
      <c r="T220" s="65" t="n">
        <f aca="false">IF(T$182=1,Inputs!$D$30,0)</f>
        <v>0</v>
      </c>
      <c r="U220" s="65" t="n">
        <f aca="false">IF(U$182=1,Inputs!$D$30,0)</f>
        <v>0</v>
      </c>
      <c r="V220" s="65" t="n">
        <f aca="false">IF(V$182=1,Inputs!$D$30,0)</f>
        <v>0</v>
      </c>
      <c r="W220" s="65" t="n">
        <f aca="false">IF(W$182=1,Inputs!$D$30,0)</f>
        <v>0</v>
      </c>
      <c r="X220" s="65" t="n">
        <f aca="false">IF(X$182=1,Inputs!$D$30,0)</f>
        <v>0</v>
      </c>
      <c r="Y220" s="65" t="n">
        <f aca="false">IF(Y$182=1,Inputs!$D$30,0)</f>
        <v>0</v>
      </c>
      <c r="Z220" s="65" t="n">
        <f aca="false">IF(Z$182=1,Inputs!$D$30,0)</f>
        <v>0</v>
      </c>
      <c r="AA220" s="65" t="n">
        <f aca="false">IF(AA$182=1,Inputs!$D$30,0)</f>
        <v>0</v>
      </c>
      <c r="AB220" s="65" t="n">
        <f aca="false">IF(AB$182=1,Inputs!$D$30,0)</f>
        <v>0</v>
      </c>
      <c r="AC220" s="65" t="n">
        <f aca="false">IF(AC$182=1,Inputs!$D$30,0)</f>
        <v>0</v>
      </c>
      <c r="AD220" s="65" t="n">
        <f aca="false">IF(AD$182=1,Inputs!$D$30,0)</f>
        <v>0</v>
      </c>
      <c r="AE220" s="65" t="n">
        <f aca="false">IF(AE$182=1,Inputs!$D$30,0)</f>
        <v>0</v>
      </c>
      <c r="AF220" s="65" t="n">
        <f aca="false">IF(AF$182=1,Inputs!$D$30,0)</f>
        <v>0</v>
      </c>
      <c r="AG220" s="65" t="n">
        <f aca="false">IF(AG$182=1,Inputs!$D$30,0)</f>
        <v>0</v>
      </c>
      <c r="AH220" s="65" t="n">
        <f aca="false">IF(AH$182=1,Inputs!$D$30,0)</f>
        <v>0</v>
      </c>
      <c r="AI220" s="65" t="n">
        <f aca="false">IF(AI$182=1,Inputs!$D$30,0)</f>
        <v>0</v>
      </c>
      <c r="AJ220" s="65" t="n">
        <f aca="false">IF(AJ$182=1,Inputs!$D$30,0)</f>
        <v>0</v>
      </c>
      <c r="AK220" s="65" t="n">
        <f aca="false">IF(AK$182=1,Inputs!$D$30,0)</f>
        <v>0</v>
      </c>
      <c r="AL220" s="65" t="n">
        <f aca="false">IF(AL$182=1,Inputs!$D$30,0)</f>
        <v>0</v>
      </c>
    </row>
    <row r="221" customFormat="false" ht="15" hidden="false" customHeight="false" outlineLevel="0" collapsed="false">
      <c r="A221" s="6" t="s">
        <v>84</v>
      </c>
      <c r="C221" s="65" t="n">
        <f aca="false">-MIN(C219,Inputs!$D$30/MAX(1,Inputs!$D$32*12))</f>
        <v>-0</v>
      </c>
      <c r="D221" s="65" t="n">
        <f aca="false">-MIN(D219,Inputs!$D$30/MAX(1,Inputs!$D$32*12))</f>
        <v>-1333.33333333333</v>
      </c>
      <c r="E221" s="65" t="n">
        <f aca="false">-MIN(E219,Inputs!$D$30/MAX(1,Inputs!$D$32*12))</f>
        <v>-1333.33333333333</v>
      </c>
      <c r="F221" s="65" t="n">
        <f aca="false">-MIN(F219,Inputs!$D$30/MAX(1,Inputs!$D$32*12))</f>
        <v>-1333.33333333333</v>
      </c>
      <c r="G221" s="65" t="n">
        <f aca="false">-MIN(G219,Inputs!$D$30/MAX(1,Inputs!$D$32*12))</f>
        <v>-1333.33333333333</v>
      </c>
      <c r="H221" s="65" t="n">
        <f aca="false">-MIN(H219,Inputs!$D$30/MAX(1,Inputs!$D$32*12))</f>
        <v>-1333.33333333333</v>
      </c>
      <c r="I221" s="65" t="n">
        <f aca="false">-MIN(I219,Inputs!$D$30/MAX(1,Inputs!$D$32*12))</f>
        <v>-1333.33333333333</v>
      </c>
      <c r="J221" s="65" t="n">
        <f aca="false">-MIN(J219,Inputs!$D$30/MAX(1,Inputs!$D$32*12))</f>
        <v>-1333.33333333333</v>
      </c>
      <c r="K221" s="65" t="n">
        <f aca="false">-MIN(K219,Inputs!$D$30/MAX(1,Inputs!$D$32*12))</f>
        <v>-1333.33333333333</v>
      </c>
      <c r="L221" s="65" t="n">
        <f aca="false">-MIN(L219,Inputs!$D$30/MAX(1,Inputs!$D$32*12))</f>
        <v>-1333.33333333333</v>
      </c>
      <c r="M221" s="65" t="n">
        <f aca="false">-MIN(M219,Inputs!$D$30/MAX(1,Inputs!$D$32*12))</f>
        <v>-1333.33333333333</v>
      </c>
      <c r="N221" s="65" t="n">
        <f aca="false">-MIN(N219,Inputs!$D$30/MAX(1,Inputs!$D$32*12))</f>
        <v>-1333.33333333333</v>
      </c>
      <c r="O221" s="65" t="n">
        <f aca="false">-MIN(O219,Inputs!$D$30/MAX(1,Inputs!$D$32*12))</f>
        <v>-1333.33333333333</v>
      </c>
      <c r="P221" s="65" t="n">
        <f aca="false">-MIN(P219,Inputs!$D$30/MAX(1,Inputs!$D$32*12))</f>
        <v>-1333.33333333333</v>
      </c>
      <c r="Q221" s="65" t="n">
        <f aca="false">-MIN(Q219,Inputs!$D$30/MAX(1,Inputs!$D$32*12))</f>
        <v>-1333.33333333333</v>
      </c>
      <c r="R221" s="65" t="n">
        <f aca="false">-MIN(R219,Inputs!$D$30/MAX(1,Inputs!$D$32*12))</f>
        <v>-1333.33333333333</v>
      </c>
      <c r="S221" s="65" t="n">
        <f aca="false">-MIN(S219,Inputs!$D$30/MAX(1,Inputs!$D$32*12))</f>
        <v>-1333.33333333333</v>
      </c>
      <c r="T221" s="65" t="n">
        <f aca="false">-MIN(T219,Inputs!$D$30/MAX(1,Inputs!$D$32*12))</f>
        <v>-1333.33333333333</v>
      </c>
      <c r="U221" s="65" t="n">
        <f aca="false">-MIN(U219,Inputs!$D$30/MAX(1,Inputs!$D$32*12))</f>
        <v>-1333.33333333333</v>
      </c>
      <c r="V221" s="65" t="n">
        <f aca="false">-MIN(V219,Inputs!$D$30/MAX(1,Inputs!$D$32*12))</f>
        <v>-1333.33333333333</v>
      </c>
      <c r="W221" s="65" t="n">
        <f aca="false">-MIN(W219,Inputs!$D$30/MAX(1,Inputs!$D$32*12))</f>
        <v>-1333.33333333333</v>
      </c>
      <c r="X221" s="65" t="n">
        <f aca="false">-MIN(X219,Inputs!$D$30/MAX(1,Inputs!$D$32*12))</f>
        <v>-1333.33333333333</v>
      </c>
      <c r="Y221" s="65" t="n">
        <f aca="false">-MIN(Y219,Inputs!$D$30/MAX(1,Inputs!$D$32*12))</f>
        <v>-1333.33333333333</v>
      </c>
      <c r="Z221" s="65" t="n">
        <f aca="false">-MIN(Z219,Inputs!$D$30/MAX(1,Inputs!$D$32*12))</f>
        <v>-1333.33333333333</v>
      </c>
      <c r="AA221" s="65" t="n">
        <f aca="false">-MIN(AA219,Inputs!$D$30/MAX(1,Inputs!$D$32*12))</f>
        <v>-1333.33333333333</v>
      </c>
      <c r="AB221" s="65" t="n">
        <f aca="false">-MIN(AB219,Inputs!$D$30/MAX(1,Inputs!$D$32*12))</f>
        <v>-1333.33333333333</v>
      </c>
      <c r="AC221" s="65" t="n">
        <f aca="false">-MIN(AC219,Inputs!$D$30/MAX(1,Inputs!$D$32*12))</f>
        <v>-1333.33333333333</v>
      </c>
      <c r="AD221" s="65" t="n">
        <f aca="false">-MIN(AD219,Inputs!$D$30/MAX(1,Inputs!$D$32*12))</f>
        <v>-1333.33333333333</v>
      </c>
      <c r="AE221" s="65" t="n">
        <f aca="false">-MIN(AE219,Inputs!$D$30/MAX(1,Inputs!$D$32*12))</f>
        <v>-1333.33333333333</v>
      </c>
      <c r="AF221" s="65" t="n">
        <f aca="false">-MIN(AF219,Inputs!$D$30/MAX(1,Inputs!$D$32*12))</f>
        <v>-1333.33333333333</v>
      </c>
      <c r="AG221" s="65" t="n">
        <f aca="false">-MIN(AG219,Inputs!$D$30/MAX(1,Inputs!$D$32*12))</f>
        <v>-1333.33333333333</v>
      </c>
      <c r="AH221" s="65" t="n">
        <f aca="false">-MIN(AH219,Inputs!$D$30/MAX(1,Inputs!$D$32*12))</f>
        <v>-1333.33333333333</v>
      </c>
      <c r="AI221" s="65" t="n">
        <f aca="false">-MIN(AI219,Inputs!$D$30/MAX(1,Inputs!$D$32*12))</f>
        <v>-1333.33333333333</v>
      </c>
      <c r="AJ221" s="65" t="n">
        <f aca="false">-MIN(AJ219,Inputs!$D$30/MAX(1,Inputs!$D$32*12))</f>
        <v>-1333.33333333333</v>
      </c>
      <c r="AK221" s="65" t="n">
        <f aca="false">-MIN(AK219,Inputs!$D$30/MAX(1,Inputs!$D$32*12))</f>
        <v>-1333.33333333333</v>
      </c>
      <c r="AL221" s="65" t="n">
        <f aca="false">-MIN(AL219,Inputs!$D$30/MAX(1,Inputs!$D$32*12))</f>
        <v>-1333.33333333333</v>
      </c>
    </row>
    <row r="222" customFormat="false" ht="15" hidden="false" customHeight="false" outlineLevel="0" collapsed="false">
      <c r="A222" s="4" t="s">
        <v>347</v>
      </c>
      <c r="C222" s="71" t="n">
        <f aca="false">C219+C220+C221</f>
        <v>80000</v>
      </c>
      <c r="D222" s="71" t="n">
        <f aca="false">D219+D220+D221</f>
        <v>78666.6666666667</v>
      </c>
      <c r="E222" s="71" t="n">
        <f aca="false">E219+E220+E221</f>
        <v>77333.3333333333</v>
      </c>
      <c r="F222" s="71" t="n">
        <f aca="false">F219+F220+F221</f>
        <v>76000</v>
      </c>
      <c r="G222" s="71" t="n">
        <f aca="false">G219+G220+G221</f>
        <v>74666.6666666667</v>
      </c>
      <c r="H222" s="71" t="n">
        <f aca="false">H219+H220+H221</f>
        <v>73333.3333333334</v>
      </c>
      <c r="I222" s="71" t="n">
        <f aca="false">I219+I220+I221</f>
        <v>72000</v>
      </c>
      <c r="J222" s="71" t="n">
        <f aca="false">J219+J220+J221</f>
        <v>70666.6666666667</v>
      </c>
      <c r="K222" s="71" t="n">
        <f aca="false">K219+K220+K221</f>
        <v>69333.3333333334</v>
      </c>
      <c r="L222" s="71" t="n">
        <f aca="false">L219+L220+L221</f>
        <v>68000</v>
      </c>
      <c r="M222" s="71" t="n">
        <f aca="false">M219+M220+M221</f>
        <v>66666.6666666667</v>
      </c>
      <c r="N222" s="71" t="n">
        <f aca="false">N219+N220+N221</f>
        <v>65333.3333333334</v>
      </c>
      <c r="O222" s="71" t="n">
        <f aca="false">O219+O220+O221</f>
        <v>64000</v>
      </c>
      <c r="P222" s="71" t="n">
        <f aca="false">P219+P220+P221</f>
        <v>62666.6666666667</v>
      </c>
      <c r="Q222" s="71" t="n">
        <f aca="false">Q219+Q220+Q221</f>
        <v>61333.3333333334</v>
      </c>
      <c r="R222" s="71" t="n">
        <f aca="false">R219+R220+R221</f>
        <v>60000</v>
      </c>
      <c r="S222" s="71" t="n">
        <f aca="false">S219+S220+S221</f>
        <v>58666.6666666667</v>
      </c>
      <c r="T222" s="71" t="n">
        <f aca="false">T219+T220+T221</f>
        <v>57333.3333333334</v>
      </c>
      <c r="U222" s="71" t="n">
        <f aca="false">U219+U220+U221</f>
        <v>56000</v>
      </c>
      <c r="V222" s="71" t="n">
        <f aca="false">V219+V220+V221</f>
        <v>54666.6666666667</v>
      </c>
      <c r="W222" s="71" t="n">
        <f aca="false">W219+W220+W221</f>
        <v>53333.3333333334</v>
      </c>
      <c r="X222" s="71" t="n">
        <f aca="false">X219+X220+X221</f>
        <v>52000</v>
      </c>
      <c r="Y222" s="71" t="n">
        <f aca="false">Y219+Y220+Y221</f>
        <v>50666.6666666667</v>
      </c>
      <c r="Z222" s="71" t="n">
        <f aca="false">Z219+Z220+Z221</f>
        <v>49333.3333333334</v>
      </c>
      <c r="AA222" s="71" t="n">
        <f aca="false">AA219+AA220+AA221</f>
        <v>48000</v>
      </c>
      <c r="AB222" s="71" t="n">
        <f aca="false">AB219+AB220+AB221</f>
        <v>46666.6666666667</v>
      </c>
      <c r="AC222" s="71" t="n">
        <f aca="false">AC219+AC220+AC221</f>
        <v>45333.3333333333</v>
      </c>
      <c r="AD222" s="71" t="n">
        <f aca="false">AD219+AD220+AD221</f>
        <v>44000</v>
      </c>
      <c r="AE222" s="71" t="n">
        <f aca="false">AE219+AE220+AE221</f>
        <v>42666.6666666667</v>
      </c>
      <c r="AF222" s="71" t="n">
        <f aca="false">AF219+AF220+AF221</f>
        <v>41333.3333333333</v>
      </c>
      <c r="AG222" s="71" t="n">
        <f aca="false">AG219+AG220+AG221</f>
        <v>40000</v>
      </c>
      <c r="AH222" s="71" t="n">
        <f aca="false">AH219+AH220+AH221</f>
        <v>38666.6666666667</v>
      </c>
      <c r="AI222" s="71" t="n">
        <f aca="false">AI219+AI220+AI221</f>
        <v>37333.3333333333</v>
      </c>
      <c r="AJ222" s="71" t="n">
        <f aca="false">AJ219+AJ220+AJ221</f>
        <v>36000</v>
      </c>
      <c r="AK222" s="71" t="n">
        <f aca="false">AK219+AK220+AK221</f>
        <v>34666.6666666667</v>
      </c>
      <c r="AL222" s="71" t="n">
        <f aca="false">AL219+AL220+AL221</f>
        <v>33333.3333333333</v>
      </c>
    </row>
    <row r="224" customFormat="false" ht="15.75" hidden="false" customHeight="true" outlineLevel="0" collapsed="false">
      <c r="A224" s="7" t="s">
        <v>268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6" t="s">
        <v>88</v>
      </c>
      <c r="C225" s="65" t="n">
        <f aca="false">C190*Inputs!$D$35/30</f>
        <v>1890</v>
      </c>
      <c r="D225" s="65" t="n">
        <f aca="false">D190*Inputs!$D$35/30</f>
        <v>2205</v>
      </c>
      <c r="E225" s="65" t="n">
        <f aca="false">E190*Inputs!$D$35/30</f>
        <v>2520</v>
      </c>
      <c r="F225" s="65" t="n">
        <f aca="false">F190*Inputs!$D$35/30</f>
        <v>2835</v>
      </c>
      <c r="G225" s="65" t="n">
        <f aca="false">G190*Inputs!$D$35/30</f>
        <v>3150</v>
      </c>
      <c r="H225" s="65" t="n">
        <f aca="false">H190*Inputs!$D$35/30</f>
        <v>3150</v>
      </c>
      <c r="I225" s="65" t="n">
        <f aca="false">I190*Inputs!$D$35/30</f>
        <v>3150</v>
      </c>
      <c r="J225" s="65" t="n">
        <f aca="false">J190*Inputs!$D$35/30</f>
        <v>3150</v>
      </c>
      <c r="K225" s="65" t="n">
        <f aca="false">K190*Inputs!$D$35/30</f>
        <v>3150</v>
      </c>
      <c r="L225" s="65" t="n">
        <f aca="false">L190*Inputs!$D$35/30</f>
        <v>3150</v>
      </c>
      <c r="M225" s="65" t="n">
        <f aca="false">M190*Inputs!$D$35/30</f>
        <v>3150</v>
      </c>
      <c r="N225" s="65" t="n">
        <f aca="false">N190*Inputs!$D$35/30</f>
        <v>3150</v>
      </c>
      <c r="O225" s="65" t="n">
        <f aca="false">O190*Inputs!$D$35/30</f>
        <v>3570.84</v>
      </c>
      <c r="P225" s="65" t="n">
        <f aca="false">P190*Inputs!$D$35/30</f>
        <v>3570.84</v>
      </c>
      <c r="Q225" s="65" t="n">
        <f aca="false">Q190*Inputs!$D$35/30</f>
        <v>3570.84</v>
      </c>
      <c r="R225" s="65" t="n">
        <f aca="false">R190*Inputs!$D$35/30</f>
        <v>3570.84</v>
      </c>
      <c r="S225" s="65" t="n">
        <f aca="false">S190*Inputs!$D$35/30</f>
        <v>3570.84</v>
      </c>
      <c r="T225" s="65" t="n">
        <f aca="false">T190*Inputs!$D$35/30</f>
        <v>3570.84</v>
      </c>
      <c r="U225" s="65" t="n">
        <f aca="false">U190*Inputs!$D$35/30</f>
        <v>3570.84</v>
      </c>
      <c r="V225" s="65" t="n">
        <f aca="false">V190*Inputs!$D$35/30</f>
        <v>3570.84</v>
      </c>
      <c r="W225" s="65" t="n">
        <f aca="false">W190*Inputs!$D$35/30</f>
        <v>3570.84</v>
      </c>
      <c r="X225" s="65" t="n">
        <f aca="false">X190*Inputs!$D$35/30</f>
        <v>3570.84</v>
      </c>
      <c r="Y225" s="65" t="n">
        <f aca="false">Y190*Inputs!$D$35/30</f>
        <v>3570.84</v>
      </c>
      <c r="Z225" s="65" t="n">
        <f aca="false">Z190*Inputs!$D$35/30</f>
        <v>3570.84</v>
      </c>
      <c r="AA225" s="65" t="n">
        <f aca="false">AA190*Inputs!$D$35/30</f>
        <v>4047.904224</v>
      </c>
      <c r="AB225" s="65" t="n">
        <f aca="false">AB190*Inputs!$D$35/30</f>
        <v>4047.904224</v>
      </c>
      <c r="AC225" s="65" t="n">
        <f aca="false">AC190*Inputs!$D$35/30</f>
        <v>4047.904224</v>
      </c>
      <c r="AD225" s="65" t="n">
        <f aca="false">AD190*Inputs!$D$35/30</f>
        <v>4047.904224</v>
      </c>
      <c r="AE225" s="65" t="n">
        <f aca="false">AE190*Inputs!$D$35/30</f>
        <v>4047.904224</v>
      </c>
      <c r="AF225" s="65" t="n">
        <f aca="false">AF190*Inputs!$D$35/30</f>
        <v>4047.904224</v>
      </c>
      <c r="AG225" s="65" t="n">
        <f aca="false">AG190*Inputs!$D$35/30</f>
        <v>4047.904224</v>
      </c>
      <c r="AH225" s="65" t="n">
        <f aca="false">AH190*Inputs!$D$35/30</f>
        <v>4047.904224</v>
      </c>
      <c r="AI225" s="65" t="n">
        <f aca="false">AI190*Inputs!$D$35/30</f>
        <v>4047.904224</v>
      </c>
      <c r="AJ225" s="65" t="n">
        <f aca="false">AJ190*Inputs!$D$35/30</f>
        <v>4047.904224</v>
      </c>
      <c r="AK225" s="65" t="n">
        <f aca="false">AK190*Inputs!$D$35/30</f>
        <v>4047.904224</v>
      </c>
      <c r="AL225" s="65" t="n">
        <f aca="false">AL190*Inputs!$D$35/30</f>
        <v>4047.904224</v>
      </c>
    </row>
    <row r="226" customFormat="false" ht="15" hidden="false" customHeight="false" outlineLevel="0" collapsed="false">
      <c r="A226" s="6" t="s">
        <v>89</v>
      </c>
      <c r="C226" s="65" t="n">
        <f aca="false">-C191*Inputs!$D$36/30</f>
        <v>1984.5</v>
      </c>
      <c r="D226" s="65" t="n">
        <f aca="false">-D191*Inputs!$D$36/30</f>
        <v>2315.25</v>
      </c>
      <c r="E226" s="65" t="n">
        <f aca="false">-E191*Inputs!$D$36/30</f>
        <v>2646</v>
      </c>
      <c r="F226" s="65" t="n">
        <f aca="false">-F191*Inputs!$D$36/30</f>
        <v>2976.75</v>
      </c>
      <c r="G226" s="65" t="n">
        <f aca="false">-G191*Inputs!$D$36/30</f>
        <v>3307.5</v>
      </c>
      <c r="H226" s="65" t="n">
        <f aca="false">-H191*Inputs!$D$36/30</f>
        <v>3307.5</v>
      </c>
      <c r="I226" s="65" t="n">
        <f aca="false">-I191*Inputs!$D$36/30</f>
        <v>3307.5</v>
      </c>
      <c r="J226" s="65" t="n">
        <f aca="false">-J191*Inputs!$D$36/30</f>
        <v>3307.5</v>
      </c>
      <c r="K226" s="65" t="n">
        <f aca="false">-K191*Inputs!$D$36/30</f>
        <v>3307.5</v>
      </c>
      <c r="L226" s="65" t="n">
        <f aca="false">-L191*Inputs!$D$36/30</f>
        <v>3307.5</v>
      </c>
      <c r="M226" s="65" t="n">
        <f aca="false">-M191*Inputs!$D$36/30</f>
        <v>3307.5</v>
      </c>
      <c r="N226" s="65" t="n">
        <f aca="false">-N191*Inputs!$D$36/30</f>
        <v>3307.5</v>
      </c>
      <c r="O226" s="65" t="n">
        <f aca="false">-O191*Inputs!$D$36/30</f>
        <v>3749.382</v>
      </c>
      <c r="P226" s="65" t="n">
        <f aca="false">-P191*Inputs!$D$36/30</f>
        <v>3749.382</v>
      </c>
      <c r="Q226" s="65" t="n">
        <f aca="false">-Q191*Inputs!$D$36/30</f>
        <v>3749.382</v>
      </c>
      <c r="R226" s="65" t="n">
        <f aca="false">-R191*Inputs!$D$36/30</f>
        <v>3749.382</v>
      </c>
      <c r="S226" s="65" t="n">
        <f aca="false">-S191*Inputs!$D$36/30</f>
        <v>3749.382</v>
      </c>
      <c r="T226" s="65" t="n">
        <f aca="false">-T191*Inputs!$D$36/30</f>
        <v>3749.382</v>
      </c>
      <c r="U226" s="65" t="n">
        <f aca="false">-U191*Inputs!$D$36/30</f>
        <v>3749.382</v>
      </c>
      <c r="V226" s="65" t="n">
        <f aca="false">-V191*Inputs!$D$36/30</f>
        <v>3749.382</v>
      </c>
      <c r="W226" s="65" t="n">
        <f aca="false">-W191*Inputs!$D$36/30</f>
        <v>3749.382</v>
      </c>
      <c r="X226" s="65" t="n">
        <f aca="false">-X191*Inputs!$D$36/30</f>
        <v>3749.382</v>
      </c>
      <c r="Y226" s="65" t="n">
        <f aca="false">-Y191*Inputs!$D$36/30</f>
        <v>3749.382</v>
      </c>
      <c r="Z226" s="65" t="n">
        <f aca="false">-Z191*Inputs!$D$36/30</f>
        <v>3749.382</v>
      </c>
      <c r="AA226" s="65" t="n">
        <f aca="false">-AA191*Inputs!$D$36/30</f>
        <v>4250.2994352</v>
      </c>
      <c r="AB226" s="65" t="n">
        <f aca="false">-AB191*Inputs!$D$36/30</f>
        <v>4250.2994352</v>
      </c>
      <c r="AC226" s="65" t="n">
        <f aca="false">-AC191*Inputs!$D$36/30</f>
        <v>4250.2994352</v>
      </c>
      <c r="AD226" s="65" t="n">
        <f aca="false">-AD191*Inputs!$D$36/30</f>
        <v>4250.2994352</v>
      </c>
      <c r="AE226" s="65" t="n">
        <f aca="false">-AE191*Inputs!$D$36/30</f>
        <v>4250.2994352</v>
      </c>
      <c r="AF226" s="65" t="n">
        <f aca="false">-AF191*Inputs!$D$36/30</f>
        <v>4250.2994352</v>
      </c>
      <c r="AG226" s="65" t="n">
        <f aca="false">-AG191*Inputs!$D$36/30</f>
        <v>4250.2994352</v>
      </c>
      <c r="AH226" s="65" t="n">
        <f aca="false">-AH191*Inputs!$D$36/30</f>
        <v>4250.2994352</v>
      </c>
      <c r="AI226" s="65" t="n">
        <f aca="false">-AI191*Inputs!$D$36/30</f>
        <v>4250.2994352</v>
      </c>
      <c r="AJ226" s="65" t="n">
        <f aca="false">-AJ191*Inputs!$D$36/30</f>
        <v>4250.2994352</v>
      </c>
      <c r="AK226" s="65" t="n">
        <f aca="false">-AK191*Inputs!$D$36/30</f>
        <v>4250.2994352</v>
      </c>
      <c r="AL226" s="65" t="n">
        <f aca="false">-AL191*Inputs!$D$36/30</f>
        <v>4250.2994352</v>
      </c>
    </row>
    <row r="227" customFormat="false" ht="15" hidden="false" customHeight="false" outlineLevel="0" collapsed="false">
      <c r="A227" s="6" t="s">
        <v>92</v>
      </c>
      <c r="C227" s="65" t="n">
        <f aca="false">-C191*Inputs!$D$37/30</f>
        <v>3969</v>
      </c>
      <c r="D227" s="65" t="n">
        <f aca="false">-D191*Inputs!$D$37/30</f>
        <v>4630.5</v>
      </c>
      <c r="E227" s="65" t="n">
        <f aca="false">-E191*Inputs!$D$37/30</f>
        <v>5292</v>
      </c>
      <c r="F227" s="65" t="n">
        <f aca="false">-F191*Inputs!$D$37/30</f>
        <v>5953.5</v>
      </c>
      <c r="G227" s="65" t="n">
        <f aca="false">-G191*Inputs!$D$37/30</f>
        <v>6615</v>
      </c>
      <c r="H227" s="65" t="n">
        <f aca="false">-H191*Inputs!$D$37/30</f>
        <v>6615</v>
      </c>
      <c r="I227" s="65" t="n">
        <f aca="false">-I191*Inputs!$D$37/30</f>
        <v>6615</v>
      </c>
      <c r="J227" s="65" t="n">
        <f aca="false">-J191*Inputs!$D$37/30</f>
        <v>6615</v>
      </c>
      <c r="K227" s="65" t="n">
        <f aca="false">-K191*Inputs!$D$37/30</f>
        <v>6615</v>
      </c>
      <c r="L227" s="65" t="n">
        <f aca="false">-L191*Inputs!$D$37/30</f>
        <v>6615</v>
      </c>
      <c r="M227" s="65" t="n">
        <f aca="false">-M191*Inputs!$D$37/30</f>
        <v>6615</v>
      </c>
      <c r="N227" s="65" t="n">
        <f aca="false">-N191*Inputs!$D$37/30</f>
        <v>6615</v>
      </c>
      <c r="O227" s="65" t="n">
        <f aca="false">-O191*Inputs!$D$37/30</f>
        <v>7498.764</v>
      </c>
      <c r="P227" s="65" t="n">
        <f aca="false">-P191*Inputs!$D$37/30</f>
        <v>7498.764</v>
      </c>
      <c r="Q227" s="65" t="n">
        <f aca="false">-Q191*Inputs!$D$37/30</f>
        <v>7498.764</v>
      </c>
      <c r="R227" s="65" t="n">
        <f aca="false">-R191*Inputs!$D$37/30</f>
        <v>7498.764</v>
      </c>
      <c r="S227" s="65" t="n">
        <f aca="false">-S191*Inputs!$D$37/30</f>
        <v>7498.764</v>
      </c>
      <c r="T227" s="65" t="n">
        <f aca="false">-T191*Inputs!$D$37/30</f>
        <v>7498.764</v>
      </c>
      <c r="U227" s="65" t="n">
        <f aca="false">-U191*Inputs!$D$37/30</f>
        <v>7498.764</v>
      </c>
      <c r="V227" s="65" t="n">
        <f aca="false">-V191*Inputs!$D$37/30</f>
        <v>7498.764</v>
      </c>
      <c r="W227" s="65" t="n">
        <f aca="false">-W191*Inputs!$D$37/30</f>
        <v>7498.764</v>
      </c>
      <c r="X227" s="65" t="n">
        <f aca="false">-X191*Inputs!$D$37/30</f>
        <v>7498.764</v>
      </c>
      <c r="Y227" s="65" t="n">
        <f aca="false">-Y191*Inputs!$D$37/30</f>
        <v>7498.764</v>
      </c>
      <c r="Z227" s="65" t="n">
        <f aca="false">-Z191*Inputs!$D$37/30</f>
        <v>7498.764</v>
      </c>
      <c r="AA227" s="65" t="n">
        <f aca="false">-AA191*Inputs!$D$37/30</f>
        <v>8500.5988704</v>
      </c>
      <c r="AB227" s="65" t="n">
        <f aca="false">-AB191*Inputs!$D$37/30</f>
        <v>8500.5988704</v>
      </c>
      <c r="AC227" s="65" t="n">
        <f aca="false">-AC191*Inputs!$D$37/30</f>
        <v>8500.5988704</v>
      </c>
      <c r="AD227" s="65" t="n">
        <f aca="false">-AD191*Inputs!$D$37/30</f>
        <v>8500.5988704</v>
      </c>
      <c r="AE227" s="65" t="n">
        <f aca="false">-AE191*Inputs!$D$37/30</f>
        <v>8500.5988704</v>
      </c>
      <c r="AF227" s="65" t="n">
        <f aca="false">-AF191*Inputs!$D$37/30</f>
        <v>8500.5988704</v>
      </c>
      <c r="AG227" s="65" t="n">
        <f aca="false">-AG191*Inputs!$D$37/30</f>
        <v>8500.5988704</v>
      </c>
      <c r="AH227" s="65" t="n">
        <f aca="false">-AH191*Inputs!$D$37/30</f>
        <v>8500.5988704</v>
      </c>
      <c r="AI227" s="65" t="n">
        <f aca="false">-AI191*Inputs!$D$37/30</f>
        <v>8500.5988704</v>
      </c>
      <c r="AJ227" s="65" t="n">
        <f aca="false">-AJ191*Inputs!$D$37/30</f>
        <v>8500.5988704</v>
      </c>
      <c r="AK227" s="65" t="n">
        <f aca="false">-AK191*Inputs!$D$37/30</f>
        <v>8500.5988704</v>
      </c>
      <c r="AL227" s="65" t="n">
        <f aca="false">-AL191*Inputs!$D$37/30</f>
        <v>8500.5988704</v>
      </c>
    </row>
    <row r="228" customFormat="false" ht="15" hidden="false" customHeight="false" outlineLevel="0" collapsed="false">
      <c r="A228" s="6" t="s">
        <v>289</v>
      </c>
      <c r="C228" s="65" t="n">
        <f aca="false">-C225</f>
        <v>-1890</v>
      </c>
      <c r="D228" s="65" t="n">
        <f aca="false">C225-D225</f>
        <v>-315</v>
      </c>
      <c r="E228" s="65" t="n">
        <f aca="false">D225-E225</f>
        <v>-315</v>
      </c>
      <c r="F228" s="65" t="n">
        <f aca="false">E225-F225</f>
        <v>-315</v>
      </c>
      <c r="G228" s="65" t="n">
        <f aca="false">F225-G225</f>
        <v>-315</v>
      </c>
      <c r="H228" s="65" t="n">
        <f aca="false">G225-H225</f>
        <v>0</v>
      </c>
      <c r="I228" s="65" t="n">
        <f aca="false">H225-I225</f>
        <v>0</v>
      </c>
      <c r="J228" s="65" t="n">
        <f aca="false">I225-J225</f>
        <v>0</v>
      </c>
      <c r="K228" s="65" t="n">
        <f aca="false">J225-K225</f>
        <v>0</v>
      </c>
      <c r="L228" s="65" t="n">
        <f aca="false">K225-L225</f>
        <v>0</v>
      </c>
      <c r="M228" s="65" t="n">
        <f aca="false">L225-M225</f>
        <v>0</v>
      </c>
      <c r="N228" s="65" t="n">
        <f aca="false">M225-N225</f>
        <v>0</v>
      </c>
      <c r="O228" s="65" t="n">
        <f aca="false">N225-O225</f>
        <v>-420.840000000001</v>
      </c>
      <c r="P228" s="65" t="n">
        <f aca="false">O225-P225</f>
        <v>0</v>
      </c>
      <c r="Q228" s="65" t="n">
        <f aca="false">P225-Q225</f>
        <v>0</v>
      </c>
      <c r="R228" s="65" t="n">
        <f aca="false">Q225-R225</f>
        <v>0</v>
      </c>
      <c r="S228" s="65" t="n">
        <f aca="false">R225-S225</f>
        <v>0</v>
      </c>
      <c r="T228" s="65" t="n">
        <f aca="false">S225-T225</f>
        <v>0</v>
      </c>
      <c r="U228" s="65" t="n">
        <f aca="false">T225-U225</f>
        <v>0</v>
      </c>
      <c r="V228" s="65" t="n">
        <f aca="false">U225-V225</f>
        <v>0</v>
      </c>
      <c r="W228" s="65" t="n">
        <f aca="false">V225-W225</f>
        <v>0</v>
      </c>
      <c r="X228" s="65" t="n">
        <f aca="false">W225-X225</f>
        <v>0</v>
      </c>
      <c r="Y228" s="65" t="n">
        <f aca="false">X225-Y225</f>
        <v>0</v>
      </c>
      <c r="Z228" s="65" t="n">
        <f aca="false">Y225-Z225</f>
        <v>0</v>
      </c>
      <c r="AA228" s="65" t="n">
        <f aca="false">Z225-AA225</f>
        <v>-477.064224</v>
      </c>
      <c r="AB228" s="65" t="n">
        <f aca="false">AA225-AB225</f>
        <v>0</v>
      </c>
      <c r="AC228" s="65" t="n">
        <f aca="false">AB225-AC225</f>
        <v>0</v>
      </c>
      <c r="AD228" s="65" t="n">
        <f aca="false">AC225-AD225</f>
        <v>0</v>
      </c>
      <c r="AE228" s="65" t="n">
        <f aca="false">AD225-AE225</f>
        <v>0</v>
      </c>
      <c r="AF228" s="65" t="n">
        <f aca="false">AE225-AF225</f>
        <v>0</v>
      </c>
      <c r="AG228" s="65" t="n">
        <f aca="false">AF225-AG225</f>
        <v>0</v>
      </c>
      <c r="AH228" s="65" t="n">
        <f aca="false">AG225-AH225</f>
        <v>0</v>
      </c>
      <c r="AI228" s="65" t="n">
        <f aca="false">AH225-AI225</f>
        <v>0</v>
      </c>
      <c r="AJ228" s="65" t="n">
        <f aca="false">AI225-AJ225</f>
        <v>0</v>
      </c>
      <c r="AK228" s="65" t="n">
        <f aca="false">AJ225-AK225</f>
        <v>0</v>
      </c>
      <c r="AL228" s="65" t="n">
        <f aca="false">AK225-AL225</f>
        <v>0</v>
      </c>
    </row>
    <row r="229" customFormat="false" ht="15" hidden="false" customHeight="false" outlineLevel="0" collapsed="false">
      <c r="A229" s="6" t="s">
        <v>290</v>
      </c>
      <c r="C229" s="65" t="n">
        <f aca="false">-C226</f>
        <v>-1984.5</v>
      </c>
      <c r="D229" s="65" t="n">
        <f aca="false">C226-D226</f>
        <v>-330.75</v>
      </c>
      <c r="E229" s="65" t="n">
        <f aca="false">D226-E226</f>
        <v>-330.75</v>
      </c>
      <c r="F229" s="65" t="n">
        <f aca="false">E226-F226</f>
        <v>-330.75</v>
      </c>
      <c r="G229" s="65" t="n">
        <f aca="false">F226-G226</f>
        <v>-330.75</v>
      </c>
      <c r="H229" s="65" t="n">
        <f aca="false">G226-H226</f>
        <v>0</v>
      </c>
      <c r="I229" s="65" t="n">
        <f aca="false">H226-I226</f>
        <v>0</v>
      </c>
      <c r="J229" s="65" t="n">
        <f aca="false">I226-J226</f>
        <v>0</v>
      </c>
      <c r="K229" s="65" t="n">
        <f aca="false">J226-K226</f>
        <v>0</v>
      </c>
      <c r="L229" s="65" t="n">
        <f aca="false">K226-L226</f>
        <v>0</v>
      </c>
      <c r="M229" s="65" t="n">
        <f aca="false">L226-M226</f>
        <v>0</v>
      </c>
      <c r="N229" s="65" t="n">
        <f aca="false">M226-N226</f>
        <v>0</v>
      </c>
      <c r="O229" s="65" t="n">
        <f aca="false">N226-O226</f>
        <v>-441.882</v>
      </c>
      <c r="P229" s="65" t="n">
        <f aca="false">O226-P226</f>
        <v>0</v>
      </c>
      <c r="Q229" s="65" t="n">
        <f aca="false">P226-Q226</f>
        <v>0</v>
      </c>
      <c r="R229" s="65" t="n">
        <f aca="false">Q226-R226</f>
        <v>0</v>
      </c>
      <c r="S229" s="65" t="n">
        <f aca="false">R226-S226</f>
        <v>0</v>
      </c>
      <c r="T229" s="65" t="n">
        <f aca="false">S226-T226</f>
        <v>0</v>
      </c>
      <c r="U229" s="65" t="n">
        <f aca="false">T226-U226</f>
        <v>0</v>
      </c>
      <c r="V229" s="65" t="n">
        <f aca="false">U226-V226</f>
        <v>0</v>
      </c>
      <c r="W229" s="65" t="n">
        <f aca="false">V226-W226</f>
        <v>0</v>
      </c>
      <c r="X229" s="65" t="n">
        <f aca="false">W226-X226</f>
        <v>0</v>
      </c>
      <c r="Y229" s="65" t="n">
        <f aca="false">X226-Y226</f>
        <v>0</v>
      </c>
      <c r="Z229" s="65" t="n">
        <f aca="false">Y226-Z226</f>
        <v>0</v>
      </c>
      <c r="AA229" s="65" t="n">
        <f aca="false">Z226-AA226</f>
        <v>-500.9174352</v>
      </c>
      <c r="AB229" s="65" t="n">
        <f aca="false">AA226-AB226</f>
        <v>0</v>
      </c>
      <c r="AC229" s="65" t="n">
        <f aca="false">AB226-AC226</f>
        <v>0</v>
      </c>
      <c r="AD229" s="65" t="n">
        <f aca="false">AC226-AD226</f>
        <v>0</v>
      </c>
      <c r="AE229" s="65" t="n">
        <f aca="false">AD226-AE226</f>
        <v>0</v>
      </c>
      <c r="AF229" s="65" t="n">
        <f aca="false">AE226-AF226</f>
        <v>0</v>
      </c>
      <c r="AG229" s="65" t="n">
        <f aca="false">AF226-AG226</f>
        <v>0</v>
      </c>
      <c r="AH229" s="65" t="n">
        <f aca="false">AG226-AH226</f>
        <v>0</v>
      </c>
      <c r="AI229" s="65" t="n">
        <f aca="false">AH226-AI226</f>
        <v>0</v>
      </c>
      <c r="AJ229" s="65" t="n">
        <f aca="false">AI226-AJ226</f>
        <v>0</v>
      </c>
      <c r="AK229" s="65" t="n">
        <f aca="false">AJ226-AK226</f>
        <v>0</v>
      </c>
      <c r="AL229" s="65" t="n">
        <f aca="false">AK226-AL226</f>
        <v>0</v>
      </c>
    </row>
    <row r="230" customFormat="false" ht="15" hidden="false" customHeight="false" outlineLevel="0" collapsed="false">
      <c r="A230" s="6" t="s">
        <v>291</v>
      </c>
      <c r="C230" s="65" t="n">
        <f aca="false">C227</f>
        <v>3969</v>
      </c>
      <c r="D230" s="65" t="n">
        <f aca="false">D227-C227</f>
        <v>661.5</v>
      </c>
      <c r="E230" s="65" t="n">
        <f aca="false">E227-D227</f>
        <v>661.5</v>
      </c>
      <c r="F230" s="65" t="n">
        <f aca="false">F227-E227</f>
        <v>661.5</v>
      </c>
      <c r="G230" s="65" t="n">
        <f aca="false">G227-F227</f>
        <v>661.5</v>
      </c>
      <c r="H230" s="65" t="n">
        <f aca="false">H227-G227</f>
        <v>0</v>
      </c>
      <c r="I230" s="65" t="n">
        <f aca="false">I227-H227</f>
        <v>0</v>
      </c>
      <c r="J230" s="65" t="n">
        <f aca="false">J227-I227</f>
        <v>0</v>
      </c>
      <c r="K230" s="65" t="n">
        <f aca="false">K227-J227</f>
        <v>0</v>
      </c>
      <c r="L230" s="65" t="n">
        <f aca="false">L227-K227</f>
        <v>0</v>
      </c>
      <c r="M230" s="65" t="n">
        <f aca="false">M227-L227</f>
        <v>0</v>
      </c>
      <c r="N230" s="65" t="n">
        <f aca="false">N227-M227</f>
        <v>0</v>
      </c>
      <c r="O230" s="65" t="n">
        <f aca="false">O227-N227</f>
        <v>883.764</v>
      </c>
      <c r="P230" s="65" t="n">
        <f aca="false">P227-O227</f>
        <v>0</v>
      </c>
      <c r="Q230" s="65" t="n">
        <f aca="false">Q227-P227</f>
        <v>0</v>
      </c>
      <c r="R230" s="65" t="n">
        <f aca="false">R227-Q227</f>
        <v>0</v>
      </c>
      <c r="S230" s="65" t="n">
        <f aca="false">S227-R227</f>
        <v>0</v>
      </c>
      <c r="T230" s="65" t="n">
        <f aca="false">T227-S227</f>
        <v>0</v>
      </c>
      <c r="U230" s="65" t="n">
        <f aca="false">U227-T227</f>
        <v>0</v>
      </c>
      <c r="V230" s="65" t="n">
        <f aca="false">V227-U227</f>
        <v>0</v>
      </c>
      <c r="W230" s="65" t="n">
        <f aca="false">W227-V227</f>
        <v>0</v>
      </c>
      <c r="X230" s="65" t="n">
        <f aca="false">X227-W227</f>
        <v>0</v>
      </c>
      <c r="Y230" s="65" t="n">
        <f aca="false">Y227-X227</f>
        <v>0</v>
      </c>
      <c r="Z230" s="65" t="n">
        <f aca="false">Z227-Y227</f>
        <v>0</v>
      </c>
      <c r="AA230" s="65" t="n">
        <f aca="false">AA227-Z227</f>
        <v>1001.8348704</v>
      </c>
      <c r="AB230" s="65" t="n">
        <f aca="false">AB227-AA227</f>
        <v>0</v>
      </c>
      <c r="AC230" s="65" t="n">
        <f aca="false">AC227-AB227</f>
        <v>0</v>
      </c>
      <c r="AD230" s="65" t="n">
        <f aca="false">AD227-AC227</f>
        <v>0</v>
      </c>
      <c r="AE230" s="65" t="n">
        <f aca="false">AE227-AD227</f>
        <v>0</v>
      </c>
      <c r="AF230" s="65" t="n">
        <f aca="false">AF227-AE227</f>
        <v>0</v>
      </c>
      <c r="AG230" s="65" t="n">
        <f aca="false">AG227-AF227</f>
        <v>0</v>
      </c>
      <c r="AH230" s="65" t="n">
        <f aca="false">AH227-AG227</f>
        <v>0</v>
      </c>
      <c r="AI230" s="65" t="n">
        <f aca="false">AI227-AH227</f>
        <v>0</v>
      </c>
      <c r="AJ230" s="65" t="n">
        <f aca="false">AJ227-AI227</f>
        <v>0</v>
      </c>
      <c r="AK230" s="65" t="n">
        <f aca="false">AK227-AJ227</f>
        <v>0</v>
      </c>
      <c r="AL230" s="65" t="n">
        <f aca="false">AL227-AK227</f>
        <v>0</v>
      </c>
    </row>
    <row r="232" customFormat="false" ht="15.75" hidden="false" customHeight="true" outlineLevel="0" collapsed="false">
      <c r="A232" s="7" t="s">
        <v>348</v>
      </c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customFormat="false" ht="15" hidden="false" customHeight="false" outlineLevel="0" collapsed="false">
      <c r="A233" s="4" t="s">
        <v>52</v>
      </c>
      <c r="C233" s="71" t="n">
        <f aca="false">C209-C214+C228+C229+C230</f>
        <v>-637.66666666667</v>
      </c>
      <c r="D233" s="71" t="n">
        <f aca="false">D209-D214+D228+D229+D230</f>
        <v>2453.77777777778</v>
      </c>
      <c r="E233" s="71" t="n">
        <f aca="false">E209-E214+E228+E229+E230</f>
        <v>5216.52583333333</v>
      </c>
      <c r="F233" s="71" t="n">
        <f aca="false">F209-F214+F228+F229+F230</f>
        <v>7332.72138888889</v>
      </c>
      <c r="G233" s="71" t="n">
        <f aca="false">G209-G214+G228+G229+G230</f>
        <v>9840.68611111111</v>
      </c>
      <c r="H233" s="71" t="n">
        <f aca="false">H209-H214+H228+H229+H230</f>
        <v>9831.95833333333</v>
      </c>
      <c r="I233" s="71" t="n">
        <f aca="false">I209-I214+I228+I229+I230</f>
        <v>9838.98055555555</v>
      </c>
      <c r="J233" s="71" t="n">
        <f aca="false">J209-J214+J228+J229+J230</f>
        <v>9846.00277777778</v>
      </c>
      <c r="K233" s="71" t="n">
        <f aca="false">K209-K214+K228+K229+K230</f>
        <v>9853.025</v>
      </c>
      <c r="L233" s="71" t="n">
        <f aca="false">L209-L214+L228+L229+L230</f>
        <v>9860.04722222222</v>
      </c>
      <c r="M233" s="71" t="n">
        <f aca="false">M209-M214+M228+M229+M230</f>
        <v>9867.06944444444</v>
      </c>
      <c r="N233" s="71" t="n">
        <f aca="false">N209-N214+N228+N229+N230</f>
        <v>9874.09166666666</v>
      </c>
      <c r="O233" s="71" t="n">
        <f aca="false">O209-O214+O228+O229+O230</f>
        <v>12942.5830688889</v>
      </c>
      <c r="P233" s="71" t="n">
        <f aca="false">P209-P214+P228+P229+P230</f>
        <v>12928.5632911111</v>
      </c>
      <c r="Q233" s="71" t="n">
        <f aca="false">Q209-Q214+Q228+Q229+Q230</f>
        <v>12935.5855133333</v>
      </c>
      <c r="R233" s="71" t="n">
        <f aca="false">R209-R214+R228+R229+R230</f>
        <v>12942.6077355556</v>
      </c>
      <c r="S233" s="71" t="n">
        <f aca="false">S209-S214+S228+S229+S230</f>
        <v>12949.6299577778</v>
      </c>
      <c r="T233" s="71" t="n">
        <f aca="false">T209-T214+T228+T229+T230</f>
        <v>12956.65218</v>
      </c>
      <c r="U233" s="71" t="n">
        <f aca="false">U209-U214+U228+U229+U230</f>
        <v>12963.6744022222</v>
      </c>
      <c r="V233" s="71" t="n">
        <f aca="false">V209-V214+V228+V229+V230</f>
        <v>12970.6966244444</v>
      </c>
      <c r="W233" s="71" t="n">
        <f aca="false">W209-W214+W228+W229+W230</f>
        <v>12977.7188466667</v>
      </c>
      <c r="X233" s="71" t="n">
        <f aca="false">X209-X214+X228+X229+X230</f>
        <v>12984.7410688889</v>
      </c>
      <c r="Y233" s="71" t="n">
        <f aca="false">Y209-Y214+Y228+Y229+Y230</f>
        <v>12991.7632911111</v>
      </c>
      <c r="Z233" s="71" t="n">
        <f aca="false">Z209-Z214+Z228+Z229+Z230</f>
        <v>12998.7855133333</v>
      </c>
      <c r="AA233" s="71" t="n">
        <f aca="false">AA209-AA214+AA228+AA229+AA230</f>
        <v>16507.4553932036</v>
      </c>
      <c r="AB233" s="71" t="n">
        <f aca="false">AB209-AB214+AB228+AB229+AB230</f>
        <v>16490.6244042258</v>
      </c>
      <c r="AC233" s="71" t="n">
        <f aca="false">AC209-AC214+AC228+AC229+AC230</f>
        <v>16497.646626448</v>
      </c>
      <c r="AD233" s="71" t="n">
        <f aca="false">AD209-AD214+AD228+AD229+AD230</f>
        <v>16504.6688486702</v>
      </c>
      <c r="AE233" s="71" t="n">
        <f aca="false">AE209-AE214+AE228+AE229+AE230</f>
        <v>16511.6910708924</v>
      </c>
      <c r="AF233" s="71" t="n">
        <f aca="false">AF209-AF214+AF228+AF229+AF230</f>
        <v>16518.7132931147</v>
      </c>
      <c r="AG233" s="71" t="n">
        <f aca="false">AG209-AG214+AG228+AG229+AG230</f>
        <v>16525.7355153369</v>
      </c>
      <c r="AH233" s="71" t="n">
        <f aca="false">AH209-AH214+AH228+AH229+AH230</f>
        <v>16532.7577375591</v>
      </c>
      <c r="AI233" s="71" t="n">
        <f aca="false">AI209-AI214+AI228+AI229+AI230</f>
        <v>16539.7799597813</v>
      </c>
      <c r="AJ233" s="71" t="n">
        <f aca="false">AJ209-AJ214+AJ228+AJ229+AJ230</f>
        <v>16546.8021820036</v>
      </c>
      <c r="AK233" s="71" t="n">
        <f aca="false">AK209-AK214+AK228+AK229+AK230</f>
        <v>16553.8244042258</v>
      </c>
      <c r="AL233" s="71" t="n">
        <f aca="false">AL209-AL214+AL228+AL229+AL230</f>
        <v>16560.846626448</v>
      </c>
    </row>
    <row r="234" customFormat="false" ht="15" hidden="false" customHeight="false" outlineLevel="0" collapsed="false">
      <c r="A234" s="6" t="s">
        <v>349</v>
      </c>
      <c r="C234" s="65" t="n">
        <f aca="false">-C212</f>
        <v>-150000</v>
      </c>
      <c r="D234" s="65" t="n">
        <f aca="false">-D212</f>
        <v>-0</v>
      </c>
      <c r="E234" s="65" t="n">
        <f aca="false">-E212</f>
        <v>-0</v>
      </c>
      <c r="F234" s="65" t="n">
        <f aca="false">-F212</f>
        <v>-0</v>
      </c>
      <c r="G234" s="65" t="n">
        <f aca="false">-G212</f>
        <v>-0</v>
      </c>
      <c r="H234" s="65" t="n">
        <f aca="false">-H212</f>
        <v>-0</v>
      </c>
      <c r="I234" s="65" t="n">
        <f aca="false">-I212</f>
        <v>-0</v>
      </c>
      <c r="J234" s="65" t="n">
        <f aca="false">-J212</f>
        <v>-0</v>
      </c>
      <c r="K234" s="65" t="n">
        <f aca="false">-K212</f>
        <v>-0</v>
      </c>
      <c r="L234" s="65" t="n">
        <f aca="false">-L212</f>
        <v>-0</v>
      </c>
      <c r="M234" s="65" t="n">
        <f aca="false">-M212</f>
        <v>-0</v>
      </c>
      <c r="N234" s="65" t="n">
        <f aca="false">-N212</f>
        <v>-0</v>
      </c>
      <c r="O234" s="65" t="n">
        <f aca="false">-O212</f>
        <v>-0</v>
      </c>
      <c r="P234" s="65" t="n">
        <f aca="false">-P212</f>
        <v>-0</v>
      </c>
      <c r="Q234" s="65" t="n">
        <f aca="false">-Q212</f>
        <v>-0</v>
      </c>
      <c r="R234" s="65" t="n">
        <f aca="false">-R212</f>
        <v>-0</v>
      </c>
      <c r="S234" s="65" t="n">
        <f aca="false">-S212</f>
        <v>-0</v>
      </c>
      <c r="T234" s="65" t="n">
        <f aca="false">-T212</f>
        <v>-0</v>
      </c>
      <c r="U234" s="65" t="n">
        <f aca="false">-U212</f>
        <v>-0</v>
      </c>
      <c r="V234" s="65" t="n">
        <f aca="false">-V212</f>
        <v>-0</v>
      </c>
      <c r="W234" s="65" t="n">
        <f aca="false">-W212</f>
        <v>-0</v>
      </c>
      <c r="X234" s="65" t="n">
        <f aca="false">-X212</f>
        <v>-0</v>
      </c>
      <c r="Y234" s="65" t="n">
        <f aca="false">-Y212</f>
        <v>-0</v>
      </c>
      <c r="Z234" s="65" t="n">
        <f aca="false">-Z212</f>
        <v>-0</v>
      </c>
      <c r="AA234" s="65" t="n">
        <f aca="false">-AA212</f>
        <v>-0</v>
      </c>
      <c r="AB234" s="65" t="n">
        <f aca="false">-AB212</f>
        <v>-0</v>
      </c>
      <c r="AC234" s="65" t="n">
        <f aca="false">-AC212</f>
        <v>-0</v>
      </c>
      <c r="AD234" s="65" t="n">
        <f aca="false">-AD212</f>
        <v>-0</v>
      </c>
      <c r="AE234" s="65" t="n">
        <f aca="false">-AE212</f>
        <v>-0</v>
      </c>
      <c r="AF234" s="65" t="n">
        <f aca="false">-AF212</f>
        <v>-0</v>
      </c>
      <c r="AG234" s="65" t="n">
        <f aca="false">-AG212</f>
        <v>-0</v>
      </c>
      <c r="AH234" s="65" t="n">
        <f aca="false">-AH212</f>
        <v>-0</v>
      </c>
      <c r="AI234" s="65" t="n">
        <f aca="false">-AI212</f>
        <v>-0</v>
      </c>
      <c r="AJ234" s="65" t="n">
        <f aca="false">-AJ212</f>
        <v>-0</v>
      </c>
      <c r="AK234" s="65" t="n">
        <f aca="false">-AK212</f>
        <v>-0</v>
      </c>
      <c r="AL234" s="65" t="n">
        <f aca="false">-AL212</f>
        <v>-0</v>
      </c>
    </row>
    <row r="235" customFormat="false" ht="15" hidden="false" customHeight="false" outlineLevel="0" collapsed="false">
      <c r="A235" s="6" t="s">
        <v>62</v>
      </c>
      <c r="C235" s="65" t="n">
        <f aca="false">IF(C$182=1,Inputs!$D$29,0)</f>
        <v>140000</v>
      </c>
      <c r="D235" s="65" t="n">
        <f aca="false">IF(D$182=1,Inputs!$D$29,0)</f>
        <v>0</v>
      </c>
      <c r="E235" s="65" t="n">
        <f aca="false">IF(E$182=1,Inputs!$D$29,0)</f>
        <v>0</v>
      </c>
      <c r="F235" s="65" t="n">
        <f aca="false">IF(F$182=1,Inputs!$D$29,0)</f>
        <v>0</v>
      </c>
      <c r="G235" s="65" t="n">
        <f aca="false">IF(G$182=1,Inputs!$D$29,0)</f>
        <v>0</v>
      </c>
      <c r="H235" s="65" t="n">
        <f aca="false">IF(H$182=1,Inputs!$D$29,0)</f>
        <v>0</v>
      </c>
      <c r="I235" s="65" t="n">
        <f aca="false">IF(I$182=1,Inputs!$D$29,0)</f>
        <v>0</v>
      </c>
      <c r="J235" s="65" t="n">
        <f aca="false">IF(J$182=1,Inputs!$D$29,0)</f>
        <v>0</v>
      </c>
      <c r="K235" s="65" t="n">
        <f aca="false">IF(K$182=1,Inputs!$D$29,0)</f>
        <v>0</v>
      </c>
      <c r="L235" s="65" t="n">
        <f aca="false">IF(L$182=1,Inputs!$D$29,0)</f>
        <v>0</v>
      </c>
      <c r="M235" s="65" t="n">
        <f aca="false">IF(M$182=1,Inputs!$D$29,0)</f>
        <v>0</v>
      </c>
      <c r="N235" s="65" t="n">
        <f aca="false">IF(N$182=1,Inputs!$D$29,0)</f>
        <v>0</v>
      </c>
      <c r="O235" s="65" t="n">
        <f aca="false">IF(O$182=1,Inputs!$D$29,0)</f>
        <v>0</v>
      </c>
      <c r="P235" s="65" t="n">
        <f aca="false">IF(P$182=1,Inputs!$D$29,0)</f>
        <v>0</v>
      </c>
      <c r="Q235" s="65" t="n">
        <f aca="false">IF(Q$182=1,Inputs!$D$29,0)</f>
        <v>0</v>
      </c>
      <c r="R235" s="65" t="n">
        <f aca="false">IF(R$182=1,Inputs!$D$29,0)</f>
        <v>0</v>
      </c>
      <c r="S235" s="65" t="n">
        <f aca="false">IF(S$182=1,Inputs!$D$29,0)</f>
        <v>0</v>
      </c>
      <c r="T235" s="65" t="n">
        <f aca="false">IF(T$182=1,Inputs!$D$29,0)</f>
        <v>0</v>
      </c>
      <c r="U235" s="65" t="n">
        <f aca="false">IF(U$182=1,Inputs!$D$29,0)</f>
        <v>0</v>
      </c>
      <c r="V235" s="65" t="n">
        <f aca="false">IF(V$182=1,Inputs!$D$29,0)</f>
        <v>0</v>
      </c>
      <c r="W235" s="65" t="n">
        <f aca="false">IF(W$182=1,Inputs!$D$29,0)</f>
        <v>0</v>
      </c>
      <c r="X235" s="65" t="n">
        <f aca="false">IF(X$182=1,Inputs!$D$29,0)</f>
        <v>0</v>
      </c>
      <c r="Y235" s="65" t="n">
        <f aca="false">IF(Y$182=1,Inputs!$D$29,0)</f>
        <v>0</v>
      </c>
      <c r="Z235" s="65" t="n">
        <f aca="false">IF(Z$182=1,Inputs!$D$29,0)</f>
        <v>0</v>
      </c>
      <c r="AA235" s="65" t="n">
        <f aca="false">IF(AA$182=1,Inputs!$D$29,0)</f>
        <v>0</v>
      </c>
      <c r="AB235" s="65" t="n">
        <f aca="false">IF(AB$182=1,Inputs!$D$29,0)</f>
        <v>0</v>
      </c>
      <c r="AC235" s="65" t="n">
        <f aca="false">IF(AC$182=1,Inputs!$D$29,0)</f>
        <v>0</v>
      </c>
      <c r="AD235" s="65" t="n">
        <f aca="false">IF(AD$182=1,Inputs!$D$29,0)</f>
        <v>0</v>
      </c>
      <c r="AE235" s="65" t="n">
        <f aca="false">IF(AE$182=1,Inputs!$D$29,0)</f>
        <v>0</v>
      </c>
      <c r="AF235" s="65" t="n">
        <f aca="false">IF(AF$182=1,Inputs!$D$29,0)</f>
        <v>0</v>
      </c>
      <c r="AG235" s="65" t="n">
        <f aca="false">IF(AG$182=1,Inputs!$D$29,0)</f>
        <v>0</v>
      </c>
      <c r="AH235" s="65" t="n">
        <f aca="false">IF(AH$182=1,Inputs!$D$29,0)</f>
        <v>0</v>
      </c>
      <c r="AI235" s="65" t="n">
        <f aca="false">IF(AI$182=1,Inputs!$D$29,0)</f>
        <v>0</v>
      </c>
      <c r="AJ235" s="65" t="n">
        <f aca="false">IF(AJ$182=1,Inputs!$D$29,0)</f>
        <v>0</v>
      </c>
      <c r="AK235" s="65" t="n">
        <f aca="false">IF(AK$182=1,Inputs!$D$29,0)</f>
        <v>0</v>
      </c>
      <c r="AL235" s="65" t="n">
        <f aca="false">IF(AL$182=1,Inputs!$D$29,0)</f>
        <v>0</v>
      </c>
    </row>
    <row r="236" customFormat="false" ht="15" hidden="false" customHeight="false" outlineLevel="0" collapsed="false">
      <c r="A236" s="6" t="s">
        <v>54</v>
      </c>
      <c r="C236" s="65" t="n">
        <f aca="false">C235+C220+C221</f>
        <v>220000</v>
      </c>
      <c r="D236" s="65" t="n">
        <f aca="false">D235+D220+D221</f>
        <v>-1333.33333333333</v>
      </c>
      <c r="E236" s="65" t="n">
        <f aca="false">E235+E220+E221</f>
        <v>-1333.33333333333</v>
      </c>
      <c r="F236" s="65" t="n">
        <f aca="false">F235+F220+F221</f>
        <v>-1333.33333333333</v>
      </c>
      <c r="G236" s="65" t="n">
        <f aca="false">G235+G220+G221</f>
        <v>-1333.33333333333</v>
      </c>
      <c r="H236" s="65" t="n">
        <f aca="false">H235+H220+H221</f>
        <v>-1333.33333333333</v>
      </c>
      <c r="I236" s="65" t="n">
        <f aca="false">I235+I220+I221</f>
        <v>-1333.33333333333</v>
      </c>
      <c r="J236" s="65" t="n">
        <f aca="false">J235+J220+J221</f>
        <v>-1333.33333333333</v>
      </c>
      <c r="K236" s="65" t="n">
        <f aca="false">K235+K220+K221</f>
        <v>-1333.33333333333</v>
      </c>
      <c r="L236" s="65" t="n">
        <f aca="false">L235+L220+L221</f>
        <v>-1333.33333333333</v>
      </c>
      <c r="M236" s="65" t="n">
        <f aca="false">M235+M220+M221</f>
        <v>-1333.33333333333</v>
      </c>
      <c r="N236" s="65" t="n">
        <f aca="false">N235+N220+N221</f>
        <v>-1333.33333333333</v>
      </c>
      <c r="O236" s="65" t="n">
        <f aca="false">O235+O220+O221</f>
        <v>-1333.33333333333</v>
      </c>
      <c r="P236" s="65" t="n">
        <f aca="false">P235+P220+P221</f>
        <v>-1333.33333333333</v>
      </c>
      <c r="Q236" s="65" t="n">
        <f aca="false">Q235+Q220+Q221</f>
        <v>-1333.33333333333</v>
      </c>
      <c r="R236" s="65" t="n">
        <f aca="false">R235+R220+R221</f>
        <v>-1333.33333333333</v>
      </c>
      <c r="S236" s="65" t="n">
        <f aca="false">S235+S220+S221</f>
        <v>-1333.33333333333</v>
      </c>
      <c r="T236" s="65" t="n">
        <f aca="false">T235+T220+T221</f>
        <v>-1333.33333333333</v>
      </c>
      <c r="U236" s="65" t="n">
        <f aca="false">U235+U220+U221</f>
        <v>-1333.33333333333</v>
      </c>
      <c r="V236" s="65" t="n">
        <f aca="false">V235+V220+V221</f>
        <v>-1333.33333333333</v>
      </c>
      <c r="W236" s="65" t="n">
        <f aca="false">W235+W220+W221</f>
        <v>-1333.33333333333</v>
      </c>
      <c r="X236" s="65" t="n">
        <f aca="false">X235+X220+X221</f>
        <v>-1333.33333333333</v>
      </c>
      <c r="Y236" s="65" t="n">
        <f aca="false">Y235+Y220+Y221</f>
        <v>-1333.33333333333</v>
      </c>
      <c r="Z236" s="65" t="n">
        <f aca="false">Z235+Z220+Z221</f>
        <v>-1333.33333333333</v>
      </c>
      <c r="AA236" s="65" t="n">
        <f aca="false">AA235+AA220+AA221</f>
        <v>-1333.33333333333</v>
      </c>
      <c r="AB236" s="65" t="n">
        <f aca="false">AB235+AB220+AB221</f>
        <v>-1333.33333333333</v>
      </c>
      <c r="AC236" s="65" t="n">
        <f aca="false">AC235+AC220+AC221</f>
        <v>-1333.33333333333</v>
      </c>
      <c r="AD236" s="65" t="n">
        <f aca="false">AD235+AD220+AD221</f>
        <v>-1333.33333333333</v>
      </c>
      <c r="AE236" s="65" t="n">
        <f aca="false">AE235+AE220+AE221</f>
        <v>-1333.33333333333</v>
      </c>
      <c r="AF236" s="65" t="n">
        <f aca="false">AF235+AF220+AF221</f>
        <v>-1333.33333333333</v>
      </c>
      <c r="AG236" s="65" t="n">
        <f aca="false">AG235+AG220+AG221</f>
        <v>-1333.33333333333</v>
      </c>
      <c r="AH236" s="65" t="n">
        <f aca="false">AH235+AH220+AH221</f>
        <v>-1333.33333333333</v>
      </c>
      <c r="AI236" s="65" t="n">
        <f aca="false">AI235+AI220+AI221</f>
        <v>-1333.33333333333</v>
      </c>
      <c r="AJ236" s="65" t="n">
        <f aca="false">AJ235+AJ220+AJ221</f>
        <v>-1333.33333333333</v>
      </c>
      <c r="AK236" s="65" t="n">
        <f aca="false">AK235+AK220+AK221</f>
        <v>-1333.33333333333</v>
      </c>
      <c r="AL236" s="65" t="n">
        <f aca="false">AL235+AL220+AL221</f>
        <v>-1333.33333333333</v>
      </c>
    </row>
    <row r="237" customFormat="false" ht="15" hidden="false" customHeight="false" outlineLevel="0" collapsed="false">
      <c r="A237" s="108" t="s">
        <v>350</v>
      </c>
      <c r="C237" s="66" t="n">
        <f aca="false">C233+C234+C236</f>
        <v>69362.3333333333</v>
      </c>
      <c r="D237" s="66" t="n">
        <f aca="false">D233+D234+D236</f>
        <v>1120.44444444444</v>
      </c>
      <c r="E237" s="66" t="n">
        <f aca="false">E233+E234+E236</f>
        <v>3883.1925</v>
      </c>
      <c r="F237" s="66" t="n">
        <f aca="false">F233+F234+F236</f>
        <v>5999.38805555555</v>
      </c>
      <c r="G237" s="66" t="n">
        <f aca="false">G233+G234+G236</f>
        <v>8507.35277777777</v>
      </c>
      <c r="H237" s="66" t="n">
        <f aca="false">H233+H234+H236</f>
        <v>8498.625</v>
      </c>
      <c r="I237" s="66" t="n">
        <f aca="false">I233+I234+I236</f>
        <v>8505.64722222222</v>
      </c>
      <c r="J237" s="66" t="n">
        <f aca="false">J233+J234+J236</f>
        <v>8512.66944444444</v>
      </c>
      <c r="K237" s="66" t="n">
        <f aca="false">K233+K234+K236</f>
        <v>8519.69166666667</v>
      </c>
      <c r="L237" s="66" t="n">
        <f aca="false">L233+L234+L236</f>
        <v>8526.71388888889</v>
      </c>
      <c r="M237" s="66" t="n">
        <f aca="false">M233+M234+M236</f>
        <v>8533.73611111111</v>
      </c>
      <c r="N237" s="66" t="n">
        <f aca="false">N233+N234+N236</f>
        <v>8540.75833333333</v>
      </c>
      <c r="O237" s="66" t="n">
        <f aca="false">O233+O234+O236</f>
        <v>11609.2497355556</v>
      </c>
      <c r="P237" s="66" t="n">
        <f aca="false">P233+P234+P236</f>
        <v>11595.2299577778</v>
      </c>
      <c r="Q237" s="66" t="n">
        <f aca="false">Q233+Q234+Q236</f>
        <v>11602.25218</v>
      </c>
      <c r="R237" s="66" t="n">
        <f aca="false">R233+R234+R236</f>
        <v>11609.2744022222</v>
      </c>
      <c r="S237" s="66" t="n">
        <f aca="false">S233+S234+S236</f>
        <v>11616.2966244444</v>
      </c>
      <c r="T237" s="66" t="n">
        <f aca="false">T233+T234+T236</f>
        <v>11623.3188466667</v>
      </c>
      <c r="U237" s="66" t="n">
        <f aca="false">U233+U234+U236</f>
        <v>11630.3410688889</v>
      </c>
      <c r="V237" s="66" t="n">
        <f aca="false">V233+V234+V236</f>
        <v>11637.3632911111</v>
      </c>
      <c r="W237" s="66" t="n">
        <f aca="false">W233+W234+W236</f>
        <v>11644.3855133333</v>
      </c>
      <c r="X237" s="66" t="n">
        <f aca="false">X233+X234+X236</f>
        <v>11651.4077355556</v>
      </c>
      <c r="Y237" s="66" t="n">
        <f aca="false">Y233+Y234+Y236</f>
        <v>11658.4299577778</v>
      </c>
      <c r="Z237" s="66" t="n">
        <f aca="false">Z233+Z234+Z236</f>
        <v>11665.45218</v>
      </c>
      <c r="AA237" s="66" t="n">
        <f aca="false">AA233+AA234+AA236</f>
        <v>15174.1220598702</v>
      </c>
      <c r="AB237" s="66" t="n">
        <f aca="false">AB233+AB234+AB236</f>
        <v>15157.2910708925</v>
      </c>
      <c r="AC237" s="66" t="n">
        <f aca="false">AC233+AC234+AC236</f>
        <v>15164.3132931147</v>
      </c>
      <c r="AD237" s="66" t="n">
        <f aca="false">AD233+AD234+AD236</f>
        <v>15171.3355153369</v>
      </c>
      <c r="AE237" s="66" t="n">
        <f aca="false">AE233+AE234+AE236</f>
        <v>15178.3577375591</v>
      </c>
      <c r="AF237" s="66" t="n">
        <f aca="false">AF233+AF234+AF236</f>
        <v>15185.3799597813</v>
      </c>
      <c r="AG237" s="66" t="n">
        <f aca="false">AG233+AG234+AG236</f>
        <v>15192.4021820036</v>
      </c>
      <c r="AH237" s="66" t="n">
        <f aca="false">AH233+AH234+AH236</f>
        <v>15199.4244042258</v>
      </c>
      <c r="AI237" s="66" t="n">
        <f aca="false">AI233+AI234+AI236</f>
        <v>15206.446626448</v>
      </c>
      <c r="AJ237" s="66" t="n">
        <f aca="false">AJ233+AJ234+AJ236</f>
        <v>15213.4688486702</v>
      </c>
      <c r="AK237" s="66" t="n">
        <f aca="false">AK233+AK234+AK236</f>
        <v>15220.4910708925</v>
      </c>
      <c r="AL237" s="66" t="n">
        <f aca="false">AL233+AL234+AL236</f>
        <v>15227.5132931147</v>
      </c>
    </row>
    <row r="238" customFormat="false" ht="15" hidden="false" customHeight="false" outlineLevel="0" collapsed="false">
      <c r="A238" s="6" t="s">
        <v>292</v>
      </c>
      <c r="C238" s="65" t="n">
        <f aca="false">0</f>
        <v>0</v>
      </c>
      <c r="D238" s="65" t="n">
        <f aca="false">C239</f>
        <v>69362.3333333333</v>
      </c>
      <c r="E238" s="65" t="n">
        <f aca="false">D239</f>
        <v>70482.7777777778</v>
      </c>
      <c r="F238" s="65" t="n">
        <f aca="false">E239</f>
        <v>74365.9702777778</v>
      </c>
      <c r="G238" s="65" t="n">
        <f aca="false">F239</f>
        <v>80365.3583333333</v>
      </c>
      <c r="H238" s="65" t="n">
        <f aca="false">G239</f>
        <v>88872.7111111111</v>
      </c>
      <c r="I238" s="65" t="n">
        <f aca="false">H239</f>
        <v>97371.3361111111</v>
      </c>
      <c r="J238" s="65" t="n">
        <f aca="false">I239</f>
        <v>105876.983333333</v>
      </c>
      <c r="K238" s="65" t="n">
        <f aca="false">J239</f>
        <v>114389.652777778</v>
      </c>
      <c r="L238" s="65" t="n">
        <f aca="false">K239</f>
        <v>122909.344444444</v>
      </c>
      <c r="M238" s="65" t="n">
        <f aca="false">L239</f>
        <v>131436.058333333</v>
      </c>
      <c r="N238" s="65" t="n">
        <f aca="false">M239</f>
        <v>139969.794444444</v>
      </c>
      <c r="O238" s="65" t="n">
        <f aca="false">N239</f>
        <v>148510.552777778</v>
      </c>
      <c r="P238" s="65" t="n">
        <f aca="false">O239</f>
        <v>160119.802513333</v>
      </c>
      <c r="Q238" s="65" t="n">
        <f aca="false">P239</f>
        <v>171715.032471111</v>
      </c>
      <c r="R238" s="65" t="n">
        <f aca="false">Q239</f>
        <v>183317.284651111</v>
      </c>
      <c r="S238" s="65" t="n">
        <f aca="false">R239</f>
        <v>194926.559053333</v>
      </c>
      <c r="T238" s="65" t="n">
        <f aca="false">S239</f>
        <v>206542.855677778</v>
      </c>
      <c r="U238" s="65" t="n">
        <f aca="false">T239</f>
        <v>218166.174524444</v>
      </c>
      <c r="V238" s="65" t="n">
        <f aca="false">U239</f>
        <v>229796.515593333</v>
      </c>
      <c r="W238" s="65" t="n">
        <f aca="false">V239</f>
        <v>241433.878884444</v>
      </c>
      <c r="X238" s="65" t="n">
        <f aca="false">W239</f>
        <v>253078.264397778</v>
      </c>
      <c r="Y238" s="65" t="n">
        <f aca="false">X239</f>
        <v>264729.672133333</v>
      </c>
      <c r="Z238" s="65" t="n">
        <f aca="false">Y239</f>
        <v>276388.102091111</v>
      </c>
      <c r="AA238" s="65" t="n">
        <f aca="false">Z239</f>
        <v>288053.554271111</v>
      </c>
      <c r="AB238" s="65" t="n">
        <f aca="false">AA239</f>
        <v>303227.676330981</v>
      </c>
      <c r="AC238" s="65" t="n">
        <f aca="false">AB239</f>
        <v>318384.967401874</v>
      </c>
      <c r="AD238" s="65" t="n">
        <f aca="false">AC239</f>
        <v>333549.280694989</v>
      </c>
      <c r="AE238" s="65" t="n">
        <f aca="false">AD239</f>
        <v>348720.616210325</v>
      </c>
      <c r="AF238" s="65" t="n">
        <f aca="false">AE239</f>
        <v>363898.973947885</v>
      </c>
      <c r="AG238" s="65" t="n">
        <f aca="false">AF239</f>
        <v>379084.353907666</v>
      </c>
      <c r="AH238" s="65" t="n">
        <f aca="false">AG239</f>
        <v>394276.756089669</v>
      </c>
      <c r="AI238" s="65" t="n">
        <f aca="false">AH239</f>
        <v>409476.180493895</v>
      </c>
      <c r="AJ238" s="65" t="n">
        <f aca="false">AI239</f>
        <v>424682.627120343</v>
      </c>
      <c r="AK238" s="65" t="n">
        <f aca="false">AJ239</f>
        <v>439896.095969013</v>
      </c>
      <c r="AL238" s="65" t="n">
        <f aca="false">AK239</f>
        <v>455116.587039906</v>
      </c>
    </row>
    <row r="239" customFormat="false" ht="15" hidden="false" customHeight="false" outlineLevel="0" collapsed="false">
      <c r="A239" s="108" t="s">
        <v>85</v>
      </c>
      <c r="C239" s="66" t="n">
        <f aca="false">C238+C237</f>
        <v>69362.3333333333</v>
      </c>
      <c r="D239" s="66" t="n">
        <f aca="false">D238+D237</f>
        <v>70482.7777777778</v>
      </c>
      <c r="E239" s="66" t="n">
        <f aca="false">E238+E237</f>
        <v>74365.9702777778</v>
      </c>
      <c r="F239" s="66" t="n">
        <f aca="false">F238+F237</f>
        <v>80365.3583333333</v>
      </c>
      <c r="G239" s="66" t="n">
        <f aca="false">G238+G237</f>
        <v>88872.7111111111</v>
      </c>
      <c r="H239" s="66" t="n">
        <f aca="false">H238+H237</f>
        <v>97371.3361111111</v>
      </c>
      <c r="I239" s="66" t="n">
        <f aca="false">I238+I237</f>
        <v>105876.983333333</v>
      </c>
      <c r="J239" s="66" t="n">
        <f aca="false">J238+J237</f>
        <v>114389.652777778</v>
      </c>
      <c r="K239" s="66" t="n">
        <f aca="false">K238+K237</f>
        <v>122909.344444444</v>
      </c>
      <c r="L239" s="66" t="n">
        <f aca="false">L238+L237</f>
        <v>131436.058333333</v>
      </c>
      <c r="M239" s="66" t="n">
        <f aca="false">M238+M237</f>
        <v>139969.794444444</v>
      </c>
      <c r="N239" s="66" t="n">
        <f aca="false">N238+N237</f>
        <v>148510.552777778</v>
      </c>
      <c r="O239" s="66" t="n">
        <f aca="false">O238+O237</f>
        <v>160119.802513333</v>
      </c>
      <c r="P239" s="66" t="n">
        <f aca="false">P238+P237</f>
        <v>171715.032471111</v>
      </c>
      <c r="Q239" s="66" t="n">
        <f aca="false">Q238+Q237</f>
        <v>183317.284651111</v>
      </c>
      <c r="R239" s="66" t="n">
        <f aca="false">R238+R237</f>
        <v>194926.559053333</v>
      </c>
      <c r="S239" s="66" t="n">
        <f aca="false">S238+S237</f>
        <v>206542.855677778</v>
      </c>
      <c r="T239" s="66" t="n">
        <f aca="false">T238+T237</f>
        <v>218166.174524444</v>
      </c>
      <c r="U239" s="66" t="n">
        <f aca="false">U238+U237</f>
        <v>229796.515593333</v>
      </c>
      <c r="V239" s="66" t="n">
        <f aca="false">V238+V237</f>
        <v>241433.878884444</v>
      </c>
      <c r="W239" s="66" t="n">
        <f aca="false">W238+W237</f>
        <v>253078.264397778</v>
      </c>
      <c r="X239" s="66" t="n">
        <f aca="false">X238+X237</f>
        <v>264729.672133333</v>
      </c>
      <c r="Y239" s="66" t="n">
        <f aca="false">Y238+Y237</f>
        <v>276388.102091111</v>
      </c>
      <c r="Z239" s="66" t="n">
        <f aca="false">Z238+Z237</f>
        <v>288053.554271111</v>
      </c>
      <c r="AA239" s="66" t="n">
        <f aca="false">AA238+AA237</f>
        <v>303227.676330981</v>
      </c>
      <c r="AB239" s="66" t="n">
        <f aca="false">AB238+AB237</f>
        <v>318384.967401874</v>
      </c>
      <c r="AC239" s="66" t="n">
        <f aca="false">AC238+AC237</f>
        <v>333549.280694989</v>
      </c>
      <c r="AD239" s="66" t="n">
        <f aca="false">AD238+AD237</f>
        <v>348720.616210325</v>
      </c>
      <c r="AE239" s="66" t="n">
        <f aca="false">AE238+AE237</f>
        <v>363898.973947885</v>
      </c>
      <c r="AF239" s="66" t="n">
        <f aca="false">AF238+AF237</f>
        <v>379084.353907666</v>
      </c>
      <c r="AG239" s="66" t="n">
        <f aca="false">AG238+AG237</f>
        <v>394276.756089669</v>
      </c>
      <c r="AH239" s="66" t="n">
        <f aca="false">AH238+AH237</f>
        <v>409476.180493895</v>
      </c>
      <c r="AI239" s="66" t="n">
        <f aca="false">AI238+AI237</f>
        <v>424682.627120343</v>
      </c>
      <c r="AJ239" s="66" t="n">
        <f aca="false">AJ238+AJ237</f>
        <v>439896.095969013</v>
      </c>
      <c r="AK239" s="66" t="n">
        <f aca="false">AK238+AK237</f>
        <v>455116.587039906</v>
      </c>
      <c r="AL239" s="66" t="n">
        <f aca="false">AL238+AL237</f>
        <v>470344.100333021</v>
      </c>
    </row>
    <row r="240" customFormat="false" ht="15" hidden="false" customHeight="false" outlineLevel="0" collapsed="false">
      <c r="A240" s="114" t="s">
        <v>351</v>
      </c>
      <c r="C240" s="113" t="n">
        <f aca="false">IF(C200&gt;0,1,0)</f>
        <v>0</v>
      </c>
      <c r="D240" s="113" t="n">
        <f aca="false">IF(D200&gt;0,1,0)</f>
        <v>1</v>
      </c>
      <c r="E240" s="113" t="n">
        <f aca="false">IF(E200&gt;0,1,0)</f>
        <v>1</v>
      </c>
      <c r="F240" s="113" t="n">
        <f aca="false">IF(F200&gt;0,1,0)</f>
        <v>1</v>
      </c>
      <c r="G240" s="113" t="n">
        <f aca="false">IF(G200&gt;0,1,0)</f>
        <v>1</v>
      </c>
      <c r="H240" s="113" t="n">
        <f aca="false">IF(H200&gt;0,1,0)</f>
        <v>1</v>
      </c>
      <c r="I240" s="113" t="n">
        <f aca="false">IF(I200&gt;0,1,0)</f>
        <v>1</v>
      </c>
      <c r="J240" s="113" t="n">
        <f aca="false">IF(J200&gt;0,1,0)</f>
        <v>1</v>
      </c>
      <c r="K240" s="113" t="n">
        <f aca="false">IF(K200&gt;0,1,0)</f>
        <v>1</v>
      </c>
      <c r="L240" s="113" t="n">
        <f aca="false">IF(L200&gt;0,1,0)</f>
        <v>1</v>
      </c>
      <c r="M240" s="113" t="n">
        <f aca="false">IF(M200&gt;0,1,0)</f>
        <v>1</v>
      </c>
      <c r="N240" s="113" t="n">
        <f aca="false">IF(N200&gt;0,1,0)</f>
        <v>1</v>
      </c>
      <c r="O240" s="113" t="n">
        <f aca="false">IF(O200&gt;0,1,0)</f>
        <v>1</v>
      </c>
      <c r="P240" s="113" t="n">
        <f aca="false">IF(P200&gt;0,1,0)</f>
        <v>1</v>
      </c>
      <c r="Q240" s="113" t="n">
        <f aca="false">IF(Q200&gt;0,1,0)</f>
        <v>1</v>
      </c>
      <c r="R240" s="113" t="n">
        <f aca="false">IF(R200&gt;0,1,0)</f>
        <v>1</v>
      </c>
      <c r="S240" s="113" t="n">
        <f aca="false">IF(S200&gt;0,1,0)</f>
        <v>1</v>
      </c>
      <c r="T240" s="113" t="n">
        <f aca="false">IF(T200&gt;0,1,0)</f>
        <v>1</v>
      </c>
      <c r="U240" s="113" t="n">
        <f aca="false">IF(U200&gt;0,1,0)</f>
        <v>1</v>
      </c>
      <c r="V240" s="113" t="n">
        <f aca="false">IF(V200&gt;0,1,0)</f>
        <v>1</v>
      </c>
      <c r="W240" s="113" t="n">
        <f aca="false">IF(W200&gt;0,1,0)</f>
        <v>1</v>
      </c>
      <c r="X240" s="113" t="n">
        <f aca="false">IF(X200&gt;0,1,0)</f>
        <v>1</v>
      </c>
      <c r="Y240" s="113" t="n">
        <f aca="false">IF(Y200&gt;0,1,0)</f>
        <v>1</v>
      </c>
      <c r="Z240" s="113" t="n">
        <f aca="false">IF(Z200&gt;0,1,0)</f>
        <v>1</v>
      </c>
      <c r="AA240" s="113" t="n">
        <f aca="false">IF(AA200&gt;0,1,0)</f>
        <v>1</v>
      </c>
      <c r="AB240" s="113" t="n">
        <f aca="false">IF(AB200&gt;0,1,0)</f>
        <v>1</v>
      </c>
      <c r="AC240" s="113" t="n">
        <f aca="false">IF(AC200&gt;0,1,0)</f>
        <v>1</v>
      </c>
      <c r="AD240" s="113" t="n">
        <f aca="false">IF(AD200&gt;0,1,0)</f>
        <v>1</v>
      </c>
      <c r="AE240" s="113" t="n">
        <f aca="false">IF(AE200&gt;0,1,0)</f>
        <v>1</v>
      </c>
      <c r="AF240" s="113" t="n">
        <f aca="false">IF(AF200&gt;0,1,0)</f>
        <v>1</v>
      </c>
      <c r="AG240" s="113" t="n">
        <f aca="false">IF(AG200&gt;0,1,0)</f>
        <v>1</v>
      </c>
      <c r="AH240" s="113" t="n">
        <f aca="false">IF(AH200&gt;0,1,0)</f>
        <v>1</v>
      </c>
      <c r="AI240" s="113" t="n">
        <f aca="false">IF(AI200&gt;0,1,0)</f>
        <v>1</v>
      </c>
      <c r="AJ240" s="113" t="n">
        <f aca="false">IF(AJ200&gt;0,1,0)</f>
        <v>1</v>
      </c>
      <c r="AK240" s="113" t="n">
        <f aca="false">IF(AK200&gt;0,1,0)</f>
        <v>1</v>
      </c>
      <c r="AL240" s="113" t="n">
        <f aca="false">IF(AL200&gt;0,1,0)</f>
        <v>1</v>
      </c>
    </row>
    <row r="242" customFormat="false" ht="15.75" hidden="false" customHeight="true" outlineLevel="0" collapsed="false">
      <c r="A242" s="7" t="s">
        <v>352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114" t="s">
        <v>353</v>
      </c>
      <c r="C243" s="113" t="n">
        <f aca="false">IF(C209&gt;0,1,0)</f>
        <v>0</v>
      </c>
      <c r="D243" s="113" t="n">
        <f aca="false">IF(D209&gt;0,1,0)</f>
        <v>1</v>
      </c>
      <c r="E243" s="113" t="n">
        <f aca="false">IF(E209&gt;0,1,0)</f>
        <v>1</v>
      </c>
      <c r="F243" s="113" t="n">
        <f aca="false">IF(F209&gt;0,1,0)</f>
        <v>1</v>
      </c>
      <c r="G243" s="113" t="n">
        <f aca="false">IF(G209&gt;0,1,0)</f>
        <v>1</v>
      </c>
      <c r="H243" s="113" t="n">
        <f aca="false">IF(H209&gt;0,1,0)</f>
        <v>1</v>
      </c>
      <c r="I243" s="113" t="n">
        <f aca="false">IF(I209&gt;0,1,0)</f>
        <v>1</v>
      </c>
      <c r="J243" s="113" t="n">
        <f aca="false">IF(J209&gt;0,1,0)</f>
        <v>1</v>
      </c>
      <c r="K243" s="113" t="n">
        <f aca="false">IF(K209&gt;0,1,0)</f>
        <v>1</v>
      </c>
      <c r="L243" s="113" t="n">
        <f aca="false">IF(L209&gt;0,1,0)</f>
        <v>1</v>
      </c>
      <c r="M243" s="113" t="n">
        <f aca="false">IF(M209&gt;0,1,0)</f>
        <v>1</v>
      </c>
      <c r="N243" s="113" t="n">
        <f aca="false">IF(N209&gt;0,1,0)</f>
        <v>1</v>
      </c>
      <c r="O243" s="113" t="n">
        <f aca="false">IF(O209&gt;0,1,0)</f>
        <v>1</v>
      </c>
      <c r="P243" s="113" t="n">
        <f aca="false">IF(P209&gt;0,1,0)</f>
        <v>1</v>
      </c>
      <c r="Q243" s="113" t="n">
        <f aca="false">IF(Q209&gt;0,1,0)</f>
        <v>1</v>
      </c>
      <c r="R243" s="113" t="n">
        <f aca="false">IF(R209&gt;0,1,0)</f>
        <v>1</v>
      </c>
      <c r="S243" s="113" t="n">
        <f aca="false">IF(S209&gt;0,1,0)</f>
        <v>1</v>
      </c>
      <c r="T243" s="113" t="n">
        <f aca="false">IF(T209&gt;0,1,0)</f>
        <v>1</v>
      </c>
      <c r="U243" s="113" t="n">
        <f aca="false">IF(U209&gt;0,1,0)</f>
        <v>1</v>
      </c>
      <c r="V243" s="113" t="n">
        <f aca="false">IF(V209&gt;0,1,0)</f>
        <v>1</v>
      </c>
      <c r="W243" s="113" t="n">
        <f aca="false">IF(W209&gt;0,1,0)</f>
        <v>1</v>
      </c>
      <c r="X243" s="113" t="n">
        <f aca="false">IF(X209&gt;0,1,0)</f>
        <v>1</v>
      </c>
      <c r="Y243" s="113" t="n">
        <f aca="false">IF(Y209&gt;0,1,0)</f>
        <v>1</v>
      </c>
      <c r="Z243" s="113" t="n">
        <f aca="false">IF(Z209&gt;0,1,0)</f>
        <v>1</v>
      </c>
      <c r="AA243" s="113" t="n">
        <f aca="false">IF(AA209&gt;0,1,0)</f>
        <v>1</v>
      </c>
      <c r="AB243" s="113" t="n">
        <f aca="false">IF(AB209&gt;0,1,0)</f>
        <v>1</v>
      </c>
      <c r="AC243" s="113" t="n">
        <f aca="false">IF(AC209&gt;0,1,0)</f>
        <v>1</v>
      </c>
      <c r="AD243" s="113" t="n">
        <f aca="false">IF(AD209&gt;0,1,0)</f>
        <v>1</v>
      </c>
      <c r="AE243" s="113" t="n">
        <f aca="false">IF(AE209&gt;0,1,0)</f>
        <v>1</v>
      </c>
      <c r="AF243" s="113" t="n">
        <f aca="false">IF(AF209&gt;0,1,0)</f>
        <v>1</v>
      </c>
      <c r="AG243" s="113" t="n">
        <f aca="false">IF(AG209&gt;0,1,0)</f>
        <v>1</v>
      </c>
      <c r="AH243" s="113" t="n">
        <f aca="false">IF(AH209&gt;0,1,0)</f>
        <v>1</v>
      </c>
      <c r="AI243" s="113" t="n">
        <f aca="false">IF(AI209&gt;0,1,0)</f>
        <v>1</v>
      </c>
      <c r="AJ243" s="113" t="n">
        <f aca="false">IF(AJ209&gt;0,1,0)</f>
        <v>1</v>
      </c>
      <c r="AK243" s="113" t="n">
        <f aca="false">IF(AK209&gt;0,1,0)</f>
        <v>1</v>
      </c>
      <c r="AL243" s="113" t="n">
        <f aca="false">IF(AL209&gt;0,1,0)</f>
        <v>1</v>
      </c>
    </row>
    <row r="244" customFormat="false" ht="15" hidden="false" customHeight="false" outlineLevel="0" collapsed="false">
      <c r="A244" s="6" t="s">
        <v>354</v>
      </c>
      <c r="C244" s="65" t="n">
        <f aca="false">C233+C234</f>
        <v>-150637.666666667</v>
      </c>
      <c r="D244" s="65" t="n">
        <f aca="false">D233+D234</f>
        <v>2453.77777777778</v>
      </c>
      <c r="E244" s="65" t="n">
        <f aca="false">E233+E234</f>
        <v>5216.52583333333</v>
      </c>
      <c r="F244" s="65" t="n">
        <f aca="false">F233+F234</f>
        <v>7332.72138888889</v>
      </c>
      <c r="G244" s="65" t="n">
        <f aca="false">G233+G234</f>
        <v>9840.68611111111</v>
      </c>
      <c r="H244" s="65" t="n">
        <f aca="false">H233+H234</f>
        <v>9831.95833333333</v>
      </c>
      <c r="I244" s="65" t="n">
        <f aca="false">I233+I234</f>
        <v>9838.98055555555</v>
      </c>
      <c r="J244" s="65" t="n">
        <f aca="false">J233+J234</f>
        <v>9846.00277777778</v>
      </c>
      <c r="K244" s="65" t="n">
        <f aca="false">K233+K234</f>
        <v>9853.025</v>
      </c>
      <c r="L244" s="65" t="n">
        <f aca="false">L233+L234</f>
        <v>9860.04722222222</v>
      </c>
      <c r="M244" s="65" t="n">
        <f aca="false">M233+M234</f>
        <v>9867.06944444444</v>
      </c>
      <c r="N244" s="65" t="n">
        <f aca="false">N233+N234</f>
        <v>9874.09166666666</v>
      </c>
      <c r="O244" s="65" t="n">
        <f aca="false">O233+O234</f>
        <v>12942.5830688889</v>
      </c>
      <c r="P244" s="65" t="n">
        <f aca="false">P233+P234</f>
        <v>12928.5632911111</v>
      </c>
      <c r="Q244" s="65" t="n">
        <f aca="false">Q233+Q234</f>
        <v>12935.5855133333</v>
      </c>
      <c r="R244" s="65" t="n">
        <f aca="false">R233+R234</f>
        <v>12942.6077355556</v>
      </c>
      <c r="S244" s="65" t="n">
        <f aca="false">S233+S234</f>
        <v>12949.6299577778</v>
      </c>
      <c r="T244" s="65" t="n">
        <f aca="false">T233+T234</f>
        <v>12956.65218</v>
      </c>
      <c r="U244" s="65" t="n">
        <f aca="false">U233+U234</f>
        <v>12963.6744022222</v>
      </c>
      <c r="V244" s="65" t="n">
        <f aca="false">V233+V234</f>
        <v>12970.6966244444</v>
      </c>
      <c r="W244" s="65" t="n">
        <f aca="false">W233+W234</f>
        <v>12977.7188466667</v>
      </c>
      <c r="X244" s="65" t="n">
        <f aca="false">X233+X234</f>
        <v>12984.7410688889</v>
      </c>
      <c r="Y244" s="65" t="n">
        <f aca="false">Y233+Y234</f>
        <v>12991.7632911111</v>
      </c>
      <c r="Z244" s="65" t="n">
        <f aca="false">Z233+Z234</f>
        <v>12998.7855133333</v>
      </c>
      <c r="AA244" s="65" t="n">
        <f aca="false">AA233+AA234</f>
        <v>16507.4553932036</v>
      </c>
      <c r="AB244" s="65" t="n">
        <f aca="false">AB233+AB234</f>
        <v>16490.6244042258</v>
      </c>
      <c r="AC244" s="65" t="n">
        <f aca="false">AC233+AC234</f>
        <v>16497.646626448</v>
      </c>
      <c r="AD244" s="65" t="n">
        <f aca="false">AD233+AD234</f>
        <v>16504.6688486702</v>
      </c>
      <c r="AE244" s="65" t="n">
        <f aca="false">AE233+AE234</f>
        <v>16511.6910708924</v>
      </c>
      <c r="AF244" s="65" t="n">
        <f aca="false">AF233+AF234</f>
        <v>16518.7132931147</v>
      </c>
      <c r="AG244" s="65" t="n">
        <f aca="false">AG233+AG234</f>
        <v>16525.7355153369</v>
      </c>
      <c r="AH244" s="65" t="n">
        <f aca="false">AH233+AH234</f>
        <v>16532.7577375591</v>
      </c>
      <c r="AI244" s="65" t="n">
        <f aca="false">AI233+AI234</f>
        <v>16539.7799597813</v>
      </c>
      <c r="AJ244" s="65" t="n">
        <f aca="false">AJ233+AJ234</f>
        <v>16546.8021820036</v>
      </c>
      <c r="AK244" s="65" t="n">
        <f aca="false">AK233+AK234</f>
        <v>16553.8244042258</v>
      </c>
      <c r="AL244" s="65" t="n">
        <f aca="false">AL233+AL234</f>
        <v>16560.846626448</v>
      </c>
    </row>
    <row r="245" customFormat="false" ht="15" hidden="false" customHeight="false" outlineLevel="0" collapsed="false">
      <c r="A245" s="6" t="s">
        <v>355</v>
      </c>
      <c r="C245" s="65" t="n">
        <f aca="false">C244</f>
        <v>-150637.666666667</v>
      </c>
      <c r="D245" s="65" t="n">
        <f aca="false">C245+D244</f>
        <v>-148183.888888889</v>
      </c>
      <c r="E245" s="65" t="n">
        <f aca="false">D245+E244</f>
        <v>-142967.363055556</v>
      </c>
      <c r="F245" s="65" t="n">
        <f aca="false">E245+F244</f>
        <v>-135634.641666667</v>
      </c>
      <c r="G245" s="65" t="n">
        <f aca="false">F245+G244</f>
        <v>-125793.955555556</v>
      </c>
      <c r="H245" s="65" t="n">
        <f aca="false">G245+H244</f>
        <v>-115961.997222222</v>
      </c>
      <c r="I245" s="65" t="n">
        <f aca="false">H245+I244</f>
        <v>-106123.016666667</v>
      </c>
      <c r="J245" s="65" t="n">
        <f aca="false">I245+J244</f>
        <v>-96277.0138888889</v>
      </c>
      <c r="K245" s="65" t="n">
        <f aca="false">J245+K244</f>
        <v>-86423.9888888889</v>
      </c>
      <c r="L245" s="65" t="n">
        <f aca="false">K245+L244</f>
        <v>-76563.9416666667</v>
      </c>
      <c r="M245" s="65" t="n">
        <f aca="false">L245+M244</f>
        <v>-66696.8722222223</v>
      </c>
      <c r="N245" s="65" t="n">
        <f aca="false">M245+N244</f>
        <v>-56822.7805555556</v>
      </c>
      <c r="O245" s="65" t="n">
        <f aca="false">N245+O244</f>
        <v>-43880.1974866667</v>
      </c>
      <c r="P245" s="65" t="n">
        <f aca="false">O245+P244</f>
        <v>-30951.6341955556</v>
      </c>
      <c r="Q245" s="65" t="n">
        <f aca="false">P245+Q244</f>
        <v>-18016.0486822223</v>
      </c>
      <c r="R245" s="65" t="n">
        <f aca="false">Q245+R244</f>
        <v>-5073.44094666669</v>
      </c>
      <c r="S245" s="65" t="n">
        <f aca="false">R245+S244</f>
        <v>7876.18901111108</v>
      </c>
      <c r="T245" s="65" t="n">
        <f aca="false">S245+T244</f>
        <v>20832.8411911111</v>
      </c>
      <c r="U245" s="65" t="n">
        <f aca="false">T245+U244</f>
        <v>33796.5155933333</v>
      </c>
      <c r="V245" s="65" t="n">
        <f aca="false">U245+V244</f>
        <v>46767.2122177778</v>
      </c>
      <c r="W245" s="65" t="n">
        <f aca="false">V245+W244</f>
        <v>59744.9310644444</v>
      </c>
      <c r="X245" s="65" t="n">
        <f aca="false">W245+X244</f>
        <v>72729.6721333333</v>
      </c>
      <c r="Y245" s="65" t="n">
        <f aca="false">X245+Y244</f>
        <v>85721.4354244444</v>
      </c>
      <c r="Z245" s="65" t="n">
        <f aca="false">Y245+Z244</f>
        <v>98720.2209377778</v>
      </c>
      <c r="AA245" s="65" t="n">
        <f aca="false">Z245+AA244</f>
        <v>115227.676330981</v>
      </c>
      <c r="AB245" s="65" t="n">
        <f aca="false">AA245+AB244</f>
        <v>131718.300735207</v>
      </c>
      <c r="AC245" s="65" t="n">
        <f aca="false">AB245+AC244</f>
        <v>148215.947361655</v>
      </c>
      <c r="AD245" s="65" t="n">
        <f aca="false">AC245+AD244</f>
        <v>164720.616210325</v>
      </c>
      <c r="AE245" s="65" t="n">
        <f aca="false">AD245+AE244</f>
        <v>181232.307281218</v>
      </c>
      <c r="AF245" s="65" t="n">
        <f aca="false">AE245+AF244</f>
        <v>197751.020574332</v>
      </c>
      <c r="AG245" s="65" t="n">
        <f aca="false">AF245+AG244</f>
        <v>214276.756089669</v>
      </c>
      <c r="AH245" s="65" t="n">
        <f aca="false">AG245+AH244</f>
        <v>230809.513827228</v>
      </c>
      <c r="AI245" s="65" t="n">
        <f aca="false">AH245+AI244</f>
        <v>247349.29378701</v>
      </c>
      <c r="AJ245" s="65" t="n">
        <f aca="false">AI245+AJ244</f>
        <v>263896.095969013</v>
      </c>
      <c r="AK245" s="65" t="n">
        <f aca="false">AJ245+AK244</f>
        <v>280449.920373239</v>
      </c>
      <c r="AL245" s="65" t="n">
        <f aca="false">AK245+AL244</f>
        <v>297010.766999687</v>
      </c>
    </row>
    <row r="246" customFormat="false" ht="15" hidden="false" customHeight="false" outlineLevel="0" collapsed="false">
      <c r="A246" s="114" t="s">
        <v>356</v>
      </c>
      <c r="C246" s="65" t="n">
        <f aca="false">C245</f>
        <v>-150637.666666667</v>
      </c>
      <c r="D246" s="65" t="n">
        <f aca="false">MIN(C246,D245)</f>
        <v>-150637.666666667</v>
      </c>
      <c r="E246" s="65" t="n">
        <f aca="false">MIN(D246,E245)</f>
        <v>-150637.666666667</v>
      </c>
      <c r="F246" s="65" t="n">
        <f aca="false">MIN(E246,F245)</f>
        <v>-150637.666666667</v>
      </c>
      <c r="G246" s="65" t="n">
        <f aca="false">MIN(F246,G245)</f>
        <v>-150637.666666667</v>
      </c>
      <c r="H246" s="65" t="n">
        <f aca="false">MIN(G246,H245)</f>
        <v>-150637.666666667</v>
      </c>
      <c r="I246" s="65" t="n">
        <f aca="false">MIN(H246,I245)</f>
        <v>-150637.666666667</v>
      </c>
      <c r="J246" s="65" t="n">
        <f aca="false">MIN(I246,J245)</f>
        <v>-150637.666666667</v>
      </c>
      <c r="K246" s="65" t="n">
        <f aca="false">MIN(J246,K245)</f>
        <v>-150637.666666667</v>
      </c>
      <c r="L246" s="65" t="n">
        <f aca="false">MIN(K246,L245)</f>
        <v>-150637.666666667</v>
      </c>
      <c r="M246" s="65" t="n">
        <f aca="false">MIN(L246,M245)</f>
        <v>-150637.666666667</v>
      </c>
      <c r="N246" s="65" t="n">
        <f aca="false">MIN(M246,N245)</f>
        <v>-150637.666666667</v>
      </c>
      <c r="O246" s="65" t="n">
        <f aca="false">MIN(N246,O245)</f>
        <v>-150637.666666667</v>
      </c>
      <c r="P246" s="65" t="n">
        <f aca="false">MIN(O246,P245)</f>
        <v>-150637.666666667</v>
      </c>
      <c r="Q246" s="65" t="n">
        <f aca="false">MIN(P246,Q245)</f>
        <v>-150637.666666667</v>
      </c>
      <c r="R246" s="65" t="n">
        <f aca="false">MIN(Q246,R245)</f>
        <v>-150637.666666667</v>
      </c>
      <c r="S246" s="65" t="n">
        <f aca="false">MIN(R246,S245)</f>
        <v>-150637.666666667</v>
      </c>
      <c r="T246" s="65" t="n">
        <f aca="false">MIN(S246,T245)</f>
        <v>-150637.666666667</v>
      </c>
      <c r="U246" s="65" t="n">
        <f aca="false">MIN(T246,U245)</f>
        <v>-150637.666666667</v>
      </c>
      <c r="V246" s="65" t="n">
        <f aca="false">MIN(U246,V245)</f>
        <v>-150637.666666667</v>
      </c>
      <c r="W246" s="65" t="n">
        <f aca="false">MIN(V246,W245)</f>
        <v>-150637.666666667</v>
      </c>
      <c r="X246" s="65" t="n">
        <f aca="false">MIN(W246,X245)</f>
        <v>-150637.666666667</v>
      </c>
      <c r="Y246" s="65" t="n">
        <f aca="false">MIN(X246,Y245)</f>
        <v>-150637.666666667</v>
      </c>
      <c r="Z246" s="65" t="n">
        <f aca="false">MIN(Y246,Z245)</f>
        <v>-150637.666666667</v>
      </c>
      <c r="AA246" s="65" t="n">
        <f aca="false">MIN(Z246,AA245)</f>
        <v>-150637.666666667</v>
      </c>
      <c r="AB246" s="65" t="n">
        <f aca="false">MIN(AA246,AB245)</f>
        <v>-150637.666666667</v>
      </c>
      <c r="AC246" s="65" t="n">
        <f aca="false">MIN(AB246,AC245)</f>
        <v>-150637.666666667</v>
      </c>
      <c r="AD246" s="65" t="n">
        <f aca="false">MIN(AC246,AD245)</f>
        <v>-150637.666666667</v>
      </c>
      <c r="AE246" s="65" t="n">
        <f aca="false">MIN(AD246,AE245)</f>
        <v>-150637.666666667</v>
      </c>
      <c r="AF246" s="65" t="n">
        <f aca="false">MIN(AE246,AF245)</f>
        <v>-150637.666666667</v>
      </c>
      <c r="AG246" s="65" t="n">
        <f aca="false">MIN(AF246,AG245)</f>
        <v>-150637.666666667</v>
      </c>
      <c r="AH246" s="65" t="n">
        <f aca="false">MIN(AG246,AH245)</f>
        <v>-150637.666666667</v>
      </c>
      <c r="AI246" s="65" t="n">
        <f aca="false">MIN(AH246,AI245)</f>
        <v>-150637.666666667</v>
      </c>
      <c r="AJ246" s="65" t="n">
        <f aca="false">MIN(AI246,AJ245)</f>
        <v>-150637.666666667</v>
      </c>
      <c r="AK246" s="65" t="n">
        <f aca="false">MIN(AJ246,AK245)</f>
        <v>-150637.666666667</v>
      </c>
      <c r="AL246" s="65" t="n">
        <f aca="false">MIN(AK246,AL245)</f>
        <v>-150637.666666667</v>
      </c>
    </row>
    <row r="247" customFormat="false" ht="15" hidden="false" customHeight="false" outlineLevel="0" collapsed="false">
      <c r="A247" s="114" t="s">
        <v>357</v>
      </c>
      <c r="C247" s="113" t="n">
        <f aca="false">IF(AND(C245&gt;=0,C246&lt;0),1,0)</f>
        <v>0</v>
      </c>
      <c r="D247" s="113" t="n">
        <f aca="false">IF(AND(D245&gt;=0,D246&lt;0),1,0)</f>
        <v>0</v>
      </c>
      <c r="E247" s="113" t="n">
        <f aca="false">IF(AND(E245&gt;=0,E246&lt;0),1,0)</f>
        <v>0</v>
      </c>
      <c r="F247" s="113" t="n">
        <f aca="false">IF(AND(F245&gt;=0,F246&lt;0),1,0)</f>
        <v>0</v>
      </c>
      <c r="G247" s="113" t="n">
        <f aca="false">IF(AND(G245&gt;=0,G246&lt;0),1,0)</f>
        <v>0</v>
      </c>
      <c r="H247" s="113" t="n">
        <f aca="false">IF(AND(H245&gt;=0,H246&lt;0),1,0)</f>
        <v>0</v>
      </c>
      <c r="I247" s="113" t="n">
        <f aca="false">IF(AND(I245&gt;=0,I246&lt;0),1,0)</f>
        <v>0</v>
      </c>
      <c r="J247" s="113" t="n">
        <f aca="false">IF(AND(J245&gt;=0,J246&lt;0),1,0)</f>
        <v>0</v>
      </c>
      <c r="K247" s="113" t="n">
        <f aca="false">IF(AND(K245&gt;=0,K246&lt;0),1,0)</f>
        <v>0</v>
      </c>
      <c r="L247" s="113" t="n">
        <f aca="false">IF(AND(L245&gt;=0,L246&lt;0),1,0)</f>
        <v>0</v>
      </c>
      <c r="M247" s="113" t="n">
        <f aca="false">IF(AND(M245&gt;=0,M246&lt;0),1,0)</f>
        <v>0</v>
      </c>
      <c r="N247" s="113" t="n">
        <f aca="false">IF(AND(N245&gt;=0,N246&lt;0),1,0)</f>
        <v>0</v>
      </c>
      <c r="O247" s="113" t="n">
        <f aca="false">IF(AND(O245&gt;=0,O246&lt;0),1,0)</f>
        <v>0</v>
      </c>
      <c r="P247" s="113" t="n">
        <f aca="false">IF(AND(P245&gt;=0,P246&lt;0),1,0)</f>
        <v>0</v>
      </c>
      <c r="Q247" s="113" t="n">
        <f aca="false">IF(AND(Q245&gt;=0,Q246&lt;0),1,0)</f>
        <v>0</v>
      </c>
      <c r="R247" s="113" t="n">
        <f aca="false">IF(AND(R245&gt;=0,R246&lt;0),1,0)</f>
        <v>0</v>
      </c>
      <c r="S247" s="113" t="n">
        <f aca="false">IF(AND(S245&gt;=0,S246&lt;0),1,0)</f>
        <v>1</v>
      </c>
      <c r="T247" s="113" t="n">
        <f aca="false">IF(AND(T245&gt;=0,T246&lt;0),1,0)</f>
        <v>1</v>
      </c>
      <c r="U247" s="113" t="n">
        <f aca="false">IF(AND(U245&gt;=0,U246&lt;0),1,0)</f>
        <v>1</v>
      </c>
      <c r="V247" s="113" t="n">
        <f aca="false">IF(AND(V245&gt;=0,V246&lt;0),1,0)</f>
        <v>1</v>
      </c>
      <c r="W247" s="113" t="n">
        <f aca="false">IF(AND(W245&gt;=0,W246&lt;0),1,0)</f>
        <v>1</v>
      </c>
      <c r="X247" s="113" t="n">
        <f aca="false">IF(AND(X245&gt;=0,X246&lt;0),1,0)</f>
        <v>1</v>
      </c>
      <c r="Y247" s="113" t="n">
        <f aca="false">IF(AND(Y245&gt;=0,Y246&lt;0),1,0)</f>
        <v>1</v>
      </c>
      <c r="Z247" s="113" t="n">
        <f aca="false">IF(AND(Z245&gt;=0,Z246&lt;0),1,0)</f>
        <v>1</v>
      </c>
      <c r="AA247" s="113" t="n">
        <f aca="false">IF(AND(AA245&gt;=0,AA246&lt;0),1,0)</f>
        <v>1</v>
      </c>
      <c r="AB247" s="113" t="n">
        <f aca="false">IF(AND(AB245&gt;=0,AB246&lt;0),1,0)</f>
        <v>1</v>
      </c>
      <c r="AC247" s="113" t="n">
        <f aca="false">IF(AND(AC245&gt;=0,AC246&lt;0),1,0)</f>
        <v>1</v>
      </c>
      <c r="AD247" s="113" t="n">
        <f aca="false">IF(AND(AD245&gt;=0,AD246&lt;0),1,0)</f>
        <v>1</v>
      </c>
      <c r="AE247" s="113" t="n">
        <f aca="false">IF(AND(AE245&gt;=0,AE246&lt;0),1,0)</f>
        <v>1</v>
      </c>
      <c r="AF247" s="113" t="n">
        <f aca="false">IF(AND(AF245&gt;=0,AF246&lt;0),1,0)</f>
        <v>1</v>
      </c>
      <c r="AG247" s="113" t="n">
        <f aca="false">IF(AND(AG245&gt;=0,AG246&lt;0),1,0)</f>
        <v>1</v>
      </c>
      <c r="AH247" s="113" t="n">
        <f aca="false">IF(AND(AH245&gt;=0,AH246&lt;0),1,0)</f>
        <v>1</v>
      </c>
      <c r="AI247" s="113" t="n">
        <f aca="false">IF(AND(AI245&gt;=0,AI246&lt;0),1,0)</f>
        <v>1</v>
      </c>
      <c r="AJ247" s="113" t="n">
        <f aca="false">IF(AND(AJ245&gt;=0,AJ246&lt;0),1,0)</f>
        <v>1</v>
      </c>
      <c r="AK247" s="113" t="n">
        <f aca="false">IF(AND(AK245&gt;=0,AK246&lt;0),1,0)</f>
        <v>1</v>
      </c>
      <c r="AL247" s="113" t="n">
        <f aca="false">IF(AND(AL245&gt;=0,AL246&lt;0),1,0)</f>
        <v>1</v>
      </c>
    </row>
    <row r="248" customFormat="false" ht="15" hidden="false" customHeight="false" outlineLevel="0" collapsed="false">
      <c r="A248" s="6" t="s">
        <v>358</v>
      </c>
      <c r="C248" s="65" t="n">
        <f aca="false">C233-C204*(1-Inputs!$D$41)+C234</f>
        <v>-150216.333333333</v>
      </c>
      <c r="D248" s="65" t="n">
        <f aca="false">D233-D204*(1-Inputs!$D$41)+D234</f>
        <v>2871.6</v>
      </c>
      <c r="E248" s="65" t="n">
        <f aca="false">E233-E204*(1-Inputs!$D$41)+E234</f>
        <v>5627.32583333333</v>
      </c>
      <c r="F248" s="65" t="n">
        <f aca="false">F233-F204*(1-Inputs!$D$41)+F234</f>
        <v>7736.49916666667</v>
      </c>
      <c r="G248" s="65" t="n">
        <f aca="false">G233-G204*(1-Inputs!$D$41)+G234</f>
        <v>10237.4416666667</v>
      </c>
      <c r="H248" s="65" t="n">
        <f aca="false">H233-H204*(1-Inputs!$D$41)+H234</f>
        <v>10221.6916666667</v>
      </c>
      <c r="I248" s="65" t="n">
        <f aca="false">I233-I204*(1-Inputs!$D$41)+I234</f>
        <v>10221.6916666667</v>
      </c>
      <c r="J248" s="65" t="n">
        <f aca="false">J233-J204*(1-Inputs!$D$41)+J234</f>
        <v>10221.6916666667</v>
      </c>
      <c r="K248" s="65" t="n">
        <f aca="false">K233-K204*(1-Inputs!$D$41)+K234</f>
        <v>10221.6916666667</v>
      </c>
      <c r="L248" s="65" t="n">
        <f aca="false">L233-L204*(1-Inputs!$D$41)+L234</f>
        <v>10221.6916666667</v>
      </c>
      <c r="M248" s="65" t="n">
        <f aca="false">M233-M204*(1-Inputs!$D$41)+M234</f>
        <v>10221.6916666667</v>
      </c>
      <c r="N248" s="65" t="n">
        <f aca="false">N233-N204*(1-Inputs!$D$41)+N234</f>
        <v>10221.6916666667</v>
      </c>
      <c r="O248" s="65" t="n">
        <f aca="false">O233-O204*(1-Inputs!$D$41)+O234</f>
        <v>13283.1608466667</v>
      </c>
      <c r="P248" s="65" t="n">
        <f aca="false">P233-P204*(1-Inputs!$D$41)+P234</f>
        <v>13262.1188466667</v>
      </c>
      <c r="Q248" s="65" t="n">
        <f aca="false">Q233-Q204*(1-Inputs!$D$41)+Q234</f>
        <v>13262.1188466667</v>
      </c>
      <c r="R248" s="65" t="n">
        <f aca="false">R233-R204*(1-Inputs!$D$41)+R234</f>
        <v>13262.1188466667</v>
      </c>
      <c r="S248" s="65" t="n">
        <f aca="false">S233-S204*(1-Inputs!$D$41)+S234</f>
        <v>13262.1188466667</v>
      </c>
      <c r="T248" s="65" t="n">
        <f aca="false">T233-T204*(1-Inputs!$D$41)+T234</f>
        <v>13262.1188466667</v>
      </c>
      <c r="U248" s="65" t="n">
        <f aca="false">U233-U204*(1-Inputs!$D$41)+U234</f>
        <v>13262.1188466667</v>
      </c>
      <c r="V248" s="65" t="n">
        <f aca="false">V233-V204*(1-Inputs!$D$41)+V234</f>
        <v>13262.1188466667</v>
      </c>
      <c r="W248" s="65" t="n">
        <f aca="false">W233-W204*(1-Inputs!$D$41)+W234</f>
        <v>13262.1188466667</v>
      </c>
      <c r="X248" s="65" t="n">
        <f aca="false">X233-X204*(1-Inputs!$D$41)+X234</f>
        <v>13262.1188466667</v>
      </c>
      <c r="Y248" s="65" t="n">
        <f aca="false">Y233-Y204*(1-Inputs!$D$41)+Y234</f>
        <v>13262.1188466667</v>
      </c>
      <c r="Z248" s="65" t="n">
        <f aca="false">Z233-Z204*(1-Inputs!$D$41)+Z234</f>
        <v>13262.1188466667</v>
      </c>
      <c r="AA248" s="65" t="n">
        <f aca="false">AA233-AA204*(1-Inputs!$D$41)+AA234</f>
        <v>16763.7665043147</v>
      </c>
      <c r="AB248" s="65" t="n">
        <f aca="false">AB233-AB204*(1-Inputs!$D$41)+AB234</f>
        <v>16739.9132931147</v>
      </c>
      <c r="AC248" s="65" t="n">
        <f aca="false">AC233-AC204*(1-Inputs!$D$41)+AC234</f>
        <v>16739.9132931147</v>
      </c>
      <c r="AD248" s="65" t="n">
        <f aca="false">AD233-AD204*(1-Inputs!$D$41)+AD234</f>
        <v>16739.9132931147</v>
      </c>
      <c r="AE248" s="65" t="n">
        <f aca="false">AE233-AE204*(1-Inputs!$D$41)+AE234</f>
        <v>16739.9132931147</v>
      </c>
      <c r="AF248" s="65" t="n">
        <f aca="false">AF233-AF204*(1-Inputs!$D$41)+AF234</f>
        <v>16739.9132931147</v>
      </c>
      <c r="AG248" s="65" t="n">
        <f aca="false">AG233-AG204*(1-Inputs!$D$41)+AG234</f>
        <v>16739.9132931147</v>
      </c>
      <c r="AH248" s="65" t="n">
        <f aca="false">AH233-AH204*(1-Inputs!$D$41)+AH234</f>
        <v>16739.9132931147</v>
      </c>
      <c r="AI248" s="65" t="n">
        <f aca="false">AI233-AI204*(1-Inputs!$D$41)+AI234</f>
        <v>16739.9132931147</v>
      </c>
      <c r="AJ248" s="65" t="n">
        <f aca="false">AJ233-AJ204*(1-Inputs!$D$41)+AJ234</f>
        <v>16739.9132931147</v>
      </c>
      <c r="AK248" s="65" t="n">
        <f aca="false">AK233-AK204*(1-Inputs!$D$41)+AK234</f>
        <v>16739.9132931147</v>
      </c>
      <c r="AL248" s="65" t="n">
        <f aca="false">AL233-AL204*(1-Inputs!$D$41)+AL234</f>
        <v>16739.9132931147</v>
      </c>
    </row>
    <row r="250" customFormat="false" ht="15.75" hidden="false" customHeight="true" outlineLevel="0" collapsed="false">
      <c r="A250" s="7" t="s">
        <v>359</v>
      </c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customFormat="false" ht="15" hidden="false" customHeight="false" outlineLevel="0" collapsed="false">
      <c r="A251" s="6" t="s">
        <v>95</v>
      </c>
      <c r="C251" s="65" t="n">
        <f aca="false">C235</f>
        <v>140000</v>
      </c>
      <c r="D251" s="65" t="n">
        <f aca="false">C251+D235</f>
        <v>140000</v>
      </c>
      <c r="E251" s="65" t="n">
        <f aca="false">D251+E235</f>
        <v>140000</v>
      </c>
      <c r="F251" s="65" t="n">
        <f aca="false">E251+F235</f>
        <v>140000</v>
      </c>
      <c r="G251" s="65" t="n">
        <f aca="false">F251+G235</f>
        <v>140000</v>
      </c>
      <c r="H251" s="65" t="n">
        <f aca="false">G251+H235</f>
        <v>140000</v>
      </c>
      <c r="I251" s="65" t="n">
        <f aca="false">H251+I235</f>
        <v>140000</v>
      </c>
      <c r="J251" s="65" t="n">
        <f aca="false">I251+J235</f>
        <v>140000</v>
      </c>
      <c r="K251" s="65" t="n">
        <f aca="false">J251+K235</f>
        <v>140000</v>
      </c>
      <c r="L251" s="65" t="n">
        <f aca="false">K251+L235</f>
        <v>140000</v>
      </c>
      <c r="M251" s="65" t="n">
        <f aca="false">L251+M235</f>
        <v>140000</v>
      </c>
      <c r="N251" s="65" t="n">
        <f aca="false">M251+N235</f>
        <v>140000</v>
      </c>
      <c r="O251" s="65" t="n">
        <f aca="false">N251+O235</f>
        <v>140000</v>
      </c>
      <c r="P251" s="65" t="n">
        <f aca="false">O251+P235</f>
        <v>140000</v>
      </c>
      <c r="Q251" s="65" t="n">
        <f aca="false">P251+Q235</f>
        <v>140000</v>
      </c>
      <c r="R251" s="65" t="n">
        <f aca="false">Q251+R235</f>
        <v>140000</v>
      </c>
      <c r="S251" s="65" t="n">
        <f aca="false">R251+S235</f>
        <v>140000</v>
      </c>
      <c r="T251" s="65" t="n">
        <f aca="false">S251+T235</f>
        <v>140000</v>
      </c>
      <c r="U251" s="65" t="n">
        <f aca="false">T251+U235</f>
        <v>140000</v>
      </c>
      <c r="V251" s="65" t="n">
        <f aca="false">U251+V235</f>
        <v>140000</v>
      </c>
      <c r="W251" s="65" t="n">
        <f aca="false">V251+W235</f>
        <v>140000</v>
      </c>
      <c r="X251" s="65" t="n">
        <f aca="false">W251+X235</f>
        <v>140000</v>
      </c>
      <c r="Y251" s="65" t="n">
        <f aca="false">X251+Y235</f>
        <v>140000</v>
      </c>
      <c r="Z251" s="65" t="n">
        <f aca="false">Y251+Z235</f>
        <v>140000</v>
      </c>
      <c r="AA251" s="65" t="n">
        <f aca="false">Z251+AA235</f>
        <v>140000</v>
      </c>
      <c r="AB251" s="65" t="n">
        <f aca="false">AA251+AB235</f>
        <v>140000</v>
      </c>
      <c r="AC251" s="65" t="n">
        <f aca="false">AB251+AC235</f>
        <v>140000</v>
      </c>
      <c r="AD251" s="65" t="n">
        <f aca="false">AC251+AD235</f>
        <v>140000</v>
      </c>
      <c r="AE251" s="65" t="n">
        <f aca="false">AD251+AE235</f>
        <v>140000</v>
      </c>
      <c r="AF251" s="65" t="n">
        <f aca="false">AE251+AF235</f>
        <v>140000</v>
      </c>
      <c r="AG251" s="65" t="n">
        <f aca="false">AF251+AG235</f>
        <v>140000</v>
      </c>
      <c r="AH251" s="65" t="n">
        <f aca="false">AG251+AH235</f>
        <v>140000</v>
      </c>
      <c r="AI251" s="65" t="n">
        <f aca="false">AH251+AI235</f>
        <v>140000</v>
      </c>
      <c r="AJ251" s="65" t="n">
        <f aca="false">AI251+AJ235</f>
        <v>140000</v>
      </c>
      <c r="AK251" s="65" t="n">
        <f aca="false">AJ251+AK235</f>
        <v>140000</v>
      </c>
      <c r="AL251" s="65" t="n">
        <f aca="false">AK251+AL235</f>
        <v>140000</v>
      </c>
    </row>
    <row r="252" customFormat="false" ht="15" hidden="false" customHeight="false" outlineLevel="0" collapsed="false">
      <c r="A252" s="6" t="s">
        <v>96</v>
      </c>
      <c r="C252" s="65" t="n">
        <f aca="false">C209</f>
        <v>-2517.88095238096</v>
      </c>
      <c r="D252" s="65" t="n">
        <f aca="false">C252+D209</f>
        <v>-1865.56746031747</v>
      </c>
      <c r="E252" s="65" t="n">
        <f aca="false">D252+E209</f>
        <v>1549.49408730158</v>
      </c>
      <c r="F252" s="65" t="n">
        <f aca="false">E252+F209</f>
        <v>7080.75119047618</v>
      </c>
      <c r="G252" s="65" t="n">
        <f aca="false">F252+G209</f>
        <v>15119.973015873</v>
      </c>
      <c r="H252" s="65" t="n">
        <f aca="false">G252+H209</f>
        <v>23166.217063492</v>
      </c>
      <c r="I252" s="65" t="n">
        <f aca="false">H252+I209</f>
        <v>31219.4833333333</v>
      </c>
      <c r="J252" s="65" t="n">
        <f aca="false">I252+J209</f>
        <v>39279.7718253968</v>
      </c>
      <c r="K252" s="65" t="n">
        <f aca="false">J252+K209</f>
        <v>47347.0825396825</v>
      </c>
      <c r="L252" s="65" t="n">
        <f aca="false">K252+L209</f>
        <v>55421.4154761905</v>
      </c>
      <c r="M252" s="65" t="n">
        <f aca="false">L252+M209</f>
        <v>63502.7706349206</v>
      </c>
      <c r="N252" s="65" t="n">
        <f aca="false">M252+N209</f>
        <v>71591.148015873</v>
      </c>
      <c r="O252" s="65" t="n">
        <f aca="false">N252+O209</f>
        <v>82726.9747990476</v>
      </c>
      <c r="P252" s="65" t="n">
        <f aca="false">O252+P209</f>
        <v>93869.8238044444</v>
      </c>
      <c r="Q252" s="65" t="n">
        <f aca="false">P252+Q209</f>
        <v>105019.695032063</v>
      </c>
      <c r="R252" s="65" t="n">
        <f aca="false">Q252+R209</f>
        <v>116176.588481905</v>
      </c>
      <c r="S252" s="65" t="n">
        <f aca="false">R252+S209</f>
        <v>127340.504153968</v>
      </c>
      <c r="T252" s="65" t="n">
        <f aca="false">S252+T209</f>
        <v>138511.442048254</v>
      </c>
      <c r="U252" s="65" t="n">
        <f aca="false">T252+U209</f>
        <v>149689.402164762</v>
      </c>
      <c r="V252" s="65" t="n">
        <f aca="false">U252+V209</f>
        <v>160874.384503492</v>
      </c>
      <c r="W252" s="65" t="n">
        <f aca="false">V252+W209</f>
        <v>172066.389064444</v>
      </c>
      <c r="X252" s="65" t="n">
        <f aca="false">W252+X209</f>
        <v>183265.415847619</v>
      </c>
      <c r="Y252" s="65" t="n">
        <f aca="false">X252+Y209</f>
        <v>194471.464853016</v>
      </c>
      <c r="Z252" s="65" t="n">
        <f aca="false">Y252+Z209</f>
        <v>205684.536080635</v>
      </c>
      <c r="AA252" s="65" t="n">
        <f aca="false">Z252+AA209</f>
        <v>220382.423976924</v>
      </c>
      <c r="AB252" s="65" t="n">
        <f aca="false">AA252+AB209</f>
        <v>235087.334095436</v>
      </c>
      <c r="AC252" s="65" t="n">
        <f aca="false">AB252+AC209</f>
        <v>249799.266436169</v>
      </c>
      <c r="AD252" s="65" t="n">
        <f aca="false">AC252+AD209</f>
        <v>264518.220999125</v>
      </c>
      <c r="AE252" s="65" t="n">
        <f aca="false">AD252+AE209</f>
        <v>279244.197784304</v>
      </c>
      <c r="AF252" s="65" t="n">
        <f aca="false">AE252+AF209</f>
        <v>293977.196791704</v>
      </c>
      <c r="AG252" s="65" t="n">
        <f aca="false">AF252+AG209</f>
        <v>308717.218021327</v>
      </c>
      <c r="AH252" s="65" t="n">
        <f aca="false">AG252+AH209</f>
        <v>323464.261473171</v>
      </c>
      <c r="AI252" s="65" t="n">
        <f aca="false">AH252+AI209</f>
        <v>338218.327147238</v>
      </c>
      <c r="AJ252" s="65" t="n">
        <f aca="false">AI252+AJ209</f>
        <v>352979.415043528</v>
      </c>
      <c r="AK252" s="65" t="n">
        <f aca="false">AJ252+AK209</f>
        <v>367747.525162039</v>
      </c>
      <c r="AL252" s="65" t="n">
        <f aca="false">AK252+AL209</f>
        <v>382522.657502773</v>
      </c>
    </row>
    <row r="253" customFormat="false" ht="15" hidden="false" customHeight="false" outlineLevel="0" collapsed="false">
      <c r="A253" s="4" t="s">
        <v>91</v>
      </c>
      <c r="C253" s="71" t="n">
        <f aca="false">C239+C225+C226+C216</f>
        <v>221451.119047619</v>
      </c>
      <c r="D253" s="71" t="n">
        <f aca="false">D239+D225+D226+D216</f>
        <v>221431.599206349</v>
      </c>
      <c r="E253" s="71" t="n">
        <f aca="false">E239+E225+E226+E216</f>
        <v>224174.827420635</v>
      </c>
      <c r="F253" s="71" t="n">
        <f aca="false">F239+F225+F226+F216</f>
        <v>229034.251190476</v>
      </c>
      <c r="G253" s="71" t="n">
        <f aca="false">G239+G225+G226+G216</f>
        <v>236401.63968254</v>
      </c>
      <c r="H253" s="71" t="n">
        <f aca="false">H239+H225+H226+H216</f>
        <v>243114.550396825</v>
      </c>
      <c r="I253" s="71" t="n">
        <f aca="false">I239+I225+I226+I216</f>
        <v>249834.483333333</v>
      </c>
      <c r="J253" s="71" t="n">
        <f aca="false">J239+J225+J226+J216</f>
        <v>256561.438492064</v>
      </c>
      <c r="K253" s="71" t="n">
        <f aca="false">K239+K225+K226+K216</f>
        <v>263295.415873016</v>
      </c>
      <c r="L253" s="71" t="n">
        <f aca="false">L239+L225+L226+L216</f>
        <v>270036.41547619</v>
      </c>
      <c r="M253" s="71" t="n">
        <f aca="false">M239+M225+M226+M216</f>
        <v>276784.437301587</v>
      </c>
      <c r="N253" s="71" t="n">
        <f aca="false">N239+N225+N226+N216</f>
        <v>283539.481349206</v>
      </c>
      <c r="O253" s="71" t="n">
        <f aca="false">O239+O225+O226+O216</f>
        <v>294225.738799048</v>
      </c>
      <c r="P253" s="71" t="n">
        <f aca="false">P239+P225+P226+P216</f>
        <v>304035.254471111</v>
      </c>
      <c r="Q253" s="71" t="n">
        <f aca="false">Q239+Q225+Q226+Q216</f>
        <v>313851.792365397</v>
      </c>
      <c r="R253" s="71" t="n">
        <f aca="false">R239+R225+R226+R216</f>
        <v>323675.352481905</v>
      </c>
      <c r="S253" s="71" t="n">
        <f aca="false">S239+S225+S226+S216</f>
        <v>333505.934820635</v>
      </c>
      <c r="T253" s="71" t="n">
        <f aca="false">T239+T225+T226+T216</f>
        <v>343343.539381587</v>
      </c>
      <c r="U253" s="71" t="n">
        <f aca="false">U239+U225+U226+U216</f>
        <v>353188.166164762</v>
      </c>
      <c r="V253" s="71" t="n">
        <f aca="false">V239+V225+V226+V216</f>
        <v>363039.815170159</v>
      </c>
      <c r="W253" s="71" t="n">
        <f aca="false">W239+W225+W226+W216</f>
        <v>372898.486397778</v>
      </c>
      <c r="X253" s="71" t="n">
        <f aca="false">X239+X225+X226+X216</f>
        <v>382764.179847619</v>
      </c>
      <c r="Y253" s="71" t="n">
        <f aca="false">Y239+Y225+Y226+Y216</f>
        <v>392636.895519683</v>
      </c>
      <c r="Z253" s="71" t="n">
        <f aca="false">Z239+Z225+Z226+Z216</f>
        <v>402516.633413968</v>
      </c>
      <c r="AA253" s="71" t="n">
        <f aca="false">AA239+AA225+AA226+AA216</f>
        <v>416883.022847324</v>
      </c>
      <c r="AB253" s="71" t="n">
        <f aca="false">AB239+AB225+AB226+AB216</f>
        <v>430254.599632502</v>
      </c>
      <c r="AC253" s="71" t="n">
        <f aca="false">AC239+AC225+AC226+AC216</f>
        <v>443633.198639903</v>
      </c>
      <c r="AD253" s="71" t="n">
        <f aca="false">AD239+AD225+AD226+AD216</f>
        <v>457018.819869525</v>
      </c>
      <c r="AE253" s="71" t="n">
        <f aca="false">AE239+AE225+AE226+AE216</f>
        <v>470411.46332137</v>
      </c>
      <c r="AF253" s="71" t="n">
        <f aca="false">AF239+AF225+AF226+AF216</f>
        <v>483811.128995437</v>
      </c>
      <c r="AG253" s="71" t="n">
        <f aca="false">AG239+AG225+AG226+AG216</f>
        <v>497217.816891727</v>
      </c>
      <c r="AH253" s="71" t="n">
        <f aca="false">AH239+AH225+AH226+AH216</f>
        <v>510631.527010238</v>
      </c>
      <c r="AI253" s="71" t="n">
        <f aca="false">AI239+AI225+AI226+AI216</f>
        <v>524052.259350972</v>
      </c>
      <c r="AJ253" s="71" t="n">
        <f aca="false">AJ239+AJ225+AJ226+AJ216</f>
        <v>537480.013913928</v>
      </c>
      <c r="AK253" s="71" t="n">
        <f aca="false">AK239+AK225+AK226+AK216</f>
        <v>550914.790699106</v>
      </c>
      <c r="AL253" s="71" t="n">
        <f aca="false">AL239+AL225+AL226+AL216</f>
        <v>564356.589706506</v>
      </c>
    </row>
    <row r="254" customFormat="false" ht="15" hidden="false" customHeight="false" outlineLevel="0" collapsed="false">
      <c r="A254" s="6" t="s">
        <v>94</v>
      </c>
      <c r="C254" s="65" t="n">
        <f aca="false">C227+C222</f>
        <v>83969</v>
      </c>
      <c r="D254" s="65" t="n">
        <f aca="false">D227+D222</f>
        <v>83297.1666666667</v>
      </c>
      <c r="E254" s="65" t="n">
        <f aca="false">E227+E222</f>
        <v>82625.3333333333</v>
      </c>
      <c r="F254" s="65" t="n">
        <f aca="false">F227+F222</f>
        <v>81953.5</v>
      </c>
      <c r="G254" s="65" t="n">
        <f aca="false">G227+G222</f>
        <v>81281.6666666667</v>
      </c>
      <c r="H254" s="65" t="n">
        <f aca="false">H227+H222</f>
        <v>79948.3333333334</v>
      </c>
      <c r="I254" s="65" t="n">
        <f aca="false">I227+I222</f>
        <v>78615</v>
      </c>
      <c r="J254" s="65" t="n">
        <f aca="false">J227+J222</f>
        <v>77281.6666666667</v>
      </c>
      <c r="K254" s="65" t="n">
        <f aca="false">K227+K222</f>
        <v>75948.3333333334</v>
      </c>
      <c r="L254" s="65" t="n">
        <f aca="false">L227+L222</f>
        <v>74615</v>
      </c>
      <c r="M254" s="65" t="n">
        <f aca="false">M227+M222</f>
        <v>73281.6666666667</v>
      </c>
      <c r="N254" s="65" t="n">
        <f aca="false">N227+N222</f>
        <v>71948.3333333334</v>
      </c>
      <c r="O254" s="65" t="n">
        <f aca="false">O227+O222</f>
        <v>71498.764</v>
      </c>
      <c r="P254" s="65" t="n">
        <f aca="false">P227+P222</f>
        <v>70165.4306666667</v>
      </c>
      <c r="Q254" s="65" t="n">
        <f aca="false">Q227+Q222</f>
        <v>68832.0973333334</v>
      </c>
      <c r="R254" s="65" t="n">
        <f aca="false">R227+R222</f>
        <v>67498.764</v>
      </c>
      <c r="S254" s="65" t="n">
        <f aca="false">S227+S222</f>
        <v>66165.4306666667</v>
      </c>
      <c r="T254" s="65" t="n">
        <f aca="false">T227+T222</f>
        <v>64832.0973333334</v>
      </c>
      <c r="U254" s="65" t="n">
        <f aca="false">U227+U222</f>
        <v>63498.764</v>
      </c>
      <c r="V254" s="65" t="n">
        <f aca="false">V227+V222</f>
        <v>62165.4306666667</v>
      </c>
      <c r="W254" s="65" t="n">
        <f aca="false">W227+W222</f>
        <v>60832.0973333334</v>
      </c>
      <c r="X254" s="65" t="n">
        <f aca="false">X227+X222</f>
        <v>59498.764</v>
      </c>
      <c r="Y254" s="65" t="n">
        <f aca="false">Y227+Y222</f>
        <v>58165.4306666667</v>
      </c>
      <c r="Z254" s="65" t="n">
        <f aca="false">Z227+Z222</f>
        <v>56832.0973333334</v>
      </c>
      <c r="AA254" s="65" t="n">
        <f aca="false">AA227+AA222</f>
        <v>56500.5988704</v>
      </c>
      <c r="AB254" s="65" t="n">
        <f aca="false">AB227+AB222</f>
        <v>55167.2655370667</v>
      </c>
      <c r="AC254" s="65" t="n">
        <f aca="false">AC227+AC222</f>
        <v>53833.9322037334</v>
      </c>
      <c r="AD254" s="65" t="n">
        <f aca="false">AD227+AD222</f>
        <v>52500.5988704</v>
      </c>
      <c r="AE254" s="65" t="n">
        <f aca="false">AE227+AE222</f>
        <v>51167.2655370667</v>
      </c>
      <c r="AF254" s="65" t="n">
        <f aca="false">AF227+AF222</f>
        <v>49833.9322037333</v>
      </c>
      <c r="AG254" s="65" t="n">
        <f aca="false">AG227+AG222</f>
        <v>48500.5988704</v>
      </c>
      <c r="AH254" s="65" t="n">
        <f aca="false">AH227+AH222</f>
        <v>47167.2655370667</v>
      </c>
      <c r="AI254" s="65" t="n">
        <f aca="false">AI227+AI222</f>
        <v>45833.9322037333</v>
      </c>
      <c r="AJ254" s="65" t="n">
        <f aca="false">AJ227+AJ222</f>
        <v>44500.5988704</v>
      </c>
      <c r="AK254" s="65" t="n">
        <f aca="false">AK227+AK222</f>
        <v>43167.2655370667</v>
      </c>
      <c r="AL254" s="65" t="n">
        <f aca="false">AL227+AL222</f>
        <v>41833.9322037333</v>
      </c>
    </row>
    <row r="255" customFormat="false" ht="15" hidden="false" customHeight="false" outlineLevel="0" collapsed="false">
      <c r="A255" s="6" t="s">
        <v>97</v>
      </c>
      <c r="C255" s="65" t="n">
        <f aca="false">C251+C252</f>
        <v>137482.119047619</v>
      </c>
      <c r="D255" s="65" t="n">
        <f aca="false">D251+D252</f>
        <v>138134.432539683</v>
      </c>
      <c r="E255" s="65" t="n">
        <f aca="false">E251+E252</f>
        <v>141549.494087302</v>
      </c>
      <c r="F255" s="65" t="n">
        <f aca="false">F251+F252</f>
        <v>147080.751190476</v>
      </c>
      <c r="G255" s="65" t="n">
        <f aca="false">G251+G252</f>
        <v>155119.973015873</v>
      </c>
      <c r="H255" s="65" t="n">
        <f aca="false">H251+H252</f>
        <v>163166.217063492</v>
      </c>
      <c r="I255" s="65" t="n">
        <f aca="false">I251+I252</f>
        <v>171219.483333333</v>
      </c>
      <c r="J255" s="65" t="n">
        <f aca="false">J251+J252</f>
        <v>179279.771825397</v>
      </c>
      <c r="K255" s="65" t="n">
        <f aca="false">K251+K252</f>
        <v>187347.082539683</v>
      </c>
      <c r="L255" s="65" t="n">
        <f aca="false">L251+L252</f>
        <v>195421.41547619</v>
      </c>
      <c r="M255" s="65" t="n">
        <f aca="false">M251+M252</f>
        <v>203502.770634921</v>
      </c>
      <c r="N255" s="65" t="n">
        <f aca="false">N251+N252</f>
        <v>211591.148015873</v>
      </c>
      <c r="O255" s="65" t="n">
        <f aca="false">O251+O252</f>
        <v>222726.974799048</v>
      </c>
      <c r="P255" s="65" t="n">
        <f aca="false">P251+P252</f>
        <v>233869.823804444</v>
      </c>
      <c r="Q255" s="65" t="n">
        <f aca="false">Q251+Q252</f>
        <v>245019.695032063</v>
      </c>
      <c r="R255" s="65" t="n">
        <f aca="false">R251+R252</f>
        <v>256176.588481905</v>
      </c>
      <c r="S255" s="65" t="n">
        <f aca="false">S251+S252</f>
        <v>267340.504153968</v>
      </c>
      <c r="T255" s="65" t="n">
        <f aca="false">T251+T252</f>
        <v>278511.442048254</v>
      </c>
      <c r="U255" s="65" t="n">
        <f aca="false">U251+U252</f>
        <v>289689.402164762</v>
      </c>
      <c r="V255" s="65" t="n">
        <f aca="false">V251+V252</f>
        <v>300874.384503492</v>
      </c>
      <c r="W255" s="65" t="n">
        <f aca="false">W251+W252</f>
        <v>312066.389064444</v>
      </c>
      <c r="X255" s="65" t="n">
        <f aca="false">X251+X252</f>
        <v>323265.415847619</v>
      </c>
      <c r="Y255" s="65" t="n">
        <f aca="false">Y251+Y252</f>
        <v>334471.464853016</v>
      </c>
      <c r="Z255" s="65" t="n">
        <f aca="false">Z251+Z252</f>
        <v>345684.536080635</v>
      </c>
      <c r="AA255" s="65" t="n">
        <f aca="false">AA251+AA252</f>
        <v>360382.423976924</v>
      </c>
      <c r="AB255" s="65" t="n">
        <f aca="false">AB251+AB252</f>
        <v>375087.334095436</v>
      </c>
      <c r="AC255" s="65" t="n">
        <f aca="false">AC251+AC252</f>
        <v>389799.266436169</v>
      </c>
      <c r="AD255" s="65" t="n">
        <f aca="false">AD251+AD252</f>
        <v>404518.220999125</v>
      </c>
      <c r="AE255" s="65" t="n">
        <f aca="false">AE251+AE252</f>
        <v>419244.197784304</v>
      </c>
      <c r="AF255" s="65" t="n">
        <f aca="false">AF251+AF252</f>
        <v>433977.196791704</v>
      </c>
      <c r="AG255" s="65" t="n">
        <f aca="false">AG251+AG252</f>
        <v>448717.218021327</v>
      </c>
      <c r="AH255" s="65" t="n">
        <f aca="false">AH251+AH252</f>
        <v>463464.261473171</v>
      </c>
      <c r="AI255" s="65" t="n">
        <f aca="false">AI251+AI252</f>
        <v>478218.327147238</v>
      </c>
      <c r="AJ255" s="65" t="n">
        <f aca="false">AJ251+AJ252</f>
        <v>492979.415043528</v>
      </c>
      <c r="AK255" s="65" t="n">
        <f aca="false">AK251+AK252</f>
        <v>507747.525162039</v>
      </c>
      <c r="AL255" s="65" t="n">
        <f aca="false">AL251+AL252</f>
        <v>522522.657502773</v>
      </c>
    </row>
    <row r="256" customFormat="false" ht="15" hidden="false" customHeight="false" outlineLevel="0" collapsed="false">
      <c r="A256" s="4" t="s">
        <v>98</v>
      </c>
      <c r="C256" s="71" t="n">
        <f aca="false">C254+C255</f>
        <v>221451.119047619</v>
      </c>
      <c r="D256" s="71" t="n">
        <f aca="false">D254+D255</f>
        <v>221431.599206349</v>
      </c>
      <c r="E256" s="71" t="n">
        <f aca="false">E254+E255</f>
        <v>224174.827420635</v>
      </c>
      <c r="F256" s="71" t="n">
        <f aca="false">F254+F255</f>
        <v>229034.251190476</v>
      </c>
      <c r="G256" s="71" t="n">
        <f aca="false">G254+G255</f>
        <v>236401.63968254</v>
      </c>
      <c r="H256" s="71" t="n">
        <f aca="false">H254+H255</f>
        <v>243114.550396825</v>
      </c>
      <c r="I256" s="71" t="n">
        <f aca="false">I254+I255</f>
        <v>249834.483333333</v>
      </c>
      <c r="J256" s="71" t="n">
        <f aca="false">J254+J255</f>
        <v>256561.438492064</v>
      </c>
      <c r="K256" s="71" t="n">
        <f aca="false">K254+K255</f>
        <v>263295.415873016</v>
      </c>
      <c r="L256" s="71" t="n">
        <f aca="false">L254+L255</f>
        <v>270036.415476191</v>
      </c>
      <c r="M256" s="71" t="n">
        <f aca="false">M254+M255</f>
        <v>276784.437301587</v>
      </c>
      <c r="N256" s="71" t="n">
        <f aca="false">N254+N255</f>
        <v>283539.481349206</v>
      </c>
      <c r="O256" s="71" t="n">
        <f aca="false">O254+O255</f>
        <v>294225.738799048</v>
      </c>
      <c r="P256" s="71" t="n">
        <f aca="false">P254+P255</f>
        <v>304035.254471111</v>
      </c>
      <c r="Q256" s="71" t="n">
        <f aca="false">Q254+Q255</f>
        <v>313851.792365397</v>
      </c>
      <c r="R256" s="71" t="n">
        <f aca="false">R254+R255</f>
        <v>323675.352481905</v>
      </c>
      <c r="S256" s="71" t="n">
        <f aca="false">S254+S255</f>
        <v>333505.934820635</v>
      </c>
      <c r="T256" s="71" t="n">
        <f aca="false">T254+T255</f>
        <v>343343.539381587</v>
      </c>
      <c r="U256" s="71" t="n">
        <f aca="false">U254+U255</f>
        <v>353188.166164762</v>
      </c>
      <c r="V256" s="71" t="n">
        <f aca="false">V254+V255</f>
        <v>363039.815170159</v>
      </c>
      <c r="W256" s="71" t="n">
        <f aca="false">W254+W255</f>
        <v>372898.486397778</v>
      </c>
      <c r="X256" s="71" t="n">
        <f aca="false">X254+X255</f>
        <v>382764.179847619</v>
      </c>
      <c r="Y256" s="71" t="n">
        <f aca="false">Y254+Y255</f>
        <v>392636.895519683</v>
      </c>
      <c r="Z256" s="71" t="n">
        <f aca="false">Z254+Z255</f>
        <v>402516.633413968</v>
      </c>
      <c r="AA256" s="71" t="n">
        <f aca="false">AA254+AA255</f>
        <v>416883.022847324</v>
      </c>
      <c r="AB256" s="71" t="n">
        <f aca="false">AB254+AB255</f>
        <v>430254.599632502</v>
      </c>
      <c r="AC256" s="71" t="n">
        <f aca="false">AC254+AC255</f>
        <v>443633.198639903</v>
      </c>
      <c r="AD256" s="71" t="n">
        <f aca="false">AD254+AD255</f>
        <v>457018.819869525</v>
      </c>
      <c r="AE256" s="71" t="n">
        <f aca="false">AE254+AE255</f>
        <v>470411.46332137</v>
      </c>
      <c r="AF256" s="71" t="n">
        <f aca="false">AF254+AF255</f>
        <v>483811.128995437</v>
      </c>
      <c r="AG256" s="71" t="n">
        <f aca="false">AG254+AG255</f>
        <v>497217.816891727</v>
      </c>
      <c r="AH256" s="71" t="n">
        <f aca="false">AH254+AH255</f>
        <v>510631.527010238</v>
      </c>
      <c r="AI256" s="71" t="n">
        <f aca="false">AI254+AI255</f>
        <v>524052.259350972</v>
      </c>
      <c r="AJ256" s="71" t="n">
        <f aca="false">AJ254+AJ255</f>
        <v>537480.013913928</v>
      </c>
      <c r="AK256" s="71" t="n">
        <f aca="false">AK254+AK255</f>
        <v>550914.790699106</v>
      </c>
      <c r="AL256" s="71" t="n">
        <f aca="false">AL254+AL255</f>
        <v>564356.589706506</v>
      </c>
    </row>
    <row r="257" customFormat="false" ht="15" hidden="false" customHeight="false" outlineLevel="0" collapsed="false">
      <c r="A257" s="6" t="s">
        <v>360</v>
      </c>
      <c r="C257" s="65" t="n">
        <f aca="false">C253-C256</f>
        <v>0</v>
      </c>
      <c r="D257" s="65" t="n">
        <f aca="false">D253-D256</f>
        <v>0</v>
      </c>
      <c r="E257" s="65" t="n">
        <f aca="false">E253-E256</f>
        <v>0</v>
      </c>
      <c r="F257" s="65" t="n">
        <f aca="false">F253-F256</f>
        <v>0</v>
      </c>
      <c r="G257" s="65" t="n">
        <f aca="false">G253-G256</f>
        <v>0</v>
      </c>
      <c r="H257" s="65" t="n">
        <f aca="false">H253-H256</f>
        <v>0</v>
      </c>
      <c r="I257" s="65" t="n">
        <f aca="false">I253-I256</f>
        <v>0</v>
      </c>
      <c r="J257" s="65" t="n">
        <f aca="false">J253-J256</f>
        <v>0</v>
      </c>
      <c r="K257" s="65" t="n">
        <f aca="false">K253-K256</f>
        <v>0</v>
      </c>
      <c r="L257" s="65" t="n">
        <f aca="false">L253-L256</f>
        <v>0</v>
      </c>
      <c r="M257" s="65" t="n">
        <f aca="false">M253-M256</f>
        <v>0</v>
      </c>
      <c r="N257" s="65" t="n">
        <f aca="false">N253-N256</f>
        <v>0</v>
      </c>
      <c r="O257" s="65" t="n">
        <f aca="false">O253-O256</f>
        <v>0</v>
      </c>
      <c r="P257" s="65" t="n">
        <f aca="false">P253-P256</f>
        <v>0</v>
      </c>
      <c r="Q257" s="65" t="n">
        <f aca="false">Q253-Q256</f>
        <v>0</v>
      </c>
      <c r="R257" s="65" t="n">
        <f aca="false">R253-R256</f>
        <v>0</v>
      </c>
      <c r="S257" s="65" t="n">
        <f aca="false">S253-S256</f>
        <v>0</v>
      </c>
      <c r="T257" s="65" t="n">
        <f aca="false">T253-T256</f>
        <v>0</v>
      </c>
      <c r="U257" s="65" t="n">
        <f aca="false">U253-U256</f>
        <v>0</v>
      </c>
      <c r="V257" s="65" t="n">
        <f aca="false">V253-V256</f>
        <v>0</v>
      </c>
      <c r="W257" s="65" t="n">
        <f aca="false">W253-W256</f>
        <v>0</v>
      </c>
      <c r="X257" s="65" t="n">
        <f aca="false">X253-X256</f>
        <v>0</v>
      </c>
      <c r="Y257" s="65" t="n">
        <f aca="false">Y253-Y256</f>
        <v>0</v>
      </c>
      <c r="Z257" s="65" t="n">
        <f aca="false">Z253-Z256</f>
        <v>0</v>
      </c>
      <c r="AA257" s="65" t="n">
        <f aca="false">AA253-AA256</f>
        <v>0</v>
      </c>
      <c r="AB257" s="65" t="n">
        <f aca="false">AB253-AB256</f>
        <v>0</v>
      </c>
      <c r="AC257" s="65" t="n">
        <f aca="false">AC253-AC256</f>
        <v>0</v>
      </c>
      <c r="AD257" s="65" t="n">
        <f aca="false">AD253-AD256</f>
        <v>0</v>
      </c>
      <c r="AE257" s="65" t="n">
        <f aca="false">AE253-AE256</f>
        <v>0</v>
      </c>
      <c r="AF257" s="65" t="n">
        <f aca="false">AF253-AF256</f>
        <v>0</v>
      </c>
      <c r="AG257" s="65" t="n">
        <f aca="false">AG253-AG256</f>
        <v>0</v>
      </c>
      <c r="AH257" s="65" t="n">
        <f aca="false">AH253-AH256</f>
        <v>0</v>
      </c>
      <c r="AI257" s="65" t="n">
        <f aca="false">AI253-AI256</f>
        <v>0</v>
      </c>
      <c r="AJ257" s="65" t="n">
        <f aca="false">AJ253-AJ256</f>
        <v>0</v>
      </c>
      <c r="AK257" s="65" t="n">
        <f aca="false">AK253-AK256</f>
        <v>0</v>
      </c>
      <c r="AL257" s="65" t="n">
        <f aca="false">AL253-AL256</f>
        <v>0</v>
      </c>
    </row>
    <row r="259" customFormat="false" ht="15.75" hidden="false" customHeight="true" outlineLevel="0" collapsed="false">
      <c r="A259" s="7" t="s">
        <v>362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customFormat="false" ht="15" hidden="false" customHeight="false" outlineLevel="0" collapsed="false">
      <c r="A260" s="6" t="s">
        <v>363</v>
      </c>
      <c r="C260" s="111" t="n">
        <f aca="false">Inputs!$D$21*(1+Inputs!$D$23)^(C$183-1)*MAX(0,MIN(1,C$182*1-Inputs!$D$24+1))/1</f>
        <v>4</v>
      </c>
      <c r="D260" s="111" t="n">
        <f aca="false">Inputs!$D$21*(1+Inputs!$D$23)^(D$183-1)*MAX(0,MIN(1,D$182*1-Inputs!$D$24+1))/1</f>
        <v>4</v>
      </c>
      <c r="E260" s="111" t="n">
        <f aca="false">Inputs!$D$21*(1+Inputs!$D$23)^(E$183-1)*MAX(0,MIN(1,E$182*1-Inputs!$D$24+1))/1</f>
        <v>4</v>
      </c>
      <c r="F260" s="111" t="n">
        <f aca="false">Inputs!$D$21*(1+Inputs!$D$23)^(F$183-1)*MAX(0,MIN(1,F$182*1-Inputs!$D$24+1))/1</f>
        <v>4</v>
      </c>
      <c r="G260" s="111" t="n">
        <f aca="false">Inputs!$D$21*(1+Inputs!$D$23)^(G$183-1)*MAX(0,MIN(1,G$182*1-Inputs!$D$24+1))/1</f>
        <v>4</v>
      </c>
      <c r="H260" s="111" t="n">
        <f aca="false">Inputs!$D$21*(1+Inputs!$D$23)^(H$183-1)*MAX(0,MIN(1,H$182*1-Inputs!$D$24+1))/1</f>
        <v>4</v>
      </c>
      <c r="I260" s="111" t="n">
        <f aca="false">Inputs!$D$21*(1+Inputs!$D$23)^(I$183-1)*MAX(0,MIN(1,I$182*1-Inputs!$D$24+1))/1</f>
        <v>4</v>
      </c>
      <c r="J260" s="111" t="n">
        <f aca="false">Inputs!$D$21*(1+Inputs!$D$23)^(J$183-1)*MAX(0,MIN(1,J$182*1-Inputs!$D$24+1))/1</f>
        <v>4</v>
      </c>
      <c r="K260" s="111" t="n">
        <f aca="false">Inputs!$D$21*(1+Inputs!$D$23)^(K$183-1)*MAX(0,MIN(1,K$182*1-Inputs!$D$24+1))/1</f>
        <v>4</v>
      </c>
      <c r="L260" s="111" t="n">
        <f aca="false">Inputs!$D$21*(1+Inputs!$D$23)^(L$183-1)*MAX(0,MIN(1,L$182*1-Inputs!$D$24+1))/1</f>
        <v>4</v>
      </c>
      <c r="M260" s="111" t="n">
        <f aca="false">Inputs!$D$21*(1+Inputs!$D$23)^(M$183-1)*MAX(0,MIN(1,M$182*1-Inputs!$D$24+1))/1</f>
        <v>4</v>
      </c>
      <c r="N260" s="111" t="n">
        <f aca="false">Inputs!$D$21*(1+Inputs!$D$23)^(N$183-1)*MAX(0,MIN(1,N$182*1-Inputs!$D$24+1))/1</f>
        <v>4</v>
      </c>
      <c r="O260" s="111" t="n">
        <f aca="false">Inputs!$D$21*(1+Inputs!$D$23)^(O$183-1)*MAX(0,MIN(1,O$182*1-Inputs!$D$24+1))/1</f>
        <v>4</v>
      </c>
      <c r="P260" s="111" t="n">
        <f aca="false">Inputs!$D$21*(1+Inputs!$D$23)^(P$183-1)*MAX(0,MIN(1,P$182*1-Inputs!$D$24+1))/1</f>
        <v>4</v>
      </c>
      <c r="Q260" s="111" t="n">
        <f aca="false">Inputs!$D$21*(1+Inputs!$D$23)^(Q$183-1)*MAX(0,MIN(1,Q$182*1-Inputs!$D$24+1))/1</f>
        <v>4</v>
      </c>
      <c r="R260" s="111" t="n">
        <f aca="false">Inputs!$D$21*(1+Inputs!$D$23)^(R$183-1)*MAX(0,MIN(1,R$182*1-Inputs!$D$24+1))/1</f>
        <v>4</v>
      </c>
      <c r="S260" s="111" t="n">
        <f aca="false">Inputs!$D$21*(1+Inputs!$D$23)^(S$183-1)*MAX(0,MIN(1,S$182*1-Inputs!$D$24+1))/1</f>
        <v>4</v>
      </c>
      <c r="T260" s="111" t="n">
        <f aca="false">Inputs!$D$21*(1+Inputs!$D$23)^(T$183-1)*MAX(0,MIN(1,T$182*1-Inputs!$D$24+1))/1</f>
        <v>4</v>
      </c>
      <c r="U260" s="111" t="n">
        <f aca="false">Inputs!$D$21*(1+Inputs!$D$23)^(U$183-1)*MAX(0,MIN(1,U$182*1-Inputs!$D$24+1))/1</f>
        <v>4</v>
      </c>
      <c r="V260" s="111" t="n">
        <f aca="false">Inputs!$D$21*(1+Inputs!$D$23)^(V$183-1)*MAX(0,MIN(1,V$182*1-Inputs!$D$24+1))/1</f>
        <v>4</v>
      </c>
      <c r="W260" s="111" t="n">
        <f aca="false">Inputs!$D$21*(1+Inputs!$D$23)^(W$183-1)*MAX(0,MIN(1,W$182*1-Inputs!$D$24+1))/1</f>
        <v>4</v>
      </c>
      <c r="X260" s="111" t="n">
        <f aca="false">Inputs!$D$21*(1+Inputs!$D$23)^(X$183-1)*MAX(0,MIN(1,X$182*1-Inputs!$D$24+1))/1</f>
        <v>4</v>
      </c>
      <c r="Y260" s="111" t="n">
        <f aca="false">Inputs!$D$21*(1+Inputs!$D$23)^(Y$183-1)*MAX(0,MIN(1,Y$182*1-Inputs!$D$24+1))/1</f>
        <v>4</v>
      </c>
      <c r="Z260" s="111" t="n">
        <f aca="false">Inputs!$D$21*(1+Inputs!$D$23)^(Z$183-1)*MAX(0,MIN(1,Z$182*1-Inputs!$D$24+1))/1</f>
        <v>4</v>
      </c>
      <c r="AA260" s="111" t="n">
        <f aca="false">Inputs!$D$21*(1+Inputs!$D$23)^(AA$183-1)*MAX(0,MIN(1,AA$182*1-Inputs!$D$24+1))/1</f>
        <v>4</v>
      </c>
      <c r="AB260" s="111" t="n">
        <f aca="false">Inputs!$D$21*(1+Inputs!$D$23)^(AB$183-1)*MAX(0,MIN(1,AB$182*1-Inputs!$D$24+1))/1</f>
        <v>4</v>
      </c>
      <c r="AC260" s="111" t="n">
        <f aca="false">Inputs!$D$21*(1+Inputs!$D$23)^(AC$183-1)*MAX(0,MIN(1,AC$182*1-Inputs!$D$24+1))/1</f>
        <v>4</v>
      </c>
      <c r="AD260" s="111" t="n">
        <f aca="false">Inputs!$D$21*(1+Inputs!$D$23)^(AD$183-1)*MAX(0,MIN(1,AD$182*1-Inputs!$D$24+1))/1</f>
        <v>4</v>
      </c>
      <c r="AE260" s="111" t="n">
        <f aca="false">Inputs!$D$21*(1+Inputs!$D$23)^(AE$183-1)*MAX(0,MIN(1,AE$182*1-Inputs!$D$24+1))/1</f>
        <v>4</v>
      </c>
      <c r="AF260" s="111" t="n">
        <f aca="false">Inputs!$D$21*(1+Inputs!$D$23)^(AF$183-1)*MAX(0,MIN(1,AF$182*1-Inputs!$D$24+1))/1</f>
        <v>4</v>
      </c>
      <c r="AG260" s="111" t="n">
        <f aca="false">Inputs!$D$21*(1+Inputs!$D$23)^(AG$183-1)*MAX(0,MIN(1,AG$182*1-Inputs!$D$24+1))/1</f>
        <v>4</v>
      </c>
      <c r="AH260" s="111" t="n">
        <f aca="false">Inputs!$D$21*(1+Inputs!$D$23)^(AH$183-1)*MAX(0,MIN(1,AH$182*1-Inputs!$D$24+1))/1</f>
        <v>4</v>
      </c>
      <c r="AI260" s="111" t="n">
        <f aca="false">Inputs!$D$21*(1+Inputs!$D$23)^(AI$183-1)*MAX(0,MIN(1,AI$182*1-Inputs!$D$24+1))/1</f>
        <v>4</v>
      </c>
      <c r="AJ260" s="111" t="n">
        <f aca="false">Inputs!$D$21*(1+Inputs!$D$23)^(AJ$183-1)*MAX(0,MIN(1,AJ$182*1-Inputs!$D$24+1))/1</f>
        <v>4</v>
      </c>
      <c r="AK260" s="111" t="n">
        <f aca="false">Inputs!$D$21*(1+Inputs!$D$23)^(AK$183-1)*MAX(0,MIN(1,AK$182*1-Inputs!$D$24+1))/1</f>
        <v>4</v>
      </c>
      <c r="AL260" s="111" t="n">
        <f aca="false">Inputs!$D$21*(1+Inputs!$D$23)^(AL$183-1)*MAX(0,MIN(1,AL$182*1-Inputs!$D$24+1))/1</f>
        <v>4</v>
      </c>
    </row>
    <row r="261" customFormat="false" ht="15" hidden="false" customHeight="false" outlineLevel="0" collapsed="false">
      <c r="A261" s="108" t="s">
        <v>364</v>
      </c>
      <c r="C261" s="115" t="n">
        <f aca="false">C260</f>
        <v>4</v>
      </c>
      <c r="D261" s="115" t="n">
        <f aca="false">D260</f>
        <v>4</v>
      </c>
      <c r="E261" s="115" t="n">
        <f aca="false">E260</f>
        <v>4</v>
      </c>
      <c r="F261" s="115" t="n">
        <f aca="false">F260</f>
        <v>4</v>
      </c>
      <c r="G261" s="115" t="n">
        <f aca="false">G260</f>
        <v>4</v>
      </c>
      <c r="H261" s="115" t="n">
        <f aca="false">H260</f>
        <v>4</v>
      </c>
      <c r="I261" s="115" t="n">
        <f aca="false">I260</f>
        <v>4</v>
      </c>
      <c r="J261" s="115" t="n">
        <f aca="false">J260</f>
        <v>4</v>
      </c>
      <c r="K261" s="115" t="n">
        <f aca="false">K260</f>
        <v>4</v>
      </c>
      <c r="L261" s="115" t="n">
        <f aca="false">L260</f>
        <v>4</v>
      </c>
      <c r="M261" s="115" t="n">
        <f aca="false">M260</f>
        <v>4</v>
      </c>
      <c r="N261" s="115" t="n">
        <f aca="false">N260</f>
        <v>4</v>
      </c>
      <c r="O261" s="115" t="n">
        <f aca="false">O260</f>
        <v>4</v>
      </c>
      <c r="P261" s="115" t="n">
        <f aca="false">P260</f>
        <v>4</v>
      </c>
      <c r="Q261" s="115" t="n">
        <f aca="false">Q260</f>
        <v>4</v>
      </c>
      <c r="R261" s="115" t="n">
        <f aca="false">R260</f>
        <v>4</v>
      </c>
      <c r="S261" s="115" t="n">
        <f aca="false">S260</f>
        <v>4</v>
      </c>
      <c r="T261" s="115" t="n">
        <f aca="false">T260</f>
        <v>4</v>
      </c>
      <c r="U261" s="115" t="n">
        <f aca="false">U260</f>
        <v>4</v>
      </c>
      <c r="V261" s="115" t="n">
        <f aca="false">V260</f>
        <v>4</v>
      </c>
      <c r="W261" s="115" t="n">
        <f aca="false">W260</f>
        <v>4</v>
      </c>
      <c r="X261" s="115" t="n">
        <f aca="false">X260</f>
        <v>4</v>
      </c>
      <c r="Y261" s="115" t="n">
        <f aca="false">Y260</f>
        <v>4</v>
      </c>
      <c r="Z261" s="115" t="n">
        <f aca="false">Z260</f>
        <v>4</v>
      </c>
      <c r="AA261" s="115" t="n">
        <f aca="false">AA260</f>
        <v>4</v>
      </c>
      <c r="AB261" s="115" t="n">
        <f aca="false">AB260</f>
        <v>4</v>
      </c>
      <c r="AC261" s="115" t="n">
        <f aca="false">AC260</f>
        <v>4</v>
      </c>
      <c r="AD261" s="115" t="n">
        <f aca="false">AD260</f>
        <v>4</v>
      </c>
      <c r="AE261" s="115" t="n">
        <f aca="false">AE260</f>
        <v>4</v>
      </c>
      <c r="AF261" s="115" t="n">
        <f aca="false">AF260</f>
        <v>4</v>
      </c>
      <c r="AG261" s="115" t="n">
        <f aca="false">AG260</f>
        <v>4</v>
      </c>
      <c r="AH261" s="115" t="n">
        <f aca="false">AH260</f>
        <v>4</v>
      </c>
      <c r="AI261" s="115" t="n">
        <f aca="false">AI260</f>
        <v>4</v>
      </c>
      <c r="AJ261" s="115" t="n">
        <f aca="false">AJ260</f>
        <v>4</v>
      </c>
      <c r="AK261" s="115" t="n">
        <f aca="false">AK260</f>
        <v>4</v>
      </c>
      <c r="AL261" s="115" t="n">
        <f aca="false">AL260</f>
        <v>4</v>
      </c>
    </row>
    <row r="263" customFormat="false" ht="15.75" hidden="false" customHeight="true" outlineLevel="0" collapsed="false">
      <c r="A263" s="7" t="s">
        <v>365</v>
      </c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customFormat="false" ht="15" hidden="false" customHeight="false" outlineLevel="0" collapsed="false">
      <c r="A264" s="6" t="s">
        <v>366</v>
      </c>
      <c r="C264" s="65" t="n">
        <f aca="false">-C260*Inputs!$D$22/12*1*(1+Inputs!$D$25)*(1+Inputs!$D$26)^(C$183-1)</f>
        <v>-12693.3333333333</v>
      </c>
      <c r="D264" s="65" t="n">
        <f aca="false">-D260*Inputs!$D$22/12*1*(1+Inputs!$D$25)*(1+Inputs!$D$26)^(D$183-1)</f>
        <v>-12693.3333333333</v>
      </c>
      <c r="E264" s="65" t="n">
        <f aca="false">-E260*Inputs!$D$22/12*1*(1+Inputs!$D$25)*(1+Inputs!$D$26)^(E$183-1)</f>
        <v>-12693.3333333333</v>
      </c>
      <c r="F264" s="65" t="n">
        <f aca="false">-F260*Inputs!$D$22/12*1*(1+Inputs!$D$25)*(1+Inputs!$D$26)^(F$183-1)</f>
        <v>-12693.3333333333</v>
      </c>
      <c r="G264" s="65" t="n">
        <f aca="false">-G260*Inputs!$D$22/12*1*(1+Inputs!$D$25)*(1+Inputs!$D$26)^(G$183-1)</f>
        <v>-12693.3333333333</v>
      </c>
      <c r="H264" s="65" t="n">
        <f aca="false">-H260*Inputs!$D$22/12*1*(1+Inputs!$D$25)*(1+Inputs!$D$26)^(H$183-1)</f>
        <v>-12693.3333333333</v>
      </c>
      <c r="I264" s="65" t="n">
        <f aca="false">-I260*Inputs!$D$22/12*1*(1+Inputs!$D$25)*(1+Inputs!$D$26)^(I$183-1)</f>
        <v>-12693.3333333333</v>
      </c>
      <c r="J264" s="65" t="n">
        <f aca="false">-J260*Inputs!$D$22/12*1*(1+Inputs!$D$25)*(1+Inputs!$D$26)^(J$183-1)</f>
        <v>-12693.3333333333</v>
      </c>
      <c r="K264" s="65" t="n">
        <f aca="false">-K260*Inputs!$D$22/12*1*(1+Inputs!$D$25)*(1+Inputs!$D$26)^(K$183-1)</f>
        <v>-12693.3333333333</v>
      </c>
      <c r="L264" s="65" t="n">
        <f aca="false">-L260*Inputs!$D$22/12*1*(1+Inputs!$D$25)*(1+Inputs!$D$26)^(L$183-1)</f>
        <v>-12693.3333333333</v>
      </c>
      <c r="M264" s="65" t="n">
        <f aca="false">-M260*Inputs!$D$22/12*1*(1+Inputs!$D$25)*(1+Inputs!$D$26)^(M$183-1)</f>
        <v>-12693.3333333333</v>
      </c>
      <c r="N264" s="65" t="n">
        <f aca="false">-N260*Inputs!$D$22/12*1*(1+Inputs!$D$25)*(1+Inputs!$D$26)^(N$183-1)</f>
        <v>-12693.3333333333</v>
      </c>
      <c r="O264" s="65" t="n">
        <f aca="false">-O260*Inputs!$D$22/12*1*(1+Inputs!$D$25)*(1+Inputs!$D$26)^(O$183-1)</f>
        <v>-13074.1333333333</v>
      </c>
      <c r="P264" s="65" t="n">
        <f aca="false">-P260*Inputs!$D$22/12*1*(1+Inputs!$D$25)*(1+Inputs!$D$26)^(P$183-1)</f>
        <v>-13074.1333333333</v>
      </c>
      <c r="Q264" s="65" t="n">
        <f aca="false">-Q260*Inputs!$D$22/12*1*(1+Inputs!$D$25)*(1+Inputs!$D$26)^(Q$183-1)</f>
        <v>-13074.1333333333</v>
      </c>
      <c r="R264" s="65" t="n">
        <f aca="false">-R260*Inputs!$D$22/12*1*(1+Inputs!$D$25)*(1+Inputs!$D$26)^(R$183-1)</f>
        <v>-13074.1333333333</v>
      </c>
      <c r="S264" s="65" t="n">
        <f aca="false">-S260*Inputs!$D$22/12*1*(1+Inputs!$D$25)*(1+Inputs!$D$26)^(S$183-1)</f>
        <v>-13074.1333333333</v>
      </c>
      <c r="T264" s="65" t="n">
        <f aca="false">-T260*Inputs!$D$22/12*1*(1+Inputs!$D$25)*(1+Inputs!$D$26)^(T$183-1)</f>
        <v>-13074.1333333333</v>
      </c>
      <c r="U264" s="65" t="n">
        <f aca="false">-U260*Inputs!$D$22/12*1*(1+Inputs!$D$25)*(1+Inputs!$D$26)^(U$183-1)</f>
        <v>-13074.1333333333</v>
      </c>
      <c r="V264" s="65" t="n">
        <f aca="false">-V260*Inputs!$D$22/12*1*(1+Inputs!$D$25)*(1+Inputs!$D$26)^(V$183-1)</f>
        <v>-13074.1333333333</v>
      </c>
      <c r="W264" s="65" t="n">
        <f aca="false">-W260*Inputs!$D$22/12*1*(1+Inputs!$D$25)*(1+Inputs!$D$26)^(W$183-1)</f>
        <v>-13074.1333333333</v>
      </c>
      <c r="X264" s="65" t="n">
        <f aca="false">-X260*Inputs!$D$22/12*1*(1+Inputs!$D$25)*(1+Inputs!$D$26)^(X$183-1)</f>
        <v>-13074.1333333333</v>
      </c>
      <c r="Y264" s="65" t="n">
        <f aca="false">-Y260*Inputs!$D$22/12*1*(1+Inputs!$D$25)*(1+Inputs!$D$26)^(Y$183-1)</f>
        <v>-13074.1333333333</v>
      </c>
      <c r="Z264" s="65" t="n">
        <f aca="false">-Z260*Inputs!$D$22/12*1*(1+Inputs!$D$25)*(1+Inputs!$D$26)^(Z$183-1)</f>
        <v>-13074.1333333333</v>
      </c>
      <c r="AA264" s="65" t="n">
        <f aca="false">-AA260*Inputs!$D$22/12*1*(1+Inputs!$D$25)*(1+Inputs!$D$26)^(AA$183-1)</f>
        <v>-13466.3573333333</v>
      </c>
      <c r="AB264" s="65" t="n">
        <f aca="false">-AB260*Inputs!$D$22/12*1*(1+Inputs!$D$25)*(1+Inputs!$D$26)^(AB$183-1)</f>
        <v>-13466.3573333333</v>
      </c>
      <c r="AC264" s="65" t="n">
        <f aca="false">-AC260*Inputs!$D$22/12*1*(1+Inputs!$D$25)*(1+Inputs!$D$26)^(AC$183-1)</f>
        <v>-13466.3573333333</v>
      </c>
      <c r="AD264" s="65" t="n">
        <f aca="false">-AD260*Inputs!$D$22/12*1*(1+Inputs!$D$25)*(1+Inputs!$D$26)^(AD$183-1)</f>
        <v>-13466.3573333333</v>
      </c>
      <c r="AE264" s="65" t="n">
        <f aca="false">-AE260*Inputs!$D$22/12*1*(1+Inputs!$D$25)*(1+Inputs!$D$26)^(AE$183-1)</f>
        <v>-13466.3573333333</v>
      </c>
      <c r="AF264" s="65" t="n">
        <f aca="false">-AF260*Inputs!$D$22/12*1*(1+Inputs!$D$25)*(1+Inputs!$D$26)^(AF$183-1)</f>
        <v>-13466.3573333333</v>
      </c>
      <c r="AG264" s="65" t="n">
        <f aca="false">-AG260*Inputs!$D$22/12*1*(1+Inputs!$D$25)*(1+Inputs!$D$26)^(AG$183-1)</f>
        <v>-13466.3573333333</v>
      </c>
      <c r="AH264" s="65" t="n">
        <f aca="false">-AH260*Inputs!$D$22/12*1*(1+Inputs!$D$25)*(1+Inputs!$D$26)^(AH$183-1)</f>
        <v>-13466.3573333333</v>
      </c>
      <c r="AI264" s="65" t="n">
        <f aca="false">-AI260*Inputs!$D$22/12*1*(1+Inputs!$D$25)*(1+Inputs!$D$26)^(AI$183-1)</f>
        <v>-13466.3573333333</v>
      </c>
      <c r="AJ264" s="65" t="n">
        <f aca="false">-AJ260*Inputs!$D$22/12*1*(1+Inputs!$D$25)*(1+Inputs!$D$26)^(AJ$183-1)</f>
        <v>-13466.3573333333</v>
      </c>
      <c r="AK264" s="65" t="n">
        <f aca="false">-AK260*Inputs!$D$22/12*1*(1+Inputs!$D$25)*(1+Inputs!$D$26)^(AK$183-1)</f>
        <v>-13466.3573333333</v>
      </c>
      <c r="AL264" s="65" t="n">
        <f aca="false">-AL260*Inputs!$D$22/12*1*(1+Inputs!$D$25)*(1+Inputs!$D$26)^(AL$183-1)</f>
        <v>-13466.3573333333</v>
      </c>
    </row>
    <row r="265" customFormat="false" ht="15" hidden="false" customHeight="false" outlineLevel="0" collapsed="false">
      <c r="A265" s="108" t="s">
        <v>367</v>
      </c>
      <c r="C265" s="66" t="n">
        <f aca="false">C264</f>
        <v>-12693.3333333333</v>
      </c>
      <c r="D265" s="66" t="n">
        <f aca="false">D264</f>
        <v>-12693.3333333333</v>
      </c>
      <c r="E265" s="66" t="n">
        <f aca="false">E264</f>
        <v>-12693.3333333333</v>
      </c>
      <c r="F265" s="66" t="n">
        <f aca="false">F264</f>
        <v>-12693.3333333333</v>
      </c>
      <c r="G265" s="66" t="n">
        <f aca="false">G264</f>
        <v>-12693.3333333333</v>
      </c>
      <c r="H265" s="66" t="n">
        <f aca="false">H264</f>
        <v>-12693.3333333333</v>
      </c>
      <c r="I265" s="66" t="n">
        <f aca="false">I264</f>
        <v>-12693.3333333333</v>
      </c>
      <c r="J265" s="66" t="n">
        <f aca="false">J264</f>
        <v>-12693.3333333333</v>
      </c>
      <c r="K265" s="66" t="n">
        <f aca="false">K264</f>
        <v>-12693.3333333333</v>
      </c>
      <c r="L265" s="66" t="n">
        <f aca="false">L264</f>
        <v>-12693.3333333333</v>
      </c>
      <c r="M265" s="66" t="n">
        <f aca="false">M264</f>
        <v>-12693.3333333333</v>
      </c>
      <c r="N265" s="66" t="n">
        <f aca="false">N264</f>
        <v>-12693.3333333333</v>
      </c>
      <c r="O265" s="66" t="n">
        <f aca="false">O264</f>
        <v>-13074.1333333333</v>
      </c>
      <c r="P265" s="66" t="n">
        <f aca="false">P264</f>
        <v>-13074.1333333333</v>
      </c>
      <c r="Q265" s="66" t="n">
        <f aca="false">Q264</f>
        <v>-13074.1333333333</v>
      </c>
      <c r="R265" s="66" t="n">
        <f aca="false">R264</f>
        <v>-13074.1333333333</v>
      </c>
      <c r="S265" s="66" t="n">
        <f aca="false">S264</f>
        <v>-13074.1333333333</v>
      </c>
      <c r="T265" s="66" t="n">
        <f aca="false">T264</f>
        <v>-13074.1333333333</v>
      </c>
      <c r="U265" s="66" t="n">
        <f aca="false">U264</f>
        <v>-13074.1333333333</v>
      </c>
      <c r="V265" s="66" t="n">
        <f aca="false">V264</f>
        <v>-13074.1333333333</v>
      </c>
      <c r="W265" s="66" t="n">
        <f aca="false">W264</f>
        <v>-13074.1333333333</v>
      </c>
      <c r="X265" s="66" t="n">
        <f aca="false">X264</f>
        <v>-13074.1333333333</v>
      </c>
      <c r="Y265" s="66" t="n">
        <f aca="false">Y264</f>
        <v>-13074.1333333333</v>
      </c>
      <c r="Z265" s="66" t="n">
        <f aca="false">Z264</f>
        <v>-13074.1333333333</v>
      </c>
      <c r="AA265" s="66" t="n">
        <f aca="false">AA264</f>
        <v>-13466.3573333333</v>
      </c>
      <c r="AB265" s="66" t="n">
        <f aca="false">AB264</f>
        <v>-13466.3573333333</v>
      </c>
      <c r="AC265" s="66" t="n">
        <f aca="false">AC264</f>
        <v>-13466.3573333333</v>
      </c>
      <c r="AD265" s="66" t="n">
        <f aca="false">AD264</f>
        <v>-13466.3573333333</v>
      </c>
      <c r="AE265" s="66" t="n">
        <f aca="false">AE264</f>
        <v>-13466.3573333333</v>
      </c>
      <c r="AF265" s="66" t="n">
        <f aca="false">AF264</f>
        <v>-13466.3573333333</v>
      </c>
      <c r="AG265" s="66" t="n">
        <f aca="false">AG264</f>
        <v>-13466.3573333333</v>
      </c>
      <c r="AH265" s="66" t="n">
        <f aca="false">AH264</f>
        <v>-13466.3573333333</v>
      </c>
      <c r="AI265" s="66" t="n">
        <f aca="false">AI264</f>
        <v>-13466.3573333333</v>
      </c>
      <c r="AJ265" s="66" t="n">
        <f aca="false">AJ264</f>
        <v>-13466.3573333333</v>
      </c>
      <c r="AK265" s="66" t="n">
        <f aca="false">AK264</f>
        <v>-13466.3573333333</v>
      </c>
      <c r="AL265" s="66" t="n">
        <f aca="false">AL264</f>
        <v>-13466.3573333333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373</v>
      </c>
    </row>
    <row r="3" customFormat="false" ht="15" hidden="false" customHeight="false" outlineLevel="0" collapsed="false">
      <c r="A3" s="33" t="s">
        <v>374</v>
      </c>
      <c r="B3" s="33" t="s">
        <v>375</v>
      </c>
      <c r="C3" s="33" t="s">
        <v>376</v>
      </c>
    </row>
    <row r="4" customFormat="false" ht="15" hidden="false" customHeight="false" outlineLevel="0" collapsed="false">
      <c r="A4" s="6" t="s">
        <v>377</v>
      </c>
      <c r="B4" s="4" t="str">
        <f aca="false">IF(ABS(SUM('P&amp;L'!$B$5:$D$5)-SUM(Monthly!$C$12:$AL$12))&lt;0.5,"PASS","FAIL")</f>
        <v>PASS</v>
      </c>
      <c r="C4" s="18" t="s">
        <v>378</v>
      </c>
    </row>
    <row r="5" customFormat="false" ht="15" hidden="false" customHeight="false" outlineLevel="0" collapsed="false">
      <c r="A5" s="6" t="s">
        <v>379</v>
      </c>
      <c r="B5" s="4" t="str">
        <f aca="false">IF(ABS(SUM('P&amp;L'!$B$21:$D$21)-SUM(Monthly!$C$31:$AL$31))&lt;0.5,"PASS","FAIL")</f>
        <v>PASS</v>
      </c>
      <c r="C5" s="18" t="s">
        <v>380</v>
      </c>
    </row>
    <row r="6" customFormat="false" ht="15" hidden="false" customHeight="false" outlineLevel="0" collapsed="false">
      <c r="A6" s="6" t="s">
        <v>381</v>
      </c>
      <c r="B6" s="4" t="str">
        <f aca="false">IF(ABS(SUM(Monthly!$C$22:$AL$22)-SUM(Monthly!$C$14:$AL$14)-SUM(Monthly!$C$21:$AL$21))&lt;0.5,"PASS","FAIL")</f>
        <v>PASS</v>
      </c>
      <c r="C6" s="18" t="s">
        <v>382</v>
      </c>
    </row>
    <row r="7" customFormat="false" ht="15" hidden="false" customHeight="false" outlineLevel="0" collapsed="false">
      <c r="A7" s="6" t="s">
        <v>383</v>
      </c>
      <c r="B7" s="4" t="str">
        <f aca="false">IF(ABS(INDEX(Monthly!$C$61:$AL$61,36)-SUM(Monthly!$C$59:$AL$59))&lt;0.5,"PASS","FAIL")</f>
        <v>PASS</v>
      </c>
      <c r="C7" s="18" t="s">
        <v>384</v>
      </c>
    </row>
    <row r="8" customFormat="false" ht="15" hidden="false" customHeight="false" outlineLevel="0" collapsed="false">
      <c r="A8" s="6" t="s">
        <v>385</v>
      </c>
      <c r="B8" s="4" t="str">
        <f aca="false">IF(AND(ISNUMBER(Dashboard!B4),Dashboard!B4&gt;=1,Dashboard!B4&lt;=3,INT(Dashboard!B4)=Dashboard!B4),"PASS","FAIL")</f>
        <v>PASS</v>
      </c>
      <c r="C8" s="18" t="s">
        <v>386</v>
      </c>
    </row>
    <row r="9" customFormat="false" ht="15" hidden="false" customHeight="false" outlineLevel="0" collapsed="false">
      <c r="A9" s="6" t="s">
        <v>387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$14&gt;=Inputs!$C$14,Inputs!$C$14&gt;=Inputs!$D$14,Inputs!$B$16&gt;=Inputs!$C$16,Inputs!$C$16&gt;=Inputs!$D$16,Inputs!$B$17&gt;=Inputs!$C$17,Inputs!$C$17&gt;=Inputs!$D$17,Inputs!$B$18&gt;=Inputs!$C$18,Inputs!$C$18&gt;=Inputs!$D$18,Inputs!$B$21&lt;=Inputs!$C$21,Inputs!$C$21&lt;=Inputs!$D$21,Inputs!$B$23&lt;=Inputs!$C$23,Inputs!$C$23&lt;=Inputs!$D$23,Inputs!$B$47&gt;=Inputs!$C$47,Inputs!$C$47&gt;=Inputs!$D$47,Inputs!$B$48&lt;=Inputs!$C$48,Inputs!$C$48&lt;=Inputs!$D$48,Inputs!$B$49&lt;=Inputs!$C$49,Inputs!$C$49&lt;=Inputs!$D$49),"PASS","FAIL")</f>
        <v>PASS</v>
      </c>
      <c r="C9" s="18" t="s">
        <v>388</v>
      </c>
    </row>
    <row r="10" customFormat="false" ht="15" hidden="false" customHeight="false" outlineLevel="0" collapsed="false">
      <c r="A10" s="6" t="s">
        <v>389</v>
      </c>
      <c r="B10" s="4" t="str">
        <f aca="false">IF(AND(MIN('P&amp;L'!$B$8:$D$8)&gt;=0,MAX('P&amp;L'!$B$8:$D$8)&lt;=1),"PASS","FAIL")</f>
        <v>PASS</v>
      </c>
      <c r="C10" s="18" t="s">
        <v>390</v>
      </c>
    </row>
    <row r="11" customFormat="false" ht="15" hidden="false" customHeight="false" outlineLevel="0" collapsed="false">
      <c r="A11" s="6" t="s">
        <v>391</v>
      </c>
      <c r="B11" s="4" t="str">
        <f aca="false">IF(MIN(Monthly!$C$44:$AL$44)&gt;=-0.5,"PASS","FAIL")</f>
        <v>PASS</v>
      </c>
      <c r="C11" s="18" t="s">
        <v>392</v>
      </c>
    </row>
    <row r="12" customFormat="false" ht="15" hidden="false" customHeight="false" outlineLevel="0" collapsed="false">
      <c r="A12" s="6" t="s">
        <v>393</v>
      </c>
      <c r="B12" s="4" t="str">
        <f aca="false">IF(ABS('Break-even'!B18-('Break-even'!B16-'Break-even'!B10))&lt;0.5,"PASS","FAIL")</f>
        <v>PASS</v>
      </c>
      <c r="C12" s="18" t="s">
        <v>394</v>
      </c>
    </row>
    <row r="13" customFormat="false" ht="15" hidden="false" customHeight="false" outlineLevel="0" collapsed="false">
      <c r="A13" s="6" t="s">
        <v>395</v>
      </c>
      <c r="B13" s="4" t="str">
        <f aca="false">IF(ABS(Valuation!B23-NPV(Valuation!B6,Valuation!$B$17:$D$17))&lt;0.5,"PASS","FAIL")</f>
        <v>PASS</v>
      </c>
      <c r="C13" s="18" t="s">
        <v>396</v>
      </c>
    </row>
    <row r="14" customFormat="false" ht="15" hidden="false" customHeight="false" outlineLevel="0" collapsed="false">
      <c r="A14" s="6" t="s">
        <v>397</v>
      </c>
      <c r="B14" s="4" t="str">
        <f aca="false">IF(Valuation!B6&gt;Valuation!B7,"PASS","FAIL")</f>
        <v>PASS</v>
      </c>
      <c r="C14" s="18" t="s">
        <v>398</v>
      </c>
    </row>
    <row r="15" customFormat="false" ht="15" hidden="false" customHeight="false" outlineLevel="0" collapsed="false">
      <c r="A15" s="6" t="s">
        <v>399</v>
      </c>
      <c r="B15" s="4" t="str">
        <f aca="false">IF(ABS(Valuation!D36-Valuation!B27)&lt;0.5,"PASS","FAIL")</f>
        <v>PASS</v>
      </c>
      <c r="C15" s="18" t="s">
        <v>400</v>
      </c>
    </row>
    <row r="16" customFormat="false" ht="15" hidden="false" customHeight="false" outlineLevel="0" collapsed="false">
      <c r="A16" s="6" t="s">
        <v>401</v>
      </c>
      <c r="B16" s="4" t="str">
        <f aca="false">IF(Valuation!$D$17&gt;0,"PASS","WARN")</f>
        <v>PASS</v>
      </c>
      <c r="C16" s="18" t="s">
        <v>402</v>
      </c>
    </row>
    <row r="17" customFormat="false" ht="15" hidden="false" customHeight="false" outlineLevel="0" collapsed="false">
      <c r="A17" s="6" t="s">
        <v>403</v>
      </c>
      <c r="B17" s="4" t="str">
        <f aca="false">IF(ABS('Sources &amp; Uses'!B21-'Sources &amp; Uses'!B28)&lt;0.5,"PASS","FAIL")</f>
        <v>PASS</v>
      </c>
      <c r="C17" s="18" t="s">
        <v>404</v>
      </c>
    </row>
    <row r="18" customFormat="false" ht="15" hidden="false" customHeight="false" outlineLevel="0" collapsed="false">
      <c r="A18" s="6" t="s">
        <v>405</v>
      </c>
      <c r="B18" s="4" t="str">
        <f aca="false">IF(SUMPRODUCT(--ISERROR(Monthly!$C$4:$AL$79))+SUMPRODUCT(--ISERROR(Headcount!$C$4:$AL$13))+SUMPRODUCT(--ISERROR('P&amp;L'!$B$3:$D$22))+SUMPRODUCT(--ISERROR('Cash Flow'!$B$3:$D$18))+SUMPRODUCT(--ISERROR('Balance Sheet'!$B$3:$D$17))+SUMPRODUCT(--ISERROR(KPIs!$B$27:$D$33))+SUMPRODUCT(--ISERROR('Break-even'!$B$26:$D$33))+SUMPRODUCT(--ISERROR(Valuation!$B$14:$D$19))+SUMPRODUCT(--ISERROR('Break-even'!$B$3:$D$35))+SUMPRODUCT(--ISERROR(Valuation!$A$3:$F$40))+SUMPRODUCT(--ISERROR('Sources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Uses'!$B$3:$C$30))+SUMPRODUCT(--ISERROR(Dashboard!$A$6:$W$42))+SUMPRODUCT(--ISERROR(Summary!$A$5:$S$52))+SUMPRODUCT(--ISERROR(KPIs!$A$4:$E$33))+SUMPRODUCT(--ISERROR('Scenario calc'!$C$6:$AL$89))+SUMPRODUCT(--ISERROR('Scenario calc'!$C$94:$AL$177))+SUMPRODUCT(--ISERROR('Scenario calc'!$C$182:$AL$265))+SUMPRODUCT(--ISERROR(Scenarios!$B$5:$E$50))=0,"PASS","FAIL")</f>
        <v>PASS</v>
      </c>
      <c r="C18" s="18" t="s">
        <v>406</v>
      </c>
    </row>
    <row r="19" customFormat="false" ht="15" hidden="false" customHeight="false" outlineLevel="0" collapsed="false">
      <c r="A19" s="6" t="s">
        <v>407</v>
      </c>
      <c r="B19" s="4" t="str">
        <f aca="false">IF(IFERROR(AND(SUMPRODUCT(--(ABS(Summary!$B$7:$D$7-'P&amp;L'!$B$5:$D$5)&gt;0.5))=0,SUMPRODUCT(--(ABS(Summary!$B$19:$D$19-'P&amp;L'!$B$21:$D$21)&gt;0.5))=0,SUMPRODUCT(--(ABS(Summary!$B$31:$D$31-'Cash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408</v>
      </c>
    </row>
    <row r="20" customFormat="false" ht="15" hidden="false" customHeight="false" outlineLevel="0" collapsed="false">
      <c r="A20" s="6" t="s">
        <v>409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410</v>
      </c>
    </row>
    <row r="21" customFormat="false" ht="15" hidden="false" customHeight="false" outlineLevel="0" collapsed="false">
      <c r="A21" s="6" t="s">
        <v>411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412</v>
      </c>
    </row>
    <row r="22" customFormat="false" ht="15" hidden="false" customHeight="false" outlineLevel="0" collapsed="false">
      <c r="A22" s="6" t="s">
        <v>413</v>
      </c>
      <c r="B22" s="4" t="str">
        <f aca="false">IF(SUMPRODUCT(--(ABS(Monthly!$C$79:$AL$79)&gt;0.5))=0,"PASS","FAIL")</f>
        <v>PASS</v>
      </c>
      <c r="C22" s="18" t="s">
        <v>414</v>
      </c>
    </row>
    <row r="23" customFormat="false" ht="15" hidden="false" customHeight="false" outlineLevel="0" collapsed="false">
      <c r="A23" s="6" t="s">
        <v>415</v>
      </c>
      <c r="B23" s="4" t="str">
        <f aca="false">IF(MIN(Monthly!$C$61:$AL$61)&gt;=0,"PASS","WARN")</f>
        <v>PASS</v>
      </c>
      <c r="C23" s="18" t="s">
        <v>416</v>
      </c>
    </row>
    <row r="25" customFormat="false" ht="15" hidden="false" customHeight="false" outlineLevel="0" collapsed="false">
      <c r="A25" s="68" t="s">
        <v>417</v>
      </c>
      <c r="B25" s="68" t="str">
        <f aca="false">IF(COUNTIF(B4:B23,"FAIL")&gt;0,"FAIL",IF(COUNTIF(B4:B23,"WARN")&gt;0,"PASS WITH WARNINGS","PASS"))</f>
        <v>PASS</v>
      </c>
      <c r="C25" s="116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2026-10-22T13:57:18Z</dcterms:created>
  <dc:creator/>
  <dc:description/>
  <dc:language>en-US</dc:language>
  <cp:lastModifiedBy/>
  <dcterms:modified xsi:type="dcterms:W3CDTF">2026-10-22T13:57:18Z</dcterms:modified>
  <cp:revision>0</cp:revision>
  <dc:subject/>
  <dc:title>Neighborhood Cafe — Financial Plan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