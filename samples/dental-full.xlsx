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<sst xmlns="http://schemas.openxmlformats.org/spreadsheetml/2006/main" count="1269" uniqueCount="521">
  <si>
    <t xml:space="preserve">Dental practice financial model (growing)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</si>
  <si>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</si>
  <si>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</si>
  <si>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</si>
  <si>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</si>
  <si>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</si>
  <si>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</si>
  <si>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</si>
  <si>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</si>
  <si>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</si>
  <si>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</si>
  <si>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</si>
  <si>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</si>
  <si>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</si>
  <si>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</si>
  <si>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</si>
  <si>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</si>
  <si>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</si>
  <si>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</si>
  <si>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</si>
  <si>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</si>
  <si>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</si>
  <si>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</si>
  <si>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</si>
  <si>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</si>
  <si>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</si>
  <si>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</si>
  <si>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</si>
  <si>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</si>
  <si>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</si>
  <si>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</si>
  <si>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</si>
  <si>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</si>
  <si>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</si>
  <si>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</si>
  <si>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</si>
  <si>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</si>
  <si>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</si>
  <si>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</si>
  <si>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</si>
  <si>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</si>
  <si>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</si>
  <si>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</si>
  <si>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</si>
  <si>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</si>
  <si>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</si>
  <si>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</si>
  <si>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</si>
  <si>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</si>
  <si>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</si>
  <si>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</si>
  <si>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</si>
  <si>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</si>
  <si>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</si>
  <si>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</si>
  <si>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</si>
  <si>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</si>
  <si>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Dental practice metrics</t>
  </si>
  <si>
    <t xml:space="preserve">Active patients (year end)</t>
  </si>
  <si>
    <t xml:space="preserve">Doctor chair utilisation</t>
  </si>
  <si>
    <t xml:space="preserve">Production per visit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</si>
  <si>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</si>
  <si>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</si>
  <si>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</si>
  <si>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</si>
  <si>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</si>
  <si>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</si>
  <si>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</si>
  <si>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</si>
  <si>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</si>
  <si>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</si>
  <si>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</si>
  <si>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</si>
  <si>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</si>
  <si>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</si>
  <si>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</si>
  <si>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</si>
  <si>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</si>
  <si>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</si>
  <si>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</si>
  <si>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</si>
  <si>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</si>
  <si>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</si>
  <si>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</si>
  <si>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</si>
  <si>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</si>
  <si>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</si>
  <si>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</si>
  <si>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</si>
  <si>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</si>
  <si>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</si>
  <si>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</si>
  <si>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</si>
  <si>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</si>
  <si>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</si>
  <si>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</si>
  <si>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</si>
  <si>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</si>
  <si>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</si>
  <si>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</si>
  <si>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</si>
  <si>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</si>
  <si>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</si>
  <si>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</si>
  <si>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</si>
  <si>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</si>
  <si>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</si>
  <si>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</si>
  <si>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Active patients at start (#)</t>
  </si>
  <si>
    <t xml:space="preserve">Doctor operatories (restorative chairs) (#)</t>
  </si>
  <si>
    <t xml:space="preserve">Production per doctor visit, office fees (year 1) ($)</t>
  </si>
  <si>
    <t xml:space="preserve">Hygiene recall visits per active patient per year (visits)</t>
  </si>
  <si>
    <t xml:space="preserve">Marketing cost per new patient ($)</t>
  </si>
  <si>
    <t xml:space="preserve">Rent per sq ft per year (incl. CAM)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</si>
  <si>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</si>
  <si>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</si>
  <si>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</si>
  <si>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</si>
  <si>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</si>
  <si>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</si>
  <si>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</si>
  <si>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</si>
  <si>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</si>
  <si>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</si>
  <si>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</si>
  <si>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</si>
  <si>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</si>
  <si>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</si>
  <si>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</si>
  <si>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</si>
  <si>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</si>
  <si>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</si>
  <si>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</si>
  <si>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</si>
  <si>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</si>
  <si>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</si>
  <si>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</si>
  <si>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</si>
  <si>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</si>
  <si>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</si>
  <si>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</si>
  <si>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</si>
  <si>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</si>
  <si>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</si>
  <si>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</si>
  <si>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</si>
  <si>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</si>
  <si>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</si>
  <si>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</si>
  <si>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</si>
  <si>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</si>
  <si>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</si>
  <si>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</si>
  <si>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</si>
  <si>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</si>
  <si>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</si>
  <si>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</si>
  <si>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</si>
  <si>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</si>
  <si>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</si>
  <si>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</si>
  <si>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</si>
  <si>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</si>
  <si>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</si>
  <si>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</si>
  <si>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</si>
  <si>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</si>
  <si>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</si>
  <si>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</si>
  <si>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</si>
  <si>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</si>
  <si>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</si>
  <si>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</si>
  <si>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</si>
  <si>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</si>
  <si>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</si>
  <si>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</si>
  <si>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</si>
  <si>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</si>
  <si>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</si>
  <si>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</si>
  <si>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</si>
  <si>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</si>
  <si>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</si>
  <si>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</si>
  <si>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</si>
  <si>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</si>
  <si>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</si>
  <si>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</si>
  <si>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</si>
  <si>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</si>
  <si>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</si>
  <si>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</si>
  <si>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</si>
  <si>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</si>
  <si>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</si>
  <si>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</si>
  <si>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</si>
  <si>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</si>
  <si>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</si>
  <si>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36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</si>
  <si>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</si>
  <si>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</si>
  <si>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</si>
  <si>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</si>
  <si>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</si>
  <si>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</si>
  <si>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</si>
  <si>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</si>
  <si>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</si>
  <si>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</si>
  <si>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</si>
  <si>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</si>
  <si>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Dental practice financial model (growing)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</si>
  <si>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</si>
  <si>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</si>
  <si>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</si>
  <si>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</si>
  <si>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</si>
  <si>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</si>
  <si>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</si>
  <si>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</si>
  <si>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</si>
  <si>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</si>
  <si>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</si>
  <si>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</si>
  <si>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</si>
  <si>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</si>
  <si>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</si>
  <si>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Dental practice metrics ($'000; per-unit rows in $)</t>
  </si>
  <si>
    <t xml:space="preserve">New patients in the year</t>
  </si>
  <si>
    <t xml:space="preserve">Patients lost in the year</t>
  </si>
  <si>
    <t xml:space="preserve">Marketing spend</t>
  </si>
  <si>
    <t xml:space="preserve">New patients from marketing</t>
  </si>
  <si>
    <t xml:space="preserve">Doctor visits</t>
  </si>
  <si>
    <t xml:space="preserve">Doctor visit capacity</t>
  </si>
  <si>
    <t xml:space="preserve">Doctor chair utilisation (visits ÷ capacity)</t>
  </si>
  <si>
    <t xml:space="preserve">Hygiene visits</t>
  </si>
  <si>
    <t xml:space="preserve">Hygiene visit capacity</t>
  </si>
  <si>
    <t xml:space="preserve">Hygiene utilisation (visits ÷ capacity)</t>
  </si>
  <si>
    <t xml:space="preserve">Gross production</t>
  </si>
  <si>
    <t xml:space="preserve">Hygiene production</t>
  </si>
  <si>
    <t xml:space="preserve">Hygiene share of production</t>
  </si>
  <si>
    <t xml:space="preserve">Production per visit (doctor and hygiene) ($)</t>
  </si>
  <si>
    <t xml:space="preserve">Collections (revenue)</t>
  </si>
  <si>
    <t xml:space="preserve">Collections ÷ gross production</t>
  </si>
  <si>
    <t xml:space="preserve">Collections per active patient (year-end base) ($)</t>
  </si>
  <si>
    <t xml:space="preserve">Collections per doctor operatory</t>
  </si>
  <si>
    <t xml:space="preserve">Gross profit (after supplies, lab and card fees)</t>
  </si>
  <si>
    <t xml:space="preserve">EBITDA (after owner-dentist pay)</t>
  </si>
  <si>
    <t xml:space="preserve">Collections per square foot ($)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</si>
  <si>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</si>
  <si>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</si>
  <si>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</si>
  <si>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</si>
  <si>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Chairs &amp; schedule</t>
  </si>
  <si>
    <t xml:space="preserve">Doctor operatories (restorative chairs)</t>
  </si>
  <si>
    <t xml:space="preserve">#</t>
  </si>
  <si>
    <t xml:space="preserve">Hygiene operatories</t>
  </si>
  <si>
    <t xml:space="preserve">Doctor visits per operatory per working day</t>
  </si>
  <si>
    <t xml:space="preserve">visits</t>
  </si>
  <si>
    <t xml:space="preserve">Low ≤ Base ≤ High</t>
  </si>
  <si>
    <t xml:space="preserve">Hygiene visits per hygienist per working day</t>
  </si>
  <si>
    <t xml:space="preserve">Working days per month</t>
  </si>
  <si>
    <t xml:space="preserve">days</t>
  </si>
  <si>
    <t xml:space="preserve">Patients</t>
  </si>
  <si>
    <t xml:space="preserve">Active patients at start</t>
  </si>
  <si>
    <t xml:space="preserve">Referral &amp; walk-in new patients per month (year 1)</t>
  </si>
  <si>
    <t xml:space="preserve">Referral &amp; walk-in new patients growth per year</t>
  </si>
  <si>
    <t xml:space="preserve">%</t>
  </si>
  <si>
    <t xml:space="preserve">Marketing budget per month (year 1)</t>
  </si>
  <si>
    <t xml:space="preserve">$</t>
  </si>
  <si>
    <t xml:space="preserve">Marketing budget growth per year</t>
  </si>
  <si>
    <t xml:space="preserve">Marketing cost per new patient</t>
  </si>
  <si>
    <t xml:space="preserve">Low ≥ Base ≥ High (lower is better)</t>
  </si>
  <si>
    <t xml:space="preserve">Active patients lost per month</t>
  </si>
  <si>
    <t xml:space="preserve">Doctor visits per active patient per year</t>
  </si>
  <si>
    <t xml:space="preserve">Hygiene recall visits per active patient per year</t>
  </si>
  <si>
    <t xml:space="preserve">Doctor visits per new patient in the period they join</t>
  </si>
  <si>
    <t xml:space="preserve">Fees</t>
  </si>
  <si>
    <t xml:space="preserve">Production per doctor visit, office fees (year 1)</t>
  </si>
  <si>
    <t xml:space="preserve">Production per hygiene visit, office fees (year 1)</t>
  </si>
  <si>
    <t xml:space="preserve">Fee increase per year</t>
  </si>
  <si>
    <t xml:space="preserve">Insurance &amp; collections</t>
  </si>
  <si>
    <t xml:space="preserve">Production from in-network insurance (PPO) patients</t>
  </si>
  <si>
    <t xml:space="preserve">PPO fee-schedule write-off, % of PPO production</t>
  </si>
  <si>
    <t xml:space="preserve">Production never collected (bad debt), % of net production</t>
  </si>
  <si>
    <t xml:space="preserve">Costs</t>
  </si>
  <si>
    <t xml:space="preserve">Dental supplies, % of gross production</t>
  </si>
  <si>
    <t xml:space="preserve">Lab fees, % of doctor production</t>
  </si>
  <si>
    <t xml:space="preserve">Card &amp; payment processing, % of collections</t>
  </si>
  <si>
    <t xml:space="preserve">Doctor visits seen by associate dentists</t>
  </si>
  <si>
    <t xml:space="preserve">Associate pay, % of the collections they produce</t>
  </si>
  <si>
    <t xml:space="preserve">Utilities &amp; phone per month</t>
  </si>
  <si>
    <t xml:space="preserve">Practice software &amp; IT per month</t>
  </si>
  <si>
    <t xml:space="preserve">Malpractice &amp; liability insurance per month</t>
  </si>
  <si>
    <t xml:space="preserve">Equipment maintenance, cleaning &amp; compliance per month</t>
  </si>
  <si>
    <t xml:space="preserve">Other G&amp;A per month (accounting, legal, licences, CE)</t>
  </si>
  <si>
    <t xml:space="preserve">Space</t>
  </si>
  <si>
    <t xml:space="preserve">Practice size</t>
  </si>
  <si>
    <t xml:space="preserve">sq ft</t>
  </si>
  <si>
    <t xml:space="preserve">Rent per sq ft per year (incl. CAM)</t>
  </si>
  <si>
    <t xml:space="preserve">Capex</t>
  </si>
  <si>
    <t xml:space="preserve">Fit-out cost per sq ft, net of landlord allowance (month 1)</t>
  </si>
  <si>
    <t xml:space="preserve">Equipment per operatory (chair, unit, light, cabinetry)</t>
  </si>
  <si>
    <t xml:space="preserve">Operatories already equipped at start</t>
  </si>
  <si>
    <t xml:space="preserve">Imaging &amp; IT (x-ray, panoramic / CBCT, scanner) (month 1)</t>
  </si>
  <si>
    <t xml:space="preserve">Equipment refresh &amp; technology, % of collections</t>
  </si>
  <si>
    <t xml:space="preserve">Headcount</t>
  </si>
  <si>
    <t xml:space="preserve">Owner dentist: headcount (FTE)</t>
  </si>
  <si>
    <t xml:space="preserve">FTE</t>
  </si>
  <si>
    <t xml:space="preserve">Owner dentist: salary per FTE per year</t>
  </si>
  <si>
    <t xml:space="preserve">Owner dentist: headcount growth per year</t>
  </si>
  <si>
    <t xml:space="preserve">Owner dentist: first month on payroll</t>
  </si>
  <si>
    <t xml:space="preserve">month #</t>
  </si>
  <si>
    <t xml:space="preserve">Hygienists: headcount (FTE)</t>
  </si>
  <si>
    <t xml:space="preserve">Hygienists: salary per FTE per year</t>
  </si>
  <si>
    <t xml:space="preserve">Hygienists: headcount growth per year</t>
  </si>
  <si>
    <t xml:space="preserve">Hygienists: first month on payroll</t>
  </si>
  <si>
    <t xml:space="preserve">Dental assistants: headcount (FTE)</t>
  </si>
  <si>
    <t xml:space="preserve">Dental assistants: salary per FTE per year</t>
  </si>
  <si>
    <t xml:space="preserve">Dental assistants: headcount growth per year</t>
  </si>
  <si>
    <t xml:space="preserve">Dental assistants: first month on payroll</t>
  </si>
  <si>
    <t xml:space="preserve">Front desk: headcount (FTE)</t>
  </si>
  <si>
    <t xml:space="preserve">Front desk: salary per FTE per year</t>
  </si>
  <si>
    <t xml:space="preserve">Front desk: headcount growth per year</t>
  </si>
  <si>
    <t xml:space="preserve">Front desk: first month on payroll</t>
  </si>
  <si>
    <t xml:space="preserve">Office manager: headcount (FTE)</t>
  </si>
  <si>
    <t xml:space="preserve">Office manager: salary per FTE per year</t>
  </si>
  <si>
    <t xml:space="preserve">Office manager: headcount growth per year</t>
  </si>
  <si>
    <t xml:space="preserve">Office manager: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</si>
  <si>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</si>
  <si>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</si>
  <si>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</si>
  <si>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</si>
  <si>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</si>
  <si>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</si>
  <si>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</si>
  <si>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</si>
  <si>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</si>
  <si>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</si>
  <si>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</si>
  <si>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</si>
  <si>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</si>
  <si>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</si>
  <si>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</si>
  <si>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</si>
  <si>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</si>
  <si>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</si>
  <si>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</si>
  <si>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</si>
  <si>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</si>
  <si>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</si>
  <si>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</si>
  <si>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</si>
  <si>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Staff payroll (owner dentist, hygienists, assistants, front desk, office manager)</t>
  </si>
  <si>
    <t xml:space="preserve">Associate dentists (% of the collections they produce)</t>
  </si>
  <si>
    <t xml:space="preserve">Marketing</t>
  </si>
  <si>
    <t xml:space="preserve">Rent</t>
  </si>
  <si>
    <t xml:space="preserve">Utilities &amp; phone</t>
  </si>
  <si>
    <t xml:space="preserve">Practice software &amp; IT</t>
  </si>
  <si>
    <t xml:space="preserve">Malpractice &amp; liability insurance</t>
  </si>
  <si>
    <t xml:space="preserve">Equipment maintenance, cleaning &amp; compliance</t>
  </si>
  <si>
    <t xml:space="preserve">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</si>
  <si>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</si>
  <si>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</si>
  <si>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</si>
  <si>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</si>
  <si>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</si>
  <si>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</si>
  <si>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</si>
  <si>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</si>
  <si>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</si>
  <si>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</si>
  <si>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</si>
  <si>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</si>
  <si>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</si>
  <si>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</si>
  <si>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</si>
  <si>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</si>
  <si>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</si>
  <si>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</si>
  <si>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</si>
  <si>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</si>
  <si>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</si>
  <si>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</si>
  <si>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</si>
  <si>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</si>
  <si>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</si>
  <si>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</si>
  <si>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</si>
  <si>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</si>
  <si>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</si>
  <si>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</si>
  <si>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</si>
  <si>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</si>
  <si>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</si>
  <si>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</si>
  <si>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</si>
  <si>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</si>
  <si>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</si>
  <si>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</si>
  <si>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</si>
  <si>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</si>
  <si>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</si>
  <si>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</si>
  <si>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</si>
  <si>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</si>
  <si>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</si>
  <si>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</si>
  <si>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New patients from referrals &amp; walk-ins</t>
  </si>
  <si>
    <t xml:space="preserve">New patients — total</t>
  </si>
  <si>
    <t xml:space="preserve">Active patients — opening</t>
  </si>
  <si>
    <t xml:space="preserve">Patients lost</t>
  </si>
  <si>
    <t xml:space="preserve">Active patients — closing</t>
  </si>
  <si>
    <t xml:space="preserve">Active patients — average</t>
  </si>
  <si>
    <t xml:space="preserve">Visits</t>
  </si>
  <si>
    <t xml:space="preserve">Doctor visit capacity (operatories × visits per chair-day × working days)</t>
  </si>
  <si>
    <t xml:space="preserve">Doctor visits demanded</t>
  </si>
  <si>
    <t xml:space="preserve">Doctor visits (demand capped by chairs)</t>
  </si>
  <si>
    <t xml:space="preserve">Hygienists (FTE)</t>
  </si>
  <si>
    <t xml:space="preserve">Hygiene visit capacity (hygienists, up to hygiene rooms, × visits per day × working days)</t>
  </si>
  <si>
    <t xml:space="preserve">Hygiene recall visits demanded</t>
  </si>
  <si>
    <t xml:space="preserve">Hygiene visits (demand capped by hygienists)</t>
  </si>
  <si>
    <t xml:space="preserve">Production &amp; collections</t>
  </si>
  <si>
    <t xml:space="preserve">Doctor production (office fees)</t>
  </si>
  <si>
    <t xml:space="preserve">Hygiene production (office fees)</t>
  </si>
  <si>
    <t xml:space="preserve">PPO fee-schedule write-offs</t>
  </si>
  <si>
    <t xml:space="preserve">Bad debt (never collected)</t>
  </si>
  <si>
    <t xml:space="preserve">Dental supplies</t>
  </si>
  <si>
    <t xml:space="preserve">Lab fees</t>
  </si>
  <si>
    <t xml:space="preserve">Card &amp; payment processing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</si>
  <si>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</si>
  <si>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</si>
  <si>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</si>
  <si>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</si>
  <si>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</si>
  <si>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(fit-out, operatories, imaging at start; then equipment refresh)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</si>
  <si>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</si>
  <si>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</si>
  <si>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</si>
  <si>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</si>
  <si>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</si>
  <si>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</si>
  <si>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</si>
  <si>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</si>
  <si>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</si>
  <si>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</si>
  <si>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</si>
  <si>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</si>
  <si>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</si>
  <si>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</si>
  <si>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</si>
  <si>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</si>
  <si>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</si>
  <si>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</si>
  <si>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</si>
  <si>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</si>
  <si>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Owner dentist — FTE</t>
  </si>
  <si>
    <t xml:space="preserve">Hygienists — FTE</t>
  </si>
  <si>
    <t xml:space="preserve">Dental assistants — FTE</t>
  </si>
  <si>
    <t xml:space="preserve">Front desk — FTE</t>
  </si>
  <si>
    <t xml:space="preserve">Office manager — FTE</t>
  </si>
  <si>
    <t xml:space="preserve">Total FTE</t>
  </si>
  <si>
    <t xml:space="preserve">Payroll cost (salary + taxes &amp; benefits)</t>
  </si>
  <si>
    <t xml:space="preserve">Owner dentist — payroll cost</t>
  </si>
  <si>
    <t xml:space="preserve">Hygienists — payroll cost</t>
  </si>
  <si>
    <t xml:space="preserve">Dental assistants — payroll cost</t>
  </si>
  <si>
    <t xml:space="preserve">Front desk — payroll cost</t>
  </si>
  <si>
    <t xml:space="preserve">Office manager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</si>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</sst>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;\(#,##0\);\-"/>
    <numFmt numFmtId="184" formatCode="\$#,##0.00;&quot;($&quot;#,##0.00\);\-"/>
    <numFmt numFmtId="185" formatCode="#,##0.0;\(#,##0.0\);\-"/>
    <numFmt numFmtId="186" formatCode="\$#,##0;&quot;($&quot;#,##0\);\-"/>
    <numFmt numFmtId="187" formatCode="0"/>
    <numFmt numFmtId="188" formatCode="0.0%;\(0.0%\);\-"/>
    <numFmt numFmtId="189" formatCode="0.0\x"/>
    <numFmt numFmtId="190" formatCode="0.000"/>
    <numFmt numFmtId="191" formatCode="0.0\x;\(0.0&quot;x)&quot;;\-"/>
    <numFmt numFmtId="192" formatCode="\$#,##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1975300.08293807</c:v>
                </c:pt>
                <c:pt idx="1">
                  <c:v>2149133.33248285</c:v>
                </c:pt>
                <c:pt idx="2">
                  <c:v>2337329.1411336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303132.525076608</c:v>
                </c:pt>
                <c:pt idx="1">
                  <c:v>373324.913679101</c:v>
                </c:pt>
                <c:pt idx="2">
                  <c:v>449902.758061944</c:v>
                </c:pt>
              </c:numCache>
            </c:numRef>
          </c:val>
        </c:ser>
        <c:gapWidth val="60"/>
        <c:overlap val="0"/>
        <c:axId val="12986617"/>
        <c:axId val="75973614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0.153461505770671</c:v>
                </c:pt>
                <c:pt idx="1">
                  <c:v>0.17370951724424</c:v>
                </c:pt>
                <c:pt idx="2">
                  <c:v>0.192485837849838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034279"/>
        <c:axId val="57807383"/>
      </c:lineChart>
      <c:catAx>
        <c:axId val="1298661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5973614"/>
        <c:crosses val="autoZero"/>
        <c:auto val="1"/>
        <c:lblAlgn val="ctr"/>
        <c:lblOffset val="100"/>
        <c:noMultiLvlLbl val="0"/>
      </c:catAx>
      <c:valAx>
        <c:axId val="7597361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2986617"/>
        <c:crosses val="autoZero"/>
        <c:crossBetween val="between"/>
      </c:valAx>
      <c:catAx>
        <c:axId val="56034279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807383"/>
        <c:crosses val="autoZero"/>
        <c:auto val="1"/>
        <c:lblAlgn val="ctr"/>
        <c:lblOffset val="100"/>
        <c:noMultiLvlLbl val="0"/>
      </c:catAx>
      <c:valAx>
        <c:axId val="5780738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603427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147060.422837851</c:v>
                </c:pt>
                <c:pt idx="1">
                  <c:v>282618.635265625</c:v>
                </c:pt>
                <c:pt idx="2">
                  <c:v>344946.127551388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-89629.5012440711</c:v>
                </c:pt>
                <c:pt idx="1">
                  <c:v>-32236.9999872427</c:v>
                </c:pt>
                <c:pt idx="2">
                  <c:v>-35059.937117004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230357.142857143</c:v>
                </c:pt>
                <c:pt idx="1">
                  <c:v>-21428.5714285714</c:v>
                </c:pt>
                <c:pt idx="2">
                  <c:v>-21428.5714285714</c:v>
                </c:pt>
              </c:numCache>
            </c:numRef>
          </c:val>
        </c:ser>
        <c:gapWidth val="60"/>
        <c:overlap val="0"/>
        <c:axId val="12461450"/>
        <c:axId val="11988991"/>
      </c:barChart>
      <c:catAx>
        <c:axId val="1246145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988991"/>
        <c:crosses val="autoZero"/>
        <c:auto val="1"/>
        <c:lblAlgn val="ctr"/>
        <c:lblOffset val="100"/>
        <c:noMultiLvlLbl val="0"/>
      </c:catAx>
      <c:valAx>
        <c:axId val="1198899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24614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287788.064450923</c:v>
                </c:pt>
                <c:pt idx="1">
                  <c:v>516741.128300734</c:v>
                </c:pt>
                <c:pt idx="2">
                  <c:v>805198.747306546</c:v>
                </c:pt>
              </c:numCache>
            </c:numRef>
          </c:val>
        </c:ser>
        <c:gapWidth val="60"/>
        <c:overlap val="0"/>
        <c:axId val="37162659"/>
        <c:axId val="28405520"/>
      </c:barChart>
      <c:catAx>
        <c:axId val="3716265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405520"/>
        <c:crosses val="autoZero"/>
        <c:auto val="1"/>
        <c:lblAlgn val="ctr"/>
        <c:lblOffset val="100"/>
        <c:noMultiLvlLbl val="0"/>
      </c:catAx>
      <c:valAx>
        <c:axId val="2840552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1626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Active patients &amp; doctor chair utilisation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Active patients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#,##0;\(#,##0\);\-</c:formatCode>
                <c:ptCount val="3"/>
                <c:pt idx="0">
                  <c:v>3170.47280536799</c:v>
                </c:pt>
                <c:pt idx="1">
                  <c:v>3348.95094761616</c:v>
                </c:pt>
                <c:pt idx="2">
                  <c:v>3536.07546323552</c:v>
                </c:pt>
              </c:numCache>
            </c:numRef>
          </c:val>
        </c:ser>
        <c:gapWidth val="60"/>
        <c:overlap val="0"/>
        <c:axId val="56316488"/>
        <c:axId val="31369928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Doctor chair utilisation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Dashboard!$B$29:$D$29</c:f>
              <c:numCache>
                <c:formatCode>0.0%;\(0.0%\);\-</c:formatCode>
                <c:ptCount val="3"/>
                <c:pt idx="0">
                  <c:v>0.817663070333195</c:v>
                </c:pt>
                <c:pt idx="1">
                  <c:v>0.86358429492268</c:v>
                </c:pt>
                <c:pt idx="2">
                  <c:v>0.911747388701122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683721"/>
        <c:axId val="26320917"/>
      </c:lineChart>
      <c:catAx>
        <c:axId val="5631648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369928"/>
        <c:crosses val="autoZero"/>
        <c:auto val="1"/>
        <c:lblAlgn val="ctr"/>
        <c:lblOffset val="100"/>
        <c:noMultiLvlLbl val="0"/>
      </c:catAx>
      <c:valAx>
        <c:axId val="3136992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6316488"/>
        <c:crosses val="autoZero"/>
        <c:crossBetween val="between"/>
      </c:valAx>
      <c:catAx>
        <c:axId val="49683721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320917"/>
        <c:crosses val="autoZero"/>
        <c:auto val="1"/>
        <c:lblAlgn val="ctr"/>
        <c:lblOffset val="100"/>
        <c:noMultiLvlLbl val="0"/>
      </c:catAx>
      <c:valAx>
        <c:axId val="263209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68372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160761.968507812</c:v>
                </c:pt>
                <c:pt idx="1">
                  <c:v>161494.437719953</c:v>
                </c:pt>
                <c:pt idx="2">
                  <c:v>162216.652363124</c:v>
                </c:pt>
                <c:pt idx="3">
                  <c:v>162928.75600129</c:v>
                </c:pt>
                <c:pt idx="4">
                  <c:v>163630.890188522</c:v>
                </c:pt>
                <c:pt idx="5">
                  <c:v>164323.194497133</c:v>
                </c:pt>
                <c:pt idx="6">
                  <c:v>165005.806545423</c:v>
                </c:pt>
                <c:pt idx="7">
                  <c:v>165678.862025037</c:v>
                </c:pt>
                <c:pt idx="8">
                  <c:v>166342.494727936</c:v>
                </c:pt>
                <c:pt idx="9">
                  <c:v>166996.836572995</c:v>
                </c:pt>
                <c:pt idx="10">
                  <c:v>167642.017632223</c:v>
                </c:pt>
                <c:pt idx="11">
                  <c:v>168278.166156622</c:v>
                </c:pt>
              </c:numCache>
            </c:numRef>
          </c:val>
        </c:ser>
        <c:gapWidth val="60"/>
        <c:overlap val="0"/>
        <c:axId val="91527955"/>
        <c:axId val="45806600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22188.2597272812</c:v>
                </c:pt>
                <c:pt idx="1">
                  <c:v>22773.4136985443</c:v>
                </c:pt>
                <c:pt idx="2">
                  <c:v>23350.3755142097</c:v>
                </c:pt>
                <c:pt idx="3">
                  <c:v>23919.2598644558</c:v>
                </c:pt>
                <c:pt idx="4">
                  <c:v>24480.1798337984</c:v>
                </c:pt>
                <c:pt idx="5">
                  <c:v>25033.2469235702</c:v>
                </c:pt>
                <c:pt idx="6">
                  <c:v>25578.5710740852</c:v>
                </c:pt>
                <c:pt idx="7">
                  <c:v>26116.260686493</c:v>
                </c:pt>
                <c:pt idx="8">
                  <c:v>26646.4226443271</c:v>
                </c:pt>
                <c:pt idx="9">
                  <c:v>27169.1623347516</c:v>
                </c:pt>
                <c:pt idx="10">
                  <c:v>27684.58366951</c:v>
                </c:pt>
                <c:pt idx="11">
                  <c:v>28192.7891055819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16102.3855497091</c:v>
                </c:pt>
                <c:pt idx="1">
                  <c:v>16546.8712157333</c:v>
                </c:pt>
                <c:pt idx="2">
                  <c:v>16989.7794747459</c:v>
                </c:pt>
                <c:pt idx="3">
                  <c:v>17426.2060785996</c:v>
                </c:pt>
                <c:pt idx="4">
                  <c:v>17856.2417704668</c:v>
                </c:pt>
                <c:pt idx="5">
                  <c:v>18279.9760231152</c:v>
                </c:pt>
                <c:pt idx="6">
                  <c:v>18697.4970566939</c:v>
                </c:pt>
                <c:pt idx="7">
                  <c:v>19108.8918562699</c:v>
                </c:pt>
                <c:pt idx="8">
                  <c:v>19514.2461891193</c:v>
                </c:pt>
                <c:pt idx="9">
                  <c:v>19913.6446217761</c:v>
                </c:pt>
                <c:pt idx="10">
                  <c:v>20307.1705368431</c:v>
                </c:pt>
                <c:pt idx="11">
                  <c:v>20694.9061495666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527955"/>
        <c:axId val="45806600"/>
      </c:lineChart>
      <c:catAx>
        <c:axId val="91527955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806600"/>
        <c:crosses val="autoZero"/>
        <c:auto val="1"/>
        <c:lblAlgn val="ctr"/>
        <c:lblOffset val="100"/>
        <c:noMultiLvlLbl val="0"/>
      </c:catAx>
      <c:valAx>
        <c:axId val="4580660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5279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-64556.3520084263</c:v>
                </c:pt>
                <c:pt idx="1">
                  <c:v>16946.2011055272</c:v>
                </c:pt>
                <c:pt idx="2">
                  <c:v>17423.2916464488</c:v>
                </c:pt>
                <c:pt idx="3">
                  <c:v>17893.9546832597</c:v>
                </c:pt>
                <c:pt idx="4">
                  <c:v>18358.2802010174</c:v>
                </c:pt>
                <c:pt idx="5">
                  <c:v>18816.3569249889</c:v>
                </c:pt>
                <c:pt idx="6">
                  <c:v>19268.272338287</c:v>
                </c:pt>
                <c:pt idx="7">
                  <c:v>19714.1126992611</c:v>
                </c:pt>
                <c:pt idx="8">
                  <c:v>20153.9630586439</c:v>
                </c:pt>
                <c:pt idx="9">
                  <c:v>20587.9072764576</c:v>
                </c:pt>
                <c:pt idx="10">
                  <c:v>21016.0280386842</c:v>
                </c:pt>
                <c:pt idx="11">
                  <c:v>21438.4068737018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-62411.4295276172</c:v>
                </c:pt>
                <c:pt idx="1">
                  <c:v>-2422.4165657993</c:v>
                </c:pt>
                <c:pt idx="2">
                  <c:v>-2433.24978544686</c:v>
                </c:pt>
                <c:pt idx="3">
                  <c:v>-2443.93134001935</c:v>
                </c:pt>
                <c:pt idx="4">
                  <c:v>-2454.46335282783</c:v>
                </c:pt>
                <c:pt idx="5">
                  <c:v>-2464.84791745699</c:v>
                </c:pt>
                <c:pt idx="6">
                  <c:v>-2475.08709818134</c:v>
                </c:pt>
                <c:pt idx="7">
                  <c:v>-2485.18293037555</c:v>
                </c:pt>
                <c:pt idx="8">
                  <c:v>-2495.13742091905</c:v>
                </c:pt>
                <c:pt idx="9">
                  <c:v>-2504.95254859493</c:v>
                </c:pt>
                <c:pt idx="10">
                  <c:v>-2514.63026448335</c:v>
                </c:pt>
                <c:pt idx="11">
                  <c:v>-2524.17249234933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250000</c:v>
                </c:pt>
                <c:pt idx="1">
                  <c:v>-1785.71428571429</c:v>
                </c:pt>
                <c:pt idx="2">
                  <c:v>-1785.71428571429</c:v>
                </c:pt>
                <c:pt idx="3">
                  <c:v>-1785.71428571429</c:v>
                </c:pt>
                <c:pt idx="4">
                  <c:v>-1785.71428571429</c:v>
                </c:pt>
                <c:pt idx="5">
                  <c:v>-1785.71428571429</c:v>
                </c:pt>
                <c:pt idx="6">
                  <c:v>-1785.71428571429</c:v>
                </c:pt>
                <c:pt idx="7">
                  <c:v>-1785.71428571429</c:v>
                </c:pt>
                <c:pt idx="8">
                  <c:v>-1785.71428571429</c:v>
                </c:pt>
                <c:pt idx="9">
                  <c:v>-1785.71428571429</c:v>
                </c:pt>
                <c:pt idx="10">
                  <c:v>-1785.71428571429</c:v>
                </c:pt>
                <c:pt idx="11">
                  <c:v>-1785.71428571429</c:v>
                </c:pt>
              </c:numCache>
            </c:numRef>
          </c:val>
        </c:ser>
        <c:gapWidth val="60"/>
        <c:overlap val="0"/>
        <c:axId val="94323133"/>
        <c:axId val="58660461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123032.218463956</c:v>
                </c:pt>
                <c:pt idx="1">
                  <c:v>135770.28871797</c:v>
                </c:pt>
                <c:pt idx="2">
                  <c:v>148974.616293258</c:v>
                </c:pt>
                <c:pt idx="3">
                  <c:v>162638.925350784</c:v>
                </c:pt>
                <c:pt idx="4">
                  <c:v>176757.027913259</c:v>
                </c:pt>
                <c:pt idx="5">
                  <c:v>191322.822635077</c:v>
                </c:pt>
                <c:pt idx="6">
                  <c:v>206330.293589468</c:v>
                </c:pt>
                <c:pt idx="7">
                  <c:v>221773.509072639</c:v>
                </c:pt>
                <c:pt idx="8">
                  <c:v>237646.62042465</c:v>
                </c:pt>
                <c:pt idx="9">
                  <c:v>253943.860866798</c:v>
                </c:pt>
                <c:pt idx="10">
                  <c:v>270659.544355285</c:v>
                </c:pt>
                <c:pt idx="11">
                  <c:v>287788.064450923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628279"/>
        <c:axId val="87405243"/>
      </c:lineChart>
      <c:catAx>
        <c:axId val="94323133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660461"/>
        <c:crosses val="autoZero"/>
        <c:auto val="1"/>
        <c:lblAlgn val="ctr"/>
        <c:lblOffset val="100"/>
        <c:noMultiLvlLbl val="0"/>
      </c:catAx>
      <c:valAx>
        <c:axId val="5866046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323133"/>
        <c:crosses val="autoZero"/>
        <c:crossBetween val="between"/>
      </c:valAx>
      <c:catAx>
        <c:axId val="15628279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7405243"/>
        <c:crosses val="autoZero"/>
        <c:auto val="1"/>
        <c:lblAlgn val="ctr"/>
        <c:lblOffset val="100"/>
        <c:noMultiLvlLbl val="0"/>
      </c:catAx>
      <c:valAx>
        <c:axId val="87405243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562827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123032.218463956</c:v>
                </c:pt>
                <c:pt idx="1">
                  <c:v>135770.28871797</c:v>
                </c:pt>
                <c:pt idx="2">
                  <c:v>148974.616293258</c:v>
                </c:pt>
                <c:pt idx="3">
                  <c:v>162638.925350784</c:v>
                </c:pt>
                <c:pt idx="4">
                  <c:v>176757.027913259</c:v>
                </c:pt>
                <c:pt idx="5">
                  <c:v>191322.822635077</c:v>
                </c:pt>
                <c:pt idx="6">
                  <c:v>206330.293589468</c:v>
                </c:pt>
                <c:pt idx="7">
                  <c:v>221773.509072639</c:v>
                </c:pt>
                <c:pt idx="8">
                  <c:v>237646.62042465</c:v>
                </c:pt>
                <c:pt idx="9">
                  <c:v>253943.860866798</c:v>
                </c:pt>
                <c:pt idx="10">
                  <c:v>270659.544355285</c:v>
                </c:pt>
                <c:pt idx="11">
                  <c:v>287788.064450923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91098.4488210937</c:v>
                </c:pt>
                <c:pt idx="1">
                  <c:v>91513.5147079734</c:v>
                </c:pt>
                <c:pt idx="2">
                  <c:v>91922.7696724368</c:v>
                </c:pt>
                <c:pt idx="3">
                  <c:v>92326.2950673977</c:v>
                </c:pt>
                <c:pt idx="4">
                  <c:v>92724.1711068291</c:v>
                </c:pt>
                <c:pt idx="5">
                  <c:v>93116.4768817085</c:v>
                </c:pt>
                <c:pt idx="6">
                  <c:v>93503.2903757396</c:v>
                </c:pt>
                <c:pt idx="7">
                  <c:v>93884.6884808543</c:v>
                </c:pt>
                <c:pt idx="8">
                  <c:v>94260.7470124973</c:v>
                </c:pt>
                <c:pt idx="9">
                  <c:v>94631.5407246973</c:v>
                </c:pt>
                <c:pt idx="10">
                  <c:v>94997.1433249266</c:v>
                </c:pt>
                <c:pt idx="11">
                  <c:v>95357.6274887526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61668.4363189551</c:v>
                </c:pt>
                <c:pt idx="1">
                  <c:v>63319.0213836423</c:v>
                </c:pt>
                <c:pt idx="2">
                  <c:v>64951.4724086265</c:v>
                </c:pt>
                <c:pt idx="3">
                  <c:v>66565.5105674687</c:v>
                </c:pt>
                <c:pt idx="4">
                  <c:v>68160.8609372999</c:v>
                </c:pt>
                <c:pt idx="5">
                  <c:v>69737.2524441716</c:v>
                </c:pt>
                <c:pt idx="6">
                  <c:v>71294.4178091702</c:v>
                </c:pt>
                <c:pt idx="7">
                  <c:v>72832.0934952872</c:v>
                </c:pt>
                <c:pt idx="8">
                  <c:v>74350.0196550319</c:v>
                </c:pt>
                <c:pt idx="9">
                  <c:v>75847.9400787787</c:v>
                </c:pt>
                <c:pt idx="10">
                  <c:v>77325.6021438368</c:v>
                </c:pt>
                <c:pt idx="11">
                  <c:v>78782.7567642329</c:v>
                </c:pt>
              </c:numCache>
            </c:numRef>
          </c:val>
        </c:ser>
        <c:gapWidth val="60"/>
        <c:overlap val="100"/>
        <c:axId val="58270227"/>
        <c:axId val="47600613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116102.385549709</c:v>
                </c:pt>
                <c:pt idx="1">
                  <c:v>132649.256765442</c:v>
                </c:pt>
                <c:pt idx="2">
                  <c:v>149639.036240188</c:v>
                </c:pt>
                <c:pt idx="3">
                  <c:v>167065.242318788</c:v>
                </c:pt>
                <c:pt idx="4">
                  <c:v>184921.484089255</c:v>
                </c:pt>
                <c:pt idx="5">
                  <c:v>203201.46011237</c:v>
                </c:pt>
                <c:pt idx="6">
                  <c:v>221898.957169064</c:v>
                </c:pt>
                <c:pt idx="7">
                  <c:v>241007.849025334</c:v>
                </c:pt>
                <c:pt idx="8">
                  <c:v>260522.095214453</c:v>
                </c:pt>
                <c:pt idx="9">
                  <c:v>280435.739836229</c:v>
                </c:pt>
                <c:pt idx="10">
                  <c:v>300742.910373072</c:v>
                </c:pt>
                <c:pt idx="11">
                  <c:v>321437.816522639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270227"/>
        <c:axId val="47600613"/>
      </c:lineChart>
      <c:catAx>
        <c:axId val="5827022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600613"/>
        <c:crosses val="autoZero"/>
        <c:auto val="1"/>
        <c:lblAlgn val="ctr"/>
        <c:lblOffset val="100"/>
        <c:noMultiLvlLbl val="0"/>
      </c:catAx>
      <c:valAx>
        <c:axId val="4760061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2702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Scenarios!$B$30:$D$30</c:f>
              <c:numCache>
                <c:formatCode>\$#,##0,;"($"#,##0,\);\-</c:formatCode>
                <c:ptCount val="3"/>
                <c:pt idx="0">
                  <c:v>1565966.26407803</c:v>
                </c:pt>
                <c:pt idx="1">
                  <c:v>1638874.00237245</c:v>
                </c:pt>
                <c:pt idx="2">
                  <c:v>1710590.80659204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Scenarios!$B$31:$D$31</c:f>
              <c:numCache>
                <c:formatCode>\$#,##0,;"($"#,##0,\);\-</c:formatCode>
                <c:ptCount val="3"/>
                <c:pt idx="0">
                  <c:v>1975300.08293807</c:v>
                </c:pt>
                <c:pt idx="1">
                  <c:v>2149133.33248285</c:v>
                </c:pt>
                <c:pt idx="2">
                  <c:v>2337329.1411336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Scenarios!$B$32:$D$32</c:f>
              <c:numCache>
                <c:formatCode>\$#,##0,;"($"#,##0,\);\-</c:formatCode>
                <c:ptCount val="3"/>
                <c:pt idx="0">
                  <c:v>2442863.92682416</c:v>
                </c:pt>
                <c:pt idx="1">
                  <c:v>2741785.98542089</c:v>
                </c:pt>
                <c:pt idx="2">
                  <c:v>2956070.43755502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557143"/>
        <c:axId val="28226559"/>
      </c:lineChart>
      <c:catAx>
        <c:axId val="6155714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226559"/>
        <c:crosses val="autoZero"/>
        <c:auto val="1"/>
        <c:lblAlgn val="ctr"/>
        <c:lblOffset val="100"/>
        <c:noMultiLvlLbl val="0"/>
      </c:catAx>
      <c:valAx>
        <c:axId val="2822655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5571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Scenarios!$B$36:$D$36</c:f>
              <c:numCache>
                <c:formatCode>\$#,##0,;"($"#,##0,\);\-</c:formatCode>
                <c:ptCount val="3"/>
                <c:pt idx="0">
                  <c:v>-68678.9607045553</c:v>
                </c:pt>
                <c:pt idx="1">
                  <c:v>-75580.5092517528</c:v>
                </c:pt>
                <c:pt idx="2">
                  <c:v>-88156.9879438264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Scenarios!$B$37:$D$37</c:f>
              <c:numCache>
                <c:formatCode>\$#,##0,;"($"#,##0,\);\-</c:formatCode>
                <c:ptCount val="3"/>
                <c:pt idx="0">
                  <c:v>303132.525076608</c:v>
                </c:pt>
                <c:pt idx="1">
                  <c:v>373324.913679101</c:v>
                </c:pt>
                <c:pt idx="2">
                  <c:v>449902.758061944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Scenarios!$B$38:$D$38</c:f>
              <c:numCache>
                <c:formatCode>\$#,##0,;"($"#,##0,\);\-</c:formatCode>
                <c:ptCount val="3"/>
                <c:pt idx="0">
                  <c:v>732453.683829994</c:v>
                </c:pt>
                <c:pt idx="1">
                  <c:v>901235.528280804</c:v>
                </c:pt>
                <c:pt idx="2">
                  <c:v>1003994.8932964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231344"/>
        <c:axId val="84692346"/>
      </c:lineChart>
      <c:catAx>
        <c:axId val="4523134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692346"/>
        <c:crosses val="autoZero"/>
        <c:auto val="1"/>
        <c:lblAlgn val="ctr"/>
        <c:lblOffset val="100"/>
        <c:noMultiLvlLbl val="0"/>
      </c:catAx>
      <c:valAx>
        <c:axId val="8469234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2313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Scenarios!$B$42:$D$42</c:f>
              <c:numCache>
                <c:formatCode>\$#,##0,;"($"#,##0,\);\-</c:formatCode>
                <c:ptCount val="3"/>
                <c:pt idx="0">
                  <c:v>-91045.5376077874</c:v>
                </c:pt>
                <c:pt idx="1">
                  <c:v>-99572.7911819788</c:v>
                </c:pt>
                <c:pt idx="2">
                  <c:v>-113923.381579995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Scenarios!$B$43:$D$43</c:f>
              <c:numCache>
                <c:formatCode>\$#,##0,;"($"#,##0,\);\-</c:formatCode>
                <c:ptCount val="3"/>
                <c:pt idx="0">
                  <c:v>221437.816522639</c:v>
                </c:pt>
                <c:pt idx="1">
                  <c:v>274821.515995506</c:v>
                </c:pt>
                <c:pt idx="2">
                  <c:v>332947.384369415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Scenarios!$B$44:$D$44</c:f>
              <c:numCache>
                <c:formatCode>\$#,##0,;"($"#,##0,\);\-</c:formatCode>
                <c:ptCount val="3"/>
                <c:pt idx="0">
                  <c:v>560178.806844313</c:v>
                </c:pt>
                <c:pt idx="1">
                  <c:v>690536.497834734</c:v>
                </c:pt>
                <c:pt idx="2">
                  <c:v>768301.965192565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083181"/>
        <c:axId val="42077658"/>
      </c:lineChart>
      <c:catAx>
        <c:axId val="8808318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077658"/>
        <c:crosses val="autoZero"/>
        <c:auto val="1"/>
        <c:lblAlgn val="ctr"/>
        <c:lblOffset val="100"/>
        <c:noMultiLvlLbl val="0"/>
      </c:catAx>
      <c:valAx>
        <c:axId val="4207765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0831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Scenarios!$B$48:$D$48</c:f>
              <c:numCache>
                <c:formatCode>\$#,##0,;"($"#,##0,\);\-</c:formatCode>
                <c:ptCount val="3"/>
                <c:pt idx="0">
                  <c:v>-21477.5609078337</c:v>
                </c:pt>
                <c:pt idx="1">
                  <c:v>-157203.506160537</c:v>
                </c:pt>
                <c:pt idx="2">
                  <c:v>-304710.093010852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Scenarios!$B$49:$D$49</c:f>
              <c:numCache>
                <c:formatCode>\$#,##0,;"($"#,##0,\);\-</c:formatCode>
                <c:ptCount val="3"/>
                <c:pt idx="0">
                  <c:v>287788.064450923</c:v>
                </c:pt>
                <c:pt idx="1">
                  <c:v>516741.128300734</c:v>
                </c:pt>
                <c:pt idx="2">
                  <c:v>805198.747306546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Scenarios!$B$50:$D$50</c:f>
              <c:numCache>
                <c:formatCode>\$#,##0,;"($"#,##0,\);\-</c:formatCode>
                <c:ptCount val="3"/>
                <c:pt idx="0">
                  <c:v>619234.037284025</c:v>
                </c:pt>
                <c:pt idx="1">
                  <c:v>1254616.89034594</c:v>
                </c:pt>
                <c:pt idx="2">
                  <c:v>1973944.52453288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892444"/>
        <c:axId val="6945658"/>
      </c:lineChart>
      <c:catAx>
        <c:axId val="7989244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45658"/>
        <c:crosses val="autoZero"/>
        <c:auto val="1"/>
        <c:lblAlgn val="ctr"/>
        <c:lblOffset val="100"/>
        <c:noMultiLvlLbl val="0"/>
      </c:catAx>
      <c:valAx>
        <c:axId val="694565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8924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100000</c:v>
                </c:pt>
                <c:pt idx="1">
                  <c:v>150000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0</c:v>
                </c:pt>
                <c:pt idx="1">
                  <c:v>89629.5012440711</c:v>
                </c:pt>
                <c:pt idx="2">
                  <c:v>19642.8571428571</c:v>
                </c:pt>
                <c:pt idx="3">
                  <c:v>287788.064450923</c:v>
                </c:pt>
              </c:numCache>
            </c:numRef>
          </c:val>
        </c:ser>
        <c:gapWidth val="60"/>
        <c:overlap val="0"/>
        <c:axId val="64351274"/>
        <c:axId val="67973462"/>
      </c:barChart>
      <c:catAx>
        <c:axId val="6435127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7973462"/>
        <c:crosses val="autoZero"/>
        <c:auto val="1"/>
        <c:lblAlgn val="ctr"/>
        <c:lblOffset val="100"/>
        <c:noMultiLvlLbl val="0"/>
      </c:catAx>
      <c:valAx>
        <c:axId val="6797346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35127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KPIs!$B$7:$D$7</c:f>
              <c:numCache>
                <c:formatCode>0.0%;\(0.0%\);\-</c:formatCode>
                <c:ptCount val="3"/>
                <c:pt idx="0">
                  <c:v>0.860925357650341</c:v>
                </c:pt>
                <c:pt idx="1">
                  <c:v>0.860935376202008</c:v>
                </c:pt>
                <c:pt idx="2">
                  <c:v>0.860943283895769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KPIs!$B$8:$D$8</c:f>
              <c:numCache>
                <c:formatCode>0.0%;\(0.0%\);\-</c:formatCode>
                <c:ptCount val="3"/>
                <c:pt idx="0">
                  <c:v>0.153461505770671</c:v>
                </c:pt>
                <c:pt idx="1">
                  <c:v>0.17370951724424</c:v>
                </c:pt>
                <c:pt idx="2">
                  <c:v>0.192485837849838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KPIs!$B$9:$D$9</c:f>
              <c:numCache>
                <c:formatCode>0.0%;\(0.0%\);\-</c:formatCode>
                <c:ptCount val="3"/>
                <c:pt idx="0">
                  <c:v>0.112103380359946</c:v>
                </c:pt>
                <c:pt idx="1">
                  <c:v>0.127875507695007</c:v>
                </c:pt>
                <c:pt idx="2">
                  <c:v>0.142447795866669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715286"/>
        <c:axId val="49499098"/>
      </c:lineChart>
      <c:catAx>
        <c:axId val="6071528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499098"/>
        <c:crosses val="autoZero"/>
        <c:auto val="1"/>
        <c:lblAlgn val="ctr"/>
        <c:lblOffset val="100"/>
        <c:noMultiLvlLbl val="0"/>
      </c:catAx>
      <c:valAx>
        <c:axId val="4949909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7152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KPIs!$B$15:$D$15</c:f>
              <c:numCache>
                <c:formatCode>0.0%;\(0.0%\);\-</c:formatCode>
                <c:ptCount val="3"/>
                <c:pt idx="0">
                  <c:v>0.469862227549429</c:v>
                </c:pt>
                <c:pt idx="1">
                  <c:v>0.378341448258183</c:v>
                </c:pt>
                <c:pt idx="2">
                  <c:v>0.320217082646325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KPIs!$B$16:$D$16</c:f>
              <c:numCache>
                <c:formatCode>0.0%;\(0.0%\);\-</c:formatCode>
                <c:ptCount val="3"/>
                <c:pt idx="0">
                  <c:v>0.688897836969481</c:v>
                </c:pt>
                <c:pt idx="1">
                  <c:v>0.460909374508017</c:v>
                </c:pt>
                <c:pt idx="2">
                  <c:v>0.358313579011401</c:v>
                </c:pt>
              </c:numCache>
            </c:numRef>
          </c:val>
        </c:ser>
        <c:gapWidth val="60"/>
        <c:overlap val="0"/>
        <c:axId val="51664474"/>
        <c:axId val="92364257"/>
      </c:barChart>
      <c:catAx>
        <c:axId val="5166447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364257"/>
        <c:crosses val="autoZero"/>
        <c:auto val="1"/>
        <c:lblAlgn val="ctr"/>
        <c:lblOffset val="100"/>
        <c:noMultiLvlLbl val="0"/>
      </c:catAx>
      <c:valAx>
        <c:axId val="9236425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6644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Production per visit and collections ÷ production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KPIs!$A$44</c:f>
              <c:strCache>
                <c:ptCount val="1"/>
                <c:pt idx="0">
                  <c:v>Production per visit (doctor and hygiene) ($)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KPIs!$B$44:$D$44</c:f>
              <c:numCache>
                <c:formatCode>\$#,##0.00;"($"#,##0.00\);\-</c:formatCode>
                <c:ptCount val="3"/>
                <c:pt idx="0">
                  <c:v>262.122567006817</c:v>
                </c:pt>
                <c:pt idx="1">
                  <c:v>269.974138030299</c:v>
                </c:pt>
                <c:pt idx="2">
                  <c:v>278.063520984447</c:v>
                </c:pt>
              </c:numCache>
            </c:numRef>
          </c:val>
        </c:ser>
        <c:gapWidth val="60"/>
        <c:overlap val="0"/>
        <c:axId val="60971607"/>
        <c:axId val="59169346"/>
      </c:barChart>
      <c:lineChart>
        <c:grouping val="standard"/>
        <c:varyColors val="0"/>
        <c:ser>
          <c:idx val="1"/>
          <c:order val="1"/>
          <c:tx>
            <c:strRef>
              <c:f>KPIs!$A$46</c:f>
              <c:strCache>
                <c:ptCount val="1"/>
                <c:pt idx="0">
                  <c:v>Collections ÷ gross production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KPIs!$B$46:$D$46</c:f>
              <c:numCache>
                <c:formatCode>0.0%;\(0.0%\);\-</c:formatCode>
                <c:ptCount val="3"/>
                <c:pt idx="0">
                  <c:v>0.8495625</c:v>
                </c:pt>
                <c:pt idx="1">
                  <c:v>0.8495625</c:v>
                </c:pt>
                <c:pt idx="2">
                  <c:v>0.8495625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539650"/>
        <c:axId val="25004639"/>
      </c:lineChart>
      <c:catAx>
        <c:axId val="6097160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169346"/>
        <c:crosses val="autoZero"/>
        <c:auto val="1"/>
        <c:lblAlgn val="ctr"/>
        <c:lblOffset val="100"/>
        <c:noMultiLvlLbl val="0"/>
      </c:catAx>
      <c:valAx>
        <c:axId val="5916934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971607"/>
        <c:crosses val="autoZero"/>
        <c:crossBetween val="between"/>
      </c:valAx>
      <c:catAx>
        <c:axId val="40539650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004639"/>
        <c:crosses val="autoZero"/>
        <c:auto val="1"/>
        <c:lblAlgn val="ctr"/>
        <c:lblOffset val="100"/>
        <c:noMultiLvlLbl val="0"/>
      </c:catAx>
      <c:valAx>
        <c:axId val="2500463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053965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Doctor and hygiene utilisation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KPIs!$A$37</c:f>
              <c:strCache>
                <c:ptCount val="1"/>
                <c:pt idx="0">
                  <c:v>Doctor chair utilisation (visits ÷ capacity)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KPIs!$B$37:$D$37</c:f>
              <c:numCache>
                <c:formatCode>0.0%;\(0.0%\);\-</c:formatCode>
                <c:ptCount val="3"/>
                <c:pt idx="0">
                  <c:v>0.817663070333195</c:v>
                </c:pt>
                <c:pt idx="1">
                  <c:v>0.86358429492268</c:v>
                </c:pt>
                <c:pt idx="2">
                  <c:v>0.911747388701122</c:v>
                </c:pt>
              </c:numCache>
            </c:numRef>
          </c:val>
        </c:ser>
        <c:ser>
          <c:idx val="1"/>
          <c:order val="1"/>
          <c:tx>
            <c:strRef>
              <c:f>KPIs!$A$40</c:f>
              <c:strCache>
                <c:ptCount val="1"/>
                <c:pt idx="0">
                  <c:v>Hygiene utilisation (visits ÷ capacity)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KPIs!$B$40:$D$40</c:f>
              <c:numCache>
                <c:formatCode>0.0%;\(0.0%\);\-</c:formatCode>
                <c:ptCount val="3"/>
                <c:pt idx="0">
                  <c:v>0.893409157761494</c:v>
                </c:pt>
                <c:pt idx="1">
                  <c:v>0.890496580207473</c:v>
                </c:pt>
                <c:pt idx="2">
                  <c:v>0.887197658962406</c:v>
                </c:pt>
              </c:numCache>
            </c:numRef>
          </c:val>
        </c:ser>
        <c:gapWidth val="60"/>
        <c:overlap val="0"/>
        <c:axId val="26116942"/>
        <c:axId val="18308410"/>
      </c:barChart>
      <c:catAx>
        <c:axId val="2611694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308410"/>
        <c:crosses val="autoZero"/>
        <c:auto val="1"/>
        <c:lblAlgn val="ctr"/>
        <c:lblOffset val="100"/>
        <c:noMultiLvlLbl val="0"/>
      </c:catAx>
      <c:valAx>
        <c:axId val="1830841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1169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66268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17018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66268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17018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2337329.1411336</v>
      </c>
      <c r="B7" s="25"/>
      <c r="C7" s="26" t="n">
        <f aca="false">D17</f>
        <v>0.192485837849838</v>
      </c>
      <c r="D7" s="26"/>
      <c r="E7" s="26"/>
      <c r="F7" s="26"/>
      <c r="H7" s="25" t="n">
        <f aca="false">D18</f>
        <v>332947.384369415</v>
      </c>
      <c r="I7" s="25"/>
      <c r="J7" s="25"/>
      <c r="K7" s="25"/>
      <c r="L7" s="25" t="n">
        <f aca="false">F38</f>
        <v>123032.218463956</v>
      </c>
      <c r="M7" s="25"/>
      <c r="N7" s="25"/>
      <c r="O7" s="25"/>
      <c r="P7" s="25" t="n">
        <f aca="false">F36</f>
        <v>475967.781536044</v>
      </c>
      <c r="Q7" s="25"/>
      <c r="R7" s="25"/>
      <c r="S7" s="25"/>
      <c r="T7" s="25" t="n">
        <f aca="false">F43</f>
        <v>1983726.80451062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0.0877858267404432</v>
      </c>
      <c r="B8" s="27"/>
      <c r="C8" s="28" t="n">
        <f aca="false">D16</f>
        <v>449902.758061944</v>
      </c>
      <c r="D8" s="28"/>
      <c r="E8" s="28"/>
      <c r="F8" s="28"/>
      <c r="H8" s="29" t="n">
        <f aca="false">D19</f>
        <v>0.142447795866669</v>
      </c>
      <c r="I8" s="29"/>
      <c r="J8" s="29"/>
      <c r="K8" s="29"/>
      <c r="L8" s="30" t="n">
        <f aca="false">'Break-even'!B6</f>
        <v>1</v>
      </c>
      <c r="M8" s="30"/>
      <c r="N8" s="30"/>
      <c r="O8" s="30"/>
      <c r="P8" s="31" t="n">
        <f aca="false">IF(F37&gt;=0,"Covered by funding raised",-F37)</f>
        <v>225967.781536044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5"/>
      <c r="F11" s="35"/>
    </row>
    <row r="12" customFormat="false" ht="15" hidden="false" customHeight="false" outlineLevel="0" collapsed="false">
      <c r="A12" s="6" t="s">
        <v>44</v>
      </c>
      <c r="B12" s="36" t="n">
        <f aca="false">SUMIF(Monthly!$C$5:$AL$5,B$11,Monthly!$C$31:$AL$31)</f>
        <v>1975300.08293807</v>
      </c>
      <c r="C12" s="36" t="n">
        <f aca="false">SUMIF(Monthly!$C$5:$AL$5,C$11,Monthly!$C$31:$AL$31)</f>
        <v>2149133.33248285</v>
      </c>
      <c r="D12" s="36" t="n">
        <f aca="false">SUMIF(Monthly!$C$5:$AL$5,D$11,Monthly!$C$31:$AL$31)</f>
        <v>2337329.1411336</v>
      </c>
    </row>
    <row r="13" customFormat="false" ht="15" hidden="false" customHeight="false" outlineLevel="0" collapsed="false">
      <c r="A13" s="37" t="s">
        <v>45</v>
      </c>
      <c r="B13" s="38" t="n">
        <f aca="false">SUMIF(Monthly!$C$5:$AL$5,B$11,Monthly!$C$38:$AL$38)</f>
        <v>1700585.93037021</v>
      </c>
      <c r="C13" s="38" t="n">
        <f aca="false">SUMIF(Monthly!$C$5:$AL$5,C$11,Monthly!$C$38:$AL$38)</f>
        <v>1850264.9141094</v>
      </c>
      <c r="D13" s="38" t="n">
        <f aca="false">SUMIF(Monthly!$C$5:$AL$5,D$11,Monthly!$C$38:$AL$38)</f>
        <v>2012307.82631284</v>
      </c>
      <c r="E13" s="37"/>
      <c r="F13" s="37"/>
    </row>
    <row r="14" customFormat="false" ht="15" hidden="false" customHeight="false" outlineLevel="0" collapsed="false">
      <c r="A14" s="39" t="s">
        <v>46</v>
      </c>
      <c r="B14" s="40" t="n">
        <f aca="false">IF(B12=0,0,B13/B12)</f>
        <v>0.860925357650341</v>
      </c>
      <c r="C14" s="40" t="n">
        <f aca="false">IF(C12=0,0,C13/C12)</f>
        <v>0.860935376202008</v>
      </c>
      <c r="D14" s="40" t="n">
        <f aca="false">IF(D12=0,0,D13/D12)</f>
        <v>0.860943283895769</v>
      </c>
    </row>
    <row r="15" customFormat="false" ht="15" hidden="false" customHeight="false" outlineLevel="0" collapsed="false">
      <c r="A15" s="6" t="s">
        <v>47</v>
      </c>
      <c r="B15" s="36" t="n">
        <f aca="false">SUMIF(Monthly!$C$5:$AL$5,B$11,Monthly!$C$50:$AL$50)</f>
        <v>-1397453.4052936</v>
      </c>
      <c r="C15" s="36" t="n">
        <f aca="false">SUMIF(Monthly!$C$5:$AL$5,C$11,Monthly!$C$50:$AL$50)</f>
        <v>-1476940.00043029</v>
      </c>
      <c r="D15" s="36" t="n">
        <f aca="false">SUMIF(Monthly!$C$5:$AL$5,D$11,Monthly!$C$50:$AL$50)</f>
        <v>-1562405.06825089</v>
      </c>
    </row>
    <row r="16" customFormat="false" ht="15" hidden="false" customHeight="false" outlineLevel="0" collapsed="false">
      <c r="A16" s="37" t="s">
        <v>48</v>
      </c>
      <c r="B16" s="38" t="n">
        <f aca="false">SUMIF(Monthly!$C$5:$AL$5,B$11,Monthly!$C$51:$AL$51)</f>
        <v>303132.525076608</v>
      </c>
      <c r="C16" s="38" t="n">
        <f aca="false">SUMIF(Monthly!$C$5:$AL$5,C$11,Monthly!$C$51:$AL$51)</f>
        <v>373324.913679101</v>
      </c>
      <c r="D16" s="38" t="n">
        <f aca="false">SUMIF(Monthly!$C$5:$AL$5,D$11,Monthly!$C$51:$AL$51)</f>
        <v>449902.758061944</v>
      </c>
      <c r="E16" s="37"/>
      <c r="F16" s="37"/>
    </row>
    <row r="17" customFormat="false" ht="15" hidden="false" customHeight="false" outlineLevel="0" collapsed="false">
      <c r="A17" s="39" t="s">
        <v>49</v>
      </c>
      <c r="B17" s="40" t="n">
        <f aca="false">IF(B12=0,0,B16/B12)</f>
        <v>0.153461505770671</v>
      </c>
      <c r="C17" s="40" t="n">
        <f aca="false">IF(C12=0,0,C16/C12)</f>
        <v>0.17370951724424</v>
      </c>
      <c r="D17" s="40" t="n">
        <f aca="false">IF(D12=0,0,D16/D12)</f>
        <v>0.192485837849838</v>
      </c>
    </row>
    <row r="18" customFormat="false" ht="15" hidden="false" customHeight="false" outlineLevel="0" collapsed="false">
      <c r="A18" s="41" t="s">
        <v>50</v>
      </c>
      <c r="B18" s="42" t="n">
        <f aca="false">SUMIF(Monthly!$C$5:$AL$5,B$11,Monthly!$C$60:$AL$60)</f>
        <v>221437.816522639</v>
      </c>
      <c r="C18" s="42" t="n">
        <f aca="false">SUMIF(Monthly!$C$5:$AL$5,C$11,Monthly!$C$60:$AL$60)</f>
        <v>274821.515995506</v>
      </c>
      <c r="D18" s="42" t="n">
        <f aca="false">SUMIF(Monthly!$C$5:$AL$5,D$11,Monthly!$C$60:$AL$60)</f>
        <v>332947.384369415</v>
      </c>
      <c r="E18" s="41"/>
      <c r="F18" s="41"/>
    </row>
    <row r="19" customFormat="false" ht="15" hidden="false" customHeight="false" outlineLevel="0" collapsed="false">
      <c r="A19" s="39" t="s">
        <v>51</v>
      </c>
      <c r="B19" s="40" t="n">
        <f aca="false">IF(B12=0,0,B18/B12)</f>
        <v>0.112103380359946</v>
      </c>
      <c r="C19" s="40" t="n">
        <f aca="false">IF(C12=0,0,C18/C12)</f>
        <v>0.127875507695007</v>
      </c>
      <c r="D19" s="40" t="n">
        <f aca="false">IF(D12=0,0,D18/D12)</f>
        <v>0.142447795866669</v>
      </c>
    </row>
    <row r="20" customFormat="false" ht="15" hidden="false" customHeight="false" outlineLevel="0" collapsed="false">
      <c r="A20" s="6" t="s">
        <v>52</v>
      </c>
      <c r="B20" s="36" t="n">
        <f aca="false">SUMIF(Monthly!$C$5:$AL$5,B$11,Monthly!$C$84:$AL$84)</f>
        <v>147060.422837851</v>
      </c>
      <c r="C20" s="36" t="n">
        <f aca="false">SUMIF(Monthly!$C$5:$AL$5,C$11,Monthly!$C$84:$AL$84)</f>
        <v>282618.635265625</v>
      </c>
      <c r="D20" s="36" t="n">
        <f aca="false">SUMIF(Monthly!$C$5:$AL$5,D$11,Monthly!$C$84:$AL$84)</f>
        <v>344946.127551388</v>
      </c>
    </row>
    <row r="21" customFormat="false" ht="15" hidden="false" customHeight="false" outlineLevel="0" collapsed="false">
      <c r="A21" s="6" t="s">
        <v>53</v>
      </c>
      <c r="B21" s="36" t="n">
        <f aca="false">SUMIF(Monthly!$C$5:$AL$5,B$11,Monthly!$C$85:$AL$85)</f>
        <v>-89629.5012440711</v>
      </c>
      <c r="C21" s="36" t="n">
        <f aca="false">SUMIF(Monthly!$C$5:$AL$5,C$11,Monthly!$C$85:$AL$85)</f>
        <v>-32236.9999872427</v>
      </c>
      <c r="D21" s="36" t="n">
        <f aca="false">SUMIF(Monthly!$C$5:$AL$5,D$11,Monthly!$C$85:$AL$85)</f>
        <v>-35059.937117004</v>
      </c>
    </row>
    <row r="22" customFormat="false" ht="15" hidden="false" customHeight="false" outlineLevel="0" collapsed="false">
      <c r="A22" s="6" t="s">
        <v>54</v>
      </c>
      <c r="B22" s="36" t="n">
        <f aca="false">SUMIF(Monthly!$C$5:$AL$5,B$11,Monthly!$C$87:$AL$87)</f>
        <v>230357.142857143</v>
      </c>
      <c r="C22" s="36" t="n">
        <f aca="false">SUMIF(Monthly!$C$5:$AL$5,C$11,Monthly!$C$87:$AL$87)</f>
        <v>-21428.5714285714</v>
      </c>
      <c r="D22" s="36" t="n">
        <f aca="false">SUMIF(Monthly!$C$5:$AL$5,D$11,Monthly!$C$87:$AL$87)</f>
        <v>-21428.5714285714</v>
      </c>
    </row>
    <row r="23" customFormat="false" ht="15" hidden="false" customHeight="false" outlineLevel="0" collapsed="false">
      <c r="A23" s="37" t="s">
        <v>55</v>
      </c>
      <c r="B23" s="38" t="n">
        <f aca="false">SUMIF(Monthly!$C$5:$AL$5,B$11,Monthly!$C$88:$AL$88)</f>
        <v>287788.064450923</v>
      </c>
      <c r="C23" s="38" t="n">
        <f aca="false">SUMIF(Monthly!$C$5:$AL$5,C$11,Monthly!$C$88:$AL$88)</f>
        <v>228953.063849811</v>
      </c>
      <c r="D23" s="38" t="n">
        <f aca="false">SUMIF(Monthly!$C$5:$AL$5,D$11,Monthly!$C$88:$AL$88)</f>
        <v>288457.619005813</v>
      </c>
      <c r="E23" s="37"/>
      <c r="F23" s="37"/>
    </row>
    <row r="24" customFormat="false" ht="15" hidden="false" customHeight="false" outlineLevel="0" collapsed="false">
      <c r="A24" s="41" t="s">
        <v>56</v>
      </c>
      <c r="B24" s="42" t="n">
        <f aca="false">INDEX(Monthly!$C$90:$AL$90,B$11*12)</f>
        <v>287788.064450923</v>
      </c>
      <c r="C24" s="42" t="n">
        <f aca="false">INDEX(Monthly!$C$90:$AL$90,C$11*12)</f>
        <v>516741.128300734</v>
      </c>
      <c r="D24" s="42" t="n">
        <f aca="false">INDEX(Monthly!$C$90:$AL$90,D$11*12)</f>
        <v>805198.747306546</v>
      </c>
      <c r="E24" s="41"/>
      <c r="F24" s="41"/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5"/>
      <c r="F27" s="35"/>
    </row>
    <row r="28" customFormat="false" ht="15" hidden="false" customHeight="false" outlineLevel="0" collapsed="false">
      <c r="A28" s="6" t="s">
        <v>58</v>
      </c>
      <c r="B28" s="43" t="n">
        <f aca="false">KPIs!B29</f>
        <v>3170.47280536799</v>
      </c>
      <c r="C28" s="43" t="n">
        <f aca="false">KPIs!C29</f>
        <v>3348.95094761616</v>
      </c>
      <c r="D28" s="43" t="n">
        <f aca="false">KPIs!D29</f>
        <v>3536.07546323552</v>
      </c>
    </row>
    <row r="29" customFormat="false" ht="15" hidden="false" customHeight="false" outlineLevel="0" collapsed="false">
      <c r="A29" s="6" t="s">
        <v>59</v>
      </c>
      <c r="B29" s="44" t="n">
        <f aca="false">KPIs!B37</f>
        <v>0.817663070333195</v>
      </c>
      <c r="C29" s="44" t="n">
        <f aca="false">KPIs!C37</f>
        <v>0.86358429492268</v>
      </c>
      <c r="D29" s="44" t="n">
        <f aca="false">KPIs!D37</f>
        <v>0.911747388701122</v>
      </c>
    </row>
    <row r="30" customFormat="false" ht="15" hidden="false" customHeight="false" outlineLevel="0" collapsed="false">
      <c r="A30" s="6" t="s">
        <v>60</v>
      </c>
      <c r="B30" s="45" t="n">
        <f aca="false">KPIs!B44</f>
        <v>262.122567006817</v>
      </c>
      <c r="C30" s="45" t="n">
        <f aca="false">KPIs!C44</f>
        <v>269.974138030299</v>
      </c>
      <c r="D30" s="45" t="n">
        <f aca="false">KPIs!D44</f>
        <v>278.063520984447</v>
      </c>
    </row>
    <row r="31" customFormat="false" ht="15" hidden="false" customHeight="false" outlineLevel="0" collapsed="false">
      <c r="A31" s="6" t="s">
        <v>61</v>
      </c>
      <c r="B31" s="46" t="n">
        <f aca="false">INDEX(Headcount!$C$13:$AL$13,B$27*12)</f>
        <v>12.5</v>
      </c>
      <c r="C31" s="46" t="n">
        <f aca="false">INDEX(Headcount!$C$13:$AL$13,C$27*12)</f>
        <v>12.98</v>
      </c>
      <c r="D31" s="46" t="n">
        <f aca="false">INDEX(Headcount!$C$13:$AL$13,D$27*12)</f>
        <v>13.4828</v>
      </c>
    </row>
    <row r="33" customFormat="false" ht="15.75" hidden="false" customHeight="true" outlineLevel="0" collapsed="false">
      <c r="A33" s="7" t="s">
        <v>62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63</v>
      </c>
      <c r="B34" s="47"/>
      <c r="C34" s="47"/>
      <c r="D34" s="47"/>
      <c r="E34" s="47"/>
      <c r="F34" s="48" t="n">
        <f aca="false">Inputs!$E$83</f>
        <v>100000</v>
      </c>
    </row>
    <row r="35" customFormat="false" ht="15" hidden="false" customHeight="false" outlineLevel="0" collapsed="false">
      <c r="A35" s="6" t="s">
        <v>64</v>
      </c>
      <c r="B35" s="47"/>
      <c r="C35" s="47"/>
      <c r="D35" s="47"/>
      <c r="E35" s="47"/>
      <c r="F35" s="48" t="n">
        <f aca="false">Inputs!$E$84</f>
        <v>150000</v>
      </c>
    </row>
    <row r="36" customFormat="false" ht="15" hidden="false" customHeight="false" outlineLevel="0" collapsed="false">
      <c r="A36" s="6" t="s">
        <v>65</v>
      </c>
      <c r="B36" s="47"/>
      <c r="C36" s="47"/>
      <c r="D36" s="47"/>
      <c r="E36" s="47"/>
      <c r="F36" s="48" t="n">
        <f aca="false">'Break-even'!B12</f>
        <v>475967.781536044</v>
      </c>
    </row>
    <row r="37" customFormat="false" ht="15" hidden="false" customHeight="false" outlineLevel="0" collapsed="false">
      <c r="A37" s="37" t="s">
        <v>66</v>
      </c>
      <c r="B37" s="37"/>
      <c r="C37" s="37"/>
      <c r="D37" s="37"/>
      <c r="E37" s="37"/>
      <c r="F37" s="38" t="n">
        <f aca="false">'Break-even'!B17</f>
        <v>-225967.781536044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1)</v>
      </c>
      <c r="B38" s="47"/>
      <c r="C38" s="47"/>
      <c r="D38" s="47"/>
      <c r="E38" s="47"/>
      <c r="F38" s="48" t="n">
        <f aca="false">'Break-even'!B18</f>
        <v>123032.218463956</v>
      </c>
    </row>
    <row r="39" customFormat="false" ht="15" hidden="false" customHeight="false" outlineLevel="0" collapsed="false">
      <c r="A39" s="6" t="s">
        <v>67</v>
      </c>
      <c r="B39" s="47"/>
      <c r="C39" s="47"/>
      <c r="D39" s="47"/>
      <c r="E39" s="47"/>
      <c r="F39" s="49" t="n">
        <f aca="false">'Break-even'!B21</f>
        <v>1</v>
      </c>
    </row>
    <row r="40" customFormat="false" ht="15" hidden="false" customHeight="false" outlineLevel="0" collapsed="false">
      <c r="A40" s="6" t="s">
        <v>68</v>
      </c>
      <c r="B40" s="47"/>
      <c r="C40" s="47"/>
      <c r="D40" s="47"/>
      <c r="E40" s="47"/>
      <c r="F40" s="49" t="n">
        <f aca="false">'Break-even'!B23</f>
        <v>9</v>
      </c>
    </row>
    <row r="41" customFormat="false" ht="15" hidden="false" customHeight="false" outlineLevel="0" collapsed="false">
      <c r="A41" s="6" t="s">
        <v>69</v>
      </c>
      <c r="B41" s="47"/>
      <c r="C41" s="47"/>
      <c r="D41" s="47"/>
      <c r="E41" s="47"/>
      <c r="F41" s="48" t="n">
        <f aca="false">Valuation!B27</f>
        <v>1929695.98230247</v>
      </c>
    </row>
    <row r="42" customFormat="false" ht="15" hidden="false" customHeight="false" outlineLevel="0" collapsed="false">
      <c r="A42" s="6" t="s">
        <v>70</v>
      </c>
      <c r="B42" s="47"/>
      <c r="C42" s="47"/>
      <c r="D42" s="47"/>
      <c r="E42" s="47"/>
      <c r="F42" s="48" t="n">
        <f aca="false">Valuation!C27</f>
        <v>2037757.62671877</v>
      </c>
    </row>
    <row r="43" customFormat="false" ht="15" hidden="false" customHeight="false" outlineLevel="0" collapsed="false">
      <c r="A43" s="41" t="s">
        <v>71</v>
      </c>
      <c r="B43" s="41"/>
      <c r="C43" s="41"/>
      <c r="D43" s="41"/>
      <c r="E43" s="41"/>
      <c r="F43" s="42" t="n">
        <f aca="false">Valuation!B30</f>
        <v>1983726.80451062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72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73</v>
      </c>
      <c r="R2" s="50" t="n">
        <v>1</v>
      </c>
      <c r="S2" s="50"/>
    </row>
    <row r="5" customFormat="false" ht="15.75" hidden="false" customHeight="true" outlineLevel="0" collapsed="false">
      <c r="A5" s="7" t="s">
        <v>74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5"/>
      <c r="F6" s="35"/>
      <c r="H6" s="51" t="n">
        <f aca="false">INDEX(Monthly!$C$4:$AL$4,($R$2-1)*12+1)</f>
        <v>1</v>
      </c>
      <c r="I6" s="51" t="n">
        <f aca="false">INDEX(Monthly!$C$4:$AL$4,($R$2-1)*12+2)</f>
        <v>2</v>
      </c>
      <c r="J6" s="51" t="n">
        <f aca="false">INDEX(Monthly!$C$4:$AL$4,($R$2-1)*12+3)</f>
        <v>3</v>
      </c>
      <c r="K6" s="51" t="n">
        <f aca="false">INDEX(Monthly!$C$4:$AL$4,($R$2-1)*12+4)</f>
        <v>4</v>
      </c>
      <c r="L6" s="51" t="n">
        <f aca="false">INDEX(Monthly!$C$4:$AL$4,($R$2-1)*12+5)</f>
        <v>5</v>
      </c>
      <c r="M6" s="51" t="n">
        <f aca="false">INDEX(Monthly!$C$4:$AL$4,($R$2-1)*12+6)</f>
        <v>6</v>
      </c>
      <c r="N6" s="51" t="n">
        <f aca="false">INDEX(Monthly!$C$4:$AL$4,($R$2-1)*12+7)</f>
        <v>7</v>
      </c>
      <c r="O6" s="51" t="n">
        <f aca="false">INDEX(Monthly!$C$4:$AL$4,($R$2-1)*12+8)</f>
        <v>8</v>
      </c>
      <c r="P6" s="51" t="n">
        <f aca="false">INDEX(Monthly!$C$4:$AL$4,($R$2-1)*12+9)</f>
        <v>9</v>
      </c>
      <c r="Q6" s="51" t="n">
        <f aca="false">INDEX(Monthly!$C$4:$AL$4,($R$2-1)*12+10)</f>
        <v>10</v>
      </c>
      <c r="R6" s="51" t="n">
        <f aca="false">INDEX(Monthly!$C$4:$AL$4,($R$2-1)*12+11)</f>
        <v>11</v>
      </c>
      <c r="S6" s="51" t="n">
        <f aca="false">INDEX(Monthly!$C$4:$AL$4,($R$2-1)*12+12)</f>
        <v>12</v>
      </c>
    </row>
    <row r="7" customFormat="false" ht="15" hidden="false" customHeight="false" outlineLevel="0" collapsed="false">
      <c r="A7" s="52" t="s">
        <v>44</v>
      </c>
      <c r="B7" s="36" t="n">
        <f aca="false">'P&amp;L'!B5</f>
        <v>1975300.08293807</v>
      </c>
      <c r="C7" s="36" t="n">
        <f aca="false">'P&amp;L'!C5</f>
        <v>2149133.33248285</v>
      </c>
      <c r="D7" s="36" t="n">
        <f aca="false">'P&amp;L'!D5</f>
        <v>2337329.1411336</v>
      </c>
      <c r="H7" s="36" t="n">
        <f aca="false">INDEX(Monthly!$C$31:$AL$31,($R$2-1)*12+1)</f>
        <v>160761.968507812</v>
      </c>
      <c r="I7" s="36" t="n">
        <f aca="false">INDEX(Monthly!$C$31:$AL$31,($R$2-1)*12+2)</f>
        <v>161494.437719953</v>
      </c>
      <c r="J7" s="36" t="n">
        <f aca="false">INDEX(Monthly!$C$31:$AL$31,($R$2-1)*12+3)</f>
        <v>162216.652363124</v>
      </c>
      <c r="K7" s="36" t="n">
        <f aca="false">INDEX(Monthly!$C$31:$AL$31,($R$2-1)*12+4)</f>
        <v>162928.75600129</v>
      </c>
      <c r="L7" s="36" t="n">
        <f aca="false">INDEX(Monthly!$C$31:$AL$31,($R$2-1)*12+5)</f>
        <v>163630.890188522</v>
      </c>
      <c r="M7" s="36" t="n">
        <f aca="false">INDEX(Monthly!$C$31:$AL$31,($R$2-1)*12+6)</f>
        <v>164323.194497133</v>
      </c>
      <c r="N7" s="36" t="n">
        <f aca="false">INDEX(Monthly!$C$31:$AL$31,($R$2-1)*12+7)</f>
        <v>165005.806545423</v>
      </c>
      <c r="O7" s="36" t="n">
        <f aca="false">INDEX(Monthly!$C$31:$AL$31,($R$2-1)*12+8)</f>
        <v>165678.862025037</v>
      </c>
      <c r="P7" s="36" t="n">
        <f aca="false">INDEX(Monthly!$C$31:$AL$31,($R$2-1)*12+9)</f>
        <v>166342.494727936</v>
      </c>
      <c r="Q7" s="36" t="n">
        <f aca="false">INDEX(Monthly!$C$31:$AL$31,($R$2-1)*12+10)</f>
        <v>166996.836572995</v>
      </c>
      <c r="R7" s="36" t="n">
        <f aca="false">INDEX(Monthly!$C$31:$AL$31,($R$2-1)*12+11)</f>
        <v>167642.017632223</v>
      </c>
      <c r="S7" s="36" t="n">
        <f aca="false">INDEX(Monthly!$C$31:$AL$31,($R$2-1)*12+12)</f>
        <v>168278.166156622</v>
      </c>
    </row>
    <row r="8" customFormat="false" ht="15" hidden="false" customHeight="false" outlineLevel="0" collapsed="false">
      <c r="A8" s="52" t="s">
        <v>75</v>
      </c>
      <c r="B8" s="36" t="n">
        <f aca="false">'P&amp;L'!B6</f>
        <v>-274714.152567865</v>
      </c>
      <c r="C8" s="36" t="n">
        <f aca="false">'P&amp;L'!C6</f>
        <v>-298868.418373452</v>
      </c>
      <c r="D8" s="36" t="n">
        <f aca="false">'P&amp;L'!D6</f>
        <v>-325021.314820761</v>
      </c>
      <c r="H8" s="36" t="n">
        <f aca="false">INDEX(Monthly!$C$37:$AL$37,($R$2-1)*12+1)</f>
        <v>-22377.0416637604</v>
      </c>
      <c r="I8" s="36" t="n">
        <f aca="false">INDEX(Monthly!$C$37:$AL$37,($R$2-1)*12+2)</f>
        <v>-22475.2669150561</v>
      </c>
      <c r="J8" s="36" t="n">
        <f aca="false">INDEX(Monthly!$C$37:$AL$37,($R$2-1)*12+3)</f>
        <v>-22572.1170128337</v>
      </c>
      <c r="K8" s="36" t="n">
        <f aca="false">INDEX(Monthly!$C$37:$AL$37,($R$2-1)*12+4)</f>
        <v>-22667.6112092423</v>
      </c>
      <c r="L8" s="36" t="n">
        <f aca="false">INDEX(Monthly!$C$37:$AL$37,($R$2-1)*12+5)</f>
        <v>-22761.7684869013</v>
      </c>
      <c r="M8" s="36" t="n">
        <f aca="false">INDEX(Monthly!$C$37:$AL$37,($R$2-1)*12+6)</f>
        <v>-22854.607562673</v>
      </c>
      <c r="N8" s="36" t="n">
        <f aca="false">INDEX(Monthly!$C$37:$AL$37,($R$2-1)*12+7)</f>
        <v>-22946.1468913839</v>
      </c>
      <c r="O8" s="36" t="n">
        <f aca="false">INDEX(Monthly!$C$37:$AL$37,($R$2-1)*12+8)</f>
        <v>-23036.4046694928</v>
      </c>
      <c r="P8" s="36" t="n">
        <f aca="false">INDEX(Monthly!$C$37:$AL$37,($R$2-1)*12+9)</f>
        <v>-23125.3988387083</v>
      </c>
      <c r="Q8" s="36" t="n">
        <f aca="false">INDEX(Monthly!$C$37:$AL$37,($R$2-1)*12+10)</f>
        <v>-23213.1470895547</v>
      </c>
      <c r="R8" s="36" t="n">
        <f aca="false">INDEX(Monthly!$C$37:$AL$37,($R$2-1)*12+11)</f>
        <v>-23299.6668648893</v>
      </c>
      <c r="S8" s="36" t="n">
        <f aca="false">INDEX(Monthly!$C$37:$AL$37,($R$2-1)*12+12)</f>
        <v>-23384.9753633692</v>
      </c>
    </row>
    <row r="9" customFormat="false" ht="15" hidden="false" customHeight="false" outlineLevel="0" collapsed="false">
      <c r="A9" s="37" t="s">
        <v>45</v>
      </c>
      <c r="B9" s="38" t="n">
        <f aca="false">'P&amp;L'!B7</f>
        <v>1700585.93037021</v>
      </c>
      <c r="C9" s="38" t="n">
        <f aca="false">'P&amp;L'!C7</f>
        <v>1850264.9141094</v>
      </c>
      <c r="D9" s="38" t="n">
        <f aca="false">'P&amp;L'!D7</f>
        <v>2012307.82631284</v>
      </c>
      <c r="E9" s="37"/>
      <c r="F9" s="37"/>
      <c r="H9" s="38" t="n">
        <f aca="false">INDEX(Monthly!$C$38:$AL$38,($R$2-1)*12+1)</f>
        <v>138384.926844052</v>
      </c>
      <c r="I9" s="38" t="n">
        <f aca="false">INDEX(Monthly!$C$38:$AL$38,($R$2-1)*12+2)</f>
        <v>139019.170804897</v>
      </c>
      <c r="J9" s="38" t="n">
        <f aca="false">INDEX(Monthly!$C$38:$AL$38,($R$2-1)*12+3)</f>
        <v>139644.53535029</v>
      </c>
      <c r="K9" s="38" t="n">
        <f aca="false">INDEX(Monthly!$C$38:$AL$38,($R$2-1)*12+4)</f>
        <v>140261.144792048</v>
      </c>
      <c r="L9" s="38" t="n">
        <f aca="false">INDEX(Monthly!$C$38:$AL$38,($R$2-1)*12+5)</f>
        <v>140869.121701621</v>
      </c>
      <c r="M9" s="38" t="n">
        <f aca="false">INDEX(Monthly!$C$38:$AL$38,($R$2-1)*12+6)</f>
        <v>141468.58693446</v>
      </c>
      <c r="N9" s="38" t="n">
        <f aca="false">INDEX(Monthly!$C$38:$AL$38,($R$2-1)*12+7)</f>
        <v>142059.659654039</v>
      </c>
      <c r="O9" s="38" t="n">
        <f aca="false">INDEX(Monthly!$C$38:$AL$38,($R$2-1)*12+8)</f>
        <v>142642.457355544</v>
      </c>
      <c r="P9" s="38" t="n">
        <f aca="false">INDEX(Monthly!$C$38:$AL$38,($R$2-1)*12+9)</f>
        <v>143217.095889228</v>
      </c>
      <c r="Q9" s="38" t="n">
        <f aca="false">INDEX(Monthly!$C$38:$AL$38,($R$2-1)*12+10)</f>
        <v>143783.689483441</v>
      </c>
      <c r="R9" s="38" t="n">
        <f aca="false">INDEX(Monthly!$C$38:$AL$38,($R$2-1)*12+11)</f>
        <v>144342.350767334</v>
      </c>
      <c r="S9" s="38" t="n">
        <f aca="false">INDEX(Monthly!$C$38:$AL$38,($R$2-1)*12+12)</f>
        <v>144893.190793253</v>
      </c>
    </row>
    <row r="10" customFormat="false" ht="15" hidden="false" customHeight="false" outlineLevel="0" collapsed="false">
      <c r="A10" s="39" t="s">
        <v>46</v>
      </c>
      <c r="B10" s="40" t="n">
        <f aca="false">'P&amp;L'!B8</f>
        <v>0.860925357650341</v>
      </c>
      <c r="C10" s="40" t="n">
        <f aca="false">'P&amp;L'!C8</f>
        <v>0.860935376202008</v>
      </c>
      <c r="D10" s="40" t="n">
        <f aca="false">'P&amp;L'!D8</f>
        <v>0.860943283895769</v>
      </c>
      <c r="H10" s="40" t="n">
        <f aca="false">IF(H7=0,0,H9/H7)</f>
        <v>0.860806371858572</v>
      </c>
      <c r="I10" s="40" t="n">
        <f aca="false">IF(I7=0,0,I9/I7)</f>
        <v>0.860829467365121</v>
      </c>
      <c r="J10" s="40" t="n">
        <f aca="false">IF(J7=0,0,J9/J7)</f>
        <v>0.860852035324304</v>
      </c>
      <c r="K10" s="40" t="n">
        <f aca="false">IF(K7=0,0,K9/K7)</f>
        <v>0.860874091439925</v>
      </c>
      <c r="L10" s="40" t="n">
        <f aca="false">IF(L7=0,0,L9/L7)</f>
        <v>0.860895650810938</v>
      </c>
      <c r="M10" s="40" t="n">
        <f aca="false">IF(M7=0,0,M9/M7)</f>
        <v>0.860916727960326</v>
      </c>
      <c r="N10" s="40" t="n">
        <f aca="false">IF(N7=0,0,N9/N7)</f>
        <v>0.860937336862341</v>
      </c>
      <c r="O10" s="40" t="n">
        <f aca="false">IF(O7=0,0,O9/O7)</f>
        <v>0.86095749096821</v>
      </c>
      <c r="P10" s="40" t="n">
        <f aca="false">IF(P7=0,0,P9/P7)</f>
        <v>0.860977203230411</v>
      </c>
      <c r="Q10" s="40" t="n">
        <f aca="false">IF(Q7=0,0,Q9/Q7)</f>
        <v>0.860996486125603</v>
      </c>
      <c r="R10" s="40" t="n">
        <f aca="false">IF(R7=0,0,R9/R7)</f>
        <v>0.861015351676305</v>
      </c>
      <c r="S10" s="40" t="n">
        <f aca="false">IF(S7=0,0,S9/S7)</f>
        <v>0.861033811471395</v>
      </c>
    </row>
    <row r="11" customFormat="false" ht="15" hidden="false" customHeight="false" outlineLevel="0" collapsed="false">
      <c r="A11" s="52" t="s">
        <v>76</v>
      </c>
      <c r="B11" s="36" t="n">
        <f aca="false">'P&amp;L'!B18</f>
        <v>-1397453.4052936</v>
      </c>
      <c r="C11" s="36" t="n">
        <f aca="false">'P&amp;L'!C18</f>
        <v>-1476940.00043029</v>
      </c>
      <c r="D11" s="36" t="n">
        <f aca="false">'P&amp;L'!D18</f>
        <v>-1562405.06825089</v>
      </c>
      <c r="H11" s="36" t="n">
        <f aca="false">INDEX(Monthly!$C$50:$AL$50,($R$2-1)*12+1)</f>
        <v>-116196.667116771</v>
      </c>
      <c r="I11" s="36" t="n">
        <f aca="false">INDEX(Monthly!$C$50:$AL$50,($R$2-1)*12+2)</f>
        <v>-116245.757106353</v>
      </c>
      <c r="J11" s="36" t="n">
        <f aca="false">INDEX(Monthly!$C$50:$AL$50,($R$2-1)*12+3)</f>
        <v>-116294.15983608</v>
      </c>
      <c r="K11" s="36" t="n">
        <f aca="false">INDEX(Monthly!$C$50:$AL$50,($R$2-1)*12+4)</f>
        <v>-116341.884927592</v>
      </c>
      <c r="L11" s="36" t="n">
        <f aca="false">INDEX(Monthly!$C$50:$AL$50,($R$2-1)*12+5)</f>
        <v>-116388.941867822</v>
      </c>
      <c r="M11" s="36" t="n">
        <f aca="false">INDEX(Monthly!$C$50:$AL$50,($R$2-1)*12+6)</f>
        <v>-116435.34001089</v>
      </c>
      <c r="N11" s="36" t="n">
        <f aca="false">INDEX(Monthly!$C$50:$AL$50,($R$2-1)*12+7)</f>
        <v>-116481.088579954</v>
      </c>
      <c r="O11" s="36" t="n">
        <f aca="false">INDEX(Monthly!$C$50:$AL$50,($R$2-1)*12+8)</f>
        <v>-116526.196669051</v>
      </c>
      <c r="P11" s="36" t="n">
        <f aca="false">INDEX(Monthly!$C$50:$AL$50,($R$2-1)*12+9)</f>
        <v>-116570.673244901</v>
      </c>
      <c r="Q11" s="36" t="n">
        <f aca="false">INDEX(Monthly!$C$50:$AL$50,($R$2-1)*12+10)</f>
        <v>-116614.527148689</v>
      </c>
      <c r="R11" s="36" t="n">
        <f aca="false">INDEX(Monthly!$C$50:$AL$50,($R$2-1)*12+11)</f>
        <v>-116657.767097824</v>
      </c>
      <c r="S11" s="36" t="n">
        <f aca="false">INDEX(Monthly!$C$50:$AL$50,($R$2-1)*12+12)</f>
        <v>-116700.401687671</v>
      </c>
    </row>
    <row r="12" customFormat="false" ht="15" hidden="false" customHeight="false" outlineLevel="0" collapsed="false">
      <c r="A12" s="37" t="s">
        <v>48</v>
      </c>
      <c r="B12" s="38" t="n">
        <f aca="false">'P&amp;L'!B19</f>
        <v>303132.525076608</v>
      </c>
      <c r="C12" s="38" t="n">
        <f aca="false">'P&amp;L'!C19</f>
        <v>373324.913679101</v>
      </c>
      <c r="D12" s="38" t="n">
        <f aca="false">'P&amp;L'!D19</f>
        <v>449902.758061944</v>
      </c>
      <c r="E12" s="37"/>
      <c r="F12" s="37"/>
      <c r="H12" s="38" t="n">
        <f aca="false">INDEX(Monthly!$C$51:$AL$51,($R$2-1)*12+1)</f>
        <v>22188.2597272812</v>
      </c>
      <c r="I12" s="38" t="n">
        <f aca="false">INDEX(Monthly!$C$51:$AL$51,($R$2-1)*12+2)</f>
        <v>22773.4136985443</v>
      </c>
      <c r="J12" s="38" t="n">
        <f aca="false">INDEX(Monthly!$C$51:$AL$51,($R$2-1)*12+3)</f>
        <v>23350.3755142097</v>
      </c>
      <c r="K12" s="38" t="n">
        <f aca="false">INDEX(Monthly!$C$51:$AL$51,($R$2-1)*12+4)</f>
        <v>23919.2598644558</v>
      </c>
      <c r="L12" s="38" t="n">
        <f aca="false">INDEX(Monthly!$C$51:$AL$51,($R$2-1)*12+5)</f>
        <v>24480.1798337984</v>
      </c>
      <c r="M12" s="38" t="n">
        <f aca="false">INDEX(Monthly!$C$51:$AL$51,($R$2-1)*12+6)</f>
        <v>25033.2469235702</v>
      </c>
      <c r="N12" s="38" t="n">
        <f aca="false">INDEX(Monthly!$C$51:$AL$51,($R$2-1)*12+7)</f>
        <v>25578.5710740852</v>
      </c>
      <c r="O12" s="38" t="n">
        <f aca="false">INDEX(Monthly!$C$51:$AL$51,($R$2-1)*12+8)</f>
        <v>26116.260686493</v>
      </c>
      <c r="P12" s="38" t="n">
        <f aca="false">INDEX(Monthly!$C$51:$AL$51,($R$2-1)*12+9)</f>
        <v>26646.4226443271</v>
      </c>
      <c r="Q12" s="38" t="n">
        <f aca="false">INDEX(Monthly!$C$51:$AL$51,($R$2-1)*12+10)</f>
        <v>27169.1623347516</v>
      </c>
      <c r="R12" s="38" t="n">
        <f aca="false">INDEX(Monthly!$C$51:$AL$51,($R$2-1)*12+11)</f>
        <v>27684.58366951</v>
      </c>
      <c r="S12" s="38" t="n">
        <f aca="false">INDEX(Monthly!$C$51:$AL$51,($R$2-1)*12+12)</f>
        <v>28192.7891055819</v>
      </c>
    </row>
    <row r="13" customFormat="false" ht="15" hidden="false" customHeight="false" outlineLevel="0" collapsed="false">
      <c r="A13" s="39" t="s">
        <v>49</v>
      </c>
      <c r="B13" s="40" t="n">
        <f aca="false">'P&amp;L'!B20</f>
        <v>0.153461505770671</v>
      </c>
      <c r="C13" s="40" t="n">
        <f aca="false">'P&amp;L'!C20</f>
        <v>0.17370951724424</v>
      </c>
      <c r="D13" s="40" t="n">
        <f aca="false">'P&amp;L'!D20</f>
        <v>0.192485837849838</v>
      </c>
      <c r="H13" s="40" t="n">
        <f aca="false">IF(H7=0,0,H12/H7)</f>
        <v>0.138019333386074</v>
      </c>
      <c r="I13" s="40" t="n">
        <f aca="false">IF(I7=0,0,I12/I7)</f>
        <v>0.141016706334094</v>
      </c>
      <c r="J13" s="40" t="n">
        <f aca="false">IF(J7=0,0,J12/J7)</f>
        <v>0.143945613314345</v>
      </c>
      <c r="K13" s="40" t="n">
        <f aca="false">IF(K7=0,0,K12/K7)</f>
        <v>0.146808092392643</v>
      </c>
      <c r="L13" s="40" t="n">
        <f aca="false">IF(L7=0,0,L12/L7)</f>
        <v>0.149606103136115</v>
      </c>
      <c r="M13" s="40" t="n">
        <f aca="false">IF(M7=0,0,M12/M7)</f>
        <v>0.152341530361418</v>
      </c>
      <c r="N13" s="40" t="n">
        <f aca="false">IF(N7=0,0,N12/N7)</f>
        <v>0.155016187670002</v>
      </c>
      <c r="O13" s="40" t="n">
        <f aca="false">IF(O7=0,0,O12/O7)</f>
        <v>0.157631820784394</v>
      </c>
      <c r="P13" s="40" t="n">
        <f aca="false">IF(P7=0,0,P12/P7)</f>
        <v>0.160190110698466</v>
      </c>
      <c r="Q13" s="40" t="n">
        <f aca="false">IF(Q7=0,0,Q12/Q7)</f>
        <v>0.162692676653643</v>
      </c>
      <c r="R13" s="40" t="n">
        <f aca="false">IF(R7=0,0,R12/R7)</f>
        <v>0.165141078952205</v>
      </c>
      <c r="S13" s="40" t="n">
        <f aca="false">IF(S7=0,0,S12/S7)</f>
        <v>0.167536821617974</v>
      </c>
    </row>
    <row r="14" customFormat="false" ht="15" hidden="false" customHeight="false" outlineLevel="0" collapsed="false">
      <c r="A14" s="52" t="s">
        <v>77</v>
      </c>
      <c r="B14" s="36" t="n">
        <f aca="false">'P&amp;L'!B21</f>
        <v>-10846.7444798382</v>
      </c>
      <c r="C14" s="36" t="n">
        <f aca="false">'P&amp;L'!C21</f>
        <v>-15279.9341187864</v>
      </c>
      <c r="D14" s="36" t="n">
        <f aca="false">'P&amp;L'!D21</f>
        <v>-20102.1584984888</v>
      </c>
      <c r="H14" s="36" t="n">
        <f aca="false">INDEX(Monthly!$C$65:$AL$65,($R$2-1)*12+1)</f>
        <v>-742.993208662109</v>
      </c>
      <c r="I14" s="36" t="n">
        <f aca="false">INDEX(Monthly!$C$65:$AL$65,($R$2-1)*12+2)</f>
        <v>-771.831501112101</v>
      </c>
      <c r="J14" s="36" t="n">
        <f aca="false">INDEX(Monthly!$C$65:$AL$65,($R$2-1)*12+3)</f>
        <v>-800.798760462659</v>
      </c>
      <c r="K14" s="36" t="n">
        <f aca="false">INDEX(Monthly!$C$65:$AL$65,($R$2-1)*12+4)</f>
        <v>-829.893181177175</v>
      </c>
      <c r="L14" s="36" t="n">
        <f aca="false">INDEX(Monthly!$C$65:$AL$65,($R$2-1)*12+5)</f>
        <v>-859.112982996554</v>
      </c>
      <c r="M14" s="36" t="n">
        <f aca="false">INDEX(Monthly!$C$65:$AL$65,($R$2-1)*12+6)</f>
        <v>-888.456410585328</v>
      </c>
      <c r="N14" s="36" t="n">
        <f aca="false">INDEX(Monthly!$C$65:$AL$65,($R$2-1)*12+7)</f>
        <v>-917.921733182725</v>
      </c>
      <c r="O14" s="36" t="n">
        <f aca="false">INDEX(Monthly!$C$65:$AL$65,($R$2-1)*12+8)</f>
        <v>-947.507244258624</v>
      </c>
      <c r="P14" s="36" t="n">
        <f aca="false">INDEX(Monthly!$C$65:$AL$65,($R$2-1)*12+9)</f>
        <v>-977.211261174327</v>
      </c>
      <c r="Q14" s="36" t="n">
        <f aca="false">INDEX(Monthly!$C$65:$AL$65,($R$2-1)*12+10)</f>
        <v>-1007.03212484808</v>
      </c>
      <c r="R14" s="36" t="n">
        <f aca="false">INDEX(Monthly!$C$65:$AL$65,($R$2-1)*12+11)</f>
        <v>-1036.96819942526</v>
      </c>
      <c r="S14" s="36" t="n">
        <f aca="false">INDEX(Monthly!$C$65:$AL$65,($R$2-1)*12+12)</f>
        <v>-1067.01787195323</v>
      </c>
    </row>
    <row r="15" customFormat="false" ht="15" hidden="false" customHeight="false" outlineLevel="0" collapsed="false">
      <c r="A15" s="37" t="s">
        <v>78</v>
      </c>
      <c r="B15" s="38" t="n">
        <f aca="false">'P&amp;L'!B22</f>
        <v>292285.78059677</v>
      </c>
      <c r="C15" s="38" t="n">
        <f aca="false">'P&amp;L'!C22</f>
        <v>358044.979560314</v>
      </c>
      <c r="D15" s="38" t="n">
        <f aca="false">'P&amp;L'!D22</f>
        <v>429800.599563455</v>
      </c>
      <c r="E15" s="37"/>
      <c r="F15" s="37"/>
      <c r="H15" s="38" t="n">
        <f aca="false">INDEX(Monthly!$C$54:$AL$54,($R$2-1)*12+1)</f>
        <v>21445.2665186191</v>
      </c>
      <c r="I15" s="38" t="n">
        <f aca="false">INDEX(Monthly!$C$54:$AL$54,($R$2-1)*12+2)</f>
        <v>22001.5821974322</v>
      </c>
      <c r="J15" s="38" t="n">
        <f aca="false">INDEX(Monthly!$C$54:$AL$54,($R$2-1)*12+3)</f>
        <v>22549.576753747</v>
      </c>
      <c r="K15" s="38" t="n">
        <f aca="false">INDEX(Monthly!$C$54:$AL$54,($R$2-1)*12+4)</f>
        <v>23089.3666832786</v>
      </c>
      <c r="L15" s="38" t="n">
        <f aca="false">INDEX(Monthly!$C$54:$AL$54,($R$2-1)*12+5)</f>
        <v>23621.0668508019</v>
      </c>
      <c r="M15" s="38" t="n">
        <f aca="false">INDEX(Monthly!$C$54:$AL$54,($R$2-1)*12+6)</f>
        <v>24144.7905129849</v>
      </c>
      <c r="N15" s="38" t="n">
        <f aca="false">INDEX(Monthly!$C$54:$AL$54,($R$2-1)*12+7)</f>
        <v>24660.6493409025</v>
      </c>
      <c r="O15" s="38" t="n">
        <f aca="false">INDEX(Monthly!$C$54:$AL$54,($R$2-1)*12+8)</f>
        <v>25168.7534422344</v>
      </c>
      <c r="P15" s="38" t="n">
        <f aca="false">INDEX(Monthly!$C$54:$AL$54,($R$2-1)*12+9)</f>
        <v>25669.2113831528</v>
      </c>
      <c r="Q15" s="38" t="n">
        <f aca="false">INDEX(Monthly!$C$54:$AL$54,($R$2-1)*12+10)</f>
        <v>26162.1302099035</v>
      </c>
      <c r="R15" s="38" t="n">
        <f aca="false">INDEX(Monthly!$C$54:$AL$54,($R$2-1)*12+11)</f>
        <v>26647.6154700848</v>
      </c>
      <c r="S15" s="38" t="n">
        <f aca="false">INDEX(Monthly!$C$54:$AL$54,($R$2-1)*12+12)</f>
        <v>27125.7712336287</v>
      </c>
    </row>
    <row r="16" customFormat="false" ht="15" hidden="false" customHeight="false" outlineLevel="0" collapsed="false">
      <c r="A16" s="52" t="s">
        <v>79</v>
      </c>
      <c r="B16" s="36" t="n">
        <f aca="false">'P&amp;L'!B23</f>
        <v>-11984.7470238095</v>
      </c>
      <c r="C16" s="36" t="n">
        <f aca="false">'P&amp;L'!C23</f>
        <v>-10169.6428571429</v>
      </c>
      <c r="D16" s="36" t="n">
        <f aca="false">'P&amp;L'!D23</f>
        <v>-8348.21428571428</v>
      </c>
      <c r="H16" s="36" t="n">
        <f aca="false">INDEX(Monthly!$C$55:$AL$55,($R$2-1)*12+1)</f>
        <v>-1062.5</v>
      </c>
      <c r="I16" s="36" t="n">
        <f aca="false">INDEX(Monthly!$C$55:$AL$55,($R$2-1)*12+2)</f>
        <v>-1056.1755952381</v>
      </c>
      <c r="J16" s="36" t="n">
        <f aca="false">INDEX(Monthly!$C$55:$AL$55,($R$2-1)*12+3)</f>
        <v>-1043.52678571429</v>
      </c>
      <c r="K16" s="36" t="n">
        <f aca="false">INDEX(Monthly!$C$55:$AL$55,($R$2-1)*12+4)</f>
        <v>-1030.87797619048</v>
      </c>
      <c r="L16" s="36" t="n">
        <f aca="false">INDEX(Monthly!$C$55:$AL$55,($R$2-1)*12+5)</f>
        <v>-1018.22916666667</v>
      </c>
      <c r="M16" s="36" t="n">
        <f aca="false">INDEX(Monthly!$C$55:$AL$55,($R$2-1)*12+6)</f>
        <v>-1005.58035714286</v>
      </c>
      <c r="N16" s="36" t="n">
        <f aca="false">INDEX(Monthly!$C$55:$AL$55,($R$2-1)*12+7)</f>
        <v>-992.931547619048</v>
      </c>
      <c r="O16" s="36" t="n">
        <f aca="false">INDEX(Monthly!$C$55:$AL$55,($R$2-1)*12+8)</f>
        <v>-980.282738095238</v>
      </c>
      <c r="P16" s="36" t="n">
        <f aca="false">INDEX(Monthly!$C$55:$AL$55,($R$2-1)*12+9)</f>
        <v>-967.633928571429</v>
      </c>
      <c r="Q16" s="36" t="n">
        <f aca="false">INDEX(Monthly!$C$55:$AL$55,($R$2-1)*12+10)</f>
        <v>-954.985119047619</v>
      </c>
      <c r="R16" s="36" t="n">
        <f aca="false">INDEX(Monthly!$C$55:$AL$55,($R$2-1)*12+11)</f>
        <v>-942.33630952381</v>
      </c>
      <c r="S16" s="36" t="n">
        <f aca="false">INDEX(Monthly!$C$55:$AL$55,($R$2-1)*12+12)</f>
        <v>-929.6875</v>
      </c>
    </row>
    <row r="17" customFormat="false" ht="15" hidden="false" customHeight="false" outlineLevel="0" collapsed="false">
      <c r="A17" s="52" t="s">
        <v>80</v>
      </c>
      <c r="B17" s="36" t="n">
        <f aca="false">'P&amp;L'!B24</f>
        <v>280301.033572961</v>
      </c>
      <c r="C17" s="36" t="n">
        <f aca="false">'P&amp;L'!C24</f>
        <v>347875.336703172</v>
      </c>
      <c r="D17" s="36" t="n">
        <f aca="false">'P&amp;L'!D24</f>
        <v>421452.385277741</v>
      </c>
      <c r="H17" s="36" t="n">
        <f aca="false">INDEX(Monthly!$C$56:$AL$56,($R$2-1)*12+1)</f>
        <v>20382.7665186191</v>
      </c>
      <c r="I17" s="36" t="n">
        <f aca="false">INDEX(Monthly!$C$56:$AL$56,($R$2-1)*12+2)</f>
        <v>20945.4066021941</v>
      </c>
      <c r="J17" s="36" t="n">
        <f aca="false">INDEX(Monthly!$C$56:$AL$56,($R$2-1)*12+3)</f>
        <v>21506.0499680328</v>
      </c>
      <c r="K17" s="36" t="n">
        <f aca="false">INDEX(Monthly!$C$56:$AL$56,($R$2-1)*12+4)</f>
        <v>22058.4887070881</v>
      </c>
      <c r="L17" s="36" t="n">
        <f aca="false">INDEX(Monthly!$C$56:$AL$56,($R$2-1)*12+5)</f>
        <v>22602.8376841352</v>
      </c>
      <c r="M17" s="36" t="n">
        <f aca="false">INDEX(Monthly!$C$56:$AL$56,($R$2-1)*12+6)</f>
        <v>23139.210155842</v>
      </c>
      <c r="N17" s="36" t="n">
        <f aca="false">INDEX(Monthly!$C$56:$AL$56,($R$2-1)*12+7)</f>
        <v>23667.7177932835</v>
      </c>
      <c r="O17" s="36" t="n">
        <f aca="false">INDEX(Monthly!$C$56:$AL$56,($R$2-1)*12+8)</f>
        <v>24188.4707041392</v>
      </c>
      <c r="P17" s="36" t="n">
        <f aca="false">INDEX(Monthly!$C$56:$AL$56,($R$2-1)*12+9)</f>
        <v>24701.5774545814</v>
      </c>
      <c r="Q17" s="36" t="n">
        <f aca="false">INDEX(Monthly!$C$56:$AL$56,($R$2-1)*12+10)</f>
        <v>25207.1450908559</v>
      </c>
      <c r="R17" s="36" t="n">
        <f aca="false">INDEX(Monthly!$C$56:$AL$56,($R$2-1)*12+11)</f>
        <v>25705.2791605609</v>
      </c>
      <c r="S17" s="36" t="n">
        <f aca="false">INDEX(Monthly!$C$56:$AL$56,($R$2-1)*12+12)</f>
        <v>26196.0837336287</v>
      </c>
    </row>
    <row r="18" customFormat="false" ht="15" hidden="false" customHeight="false" outlineLevel="0" collapsed="false">
      <c r="A18" s="52" t="s">
        <v>81</v>
      </c>
      <c r="B18" s="36" t="n">
        <f aca="false">'P&amp;L'!B25</f>
        <v>-58863.2170503218</v>
      </c>
      <c r="C18" s="36" t="n">
        <f aca="false">'P&amp;L'!C25</f>
        <v>-73053.820707666</v>
      </c>
      <c r="D18" s="36" t="n">
        <f aca="false">'P&amp;L'!D25</f>
        <v>-88505.0009083255</v>
      </c>
      <c r="H18" s="36" t="n">
        <f aca="false">INDEX(Monthly!$C$59:$AL$59,($R$2-1)*12+1)</f>
        <v>-4280.38096891002</v>
      </c>
      <c r="I18" s="36" t="n">
        <f aca="false">INDEX(Monthly!$C$59:$AL$59,($R$2-1)*12+2)</f>
        <v>-4398.53538646076</v>
      </c>
      <c r="J18" s="36" t="n">
        <f aca="false">INDEX(Monthly!$C$59:$AL$59,($R$2-1)*12+3)</f>
        <v>-4516.27049328688</v>
      </c>
      <c r="K18" s="36" t="n">
        <f aca="false">INDEX(Monthly!$C$59:$AL$59,($R$2-1)*12+4)</f>
        <v>-4632.2826284885</v>
      </c>
      <c r="L18" s="36" t="n">
        <f aca="false">INDEX(Monthly!$C$59:$AL$59,($R$2-1)*12+5)</f>
        <v>-4746.59591366839</v>
      </c>
      <c r="M18" s="36" t="n">
        <f aca="false">INDEX(Monthly!$C$59:$AL$59,($R$2-1)*12+6)</f>
        <v>-4859.23413272682</v>
      </c>
      <c r="N18" s="36" t="n">
        <f aca="false">INDEX(Monthly!$C$59:$AL$59,($R$2-1)*12+7)</f>
        <v>-4970.22073658953</v>
      </c>
      <c r="O18" s="36" t="n">
        <f aca="false">INDEX(Monthly!$C$59:$AL$59,($R$2-1)*12+8)</f>
        <v>-5079.57884786923</v>
      </c>
      <c r="P18" s="36" t="n">
        <f aca="false">INDEX(Monthly!$C$59:$AL$59,($R$2-1)*12+9)</f>
        <v>-5187.33126546209</v>
      </c>
      <c r="Q18" s="36" t="n">
        <f aca="false">INDEX(Monthly!$C$59:$AL$59,($R$2-1)*12+10)</f>
        <v>-5293.50046907973</v>
      </c>
      <c r="R18" s="36" t="n">
        <f aca="false">INDEX(Monthly!$C$59:$AL$59,($R$2-1)*12+11)</f>
        <v>-5398.1086237178</v>
      </c>
      <c r="S18" s="36" t="n">
        <f aca="false">INDEX(Monthly!$C$59:$AL$59,($R$2-1)*12+12)</f>
        <v>-5501.17758406202</v>
      </c>
    </row>
    <row r="19" customFormat="false" ht="15" hidden="false" customHeight="false" outlineLevel="0" collapsed="false">
      <c r="A19" s="41" t="s">
        <v>50</v>
      </c>
      <c r="B19" s="42" t="n">
        <f aca="false">'P&amp;L'!B26</f>
        <v>221437.816522639</v>
      </c>
      <c r="C19" s="42" t="n">
        <f aca="false">'P&amp;L'!C26</f>
        <v>274821.515995506</v>
      </c>
      <c r="D19" s="42" t="n">
        <f aca="false">'P&amp;L'!D26</f>
        <v>332947.384369415</v>
      </c>
      <c r="E19" s="41"/>
      <c r="F19" s="41"/>
      <c r="H19" s="42" t="n">
        <f aca="false">INDEX(Monthly!$C$60:$AL$60,($R$2-1)*12+1)</f>
        <v>16102.3855497091</v>
      </c>
      <c r="I19" s="42" t="n">
        <f aca="false">INDEX(Monthly!$C$60:$AL$60,($R$2-1)*12+2)</f>
        <v>16546.8712157333</v>
      </c>
      <c r="J19" s="42" t="n">
        <f aca="false">INDEX(Monthly!$C$60:$AL$60,($R$2-1)*12+3)</f>
        <v>16989.7794747459</v>
      </c>
      <c r="K19" s="42" t="n">
        <f aca="false">INDEX(Monthly!$C$60:$AL$60,($R$2-1)*12+4)</f>
        <v>17426.2060785996</v>
      </c>
      <c r="L19" s="42" t="n">
        <f aca="false">INDEX(Monthly!$C$60:$AL$60,($R$2-1)*12+5)</f>
        <v>17856.2417704668</v>
      </c>
      <c r="M19" s="42" t="n">
        <f aca="false">INDEX(Monthly!$C$60:$AL$60,($R$2-1)*12+6)</f>
        <v>18279.9760231152</v>
      </c>
      <c r="N19" s="42" t="n">
        <f aca="false">INDEX(Monthly!$C$60:$AL$60,($R$2-1)*12+7)</f>
        <v>18697.4970566939</v>
      </c>
      <c r="O19" s="42" t="n">
        <f aca="false">INDEX(Monthly!$C$60:$AL$60,($R$2-1)*12+8)</f>
        <v>19108.8918562699</v>
      </c>
      <c r="P19" s="42" t="n">
        <f aca="false">INDEX(Monthly!$C$60:$AL$60,($R$2-1)*12+9)</f>
        <v>19514.2461891193</v>
      </c>
      <c r="Q19" s="42" t="n">
        <f aca="false">INDEX(Monthly!$C$60:$AL$60,($R$2-1)*12+10)</f>
        <v>19913.6446217761</v>
      </c>
      <c r="R19" s="42" t="n">
        <f aca="false">INDEX(Monthly!$C$60:$AL$60,($R$2-1)*12+11)</f>
        <v>20307.1705368431</v>
      </c>
      <c r="S19" s="42" t="n">
        <f aca="false">INDEX(Monthly!$C$60:$AL$60,($R$2-1)*12+12)</f>
        <v>20694.9061495666</v>
      </c>
    </row>
    <row r="20" customFormat="false" ht="15" hidden="false" customHeight="false" outlineLevel="0" collapsed="false">
      <c r="A20" s="39" t="s">
        <v>51</v>
      </c>
      <c r="B20" s="40" t="n">
        <f aca="false">'P&amp;L'!B27</f>
        <v>0.112103380359946</v>
      </c>
      <c r="C20" s="40" t="n">
        <f aca="false">'P&amp;L'!C27</f>
        <v>0.127875507695007</v>
      </c>
      <c r="D20" s="40" t="n">
        <f aca="false">'P&amp;L'!D27</f>
        <v>0.142447795866669</v>
      </c>
      <c r="H20" s="40" t="n">
        <f aca="false">IF(H7=0,0,H19/H7)</f>
        <v>0.100162903572101</v>
      </c>
      <c r="I20" s="40" t="n">
        <f aca="false">IF(I7=0,0,I19/I7)</f>
        <v>0.1024609358028</v>
      </c>
      <c r="J20" s="40" t="n">
        <f aca="false">IF(J7=0,0,J19/J7)</f>
        <v>0.104735113363787</v>
      </c>
      <c r="K20" s="40" t="n">
        <f aca="false">IF(K7=0,0,K19/K7)</f>
        <v>0.10695598804217</v>
      </c>
      <c r="L20" s="40" t="n">
        <f aca="false">IF(L7=0,0,L19/L7)</f>
        <v>0.109125127595983</v>
      </c>
      <c r="M20" s="40" t="n">
        <f aca="false">IF(M7=0,0,M19/M7)</f>
        <v>0.111244040009423</v>
      </c>
      <c r="N20" s="40" t="n">
        <f aca="false">IF(N7=0,0,N19/N7)</f>
        <v>0.113314176319891</v>
      </c>
      <c r="O20" s="40" t="n">
        <f aca="false">IF(O7=0,0,O19/O7)</f>
        <v>0.115336933285927</v>
      </c>
      <c r="P20" s="40" t="n">
        <f aca="false">IF(P7=0,0,P19/P7)</f>
        <v>0.117313655906364</v>
      </c>
      <c r="Q20" s="40" t="n">
        <f aca="false">IF(Q7=0,0,Q19/Q7)</f>
        <v>0.119245639800319</v>
      </c>
      <c r="R20" s="40" t="n">
        <f aca="false">IF(R7=0,0,R19/R7)</f>
        <v>0.121134133456885</v>
      </c>
      <c r="S20" s="40" t="n">
        <f aca="false">IF(S7=0,0,S19/S7)</f>
        <v>0.122980340362785</v>
      </c>
    </row>
    <row r="22" customFormat="false" ht="15.75" hidden="false" customHeight="true" outlineLevel="0" collapsed="false">
      <c r="A22" s="7" t="s">
        <v>82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5"/>
      <c r="F23" s="35"/>
      <c r="H23" s="51" t="n">
        <f aca="false">INDEX(Monthly!$C$4:$AL$4,($R$2-1)*12+1)</f>
        <v>1</v>
      </c>
      <c r="I23" s="51" t="n">
        <f aca="false">INDEX(Monthly!$C$4:$AL$4,($R$2-1)*12+2)</f>
        <v>2</v>
      </c>
      <c r="J23" s="51" t="n">
        <f aca="false">INDEX(Monthly!$C$4:$AL$4,($R$2-1)*12+3)</f>
        <v>3</v>
      </c>
      <c r="K23" s="51" t="n">
        <f aca="false">INDEX(Monthly!$C$4:$AL$4,($R$2-1)*12+4)</f>
        <v>4</v>
      </c>
      <c r="L23" s="51" t="n">
        <f aca="false">INDEX(Monthly!$C$4:$AL$4,($R$2-1)*12+5)</f>
        <v>5</v>
      </c>
      <c r="M23" s="51" t="n">
        <f aca="false">INDEX(Monthly!$C$4:$AL$4,($R$2-1)*12+6)</f>
        <v>6</v>
      </c>
      <c r="N23" s="51" t="n">
        <f aca="false">INDEX(Monthly!$C$4:$AL$4,($R$2-1)*12+7)</f>
        <v>7</v>
      </c>
      <c r="O23" s="51" t="n">
        <f aca="false">INDEX(Monthly!$C$4:$AL$4,($R$2-1)*12+8)</f>
        <v>8</v>
      </c>
      <c r="P23" s="51" t="n">
        <f aca="false">INDEX(Monthly!$C$4:$AL$4,($R$2-1)*12+9)</f>
        <v>9</v>
      </c>
      <c r="Q23" s="51" t="n">
        <f aca="false">INDEX(Monthly!$C$4:$AL$4,($R$2-1)*12+10)</f>
        <v>10</v>
      </c>
      <c r="R23" s="51" t="n">
        <f aca="false">INDEX(Monthly!$C$4:$AL$4,($R$2-1)*12+11)</f>
        <v>11</v>
      </c>
      <c r="S23" s="51" t="n">
        <f aca="false">INDEX(Monthly!$C$4:$AL$4,($R$2-1)*12+12)</f>
        <v>12</v>
      </c>
    </row>
    <row r="24" customFormat="false" ht="15" hidden="false" customHeight="false" outlineLevel="0" collapsed="false">
      <c r="A24" s="37" t="s">
        <v>52</v>
      </c>
      <c r="B24" s="38" t="n">
        <f aca="false">'Cash Flow'!B10</f>
        <v>147060.422837851</v>
      </c>
      <c r="C24" s="38" t="n">
        <f aca="false">'Cash Flow'!C10</f>
        <v>282618.635265625</v>
      </c>
      <c r="D24" s="38" t="n">
        <f aca="false">'Cash Flow'!D10</f>
        <v>344946.127551388</v>
      </c>
      <c r="E24" s="37"/>
      <c r="F24" s="37"/>
      <c r="H24" s="38" t="n">
        <f aca="false">INDEX(Monthly!$C$84:$AL$84,($R$2-1)*12+1)</f>
        <v>-64556.3520084263</v>
      </c>
      <c r="I24" s="38" t="n">
        <f aca="false">INDEX(Monthly!$C$84:$AL$84,($R$2-1)*12+2)</f>
        <v>16946.2011055272</v>
      </c>
      <c r="J24" s="38" t="n">
        <f aca="false">INDEX(Monthly!$C$84:$AL$84,($R$2-1)*12+3)</f>
        <v>17423.2916464488</v>
      </c>
      <c r="K24" s="38" t="n">
        <f aca="false">INDEX(Monthly!$C$84:$AL$84,($R$2-1)*12+4)</f>
        <v>17893.9546832597</v>
      </c>
      <c r="L24" s="38" t="n">
        <f aca="false">INDEX(Monthly!$C$84:$AL$84,($R$2-1)*12+5)</f>
        <v>18358.2802010174</v>
      </c>
      <c r="M24" s="38" t="n">
        <f aca="false">INDEX(Monthly!$C$84:$AL$84,($R$2-1)*12+6)</f>
        <v>18816.3569249889</v>
      </c>
      <c r="N24" s="38" t="n">
        <f aca="false">INDEX(Monthly!$C$84:$AL$84,($R$2-1)*12+7)</f>
        <v>19268.272338287</v>
      </c>
      <c r="O24" s="38" t="n">
        <f aca="false">INDEX(Monthly!$C$84:$AL$84,($R$2-1)*12+8)</f>
        <v>19714.1126992611</v>
      </c>
      <c r="P24" s="38" t="n">
        <f aca="false">INDEX(Monthly!$C$84:$AL$84,($R$2-1)*12+9)</f>
        <v>20153.9630586439</v>
      </c>
      <c r="Q24" s="38" t="n">
        <f aca="false">INDEX(Monthly!$C$84:$AL$84,($R$2-1)*12+10)</f>
        <v>20587.9072764576</v>
      </c>
      <c r="R24" s="38" t="n">
        <f aca="false">INDEX(Monthly!$C$84:$AL$84,($R$2-1)*12+11)</f>
        <v>21016.0280386842</v>
      </c>
      <c r="S24" s="38" t="n">
        <f aca="false">INDEX(Monthly!$C$84:$AL$84,($R$2-1)*12+12)</f>
        <v>21438.4068737018</v>
      </c>
    </row>
    <row r="25" customFormat="false" ht="15" hidden="false" customHeight="false" outlineLevel="0" collapsed="false">
      <c r="A25" s="52" t="s">
        <v>83</v>
      </c>
      <c r="B25" s="36" t="n">
        <f aca="false">'Cash Flow'!B11</f>
        <v>-89629.5012440711</v>
      </c>
      <c r="C25" s="36" t="n">
        <f aca="false">'Cash Flow'!C11</f>
        <v>-32236.9999872427</v>
      </c>
      <c r="D25" s="36" t="n">
        <f aca="false">'Cash Flow'!D11</f>
        <v>-35059.937117004</v>
      </c>
      <c r="H25" s="36" t="n">
        <f aca="false">INDEX(Monthly!$C$85:$AL$85,($R$2-1)*12+1)</f>
        <v>-62411.4295276172</v>
      </c>
      <c r="I25" s="36" t="n">
        <f aca="false">INDEX(Monthly!$C$85:$AL$85,($R$2-1)*12+2)</f>
        <v>-2422.4165657993</v>
      </c>
      <c r="J25" s="36" t="n">
        <f aca="false">INDEX(Monthly!$C$85:$AL$85,($R$2-1)*12+3)</f>
        <v>-2433.24978544686</v>
      </c>
      <c r="K25" s="36" t="n">
        <f aca="false">INDEX(Monthly!$C$85:$AL$85,($R$2-1)*12+4)</f>
        <v>-2443.93134001935</v>
      </c>
      <c r="L25" s="36" t="n">
        <f aca="false">INDEX(Monthly!$C$85:$AL$85,($R$2-1)*12+5)</f>
        <v>-2454.46335282783</v>
      </c>
      <c r="M25" s="36" t="n">
        <f aca="false">INDEX(Monthly!$C$85:$AL$85,($R$2-1)*12+6)</f>
        <v>-2464.84791745699</v>
      </c>
      <c r="N25" s="36" t="n">
        <f aca="false">INDEX(Monthly!$C$85:$AL$85,($R$2-1)*12+7)</f>
        <v>-2475.08709818134</v>
      </c>
      <c r="O25" s="36" t="n">
        <f aca="false">INDEX(Monthly!$C$85:$AL$85,($R$2-1)*12+8)</f>
        <v>-2485.18293037555</v>
      </c>
      <c r="P25" s="36" t="n">
        <f aca="false">INDEX(Monthly!$C$85:$AL$85,($R$2-1)*12+9)</f>
        <v>-2495.13742091905</v>
      </c>
      <c r="Q25" s="36" t="n">
        <f aca="false">INDEX(Monthly!$C$85:$AL$85,($R$2-1)*12+10)</f>
        <v>-2504.95254859493</v>
      </c>
      <c r="R25" s="36" t="n">
        <f aca="false">INDEX(Monthly!$C$85:$AL$85,($R$2-1)*12+11)</f>
        <v>-2514.63026448335</v>
      </c>
      <c r="S25" s="36" t="n">
        <f aca="false">INDEX(Monthly!$C$85:$AL$85,($R$2-1)*12+12)</f>
        <v>-2524.17249234933</v>
      </c>
    </row>
    <row r="26" customFormat="false" ht="15" hidden="false" customHeight="false" outlineLevel="0" collapsed="false">
      <c r="A26" s="52" t="s">
        <v>63</v>
      </c>
      <c r="B26" s="36" t="n">
        <f aca="false">'Cash Flow'!B12</f>
        <v>100000</v>
      </c>
      <c r="C26" s="36" t="n">
        <f aca="false">'Cash Flow'!C12</f>
        <v>0</v>
      </c>
      <c r="D26" s="36" t="n">
        <f aca="false">'Cash Flow'!D12</f>
        <v>0</v>
      </c>
      <c r="H26" s="36" t="n">
        <f aca="false">INDEX(Monthly!$C$86:$AL$86,($R$2-1)*12+1)</f>
        <v>100000</v>
      </c>
      <c r="I26" s="36" t="n">
        <f aca="false">INDEX(Monthly!$C$86:$AL$86,($R$2-1)*12+2)</f>
        <v>0</v>
      </c>
      <c r="J26" s="36" t="n">
        <f aca="false">INDEX(Monthly!$C$86:$AL$86,($R$2-1)*12+3)</f>
        <v>0</v>
      </c>
      <c r="K26" s="36" t="n">
        <f aca="false">INDEX(Monthly!$C$86:$AL$86,($R$2-1)*12+4)</f>
        <v>0</v>
      </c>
      <c r="L26" s="36" t="n">
        <f aca="false">INDEX(Monthly!$C$86:$AL$86,($R$2-1)*12+5)</f>
        <v>0</v>
      </c>
      <c r="M26" s="36" t="n">
        <f aca="false">INDEX(Monthly!$C$86:$AL$86,($R$2-1)*12+6)</f>
        <v>0</v>
      </c>
      <c r="N26" s="36" t="n">
        <f aca="false">INDEX(Monthly!$C$86:$AL$86,($R$2-1)*12+7)</f>
        <v>0</v>
      </c>
      <c r="O26" s="36" t="n">
        <f aca="false">INDEX(Monthly!$C$86:$AL$86,($R$2-1)*12+8)</f>
        <v>0</v>
      </c>
      <c r="P26" s="36" t="n">
        <f aca="false">INDEX(Monthly!$C$86:$AL$86,($R$2-1)*12+9)</f>
        <v>0</v>
      </c>
      <c r="Q26" s="36" t="n">
        <f aca="false">INDEX(Monthly!$C$86:$AL$86,($R$2-1)*12+10)</f>
        <v>0</v>
      </c>
      <c r="R26" s="36" t="n">
        <f aca="false">INDEX(Monthly!$C$86:$AL$86,($R$2-1)*12+11)</f>
        <v>0</v>
      </c>
      <c r="S26" s="36" t="n">
        <f aca="false">INDEX(Monthly!$C$86:$AL$86,($R$2-1)*12+12)</f>
        <v>0</v>
      </c>
    </row>
    <row r="27" customFormat="false" ht="15" hidden="false" customHeight="false" outlineLevel="0" collapsed="false">
      <c r="A27" s="52" t="s">
        <v>84</v>
      </c>
      <c r="B27" s="36" t="n">
        <f aca="false">'Cash Flow'!B13</f>
        <v>150000</v>
      </c>
      <c r="C27" s="36" t="n">
        <f aca="false">'Cash Flow'!C13</f>
        <v>0</v>
      </c>
      <c r="D27" s="36" t="n">
        <f aca="false">'Cash Flow'!D13</f>
        <v>0</v>
      </c>
      <c r="H27" s="36" t="n">
        <f aca="false">INDEX(Monthly!$C$71:$AL$71,($R$2-1)*12+1)</f>
        <v>150000</v>
      </c>
      <c r="I27" s="36" t="n">
        <f aca="false">INDEX(Monthly!$C$71:$AL$71,($R$2-1)*12+2)</f>
        <v>0</v>
      </c>
      <c r="J27" s="36" t="n">
        <f aca="false">INDEX(Monthly!$C$71:$AL$71,($R$2-1)*12+3)</f>
        <v>0</v>
      </c>
      <c r="K27" s="36" t="n">
        <f aca="false">INDEX(Monthly!$C$71:$AL$71,($R$2-1)*12+4)</f>
        <v>0</v>
      </c>
      <c r="L27" s="36" t="n">
        <f aca="false">INDEX(Monthly!$C$71:$AL$71,($R$2-1)*12+5)</f>
        <v>0</v>
      </c>
      <c r="M27" s="36" t="n">
        <f aca="false">INDEX(Monthly!$C$71:$AL$71,($R$2-1)*12+6)</f>
        <v>0</v>
      </c>
      <c r="N27" s="36" t="n">
        <f aca="false">INDEX(Monthly!$C$71:$AL$71,($R$2-1)*12+7)</f>
        <v>0</v>
      </c>
      <c r="O27" s="36" t="n">
        <f aca="false">INDEX(Monthly!$C$71:$AL$71,($R$2-1)*12+8)</f>
        <v>0</v>
      </c>
      <c r="P27" s="36" t="n">
        <f aca="false">INDEX(Monthly!$C$71:$AL$71,($R$2-1)*12+9)</f>
        <v>0</v>
      </c>
      <c r="Q27" s="36" t="n">
        <f aca="false">INDEX(Monthly!$C$71:$AL$71,($R$2-1)*12+10)</f>
        <v>0</v>
      </c>
      <c r="R27" s="36" t="n">
        <f aca="false">INDEX(Monthly!$C$71:$AL$71,($R$2-1)*12+11)</f>
        <v>0</v>
      </c>
      <c r="S27" s="36" t="n">
        <f aca="false">INDEX(Monthly!$C$71:$AL$71,($R$2-1)*12+12)</f>
        <v>0</v>
      </c>
    </row>
    <row r="28" customFormat="false" ht="15" hidden="false" customHeight="false" outlineLevel="0" collapsed="false">
      <c r="A28" s="52" t="s">
        <v>85</v>
      </c>
      <c r="B28" s="36" t="n">
        <f aca="false">'Cash Flow'!B14</f>
        <v>-19642.8571428571</v>
      </c>
      <c r="C28" s="36" t="n">
        <f aca="false">'Cash Flow'!C14</f>
        <v>-21428.5714285714</v>
      </c>
      <c r="D28" s="36" t="n">
        <f aca="false">'Cash Flow'!D14</f>
        <v>-21428.5714285714</v>
      </c>
      <c r="H28" s="36" t="n">
        <f aca="false">INDEX(Monthly!$C$72:$AL$72,($R$2-1)*12+1)</f>
        <v>-0</v>
      </c>
      <c r="I28" s="36" t="n">
        <f aca="false">INDEX(Monthly!$C$72:$AL$72,($R$2-1)*12+2)</f>
        <v>-1785.71428571429</v>
      </c>
      <c r="J28" s="36" t="n">
        <f aca="false">INDEX(Monthly!$C$72:$AL$72,($R$2-1)*12+3)</f>
        <v>-1785.71428571429</v>
      </c>
      <c r="K28" s="36" t="n">
        <f aca="false">INDEX(Monthly!$C$72:$AL$72,($R$2-1)*12+4)</f>
        <v>-1785.71428571429</v>
      </c>
      <c r="L28" s="36" t="n">
        <f aca="false">INDEX(Monthly!$C$72:$AL$72,($R$2-1)*12+5)</f>
        <v>-1785.71428571429</v>
      </c>
      <c r="M28" s="36" t="n">
        <f aca="false">INDEX(Monthly!$C$72:$AL$72,($R$2-1)*12+6)</f>
        <v>-1785.71428571429</v>
      </c>
      <c r="N28" s="36" t="n">
        <f aca="false">INDEX(Monthly!$C$72:$AL$72,($R$2-1)*12+7)</f>
        <v>-1785.71428571429</v>
      </c>
      <c r="O28" s="36" t="n">
        <f aca="false">INDEX(Monthly!$C$72:$AL$72,($R$2-1)*12+8)</f>
        <v>-1785.71428571429</v>
      </c>
      <c r="P28" s="36" t="n">
        <f aca="false">INDEX(Monthly!$C$72:$AL$72,($R$2-1)*12+9)</f>
        <v>-1785.71428571429</v>
      </c>
      <c r="Q28" s="36" t="n">
        <f aca="false">INDEX(Monthly!$C$72:$AL$72,($R$2-1)*12+10)</f>
        <v>-1785.71428571429</v>
      </c>
      <c r="R28" s="36" t="n">
        <f aca="false">INDEX(Monthly!$C$72:$AL$72,($R$2-1)*12+11)</f>
        <v>-1785.71428571429</v>
      </c>
      <c r="S28" s="36" t="n">
        <f aca="false">INDEX(Monthly!$C$72:$AL$72,($R$2-1)*12+12)</f>
        <v>-1785.71428571429</v>
      </c>
    </row>
    <row r="29" customFormat="false" ht="15" hidden="false" customHeight="false" outlineLevel="0" collapsed="false">
      <c r="A29" s="37" t="s">
        <v>54</v>
      </c>
      <c r="B29" s="38" t="n">
        <f aca="false">'Cash Flow'!B15</f>
        <v>230357.142857143</v>
      </c>
      <c r="C29" s="38" t="n">
        <f aca="false">'Cash Flow'!C15</f>
        <v>-21428.5714285714</v>
      </c>
      <c r="D29" s="38" t="n">
        <f aca="false">'Cash Flow'!D15</f>
        <v>-21428.5714285714</v>
      </c>
      <c r="E29" s="37"/>
      <c r="F29" s="37"/>
      <c r="H29" s="38" t="n">
        <f aca="false">INDEX(Monthly!$C$87:$AL$87,($R$2-1)*12+1)</f>
        <v>250000</v>
      </c>
      <c r="I29" s="38" t="n">
        <f aca="false">INDEX(Monthly!$C$87:$AL$87,($R$2-1)*12+2)</f>
        <v>-1785.71428571429</v>
      </c>
      <c r="J29" s="38" t="n">
        <f aca="false">INDEX(Monthly!$C$87:$AL$87,($R$2-1)*12+3)</f>
        <v>-1785.71428571429</v>
      </c>
      <c r="K29" s="38" t="n">
        <f aca="false">INDEX(Monthly!$C$87:$AL$87,($R$2-1)*12+4)</f>
        <v>-1785.71428571429</v>
      </c>
      <c r="L29" s="38" t="n">
        <f aca="false">INDEX(Monthly!$C$87:$AL$87,($R$2-1)*12+5)</f>
        <v>-1785.71428571429</v>
      </c>
      <c r="M29" s="38" t="n">
        <f aca="false">INDEX(Monthly!$C$87:$AL$87,($R$2-1)*12+6)</f>
        <v>-1785.71428571429</v>
      </c>
      <c r="N29" s="38" t="n">
        <f aca="false">INDEX(Monthly!$C$87:$AL$87,($R$2-1)*12+7)</f>
        <v>-1785.71428571429</v>
      </c>
      <c r="O29" s="38" t="n">
        <f aca="false">INDEX(Monthly!$C$87:$AL$87,($R$2-1)*12+8)</f>
        <v>-1785.71428571429</v>
      </c>
      <c r="P29" s="38" t="n">
        <f aca="false">INDEX(Monthly!$C$87:$AL$87,($R$2-1)*12+9)</f>
        <v>-1785.71428571429</v>
      </c>
      <c r="Q29" s="38" t="n">
        <f aca="false">INDEX(Monthly!$C$87:$AL$87,($R$2-1)*12+10)</f>
        <v>-1785.71428571429</v>
      </c>
      <c r="R29" s="38" t="n">
        <f aca="false">INDEX(Monthly!$C$87:$AL$87,($R$2-1)*12+11)</f>
        <v>-1785.71428571429</v>
      </c>
      <c r="S29" s="38" t="n">
        <f aca="false">INDEX(Monthly!$C$87:$AL$87,($R$2-1)*12+12)</f>
        <v>-1785.71428571429</v>
      </c>
    </row>
    <row r="30" customFormat="false" ht="15" hidden="false" customHeight="false" outlineLevel="0" collapsed="false">
      <c r="A30" s="37" t="s">
        <v>55</v>
      </c>
      <c r="B30" s="38" t="n">
        <f aca="false">'Cash Flow'!B16</f>
        <v>287788.064450923</v>
      </c>
      <c r="C30" s="38" t="n">
        <f aca="false">'Cash Flow'!C16</f>
        <v>228953.063849811</v>
      </c>
      <c r="D30" s="38" t="n">
        <f aca="false">'Cash Flow'!D16</f>
        <v>288457.619005813</v>
      </c>
      <c r="E30" s="37"/>
      <c r="F30" s="37"/>
      <c r="H30" s="38" t="n">
        <f aca="false">INDEX(Monthly!$C$88:$AL$88,($R$2-1)*12+1)</f>
        <v>123032.218463956</v>
      </c>
      <c r="I30" s="38" t="n">
        <f aca="false">INDEX(Monthly!$C$88:$AL$88,($R$2-1)*12+2)</f>
        <v>12738.0702540136</v>
      </c>
      <c r="J30" s="38" t="n">
        <f aca="false">INDEX(Monthly!$C$88:$AL$88,($R$2-1)*12+3)</f>
        <v>13204.3275752876</v>
      </c>
      <c r="K30" s="38" t="n">
        <f aca="false">INDEX(Monthly!$C$88:$AL$88,($R$2-1)*12+4)</f>
        <v>13664.309057526</v>
      </c>
      <c r="L30" s="38" t="n">
        <f aca="false">INDEX(Monthly!$C$88:$AL$88,($R$2-1)*12+5)</f>
        <v>14118.1025624753</v>
      </c>
      <c r="M30" s="38" t="n">
        <f aca="false">INDEX(Monthly!$C$88:$AL$88,($R$2-1)*12+6)</f>
        <v>14565.7947218176</v>
      </c>
      <c r="N30" s="38" t="n">
        <f aca="false">INDEX(Monthly!$C$88:$AL$88,($R$2-1)*12+7)</f>
        <v>15007.4709543913</v>
      </c>
      <c r="O30" s="38" t="n">
        <f aca="false">INDEX(Monthly!$C$88:$AL$88,($R$2-1)*12+8)</f>
        <v>15443.2154831713</v>
      </c>
      <c r="P30" s="38" t="n">
        <f aca="false">INDEX(Monthly!$C$88:$AL$88,($R$2-1)*12+9)</f>
        <v>15873.1113520106</v>
      </c>
      <c r="Q30" s="38" t="n">
        <f aca="false">INDEX(Monthly!$C$88:$AL$88,($R$2-1)*12+10)</f>
        <v>16297.2404421484</v>
      </c>
      <c r="R30" s="38" t="n">
        <f aca="false">INDEX(Monthly!$C$88:$AL$88,($R$2-1)*12+11)</f>
        <v>16715.6834884865</v>
      </c>
      <c r="S30" s="38" t="n">
        <f aca="false">INDEX(Monthly!$C$88:$AL$88,($R$2-1)*12+12)</f>
        <v>17128.5200956382</v>
      </c>
    </row>
    <row r="31" customFormat="false" ht="15" hidden="false" customHeight="false" outlineLevel="0" collapsed="false">
      <c r="A31" s="41" t="s">
        <v>86</v>
      </c>
      <c r="B31" s="42" t="n">
        <f aca="false">'Cash Flow'!B18</f>
        <v>287788.064450923</v>
      </c>
      <c r="C31" s="42" t="n">
        <f aca="false">'Cash Flow'!C18</f>
        <v>516741.128300734</v>
      </c>
      <c r="D31" s="42" t="n">
        <f aca="false">'Cash Flow'!D18</f>
        <v>805198.747306546</v>
      </c>
      <c r="E31" s="41"/>
      <c r="F31" s="41"/>
      <c r="H31" s="42" t="n">
        <f aca="false">INDEX(Monthly!$C$90:$AL$90,($R$2-1)*12+1)</f>
        <v>123032.218463956</v>
      </c>
      <c r="I31" s="42" t="n">
        <f aca="false">INDEX(Monthly!$C$90:$AL$90,($R$2-1)*12+2)</f>
        <v>135770.28871797</v>
      </c>
      <c r="J31" s="42" t="n">
        <f aca="false">INDEX(Monthly!$C$90:$AL$90,($R$2-1)*12+3)</f>
        <v>148974.616293258</v>
      </c>
      <c r="K31" s="42" t="n">
        <f aca="false">INDEX(Monthly!$C$90:$AL$90,($R$2-1)*12+4)</f>
        <v>162638.925350784</v>
      </c>
      <c r="L31" s="42" t="n">
        <f aca="false">INDEX(Monthly!$C$90:$AL$90,($R$2-1)*12+5)</f>
        <v>176757.027913259</v>
      </c>
      <c r="M31" s="42" t="n">
        <f aca="false">INDEX(Monthly!$C$90:$AL$90,($R$2-1)*12+6)</f>
        <v>191322.822635077</v>
      </c>
      <c r="N31" s="42" t="n">
        <f aca="false">INDEX(Monthly!$C$90:$AL$90,($R$2-1)*12+7)</f>
        <v>206330.293589468</v>
      </c>
      <c r="O31" s="42" t="n">
        <f aca="false">INDEX(Monthly!$C$90:$AL$90,($R$2-1)*12+8)</f>
        <v>221773.509072639</v>
      </c>
      <c r="P31" s="42" t="n">
        <f aca="false">INDEX(Monthly!$C$90:$AL$90,($R$2-1)*12+9)</f>
        <v>237646.62042465</v>
      </c>
      <c r="Q31" s="42" t="n">
        <f aca="false">INDEX(Monthly!$C$90:$AL$90,($R$2-1)*12+10)</f>
        <v>253943.860866798</v>
      </c>
      <c r="R31" s="42" t="n">
        <f aca="false">INDEX(Monthly!$C$90:$AL$90,($R$2-1)*12+11)</f>
        <v>270659.544355285</v>
      </c>
      <c r="S31" s="42" t="n">
        <f aca="false">INDEX(Monthly!$C$90:$AL$90,($R$2-1)*12+12)</f>
        <v>287788.064450923</v>
      </c>
    </row>
    <row r="39" customFormat="false" ht="15.75" hidden="false" customHeight="true" outlineLevel="0" collapsed="false">
      <c r="A39" s="7" t="s">
        <v>87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5"/>
      <c r="F40" s="35"/>
      <c r="H40" s="51" t="n">
        <f aca="false">INDEX(Monthly!$C$4:$AL$4,($R$2-1)*12+1)</f>
        <v>1</v>
      </c>
      <c r="I40" s="51" t="n">
        <f aca="false">INDEX(Monthly!$C$4:$AL$4,($R$2-1)*12+2)</f>
        <v>2</v>
      </c>
      <c r="J40" s="51" t="n">
        <f aca="false">INDEX(Monthly!$C$4:$AL$4,($R$2-1)*12+3)</f>
        <v>3</v>
      </c>
      <c r="K40" s="51" t="n">
        <f aca="false">INDEX(Monthly!$C$4:$AL$4,($R$2-1)*12+4)</f>
        <v>4</v>
      </c>
      <c r="L40" s="51" t="n">
        <f aca="false">INDEX(Monthly!$C$4:$AL$4,($R$2-1)*12+5)</f>
        <v>5</v>
      </c>
      <c r="M40" s="51" t="n">
        <f aca="false">INDEX(Monthly!$C$4:$AL$4,($R$2-1)*12+6)</f>
        <v>6</v>
      </c>
      <c r="N40" s="51" t="n">
        <f aca="false">INDEX(Monthly!$C$4:$AL$4,($R$2-1)*12+7)</f>
        <v>7</v>
      </c>
      <c r="O40" s="51" t="n">
        <f aca="false">INDEX(Monthly!$C$4:$AL$4,($R$2-1)*12+8)</f>
        <v>8</v>
      </c>
      <c r="P40" s="51" t="n">
        <f aca="false">INDEX(Monthly!$C$4:$AL$4,($R$2-1)*12+9)</f>
        <v>9</v>
      </c>
      <c r="Q40" s="51" t="n">
        <f aca="false">INDEX(Monthly!$C$4:$AL$4,($R$2-1)*12+10)</f>
        <v>10</v>
      </c>
      <c r="R40" s="51" t="n">
        <f aca="false">INDEX(Monthly!$C$4:$AL$4,($R$2-1)*12+11)</f>
        <v>11</v>
      </c>
      <c r="S40" s="51" t="n">
        <f aca="false">INDEX(Monthly!$C$4:$AL$4,($R$2-1)*12+12)</f>
        <v>12</v>
      </c>
    </row>
    <row r="41" customFormat="false" ht="15" hidden="false" customHeight="false" outlineLevel="0" collapsed="false">
      <c r="A41" s="52" t="s">
        <v>88</v>
      </c>
      <c r="B41" s="36" t="n">
        <f aca="false">'Balance Sheet'!B5</f>
        <v>287788.064450923</v>
      </c>
      <c r="C41" s="36" t="n">
        <f aca="false">'Balance Sheet'!C5</f>
        <v>516741.128300734</v>
      </c>
      <c r="D41" s="36" t="n">
        <f aca="false">'Balance Sheet'!D5</f>
        <v>805198.747306546</v>
      </c>
      <c r="H41" s="36" t="n">
        <f aca="false">INDEX(Monthly!$C$90:$AL$90,($R$2-1)*12+1)</f>
        <v>123032.218463956</v>
      </c>
      <c r="I41" s="36" t="n">
        <f aca="false">INDEX(Monthly!$C$90:$AL$90,($R$2-1)*12+2)</f>
        <v>135770.28871797</v>
      </c>
      <c r="J41" s="36" t="n">
        <f aca="false">INDEX(Monthly!$C$90:$AL$90,($R$2-1)*12+3)</f>
        <v>148974.616293258</v>
      </c>
      <c r="K41" s="36" t="n">
        <f aca="false">INDEX(Monthly!$C$90:$AL$90,($R$2-1)*12+4)</f>
        <v>162638.925350784</v>
      </c>
      <c r="L41" s="36" t="n">
        <f aca="false">INDEX(Monthly!$C$90:$AL$90,($R$2-1)*12+5)</f>
        <v>176757.027913259</v>
      </c>
      <c r="M41" s="36" t="n">
        <f aca="false">INDEX(Monthly!$C$90:$AL$90,($R$2-1)*12+6)</f>
        <v>191322.822635077</v>
      </c>
      <c r="N41" s="36" t="n">
        <f aca="false">INDEX(Monthly!$C$90:$AL$90,($R$2-1)*12+7)</f>
        <v>206330.293589468</v>
      </c>
      <c r="O41" s="36" t="n">
        <f aca="false">INDEX(Monthly!$C$90:$AL$90,($R$2-1)*12+8)</f>
        <v>221773.509072639</v>
      </c>
      <c r="P41" s="36" t="n">
        <f aca="false">INDEX(Monthly!$C$90:$AL$90,($R$2-1)*12+9)</f>
        <v>237646.62042465</v>
      </c>
      <c r="Q41" s="36" t="n">
        <f aca="false">INDEX(Monthly!$C$90:$AL$90,($R$2-1)*12+10)</f>
        <v>253943.860866798</v>
      </c>
      <c r="R41" s="36" t="n">
        <f aca="false">INDEX(Monthly!$C$90:$AL$90,($R$2-1)*12+11)</f>
        <v>270659.544355285</v>
      </c>
      <c r="S41" s="36" t="n">
        <f aca="false">INDEX(Monthly!$C$90:$AL$90,($R$2-1)*12+12)</f>
        <v>287788.064450923</v>
      </c>
    </row>
    <row r="42" customFormat="false" ht="15" hidden="false" customHeight="false" outlineLevel="0" collapsed="false">
      <c r="A42" s="52" t="s">
        <v>89</v>
      </c>
      <c r="B42" s="36" t="n">
        <f aca="false">'Balance Sheet'!B6</f>
        <v>95357.6274887526</v>
      </c>
      <c r="C42" s="36" t="n">
        <f aca="false">'Balance Sheet'!C6</f>
        <v>103729.392248324</v>
      </c>
      <c r="D42" s="36" t="n">
        <f aca="false">'Balance Sheet'!D6</f>
        <v>112795.591823438</v>
      </c>
      <c r="H42" s="36" t="n">
        <f aca="false">INDEX(Monthly!$C$76:$AL$76,($R$2-1)*12+1)</f>
        <v>91098.4488210937</v>
      </c>
      <c r="I42" s="36" t="n">
        <f aca="false">INDEX(Monthly!$C$76:$AL$76,($R$2-1)*12+2)</f>
        <v>91513.5147079734</v>
      </c>
      <c r="J42" s="36" t="n">
        <f aca="false">INDEX(Monthly!$C$76:$AL$76,($R$2-1)*12+3)</f>
        <v>91922.7696724368</v>
      </c>
      <c r="K42" s="36" t="n">
        <f aca="false">INDEX(Monthly!$C$76:$AL$76,($R$2-1)*12+4)</f>
        <v>92326.2950673977</v>
      </c>
      <c r="L42" s="36" t="n">
        <f aca="false">INDEX(Monthly!$C$76:$AL$76,($R$2-1)*12+5)</f>
        <v>92724.1711068291</v>
      </c>
      <c r="M42" s="36" t="n">
        <f aca="false">INDEX(Monthly!$C$76:$AL$76,($R$2-1)*12+6)</f>
        <v>93116.4768817085</v>
      </c>
      <c r="N42" s="36" t="n">
        <f aca="false">INDEX(Monthly!$C$76:$AL$76,($R$2-1)*12+7)</f>
        <v>93503.2903757396</v>
      </c>
      <c r="O42" s="36" t="n">
        <f aca="false">INDEX(Monthly!$C$76:$AL$76,($R$2-1)*12+8)</f>
        <v>93884.6884808543</v>
      </c>
      <c r="P42" s="36" t="n">
        <f aca="false">INDEX(Monthly!$C$76:$AL$76,($R$2-1)*12+9)</f>
        <v>94260.7470124973</v>
      </c>
      <c r="Q42" s="36" t="n">
        <f aca="false">INDEX(Monthly!$C$76:$AL$76,($R$2-1)*12+10)</f>
        <v>94631.5407246973</v>
      </c>
      <c r="R42" s="36" t="n">
        <f aca="false">INDEX(Monthly!$C$76:$AL$76,($R$2-1)*12+11)</f>
        <v>94997.1433249266</v>
      </c>
      <c r="S42" s="36" t="n">
        <f aca="false">INDEX(Monthly!$C$76:$AL$76,($R$2-1)*12+12)</f>
        <v>95357.6274887526</v>
      </c>
    </row>
    <row r="43" customFormat="false" ht="15" hidden="false" customHeight="false" outlineLevel="0" collapsed="false">
      <c r="A43" s="52" t="s">
        <v>90</v>
      </c>
      <c r="B43" s="36" t="n">
        <f aca="false">'Balance Sheet'!B7</f>
        <v>9353.99014534766</v>
      </c>
      <c r="C43" s="36" t="n">
        <f aca="false">'Balance Sheet'!C7</f>
        <v>10174.5592938742</v>
      </c>
      <c r="D43" s="36" t="n">
        <f aca="false">'Balance Sheet'!D7</f>
        <v>11063.2832248888</v>
      </c>
      <c r="H43" s="36" t="n">
        <f aca="false">INDEX(Monthly!$C$77:$AL$77,($R$2-1)*12+1)</f>
        <v>8950.81666550417</v>
      </c>
      <c r="I43" s="36" t="n">
        <f aca="false">INDEX(Monthly!$C$77:$AL$77,($R$2-1)*12+2)</f>
        <v>8990.10676602244</v>
      </c>
      <c r="J43" s="36" t="n">
        <f aca="false">INDEX(Monthly!$C$77:$AL$77,($R$2-1)*12+3)</f>
        <v>9028.84680513346</v>
      </c>
      <c r="K43" s="36" t="n">
        <f aca="false">INDEX(Monthly!$C$77:$AL$77,($R$2-1)*12+4)</f>
        <v>9067.04448369693</v>
      </c>
      <c r="L43" s="36" t="n">
        <f aca="false">INDEX(Monthly!$C$77:$AL$77,($R$2-1)*12+5)</f>
        <v>9104.7073947605</v>
      </c>
      <c r="M43" s="36" t="n">
        <f aca="false">INDEX(Monthly!$C$77:$AL$77,($R$2-1)*12+6)</f>
        <v>9141.84302506919</v>
      </c>
      <c r="N43" s="36" t="n">
        <f aca="false">INDEX(Monthly!$C$77:$AL$77,($R$2-1)*12+7)</f>
        <v>9178.45875655356</v>
      </c>
      <c r="O43" s="36" t="n">
        <f aca="false">INDEX(Monthly!$C$77:$AL$77,($R$2-1)*12+8)</f>
        <v>9214.56186779714</v>
      </c>
      <c r="P43" s="36" t="n">
        <f aca="false">INDEX(Monthly!$C$77:$AL$77,($R$2-1)*12+9)</f>
        <v>9250.15953548331</v>
      </c>
      <c r="Q43" s="36" t="n">
        <f aca="false">INDEX(Monthly!$C$77:$AL$77,($R$2-1)*12+10)</f>
        <v>9285.25883582188</v>
      </c>
      <c r="R43" s="36" t="n">
        <f aca="false">INDEX(Monthly!$C$77:$AL$77,($R$2-1)*12+11)</f>
        <v>9319.86674595571</v>
      </c>
      <c r="S43" s="36" t="n">
        <f aca="false">INDEX(Monthly!$C$77:$AL$77,($R$2-1)*12+12)</f>
        <v>9353.99014534766</v>
      </c>
    </row>
    <row r="44" customFormat="false" ht="15" hidden="false" customHeight="false" outlineLevel="0" collapsed="false">
      <c r="A44" s="52" t="s">
        <v>91</v>
      </c>
      <c r="B44" s="36" t="n">
        <f aca="false">'Balance Sheet'!B8</f>
        <v>78782.7567642329</v>
      </c>
      <c r="C44" s="36" t="n">
        <f aca="false">'Balance Sheet'!C8</f>
        <v>95739.8226326892</v>
      </c>
      <c r="D44" s="36" t="n">
        <f aca="false">'Balance Sheet'!D8</f>
        <v>110697.601251204</v>
      </c>
      <c r="H44" s="36" t="n">
        <f aca="false">INDEX(Monthly!$C$67:$AL$67,($R$2-1)*12+1)</f>
        <v>61668.4363189551</v>
      </c>
      <c r="I44" s="36" t="n">
        <f aca="false">INDEX(Monthly!$C$67:$AL$67,($R$2-1)*12+2)</f>
        <v>63319.0213836423</v>
      </c>
      <c r="J44" s="36" t="n">
        <f aca="false">INDEX(Monthly!$C$67:$AL$67,($R$2-1)*12+3)</f>
        <v>64951.4724086265</v>
      </c>
      <c r="K44" s="36" t="n">
        <f aca="false">INDEX(Monthly!$C$67:$AL$67,($R$2-1)*12+4)</f>
        <v>66565.5105674687</v>
      </c>
      <c r="L44" s="36" t="n">
        <f aca="false">INDEX(Monthly!$C$67:$AL$67,($R$2-1)*12+5)</f>
        <v>68160.8609372999</v>
      </c>
      <c r="M44" s="36" t="n">
        <f aca="false">INDEX(Monthly!$C$67:$AL$67,($R$2-1)*12+6)</f>
        <v>69737.2524441716</v>
      </c>
      <c r="N44" s="36" t="n">
        <f aca="false">INDEX(Monthly!$C$67:$AL$67,($R$2-1)*12+7)</f>
        <v>71294.4178091702</v>
      </c>
      <c r="O44" s="36" t="n">
        <f aca="false">INDEX(Monthly!$C$67:$AL$67,($R$2-1)*12+8)</f>
        <v>72832.0934952872</v>
      </c>
      <c r="P44" s="36" t="n">
        <f aca="false">INDEX(Monthly!$C$67:$AL$67,($R$2-1)*12+9)</f>
        <v>74350.0196550319</v>
      </c>
      <c r="Q44" s="36" t="n">
        <f aca="false">INDEX(Monthly!$C$67:$AL$67,($R$2-1)*12+10)</f>
        <v>75847.9400787787</v>
      </c>
      <c r="R44" s="36" t="n">
        <f aca="false">INDEX(Monthly!$C$67:$AL$67,($R$2-1)*12+11)</f>
        <v>77325.6021438368</v>
      </c>
      <c r="S44" s="36" t="n">
        <f aca="false">INDEX(Monthly!$C$67:$AL$67,($R$2-1)*12+12)</f>
        <v>78782.7567642329</v>
      </c>
    </row>
    <row r="45" customFormat="false" ht="15" hidden="false" customHeight="false" outlineLevel="0" collapsed="false">
      <c r="A45" s="37" t="s">
        <v>92</v>
      </c>
      <c r="B45" s="38" t="n">
        <f aca="false">'Balance Sheet'!B9</f>
        <v>471282.438849256</v>
      </c>
      <c r="C45" s="38" t="n">
        <f aca="false">'Balance Sheet'!C9</f>
        <v>726384.902475621</v>
      </c>
      <c r="D45" s="38" t="n">
        <f aca="false">'Balance Sheet'!D9</f>
        <v>1039755.22360608</v>
      </c>
      <c r="E45" s="37"/>
      <c r="F45" s="37"/>
      <c r="H45" s="38" t="n">
        <f aca="false">INDEX(Monthly!$C$104:$AL$104,($R$2-1)*12+1)</f>
        <v>284749.920269509</v>
      </c>
      <c r="I45" s="38" t="n">
        <f aca="false">INDEX(Monthly!$C$104:$AL$104,($R$2-1)*12+2)</f>
        <v>299592.931575608</v>
      </c>
      <c r="J45" s="38" t="n">
        <f aca="false">INDEX(Monthly!$C$104:$AL$104,($R$2-1)*12+3)</f>
        <v>314877.705179454</v>
      </c>
      <c r="K45" s="38" t="n">
        <f aca="false">INDEX(Monthly!$C$104:$AL$104,($R$2-1)*12+4)</f>
        <v>330597.775469347</v>
      </c>
      <c r="L45" s="38" t="n">
        <f aca="false">INDEX(Monthly!$C$104:$AL$104,($R$2-1)*12+5)</f>
        <v>346746.767352149</v>
      </c>
      <c r="M45" s="38" t="n">
        <f aca="false">INDEX(Monthly!$C$104:$AL$104,($R$2-1)*12+6)</f>
        <v>363318.394986026</v>
      </c>
      <c r="N45" s="38" t="n">
        <f aca="false">INDEX(Monthly!$C$104:$AL$104,($R$2-1)*12+7)</f>
        <v>380306.460530931</v>
      </c>
      <c r="O45" s="38" t="n">
        <f aca="false">INDEX(Monthly!$C$104:$AL$104,($R$2-1)*12+8)</f>
        <v>397704.852916578</v>
      </c>
      <c r="P45" s="38" t="n">
        <f aca="false">INDEX(Monthly!$C$104:$AL$104,($R$2-1)*12+9)</f>
        <v>415507.546627662</v>
      </c>
      <c r="Q45" s="38" t="n">
        <f aca="false">INDEX(Monthly!$C$104:$AL$104,($R$2-1)*12+10)</f>
        <v>433708.600506096</v>
      </c>
      <c r="R45" s="38" t="n">
        <f aca="false">INDEX(Monthly!$C$104:$AL$104,($R$2-1)*12+11)</f>
        <v>452302.156570004</v>
      </c>
      <c r="S45" s="38" t="n">
        <f aca="false">INDEX(Monthly!$C$104:$AL$104,($R$2-1)*12+12)</f>
        <v>471282.438849256</v>
      </c>
    </row>
    <row r="46" customFormat="false" ht="15" hidden="false" customHeight="false" outlineLevel="0" collapsed="false">
      <c r="A46" s="52" t="s">
        <v>93</v>
      </c>
      <c r="B46" s="36" t="n">
        <f aca="false">'Balance Sheet'!B10</f>
        <v>19487.4794694743</v>
      </c>
      <c r="C46" s="36" t="n">
        <f aca="false">'Balance Sheet'!C10</f>
        <v>21196.9985289045</v>
      </c>
      <c r="D46" s="36" t="n">
        <f aca="false">'Balance Sheet'!D10</f>
        <v>23048.5067185182</v>
      </c>
      <c r="H46" s="36" t="n">
        <f aca="false">INDEX(Monthly!$C$78:$AL$78,($R$2-1)*12+1)</f>
        <v>18647.5347198003</v>
      </c>
      <c r="I46" s="36" t="n">
        <f aca="false">INDEX(Monthly!$C$78:$AL$78,($R$2-1)*12+2)</f>
        <v>18729.3890958801</v>
      </c>
      <c r="J46" s="36" t="n">
        <f aca="false">INDEX(Monthly!$C$78:$AL$78,($R$2-1)*12+3)</f>
        <v>18810.0975106947</v>
      </c>
      <c r="K46" s="36" t="n">
        <f aca="false">INDEX(Monthly!$C$78:$AL$78,($R$2-1)*12+4)</f>
        <v>18889.6760077019</v>
      </c>
      <c r="L46" s="36" t="n">
        <f aca="false">INDEX(Monthly!$C$78:$AL$78,($R$2-1)*12+5)</f>
        <v>18968.140405751</v>
      </c>
      <c r="M46" s="36" t="n">
        <f aca="false">INDEX(Monthly!$C$78:$AL$78,($R$2-1)*12+6)</f>
        <v>19045.5063022275</v>
      </c>
      <c r="N46" s="36" t="n">
        <f aca="false">INDEX(Monthly!$C$78:$AL$78,($R$2-1)*12+7)</f>
        <v>19121.7890761532</v>
      </c>
      <c r="O46" s="36" t="n">
        <f aca="false">INDEX(Monthly!$C$78:$AL$78,($R$2-1)*12+8)</f>
        <v>19197.003891244</v>
      </c>
      <c r="P46" s="36" t="n">
        <f aca="false">INDEX(Monthly!$C$78:$AL$78,($R$2-1)*12+9)</f>
        <v>19271.1656989236</v>
      </c>
      <c r="Q46" s="36" t="n">
        <f aca="false">INDEX(Monthly!$C$78:$AL$78,($R$2-1)*12+10)</f>
        <v>19344.2892412956</v>
      </c>
      <c r="R46" s="36" t="n">
        <f aca="false">INDEX(Monthly!$C$78:$AL$78,($R$2-1)*12+11)</f>
        <v>19416.3890540744</v>
      </c>
      <c r="S46" s="36" t="n">
        <f aca="false">INDEX(Monthly!$C$78:$AL$78,($R$2-1)*12+12)</f>
        <v>19487.4794694743</v>
      </c>
    </row>
    <row r="47" customFormat="false" ht="15" hidden="false" customHeight="false" outlineLevel="0" collapsed="false">
      <c r="A47" s="52" t="s">
        <v>94</v>
      </c>
      <c r="B47" s="36" t="n">
        <f aca="false">'Balance Sheet'!B11</f>
        <v>130357.142857143</v>
      </c>
      <c r="C47" s="36" t="n">
        <f aca="false">'Balance Sheet'!C11</f>
        <v>108928.571428571</v>
      </c>
      <c r="D47" s="36" t="n">
        <f aca="false">'Balance Sheet'!D11</f>
        <v>87499.9999999999</v>
      </c>
      <c r="H47" s="36" t="n">
        <f aca="false">INDEX(Monthly!$C$73:$AL$73,($R$2-1)*12+1)</f>
        <v>150000</v>
      </c>
      <c r="I47" s="36" t="n">
        <f aca="false">INDEX(Monthly!$C$73:$AL$73,($R$2-1)*12+2)</f>
        <v>148214.285714286</v>
      </c>
      <c r="J47" s="36" t="n">
        <f aca="false">INDEX(Monthly!$C$73:$AL$73,($R$2-1)*12+3)</f>
        <v>146428.571428571</v>
      </c>
      <c r="K47" s="36" t="n">
        <f aca="false">INDEX(Monthly!$C$73:$AL$73,($R$2-1)*12+4)</f>
        <v>144642.857142857</v>
      </c>
      <c r="L47" s="36" t="n">
        <f aca="false">INDEX(Monthly!$C$73:$AL$73,($R$2-1)*12+5)</f>
        <v>142857.142857143</v>
      </c>
      <c r="M47" s="36" t="n">
        <f aca="false">INDEX(Monthly!$C$73:$AL$73,($R$2-1)*12+6)</f>
        <v>141071.428571429</v>
      </c>
      <c r="N47" s="36" t="n">
        <f aca="false">INDEX(Monthly!$C$73:$AL$73,($R$2-1)*12+7)</f>
        <v>139285.714285714</v>
      </c>
      <c r="O47" s="36" t="n">
        <f aca="false">INDEX(Monthly!$C$73:$AL$73,($R$2-1)*12+8)</f>
        <v>137500</v>
      </c>
      <c r="P47" s="36" t="n">
        <f aca="false">INDEX(Monthly!$C$73:$AL$73,($R$2-1)*12+9)</f>
        <v>135714.285714286</v>
      </c>
      <c r="Q47" s="36" t="n">
        <f aca="false">INDEX(Monthly!$C$73:$AL$73,($R$2-1)*12+10)</f>
        <v>133928.571428571</v>
      </c>
      <c r="R47" s="36" t="n">
        <f aca="false">INDEX(Monthly!$C$73:$AL$73,($R$2-1)*12+11)</f>
        <v>132142.857142857</v>
      </c>
      <c r="S47" s="36" t="n">
        <f aca="false">INDEX(Monthly!$C$73:$AL$73,($R$2-1)*12+12)</f>
        <v>130357.142857143</v>
      </c>
    </row>
    <row r="48" customFormat="false" ht="15" hidden="false" customHeight="false" outlineLevel="0" collapsed="false">
      <c r="A48" s="37" t="s">
        <v>95</v>
      </c>
      <c r="B48" s="38" t="n">
        <f aca="false">'Balance Sheet'!B12</f>
        <v>149844.622326617</v>
      </c>
      <c r="C48" s="38" t="n">
        <f aca="false">'Balance Sheet'!C12</f>
        <v>130125.569957476</v>
      </c>
      <c r="D48" s="38" t="n">
        <f aca="false">'Balance Sheet'!D12</f>
        <v>110548.506718518</v>
      </c>
      <c r="E48" s="37"/>
      <c r="F48" s="37"/>
      <c r="H48" s="38" t="n">
        <f aca="false">INDEX(Monthly!$C$105:$AL$105,($R$2-1)*12+1)</f>
        <v>168647.5347198</v>
      </c>
      <c r="I48" s="38" t="n">
        <f aca="false">INDEX(Monthly!$C$105:$AL$105,($R$2-1)*12+2)</f>
        <v>166943.674810166</v>
      </c>
      <c r="J48" s="38" t="n">
        <f aca="false">INDEX(Monthly!$C$105:$AL$105,($R$2-1)*12+3)</f>
        <v>165238.668939266</v>
      </c>
      <c r="K48" s="38" t="n">
        <f aca="false">INDEX(Monthly!$C$105:$AL$105,($R$2-1)*12+4)</f>
        <v>163532.533150559</v>
      </c>
      <c r="L48" s="38" t="n">
        <f aca="false">INDEX(Monthly!$C$105:$AL$105,($R$2-1)*12+5)</f>
        <v>161825.283262894</v>
      </c>
      <c r="M48" s="38" t="n">
        <f aca="false">INDEX(Monthly!$C$105:$AL$105,($R$2-1)*12+6)</f>
        <v>160116.934873656</v>
      </c>
      <c r="N48" s="38" t="n">
        <f aca="false">INDEX(Monthly!$C$105:$AL$105,($R$2-1)*12+7)</f>
        <v>158407.503361868</v>
      </c>
      <c r="O48" s="38" t="n">
        <f aca="false">INDEX(Monthly!$C$105:$AL$105,($R$2-1)*12+8)</f>
        <v>156697.003891244</v>
      </c>
      <c r="P48" s="38" t="n">
        <f aca="false">INDEX(Monthly!$C$105:$AL$105,($R$2-1)*12+9)</f>
        <v>154985.451413209</v>
      </c>
      <c r="Q48" s="38" t="n">
        <f aca="false">INDEX(Monthly!$C$105:$AL$105,($R$2-1)*12+10)</f>
        <v>153272.860669867</v>
      </c>
      <c r="R48" s="38" t="n">
        <f aca="false">INDEX(Monthly!$C$105:$AL$105,($R$2-1)*12+11)</f>
        <v>151559.246196932</v>
      </c>
      <c r="S48" s="38" t="n">
        <f aca="false">INDEX(Monthly!$C$105:$AL$105,($R$2-1)*12+12)</f>
        <v>149844.622326617</v>
      </c>
    </row>
    <row r="49" customFormat="false" ht="15" hidden="false" customHeight="false" outlineLevel="0" collapsed="false">
      <c r="A49" s="52" t="s">
        <v>96</v>
      </c>
      <c r="B49" s="36" t="n">
        <f aca="false">'Balance Sheet'!B13</f>
        <v>100000</v>
      </c>
      <c r="C49" s="36" t="n">
        <f aca="false">'Balance Sheet'!C13</f>
        <v>100000</v>
      </c>
      <c r="D49" s="36" t="n">
        <f aca="false">'Balance Sheet'!D13</f>
        <v>100000</v>
      </c>
      <c r="H49" s="36" t="n">
        <f aca="false">INDEX(Monthly!$C$102:$AL$102,($R$2-1)*12+1)</f>
        <v>100000</v>
      </c>
      <c r="I49" s="36" t="n">
        <f aca="false">INDEX(Monthly!$C$102:$AL$102,($R$2-1)*12+2)</f>
        <v>100000</v>
      </c>
      <c r="J49" s="36" t="n">
        <f aca="false">INDEX(Monthly!$C$102:$AL$102,($R$2-1)*12+3)</f>
        <v>100000</v>
      </c>
      <c r="K49" s="36" t="n">
        <f aca="false">INDEX(Monthly!$C$102:$AL$102,($R$2-1)*12+4)</f>
        <v>100000</v>
      </c>
      <c r="L49" s="36" t="n">
        <f aca="false">INDEX(Monthly!$C$102:$AL$102,($R$2-1)*12+5)</f>
        <v>100000</v>
      </c>
      <c r="M49" s="36" t="n">
        <f aca="false">INDEX(Monthly!$C$102:$AL$102,($R$2-1)*12+6)</f>
        <v>100000</v>
      </c>
      <c r="N49" s="36" t="n">
        <f aca="false">INDEX(Monthly!$C$102:$AL$102,($R$2-1)*12+7)</f>
        <v>100000</v>
      </c>
      <c r="O49" s="36" t="n">
        <f aca="false">INDEX(Monthly!$C$102:$AL$102,($R$2-1)*12+8)</f>
        <v>100000</v>
      </c>
      <c r="P49" s="36" t="n">
        <f aca="false">INDEX(Monthly!$C$102:$AL$102,($R$2-1)*12+9)</f>
        <v>100000</v>
      </c>
      <c r="Q49" s="36" t="n">
        <f aca="false">INDEX(Monthly!$C$102:$AL$102,($R$2-1)*12+10)</f>
        <v>100000</v>
      </c>
      <c r="R49" s="36" t="n">
        <f aca="false">INDEX(Monthly!$C$102:$AL$102,($R$2-1)*12+11)</f>
        <v>100000</v>
      </c>
      <c r="S49" s="36" t="n">
        <f aca="false">INDEX(Monthly!$C$102:$AL$102,($R$2-1)*12+12)</f>
        <v>100000</v>
      </c>
    </row>
    <row r="50" customFormat="false" ht="15" hidden="false" customHeight="false" outlineLevel="0" collapsed="false">
      <c r="A50" s="52" t="s">
        <v>97</v>
      </c>
      <c r="B50" s="36" t="n">
        <f aca="false">'Balance Sheet'!B14</f>
        <v>221437.816522639</v>
      </c>
      <c r="C50" s="36" t="n">
        <f aca="false">'Balance Sheet'!C14</f>
        <v>496259.332518145</v>
      </c>
      <c r="D50" s="36" t="n">
        <f aca="false">'Balance Sheet'!D14</f>
        <v>829206.71688756</v>
      </c>
      <c r="H50" s="36" t="n">
        <f aca="false">INDEX(Monthly!$C$103:$AL$103,($R$2-1)*12+1)</f>
        <v>16102.3855497091</v>
      </c>
      <c r="I50" s="36" t="n">
        <f aca="false">INDEX(Monthly!$C$103:$AL$103,($R$2-1)*12+2)</f>
        <v>32649.2567654425</v>
      </c>
      <c r="J50" s="36" t="n">
        <f aca="false">INDEX(Monthly!$C$103:$AL$103,($R$2-1)*12+3)</f>
        <v>49639.0362401883</v>
      </c>
      <c r="K50" s="36" t="n">
        <f aca="false">INDEX(Monthly!$C$103:$AL$103,($R$2-1)*12+4)</f>
        <v>67065.2423187879</v>
      </c>
      <c r="L50" s="36" t="n">
        <f aca="false">INDEX(Monthly!$C$103:$AL$103,($R$2-1)*12+5)</f>
        <v>84921.4840892547</v>
      </c>
      <c r="M50" s="36" t="n">
        <f aca="false">INDEX(Monthly!$C$103:$AL$103,($R$2-1)*12+6)</f>
        <v>103201.46011237</v>
      </c>
      <c r="N50" s="36" t="n">
        <f aca="false">INDEX(Monthly!$C$103:$AL$103,($R$2-1)*12+7)</f>
        <v>121898.957169064</v>
      </c>
      <c r="O50" s="36" t="n">
        <f aca="false">INDEX(Monthly!$C$103:$AL$103,($R$2-1)*12+8)</f>
        <v>141007.849025334</v>
      </c>
      <c r="P50" s="36" t="n">
        <f aca="false">INDEX(Monthly!$C$103:$AL$103,($R$2-1)*12+9)</f>
        <v>160522.095214453</v>
      </c>
      <c r="Q50" s="36" t="n">
        <f aca="false">INDEX(Monthly!$C$103:$AL$103,($R$2-1)*12+10)</f>
        <v>180435.739836229</v>
      </c>
      <c r="R50" s="36" t="n">
        <f aca="false">INDEX(Monthly!$C$103:$AL$103,($R$2-1)*12+11)</f>
        <v>200742.910373072</v>
      </c>
      <c r="S50" s="36" t="n">
        <f aca="false">INDEX(Monthly!$C$103:$AL$103,($R$2-1)*12+12)</f>
        <v>221437.816522639</v>
      </c>
    </row>
    <row r="51" customFormat="false" ht="15" hidden="false" customHeight="false" outlineLevel="0" collapsed="false">
      <c r="A51" s="37" t="s">
        <v>98</v>
      </c>
      <c r="B51" s="38" t="n">
        <f aca="false">'Balance Sheet'!B15</f>
        <v>321437.816522639</v>
      </c>
      <c r="C51" s="38" t="n">
        <f aca="false">'Balance Sheet'!C15</f>
        <v>596259.332518145</v>
      </c>
      <c r="D51" s="38" t="n">
        <f aca="false">'Balance Sheet'!D15</f>
        <v>929206.71688756</v>
      </c>
      <c r="E51" s="37"/>
      <c r="F51" s="37"/>
      <c r="H51" s="38" t="n">
        <f aca="false">INDEX(Monthly!$C$106:$AL$106,($R$2-1)*12+1)</f>
        <v>116102.385549709</v>
      </c>
      <c r="I51" s="38" t="n">
        <f aca="false">INDEX(Monthly!$C$106:$AL$106,($R$2-1)*12+2)</f>
        <v>132649.256765442</v>
      </c>
      <c r="J51" s="38" t="n">
        <f aca="false">INDEX(Monthly!$C$106:$AL$106,($R$2-1)*12+3)</f>
        <v>149639.036240188</v>
      </c>
      <c r="K51" s="38" t="n">
        <f aca="false">INDEX(Monthly!$C$106:$AL$106,($R$2-1)*12+4)</f>
        <v>167065.242318788</v>
      </c>
      <c r="L51" s="38" t="n">
        <f aca="false">INDEX(Monthly!$C$106:$AL$106,($R$2-1)*12+5)</f>
        <v>184921.484089255</v>
      </c>
      <c r="M51" s="38" t="n">
        <f aca="false">INDEX(Monthly!$C$106:$AL$106,($R$2-1)*12+6)</f>
        <v>203201.46011237</v>
      </c>
      <c r="N51" s="38" t="n">
        <f aca="false">INDEX(Monthly!$C$106:$AL$106,($R$2-1)*12+7)</f>
        <v>221898.957169064</v>
      </c>
      <c r="O51" s="38" t="n">
        <f aca="false">INDEX(Monthly!$C$106:$AL$106,($R$2-1)*12+8)</f>
        <v>241007.849025334</v>
      </c>
      <c r="P51" s="38" t="n">
        <f aca="false">INDEX(Monthly!$C$106:$AL$106,($R$2-1)*12+9)</f>
        <v>260522.095214453</v>
      </c>
      <c r="Q51" s="38" t="n">
        <f aca="false">INDEX(Monthly!$C$106:$AL$106,($R$2-1)*12+10)</f>
        <v>280435.739836229</v>
      </c>
      <c r="R51" s="38" t="n">
        <f aca="false">INDEX(Monthly!$C$106:$AL$106,($R$2-1)*12+11)</f>
        <v>300742.910373072</v>
      </c>
      <c r="S51" s="38" t="n">
        <f aca="false">INDEX(Monthly!$C$106:$AL$106,($R$2-1)*12+12)</f>
        <v>321437.816522639</v>
      </c>
    </row>
    <row r="52" customFormat="false" ht="15" hidden="false" customHeight="false" outlineLevel="0" collapsed="false">
      <c r="A52" s="41" t="s">
        <v>99</v>
      </c>
      <c r="B52" s="42" t="n">
        <f aca="false">'Balance Sheet'!B16</f>
        <v>471282.438849256</v>
      </c>
      <c r="C52" s="42" t="n">
        <f aca="false">'Balance Sheet'!C16</f>
        <v>726384.90247562</v>
      </c>
      <c r="D52" s="42" t="n">
        <f aca="false">'Balance Sheet'!D16</f>
        <v>1039755.22360608</v>
      </c>
      <c r="E52" s="41"/>
      <c r="F52" s="41"/>
      <c r="H52" s="42" t="n">
        <f aca="false">INDEX(Monthly!$C$107:$AL$107,($R$2-1)*12+1)</f>
        <v>284749.920269509</v>
      </c>
      <c r="I52" s="42" t="n">
        <f aca="false">INDEX(Monthly!$C$107:$AL$107,($R$2-1)*12+2)</f>
        <v>299592.931575608</v>
      </c>
      <c r="J52" s="42" t="n">
        <f aca="false">INDEX(Monthly!$C$107:$AL$107,($R$2-1)*12+3)</f>
        <v>314877.705179454</v>
      </c>
      <c r="K52" s="42" t="n">
        <f aca="false">INDEX(Monthly!$C$107:$AL$107,($R$2-1)*12+4)</f>
        <v>330597.775469347</v>
      </c>
      <c r="L52" s="42" t="n">
        <f aca="false">INDEX(Monthly!$C$107:$AL$107,($R$2-1)*12+5)</f>
        <v>346746.767352149</v>
      </c>
      <c r="M52" s="42" t="n">
        <f aca="false">INDEX(Monthly!$C$107:$AL$107,($R$2-1)*12+6)</f>
        <v>363318.394986026</v>
      </c>
      <c r="N52" s="42" t="n">
        <f aca="false">INDEX(Monthly!$C$107:$AL$107,($R$2-1)*12+7)</f>
        <v>380306.460530931</v>
      </c>
      <c r="O52" s="42" t="n">
        <f aca="false">INDEX(Monthly!$C$107:$AL$107,($R$2-1)*12+8)</f>
        <v>397704.852916578</v>
      </c>
      <c r="P52" s="42" t="n">
        <f aca="false">INDEX(Monthly!$C$107:$AL$107,($R$2-1)*12+9)</f>
        <v>415507.546627662</v>
      </c>
      <c r="Q52" s="42" t="n">
        <f aca="false">INDEX(Monthly!$C$107:$AL$107,($R$2-1)*12+10)</f>
        <v>433708.600506096</v>
      </c>
      <c r="R52" s="42" t="n">
        <f aca="false">INDEX(Monthly!$C$107:$AL$107,($R$2-1)*12+11)</f>
        <v>452302.156570004</v>
      </c>
      <c r="S52" s="42" t="n">
        <f aca="false">INDEX(Monthly!$C$107:$AL$107,($R$2-1)*12+12)</f>
        <v>471282.438849256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101</v>
      </c>
    </row>
    <row r="5" customFormat="false" ht="15.75" hidden="false" customHeight="true" outlineLevel="0" collapsed="false">
      <c r="A5" s="7" t="s">
        <v>102</v>
      </c>
      <c r="B5" s="7"/>
      <c r="C5" s="7"/>
      <c r="D5" s="7"/>
      <c r="E5" s="7"/>
    </row>
    <row r="6" customFormat="false" ht="15" hidden="false" customHeight="false" outlineLevel="0" collapsed="false">
      <c r="A6" s="33" t="s">
        <v>103</v>
      </c>
      <c r="B6" s="35" t="s">
        <v>104</v>
      </c>
      <c r="C6" s="35" t="s">
        <v>105</v>
      </c>
      <c r="D6" s="35" t="s">
        <v>106</v>
      </c>
      <c r="E6" s="35" t="s">
        <v>107</v>
      </c>
    </row>
    <row r="7" customFormat="false" ht="15" hidden="false" customHeight="false" outlineLevel="0" collapsed="false">
      <c r="A7" s="6" t="s">
        <v>108</v>
      </c>
      <c r="B7" s="53" t="n">
        <f aca="false">Inputs!$B$14</f>
        <v>2700</v>
      </c>
      <c r="C7" s="53" t="n">
        <f aca="false">Inputs!$C$14</f>
        <v>3000</v>
      </c>
      <c r="D7" s="53" t="n">
        <f aca="false">Inputs!$D$14</f>
        <v>3300</v>
      </c>
      <c r="E7" s="54" t="n">
        <f aca="false">Inputs!$E$14</f>
        <v>3000</v>
      </c>
    </row>
    <row r="8" customFormat="false" ht="15" hidden="false" customHeight="false" outlineLevel="0" collapsed="false">
      <c r="A8" s="6" t="s">
        <v>109</v>
      </c>
      <c r="B8" s="53" t="n">
        <f aca="false">Inputs!$B$7</f>
        <v>6</v>
      </c>
      <c r="C8" s="53" t="n">
        <f aca="false">Inputs!$C$7</f>
        <v>6</v>
      </c>
      <c r="D8" s="53" t="n">
        <f aca="false">Inputs!$D$7</f>
        <v>6</v>
      </c>
      <c r="E8" s="54" t="n">
        <f aca="false">Inputs!$E$7</f>
        <v>6</v>
      </c>
    </row>
    <row r="9" customFormat="false" ht="15" hidden="false" customHeight="false" outlineLevel="0" collapsed="false">
      <c r="A9" s="6" t="s">
        <v>110</v>
      </c>
      <c r="B9" s="55" t="n">
        <f aca="false">Inputs!$B$26</f>
        <v>320</v>
      </c>
      <c r="C9" s="55" t="n">
        <f aca="false">Inputs!$C$26</f>
        <v>330</v>
      </c>
      <c r="D9" s="55" t="n">
        <f aca="false">Inputs!$D$26</f>
        <v>340</v>
      </c>
      <c r="E9" s="56" t="n">
        <f aca="false">Inputs!$E$26</f>
        <v>330</v>
      </c>
    </row>
    <row r="10" customFormat="false" ht="15" hidden="false" customHeight="false" outlineLevel="0" collapsed="false">
      <c r="A10" s="6" t="s">
        <v>111</v>
      </c>
      <c r="B10" s="57" t="n">
        <f aca="false">Inputs!$B$22</f>
        <v>1.4</v>
      </c>
      <c r="C10" s="57" t="n">
        <f aca="false">Inputs!$C$22</f>
        <v>1.5</v>
      </c>
      <c r="D10" s="57" t="n">
        <f aca="false">Inputs!$D$22</f>
        <v>1.6</v>
      </c>
      <c r="E10" s="58" t="n">
        <f aca="false">Inputs!$E$22</f>
        <v>1.5</v>
      </c>
    </row>
    <row r="11" customFormat="false" ht="15" hidden="false" customHeight="false" outlineLevel="0" collapsed="false">
      <c r="A11" s="6" t="s">
        <v>112</v>
      </c>
      <c r="B11" s="55" t="n">
        <f aca="false">Inputs!$B$19</f>
        <v>230</v>
      </c>
      <c r="C11" s="55" t="n">
        <f aca="false">Inputs!$C$19</f>
        <v>210</v>
      </c>
      <c r="D11" s="55" t="n">
        <f aca="false">Inputs!$D$19</f>
        <v>190</v>
      </c>
      <c r="E11" s="56" t="n">
        <f aca="false">Inputs!$E$19</f>
        <v>210</v>
      </c>
    </row>
    <row r="12" customFormat="false" ht="15" hidden="false" customHeight="false" outlineLevel="0" collapsed="false">
      <c r="A12" s="6" t="s">
        <v>113</v>
      </c>
      <c r="B12" s="55" t="n">
        <f aca="false">Inputs!$B$49</f>
        <v>32</v>
      </c>
      <c r="C12" s="55" t="n">
        <f aca="false">Inputs!$C$49</f>
        <v>30</v>
      </c>
      <c r="D12" s="55" t="n">
        <f aca="false">Inputs!$D$49</f>
        <v>28</v>
      </c>
      <c r="E12" s="56" t="n">
        <f aca="false">Inputs!$E$49</f>
        <v>30</v>
      </c>
    </row>
    <row r="13" customFormat="false" ht="15" hidden="false" customHeight="false" outlineLevel="0" collapsed="false">
      <c r="A13" s="6" t="s">
        <v>114</v>
      </c>
      <c r="B13" s="59" t="n">
        <f aca="false">Inputs!$B$83</f>
        <v>100000</v>
      </c>
      <c r="C13" s="59" t="n">
        <f aca="false">Inputs!$C$83</f>
        <v>100000</v>
      </c>
      <c r="D13" s="59" t="n">
        <f aca="false">Inputs!$D$83</f>
        <v>100000</v>
      </c>
      <c r="E13" s="60" t="n">
        <f aca="false">Inputs!$E$83</f>
        <v>100000</v>
      </c>
    </row>
    <row r="15" customFormat="false" ht="15.75" hidden="false" customHeight="true" outlineLevel="0" collapsed="false">
      <c r="A15" s="7" t="s">
        <v>115</v>
      </c>
      <c r="B15" s="7"/>
      <c r="C15" s="7"/>
      <c r="D15" s="7"/>
      <c r="E15" s="7"/>
    </row>
    <row r="16" customFormat="false" ht="15" hidden="false" customHeight="false" outlineLevel="0" collapsed="false">
      <c r="A16" s="33" t="s">
        <v>116</v>
      </c>
      <c r="B16" s="35" t="s">
        <v>104</v>
      </c>
      <c r="C16" s="35" t="s">
        <v>105</v>
      </c>
      <c r="D16" s="35" t="s">
        <v>106</v>
      </c>
      <c r="E16" s="35" t="s">
        <v>107</v>
      </c>
    </row>
    <row r="17" customFormat="false" ht="15" hidden="false" customHeight="false" outlineLevel="0" collapsed="false">
      <c r="A17" s="6" t="s">
        <v>117</v>
      </c>
      <c r="B17" s="61" t="n">
        <f aca="false">D30</f>
        <v>1710590.80659204</v>
      </c>
      <c r="C17" s="61" t="n">
        <f aca="false">D31</f>
        <v>2337329.1411336</v>
      </c>
      <c r="D17" s="61" t="n">
        <f aca="false">D32</f>
        <v>2956070.43755502</v>
      </c>
      <c r="E17" s="62" t="n">
        <f aca="false">'P&amp;L'!D5</f>
        <v>2337329.1411336</v>
      </c>
    </row>
    <row r="18" customFormat="false" ht="15" hidden="false" customHeight="false" outlineLevel="0" collapsed="false">
      <c r="A18" s="6" t="s">
        <v>118</v>
      </c>
      <c r="B18" s="61" t="n">
        <f aca="false">SUM(B30:D30)</f>
        <v>4915431.07304252</v>
      </c>
      <c r="C18" s="61" t="n">
        <f aca="false">SUM(B31:D31)</f>
        <v>6461762.55655452</v>
      </c>
      <c r="D18" s="61" t="n">
        <f aca="false">SUM(B32:D32)</f>
        <v>8140720.34980008</v>
      </c>
      <c r="E18" s="62" t="n">
        <f aca="false">SUM('P&amp;L'!$B$5:$D$5)</f>
        <v>6461762.55655452</v>
      </c>
    </row>
    <row r="19" customFormat="false" ht="15" hidden="false" customHeight="false" outlineLevel="0" collapsed="false">
      <c r="A19" s="6" t="s">
        <v>119</v>
      </c>
      <c r="B19" s="61" t="n">
        <f aca="false">D36</f>
        <v>-88156.9879438264</v>
      </c>
      <c r="C19" s="61" t="n">
        <f aca="false">D37</f>
        <v>449902.758061944</v>
      </c>
      <c r="D19" s="61" t="n">
        <f aca="false">D38</f>
        <v>1003994.8932964</v>
      </c>
      <c r="E19" s="62" t="n">
        <f aca="false">'P&amp;L'!D19</f>
        <v>449902.758061944</v>
      </c>
    </row>
    <row r="20" customFormat="false" ht="15" hidden="false" customHeight="false" outlineLevel="0" collapsed="false">
      <c r="A20" s="6" t="s">
        <v>120</v>
      </c>
      <c r="B20" s="63" t="n">
        <f aca="false">IF(B17=0,0,B19/B17)</f>
        <v>-0.0515359883872279</v>
      </c>
      <c r="C20" s="63" t="n">
        <f aca="false">IF(C17=0,0,C19/C17)</f>
        <v>0.192485837849838</v>
      </c>
      <c r="D20" s="63" t="n">
        <f aca="false">IF(D17=0,0,D19/D17)</f>
        <v>0.33963835250381</v>
      </c>
      <c r="E20" s="64" t="n">
        <f aca="false">IF(E17=0,0,E19/E17)</f>
        <v>0.192485837849838</v>
      </c>
    </row>
    <row r="21" customFormat="false" ht="15" hidden="false" customHeight="false" outlineLevel="0" collapsed="false">
      <c r="A21" s="6" t="s">
        <v>121</v>
      </c>
      <c r="B21" s="61" t="n">
        <f aca="false">D42</f>
        <v>-113923.381579995</v>
      </c>
      <c r="C21" s="61" t="n">
        <f aca="false">D43</f>
        <v>332947.384369415</v>
      </c>
      <c r="D21" s="61" t="n">
        <f aca="false">D44</f>
        <v>768301.965192565</v>
      </c>
      <c r="E21" s="62" t="n">
        <f aca="false">'P&amp;L'!D26</f>
        <v>332947.384369415</v>
      </c>
    </row>
    <row r="22" customFormat="false" ht="15" hidden="false" customHeight="false" outlineLevel="0" collapsed="false">
      <c r="A22" s="6" t="s">
        <v>122</v>
      </c>
      <c r="B22" s="61" t="n">
        <f aca="false">SUM(B42:D42)</f>
        <v>-304541.710369761</v>
      </c>
      <c r="C22" s="61" t="n">
        <f aca="false">SUM(B43:D43)</f>
        <v>829206.71688756</v>
      </c>
      <c r="D22" s="61" t="n">
        <f aca="false">SUM(B44:D44)</f>
        <v>2019017.26987161</v>
      </c>
      <c r="E22" s="62" t="n">
        <f aca="false">SUM('P&amp;L'!$B$26:$D$26)</f>
        <v>829206.71688756</v>
      </c>
    </row>
    <row r="23" customFormat="false" ht="15" hidden="false" customHeight="false" outlineLevel="0" collapsed="false">
      <c r="A23" s="6" t="s">
        <v>123</v>
      </c>
      <c r="B23" s="61" t="n">
        <f aca="false">D48</f>
        <v>-304710.093010852</v>
      </c>
      <c r="C23" s="61" t="n">
        <f aca="false">D49</f>
        <v>805198.747306546</v>
      </c>
      <c r="D23" s="61" t="n">
        <f aca="false">D50</f>
        <v>1973944.52453288</v>
      </c>
      <c r="E23" s="62" t="n">
        <f aca="false">'Balance Sheet'!D5</f>
        <v>805198.747306546</v>
      </c>
    </row>
    <row r="24" customFormat="false" ht="15" hidden="false" customHeight="false" outlineLevel="0" collapsed="false">
      <c r="A24" s="6" t="s">
        <v>124</v>
      </c>
      <c r="B24" s="61" t="n">
        <f aca="false">MIN('Scenario calc'!$C$92:$AL$92)</f>
        <v>-304710.093010852</v>
      </c>
      <c r="C24" s="61" t="n">
        <f aca="false">MIN('Scenario calc'!$C$217:$AL$217)</f>
        <v>123032.218463956</v>
      </c>
      <c r="D24" s="61" t="n">
        <f aca="false">MIN('Scenario calc'!$C$342:$AL$342)</f>
        <v>149009.977906247</v>
      </c>
      <c r="E24" s="62" t="n">
        <f aca="false">'Break-even'!B18</f>
        <v>123032.218463956</v>
      </c>
    </row>
    <row r="25" customFormat="false" ht="15" hidden="false" customHeight="false" outlineLevel="0" collapsed="false">
      <c r="A25" s="6" t="s">
        <v>125</v>
      </c>
      <c r="B25" s="65" t="n">
        <f aca="false">MATCH(MIN('Scenario calc'!$C$92:$AL$92),'Scenario calc'!$C$92:$AL$92,0)</f>
        <v>36</v>
      </c>
      <c r="C25" s="65" t="n">
        <f aca="false">MATCH(MIN('Scenario calc'!$C$217:$AL$217),'Scenario calc'!$C$217:$AL$217,0)</f>
        <v>1</v>
      </c>
      <c r="D25" s="65" t="n">
        <f aca="false">MATCH(MIN('Scenario calc'!$C$342:$AL$342),'Scenario calc'!$C$342:$AL$342,0)</f>
        <v>1</v>
      </c>
      <c r="E25" s="66" t="n">
        <f aca="false">'Break-even'!B6</f>
        <v>1</v>
      </c>
    </row>
    <row r="26" customFormat="false" ht="15" hidden="false" customHeight="false" outlineLevel="0" collapsed="false">
      <c r="A26" s="4" t="s">
        <v>65</v>
      </c>
      <c r="B26" s="61" t="n">
        <f aca="false">SUMPRODUCT(--('Scenario calc'!$C$6:$AL$6&lt;=B25),'Scenario calc'!$C$65:$AL$65)-SUMPRODUCT(--('Scenario calc'!$C$6:$AL$6&lt;=B25),'Scenario calc'!$C$86:$AL$86)-SUMPRODUCT(--('Scenario calc'!$C$6:$AL$6&lt;=B25),'Scenario calc'!$C$74:$AL$74)+Inputs!$B$98</f>
        <v>903710.093010852</v>
      </c>
      <c r="C26" s="61" t="n">
        <f aca="false">SUMPRODUCT(--('Scenario calc'!$C$131:$AL$131&lt;=C25),'Scenario calc'!$C$190:$AL$190)-SUMPRODUCT(--('Scenario calc'!$C$131:$AL$131&lt;=C25),'Scenario calc'!$C$211:$AL$211)-SUMPRODUCT(--('Scenario calc'!$C$131:$AL$131&lt;=C25),'Scenario calc'!$C$199:$AL$199)+Inputs!$C$98</f>
        <v>475967.781536044</v>
      </c>
      <c r="D26" s="61" t="n">
        <f aca="false">SUMPRODUCT(--('Scenario calc'!$C$256:$AL$256&lt;=D25),'Scenario calc'!$C$315:$AL$315)-SUMPRODUCT(--('Scenario calc'!$C$256:$AL$256&lt;=D25),'Scenario calc'!$C$336:$AL$336)-SUMPRODUCT(--('Scenario calc'!$C$256:$AL$256&lt;=D25),'Scenario calc'!$C$324:$AL$324)+Inputs!$D$98</f>
        <v>449990.022093753</v>
      </c>
      <c r="E26" s="62" t="n">
        <f aca="false">'Break-even'!B12</f>
        <v>475967.781536044</v>
      </c>
    </row>
    <row r="28" customFormat="false" ht="15.75" hidden="false" customHeight="true" outlineLevel="0" collapsed="false">
      <c r="A28" s="7" t="s">
        <v>126</v>
      </c>
      <c r="B28" s="7"/>
      <c r="C28" s="7"/>
      <c r="D28" s="7"/>
      <c r="E28" s="7"/>
    </row>
    <row r="29" customFormat="false" ht="15" hidden="false" customHeight="false" outlineLevel="0" collapsed="false">
      <c r="A29" s="33" t="s">
        <v>127</v>
      </c>
      <c r="B29" s="34" t="n">
        <v>1</v>
      </c>
      <c r="C29" s="34" t="n">
        <v>2</v>
      </c>
      <c r="D29" s="34" t="n">
        <v>3</v>
      </c>
    </row>
    <row r="30" customFormat="false" ht="15" hidden="false" customHeight="false" outlineLevel="0" collapsed="false">
      <c r="A30" s="6" t="s">
        <v>104</v>
      </c>
      <c r="B30" s="61" t="n">
        <f aca="false">SUMIF('Scenario calc'!$C$7:$AL$7,B$29,'Scenario calc'!$C$33:$AL$33)</f>
        <v>1565966.26407803</v>
      </c>
      <c r="C30" s="61" t="n">
        <f aca="false">SUMIF('Scenario calc'!$C$7:$AL$7,C$29,'Scenario calc'!$C$33:$AL$33)</f>
        <v>1638874.00237245</v>
      </c>
      <c r="D30" s="61" t="n">
        <f aca="false">SUMIF('Scenario calc'!$C$7:$AL$7,D$29,'Scenario calc'!$C$33:$AL$33)</f>
        <v>1710590.80659204</v>
      </c>
    </row>
    <row r="31" customFormat="false" ht="15" hidden="false" customHeight="false" outlineLevel="0" collapsed="false">
      <c r="A31" s="6" t="s">
        <v>105</v>
      </c>
      <c r="B31" s="61" t="n">
        <f aca="false">SUMIF('Scenario calc'!$C$132:$AL$132,B$29,'Scenario calc'!$C$158:$AL$158)</f>
        <v>1975300.08293807</v>
      </c>
      <c r="C31" s="61" t="n">
        <f aca="false">SUMIF('Scenario calc'!$C$132:$AL$132,C$29,'Scenario calc'!$C$158:$AL$158)</f>
        <v>2149133.33248285</v>
      </c>
      <c r="D31" s="61" t="n">
        <f aca="false">SUMIF('Scenario calc'!$C$132:$AL$132,D$29,'Scenario calc'!$C$158:$AL$158)</f>
        <v>2337329.1411336</v>
      </c>
    </row>
    <row r="32" customFormat="false" ht="15" hidden="false" customHeight="false" outlineLevel="0" collapsed="false">
      <c r="A32" s="6" t="s">
        <v>106</v>
      </c>
      <c r="B32" s="61" t="n">
        <f aca="false">SUMIF('Scenario calc'!$C$257:$AL$257,B$29,'Scenario calc'!$C$283:$AL$283)</f>
        <v>2442863.92682416</v>
      </c>
      <c r="C32" s="61" t="n">
        <f aca="false">SUMIF('Scenario calc'!$C$257:$AL$257,C$29,'Scenario calc'!$C$283:$AL$283)</f>
        <v>2741785.98542089</v>
      </c>
      <c r="D32" s="61" t="n">
        <f aca="false">SUMIF('Scenario calc'!$C$257:$AL$257,D$29,'Scenario calc'!$C$283:$AL$283)</f>
        <v>2956070.43755502</v>
      </c>
    </row>
    <row r="34" customFormat="false" ht="15.75" hidden="false" customHeight="true" outlineLevel="0" collapsed="false">
      <c r="A34" s="7" t="s">
        <v>128</v>
      </c>
      <c r="B34" s="7"/>
      <c r="C34" s="7"/>
      <c r="D34" s="7"/>
      <c r="E34" s="7"/>
    </row>
    <row r="35" customFormat="false" ht="15" hidden="false" customHeight="false" outlineLevel="0" collapsed="false">
      <c r="A35" s="33" t="s">
        <v>127</v>
      </c>
      <c r="B35" s="34" t="n">
        <v>1</v>
      </c>
      <c r="C35" s="34" t="n">
        <v>2</v>
      </c>
      <c r="D35" s="34" t="n">
        <v>3</v>
      </c>
    </row>
    <row r="36" customFormat="false" ht="15" hidden="false" customHeight="false" outlineLevel="0" collapsed="false">
      <c r="A36" s="6" t="s">
        <v>104</v>
      </c>
      <c r="B36" s="61" t="n">
        <f aca="false">SUMIF('Scenario calc'!$C$7:$AL$7,B$35,'Scenario calc'!$C$53:$AL$53)</f>
        <v>-68678.9607045553</v>
      </c>
      <c r="C36" s="61" t="n">
        <f aca="false">SUMIF('Scenario calc'!$C$7:$AL$7,C$35,'Scenario calc'!$C$53:$AL$53)</f>
        <v>-75580.5092517528</v>
      </c>
      <c r="D36" s="61" t="n">
        <f aca="false">SUMIF('Scenario calc'!$C$7:$AL$7,D$35,'Scenario calc'!$C$53:$AL$53)</f>
        <v>-88156.9879438264</v>
      </c>
    </row>
    <row r="37" customFormat="false" ht="15" hidden="false" customHeight="false" outlineLevel="0" collapsed="false">
      <c r="A37" s="6" t="s">
        <v>105</v>
      </c>
      <c r="B37" s="61" t="n">
        <f aca="false">SUMIF('Scenario calc'!$C$132:$AL$132,B$35,'Scenario calc'!$C$178:$AL$178)</f>
        <v>303132.525076608</v>
      </c>
      <c r="C37" s="61" t="n">
        <f aca="false">SUMIF('Scenario calc'!$C$132:$AL$132,C$35,'Scenario calc'!$C$178:$AL$178)</f>
        <v>373324.913679101</v>
      </c>
      <c r="D37" s="61" t="n">
        <f aca="false">SUMIF('Scenario calc'!$C$132:$AL$132,D$35,'Scenario calc'!$C$178:$AL$178)</f>
        <v>449902.758061944</v>
      </c>
    </row>
    <row r="38" customFormat="false" ht="15" hidden="false" customHeight="false" outlineLevel="0" collapsed="false">
      <c r="A38" s="6" t="s">
        <v>106</v>
      </c>
      <c r="B38" s="61" t="n">
        <f aca="false">SUMIF('Scenario calc'!$C$257:$AL$257,B$35,'Scenario calc'!$C$303:$AL$303)</f>
        <v>732453.683829994</v>
      </c>
      <c r="C38" s="61" t="n">
        <f aca="false">SUMIF('Scenario calc'!$C$257:$AL$257,C$35,'Scenario calc'!$C$303:$AL$303)</f>
        <v>901235.528280804</v>
      </c>
      <c r="D38" s="61" t="n">
        <f aca="false">SUMIF('Scenario calc'!$C$257:$AL$257,D$35,'Scenario calc'!$C$303:$AL$303)</f>
        <v>1003994.8932964</v>
      </c>
    </row>
    <row r="40" customFormat="false" ht="15.75" hidden="false" customHeight="true" outlineLevel="0" collapsed="false">
      <c r="A40" s="7" t="s">
        <v>129</v>
      </c>
      <c r="B40" s="7"/>
      <c r="C40" s="7"/>
      <c r="D40" s="7"/>
      <c r="E40" s="7"/>
    </row>
    <row r="41" customFormat="false" ht="15" hidden="false" customHeight="false" outlineLevel="0" collapsed="false">
      <c r="A41" s="33" t="s">
        <v>127</v>
      </c>
      <c r="B41" s="34" t="n">
        <v>1</v>
      </c>
      <c r="C41" s="34" t="n">
        <v>2</v>
      </c>
      <c r="D41" s="34" t="n">
        <v>3</v>
      </c>
    </row>
    <row r="42" customFormat="false" ht="15" hidden="false" customHeight="false" outlineLevel="0" collapsed="false">
      <c r="A42" s="6" t="s">
        <v>104</v>
      </c>
      <c r="B42" s="61" t="n">
        <f aca="false">SUMIF('Scenario calc'!$C$7:$AL$7,B$41,'Scenario calc'!$C$62:$AL$62)</f>
        <v>-91045.5376077874</v>
      </c>
      <c r="C42" s="61" t="n">
        <f aca="false">SUMIF('Scenario calc'!$C$7:$AL$7,C$41,'Scenario calc'!$C$62:$AL$62)</f>
        <v>-99572.7911819788</v>
      </c>
      <c r="D42" s="61" t="n">
        <f aca="false">SUMIF('Scenario calc'!$C$7:$AL$7,D$41,'Scenario calc'!$C$62:$AL$62)</f>
        <v>-113923.381579995</v>
      </c>
    </row>
    <row r="43" customFormat="false" ht="15" hidden="false" customHeight="false" outlineLevel="0" collapsed="false">
      <c r="A43" s="6" t="s">
        <v>105</v>
      </c>
      <c r="B43" s="61" t="n">
        <f aca="false">SUMIF('Scenario calc'!$C$132:$AL$132,B$41,'Scenario calc'!$C$187:$AL$187)</f>
        <v>221437.816522639</v>
      </c>
      <c r="C43" s="61" t="n">
        <f aca="false">SUMIF('Scenario calc'!$C$132:$AL$132,C$41,'Scenario calc'!$C$187:$AL$187)</f>
        <v>274821.515995506</v>
      </c>
      <c r="D43" s="61" t="n">
        <f aca="false">SUMIF('Scenario calc'!$C$132:$AL$132,D$41,'Scenario calc'!$C$187:$AL$187)</f>
        <v>332947.384369415</v>
      </c>
    </row>
    <row r="44" customFormat="false" ht="15" hidden="false" customHeight="false" outlineLevel="0" collapsed="false">
      <c r="A44" s="6" t="s">
        <v>106</v>
      </c>
      <c r="B44" s="61" t="n">
        <f aca="false">SUMIF('Scenario calc'!$C$257:$AL$257,B$41,'Scenario calc'!$C$312:$AL$312)</f>
        <v>560178.806844313</v>
      </c>
      <c r="C44" s="61" t="n">
        <f aca="false">SUMIF('Scenario calc'!$C$257:$AL$257,C$41,'Scenario calc'!$C$312:$AL$312)</f>
        <v>690536.497834734</v>
      </c>
      <c r="D44" s="61" t="n">
        <f aca="false">SUMIF('Scenario calc'!$C$257:$AL$257,D$41,'Scenario calc'!$C$312:$AL$312)</f>
        <v>768301.965192565</v>
      </c>
    </row>
    <row r="46" customFormat="false" ht="15.75" hidden="false" customHeight="true" outlineLevel="0" collapsed="false">
      <c r="A46" s="7" t="s">
        <v>130</v>
      </c>
      <c r="B46" s="7"/>
      <c r="C46" s="7"/>
      <c r="D46" s="7"/>
      <c r="E46" s="7"/>
    </row>
    <row r="47" customFormat="false" ht="15" hidden="false" customHeight="false" outlineLevel="0" collapsed="false">
      <c r="A47" s="33" t="s">
        <v>127</v>
      </c>
      <c r="B47" s="34" t="n">
        <v>1</v>
      </c>
      <c r="C47" s="34" t="n">
        <v>2</v>
      </c>
      <c r="D47" s="34" t="n">
        <v>3</v>
      </c>
    </row>
    <row r="48" customFormat="false" ht="15" hidden="false" customHeight="false" outlineLevel="0" collapsed="false">
      <c r="A48" s="6" t="s">
        <v>104</v>
      </c>
      <c r="B48" s="61" t="n">
        <f aca="false">INDEX('Scenario calc'!$C$92:$AL$92,B$47*12)</f>
        <v>-21477.5609078337</v>
      </c>
      <c r="C48" s="61" t="n">
        <f aca="false">INDEX('Scenario calc'!$C$92:$AL$92,C$47*12)</f>
        <v>-157203.506160537</v>
      </c>
      <c r="D48" s="61" t="n">
        <f aca="false">INDEX('Scenario calc'!$C$92:$AL$92,D$47*12)</f>
        <v>-304710.093010852</v>
      </c>
    </row>
    <row r="49" customFormat="false" ht="15" hidden="false" customHeight="false" outlineLevel="0" collapsed="false">
      <c r="A49" s="6" t="s">
        <v>105</v>
      </c>
      <c r="B49" s="61" t="n">
        <f aca="false">INDEX('Scenario calc'!$C$217:$AL$217,B$47*12)</f>
        <v>287788.064450923</v>
      </c>
      <c r="C49" s="61" t="n">
        <f aca="false">INDEX('Scenario calc'!$C$217:$AL$217,C$47*12)</f>
        <v>516741.128300734</v>
      </c>
      <c r="D49" s="61" t="n">
        <f aca="false">INDEX('Scenario calc'!$C$217:$AL$217,D$47*12)</f>
        <v>805198.747306546</v>
      </c>
    </row>
    <row r="50" customFormat="false" ht="15" hidden="false" customHeight="false" outlineLevel="0" collapsed="false">
      <c r="A50" s="6" t="s">
        <v>106</v>
      </c>
      <c r="B50" s="61" t="n">
        <f aca="false">INDEX('Scenario calc'!$C$342:$AL$342,B$47*12)</f>
        <v>619234.037284025</v>
      </c>
      <c r="C50" s="61" t="n">
        <f aca="false">INDEX('Scenario calc'!$C$342:$AL$342,C$47*12)</f>
        <v>1254616.89034594</v>
      </c>
      <c r="D50" s="61" t="n">
        <f aca="false">INDEX('Scenario calc'!$C$342:$AL$342,D$47*12)</f>
        <v>1973944.52453288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131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132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134</v>
      </c>
      <c r="B5" s="7"/>
      <c r="C5" s="7"/>
      <c r="D5" s="7"/>
    </row>
    <row r="6" customFormat="false" ht="15" hidden="false" customHeight="false" outlineLevel="0" collapsed="false">
      <c r="A6" s="6" t="s">
        <v>125</v>
      </c>
      <c r="B6" s="65" t="n">
        <f aca="false">MATCH(MIN(Monthly!$C$90:$AL$90),Monthly!$C$90:$AL$90,0)</f>
        <v>1</v>
      </c>
    </row>
    <row r="7" customFormat="false" ht="15" hidden="false" customHeight="false" outlineLevel="0" collapsed="false">
      <c r="A7" s="6" t="s">
        <v>135</v>
      </c>
      <c r="B7" s="67" t="n">
        <f aca="false">SUMPRODUCT(--(Monthly!$C$4:$AL$4&lt;=$B$6),Monthly!$C$63:$AL$63)</f>
        <v>62411.4295276172</v>
      </c>
    </row>
    <row r="8" customFormat="false" ht="15" hidden="false" customHeight="false" outlineLevel="0" collapsed="false">
      <c r="A8" s="6" t="s">
        <v>136</v>
      </c>
      <c r="B8" s="67" t="n">
        <f aca="false">-SUMPRODUCT(--(Monthly!$C$4:$AL$4&lt;=$B$6),Monthly!$C$84:$AL$84)</f>
        <v>64556.3520084263</v>
      </c>
      <c r="D8" s="18" t="s">
        <v>137</v>
      </c>
    </row>
    <row r="9" customFormat="false" ht="15" hidden="false" customHeight="false" outlineLevel="0" collapsed="false">
      <c r="A9" s="6" t="s">
        <v>138</v>
      </c>
      <c r="B9" s="67" t="n">
        <f aca="false">-SUMPRODUCT(--(Monthly!$C$4:$AL$4&lt;=$B$6),Monthly!$C$72:$AL$72)</f>
        <v>-0</v>
      </c>
    </row>
    <row r="10" customFormat="false" ht="15" hidden="false" customHeight="false" outlineLevel="0" collapsed="false">
      <c r="A10" s="4" t="s">
        <v>139</v>
      </c>
      <c r="B10" s="68" t="n">
        <f aca="false">B7+B8+B9</f>
        <v>126967.781536044</v>
      </c>
    </row>
    <row r="11" customFormat="false" ht="15" hidden="false" customHeight="false" outlineLevel="0" collapsed="false">
      <c r="A11" s="6" t="s">
        <v>140</v>
      </c>
      <c r="B11" s="69" t="n">
        <f aca="false">Inputs!$E$98</f>
        <v>349000</v>
      </c>
      <c r="D11" s="18" t="s">
        <v>141</v>
      </c>
    </row>
    <row r="12" customFormat="false" ht="15" hidden="false" customHeight="false" outlineLevel="0" collapsed="false">
      <c r="A12" s="4" t="s">
        <v>142</v>
      </c>
      <c r="B12" s="68" t="n">
        <f aca="false">B10+B11</f>
        <v>475967.781536044</v>
      </c>
    </row>
    <row r="14" customFormat="false" ht="15" hidden="false" customHeight="false" outlineLevel="0" collapsed="false">
      <c r="A14" s="6" t="s">
        <v>63</v>
      </c>
      <c r="B14" s="69" t="n">
        <f aca="false">Inputs!$E$83</f>
        <v>100000</v>
      </c>
    </row>
    <row r="15" customFormat="false" ht="15" hidden="false" customHeight="false" outlineLevel="0" collapsed="false">
      <c r="A15" s="6" t="s">
        <v>64</v>
      </c>
      <c r="B15" s="69" t="n">
        <f aca="false">Inputs!$E$84</f>
        <v>150000</v>
      </c>
    </row>
    <row r="16" customFormat="false" ht="15" hidden="false" customHeight="false" outlineLevel="0" collapsed="false">
      <c r="A16" s="4" t="s">
        <v>143</v>
      </c>
      <c r="B16" s="68" t="n">
        <f aca="false">B14+B15</f>
        <v>250000</v>
      </c>
    </row>
    <row r="17" customFormat="false" ht="15" hidden="false" customHeight="false" outlineLevel="0" collapsed="false">
      <c r="A17" s="70" t="s">
        <v>66</v>
      </c>
      <c r="B17" s="71" t="n">
        <f aca="false">B16-B12</f>
        <v>-225967.781536044</v>
      </c>
      <c r="D17" s="18" t="s">
        <v>144</v>
      </c>
    </row>
    <row r="18" customFormat="false" ht="15" hidden="false" customHeight="false" outlineLevel="0" collapsed="false">
      <c r="A18" s="6" t="s">
        <v>145</v>
      </c>
      <c r="B18" s="67" t="n">
        <f aca="false">MIN(Monthly!$C$90:$AL$90)</f>
        <v>123032.218463956</v>
      </c>
      <c r="D18" s="18" t="s">
        <v>146</v>
      </c>
    </row>
    <row r="20" customFormat="false" ht="15.75" hidden="false" customHeight="true" outlineLevel="0" collapsed="false">
      <c r="A20" s="7" t="s">
        <v>147</v>
      </c>
      <c r="B20" s="7"/>
      <c r="C20" s="7"/>
      <c r="D20" s="7"/>
    </row>
    <row r="21" customFormat="false" ht="15" hidden="false" customHeight="false" outlineLevel="0" collapsed="false">
      <c r="A21" s="6" t="s">
        <v>148</v>
      </c>
      <c r="B21" s="65" t="n">
        <f aca="false">IFERROR(MATCH(1,Monthly!$C$91:$AL$91,0),"Not within horizon")</f>
        <v>1</v>
      </c>
    </row>
    <row r="22" customFormat="false" ht="15" hidden="false" customHeight="false" outlineLevel="0" collapsed="false">
      <c r="A22" s="6" t="s">
        <v>149</v>
      </c>
      <c r="B22" s="65" t="n">
        <f aca="false">IFERROR(MATCH(1,Monthly!$C$94:$AL$94,0),"Not within horizon")</f>
        <v>1</v>
      </c>
    </row>
    <row r="23" customFormat="false" ht="15" hidden="false" customHeight="false" outlineLevel="0" collapsed="false">
      <c r="A23" s="6" t="s">
        <v>150</v>
      </c>
      <c r="B23" s="65" t="n">
        <f aca="false">IF(MIN(Monthly!$C$96:$AL$96)&gt;=0,"No investment to pay back",IFERROR(MATCH(1,Monthly!$C$98:$AL$98,0),"Not within horizon"))</f>
        <v>9</v>
      </c>
      <c r="D23" s="18" t="s">
        <v>151</v>
      </c>
    </row>
    <row r="25" customFormat="false" ht="15.75" hidden="false" customHeight="true" outlineLevel="0" collapsed="false">
      <c r="A25" s="7" t="s">
        <v>152</v>
      </c>
      <c r="B25" s="7"/>
      <c r="C25" s="7"/>
      <c r="D25" s="7"/>
    </row>
    <row r="26" customFormat="false" ht="15" hidden="false" customHeight="false" outlineLevel="0" collapsed="false">
      <c r="A26" s="72" t="s">
        <v>153</v>
      </c>
      <c r="B26" s="72" t="n">
        <v>1</v>
      </c>
      <c r="C26" s="72" t="n">
        <v>2</v>
      </c>
      <c r="D26" s="72" t="n">
        <v>3</v>
      </c>
    </row>
    <row r="27" customFormat="false" ht="15" hidden="false" customHeight="false" outlineLevel="0" collapsed="false">
      <c r="A27" s="33"/>
      <c r="B27" s="35" t="s">
        <v>154</v>
      </c>
      <c r="C27" s="35" t="s">
        <v>155</v>
      </c>
      <c r="D27" s="35" t="s">
        <v>156</v>
      </c>
    </row>
    <row r="28" customFormat="false" ht="15" hidden="false" customHeight="false" outlineLevel="0" collapsed="false">
      <c r="A28" s="4" t="s">
        <v>44</v>
      </c>
      <c r="B28" s="73" t="n">
        <f aca="false">SUMIF(Monthly!$C$5:$AL$5,B$26,Monthly!$C$31:$AL$31)</f>
        <v>1975300.08293807</v>
      </c>
      <c r="C28" s="73" t="n">
        <f aca="false">SUMIF(Monthly!$C$5:$AL$5,C$26,Monthly!$C$31:$AL$31)</f>
        <v>2149133.33248285</v>
      </c>
      <c r="D28" s="73" t="n">
        <f aca="false">SUMIF(Monthly!$C$5:$AL$5,D$26,Monthly!$C$31:$AL$31)</f>
        <v>2337329.1411336</v>
      </c>
    </row>
    <row r="29" customFormat="false" ht="15" hidden="false" customHeight="false" outlineLevel="0" collapsed="false">
      <c r="A29" s="6" t="s">
        <v>45</v>
      </c>
      <c r="B29" s="67" t="n">
        <f aca="false">SUMIF(Monthly!$C$5:$AL$5,B$26,Monthly!$C$38:$AL$38)</f>
        <v>1700585.93037021</v>
      </c>
      <c r="C29" s="67" t="n">
        <f aca="false">SUMIF(Monthly!$C$5:$AL$5,C$26,Monthly!$C$38:$AL$38)</f>
        <v>1850264.9141094</v>
      </c>
      <c r="D29" s="67" t="n">
        <f aca="false">SUMIF(Monthly!$C$5:$AL$5,D$26,Monthly!$C$38:$AL$38)</f>
        <v>2012307.82631284</v>
      </c>
    </row>
    <row r="30" customFormat="false" ht="15" hidden="false" customHeight="false" outlineLevel="0" collapsed="false">
      <c r="A30" s="39" t="s">
        <v>157</v>
      </c>
      <c r="B30" s="74" t="n">
        <f aca="false">IF(B28=0,0,B29/B28)</f>
        <v>0.860925357650341</v>
      </c>
      <c r="C30" s="74" t="n">
        <f aca="false">IF(C28=0,0,C29/C28)</f>
        <v>0.860935376202008</v>
      </c>
      <c r="D30" s="74" t="n">
        <f aca="false">IF(D28=0,0,D29/D28)</f>
        <v>0.860943283895769</v>
      </c>
    </row>
    <row r="31" customFormat="false" ht="15" hidden="false" customHeight="false" outlineLevel="0" collapsed="false">
      <c r="A31" s="6" t="s">
        <v>158</v>
      </c>
      <c r="B31" s="67" t="n">
        <f aca="false">-SUMIF(Monthly!$C$5:$AL$5,B$26,Monthly!$C$50:$AL$50)</f>
        <v>1397453.4052936</v>
      </c>
      <c r="C31" s="67" t="n">
        <f aca="false">-SUMIF(Monthly!$C$5:$AL$5,C$26,Monthly!$C$50:$AL$50)</f>
        <v>1476940.00043029</v>
      </c>
      <c r="D31" s="67" t="n">
        <f aca="false">-SUMIF(Monthly!$C$5:$AL$5,D$26,Monthly!$C$50:$AL$50)</f>
        <v>1562405.06825089</v>
      </c>
    </row>
    <row r="32" customFormat="false" ht="15" hidden="false" customHeight="false" outlineLevel="0" collapsed="false">
      <c r="A32" s="4" t="s">
        <v>159</v>
      </c>
      <c r="B32" s="73" t="n">
        <f aca="false">IF(B30&gt;0,B31/B30,"n/a")</f>
        <v>1623199.26213762</v>
      </c>
      <c r="C32" s="73" t="n">
        <f aca="false">IF(C30&gt;0,C31/C30,"n/a")</f>
        <v>1715506.22875526</v>
      </c>
      <c r="D32" s="73" t="n">
        <f aca="false">IF(D30&gt;0,D31/D30,"n/a")</f>
        <v>1814759.57531257</v>
      </c>
    </row>
    <row r="33" customFormat="false" ht="15" hidden="false" customHeight="false" outlineLevel="0" collapsed="false">
      <c r="A33" s="39" t="s">
        <v>160</v>
      </c>
      <c r="B33" s="74" t="n">
        <f aca="false">IF(AND(ISNUMBER(B32),B28&gt;0),(B28-B32)/B28,"n/a")</f>
        <v>0.178251812897581</v>
      </c>
      <c r="C33" s="74" t="n">
        <f aca="false">IF(AND(ISNUMBER(C32),C28&gt;0),(C28-C32)/C28,"n/a")</f>
        <v>0.201768358050932</v>
      </c>
      <c r="D33" s="74" t="n">
        <f aca="false">IF(AND(ISNUMBER(D32),D28&gt;0),(D28-D32)/D28,"n/a")</f>
        <v>0.223575514729426</v>
      </c>
    </row>
    <row r="35" customFormat="false" ht="15" hidden="false" customHeight="false" outlineLevel="0" collapsed="false">
      <c r="A35" s="39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163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164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9" t="s">
        <v>165</v>
      </c>
      <c r="B6" s="75" t="n">
        <f aca="false">Inputs!$E$101</f>
        <v>0.16</v>
      </c>
    </row>
    <row r="7" customFormat="false" ht="15" hidden="false" customHeight="false" outlineLevel="0" collapsed="false">
      <c r="A7" s="39" t="s">
        <v>166</v>
      </c>
      <c r="B7" s="75" t="n">
        <f aca="false">Inputs!$E$102</f>
        <v>0.02</v>
      </c>
    </row>
    <row r="8" customFormat="false" ht="15" hidden="false" customHeight="false" outlineLevel="0" collapsed="false">
      <c r="A8" s="6" t="s">
        <v>167</v>
      </c>
      <c r="B8" s="76" t="n">
        <f aca="false">Inputs!$E$103</f>
        <v>5.5</v>
      </c>
    </row>
    <row r="9" customFormat="false" ht="15" hidden="false" customHeight="false" outlineLevel="0" collapsed="false">
      <c r="A9" s="39" t="s">
        <v>168</v>
      </c>
      <c r="B9" s="75" t="n">
        <f aca="false">Inputs!$E$95</f>
        <v>0.21</v>
      </c>
    </row>
    <row r="10" customFormat="false" ht="15" hidden="false" customHeight="false" outlineLevel="0" collapsed="false">
      <c r="A10" s="39" t="s">
        <v>169</v>
      </c>
      <c r="B10" s="75" t="n">
        <f aca="false">Inputs!$E$104</f>
        <v>0.01</v>
      </c>
    </row>
    <row r="11" customFormat="false" ht="15" hidden="false" customHeight="false" outlineLevel="0" collapsed="false">
      <c r="A11" s="39" t="s">
        <v>170</v>
      </c>
      <c r="B11" s="75" t="n">
        <f aca="false">Inputs!$E$105</f>
        <v>0.005</v>
      </c>
    </row>
    <row r="13" customFormat="false" ht="15.75" hidden="false" customHeight="true" outlineLevel="0" collapsed="false">
      <c r="A13" s="7" t="s">
        <v>171</v>
      </c>
      <c r="B13" s="7"/>
      <c r="C13" s="7"/>
      <c r="D13" s="7"/>
    </row>
    <row r="14" customFormat="false" ht="15" hidden="false" customHeight="false" outlineLevel="0" collapsed="false">
      <c r="A14" s="72" t="s">
        <v>153</v>
      </c>
      <c r="B14" s="72" t="n">
        <v>1</v>
      </c>
      <c r="C14" s="72" t="n">
        <v>2</v>
      </c>
      <c r="D14" s="72" t="n">
        <v>3</v>
      </c>
    </row>
    <row r="15" customFormat="false" ht="15" hidden="false" customHeight="false" outlineLevel="0" collapsed="false">
      <c r="A15" s="33"/>
      <c r="B15" s="35" t="s">
        <v>154</v>
      </c>
      <c r="C15" s="35" t="s">
        <v>155</v>
      </c>
      <c r="D15" s="35" t="s">
        <v>156</v>
      </c>
    </row>
    <row r="16" customFormat="false" ht="15" hidden="false" customHeight="false" outlineLevel="0" collapsed="false">
      <c r="A16" s="6" t="s">
        <v>48</v>
      </c>
      <c r="B16" s="67" t="n">
        <f aca="false">SUMIF(Monthly!$C$5:$AL$5,B$14,Monthly!$C$51:$AL$51)</f>
        <v>303132.525076608</v>
      </c>
      <c r="C16" s="67" t="n">
        <f aca="false">SUMIF(Monthly!$C$5:$AL$5,C$14,Monthly!$C$51:$AL$51)</f>
        <v>373324.913679101</v>
      </c>
      <c r="D16" s="67" t="n">
        <f aca="false">SUMIF(Monthly!$C$5:$AL$5,D$14,Monthly!$C$51:$AL$51)</f>
        <v>449902.758061944</v>
      </c>
    </row>
    <row r="17" customFormat="false" ht="15" hidden="false" customHeight="false" outlineLevel="0" collapsed="false">
      <c r="A17" s="4" t="s">
        <v>172</v>
      </c>
      <c r="B17" s="73" t="n">
        <f aca="false">SUMIF(Monthly!$C$5:$AL$5,B$14,Monthly!$C$99:$AL$99)</f>
        <v>66898.8717425897</v>
      </c>
      <c r="C17" s="73" t="n">
        <f aca="false">SUMIF(Monthly!$C$5:$AL$5,C$14,Monthly!$C$99:$AL$99)</f>
        <v>258415.653135525</v>
      </c>
      <c r="D17" s="73" t="n">
        <f aca="false">SUMIF(Monthly!$C$5:$AL$5,D$14,Monthly!$C$99:$AL$99)</f>
        <v>316481.279720099</v>
      </c>
    </row>
    <row r="18" customFormat="false" ht="15" hidden="false" customHeight="false" outlineLevel="0" collapsed="false">
      <c r="A18" s="6" t="s">
        <v>173</v>
      </c>
      <c r="B18" s="77" t="n">
        <f aca="false">1/(1+Inputs!$E$101)^B$14</f>
        <v>0.862068965517241</v>
      </c>
      <c r="C18" s="77" t="n">
        <f aca="false">1/(1+Inputs!$E$101)^C$14</f>
        <v>0.743162901307967</v>
      </c>
      <c r="D18" s="77" t="n">
        <f aca="false">1/(1+Inputs!$E$101)^D$14</f>
        <v>0.640657673541351</v>
      </c>
    </row>
    <row r="19" customFormat="false" ht="15" hidden="false" customHeight="false" outlineLevel="0" collapsed="false">
      <c r="A19" s="6" t="s">
        <v>174</v>
      </c>
      <c r="B19" s="67" t="n">
        <f aca="false">B17*B18</f>
        <v>57671.4411574049</v>
      </c>
      <c r="C19" s="67" t="n">
        <f aca="false">C17*C18</f>
        <v>192044.92652759</v>
      </c>
      <c r="D19" s="67" t="n">
        <f aca="false">D17*D18</f>
        <v>202756.160384868</v>
      </c>
    </row>
    <row r="21" customFormat="false" ht="15.75" hidden="false" customHeight="true" outlineLevel="0" collapsed="false">
      <c r="A21" s="7" t="s">
        <v>175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5" t="s">
        <v>176</v>
      </c>
      <c r="C22" s="35" t="s">
        <v>177</v>
      </c>
    </row>
    <row r="23" customFormat="false" ht="15" hidden="false" customHeight="false" outlineLevel="0" collapsed="false">
      <c r="A23" s="6" t="s">
        <v>178</v>
      </c>
      <c r="B23" s="67" t="n">
        <f aca="false">SUM($B$19:$D$19)</f>
        <v>452472.528069863</v>
      </c>
      <c r="C23" s="67" t="n">
        <f aca="false">B23</f>
        <v>452472.528069863</v>
      </c>
    </row>
    <row r="24" customFormat="false" ht="15" hidden="false" customHeight="false" outlineLevel="0" collapsed="false">
      <c r="A24" s="6" t="s">
        <v>179</v>
      </c>
      <c r="B24" s="67" t="n">
        <f aca="false">$D$17</f>
        <v>316481.279720099</v>
      </c>
      <c r="C24" s="67" t="n">
        <f aca="false">$D$16</f>
        <v>449902.758061944</v>
      </c>
    </row>
    <row r="25" customFormat="false" ht="15" hidden="false" customHeight="false" outlineLevel="0" collapsed="false">
      <c r="A25" s="6" t="s">
        <v>180</v>
      </c>
      <c r="B25" s="67" t="n">
        <f aca="false">IF($B$6&gt;$B$7,B24*(1+$B$7)/($B$6-$B$7),0)</f>
        <v>2305792.18081786</v>
      </c>
      <c r="C25" s="67" t="n">
        <f aca="false">C24*$B$8</f>
        <v>2474465.16934069</v>
      </c>
    </row>
    <row r="26" customFormat="false" ht="15" hidden="false" customHeight="false" outlineLevel="0" collapsed="false">
      <c r="A26" s="6" t="s">
        <v>181</v>
      </c>
      <c r="B26" s="67" t="n">
        <f aca="false">B25/(1+$B$6)^$D$14</f>
        <v>1477223.45423261</v>
      </c>
      <c r="C26" s="67" t="n">
        <f aca="false">C25/(1+$B$6)^$D$14</f>
        <v>1585285.09864891</v>
      </c>
    </row>
    <row r="27" customFormat="false" ht="15" hidden="false" customHeight="false" outlineLevel="0" collapsed="false">
      <c r="A27" s="4" t="s">
        <v>175</v>
      </c>
      <c r="B27" s="68" t="n">
        <f aca="false">B23+B26</f>
        <v>1929695.98230247</v>
      </c>
      <c r="C27" s="68" t="n">
        <f aca="false">C23+C26</f>
        <v>2037757.62671877</v>
      </c>
    </row>
    <row r="28" customFormat="false" ht="15" hidden="false" customHeight="false" outlineLevel="0" collapsed="false">
      <c r="A28" s="39" t="s">
        <v>182</v>
      </c>
      <c r="B28" s="74" t="n">
        <f aca="false">IF(B27&lt;&gt;0,B26/B27,0)</f>
        <v>0.765521340035137</v>
      </c>
      <c r="C28" s="74" t="n">
        <f aca="false">IF(C27&lt;&gt;0,C26/C27,0)</f>
        <v>0.777955669439235</v>
      </c>
    </row>
    <row r="29" customFormat="false" ht="15" hidden="false" customHeight="false" outlineLevel="0" collapsed="false">
      <c r="A29" s="6" t="s">
        <v>183</v>
      </c>
      <c r="B29" s="78" t="n">
        <f aca="false">IF(C24&gt;0,B25/C24,"n/a")</f>
        <v>5.12509012114212</v>
      </c>
      <c r="C29" s="74" t="n">
        <f aca="false">IF(C25+B24&lt;&gt;0,(C25*$B$6-B24)/(C25+B24),"n/a")</f>
        <v>0.0284610073407689</v>
      </c>
    </row>
    <row r="30" customFormat="false" ht="15" hidden="false" customHeight="false" outlineLevel="0" collapsed="false">
      <c r="A30" s="70" t="s">
        <v>184</v>
      </c>
      <c r="B30" s="71" t="n">
        <f aca="false">AVERAGE(B27,C27)</f>
        <v>1983726.80451062</v>
      </c>
    </row>
    <row r="32" customFormat="false" ht="15.75" hidden="false" customHeight="true" outlineLevel="0" collapsed="false">
      <c r="A32" s="7" t="s">
        <v>185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186</v>
      </c>
      <c r="B33" s="79" t="n">
        <f aca="false">$B$7+(-2)*$B$11</f>
        <v>0.01</v>
      </c>
      <c r="C33" s="79" t="n">
        <f aca="false">$B$7+(-1)*$B$11</f>
        <v>0.015</v>
      </c>
      <c r="D33" s="79" t="n">
        <f aca="false">$B$7+(0)*$B$11</f>
        <v>0.02</v>
      </c>
      <c r="E33" s="79" t="n">
        <f aca="false">$B$7+(1)*$B$11</f>
        <v>0.025</v>
      </c>
      <c r="F33" s="79" t="n">
        <f aca="false">$B$7+(2)*$B$11</f>
        <v>0.03</v>
      </c>
    </row>
    <row r="34" customFormat="false" ht="15" hidden="false" customHeight="false" outlineLevel="0" collapsed="false">
      <c r="A34" s="74" t="n">
        <f aca="false">$B$6+(-2)*$B$10</f>
        <v>0.14</v>
      </c>
      <c r="B34" s="67" t="n">
        <f aca="false">IF($A34&gt;B$33,SUMPRODUCT($B$17:$D$17/(1+$A34)^$B$14:$D$14)+$D$17*(1+B$33)/($A34-B$33)/(1+$A34)^$D$14,"n/a")</f>
        <v>2130772.352558</v>
      </c>
      <c r="C34" s="67" t="n">
        <f aca="false">IF($A34&gt;C$33,SUMPRODUCT($B$17:$D$17/(1+$A34)^$B$14:$D$14)+$D$17*(1+C$33)/($A34-C$33)/(1+$A34)^$D$14,"n/a")</f>
        <v>2205702.21966979</v>
      </c>
      <c r="D34" s="67" t="n">
        <f aca="false">IF($A34&gt;D$33,SUMPRODUCT($B$17:$D$17/(1+$A34)^$B$14:$D$14)+$D$17*(1+D$33)/($A34-D$33)/(1+$A34)^$D$14,"n/a")</f>
        <v>2286876.24237424</v>
      </c>
      <c r="E34" s="67" t="n">
        <f aca="false">IF($A34&gt;E$33,SUMPRODUCT($B$17:$D$17/(1+$A34)^$B$14:$D$14)+$D$17*(1+E$33)/($A34-E$33)/(1+$A34)^$D$14,"n/a")</f>
        <v>2375108.87574864</v>
      </c>
      <c r="F34" s="67" t="n">
        <f aca="false">IF($A34&gt;F$33,SUMPRODUCT($B$17:$D$17/(1+$A34)^$B$14:$D$14)+$D$17*(1+F$33)/($A34-F$33)/(1+$A34)^$D$14,"n/a")</f>
        <v>2471362.65761162</v>
      </c>
    </row>
    <row r="35" customFormat="false" ht="15" hidden="false" customHeight="false" outlineLevel="0" collapsed="false">
      <c r="A35" s="74" t="n">
        <f aca="false">$B$6+(-1)*$B$10</f>
        <v>0.15</v>
      </c>
      <c r="B35" s="67" t="n">
        <f aca="false">IF($A35&gt;B$33,SUMPRODUCT($B$17:$D$17/(1+$A35)^$B$14:$D$14)+$D$17*(1+B$33)/($A35-B$33)/(1+$A35)^$D$14,"n/a")</f>
        <v>1962895.97358698</v>
      </c>
      <c r="C35" s="67" t="n">
        <f aca="false">IF($A35&gt;C$33,SUMPRODUCT($B$17:$D$17/(1+$A35)^$B$14:$D$14)+$D$17*(1+C$33)/($A35-C$33)/(1+$A35)^$D$14,"n/a")</f>
        <v>2026204.25810506</v>
      </c>
      <c r="D35" s="67" t="n">
        <f aca="false">IF($A35&gt;D$33,SUMPRODUCT($B$17:$D$17/(1+$A35)^$B$14:$D$14)+$D$17*(1+D$33)/($A35-D$33)/(1+$A35)^$D$14,"n/a")</f>
        <v>2094382.41066299</v>
      </c>
      <c r="E35" s="67" t="n">
        <f aca="false">IF($A35&gt;E$33,SUMPRODUCT($B$17:$D$17/(1+$A35)^$B$14:$D$14)+$D$17*(1+E$33)/($A35-E$33)/(1+$A35)^$D$14,"n/a")</f>
        <v>2168014.81542555</v>
      </c>
      <c r="F35" s="67" t="n">
        <f aca="false">IF($A35&gt;F$33,SUMPRODUCT($B$17:$D$17/(1+$A35)^$B$14:$D$14)+$D$17*(1+F$33)/($A35-F$33)/(1+$A35)^$D$14,"n/a")</f>
        <v>2247783.25391833</v>
      </c>
    </row>
    <row r="36" customFormat="false" ht="15" hidden="false" customHeight="false" outlineLevel="0" collapsed="false">
      <c r="A36" s="74" t="n">
        <f aca="false">$B$6+(0)*$B$10</f>
        <v>0.16</v>
      </c>
      <c r="B36" s="67" t="n">
        <f aca="false">IF($A36&gt;B$33,SUMPRODUCT($B$17:$D$17/(1+$A36)^$B$14:$D$14)+$D$17*(1+B$33)/($A36-B$33)/(1+$A36)^$D$14,"n/a")</f>
        <v>1817697.34132797</v>
      </c>
      <c r="C36" s="67" t="n">
        <f aca="false">IF($A36&gt;C$33,SUMPRODUCT($B$17:$D$17/(1+$A36)^$B$14:$D$14)+$D$17*(1+C$33)/($A36-C$33)/(1+$A36)^$D$14,"n/a")</f>
        <v>1871765.65076394</v>
      </c>
      <c r="D36" s="67" t="n">
        <f aca="false">IF($A36&gt;D$33,SUMPRODUCT($B$17:$D$17/(1+$A36)^$B$14:$D$14)+$D$17*(1+D$33)/($A36-D$33)/(1+$A36)^$D$14,"n/a")</f>
        <v>1929695.98230247</v>
      </c>
      <c r="E36" s="67" t="n">
        <f aca="false">IF($A36&gt;E$33,SUMPRODUCT($B$17:$D$17/(1+$A36)^$B$14:$D$14)+$D$17*(1+E$33)/($A36-E$33)/(1+$A36)^$D$14,"n/a")</f>
        <v>1991917.44951053</v>
      </c>
      <c r="F36" s="67" t="n">
        <f aca="false">IF($A36&gt;F$33,SUMPRODUCT($B$17:$D$17/(1+$A36)^$B$14:$D$14)+$D$17*(1+F$33)/($A36-F$33)/(1+$A36)^$D$14,"n/a")</f>
        <v>2058925.18342689</v>
      </c>
    </row>
    <row r="37" customFormat="false" ht="15" hidden="false" customHeight="false" outlineLevel="0" collapsed="false">
      <c r="A37" s="74" t="n">
        <f aca="false">$B$6+(1)*$B$10</f>
        <v>0.17</v>
      </c>
      <c r="B37" s="67" t="n">
        <f aca="false">IF($A37&gt;B$33,SUMPRODUCT($B$17:$D$17/(1+$A37)^$B$14:$D$14)+$D$17*(1+B$33)/($A37-B$33)/(1+$A37)^$D$14,"n/a")</f>
        <v>1690916.30603037</v>
      </c>
      <c r="C37" s="67" t="n">
        <f aca="false">IF($A37&gt;C$33,SUMPRODUCT($B$17:$D$17/(1+$A37)^$B$14:$D$14)+$D$17*(1+C$33)/($A37-C$33)/(1+$A37)^$D$14,"n/a")</f>
        <v>1737527.9720549</v>
      </c>
      <c r="D37" s="67" t="n">
        <f aca="false">IF($A37&gt;D$33,SUMPRODUCT($B$17:$D$17/(1+$A37)^$B$14:$D$14)+$D$17*(1+D$33)/($A37-D$33)/(1+$A37)^$D$14,"n/a")</f>
        <v>1787247.08248108</v>
      </c>
      <c r="E37" s="67" t="n">
        <f aca="false">IF($A37&gt;E$33,SUMPRODUCT($B$17:$D$17/(1+$A37)^$B$14:$D$14)+$D$17*(1+E$33)/($A37-E$33)/(1+$A37)^$D$14,"n/a")</f>
        <v>1840395.09707457</v>
      </c>
      <c r="F37" s="67" t="n">
        <f aca="false">IF($A37&gt;F$33,SUMPRODUCT($B$17:$D$17/(1+$A37)^$B$14:$D$14)+$D$17*(1+F$33)/($A37-F$33)/(1+$A37)^$D$14,"n/a")</f>
        <v>1897339.39842474</v>
      </c>
    </row>
    <row r="38" customFormat="false" ht="15" hidden="false" customHeight="false" outlineLevel="0" collapsed="false">
      <c r="A38" s="74" t="n">
        <f aca="false">$B$6+(2)*$B$10</f>
        <v>0.18</v>
      </c>
      <c r="B38" s="67" t="n">
        <f aca="false">IF($A38&gt;B$33,SUMPRODUCT($B$17:$D$17/(1+$A38)^$B$14:$D$14)+$D$17*(1+B$33)/($A38-B$33)/(1+$A38)^$D$14,"n/a")</f>
        <v>1579295.39527477</v>
      </c>
      <c r="C38" s="67" t="n">
        <f aca="false">IF($A38&gt;C$33,SUMPRODUCT($B$17:$D$17/(1+$A38)^$B$14:$D$14)+$D$17*(1+C$33)/($A38-C$33)/(1+$A38)^$D$14,"n/a")</f>
        <v>1619810.89035606</v>
      </c>
      <c r="D38" s="67" t="n">
        <f aca="false">IF($A38&gt;D$33,SUMPRODUCT($B$17:$D$17/(1+$A38)^$B$14:$D$14)+$D$17*(1+D$33)/($A38-D$33)/(1+$A38)^$D$14,"n/a")</f>
        <v>1662858.60387992</v>
      </c>
      <c r="E38" s="67" t="n">
        <f aca="false">IF($A38&gt;E$33,SUMPRODUCT($B$17:$D$17/(1+$A38)^$B$14:$D$14)+$D$17*(1+E$33)/($A38-E$33)/(1+$A38)^$D$14,"n/a")</f>
        <v>1708683.58924403</v>
      </c>
      <c r="F38" s="67" t="n">
        <f aca="false">IF($A38&gt;F$33,SUMPRODUCT($B$17:$D$17/(1+$A38)^$B$14:$D$14)+$D$17*(1+F$33)/($A38-F$33)/(1+$A38)^$D$14,"n/a")</f>
        <v>1757563.57363241</v>
      </c>
    </row>
    <row r="40" customFormat="false" ht="15" hidden="false" customHeight="false" outlineLevel="0" collapsed="false">
      <c r="A40" s="39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188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189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190</v>
      </c>
      <c r="B5" s="7"/>
      <c r="C5" s="7"/>
    </row>
    <row r="6" customFormat="false" ht="15" hidden="false" customHeight="false" outlineLevel="0" collapsed="false">
      <c r="B6" s="35" t="s">
        <v>191</v>
      </c>
      <c r="C6" s="35" t="s">
        <v>192</v>
      </c>
    </row>
    <row r="7" customFormat="false" ht="15" hidden="false" customHeight="false" outlineLevel="0" collapsed="false">
      <c r="A7" s="6" t="s">
        <v>193</v>
      </c>
      <c r="B7" s="80" t="n">
        <f aca="false">Inputs!$E$83</f>
        <v>100000</v>
      </c>
      <c r="C7" s="74" t="n">
        <f aca="false">IF($B$9=0,0,B7/$B$9)</f>
        <v>0.4</v>
      </c>
    </row>
    <row r="8" customFormat="false" ht="15" hidden="false" customHeight="false" outlineLevel="0" collapsed="false">
      <c r="A8" s="6" t="s">
        <v>194</v>
      </c>
      <c r="B8" s="80" t="n">
        <f aca="false">Inputs!$E$84</f>
        <v>150000</v>
      </c>
      <c r="C8" s="74" t="n">
        <f aca="false">IF($B$9=0,0,B8/$B$9)</f>
        <v>0.6</v>
      </c>
    </row>
    <row r="9" customFormat="false" ht="15" hidden="false" customHeight="false" outlineLevel="0" collapsed="false">
      <c r="A9" s="4" t="s">
        <v>195</v>
      </c>
      <c r="B9" s="81" t="n">
        <f aca="false">B7+B8</f>
        <v>250000</v>
      </c>
      <c r="C9" s="82" t="n">
        <f aca="false">IF(B9=0,0,1)</f>
        <v>1</v>
      </c>
    </row>
    <row r="10" customFormat="false" ht="15" hidden="false" customHeight="false" outlineLevel="0" collapsed="false">
      <c r="A10" s="6" t="s">
        <v>196</v>
      </c>
      <c r="B10" s="78" t="n">
        <f aca="false">IF(B7&lt;=0,IF(B8&gt;0,"n/a",0),B8/B7)</f>
        <v>1.5</v>
      </c>
      <c r="D10" s="18" t="s">
        <v>197</v>
      </c>
    </row>
    <row r="11" customFormat="false" ht="15" hidden="false" customHeight="false" outlineLevel="0" collapsed="false">
      <c r="A11" s="6" t="s">
        <v>198</v>
      </c>
      <c r="B11" s="80" t="n">
        <f aca="false">'Break-even'!B12</f>
        <v>475967.781536044</v>
      </c>
    </row>
    <row r="12" customFormat="false" ht="15" hidden="false" customHeight="false" outlineLevel="0" collapsed="false">
      <c r="A12" s="70" t="s">
        <v>66</v>
      </c>
      <c r="B12" s="83" t="n">
        <f aca="false">'Break-even'!B17</f>
        <v>-225967.781536044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199</v>
      </c>
      <c r="B15" s="84" t="n">
        <v>12</v>
      </c>
      <c r="D15" s="18" t="s">
        <v>200</v>
      </c>
    </row>
    <row r="16" customFormat="false" ht="15" hidden="false" customHeight="false" outlineLevel="0" collapsed="false">
      <c r="A16" s="6" t="s">
        <v>201</v>
      </c>
      <c r="B16" s="65" t="n">
        <f aca="false">MIN(36,MAX(1,ROUND(B15,0)))</f>
        <v>12</v>
      </c>
    </row>
    <row r="17" customFormat="false" ht="15" hidden="false" customHeight="false" outlineLevel="0" collapsed="false">
      <c r="A17" s="33" t="s">
        <v>202</v>
      </c>
      <c r="B17" s="35" t="s">
        <v>191</v>
      </c>
      <c r="C17" s="35" t="s">
        <v>192</v>
      </c>
    </row>
    <row r="18" customFormat="false" ht="15" hidden="false" customHeight="false" outlineLevel="0" collapsed="false">
      <c r="A18" s="6" t="s">
        <v>63</v>
      </c>
      <c r="B18" s="61" t="n">
        <f aca="false">SUMPRODUCT(--(Monthly!$C$4:$AL$4&lt;=$B$16),Monthly!$C$86:$AL$86)</f>
        <v>100000</v>
      </c>
      <c r="C18" s="74" t="n">
        <f aca="false">IF($B$21=0,0,B18/$B$21)</f>
        <v>0.251850837424906</v>
      </c>
    </row>
    <row r="19" customFormat="false" ht="15" hidden="false" customHeight="false" outlineLevel="0" collapsed="false">
      <c r="A19" s="6" t="s">
        <v>203</v>
      </c>
      <c r="B19" s="61" t="n">
        <f aca="false">SUMPRODUCT(--(Monthly!$C$4:$AL$4&lt;=$B$16),Monthly!$C$71:$AL$71)</f>
        <v>150000</v>
      </c>
      <c r="C19" s="74" t="n">
        <f aca="false">IF($B$21=0,0,B19/$B$21)</f>
        <v>0.377776256137359</v>
      </c>
    </row>
    <row r="20" customFormat="false" ht="15" hidden="false" customHeight="false" outlineLevel="0" collapsed="false">
      <c r="A20" s="6" t="s">
        <v>204</v>
      </c>
      <c r="B20" s="61" t="n">
        <f aca="false">MAX(0,SUMPRODUCT(--(Monthly!$C$4:$AL$4&lt;=$B$16),Monthly!$C$84:$AL$84))</f>
        <v>147060.422837851</v>
      </c>
      <c r="C20" s="74" t="n">
        <f aca="false">IF($B$21=0,0,B20/$B$21)</f>
        <v>0.370372906437736</v>
      </c>
    </row>
    <row r="21" customFormat="false" ht="15" hidden="false" customHeight="false" outlineLevel="0" collapsed="false">
      <c r="A21" s="4" t="s">
        <v>205</v>
      </c>
      <c r="B21" s="81" t="n">
        <f aca="false">SUM(B18:B20)</f>
        <v>397060.422837851</v>
      </c>
      <c r="C21" s="82" t="n">
        <f aca="false">IF(B21=0,0,1)</f>
        <v>1</v>
      </c>
    </row>
    <row r="23" customFormat="false" ht="15" hidden="false" customHeight="false" outlineLevel="0" collapsed="false">
      <c r="A23" s="33" t="s">
        <v>206</v>
      </c>
      <c r="B23" s="35" t="s">
        <v>191</v>
      </c>
      <c r="C23" s="35" t="s">
        <v>192</v>
      </c>
    </row>
    <row r="24" customFormat="false" ht="15" hidden="false" customHeight="false" outlineLevel="0" collapsed="false">
      <c r="A24" s="6" t="s">
        <v>207</v>
      </c>
      <c r="B24" s="61" t="n">
        <f aca="false">MAX(0,-SUMPRODUCT(--(Monthly!$C$4:$AL$4&lt;=$B$16),Monthly!$C$84:$AL$84))</f>
        <v>0</v>
      </c>
      <c r="C24" s="74" t="n">
        <f aca="false">IF($B$28=0,0,B24/$B$28)</f>
        <v>0</v>
      </c>
    </row>
    <row r="25" customFormat="false" ht="15" hidden="false" customHeight="false" outlineLevel="0" collapsed="false">
      <c r="A25" s="6" t="s">
        <v>83</v>
      </c>
      <c r="B25" s="61" t="n">
        <f aca="false">-SUMPRODUCT(--(Monthly!$C$4:$AL$4&lt;=$B$16),Monthly!$C$85:$AL$85)</f>
        <v>89629.5012440711</v>
      </c>
      <c r="C25" s="74" t="n">
        <f aca="false">IF($B$28=0,0,B25/$B$28)</f>
        <v>0.225732649462959</v>
      </c>
    </row>
    <row r="26" customFormat="false" ht="15" hidden="false" customHeight="false" outlineLevel="0" collapsed="false">
      <c r="A26" s="6" t="s">
        <v>208</v>
      </c>
      <c r="B26" s="61" t="n">
        <f aca="false">-SUMPRODUCT(--(Monthly!$C$4:$AL$4&lt;=$B$16),Monthly!$C$72:$AL$72)</f>
        <v>19642.8571428571</v>
      </c>
      <c r="C26" s="74" t="n">
        <f aca="false">IF($B$28=0,0,B26/$B$28)</f>
        <v>0.0494707002084636</v>
      </c>
    </row>
    <row r="27" customFormat="false" ht="15" hidden="false" customHeight="false" outlineLevel="0" collapsed="false">
      <c r="A27" s="6" t="s">
        <v>209</v>
      </c>
      <c r="B27" s="61" t="n">
        <f aca="false">INDEX(Monthly!$C$90:$AL$90,$B$16)</f>
        <v>287788.064450923</v>
      </c>
      <c r="C27" s="74" t="n">
        <f aca="false">IF($B$28=0,0,B27/$B$28)</f>
        <v>0.724796650328577</v>
      </c>
    </row>
    <row r="28" customFormat="false" ht="15" hidden="false" customHeight="false" outlineLevel="0" collapsed="false">
      <c r="A28" s="4" t="s">
        <v>210</v>
      </c>
      <c r="B28" s="81" t="n">
        <f aca="false">SUM(B24:B27)</f>
        <v>397060.422837851</v>
      </c>
      <c r="C28" s="82" t="n">
        <f aca="false">IF(B28=0,0,1)</f>
        <v>1</v>
      </c>
    </row>
    <row r="29" customFormat="false" ht="15" hidden="false" customHeight="false" outlineLevel="0" collapsed="false">
      <c r="A29" s="6" t="s">
        <v>211</v>
      </c>
      <c r="B29" s="61" t="n">
        <f aca="false">B21-B28</f>
        <v>0</v>
      </c>
    </row>
  </sheetData>
  <dataValidations count="1">
    <dataValidation allowBlank="false" errorStyle="stop" operator="between" prompt="A whole number from 1 to 36" promptTitle="Period" showDropDown="false" showErrorMessage="false" showInputMessage="true" sqref="B15" type="whole">
      <formula1>1</formula1>
      <formula2>36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.5"/>
    <col collapsed="false" customWidth="true" hidden="false" outlineLevel="0" max="6" min="6" style="0" width="2"/>
    <col collapsed="false" customWidth="true" hidden="false" outlineLevel="0" max="22" min="7" style="0" width="9"/>
  </cols>
  <sheetData>
    <row r="1" customFormat="false" ht="21.75" hidden="false" customHeight="true" outlineLevel="0" collapsed="false">
      <c r="A1" s="16" t="s">
        <v>212</v>
      </c>
      <c r="G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213</v>
      </c>
    </row>
    <row r="4" customFormat="false" ht="15.75" hidden="false" customHeight="true" outlineLevel="0" collapsed="false">
      <c r="A4" s="7" t="s">
        <v>214</v>
      </c>
      <c r="B4" s="7"/>
      <c r="C4" s="7"/>
      <c r="D4" s="7"/>
      <c r="E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5" t="s">
        <v>215</v>
      </c>
    </row>
    <row r="6" customFormat="false" ht="15" hidden="false" customHeight="false" outlineLevel="0" collapsed="false">
      <c r="A6" s="39" t="s">
        <v>216</v>
      </c>
      <c r="B6" s="40" t="str">
        <f aca="false">IF(N('P&amp;L'!A5)&lt;=0,"n/a",'P&amp;L'!B5/'P&amp;L'!A5-1)</f>
        <v>n/a</v>
      </c>
      <c r="C6" s="40" t="n">
        <f aca="false">IF(N('P&amp;L'!B5)&lt;=0,"n/a",'P&amp;L'!C5/'P&amp;L'!B5-1)</f>
        <v>0.0880034639021607</v>
      </c>
      <c r="D6" s="40" t="n">
        <f aca="false">IF(N('P&amp;L'!C5)&lt;=0,"n/a",'P&amp;L'!D5/'P&amp;L'!C5-1)</f>
        <v>0.0875682331134531</v>
      </c>
      <c r="E6" s="85"/>
    </row>
    <row r="7" customFormat="false" ht="15" hidden="false" customHeight="false" outlineLevel="0" collapsed="false">
      <c r="A7" s="39" t="s">
        <v>46</v>
      </c>
      <c r="B7" s="40" t="n">
        <f aca="false">IF('P&amp;L'!B5&lt;=0,"n/a",'P&amp;L'!B7/'P&amp;L'!B5)</f>
        <v>0.860925357650341</v>
      </c>
      <c r="C7" s="40" t="n">
        <f aca="false">IF('P&amp;L'!C5&lt;=0,"n/a",'P&amp;L'!C7/'P&amp;L'!C5)</f>
        <v>0.860935376202008</v>
      </c>
      <c r="D7" s="40" t="n">
        <f aca="false">IF('P&amp;L'!D5&lt;=0,"n/a",'P&amp;L'!D7/'P&amp;L'!D5)</f>
        <v>0.860943283895769</v>
      </c>
      <c r="E7" s="85"/>
    </row>
    <row r="8" customFormat="false" ht="15" hidden="false" customHeight="false" outlineLevel="0" collapsed="false">
      <c r="A8" s="39" t="s">
        <v>49</v>
      </c>
      <c r="B8" s="40" t="n">
        <f aca="false">IF('P&amp;L'!B5&lt;=0,"n/a",'P&amp;L'!B19/'P&amp;L'!B5)</f>
        <v>0.153461505770671</v>
      </c>
      <c r="C8" s="40" t="n">
        <f aca="false">IF('P&amp;L'!C5&lt;=0,"n/a",'P&amp;L'!C19/'P&amp;L'!C5)</f>
        <v>0.17370951724424</v>
      </c>
      <c r="D8" s="40" t="n">
        <f aca="false">IF('P&amp;L'!D5&lt;=0,"n/a",'P&amp;L'!D19/'P&amp;L'!D5)</f>
        <v>0.192485837849838</v>
      </c>
      <c r="E8" s="85"/>
    </row>
    <row r="9" customFormat="false" ht="15" hidden="false" customHeight="false" outlineLevel="0" collapsed="false">
      <c r="A9" s="39" t="s">
        <v>51</v>
      </c>
      <c r="B9" s="40" t="n">
        <f aca="false">IF('P&amp;L'!B5&lt;=0,"n/a",'P&amp;L'!B26/'P&amp;L'!B5)</f>
        <v>0.112103380359946</v>
      </c>
      <c r="C9" s="40" t="n">
        <f aca="false">IF('P&amp;L'!C5&lt;=0,"n/a",'P&amp;L'!C26/'P&amp;L'!C5)</f>
        <v>0.127875507695007</v>
      </c>
      <c r="D9" s="40" t="n">
        <f aca="false">IF('P&amp;L'!D5&lt;=0,"n/a",'P&amp;L'!D26/'P&amp;L'!D5)</f>
        <v>0.142447795866669</v>
      </c>
      <c r="E9" s="85"/>
    </row>
    <row r="10" customFormat="false" ht="15" hidden="false" customHeight="false" outlineLevel="0" collapsed="false">
      <c r="A10" s="39" t="s">
        <v>217</v>
      </c>
      <c r="B10" s="40" t="n">
        <f aca="false">IF('P&amp;L'!B5&lt;=0,"n/a",-SUMIF(Headcount!$C$5:$AL$5,B$5,Headcount!$C$21:$AL$21)/'P&amp;L'!B5)</f>
        <v>0.479749891262324</v>
      </c>
      <c r="C10" s="40" t="n">
        <f aca="false">IF('P&amp;L'!C5&lt;=0,"n/a",-SUMIF(Headcount!$C$5:$AL$5,C$5,Headcount!$C$21:$AL$21)/'P&amp;L'!C5)</f>
        <v>0.47014737742339</v>
      </c>
      <c r="D10" s="40" t="n">
        <f aca="false">IF('P&amp;L'!D5&lt;=0,"n/a",-SUMIF(Headcount!$C$5:$AL$5,D$5,Headcount!$C$21:$AL$21)/'P&amp;L'!D5)</f>
        <v>0.461167049028115</v>
      </c>
      <c r="E10" s="85"/>
    </row>
    <row r="11" customFormat="false" ht="15" hidden="false" customHeight="false" outlineLevel="0" collapsed="false">
      <c r="A11" s="39" t="s">
        <v>218</v>
      </c>
      <c r="B11" s="40" t="n">
        <f aca="false">IF('P&amp;L'!B5&lt;=0,"n/a",-'P&amp;L'!B11/'P&amp;L'!B5)</f>
        <v>0.0425251842621593</v>
      </c>
      <c r="C11" s="40" t="n">
        <f aca="false">IF('P&amp;L'!C5&lt;=0,"n/a",-'P&amp;L'!C11/'P&amp;L'!C5)</f>
        <v>0.0410397990049805</v>
      </c>
      <c r="D11" s="40" t="n">
        <f aca="false">IF('P&amp;L'!D5&lt;=0,"n/a",-'P&amp;L'!D11/'P&amp;L'!D5)</f>
        <v>0.039622147505971</v>
      </c>
      <c r="E11" s="85"/>
    </row>
    <row r="12" customFormat="false" ht="15" hidden="false" customHeight="false" outlineLevel="0" collapsed="false">
      <c r="A12" s="39" t="s">
        <v>219</v>
      </c>
      <c r="B12" s="40" t="n">
        <f aca="false">IF('P&amp;L'!B5&lt;=0,"n/a",-'P&amp;L'!B18/'P&amp;L'!B5)</f>
        <v>0.707463851879669</v>
      </c>
      <c r="C12" s="40" t="n">
        <f aca="false">IF('P&amp;L'!C5&lt;=0,"n/a",-'P&amp;L'!C18/'P&amp;L'!C5)</f>
        <v>0.687225858957768</v>
      </c>
      <c r="D12" s="40" t="n">
        <f aca="false">IF('P&amp;L'!D5&lt;=0,"n/a",-'P&amp;L'!D18/'P&amp;L'!D5)</f>
        <v>0.66845744604593</v>
      </c>
      <c r="E12" s="85"/>
    </row>
    <row r="13" customFormat="false" ht="15" hidden="false" customHeight="false" outlineLevel="0" collapsed="false">
      <c r="A13" s="6" t="s">
        <v>220</v>
      </c>
      <c r="B13" s="86" t="n">
        <f aca="false">IF(('Balance Sheet'!B12-'Balance Sheet'!B11)&lt;=0,"n/a",('Balance Sheet'!B5+'Balance Sheet'!B6+'Balance Sheet'!B7)/('Balance Sheet'!B12-'Balance Sheet'!B11))</f>
        <v>20.1411210054048</v>
      </c>
      <c r="C13" s="86" t="n">
        <f aca="false">IF(('Balance Sheet'!C12-'Balance Sheet'!C11)&lt;=0,"n/a",('Balance Sheet'!C5+'Balance Sheet'!C6+'Balance Sheet'!C7)/('Balance Sheet'!C12-'Balance Sheet'!C11))</f>
        <v>29.7516216261928</v>
      </c>
      <c r="D13" s="86" t="n">
        <f aca="false">IF(('Balance Sheet'!D12-'Balance Sheet'!D11)&lt;=0,"n/a",('Balance Sheet'!D5+'Balance Sheet'!D6+'Balance Sheet'!D7)/('Balance Sheet'!D12-'Balance Sheet'!D11))</f>
        <v>40.3087989040273</v>
      </c>
      <c r="E13" s="87"/>
    </row>
    <row r="14" customFormat="false" ht="15" hidden="false" customHeight="false" outlineLevel="0" collapsed="false">
      <c r="A14" s="6" t="s">
        <v>221</v>
      </c>
      <c r="B14" s="86" t="n">
        <f aca="false">IF('Balance Sheet'!B15&lt;=0,"n/a",'Balance Sheet'!B11/'Balance Sheet'!B15)</f>
        <v>0.405543891093355</v>
      </c>
      <c r="C14" s="86" t="n">
        <f aca="false">IF('Balance Sheet'!C15&lt;=0,"n/a",'Balance Sheet'!C11/'Balance Sheet'!C15)</f>
        <v>0.182686568558248</v>
      </c>
      <c r="D14" s="86" t="n">
        <f aca="false">IF('Balance Sheet'!D15&lt;=0,"n/a",'Balance Sheet'!D11/'Balance Sheet'!D15)</f>
        <v>0.0941663447000114</v>
      </c>
      <c r="E14" s="87"/>
    </row>
    <row r="15" customFormat="false" ht="15" hidden="false" customHeight="false" outlineLevel="0" collapsed="false">
      <c r="A15" s="39" t="s">
        <v>222</v>
      </c>
      <c r="B15" s="40" t="n">
        <f aca="false">IF('Balance Sheet'!B9&lt;=0,"n/a",'P&amp;L'!B26/'Balance Sheet'!B9)</f>
        <v>0.469862227549429</v>
      </c>
      <c r="C15" s="40" t="n">
        <f aca="false">IF('Balance Sheet'!C9&lt;=0,"n/a",'P&amp;L'!C26/'Balance Sheet'!C9)</f>
        <v>0.378341448258183</v>
      </c>
      <c r="D15" s="40" t="n">
        <f aca="false">IF('Balance Sheet'!D9&lt;=0,"n/a",'P&amp;L'!D26/'Balance Sheet'!D9)</f>
        <v>0.320217082646325</v>
      </c>
      <c r="E15" s="85"/>
    </row>
    <row r="16" customFormat="false" ht="15" hidden="false" customHeight="false" outlineLevel="0" collapsed="false">
      <c r="A16" s="39" t="s">
        <v>223</v>
      </c>
      <c r="B16" s="40" t="n">
        <f aca="false">IF('Balance Sheet'!B15&lt;=0,"n/a",'P&amp;L'!B26/'Balance Sheet'!B15)</f>
        <v>0.688897836969481</v>
      </c>
      <c r="C16" s="40" t="n">
        <f aca="false">IF('Balance Sheet'!C15&lt;=0,"n/a",'P&amp;L'!C26/'Balance Sheet'!C15)</f>
        <v>0.460909374508017</v>
      </c>
      <c r="D16" s="40" t="n">
        <f aca="false">IF('Balance Sheet'!D15&lt;=0,"n/a",'P&amp;L'!D26/'Balance Sheet'!D15)</f>
        <v>0.358313579011401</v>
      </c>
      <c r="E16" s="85"/>
    </row>
    <row r="18" customFormat="false" ht="15.75" hidden="false" customHeight="true" outlineLevel="0" collapsed="false">
      <c r="A18" s="7" t="s">
        <v>224</v>
      </c>
      <c r="B18" s="7"/>
      <c r="C18" s="7"/>
      <c r="D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</row>
    <row r="20" customFormat="false" ht="15" hidden="false" customHeight="false" outlineLevel="0" collapsed="false">
      <c r="A20" s="52" t="s">
        <v>51</v>
      </c>
      <c r="B20" s="40" t="n">
        <f aca="false">IF('P&amp;L'!B5&lt;=0,"n/a",'P&amp;L'!B26/'P&amp;L'!B5)</f>
        <v>0.112103380359946</v>
      </c>
      <c r="C20" s="40" t="n">
        <f aca="false">IF('P&amp;L'!C5&lt;=0,"n/a",'P&amp;L'!C26/'P&amp;L'!C5)</f>
        <v>0.127875507695007</v>
      </c>
      <c r="D20" s="40" t="n">
        <f aca="false">IF('P&amp;L'!D5&lt;=0,"n/a",'P&amp;L'!D26/'P&amp;L'!D5)</f>
        <v>0.142447795866669</v>
      </c>
    </row>
    <row r="21" customFormat="false" ht="15" hidden="false" customHeight="false" outlineLevel="0" collapsed="false">
      <c r="A21" s="52" t="s">
        <v>225</v>
      </c>
      <c r="B21" s="86" t="n">
        <f aca="false">IF('Balance Sheet'!B9&lt;=0,"n/a",'P&amp;L'!B5/'Balance Sheet'!B9)</f>
        <v>4.19132969978941</v>
      </c>
      <c r="C21" s="86" t="n">
        <f aca="false">IF('Balance Sheet'!C9&lt;=0,"n/a",'P&amp;L'!C5/'Balance Sheet'!C9)</f>
        <v>2.95867015566858</v>
      </c>
      <c r="D21" s="86" t="n">
        <f aca="false">IF('Balance Sheet'!D9&lt;=0,"n/a",'P&amp;L'!D5/'Balance Sheet'!D9)</f>
        <v>2.24796095087387</v>
      </c>
    </row>
    <row r="22" customFormat="false" ht="15" hidden="false" customHeight="false" outlineLevel="0" collapsed="false">
      <c r="A22" s="52" t="s">
        <v>226</v>
      </c>
      <c r="B22" s="86" t="n">
        <f aca="false">IF('Balance Sheet'!B15&lt;=0,"n/a",'Balance Sheet'!B9/'Balance Sheet'!B15)</f>
        <v>1.46616986124302</v>
      </c>
      <c r="C22" s="86" t="n">
        <f aca="false">IF('Balance Sheet'!C15&lt;=0,"n/a",'Balance Sheet'!C9/'Balance Sheet'!C15)</f>
        <v>1.21823653377118</v>
      </c>
      <c r="D22" s="86" t="n">
        <f aca="false">IF('Balance Sheet'!D15&lt;=0,"n/a",'Balance Sheet'!D9/'Balance Sheet'!D15)</f>
        <v>1.11897084331117</v>
      </c>
    </row>
    <row r="23" customFormat="false" ht="15" hidden="false" customHeight="false" outlineLevel="0" collapsed="false">
      <c r="A23" s="41" t="s">
        <v>227</v>
      </c>
      <c r="B23" s="88" t="n">
        <f aca="false">IF(AND(ISNUMBER(B20),ISNUMBER(B21),ISNUMBER(B22)),B20*B21*B22,"n/a")</f>
        <v>0.688897836969481</v>
      </c>
      <c r="C23" s="88" t="n">
        <f aca="false">IF(AND(ISNUMBER(C20),ISNUMBER(C21),ISNUMBER(C22)),C20*C21*C22,"n/a")</f>
        <v>0.460909374508017</v>
      </c>
      <c r="D23" s="88" t="n">
        <f aca="false">IF(AND(ISNUMBER(D20),ISNUMBER(D21),ISNUMBER(D22)),D20*D21*D22,"n/a")</f>
        <v>0.358313579011401</v>
      </c>
    </row>
    <row r="24" customFormat="false" ht="15" hidden="false" customHeight="false" outlineLevel="0" collapsed="false">
      <c r="A24" s="21" t="s">
        <v>228</v>
      </c>
      <c r="B24" s="40" t="n">
        <f aca="false">IF(AND(ISNUMBER(B23),ISNUMBER(B16)),B23-B16,IF(ISNUMBER(B23),1,IF(AND(ISNUMBER(B16),ISNUMBER(B20),ISNUMBER(B21)),1,0)))</f>
        <v>0</v>
      </c>
      <c r="C24" s="40" t="n">
        <f aca="false">IF(AND(ISNUMBER(C23),ISNUMBER(C16)),C23-C16,IF(ISNUMBER(C23),1,IF(AND(ISNUMBER(C16),ISNUMBER(C20),ISNUMBER(C21)),1,0)))</f>
        <v>0</v>
      </c>
      <c r="D24" s="40" t="n">
        <f aca="false">IF(AND(ISNUMBER(D23),ISNUMBER(D16)),D23-D16,IF(ISNUMBER(D23),1,IF(AND(ISNUMBER(D16),ISNUMBER(D20),ISNUMBER(D21)),1,0)))</f>
        <v>0</v>
      </c>
    </row>
    <row r="26" customFormat="false" ht="15.75" hidden="false" customHeight="true" outlineLevel="0" collapsed="false">
      <c r="A26" s="7" t="s">
        <v>229</v>
      </c>
      <c r="B26" s="7"/>
      <c r="C26" s="7"/>
      <c r="D26" s="7"/>
      <c r="E26" s="7"/>
    </row>
    <row r="27" customFormat="false" ht="15" hidden="false" customHeight="false" outlineLevel="0" collapsed="false">
      <c r="A27" s="72" t="s">
        <v>153</v>
      </c>
      <c r="B27" s="72" t="n">
        <v>1</v>
      </c>
      <c r="C27" s="72" t="n">
        <v>2</v>
      </c>
      <c r="D27" s="72" t="n">
        <v>3</v>
      </c>
    </row>
    <row r="28" customFormat="false" ht="15" hidden="false" customHeight="false" outlineLevel="0" collapsed="false">
      <c r="A28" s="33"/>
      <c r="B28" s="35" t="s">
        <v>154</v>
      </c>
      <c r="C28" s="35" t="s">
        <v>155</v>
      </c>
      <c r="D28" s="35" t="s">
        <v>156</v>
      </c>
      <c r="E28" s="35" t="s">
        <v>215</v>
      </c>
    </row>
    <row r="29" customFormat="false" ht="15" hidden="false" customHeight="false" outlineLevel="0" collapsed="false">
      <c r="A29" s="4" t="s">
        <v>58</v>
      </c>
      <c r="B29" s="89" t="n">
        <f aca="false">INDEX(Monthly!$C$13:$AL$13,B$27*12)</f>
        <v>3170.47280536799</v>
      </c>
      <c r="C29" s="89" t="n">
        <f aca="false">INDEX(Monthly!$C$13:$AL$13,C$27*12)</f>
        <v>3348.95094761616</v>
      </c>
      <c r="D29" s="89" t="n">
        <f aca="false">INDEX(Monthly!$C$13:$AL$13,D$27*12)</f>
        <v>3536.07546323552</v>
      </c>
      <c r="E29" s="90"/>
    </row>
    <row r="30" customFormat="false" ht="15" hidden="false" customHeight="false" outlineLevel="0" collapsed="false">
      <c r="A30" s="6" t="s">
        <v>230</v>
      </c>
      <c r="B30" s="91" t="n">
        <f aca="false">SUMIF(Monthly!$C$5:$AL$5,B$27,Monthly!$C$10:$AL$10)</f>
        <v>688</v>
      </c>
      <c r="C30" s="91" t="n">
        <f aca="false">SUMIF(Monthly!$C$5:$AL$5,C$27,Monthly!$C$10:$AL$10)</f>
        <v>725.28</v>
      </c>
      <c r="D30" s="91" t="n">
        <f aca="false">SUMIF(Monthly!$C$5:$AL$5,D$27,Monthly!$C$10:$AL$10)</f>
        <v>764.5968</v>
      </c>
      <c r="E30" s="90"/>
    </row>
    <row r="31" customFormat="false" ht="15" hidden="false" customHeight="false" outlineLevel="0" collapsed="false">
      <c r="A31" s="6" t="s">
        <v>231</v>
      </c>
      <c r="B31" s="91" t="n">
        <f aca="false">SUMIF(Monthly!$C$5:$AL$5,B$27,Monthly!$C$12:$AL$12)</f>
        <v>-517.527194632009</v>
      </c>
      <c r="C31" s="91" t="n">
        <f aca="false">SUMIF(Monthly!$C$5:$AL$5,C$27,Monthly!$C$12:$AL$12)</f>
        <v>-546.801857751829</v>
      </c>
      <c r="D31" s="91" t="n">
        <f aca="false">SUMIF(Monthly!$C$5:$AL$5,D$27,Monthly!$C$12:$AL$12)</f>
        <v>-577.472284380643</v>
      </c>
      <c r="E31" s="90"/>
    </row>
    <row r="32" customFormat="false" ht="15" hidden="false" customHeight="false" outlineLevel="0" collapsed="false">
      <c r="A32" s="6" t="s">
        <v>232</v>
      </c>
      <c r="B32" s="36" t="n">
        <f aca="false">-SUMIF(Monthly!$C$5:$AL$5,B$27,Monthly!$C$43:$AL$43)</f>
        <v>84000</v>
      </c>
      <c r="C32" s="36" t="n">
        <f aca="false">-SUMIF(Monthly!$C$5:$AL$5,C$27,Monthly!$C$43:$AL$43)</f>
        <v>88200</v>
      </c>
      <c r="D32" s="36" t="n">
        <f aca="false">-SUMIF(Monthly!$C$5:$AL$5,D$27,Monthly!$C$43:$AL$43)</f>
        <v>92610</v>
      </c>
      <c r="E32" s="92"/>
    </row>
    <row r="33" customFormat="false" ht="15" hidden="false" customHeight="false" outlineLevel="0" collapsed="false">
      <c r="A33" s="6" t="s">
        <v>233</v>
      </c>
      <c r="B33" s="91" t="n">
        <f aca="false">SUMIF(Monthly!$C$5:$AL$5,B$27,Monthly!$C$8:$AL$8)</f>
        <v>400</v>
      </c>
      <c r="C33" s="91" t="n">
        <f aca="false">SUMIF(Monthly!$C$5:$AL$5,C$27,Monthly!$C$8:$AL$8)</f>
        <v>420</v>
      </c>
      <c r="D33" s="91" t="n">
        <f aca="false">SUMIF(Monthly!$C$5:$AL$5,D$27,Monthly!$C$8:$AL$8)</f>
        <v>441</v>
      </c>
      <c r="E33" s="90"/>
    </row>
    <row r="34" customFormat="false" ht="15" hidden="false" customHeight="false" outlineLevel="0" collapsed="false">
      <c r="A34" s="6" t="s">
        <v>112</v>
      </c>
      <c r="B34" s="93" t="n">
        <f aca="false">IF(B33=0,0,B32/B33)</f>
        <v>210</v>
      </c>
      <c r="C34" s="93" t="n">
        <f aca="false">IF(C33=0,0,C32/C33)</f>
        <v>210</v>
      </c>
      <c r="D34" s="93" t="n">
        <f aca="false">IF(D33=0,0,D32/D33)</f>
        <v>210</v>
      </c>
      <c r="E34" s="94"/>
    </row>
    <row r="35" customFormat="false" ht="15" hidden="false" customHeight="false" outlineLevel="0" collapsed="false">
      <c r="A35" s="6" t="s">
        <v>234</v>
      </c>
      <c r="B35" s="91" t="n">
        <f aca="false">SUMIF(Monthly!$C$5:$AL$5,B$27,Monthly!$C$19:$AL$19)</f>
        <v>4238.76535660728</v>
      </c>
      <c r="C35" s="91" t="n">
        <f aca="false">SUMIF(Monthly!$C$5:$AL$5,C$27,Monthly!$C$19:$AL$19)</f>
        <v>4476.82098487918</v>
      </c>
      <c r="D35" s="91" t="n">
        <f aca="false">SUMIF(Monthly!$C$5:$AL$5,D$27,Monthly!$C$19:$AL$19)</f>
        <v>4726.49846302662</v>
      </c>
      <c r="E35" s="90"/>
    </row>
    <row r="36" customFormat="false" ht="15" hidden="false" customHeight="false" outlineLevel="0" collapsed="false">
      <c r="A36" s="6" t="s">
        <v>235</v>
      </c>
      <c r="B36" s="91" t="n">
        <f aca="false">SUMIF(Monthly!$C$5:$AL$5,B$27,Monthly!$C$17:$AL$17)</f>
        <v>5184</v>
      </c>
      <c r="C36" s="91" t="n">
        <f aca="false">SUMIF(Monthly!$C$5:$AL$5,C$27,Monthly!$C$17:$AL$17)</f>
        <v>5184</v>
      </c>
      <c r="D36" s="91" t="n">
        <f aca="false">SUMIF(Monthly!$C$5:$AL$5,D$27,Monthly!$C$17:$AL$17)</f>
        <v>5184</v>
      </c>
      <c r="E36" s="90"/>
    </row>
    <row r="37" customFormat="false" ht="15" hidden="false" customHeight="false" outlineLevel="0" collapsed="false">
      <c r="A37" s="39" t="s">
        <v>236</v>
      </c>
      <c r="B37" s="95" t="n">
        <f aca="false">IF(B36=0,0,B35/B36)</f>
        <v>0.817663070333195</v>
      </c>
      <c r="C37" s="95" t="n">
        <f aca="false">IF(C36=0,0,C35/C36)</f>
        <v>0.86358429492268</v>
      </c>
      <c r="D37" s="95" t="n">
        <f aca="false">IF(D36=0,0,D35/D36)</f>
        <v>0.911747388701122</v>
      </c>
      <c r="E37" s="96"/>
    </row>
    <row r="38" customFormat="false" ht="15" hidden="false" customHeight="false" outlineLevel="0" collapsed="false">
      <c r="A38" s="6" t="s">
        <v>237</v>
      </c>
      <c r="B38" s="91" t="n">
        <f aca="false">SUMIF(Monthly!$C$5:$AL$5,B$27,Monthly!$C$23:$AL$23)</f>
        <v>4631.43307383559</v>
      </c>
      <c r="C38" s="91" t="n">
        <f aca="false">SUMIF(Monthly!$C$5:$AL$5,C$27,Monthly!$C$23:$AL$23)</f>
        <v>4893.31432810327</v>
      </c>
      <c r="D38" s="91" t="n">
        <f aca="false">SUMIF(Monthly!$C$5:$AL$5,D$27,Monthly!$C$23:$AL$23)</f>
        <v>5167.69782133907</v>
      </c>
      <c r="E38" s="90"/>
    </row>
    <row r="39" customFormat="false" ht="15" hidden="false" customHeight="false" outlineLevel="0" collapsed="false">
      <c r="A39" s="6" t="s">
        <v>238</v>
      </c>
      <c r="B39" s="91" t="n">
        <f aca="false">SUMIF(Monthly!$C$5:$AL$5,B$27,Monthly!$C$21:$AL$21)</f>
        <v>5184</v>
      </c>
      <c r="C39" s="91" t="n">
        <f aca="false">SUMIF(Monthly!$C$5:$AL$5,C$27,Monthly!$C$21:$AL$21)</f>
        <v>5495.04</v>
      </c>
      <c r="D39" s="91" t="n">
        <f aca="false">SUMIF(Monthly!$C$5:$AL$5,D$27,Monthly!$C$21:$AL$21)</f>
        <v>5824.7424</v>
      </c>
      <c r="E39" s="90"/>
    </row>
    <row r="40" customFormat="false" ht="15" hidden="false" customHeight="false" outlineLevel="0" collapsed="false">
      <c r="A40" s="39" t="s">
        <v>239</v>
      </c>
      <c r="B40" s="95" t="n">
        <f aca="false">IF(B39=0,0,B38/B39)</f>
        <v>0.893409157761494</v>
      </c>
      <c r="C40" s="95" t="n">
        <f aca="false">IF(C39=0,0,C38/C39)</f>
        <v>0.890496580207473</v>
      </c>
      <c r="D40" s="95" t="n">
        <f aca="false">IF(D39=0,0,D38/D39)</f>
        <v>0.887197658962406</v>
      </c>
      <c r="E40" s="96"/>
    </row>
    <row r="41" customFormat="false" ht="15" hidden="false" customHeight="false" outlineLevel="0" collapsed="false">
      <c r="A41" s="4" t="s">
        <v>240</v>
      </c>
      <c r="B41" s="97" t="n">
        <f aca="false">SUMIF(Monthly!$C$5:$AL$5,B$27,Monthly!$C$28:$AL$28)</f>
        <v>2325079.18244752</v>
      </c>
      <c r="C41" s="97" t="n">
        <f aca="false">SUMIF(Monthly!$C$5:$AL$5,C$27,Monthly!$C$28:$AL$28)</f>
        <v>2529694.20434971</v>
      </c>
      <c r="D41" s="97" t="n">
        <f aca="false">SUMIF(Monthly!$C$5:$AL$5,D$27,Monthly!$C$28:$AL$28)</f>
        <v>2751215.05614195</v>
      </c>
      <c r="E41" s="92"/>
    </row>
    <row r="42" customFormat="false" ht="15" hidden="false" customHeight="false" outlineLevel="0" collapsed="false">
      <c r="A42" s="6" t="s">
        <v>241</v>
      </c>
      <c r="B42" s="36" t="n">
        <f aca="false">SUMIF(Monthly!$C$5:$AL$5,B$27,Monthly!$C$27:$AL$27)</f>
        <v>926286.614767117</v>
      </c>
      <c r="C42" s="36" t="n">
        <f aca="false">SUMIF(Monthly!$C$5:$AL$5,C$27,Monthly!$C$27:$AL$27)</f>
        <v>1008022.75158927</v>
      </c>
      <c r="D42" s="36" t="n">
        <f aca="false">SUMIF(Monthly!$C$5:$AL$5,D$27,Monthly!$C$27:$AL$27)</f>
        <v>1096482.12373172</v>
      </c>
      <c r="E42" s="92"/>
    </row>
    <row r="43" customFormat="false" ht="15" hidden="false" customHeight="false" outlineLevel="0" collapsed="false">
      <c r="A43" s="39" t="s">
        <v>242</v>
      </c>
      <c r="B43" s="95" t="n">
        <f aca="false">IF(B41=0,0,B42/B41)</f>
        <v>0.398389277130791</v>
      </c>
      <c r="C43" s="95" t="n">
        <f aca="false">IF(C41=0,0,C42/C41)</f>
        <v>0.39847612800631</v>
      </c>
      <c r="D43" s="95" t="n">
        <f aca="false">IF(D41=0,0,D42/D41)</f>
        <v>0.398544679843868</v>
      </c>
      <c r="E43" s="96"/>
    </row>
    <row r="44" customFormat="false" ht="15" hidden="false" customHeight="false" outlineLevel="0" collapsed="false">
      <c r="A44" s="6" t="s">
        <v>243</v>
      </c>
      <c r="B44" s="93" t="n">
        <f aca="false">IF(B35+B38=0,0,B41/(B35+B38))</f>
        <v>262.122567006817</v>
      </c>
      <c r="C44" s="93" t="n">
        <f aca="false">IF(C35+C38=0,0,C41/(C35+C38))</f>
        <v>269.974138030299</v>
      </c>
      <c r="D44" s="93" t="n">
        <f aca="false">IF(D35+D38=0,0,D41/(D35+D38))</f>
        <v>278.063520984447</v>
      </c>
      <c r="E44" s="94"/>
    </row>
    <row r="45" customFormat="false" ht="15" hidden="false" customHeight="false" outlineLevel="0" collapsed="false">
      <c r="A45" s="4" t="s">
        <v>244</v>
      </c>
      <c r="B45" s="97" t="n">
        <f aca="false">SUMIF(Monthly!$C$5:$AL$5,B$27,Monthly!$C$31:$AL$31)</f>
        <v>1975300.08293807</v>
      </c>
      <c r="C45" s="97" t="n">
        <f aca="false">SUMIF(Monthly!$C$5:$AL$5,C$27,Monthly!$C$31:$AL$31)</f>
        <v>2149133.33248285</v>
      </c>
      <c r="D45" s="97" t="n">
        <f aca="false">SUMIF(Monthly!$C$5:$AL$5,D$27,Monthly!$C$31:$AL$31)</f>
        <v>2337329.1411336</v>
      </c>
      <c r="E45" s="92"/>
    </row>
    <row r="46" customFormat="false" ht="15" hidden="false" customHeight="false" outlineLevel="0" collapsed="false">
      <c r="A46" s="39" t="s">
        <v>245</v>
      </c>
      <c r="B46" s="95" t="n">
        <f aca="false">IF(B41=0,0,B45/B41)</f>
        <v>0.8495625</v>
      </c>
      <c r="C46" s="95" t="n">
        <f aca="false">IF(C41=0,0,C45/C41)</f>
        <v>0.8495625</v>
      </c>
      <c r="D46" s="95" t="n">
        <f aca="false">IF(D41=0,0,D45/D41)</f>
        <v>0.8495625</v>
      </c>
      <c r="E46" s="96"/>
    </row>
    <row r="47" customFormat="false" ht="15" hidden="false" customHeight="false" outlineLevel="0" collapsed="false">
      <c r="A47" s="6" t="s">
        <v>246</v>
      </c>
      <c r="B47" s="93" t="n">
        <f aca="false">IF(B29=0,0,B45/B29)</f>
        <v>623.030129636706</v>
      </c>
      <c r="C47" s="93" t="n">
        <f aca="false">IF(C29=0,0,C45/C29)</f>
        <v>641.733296814226</v>
      </c>
      <c r="D47" s="93" t="n">
        <f aca="false">IF(D29=0,0,D45/D29)</f>
        <v>660.995265919731</v>
      </c>
      <c r="E47" s="94"/>
    </row>
    <row r="48" customFormat="false" ht="15" hidden="false" customHeight="false" outlineLevel="0" collapsed="false">
      <c r="A48" s="6" t="s">
        <v>247</v>
      </c>
      <c r="B48" s="36" t="n">
        <f aca="false">IF(Inputs!$E$7=0,0,B45/Inputs!$E$7)</f>
        <v>329216.680489679</v>
      </c>
      <c r="C48" s="36" t="n">
        <f aca="false">IF(Inputs!$E$7=0,0,C45/Inputs!$E$7)</f>
        <v>358188.888747141</v>
      </c>
      <c r="D48" s="36" t="n">
        <f aca="false">IF(Inputs!$E$7=0,0,D45/Inputs!$E$7)</f>
        <v>389554.8568556</v>
      </c>
      <c r="E48" s="92"/>
    </row>
    <row r="49" customFormat="false" ht="15" hidden="false" customHeight="false" outlineLevel="0" collapsed="false">
      <c r="A49" s="6" t="s">
        <v>248</v>
      </c>
      <c r="B49" s="36" t="n">
        <f aca="false">SUMIF(Monthly!$C$5:$AL$5,B$27,Monthly!$C$38:$AL$38)</f>
        <v>1700585.93037021</v>
      </c>
      <c r="C49" s="36" t="n">
        <f aca="false">SUMIF(Monthly!$C$5:$AL$5,C$27,Monthly!$C$38:$AL$38)</f>
        <v>1850264.9141094</v>
      </c>
      <c r="D49" s="36" t="n">
        <f aca="false">SUMIF(Monthly!$C$5:$AL$5,D$27,Monthly!$C$38:$AL$38)</f>
        <v>2012307.82631284</v>
      </c>
      <c r="E49" s="92"/>
    </row>
    <row r="50" customFormat="false" ht="15" hidden="false" customHeight="false" outlineLevel="0" collapsed="false">
      <c r="A50" s="39" t="s">
        <v>46</v>
      </c>
      <c r="B50" s="95" t="n">
        <f aca="false">IF(B45=0,0,B49/B45)</f>
        <v>0.860925357650341</v>
      </c>
      <c r="C50" s="95" t="n">
        <f aca="false">IF(C45=0,0,C49/C45)</f>
        <v>0.860935376202008</v>
      </c>
      <c r="D50" s="95" t="n">
        <f aca="false">IF(D45=0,0,D49/D45)</f>
        <v>0.860943283895769</v>
      </c>
      <c r="E50" s="96"/>
    </row>
    <row r="51" customFormat="false" ht="15" hidden="false" customHeight="false" outlineLevel="0" collapsed="false">
      <c r="A51" s="6" t="s">
        <v>249</v>
      </c>
      <c r="B51" s="36" t="n">
        <f aca="false">SUMIF(Monthly!$C$5:$AL$5,B$27,Monthly!$C$51:$AL$51)</f>
        <v>303132.525076608</v>
      </c>
      <c r="C51" s="36" t="n">
        <f aca="false">SUMIF(Monthly!$C$5:$AL$5,C$27,Monthly!$C$51:$AL$51)</f>
        <v>373324.913679101</v>
      </c>
      <c r="D51" s="36" t="n">
        <f aca="false">SUMIF(Monthly!$C$5:$AL$5,D$27,Monthly!$C$51:$AL$51)</f>
        <v>449902.758061944</v>
      </c>
      <c r="E51" s="92"/>
    </row>
    <row r="52" customFormat="false" ht="15" hidden="false" customHeight="false" outlineLevel="0" collapsed="false">
      <c r="A52" s="39" t="s">
        <v>49</v>
      </c>
      <c r="B52" s="95" t="n">
        <f aca="false">IF(B45=0,0,B51/B45)</f>
        <v>0.153461505770671</v>
      </c>
      <c r="C52" s="95" t="n">
        <f aca="false">IF(C45=0,0,C51/C45)</f>
        <v>0.17370951724424</v>
      </c>
      <c r="D52" s="95" t="n">
        <f aca="false">IF(D45=0,0,D51/D45)</f>
        <v>0.192485837849838</v>
      </c>
      <c r="E52" s="96"/>
    </row>
    <row r="53" customFormat="false" ht="15" hidden="false" customHeight="false" outlineLevel="0" collapsed="false">
      <c r="A53" s="6" t="s">
        <v>250</v>
      </c>
      <c r="B53" s="93" t="n">
        <f aca="false">IF(Inputs!$E$48=0,0,B45/Inputs!$E$48)</f>
        <v>493.825020734518</v>
      </c>
      <c r="C53" s="93" t="n">
        <f aca="false">IF(Inputs!$E$48=0,0,C45/Inputs!$E$48)</f>
        <v>537.283333120712</v>
      </c>
      <c r="D53" s="93" t="n">
        <f aca="false">IF(Inputs!$E$48=0,0,D45/Inputs!$E$48)</f>
        <v>584.332285283399</v>
      </c>
      <c r="E53" s="94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251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252</v>
      </c>
    </row>
    <row r="5" customFormat="false" ht="15" hidden="false" customHeight="false" outlineLevel="0" collapsed="false">
      <c r="A5" s="33" t="s">
        <v>103</v>
      </c>
      <c r="B5" s="35" t="s">
        <v>104</v>
      </c>
      <c r="C5" s="35" t="s">
        <v>105</v>
      </c>
      <c r="D5" s="35" t="s">
        <v>106</v>
      </c>
      <c r="E5" s="35" t="s">
        <v>107</v>
      </c>
      <c r="F5" s="33" t="s">
        <v>253</v>
      </c>
      <c r="G5" s="33" t="s">
        <v>254</v>
      </c>
    </row>
    <row r="6" customFormat="false" ht="15.75" hidden="false" customHeight="true" outlineLevel="0" collapsed="false">
      <c r="A6" s="7" t="s">
        <v>255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256</v>
      </c>
      <c r="B7" s="98" t="n">
        <v>6</v>
      </c>
      <c r="C7" s="98" t="n">
        <v>6</v>
      </c>
      <c r="D7" s="98" t="n">
        <v>6</v>
      </c>
      <c r="E7" s="99" t="n">
        <f aca="false">CHOOSE(Dashboard!$B$4,B7,C7,D7)</f>
        <v>6</v>
      </c>
      <c r="F7" s="39" t="s">
        <v>257</v>
      </c>
      <c r="G7" s="100"/>
    </row>
    <row r="8" customFormat="false" ht="15" hidden="false" customHeight="false" outlineLevel="0" collapsed="false">
      <c r="A8" s="6" t="s">
        <v>258</v>
      </c>
      <c r="B8" s="98" t="n">
        <v>4</v>
      </c>
      <c r="C8" s="98" t="n">
        <v>4</v>
      </c>
      <c r="D8" s="98" t="n">
        <v>4</v>
      </c>
      <c r="E8" s="99" t="n">
        <f aca="false">CHOOSE(Dashboard!$B$4,B8,C8,D8)</f>
        <v>4</v>
      </c>
      <c r="F8" s="39" t="s">
        <v>257</v>
      </c>
      <c r="G8" s="100"/>
    </row>
    <row r="9" customFormat="false" ht="15" hidden="false" customHeight="false" outlineLevel="0" collapsed="false">
      <c r="A9" s="6" t="s">
        <v>259</v>
      </c>
      <c r="B9" s="101" t="n">
        <v>3.8</v>
      </c>
      <c r="C9" s="101" t="n">
        <v>4</v>
      </c>
      <c r="D9" s="101" t="n">
        <v>4.2</v>
      </c>
      <c r="E9" s="102" t="n">
        <f aca="false">CHOOSE(Dashboard!$B$4,B9,C9,D9)</f>
        <v>4</v>
      </c>
      <c r="F9" s="39" t="s">
        <v>260</v>
      </c>
      <c r="G9" s="100" t="s">
        <v>261</v>
      </c>
    </row>
    <row r="10" customFormat="false" ht="15" hidden="false" customHeight="false" outlineLevel="0" collapsed="false">
      <c r="A10" s="6" t="s">
        <v>262</v>
      </c>
      <c r="B10" s="101" t="n">
        <v>7.5</v>
      </c>
      <c r="C10" s="101" t="n">
        <v>8</v>
      </c>
      <c r="D10" s="101" t="n">
        <v>8.5</v>
      </c>
      <c r="E10" s="102" t="n">
        <f aca="false">CHOOSE(Dashboard!$B$4,B10,C10,D10)</f>
        <v>8</v>
      </c>
      <c r="F10" s="39" t="s">
        <v>260</v>
      </c>
      <c r="G10" s="100" t="s">
        <v>261</v>
      </c>
    </row>
    <row r="11" customFormat="false" ht="15" hidden="false" customHeight="false" outlineLevel="0" collapsed="false">
      <c r="A11" s="6" t="s">
        <v>263</v>
      </c>
      <c r="B11" s="98" t="n">
        <v>18</v>
      </c>
      <c r="C11" s="98" t="n">
        <v>18</v>
      </c>
      <c r="D11" s="98" t="n">
        <v>18</v>
      </c>
      <c r="E11" s="99" t="n">
        <f aca="false">CHOOSE(Dashboard!$B$4,B11,C11,D11)</f>
        <v>18</v>
      </c>
      <c r="F11" s="39" t="s">
        <v>264</v>
      </c>
      <c r="G11" s="100" t="s">
        <v>261</v>
      </c>
    </row>
    <row r="13" customFormat="false" ht="15.75" hidden="false" customHeight="true" outlineLevel="0" collapsed="false">
      <c r="A13" s="7" t="s">
        <v>265</v>
      </c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6" t="s">
        <v>266</v>
      </c>
      <c r="B14" s="98" t="n">
        <v>2700</v>
      </c>
      <c r="C14" s="98" t="n">
        <v>3000</v>
      </c>
      <c r="D14" s="98" t="n">
        <v>3300</v>
      </c>
      <c r="E14" s="99" t="n">
        <f aca="false">CHOOSE(Dashboard!$B$4,B14,C14,D14)</f>
        <v>3000</v>
      </c>
      <c r="F14" s="39" t="s">
        <v>257</v>
      </c>
      <c r="G14" s="100" t="s">
        <v>261</v>
      </c>
    </row>
    <row r="15" customFormat="false" ht="15" hidden="false" customHeight="false" outlineLevel="0" collapsed="false">
      <c r="A15" s="6" t="s">
        <v>267</v>
      </c>
      <c r="B15" s="101" t="n">
        <v>20</v>
      </c>
      <c r="C15" s="101" t="n">
        <v>24</v>
      </c>
      <c r="D15" s="101" t="n">
        <v>28</v>
      </c>
      <c r="E15" s="102" t="n">
        <f aca="false">CHOOSE(Dashboard!$B$4,B15,C15,D15)</f>
        <v>24</v>
      </c>
      <c r="F15" s="39" t="s">
        <v>257</v>
      </c>
      <c r="G15" s="100" t="s">
        <v>261</v>
      </c>
    </row>
    <row r="16" customFormat="false" ht="15" hidden="false" customHeight="false" outlineLevel="0" collapsed="false">
      <c r="A16" s="6" t="s">
        <v>268</v>
      </c>
      <c r="B16" s="103" t="n">
        <v>0.03</v>
      </c>
      <c r="C16" s="103" t="n">
        <v>0.06</v>
      </c>
      <c r="D16" s="103" t="n">
        <v>0.09</v>
      </c>
      <c r="E16" s="104" t="n">
        <f aca="false">CHOOSE(Dashboard!$B$4,B16,C16,D16)</f>
        <v>0.06</v>
      </c>
      <c r="F16" s="39" t="s">
        <v>269</v>
      </c>
      <c r="G16" s="100" t="s">
        <v>261</v>
      </c>
    </row>
    <row r="17" customFormat="false" ht="15" hidden="false" customHeight="false" outlineLevel="0" collapsed="false">
      <c r="A17" s="6" t="s">
        <v>270</v>
      </c>
      <c r="B17" s="105" t="n">
        <v>7000</v>
      </c>
      <c r="C17" s="105" t="n">
        <v>7000</v>
      </c>
      <c r="D17" s="105" t="n">
        <v>7000</v>
      </c>
      <c r="E17" s="106" t="n">
        <f aca="false">CHOOSE(Dashboard!$B$4,B17,C17,D17)</f>
        <v>7000</v>
      </c>
      <c r="F17" s="39" t="s">
        <v>271</v>
      </c>
      <c r="G17" s="100"/>
    </row>
    <row r="18" customFormat="false" ht="15" hidden="false" customHeight="false" outlineLevel="0" collapsed="false">
      <c r="A18" s="6" t="s">
        <v>272</v>
      </c>
      <c r="B18" s="103" t="n">
        <v>0</v>
      </c>
      <c r="C18" s="103" t="n">
        <v>0.05</v>
      </c>
      <c r="D18" s="103" t="n">
        <v>0.1</v>
      </c>
      <c r="E18" s="104" t="n">
        <f aca="false">CHOOSE(Dashboard!$B$4,B18,C18,D18)</f>
        <v>0.05</v>
      </c>
      <c r="F18" s="39" t="s">
        <v>269</v>
      </c>
      <c r="G18" s="100" t="s">
        <v>261</v>
      </c>
    </row>
    <row r="19" customFormat="false" ht="15" hidden="false" customHeight="false" outlineLevel="0" collapsed="false">
      <c r="A19" s="6" t="s">
        <v>273</v>
      </c>
      <c r="B19" s="107" t="n">
        <v>230</v>
      </c>
      <c r="C19" s="107" t="n">
        <v>210</v>
      </c>
      <c r="D19" s="107" t="n">
        <v>190</v>
      </c>
      <c r="E19" s="108" t="n">
        <f aca="false">CHOOSE(Dashboard!$B$4,B19,C19,D19)</f>
        <v>210</v>
      </c>
      <c r="F19" s="39" t="s">
        <v>271</v>
      </c>
      <c r="G19" s="100" t="s">
        <v>274</v>
      </c>
    </row>
    <row r="20" customFormat="false" ht="15" hidden="false" customHeight="false" outlineLevel="0" collapsed="false">
      <c r="A20" s="6" t="s">
        <v>275</v>
      </c>
      <c r="B20" s="103" t="n">
        <v>0.016</v>
      </c>
      <c r="C20" s="103" t="n">
        <v>0.014</v>
      </c>
      <c r="D20" s="103" t="n">
        <v>0.012</v>
      </c>
      <c r="E20" s="104" t="n">
        <f aca="false">CHOOSE(Dashboard!$B$4,B20,C20,D20)</f>
        <v>0.014</v>
      </c>
      <c r="F20" s="39" t="s">
        <v>269</v>
      </c>
      <c r="G20" s="100" t="s">
        <v>274</v>
      </c>
    </row>
    <row r="21" customFormat="false" ht="15" hidden="false" customHeight="false" outlineLevel="0" collapsed="false">
      <c r="A21" s="6" t="s">
        <v>276</v>
      </c>
      <c r="B21" s="101" t="n">
        <v>1.1</v>
      </c>
      <c r="C21" s="101" t="n">
        <v>1.15</v>
      </c>
      <c r="D21" s="101" t="n">
        <v>1.2</v>
      </c>
      <c r="E21" s="102" t="n">
        <f aca="false">CHOOSE(Dashboard!$B$4,B21,C21,D21)</f>
        <v>1.15</v>
      </c>
      <c r="F21" s="39" t="s">
        <v>260</v>
      </c>
      <c r="G21" s="100" t="s">
        <v>261</v>
      </c>
    </row>
    <row r="22" customFormat="false" ht="15" hidden="false" customHeight="false" outlineLevel="0" collapsed="false">
      <c r="A22" s="6" t="s">
        <v>277</v>
      </c>
      <c r="B22" s="101" t="n">
        <v>1.4</v>
      </c>
      <c r="C22" s="101" t="n">
        <v>1.5</v>
      </c>
      <c r="D22" s="101" t="n">
        <v>1.6</v>
      </c>
      <c r="E22" s="102" t="n">
        <f aca="false">CHOOSE(Dashboard!$B$4,B22,C22,D22)</f>
        <v>1.5</v>
      </c>
      <c r="F22" s="39" t="s">
        <v>260</v>
      </c>
      <c r="G22" s="100" t="s">
        <v>261</v>
      </c>
    </row>
    <row r="23" customFormat="false" ht="15" hidden="false" customHeight="false" outlineLevel="0" collapsed="false">
      <c r="A23" s="6" t="s">
        <v>278</v>
      </c>
      <c r="B23" s="101" t="n">
        <v>1</v>
      </c>
      <c r="C23" s="101" t="n">
        <v>1</v>
      </c>
      <c r="D23" s="101" t="n">
        <v>1</v>
      </c>
      <c r="E23" s="102" t="n">
        <f aca="false">CHOOSE(Dashboard!$B$4,B23,C23,D23)</f>
        <v>1</v>
      </c>
      <c r="F23" s="39" t="s">
        <v>260</v>
      </c>
      <c r="G23" s="100" t="s">
        <v>261</v>
      </c>
    </row>
    <row r="25" customFormat="false" ht="15.75" hidden="false" customHeight="true" outlineLevel="0" collapsed="false">
      <c r="A25" s="7" t="s">
        <v>279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6" t="s">
        <v>280</v>
      </c>
      <c r="B26" s="107" t="n">
        <v>320</v>
      </c>
      <c r="C26" s="107" t="n">
        <v>330</v>
      </c>
      <c r="D26" s="107" t="n">
        <v>340</v>
      </c>
      <c r="E26" s="108" t="n">
        <f aca="false">CHOOSE(Dashboard!$B$4,B26,C26,D26)</f>
        <v>330</v>
      </c>
      <c r="F26" s="39" t="s">
        <v>271</v>
      </c>
      <c r="G26" s="100" t="s">
        <v>261</v>
      </c>
    </row>
    <row r="27" customFormat="false" ht="15" hidden="false" customHeight="false" outlineLevel="0" collapsed="false">
      <c r="A27" s="6" t="s">
        <v>281</v>
      </c>
      <c r="B27" s="107" t="n">
        <v>195</v>
      </c>
      <c r="C27" s="107" t="n">
        <v>200</v>
      </c>
      <c r="D27" s="107" t="n">
        <v>205</v>
      </c>
      <c r="E27" s="108" t="n">
        <f aca="false">CHOOSE(Dashboard!$B$4,B27,C27,D27)</f>
        <v>200</v>
      </c>
      <c r="F27" s="39" t="s">
        <v>271</v>
      </c>
      <c r="G27" s="100" t="s">
        <v>261</v>
      </c>
    </row>
    <row r="28" customFormat="false" ht="15" hidden="false" customHeight="false" outlineLevel="0" collapsed="false">
      <c r="A28" s="6" t="s">
        <v>282</v>
      </c>
      <c r="B28" s="103" t="n">
        <v>0.02</v>
      </c>
      <c r="C28" s="103" t="n">
        <v>0.03</v>
      </c>
      <c r="D28" s="103" t="n">
        <v>0.04</v>
      </c>
      <c r="E28" s="104" t="n">
        <f aca="false">CHOOSE(Dashboard!$B$4,B28,C28,D28)</f>
        <v>0.03</v>
      </c>
      <c r="F28" s="39" t="s">
        <v>269</v>
      </c>
      <c r="G28" s="100" t="s">
        <v>261</v>
      </c>
    </row>
    <row r="30" customFormat="false" ht="15.75" hidden="false" customHeight="true" outlineLevel="0" collapsed="false">
      <c r="A30" s="7" t="s">
        <v>283</v>
      </c>
      <c r="B30" s="7"/>
      <c r="C30" s="7"/>
      <c r="D30" s="7"/>
      <c r="E30" s="7"/>
      <c r="F30" s="7"/>
      <c r="G30" s="7"/>
    </row>
    <row r="31" customFormat="false" ht="15" hidden="false" customHeight="false" outlineLevel="0" collapsed="false">
      <c r="A31" s="6" t="s">
        <v>284</v>
      </c>
      <c r="B31" s="103" t="n">
        <v>0.6</v>
      </c>
      <c r="C31" s="103" t="n">
        <v>0.55</v>
      </c>
      <c r="D31" s="103" t="n">
        <v>0.5</v>
      </c>
      <c r="E31" s="104" t="n">
        <f aca="false">CHOOSE(Dashboard!$B$4,B31,C31,D31)</f>
        <v>0.55</v>
      </c>
      <c r="F31" s="39" t="s">
        <v>269</v>
      </c>
      <c r="G31" s="100" t="s">
        <v>274</v>
      </c>
    </row>
    <row r="32" customFormat="false" ht="15" hidden="false" customHeight="false" outlineLevel="0" collapsed="false">
      <c r="A32" s="6" t="s">
        <v>285</v>
      </c>
      <c r="B32" s="103" t="n">
        <v>0.27</v>
      </c>
      <c r="C32" s="103" t="n">
        <v>0.25</v>
      </c>
      <c r="D32" s="103" t="n">
        <v>0.23</v>
      </c>
      <c r="E32" s="104" t="n">
        <f aca="false">CHOOSE(Dashboard!$B$4,B32,C32,D32)</f>
        <v>0.25</v>
      </c>
      <c r="F32" s="39" t="s">
        <v>269</v>
      </c>
      <c r="G32" s="100" t="s">
        <v>274</v>
      </c>
    </row>
    <row r="33" customFormat="false" ht="15" hidden="false" customHeight="false" outlineLevel="0" collapsed="false">
      <c r="A33" s="6" t="s">
        <v>286</v>
      </c>
      <c r="B33" s="103" t="n">
        <v>0.02</v>
      </c>
      <c r="C33" s="103" t="n">
        <v>0.015</v>
      </c>
      <c r="D33" s="103" t="n">
        <v>0.01</v>
      </c>
      <c r="E33" s="104" t="n">
        <f aca="false">CHOOSE(Dashboard!$B$4,B33,C33,D33)</f>
        <v>0.015</v>
      </c>
      <c r="F33" s="39" t="s">
        <v>269</v>
      </c>
      <c r="G33" s="100" t="s">
        <v>274</v>
      </c>
    </row>
    <row r="35" customFormat="false" ht="15.75" hidden="false" customHeight="true" outlineLevel="0" collapsed="false">
      <c r="A35" s="7" t="s">
        <v>287</v>
      </c>
      <c r="B35" s="7"/>
      <c r="C35" s="7"/>
      <c r="D35" s="7"/>
      <c r="E35" s="7"/>
      <c r="F35" s="7"/>
      <c r="G35" s="7"/>
    </row>
    <row r="36" customFormat="false" ht="15" hidden="false" customHeight="false" outlineLevel="0" collapsed="false">
      <c r="A36" s="6" t="s">
        <v>288</v>
      </c>
      <c r="B36" s="103" t="n">
        <v>0.054</v>
      </c>
      <c r="C36" s="103" t="n">
        <v>0.049</v>
      </c>
      <c r="D36" s="103" t="n">
        <v>0.046</v>
      </c>
      <c r="E36" s="104" t="n">
        <f aca="false">CHOOSE(Dashboard!$B$4,B36,C36,D36)</f>
        <v>0.049</v>
      </c>
      <c r="F36" s="39" t="s">
        <v>269</v>
      </c>
      <c r="G36" s="100" t="s">
        <v>274</v>
      </c>
    </row>
    <row r="37" customFormat="false" ht="15" hidden="false" customHeight="false" outlineLevel="0" collapsed="false">
      <c r="A37" s="6" t="s">
        <v>289</v>
      </c>
      <c r="B37" s="103" t="n">
        <v>0.108</v>
      </c>
      <c r="C37" s="103" t="n">
        <v>0.098</v>
      </c>
      <c r="D37" s="103" t="n">
        <v>0.088</v>
      </c>
      <c r="E37" s="104" t="n">
        <f aca="false">CHOOSE(Dashboard!$B$4,B37,C37,D37)</f>
        <v>0.098</v>
      </c>
      <c r="F37" s="39" t="s">
        <v>269</v>
      </c>
      <c r="G37" s="100" t="s">
        <v>274</v>
      </c>
    </row>
    <row r="38" customFormat="false" ht="15" hidden="false" customHeight="false" outlineLevel="0" collapsed="false">
      <c r="A38" s="6" t="s">
        <v>290</v>
      </c>
      <c r="B38" s="103" t="n">
        <v>0.014</v>
      </c>
      <c r="C38" s="103" t="n">
        <v>0.012</v>
      </c>
      <c r="D38" s="103" t="n">
        <v>0.01</v>
      </c>
      <c r="E38" s="104" t="n">
        <f aca="false">CHOOSE(Dashboard!$B$4,B38,C38,D38)</f>
        <v>0.012</v>
      </c>
      <c r="F38" s="39" t="s">
        <v>269</v>
      </c>
      <c r="G38" s="100" t="s">
        <v>274</v>
      </c>
    </row>
    <row r="39" customFormat="false" ht="15" hidden="false" customHeight="false" outlineLevel="0" collapsed="false">
      <c r="A39" s="6" t="s">
        <v>291</v>
      </c>
      <c r="B39" s="103" t="n">
        <v>0.4</v>
      </c>
      <c r="C39" s="103" t="n">
        <v>0.4</v>
      </c>
      <c r="D39" s="103" t="n">
        <v>0.4</v>
      </c>
      <c r="E39" s="104" t="n">
        <f aca="false">CHOOSE(Dashboard!$B$4,B39,C39,D39)</f>
        <v>0.4</v>
      </c>
      <c r="F39" s="39" t="s">
        <v>269</v>
      </c>
      <c r="G39" s="100"/>
    </row>
    <row r="40" customFormat="false" ht="15" hidden="false" customHeight="false" outlineLevel="0" collapsed="false">
      <c r="A40" s="6" t="s">
        <v>292</v>
      </c>
      <c r="B40" s="103" t="n">
        <v>0.32</v>
      </c>
      <c r="C40" s="103" t="n">
        <v>0.3</v>
      </c>
      <c r="D40" s="103" t="n">
        <v>0.28</v>
      </c>
      <c r="E40" s="104" t="n">
        <f aca="false">CHOOSE(Dashboard!$B$4,B40,C40,D40)</f>
        <v>0.3</v>
      </c>
      <c r="F40" s="39" t="s">
        <v>269</v>
      </c>
      <c r="G40" s="100" t="s">
        <v>274</v>
      </c>
    </row>
    <row r="41" customFormat="false" ht="15" hidden="false" customHeight="false" outlineLevel="0" collapsed="false">
      <c r="A41" s="6" t="s">
        <v>293</v>
      </c>
      <c r="B41" s="105" t="n">
        <v>1800</v>
      </c>
      <c r="C41" s="105" t="n">
        <v>1800</v>
      </c>
      <c r="D41" s="105" t="n">
        <v>1800</v>
      </c>
      <c r="E41" s="106" t="n">
        <f aca="false">CHOOSE(Dashboard!$B$4,B41,C41,D41)</f>
        <v>1800</v>
      </c>
      <c r="F41" s="39" t="s">
        <v>271</v>
      </c>
      <c r="G41" s="100"/>
    </row>
    <row r="42" customFormat="false" ht="15" hidden="false" customHeight="false" outlineLevel="0" collapsed="false">
      <c r="A42" s="6" t="s">
        <v>294</v>
      </c>
      <c r="B42" s="105" t="n">
        <v>1300</v>
      </c>
      <c r="C42" s="105" t="n">
        <v>1300</v>
      </c>
      <c r="D42" s="105" t="n">
        <v>1300</v>
      </c>
      <c r="E42" s="106" t="n">
        <f aca="false">CHOOSE(Dashboard!$B$4,B42,C42,D42)</f>
        <v>1300</v>
      </c>
      <c r="F42" s="39" t="s">
        <v>271</v>
      </c>
      <c r="G42" s="100"/>
    </row>
    <row r="43" customFormat="false" ht="15" hidden="false" customHeight="false" outlineLevel="0" collapsed="false">
      <c r="A43" s="6" t="s">
        <v>295</v>
      </c>
      <c r="B43" s="105" t="n">
        <v>1100</v>
      </c>
      <c r="C43" s="105" t="n">
        <v>1100</v>
      </c>
      <c r="D43" s="105" t="n">
        <v>1100</v>
      </c>
      <c r="E43" s="106" t="n">
        <f aca="false">CHOOSE(Dashboard!$B$4,B43,C43,D43)</f>
        <v>1100</v>
      </c>
      <c r="F43" s="39" t="s">
        <v>271</v>
      </c>
      <c r="G43" s="100"/>
    </row>
    <row r="44" customFormat="false" ht="15" hidden="false" customHeight="false" outlineLevel="0" collapsed="false">
      <c r="A44" s="6" t="s">
        <v>296</v>
      </c>
      <c r="B44" s="105" t="n">
        <v>1400</v>
      </c>
      <c r="C44" s="105" t="n">
        <v>1400</v>
      </c>
      <c r="D44" s="105" t="n">
        <v>1400</v>
      </c>
      <c r="E44" s="106" t="n">
        <f aca="false">CHOOSE(Dashboard!$B$4,B44,C44,D44)</f>
        <v>1400</v>
      </c>
      <c r="F44" s="39" t="s">
        <v>271</v>
      </c>
      <c r="G44" s="100"/>
    </row>
    <row r="45" customFormat="false" ht="15" hidden="false" customHeight="false" outlineLevel="0" collapsed="false">
      <c r="A45" s="6" t="s">
        <v>297</v>
      </c>
      <c r="B45" s="105" t="n">
        <v>3000</v>
      </c>
      <c r="C45" s="105" t="n">
        <v>3000</v>
      </c>
      <c r="D45" s="105" t="n">
        <v>3000</v>
      </c>
      <c r="E45" s="106" t="n">
        <f aca="false">CHOOSE(Dashboard!$B$4,B45,C45,D45)</f>
        <v>3000</v>
      </c>
      <c r="F45" s="39" t="s">
        <v>271</v>
      </c>
      <c r="G45" s="100"/>
    </row>
    <row r="47" customFormat="false" ht="15.75" hidden="false" customHeight="true" outlineLevel="0" collapsed="false">
      <c r="A47" s="7" t="s">
        <v>298</v>
      </c>
      <c r="B47" s="7"/>
      <c r="C47" s="7"/>
      <c r="D47" s="7"/>
      <c r="E47" s="7"/>
      <c r="F47" s="7"/>
      <c r="G47" s="7"/>
    </row>
    <row r="48" customFormat="false" ht="15" hidden="false" customHeight="false" outlineLevel="0" collapsed="false">
      <c r="A48" s="6" t="s">
        <v>299</v>
      </c>
      <c r="B48" s="98" t="n">
        <v>4000</v>
      </c>
      <c r="C48" s="98" t="n">
        <v>4000</v>
      </c>
      <c r="D48" s="98" t="n">
        <v>4000</v>
      </c>
      <c r="E48" s="99" t="n">
        <f aca="false">CHOOSE(Dashboard!$B$4,B48,C48,D48)</f>
        <v>4000</v>
      </c>
      <c r="F48" s="39" t="s">
        <v>300</v>
      </c>
      <c r="G48" s="100"/>
    </row>
    <row r="49" customFormat="false" ht="15" hidden="false" customHeight="false" outlineLevel="0" collapsed="false">
      <c r="A49" s="6" t="s">
        <v>301</v>
      </c>
      <c r="B49" s="107" t="n">
        <v>32</v>
      </c>
      <c r="C49" s="107" t="n">
        <v>30</v>
      </c>
      <c r="D49" s="107" t="n">
        <v>28</v>
      </c>
      <c r="E49" s="108" t="n">
        <f aca="false">CHOOSE(Dashboard!$B$4,B49,C49,D49)</f>
        <v>30</v>
      </c>
      <c r="F49" s="39" t="s">
        <v>271</v>
      </c>
      <c r="G49" s="100" t="s">
        <v>274</v>
      </c>
    </row>
    <row r="51" customFormat="false" ht="15.75" hidden="false" customHeight="true" outlineLevel="0" collapsed="false">
      <c r="A51" s="7" t="s">
        <v>302</v>
      </c>
      <c r="B51" s="7"/>
      <c r="C51" s="7"/>
      <c r="D51" s="7"/>
      <c r="E51" s="7"/>
      <c r="F51" s="7"/>
      <c r="G51" s="7"/>
    </row>
    <row r="52" customFormat="false" ht="15" hidden="false" customHeight="false" outlineLevel="0" collapsed="false">
      <c r="A52" s="6" t="s">
        <v>303</v>
      </c>
      <c r="B52" s="107" t="n">
        <v>0</v>
      </c>
      <c r="C52" s="107" t="n">
        <v>0</v>
      </c>
      <c r="D52" s="107" t="n">
        <v>0</v>
      </c>
      <c r="E52" s="108" t="n">
        <f aca="false">CHOOSE(Dashboard!$B$4,B52,C52,D52)</f>
        <v>0</v>
      </c>
      <c r="F52" s="39" t="s">
        <v>271</v>
      </c>
      <c r="G52" s="100"/>
    </row>
    <row r="53" customFormat="false" ht="15" hidden="false" customHeight="false" outlineLevel="0" collapsed="false">
      <c r="A53" s="6" t="s">
        <v>304</v>
      </c>
      <c r="B53" s="105" t="n">
        <v>45000</v>
      </c>
      <c r="C53" s="105" t="n">
        <v>45000</v>
      </c>
      <c r="D53" s="105" t="n">
        <v>45000</v>
      </c>
      <c r="E53" s="106" t="n">
        <f aca="false">CHOOSE(Dashboard!$B$4,B53,C53,D53)</f>
        <v>45000</v>
      </c>
      <c r="F53" s="39" t="s">
        <v>271</v>
      </c>
      <c r="G53" s="100"/>
    </row>
    <row r="54" customFormat="false" ht="15" hidden="false" customHeight="false" outlineLevel="0" collapsed="false">
      <c r="A54" s="6" t="s">
        <v>305</v>
      </c>
      <c r="B54" s="98" t="n">
        <v>10</v>
      </c>
      <c r="C54" s="98" t="n">
        <v>10</v>
      </c>
      <c r="D54" s="98" t="n">
        <v>10</v>
      </c>
      <c r="E54" s="99" t="n">
        <f aca="false">CHOOSE(Dashboard!$B$4,B54,C54,D54)</f>
        <v>10</v>
      </c>
      <c r="F54" s="39" t="s">
        <v>257</v>
      </c>
      <c r="G54" s="100"/>
    </row>
    <row r="55" customFormat="false" ht="15" hidden="false" customHeight="false" outlineLevel="0" collapsed="false">
      <c r="A55" s="6" t="s">
        <v>306</v>
      </c>
      <c r="B55" s="105" t="n">
        <v>60000</v>
      </c>
      <c r="C55" s="105" t="n">
        <v>60000</v>
      </c>
      <c r="D55" s="105" t="n">
        <v>60000</v>
      </c>
      <c r="E55" s="106" t="n">
        <f aca="false">CHOOSE(Dashboard!$B$4,B55,C55,D55)</f>
        <v>60000</v>
      </c>
      <c r="F55" s="39" t="s">
        <v>271</v>
      </c>
      <c r="G55" s="100"/>
    </row>
    <row r="56" customFormat="false" ht="15" hidden="false" customHeight="false" outlineLevel="0" collapsed="false">
      <c r="A56" s="6" t="s">
        <v>307</v>
      </c>
      <c r="B56" s="103" t="n">
        <v>0.015</v>
      </c>
      <c r="C56" s="103" t="n">
        <v>0.015</v>
      </c>
      <c r="D56" s="103" t="n">
        <v>0.015</v>
      </c>
      <c r="E56" s="104" t="n">
        <f aca="false">CHOOSE(Dashboard!$B$4,B56,C56,D56)</f>
        <v>0.015</v>
      </c>
      <c r="F56" s="39" t="s">
        <v>269</v>
      </c>
      <c r="G56" s="100" t="s">
        <v>274</v>
      </c>
    </row>
    <row r="58" customFormat="false" ht="15.75" hidden="false" customHeight="true" outlineLevel="0" collapsed="false">
      <c r="A58" s="7" t="s">
        <v>308</v>
      </c>
      <c r="B58" s="7"/>
      <c r="C58" s="7"/>
      <c r="D58" s="7"/>
      <c r="E58" s="7"/>
      <c r="F58" s="7"/>
      <c r="G58" s="7"/>
    </row>
    <row r="59" customFormat="false" ht="15" hidden="false" customHeight="false" outlineLevel="0" collapsed="false">
      <c r="A59" s="6" t="s">
        <v>309</v>
      </c>
      <c r="B59" s="101" t="n">
        <v>1</v>
      </c>
      <c r="C59" s="101" t="n">
        <v>1</v>
      </c>
      <c r="D59" s="101" t="n">
        <v>1</v>
      </c>
      <c r="E59" s="102" t="n">
        <f aca="false">CHOOSE(Dashboard!$B$4,B59,C59,D59)</f>
        <v>1</v>
      </c>
      <c r="F59" s="39" t="s">
        <v>310</v>
      </c>
      <c r="G59" s="100" t="s">
        <v>261</v>
      </c>
    </row>
    <row r="60" customFormat="false" ht="15" hidden="false" customHeight="false" outlineLevel="0" collapsed="false">
      <c r="A60" s="6" t="s">
        <v>311</v>
      </c>
      <c r="B60" s="105" t="n">
        <v>180000</v>
      </c>
      <c r="C60" s="105" t="n">
        <v>180000</v>
      </c>
      <c r="D60" s="105" t="n">
        <v>180000</v>
      </c>
      <c r="E60" s="106" t="n">
        <f aca="false">CHOOSE(Dashboard!$B$4,B60,C60,D60)</f>
        <v>180000</v>
      </c>
      <c r="F60" s="39" t="s">
        <v>271</v>
      </c>
      <c r="G60" s="100"/>
    </row>
    <row r="61" customFormat="false" ht="15" hidden="false" customHeight="false" outlineLevel="0" collapsed="false">
      <c r="A61" s="6" t="s">
        <v>312</v>
      </c>
      <c r="B61" s="103" t="n">
        <v>0</v>
      </c>
      <c r="C61" s="103" t="n">
        <v>0</v>
      </c>
      <c r="D61" s="103" t="n">
        <v>0</v>
      </c>
      <c r="E61" s="104" t="n">
        <f aca="false">CHOOSE(Dashboard!$B$4,B61,C61,D61)</f>
        <v>0</v>
      </c>
      <c r="F61" s="39" t="s">
        <v>269</v>
      </c>
      <c r="G61" s="100" t="s">
        <v>261</v>
      </c>
    </row>
    <row r="62" customFormat="false" ht="15" hidden="false" customHeight="false" outlineLevel="0" collapsed="false">
      <c r="A62" s="6" t="s">
        <v>313</v>
      </c>
      <c r="B62" s="98" t="n">
        <v>1</v>
      </c>
      <c r="C62" s="98" t="n">
        <v>1</v>
      </c>
      <c r="D62" s="98" t="n">
        <v>1</v>
      </c>
      <c r="E62" s="99" t="n">
        <f aca="false">CHOOSE(Dashboard!$B$4,B62,C62,D62)</f>
        <v>1</v>
      </c>
      <c r="F62" s="39" t="s">
        <v>314</v>
      </c>
      <c r="G62" s="100"/>
    </row>
    <row r="63" customFormat="false" ht="15" hidden="false" customHeight="false" outlineLevel="0" collapsed="false">
      <c r="A63" s="6" t="s">
        <v>315</v>
      </c>
      <c r="B63" s="101" t="n">
        <v>3</v>
      </c>
      <c r="C63" s="101" t="n">
        <v>3</v>
      </c>
      <c r="D63" s="101" t="n">
        <v>3</v>
      </c>
      <c r="E63" s="102" t="n">
        <f aca="false">CHOOSE(Dashboard!$B$4,B63,C63,D63)</f>
        <v>3</v>
      </c>
      <c r="F63" s="39" t="s">
        <v>310</v>
      </c>
      <c r="G63" s="100" t="s">
        <v>261</v>
      </c>
    </row>
    <row r="64" customFormat="false" ht="15" hidden="false" customHeight="false" outlineLevel="0" collapsed="false">
      <c r="A64" s="6" t="s">
        <v>316</v>
      </c>
      <c r="B64" s="105" t="n">
        <v>96000</v>
      </c>
      <c r="C64" s="105" t="n">
        <v>96000</v>
      </c>
      <c r="D64" s="105" t="n">
        <v>96000</v>
      </c>
      <c r="E64" s="106" t="n">
        <f aca="false">CHOOSE(Dashboard!$B$4,B64,C64,D64)</f>
        <v>96000</v>
      </c>
      <c r="F64" s="39" t="s">
        <v>271</v>
      </c>
      <c r="G64" s="100"/>
    </row>
    <row r="65" customFormat="false" ht="15" hidden="false" customHeight="false" outlineLevel="0" collapsed="false">
      <c r="A65" s="6" t="s">
        <v>317</v>
      </c>
      <c r="B65" s="103" t="n">
        <v>0.06</v>
      </c>
      <c r="C65" s="103" t="n">
        <v>0.06</v>
      </c>
      <c r="D65" s="103" t="n">
        <v>0.06</v>
      </c>
      <c r="E65" s="104" t="n">
        <f aca="false">CHOOSE(Dashboard!$B$4,B65,C65,D65)</f>
        <v>0.06</v>
      </c>
      <c r="F65" s="39" t="s">
        <v>269</v>
      </c>
      <c r="G65" s="100" t="s">
        <v>261</v>
      </c>
    </row>
    <row r="66" customFormat="false" ht="15" hidden="false" customHeight="false" outlineLevel="0" collapsed="false">
      <c r="A66" s="6" t="s">
        <v>318</v>
      </c>
      <c r="B66" s="98" t="n">
        <v>1</v>
      </c>
      <c r="C66" s="98" t="n">
        <v>1</v>
      </c>
      <c r="D66" s="98" t="n">
        <v>1</v>
      </c>
      <c r="E66" s="99" t="n">
        <f aca="false">CHOOSE(Dashboard!$B$4,B66,C66,D66)</f>
        <v>1</v>
      </c>
      <c r="F66" s="39" t="s">
        <v>314</v>
      </c>
      <c r="G66" s="100"/>
    </row>
    <row r="67" customFormat="false" ht="15" hidden="false" customHeight="false" outlineLevel="0" collapsed="false">
      <c r="A67" s="6" t="s">
        <v>319</v>
      </c>
      <c r="B67" s="101" t="n">
        <v>4.5</v>
      </c>
      <c r="C67" s="101" t="n">
        <v>4.5</v>
      </c>
      <c r="D67" s="101" t="n">
        <v>4.5</v>
      </c>
      <c r="E67" s="102" t="n">
        <f aca="false">CHOOSE(Dashboard!$B$4,B67,C67,D67)</f>
        <v>4.5</v>
      </c>
      <c r="F67" s="39" t="s">
        <v>310</v>
      </c>
      <c r="G67" s="100" t="s">
        <v>261</v>
      </c>
    </row>
    <row r="68" customFormat="false" ht="15" hidden="false" customHeight="false" outlineLevel="0" collapsed="false">
      <c r="A68" s="6" t="s">
        <v>320</v>
      </c>
      <c r="B68" s="105" t="n">
        <v>45000</v>
      </c>
      <c r="C68" s="105" t="n">
        <v>45000</v>
      </c>
      <c r="D68" s="105" t="n">
        <v>45000</v>
      </c>
      <c r="E68" s="106" t="n">
        <f aca="false">CHOOSE(Dashboard!$B$4,B68,C68,D68)</f>
        <v>45000</v>
      </c>
      <c r="F68" s="39" t="s">
        <v>271</v>
      </c>
      <c r="G68" s="100"/>
    </row>
    <row r="69" customFormat="false" ht="15" hidden="false" customHeight="false" outlineLevel="0" collapsed="false">
      <c r="A69" s="6" t="s">
        <v>321</v>
      </c>
      <c r="B69" s="103" t="n">
        <v>0.04</v>
      </c>
      <c r="C69" s="103" t="n">
        <v>0.04</v>
      </c>
      <c r="D69" s="103" t="n">
        <v>0.04</v>
      </c>
      <c r="E69" s="104" t="n">
        <f aca="false">CHOOSE(Dashboard!$B$4,B69,C69,D69)</f>
        <v>0.04</v>
      </c>
      <c r="F69" s="39" t="s">
        <v>269</v>
      </c>
      <c r="G69" s="100" t="s">
        <v>261</v>
      </c>
    </row>
    <row r="70" customFormat="false" ht="15" hidden="false" customHeight="false" outlineLevel="0" collapsed="false">
      <c r="A70" s="6" t="s">
        <v>322</v>
      </c>
      <c r="B70" s="98" t="n">
        <v>1</v>
      </c>
      <c r="C70" s="98" t="n">
        <v>1</v>
      </c>
      <c r="D70" s="98" t="n">
        <v>1</v>
      </c>
      <c r="E70" s="99" t="n">
        <f aca="false">CHOOSE(Dashboard!$B$4,B70,C70,D70)</f>
        <v>1</v>
      </c>
      <c r="F70" s="39" t="s">
        <v>314</v>
      </c>
      <c r="G70" s="100"/>
    </row>
    <row r="71" customFormat="false" ht="15" hidden="false" customHeight="false" outlineLevel="0" collapsed="false">
      <c r="A71" s="6" t="s">
        <v>323</v>
      </c>
      <c r="B71" s="101" t="n">
        <v>3</v>
      </c>
      <c r="C71" s="101" t="n">
        <v>3</v>
      </c>
      <c r="D71" s="101" t="n">
        <v>3</v>
      </c>
      <c r="E71" s="102" t="n">
        <f aca="false">CHOOSE(Dashboard!$B$4,B71,C71,D71)</f>
        <v>3</v>
      </c>
      <c r="F71" s="39" t="s">
        <v>310</v>
      </c>
      <c r="G71" s="100" t="s">
        <v>261</v>
      </c>
    </row>
    <row r="72" customFormat="false" ht="15" hidden="false" customHeight="false" outlineLevel="0" collapsed="false">
      <c r="A72" s="6" t="s">
        <v>324</v>
      </c>
      <c r="B72" s="105" t="n">
        <v>41000</v>
      </c>
      <c r="C72" s="105" t="n">
        <v>41000</v>
      </c>
      <c r="D72" s="105" t="n">
        <v>41000</v>
      </c>
      <c r="E72" s="106" t="n">
        <f aca="false">CHOOSE(Dashboard!$B$4,B72,C72,D72)</f>
        <v>41000</v>
      </c>
      <c r="F72" s="39" t="s">
        <v>271</v>
      </c>
      <c r="G72" s="100"/>
    </row>
    <row r="73" customFormat="false" ht="15" hidden="false" customHeight="false" outlineLevel="0" collapsed="false">
      <c r="A73" s="6" t="s">
        <v>325</v>
      </c>
      <c r="B73" s="103" t="n">
        <v>0.04</v>
      </c>
      <c r="C73" s="103" t="n">
        <v>0.04</v>
      </c>
      <c r="D73" s="103" t="n">
        <v>0.04</v>
      </c>
      <c r="E73" s="104" t="n">
        <f aca="false">CHOOSE(Dashboard!$B$4,B73,C73,D73)</f>
        <v>0.04</v>
      </c>
      <c r="F73" s="39" t="s">
        <v>269</v>
      </c>
      <c r="G73" s="100" t="s">
        <v>261</v>
      </c>
    </row>
    <row r="74" customFormat="false" ht="15" hidden="false" customHeight="false" outlineLevel="0" collapsed="false">
      <c r="A74" s="6" t="s">
        <v>326</v>
      </c>
      <c r="B74" s="98" t="n">
        <v>1</v>
      </c>
      <c r="C74" s="98" t="n">
        <v>1</v>
      </c>
      <c r="D74" s="98" t="n">
        <v>1</v>
      </c>
      <c r="E74" s="99" t="n">
        <f aca="false">CHOOSE(Dashboard!$B$4,B74,C74,D74)</f>
        <v>1</v>
      </c>
      <c r="F74" s="39" t="s">
        <v>314</v>
      </c>
      <c r="G74" s="100"/>
    </row>
    <row r="75" customFormat="false" ht="15" hidden="false" customHeight="false" outlineLevel="0" collapsed="false">
      <c r="A75" s="6" t="s">
        <v>327</v>
      </c>
      <c r="B75" s="101" t="n">
        <v>1</v>
      </c>
      <c r="C75" s="101" t="n">
        <v>1</v>
      </c>
      <c r="D75" s="101" t="n">
        <v>1</v>
      </c>
      <c r="E75" s="102" t="n">
        <f aca="false">CHOOSE(Dashboard!$B$4,B75,C75,D75)</f>
        <v>1</v>
      </c>
      <c r="F75" s="39" t="s">
        <v>310</v>
      </c>
      <c r="G75" s="100" t="s">
        <v>261</v>
      </c>
    </row>
    <row r="76" customFormat="false" ht="15" hidden="false" customHeight="false" outlineLevel="0" collapsed="false">
      <c r="A76" s="6" t="s">
        <v>328</v>
      </c>
      <c r="B76" s="105" t="n">
        <v>68000</v>
      </c>
      <c r="C76" s="105" t="n">
        <v>68000</v>
      </c>
      <c r="D76" s="105" t="n">
        <v>68000</v>
      </c>
      <c r="E76" s="106" t="n">
        <f aca="false">CHOOSE(Dashboard!$B$4,B76,C76,D76)</f>
        <v>68000</v>
      </c>
      <c r="F76" s="39" t="s">
        <v>271</v>
      </c>
      <c r="G76" s="100"/>
    </row>
    <row r="77" customFormat="false" ht="15" hidden="false" customHeight="false" outlineLevel="0" collapsed="false">
      <c r="A77" s="6" t="s">
        <v>329</v>
      </c>
      <c r="B77" s="103" t="n">
        <v>0</v>
      </c>
      <c r="C77" s="103" t="n">
        <v>0</v>
      </c>
      <c r="D77" s="103" t="n">
        <v>0</v>
      </c>
      <c r="E77" s="104" t="n">
        <f aca="false">CHOOSE(Dashboard!$B$4,B77,C77,D77)</f>
        <v>0</v>
      </c>
      <c r="F77" s="39" t="s">
        <v>269</v>
      </c>
      <c r="G77" s="100" t="s">
        <v>261</v>
      </c>
    </row>
    <row r="78" customFormat="false" ht="15" hidden="false" customHeight="false" outlineLevel="0" collapsed="false">
      <c r="A78" s="6" t="s">
        <v>330</v>
      </c>
      <c r="B78" s="98" t="n">
        <v>1</v>
      </c>
      <c r="C78" s="98" t="n">
        <v>1</v>
      </c>
      <c r="D78" s="98" t="n">
        <v>1</v>
      </c>
      <c r="E78" s="99" t="n">
        <f aca="false">CHOOSE(Dashboard!$B$4,B78,C78,D78)</f>
        <v>1</v>
      </c>
      <c r="F78" s="39" t="s">
        <v>314</v>
      </c>
      <c r="G78" s="100"/>
    </row>
    <row r="79" customFormat="false" ht="15" hidden="false" customHeight="false" outlineLevel="0" collapsed="false">
      <c r="A79" s="6" t="s">
        <v>331</v>
      </c>
      <c r="B79" s="103" t="n">
        <v>0.1</v>
      </c>
      <c r="C79" s="103" t="n">
        <v>0.1</v>
      </c>
      <c r="D79" s="103" t="n">
        <v>0.1</v>
      </c>
      <c r="E79" s="104" t="n">
        <f aca="false">CHOOSE(Dashboard!$B$4,B79,C79,D79)</f>
        <v>0.1</v>
      </c>
      <c r="F79" s="39" t="s">
        <v>269</v>
      </c>
      <c r="G79" s="100"/>
    </row>
    <row r="80" customFormat="false" ht="15" hidden="false" customHeight="false" outlineLevel="0" collapsed="false">
      <c r="A80" s="6" t="s">
        <v>332</v>
      </c>
      <c r="B80" s="103" t="n">
        <v>0.03</v>
      </c>
      <c r="C80" s="103" t="n">
        <v>0.03</v>
      </c>
      <c r="D80" s="103" t="n">
        <v>0.03</v>
      </c>
      <c r="E80" s="104" t="n">
        <f aca="false">CHOOSE(Dashboard!$B$4,B80,C80,D80)</f>
        <v>0.03</v>
      </c>
      <c r="F80" s="39" t="s">
        <v>269</v>
      </c>
      <c r="G80" s="100"/>
    </row>
    <row r="82" customFormat="false" ht="15.75" hidden="false" customHeight="true" outlineLevel="0" collapsed="false">
      <c r="A82" s="7" t="s">
        <v>333</v>
      </c>
      <c r="B82" s="7"/>
      <c r="C82" s="7"/>
      <c r="D82" s="7"/>
      <c r="E82" s="7"/>
      <c r="F82" s="7"/>
      <c r="G82" s="7"/>
    </row>
    <row r="83" customFormat="false" ht="15" hidden="false" customHeight="false" outlineLevel="0" collapsed="false">
      <c r="A83" s="6" t="s">
        <v>334</v>
      </c>
      <c r="B83" s="105" t="n">
        <v>100000</v>
      </c>
      <c r="C83" s="105" t="n">
        <v>100000</v>
      </c>
      <c r="D83" s="105" t="n">
        <v>100000</v>
      </c>
      <c r="E83" s="106" t="n">
        <f aca="false">CHOOSE(Dashboard!$B$4,B83,C83,D83)</f>
        <v>100000</v>
      </c>
      <c r="F83" s="39" t="s">
        <v>271</v>
      </c>
      <c r="G83" s="100"/>
    </row>
    <row r="84" customFormat="false" ht="15" hidden="false" customHeight="false" outlineLevel="0" collapsed="false">
      <c r="A84" s="6" t="s">
        <v>335</v>
      </c>
      <c r="B84" s="105" t="n">
        <v>150000</v>
      </c>
      <c r="C84" s="105" t="n">
        <v>150000</v>
      </c>
      <c r="D84" s="105" t="n">
        <v>150000</v>
      </c>
      <c r="E84" s="106" t="n">
        <f aca="false">CHOOSE(Dashboard!$B$4,B84,C84,D84)</f>
        <v>150000</v>
      </c>
      <c r="F84" s="39" t="s">
        <v>271</v>
      </c>
      <c r="G84" s="100"/>
    </row>
    <row r="85" customFormat="false" ht="15" hidden="false" customHeight="false" outlineLevel="0" collapsed="false">
      <c r="A85" s="6" t="s">
        <v>336</v>
      </c>
      <c r="B85" s="103" t="n">
        <v>0.085</v>
      </c>
      <c r="C85" s="103" t="n">
        <v>0.085</v>
      </c>
      <c r="D85" s="103" t="n">
        <v>0.085</v>
      </c>
      <c r="E85" s="104" t="n">
        <f aca="false">CHOOSE(Dashboard!$B$4,B85,C85,D85)</f>
        <v>0.085</v>
      </c>
      <c r="F85" s="39" t="s">
        <v>269</v>
      </c>
      <c r="G85" s="100"/>
    </row>
    <row r="86" customFormat="false" ht="15" hidden="false" customHeight="false" outlineLevel="0" collapsed="false">
      <c r="A86" s="6" t="s">
        <v>337</v>
      </c>
      <c r="B86" s="98" t="n">
        <v>7</v>
      </c>
      <c r="C86" s="98" t="n">
        <v>7</v>
      </c>
      <c r="D86" s="98" t="n">
        <v>7</v>
      </c>
      <c r="E86" s="99" t="n">
        <f aca="false">CHOOSE(Dashboard!$B$4,B86,C86,D86)</f>
        <v>7</v>
      </c>
      <c r="F86" s="39" t="s">
        <v>338</v>
      </c>
      <c r="G86" s="100"/>
    </row>
    <row r="88" customFormat="false" ht="15.75" hidden="false" customHeight="true" outlineLevel="0" collapsed="false">
      <c r="A88" s="7" t="s">
        <v>339</v>
      </c>
      <c r="B88" s="7"/>
      <c r="C88" s="7"/>
      <c r="D88" s="7"/>
      <c r="E88" s="7"/>
      <c r="F88" s="7"/>
      <c r="G88" s="7"/>
    </row>
    <row r="89" customFormat="false" ht="15" hidden="false" customHeight="false" outlineLevel="0" collapsed="false">
      <c r="A89" s="6" t="s">
        <v>340</v>
      </c>
      <c r="B89" s="98" t="n">
        <v>22</v>
      </c>
      <c r="C89" s="98" t="n">
        <v>17</v>
      </c>
      <c r="D89" s="98" t="n">
        <v>14</v>
      </c>
      <c r="E89" s="99" t="n">
        <f aca="false">CHOOSE(Dashboard!$B$4,B89,C89,D89)</f>
        <v>17</v>
      </c>
      <c r="F89" s="39" t="s">
        <v>264</v>
      </c>
      <c r="G89" s="100"/>
    </row>
    <row r="90" customFormat="false" ht="15" hidden="false" customHeight="false" outlineLevel="0" collapsed="false">
      <c r="A90" s="6" t="s">
        <v>341</v>
      </c>
      <c r="B90" s="98" t="n">
        <v>12</v>
      </c>
      <c r="C90" s="98" t="n">
        <v>12</v>
      </c>
      <c r="D90" s="98" t="n">
        <v>12</v>
      </c>
      <c r="E90" s="99" t="n">
        <f aca="false">CHOOSE(Dashboard!$B$4,B90,C90,D90)</f>
        <v>12</v>
      </c>
      <c r="F90" s="39" t="s">
        <v>264</v>
      </c>
      <c r="G90" s="100"/>
    </row>
    <row r="91" customFormat="false" ht="15" hidden="false" customHeight="false" outlineLevel="0" collapsed="false">
      <c r="A91" s="6" t="s">
        <v>342</v>
      </c>
      <c r="B91" s="98" t="n">
        <v>25</v>
      </c>
      <c r="C91" s="98" t="n">
        <v>25</v>
      </c>
      <c r="D91" s="98" t="n">
        <v>25</v>
      </c>
      <c r="E91" s="99" t="n">
        <f aca="false">CHOOSE(Dashboard!$B$4,B91,C91,D91)</f>
        <v>25</v>
      </c>
      <c r="F91" s="39" t="s">
        <v>264</v>
      </c>
      <c r="G91" s="100"/>
    </row>
    <row r="93" customFormat="false" ht="15.75" hidden="false" customHeight="true" outlineLevel="0" collapsed="false">
      <c r="A93" s="7" t="s">
        <v>343</v>
      </c>
      <c r="B93" s="7"/>
      <c r="C93" s="7"/>
      <c r="D93" s="7"/>
      <c r="E93" s="7"/>
      <c r="F93" s="7"/>
      <c r="G93" s="7"/>
    </row>
    <row r="94" customFormat="false" ht="15" hidden="false" customHeight="false" outlineLevel="0" collapsed="false">
      <c r="A94" s="6" t="s">
        <v>344</v>
      </c>
      <c r="B94" s="98" t="n">
        <v>7</v>
      </c>
      <c r="C94" s="98" t="n">
        <v>7</v>
      </c>
      <c r="D94" s="98" t="n">
        <v>7</v>
      </c>
      <c r="E94" s="99" t="n">
        <f aca="false">CHOOSE(Dashboard!$B$4,B94,C94,D94)</f>
        <v>7</v>
      </c>
      <c r="F94" s="39" t="s">
        <v>338</v>
      </c>
      <c r="G94" s="100"/>
    </row>
    <row r="95" customFormat="false" ht="15" hidden="false" customHeight="false" outlineLevel="0" collapsed="false">
      <c r="A95" s="6" t="s">
        <v>345</v>
      </c>
      <c r="B95" s="103" t="n">
        <v>0.21</v>
      </c>
      <c r="C95" s="103" t="n">
        <v>0.21</v>
      </c>
      <c r="D95" s="103" t="n">
        <v>0.21</v>
      </c>
      <c r="E95" s="104" t="n">
        <f aca="false">CHOOSE(Dashboard!$B$4,B95,C95,D95)</f>
        <v>0.21</v>
      </c>
      <c r="F95" s="39" t="s">
        <v>269</v>
      </c>
      <c r="G95" s="100"/>
    </row>
    <row r="97" customFormat="false" ht="15.75" hidden="false" customHeight="true" outlineLevel="0" collapsed="false">
      <c r="A97" s="7" t="s">
        <v>346</v>
      </c>
      <c r="B97" s="7"/>
      <c r="C97" s="7"/>
      <c r="D97" s="7"/>
      <c r="E97" s="7"/>
      <c r="F97" s="7"/>
      <c r="G97" s="7"/>
    </row>
    <row r="98" customFormat="false" ht="15" hidden="false" customHeight="false" outlineLevel="0" collapsed="false">
      <c r="A98" s="6" t="s">
        <v>140</v>
      </c>
      <c r="B98" s="105" t="n">
        <v>349000</v>
      </c>
      <c r="C98" s="105" t="n">
        <v>349000</v>
      </c>
      <c r="D98" s="105" t="n">
        <v>349000</v>
      </c>
      <c r="E98" s="106" t="n">
        <f aca="false">CHOOSE(Dashboard!$B$4,B98,C98,D98)</f>
        <v>349000</v>
      </c>
      <c r="F98" s="39" t="s">
        <v>271</v>
      </c>
      <c r="G98" s="100" t="s">
        <v>347</v>
      </c>
    </row>
    <row r="100" customFormat="false" ht="15.75" hidden="false" customHeight="true" outlineLevel="0" collapsed="false">
      <c r="A100" s="7" t="s">
        <v>348</v>
      </c>
      <c r="B100" s="7"/>
      <c r="C100" s="7"/>
      <c r="D100" s="7"/>
      <c r="E100" s="7"/>
      <c r="F100" s="7"/>
      <c r="G100" s="7"/>
    </row>
    <row r="101" customFormat="false" ht="15" hidden="false" customHeight="false" outlineLevel="0" collapsed="false">
      <c r="A101" s="6" t="s">
        <v>165</v>
      </c>
      <c r="B101" s="103" t="n">
        <v>0.2</v>
      </c>
      <c r="C101" s="103" t="n">
        <v>0.16</v>
      </c>
      <c r="D101" s="103" t="n">
        <v>0.13</v>
      </c>
      <c r="E101" s="104" t="n">
        <f aca="false">CHOOSE(Dashboard!$B$4,B101,C101,D101)</f>
        <v>0.16</v>
      </c>
      <c r="F101" s="39" t="s">
        <v>269</v>
      </c>
      <c r="G101" s="100" t="s">
        <v>274</v>
      </c>
    </row>
    <row r="102" customFormat="false" ht="15" hidden="false" customHeight="false" outlineLevel="0" collapsed="false">
      <c r="A102" s="6" t="s">
        <v>349</v>
      </c>
      <c r="B102" s="103" t="n">
        <v>0.01</v>
      </c>
      <c r="C102" s="103" t="n">
        <v>0.02</v>
      </c>
      <c r="D102" s="103" t="n">
        <v>0.03</v>
      </c>
      <c r="E102" s="104" t="n">
        <f aca="false">CHOOSE(Dashboard!$B$4,B102,C102,D102)</f>
        <v>0.02</v>
      </c>
      <c r="F102" s="39" t="s">
        <v>269</v>
      </c>
      <c r="G102" s="100" t="s">
        <v>261</v>
      </c>
    </row>
    <row r="103" customFormat="false" ht="15" hidden="false" customHeight="false" outlineLevel="0" collapsed="false">
      <c r="A103" s="6" t="s">
        <v>167</v>
      </c>
      <c r="B103" s="109" t="n">
        <v>4</v>
      </c>
      <c r="C103" s="109" t="n">
        <v>5.5</v>
      </c>
      <c r="D103" s="109" t="n">
        <v>7</v>
      </c>
      <c r="E103" s="110" t="n">
        <f aca="false">CHOOSE(Dashboard!$B$4,B103,C103,D103)</f>
        <v>5.5</v>
      </c>
      <c r="F103" s="39" t="s">
        <v>350</v>
      </c>
      <c r="G103" s="100" t="s">
        <v>261</v>
      </c>
    </row>
    <row r="104" customFormat="false" ht="15" hidden="false" customHeight="false" outlineLevel="0" collapsed="false">
      <c r="A104" s="6" t="s">
        <v>351</v>
      </c>
      <c r="B104" s="103" t="n">
        <v>0.01</v>
      </c>
      <c r="C104" s="103" t="n">
        <v>0.01</v>
      </c>
      <c r="D104" s="103" t="n">
        <v>0.01</v>
      </c>
      <c r="E104" s="104" t="n">
        <f aca="false">CHOOSE(Dashboard!$B$4,B104,C104,D104)</f>
        <v>0.01</v>
      </c>
      <c r="F104" s="39" t="s">
        <v>269</v>
      </c>
      <c r="G104" s="100"/>
    </row>
    <row r="105" customFormat="false" ht="15" hidden="false" customHeight="false" outlineLevel="0" collapsed="false">
      <c r="A105" s="6" t="s">
        <v>352</v>
      </c>
      <c r="B105" s="103" t="n">
        <v>0.005</v>
      </c>
      <c r="C105" s="103" t="n">
        <v>0.005</v>
      </c>
      <c r="D105" s="103" t="n">
        <v>0.005</v>
      </c>
      <c r="E105" s="104" t="n">
        <f aca="false">CHOOSE(Dashboard!$B$4,B105,C105,D105)</f>
        <v>0.005</v>
      </c>
      <c r="F105" s="39" t="s">
        <v>269</v>
      </c>
      <c r="G105" s="100"/>
    </row>
    <row r="107" customFormat="false" ht="15" hidden="false" customHeight="false" outlineLevel="0" collapsed="false">
      <c r="A107" s="21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20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354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4" t="s">
        <v>44</v>
      </c>
      <c r="B5" s="73" t="n">
        <f aca="false">SUMIF(Monthly!$C$5:$AL$5,B$3,Monthly!$C$31:$AL$31)</f>
        <v>1975300.08293807</v>
      </c>
      <c r="C5" s="73" t="n">
        <f aca="false">SUMIF(Monthly!$C$5:$AL$5,C$3,Monthly!$C$31:$AL$31)</f>
        <v>2149133.33248285</v>
      </c>
      <c r="D5" s="73" t="n">
        <f aca="false">SUMIF(Monthly!$C$5:$AL$5,D$3,Monthly!$C$31:$AL$31)</f>
        <v>2337329.1411336</v>
      </c>
    </row>
    <row r="6" customFormat="false" ht="15" hidden="false" customHeight="false" outlineLevel="0" collapsed="false">
      <c r="A6" s="6" t="s">
        <v>75</v>
      </c>
      <c r="B6" s="67" t="n">
        <f aca="false">SUMIF(Monthly!$C$5:$AL$5,B$3,Monthly!$C$37:$AL$37)</f>
        <v>-274714.152567865</v>
      </c>
      <c r="C6" s="67" t="n">
        <f aca="false">SUMIF(Monthly!$C$5:$AL$5,C$3,Monthly!$C$37:$AL$37)</f>
        <v>-298868.418373452</v>
      </c>
      <c r="D6" s="67" t="n">
        <f aca="false">SUMIF(Monthly!$C$5:$AL$5,D$3,Monthly!$C$37:$AL$37)</f>
        <v>-325021.314820761</v>
      </c>
    </row>
    <row r="7" customFormat="false" ht="15" hidden="false" customHeight="false" outlineLevel="0" collapsed="false">
      <c r="A7" s="111" t="s">
        <v>45</v>
      </c>
      <c r="B7" s="68" t="n">
        <f aca="false">SUMIF(Monthly!$C$5:$AL$5,B$3,Monthly!$C$38:$AL$38)</f>
        <v>1700585.93037021</v>
      </c>
      <c r="C7" s="68" t="n">
        <f aca="false">SUMIF(Monthly!$C$5:$AL$5,C$3,Monthly!$C$38:$AL$38)</f>
        <v>1850264.9141094</v>
      </c>
      <c r="D7" s="68" t="n">
        <f aca="false">SUMIF(Monthly!$C$5:$AL$5,D$3,Monthly!$C$38:$AL$38)</f>
        <v>2012307.82631284</v>
      </c>
    </row>
    <row r="8" customFormat="false" ht="15" hidden="false" customHeight="false" outlineLevel="0" collapsed="false">
      <c r="A8" s="39" t="s">
        <v>46</v>
      </c>
      <c r="B8" s="74" t="n">
        <f aca="false">IF(B5=0,0,B7/B5)</f>
        <v>0.860925357650341</v>
      </c>
      <c r="C8" s="74" t="n">
        <f aca="false">IF(C5=0,0,C7/C5)</f>
        <v>0.860935376202008</v>
      </c>
      <c r="D8" s="74" t="n">
        <f aca="false">IF(D5=0,0,D7/D5)</f>
        <v>0.860943283895769</v>
      </c>
    </row>
    <row r="9" customFormat="false" ht="15" hidden="false" customHeight="false" outlineLevel="0" collapsed="false">
      <c r="A9" s="6" t="s">
        <v>355</v>
      </c>
      <c r="B9" s="67" t="n">
        <f aca="false">SUMIF(Monthly!$C$5:$AL$5,B$3,Monthly!$C$41:$AL$41)</f>
        <v>-947650</v>
      </c>
      <c r="C9" s="67" t="n">
        <f aca="false">SUMIF(Monthly!$C$5:$AL$5,C$3,Monthly!$C$41:$AL$41)</f>
        <v>-1010409.4</v>
      </c>
      <c r="D9" s="67" t="n">
        <f aca="false">SUMIF(Monthly!$C$5:$AL$5,D$3,Monthly!$C$41:$AL$41)</f>
        <v>-1077899.182624</v>
      </c>
    </row>
    <row r="10" customFormat="false" ht="15" hidden="false" customHeight="false" outlineLevel="0" collapsed="false">
      <c r="A10" s="6" t="s">
        <v>356</v>
      </c>
      <c r="B10" s="67" t="n">
        <f aca="false">SUMIF(Monthly!$C$5:$AL$5,B$3,Monthly!$C$42:$AL$42)</f>
        <v>-142603.405293598</v>
      </c>
      <c r="C10" s="67" t="n">
        <f aca="false">SUMIF(Monthly!$C$5:$AL$5,C$3,Monthly!$C$42:$AL$42)</f>
        <v>-155130.600430294</v>
      </c>
      <c r="D10" s="67" t="n">
        <f aca="false">SUMIF(Monthly!$C$5:$AL$5,D$3,Monthly!$C$42:$AL$42)</f>
        <v>-168695.885626892</v>
      </c>
    </row>
    <row r="11" customFormat="false" ht="15" hidden="false" customHeight="false" outlineLevel="0" collapsed="false">
      <c r="A11" s="6" t="s">
        <v>357</v>
      </c>
      <c r="B11" s="67" t="n">
        <f aca="false">SUMIF(Monthly!$C$5:$AL$5,B$3,Monthly!$C$43:$AL$43)</f>
        <v>-84000</v>
      </c>
      <c r="C11" s="67" t="n">
        <f aca="false">SUMIF(Monthly!$C$5:$AL$5,C$3,Monthly!$C$43:$AL$43)</f>
        <v>-88200</v>
      </c>
      <c r="D11" s="67" t="n">
        <f aca="false">SUMIF(Monthly!$C$5:$AL$5,D$3,Monthly!$C$43:$AL$43)</f>
        <v>-92610</v>
      </c>
    </row>
    <row r="12" customFormat="false" ht="15" hidden="false" customHeight="false" outlineLevel="0" collapsed="false">
      <c r="A12" s="6" t="s">
        <v>358</v>
      </c>
      <c r="B12" s="67" t="n">
        <f aca="false">SUMIF(Monthly!$C$5:$AL$5,B$3,Monthly!$C$44:$AL$44)</f>
        <v>-120000</v>
      </c>
      <c r="C12" s="67" t="n">
        <f aca="false">SUMIF(Monthly!$C$5:$AL$5,C$3,Monthly!$C$44:$AL$44)</f>
        <v>-120000</v>
      </c>
      <c r="D12" s="67" t="n">
        <f aca="false">SUMIF(Monthly!$C$5:$AL$5,D$3,Monthly!$C$44:$AL$44)</f>
        <v>-120000</v>
      </c>
    </row>
    <row r="13" customFormat="false" ht="15" hidden="false" customHeight="false" outlineLevel="0" collapsed="false">
      <c r="A13" s="6" t="s">
        <v>359</v>
      </c>
      <c r="B13" s="67" t="n">
        <f aca="false">SUMIF(Monthly!$C$5:$AL$5,B$3,Monthly!$C$45:$AL$45)</f>
        <v>-21600</v>
      </c>
      <c r="C13" s="67" t="n">
        <f aca="false">SUMIF(Monthly!$C$5:$AL$5,C$3,Monthly!$C$45:$AL$45)</f>
        <v>-21600</v>
      </c>
      <c r="D13" s="67" t="n">
        <f aca="false">SUMIF(Monthly!$C$5:$AL$5,D$3,Monthly!$C$45:$AL$45)</f>
        <v>-21600</v>
      </c>
    </row>
    <row r="14" customFormat="false" ht="15" hidden="false" customHeight="false" outlineLevel="0" collapsed="false">
      <c r="A14" s="6" t="s">
        <v>360</v>
      </c>
      <c r="B14" s="67" t="n">
        <f aca="false">SUMIF(Monthly!$C$5:$AL$5,B$3,Monthly!$C$46:$AL$46)</f>
        <v>-15600</v>
      </c>
      <c r="C14" s="67" t="n">
        <f aca="false">SUMIF(Monthly!$C$5:$AL$5,C$3,Monthly!$C$46:$AL$46)</f>
        <v>-15600</v>
      </c>
      <c r="D14" s="67" t="n">
        <f aca="false">SUMIF(Monthly!$C$5:$AL$5,D$3,Monthly!$C$46:$AL$46)</f>
        <v>-15600</v>
      </c>
    </row>
    <row r="15" customFormat="false" ht="15" hidden="false" customHeight="false" outlineLevel="0" collapsed="false">
      <c r="A15" s="6" t="s">
        <v>361</v>
      </c>
      <c r="B15" s="67" t="n">
        <f aca="false">SUMIF(Monthly!$C$5:$AL$5,B$3,Monthly!$C$47:$AL$47)</f>
        <v>-13200</v>
      </c>
      <c r="C15" s="67" t="n">
        <f aca="false">SUMIF(Monthly!$C$5:$AL$5,C$3,Monthly!$C$47:$AL$47)</f>
        <v>-13200</v>
      </c>
      <c r="D15" s="67" t="n">
        <f aca="false">SUMIF(Monthly!$C$5:$AL$5,D$3,Monthly!$C$47:$AL$47)</f>
        <v>-13200</v>
      </c>
    </row>
    <row r="16" customFormat="false" ht="15" hidden="false" customHeight="false" outlineLevel="0" collapsed="false">
      <c r="A16" s="6" t="s">
        <v>362</v>
      </c>
      <c r="B16" s="67" t="n">
        <f aca="false">SUMIF(Monthly!$C$5:$AL$5,B$3,Monthly!$C$48:$AL$48)</f>
        <v>-16800</v>
      </c>
      <c r="C16" s="67" t="n">
        <f aca="false">SUMIF(Monthly!$C$5:$AL$5,C$3,Monthly!$C$48:$AL$48)</f>
        <v>-16800</v>
      </c>
      <c r="D16" s="67" t="n">
        <f aca="false">SUMIF(Monthly!$C$5:$AL$5,D$3,Monthly!$C$48:$AL$48)</f>
        <v>-16800</v>
      </c>
    </row>
    <row r="17" customFormat="false" ht="15" hidden="false" customHeight="false" outlineLevel="0" collapsed="false">
      <c r="A17" s="6" t="s">
        <v>363</v>
      </c>
      <c r="B17" s="67" t="n">
        <f aca="false">SUMIF(Monthly!$C$5:$AL$5,B$3,Monthly!$C$49:$AL$49)</f>
        <v>-36000</v>
      </c>
      <c r="C17" s="67" t="n">
        <f aca="false">SUMIF(Monthly!$C$5:$AL$5,C$3,Monthly!$C$49:$AL$49)</f>
        <v>-36000</v>
      </c>
      <c r="D17" s="67" t="n">
        <f aca="false">SUMIF(Monthly!$C$5:$AL$5,D$3,Monthly!$C$49:$AL$49)</f>
        <v>-36000</v>
      </c>
    </row>
    <row r="18" customFormat="false" ht="15" hidden="false" customHeight="false" outlineLevel="0" collapsed="false">
      <c r="A18" s="111" t="s">
        <v>76</v>
      </c>
      <c r="B18" s="68" t="n">
        <f aca="false">SUMIF(Monthly!$C$5:$AL$5,B$3,Monthly!$C$50:$AL$50)</f>
        <v>-1397453.4052936</v>
      </c>
      <c r="C18" s="68" t="n">
        <f aca="false">SUMIF(Monthly!$C$5:$AL$5,C$3,Monthly!$C$50:$AL$50)</f>
        <v>-1476940.00043029</v>
      </c>
      <c r="D18" s="68" t="n">
        <f aca="false">SUMIF(Monthly!$C$5:$AL$5,D$3,Monthly!$C$50:$AL$50)</f>
        <v>-1562405.06825089</v>
      </c>
    </row>
    <row r="19" customFormat="false" ht="15" hidden="false" customHeight="false" outlineLevel="0" collapsed="false">
      <c r="A19" s="111" t="s">
        <v>48</v>
      </c>
      <c r="B19" s="68" t="n">
        <f aca="false">SUMIF(Monthly!$C$5:$AL$5,B$3,Monthly!$C$51:$AL$51)</f>
        <v>303132.525076608</v>
      </c>
      <c r="C19" s="68" t="n">
        <f aca="false">SUMIF(Monthly!$C$5:$AL$5,C$3,Monthly!$C$51:$AL$51)</f>
        <v>373324.913679101</v>
      </c>
      <c r="D19" s="68" t="n">
        <f aca="false">SUMIF(Monthly!$C$5:$AL$5,D$3,Monthly!$C$51:$AL$51)</f>
        <v>449902.758061944</v>
      </c>
    </row>
    <row r="20" customFormat="false" ht="15" hidden="false" customHeight="false" outlineLevel="0" collapsed="false">
      <c r="A20" s="39" t="s">
        <v>49</v>
      </c>
      <c r="B20" s="74" t="n">
        <f aca="false">IF(B5=0,0,B19/B5)</f>
        <v>0.153461505770671</v>
      </c>
      <c r="C20" s="74" t="n">
        <f aca="false">IF(C5=0,0,C19/C5)</f>
        <v>0.17370951724424</v>
      </c>
      <c r="D20" s="74" t="n">
        <f aca="false">IF(D5=0,0,D19/D5)</f>
        <v>0.192485837849838</v>
      </c>
    </row>
    <row r="21" customFormat="false" ht="15" hidden="false" customHeight="false" outlineLevel="0" collapsed="false">
      <c r="A21" s="6" t="s">
        <v>77</v>
      </c>
      <c r="B21" s="67" t="n">
        <f aca="false">SUMIF(Monthly!$C$5:$AL$5,B$3,Monthly!$C$65:$AL$65)</f>
        <v>-10846.7444798382</v>
      </c>
      <c r="C21" s="67" t="n">
        <f aca="false">SUMIF(Monthly!$C$5:$AL$5,C$3,Monthly!$C$65:$AL$65)</f>
        <v>-15279.9341187864</v>
      </c>
      <c r="D21" s="67" t="n">
        <f aca="false">SUMIF(Monthly!$C$5:$AL$5,D$3,Monthly!$C$65:$AL$65)</f>
        <v>-20102.1584984888</v>
      </c>
    </row>
    <row r="22" customFormat="false" ht="15" hidden="false" customHeight="false" outlineLevel="0" collapsed="false">
      <c r="A22" s="4" t="s">
        <v>78</v>
      </c>
      <c r="B22" s="73" t="n">
        <f aca="false">SUMIF(Monthly!$C$5:$AL$5,B$3,Monthly!$C$54:$AL$54)</f>
        <v>292285.78059677</v>
      </c>
      <c r="C22" s="73" t="n">
        <f aca="false">SUMIF(Monthly!$C$5:$AL$5,C$3,Monthly!$C$54:$AL$54)</f>
        <v>358044.979560314</v>
      </c>
      <c r="D22" s="73" t="n">
        <f aca="false">SUMIF(Monthly!$C$5:$AL$5,D$3,Monthly!$C$54:$AL$54)</f>
        <v>429800.599563455</v>
      </c>
    </row>
    <row r="23" customFormat="false" ht="15" hidden="false" customHeight="false" outlineLevel="0" collapsed="false">
      <c r="A23" s="6" t="s">
        <v>79</v>
      </c>
      <c r="B23" s="67" t="n">
        <f aca="false">SUMIF(Monthly!$C$5:$AL$5,B$3,Monthly!$C$55:$AL$55)</f>
        <v>-11984.7470238095</v>
      </c>
      <c r="C23" s="67" t="n">
        <f aca="false">SUMIF(Monthly!$C$5:$AL$5,C$3,Monthly!$C$55:$AL$55)</f>
        <v>-10169.6428571429</v>
      </c>
      <c r="D23" s="67" t="n">
        <f aca="false">SUMIF(Monthly!$C$5:$AL$5,D$3,Monthly!$C$55:$AL$55)</f>
        <v>-8348.21428571428</v>
      </c>
    </row>
    <row r="24" customFormat="false" ht="15" hidden="false" customHeight="false" outlineLevel="0" collapsed="false">
      <c r="A24" s="112" t="s">
        <v>80</v>
      </c>
      <c r="B24" s="113" t="n">
        <f aca="false">SUMIF(Monthly!$C$5:$AL$5,B$3,Monthly!$C$56:$AL$56)</f>
        <v>280301.033572961</v>
      </c>
      <c r="C24" s="113" t="n">
        <f aca="false">SUMIF(Monthly!$C$5:$AL$5,C$3,Monthly!$C$56:$AL$56)</f>
        <v>347875.336703172</v>
      </c>
      <c r="D24" s="113" t="n">
        <f aca="false">SUMIF(Monthly!$C$5:$AL$5,D$3,Monthly!$C$56:$AL$56)</f>
        <v>421452.385277741</v>
      </c>
    </row>
    <row r="25" customFormat="false" ht="15" hidden="false" customHeight="false" outlineLevel="0" collapsed="false">
      <c r="A25" s="6" t="s">
        <v>81</v>
      </c>
      <c r="B25" s="67" t="n">
        <f aca="false">SUMIF(Monthly!$C$5:$AL$5,B$3,Monthly!$C$59:$AL$59)</f>
        <v>-58863.2170503218</v>
      </c>
      <c r="C25" s="67" t="n">
        <f aca="false">SUMIF(Monthly!$C$5:$AL$5,C$3,Monthly!$C$59:$AL$59)</f>
        <v>-73053.820707666</v>
      </c>
      <c r="D25" s="67" t="n">
        <f aca="false">SUMIF(Monthly!$C$5:$AL$5,D$3,Monthly!$C$59:$AL$59)</f>
        <v>-88505.0009083255</v>
      </c>
    </row>
    <row r="26" customFormat="false" ht="15" hidden="false" customHeight="false" outlineLevel="0" collapsed="false">
      <c r="A26" s="70" t="s">
        <v>50</v>
      </c>
      <c r="B26" s="71" t="n">
        <f aca="false">SUMIF(Monthly!$C$5:$AL$5,B$3,Monthly!$C$60:$AL$60)</f>
        <v>221437.816522639</v>
      </c>
      <c r="C26" s="71" t="n">
        <f aca="false">SUMIF(Monthly!$C$5:$AL$5,C$3,Monthly!$C$60:$AL$60)</f>
        <v>274821.515995506</v>
      </c>
      <c r="D26" s="71" t="n">
        <f aca="false">SUMIF(Monthly!$C$5:$AL$5,D$3,Monthly!$C$60:$AL$60)</f>
        <v>332947.384369415</v>
      </c>
    </row>
    <row r="27" customFormat="false" ht="15" hidden="false" customHeight="false" outlineLevel="0" collapsed="false">
      <c r="A27" s="39" t="s">
        <v>51</v>
      </c>
      <c r="B27" s="74" t="n">
        <f aca="false">IF(B5=0,0,B26/B5)</f>
        <v>0.112103380359946</v>
      </c>
      <c r="C27" s="74" t="n">
        <f aca="false">IF(C5=0,0,C26/C5)</f>
        <v>0.127875507695007</v>
      </c>
      <c r="D27" s="74" t="n">
        <f aca="false">IF(D5=0,0,D26/D5)</f>
        <v>0.142447795866669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354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6" t="s">
        <v>50</v>
      </c>
      <c r="B5" s="67" t="n">
        <f aca="false">SUMIF(Monthly!$C$5:$AL$5,B$3,Monthly!$C$60:$AL$60)</f>
        <v>221437.816522639</v>
      </c>
      <c r="C5" s="67" t="n">
        <f aca="false">SUMIF(Monthly!$C$5:$AL$5,C$3,Monthly!$C$60:$AL$60)</f>
        <v>274821.515995506</v>
      </c>
      <c r="D5" s="67" t="n">
        <f aca="false">SUMIF(Monthly!$C$5:$AL$5,D$3,Monthly!$C$60:$AL$60)</f>
        <v>332947.384369415</v>
      </c>
    </row>
    <row r="6" customFormat="false" ht="15" hidden="false" customHeight="false" outlineLevel="0" collapsed="false">
      <c r="A6" s="6" t="s">
        <v>364</v>
      </c>
      <c r="B6" s="67" t="n">
        <f aca="false">-SUMIF(Monthly!$C$5:$AL$5,B$3,Monthly!$C$65:$AL$65)</f>
        <v>10846.7444798382</v>
      </c>
      <c r="C6" s="67" t="n">
        <f aca="false">-SUMIF(Monthly!$C$5:$AL$5,C$3,Monthly!$C$65:$AL$65)</f>
        <v>15279.9341187864</v>
      </c>
      <c r="D6" s="67" t="n">
        <f aca="false">-SUMIF(Monthly!$C$5:$AL$5,D$3,Monthly!$C$65:$AL$65)</f>
        <v>20102.1584984888</v>
      </c>
    </row>
    <row r="7" customFormat="false" ht="15" hidden="false" customHeight="false" outlineLevel="0" collapsed="false">
      <c r="A7" s="6" t="s">
        <v>365</v>
      </c>
      <c r="B7" s="67" t="n">
        <f aca="false">SUMIF(Monthly!$C$5:$AL$5,B$3,Monthly!$C$79:$AL$79)</f>
        <v>-95357.6274887526</v>
      </c>
      <c r="C7" s="67" t="n">
        <f aca="false">SUMIF(Monthly!$C$5:$AL$5,C$3,Monthly!$C$79:$AL$79)</f>
        <v>-8371.76475957099</v>
      </c>
      <c r="D7" s="67" t="n">
        <f aca="false">SUMIF(Monthly!$C$5:$AL$5,D$3,Monthly!$C$79:$AL$79)</f>
        <v>-9066.19957511486</v>
      </c>
    </row>
    <row r="8" customFormat="false" ht="15" hidden="false" customHeight="false" outlineLevel="0" collapsed="false">
      <c r="A8" s="6" t="s">
        <v>366</v>
      </c>
      <c r="B8" s="67" t="n">
        <f aca="false">SUMIF(Monthly!$C$5:$AL$5,B$3,Monthly!$C$80:$AL$80)</f>
        <v>-9353.99014534766</v>
      </c>
      <c r="C8" s="67" t="n">
        <f aca="false">SUMIF(Monthly!$C$5:$AL$5,C$3,Monthly!$C$80:$AL$80)</f>
        <v>-820.569148526492</v>
      </c>
      <c r="D8" s="67" t="n">
        <f aca="false">SUMIF(Monthly!$C$5:$AL$5,D$3,Monthly!$C$80:$AL$80)</f>
        <v>-888.723931014603</v>
      </c>
    </row>
    <row r="9" customFormat="false" ht="15" hidden="false" customHeight="false" outlineLevel="0" collapsed="false">
      <c r="A9" s="6" t="s">
        <v>367</v>
      </c>
      <c r="B9" s="67" t="n">
        <f aca="false">SUMIF(Monthly!$C$5:$AL$5,B$3,Monthly!$C$81:$AL$81)</f>
        <v>19487.4794694743</v>
      </c>
      <c r="C9" s="67" t="n">
        <f aca="false">SUMIF(Monthly!$C$5:$AL$5,C$3,Monthly!$C$81:$AL$81)</f>
        <v>1709.51905943019</v>
      </c>
      <c r="D9" s="67" t="n">
        <f aca="false">SUMIF(Monthly!$C$5:$AL$5,D$3,Monthly!$C$81:$AL$81)</f>
        <v>1851.50818961376</v>
      </c>
    </row>
    <row r="10" customFormat="false" ht="15" hidden="false" customHeight="false" outlineLevel="0" collapsed="false">
      <c r="A10" s="111" t="s">
        <v>52</v>
      </c>
      <c r="B10" s="68" t="n">
        <f aca="false">SUMIF(Monthly!$C$5:$AL$5,B$3,Monthly!$C$84:$AL$84)</f>
        <v>147060.422837851</v>
      </c>
      <c r="C10" s="68" t="n">
        <f aca="false">SUMIF(Monthly!$C$5:$AL$5,C$3,Monthly!$C$84:$AL$84)</f>
        <v>282618.635265625</v>
      </c>
      <c r="D10" s="68" t="n">
        <f aca="false">SUMIF(Monthly!$C$5:$AL$5,D$3,Monthly!$C$84:$AL$84)</f>
        <v>344946.127551388</v>
      </c>
    </row>
    <row r="11" customFormat="false" ht="15" hidden="false" customHeight="false" outlineLevel="0" collapsed="false">
      <c r="A11" s="6" t="s">
        <v>83</v>
      </c>
      <c r="B11" s="67" t="n">
        <f aca="false">SUMIF(Monthly!$C$5:$AL$5,B$3,Monthly!$C$85:$AL$85)</f>
        <v>-89629.5012440711</v>
      </c>
      <c r="C11" s="67" t="n">
        <f aca="false">SUMIF(Monthly!$C$5:$AL$5,C$3,Monthly!$C$85:$AL$85)</f>
        <v>-32236.9999872427</v>
      </c>
      <c r="D11" s="67" t="n">
        <f aca="false">SUMIF(Monthly!$C$5:$AL$5,D$3,Monthly!$C$85:$AL$85)</f>
        <v>-35059.937117004</v>
      </c>
    </row>
    <row r="12" customFormat="false" ht="15" hidden="false" customHeight="false" outlineLevel="0" collapsed="false">
      <c r="A12" s="6" t="s">
        <v>63</v>
      </c>
      <c r="B12" s="67" t="n">
        <f aca="false">SUMIF(Monthly!$C$5:$AL$5,B$3,Monthly!$C$86:$AL$86)</f>
        <v>100000</v>
      </c>
      <c r="C12" s="67" t="n">
        <f aca="false">SUMIF(Monthly!$C$5:$AL$5,C$3,Monthly!$C$86:$AL$86)</f>
        <v>0</v>
      </c>
      <c r="D12" s="67" t="n">
        <f aca="false">SUMIF(Monthly!$C$5:$AL$5,D$3,Monthly!$C$86:$AL$86)</f>
        <v>0</v>
      </c>
    </row>
    <row r="13" customFormat="false" ht="15" hidden="false" customHeight="false" outlineLevel="0" collapsed="false">
      <c r="A13" s="6" t="s">
        <v>84</v>
      </c>
      <c r="B13" s="67" t="n">
        <f aca="false">SUMIF(Monthly!$C$5:$AL$5,B$3,Monthly!$C$71:$AL$71)</f>
        <v>150000</v>
      </c>
      <c r="C13" s="67" t="n">
        <f aca="false">SUMIF(Monthly!$C$5:$AL$5,C$3,Monthly!$C$71:$AL$71)</f>
        <v>0</v>
      </c>
      <c r="D13" s="67" t="n">
        <f aca="false">SUMIF(Monthly!$C$5:$AL$5,D$3,Monthly!$C$71:$AL$71)</f>
        <v>0</v>
      </c>
    </row>
    <row r="14" customFormat="false" ht="15" hidden="false" customHeight="false" outlineLevel="0" collapsed="false">
      <c r="A14" s="6" t="s">
        <v>85</v>
      </c>
      <c r="B14" s="67" t="n">
        <f aca="false">SUMIF(Monthly!$C$5:$AL$5,B$3,Monthly!$C$72:$AL$72)</f>
        <v>-19642.8571428571</v>
      </c>
      <c r="C14" s="67" t="n">
        <f aca="false">SUMIF(Monthly!$C$5:$AL$5,C$3,Monthly!$C$72:$AL$72)</f>
        <v>-21428.5714285714</v>
      </c>
      <c r="D14" s="67" t="n">
        <f aca="false">SUMIF(Monthly!$C$5:$AL$5,D$3,Monthly!$C$72:$AL$72)</f>
        <v>-21428.5714285714</v>
      </c>
    </row>
    <row r="15" customFormat="false" ht="15" hidden="false" customHeight="false" outlineLevel="0" collapsed="false">
      <c r="A15" s="111" t="s">
        <v>54</v>
      </c>
      <c r="B15" s="68" t="n">
        <f aca="false">SUMIF(Monthly!$C$5:$AL$5,B$3,Monthly!$C$87:$AL$87)</f>
        <v>230357.142857143</v>
      </c>
      <c r="C15" s="68" t="n">
        <f aca="false">SUMIF(Monthly!$C$5:$AL$5,C$3,Monthly!$C$87:$AL$87)</f>
        <v>-21428.5714285714</v>
      </c>
      <c r="D15" s="68" t="n">
        <f aca="false">SUMIF(Monthly!$C$5:$AL$5,D$3,Monthly!$C$87:$AL$87)</f>
        <v>-21428.5714285714</v>
      </c>
    </row>
    <row r="16" customFormat="false" ht="15" hidden="false" customHeight="false" outlineLevel="0" collapsed="false">
      <c r="A16" s="4" t="s">
        <v>55</v>
      </c>
      <c r="B16" s="73" t="n">
        <f aca="false">SUMIF(Monthly!$C$5:$AL$5,B$3,Monthly!$C$88:$AL$88)</f>
        <v>287788.064450923</v>
      </c>
      <c r="C16" s="73" t="n">
        <f aca="false">SUMIF(Monthly!$C$5:$AL$5,C$3,Monthly!$C$88:$AL$88)</f>
        <v>228953.063849811</v>
      </c>
      <c r="D16" s="73" t="n">
        <f aca="false">SUMIF(Monthly!$C$5:$AL$5,D$3,Monthly!$C$88:$AL$88)</f>
        <v>288457.619005813</v>
      </c>
    </row>
    <row r="17" customFormat="false" ht="15" hidden="false" customHeight="false" outlineLevel="0" collapsed="false">
      <c r="A17" s="6" t="s">
        <v>368</v>
      </c>
      <c r="B17" s="67" t="n">
        <f aca="false">INDEX(Monthly!$C$89:$AL$89,(B$3-1)*12+1)</f>
        <v>0</v>
      </c>
      <c r="C17" s="67" t="n">
        <f aca="false">INDEX(Monthly!$C$89:$AL$89,(C$3-1)*12+1)</f>
        <v>287788.064450923</v>
      </c>
      <c r="D17" s="67" t="n">
        <f aca="false">INDEX(Monthly!$C$89:$AL$89,(D$3-1)*12+1)</f>
        <v>516741.128300734</v>
      </c>
    </row>
    <row r="18" customFormat="false" ht="15" hidden="false" customHeight="false" outlineLevel="0" collapsed="false">
      <c r="A18" s="70" t="s">
        <v>86</v>
      </c>
      <c r="B18" s="71" t="n">
        <f aca="false">INDEX(Monthly!$C$90:$AL$90,B$3*12)</f>
        <v>287788.064450923</v>
      </c>
      <c r="C18" s="71" t="n">
        <f aca="false">INDEX(Monthly!$C$90:$AL$90,C$3*12)</f>
        <v>516741.128300734</v>
      </c>
      <c r="D18" s="71" t="n">
        <f aca="false">INDEX(Monthly!$C$90:$AL$90,D$3*12)</f>
        <v>805198.747306546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354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6" t="s">
        <v>88</v>
      </c>
      <c r="B5" s="67" t="n">
        <f aca="false">INDEX(Monthly!$C$90:$AL$90,B$3*12)</f>
        <v>287788.064450923</v>
      </c>
      <c r="C5" s="67" t="n">
        <f aca="false">INDEX(Monthly!$C$90:$AL$90,C$3*12)</f>
        <v>516741.128300734</v>
      </c>
      <c r="D5" s="67" t="n">
        <f aca="false">INDEX(Monthly!$C$90:$AL$90,D$3*12)</f>
        <v>805198.747306546</v>
      </c>
    </row>
    <row r="6" customFormat="false" ht="15" hidden="false" customHeight="false" outlineLevel="0" collapsed="false">
      <c r="A6" s="6" t="s">
        <v>89</v>
      </c>
      <c r="B6" s="67" t="n">
        <f aca="false">INDEX(Monthly!$C$76:$AL$76,B$3*12)</f>
        <v>95357.6274887526</v>
      </c>
      <c r="C6" s="67" t="n">
        <f aca="false">INDEX(Monthly!$C$76:$AL$76,C$3*12)</f>
        <v>103729.392248324</v>
      </c>
      <c r="D6" s="67" t="n">
        <f aca="false">INDEX(Monthly!$C$76:$AL$76,D$3*12)</f>
        <v>112795.591823438</v>
      </c>
    </row>
    <row r="7" customFormat="false" ht="15" hidden="false" customHeight="false" outlineLevel="0" collapsed="false">
      <c r="A7" s="6" t="s">
        <v>90</v>
      </c>
      <c r="B7" s="67" t="n">
        <f aca="false">INDEX(Monthly!$C$77:$AL$77,B$3*12)</f>
        <v>9353.99014534766</v>
      </c>
      <c r="C7" s="67" t="n">
        <f aca="false">INDEX(Monthly!$C$77:$AL$77,C$3*12)</f>
        <v>10174.5592938742</v>
      </c>
      <c r="D7" s="67" t="n">
        <f aca="false">INDEX(Monthly!$C$77:$AL$77,D$3*12)</f>
        <v>11063.2832248888</v>
      </c>
    </row>
    <row r="8" customFormat="false" ht="15" hidden="false" customHeight="false" outlineLevel="0" collapsed="false">
      <c r="A8" s="6" t="s">
        <v>91</v>
      </c>
      <c r="B8" s="67" t="n">
        <f aca="false">INDEX(Monthly!$C$67:$AL$67,B$3*12)</f>
        <v>78782.7567642329</v>
      </c>
      <c r="C8" s="67" t="n">
        <f aca="false">INDEX(Monthly!$C$67:$AL$67,C$3*12)</f>
        <v>95739.8226326892</v>
      </c>
      <c r="D8" s="67" t="n">
        <f aca="false">INDEX(Monthly!$C$67:$AL$67,D$3*12)</f>
        <v>110697.601251204</v>
      </c>
    </row>
    <row r="9" customFormat="false" ht="15" hidden="false" customHeight="false" outlineLevel="0" collapsed="false">
      <c r="A9" s="111" t="s">
        <v>92</v>
      </c>
      <c r="B9" s="68" t="n">
        <f aca="false">INDEX(Monthly!$C$104:$AL$104,B$3*12)</f>
        <v>471282.438849256</v>
      </c>
      <c r="C9" s="68" t="n">
        <f aca="false">INDEX(Monthly!$C$104:$AL$104,C$3*12)</f>
        <v>726384.902475621</v>
      </c>
      <c r="D9" s="68" t="n">
        <f aca="false">INDEX(Monthly!$C$104:$AL$104,D$3*12)</f>
        <v>1039755.22360608</v>
      </c>
    </row>
    <row r="10" customFormat="false" ht="15" hidden="false" customHeight="false" outlineLevel="0" collapsed="false">
      <c r="A10" s="6" t="s">
        <v>93</v>
      </c>
      <c r="B10" s="67" t="n">
        <f aca="false">INDEX(Monthly!$C$78:$AL$78,B$3*12)</f>
        <v>19487.4794694743</v>
      </c>
      <c r="C10" s="67" t="n">
        <f aca="false">INDEX(Monthly!$C$78:$AL$78,C$3*12)</f>
        <v>21196.9985289045</v>
      </c>
      <c r="D10" s="67" t="n">
        <f aca="false">INDEX(Monthly!$C$78:$AL$78,D$3*12)</f>
        <v>23048.5067185182</v>
      </c>
    </row>
    <row r="11" customFormat="false" ht="15" hidden="false" customHeight="false" outlineLevel="0" collapsed="false">
      <c r="A11" s="6" t="s">
        <v>94</v>
      </c>
      <c r="B11" s="67" t="n">
        <f aca="false">INDEX(Monthly!$C$73:$AL$73,B$3*12)</f>
        <v>130357.142857143</v>
      </c>
      <c r="C11" s="67" t="n">
        <f aca="false">INDEX(Monthly!$C$73:$AL$73,C$3*12)</f>
        <v>108928.571428571</v>
      </c>
      <c r="D11" s="67" t="n">
        <f aca="false">INDEX(Monthly!$C$73:$AL$73,D$3*12)</f>
        <v>87499.9999999999</v>
      </c>
    </row>
    <row r="12" customFormat="false" ht="15" hidden="false" customHeight="false" outlineLevel="0" collapsed="false">
      <c r="A12" s="112" t="s">
        <v>95</v>
      </c>
      <c r="B12" s="113" t="n">
        <f aca="false">INDEX(Monthly!$C$105:$AL$105,B$3*12)</f>
        <v>149844.622326617</v>
      </c>
      <c r="C12" s="113" t="n">
        <f aca="false">INDEX(Monthly!$C$105:$AL$105,C$3*12)</f>
        <v>130125.569957476</v>
      </c>
      <c r="D12" s="113" t="n">
        <f aca="false">INDEX(Monthly!$C$105:$AL$105,D$3*12)</f>
        <v>110548.506718518</v>
      </c>
    </row>
    <row r="13" customFormat="false" ht="15" hidden="false" customHeight="false" outlineLevel="0" collapsed="false">
      <c r="A13" s="6" t="s">
        <v>96</v>
      </c>
      <c r="B13" s="67" t="n">
        <f aca="false">INDEX(Monthly!$C$102:$AL$102,B$3*12)</f>
        <v>100000</v>
      </c>
      <c r="C13" s="67" t="n">
        <f aca="false">INDEX(Monthly!$C$102:$AL$102,C$3*12)</f>
        <v>100000</v>
      </c>
      <c r="D13" s="67" t="n">
        <f aca="false">INDEX(Monthly!$C$102:$AL$102,D$3*12)</f>
        <v>100000</v>
      </c>
    </row>
    <row r="14" customFormat="false" ht="15" hidden="false" customHeight="false" outlineLevel="0" collapsed="false">
      <c r="A14" s="6" t="s">
        <v>97</v>
      </c>
      <c r="B14" s="67" t="n">
        <f aca="false">INDEX(Monthly!$C$103:$AL$103,B$3*12)</f>
        <v>221437.816522639</v>
      </c>
      <c r="C14" s="67" t="n">
        <f aca="false">INDEX(Monthly!$C$103:$AL$103,C$3*12)</f>
        <v>496259.332518145</v>
      </c>
      <c r="D14" s="67" t="n">
        <f aca="false">INDEX(Monthly!$C$103:$AL$103,D$3*12)</f>
        <v>829206.71688756</v>
      </c>
    </row>
    <row r="15" customFormat="false" ht="15" hidden="false" customHeight="false" outlineLevel="0" collapsed="false">
      <c r="A15" s="112" t="s">
        <v>98</v>
      </c>
      <c r="B15" s="113" t="n">
        <f aca="false">INDEX(Monthly!$C$106:$AL$106,B$3*12)</f>
        <v>321437.816522639</v>
      </c>
      <c r="C15" s="113" t="n">
        <f aca="false">INDEX(Monthly!$C$106:$AL$106,C$3*12)</f>
        <v>596259.332518145</v>
      </c>
      <c r="D15" s="113" t="n">
        <f aca="false">INDEX(Monthly!$C$106:$AL$106,D$3*12)</f>
        <v>929206.71688756</v>
      </c>
    </row>
    <row r="16" customFormat="false" ht="15" hidden="false" customHeight="false" outlineLevel="0" collapsed="false">
      <c r="A16" s="70" t="s">
        <v>99</v>
      </c>
      <c r="B16" s="71" t="n">
        <f aca="false">INDEX(Monthly!$C$107:$AL$107,B$3*12)</f>
        <v>471282.438849256</v>
      </c>
      <c r="C16" s="71" t="n">
        <f aca="false">INDEX(Monthly!$C$107:$AL$107,C$3*12)</f>
        <v>726384.90247562</v>
      </c>
      <c r="D16" s="71" t="n">
        <f aca="false">INDEX(Monthly!$C$107:$AL$107,D$3*12)</f>
        <v>1039755.22360608</v>
      </c>
    </row>
    <row r="17" customFormat="false" ht="15" hidden="false" customHeight="false" outlineLevel="0" collapsed="false">
      <c r="A17" s="6" t="s">
        <v>369</v>
      </c>
      <c r="B17" s="67" t="n">
        <f aca="false">INDEX(Monthly!$C$108:$AL$108,B$3*12)</f>
        <v>0</v>
      </c>
      <c r="C17" s="67" t="n">
        <f aca="false">INDEX(Monthly!$C$108:$AL$108,C$3*12)</f>
        <v>0</v>
      </c>
      <c r="D17" s="67" t="n">
        <f aca="false">INDEX(Monthly!$C$108:$AL$108,D$3*12)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0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370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371</v>
      </c>
    </row>
    <row r="3" customFormat="false" ht="15" hidden="false" customHeight="false" outlineLevel="0" collapsed="false">
      <c r="A3" s="33" t="s">
        <v>372</v>
      </c>
      <c r="C3" s="35" t="s">
        <v>373</v>
      </c>
      <c r="D3" s="35" t="s">
        <v>374</v>
      </c>
      <c r="E3" s="35" t="s">
        <v>375</v>
      </c>
      <c r="F3" s="35" t="s">
        <v>376</v>
      </c>
      <c r="G3" s="35" t="s">
        <v>377</v>
      </c>
      <c r="H3" s="35" t="s">
        <v>378</v>
      </c>
      <c r="I3" s="35" t="s">
        <v>379</v>
      </c>
      <c r="J3" s="35" t="s">
        <v>380</v>
      </c>
      <c r="K3" s="35" t="s">
        <v>381</v>
      </c>
      <c r="L3" s="35" t="s">
        <v>382</v>
      </c>
      <c r="M3" s="35" t="s">
        <v>383</v>
      </c>
      <c r="N3" s="35" t="s">
        <v>384</v>
      </c>
      <c r="O3" s="35" t="s">
        <v>385</v>
      </c>
      <c r="P3" s="35" t="s">
        <v>386</v>
      </c>
      <c r="Q3" s="35" t="s">
        <v>387</v>
      </c>
      <c r="R3" s="35" t="s">
        <v>388</v>
      </c>
      <c r="S3" s="35" t="s">
        <v>389</v>
      </c>
      <c r="T3" s="35" t="s">
        <v>390</v>
      </c>
      <c r="U3" s="35" t="s">
        <v>391</v>
      </c>
      <c r="V3" s="35" t="s">
        <v>392</v>
      </c>
      <c r="W3" s="35" t="s">
        <v>393</v>
      </c>
      <c r="X3" s="35" t="s">
        <v>394</v>
      </c>
      <c r="Y3" s="35" t="s">
        <v>395</v>
      </c>
      <c r="Z3" s="35" t="s">
        <v>396</v>
      </c>
      <c r="AA3" s="35" t="s">
        <v>397</v>
      </c>
      <c r="AB3" s="35" t="s">
        <v>398</v>
      </c>
      <c r="AC3" s="35" t="s">
        <v>399</v>
      </c>
      <c r="AD3" s="35" t="s">
        <v>400</v>
      </c>
      <c r="AE3" s="35" t="s">
        <v>401</v>
      </c>
      <c r="AF3" s="35" t="s">
        <v>402</v>
      </c>
      <c r="AG3" s="35" t="s">
        <v>403</v>
      </c>
      <c r="AH3" s="35" t="s">
        <v>404</v>
      </c>
      <c r="AI3" s="35" t="s">
        <v>405</v>
      </c>
      <c r="AJ3" s="35" t="s">
        <v>406</v>
      </c>
      <c r="AK3" s="35" t="s">
        <v>407</v>
      </c>
      <c r="AL3" s="35" t="s">
        <v>408</v>
      </c>
    </row>
    <row r="4" customFormat="false" ht="15" hidden="false" customHeight="false" outlineLevel="0" collapsed="false">
      <c r="A4" s="72" t="s">
        <v>409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</row>
    <row r="5" customFormat="false" ht="15" hidden="false" customHeight="false" outlineLevel="0" collapsed="false">
      <c r="A5" s="72" t="s">
        <v>153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</row>
    <row r="7" customFormat="false" ht="15.75" hidden="false" customHeight="true" outlineLevel="0" collapsed="false">
      <c r="A7" s="7" t="s">
        <v>265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233</v>
      </c>
      <c r="C8" s="114" t="n">
        <f aca="false">-C43/MAX(1,Inputs!$E$19)</f>
        <v>33.3333333333333</v>
      </c>
      <c r="D8" s="114" t="n">
        <f aca="false">-D43/MAX(1,Inputs!$E$19)</f>
        <v>33.3333333333333</v>
      </c>
      <c r="E8" s="114" t="n">
        <f aca="false">-E43/MAX(1,Inputs!$E$19)</f>
        <v>33.3333333333333</v>
      </c>
      <c r="F8" s="114" t="n">
        <f aca="false">-F43/MAX(1,Inputs!$E$19)</f>
        <v>33.3333333333333</v>
      </c>
      <c r="G8" s="114" t="n">
        <f aca="false">-G43/MAX(1,Inputs!$E$19)</f>
        <v>33.3333333333333</v>
      </c>
      <c r="H8" s="114" t="n">
        <f aca="false">-H43/MAX(1,Inputs!$E$19)</f>
        <v>33.3333333333333</v>
      </c>
      <c r="I8" s="114" t="n">
        <f aca="false">-I43/MAX(1,Inputs!$E$19)</f>
        <v>33.3333333333333</v>
      </c>
      <c r="J8" s="114" t="n">
        <f aca="false">-J43/MAX(1,Inputs!$E$19)</f>
        <v>33.3333333333333</v>
      </c>
      <c r="K8" s="114" t="n">
        <f aca="false">-K43/MAX(1,Inputs!$E$19)</f>
        <v>33.3333333333333</v>
      </c>
      <c r="L8" s="114" t="n">
        <f aca="false">-L43/MAX(1,Inputs!$E$19)</f>
        <v>33.3333333333333</v>
      </c>
      <c r="M8" s="114" t="n">
        <f aca="false">-M43/MAX(1,Inputs!$E$19)</f>
        <v>33.3333333333333</v>
      </c>
      <c r="N8" s="114" t="n">
        <f aca="false">-N43/MAX(1,Inputs!$E$19)</f>
        <v>33.3333333333333</v>
      </c>
      <c r="O8" s="114" t="n">
        <f aca="false">-O43/MAX(1,Inputs!$E$19)</f>
        <v>35</v>
      </c>
      <c r="P8" s="114" t="n">
        <f aca="false">-P43/MAX(1,Inputs!$E$19)</f>
        <v>35</v>
      </c>
      <c r="Q8" s="114" t="n">
        <f aca="false">-Q43/MAX(1,Inputs!$E$19)</f>
        <v>35</v>
      </c>
      <c r="R8" s="114" t="n">
        <f aca="false">-R43/MAX(1,Inputs!$E$19)</f>
        <v>35</v>
      </c>
      <c r="S8" s="114" t="n">
        <f aca="false">-S43/MAX(1,Inputs!$E$19)</f>
        <v>35</v>
      </c>
      <c r="T8" s="114" t="n">
        <f aca="false">-T43/MAX(1,Inputs!$E$19)</f>
        <v>35</v>
      </c>
      <c r="U8" s="114" t="n">
        <f aca="false">-U43/MAX(1,Inputs!$E$19)</f>
        <v>35</v>
      </c>
      <c r="V8" s="114" t="n">
        <f aca="false">-V43/MAX(1,Inputs!$E$19)</f>
        <v>35</v>
      </c>
      <c r="W8" s="114" t="n">
        <f aca="false">-W43/MAX(1,Inputs!$E$19)</f>
        <v>35</v>
      </c>
      <c r="X8" s="114" t="n">
        <f aca="false">-X43/MAX(1,Inputs!$E$19)</f>
        <v>35</v>
      </c>
      <c r="Y8" s="114" t="n">
        <f aca="false">-Y43/MAX(1,Inputs!$E$19)</f>
        <v>35</v>
      </c>
      <c r="Z8" s="114" t="n">
        <f aca="false">-Z43/MAX(1,Inputs!$E$19)</f>
        <v>35</v>
      </c>
      <c r="AA8" s="114" t="n">
        <f aca="false">-AA43/MAX(1,Inputs!$E$19)</f>
        <v>36.75</v>
      </c>
      <c r="AB8" s="114" t="n">
        <f aca="false">-AB43/MAX(1,Inputs!$E$19)</f>
        <v>36.75</v>
      </c>
      <c r="AC8" s="114" t="n">
        <f aca="false">-AC43/MAX(1,Inputs!$E$19)</f>
        <v>36.75</v>
      </c>
      <c r="AD8" s="114" t="n">
        <f aca="false">-AD43/MAX(1,Inputs!$E$19)</f>
        <v>36.75</v>
      </c>
      <c r="AE8" s="114" t="n">
        <f aca="false">-AE43/MAX(1,Inputs!$E$19)</f>
        <v>36.75</v>
      </c>
      <c r="AF8" s="114" t="n">
        <f aca="false">-AF43/MAX(1,Inputs!$E$19)</f>
        <v>36.75</v>
      </c>
      <c r="AG8" s="114" t="n">
        <f aca="false">-AG43/MAX(1,Inputs!$E$19)</f>
        <v>36.75</v>
      </c>
      <c r="AH8" s="114" t="n">
        <f aca="false">-AH43/MAX(1,Inputs!$E$19)</f>
        <v>36.75</v>
      </c>
      <c r="AI8" s="114" t="n">
        <f aca="false">-AI43/MAX(1,Inputs!$E$19)</f>
        <v>36.75</v>
      </c>
      <c r="AJ8" s="114" t="n">
        <f aca="false">-AJ43/MAX(1,Inputs!$E$19)</f>
        <v>36.75</v>
      </c>
      <c r="AK8" s="114" t="n">
        <f aca="false">-AK43/MAX(1,Inputs!$E$19)</f>
        <v>36.75</v>
      </c>
      <c r="AL8" s="114" t="n">
        <f aca="false">-AL43/MAX(1,Inputs!$E$19)</f>
        <v>36.75</v>
      </c>
    </row>
    <row r="9" customFormat="false" ht="15" hidden="false" customHeight="false" outlineLevel="0" collapsed="false">
      <c r="A9" s="6" t="s">
        <v>410</v>
      </c>
      <c r="C9" s="114" t="n">
        <f aca="false">Inputs!$E$15*(1+Inputs!$E$16)^(C$5-1)*1</f>
        <v>24</v>
      </c>
      <c r="D9" s="114" t="n">
        <f aca="false">Inputs!$E$15*(1+Inputs!$E$16)^(D$5-1)*1</f>
        <v>24</v>
      </c>
      <c r="E9" s="114" t="n">
        <f aca="false">Inputs!$E$15*(1+Inputs!$E$16)^(E$5-1)*1</f>
        <v>24</v>
      </c>
      <c r="F9" s="114" t="n">
        <f aca="false">Inputs!$E$15*(1+Inputs!$E$16)^(F$5-1)*1</f>
        <v>24</v>
      </c>
      <c r="G9" s="114" t="n">
        <f aca="false">Inputs!$E$15*(1+Inputs!$E$16)^(G$5-1)*1</f>
        <v>24</v>
      </c>
      <c r="H9" s="114" t="n">
        <f aca="false">Inputs!$E$15*(1+Inputs!$E$16)^(H$5-1)*1</f>
        <v>24</v>
      </c>
      <c r="I9" s="114" t="n">
        <f aca="false">Inputs!$E$15*(1+Inputs!$E$16)^(I$5-1)*1</f>
        <v>24</v>
      </c>
      <c r="J9" s="114" t="n">
        <f aca="false">Inputs!$E$15*(1+Inputs!$E$16)^(J$5-1)*1</f>
        <v>24</v>
      </c>
      <c r="K9" s="114" t="n">
        <f aca="false">Inputs!$E$15*(1+Inputs!$E$16)^(K$5-1)*1</f>
        <v>24</v>
      </c>
      <c r="L9" s="114" t="n">
        <f aca="false">Inputs!$E$15*(1+Inputs!$E$16)^(L$5-1)*1</f>
        <v>24</v>
      </c>
      <c r="M9" s="114" t="n">
        <f aca="false">Inputs!$E$15*(1+Inputs!$E$16)^(M$5-1)*1</f>
        <v>24</v>
      </c>
      <c r="N9" s="114" t="n">
        <f aca="false">Inputs!$E$15*(1+Inputs!$E$16)^(N$5-1)*1</f>
        <v>24</v>
      </c>
      <c r="O9" s="114" t="n">
        <f aca="false">Inputs!$E$15*(1+Inputs!$E$16)^(O$5-1)*1</f>
        <v>25.44</v>
      </c>
      <c r="P9" s="114" t="n">
        <f aca="false">Inputs!$E$15*(1+Inputs!$E$16)^(P$5-1)*1</f>
        <v>25.44</v>
      </c>
      <c r="Q9" s="114" t="n">
        <f aca="false">Inputs!$E$15*(1+Inputs!$E$16)^(Q$5-1)*1</f>
        <v>25.44</v>
      </c>
      <c r="R9" s="114" t="n">
        <f aca="false">Inputs!$E$15*(1+Inputs!$E$16)^(R$5-1)*1</f>
        <v>25.44</v>
      </c>
      <c r="S9" s="114" t="n">
        <f aca="false">Inputs!$E$15*(1+Inputs!$E$16)^(S$5-1)*1</f>
        <v>25.44</v>
      </c>
      <c r="T9" s="114" t="n">
        <f aca="false">Inputs!$E$15*(1+Inputs!$E$16)^(T$5-1)*1</f>
        <v>25.44</v>
      </c>
      <c r="U9" s="114" t="n">
        <f aca="false">Inputs!$E$15*(1+Inputs!$E$16)^(U$5-1)*1</f>
        <v>25.44</v>
      </c>
      <c r="V9" s="114" t="n">
        <f aca="false">Inputs!$E$15*(1+Inputs!$E$16)^(V$5-1)*1</f>
        <v>25.44</v>
      </c>
      <c r="W9" s="114" t="n">
        <f aca="false">Inputs!$E$15*(1+Inputs!$E$16)^(W$5-1)*1</f>
        <v>25.44</v>
      </c>
      <c r="X9" s="114" t="n">
        <f aca="false">Inputs!$E$15*(1+Inputs!$E$16)^(X$5-1)*1</f>
        <v>25.44</v>
      </c>
      <c r="Y9" s="114" t="n">
        <f aca="false">Inputs!$E$15*(1+Inputs!$E$16)^(Y$5-1)*1</f>
        <v>25.44</v>
      </c>
      <c r="Z9" s="114" t="n">
        <f aca="false">Inputs!$E$15*(1+Inputs!$E$16)^(Z$5-1)*1</f>
        <v>25.44</v>
      </c>
      <c r="AA9" s="114" t="n">
        <f aca="false">Inputs!$E$15*(1+Inputs!$E$16)^(AA$5-1)*1</f>
        <v>26.9664</v>
      </c>
      <c r="AB9" s="114" t="n">
        <f aca="false">Inputs!$E$15*(1+Inputs!$E$16)^(AB$5-1)*1</f>
        <v>26.9664</v>
      </c>
      <c r="AC9" s="114" t="n">
        <f aca="false">Inputs!$E$15*(1+Inputs!$E$16)^(AC$5-1)*1</f>
        <v>26.9664</v>
      </c>
      <c r="AD9" s="114" t="n">
        <f aca="false">Inputs!$E$15*(1+Inputs!$E$16)^(AD$5-1)*1</f>
        <v>26.9664</v>
      </c>
      <c r="AE9" s="114" t="n">
        <f aca="false">Inputs!$E$15*(1+Inputs!$E$16)^(AE$5-1)*1</f>
        <v>26.9664</v>
      </c>
      <c r="AF9" s="114" t="n">
        <f aca="false">Inputs!$E$15*(1+Inputs!$E$16)^(AF$5-1)*1</f>
        <v>26.9664</v>
      </c>
      <c r="AG9" s="114" t="n">
        <f aca="false">Inputs!$E$15*(1+Inputs!$E$16)^(AG$5-1)*1</f>
        <v>26.9664</v>
      </c>
      <c r="AH9" s="114" t="n">
        <f aca="false">Inputs!$E$15*(1+Inputs!$E$16)^(AH$5-1)*1</f>
        <v>26.9664</v>
      </c>
      <c r="AI9" s="114" t="n">
        <f aca="false">Inputs!$E$15*(1+Inputs!$E$16)^(AI$5-1)*1</f>
        <v>26.9664</v>
      </c>
      <c r="AJ9" s="114" t="n">
        <f aca="false">Inputs!$E$15*(1+Inputs!$E$16)^(AJ$5-1)*1</f>
        <v>26.9664</v>
      </c>
      <c r="AK9" s="114" t="n">
        <f aca="false">Inputs!$E$15*(1+Inputs!$E$16)^(AK$5-1)*1</f>
        <v>26.9664</v>
      </c>
      <c r="AL9" s="114" t="n">
        <f aca="false">Inputs!$E$15*(1+Inputs!$E$16)^(AL$5-1)*1</f>
        <v>26.9664</v>
      </c>
    </row>
    <row r="10" customFormat="false" ht="15" hidden="false" customHeight="false" outlineLevel="0" collapsed="false">
      <c r="A10" s="4" t="s">
        <v>411</v>
      </c>
      <c r="C10" s="115" t="n">
        <f aca="false">C8+C9</f>
        <v>57.3333333333333</v>
      </c>
      <c r="D10" s="115" t="n">
        <f aca="false">D8+D9</f>
        <v>57.3333333333333</v>
      </c>
      <c r="E10" s="115" t="n">
        <f aca="false">E8+E9</f>
        <v>57.3333333333333</v>
      </c>
      <c r="F10" s="115" t="n">
        <f aca="false">F8+F9</f>
        <v>57.3333333333333</v>
      </c>
      <c r="G10" s="115" t="n">
        <f aca="false">G8+G9</f>
        <v>57.3333333333333</v>
      </c>
      <c r="H10" s="115" t="n">
        <f aca="false">H8+H9</f>
        <v>57.3333333333333</v>
      </c>
      <c r="I10" s="115" t="n">
        <f aca="false">I8+I9</f>
        <v>57.3333333333333</v>
      </c>
      <c r="J10" s="115" t="n">
        <f aca="false">J8+J9</f>
        <v>57.3333333333333</v>
      </c>
      <c r="K10" s="115" t="n">
        <f aca="false">K8+K9</f>
        <v>57.3333333333333</v>
      </c>
      <c r="L10" s="115" t="n">
        <f aca="false">L8+L9</f>
        <v>57.3333333333333</v>
      </c>
      <c r="M10" s="115" t="n">
        <f aca="false">M8+M9</f>
        <v>57.3333333333333</v>
      </c>
      <c r="N10" s="115" t="n">
        <f aca="false">N8+N9</f>
        <v>57.3333333333333</v>
      </c>
      <c r="O10" s="115" t="n">
        <f aca="false">O8+O9</f>
        <v>60.44</v>
      </c>
      <c r="P10" s="115" t="n">
        <f aca="false">P8+P9</f>
        <v>60.44</v>
      </c>
      <c r="Q10" s="115" t="n">
        <f aca="false">Q8+Q9</f>
        <v>60.44</v>
      </c>
      <c r="R10" s="115" t="n">
        <f aca="false">R8+R9</f>
        <v>60.44</v>
      </c>
      <c r="S10" s="115" t="n">
        <f aca="false">S8+S9</f>
        <v>60.44</v>
      </c>
      <c r="T10" s="115" t="n">
        <f aca="false">T8+T9</f>
        <v>60.44</v>
      </c>
      <c r="U10" s="115" t="n">
        <f aca="false">U8+U9</f>
        <v>60.44</v>
      </c>
      <c r="V10" s="115" t="n">
        <f aca="false">V8+V9</f>
        <v>60.44</v>
      </c>
      <c r="W10" s="115" t="n">
        <f aca="false">W8+W9</f>
        <v>60.44</v>
      </c>
      <c r="X10" s="115" t="n">
        <f aca="false">X8+X9</f>
        <v>60.44</v>
      </c>
      <c r="Y10" s="115" t="n">
        <f aca="false">Y8+Y9</f>
        <v>60.44</v>
      </c>
      <c r="Z10" s="115" t="n">
        <f aca="false">Z8+Z9</f>
        <v>60.44</v>
      </c>
      <c r="AA10" s="115" t="n">
        <f aca="false">AA8+AA9</f>
        <v>63.7164</v>
      </c>
      <c r="AB10" s="115" t="n">
        <f aca="false">AB8+AB9</f>
        <v>63.7164</v>
      </c>
      <c r="AC10" s="115" t="n">
        <f aca="false">AC8+AC9</f>
        <v>63.7164</v>
      </c>
      <c r="AD10" s="115" t="n">
        <f aca="false">AD8+AD9</f>
        <v>63.7164</v>
      </c>
      <c r="AE10" s="115" t="n">
        <f aca="false">AE8+AE9</f>
        <v>63.7164</v>
      </c>
      <c r="AF10" s="115" t="n">
        <f aca="false">AF8+AF9</f>
        <v>63.7164</v>
      </c>
      <c r="AG10" s="115" t="n">
        <f aca="false">AG8+AG9</f>
        <v>63.7164</v>
      </c>
      <c r="AH10" s="115" t="n">
        <f aca="false">AH8+AH9</f>
        <v>63.7164</v>
      </c>
      <c r="AI10" s="115" t="n">
        <f aca="false">AI8+AI9</f>
        <v>63.7164</v>
      </c>
      <c r="AJ10" s="115" t="n">
        <f aca="false">AJ8+AJ9</f>
        <v>63.7164</v>
      </c>
      <c r="AK10" s="115" t="n">
        <f aca="false">AK8+AK9</f>
        <v>63.7164</v>
      </c>
      <c r="AL10" s="115" t="n">
        <f aca="false">AL8+AL9</f>
        <v>63.7164</v>
      </c>
    </row>
    <row r="11" customFormat="false" ht="15" hidden="false" customHeight="false" outlineLevel="0" collapsed="false">
      <c r="A11" s="6" t="s">
        <v>412</v>
      </c>
      <c r="C11" s="116" t="n">
        <f aca="false">Inputs!$E$14</f>
        <v>3000</v>
      </c>
      <c r="D11" s="114" t="n">
        <f aca="false">C13</f>
        <v>3015.33333333333</v>
      </c>
      <c r="E11" s="114" t="n">
        <f aca="false">D13</f>
        <v>3030.452</v>
      </c>
      <c r="F11" s="114" t="n">
        <f aca="false">E13</f>
        <v>3045.35900533333</v>
      </c>
      <c r="G11" s="114" t="n">
        <f aca="false">F13</f>
        <v>3060.057312592</v>
      </c>
      <c r="H11" s="114" t="n">
        <f aca="false">G13</f>
        <v>3074.54984354905</v>
      </c>
      <c r="I11" s="114" t="n">
        <f aca="false">H13</f>
        <v>3088.83947907269</v>
      </c>
      <c r="J11" s="114" t="n">
        <f aca="false">I13</f>
        <v>3102.92905969901</v>
      </c>
      <c r="K11" s="114" t="n">
        <f aca="false">J13</f>
        <v>3116.82138619656</v>
      </c>
      <c r="L11" s="114" t="n">
        <f aca="false">K13</f>
        <v>3130.51922012314</v>
      </c>
      <c r="M11" s="114" t="n">
        <f aca="false">L13</f>
        <v>3144.02528437475</v>
      </c>
      <c r="N11" s="114" t="n">
        <f aca="false">M13</f>
        <v>3157.34226372683</v>
      </c>
      <c r="O11" s="114" t="n">
        <f aca="false">N13</f>
        <v>3170.47280536799</v>
      </c>
      <c r="P11" s="114" t="n">
        <f aca="false">O13</f>
        <v>3186.52618609284</v>
      </c>
      <c r="Q11" s="114" t="n">
        <f aca="false">P13</f>
        <v>3202.35481948754</v>
      </c>
      <c r="R11" s="114" t="n">
        <f aca="false">Q13</f>
        <v>3217.96185201471</v>
      </c>
      <c r="S11" s="114" t="n">
        <f aca="false">R13</f>
        <v>3233.35038608651</v>
      </c>
      <c r="T11" s="114" t="n">
        <f aca="false">S13</f>
        <v>3248.5234806813</v>
      </c>
      <c r="U11" s="114" t="n">
        <f aca="false">T13</f>
        <v>3263.48415195176</v>
      </c>
      <c r="V11" s="114" t="n">
        <f aca="false">U13</f>
        <v>3278.23537382443</v>
      </c>
      <c r="W11" s="114" t="n">
        <f aca="false">V13</f>
        <v>3292.78007859089</v>
      </c>
      <c r="X11" s="114" t="n">
        <f aca="false">W13</f>
        <v>3307.12115749062</v>
      </c>
      <c r="Y11" s="114" t="n">
        <f aca="false">X13</f>
        <v>3321.26146128575</v>
      </c>
      <c r="Z11" s="114" t="n">
        <f aca="false">Y13</f>
        <v>3335.20380082775</v>
      </c>
      <c r="AA11" s="114" t="n">
        <f aca="false">Z13</f>
        <v>3348.95094761616</v>
      </c>
      <c r="AB11" s="114" t="n">
        <f aca="false">AA13</f>
        <v>3365.78203434954</v>
      </c>
      <c r="AC11" s="114" t="n">
        <f aca="false">AB13</f>
        <v>3382.37748586864</v>
      </c>
      <c r="AD11" s="114" t="n">
        <f aca="false">AC13</f>
        <v>3398.74060106648</v>
      </c>
      <c r="AE11" s="114" t="n">
        <f aca="false">AD13</f>
        <v>3414.87463265155</v>
      </c>
      <c r="AF11" s="114" t="n">
        <f aca="false">AE13</f>
        <v>3430.78278779443</v>
      </c>
      <c r="AG11" s="114" t="n">
        <f aca="false">AF13</f>
        <v>3446.46822876531</v>
      </c>
      <c r="AH11" s="114" t="n">
        <f aca="false">AG13</f>
        <v>3461.93407356259</v>
      </c>
      <c r="AI11" s="114" t="n">
        <f aca="false">AH13</f>
        <v>3477.18339653271</v>
      </c>
      <c r="AJ11" s="114" t="n">
        <f aca="false">AI13</f>
        <v>3492.21922898126</v>
      </c>
      <c r="AK11" s="114" t="n">
        <f aca="false">AJ13</f>
        <v>3507.04455977552</v>
      </c>
      <c r="AL11" s="114" t="n">
        <f aca="false">AK13</f>
        <v>3521.66233593866</v>
      </c>
    </row>
    <row r="12" customFormat="false" ht="15" hidden="false" customHeight="false" outlineLevel="0" collapsed="false">
      <c r="A12" s="6" t="s">
        <v>413</v>
      </c>
      <c r="C12" s="114" t="n">
        <f aca="false">C13-C11-C10</f>
        <v>-41.9999999999999</v>
      </c>
      <c r="D12" s="114" t="n">
        <f aca="false">D13-D11-D10</f>
        <v>-42.2146666666666</v>
      </c>
      <c r="E12" s="114" t="n">
        <f aca="false">E13-E11-E10</f>
        <v>-42.4263279999999</v>
      </c>
      <c r="F12" s="114" t="n">
        <f aca="false">F13-F11-F10</f>
        <v>-42.6350260746666</v>
      </c>
      <c r="G12" s="114" t="n">
        <f aca="false">G13-G11-G10</f>
        <v>-42.840802376288</v>
      </c>
      <c r="H12" s="114" t="n">
        <f aca="false">H13-H11-H10</f>
        <v>-43.0436978096867</v>
      </c>
      <c r="I12" s="114" t="n">
        <f aca="false">I13-I11-I10</f>
        <v>-43.2437527070177</v>
      </c>
      <c r="J12" s="114" t="n">
        <f aca="false">J13-J11-J10</f>
        <v>-43.4410068357859</v>
      </c>
      <c r="K12" s="114" t="n">
        <f aca="false">K13-K11-K10</f>
        <v>-43.6354994067518</v>
      </c>
      <c r="L12" s="114" t="n">
        <f aca="false">L13-L11-L10</f>
        <v>-43.8272690817238</v>
      </c>
      <c r="M12" s="114" t="n">
        <f aca="false">M13-M11-M10</f>
        <v>-44.0163539812464</v>
      </c>
      <c r="N12" s="114" t="n">
        <f aca="false">N13-N11-N10</f>
        <v>-44.2027916921755</v>
      </c>
      <c r="O12" s="114" t="n">
        <f aca="false">O13-O11-O10</f>
        <v>-44.386619275152</v>
      </c>
      <c r="P12" s="114" t="n">
        <f aca="false">P13-P11-P10</f>
        <v>-44.6113666052997</v>
      </c>
      <c r="Q12" s="114" t="n">
        <f aca="false">Q13-Q11-Q10</f>
        <v>-44.8329674728256</v>
      </c>
      <c r="R12" s="114" t="n">
        <f aca="false">R13-R11-R10</f>
        <v>-45.0514659282061</v>
      </c>
      <c r="S12" s="114" t="n">
        <f aca="false">S13-S11-S10</f>
        <v>-45.2669054052112</v>
      </c>
      <c r="T12" s="114" t="n">
        <f aca="false">T13-T11-T10</f>
        <v>-45.4793287295383</v>
      </c>
      <c r="U12" s="114" t="n">
        <f aca="false">U13-U11-U10</f>
        <v>-45.6887781273244</v>
      </c>
      <c r="V12" s="114" t="n">
        <f aca="false">V13-V11-V10</f>
        <v>-45.8952952335421</v>
      </c>
      <c r="W12" s="114" t="n">
        <f aca="false">W13-W11-W10</f>
        <v>-46.0989211002724</v>
      </c>
      <c r="X12" s="114" t="n">
        <f aca="false">X13-X11-X10</f>
        <v>-46.2996962048687</v>
      </c>
      <c r="Y12" s="114" t="n">
        <f aca="false">Y13-Y11-Y10</f>
        <v>-46.4976604580006</v>
      </c>
      <c r="Z12" s="114" t="n">
        <f aca="false">Z13-Z11-Z10</f>
        <v>-46.6928532115884</v>
      </c>
      <c r="AA12" s="114" t="n">
        <f aca="false">AA13-AA11-AA10</f>
        <v>-46.8853132666265</v>
      </c>
      <c r="AB12" s="114" t="n">
        <f aca="false">AB13-AB11-AB10</f>
        <v>-47.1209484808939</v>
      </c>
      <c r="AC12" s="114" t="n">
        <f aca="false">AC13-AC11-AC10</f>
        <v>-47.3532848021612</v>
      </c>
      <c r="AD12" s="114" t="n">
        <f aca="false">AD13-AD11-AD10</f>
        <v>-47.5823684149311</v>
      </c>
      <c r="AE12" s="114" t="n">
        <f aca="false">AE13-AE11-AE10</f>
        <v>-47.808244857122</v>
      </c>
      <c r="AF12" s="114" t="n">
        <f aca="false">AF13-AF11-AF10</f>
        <v>-48.0309590291224</v>
      </c>
      <c r="AG12" s="114" t="n">
        <f aca="false">AG13-AG11-AG10</f>
        <v>-48.2505552027144</v>
      </c>
      <c r="AH12" s="114" t="n">
        <f aca="false">AH13-AH11-AH10</f>
        <v>-48.4670770298765</v>
      </c>
      <c r="AI12" s="114" t="n">
        <f aca="false">AI13-AI11-AI10</f>
        <v>-48.6805675514581</v>
      </c>
      <c r="AJ12" s="114" t="n">
        <f aca="false">AJ13-AJ11-AJ10</f>
        <v>-48.8910692057377</v>
      </c>
      <c r="AK12" s="114" t="n">
        <f aca="false">AK13-AK11-AK10</f>
        <v>-49.0986238368575</v>
      </c>
      <c r="AL12" s="114" t="n">
        <f aca="false">AL13-AL11-AL10</f>
        <v>-49.3032727031416</v>
      </c>
    </row>
    <row r="13" customFormat="false" ht="15" hidden="false" customHeight="false" outlineLevel="0" collapsed="false">
      <c r="A13" s="4" t="s">
        <v>414</v>
      </c>
      <c r="C13" s="115" t="n">
        <f aca="false">C11*(1-Inputs!$E$20)+C10</f>
        <v>3015.33333333333</v>
      </c>
      <c r="D13" s="115" t="n">
        <f aca="false">D11*(1-Inputs!$E$20)+D10</f>
        <v>3030.452</v>
      </c>
      <c r="E13" s="115" t="n">
        <f aca="false">E11*(1-Inputs!$E$20)+E10</f>
        <v>3045.35900533333</v>
      </c>
      <c r="F13" s="115" t="n">
        <f aca="false">F11*(1-Inputs!$E$20)+F10</f>
        <v>3060.057312592</v>
      </c>
      <c r="G13" s="115" t="n">
        <f aca="false">G11*(1-Inputs!$E$20)+G10</f>
        <v>3074.54984354905</v>
      </c>
      <c r="H13" s="115" t="n">
        <f aca="false">H11*(1-Inputs!$E$20)+H10</f>
        <v>3088.83947907269</v>
      </c>
      <c r="I13" s="115" t="n">
        <f aca="false">I11*(1-Inputs!$E$20)+I10</f>
        <v>3102.92905969901</v>
      </c>
      <c r="J13" s="115" t="n">
        <f aca="false">J11*(1-Inputs!$E$20)+J10</f>
        <v>3116.82138619656</v>
      </c>
      <c r="K13" s="115" t="n">
        <f aca="false">K11*(1-Inputs!$E$20)+K10</f>
        <v>3130.51922012314</v>
      </c>
      <c r="L13" s="115" t="n">
        <f aca="false">L11*(1-Inputs!$E$20)+L10</f>
        <v>3144.02528437475</v>
      </c>
      <c r="M13" s="115" t="n">
        <f aca="false">M11*(1-Inputs!$E$20)+M10</f>
        <v>3157.34226372683</v>
      </c>
      <c r="N13" s="115" t="n">
        <f aca="false">N11*(1-Inputs!$E$20)+N10</f>
        <v>3170.47280536799</v>
      </c>
      <c r="O13" s="115" t="n">
        <f aca="false">O11*(1-Inputs!$E$20)+O10</f>
        <v>3186.52618609284</v>
      </c>
      <c r="P13" s="115" t="n">
        <f aca="false">P11*(1-Inputs!$E$20)+P10</f>
        <v>3202.35481948754</v>
      </c>
      <c r="Q13" s="115" t="n">
        <f aca="false">Q11*(1-Inputs!$E$20)+Q10</f>
        <v>3217.96185201471</v>
      </c>
      <c r="R13" s="115" t="n">
        <f aca="false">R11*(1-Inputs!$E$20)+R10</f>
        <v>3233.35038608651</v>
      </c>
      <c r="S13" s="115" t="n">
        <f aca="false">S11*(1-Inputs!$E$20)+S10</f>
        <v>3248.5234806813</v>
      </c>
      <c r="T13" s="115" t="n">
        <f aca="false">T11*(1-Inputs!$E$20)+T10</f>
        <v>3263.48415195176</v>
      </c>
      <c r="U13" s="115" t="n">
        <f aca="false">U11*(1-Inputs!$E$20)+U10</f>
        <v>3278.23537382443</v>
      </c>
      <c r="V13" s="115" t="n">
        <f aca="false">V11*(1-Inputs!$E$20)+V10</f>
        <v>3292.78007859089</v>
      </c>
      <c r="W13" s="115" t="n">
        <f aca="false">W11*(1-Inputs!$E$20)+W10</f>
        <v>3307.12115749062</v>
      </c>
      <c r="X13" s="115" t="n">
        <f aca="false">X11*(1-Inputs!$E$20)+X10</f>
        <v>3321.26146128575</v>
      </c>
      <c r="Y13" s="115" t="n">
        <f aca="false">Y11*(1-Inputs!$E$20)+Y10</f>
        <v>3335.20380082775</v>
      </c>
      <c r="Z13" s="115" t="n">
        <f aca="false">Z11*(1-Inputs!$E$20)+Z10</f>
        <v>3348.95094761616</v>
      </c>
      <c r="AA13" s="115" t="n">
        <f aca="false">AA11*(1-Inputs!$E$20)+AA10</f>
        <v>3365.78203434954</v>
      </c>
      <c r="AB13" s="115" t="n">
        <f aca="false">AB11*(1-Inputs!$E$20)+AB10</f>
        <v>3382.37748586864</v>
      </c>
      <c r="AC13" s="115" t="n">
        <f aca="false">AC11*(1-Inputs!$E$20)+AC10</f>
        <v>3398.74060106648</v>
      </c>
      <c r="AD13" s="115" t="n">
        <f aca="false">AD11*(1-Inputs!$E$20)+AD10</f>
        <v>3414.87463265155</v>
      </c>
      <c r="AE13" s="115" t="n">
        <f aca="false">AE11*(1-Inputs!$E$20)+AE10</f>
        <v>3430.78278779443</v>
      </c>
      <c r="AF13" s="115" t="n">
        <f aca="false">AF11*(1-Inputs!$E$20)+AF10</f>
        <v>3446.46822876531</v>
      </c>
      <c r="AG13" s="115" t="n">
        <f aca="false">AG11*(1-Inputs!$E$20)+AG10</f>
        <v>3461.93407356259</v>
      </c>
      <c r="AH13" s="115" t="n">
        <f aca="false">AH11*(1-Inputs!$E$20)+AH10</f>
        <v>3477.18339653271</v>
      </c>
      <c r="AI13" s="115" t="n">
        <f aca="false">AI11*(1-Inputs!$E$20)+AI10</f>
        <v>3492.21922898126</v>
      </c>
      <c r="AJ13" s="115" t="n">
        <f aca="false">AJ11*(1-Inputs!$E$20)+AJ10</f>
        <v>3507.04455977552</v>
      </c>
      <c r="AK13" s="115" t="n">
        <f aca="false">AK11*(1-Inputs!$E$20)+AK10</f>
        <v>3521.66233593866</v>
      </c>
      <c r="AL13" s="115" t="n">
        <f aca="false">AL11*(1-Inputs!$E$20)+AL10</f>
        <v>3536.07546323552</v>
      </c>
    </row>
    <row r="14" customFormat="false" ht="15" hidden="false" customHeight="false" outlineLevel="0" collapsed="false">
      <c r="A14" s="6" t="s">
        <v>415</v>
      </c>
      <c r="C14" s="114" t="n">
        <f aca="false">(C11+C13)/2</f>
        <v>3007.66666666667</v>
      </c>
      <c r="D14" s="114" t="n">
        <f aca="false">(D11+D13)/2</f>
        <v>3022.89266666667</v>
      </c>
      <c r="E14" s="114" t="n">
        <f aca="false">(E11+E13)/2</f>
        <v>3037.90550266667</v>
      </c>
      <c r="F14" s="114" t="n">
        <f aca="false">(F11+F13)/2</f>
        <v>3052.70815896267</v>
      </c>
      <c r="G14" s="114" t="n">
        <f aca="false">(G11+G13)/2</f>
        <v>3067.30357807052</v>
      </c>
      <c r="H14" s="114" t="n">
        <f aca="false">(H11+H13)/2</f>
        <v>3081.69466131087</v>
      </c>
      <c r="I14" s="114" t="n">
        <f aca="false">(I11+I13)/2</f>
        <v>3095.88426938585</v>
      </c>
      <c r="J14" s="114" t="n">
        <f aca="false">(J11+J13)/2</f>
        <v>3109.87522294778</v>
      </c>
      <c r="K14" s="114" t="n">
        <f aca="false">(K11+K13)/2</f>
        <v>3123.67030315985</v>
      </c>
      <c r="L14" s="114" t="n">
        <f aca="false">(L11+L13)/2</f>
        <v>3137.27225224894</v>
      </c>
      <c r="M14" s="114" t="n">
        <f aca="false">(M11+M13)/2</f>
        <v>3150.68377405079</v>
      </c>
      <c r="N14" s="114" t="n">
        <f aca="false">(N11+N13)/2</f>
        <v>3163.90753454741</v>
      </c>
      <c r="O14" s="114" t="n">
        <f aca="false">(O11+O13)/2</f>
        <v>3178.49949573042</v>
      </c>
      <c r="P14" s="114" t="n">
        <f aca="false">(P11+P13)/2</f>
        <v>3194.44050279019</v>
      </c>
      <c r="Q14" s="114" t="n">
        <f aca="false">(Q11+Q13)/2</f>
        <v>3210.15833575113</v>
      </c>
      <c r="R14" s="114" t="n">
        <f aca="false">(R11+R13)/2</f>
        <v>3225.65611905061</v>
      </c>
      <c r="S14" s="114" t="n">
        <f aca="false">(S11+S13)/2</f>
        <v>3240.9369333839</v>
      </c>
      <c r="T14" s="114" t="n">
        <f aca="false">(T11+T13)/2</f>
        <v>3256.00381631653</v>
      </c>
      <c r="U14" s="114" t="n">
        <f aca="false">(U11+U13)/2</f>
        <v>3270.8597628881</v>
      </c>
      <c r="V14" s="114" t="n">
        <f aca="false">(V11+V13)/2</f>
        <v>3285.50772620766</v>
      </c>
      <c r="W14" s="114" t="n">
        <f aca="false">(W11+W13)/2</f>
        <v>3299.95061804076</v>
      </c>
      <c r="X14" s="114" t="n">
        <f aca="false">(X11+X13)/2</f>
        <v>3314.19130938819</v>
      </c>
      <c r="Y14" s="114" t="n">
        <f aca="false">(Y11+Y13)/2</f>
        <v>3328.23263105675</v>
      </c>
      <c r="Z14" s="114" t="n">
        <f aca="false">(Z11+Z13)/2</f>
        <v>3342.07737422196</v>
      </c>
      <c r="AA14" s="114" t="n">
        <f aca="false">(AA11+AA13)/2</f>
        <v>3357.36649098285</v>
      </c>
      <c r="AB14" s="114" t="n">
        <f aca="false">(AB11+AB13)/2</f>
        <v>3374.07976010909</v>
      </c>
      <c r="AC14" s="114" t="n">
        <f aca="false">(AC11+AC13)/2</f>
        <v>3390.55904346756</v>
      </c>
      <c r="AD14" s="114" t="n">
        <f aca="false">(AD11+AD13)/2</f>
        <v>3406.80761685902</v>
      </c>
      <c r="AE14" s="114" t="n">
        <f aca="false">(AE11+AE13)/2</f>
        <v>3422.82871022299</v>
      </c>
      <c r="AF14" s="114" t="n">
        <f aca="false">(AF11+AF13)/2</f>
        <v>3438.62550827987</v>
      </c>
      <c r="AG14" s="114" t="n">
        <f aca="false">(AG11+AG13)/2</f>
        <v>3454.20115116395</v>
      </c>
      <c r="AH14" s="114" t="n">
        <f aca="false">(AH11+AH13)/2</f>
        <v>3469.55873504765</v>
      </c>
      <c r="AI14" s="114" t="n">
        <f aca="false">(AI11+AI13)/2</f>
        <v>3484.70131275699</v>
      </c>
      <c r="AJ14" s="114" t="n">
        <f aca="false">(AJ11+AJ13)/2</f>
        <v>3499.63189437839</v>
      </c>
      <c r="AK14" s="114" t="n">
        <f aca="false">(AK11+AK13)/2</f>
        <v>3514.35344785709</v>
      </c>
      <c r="AL14" s="114" t="n">
        <f aca="false">(AL11+AL13)/2</f>
        <v>3528.86889958709</v>
      </c>
    </row>
    <row r="16" customFormat="false" ht="15.75" hidden="false" customHeight="true" outlineLevel="0" collapsed="false">
      <c r="A16" s="7" t="s">
        <v>416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6" t="s">
        <v>417</v>
      </c>
      <c r="C17" s="117" t="n">
        <f aca="false">Inputs!$E$7*Inputs!$E$9*Inputs!$E$11*1</f>
        <v>432</v>
      </c>
      <c r="D17" s="117" t="n">
        <f aca="false">Inputs!$E$7*Inputs!$E$9*Inputs!$E$11*1</f>
        <v>432</v>
      </c>
      <c r="E17" s="117" t="n">
        <f aca="false">Inputs!$E$7*Inputs!$E$9*Inputs!$E$11*1</f>
        <v>432</v>
      </c>
      <c r="F17" s="117" t="n">
        <f aca="false">Inputs!$E$7*Inputs!$E$9*Inputs!$E$11*1</f>
        <v>432</v>
      </c>
      <c r="G17" s="117" t="n">
        <f aca="false">Inputs!$E$7*Inputs!$E$9*Inputs!$E$11*1</f>
        <v>432</v>
      </c>
      <c r="H17" s="117" t="n">
        <f aca="false">Inputs!$E$7*Inputs!$E$9*Inputs!$E$11*1</f>
        <v>432</v>
      </c>
      <c r="I17" s="117" t="n">
        <f aca="false">Inputs!$E$7*Inputs!$E$9*Inputs!$E$11*1</f>
        <v>432</v>
      </c>
      <c r="J17" s="117" t="n">
        <f aca="false">Inputs!$E$7*Inputs!$E$9*Inputs!$E$11*1</f>
        <v>432</v>
      </c>
      <c r="K17" s="117" t="n">
        <f aca="false">Inputs!$E$7*Inputs!$E$9*Inputs!$E$11*1</f>
        <v>432</v>
      </c>
      <c r="L17" s="117" t="n">
        <f aca="false">Inputs!$E$7*Inputs!$E$9*Inputs!$E$11*1</f>
        <v>432</v>
      </c>
      <c r="M17" s="117" t="n">
        <f aca="false">Inputs!$E$7*Inputs!$E$9*Inputs!$E$11*1</f>
        <v>432</v>
      </c>
      <c r="N17" s="117" t="n">
        <f aca="false">Inputs!$E$7*Inputs!$E$9*Inputs!$E$11*1</f>
        <v>432</v>
      </c>
      <c r="O17" s="117" t="n">
        <f aca="false">Inputs!$E$7*Inputs!$E$9*Inputs!$E$11*1</f>
        <v>432</v>
      </c>
      <c r="P17" s="117" t="n">
        <f aca="false">Inputs!$E$7*Inputs!$E$9*Inputs!$E$11*1</f>
        <v>432</v>
      </c>
      <c r="Q17" s="117" t="n">
        <f aca="false">Inputs!$E$7*Inputs!$E$9*Inputs!$E$11*1</f>
        <v>432</v>
      </c>
      <c r="R17" s="117" t="n">
        <f aca="false">Inputs!$E$7*Inputs!$E$9*Inputs!$E$11*1</f>
        <v>432</v>
      </c>
      <c r="S17" s="117" t="n">
        <f aca="false">Inputs!$E$7*Inputs!$E$9*Inputs!$E$11*1</f>
        <v>432</v>
      </c>
      <c r="T17" s="117" t="n">
        <f aca="false">Inputs!$E$7*Inputs!$E$9*Inputs!$E$11*1</f>
        <v>432</v>
      </c>
      <c r="U17" s="117" t="n">
        <f aca="false">Inputs!$E$7*Inputs!$E$9*Inputs!$E$11*1</f>
        <v>432</v>
      </c>
      <c r="V17" s="117" t="n">
        <f aca="false">Inputs!$E$7*Inputs!$E$9*Inputs!$E$11*1</f>
        <v>432</v>
      </c>
      <c r="W17" s="117" t="n">
        <f aca="false">Inputs!$E$7*Inputs!$E$9*Inputs!$E$11*1</f>
        <v>432</v>
      </c>
      <c r="X17" s="117" t="n">
        <f aca="false">Inputs!$E$7*Inputs!$E$9*Inputs!$E$11*1</f>
        <v>432</v>
      </c>
      <c r="Y17" s="117" t="n">
        <f aca="false">Inputs!$E$7*Inputs!$E$9*Inputs!$E$11*1</f>
        <v>432</v>
      </c>
      <c r="Z17" s="117" t="n">
        <f aca="false">Inputs!$E$7*Inputs!$E$9*Inputs!$E$11*1</f>
        <v>432</v>
      </c>
      <c r="AA17" s="117" t="n">
        <f aca="false">Inputs!$E$7*Inputs!$E$9*Inputs!$E$11*1</f>
        <v>432</v>
      </c>
      <c r="AB17" s="117" t="n">
        <f aca="false">Inputs!$E$7*Inputs!$E$9*Inputs!$E$11*1</f>
        <v>432</v>
      </c>
      <c r="AC17" s="117" t="n">
        <f aca="false">Inputs!$E$7*Inputs!$E$9*Inputs!$E$11*1</f>
        <v>432</v>
      </c>
      <c r="AD17" s="117" t="n">
        <f aca="false">Inputs!$E$7*Inputs!$E$9*Inputs!$E$11*1</f>
        <v>432</v>
      </c>
      <c r="AE17" s="117" t="n">
        <f aca="false">Inputs!$E$7*Inputs!$E$9*Inputs!$E$11*1</f>
        <v>432</v>
      </c>
      <c r="AF17" s="117" t="n">
        <f aca="false">Inputs!$E$7*Inputs!$E$9*Inputs!$E$11*1</f>
        <v>432</v>
      </c>
      <c r="AG17" s="117" t="n">
        <f aca="false">Inputs!$E$7*Inputs!$E$9*Inputs!$E$11*1</f>
        <v>432</v>
      </c>
      <c r="AH17" s="117" t="n">
        <f aca="false">Inputs!$E$7*Inputs!$E$9*Inputs!$E$11*1</f>
        <v>432</v>
      </c>
      <c r="AI17" s="117" t="n">
        <f aca="false">Inputs!$E$7*Inputs!$E$9*Inputs!$E$11*1</f>
        <v>432</v>
      </c>
      <c r="AJ17" s="117" t="n">
        <f aca="false">Inputs!$E$7*Inputs!$E$9*Inputs!$E$11*1</f>
        <v>432</v>
      </c>
      <c r="AK17" s="117" t="n">
        <f aca="false">Inputs!$E$7*Inputs!$E$9*Inputs!$E$11*1</f>
        <v>432</v>
      </c>
      <c r="AL17" s="117" t="n">
        <f aca="false">Inputs!$E$7*Inputs!$E$9*Inputs!$E$11*1</f>
        <v>432</v>
      </c>
    </row>
    <row r="18" customFormat="false" ht="15" hidden="false" customHeight="false" outlineLevel="0" collapsed="false">
      <c r="A18" s="6" t="s">
        <v>418</v>
      </c>
      <c r="C18" s="117" t="n">
        <f aca="false">C14*Inputs!$E$21/12*1+C10*Inputs!$E$23</f>
        <v>345.568055555556</v>
      </c>
      <c r="D18" s="117" t="n">
        <f aca="false">D14*Inputs!$E$21/12*1+D10*Inputs!$E$23</f>
        <v>347.027213888889</v>
      </c>
      <c r="E18" s="117" t="n">
        <f aca="false">E14*Inputs!$E$21/12*1+E10*Inputs!$E$23</f>
        <v>348.465944005556</v>
      </c>
      <c r="F18" s="117" t="n">
        <f aca="false">F14*Inputs!$E$21/12*1+F10*Inputs!$E$23</f>
        <v>349.884531900589</v>
      </c>
      <c r="G18" s="117" t="n">
        <f aca="false">G14*Inputs!$E$21/12*1+G10*Inputs!$E$23</f>
        <v>351.283259565092</v>
      </c>
      <c r="H18" s="117" t="n">
        <f aca="false">H14*Inputs!$E$21/12*1+H10*Inputs!$E$23</f>
        <v>352.662405042292</v>
      </c>
      <c r="I18" s="117" t="n">
        <f aca="false">I14*Inputs!$E$21/12*1+I10*Inputs!$E$23</f>
        <v>354.022242482811</v>
      </c>
      <c r="J18" s="117" t="n">
        <f aca="false">J14*Inputs!$E$21/12*1+J10*Inputs!$E$23</f>
        <v>355.363042199162</v>
      </c>
      <c r="K18" s="117" t="n">
        <f aca="false">K14*Inputs!$E$21/12*1+K10*Inputs!$E$23</f>
        <v>356.685070719485</v>
      </c>
      <c r="L18" s="117" t="n">
        <f aca="false">L14*Inputs!$E$21/12*1+L10*Inputs!$E$23</f>
        <v>357.988590840524</v>
      </c>
      <c r="M18" s="117" t="n">
        <f aca="false">M14*Inputs!$E$21/12*1+M10*Inputs!$E$23</f>
        <v>359.273861679867</v>
      </c>
      <c r="N18" s="117" t="n">
        <f aca="false">N14*Inputs!$E$21/12*1+N10*Inputs!$E$23</f>
        <v>360.54113872746</v>
      </c>
      <c r="O18" s="117" t="n">
        <f aca="false">O14*Inputs!$E$21/12*1+O10*Inputs!$E$23</f>
        <v>365.046201674165</v>
      </c>
      <c r="P18" s="117" t="n">
        <f aca="false">P14*Inputs!$E$21/12*1+P10*Inputs!$E$23</f>
        <v>366.573881517393</v>
      </c>
      <c r="Q18" s="117" t="n">
        <f aca="false">Q14*Inputs!$E$21/12*1+Q10*Inputs!$E$23</f>
        <v>368.080173842816</v>
      </c>
      <c r="R18" s="117" t="n">
        <f aca="false">R14*Inputs!$E$21/12*1+R10*Inputs!$E$23</f>
        <v>369.565378075684</v>
      </c>
      <c r="S18" s="117" t="n">
        <f aca="false">S14*Inputs!$E$21/12*1+S10*Inputs!$E$23</f>
        <v>371.029789449291</v>
      </c>
      <c r="T18" s="117" t="n">
        <f aca="false">T14*Inputs!$E$21/12*1+T10*Inputs!$E$23</f>
        <v>372.473699063667</v>
      </c>
      <c r="U18" s="117" t="n">
        <f aca="false">U14*Inputs!$E$21/12*1+U10*Inputs!$E$23</f>
        <v>373.897393943443</v>
      </c>
      <c r="V18" s="117" t="n">
        <f aca="false">V14*Inputs!$E$21/12*1+V10*Inputs!$E$23</f>
        <v>375.301157094901</v>
      </c>
      <c r="W18" s="117" t="n">
        <f aca="false">W14*Inputs!$E$21/12*1+W10*Inputs!$E$23</f>
        <v>376.685267562239</v>
      </c>
      <c r="X18" s="117" t="n">
        <f aca="false">X14*Inputs!$E$21/12*1+X10*Inputs!$E$23</f>
        <v>378.050000483034</v>
      </c>
      <c r="Y18" s="117" t="n">
        <f aca="false">Y14*Inputs!$E$21/12*1+Y10*Inputs!$E$23</f>
        <v>379.395627142939</v>
      </c>
      <c r="Z18" s="117" t="n">
        <f aca="false">Z14*Inputs!$E$21/12*1+Z10*Inputs!$E$23</f>
        <v>380.722415029604</v>
      </c>
      <c r="AA18" s="117" t="n">
        <f aca="false">AA14*Inputs!$E$21/12*1+AA10*Inputs!$E$23</f>
        <v>385.464022052523</v>
      </c>
      <c r="AB18" s="117" t="n">
        <f aca="false">AB14*Inputs!$E$21/12*1+AB10*Inputs!$E$23</f>
        <v>387.065710343788</v>
      </c>
      <c r="AC18" s="117" t="n">
        <f aca="false">AC14*Inputs!$E$21/12*1+AC10*Inputs!$E$23</f>
        <v>388.644974998975</v>
      </c>
      <c r="AD18" s="117" t="n">
        <f aca="false">AD14*Inputs!$E$21/12*1+AD10*Inputs!$E$23</f>
        <v>390.202129948989</v>
      </c>
      <c r="AE18" s="117" t="n">
        <f aca="false">AE14*Inputs!$E$21/12*1+AE10*Inputs!$E$23</f>
        <v>391.737484729703</v>
      </c>
      <c r="AF18" s="117" t="n">
        <f aca="false">AF14*Inputs!$E$21/12*1+AF10*Inputs!$E$23</f>
        <v>393.251344543487</v>
      </c>
      <c r="AG18" s="117" t="n">
        <f aca="false">AG14*Inputs!$E$21/12*1+AG10*Inputs!$E$23</f>
        <v>394.744010319878</v>
      </c>
      <c r="AH18" s="117" t="n">
        <f aca="false">AH14*Inputs!$E$21/12*1+AH10*Inputs!$E$23</f>
        <v>396.2157787754</v>
      </c>
      <c r="AI18" s="117" t="n">
        <f aca="false">AI14*Inputs!$E$21/12*1+AI10*Inputs!$E$23</f>
        <v>397.666942472544</v>
      </c>
      <c r="AJ18" s="117" t="n">
        <f aca="false">AJ14*Inputs!$E$21/12*1+AJ10*Inputs!$E$23</f>
        <v>399.097789877929</v>
      </c>
      <c r="AK18" s="117" t="n">
        <f aca="false">AK14*Inputs!$E$21/12*1+AK10*Inputs!$E$23</f>
        <v>400.508605419638</v>
      </c>
      <c r="AL18" s="117" t="n">
        <f aca="false">AL14*Inputs!$E$21/12*1+AL10*Inputs!$E$23</f>
        <v>401.899669543763</v>
      </c>
    </row>
    <row r="19" customFormat="false" ht="15" hidden="false" customHeight="false" outlineLevel="0" collapsed="false">
      <c r="A19" s="4" t="s">
        <v>419</v>
      </c>
      <c r="C19" s="118" t="n">
        <f aca="false">MIN(C17,C18)</f>
        <v>345.568055555556</v>
      </c>
      <c r="D19" s="118" t="n">
        <f aca="false">MIN(D17,D18)</f>
        <v>347.027213888889</v>
      </c>
      <c r="E19" s="118" t="n">
        <f aca="false">MIN(E17,E18)</f>
        <v>348.465944005556</v>
      </c>
      <c r="F19" s="118" t="n">
        <f aca="false">MIN(F17,F18)</f>
        <v>349.884531900589</v>
      </c>
      <c r="G19" s="118" t="n">
        <f aca="false">MIN(G17,G18)</f>
        <v>351.283259565092</v>
      </c>
      <c r="H19" s="118" t="n">
        <f aca="false">MIN(H17,H18)</f>
        <v>352.662405042292</v>
      </c>
      <c r="I19" s="118" t="n">
        <f aca="false">MIN(I17,I18)</f>
        <v>354.022242482811</v>
      </c>
      <c r="J19" s="118" t="n">
        <f aca="false">MIN(J17,J18)</f>
        <v>355.363042199162</v>
      </c>
      <c r="K19" s="118" t="n">
        <f aca="false">MIN(K17,K18)</f>
        <v>356.685070719485</v>
      </c>
      <c r="L19" s="118" t="n">
        <f aca="false">MIN(L17,L18)</f>
        <v>357.988590840524</v>
      </c>
      <c r="M19" s="118" t="n">
        <f aca="false">MIN(M17,M18)</f>
        <v>359.273861679867</v>
      </c>
      <c r="N19" s="118" t="n">
        <f aca="false">MIN(N17,N18)</f>
        <v>360.54113872746</v>
      </c>
      <c r="O19" s="118" t="n">
        <f aca="false">MIN(O17,O18)</f>
        <v>365.046201674165</v>
      </c>
      <c r="P19" s="118" t="n">
        <f aca="false">MIN(P17,P18)</f>
        <v>366.573881517393</v>
      </c>
      <c r="Q19" s="118" t="n">
        <f aca="false">MIN(Q17,Q18)</f>
        <v>368.080173842816</v>
      </c>
      <c r="R19" s="118" t="n">
        <f aca="false">MIN(R17,R18)</f>
        <v>369.565378075684</v>
      </c>
      <c r="S19" s="118" t="n">
        <f aca="false">MIN(S17,S18)</f>
        <v>371.029789449291</v>
      </c>
      <c r="T19" s="118" t="n">
        <f aca="false">MIN(T17,T18)</f>
        <v>372.473699063667</v>
      </c>
      <c r="U19" s="118" t="n">
        <f aca="false">MIN(U17,U18)</f>
        <v>373.897393943443</v>
      </c>
      <c r="V19" s="118" t="n">
        <f aca="false">MIN(V17,V18)</f>
        <v>375.301157094901</v>
      </c>
      <c r="W19" s="118" t="n">
        <f aca="false">MIN(W17,W18)</f>
        <v>376.685267562239</v>
      </c>
      <c r="X19" s="118" t="n">
        <f aca="false">MIN(X17,X18)</f>
        <v>378.050000483034</v>
      </c>
      <c r="Y19" s="118" t="n">
        <f aca="false">MIN(Y17,Y18)</f>
        <v>379.395627142939</v>
      </c>
      <c r="Z19" s="118" t="n">
        <f aca="false">MIN(Z17,Z18)</f>
        <v>380.722415029604</v>
      </c>
      <c r="AA19" s="118" t="n">
        <f aca="false">MIN(AA17,AA18)</f>
        <v>385.464022052523</v>
      </c>
      <c r="AB19" s="118" t="n">
        <f aca="false">MIN(AB17,AB18)</f>
        <v>387.065710343788</v>
      </c>
      <c r="AC19" s="118" t="n">
        <f aca="false">MIN(AC17,AC18)</f>
        <v>388.644974998975</v>
      </c>
      <c r="AD19" s="118" t="n">
        <f aca="false">MIN(AD17,AD18)</f>
        <v>390.202129948989</v>
      </c>
      <c r="AE19" s="118" t="n">
        <f aca="false">MIN(AE17,AE18)</f>
        <v>391.737484729703</v>
      </c>
      <c r="AF19" s="118" t="n">
        <f aca="false">MIN(AF17,AF18)</f>
        <v>393.251344543487</v>
      </c>
      <c r="AG19" s="118" t="n">
        <f aca="false">MIN(AG17,AG18)</f>
        <v>394.744010319878</v>
      </c>
      <c r="AH19" s="118" t="n">
        <f aca="false">MIN(AH17,AH18)</f>
        <v>396.2157787754</v>
      </c>
      <c r="AI19" s="118" t="n">
        <f aca="false">MIN(AI17,AI18)</f>
        <v>397.666942472544</v>
      </c>
      <c r="AJ19" s="118" t="n">
        <f aca="false">MIN(AJ17,AJ18)</f>
        <v>399.097789877929</v>
      </c>
      <c r="AK19" s="118" t="n">
        <f aca="false">MIN(AK17,AK18)</f>
        <v>400.508605419638</v>
      </c>
      <c r="AL19" s="118" t="n">
        <f aca="false">MIN(AL17,AL18)</f>
        <v>401.899669543763</v>
      </c>
    </row>
    <row r="20" customFormat="false" ht="15" hidden="false" customHeight="false" outlineLevel="0" collapsed="false">
      <c r="A20" s="6" t="s">
        <v>420</v>
      </c>
      <c r="C20" s="116" t="n">
        <f aca="false">Headcount!C9</f>
        <v>3</v>
      </c>
      <c r="D20" s="116" t="n">
        <f aca="false">Headcount!D9</f>
        <v>3</v>
      </c>
      <c r="E20" s="116" t="n">
        <f aca="false">Headcount!E9</f>
        <v>3</v>
      </c>
      <c r="F20" s="116" t="n">
        <f aca="false">Headcount!F9</f>
        <v>3</v>
      </c>
      <c r="G20" s="116" t="n">
        <f aca="false">Headcount!G9</f>
        <v>3</v>
      </c>
      <c r="H20" s="116" t="n">
        <f aca="false">Headcount!H9</f>
        <v>3</v>
      </c>
      <c r="I20" s="116" t="n">
        <f aca="false">Headcount!I9</f>
        <v>3</v>
      </c>
      <c r="J20" s="116" t="n">
        <f aca="false">Headcount!J9</f>
        <v>3</v>
      </c>
      <c r="K20" s="116" t="n">
        <f aca="false">Headcount!K9</f>
        <v>3</v>
      </c>
      <c r="L20" s="116" t="n">
        <f aca="false">Headcount!L9</f>
        <v>3</v>
      </c>
      <c r="M20" s="116" t="n">
        <f aca="false">Headcount!M9</f>
        <v>3</v>
      </c>
      <c r="N20" s="116" t="n">
        <f aca="false">Headcount!N9</f>
        <v>3</v>
      </c>
      <c r="O20" s="116" t="n">
        <f aca="false">Headcount!O9</f>
        <v>3.18</v>
      </c>
      <c r="P20" s="116" t="n">
        <f aca="false">Headcount!P9</f>
        <v>3.18</v>
      </c>
      <c r="Q20" s="116" t="n">
        <f aca="false">Headcount!Q9</f>
        <v>3.18</v>
      </c>
      <c r="R20" s="116" t="n">
        <f aca="false">Headcount!R9</f>
        <v>3.18</v>
      </c>
      <c r="S20" s="116" t="n">
        <f aca="false">Headcount!S9</f>
        <v>3.18</v>
      </c>
      <c r="T20" s="116" t="n">
        <f aca="false">Headcount!T9</f>
        <v>3.18</v>
      </c>
      <c r="U20" s="116" t="n">
        <f aca="false">Headcount!U9</f>
        <v>3.18</v>
      </c>
      <c r="V20" s="116" t="n">
        <f aca="false">Headcount!V9</f>
        <v>3.18</v>
      </c>
      <c r="W20" s="116" t="n">
        <f aca="false">Headcount!W9</f>
        <v>3.18</v>
      </c>
      <c r="X20" s="116" t="n">
        <f aca="false">Headcount!X9</f>
        <v>3.18</v>
      </c>
      <c r="Y20" s="116" t="n">
        <f aca="false">Headcount!Y9</f>
        <v>3.18</v>
      </c>
      <c r="Z20" s="116" t="n">
        <f aca="false">Headcount!Z9</f>
        <v>3.18</v>
      </c>
      <c r="AA20" s="116" t="n">
        <f aca="false">Headcount!AA9</f>
        <v>3.3708</v>
      </c>
      <c r="AB20" s="116" t="n">
        <f aca="false">Headcount!AB9</f>
        <v>3.3708</v>
      </c>
      <c r="AC20" s="116" t="n">
        <f aca="false">Headcount!AC9</f>
        <v>3.3708</v>
      </c>
      <c r="AD20" s="116" t="n">
        <f aca="false">Headcount!AD9</f>
        <v>3.3708</v>
      </c>
      <c r="AE20" s="116" t="n">
        <f aca="false">Headcount!AE9</f>
        <v>3.3708</v>
      </c>
      <c r="AF20" s="116" t="n">
        <f aca="false">Headcount!AF9</f>
        <v>3.3708</v>
      </c>
      <c r="AG20" s="116" t="n">
        <f aca="false">Headcount!AG9</f>
        <v>3.3708</v>
      </c>
      <c r="AH20" s="116" t="n">
        <f aca="false">Headcount!AH9</f>
        <v>3.3708</v>
      </c>
      <c r="AI20" s="116" t="n">
        <f aca="false">Headcount!AI9</f>
        <v>3.3708</v>
      </c>
      <c r="AJ20" s="116" t="n">
        <f aca="false">Headcount!AJ9</f>
        <v>3.3708</v>
      </c>
      <c r="AK20" s="116" t="n">
        <f aca="false">Headcount!AK9</f>
        <v>3.3708</v>
      </c>
      <c r="AL20" s="116" t="n">
        <f aca="false">Headcount!AL9</f>
        <v>3.3708</v>
      </c>
    </row>
    <row r="21" customFormat="false" ht="15" hidden="false" customHeight="false" outlineLevel="0" collapsed="false">
      <c r="A21" s="6" t="s">
        <v>421</v>
      </c>
      <c r="C21" s="117" t="n">
        <f aca="false">MIN(C20,Inputs!$E$8)*Inputs!$E$10*Inputs!$E$11*1</f>
        <v>432</v>
      </c>
      <c r="D21" s="117" t="n">
        <f aca="false">MIN(D20,Inputs!$E$8)*Inputs!$E$10*Inputs!$E$11*1</f>
        <v>432</v>
      </c>
      <c r="E21" s="117" t="n">
        <f aca="false">MIN(E20,Inputs!$E$8)*Inputs!$E$10*Inputs!$E$11*1</f>
        <v>432</v>
      </c>
      <c r="F21" s="117" t="n">
        <f aca="false">MIN(F20,Inputs!$E$8)*Inputs!$E$10*Inputs!$E$11*1</f>
        <v>432</v>
      </c>
      <c r="G21" s="117" t="n">
        <f aca="false">MIN(G20,Inputs!$E$8)*Inputs!$E$10*Inputs!$E$11*1</f>
        <v>432</v>
      </c>
      <c r="H21" s="117" t="n">
        <f aca="false">MIN(H20,Inputs!$E$8)*Inputs!$E$10*Inputs!$E$11*1</f>
        <v>432</v>
      </c>
      <c r="I21" s="117" t="n">
        <f aca="false">MIN(I20,Inputs!$E$8)*Inputs!$E$10*Inputs!$E$11*1</f>
        <v>432</v>
      </c>
      <c r="J21" s="117" t="n">
        <f aca="false">MIN(J20,Inputs!$E$8)*Inputs!$E$10*Inputs!$E$11*1</f>
        <v>432</v>
      </c>
      <c r="K21" s="117" t="n">
        <f aca="false">MIN(K20,Inputs!$E$8)*Inputs!$E$10*Inputs!$E$11*1</f>
        <v>432</v>
      </c>
      <c r="L21" s="117" t="n">
        <f aca="false">MIN(L20,Inputs!$E$8)*Inputs!$E$10*Inputs!$E$11*1</f>
        <v>432</v>
      </c>
      <c r="M21" s="117" t="n">
        <f aca="false">MIN(M20,Inputs!$E$8)*Inputs!$E$10*Inputs!$E$11*1</f>
        <v>432</v>
      </c>
      <c r="N21" s="117" t="n">
        <f aca="false">MIN(N20,Inputs!$E$8)*Inputs!$E$10*Inputs!$E$11*1</f>
        <v>432</v>
      </c>
      <c r="O21" s="117" t="n">
        <f aca="false">MIN(O20,Inputs!$E$8)*Inputs!$E$10*Inputs!$E$11*1</f>
        <v>457.92</v>
      </c>
      <c r="P21" s="117" t="n">
        <f aca="false">MIN(P20,Inputs!$E$8)*Inputs!$E$10*Inputs!$E$11*1</f>
        <v>457.92</v>
      </c>
      <c r="Q21" s="117" t="n">
        <f aca="false">MIN(Q20,Inputs!$E$8)*Inputs!$E$10*Inputs!$E$11*1</f>
        <v>457.92</v>
      </c>
      <c r="R21" s="117" t="n">
        <f aca="false">MIN(R20,Inputs!$E$8)*Inputs!$E$10*Inputs!$E$11*1</f>
        <v>457.92</v>
      </c>
      <c r="S21" s="117" t="n">
        <f aca="false">MIN(S20,Inputs!$E$8)*Inputs!$E$10*Inputs!$E$11*1</f>
        <v>457.92</v>
      </c>
      <c r="T21" s="117" t="n">
        <f aca="false">MIN(T20,Inputs!$E$8)*Inputs!$E$10*Inputs!$E$11*1</f>
        <v>457.92</v>
      </c>
      <c r="U21" s="117" t="n">
        <f aca="false">MIN(U20,Inputs!$E$8)*Inputs!$E$10*Inputs!$E$11*1</f>
        <v>457.92</v>
      </c>
      <c r="V21" s="117" t="n">
        <f aca="false">MIN(V20,Inputs!$E$8)*Inputs!$E$10*Inputs!$E$11*1</f>
        <v>457.92</v>
      </c>
      <c r="W21" s="117" t="n">
        <f aca="false">MIN(W20,Inputs!$E$8)*Inputs!$E$10*Inputs!$E$11*1</f>
        <v>457.92</v>
      </c>
      <c r="X21" s="117" t="n">
        <f aca="false">MIN(X20,Inputs!$E$8)*Inputs!$E$10*Inputs!$E$11*1</f>
        <v>457.92</v>
      </c>
      <c r="Y21" s="117" t="n">
        <f aca="false">MIN(Y20,Inputs!$E$8)*Inputs!$E$10*Inputs!$E$11*1</f>
        <v>457.92</v>
      </c>
      <c r="Z21" s="117" t="n">
        <f aca="false">MIN(Z20,Inputs!$E$8)*Inputs!$E$10*Inputs!$E$11*1</f>
        <v>457.92</v>
      </c>
      <c r="AA21" s="117" t="n">
        <f aca="false">MIN(AA20,Inputs!$E$8)*Inputs!$E$10*Inputs!$E$11*1</f>
        <v>485.3952</v>
      </c>
      <c r="AB21" s="117" t="n">
        <f aca="false">MIN(AB20,Inputs!$E$8)*Inputs!$E$10*Inputs!$E$11*1</f>
        <v>485.3952</v>
      </c>
      <c r="AC21" s="117" t="n">
        <f aca="false">MIN(AC20,Inputs!$E$8)*Inputs!$E$10*Inputs!$E$11*1</f>
        <v>485.3952</v>
      </c>
      <c r="AD21" s="117" t="n">
        <f aca="false">MIN(AD20,Inputs!$E$8)*Inputs!$E$10*Inputs!$E$11*1</f>
        <v>485.3952</v>
      </c>
      <c r="AE21" s="117" t="n">
        <f aca="false">MIN(AE20,Inputs!$E$8)*Inputs!$E$10*Inputs!$E$11*1</f>
        <v>485.3952</v>
      </c>
      <c r="AF21" s="117" t="n">
        <f aca="false">MIN(AF20,Inputs!$E$8)*Inputs!$E$10*Inputs!$E$11*1</f>
        <v>485.3952</v>
      </c>
      <c r="AG21" s="117" t="n">
        <f aca="false">MIN(AG20,Inputs!$E$8)*Inputs!$E$10*Inputs!$E$11*1</f>
        <v>485.3952</v>
      </c>
      <c r="AH21" s="117" t="n">
        <f aca="false">MIN(AH20,Inputs!$E$8)*Inputs!$E$10*Inputs!$E$11*1</f>
        <v>485.3952</v>
      </c>
      <c r="AI21" s="117" t="n">
        <f aca="false">MIN(AI20,Inputs!$E$8)*Inputs!$E$10*Inputs!$E$11*1</f>
        <v>485.3952</v>
      </c>
      <c r="AJ21" s="117" t="n">
        <f aca="false">MIN(AJ20,Inputs!$E$8)*Inputs!$E$10*Inputs!$E$11*1</f>
        <v>485.3952</v>
      </c>
      <c r="AK21" s="117" t="n">
        <f aca="false">MIN(AK20,Inputs!$E$8)*Inputs!$E$10*Inputs!$E$11*1</f>
        <v>485.3952</v>
      </c>
      <c r="AL21" s="117" t="n">
        <f aca="false">MIN(AL20,Inputs!$E$8)*Inputs!$E$10*Inputs!$E$11*1</f>
        <v>485.3952</v>
      </c>
    </row>
    <row r="22" customFormat="false" ht="15" hidden="false" customHeight="false" outlineLevel="0" collapsed="false">
      <c r="A22" s="6" t="s">
        <v>422</v>
      </c>
      <c r="C22" s="117" t="n">
        <f aca="false">C14*Inputs!$E$22/12*1</f>
        <v>375.958333333333</v>
      </c>
      <c r="D22" s="117" t="n">
        <f aca="false">D14*Inputs!$E$22/12*1</f>
        <v>377.861583333333</v>
      </c>
      <c r="E22" s="117" t="n">
        <f aca="false">E14*Inputs!$E$22/12*1</f>
        <v>379.738187833333</v>
      </c>
      <c r="F22" s="117" t="n">
        <f aca="false">F14*Inputs!$E$22/12*1</f>
        <v>381.588519870333</v>
      </c>
      <c r="G22" s="117" t="n">
        <f aca="false">G14*Inputs!$E$22/12*1</f>
        <v>383.412947258815</v>
      </c>
      <c r="H22" s="117" t="n">
        <f aca="false">H14*Inputs!$E$22/12*1</f>
        <v>385.211832663859</v>
      </c>
      <c r="I22" s="117" t="n">
        <f aca="false">I14*Inputs!$E$22/12*1</f>
        <v>386.985533673231</v>
      </c>
      <c r="J22" s="117" t="n">
        <f aca="false">J14*Inputs!$E$22/12*1</f>
        <v>388.734402868473</v>
      </c>
      <c r="K22" s="117" t="n">
        <f aca="false">K14*Inputs!$E$22/12*1</f>
        <v>390.458787894981</v>
      </c>
      <c r="L22" s="117" t="n">
        <f aca="false">L14*Inputs!$E$22/12*1</f>
        <v>392.159031531118</v>
      </c>
      <c r="M22" s="117" t="n">
        <f aca="false">M14*Inputs!$E$22/12*1</f>
        <v>393.835471756349</v>
      </c>
      <c r="N22" s="117" t="n">
        <f aca="false">N14*Inputs!$E$22/12*1</f>
        <v>395.488441818427</v>
      </c>
      <c r="O22" s="117" t="n">
        <f aca="false">O14*Inputs!$E$22/12*1</f>
        <v>397.312436966302</v>
      </c>
      <c r="P22" s="117" t="n">
        <f aca="false">P14*Inputs!$E$22/12*1</f>
        <v>399.305062848774</v>
      </c>
      <c r="Q22" s="117" t="n">
        <f aca="false">Q14*Inputs!$E$22/12*1</f>
        <v>401.269791968891</v>
      </c>
      <c r="R22" s="117" t="n">
        <f aca="false">R14*Inputs!$E$22/12*1</f>
        <v>403.207014881326</v>
      </c>
      <c r="S22" s="117" t="n">
        <f aca="false">S14*Inputs!$E$22/12*1</f>
        <v>405.117116672988</v>
      </c>
      <c r="T22" s="117" t="n">
        <f aca="false">T14*Inputs!$E$22/12*1</f>
        <v>407.000477039566</v>
      </c>
      <c r="U22" s="117" t="n">
        <f aca="false">U14*Inputs!$E$22/12*1</f>
        <v>408.857470361012</v>
      </c>
      <c r="V22" s="117" t="n">
        <f aca="false">V14*Inputs!$E$22/12*1</f>
        <v>410.688465775958</v>
      </c>
      <c r="W22" s="117" t="n">
        <f aca="false">W14*Inputs!$E$22/12*1</f>
        <v>412.493827255095</v>
      </c>
      <c r="X22" s="117" t="n">
        <f aca="false">X14*Inputs!$E$22/12*1</f>
        <v>414.273913673523</v>
      </c>
      <c r="Y22" s="117" t="n">
        <f aca="false">Y14*Inputs!$E$22/12*1</f>
        <v>416.029078882094</v>
      </c>
      <c r="Z22" s="117" t="n">
        <f aca="false">Z14*Inputs!$E$22/12*1</f>
        <v>417.759671777745</v>
      </c>
      <c r="AA22" s="117" t="n">
        <f aca="false">AA14*Inputs!$E$22/12*1</f>
        <v>419.670811372856</v>
      </c>
      <c r="AB22" s="117" t="n">
        <f aca="false">AB14*Inputs!$E$22/12*1</f>
        <v>421.759970013636</v>
      </c>
      <c r="AC22" s="117" t="n">
        <f aca="false">AC14*Inputs!$E$22/12*1</f>
        <v>423.819880433445</v>
      </c>
      <c r="AD22" s="117" t="n">
        <f aca="false">AD14*Inputs!$E$22/12*1</f>
        <v>425.850952107377</v>
      </c>
      <c r="AE22" s="117" t="n">
        <f aca="false">AE14*Inputs!$E$22/12*1</f>
        <v>427.853588777874</v>
      </c>
      <c r="AF22" s="117" t="n">
        <f aca="false">AF14*Inputs!$E$22/12*1</f>
        <v>429.828188534983</v>
      </c>
      <c r="AG22" s="117" t="n">
        <f aca="false">AG14*Inputs!$E$22/12*1</f>
        <v>431.775143895494</v>
      </c>
      <c r="AH22" s="117" t="n">
        <f aca="false">AH14*Inputs!$E$22/12*1</f>
        <v>433.694841880957</v>
      </c>
      <c r="AI22" s="117" t="n">
        <f aca="false">AI14*Inputs!$E$22/12*1</f>
        <v>435.587664094623</v>
      </c>
      <c r="AJ22" s="117" t="n">
        <f aca="false">AJ14*Inputs!$E$22/12*1</f>
        <v>437.453986797298</v>
      </c>
      <c r="AK22" s="117" t="n">
        <f aca="false">AK14*Inputs!$E$22/12*1</f>
        <v>439.294180982136</v>
      </c>
      <c r="AL22" s="117" t="n">
        <f aca="false">AL14*Inputs!$E$22/12*1</f>
        <v>441.108612448386</v>
      </c>
    </row>
    <row r="23" customFormat="false" ht="15" hidden="false" customHeight="false" outlineLevel="0" collapsed="false">
      <c r="A23" s="4" t="s">
        <v>423</v>
      </c>
      <c r="C23" s="118" t="n">
        <f aca="false">MIN(C21,C22)</f>
        <v>375.958333333333</v>
      </c>
      <c r="D23" s="118" t="n">
        <f aca="false">MIN(D21,D22)</f>
        <v>377.861583333333</v>
      </c>
      <c r="E23" s="118" t="n">
        <f aca="false">MIN(E21,E22)</f>
        <v>379.738187833333</v>
      </c>
      <c r="F23" s="118" t="n">
        <f aca="false">MIN(F21,F22)</f>
        <v>381.588519870333</v>
      </c>
      <c r="G23" s="118" t="n">
        <f aca="false">MIN(G21,G22)</f>
        <v>383.412947258815</v>
      </c>
      <c r="H23" s="118" t="n">
        <f aca="false">MIN(H21,H22)</f>
        <v>385.211832663859</v>
      </c>
      <c r="I23" s="118" t="n">
        <f aca="false">MIN(I21,I22)</f>
        <v>386.985533673231</v>
      </c>
      <c r="J23" s="118" t="n">
        <f aca="false">MIN(J21,J22)</f>
        <v>388.734402868473</v>
      </c>
      <c r="K23" s="118" t="n">
        <f aca="false">MIN(K21,K22)</f>
        <v>390.458787894981</v>
      </c>
      <c r="L23" s="118" t="n">
        <f aca="false">MIN(L21,L22)</f>
        <v>392.159031531118</v>
      </c>
      <c r="M23" s="118" t="n">
        <f aca="false">MIN(M21,M22)</f>
        <v>393.835471756349</v>
      </c>
      <c r="N23" s="118" t="n">
        <f aca="false">MIN(N21,N22)</f>
        <v>395.488441818427</v>
      </c>
      <c r="O23" s="118" t="n">
        <f aca="false">MIN(O21,O22)</f>
        <v>397.312436966302</v>
      </c>
      <c r="P23" s="118" t="n">
        <f aca="false">MIN(P21,P22)</f>
        <v>399.305062848774</v>
      </c>
      <c r="Q23" s="118" t="n">
        <f aca="false">MIN(Q21,Q22)</f>
        <v>401.269791968891</v>
      </c>
      <c r="R23" s="118" t="n">
        <f aca="false">MIN(R21,R22)</f>
        <v>403.207014881326</v>
      </c>
      <c r="S23" s="118" t="n">
        <f aca="false">MIN(S21,S22)</f>
        <v>405.117116672988</v>
      </c>
      <c r="T23" s="118" t="n">
        <f aca="false">MIN(T21,T22)</f>
        <v>407.000477039566</v>
      </c>
      <c r="U23" s="118" t="n">
        <f aca="false">MIN(U21,U22)</f>
        <v>408.857470361012</v>
      </c>
      <c r="V23" s="118" t="n">
        <f aca="false">MIN(V21,V22)</f>
        <v>410.688465775958</v>
      </c>
      <c r="W23" s="118" t="n">
        <f aca="false">MIN(W21,W22)</f>
        <v>412.493827255095</v>
      </c>
      <c r="X23" s="118" t="n">
        <f aca="false">MIN(X21,X22)</f>
        <v>414.273913673523</v>
      </c>
      <c r="Y23" s="118" t="n">
        <f aca="false">MIN(Y21,Y22)</f>
        <v>416.029078882094</v>
      </c>
      <c r="Z23" s="118" t="n">
        <f aca="false">MIN(Z21,Z22)</f>
        <v>417.759671777745</v>
      </c>
      <c r="AA23" s="118" t="n">
        <f aca="false">MIN(AA21,AA22)</f>
        <v>419.670811372856</v>
      </c>
      <c r="AB23" s="118" t="n">
        <f aca="false">MIN(AB21,AB22)</f>
        <v>421.759970013636</v>
      </c>
      <c r="AC23" s="118" t="n">
        <f aca="false">MIN(AC21,AC22)</f>
        <v>423.819880433445</v>
      </c>
      <c r="AD23" s="118" t="n">
        <f aca="false">MIN(AD21,AD22)</f>
        <v>425.850952107377</v>
      </c>
      <c r="AE23" s="118" t="n">
        <f aca="false">MIN(AE21,AE22)</f>
        <v>427.853588777874</v>
      </c>
      <c r="AF23" s="118" t="n">
        <f aca="false">MIN(AF21,AF22)</f>
        <v>429.828188534983</v>
      </c>
      <c r="AG23" s="118" t="n">
        <f aca="false">MIN(AG21,AG22)</f>
        <v>431.775143895494</v>
      </c>
      <c r="AH23" s="118" t="n">
        <f aca="false">MIN(AH21,AH22)</f>
        <v>433.694841880957</v>
      </c>
      <c r="AI23" s="118" t="n">
        <f aca="false">MIN(AI21,AI22)</f>
        <v>435.587664094623</v>
      </c>
      <c r="AJ23" s="118" t="n">
        <f aca="false">MIN(AJ21,AJ22)</f>
        <v>437.453986797298</v>
      </c>
      <c r="AK23" s="118" t="n">
        <f aca="false">MIN(AK21,AK22)</f>
        <v>439.294180982136</v>
      </c>
      <c r="AL23" s="118" t="n">
        <f aca="false">MIN(AL21,AL22)</f>
        <v>441.108612448386</v>
      </c>
    </row>
    <row r="25" customFormat="false" ht="15.75" hidden="false" customHeight="true" outlineLevel="0" collapsed="false">
      <c r="A25" s="7" t="s">
        <v>424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customFormat="false" ht="15" hidden="false" customHeight="false" outlineLevel="0" collapsed="false">
      <c r="A26" s="6" t="s">
        <v>425</v>
      </c>
      <c r="C26" s="67" t="n">
        <f aca="false">C19*Inputs!$E$26*(1+Inputs!$E$28)^(C$5-1)</f>
        <v>114037.458333333</v>
      </c>
      <c r="D26" s="67" t="n">
        <f aca="false">D19*Inputs!$E$26*(1+Inputs!$E$28)^(D$5-1)</f>
        <v>114518.980583333</v>
      </c>
      <c r="E26" s="67" t="n">
        <f aca="false">E19*Inputs!$E$26*(1+Inputs!$E$28)^(E$5-1)</f>
        <v>114993.761521833</v>
      </c>
      <c r="F26" s="67" t="n">
        <f aca="false">F19*Inputs!$E$26*(1+Inputs!$E$28)^(F$5-1)</f>
        <v>115461.895527194</v>
      </c>
      <c r="G26" s="67" t="n">
        <f aca="false">G19*Inputs!$E$26*(1+Inputs!$E$28)^(G$5-1)</f>
        <v>115923.47565648</v>
      </c>
      <c r="H26" s="67" t="n">
        <f aca="false">H19*Inputs!$E$26*(1+Inputs!$E$28)^(H$5-1)</f>
        <v>116378.593663956</v>
      </c>
      <c r="I26" s="67" t="n">
        <f aca="false">I19*Inputs!$E$26*(1+Inputs!$E$28)^(I$5-1)</f>
        <v>116827.340019328</v>
      </c>
      <c r="J26" s="67" t="n">
        <f aca="false">J19*Inputs!$E$26*(1+Inputs!$E$28)^(J$5-1)</f>
        <v>117269.803925724</v>
      </c>
      <c r="K26" s="67" t="n">
        <f aca="false">K19*Inputs!$E$26*(1+Inputs!$E$28)^(K$5-1)</f>
        <v>117706.07333743</v>
      </c>
      <c r="L26" s="67" t="n">
        <f aca="false">L19*Inputs!$E$26*(1+Inputs!$E$28)^(L$5-1)</f>
        <v>118136.234977373</v>
      </c>
      <c r="M26" s="67" t="n">
        <f aca="false">M19*Inputs!$E$26*(1+Inputs!$E$28)^(M$5-1)</f>
        <v>118560.374354356</v>
      </c>
      <c r="N26" s="67" t="n">
        <f aca="false">N19*Inputs!$E$26*(1+Inputs!$E$28)^(N$5-1)</f>
        <v>118978.575780062</v>
      </c>
      <c r="O26" s="67" t="n">
        <f aca="false">O19*Inputs!$E$26*(1+Inputs!$E$28)^(O$5-1)</f>
        <v>124079.203949049</v>
      </c>
      <c r="P26" s="67" t="n">
        <f aca="false">P19*Inputs!$E$26*(1+Inputs!$E$28)^(P$5-1)</f>
        <v>124598.462327762</v>
      </c>
      <c r="Q26" s="67" t="n">
        <f aca="false">Q19*Inputs!$E$26*(1+Inputs!$E$28)^(Q$5-1)</f>
        <v>125110.451089173</v>
      </c>
      <c r="R26" s="67" t="n">
        <f aca="false">R19*Inputs!$E$26*(1+Inputs!$E$28)^(R$5-1)</f>
        <v>125615.272007925</v>
      </c>
      <c r="S26" s="67" t="n">
        <f aca="false">S19*Inputs!$E$26*(1+Inputs!$E$28)^(S$5-1)</f>
        <v>126113.025433814</v>
      </c>
      <c r="T26" s="67" t="n">
        <f aca="false">T19*Inputs!$E$26*(1+Inputs!$E$28)^(T$5-1)</f>
        <v>126603.81031174</v>
      </c>
      <c r="U26" s="67" t="n">
        <f aca="false">U19*Inputs!$E$26*(1+Inputs!$E$28)^(U$5-1)</f>
        <v>127087.724201376</v>
      </c>
      <c r="V26" s="67" t="n">
        <f aca="false">V19*Inputs!$E$26*(1+Inputs!$E$28)^(V$5-1)</f>
        <v>127564.863296557</v>
      </c>
      <c r="W26" s="67" t="n">
        <f aca="false">W19*Inputs!$E$26*(1+Inputs!$E$28)^(W$5-1)</f>
        <v>128035.322444405</v>
      </c>
      <c r="X26" s="67" t="n">
        <f aca="false">X19*Inputs!$E$26*(1+Inputs!$E$28)^(X$5-1)</f>
        <v>128499.195164183</v>
      </c>
      <c r="Y26" s="67" t="n">
        <f aca="false">Y19*Inputs!$E$26*(1+Inputs!$E$28)^(Y$5-1)</f>
        <v>128956.573665885</v>
      </c>
      <c r="Z26" s="67" t="n">
        <f aca="false">Z19*Inputs!$E$26*(1+Inputs!$E$28)^(Z$5-1)</f>
        <v>129407.548868562</v>
      </c>
      <c r="AA26" s="67" t="n">
        <f aca="false">AA19*Inputs!$E$26*(1+Inputs!$E$28)^(AA$5-1)</f>
        <v>134949.797728522</v>
      </c>
      <c r="AB26" s="67" t="n">
        <f aca="false">AB19*Inputs!$E$26*(1+Inputs!$E$28)^(AB$5-1)</f>
        <v>135510.543994229</v>
      </c>
      <c r="AC26" s="67" t="n">
        <f aca="false">AC19*Inputs!$E$26*(1+Inputs!$E$28)^(AC$5-1)</f>
        <v>136063.439812216</v>
      </c>
      <c r="AD26" s="67" t="n">
        <f aca="false">AD19*Inputs!$E$26*(1+Inputs!$E$28)^(AD$5-1)</f>
        <v>136608.595088751</v>
      </c>
      <c r="AE26" s="67" t="n">
        <f aca="false">AE19*Inputs!$E$26*(1+Inputs!$E$28)^(AE$5-1)</f>
        <v>137146.118191415</v>
      </c>
      <c r="AF26" s="67" t="n">
        <f aca="false">AF19*Inputs!$E$26*(1+Inputs!$E$28)^(AF$5-1)</f>
        <v>137676.115970641</v>
      </c>
      <c r="AG26" s="67" t="n">
        <f aca="false">AG19*Inputs!$E$26*(1+Inputs!$E$28)^(AG$5-1)</f>
        <v>138198.693780958</v>
      </c>
      <c r="AH26" s="67" t="n">
        <f aca="false">AH19*Inputs!$E$26*(1+Inputs!$E$28)^(AH$5-1)</f>
        <v>138713.955501931</v>
      </c>
      <c r="AI26" s="67" t="n">
        <f aca="false">AI19*Inputs!$E$26*(1+Inputs!$E$28)^(AI$5-1)</f>
        <v>139222.00355881</v>
      </c>
      <c r="AJ26" s="67" t="n">
        <f aca="false">AJ19*Inputs!$E$26*(1+Inputs!$E$28)^(AJ$5-1)</f>
        <v>139722.938942893</v>
      </c>
      <c r="AK26" s="67" t="n">
        <f aca="false">AK19*Inputs!$E$26*(1+Inputs!$E$28)^(AK$5-1)</f>
        <v>140216.861231599</v>
      </c>
      <c r="AL26" s="67" t="n">
        <f aca="false">AL19*Inputs!$E$26*(1+Inputs!$E$28)^(AL$5-1)</f>
        <v>140703.868608263</v>
      </c>
    </row>
    <row r="27" customFormat="false" ht="15" hidden="false" customHeight="false" outlineLevel="0" collapsed="false">
      <c r="A27" s="6" t="s">
        <v>426</v>
      </c>
      <c r="C27" s="67" t="n">
        <f aca="false">C23*Inputs!$E$27*(1+Inputs!$E$28)^(C$5-1)</f>
        <v>75191.6666666667</v>
      </c>
      <c r="D27" s="67" t="n">
        <f aca="false">D23*Inputs!$E$27*(1+Inputs!$E$28)^(D$5-1)</f>
        <v>75572.3166666667</v>
      </c>
      <c r="E27" s="67" t="n">
        <f aca="false">E23*Inputs!$E$27*(1+Inputs!$E$28)^(E$5-1)</f>
        <v>75947.6375666667</v>
      </c>
      <c r="F27" s="67" t="n">
        <f aca="false">F23*Inputs!$E$27*(1+Inputs!$E$28)^(F$5-1)</f>
        <v>76317.7039740667</v>
      </c>
      <c r="G27" s="67" t="n">
        <f aca="false">G23*Inputs!$E$27*(1+Inputs!$E$28)^(G$5-1)</f>
        <v>76682.5894517631</v>
      </c>
      <c r="H27" s="67" t="n">
        <f aca="false">H23*Inputs!$E$27*(1+Inputs!$E$28)^(H$5-1)</f>
        <v>77042.3665327717</v>
      </c>
      <c r="I27" s="67" t="n">
        <f aca="false">I23*Inputs!$E$27*(1+Inputs!$E$28)^(I$5-1)</f>
        <v>77397.1067346463</v>
      </c>
      <c r="J27" s="67" t="n">
        <f aca="false">J23*Inputs!$E$27*(1+Inputs!$E$28)^(J$5-1)</f>
        <v>77746.8805736946</v>
      </c>
      <c r="K27" s="67" t="n">
        <f aca="false">K23*Inputs!$E$27*(1+Inputs!$E$28)^(K$5-1)</f>
        <v>78091.7575789962</v>
      </c>
      <c r="L27" s="67" t="n">
        <f aca="false">L23*Inputs!$E$27*(1+Inputs!$E$28)^(L$5-1)</f>
        <v>78431.8063062236</v>
      </c>
      <c r="M27" s="67" t="n">
        <f aca="false">M23*Inputs!$E$27*(1+Inputs!$E$28)^(M$5-1)</f>
        <v>78767.0943512697</v>
      </c>
      <c r="N27" s="67" t="n">
        <f aca="false">N23*Inputs!$E$27*(1+Inputs!$E$28)^(N$5-1)</f>
        <v>79097.6883636853</v>
      </c>
      <c r="O27" s="67" t="n">
        <f aca="false">O23*Inputs!$E$27*(1+Inputs!$E$28)^(O$5-1)</f>
        <v>81846.3620150582</v>
      </c>
      <c r="P27" s="67" t="n">
        <f aca="false">P23*Inputs!$E$27*(1+Inputs!$E$28)^(P$5-1)</f>
        <v>82256.8429468474</v>
      </c>
      <c r="Q27" s="67" t="n">
        <f aca="false">Q23*Inputs!$E$27*(1+Inputs!$E$28)^(Q$5-1)</f>
        <v>82661.5771455915</v>
      </c>
      <c r="R27" s="67" t="n">
        <f aca="false">R23*Inputs!$E$27*(1+Inputs!$E$28)^(R$5-1)</f>
        <v>83060.6450655532</v>
      </c>
      <c r="S27" s="67" t="n">
        <f aca="false">S23*Inputs!$E$27*(1+Inputs!$E$28)^(S$5-1)</f>
        <v>83454.1260346355</v>
      </c>
      <c r="T27" s="67" t="n">
        <f aca="false">T23*Inputs!$E$27*(1+Inputs!$E$28)^(T$5-1)</f>
        <v>83842.0982701506</v>
      </c>
      <c r="U27" s="67" t="n">
        <f aca="false">U23*Inputs!$E$27*(1+Inputs!$E$28)^(U$5-1)</f>
        <v>84224.6388943685</v>
      </c>
      <c r="V27" s="67" t="n">
        <f aca="false">V23*Inputs!$E$27*(1+Inputs!$E$28)^(V$5-1)</f>
        <v>84601.8239498473</v>
      </c>
      <c r="W27" s="67" t="n">
        <f aca="false">W23*Inputs!$E$27*(1+Inputs!$E$28)^(W$5-1)</f>
        <v>84973.7284145495</v>
      </c>
      <c r="X27" s="67" t="n">
        <f aca="false">X23*Inputs!$E$27*(1+Inputs!$E$28)^(X$5-1)</f>
        <v>85340.4262167458</v>
      </c>
      <c r="Y27" s="67" t="n">
        <f aca="false">Y23*Inputs!$E$27*(1+Inputs!$E$28)^(Y$5-1)</f>
        <v>85701.9902497113</v>
      </c>
      <c r="Z27" s="67" t="n">
        <f aca="false">Z23*Inputs!$E$27*(1+Inputs!$E$28)^(Z$5-1)</f>
        <v>86058.4923862154</v>
      </c>
      <c r="AA27" s="67" t="n">
        <f aca="false">AA23*Inputs!$E$27*(1+Inputs!$E$28)^(AA$5-1)</f>
        <v>89045.7527570926</v>
      </c>
      <c r="AB27" s="67" t="n">
        <f aca="false">AB23*Inputs!$E$27*(1+Inputs!$E$28)^(AB$5-1)</f>
        <v>89489.0304374933</v>
      </c>
      <c r="AC27" s="67" t="n">
        <f aca="false">AC23*Inputs!$E$27*(1+Inputs!$E$28)^(AC$5-1)</f>
        <v>89926.1022303684</v>
      </c>
      <c r="AD27" s="67" t="n">
        <f aca="false">AD23*Inputs!$E$27*(1+Inputs!$E$28)^(AD$5-1)</f>
        <v>90357.0550181432</v>
      </c>
      <c r="AE27" s="67" t="n">
        <f aca="false">AE23*Inputs!$E$27*(1+Inputs!$E$28)^(AE$5-1)</f>
        <v>90781.9744668892</v>
      </c>
      <c r="AF27" s="67" t="n">
        <f aca="false">AF23*Inputs!$E$27*(1+Inputs!$E$28)^(AF$5-1)</f>
        <v>91200.9450433527</v>
      </c>
      <c r="AG27" s="67" t="n">
        <f aca="false">AG23*Inputs!$E$27*(1+Inputs!$E$28)^(AG$5-1)</f>
        <v>91614.0500317458</v>
      </c>
      <c r="AH27" s="67" t="n">
        <f aca="false">AH23*Inputs!$E$27*(1+Inputs!$E$28)^(AH$5-1)</f>
        <v>92021.3715503014</v>
      </c>
      <c r="AI27" s="67" t="n">
        <f aca="false">AI23*Inputs!$E$27*(1+Inputs!$E$28)^(AI$5-1)</f>
        <v>92422.9905675972</v>
      </c>
      <c r="AJ27" s="67" t="n">
        <f aca="false">AJ23*Inputs!$E$27*(1+Inputs!$E$28)^(AJ$5-1)</f>
        <v>92818.9869186508</v>
      </c>
      <c r="AK27" s="67" t="n">
        <f aca="false">AK23*Inputs!$E$27*(1+Inputs!$E$28)^(AK$5-1)</f>
        <v>93209.4393207897</v>
      </c>
      <c r="AL27" s="67" t="n">
        <f aca="false">AL23*Inputs!$E$27*(1+Inputs!$E$28)^(AL$5-1)</f>
        <v>93594.4253892986</v>
      </c>
    </row>
    <row r="28" customFormat="false" ht="15" hidden="false" customHeight="false" outlineLevel="0" collapsed="false">
      <c r="A28" s="4" t="s">
        <v>240</v>
      </c>
      <c r="C28" s="73" t="n">
        <f aca="false">C26+C27</f>
        <v>189229.125</v>
      </c>
      <c r="D28" s="73" t="n">
        <f aca="false">D26+D27</f>
        <v>190091.29725</v>
      </c>
      <c r="E28" s="73" t="n">
        <f aca="false">E26+E27</f>
        <v>190941.3990885</v>
      </c>
      <c r="F28" s="73" t="n">
        <f aca="false">F26+F27</f>
        <v>191779.599501261</v>
      </c>
      <c r="G28" s="73" t="n">
        <f aca="false">G26+G27</f>
        <v>192606.065108243</v>
      </c>
      <c r="H28" s="73" t="n">
        <f aca="false">H26+H27</f>
        <v>193420.960196728</v>
      </c>
      <c r="I28" s="73" t="n">
        <f aca="false">I26+I27</f>
        <v>194224.446753974</v>
      </c>
      <c r="J28" s="73" t="n">
        <f aca="false">J26+J27</f>
        <v>195016.684499418</v>
      </c>
      <c r="K28" s="73" t="n">
        <f aca="false">K26+K27</f>
        <v>195797.830916426</v>
      </c>
      <c r="L28" s="73" t="n">
        <f aca="false">L26+L27</f>
        <v>196568.041283596</v>
      </c>
      <c r="M28" s="73" t="n">
        <f aca="false">M26+M27</f>
        <v>197327.468705626</v>
      </c>
      <c r="N28" s="73" t="n">
        <f aca="false">N26+N27</f>
        <v>198076.264143747</v>
      </c>
      <c r="O28" s="73" t="n">
        <f aca="false">O26+O27</f>
        <v>205925.565964107</v>
      </c>
      <c r="P28" s="73" t="n">
        <f aca="false">P26+P27</f>
        <v>206855.305274609</v>
      </c>
      <c r="Q28" s="73" t="n">
        <f aca="false">Q26+Q27</f>
        <v>207772.028234765</v>
      </c>
      <c r="R28" s="73" t="n">
        <f aca="false">R26+R27</f>
        <v>208675.917073478</v>
      </c>
      <c r="S28" s="73" t="n">
        <f aca="false">S26+S27</f>
        <v>209567.151468449</v>
      </c>
      <c r="T28" s="73" t="n">
        <f aca="false">T26+T27</f>
        <v>210445.908581891</v>
      </c>
      <c r="U28" s="73" t="n">
        <f aca="false">U26+U27</f>
        <v>211312.363095745</v>
      </c>
      <c r="V28" s="73" t="n">
        <f aca="false">V26+V27</f>
        <v>212166.687246404</v>
      </c>
      <c r="W28" s="73" t="n">
        <f aca="false">W26+W27</f>
        <v>213009.050858955</v>
      </c>
      <c r="X28" s="73" t="n">
        <f aca="false">X26+X27</f>
        <v>213839.621380929</v>
      </c>
      <c r="Y28" s="73" t="n">
        <f aca="false">Y26+Y27</f>
        <v>214658.563915596</v>
      </c>
      <c r="Z28" s="73" t="n">
        <f aca="false">Z26+Z27</f>
        <v>215466.041254778</v>
      </c>
      <c r="AA28" s="73" t="n">
        <f aca="false">AA26+AA27</f>
        <v>223995.550485615</v>
      </c>
      <c r="AB28" s="73" t="n">
        <f aca="false">AB26+AB27</f>
        <v>224999.574431722</v>
      </c>
      <c r="AC28" s="73" t="n">
        <f aca="false">AC26+AC27</f>
        <v>225989.542042584</v>
      </c>
      <c r="AD28" s="73" t="n">
        <f aca="false">AD26+AD27</f>
        <v>226965.650106894</v>
      </c>
      <c r="AE28" s="73" t="n">
        <f aca="false">AE26+AE27</f>
        <v>227928.092658304</v>
      </c>
      <c r="AF28" s="73" t="n">
        <f aca="false">AF26+AF27</f>
        <v>228877.061013994</v>
      </c>
      <c r="AG28" s="73" t="n">
        <f aca="false">AG26+AG27</f>
        <v>229812.743812704</v>
      </c>
      <c r="AH28" s="73" t="n">
        <f aca="false">AH26+AH27</f>
        <v>230735.327052233</v>
      </c>
      <c r="AI28" s="73" t="n">
        <f aca="false">AI26+AI27</f>
        <v>231644.994126408</v>
      </c>
      <c r="AJ28" s="73" t="n">
        <f aca="false">AJ26+AJ27</f>
        <v>232541.925861544</v>
      </c>
      <c r="AK28" s="73" t="n">
        <f aca="false">AK26+AK27</f>
        <v>233426.300552389</v>
      </c>
      <c r="AL28" s="73" t="n">
        <f aca="false">AL26+AL27</f>
        <v>234298.293997561</v>
      </c>
    </row>
    <row r="29" customFormat="false" ht="15" hidden="false" customHeight="false" outlineLevel="0" collapsed="false">
      <c r="A29" s="6" t="s">
        <v>427</v>
      </c>
      <c r="C29" s="67" t="n">
        <f aca="false">-C28*Inputs!$E$31*Inputs!$E$32</f>
        <v>-26019.0046875</v>
      </c>
      <c r="D29" s="67" t="n">
        <f aca="false">-D28*Inputs!$E$31*Inputs!$E$32</f>
        <v>-26137.553371875</v>
      </c>
      <c r="E29" s="67" t="n">
        <f aca="false">-E28*Inputs!$E$31*Inputs!$E$32</f>
        <v>-26254.4423746688</v>
      </c>
      <c r="F29" s="67" t="n">
        <f aca="false">-F28*Inputs!$E$31*Inputs!$E$32</f>
        <v>-26369.6949314234</v>
      </c>
      <c r="G29" s="67" t="n">
        <f aca="false">-G28*Inputs!$E$31*Inputs!$E$32</f>
        <v>-26483.3339523835</v>
      </c>
      <c r="H29" s="67" t="n">
        <f aca="false">-H28*Inputs!$E$31*Inputs!$E$32</f>
        <v>-26595.3820270501</v>
      </c>
      <c r="I29" s="67" t="n">
        <f aca="false">-I28*Inputs!$E$31*Inputs!$E$32</f>
        <v>-26705.8614286714</v>
      </c>
      <c r="J29" s="67" t="n">
        <f aca="false">-J28*Inputs!$E$31*Inputs!$E$32</f>
        <v>-26814.79411867</v>
      </c>
      <c r="K29" s="67" t="n">
        <f aca="false">-K28*Inputs!$E$31*Inputs!$E$32</f>
        <v>-26922.2017510086</v>
      </c>
      <c r="L29" s="67" t="n">
        <f aca="false">-L28*Inputs!$E$31*Inputs!$E$32</f>
        <v>-27028.1056764945</v>
      </c>
      <c r="M29" s="67" t="n">
        <f aca="false">-M28*Inputs!$E$31*Inputs!$E$32</f>
        <v>-27132.5269470236</v>
      </c>
      <c r="N29" s="67" t="n">
        <f aca="false">-N28*Inputs!$E$31*Inputs!$E$32</f>
        <v>-27235.4863197652</v>
      </c>
      <c r="O29" s="67" t="n">
        <f aca="false">-O28*Inputs!$E$31*Inputs!$E$32</f>
        <v>-28314.7653200647</v>
      </c>
      <c r="P29" s="67" t="n">
        <f aca="false">-P28*Inputs!$E$31*Inputs!$E$32</f>
        <v>-28442.6044752588</v>
      </c>
      <c r="Q29" s="67" t="n">
        <f aca="false">-Q28*Inputs!$E$31*Inputs!$E$32</f>
        <v>-28568.6538822802</v>
      </c>
      <c r="R29" s="67" t="n">
        <f aca="false">-R28*Inputs!$E$31*Inputs!$E$32</f>
        <v>-28692.9385976032</v>
      </c>
      <c r="S29" s="67" t="n">
        <f aca="false">-S28*Inputs!$E$31*Inputs!$E$32</f>
        <v>-28815.4833269118</v>
      </c>
      <c r="T29" s="67" t="n">
        <f aca="false">-T28*Inputs!$E$31*Inputs!$E$32</f>
        <v>-28936.31243001</v>
      </c>
      <c r="U29" s="67" t="n">
        <f aca="false">-U28*Inputs!$E$31*Inputs!$E$32</f>
        <v>-29055.4499256649</v>
      </c>
      <c r="V29" s="67" t="n">
        <f aca="false">-V28*Inputs!$E$31*Inputs!$E$32</f>
        <v>-29172.9194963806</v>
      </c>
      <c r="W29" s="67" t="n">
        <f aca="false">-W28*Inputs!$E$31*Inputs!$E$32</f>
        <v>-29288.7444931063</v>
      </c>
      <c r="X29" s="67" t="n">
        <f aca="false">-X28*Inputs!$E$31*Inputs!$E$32</f>
        <v>-29402.9479398778</v>
      </c>
      <c r="Y29" s="67" t="n">
        <f aca="false">-Y28*Inputs!$E$31*Inputs!$E$32</f>
        <v>-29515.5525383945</v>
      </c>
      <c r="Z29" s="67" t="n">
        <f aca="false">-Z28*Inputs!$E$31*Inputs!$E$32</f>
        <v>-29626.580672532</v>
      </c>
      <c r="AA29" s="67" t="n">
        <f aca="false">-AA28*Inputs!$E$31*Inputs!$E$32</f>
        <v>-30799.388191772</v>
      </c>
      <c r="AB29" s="67" t="n">
        <f aca="false">-AB28*Inputs!$E$31*Inputs!$E$32</f>
        <v>-30937.4414843618</v>
      </c>
      <c r="AC29" s="67" t="n">
        <f aca="false">-AC28*Inputs!$E$31*Inputs!$E$32</f>
        <v>-31073.5620308554</v>
      </c>
      <c r="AD29" s="67" t="n">
        <f aca="false">-AD28*Inputs!$E$31*Inputs!$E$32</f>
        <v>-31207.776889698</v>
      </c>
      <c r="AE29" s="67" t="n">
        <f aca="false">-AE28*Inputs!$E$31*Inputs!$E$32</f>
        <v>-31340.1127405168</v>
      </c>
      <c r="AF29" s="67" t="n">
        <f aca="false">-AF28*Inputs!$E$31*Inputs!$E$32</f>
        <v>-31470.5958894242</v>
      </c>
      <c r="AG29" s="67" t="n">
        <f aca="false">-AG28*Inputs!$E$31*Inputs!$E$32</f>
        <v>-31599.2522742468</v>
      </c>
      <c r="AH29" s="67" t="n">
        <f aca="false">-AH28*Inputs!$E$31*Inputs!$E$32</f>
        <v>-31726.107469682</v>
      </c>
      <c r="AI29" s="67" t="n">
        <f aca="false">-AI28*Inputs!$E$31*Inputs!$E$32</f>
        <v>-31851.186692381</v>
      </c>
      <c r="AJ29" s="67" t="n">
        <f aca="false">-AJ28*Inputs!$E$31*Inputs!$E$32</f>
        <v>-31974.5148059623</v>
      </c>
      <c r="AK29" s="67" t="n">
        <f aca="false">-AK28*Inputs!$E$31*Inputs!$E$32</f>
        <v>-32096.1163259534</v>
      </c>
      <c r="AL29" s="67" t="n">
        <f aca="false">-AL28*Inputs!$E$31*Inputs!$E$32</f>
        <v>-32216.0154246647</v>
      </c>
    </row>
    <row r="30" customFormat="false" ht="15" hidden="false" customHeight="false" outlineLevel="0" collapsed="false">
      <c r="A30" s="6" t="s">
        <v>428</v>
      </c>
      <c r="C30" s="67" t="n">
        <f aca="false">-(C28+C29)*Inputs!$E$33</f>
        <v>-2448.1518046875</v>
      </c>
      <c r="D30" s="67" t="n">
        <f aca="false">-(D28+D29)*Inputs!$E$33</f>
        <v>-2459.30615817188</v>
      </c>
      <c r="E30" s="67" t="n">
        <f aca="false">-(E28+E29)*Inputs!$E$33</f>
        <v>-2470.30435070747</v>
      </c>
      <c r="F30" s="67" t="n">
        <f aca="false">-(F28+F29)*Inputs!$E$33</f>
        <v>-2481.14856854756</v>
      </c>
      <c r="G30" s="67" t="n">
        <f aca="false">-(G28+G29)*Inputs!$E$33</f>
        <v>-2491.8409673379</v>
      </c>
      <c r="H30" s="67" t="n">
        <f aca="false">-(H28+H29)*Inputs!$E$33</f>
        <v>-2502.38367254517</v>
      </c>
      <c r="I30" s="67" t="n">
        <f aca="false">-(I28+I29)*Inputs!$E$33</f>
        <v>-2512.77877987954</v>
      </c>
      <c r="J30" s="67" t="n">
        <f aca="false">-(J28+J29)*Inputs!$E$33</f>
        <v>-2523.02835571122</v>
      </c>
      <c r="K30" s="67" t="n">
        <f aca="false">-(K28+K29)*Inputs!$E$33</f>
        <v>-2533.13443748126</v>
      </c>
      <c r="L30" s="67" t="n">
        <f aca="false">-(L28+L29)*Inputs!$E$33</f>
        <v>-2543.09903410653</v>
      </c>
      <c r="M30" s="67" t="n">
        <f aca="false">-(M28+M29)*Inputs!$E$33</f>
        <v>-2552.92412637904</v>
      </c>
      <c r="N30" s="67" t="n">
        <f aca="false">-(N28+N29)*Inputs!$E$33</f>
        <v>-2562.61166735973</v>
      </c>
      <c r="O30" s="67" t="n">
        <f aca="false">-(O28+O29)*Inputs!$E$33</f>
        <v>-2664.16200966063</v>
      </c>
      <c r="P30" s="67" t="n">
        <f aca="false">-(P28+P29)*Inputs!$E$33</f>
        <v>-2676.19051199026</v>
      </c>
      <c r="Q30" s="67" t="n">
        <f aca="false">-(Q28+Q29)*Inputs!$E$33</f>
        <v>-2688.05061528727</v>
      </c>
      <c r="R30" s="67" t="n">
        <f aca="false">-(R28+R29)*Inputs!$E$33</f>
        <v>-2699.74467713812</v>
      </c>
      <c r="S30" s="67" t="n">
        <f aca="false">-(S28+S29)*Inputs!$E$33</f>
        <v>-2711.27502212306</v>
      </c>
      <c r="T30" s="67" t="n">
        <f aca="false">-(T28+T29)*Inputs!$E$33</f>
        <v>-2722.64394227822</v>
      </c>
      <c r="U30" s="67" t="n">
        <f aca="false">-(U28+U29)*Inputs!$E$33</f>
        <v>-2733.8536975512</v>
      </c>
      <c r="V30" s="67" t="n">
        <f aca="false">-(V28+V29)*Inputs!$E$33</f>
        <v>-2744.90651625035</v>
      </c>
      <c r="W30" s="67" t="n">
        <f aca="false">-(W28+W29)*Inputs!$E$33</f>
        <v>-2755.80459548773</v>
      </c>
      <c r="X30" s="67" t="n">
        <f aca="false">-(X28+X29)*Inputs!$E$33</f>
        <v>-2766.55010161577</v>
      </c>
      <c r="Y30" s="67" t="n">
        <f aca="false">-(Y28+Y29)*Inputs!$E$33</f>
        <v>-2777.14517065802</v>
      </c>
      <c r="Z30" s="67" t="n">
        <f aca="false">-(Z28+Z29)*Inputs!$E$33</f>
        <v>-2787.59190873369</v>
      </c>
      <c r="AA30" s="67" t="n">
        <f aca="false">-(AA28+AA29)*Inputs!$E$33</f>
        <v>-2897.94243440764</v>
      </c>
      <c r="AB30" s="67" t="n">
        <f aca="false">-(AB28+AB29)*Inputs!$E$33</f>
        <v>-2910.93199421041</v>
      </c>
      <c r="AC30" s="67" t="n">
        <f aca="false">-(AC28+AC29)*Inputs!$E$33</f>
        <v>-2923.73970017594</v>
      </c>
      <c r="AD30" s="67" t="n">
        <f aca="false">-(AD28+AD29)*Inputs!$E$33</f>
        <v>-2936.36809825795</v>
      </c>
      <c r="AE30" s="67" t="n">
        <f aca="false">-(AE28+AE29)*Inputs!$E$33</f>
        <v>-2948.81969876681</v>
      </c>
      <c r="AF30" s="67" t="n">
        <f aca="false">-(AF28+AF29)*Inputs!$E$33</f>
        <v>-2961.09697686855</v>
      </c>
      <c r="AG30" s="67" t="n">
        <f aca="false">-(AG28+AG29)*Inputs!$E$33</f>
        <v>-2973.20237307686</v>
      </c>
      <c r="AH30" s="67" t="n">
        <f aca="false">-(AH28+AH29)*Inputs!$E$33</f>
        <v>-2985.13829373826</v>
      </c>
      <c r="AI30" s="67" t="n">
        <f aca="false">-(AI28+AI29)*Inputs!$E$33</f>
        <v>-2996.9071115104</v>
      </c>
      <c r="AJ30" s="67" t="n">
        <f aca="false">-(AJ28+AJ29)*Inputs!$E$33</f>
        <v>-3008.51116583373</v>
      </c>
      <c r="AK30" s="67" t="n">
        <f aca="false">-(AK28+AK29)*Inputs!$E$33</f>
        <v>-3019.95276339653</v>
      </c>
      <c r="AL30" s="67" t="n">
        <f aca="false">-(AL28+AL29)*Inputs!$E$33</f>
        <v>-3031.23417859345</v>
      </c>
    </row>
    <row r="31" customFormat="false" ht="15" hidden="false" customHeight="false" outlineLevel="0" collapsed="false">
      <c r="A31" s="111" t="s">
        <v>244</v>
      </c>
      <c r="C31" s="68" t="n">
        <f aca="false">C28+C29+C30</f>
        <v>160761.968507812</v>
      </c>
      <c r="D31" s="68" t="n">
        <f aca="false">D28+D29+D30</f>
        <v>161494.437719953</v>
      </c>
      <c r="E31" s="68" t="n">
        <f aca="false">E28+E29+E30</f>
        <v>162216.652363124</v>
      </c>
      <c r="F31" s="68" t="n">
        <f aca="false">F28+F29+F30</f>
        <v>162928.75600129</v>
      </c>
      <c r="G31" s="68" t="n">
        <f aca="false">G28+G29+G30</f>
        <v>163630.890188522</v>
      </c>
      <c r="H31" s="68" t="n">
        <f aca="false">H28+H29+H30</f>
        <v>164323.194497133</v>
      </c>
      <c r="I31" s="68" t="n">
        <f aca="false">I28+I29+I30</f>
        <v>165005.806545423</v>
      </c>
      <c r="J31" s="68" t="n">
        <f aca="false">J28+J29+J30</f>
        <v>165678.862025037</v>
      </c>
      <c r="K31" s="68" t="n">
        <f aca="false">K28+K29+K30</f>
        <v>166342.494727936</v>
      </c>
      <c r="L31" s="68" t="n">
        <f aca="false">L28+L29+L30</f>
        <v>166996.836572995</v>
      </c>
      <c r="M31" s="68" t="n">
        <f aca="false">M28+M29+M30</f>
        <v>167642.017632223</v>
      </c>
      <c r="N31" s="68" t="n">
        <f aca="false">N28+N29+N30</f>
        <v>168278.166156622</v>
      </c>
      <c r="O31" s="68" t="n">
        <f aca="false">O28+O29+O30</f>
        <v>174946.638634382</v>
      </c>
      <c r="P31" s="68" t="n">
        <f aca="false">P28+P29+P30</f>
        <v>175736.51028736</v>
      </c>
      <c r="Q31" s="68" t="n">
        <f aca="false">Q28+Q29+Q30</f>
        <v>176515.323737197</v>
      </c>
      <c r="R31" s="68" t="n">
        <f aca="false">R28+R29+R30</f>
        <v>177283.233798737</v>
      </c>
      <c r="S31" s="68" t="n">
        <f aca="false">S28+S29+S30</f>
        <v>178040.393119415</v>
      </c>
      <c r="T31" s="68" t="n">
        <f aca="false">T28+T29+T30</f>
        <v>178786.952209603</v>
      </c>
      <c r="U31" s="68" t="n">
        <f aca="false">U28+U29+U30</f>
        <v>179523.059472529</v>
      </c>
      <c r="V31" s="68" t="n">
        <f aca="false">V28+V29+V30</f>
        <v>180248.861233773</v>
      </c>
      <c r="W31" s="68" t="n">
        <f aca="false">W28+W29+W30</f>
        <v>180964.501770361</v>
      </c>
      <c r="X31" s="68" t="n">
        <f aca="false">X28+X29+X30</f>
        <v>181670.123339436</v>
      </c>
      <c r="Y31" s="68" t="n">
        <f aca="false">Y28+Y29+Y30</f>
        <v>182365.866206544</v>
      </c>
      <c r="Z31" s="68" t="n">
        <f aca="false">Z28+Z29+Z30</f>
        <v>183051.868673512</v>
      </c>
      <c r="AA31" s="68" t="n">
        <f aca="false">AA28+AA29+AA30</f>
        <v>190298.219859435</v>
      </c>
      <c r="AB31" s="68" t="n">
        <f aca="false">AB28+AB29+AB30</f>
        <v>191151.20095315</v>
      </c>
      <c r="AC31" s="68" t="n">
        <f aca="false">AC28+AC29+AC30</f>
        <v>191992.240311553</v>
      </c>
      <c r="AD31" s="68" t="n">
        <f aca="false">AD28+AD29+AD30</f>
        <v>192821.505118938</v>
      </c>
      <c r="AE31" s="68" t="n">
        <f aca="false">AE28+AE29+AE30</f>
        <v>193639.16021902</v>
      </c>
      <c r="AF31" s="68" t="n">
        <f aca="false">AF28+AF29+AF30</f>
        <v>194445.368147701</v>
      </c>
      <c r="AG31" s="68" t="n">
        <f aca="false">AG28+AG29+AG30</f>
        <v>195240.289165381</v>
      </c>
      <c r="AH31" s="68" t="n">
        <f aca="false">AH28+AH29+AH30</f>
        <v>196024.081288812</v>
      </c>
      <c r="AI31" s="68" t="n">
        <f aca="false">AI28+AI29+AI30</f>
        <v>196796.900322516</v>
      </c>
      <c r="AJ31" s="68" t="n">
        <f aca="false">AJ28+AJ29+AJ30</f>
        <v>197558.899889748</v>
      </c>
      <c r="AK31" s="68" t="n">
        <f aca="false">AK28+AK29+AK30</f>
        <v>198310.231463039</v>
      </c>
      <c r="AL31" s="68" t="n">
        <f aca="false">AL28+AL29+AL30</f>
        <v>199051.044394303</v>
      </c>
    </row>
    <row r="33" customFormat="false" ht="15.75" hidden="false" customHeight="true" outlineLevel="0" collapsed="false">
      <c r="A33" s="7" t="s">
        <v>75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429</v>
      </c>
      <c r="C34" s="67" t="n">
        <f aca="false">-C28*Inputs!$E$36</f>
        <v>-9272.227125</v>
      </c>
      <c r="D34" s="67" t="n">
        <f aca="false">-D28*Inputs!$E$36</f>
        <v>-9314.47356525</v>
      </c>
      <c r="E34" s="67" t="n">
        <f aca="false">-E28*Inputs!$E$36</f>
        <v>-9356.1285553365</v>
      </c>
      <c r="F34" s="67" t="n">
        <f aca="false">-F28*Inputs!$E$36</f>
        <v>-9397.20037556179</v>
      </c>
      <c r="G34" s="67" t="n">
        <f aca="false">-G28*Inputs!$E$36</f>
        <v>-9437.69719030393</v>
      </c>
      <c r="H34" s="67" t="n">
        <f aca="false">-H28*Inputs!$E$36</f>
        <v>-9477.62704963967</v>
      </c>
      <c r="I34" s="67" t="n">
        <f aca="false">-I28*Inputs!$E$36</f>
        <v>-9516.99789094472</v>
      </c>
      <c r="J34" s="67" t="n">
        <f aca="false">-J28*Inputs!$E$36</f>
        <v>-9555.81754047149</v>
      </c>
      <c r="K34" s="67" t="n">
        <f aca="false">-K28*Inputs!$E$36</f>
        <v>-9594.09371490489</v>
      </c>
      <c r="L34" s="67" t="n">
        <f aca="false">-L28*Inputs!$E$36</f>
        <v>-9631.83402289622</v>
      </c>
      <c r="M34" s="67" t="n">
        <f aca="false">-M28*Inputs!$E$36</f>
        <v>-9669.04596657567</v>
      </c>
      <c r="N34" s="67" t="n">
        <f aca="false">-N28*Inputs!$E$36</f>
        <v>-9705.73694304361</v>
      </c>
      <c r="O34" s="67" t="n">
        <f aca="false">-O28*Inputs!$E$36</f>
        <v>-10090.3527322412</v>
      </c>
      <c r="P34" s="67" t="n">
        <f aca="false">-P28*Inputs!$E$36</f>
        <v>-10135.9099584559</v>
      </c>
      <c r="Q34" s="67" t="n">
        <f aca="false">-Q28*Inputs!$E$36</f>
        <v>-10180.8293835035</v>
      </c>
      <c r="R34" s="67" t="n">
        <f aca="false">-R28*Inputs!$E$36</f>
        <v>-10225.1199366004</v>
      </c>
      <c r="S34" s="67" t="n">
        <f aca="false">-S28*Inputs!$E$36</f>
        <v>-10268.790421954</v>
      </c>
      <c r="T34" s="67" t="n">
        <f aca="false">-T28*Inputs!$E$36</f>
        <v>-10311.8495205127</v>
      </c>
      <c r="U34" s="67" t="n">
        <f aca="false">-U28*Inputs!$E$36</f>
        <v>-10354.3057916915</v>
      </c>
      <c r="V34" s="67" t="n">
        <f aca="false">-V28*Inputs!$E$36</f>
        <v>-10396.1676750738</v>
      </c>
      <c r="W34" s="67" t="n">
        <f aca="false">-W28*Inputs!$E$36</f>
        <v>-10437.4434920888</v>
      </c>
      <c r="X34" s="67" t="n">
        <f aca="false">-X28*Inputs!$E$36</f>
        <v>-10478.1414476655</v>
      </c>
      <c r="Y34" s="67" t="n">
        <f aca="false">-Y28*Inputs!$E$36</f>
        <v>-10518.2696318642</v>
      </c>
      <c r="Z34" s="67" t="n">
        <f aca="false">-Z28*Inputs!$E$36</f>
        <v>-10557.8360214841</v>
      </c>
      <c r="AA34" s="67" t="n">
        <f aca="false">-AA28*Inputs!$E$36</f>
        <v>-10975.7819737951</v>
      </c>
      <c r="AB34" s="67" t="n">
        <f aca="false">-AB28*Inputs!$E$36</f>
        <v>-11024.9791471544</v>
      </c>
      <c r="AC34" s="67" t="n">
        <f aca="false">-AC28*Inputs!$E$36</f>
        <v>-11073.4875600866</v>
      </c>
      <c r="AD34" s="67" t="n">
        <f aca="false">-AD28*Inputs!$E$36</f>
        <v>-11121.3168552378</v>
      </c>
      <c r="AE34" s="67" t="n">
        <f aca="false">-AE28*Inputs!$E$36</f>
        <v>-11168.4765402569</v>
      </c>
      <c r="AF34" s="67" t="n">
        <f aca="false">-AF28*Inputs!$E$36</f>
        <v>-11214.9759896857</v>
      </c>
      <c r="AG34" s="67" t="n">
        <f aca="false">-AG28*Inputs!$E$36</f>
        <v>-11260.8244468225</v>
      </c>
      <c r="AH34" s="67" t="n">
        <f aca="false">-AH28*Inputs!$E$36</f>
        <v>-11306.0310255594</v>
      </c>
      <c r="AI34" s="67" t="n">
        <f aca="false">-AI28*Inputs!$E$36</f>
        <v>-11350.604712194</v>
      </c>
      <c r="AJ34" s="67" t="n">
        <f aca="false">-AJ28*Inputs!$E$36</f>
        <v>-11394.5543672157</v>
      </c>
      <c r="AK34" s="67" t="n">
        <f aca="false">-AK28*Inputs!$E$36</f>
        <v>-11437.888727067</v>
      </c>
      <c r="AL34" s="67" t="n">
        <f aca="false">-AL28*Inputs!$E$36</f>
        <v>-11480.6164058805</v>
      </c>
    </row>
    <row r="35" customFormat="false" ht="15" hidden="false" customHeight="false" outlineLevel="0" collapsed="false">
      <c r="A35" s="6" t="s">
        <v>430</v>
      </c>
      <c r="C35" s="67" t="n">
        <f aca="false">-C26*Inputs!$E$37</f>
        <v>-11175.6709166667</v>
      </c>
      <c r="D35" s="67" t="n">
        <f aca="false">-D26*Inputs!$E$37</f>
        <v>-11222.8600971667</v>
      </c>
      <c r="E35" s="67" t="n">
        <f aca="false">-E26*Inputs!$E$37</f>
        <v>-11269.3886291397</v>
      </c>
      <c r="F35" s="67" t="n">
        <f aca="false">-F26*Inputs!$E$37</f>
        <v>-11315.265761665</v>
      </c>
      <c r="G35" s="67" t="n">
        <f aca="false">-G26*Inputs!$E$37</f>
        <v>-11360.5006143351</v>
      </c>
      <c r="H35" s="67" t="n">
        <f aca="false">-H26*Inputs!$E$37</f>
        <v>-11405.1021790677</v>
      </c>
      <c r="I35" s="67" t="n">
        <f aca="false">-I26*Inputs!$E$37</f>
        <v>-11449.0793218941</v>
      </c>
      <c r="J35" s="67" t="n">
        <f aca="false">-J26*Inputs!$E$37</f>
        <v>-11492.4407847209</v>
      </c>
      <c r="K35" s="67" t="n">
        <f aca="false">-K26*Inputs!$E$37</f>
        <v>-11535.1951870682</v>
      </c>
      <c r="L35" s="67" t="n">
        <f aca="false">-L26*Inputs!$E$37</f>
        <v>-11577.3510277825</v>
      </c>
      <c r="M35" s="67" t="n">
        <f aca="false">-M26*Inputs!$E$37</f>
        <v>-11618.9166867269</v>
      </c>
      <c r="N35" s="67" t="n">
        <f aca="false">-N26*Inputs!$E$37</f>
        <v>-11659.9004264461</v>
      </c>
      <c r="O35" s="67" t="n">
        <f aca="false">-O26*Inputs!$E$37</f>
        <v>-12159.7619870068</v>
      </c>
      <c r="P35" s="67" t="n">
        <f aca="false">-P26*Inputs!$E$37</f>
        <v>-12210.6493081207</v>
      </c>
      <c r="Q35" s="67" t="n">
        <f aca="false">-Q26*Inputs!$E$37</f>
        <v>-12260.824206739</v>
      </c>
      <c r="R35" s="67" t="n">
        <f aca="false">-R26*Inputs!$E$37</f>
        <v>-12310.2966567766</v>
      </c>
      <c r="S35" s="67" t="n">
        <f aca="false">-S26*Inputs!$E$37</f>
        <v>-12359.0764925138</v>
      </c>
      <c r="T35" s="67" t="n">
        <f aca="false">-T26*Inputs!$E$37</f>
        <v>-12407.1734105506</v>
      </c>
      <c r="U35" s="67" t="n">
        <f aca="false">-U26*Inputs!$E$37</f>
        <v>-12454.5969717349</v>
      </c>
      <c r="V35" s="67" t="n">
        <f aca="false">-V26*Inputs!$E$37</f>
        <v>-12501.3566030626</v>
      </c>
      <c r="W35" s="67" t="n">
        <f aca="false">-W26*Inputs!$E$37</f>
        <v>-12547.4615995517</v>
      </c>
      <c r="X35" s="67" t="n">
        <f aca="false">-X26*Inputs!$E$37</f>
        <v>-12592.92112609</v>
      </c>
      <c r="Y35" s="67" t="n">
        <f aca="false">-Y26*Inputs!$E$37</f>
        <v>-12637.7442192567</v>
      </c>
      <c r="Z35" s="67" t="n">
        <f aca="false">-Z26*Inputs!$E$37</f>
        <v>-12681.9397891191</v>
      </c>
      <c r="AA35" s="67" t="n">
        <f aca="false">-AA26*Inputs!$E$37</f>
        <v>-13225.0801773952</v>
      </c>
      <c r="AB35" s="67" t="n">
        <f aca="false">-AB26*Inputs!$E$37</f>
        <v>-13280.0333114344</v>
      </c>
      <c r="AC35" s="67" t="n">
        <f aca="false">-AC26*Inputs!$E$37</f>
        <v>-13334.2171015972</v>
      </c>
      <c r="AD35" s="67" t="n">
        <f aca="false">-AD26*Inputs!$E$37</f>
        <v>-13387.6423186976</v>
      </c>
      <c r="AE35" s="67" t="n">
        <f aca="false">-AE26*Inputs!$E$37</f>
        <v>-13440.3195827587</v>
      </c>
      <c r="AF35" s="67" t="n">
        <f aca="false">-AF26*Inputs!$E$37</f>
        <v>-13492.2593651228</v>
      </c>
      <c r="AG35" s="67" t="n">
        <f aca="false">-AG26*Inputs!$E$37</f>
        <v>-13543.4719905339</v>
      </c>
      <c r="AH35" s="67" t="n">
        <f aca="false">-AH26*Inputs!$E$37</f>
        <v>-13593.9676391893</v>
      </c>
      <c r="AI35" s="67" t="n">
        <f aca="false">-AI26*Inputs!$E$37</f>
        <v>-13643.7563487634</v>
      </c>
      <c r="AJ35" s="67" t="n">
        <f aca="false">-AJ26*Inputs!$E$37</f>
        <v>-13692.8480164035</v>
      </c>
      <c r="AK35" s="67" t="n">
        <f aca="false">-AK26*Inputs!$E$37</f>
        <v>-13741.2524006967</v>
      </c>
      <c r="AL35" s="67" t="n">
        <f aca="false">-AL26*Inputs!$E$37</f>
        <v>-13788.9791236097</v>
      </c>
    </row>
    <row r="36" customFormat="false" ht="15" hidden="false" customHeight="false" outlineLevel="0" collapsed="false">
      <c r="A36" s="6" t="s">
        <v>431</v>
      </c>
      <c r="C36" s="67" t="n">
        <f aca="false">-C31*Inputs!$E$38</f>
        <v>-1929.14362209375</v>
      </c>
      <c r="D36" s="67" t="n">
        <f aca="false">-D31*Inputs!$E$38</f>
        <v>-1937.93325263944</v>
      </c>
      <c r="E36" s="67" t="n">
        <f aca="false">-E31*Inputs!$E$38</f>
        <v>-1946.59982835749</v>
      </c>
      <c r="F36" s="67" t="n">
        <f aca="false">-F31*Inputs!$E$38</f>
        <v>-1955.14507201548</v>
      </c>
      <c r="G36" s="67" t="n">
        <f aca="false">-G31*Inputs!$E$38</f>
        <v>-1963.57068226226</v>
      </c>
      <c r="H36" s="67" t="n">
        <f aca="false">-H31*Inputs!$E$38</f>
        <v>-1971.87833396559</v>
      </c>
      <c r="I36" s="67" t="n">
        <f aca="false">-I31*Inputs!$E$38</f>
        <v>-1980.06967854507</v>
      </c>
      <c r="J36" s="67" t="n">
        <f aca="false">-J31*Inputs!$E$38</f>
        <v>-1988.14634430044</v>
      </c>
      <c r="K36" s="67" t="n">
        <f aca="false">-K31*Inputs!$E$38</f>
        <v>-1996.10993673524</v>
      </c>
      <c r="L36" s="67" t="n">
        <f aca="false">-L31*Inputs!$E$38</f>
        <v>-2003.96203887594</v>
      </c>
      <c r="M36" s="67" t="n">
        <f aca="false">-M31*Inputs!$E$38</f>
        <v>-2011.70421158668</v>
      </c>
      <c r="N36" s="67" t="n">
        <f aca="false">-N31*Inputs!$E$38</f>
        <v>-2019.33799387947</v>
      </c>
      <c r="O36" s="67" t="n">
        <f aca="false">-O31*Inputs!$E$38</f>
        <v>-2099.35966361258</v>
      </c>
      <c r="P36" s="67" t="n">
        <f aca="false">-P31*Inputs!$E$38</f>
        <v>-2108.83812344832</v>
      </c>
      <c r="Q36" s="67" t="n">
        <f aca="false">-Q31*Inputs!$E$38</f>
        <v>-2118.18388484637</v>
      </c>
      <c r="R36" s="67" t="n">
        <f aca="false">-R31*Inputs!$E$38</f>
        <v>-2127.39880558484</v>
      </c>
      <c r="S36" s="67" t="n">
        <f aca="false">-S31*Inputs!$E$38</f>
        <v>-2136.48471743297</v>
      </c>
      <c r="T36" s="67" t="n">
        <f aca="false">-T31*Inputs!$E$38</f>
        <v>-2145.44342651523</v>
      </c>
      <c r="U36" s="67" t="n">
        <f aca="false">-U31*Inputs!$E$38</f>
        <v>-2154.27671367034</v>
      </c>
      <c r="V36" s="67" t="n">
        <f aca="false">-V31*Inputs!$E$38</f>
        <v>-2162.98633480528</v>
      </c>
      <c r="W36" s="67" t="n">
        <f aca="false">-W31*Inputs!$E$38</f>
        <v>-2171.57402124433</v>
      </c>
      <c r="X36" s="67" t="n">
        <f aca="false">-X31*Inputs!$E$38</f>
        <v>-2180.04148007323</v>
      </c>
      <c r="Y36" s="67" t="n">
        <f aca="false">-Y31*Inputs!$E$38</f>
        <v>-2188.39039447852</v>
      </c>
      <c r="Z36" s="67" t="n">
        <f aca="false">-Z31*Inputs!$E$38</f>
        <v>-2196.62242408215</v>
      </c>
      <c r="AA36" s="67" t="n">
        <f aca="false">-AA31*Inputs!$E$38</f>
        <v>-2283.57863831322</v>
      </c>
      <c r="AB36" s="67" t="n">
        <f aca="false">-AB31*Inputs!$E$38</f>
        <v>-2293.8144114378</v>
      </c>
      <c r="AC36" s="67" t="n">
        <f aca="false">-AC31*Inputs!$E$38</f>
        <v>-2303.90688373864</v>
      </c>
      <c r="AD36" s="67" t="n">
        <f aca="false">-AD31*Inputs!$E$38</f>
        <v>-2313.85806142726</v>
      </c>
      <c r="AE36" s="67" t="n">
        <f aca="false">-AE31*Inputs!$E$38</f>
        <v>-2323.66992262825</v>
      </c>
      <c r="AF36" s="67" t="n">
        <f aca="false">-AF31*Inputs!$E$38</f>
        <v>-2333.34441777242</v>
      </c>
      <c r="AG36" s="67" t="n">
        <f aca="false">-AG31*Inputs!$E$38</f>
        <v>-2342.88346998457</v>
      </c>
      <c r="AH36" s="67" t="n">
        <f aca="false">-AH31*Inputs!$E$38</f>
        <v>-2352.28897546575</v>
      </c>
      <c r="AI36" s="67" t="n">
        <f aca="false">-AI31*Inputs!$E$38</f>
        <v>-2361.56280387019</v>
      </c>
      <c r="AJ36" s="67" t="n">
        <f aca="false">-AJ31*Inputs!$E$38</f>
        <v>-2370.70679867698</v>
      </c>
      <c r="AK36" s="67" t="n">
        <f aca="false">-AK31*Inputs!$E$38</f>
        <v>-2379.72277755646</v>
      </c>
      <c r="AL36" s="67" t="n">
        <f aca="false">-AL31*Inputs!$E$38</f>
        <v>-2388.61253273164</v>
      </c>
    </row>
    <row r="37" customFormat="false" ht="15" hidden="false" customHeight="false" outlineLevel="0" collapsed="false">
      <c r="A37" s="4" t="s">
        <v>75</v>
      </c>
      <c r="C37" s="73" t="n">
        <f aca="false">C34+C35+C36</f>
        <v>-22377.0416637604</v>
      </c>
      <c r="D37" s="73" t="n">
        <f aca="false">D34+D35+D36</f>
        <v>-22475.2669150561</v>
      </c>
      <c r="E37" s="73" t="n">
        <f aca="false">E34+E35+E36</f>
        <v>-22572.1170128337</v>
      </c>
      <c r="F37" s="73" t="n">
        <f aca="false">F34+F35+F36</f>
        <v>-22667.6112092423</v>
      </c>
      <c r="G37" s="73" t="n">
        <f aca="false">G34+G35+G36</f>
        <v>-22761.7684869013</v>
      </c>
      <c r="H37" s="73" t="n">
        <f aca="false">H34+H35+H36</f>
        <v>-22854.607562673</v>
      </c>
      <c r="I37" s="73" t="n">
        <f aca="false">I34+I35+I36</f>
        <v>-22946.1468913839</v>
      </c>
      <c r="J37" s="73" t="n">
        <f aca="false">J34+J35+J36</f>
        <v>-23036.4046694928</v>
      </c>
      <c r="K37" s="73" t="n">
        <f aca="false">K34+K35+K36</f>
        <v>-23125.3988387083</v>
      </c>
      <c r="L37" s="73" t="n">
        <f aca="false">L34+L35+L36</f>
        <v>-23213.1470895547</v>
      </c>
      <c r="M37" s="73" t="n">
        <f aca="false">M34+M35+M36</f>
        <v>-23299.6668648893</v>
      </c>
      <c r="N37" s="73" t="n">
        <f aca="false">N34+N35+N36</f>
        <v>-23384.9753633692</v>
      </c>
      <c r="O37" s="73" t="n">
        <f aca="false">O34+O35+O36</f>
        <v>-24349.4743828606</v>
      </c>
      <c r="P37" s="73" t="n">
        <f aca="false">P34+P35+P36</f>
        <v>-24455.3973900249</v>
      </c>
      <c r="Q37" s="73" t="n">
        <f aca="false">Q34+Q35+Q36</f>
        <v>-24559.8374750888</v>
      </c>
      <c r="R37" s="73" t="n">
        <f aca="false">R34+R35+R36</f>
        <v>-24662.8153989619</v>
      </c>
      <c r="S37" s="73" t="n">
        <f aca="false">S34+S35+S36</f>
        <v>-24764.3516319008</v>
      </c>
      <c r="T37" s="73" t="n">
        <f aca="false">T34+T35+T36</f>
        <v>-24864.4663575785</v>
      </c>
      <c r="U37" s="73" t="n">
        <f aca="false">U34+U35+U36</f>
        <v>-24963.1794770967</v>
      </c>
      <c r="V37" s="73" t="n">
        <f aca="false">V34+V35+V36</f>
        <v>-25060.5106129417</v>
      </c>
      <c r="W37" s="73" t="n">
        <f aca="false">W34+W35+W36</f>
        <v>-25156.4791128848</v>
      </c>
      <c r="X37" s="73" t="n">
        <f aca="false">X34+X35+X36</f>
        <v>-25251.1040538287</v>
      </c>
      <c r="Y37" s="73" t="n">
        <f aca="false">Y34+Y35+Y36</f>
        <v>-25344.4042455994</v>
      </c>
      <c r="Z37" s="73" t="n">
        <f aca="false">Z34+Z35+Z36</f>
        <v>-25436.3982346854</v>
      </c>
      <c r="AA37" s="73" t="n">
        <f aca="false">AA34+AA35+AA36</f>
        <v>-26484.4407895035</v>
      </c>
      <c r="AB37" s="73" t="n">
        <f aca="false">AB34+AB35+AB36</f>
        <v>-26598.8268700266</v>
      </c>
      <c r="AC37" s="73" t="n">
        <f aca="false">AC34+AC35+AC36</f>
        <v>-26711.6115454224</v>
      </c>
      <c r="AD37" s="73" t="n">
        <f aca="false">AD34+AD35+AD36</f>
        <v>-26822.8172353627</v>
      </c>
      <c r="AE37" s="73" t="n">
        <f aca="false">AE34+AE35+AE36</f>
        <v>-26932.4660456438</v>
      </c>
      <c r="AF37" s="73" t="n">
        <f aca="false">AF34+AF35+AF36</f>
        <v>-27040.579772581</v>
      </c>
      <c r="AG37" s="73" t="n">
        <f aca="false">AG34+AG35+AG36</f>
        <v>-27147.179907341</v>
      </c>
      <c r="AH37" s="73" t="n">
        <f aca="false">AH34+AH35+AH36</f>
        <v>-27252.2876402144</v>
      </c>
      <c r="AI37" s="73" t="n">
        <f aca="false">AI34+AI35+AI36</f>
        <v>-27355.9238648276</v>
      </c>
      <c r="AJ37" s="73" t="n">
        <f aca="false">AJ34+AJ35+AJ36</f>
        <v>-27458.1091822962</v>
      </c>
      <c r="AK37" s="73" t="n">
        <f aca="false">AK34+AK35+AK36</f>
        <v>-27558.8639053202</v>
      </c>
      <c r="AL37" s="73" t="n">
        <f aca="false">AL34+AL35+AL36</f>
        <v>-27658.2080622219</v>
      </c>
    </row>
    <row r="38" customFormat="false" ht="15" hidden="false" customHeight="false" outlineLevel="0" collapsed="false">
      <c r="A38" s="111" t="s">
        <v>45</v>
      </c>
      <c r="C38" s="68" t="n">
        <f aca="false">C31+C37</f>
        <v>138384.926844052</v>
      </c>
      <c r="D38" s="68" t="n">
        <f aca="false">D31+D37</f>
        <v>139019.170804897</v>
      </c>
      <c r="E38" s="68" t="n">
        <f aca="false">E31+E37</f>
        <v>139644.53535029</v>
      </c>
      <c r="F38" s="68" t="n">
        <f aca="false">F31+F37</f>
        <v>140261.144792048</v>
      </c>
      <c r="G38" s="68" t="n">
        <f aca="false">G31+G37</f>
        <v>140869.121701621</v>
      </c>
      <c r="H38" s="68" t="n">
        <f aca="false">H31+H37</f>
        <v>141468.58693446</v>
      </c>
      <c r="I38" s="68" t="n">
        <f aca="false">I31+I37</f>
        <v>142059.659654039</v>
      </c>
      <c r="J38" s="68" t="n">
        <f aca="false">J31+J37</f>
        <v>142642.457355544</v>
      </c>
      <c r="K38" s="68" t="n">
        <f aca="false">K31+K37</f>
        <v>143217.095889228</v>
      </c>
      <c r="L38" s="68" t="n">
        <f aca="false">L31+L37</f>
        <v>143783.689483441</v>
      </c>
      <c r="M38" s="68" t="n">
        <f aca="false">M31+M37</f>
        <v>144342.350767334</v>
      </c>
      <c r="N38" s="68" t="n">
        <f aca="false">N31+N37</f>
        <v>144893.190793253</v>
      </c>
      <c r="O38" s="68" t="n">
        <f aca="false">O31+O37</f>
        <v>150597.164251521</v>
      </c>
      <c r="P38" s="68" t="n">
        <f aca="false">P31+P37</f>
        <v>151281.112897335</v>
      </c>
      <c r="Q38" s="68" t="n">
        <f aca="false">Q31+Q37</f>
        <v>151955.486262109</v>
      </c>
      <c r="R38" s="68" t="n">
        <f aca="false">R31+R37</f>
        <v>152620.418399775</v>
      </c>
      <c r="S38" s="68" t="n">
        <f aca="false">S31+S37</f>
        <v>153276.041487514</v>
      </c>
      <c r="T38" s="68" t="n">
        <f aca="false">T31+T37</f>
        <v>153922.485852024</v>
      </c>
      <c r="U38" s="68" t="n">
        <f aca="false">U31+U37</f>
        <v>154559.879995432</v>
      </c>
      <c r="V38" s="68" t="n">
        <f aca="false">V31+V37</f>
        <v>155188.350620832</v>
      </c>
      <c r="W38" s="68" t="n">
        <f aca="false">W31+W37</f>
        <v>155808.022657476</v>
      </c>
      <c r="X38" s="68" t="n">
        <f aca="false">X31+X37</f>
        <v>156419.019285607</v>
      </c>
      <c r="Y38" s="68" t="n">
        <f aca="false">Y31+Y37</f>
        <v>157021.461960944</v>
      </c>
      <c r="Z38" s="68" t="n">
        <f aca="false">Z31+Z37</f>
        <v>157615.470438827</v>
      </c>
      <c r="AA38" s="68" t="n">
        <f aca="false">AA31+AA37</f>
        <v>163813.779069932</v>
      </c>
      <c r="AB38" s="68" t="n">
        <f aca="false">AB31+AB37</f>
        <v>164552.374083123</v>
      </c>
      <c r="AC38" s="68" t="n">
        <f aca="false">AC31+AC37</f>
        <v>165280.628766131</v>
      </c>
      <c r="AD38" s="68" t="n">
        <f aca="false">AD31+AD37</f>
        <v>165998.687883576</v>
      </c>
      <c r="AE38" s="68" t="n">
        <f aca="false">AE31+AE37</f>
        <v>166706.694173377</v>
      </c>
      <c r="AF38" s="68" t="n">
        <f aca="false">AF31+AF37</f>
        <v>167404.78837512</v>
      </c>
      <c r="AG38" s="68" t="n">
        <f aca="false">AG31+AG37</f>
        <v>168093.10925804</v>
      </c>
      <c r="AH38" s="68" t="n">
        <f aca="false">AH31+AH37</f>
        <v>168771.793648598</v>
      </c>
      <c r="AI38" s="68" t="n">
        <f aca="false">AI31+AI37</f>
        <v>169440.976457689</v>
      </c>
      <c r="AJ38" s="68" t="n">
        <f aca="false">AJ31+AJ37</f>
        <v>170100.790707452</v>
      </c>
      <c r="AK38" s="68" t="n">
        <f aca="false">AK31+AK37</f>
        <v>170751.367557718</v>
      </c>
      <c r="AL38" s="68" t="n">
        <f aca="false">AL31+AL37</f>
        <v>171392.836332081</v>
      </c>
    </row>
    <row r="40" customFormat="false" ht="15.75" hidden="false" customHeight="true" outlineLevel="0" collapsed="false">
      <c r="A40" s="7" t="s">
        <v>47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customFormat="false" ht="15" hidden="false" customHeight="false" outlineLevel="0" collapsed="false">
      <c r="A41" s="6" t="s">
        <v>355</v>
      </c>
      <c r="C41" s="69" t="n">
        <f aca="false">Headcount!C21</f>
        <v>-78970.8333333333</v>
      </c>
      <c r="D41" s="69" t="n">
        <f aca="false">Headcount!D21</f>
        <v>-78970.8333333333</v>
      </c>
      <c r="E41" s="69" t="n">
        <f aca="false">Headcount!E21</f>
        <v>-78970.8333333333</v>
      </c>
      <c r="F41" s="69" t="n">
        <f aca="false">Headcount!F21</f>
        <v>-78970.8333333333</v>
      </c>
      <c r="G41" s="69" t="n">
        <f aca="false">Headcount!G21</f>
        <v>-78970.8333333333</v>
      </c>
      <c r="H41" s="69" t="n">
        <f aca="false">Headcount!H21</f>
        <v>-78970.8333333333</v>
      </c>
      <c r="I41" s="69" t="n">
        <f aca="false">Headcount!I21</f>
        <v>-78970.8333333333</v>
      </c>
      <c r="J41" s="69" t="n">
        <f aca="false">Headcount!J21</f>
        <v>-78970.8333333333</v>
      </c>
      <c r="K41" s="69" t="n">
        <f aca="false">Headcount!K21</f>
        <v>-78970.8333333333</v>
      </c>
      <c r="L41" s="69" t="n">
        <f aca="false">Headcount!L21</f>
        <v>-78970.8333333333</v>
      </c>
      <c r="M41" s="69" t="n">
        <f aca="false">Headcount!M21</f>
        <v>-78970.8333333333</v>
      </c>
      <c r="N41" s="69" t="n">
        <f aca="false">Headcount!N21</f>
        <v>-78970.8333333333</v>
      </c>
      <c r="O41" s="69" t="n">
        <f aca="false">Headcount!O21</f>
        <v>-84200.7833333333</v>
      </c>
      <c r="P41" s="69" t="n">
        <f aca="false">Headcount!P21</f>
        <v>-84200.7833333333</v>
      </c>
      <c r="Q41" s="69" t="n">
        <f aca="false">Headcount!Q21</f>
        <v>-84200.7833333333</v>
      </c>
      <c r="R41" s="69" t="n">
        <f aca="false">Headcount!R21</f>
        <v>-84200.7833333333</v>
      </c>
      <c r="S41" s="69" t="n">
        <f aca="false">Headcount!S21</f>
        <v>-84200.7833333333</v>
      </c>
      <c r="T41" s="69" t="n">
        <f aca="false">Headcount!T21</f>
        <v>-84200.7833333333</v>
      </c>
      <c r="U41" s="69" t="n">
        <f aca="false">Headcount!U21</f>
        <v>-84200.7833333333</v>
      </c>
      <c r="V41" s="69" t="n">
        <f aca="false">Headcount!V21</f>
        <v>-84200.7833333333</v>
      </c>
      <c r="W41" s="69" t="n">
        <f aca="false">Headcount!W21</f>
        <v>-84200.7833333333</v>
      </c>
      <c r="X41" s="69" t="n">
        <f aca="false">Headcount!X21</f>
        <v>-84200.7833333333</v>
      </c>
      <c r="Y41" s="69" t="n">
        <f aca="false">Headcount!Y21</f>
        <v>-84200.7833333333</v>
      </c>
      <c r="Z41" s="69" t="n">
        <f aca="false">Headcount!Z21</f>
        <v>-84200.7833333333</v>
      </c>
      <c r="AA41" s="69" t="n">
        <f aca="false">Headcount!AA21</f>
        <v>-89824.9318853333</v>
      </c>
      <c r="AB41" s="69" t="n">
        <f aca="false">Headcount!AB21</f>
        <v>-89824.9318853333</v>
      </c>
      <c r="AC41" s="69" t="n">
        <f aca="false">Headcount!AC21</f>
        <v>-89824.9318853333</v>
      </c>
      <c r="AD41" s="69" t="n">
        <f aca="false">Headcount!AD21</f>
        <v>-89824.9318853333</v>
      </c>
      <c r="AE41" s="69" t="n">
        <f aca="false">Headcount!AE21</f>
        <v>-89824.9318853333</v>
      </c>
      <c r="AF41" s="69" t="n">
        <f aca="false">Headcount!AF21</f>
        <v>-89824.9318853333</v>
      </c>
      <c r="AG41" s="69" t="n">
        <f aca="false">Headcount!AG21</f>
        <v>-89824.9318853333</v>
      </c>
      <c r="AH41" s="69" t="n">
        <f aca="false">Headcount!AH21</f>
        <v>-89824.9318853333</v>
      </c>
      <c r="AI41" s="69" t="n">
        <f aca="false">Headcount!AI21</f>
        <v>-89824.9318853333</v>
      </c>
      <c r="AJ41" s="69" t="n">
        <f aca="false">Headcount!AJ21</f>
        <v>-89824.9318853333</v>
      </c>
      <c r="AK41" s="69" t="n">
        <f aca="false">Headcount!AK21</f>
        <v>-89824.9318853333</v>
      </c>
      <c r="AL41" s="69" t="n">
        <f aca="false">Headcount!AL21</f>
        <v>-89824.9318853333</v>
      </c>
    </row>
    <row r="42" customFormat="false" ht="15" hidden="false" customHeight="false" outlineLevel="0" collapsed="false">
      <c r="A42" s="6" t="s">
        <v>356</v>
      </c>
      <c r="C42" s="67" t="n">
        <f aca="false">-C31*C26/MAX(1,C28)*Inputs!$E$39*Inputs!$E$40</f>
        <v>-11625.8337834375</v>
      </c>
      <c r="D42" s="67" t="n">
        <f aca="false">-D31*D26/MAX(1,D28)*Inputs!$E$39*Inputs!$E$40</f>
        <v>-11674.9237730194</v>
      </c>
      <c r="E42" s="67" t="n">
        <f aca="false">-E31*E26/MAX(1,E28)*Inputs!$E$39*Inputs!$E$40</f>
        <v>-11723.3265027471</v>
      </c>
      <c r="F42" s="67" t="n">
        <f aca="false">-F31*F26/MAX(1,F28)*Inputs!$E$39*Inputs!$E$40</f>
        <v>-11771.0515942586</v>
      </c>
      <c r="G42" s="67" t="n">
        <f aca="false">-G31*G26/MAX(1,G28)*Inputs!$E$39*Inputs!$E$40</f>
        <v>-11818.108534489</v>
      </c>
      <c r="H42" s="67" t="n">
        <f aca="false">-H31*H26/MAX(1,H28)*Inputs!$E$39*Inputs!$E$40</f>
        <v>-11864.5066775562</v>
      </c>
      <c r="I42" s="67" t="n">
        <f aca="false">-I31*I26/MAX(1,I28)*Inputs!$E$39*Inputs!$E$40</f>
        <v>-11910.2552466204</v>
      </c>
      <c r="J42" s="67" t="n">
        <f aca="false">-J31*J26/MAX(1,J28)*Inputs!$E$39*Inputs!$E$40</f>
        <v>-11955.3633357177</v>
      </c>
      <c r="K42" s="67" t="n">
        <f aca="false">-K31*K26/MAX(1,K28)*Inputs!$E$39*Inputs!$E$40</f>
        <v>-11999.8399115677</v>
      </c>
      <c r="L42" s="67" t="n">
        <f aca="false">-L31*L26/MAX(1,L28)*Inputs!$E$39*Inputs!$E$40</f>
        <v>-12043.6938153557</v>
      </c>
      <c r="M42" s="67" t="n">
        <f aca="false">-M31*M26/MAX(1,M28)*Inputs!$E$39*Inputs!$E$40</f>
        <v>-12086.9337644907</v>
      </c>
      <c r="N42" s="67" t="n">
        <f aca="false">-N31*N26/MAX(1,N28)*Inputs!$E$39*Inputs!$E$40</f>
        <v>-12129.5683543379</v>
      </c>
      <c r="O42" s="67" t="n">
        <f aca="false">-O31*O26/MAX(1,O28)*Inputs!$E$39*Inputs!$E$40</f>
        <v>-12649.5646445956</v>
      </c>
      <c r="P42" s="67" t="n">
        <f aca="false">-P31*P26/MAX(1,P28)*Inputs!$E$39*Inputs!$E$40</f>
        <v>-12702.5017381595</v>
      </c>
      <c r="Q42" s="67" t="n">
        <f aca="false">-Q31*Q26/MAX(1,Q28)*Inputs!$E$39*Inputs!$E$40</f>
        <v>-12754.6977124135</v>
      </c>
      <c r="R42" s="67" t="n">
        <f aca="false">-R31*R26/MAX(1,R28)*Inputs!$E$39*Inputs!$E$40</f>
        <v>-12806.1629430279</v>
      </c>
      <c r="S42" s="67" t="n">
        <f aca="false">-S31*S26/MAX(1,S28)*Inputs!$E$39*Inputs!$E$40</f>
        <v>-12856.9076604137</v>
      </c>
      <c r="T42" s="67" t="n">
        <f aca="false">-T31*T26/MAX(1,T28)*Inputs!$E$39*Inputs!$E$40</f>
        <v>-12906.9419517562</v>
      </c>
      <c r="U42" s="67" t="n">
        <f aca="false">-U31*U26/MAX(1,U28)*Inputs!$E$39*Inputs!$E$40</f>
        <v>-12956.2757630198</v>
      </c>
      <c r="V42" s="67" t="n">
        <f aca="false">-V31*V26/MAX(1,V28)*Inputs!$E$39*Inputs!$E$40</f>
        <v>-13004.9189009257</v>
      </c>
      <c r="W42" s="67" t="n">
        <f aca="false">-W31*W26/MAX(1,W28)*Inputs!$E$39*Inputs!$E$40</f>
        <v>-13052.881034901</v>
      </c>
      <c r="X42" s="67" t="n">
        <f aca="false">-X31*X26/MAX(1,X28)*Inputs!$E$39*Inputs!$E$40</f>
        <v>-13100.1716990006</v>
      </c>
      <c r="Y42" s="67" t="n">
        <f aca="false">-Y31*Y26/MAX(1,Y28)*Inputs!$E$39*Inputs!$E$40</f>
        <v>-13146.8002938028</v>
      </c>
      <c r="Z42" s="67" t="n">
        <f aca="false">-Z31*Z26/MAX(1,Z28)*Inputs!$E$39*Inputs!$E$40</f>
        <v>-13192.7760882778</v>
      </c>
      <c r="AA42" s="67" t="n">
        <f aca="false">-AA31*AA26/MAX(1,AA28)*Inputs!$E$39*Inputs!$E$40</f>
        <v>-13757.7945039285</v>
      </c>
      <c r="AB42" s="67" t="n">
        <f aca="false">-AB31*AB26/MAX(1,AB28)*Inputs!$E$39*Inputs!$E$40</f>
        <v>-13814.9611838517</v>
      </c>
      <c r="AC42" s="67" t="n">
        <f aca="false">-AC31*AC26/MAX(1,AC28)*Inputs!$E$39*Inputs!$E$40</f>
        <v>-13871.3275302559</v>
      </c>
      <c r="AD42" s="67" t="n">
        <f aca="false">-AD31*AD26/MAX(1,AD28)*Inputs!$E$39*Inputs!$E$40</f>
        <v>-13926.9047478105</v>
      </c>
      <c r="AE42" s="67" t="n">
        <f aca="false">-AE31*AE26/MAX(1,AE28)*Inputs!$E$39*Inputs!$E$40</f>
        <v>-13981.7038843193</v>
      </c>
      <c r="AF42" s="67" t="n">
        <f aca="false">-AF31*AF26/MAX(1,AF28)*Inputs!$E$39*Inputs!$E$40</f>
        <v>-14035.7358329169</v>
      </c>
      <c r="AG42" s="67" t="n">
        <f aca="false">-AG31*AG26/MAX(1,AG28)*Inputs!$E$39*Inputs!$E$40</f>
        <v>-14089.0113342343</v>
      </c>
      <c r="AH42" s="67" t="n">
        <f aca="false">-AH31*AH26/MAX(1,AH28)*Inputs!$E$39*Inputs!$E$40</f>
        <v>-14141.5409785331</v>
      </c>
      <c r="AI42" s="67" t="n">
        <f aca="false">-AI31*AI26/MAX(1,AI28)*Inputs!$E$39*Inputs!$E$40</f>
        <v>-14193.3352078118</v>
      </c>
      <c r="AJ42" s="67" t="n">
        <f aca="false">-AJ31*AJ26/MAX(1,AJ28)*Inputs!$E$39*Inputs!$E$40</f>
        <v>-14244.4043178806</v>
      </c>
      <c r="AK42" s="67" t="n">
        <f aca="false">-AK31*AK26/MAX(1,AK28)*Inputs!$E$39*Inputs!$E$40</f>
        <v>-14294.7584604084</v>
      </c>
      <c r="AL42" s="67" t="n">
        <f aca="false">-AL31*AL26/MAX(1,AL28)*Inputs!$E$39*Inputs!$E$40</f>
        <v>-14344.4076449409</v>
      </c>
    </row>
    <row r="43" customFormat="false" ht="15" hidden="false" customHeight="false" outlineLevel="0" collapsed="false">
      <c r="A43" s="6" t="s">
        <v>357</v>
      </c>
      <c r="C43" s="67" t="n">
        <f aca="false">-Inputs!$E$17*(1+Inputs!$E$18)^(C$5-1)*1</f>
        <v>-7000</v>
      </c>
      <c r="D43" s="67" t="n">
        <f aca="false">-Inputs!$E$17*(1+Inputs!$E$18)^(D$5-1)*1</f>
        <v>-7000</v>
      </c>
      <c r="E43" s="67" t="n">
        <f aca="false">-Inputs!$E$17*(1+Inputs!$E$18)^(E$5-1)*1</f>
        <v>-7000</v>
      </c>
      <c r="F43" s="67" t="n">
        <f aca="false">-Inputs!$E$17*(1+Inputs!$E$18)^(F$5-1)*1</f>
        <v>-7000</v>
      </c>
      <c r="G43" s="67" t="n">
        <f aca="false">-Inputs!$E$17*(1+Inputs!$E$18)^(G$5-1)*1</f>
        <v>-7000</v>
      </c>
      <c r="H43" s="67" t="n">
        <f aca="false">-Inputs!$E$17*(1+Inputs!$E$18)^(H$5-1)*1</f>
        <v>-7000</v>
      </c>
      <c r="I43" s="67" t="n">
        <f aca="false">-Inputs!$E$17*(1+Inputs!$E$18)^(I$5-1)*1</f>
        <v>-7000</v>
      </c>
      <c r="J43" s="67" t="n">
        <f aca="false">-Inputs!$E$17*(1+Inputs!$E$18)^(J$5-1)*1</f>
        <v>-7000</v>
      </c>
      <c r="K43" s="67" t="n">
        <f aca="false">-Inputs!$E$17*(1+Inputs!$E$18)^(K$5-1)*1</f>
        <v>-7000</v>
      </c>
      <c r="L43" s="67" t="n">
        <f aca="false">-Inputs!$E$17*(1+Inputs!$E$18)^(L$5-1)*1</f>
        <v>-7000</v>
      </c>
      <c r="M43" s="67" t="n">
        <f aca="false">-Inputs!$E$17*(1+Inputs!$E$18)^(M$5-1)*1</f>
        <v>-7000</v>
      </c>
      <c r="N43" s="67" t="n">
        <f aca="false">-Inputs!$E$17*(1+Inputs!$E$18)^(N$5-1)*1</f>
        <v>-7000</v>
      </c>
      <c r="O43" s="67" t="n">
        <f aca="false">-Inputs!$E$17*(1+Inputs!$E$18)^(O$5-1)*1</f>
        <v>-7350</v>
      </c>
      <c r="P43" s="67" t="n">
        <f aca="false">-Inputs!$E$17*(1+Inputs!$E$18)^(P$5-1)*1</f>
        <v>-7350</v>
      </c>
      <c r="Q43" s="67" t="n">
        <f aca="false">-Inputs!$E$17*(1+Inputs!$E$18)^(Q$5-1)*1</f>
        <v>-7350</v>
      </c>
      <c r="R43" s="67" t="n">
        <f aca="false">-Inputs!$E$17*(1+Inputs!$E$18)^(R$5-1)*1</f>
        <v>-7350</v>
      </c>
      <c r="S43" s="67" t="n">
        <f aca="false">-Inputs!$E$17*(1+Inputs!$E$18)^(S$5-1)*1</f>
        <v>-7350</v>
      </c>
      <c r="T43" s="67" t="n">
        <f aca="false">-Inputs!$E$17*(1+Inputs!$E$18)^(T$5-1)*1</f>
        <v>-7350</v>
      </c>
      <c r="U43" s="67" t="n">
        <f aca="false">-Inputs!$E$17*(1+Inputs!$E$18)^(U$5-1)*1</f>
        <v>-7350</v>
      </c>
      <c r="V43" s="67" t="n">
        <f aca="false">-Inputs!$E$17*(1+Inputs!$E$18)^(V$5-1)*1</f>
        <v>-7350</v>
      </c>
      <c r="W43" s="67" t="n">
        <f aca="false">-Inputs!$E$17*(1+Inputs!$E$18)^(W$5-1)*1</f>
        <v>-7350</v>
      </c>
      <c r="X43" s="67" t="n">
        <f aca="false">-Inputs!$E$17*(1+Inputs!$E$18)^(X$5-1)*1</f>
        <v>-7350</v>
      </c>
      <c r="Y43" s="67" t="n">
        <f aca="false">-Inputs!$E$17*(1+Inputs!$E$18)^(Y$5-1)*1</f>
        <v>-7350</v>
      </c>
      <c r="Z43" s="67" t="n">
        <f aca="false">-Inputs!$E$17*(1+Inputs!$E$18)^(Z$5-1)*1</f>
        <v>-7350</v>
      </c>
      <c r="AA43" s="67" t="n">
        <f aca="false">-Inputs!$E$17*(1+Inputs!$E$18)^(AA$5-1)*1</f>
        <v>-7717.5</v>
      </c>
      <c r="AB43" s="67" t="n">
        <f aca="false">-Inputs!$E$17*(1+Inputs!$E$18)^(AB$5-1)*1</f>
        <v>-7717.5</v>
      </c>
      <c r="AC43" s="67" t="n">
        <f aca="false">-Inputs!$E$17*(1+Inputs!$E$18)^(AC$5-1)*1</f>
        <v>-7717.5</v>
      </c>
      <c r="AD43" s="67" t="n">
        <f aca="false">-Inputs!$E$17*(1+Inputs!$E$18)^(AD$5-1)*1</f>
        <v>-7717.5</v>
      </c>
      <c r="AE43" s="67" t="n">
        <f aca="false">-Inputs!$E$17*(1+Inputs!$E$18)^(AE$5-1)*1</f>
        <v>-7717.5</v>
      </c>
      <c r="AF43" s="67" t="n">
        <f aca="false">-Inputs!$E$17*(1+Inputs!$E$18)^(AF$5-1)*1</f>
        <v>-7717.5</v>
      </c>
      <c r="AG43" s="67" t="n">
        <f aca="false">-Inputs!$E$17*(1+Inputs!$E$18)^(AG$5-1)*1</f>
        <v>-7717.5</v>
      </c>
      <c r="AH43" s="67" t="n">
        <f aca="false">-Inputs!$E$17*(1+Inputs!$E$18)^(AH$5-1)*1</f>
        <v>-7717.5</v>
      </c>
      <c r="AI43" s="67" t="n">
        <f aca="false">-Inputs!$E$17*(1+Inputs!$E$18)^(AI$5-1)*1</f>
        <v>-7717.5</v>
      </c>
      <c r="AJ43" s="67" t="n">
        <f aca="false">-Inputs!$E$17*(1+Inputs!$E$18)^(AJ$5-1)*1</f>
        <v>-7717.5</v>
      </c>
      <c r="AK43" s="67" t="n">
        <f aca="false">-Inputs!$E$17*(1+Inputs!$E$18)^(AK$5-1)*1</f>
        <v>-7717.5</v>
      </c>
      <c r="AL43" s="67" t="n">
        <f aca="false">-Inputs!$E$17*(1+Inputs!$E$18)^(AL$5-1)*1</f>
        <v>-7717.5</v>
      </c>
    </row>
    <row r="44" customFormat="false" ht="15" hidden="false" customHeight="false" outlineLevel="0" collapsed="false">
      <c r="A44" s="6" t="s">
        <v>358</v>
      </c>
      <c r="C44" s="67" t="n">
        <f aca="false">-Inputs!$E$48*Inputs!$E$49/12*1</f>
        <v>-10000</v>
      </c>
      <c r="D44" s="67" t="n">
        <f aca="false">-Inputs!$E$48*Inputs!$E$49/12*1</f>
        <v>-10000</v>
      </c>
      <c r="E44" s="67" t="n">
        <f aca="false">-Inputs!$E$48*Inputs!$E$49/12*1</f>
        <v>-10000</v>
      </c>
      <c r="F44" s="67" t="n">
        <f aca="false">-Inputs!$E$48*Inputs!$E$49/12*1</f>
        <v>-10000</v>
      </c>
      <c r="G44" s="67" t="n">
        <f aca="false">-Inputs!$E$48*Inputs!$E$49/12*1</f>
        <v>-10000</v>
      </c>
      <c r="H44" s="67" t="n">
        <f aca="false">-Inputs!$E$48*Inputs!$E$49/12*1</f>
        <v>-10000</v>
      </c>
      <c r="I44" s="67" t="n">
        <f aca="false">-Inputs!$E$48*Inputs!$E$49/12*1</f>
        <v>-10000</v>
      </c>
      <c r="J44" s="67" t="n">
        <f aca="false">-Inputs!$E$48*Inputs!$E$49/12*1</f>
        <v>-10000</v>
      </c>
      <c r="K44" s="67" t="n">
        <f aca="false">-Inputs!$E$48*Inputs!$E$49/12*1</f>
        <v>-10000</v>
      </c>
      <c r="L44" s="67" t="n">
        <f aca="false">-Inputs!$E$48*Inputs!$E$49/12*1</f>
        <v>-10000</v>
      </c>
      <c r="M44" s="67" t="n">
        <f aca="false">-Inputs!$E$48*Inputs!$E$49/12*1</f>
        <v>-10000</v>
      </c>
      <c r="N44" s="67" t="n">
        <f aca="false">-Inputs!$E$48*Inputs!$E$49/12*1</f>
        <v>-10000</v>
      </c>
      <c r="O44" s="67" t="n">
        <f aca="false">-Inputs!$E$48*Inputs!$E$49/12*1</f>
        <v>-10000</v>
      </c>
      <c r="P44" s="67" t="n">
        <f aca="false">-Inputs!$E$48*Inputs!$E$49/12*1</f>
        <v>-10000</v>
      </c>
      <c r="Q44" s="67" t="n">
        <f aca="false">-Inputs!$E$48*Inputs!$E$49/12*1</f>
        <v>-10000</v>
      </c>
      <c r="R44" s="67" t="n">
        <f aca="false">-Inputs!$E$48*Inputs!$E$49/12*1</f>
        <v>-10000</v>
      </c>
      <c r="S44" s="67" t="n">
        <f aca="false">-Inputs!$E$48*Inputs!$E$49/12*1</f>
        <v>-10000</v>
      </c>
      <c r="T44" s="67" t="n">
        <f aca="false">-Inputs!$E$48*Inputs!$E$49/12*1</f>
        <v>-10000</v>
      </c>
      <c r="U44" s="67" t="n">
        <f aca="false">-Inputs!$E$48*Inputs!$E$49/12*1</f>
        <v>-10000</v>
      </c>
      <c r="V44" s="67" t="n">
        <f aca="false">-Inputs!$E$48*Inputs!$E$49/12*1</f>
        <v>-10000</v>
      </c>
      <c r="W44" s="67" t="n">
        <f aca="false">-Inputs!$E$48*Inputs!$E$49/12*1</f>
        <v>-10000</v>
      </c>
      <c r="X44" s="67" t="n">
        <f aca="false">-Inputs!$E$48*Inputs!$E$49/12*1</f>
        <v>-10000</v>
      </c>
      <c r="Y44" s="67" t="n">
        <f aca="false">-Inputs!$E$48*Inputs!$E$49/12*1</f>
        <v>-10000</v>
      </c>
      <c r="Z44" s="67" t="n">
        <f aca="false">-Inputs!$E$48*Inputs!$E$49/12*1</f>
        <v>-10000</v>
      </c>
      <c r="AA44" s="67" t="n">
        <f aca="false">-Inputs!$E$48*Inputs!$E$49/12*1</f>
        <v>-10000</v>
      </c>
      <c r="AB44" s="67" t="n">
        <f aca="false">-Inputs!$E$48*Inputs!$E$49/12*1</f>
        <v>-10000</v>
      </c>
      <c r="AC44" s="67" t="n">
        <f aca="false">-Inputs!$E$48*Inputs!$E$49/12*1</f>
        <v>-10000</v>
      </c>
      <c r="AD44" s="67" t="n">
        <f aca="false">-Inputs!$E$48*Inputs!$E$49/12*1</f>
        <v>-10000</v>
      </c>
      <c r="AE44" s="67" t="n">
        <f aca="false">-Inputs!$E$48*Inputs!$E$49/12*1</f>
        <v>-10000</v>
      </c>
      <c r="AF44" s="67" t="n">
        <f aca="false">-Inputs!$E$48*Inputs!$E$49/12*1</f>
        <v>-10000</v>
      </c>
      <c r="AG44" s="67" t="n">
        <f aca="false">-Inputs!$E$48*Inputs!$E$49/12*1</f>
        <v>-10000</v>
      </c>
      <c r="AH44" s="67" t="n">
        <f aca="false">-Inputs!$E$48*Inputs!$E$49/12*1</f>
        <v>-10000</v>
      </c>
      <c r="AI44" s="67" t="n">
        <f aca="false">-Inputs!$E$48*Inputs!$E$49/12*1</f>
        <v>-10000</v>
      </c>
      <c r="AJ44" s="67" t="n">
        <f aca="false">-Inputs!$E$48*Inputs!$E$49/12*1</f>
        <v>-10000</v>
      </c>
      <c r="AK44" s="67" t="n">
        <f aca="false">-Inputs!$E$48*Inputs!$E$49/12*1</f>
        <v>-10000</v>
      </c>
      <c r="AL44" s="67" t="n">
        <f aca="false">-Inputs!$E$48*Inputs!$E$49/12*1</f>
        <v>-10000</v>
      </c>
    </row>
    <row r="45" customFormat="false" ht="15" hidden="false" customHeight="false" outlineLevel="0" collapsed="false">
      <c r="A45" s="6" t="s">
        <v>359</v>
      </c>
      <c r="C45" s="67" t="n">
        <f aca="false">-Inputs!$E$41*1</f>
        <v>-1800</v>
      </c>
      <c r="D45" s="67" t="n">
        <f aca="false">-Inputs!$E$41*1</f>
        <v>-1800</v>
      </c>
      <c r="E45" s="67" t="n">
        <f aca="false">-Inputs!$E$41*1</f>
        <v>-1800</v>
      </c>
      <c r="F45" s="67" t="n">
        <f aca="false">-Inputs!$E$41*1</f>
        <v>-1800</v>
      </c>
      <c r="G45" s="67" t="n">
        <f aca="false">-Inputs!$E$41*1</f>
        <v>-1800</v>
      </c>
      <c r="H45" s="67" t="n">
        <f aca="false">-Inputs!$E$41*1</f>
        <v>-1800</v>
      </c>
      <c r="I45" s="67" t="n">
        <f aca="false">-Inputs!$E$41*1</f>
        <v>-1800</v>
      </c>
      <c r="J45" s="67" t="n">
        <f aca="false">-Inputs!$E$41*1</f>
        <v>-1800</v>
      </c>
      <c r="K45" s="67" t="n">
        <f aca="false">-Inputs!$E$41*1</f>
        <v>-1800</v>
      </c>
      <c r="L45" s="67" t="n">
        <f aca="false">-Inputs!$E$41*1</f>
        <v>-1800</v>
      </c>
      <c r="M45" s="67" t="n">
        <f aca="false">-Inputs!$E$41*1</f>
        <v>-1800</v>
      </c>
      <c r="N45" s="67" t="n">
        <f aca="false">-Inputs!$E$41*1</f>
        <v>-1800</v>
      </c>
      <c r="O45" s="67" t="n">
        <f aca="false">-Inputs!$E$41*1</f>
        <v>-1800</v>
      </c>
      <c r="P45" s="67" t="n">
        <f aca="false">-Inputs!$E$41*1</f>
        <v>-1800</v>
      </c>
      <c r="Q45" s="67" t="n">
        <f aca="false">-Inputs!$E$41*1</f>
        <v>-1800</v>
      </c>
      <c r="R45" s="67" t="n">
        <f aca="false">-Inputs!$E$41*1</f>
        <v>-1800</v>
      </c>
      <c r="S45" s="67" t="n">
        <f aca="false">-Inputs!$E$41*1</f>
        <v>-1800</v>
      </c>
      <c r="T45" s="67" t="n">
        <f aca="false">-Inputs!$E$41*1</f>
        <v>-1800</v>
      </c>
      <c r="U45" s="67" t="n">
        <f aca="false">-Inputs!$E$41*1</f>
        <v>-1800</v>
      </c>
      <c r="V45" s="67" t="n">
        <f aca="false">-Inputs!$E$41*1</f>
        <v>-1800</v>
      </c>
      <c r="W45" s="67" t="n">
        <f aca="false">-Inputs!$E$41*1</f>
        <v>-1800</v>
      </c>
      <c r="X45" s="67" t="n">
        <f aca="false">-Inputs!$E$41*1</f>
        <v>-1800</v>
      </c>
      <c r="Y45" s="67" t="n">
        <f aca="false">-Inputs!$E$41*1</f>
        <v>-1800</v>
      </c>
      <c r="Z45" s="67" t="n">
        <f aca="false">-Inputs!$E$41*1</f>
        <v>-1800</v>
      </c>
      <c r="AA45" s="67" t="n">
        <f aca="false">-Inputs!$E$41*1</f>
        <v>-1800</v>
      </c>
      <c r="AB45" s="67" t="n">
        <f aca="false">-Inputs!$E$41*1</f>
        <v>-1800</v>
      </c>
      <c r="AC45" s="67" t="n">
        <f aca="false">-Inputs!$E$41*1</f>
        <v>-1800</v>
      </c>
      <c r="AD45" s="67" t="n">
        <f aca="false">-Inputs!$E$41*1</f>
        <v>-1800</v>
      </c>
      <c r="AE45" s="67" t="n">
        <f aca="false">-Inputs!$E$41*1</f>
        <v>-1800</v>
      </c>
      <c r="AF45" s="67" t="n">
        <f aca="false">-Inputs!$E$41*1</f>
        <v>-1800</v>
      </c>
      <c r="AG45" s="67" t="n">
        <f aca="false">-Inputs!$E$41*1</f>
        <v>-1800</v>
      </c>
      <c r="AH45" s="67" t="n">
        <f aca="false">-Inputs!$E$41*1</f>
        <v>-1800</v>
      </c>
      <c r="AI45" s="67" t="n">
        <f aca="false">-Inputs!$E$41*1</f>
        <v>-1800</v>
      </c>
      <c r="AJ45" s="67" t="n">
        <f aca="false">-Inputs!$E$41*1</f>
        <v>-1800</v>
      </c>
      <c r="AK45" s="67" t="n">
        <f aca="false">-Inputs!$E$41*1</f>
        <v>-1800</v>
      </c>
      <c r="AL45" s="67" t="n">
        <f aca="false">-Inputs!$E$41*1</f>
        <v>-1800</v>
      </c>
    </row>
    <row r="46" customFormat="false" ht="15" hidden="false" customHeight="false" outlineLevel="0" collapsed="false">
      <c r="A46" s="6" t="s">
        <v>360</v>
      </c>
      <c r="C46" s="67" t="n">
        <f aca="false">-Inputs!$E$42*1</f>
        <v>-1300</v>
      </c>
      <c r="D46" s="67" t="n">
        <f aca="false">-Inputs!$E$42*1</f>
        <v>-1300</v>
      </c>
      <c r="E46" s="67" t="n">
        <f aca="false">-Inputs!$E$42*1</f>
        <v>-1300</v>
      </c>
      <c r="F46" s="67" t="n">
        <f aca="false">-Inputs!$E$42*1</f>
        <v>-1300</v>
      </c>
      <c r="G46" s="67" t="n">
        <f aca="false">-Inputs!$E$42*1</f>
        <v>-1300</v>
      </c>
      <c r="H46" s="67" t="n">
        <f aca="false">-Inputs!$E$42*1</f>
        <v>-1300</v>
      </c>
      <c r="I46" s="67" t="n">
        <f aca="false">-Inputs!$E$42*1</f>
        <v>-1300</v>
      </c>
      <c r="J46" s="67" t="n">
        <f aca="false">-Inputs!$E$42*1</f>
        <v>-1300</v>
      </c>
      <c r="K46" s="67" t="n">
        <f aca="false">-Inputs!$E$42*1</f>
        <v>-1300</v>
      </c>
      <c r="L46" s="67" t="n">
        <f aca="false">-Inputs!$E$42*1</f>
        <v>-1300</v>
      </c>
      <c r="M46" s="67" t="n">
        <f aca="false">-Inputs!$E$42*1</f>
        <v>-1300</v>
      </c>
      <c r="N46" s="67" t="n">
        <f aca="false">-Inputs!$E$42*1</f>
        <v>-1300</v>
      </c>
      <c r="O46" s="67" t="n">
        <f aca="false">-Inputs!$E$42*1</f>
        <v>-1300</v>
      </c>
      <c r="P46" s="67" t="n">
        <f aca="false">-Inputs!$E$42*1</f>
        <v>-1300</v>
      </c>
      <c r="Q46" s="67" t="n">
        <f aca="false">-Inputs!$E$42*1</f>
        <v>-1300</v>
      </c>
      <c r="R46" s="67" t="n">
        <f aca="false">-Inputs!$E$42*1</f>
        <v>-1300</v>
      </c>
      <c r="S46" s="67" t="n">
        <f aca="false">-Inputs!$E$42*1</f>
        <v>-1300</v>
      </c>
      <c r="T46" s="67" t="n">
        <f aca="false">-Inputs!$E$42*1</f>
        <v>-1300</v>
      </c>
      <c r="U46" s="67" t="n">
        <f aca="false">-Inputs!$E$42*1</f>
        <v>-1300</v>
      </c>
      <c r="V46" s="67" t="n">
        <f aca="false">-Inputs!$E$42*1</f>
        <v>-1300</v>
      </c>
      <c r="W46" s="67" t="n">
        <f aca="false">-Inputs!$E$42*1</f>
        <v>-1300</v>
      </c>
      <c r="X46" s="67" t="n">
        <f aca="false">-Inputs!$E$42*1</f>
        <v>-1300</v>
      </c>
      <c r="Y46" s="67" t="n">
        <f aca="false">-Inputs!$E$42*1</f>
        <v>-1300</v>
      </c>
      <c r="Z46" s="67" t="n">
        <f aca="false">-Inputs!$E$42*1</f>
        <v>-1300</v>
      </c>
      <c r="AA46" s="67" t="n">
        <f aca="false">-Inputs!$E$42*1</f>
        <v>-1300</v>
      </c>
      <c r="AB46" s="67" t="n">
        <f aca="false">-Inputs!$E$42*1</f>
        <v>-1300</v>
      </c>
      <c r="AC46" s="67" t="n">
        <f aca="false">-Inputs!$E$42*1</f>
        <v>-1300</v>
      </c>
      <c r="AD46" s="67" t="n">
        <f aca="false">-Inputs!$E$42*1</f>
        <v>-1300</v>
      </c>
      <c r="AE46" s="67" t="n">
        <f aca="false">-Inputs!$E$42*1</f>
        <v>-1300</v>
      </c>
      <c r="AF46" s="67" t="n">
        <f aca="false">-Inputs!$E$42*1</f>
        <v>-1300</v>
      </c>
      <c r="AG46" s="67" t="n">
        <f aca="false">-Inputs!$E$42*1</f>
        <v>-1300</v>
      </c>
      <c r="AH46" s="67" t="n">
        <f aca="false">-Inputs!$E$42*1</f>
        <v>-1300</v>
      </c>
      <c r="AI46" s="67" t="n">
        <f aca="false">-Inputs!$E$42*1</f>
        <v>-1300</v>
      </c>
      <c r="AJ46" s="67" t="n">
        <f aca="false">-Inputs!$E$42*1</f>
        <v>-1300</v>
      </c>
      <c r="AK46" s="67" t="n">
        <f aca="false">-Inputs!$E$42*1</f>
        <v>-1300</v>
      </c>
      <c r="AL46" s="67" t="n">
        <f aca="false">-Inputs!$E$42*1</f>
        <v>-1300</v>
      </c>
    </row>
    <row r="47" customFormat="false" ht="15" hidden="false" customHeight="false" outlineLevel="0" collapsed="false">
      <c r="A47" s="6" t="s">
        <v>361</v>
      </c>
      <c r="C47" s="67" t="n">
        <f aca="false">-Inputs!$E$43*1</f>
        <v>-1100</v>
      </c>
      <c r="D47" s="67" t="n">
        <f aca="false">-Inputs!$E$43*1</f>
        <v>-1100</v>
      </c>
      <c r="E47" s="67" t="n">
        <f aca="false">-Inputs!$E$43*1</f>
        <v>-1100</v>
      </c>
      <c r="F47" s="67" t="n">
        <f aca="false">-Inputs!$E$43*1</f>
        <v>-1100</v>
      </c>
      <c r="G47" s="67" t="n">
        <f aca="false">-Inputs!$E$43*1</f>
        <v>-1100</v>
      </c>
      <c r="H47" s="67" t="n">
        <f aca="false">-Inputs!$E$43*1</f>
        <v>-1100</v>
      </c>
      <c r="I47" s="67" t="n">
        <f aca="false">-Inputs!$E$43*1</f>
        <v>-1100</v>
      </c>
      <c r="J47" s="67" t="n">
        <f aca="false">-Inputs!$E$43*1</f>
        <v>-1100</v>
      </c>
      <c r="K47" s="67" t="n">
        <f aca="false">-Inputs!$E$43*1</f>
        <v>-1100</v>
      </c>
      <c r="L47" s="67" t="n">
        <f aca="false">-Inputs!$E$43*1</f>
        <v>-1100</v>
      </c>
      <c r="M47" s="67" t="n">
        <f aca="false">-Inputs!$E$43*1</f>
        <v>-1100</v>
      </c>
      <c r="N47" s="67" t="n">
        <f aca="false">-Inputs!$E$43*1</f>
        <v>-1100</v>
      </c>
      <c r="O47" s="67" t="n">
        <f aca="false">-Inputs!$E$43*1</f>
        <v>-1100</v>
      </c>
      <c r="P47" s="67" t="n">
        <f aca="false">-Inputs!$E$43*1</f>
        <v>-1100</v>
      </c>
      <c r="Q47" s="67" t="n">
        <f aca="false">-Inputs!$E$43*1</f>
        <v>-1100</v>
      </c>
      <c r="R47" s="67" t="n">
        <f aca="false">-Inputs!$E$43*1</f>
        <v>-1100</v>
      </c>
      <c r="S47" s="67" t="n">
        <f aca="false">-Inputs!$E$43*1</f>
        <v>-1100</v>
      </c>
      <c r="T47" s="67" t="n">
        <f aca="false">-Inputs!$E$43*1</f>
        <v>-1100</v>
      </c>
      <c r="U47" s="67" t="n">
        <f aca="false">-Inputs!$E$43*1</f>
        <v>-1100</v>
      </c>
      <c r="V47" s="67" t="n">
        <f aca="false">-Inputs!$E$43*1</f>
        <v>-1100</v>
      </c>
      <c r="W47" s="67" t="n">
        <f aca="false">-Inputs!$E$43*1</f>
        <v>-1100</v>
      </c>
      <c r="X47" s="67" t="n">
        <f aca="false">-Inputs!$E$43*1</f>
        <v>-1100</v>
      </c>
      <c r="Y47" s="67" t="n">
        <f aca="false">-Inputs!$E$43*1</f>
        <v>-1100</v>
      </c>
      <c r="Z47" s="67" t="n">
        <f aca="false">-Inputs!$E$43*1</f>
        <v>-1100</v>
      </c>
      <c r="AA47" s="67" t="n">
        <f aca="false">-Inputs!$E$43*1</f>
        <v>-1100</v>
      </c>
      <c r="AB47" s="67" t="n">
        <f aca="false">-Inputs!$E$43*1</f>
        <v>-1100</v>
      </c>
      <c r="AC47" s="67" t="n">
        <f aca="false">-Inputs!$E$43*1</f>
        <v>-1100</v>
      </c>
      <c r="AD47" s="67" t="n">
        <f aca="false">-Inputs!$E$43*1</f>
        <v>-1100</v>
      </c>
      <c r="AE47" s="67" t="n">
        <f aca="false">-Inputs!$E$43*1</f>
        <v>-1100</v>
      </c>
      <c r="AF47" s="67" t="n">
        <f aca="false">-Inputs!$E$43*1</f>
        <v>-1100</v>
      </c>
      <c r="AG47" s="67" t="n">
        <f aca="false">-Inputs!$E$43*1</f>
        <v>-1100</v>
      </c>
      <c r="AH47" s="67" t="n">
        <f aca="false">-Inputs!$E$43*1</f>
        <v>-1100</v>
      </c>
      <c r="AI47" s="67" t="n">
        <f aca="false">-Inputs!$E$43*1</f>
        <v>-1100</v>
      </c>
      <c r="AJ47" s="67" t="n">
        <f aca="false">-Inputs!$E$43*1</f>
        <v>-1100</v>
      </c>
      <c r="AK47" s="67" t="n">
        <f aca="false">-Inputs!$E$43*1</f>
        <v>-1100</v>
      </c>
      <c r="AL47" s="67" t="n">
        <f aca="false">-Inputs!$E$43*1</f>
        <v>-1100</v>
      </c>
    </row>
    <row r="48" customFormat="false" ht="15" hidden="false" customHeight="false" outlineLevel="0" collapsed="false">
      <c r="A48" s="6" t="s">
        <v>362</v>
      </c>
      <c r="C48" s="67" t="n">
        <f aca="false">-Inputs!$E$44*1</f>
        <v>-1400</v>
      </c>
      <c r="D48" s="67" t="n">
        <f aca="false">-Inputs!$E$44*1</f>
        <v>-1400</v>
      </c>
      <c r="E48" s="67" t="n">
        <f aca="false">-Inputs!$E$44*1</f>
        <v>-1400</v>
      </c>
      <c r="F48" s="67" t="n">
        <f aca="false">-Inputs!$E$44*1</f>
        <v>-1400</v>
      </c>
      <c r="G48" s="67" t="n">
        <f aca="false">-Inputs!$E$44*1</f>
        <v>-1400</v>
      </c>
      <c r="H48" s="67" t="n">
        <f aca="false">-Inputs!$E$44*1</f>
        <v>-1400</v>
      </c>
      <c r="I48" s="67" t="n">
        <f aca="false">-Inputs!$E$44*1</f>
        <v>-1400</v>
      </c>
      <c r="J48" s="67" t="n">
        <f aca="false">-Inputs!$E$44*1</f>
        <v>-1400</v>
      </c>
      <c r="K48" s="67" t="n">
        <f aca="false">-Inputs!$E$44*1</f>
        <v>-1400</v>
      </c>
      <c r="L48" s="67" t="n">
        <f aca="false">-Inputs!$E$44*1</f>
        <v>-1400</v>
      </c>
      <c r="M48" s="67" t="n">
        <f aca="false">-Inputs!$E$44*1</f>
        <v>-1400</v>
      </c>
      <c r="N48" s="67" t="n">
        <f aca="false">-Inputs!$E$44*1</f>
        <v>-1400</v>
      </c>
      <c r="O48" s="67" t="n">
        <f aca="false">-Inputs!$E$44*1</f>
        <v>-1400</v>
      </c>
      <c r="P48" s="67" t="n">
        <f aca="false">-Inputs!$E$44*1</f>
        <v>-1400</v>
      </c>
      <c r="Q48" s="67" t="n">
        <f aca="false">-Inputs!$E$44*1</f>
        <v>-1400</v>
      </c>
      <c r="R48" s="67" t="n">
        <f aca="false">-Inputs!$E$44*1</f>
        <v>-1400</v>
      </c>
      <c r="S48" s="67" t="n">
        <f aca="false">-Inputs!$E$44*1</f>
        <v>-1400</v>
      </c>
      <c r="T48" s="67" t="n">
        <f aca="false">-Inputs!$E$44*1</f>
        <v>-1400</v>
      </c>
      <c r="U48" s="67" t="n">
        <f aca="false">-Inputs!$E$44*1</f>
        <v>-1400</v>
      </c>
      <c r="V48" s="67" t="n">
        <f aca="false">-Inputs!$E$44*1</f>
        <v>-1400</v>
      </c>
      <c r="W48" s="67" t="n">
        <f aca="false">-Inputs!$E$44*1</f>
        <v>-1400</v>
      </c>
      <c r="X48" s="67" t="n">
        <f aca="false">-Inputs!$E$44*1</f>
        <v>-1400</v>
      </c>
      <c r="Y48" s="67" t="n">
        <f aca="false">-Inputs!$E$44*1</f>
        <v>-1400</v>
      </c>
      <c r="Z48" s="67" t="n">
        <f aca="false">-Inputs!$E$44*1</f>
        <v>-1400</v>
      </c>
      <c r="AA48" s="67" t="n">
        <f aca="false">-Inputs!$E$44*1</f>
        <v>-1400</v>
      </c>
      <c r="AB48" s="67" t="n">
        <f aca="false">-Inputs!$E$44*1</f>
        <v>-1400</v>
      </c>
      <c r="AC48" s="67" t="n">
        <f aca="false">-Inputs!$E$44*1</f>
        <v>-1400</v>
      </c>
      <c r="AD48" s="67" t="n">
        <f aca="false">-Inputs!$E$44*1</f>
        <v>-1400</v>
      </c>
      <c r="AE48" s="67" t="n">
        <f aca="false">-Inputs!$E$44*1</f>
        <v>-1400</v>
      </c>
      <c r="AF48" s="67" t="n">
        <f aca="false">-Inputs!$E$44*1</f>
        <v>-1400</v>
      </c>
      <c r="AG48" s="67" t="n">
        <f aca="false">-Inputs!$E$44*1</f>
        <v>-1400</v>
      </c>
      <c r="AH48" s="67" t="n">
        <f aca="false">-Inputs!$E$44*1</f>
        <v>-1400</v>
      </c>
      <c r="AI48" s="67" t="n">
        <f aca="false">-Inputs!$E$44*1</f>
        <v>-1400</v>
      </c>
      <c r="AJ48" s="67" t="n">
        <f aca="false">-Inputs!$E$44*1</f>
        <v>-1400</v>
      </c>
      <c r="AK48" s="67" t="n">
        <f aca="false">-Inputs!$E$44*1</f>
        <v>-1400</v>
      </c>
      <c r="AL48" s="67" t="n">
        <f aca="false">-Inputs!$E$44*1</f>
        <v>-1400</v>
      </c>
    </row>
    <row r="49" customFormat="false" ht="15" hidden="false" customHeight="false" outlineLevel="0" collapsed="false">
      <c r="A49" s="6" t="s">
        <v>363</v>
      </c>
      <c r="C49" s="67" t="n">
        <f aca="false">-Inputs!$E$45*1</f>
        <v>-3000</v>
      </c>
      <c r="D49" s="67" t="n">
        <f aca="false">-Inputs!$E$45*1</f>
        <v>-3000</v>
      </c>
      <c r="E49" s="67" t="n">
        <f aca="false">-Inputs!$E$45*1</f>
        <v>-3000</v>
      </c>
      <c r="F49" s="67" t="n">
        <f aca="false">-Inputs!$E$45*1</f>
        <v>-3000</v>
      </c>
      <c r="G49" s="67" t="n">
        <f aca="false">-Inputs!$E$45*1</f>
        <v>-3000</v>
      </c>
      <c r="H49" s="67" t="n">
        <f aca="false">-Inputs!$E$45*1</f>
        <v>-3000</v>
      </c>
      <c r="I49" s="67" t="n">
        <f aca="false">-Inputs!$E$45*1</f>
        <v>-3000</v>
      </c>
      <c r="J49" s="67" t="n">
        <f aca="false">-Inputs!$E$45*1</f>
        <v>-3000</v>
      </c>
      <c r="K49" s="67" t="n">
        <f aca="false">-Inputs!$E$45*1</f>
        <v>-3000</v>
      </c>
      <c r="L49" s="67" t="n">
        <f aca="false">-Inputs!$E$45*1</f>
        <v>-3000</v>
      </c>
      <c r="M49" s="67" t="n">
        <f aca="false">-Inputs!$E$45*1</f>
        <v>-3000</v>
      </c>
      <c r="N49" s="67" t="n">
        <f aca="false">-Inputs!$E$45*1</f>
        <v>-3000</v>
      </c>
      <c r="O49" s="67" t="n">
        <f aca="false">-Inputs!$E$45*1</f>
        <v>-3000</v>
      </c>
      <c r="P49" s="67" t="n">
        <f aca="false">-Inputs!$E$45*1</f>
        <v>-3000</v>
      </c>
      <c r="Q49" s="67" t="n">
        <f aca="false">-Inputs!$E$45*1</f>
        <v>-3000</v>
      </c>
      <c r="R49" s="67" t="n">
        <f aca="false">-Inputs!$E$45*1</f>
        <v>-3000</v>
      </c>
      <c r="S49" s="67" t="n">
        <f aca="false">-Inputs!$E$45*1</f>
        <v>-3000</v>
      </c>
      <c r="T49" s="67" t="n">
        <f aca="false">-Inputs!$E$45*1</f>
        <v>-3000</v>
      </c>
      <c r="U49" s="67" t="n">
        <f aca="false">-Inputs!$E$45*1</f>
        <v>-3000</v>
      </c>
      <c r="V49" s="67" t="n">
        <f aca="false">-Inputs!$E$45*1</f>
        <v>-3000</v>
      </c>
      <c r="W49" s="67" t="n">
        <f aca="false">-Inputs!$E$45*1</f>
        <v>-3000</v>
      </c>
      <c r="X49" s="67" t="n">
        <f aca="false">-Inputs!$E$45*1</f>
        <v>-3000</v>
      </c>
      <c r="Y49" s="67" t="n">
        <f aca="false">-Inputs!$E$45*1</f>
        <v>-3000</v>
      </c>
      <c r="Z49" s="67" t="n">
        <f aca="false">-Inputs!$E$45*1</f>
        <v>-3000</v>
      </c>
      <c r="AA49" s="67" t="n">
        <f aca="false">-Inputs!$E$45*1</f>
        <v>-3000</v>
      </c>
      <c r="AB49" s="67" t="n">
        <f aca="false">-Inputs!$E$45*1</f>
        <v>-3000</v>
      </c>
      <c r="AC49" s="67" t="n">
        <f aca="false">-Inputs!$E$45*1</f>
        <v>-3000</v>
      </c>
      <c r="AD49" s="67" t="n">
        <f aca="false">-Inputs!$E$45*1</f>
        <v>-3000</v>
      </c>
      <c r="AE49" s="67" t="n">
        <f aca="false">-Inputs!$E$45*1</f>
        <v>-3000</v>
      </c>
      <c r="AF49" s="67" t="n">
        <f aca="false">-Inputs!$E$45*1</f>
        <v>-3000</v>
      </c>
      <c r="AG49" s="67" t="n">
        <f aca="false">-Inputs!$E$45*1</f>
        <v>-3000</v>
      </c>
      <c r="AH49" s="67" t="n">
        <f aca="false">-Inputs!$E$45*1</f>
        <v>-3000</v>
      </c>
      <c r="AI49" s="67" t="n">
        <f aca="false">-Inputs!$E$45*1</f>
        <v>-3000</v>
      </c>
      <c r="AJ49" s="67" t="n">
        <f aca="false">-Inputs!$E$45*1</f>
        <v>-3000</v>
      </c>
      <c r="AK49" s="67" t="n">
        <f aca="false">-Inputs!$E$45*1</f>
        <v>-3000</v>
      </c>
      <c r="AL49" s="67" t="n">
        <f aca="false">-Inputs!$E$45*1</f>
        <v>-3000</v>
      </c>
    </row>
    <row r="50" customFormat="false" ht="15" hidden="false" customHeight="false" outlineLevel="0" collapsed="false">
      <c r="A50" s="111" t="s">
        <v>76</v>
      </c>
      <c r="C50" s="68" t="n">
        <f aca="false">C41+C42+C43+C44+C45+C46+C47+C48+C49</f>
        <v>-116196.667116771</v>
      </c>
      <c r="D50" s="68" t="n">
        <f aca="false">D41+D42+D43+D44+D45+D46+D47+D48+D49</f>
        <v>-116245.757106353</v>
      </c>
      <c r="E50" s="68" t="n">
        <f aca="false">E41+E42+E43+E44+E45+E46+E47+E48+E49</f>
        <v>-116294.15983608</v>
      </c>
      <c r="F50" s="68" t="n">
        <f aca="false">F41+F42+F43+F44+F45+F46+F47+F48+F49</f>
        <v>-116341.884927592</v>
      </c>
      <c r="G50" s="68" t="n">
        <f aca="false">G41+G42+G43+G44+G45+G46+G47+G48+G49</f>
        <v>-116388.941867822</v>
      </c>
      <c r="H50" s="68" t="n">
        <f aca="false">H41+H42+H43+H44+H45+H46+H47+H48+H49</f>
        <v>-116435.34001089</v>
      </c>
      <c r="I50" s="68" t="n">
        <f aca="false">I41+I42+I43+I44+I45+I46+I47+I48+I49</f>
        <v>-116481.088579954</v>
      </c>
      <c r="J50" s="68" t="n">
        <f aca="false">J41+J42+J43+J44+J45+J46+J47+J48+J49</f>
        <v>-116526.196669051</v>
      </c>
      <c r="K50" s="68" t="n">
        <f aca="false">K41+K42+K43+K44+K45+K46+K47+K48+K49</f>
        <v>-116570.673244901</v>
      </c>
      <c r="L50" s="68" t="n">
        <f aca="false">L41+L42+L43+L44+L45+L46+L47+L48+L49</f>
        <v>-116614.527148689</v>
      </c>
      <c r="M50" s="68" t="n">
        <f aca="false">M41+M42+M43+M44+M45+M46+M47+M48+M49</f>
        <v>-116657.767097824</v>
      </c>
      <c r="N50" s="68" t="n">
        <f aca="false">N41+N42+N43+N44+N45+N46+N47+N48+N49</f>
        <v>-116700.401687671</v>
      </c>
      <c r="O50" s="68" t="n">
        <f aca="false">O41+O42+O43+O44+O45+O46+O47+O48+O49</f>
        <v>-122800.347977929</v>
      </c>
      <c r="P50" s="68" t="n">
        <f aca="false">P41+P42+P43+P44+P45+P46+P47+P48+P49</f>
        <v>-122853.285071493</v>
      </c>
      <c r="Q50" s="68" t="n">
        <f aca="false">Q41+Q42+Q43+Q44+Q45+Q46+Q47+Q48+Q49</f>
        <v>-122905.481045747</v>
      </c>
      <c r="R50" s="68" t="n">
        <f aca="false">R41+R42+R43+R44+R45+R46+R47+R48+R49</f>
        <v>-122956.946276361</v>
      </c>
      <c r="S50" s="68" t="n">
        <f aca="false">S41+S42+S43+S44+S45+S46+S47+S48+S49</f>
        <v>-123007.690993747</v>
      </c>
      <c r="T50" s="68" t="n">
        <f aca="false">T41+T42+T43+T44+T45+T46+T47+T48+T49</f>
        <v>-123057.72528509</v>
      </c>
      <c r="U50" s="68" t="n">
        <f aca="false">U41+U42+U43+U44+U45+U46+U47+U48+U49</f>
        <v>-123107.059096353</v>
      </c>
      <c r="V50" s="68" t="n">
        <f aca="false">V41+V42+V43+V44+V45+V46+V47+V48+V49</f>
        <v>-123155.702234259</v>
      </c>
      <c r="W50" s="68" t="n">
        <f aca="false">W41+W42+W43+W44+W45+W46+W47+W48+W49</f>
        <v>-123203.664368234</v>
      </c>
      <c r="X50" s="68" t="n">
        <f aca="false">X41+X42+X43+X44+X45+X46+X47+X48+X49</f>
        <v>-123250.955032334</v>
      </c>
      <c r="Y50" s="68" t="n">
        <f aca="false">Y41+Y42+Y43+Y44+Y45+Y46+Y47+Y48+Y49</f>
        <v>-123297.583627136</v>
      </c>
      <c r="Z50" s="68" t="n">
        <f aca="false">Z41+Z42+Z43+Z44+Z45+Z46+Z47+Z48+Z49</f>
        <v>-123343.559421611</v>
      </c>
      <c r="AA50" s="68" t="n">
        <f aca="false">AA41+AA42+AA43+AA44+AA45+AA46+AA47+AA48+AA49</f>
        <v>-129900.226389262</v>
      </c>
      <c r="AB50" s="68" t="n">
        <f aca="false">AB41+AB42+AB43+AB44+AB45+AB46+AB47+AB48+AB49</f>
        <v>-129957.393069185</v>
      </c>
      <c r="AC50" s="68" t="n">
        <f aca="false">AC41+AC42+AC43+AC44+AC45+AC46+AC47+AC48+AC49</f>
        <v>-130013.759415589</v>
      </c>
      <c r="AD50" s="68" t="n">
        <f aca="false">AD41+AD42+AD43+AD44+AD45+AD46+AD47+AD48+AD49</f>
        <v>-130069.336633144</v>
      </c>
      <c r="AE50" s="68" t="n">
        <f aca="false">AE41+AE42+AE43+AE44+AE45+AE46+AE47+AE48+AE49</f>
        <v>-130124.135769653</v>
      </c>
      <c r="AF50" s="68" t="n">
        <f aca="false">AF41+AF42+AF43+AF44+AF45+AF46+AF47+AF48+AF49</f>
        <v>-130178.16771825</v>
      </c>
      <c r="AG50" s="68" t="n">
        <f aca="false">AG41+AG42+AG43+AG44+AG45+AG46+AG47+AG48+AG49</f>
        <v>-130231.443219568</v>
      </c>
      <c r="AH50" s="68" t="n">
        <f aca="false">AH41+AH42+AH43+AH44+AH45+AH46+AH47+AH48+AH49</f>
        <v>-130283.972863866</v>
      </c>
      <c r="AI50" s="68" t="n">
        <f aca="false">AI41+AI42+AI43+AI44+AI45+AI46+AI47+AI48+AI49</f>
        <v>-130335.767093145</v>
      </c>
      <c r="AJ50" s="68" t="n">
        <f aca="false">AJ41+AJ42+AJ43+AJ44+AJ45+AJ46+AJ47+AJ48+AJ49</f>
        <v>-130386.836203214</v>
      </c>
      <c r="AK50" s="68" t="n">
        <f aca="false">AK41+AK42+AK43+AK44+AK45+AK46+AK47+AK48+AK49</f>
        <v>-130437.190345742</v>
      </c>
      <c r="AL50" s="68" t="n">
        <f aca="false">AL41+AL42+AL43+AL44+AL45+AL46+AL47+AL48+AL49</f>
        <v>-130486.839530274</v>
      </c>
    </row>
    <row r="51" customFormat="false" ht="15" hidden="false" customHeight="false" outlineLevel="0" collapsed="false">
      <c r="A51" s="111" t="s">
        <v>48</v>
      </c>
      <c r="C51" s="68" t="n">
        <f aca="false">C38+C50</f>
        <v>22188.2597272812</v>
      </c>
      <c r="D51" s="68" t="n">
        <f aca="false">D38+D50</f>
        <v>22773.4136985443</v>
      </c>
      <c r="E51" s="68" t="n">
        <f aca="false">E38+E50</f>
        <v>23350.3755142097</v>
      </c>
      <c r="F51" s="68" t="n">
        <f aca="false">F38+F50</f>
        <v>23919.2598644558</v>
      </c>
      <c r="G51" s="68" t="n">
        <f aca="false">G38+G50</f>
        <v>24480.1798337984</v>
      </c>
      <c r="H51" s="68" t="n">
        <f aca="false">H38+H50</f>
        <v>25033.2469235702</v>
      </c>
      <c r="I51" s="68" t="n">
        <f aca="false">I38+I50</f>
        <v>25578.5710740852</v>
      </c>
      <c r="J51" s="68" t="n">
        <f aca="false">J38+J50</f>
        <v>26116.260686493</v>
      </c>
      <c r="K51" s="68" t="n">
        <f aca="false">K38+K50</f>
        <v>26646.4226443271</v>
      </c>
      <c r="L51" s="68" t="n">
        <f aca="false">L38+L50</f>
        <v>27169.1623347516</v>
      </c>
      <c r="M51" s="68" t="n">
        <f aca="false">M38+M50</f>
        <v>27684.58366951</v>
      </c>
      <c r="N51" s="68" t="n">
        <f aca="false">N38+N50</f>
        <v>28192.7891055819</v>
      </c>
      <c r="O51" s="68" t="n">
        <f aca="false">O38+O50</f>
        <v>27796.816273592</v>
      </c>
      <c r="P51" s="68" t="n">
        <f aca="false">P38+P50</f>
        <v>28427.8278258426</v>
      </c>
      <c r="Q51" s="68" t="n">
        <f aca="false">Q38+Q50</f>
        <v>29050.0052163617</v>
      </c>
      <c r="R51" s="68" t="n">
        <f aca="false">R38+R50</f>
        <v>29663.4721234136</v>
      </c>
      <c r="S51" s="68" t="n">
        <f aca="false">S38+S50</f>
        <v>30268.3504937667</v>
      </c>
      <c r="T51" s="68" t="n">
        <f aca="false">T38+T50</f>
        <v>30864.7605669348</v>
      </c>
      <c r="U51" s="68" t="n">
        <f aca="false">U38+U50</f>
        <v>31452.8208990787</v>
      </c>
      <c r="V51" s="68" t="n">
        <f aca="false">V38+V50</f>
        <v>32032.6483865725</v>
      </c>
      <c r="W51" s="68" t="n">
        <f aca="false">W38+W50</f>
        <v>32604.3582892415</v>
      </c>
      <c r="X51" s="68" t="n">
        <f aca="false">X38+X50</f>
        <v>33168.064253273</v>
      </c>
      <c r="Y51" s="68" t="n">
        <f aca="false">Y38+Y50</f>
        <v>33723.8783338081</v>
      </c>
      <c r="Z51" s="68" t="n">
        <f aca="false">Z38+Z50</f>
        <v>34271.9110172157</v>
      </c>
      <c r="AA51" s="68" t="n">
        <f aca="false">AA38+AA50</f>
        <v>33913.5526806697</v>
      </c>
      <c r="AB51" s="68" t="n">
        <f aca="false">AB38+AB50</f>
        <v>34594.9810139384</v>
      </c>
      <c r="AC51" s="68" t="n">
        <f aca="false">AC38+AC50</f>
        <v>35266.8693505414</v>
      </c>
      <c r="AD51" s="68" t="n">
        <f aca="false">AD38+AD50</f>
        <v>35929.3512504319</v>
      </c>
      <c r="AE51" s="68" t="n">
        <f aca="false">AE38+AE50</f>
        <v>36582.558403724</v>
      </c>
      <c r="AF51" s="68" t="n">
        <f aca="false">AF38+AF50</f>
        <v>37226.62065687</v>
      </c>
      <c r="AG51" s="68" t="n">
        <f aca="false">AG38+AG50</f>
        <v>37861.6660384719</v>
      </c>
      <c r="AH51" s="68" t="n">
        <f aca="false">AH38+AH50</f>
        <v>38487.8207847315</v>
      </c>
      <c r="AI51" s="68" t="n">
        <f aca="false">AI38+AI50</f>
        <v>39105.2093645433</v>
      </c>
      <c r="AJ51" s="68" t="n">
        <f aca="false">AJ38+AJ50</f>
        <v>39713.9545042378</v>
      </c>
      <c r="AK51" s="68" t="n">
        <f aca="false">AK38+AK50</f>
        <v>40314.1772119767</v>
      </c>
      <c r="AL51" s="68" t="n">
        <f aca="false">AL38+AL50</f>
        <v>40905.9968018071</v>
      </c>
    </row>
    <row r="53" customFormat="false" ht="15.75" hidden="false" customHeight="true" outlineLevel="0" collapsed="false">
      <c r="A53" s="7" t="s">
        <v>432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customFormat="false" ht="15" hidden="false" customHeight="false" outlineLevel="0" collapsed="false">
      <c r="A54" s="4" t="s">
        <v>78</v>
      </c>
      <c r="C54" s="73" t="n">
        <f aca="false">C51+C65</f>
        <v>21445.2665186191</v>
      </c>
      <c r="D54" s="73" t="n">
        <f aca="false">D51+D65</f>
        <v>22001.5821974322</v>
      </c>
      <c r="E54" s="73" t="n">
        <f aca="false">E51+E65</f>
        <v>22549.576753747</v>
      </c>
      <c r="F54" s="73" t="n">
        <f aca="false">F51+F65</f>
        <v>23089.3666832786</v>
      </c>
      <c r="G54" s="73" t="n">
        <f aca="false">G51+G65</f>
        <v>23621.0668508019</v>
      </c>
      <c r="H54" s="73" t="n">
        <f aca="false">H51+H65</f>
        <v>24144.7905129849</v>
      </c>
      <c r="I54" s="73" t="n">
        <f aca="false">I51+I65</f>
        <v>24660.6493409025</v>
      </c>
      <c r="J54" s="73" t="n">
        <f aca="false">J51+J65</f>
        <v>25168.7534422344</v>
      </c>
      <c r="K54" s="73" t="n">
        <f aca="false">K51+K65</f>
        <v>25669.2113831528</v>
      </c>
      <c r="L54" s="73" t="n">
        <f aca="false">L51+L65</f>
        <v>26162.1302099035</v>
      </c>
      <c r="M54" s="73" t="n">
        <f aca="false">M51+M65</f>
        <v>26647.6154700848</v>
      </c>
      <c r="N54" s="73" t="n">
        <f aca="false">N51+N65</f>
        <v>27125.7712336287</v>
      </c>
      <c r="O54" s="73" t="n">
        <f aca="false">O51+O65</f>
        <v>26698.557930454</v>
      </c>
      <c r="P54" s="73" t="n">
        <f aca="false">P51+P65</f>
        <v>27298.1879630104</v>
      </c>
      <c r="Q54" s="73" t="n">
        <f aca="false">Q51+Q65</f>
        <v>27888.8447600051</v>
      </c>
      <c r="R54" s="73" t="n">
        <f aca="false">R51+R65</f>
        <v>28470.6539467358</v>
      </c>
      <c r="S54" s="73" t="n">
        <f aca="false">S51+S65</f>
        <v>29043.7393897461</v>
      </c>
      <c r="T54" s="73" t="n">
        <f aca="false">T51+T65</f>
        <v>29608.2232214483</v>
      </c>
      <c r="U54" s="73" t="n">
        <f aca="false">U51+U65</f>
        <v>30164.2258644006</v>
      </c>
      <c r="V54" s="73" t="n">
        <f aca="false">V51+V65</f>
        <v>30711.8660552455</v>
      </c>
      <c r="W54" s="73" t="n">
        <f aca="false">W51+W65</f>
        <v>31251.2608683126</v>
      </c>
      <c r="X54" s="73" t="n">
        <f aca="false">X51+X65</f>
        <v>31782.5257388907</v>
      </c>
      <c r="Y54" s="73" t="n">
        <f aca="false">Y51+Y65</f>
        <v>32305.7744861746</v>
      </c>
      <c r="Z54" s="73" t="n">
        <f aca="false">Z51+Z65</f>
        <v>32821.1193358905</v>
      </c>
      <c r="AA54" s="73" t="n">
        <f aca="false">AA51+AA65</f>
        <v>32428.7791743696</v>
      </c>
      <c r="AB54" s="73" t="n">
        <f aca="false">AB51+AB65</f>
        <v>33076.073364611</v>
      </c>
      <c r="AC54" s="73" t="n">
        <f aca="false">AC51+AC65</f>
        <v>33713.677372587</v>
      </c>
      <c r="AD54" s="73" t="n">
        <f aca="false">AD51+AD65</f>
        <v>34341.7268608491</v>
      </c>
      <c r="AE54" s="73" t="n">
        <f aca="false">AE51+AE65</f>
        <v>34960.3555926735</v>
      </c>
      <c r="AF54" s="73" t="n">
        <f aca="false">AF51+AF65</f>
        <v>35569.6954586502</v>
      </c>
      <c r="AG54" s="73" t="n">
        <f aca="false">AG51+AG65</f>
        <v>36169.8765029012</v>
      </c>
      <c r="AH54" s="73" t="n">
        <f aca="false">AH51+AH65</f>
        <v>36761.0269489306</v>
      </c>
      <c r="AI54" s="73" t="n">
        <f aca="false">AI51+AI65</f>
        <v>37343.2732251134</v>
      </c>
      <c r="AJ54" s="73" t="n">
        <f aca="false">AJ51+AJ65</f>
        <v>37916.7399898276</v>
      </c>
      <c r="AK54" s="73" t="n">
        <f aca="false">AK51+AK65</f>
        <v>38481.5501562338</v>
      </c>
      <c r="AL54" s="73" t="n">
        <f aca="false">AL51+AL65</f>
        <v>39037.824916708</v>
      </c>
    </row>
    <row r="55" customFormat="false" ht="15" hidden="false" customHeight="false" outlineLevel="0" collapsed="false">
      <c r="A55" s="6" t="s">
        <v>433</v>
      </c>
      <c r="C55" s="67" t="n">
        <f aca="false">-(C70+C71+C73)/2*Inputs!$E$85/12</f>
        <v>-1062.5</v>
      </c>
      <c r="D55" s="67" t="n">
        <f aca="false">-(D70+D71+D73)/2*Inputs!$E$85/12</f>
        <v>-1056.1755952381</v>
      </c>
      <c r="E55" s="67" t="n">
        <f aca="false">-(E70+E71+E73)/2*Inputs!$E$85/12</f>
        <v>-1043.52678571429</v>
      </c>
      <c r="F55" s="67" t="n">
        <f aca="false">-(F70+F71+F73)/2*Inputs!$E$85/12</f>
        <v>-1030.87797619048</v>
      </c>
      <c r="G55" s="67" t="n">
        <f aca="false">-(G70+G71+G73)/2*Inputs!$E$85/12</f>
        <v>-1018.22916666667</v>
      </c>
      <c r="H55" s="67" t="n">
        <f aca="false">-(H70+H71+H73)/2*Inputs!$E$85/12</f>
        <v>-1005.58035714286</v>
      </c>
      <c r="I55" s="67" t="n">
        <f aca="false">-(I70+I71+I73)/2*Inputs!$E$85/12</f>
        <v>-992.931547619048</v>
      </c>
      <c r="J55" s="67" t="n">
        <f aca="false">-(J70+J71+J73)/2*Inputs!$E$85/12</f>
        <v>-980.282738095238</v>
      </c>
      <c r="K55" s="67" t="n">
        <f aca="false">-(K70+K71+K73)/2*Inputs!$E$85/12</f>
        <v>-967.633928571429</v>
      </c>
      <c r="L55" s="67" t="n">
        <f aca="false">-(L70+L71+L73)/2*Inputs!$E$85/12</f>
        <v>-954.985119047619</v>
      </c>
      <c r="M55" s="67" t="n">
        <f aca="false">-(M70+M71+M73)/2*Inputs!$E$85/12</f>
        <v>-942.33630952381</v>
      </c>
      <c r="N55" s="67" t="n">
        <f aca="false">-(N70+N71+N73)/2*Inputs!$E$85/12</f>
        <v>-929.6875</v>
      </c>
      <c r="O55" s="67" t="n">
        <f aca="false">-(O70+O71+O73)/2*Inputs!$E$85/12</f>
        <v>-917.03869047619</v>
      </c>
      <c r="P55" s="67" t="n">
        <f aca="false">-(P70+P71+P73)/2*Inputs!$E$85/12</f>
        <v>-904.389880952381</v>
      </c>
      <c r="Q55" s="67" t="n">
        <f aca="false">-(Q70+Q71+Q73)/2*Inputs!$E$85/12</f>
        <v>-891.741071428571</v>
      </c>
      <c r="R55" s="67" t="n">
        <f aca="false">-(R70+R71+R73)/2*Inputs!$E$85/12</f>
        <v>-879.092261904762</v>
      </c>
      <c r="S55" s="67" t="n">
        <f aca="false">-(S70+S71+S73)/2*Inputs!$E$85/12</f>
        <v>-866.443452380952</v>
      </c>
      <c r="T55" s="67" t="n">
        <f aca="false">-(T70+T71+T73)/2*Inputs!$E$85/12</f>
        <v>-853.794642857142</v>
      </c>
      <c r="U55" s="67" t="n">
        <f aca="false">-(U70+U71+U73)/2*Inputs!$E$85/12</f>
        <v>-841.145833333333</v>
      </c>
      <c r="V55" s="67" t="n">
        <f aca="false">-(V70+V71+V73)/2*Inputs!$E$85/12</f>
        <v>-828.497023809523</v>
      </c>
      <c r="W55" s="67" t="n">
        <f aca="false">-(W70+W71+W73)/2*Inputs!$E$85/12</f>
        <v>-815.848214285714</v>
      </c>
      <c r="X55" s="67" t="n">
        <f aca="false">-(X70+X71+X73)/2*Inputs!$E$85/12</f>
        <v>-803.199404761904</v>
      </c>
      <c r="Y55" s="67" t="n">
        <f aca="false">-(Y70+Y71+Y73)/2*Inputs!$E$85/12</f>
        <v>-790.550595238095</v>
      </c>
      <c r="Z55" s="67" t="n">
        <f aca="false">-(Z70+Z71+Z73)/2*Inputs!$E$85/12</f>
        <v>-777.901785714285</v>
      </c>
      <c r="AA55" s="67" t="n">
        <f aca="false">-(AA70+AA71+AA73)/2*Inputs!$E$85/12</f>
        <v>-765.252976190476</v>
      </c>
      <c r="AB55" s="67" t="n">
        <f aca="false">-(AB70+AB71+AB73)/2*Inputs!$E$85/12</f>
        <v>-752.604166666666</v>
      </c>
      <c r="AC55" s="67" t="n">
        <f aca="false">-(AC70+AC71+AC73)/2*Inputs!$E$85/12</f>
        <v>-739.955357142856</v>
      </c>
      <c r="AD55" s="67" t="n">
        <f aca="false">-(AD70+AD71+AD73)/2*Inputs!$E$85/12</f>
        <v>-727.306547619047</v>
      </c>
      <c r="AE55" s="67" t="n">
        <f aca="false">-(AE70+AE71+AE73)/2*Inputs!$E$85/12</f>
        <v>-714.657738095237</v>
      </c>
      <c r="AF55" s="67" t="n">
        <f aca="false">-(AF70+AF71+AF73)/2*Inputs!$E$85/12</f>
        <v>-702.008928571428</v>
      </c>
      <c r="AG55" s="67" t="n">
        <f aca="false">-(AG70+AG71+AG73)/2*Inputs!$E$85/12</f>
        <v>-689.360119047618</v>
      </c>
      <c r="AH55" s="67" t="n">
        <f aca="false">-(AH70+AH71+AH73)/2*Inputs!$E$85/12</f>
        <v>-676.711309523809</v>
      </c>
      <c r="AI55" s="67" t="n">
        <f aca="false">-(AI70+AI71+AI73)/2*Inputs!$E$85/12</f>
        <v>-664.062499999999</v>
      </c>
      <c r="AJ55" s="67" t="n">
        <f aca="false">-(AJ70+AJ71+AJ73)/2*Inputs!$E$85/12</f>
        <v>-651.41369047619</v>
      </c>
      <c r="AK55" s="67" t="n">
        <f aca="false">-(AK70+AK71+AK73)/2*Inputs!$E$85/12</f>
        <v>-638.76488095238</v>
      </c>
      <c r="AL55" s="67" t="n">
        <f aca="false">-(AL70+AL71+AL73)/2*Inputs!$E$85/12</f>
        <v>-626.11607142857</v>
      </c>
    </row>
    <row r="56" customFormat="false" ht="15" hidden="false" customHeight="false" outlineLevel="0" collapsed="false">
      <c r="A56" s="111" t="s">
        <v>80</v>
      </c>
      <c r="C56" s="68" t="n">
        <f aca="false">C54+C55</f>
        <v>20382.7665186191</v>
      </c>
      <c r="D56" s="68" t="n">
        <f aca="false">D54+D55</f>
        <v>20945.4066021941</v>
      </c>
      <c r="E56" s="68" t="n">
        <f aca="false">E54+E55</f>
        <v>21506.0499680328</v>
      </c>
      <c r="F56" s="68" t="n">
        <f aca="false">F54+F55</f>
        <v>22058.4887070881</v>
      </c>
      <c r="G56" s="68" t="n">
        <f aca="false">G54+G55</f>
        <v>22602.8376841352</v>
      </c>
      <c r="H56" s="68" t="n">
        <f aca="false">H54+H55</f>
        <v>23139.210155842</v>
      </c>
      <c r="I56" s="68" t="n">
        <f aca="false">I54+I55</f>
        <v>23667.7177932835</v>
      </c>
      <c r="J56" s="68" t="n">
        <f aca="false">J54+J55</f>
        <v>24188.4707041392</v>
      </c>
      <c r="K56" s="68" t="n">
        <f aca="false">K54+K55</f>
        <v>24701.5774545814</v>
      </c>
      <c r="L56" s="68" t="n">
        <f aca="false">L54+L55</f>
        <v>25207.1450908559</v>
      </c>
      <c r="M56" s="68" t="n">
        <f aca="false">M54+M55</f>
        <v>25705.2791605609</v>
      </c>
      <c r="N56" s="68" t="n">
        <f aca="false">N54+N55</f>
        <v>26196.0837336287</v>
      </c>
      <c r="O56" s="68" t="n">
        <f aca="false">O54+O55</f>
        <v>25781.5192399778</v>
      </c>
      <c r="P56" s="68" t="n">
        <f aca="false">P54+P55</f>
        <v>26393.7980820581</v>
      </c>
      <c r="Q56" s="68" t="n">
        <f aca="false">Q54+Q55</f>
        <v>26997.1036885765</v>
      </c>
      <c r="R56" s="68" t="n">
        <f aca="false">R54+R55</f>
        <v>27591.561684831</v>
      </c>
      <c r="S56" s="68" t="n">
        <f aca="false">S54+S55</f>
        <v>28177.2959373652</v>
      </c>
      <c r="T56" s="68" t="n">
        <f aca="false">T54+T55</f>
        <v>28754.4285785911</v>
      </c>
      <c r="U56" s="68" t="n">
        <f aca="false">U54+U55</f>
        <v>29323.0800310673</v>
      </c>
      <c r="V56" s="68" t="n">
        <f aca="false">V54+V55</f>
        <v>29883.369031436</v>
      </c>
      <c r="W56" s="68" t="n">
        <f aca="false">W54+W55</f>
        <v>30435.4126540269</v>
      </c>
      <c r="X56" s="68" t="n">
        <f aca="false">X54+X55</f>
        <v>30979.3263341288</v>
      </c>
      <c r="Y56" s="68" t="n">
        <f aca="false">Y54+Y55</f>
        <v>31515.2238909365</v>
      </c>
      <c r="Z56" s="68" t="n">
        <f aca="false">Z54+Z55</f>
        <v>32043.2175501762</v>
      </c>
      <c r="AA56" s="68" t="n">
        <f aca="false">AA54+AA55</f>
        <v>31663.5261981792</v>
      </c>
      <c r="AB56" s="68" t="n">
        <f aca="false">AB54+AB55</f>
        <v>32323.4691979444</v>
      </c>
      <c r="AC56" s="68" t="n">
        <f aca="false">AC54+AC55</f>
        <v>32973.7220154441</v>
      </c>
      <c r="AD56" s="68" t="n">
        <f aca="false">AD54+AD55</f>
        <v>33614.42031323</v>
      </c>
      <c r="AE56" s="68" t="n">
        <f aca="false">AE54+AE55</f>
        <v>34245.6978545782</v>
      </c>
      <c r="AF56" s="68" t="n">
        <f aca="false">AF54+AF55</f>
        <v>34867.6865300788</v>
      </c>
      <c r="AG56" s="68" t="n">
        <f aca="false">AG54+AG55</f>
        <v>35480.5163838536</v>
      </c>
      <c r="AH56" s="68" t="n">
        <f aca="false">AH54+AH55</f>
        <v>36084.3156394068</v>
      </c>
      <c r="AI56" s="68" t="n">
        <f aca="false">AI54+AI55</f>
        <v>36679.2107251134</v>
      </c>
      <c r="AJ56" s="68" t="n">
        <f aca="false">AJ54+AJ55</f>
        <v>37265.3262993514</v>
      </c>
      <c r="AK56" s="68" t="n">
        <f aca="false">AK54+AK55</f>
        <v>37842.7852752814</v>
      </c>
      <c r="AL56" s="68" t="n">
        <f aca="false">AL54+AL55</f>
        <v>38411.7088452795</v>
      </c>
    </row>
    <row r="57" customFormat="false" ht="15" hidden="false" customHeight="false" outlineLevel="0" collapsed="false">
      <c r="A57" s="119" t="s">
        <v>434</v>
      </c>
      <c r="C57" s="67" t="n">
        <f aca="false">C56</f>
        <v>20382.7665186191</v>
      </c>
      <c r="D57" s="67" t="n">
        <f aca="false">C57+D56</f>
        <v>41328.1731208132</v>
      </c>
      <c r="E57" s="67" t="n">
        <f aca="false">D57+E56</f>
        <v>62834.223088846</v>
      </c>
      <c r="F57" s="67" t="n">
        <f aca="false">E57+F56</f>
        <v>84892.7117959341</v>
      </c>
      <c r="G57" s="67" t="n">
        <f aca="false">F57+G56</f>
        <v>107495.549480069</v>
      </c>
      <c r="H57" s="67" t="n">
        <f aca="false">G57+H56</f>
        <v>130634.759635911</v>
      </c>
      <c r="I57" s="67" t="n">
        <f aca="false">H57+I56</f>
        <v>154302.477429195</v>
      </c>
      <c r="J57" s="67" t="n">
        <f aca="false">I57+J56</f>
        <v>178490.948133334</v>
      </c>
      <c r="K57" s="67" t="n">
        <f aca="false">J57+K56</f>
        <v>203192.525587915</v>
      </c>
      <c r="L57" s="67" t="n">
        <f aca="false">K57+L56</f>
        <v>228399.670678771</v>
      </c>
      <c r="M57" s="67" t="n">
        <f aca="false">L57+M56</f>
        <v>254104.949839332</v>
      </c>
      <c r="N57" s="67" t="n">
        <f aca="false">M57+N56</f>
        <v>280301.033572961</v>
      </c>
      <c r="O57" s="67" t="n">
        <f aca="false">N57+O56</f>
        <v>306082.552812939</v>
      </c>
      <c r="P57" s="67" t="n">
        <f aca="false">O57+P56</f>
        <v>332476.350894997</v>
      </c>
      <c r="Q57" s="67" t="n">
        <f aca="false">P57+Q56</f>
        <v>359473.454583573</v>
      </c>
      <c r="R57" s="67" t="n">
        <f aca="false">Q57+R56</f>
        <v>387065.016268404</v>
      </c>
      <c r="S57" s="67" t="n">
        <f aca="false">R57+S56</f>
        <v>415242.312205769</v>
      </c>
      <c r="T57" s="67" t="n">
        <f aca="false">S57+T56</f>
        <v>443996.740784361</v>
      </c>
      <c r="U57" s="67" t="n">
        <f aca="false">T57+U56</f>
        <v>473319.820815428</v>
      </c>
      <c r="V57" s="67" t="n">
        <f aca="false">U57+V56</f>
        <v>503203.189846864</v>
      </c>
      <c r="W57" s="67" t="n">
        <f aca="false">V57+W56</f>
        <v>533638.602500891</v>
      </c>
      <c r="X57" s="67" t="n">
        <f aca="false">W57+X56</f>
        <v>564617.92883502</v>
      </c>
      <c r="Y57" s="67" t="n">
        <f aca="false">X57+Y56</f>
        <v>596133.152725956</v>
      </c>
      <c r="Z57" s="67" t="n">
        <f aca="false">Y57+Z56</f>
        <v>628176.370276132</v>
      </c>
      <c r="AA57" s="67" t="n">
        <f aca="false">Z57+AA56</f>
        <v>659839.896474311</v>
      </c>
      <c r="AB57" s="67" t="n">
        <f aca="false">AA57+AB56</f>
        <v>692163.365672256</v>
      </c>
      <c r="AC57" s="67" t="n">
        <f aca="false">AB57+AC56</f>
        <v>725137.0876877</v>
      </c>
      <c r="AD57" s="67" t="n">
        <f aca="false">AC57+AD56</f>
        <v>758751.50800093</v>
      </c>
      <c r="AE57" s="67" t="n">
        <f aca="false">AD57+AE56</f>
        <v>792997.205855508</v>
      </c>
      <c r="AF57" s="67" t="n">
        <f aca="false">AE57+AF56</f>
        <v>827864.892385587</v>
      </c>
      <c r="AG57" s="67" t="n">
        <f aca="false">AF57+AG56</f>
        <v>863345.40876944</v>
      </c>
      <c r="AH57" s="67" t="n">
        <f aca="false">AG57+AH56</f>
        <v>899429.724408847</v>
      </c>
      <c r="AI57" s="67" t="n">
        <f aca="false">AH57+AI56</f>
        <v>936108.935133961</v>
      </c>
      <c r="AJ57" s="67" t="n">
        <f aca="false">AI57+AJ56</f>
        <v>973374.261433312</v>
      </c>
      <c r="AK57" s="67" t="n">
        <f aca="false">AJ57+AK56</f>
        <v>1011217.04670859</v>
      </c>
      <c r="AL57" s="67" t="n">
        <f aca="false">AK57+AL56</f>
        <v>1049628.75555387</v>
      </c>
    </row>
    <row r="58" customFormat="false" ht="15" hidden="false" customHeight="false" outlineLevel="0" collapsed="false">
      <c r="A58" s="119" t="s">
        <v>435</v>
      </c>
      <c r="C58" s="67" t="n">
        <f aca="false">MAX(0,C57)</f>
        <v>20382.7665186191</v>
      </c>
      <c r="D58" s="67" t="n">
        <f aca="false">MAX(C58,D57)</f>
        <v>41328.1731208132</v>
      </c>
      <c r="E58" s="67" t="n">
        <f aca="false">MAX(D58,E57)</f>
        <v>62834.223088846</v>
      </c>
      <c r="F58" s="67" t="n">
        <f aca="false">MAX(E58,F57)</f>
        <v>84892.7117959341</v>
      </c>
      <c r="G58" s="67" t="n">
        <f aca="false">MAX(F58,G57)</f>
        <v>107495.549480069</v>
      </c>
      <c r="H58" s="67" t="n">
        <f aca="false">MAX(G58,H57)</f>
        <v>130634.759635911</v>
      </c>
      <c r="I58" s="67" t="n">
        <f aca="false">MAX(H58,I57)</f>
        <v>154302.477429195</v>
      </c>
      <c r="J58" s="67" t="n">
        <f aca="false">MAX(I58,J57)</f>
        <v>178490.948133334</v>
      </c>
      <c r="K58" s="67" t="n">
        <f aca="false">MAX(J58,K57)</f>
        <v>203192.525587915</v>
      </c>
      <c r="L58" s="67" t="n">
        <f aca="false">MAX(K58,L57)</f>
        <v>228399.670678771</v>
      </c>
      <c r="M58" s="67" t="n">
        <f aca="false">MAX(L58,M57)</f>
        <v>254104.949839332</v>
      </c>
      <c r="N58" s="67" t="n">
        <f aca="false">MAX(M58,N57)</f>
        <v>280301.033572961</v>
      </c>
      <c r="O58" s="67" t="n">
        <f aca="false">MAX(N58,O57)</f>
        <v>306082.552812939</v>
      </c>
      <c r="P58" s="67" t="n">
        <f aca="false">MAX(O58,P57)</f>
        <v>332476.350894997</v>
      </c>
      <c r="Q58" s="67" t="n">
        <f aca="false">MAX(P58,Q57)</f>
        <v>359473.454583573</v>
      </c>
      <c r="R58" s="67" t="n">
        <f aca="false">MAX(Q58,R57)</f>
        <v>387065.016268404</v>
      </c>
      <c r="S58" s="67" t="n">
        <f aca="false">MAX(R58,S57)</f>
        <v>415242.312205769</v>
      </c>
      <c r="T58" s="67" t="n">
        <f aca="false">MAX(S58,T57)</f>
        <v>443996.740784361</v>
      </c>
      <c r="U58" s="67" t="n">
        <f aca="false">MAX(T58,U57)</f>
        <v>473319.820815428</v>
      </c>
      <c r="V58" s="67" t="n">
        <f aca="false">MAX(U58,V57)</f>
        <v>503203.189846864</v>
      </c>
      <c r="W58" s="67" t="n">
        <f aca="false">MAX(V58,W57)</f>
        <v>533638.602500891</v>
      </c>
      <c r="X58" s="67" t="n">
        <f aca="false">MAX(W58,X57)</f>
        <v>564617.92883502</v>
      </c>
      <c r="Y58" s="67" t="n">
        <f aca="false">MAX(X58,Y57)</f>
        <v>596133.152725956</v>
      </c>
      <c r="Z58" s="67" t="n">
        <f aca="false">MAX(Y58,Z57)</f>
        <v>628176.370276132</v>
      </c>
      <c r="AA58" s="67" t="n">
        <f aca="false">MAX(Z58,AA57)</f>
        <v>659839.896474311</v>
      </c>
      <c r="AB58" s="67" t="n">
        <f aca="false">MAX(AA58,AB57)</f>
        <v>692163.365672256</v>
      </c>
      <c r="AC58" s="67" t="n">
        <f aca="false">MAX(AB58,AC57)</f>
        <v>725137.0876877</v>
      </c>
      <c r="AD58" s="67" t="n">
        <f aca="false">MAX(AC58,AD57)</f>
        <v>758751.50800093</v>
      </c>
      <c r="AE58" s="67" t="n">
        <f aca="false">MAX(AD58,AE57)</f>
        <v>792997.205855508</v>
      </c>
      <c r="AF58" s="67" t="n">
        <f aca="false">MAX(AE58,AF57)</f>
        <v>827864.892385587</v>
      </c>
      <c r="AG58" s="67" t="n">
        <f aca="false">MAX(AF58,AG57)</f>
        <v>863345.40876944</v>
      </c>
      <c r="AH58" s="67" t="n">
        <f aca="false">MAX(AG58,AH57)</f>
        <v>899429.724408847</v>
      </c>
      <c r="AI58" s="67" t="n">
        <f aca="false">MAX(AH58,AI57)</f>
        <v>936108.935133961</v>
      </c>
      <c r="AJ58" s="67" t="n">
        <f aca="false">MAX(AI58,AJ57)</f>
        <v>973374.261433312</v>
      </c>
      <c r="AK58" s="67" t="n">
        <f aca="false">MAX(AJ58,AK57)</f>
        <v>1011217.04670859</v>
      </c>
      <c r="AL58" s="67" t="n">
        <f aca="false">MAX(AK58,AL57)</f>
        <v>1049628.75555387</v>
      </c>
    </row>
    <row r="59" customFormat="false" ht="15" hidden="false" customHeight="false" outlineLevel="0" collapsed="false">
      <c r="A59" s="6" t="s">
        <v>81</v>
      </c>
      <c r="C59" s="67" t="n">
        <f aca="false">-C58*Inputs!$E$95</f>
        <v>-4280.38096891002</v>
      </c>
      <c r="D59" s="67" t="n">
        <f aca="false">-(D58-C58)*Inputs!$E$95</f>
        <v>-4398.53538646076</v>
      </c>
      <c r="E59" s="67" t="n">
        <f aca="false">-(E58-D58)*Inputs!$E$95</f>
        <v>-4516.27049328688</v>
      </c>
      <c r="F59" s="67" t="n">
        <f aca="false">-(F58-E58)*Inputs!$E$95</f>
        <v>-4632.2826284885</v>
      </c>
      <c r="G59" s="67" t="n">
        <f aca="false">-(G58-F58)*Inputs!$E$95</f>
        <v>-4746.59591366839</v>
      </c>
      <c r="H59" s="67" t="n">
        <f aca="false">-(H58-G58)*Inputs!$E$95</f>
        <v>-4859.23413272682</v>
      </c>
      <c r="I59" s="67" t="n">
        <f aca="false">-(I58-H58)*Inputs!$E$95</f>
        <v>-4970.22073658953</v>
      </c>
      <c r="J59" s="67" t="n">
        <f aca="false">-(J58-I58)*Inputs!$E$95</f>
        <v>-5079.57884786923</v>
      </c>
      <c r="K59" s="67" t="n">
        <f aca="false">-(K58-J58)*Inputs!$E$95</f>
        <v>-5187.33126546209</v>
      </c>
      <c r="L59" s="67" t="n">
        <f aca="false">-(L58-K58)*Inputs!$E$95</f>
        <v>-5293.50046907973</v>
      </c>
      <c r="M59" s="67" t="n">
        <f aca="false">-(M58-L58)*Inputs!$E$95</f>
        <v>-5398.1086237178</v>
      </c>
      <c r="N59" s="67" t="n">
        <f aca="false">-(N58-M58)*Inputs!$E$95</f>
        <v>-5501.17758406202</v>
      </c>
      <c r="O59" s="67" t="n">
        <f aca="false">-(O58-N58)*Inputs!$E$95</f>
        <v>-5414.11904039534</v>
      </c>
      <c r="P59" s="67" t="n">
        <f aca="false">-(P58-O58)*Inputs!$E$95</f>
        <v>-5542.6975972322</v>
      </c>
      <c r="Q59" s="67" t="n">
        <f aca="false">-(Q58-P58)*Inputs!$E$95</f>
        <v>-5669.39177460108</v>
      </c>
      <c r="R59" s="67" t="n">
        <f aca="false">-(R58-Q58)*Inputs!$E$95</f>
        <v>-5794.22795381451</v>
      </c>
      <c r="S59" s="67" t="n">
        <f aca="false">-(S58-R58)*Inputs!$E$95</f>
        <v>-5917.23214684668</v>
      </c>
      <c r="T59" s="67" t="n">
        <f aca="false">-(T58-S58)*Inputs!$E$95</f>
        <v>-6038.43000150414</v>
      </c>
      <c r="U59" s="67" t="n">
        <f aca="false">-(U58-T58)*Inputs!$E$95</f>
        <v>-6157.84680652413</v>
      </c>
      <c r="V59" s="67" t="n">
        <f aca="false">-(V58-U58)*Inputs!$E$95</f>
        <v>-6275.50749660156</v>
      </c>
      <c r="W59" s="67" t="n">
        <f aca="false">-(W58-V58)*Inputs!$E$95</f>
        <v>-6391.43665734564</v>
      </c>
      <c r="X59" s="67" t="n">
        <f aca="false">-(X58-W58)*Inputs!$E$95</f>
        <v>-6505.65853016704</v>
      </c>
      <c r="Y59" s="67" t="n">
        <f aca="false">-(Y58-X58)*Inputs!$E$95</f>
        <v>-6618.19701709666</v>
      </c>
      <c r="Z59" s="67" t="n">
        <f aca="false">-(Z58-Y58)*Inputs!$E$95</f>
        <v>-6729.075685537</v>
      </c>
      <c r="AA59" s="67" t="n">
        <f aca="false">-(AA58-Z58)*Inputs!$E$95</f>
        <v>-6649.34050161761</v>
      </c>
      <c r="AB59" s="67" t="n">
        <f aca="false">-(AB58-AA58)*Inputs!$E$95</f>
        <v>-6787.92853156832</v>
      </c>
      <c r="AC59" s="67" t="n">
        <f aca="false">-(AC58-AB58)*Inputs!$E$95</f>
        <v>-6924.48162324326</v>
      </c>
      <c r="AD59" s="67" t="n">
        <f aca="false">-(AD58-AC58)*Inputs!$E$95</f>
        <v>-7059.0282657783</v>
      </c>
      <c r="AE59" s="67" t="n">
        <f aca="false">-(AE58-AD58)*Inputs!$E$95</f>
        <v>-7191.59654946144</v>
      </c>
      <c r="AF59" s="67" t="n">
        <f aca="false">-(AF58-AE58)*Inputs!$E$95</f>
        <v>-7322.21417131654</v>
      </c>
      <c r="AG59" s="67" t="n">
        <f aca="false">-(AG58-AF58)*Inputs!$E$95</f>
        <v>-7450.90844060926</v>
      </c>
      <c r="AH59" s="67" t="n">
        <f aca="false">-(AH58-AG58)*Inputs!$E$95</f>
        <v>-7577.70628427543</v>
      </c>
      <c r="AI59" s="67" t="n">
        <f aca="false">-(AI58-AH58)*Inputs!$E$95</f>
        <v>-7702.63425227381</v>
      </c>
      <c r="AJ59" s="67" t="n">
        <f aca="false">-(AJ58-AI58)*Inputs!$E$95</f>
        <v>-7825.7185228638</v>
      </c>
      <c r="AK59" s="67" t="n">
        <f aca="false">-(AK58-AJ58)*Inputs!$E$95</f>
        <v>-7946.9849078091</v>
      </c>
      <c r="AL59" s="67" t="n">
        <f aca="false">-(AL58-AK58)*Inputs!$E$95</f>
        <v>-8066.45885750868</v>
      </c>
    </row>
    <row r="60" customFormat="false" ht="15" hidden="false" customHeight="false" outlineLevel="0" collapsed="false">
      <c r="A60" s="111" t="s">
        <v>50</v>
      </c>
      <c r="C60" s="68" t="n">
        <f aca="false">C56+C59</f>
        <v>16102.3855497091</v>
      </c>
      <c r="D60" s="68" t="n">
        <f aca="false">D56+D59</f>
        <v>16546.8712157333</v>
      </c>
      <c r="E60" s="68" t="n">
        <f aca="false">E56+E59</f>
        <v>16989.7794747459</v>
      </c>
      <c r="F60" s="68" t="n">
        <f aca="false">F56+F59</f>
        <v>17426.2060785996</v>
      </c>
      <c r="G60" s="68" t="n">
        <f aca="false">G56+G59</f>
        <v>17856.2417704668</v>
      </c>
      <c r="H60" s="68" t="n">
        <f aca="false">H56+H59</f>
        <v>18279.9760231152</v>
      </c>
      <c r="I60" s="68" t="n">
        <f aca="false">I56+I59</f>
        <v>18697.4970566939</v>
      </c>
      <c r="J60" s="68" t="n">
        <f aca="false">J56+J59</f>
        <v>19108.8918562699</v>
      </c>
      <c r="K60" s="68" t="n">
        <f aca="false">K56+K59</f>
        <v>19514.2461891193</v>
      </c>
      <c r="L60" s="68" t="n">
        <f aca="false">L56+L59</f>
        <v>19913.6446217761</v>
      </c>
      <c r="M60" s="68" t="n">
        <f aca="false">M56+M59</f>
        <v>20307.1705368431</v>
      </c>
      <c r="N60" s="68" t="n">
        <f aca="false">N56+N59</f>
        <v>20694.9061495666</v>
      </c>
      <c r="O60" s="68" t="n">
        <f aca="false">O56+O59</f>
        <v>20367.4001995825</v>
      </c>
      <c r="P60" s="68" t="n">
        <f aca="false">P56+P59</f>
        <v>20851.1004848259</v>
      </c>
      <c r="Q60" s="68" t="n">
        <f aca="false">Q56+Q59</f>
        <v>21327.7119139755</v>
      </c>
      <c r="R60" s="68" t="n">
        <f aca="false">R56+R59</f>
        <v>21797.3337310165</v>
      </c>
      <c r="S60" s="68" t="n">
        <f aca="false">S56+S59</f>
        <v>22260.0637905185</v>
      </c>
      <c r="T60" s="68" t="n">
        <f aca="false">T56+T59</f>
        <v>22715.998577087</v>
      </c>
      <c r="U60" s="68" t="n">
        <f aca="false">U56+U59</f>
        <v>23165.2332245432</v>
      </c>
      <c r="V60" s="68" t="n">
        <f aca="false">V56+V59</f>
        <v>23607.8615348344</v>
      </c>
      <c r="W60" s="68" t="n">
        <f aca="false">W56+W59</f>
        <v>24043.9759966813</v>
      </c>
      <c r="X60" s="68" t="n">
        <f aca="false">X56+X59</f>
        <v>24473.6678039618</v>
      </c>
      <c r="Y60" s="68" t="n">
        <f aca="false">Y56+Y59</f>
        <v>24897.0268738399</v>
      </c>
      <c r="Z60" s="68" t="n">
        <f aca="false">Z56+Z59</f>
        <v>25314.1418646392</v>
      </c>
      <c r="AA60" s="68" t="n">
        <f aca="false">AA56+AA59</f>
        <v>25014.1856965615</v>
      </c>
      <c r="AB60" s="68" t="n">
        <f aca="false">AB56+AB59</f>
        <v>25535.540666376</v>
      </c>
      <c r="AC60" s="68" t="n">
        <f aca="false">AC56+AC59</f>
        <v>26049.2403922008</v>
      </c>
      <c r="AD60" s="68" t="n">
        <f aca="false">AD56+AD59</f>
        <v>26555.3920474517</v>
      </c>
      <c r="AE60" s="68" t="n">
        <f aca="false">AE56+AE59</f>
        <v>27054.1013051168</v>
      </c>
      <c r="AF60" s="68" t="n">
        <f aca="false">AF56+AF59</f>
        <v>27545.4723587623</v>
      </c>
      <c r="AG60" s="68" t="n">
        <f aca="false">AG56+AG59</f>
        <v>28029.6079432443</v>
      </c>
      <c r="AH60" s="68" t="n">
        <f aca="false">AH56+AH59</f>
        <v>28506.6093551314</v>
      </c>
      <c r="AI60" s="68" t="n">
        <f aca="false">AI56+AI59</f>
        <v>28976.5764728396</v>
      </c>
      <c r="AJ60" s="68" t="n">
        <f aca="false">AJ56+AJ59</f>
        <v>29439.6077764876</v>
      </c>
      <c r="AK60" s="68" t="n">
        <f aca="false">AK56+AK59</f>
        <v>29895.8003674723</v>
      </c>
      <c r="AL60" s="68" t="n">
        <f aca="false">AL56+AL59</f>
        <v>30345.2499877708</v>
      </c>
    </row>
    <row r="62" customFormat="false" ht="15.75" hidden="false" customHeight="true" outlineLevel="0" collapsed="false">
      <c r="A62" s="7" t="s">
        <v>436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customFormat="false" ht="15" hidden="false" customHeight="false" outlineLevel="0" collapsed="false">
      <c r="A63" s="6" t="s">
        <v>437</v>
      </c>
      <c r="C63" s="67" t="n">
        <f aca="false">Inputs!$E$52*Inputs!$E$48+MAX(0,Inputs!$E$7+Inputs!$E$8-Inputs!$E$54)*Inputs!$E$53+Inputs!$E$55+C31*Inputs!$E$56</f>
        <v>62411.4295276172</v>
      </c>
      <c r="D63" s="67" t="n">
        <f aca="false">D31*Inputs!$E$56</f>
        <v>2422.4165657993</v>
      </c>
      <c r="E63" s="67" t="n">
        <f aca="false">E31*Inputs!$E$56</f>
        <v>2433.24978544686</v>
      </c>
      <c r="F63" s="67" t="n">
        <f aca="false">F31*Inputs!$E$56</f>
        <v>2443.93134001935</v>
      </c>
      <c r="G63" s="67" t="n">
        <f aca="false">G31*Inputs!$E$56</f>
        <v>2454.46335282783</v>
      </c>
      <c r="H63" s="67" t="n">
        <f aca="false">H31*Inputs!$E$56</f>
        <v>2464.84791745699</v>
      </c>
      <c r="I63" s="67" t="n">
        <f aca="false">I31*Inputs!$E$56</f>
        <v>2475.08709818134</v>
      </c>
      <c r="J63" s="67" t="n">
        <f aca="false">J31*Inputs!$E$56</f>
        <v>2485.18293037555</v>
      </c>
      <c r="K63" s="67" t="n">
        <f aca="false">K31*Inputs!$E$56</f>
        <v>2495.13742091905</v>
      </c>
      <c r="L63" s="67" t="n">
        <f aca="false">L31*Inputs!$E$56</f>
        <v>2504.95254859493</v>
      </c>
      <c r="M63" s="67" t="n">
        <f aca="false">M31*Inputs!$E$56</f>
        <v>2514.63026448335</v>
      </c>
      <c r="N63" s="67" t="n">
        <f aca="false">N31*Inputs!$E$56</f>
        <v>2524.17249234933</v>
      </c>
      <c r="O63" s="67" t="n">
        <f aca="false">O31*Inputs!$E$56</f>
        <v>2624.19957951572</v>
      </c>
      <c r="P63" s="67" t="n">
        <f aca="false">P31*Inputs!$E$56</f>
        <v>2636.0476543104</v>
      </c>
      <c r="Q63" s="67" t="n">
        <f aca="false">Q31*Inputs!$E$56</f>
        <v>2647.72985605796</v>
      </c>
      <c r="R63" s="67" t="n">
        <f aca="false">R31*Inputs!$E$56</f>
        <v>2659.24850698105</v>
      </c>
      <c r="S63" s="67" t="n">
        <f aca="false">S31*Inputs!$E$56</f>
        <v>2670.60589679122</v>
      </c>
      <c r="T63" s="67" t="n">
        <f aca="false">T31*Inputs!$E$56</f>
        <v>2681.80428314404</v>
      </c>
      <c r="U63" s="67" t="n">
        <f aca="false">U31*Inputs!$E$56</f>
        <v>2692.84589208793</v>
      </c>
      <c r="V63" s="67" t="n">
        <f aca="false">V31*Inputs!$E$56</f>
        <v>2703.7329185066</v>
      </c>
      <c r="W63" s="67" t="n">
        <f aca="false">W31*Inputs!$E$56</f>
        <v>2714.46752655541</v>
      </c>
      <c r="X63" s="67" t="n">
        <f aca="false">X31*Inputs!$E$56</f>
        <v>2725.05185009153</v>
      </c>
      <c r="Y63" s="67" t="n">
        <f aca="false">Y31*Inputs!$E$56</f>
        <v>2735.48799309815</v>
      </c>
      <c r="Z63" s="67" t="n">
        <f aca="false">Z31*Inputs!$E$56</f>
        <v>2745.77803010268</v>
      </c>
      <c r="AA63" s="67" t="n">
        <f aca="false">AA31*Inputs!$E$56</f>
        <v>2854.47329789153</v>
      </c>
      <c r="AB63" s="67" t="n">
        <f aca="false">AB31*Inputs!$E$56</f>
        <v>2867.26801429725</v>
      </c>
      <c r="AC63" s="67" t="n">
        <f aca="false">AC31*Inputs!$E$56</f>
        <v>2879.8836046733</v>
      </c>
      <c r="AD63" s="67" t="n">
        <f aca="false">AD31*Inputs!$E$56</f>
        <v>2892.32257678408</v>
      </c>
      <c r="AE63" s="67" t="n">
        <f aca="false">AE31*Inputs!$E$56</f>
        <v>2904.58740328531</v>
      </c>
      <c r="AF63" s="67" t="n">
        <f aca="false">AF31*Inputs!$E$56</f>
        <v>2916.68052221552</v>
      </c>
      <c r="AG63" s="67" t="n">
        <f aca="false">AG31*Inputs!$E$56</f>
        <v>2928.60433748071</v>
      </c>
      <c r="AH63" s="67" t="n">
        <f aca="false">AH31*Inputs!$E$56</f>
        <v>2940.36121933219</v>
      </c>
      <c r="AI63" s="67" t="n">
        <f aca="false">AI31*Inputs!$E$56</f>
        <v>2951.95350483774</v>
      </c>
      <c r="AJ63" s="67" t="n">
        <f aca="false">AJ31*Inputs!$E$56</f>
        <v>2963.38349834622</v>
      </c>
      <c r="AK63" s="67" t="n">
        <f aca="false">AK31*Inputs!$E$56</f>
        <v>2974.65347194558</v>
      </c>
      <c r="AL63" s="67" t="n">
        <f aca="false">AL31*Inputs!$E$56</f>
        <v>2985.76566591455</v>
      </c>
    </row>
    <row r="64" customFormat="false" ht="15" hidden="false" customHeight="false" outlineLevel="0" collapsed="false">
      <c r="A64" s="6" t="s">
        <v>438</v>
      </c>
      <c r="C64" s="67" t="n">
        <f aca="false">C63</f>
        <v>62411.4295276172</v>
      </c>
      <c r="D64" s="67" t="n">
        <f aca="false">C64+D63</f>
        <v>64833.8460934165</v>
      </c>
      <c r="E64" s="67" t="n">
        <f aca="false">D64+E63</f>
        <v>67267.0958788633</v>
      </c>
      <c r="F64" s="67" t="n">
        <f aca="false">E64+F63</f>
        <v>69711.0272188827</v>
      </c>
      <c r="G64" s="67" t="n">
        <f aca="false">F64+G63</f>
        <v>72165.4905717105</v>
      </c>
      <c r="H64" s="67" t="n">
        <f aca="false">G64+H63</f>
        <v>74630.3384891675</v>
      </c>
      <c r="I64" s="67" t="n">
        <f aca="false">H64+I63</f>
        <v>77105.4255873489</v>
      </c>
      <c r="J64" s="67" t="n">
        <f aca="false">I64+J63</f>
        <v>79590.6085177244</v>
      </c>
      <c r="K64" s="67" t="n">
        <f aca="false">J64+K63</f>
        <v>82085.7459386435</v>
      </c>
      <c r="L64" s="67" t="n">
        <f aca="false">K64+L63</f>
        <v>84590.6984872384</v>
      </c>
      <c r="M64" s="67" t="n">
        <f aca="false">L64+M63</f>
        <v>87105.3287517217</v>
      </c>
      <c r="N64" s="67" t="n">
        <f aca="false">M64+N63</f>
        <v>89629.5012440711</v>
      </c>
      <c r="O64" s="67" t="n">
        <f aca="false">N64+O63</f>
        <v>92253.7008235868</v>
      </c>
      <c r="P64" s="67" t="n">
        <f aca="false">O64+P63</f>
        <v>94889.7484778972</v>
      </c>
      <c r="Q64" s="67" t="n">
        <f aca="false">P64+Q63</f>
        <v>97537.4783339552</v>
      </c>
      <c r="R64" s="67" t="n">
        <f aca="false">Q64+R63</f>
        <v>100196.726840936</v>
      </c>
      <c r="S64" s="67" t="n">
        <f aca="false">R64+S63</f>
        <v>102867.332737727</v>
      </c>
      <c r="T64" s="67" t="n">
        <f aca="false">S64+T63</f>
        <v>105549.137020871</v>
      </c>
      <c r="U64" s="67" t="n">
        <f aca="false">T64+U63</f>
        <v>108241.982912959</v>
      </c>
      <c r="V64" s="67" t="n">
        <f aca="false">U64+V63</f>
        <v>110945.715831466</v>
      </c>
      <c r="W64" s="67" t="n">
        <f aca="false">V64+W63</f>
        <v>113660.183358021</v>
      </c>
      <c r="X64" s="67" t="n">
        <f aca="false">W64+X63</f>
        <v>116385.235208113</v>
      </c>
      <c r="Y64" s="67" t="n">
        <f aca="false">X64+Y63</f>
        <v>119120.723201211</v>
      </c>
      <c r="Z64" s="67" t="n">
        <f aca="false">Y64+Z63</f>
        <v>121866.501231314</v>
      </c>
      <c r="AA64" s="67" t="n">
        <f aca="false">Z64+AA63</f>
        <v>124720.974529205</v>
      </c>
      <c r="AB64" s="67" t="n">
        <f aca="false">AA64+AB63</f>
        <v>127588.242543503</v>
      </c>
      <c r="AC64" s="67" t="n">
        <f aca="false">AB64+AC63</f>
        <v>130468.126148176</v>
      </c>
      <c r="AD64" s="67" t="n">
        <f aca="false">AC64+AD63</f>
        <v>133360.44872496</v>
      </c>
      <c r="AE64" s="67" t="n">
        <f aca="false">AD64+AE63</f>
        <v>136265.036128245</v>
      </c>
      <c r="AF64" s="67" t="n">
        <f aca="false">AE64+AF63</f>
        <v>139181.716650461</v>
      </c>
      <c r="AG64" s="67" t="n">
        <f aca="false">AF64+AG63</f>
        <v>142110.320987942</v>
      </c>
      <c r="AH64" s="67" t="n">
        <f aca="false">AG64+AH63</f>
        <v>145050.682207274</v>
      </c>
      <c r="AI64" s="67" t="n">
        <f aca="false">AH64+AI63</f>
        <v>148002.635712111</v>
      </c>
      <c r="AJ64" s="67" t="n">
        <f aca="false">AI64+AJ63</f>
        <v>150966.019210458</v>
      </c>
      <c r="AK64" s="67" t="n">
        <f aca="false">AJ64+AK63</f>
        <v>153940.672682403</v>
      </c>
      <c r="AL64" s="67" t="n">
        <f aca="false">AK64+AL63</f>
        <v>156926.438348318</v>
      </c>
    </row>
    <row r="65" customFormat="false" ht="15" hidden="false" customHeight="false" outlineLevel="0" collapsed="false">
      <c r="A65" s="6" t="s">
        <v>77</v>
      </c>
      <c r="C65" s="67" t="n">
        <f aca="false">-MIN(C64/MAX(1,Inputs!$E$94*12),C63)</f>
        <v>-742.993208662109</v>
      </c>
      <c r="D65" s="67" t="n">
        <f aca="false">-MIN(D64/MAX(1,Inputs!$E$94*12),C67+D63)</f>
        <v>-771.831501112101</v>
      </c>
      <c r="E65" s="67" t="n">
        <f aca="false">-MIN(E64/MAX(1,Inputs!$E$94*12),D67+E63)</f>
        <v>-800.798760462659</v>
      </c>
      <c r="F65" s="67" t="n">
        <f aca="false">-MIN(F64/MAX(1,Inputs!$E$94*12),E67+F63)</f>
        <v>-829.893181177175</v>
      </c>
      <c r="G65" s="67" t="n">
        <f aca="false">-MIN(G64/MAX(1,Inputs!$E$94*12),F67+G63)</f>
        <v>-859.112982996554</v>
      </c>
      <c r="H65" s="67" t="n">
        <f aca="false">-MIN(H64/MAX(1,Inputs!$E$94*12),G67+H63)</f>
        <v>-888.456410585328</v>
      </c>
      <c r="I65" s="67" t="n">
        <f aca="false">-MIN(I64/MAX(1,Inputs!$E$94*12),H67+I63)</f>
        <v>-917.921733182725</v>
      </c>
      <c r="J65" s="67" t="n">
        <f aca="false">-MIN(J64/MAX(1,Inputs!$E$94*12),I67+J63)</f>
        <v>-947.507244258624</v>
      </c>
      <c r="K65" s="67" t="n">
        <f aca="false">-MIN(K64/MAX(1,Inputs!$E$94*12),J67+K63)</f>
        <v>-977.211261174327</v>
      </c>
      <c r="L65" s="67" t="n">
        <f aca="false">-MIN(L64/MAX(1,Inputs!$E$94*12),K67+L63)</f>
        <v>-1007.03212484808</v>
      </c>
      <c r="M65" s="67" t="n">
        <f aca="false">-MIN(M64/MAX(1,Inputs!$E$94*12),L67+M63)</f>
        <v>-1036.96819942526</v>
      </c>
      <c r="N65" s="67" t="n">
        <f aca="false">-MIN(N64/MAX(1,Inputs!$E$94*12),M67+N63)</f>
        <v>-1067.01787195323</v>
      </c>
      <c r="O65" s="67" t="n">
        <f aca="false">-MIN(O64/MAX(1,Inputs!$E$94*12),N67+O63)</f>
        <v>-1098.25834313794</v>
      </c>
      <c r="P65" s="67" t="n">
        <f aca="false">-MIN(P64/MAX(1,Inputs!$E$94*12),O67+P63)</f>
        <v>-1129.63986283211</v>
      </c>
      <c r="Q65" s="67" t="n">
        <f aca="false">-MIN(Q64/MAX(1,Inputs!$E$94*12),P67+Q63)</f>
        <v>-1161.16045635661</v>
      </c>
      <c r="R65" s="67" t="n">
        <f aca="false">-MIN(R64/MAX(1,Inputs!$E$94*12),Q67+R63)</f>
        <v>-1192.81817667781</v>
      </c>
      <c r="S65" s="67" t="n">
        <f aca="false">-MIN(S64/MAX(1,Inputs!$E$94*12),R67+S63)</f>
        <v>-1224.61110402056</v>
      </c>
      <c r="T65" s="67" t="n">
        <f aca="false">-MIN(T64/MAX(1,Inputs!$E$94*12),S67+T63)</f>
        <v>-1256.53734548657</v>
      </c>
      <c r="U65" s="67" t="n">
        <f aca="false">-MIN(U64/MAX(1,Inputs!$E$94*12),T67+U63)</f>
        <v>-1288.59503467809</v>
      </c>
      <c r="V65" s="67" t="n">
        <f aca="false">-MIN(V64/MAX(1,Inputs!$E$94*12),U67+V63)</f>
        <v>-1320.78233132698</v>
      </c>
      <c r="W65" s="67" t="n">
        <f aca="false">-MIN(W64/MAX(1,Inputs!$E$94*12),V67+W63)</f>
        <v>-1353.09742092883</v>
      </c>
      <c r="X65" s="67" t="n">
        <f aca="false">-MIN(X64/MAX(1,Inputs!$E$94*12),W67+X63)</f>
        <v>-1385.5385143823</v>
      </c>
      <c r="Y65" s="67" t="n">
        <f aca="false">-MIN(Y64/MAX(1,Inputs!$E$94*12),X67+Y63)</f>
        <v>-1418.10384763347</v>
      </c>
      <c r="Z65" s="67" t="n">
        <f aca="false">-MIN(Z64/MAX(1,Inputs!$E$94*12),Y67+Z63)</f>
        <v>-1450.79168132516</v>
      </c>
      <c r="AA65" s="67" t="n">
        <f aca="false">-MIN(AA64/MAX(1,Inputs!$E$94*12),Z67+AA63)</f>
        <v>-1484.77350630006</v>
      </c>
      <c r="AB65" s="67" t="n">
        <f aca="false">-MIN(AB64/MAX(1,Inputs!$E$94*12),AA67+AB63)</f>
        <v>-1518.90764932741</v>
      </c>
      <c r="AC65" s="67" t="n">
        <f aca="false">-MIN(AC64/MAX(1,Inputs!$E$94*12),AB67+AC63)</f>
        <v>-1553.19197795447</v>
      </c>
      <c r="AD65" s="67" t="n">
        <f aca="false">-MIN(AD64/MAX(1,Inputs!$E$94*12),AC67+AD63)</f>
        <v>-1587.62438958286</v>
      </c>
      <c r="AE65" s="67" t="n">
        <f aca="false">-MIN(AE64/MAX(1,Inputs!$E$94*12),AD67+AE63)</f>
        <v>-1622.20281105054</v>
      </c>
      <c r="AF65" s="67" t="n">
        <f aca="false">-MIN(AF64/MAX(1,Inputs!$E$94*12),AE67+AF63)</f>
        <v>-1656.92519821977</v>
      </c>
      <c r="AG65" s="67" t="n">
        <f aca="false">-MIN(AG64/MAX(1,Inputs!$E$94*12),AF67+AG63)</f>
        <v>-1691.78953557073</v>
      </c>
      <c r="AH65" s="67" t="n">
        <f aca="false">-MIN(AH64/MAX(1,Inputs!$E$94*12),AG67+AH63)</f>
        <v>-1726.79383580088</v>
      </c>
      <c r="AI65" s="67" t="n">
        <f aca="false">-MIN(AI64/MAX(1,Inputs!$E$94*12),AH67+AI63)</f>
        <v>-1761.9361394299</v>
      </c>
      <c r="AJ65" s="67" t="n">
        <f aca="false">-MIN(AJ64/MAX(1,Inputs!$E$94*12),AI67+AJ63)</f>
        <v>-1797.21451441021</v>
      </c>
      <c r="AK65" s="67" t="n">
        <f aca="false">-MIN(AK64/MAX(1,Inputs!$E$94*12),AJ67+AK63)</f>
        <v>-1832.6270557429</v>
      </c>
      <c r="AL65" s="67" t="n">
        <f aca="false">-MIN(AL64/MAX(1,Inputs!$E$94*12),AK67+AL63)</f>
        <v>-1868.17188509902</v>
      </c>
    </row>
    <row r="66" customFormat="false" ht="15" hidden="false" customHeight="false" outlineLevel="0" collapsed="false">
      <c r="A66" s="6" t="s">
        <v>439</v>
      </c>
      <c r="C66" s="67" t="n">
        <f aca="false">C65</f>
        <v>-742.993208662109</v>
      </c>
      <c r="D66" s="67" t="n">
        <f aca="false">C66+D65</f>
        <v>-1514.82470977421</v>
      </c>
      <c r="E66" s="67" t="n">
        <f aca="false">D66+E65</f>
        <v>-2315.62347023687</v>
      </c>
      <c r="F66" s="67" t="n">
        <f aca="false">E66+F65</f>
        <v>-3145.51665141404</v>
      </c>
      <c r="G66" s="67" t="n">
        <f aca="false">F66+G65</f>
        <v>-4004.6296344106</v>
      </c>
      <c r="H66" s="67" t="n">
        <f aca="false">G66+H65</f>
        <v>-4893.08604499593</v>
      </c>
      <c r="I66" s="67" t="n">
        <f aca="false">H66+I65</f>
        <v>-5811.00777817865</v>
      </c>
      <c r="J66" s="67" t="n">
        <f aca="false">I66+J65</f>
        <v>-6758.51502243728</v>
      </c>
      <c r="K66" s="67" t="n">
        <f aca="false">J66+K65</f>
        <v>-7735.7262836116</v>
      </c>
      <c r="L66" s="67" t="n">
        <f aca="false">K66+L65</f>
        <v>-8742.75840845968</v>
      </c>
      <c r="M66" s="67" t="n">
        <f aca="false">L66+M65</f>
        <v>-9779.72660788494</v>
      </c>
      <c r="N66" s="67" t="n">
        <f aca="false">M66+N65</f>
        <v>-10846.7444798382</v>
      </c>
      <c r="O66" s="67" t="n">
        <f aca="false">N66+O65</f>
        <v>-11945.0028229761</v>
      </c>
      <c r="P66" s="67" t="n">
        <f aca="false">O66+P65</f>
        <v>-13074.6426858082</v>
      </c>
      <c r="Q66" s="67" t="n">
        <f aca="false">P66+Q65</f>
        <v>-14235.8031421648</v>
      </c>
      <c r="R66" s="67" t="n">
        <f aca="false">Q66+R65</f>
        <v>-15428.6213188426</v>
      </c>
      <c r="S66" s="67" t="n">
        <f aca="false">R66+S65</f>
        <v>-16653.2324228632</v>
      </c>
      <c r="T66" s="67" t="n">
        <f aca="false">S66+T65</f>
        <v>-17909.7697683498</v>
      </c>
      <c r="U66" s="67" t="n">
        <f aca="false">T66+U65</f>
        <v>-19198.3648030279</v>
      </c>
      <c r="V66" s="67" t="n">
        <f aca="false">U66+V65</f>
        <v>-20519.1471343548</v>
      </c>
      <c r="W66" s="67" t="n">
        <f aca="false">V66+W65</f>
        <v>-21872.2445552837</v>
      </c>
      <c r="X66" s="67" t="n">
        <f aca="false">W66+X65</f>
        <v>-23257.7830696659</v>
      </c>
      <c r="Y66" s="67" t="n">
        <f aca="false">X66+Y65</f>
        <v>-24675.8869172994</v>
      </c>
      <c r="Z66" s="67" t="n">
        <f aca="false">Y66+Z65</f>
        <v>-26126.6785986246</v>
      </c>
      <c r="AA66" s="67" t="n">
        <f aca="false">Z66+AA65</f>
        <v>-27611.4521049246</v>
      </c>
      <c r="AB66" s="67" t="n">
        <f aca="false">AA66+AB65</f>
        <v>-29130.3597542521</v>
      </c>
      <c r="AC66" s="67" t="n">
        <f aca="false">AB66+AC65</f>
        <v>-30683.5517322065</v>
      </c>
      <c r="AD66" s="67" t="n">
        <f aca="false">AC66+AD65</f>
        <v>-32271.1761217894</v>
      </c>
      <c r="AE66" s="67" t="n">
        <f aca="false">AD66+AE65</f>
        <v>-33893.3789328399</v>
      </c>
      <c r="AF66" s="67" t="n">
        <f aca="false">AE66+AF65</f>
        <v>-35550.3041310597</v>
      </c>
      <c r="AG66" s="67" t="n">
        <f aca="false">AF66+AG65</f>
        <v>-37242.0936666304</v>
      </c>
      <c r="AH66" s="67" t="n">
        <f aca="false">AG66+AH65</f>
        <v>-38968.8875024313</v>
      </c>
      <c r="AI66" s="67" t="n">
        <f aca="false">AH66+AI65</f>
        <v>-40730.8236418612</v>
      </c>
      <c r="AJ66" s="67" t="n">
        <f aca="false">AI66+AJ65</f>
        <v>-42528.0381562714</v>
      </c>
      <c r="AK66" s="67" t="n">
        <f aca="false">AJ66+AK65</f>
        <v>-44360.6652120143</v>
      </c>
      <c r="AL66" s="67" t="n">
        <f aca="false">AK66+AL65</f>
        <v>-46228.8370971133</v>
      </c>
    </row>
    <row r="67" customFormat="false" ht="15" hidden="false" customHeight="false" outlineLevel="0" collapsed="false">
      <c r="A67" s="4" t="s">
        <v>91</v>
      </c>
      <c r="C67" s="73" t="n">
        <f aca="false">C64+C66</f>
        <v>61668.4363189551</v>
      </c>
      <c r="D67" s="73" t="n">
        <f aca="false">D64+D66</f>
        <v>63319.0213836423</v>
      </c>
      <c r="E67" s="73" t="n">
        <f aca="false">E64+E66</f>
        <v>64951.4724086265</v>
      </c>
      <c r="F67" s="73" t="n">
        <f aca="false">F64+F66</f>
        <v>66565.5105674687</v>
      </c>
      <c r="G67" s="73" t="n">
        <f aca="false">G64+G66</f>
        <v>68160.8609372999</v>
      </c>
      <c r="H67" s="73" t="n">
        <f aca="false">H64+H66</f>
        <v>69737.2524441716</v>
      </c>
      <c r="I67" s="73" t="n">
        <f aca="false">I64+I66</f>
        <v>71294.4178091702</v>
      </c>
      <c r="J67" s="73" t="n">
        <f aca="false">J64+J66</f>
        <v>72832.0934952872</v>
      </c>
      <c r="K67" s="73" t="n">
        <f aca="false">K64+K66</f>
        <v>74350.0196550319</v>
      </c>
      <c r="L67" s="73" t="n">
        <f aca="false">L64+L66</f>
        <v>75847.9400787787</v>
      </c>
      <c r="M67" s="73" t="n">
        <f aca="false">M64+M66</f>
        <v>77325.6021438368</v>
      </c>
      <c r="N67" s="73" t="n">
        <f aca="false">N64+N66</f>
        <v>78782.7567642329</v>
      </c>
      <c r="O67" s="73" t="n">
        <f aca="false">O64+O66</f>
        <v>80308.6980006107</v>
      </c>
      <c r="P67" s="73" t="n">
        <f aca="false">P64+P66</f>
        <v>81815.105792089</v>
      </c>
      <c r="Q67" s="73" t="n">
        <f aca="false">Q64+Q66</f>
        <v>83301.6751917904</v>
      </c>
      <c r="R67" s="73" t="n">
        <f aca="false">R64+R66</f>
        <v>84768.1055220936</v>
      </c>
      <c r="S67" s="73" t="n">
        <f aca="false">S64+S66</f>
        <v>86214.1003148643</v>
      </c>
      <c r="T67" s="73" t="n">
        <f aca="false">T64+T66</f>
        <v>87639.3672525217</v>
      </c>
      <c r="U67" s="73" t="n">
        <f aca="false">U64+U66</f>
        <v>89043.6181099316</v>
      </c>
      <c r="V67" s="73" t="n">
        <f aca="false">V64+V66</f>
        <v>90426.5686971112</v>
      </c>
      <c r="W67" s="73" t="n">
        <f aca="false">W64+W66</f>
        <v>91787.9388027378</v>
      </c>
      <c r="X67" s="73" t="n">
        <f aca="false">X64+X66</f>
        <v>93127.452138447</v>
      </c>
      <c r="Y67" s="73" t="n">
        <f aca="false">Y64+Y66</f>
        <v>94444.8362839117</v>
      </c>
      <c r="Z67" s="73" t="n">
        <f aca="false">Z64+Z66</f>
        <v>95739.8226326892</v>
      </c>
      <c r="AA67" s="73" t="n">
        <f aca="false">AA64+AA66</f>
        <v>97109.5224242807</v>
      </c>
      <c r="AB67" s="73" t="n">
        <f aca="false">AB64+AB66</f>
        <v>98457.8827892505</v>
      </c>
      <c r="AC67" s="73" t="n">
        <f aca="false">AC64+AC66</f>
        <v>99784.5744159693</v>
      </c>
      <c r="AD67" s="73" t="n">
        <f aca="false">AD64+AD66</f>
        <v>101089.272603171</v>
      </c>
      <c r="AE67" s="73" t="n">
        <f aca="false">AE64+AE66</f>
        <v>102371.657195405</v>
      </c>
      <c r="AF67" s="73" t="n">
        <f aca="false">AF64+AF66</f>
        <v>103631.412519401</v>
      </c>
      <c r="AG67" s="73" t="n">
        <f aca="false">AG64+AG66</f>
        <v>104868.227321311</v>
      </c>
      <c r="AH67" s="73" t="n">
        <f aca="false">AH64+AH66</f>
        <v>106081.794704842</v>
      </c>
      <c r="AI67" s="73" t="n">
        <f aca="false">AI64+AI66</f>
        <v>107271.81207025</v>
      </c>
      <c r="AJ67" s="73" t="n">
        <f aca="false">AJ64+AJ66</f>
        <v>108437.981054186</v>
      </c>
      <c r="AK67" s="73" t="n">
        <f aca="false">AK64+AK66</f>
        <v>109580.007470389</v>
      </c>
      <c r="AL67" s="73" t="n">
        <f aca="false">AL64+AL66</f>
        <v>110697.601251204</v>
      </c>
    </row>
    <row r="69" customFormat="false" ht="15.75" hidden="false" customHeight="true" outlineLevel="0" collapsed="false">
      <c r="A69" s="7" t="s">
        <v>440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customFormat="false" ht="15" hidden="false" customHeight="false" outlineLevel="0" collapsed="false">
      <c r="A70" s="6" t="s">
        <v>441</v>
      </c>
      <c r="C70" s="67" t="n">
        <f aca="false">0</f>
        <v>0</v>
      </c>
      <c r="D70" s="67" t="n">
        <f aca="false">C73</f>
        <v>150000</v>
      </c>
      <c r="E70" s="67" t="n">
        <f aca="false">D73</f>
        <v>148214.285714286</v>
      </c>
      <c r="F70" s="67" t="n">
        <f aca="false">E73</f>
        <v>146428.571428571</v>
      </c>
      <c r="G70" s="67" t="n">
        <f aca="false">F73</f>
        <v>144642.857142857</v>
      </c>
      <c r="H70" s="67" t="n">
        <f aca="false">G73</f>
        <v>142857.142857143</v>
      </c>
      <c r="I70" s="67" t="n">
        <f aca="false">H73</f>
        <v>141071.428571429</v>
      </c>
      <c r="J70" s="67" t="n">
        <f aca="false">I73</f>
        <v>139285.714285714</v>
      </c>
      <c r="K70" s="67" t="n">
        <f aca="false">J73</f>
        <v>137500</v>
      </c>
      <c r="L70" s="67" t="n">
        <f aca="false">K73</f>
        <v>135714.285714286</v>
      </c>
      <c r="M70" s="67" t="n">
        <f aca="false">L73</f>
        <v>133928.571428571</v>
      </c>
      <c r="N70" s="67" t="n">
        <f aca="false">M73</f>
        <v>132142.857142857</v>
      </c>
      <c r="O70" s="67" t="n">
        <f aca="false">N73</f>
        <v>130357.142857143</v>
      </c>
      <c r="P70" s="67" t="n">
        <f aca="false">O73</f>
        <v>128571.428571429</v>
      </c>
      <c r="Q70" s="67" t="n">
        <f aca="false">P73</f>
        <v>126785.714285714</v>
      </c>
      <c r="R70" s="67" t="n">
        <f aca="false">Q73</f>
        <v>125000</v>
      </c>
      <c r="S70" s="67" t="n">
        <f aca="false">R73</f>
        <v>123214.285714286</v>
      </c>
      <c r="T70" s="67" t="n">
        <f aca="false">S73</f>
        <v>121428.571428571</v>
      </c>
      <c r="U70" s="67" t="n">
        <f aca="false">T73</f>
        <v>119642.857142857</v>
      </c>
      <c r="V70" s="67" t="n">
        <f aca="false">U73</f>
        <v>117857.142857143</v>
      </c>
      <c r="W70" s="67" t="n">
        <f aca="false">V73</f>
        <v>116071.428571428</v>
      </c>
      <c r="X70" s="67" t="n">
        <f aca="false">W73</f>
        <v>114285.714285714</v>
      </c>
      <c r="Y70" s="67" t="n">
        <f aca="false">X73</f>
        <v>112500</v>
      </c>
      <c r="Z70" s="67" t="n">
        <f aca="false">Y73</f>
        <v>110714.285714286</v>
      </c>
      <c r="AA70" s="67" t="n">
        <f aca="false">Z73</f>
        <v>108928.571428571</v>
      </c>
      <c r="AB70" s="67" t="n">
        <f aca="false">AA73</f>
        <v>107142.857142857</v>
      </c>
      <c r="AC70" s="67" t="n">
        <f aca="false">AB73</f>
        <v>105357.142857143</v>
      </c>
      <c r="AD70" s="67" t="n">
        <f aca="false">AC73</f>
        <v>103571.428571428</v>
      </c>
      <c r="AE70" s="67" t="n">
        <f aca="false">AD73</f>
        <v>101785.714285714</v>
      </c>
      <c r="AF70" s="67" t="n">
        <f aca="false">AE73</f>
        <v>99999.9999999999</v>
      </c>
      <c r="AG70" s="67" t="n">
        <f aca="false">AF73</f>
        <v>98214.2857142856</v>
      </c>
      <c r="AH70" s="67" t="n">
        <f aca="false">AG73</f>
        <v>96428.5714285713</v>
      </c>
      <c r="AI70" s="67" t="n">
        <f aca="false">AH73</f>
        <v>94642.857142857</v>
      </c>
      <c r="AJ70" s="67" t="n">
        <f aca="false">AI73</f>
        <v>92857.1428571427</v>
      </c>
      <c r="AK70" s="67" t="n">
        <f aca="false">AJ73</f>
        <v>91071.4285714284</v>
      </c>
      <c r="AL70" s="67" t="n">
        <f aca="false">AK73</f>
        <v>89285.7142857141</v>
      </c>
    </row>
    <row r="71" customFormat="false" ht="15" hidden="false" customHeight="false" outlineLevel="0" collapsed="false">
      <c r="A71" s="6" t="s">
        <v>84</v>
      </c>
      <c r="C71" s="67" t="n">
        <f aca="false">IF(C$4=1,Inputs!$E$84,0)</f>
        <v>150000</v>
      </c>
      <c r="D71" s="67" t="n">
        <f aca="false">IF(D$4=1,Inputs!$E$84,0)</f>
        <v>0</v>
      </c>
      <c r="E71" s="67" t="n">
        <f aca="false">IF(E$4=1,Inputs!$E$84,0)</f>
        <v>0</v>
      </c>
      <c r="F71" s="67" t="n">
        <f aca="false">IF(F$4=1,Inputs!$E$84,0)</f>
        <v>0</v>
      </c>
      <c r="G71" s="67" t="n">
        <f aca="false">IF(G$4=1,Inputs!$E$84,0)</f>
        <v>0</v>
      </c>
      <c r="H71" s="67" t="n">
        <f aca="false">IF(H$4=1,Inputs!$E$84,0)</f>
        <v>0</v>
      </c>
      <c r="I71" s="67" t="n">
        <f aca="false">IF(I$4=1,Inputs!$E$84,0)</f>
        <v>0</v>
      </c>
      <c r="J71" s="67" t="n">
        <f aca="false">IF(J$4=1,Inputs!$E$84,0)</f>
        <v>0</v>
      </c>
      <c r="K71" s="67" t="n">
        <f aca="false">IF(K$4=1,Inputs!$E$84,0)</f>
        <v>0</v>
      </c>
      <c r="L71" s="67" t="n">
        <f aca="false">IF(L$4=1,Inputs!$E$84,0)</f>
        <v>0</v>
      </c>
      <c r="M71" s="67" t="n">
        <f aca="false">IF(M$4=1,Inputs!$E$84,0)</f>
        <v>0</v>
      </c>
      <c r="N71" s="67" t="n">
        <f aca="false">IF(N$4=1,Inputs!$E$84,0)</f>
        <v>0</v>
      </c>
      <c r="O71" s="67" t="n">
        <f aca="false">IF(O$4=1,Inputs!$E$84,0)</f>
        <v>0</v>
      </c>
      <c r="P71" s="67" t="n">
        <f aca="false">IF(P$4=1,Inputs!$E$84,0)</f>
        <v>0</v>
      </c>
      <c r="Q71" s="67" t="n">
        <f aca="false">IF(Q$4=1,Inputs!$E$84,0)</f>
        <v>0</v>
      </c>
      <c r="R71" s="67" t="n">
        <f aca="false">IF(R$4=1,Inputs!$E$84,0)</f>
        <v>0</v>
      </c>
      <c r="S71" s="67" t="n">
        <f aca="false">IF(S$4=1,Inputs!$E$84,0)</f>
        <v>0</v>
      </c>
      <c r="T71" s="67" t="n">
        <f aca="false">IF(T$4=1,Inputs!$E$84,0)</f>
        <v>0</v>
      </c>
      <c r="U71" s="67" t="n">
        <f aca="false">IF(U$4=1,Inputs!$E$84,0)</f>
        <v>0</v>
      </c>
      <c r="V71" s="67" t="n">
        <f aca="false">IF(V$4=1,Inputs!$E$84,0)</f>
        <v>0</v>
      </c>
      <c r="W71" s="67" t="n">
        <f aca="false">IF(W$4=1,Inputs!$E$84,0)</f>
        <v>0</v>
      </c>
      <c r="X71" s="67" t="n">
        <f aca="false">IF(X$4=1,Inputs!$E$84,0)</f>
        <v>0</v>
      </c>
      <c r="Y71" s="67" t="n">
        <f aca="false">IF(Y$4=1,Inputs!$E$84,0)</f>
        <v>0</v>
      </c>
      <c r="Z71" s="67" t="n">
        <f aca="false">IF(Z$4=1,Inputs!$E$84,0)</f>
        <v>0</v>
      </c>
      <c r="AA71" s="67" t="n">
        <f aca="false">IF(AA$4=1,Inputs!$E$84,0)</f>
        <v>0</v>
      </c>
      <c r="AB71" s="67" t="n">
        <f aca="false">IF(AB$4=1,Inputs!$E$84,0)</f>
        <v>0</v>
      </c>
      <c r="AC71" s="67" t="n">
        <f aca="false">IF(AC$4=1,Inputs!$E$84,0)</f>
        <v>0</v>
      </c>
      <c r="AD71" s="67" t="n">
        <f aca="false">IF(AD$4=1,Inputs!$E$84,0)</f>
        <v>0</v>
      </c>
      <c r="AE71" s="67" t="n">
        <f aca="false">IF(AE$4=1,Inputs!$E$84,0)</f>
        <v>0</v>
      </c>
      <c r="AF71" s="67" t="n">
        <f aca="false">IF(AF$4=1,Inputs!$E$84,0)</f>
        <v>0</v>
      </c>
      <c r="AG71" s="67" t="n">
        <f aca="false">IF(AG$4=1,Inputs!$E$84,0)</f>
        <v>0</v>
      </c>
      <c r="AH71" s="67" t="n">
        <f aca="false">IF(AH$4=1,Inputs!$E$84,0)</f>
        <v>0</v>
      </c>
      <c r="AI71" s="67" t="n">
        <f aca="false">IF(AI$4=1,Inputs!$E$84,0)</f>
        <v>0</v>
      </c>
      <c r="AJ71" s="67" t="n">
        <f aca="false">IF(AJ$4=1,Inputs!$E$84,0)</f>
        <v>0</v>
      </c>
      <c r="AK71" s="67" t="n">
        <f aca="false">IF(AK$4=1,Inputs!$E$84,0)</f>
        <v>0</v>
      </c>
      <c r="AL71" s="67" t="n">
        <f aca="false">IF(AL$4=1,Inputs!$E$84,0)</f>
        <v>0</v>
      </c>
    </row>
    <row r="72" customFormat="false" ht="15" hidden="false" customHeight="false" outlineLevel="0" collapsed="false">
      <c r="A72" s="6" t="s">
        <v>85</v>
      </c>
      <c r="C72" s="67" t="n">
        <f aca="false">-MIN(C70,Inputs!$E$84/MAX(1,Inputs!$E$86*12))</f>
        <v>-0</v>
      </c>
      <c r="D72" s="67" t="n">
        <f aca="false">-MIN(D70,Inputs!$E$84/MAX(1,Inputs!$E$86*12))</f>
        <v>-1785.71428571429</v>
      </c>
      <c r="E72" s="67" t="n">
        <f aca="false">-MIN(E70,Inputs!$E$84/MAX(1,Inputs!$E$86*12))</f>
        <v>-1785.71428571429</v>
      </c>
      <c r="F72" s="67" t="n">
        <f aca="false">-MIN(F70,Inputs!$E$84/MAX(1,Inputs!$E$86*12))</f>
        <v>-1785.71428571429</v>
      </c>
      <c r="G72" s="67" t="n">
        <f aca="false">-MIN(G70,Inputs!$E$84/MAX(1,Inputs!$E$86*12))</f>
        <v>-1785.71428571429</v>
      </c>
      <c r="H72" s="67" t="n">
        <f aca="false">-MIN(H70,Inputs!$E$84/MAX(1,Inputs!$E$86*12))</f>
        <v>-1785.71428571429</v>
      </c>
      <c r="I72" s="67" t="n">
        <f aca="false">-MIN(I70,Inputs!$E$84/MAX(1,Inputs!$E$86*12))</f>
        <v>-1785.71428571429</v>
      </c>
      <c r="J72" s="67" t="n">
        <f aca="false">-MIN(J70,Inputs!$E$84/MAX(1,Inputs!$E$86*12))</f>
        <v>-1785.71428571429</v>
      </c>
      <c r="K72" s="67" t="n">
        <f aca="false">-MIN(K70,Inputs!$E$84/MAX(1,Inputs!$E$86*12))</f>
        <v>-1785.71428571429</v>
      </c>
      <c r="L72" s="67" t="n">
        <f aca="false">-MIN(L70,Inputs!$E$84/MAX(1,Inputs!$E$86*12))</f>
        <v>-1785.71428571429</v>
      </c>
      <c r="M72" s="67" t="n">
        <f aca="false">-MIN(M70,Inputs!$E$84/MAX(1,Inputs!$E$86*12))</f>
        <v>-1785.71428571429</v>
      </c>
      <c r="N72" s="67" t="n">
        <f aca="false">-MIN(N70,Inputs!$E$84/MAX(1,Inputs!$E$86*12))</f>
        <v>-1785.71428571429</v>
      </c>
      <c r="O72" s="67" t="n">
        <f aca="false">-MIN(O70,Inputs!$E$84/MAX(1,Inputs!$E$86*12))</f>
        <v>-1785.71428571429</v>
      </c>
      <c r="P72" s="67" t="n">
        <f aca="false">-MIN(P70,Inputs!$E$84/MAX(1,Inputs!$E$86*12))</f>
        <v>-1785.71428571429</v>
      </c>
      <c r="Q72" s="67" t="n">
        <f aca="false">-MIN(Q70,Inputs!$E$84/MAX(1,Inputs!$E$86*12))</f>
        <v>-1785.71428571429</v>
      </c>
      <c r="R72" s="67" t="n">
        <f aca="false">-MIN(R70,Inputs!$E$84/MAX(1,Inputs!$E$86*12))</f>
        <v>-1785.71428571429</v>
      </c>
      <c r="S72" s="67" t="n">
        <f aca="false">-MIN(S70,Inputs!$E$84/MAX(1,Inputs!$E$86*12))</f>
        <v>-1785.71428571429</v>
      </c>
      <c r="T72" s="67" t="n">
        <f aca="false">-MIN(T70,Inputs!$E$84/MAX(1,Inputs!$E$86*12))</f>
        <v>-1785.71428571429</v>
      </c>
      <c r="U72" s="67" t="n">
        <f aca="false">-MIN(U70,Inputs!$E$84/MAX(1,Inputs!$E$86*12))</f>
        <v>-1785.71428571429</v>
      </c>
      <c r="V72" s="67" t="n">
        <f aca="false">-MIN(V70,Inputs!$E$84/MAX(1,Inputs!$E$86*12))</f>
        <v>-1785.71428571429</v>
      </c>
      <c r="W72" s="67" t="n">
        <f aca="false">-MIN(W70,Inputs!$E$84/MAX(1,Inputs!$E$86*12))</f>
        <v>-1785.71428571429</v>
      </c>
      <c r="X72" s="67" t="n">
        <f aca="false">-MIN(X70,Inputs!$E$84/MAX(1,Inputs!$E$86*12))</f>
        <v>-1785.71428571429</v>
      </c>
      <c r="Y72" s="67" t="n">
        <f aca="false">-MIN(Y70,Inputs!$E$84/MAX(1,Inputs!$E$86*12))</f>
        <v>-1785.71428571429</v>
      </c>
      <c r="Z72" s="67" t="n">
        <f aca="false">-MIN(Z70,Inputs!$E$84/MAX(1,Inputs!$E$86*12))</f>
        <v>-1785.71428571429</v>
      </c>
      <c r="AA72" s="67" t="n">
        <f aca="false">-MIN(AA70,Inputs!$E$84/MAX(1,Inputs!$E$86*12))</f>
        <v>-1785.71428571429</v>
      </c>
      <c r="AB72" s="67" t="n">
        <f aca="false">-MIN(AB70,Inputs!$E$84/MAX(1,Inputs!$E$86*12))</f>
        <v>-1785.71428571429</v>
      </c>
      <c r="AC72" s="67" t="n">
        <f aca="false">-MIN(AC70,Inputs!$E$84/MAX(1,Inputs!$E$86*12))</f>
        <v>-1785.71428571429</v>
      </c>
      <c r="AD72" s="67" t="n">
        <f aca="false">-MIN(AD70,Inputs!$E$84/MAX(1,Inputs!$E$86*12))</f>
        <v>-1785.71428571429</v>
      </c>
      <c r="AE72" s="67" t="n">
        <f aca="false">-MIN(AE70,Inputs!$E$84/MAX(1,Inputs!$E$86*12))</f>
        <v>-1785.71428571429</v>
      </c>
      <c r="AF72" s="67" t="n">
        <f aca="false">-MIN(AF70,Inputs!$E$84/MAX(1,Inputs!$E$86*12))</f>
        <v>-1785.71428571429</v>
      </c>
      <c r="AG72" s="67" t="n">
        <f aca="false">-MIN(AG70,Inputs!$E$84/MAX(1,Inputs!$E$86*12))</f>
        <v>-1785.71428571429</v>
      </c>
      <c r="AH72" s="67" t="n">
        <f aca="false">-MIN(AH70,Inputs!$E$84/MAX(1,Inputs!$E$86*12))</f>
        <v>-1785.71428571429</v>
      </c>
      <c r="AI72" s="67" t="n">
        <f aca="false">-MIN(AI70,Inputs!$E$84/MAX(1,Inputs!$E$86*12))</f>
        <v>-1785.71428571429</v>
      </c>
      <c r="AJ72" s="67" t="n">
        <f aca="false">-MIN(AJ70,Inputs!$E$84/MAX(1,Inputs!$E$86*12))</f>
        <v>-1785.71428571429</v>
      </c>
      <c r="AK72" s="67" t="n">
        <f aca="false">-MIN(AK70,Inputs!$E$84/MAX(1,Inputs!$E$86*12))</f>
        <v>-1785.71428571429</v>
      </c>
      <c r="AL72" s="67" t="n">
        <f aca="false">-MIN(AL70,Inputs!$E$84/MAX(1,Inputs!$E$86*12))</f>
        <v>-1785.71428571429</v>
      </c>
    </row>
    <row r="73" customFormat="false" ht="15" hidden="false" customHeight="false" outlineLevel="0" collapsed="false">
      <c r="A73" s="4" t="s">
        <v>442</v>
      </c>
      <c r="C73" s="73" t="n">
        <f aca="false">C70+C71+C72</f>
        <v>150000</v>
      </c>
      <c r="D73" s="73" t="n">
        <f aca="false">D70+D71+D72</f>
        <v>148214.285714286</v>
      </c>
      <c r="E73" s="73" t="n">
        <f aca="false">E70+E71+E72</f>
        <v>146428.571428571</v>
      </c>
      <c r="F73" s="73" t="n">
        <f aca="false">F70+F71+F72</f>
        <v>144642.857142857</v>
      </c>
      <c r="G73" s="73" t="n">
        <f aca="false">G70+G71+G72</f>
        <v>142857.142857143</v>
      </c>
      <c r="H73" s="73" t="n">
        <f aca="false">H70+H71+H72</f>
        <v>141071.428571429</v>
      </c>
      <c r="I73" s="73" t="n">
        <f aca="false">I70+I71+I72</f>
        <v>139285.714285714</v>
      </c>
      <c r="J73" s="73" t="n">
        <f aca="false">J70+J71+J72</f>
        <v>137500</v>
      </c>
      <c r="K73" s="73" t="n">
        <f aca="false">K70+K71+K72</f>
        <v>135714.285714286</v>
      </c>
      <c r="L73" s="73" t="n">
        <f aca="false">L70+L71+L72</f>
        <v>133928.571428571</v>
      </c>
      <c r="M73" s="73" t="n">
        <f aca="false">M70+M71+M72</f>
        <v>132142.857142857</v>
      </c>
      <c r="N73" s="73" t="n">
        <f aca="false">N70+N71+N72</f>
        <v>130357.142857143</v>
      </c>
      <c r="O73" s="73" t="n">
        <f aca="false">O70+O71+O72</f>
        <v>128571.428571429</v>
      </c>
      <c r="P73" s="73" t="n">
        <f aca="false">P70+P71+P72</f>
        <v>126785.714285714</v>
      </c>
      <c r="Q73" s="73" t="n">
        <f aca="false">Q70+Q71+Q72</f>
        <v>125000</v>
      </c>
      <c r="R73" s="73" t="n">
        <f aca="false">R70+R71+R72</f>
        <v>123214.285714286</v>
      </c>
      <c r="S73" s="73" t="n">
        <f aca="false">S70+S71+S72</f>
        <v>121428.571428571</v>
      </c>
      <c r="T73" s="73" t="n">
        <f aca="false">T70+T71+T72</f>
        <v>119642.857142857</v>
      </c>
      <c r="U73" s="73" t="n">
        <f aca="false">U70+U71+U72</f>
        <v>117857.142857143</v>
      </c>
      <c r="V73" s="73" t="n">
        <f aca="false">V70+V71+V72</f>
        <v>116071.428571428</v>
      </c>
      <c r="W73" s="73" t="n">
        <f aca="false">W70+W71+W72</f>
        <v>114285.714285714</v>
      </c>
      <c r="X73" s="73" t="n">
        <f aca="false">X70+X71+X72</f>
        <v>112500</v>
      </c>
      <c r="Y73" s="73" t="n">
        <f aca="false">Y70+Y71+Y72</f>
        <v>110714.285714286</v>
      </c>
      <c r="Z73" s="73" t="n">
        <f aca="false">Z70+Z71+Z72</f>
        <v>108928.571428571</v>
      </c>
      <c r="AA73" s="73" t="n">
        <f aca="false">AA70+AA71+AA72</f>
        <v>107142.857142857</v>
      </c>
      <c r="AB73" s="73" t="n">
        <f aca="false">AB70+AB71+AB72</f>
        <v>105357.142857143</v>
      </c>
      <c r="AC73" s="73" t="n">
        <f aca="false">AC70+AC71+AC72</f>
        <v>103571.428571428</v>
      </c>
      <c r="AD73" s="73" t="n">
        <f aca="false">AD70+AD71+AD72</f>
        <v>101785.714285714</v>
      </c>
      <c r="AE73" s="73" t="n">
        <f aca="false">AE70+AE71+AE72</f>
        <v>99999.9999999999</v>
      </c>
      <c r="AF73" s="73" t="n">
        <f aca="false">AF70+AF71+AF72</f>
        <v>98214.2857142856</v>
      </c>
      <c r="AG73" s="73" t="n">
        <f aca="false">AG70+AG71+AG72</f>
        <v>96428.5714285713</v>
      </c>
      <c r="AH73" s="73" t="n">
        <f aca="false">AH70+AH71+AH72</f>
        <v>94642.857142857</v>
      </c>
      <c r="AI73" s="73" t="n">
        <f aca="false">AI70+AI71+AI72</f>
        <v>92857.1428571427</v>
      </c>
      <c r="AJ73" s="73" t="n">
        <f aca="false">AJ70+AJ71+AJ72</f>
        <v>91071.4285714284</v>
      </c>
      <c r="AK73" s="73" t="n">
        <f aca="false">AK70+AK71+AK72</f>
        <v>89285.7142857141</v>
      </c>
      <c r="AL73" s="73" t="n">
        <f aca="false">AL70+AL71+AL72</f>
        <v>87499.9999999999</v>
      </c>
    </row>
    <row r="75" customFormat="false" ht="15.75" hidden="false" customHeight="true" outlineLevel="0" collapsed="false">
      <c r="A75" s="7" t="s">
        <v>339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customFormat="false" ht="15" hidden="false" customHeight="false" outlineLevel="0" collapsed="false">
      <c r="A76" s="6" t="s">
        <v>89</v>
      </c>
      <c r="C76" s="67" t="n">
        <f aca="false">C31*Inputs!$E$89/30</f>
        <v>91098.4488210937</v>
      </c>
      <c r="D76" s="67" t="n">
        <f aca="false">D31*Inputs!$E$89/30</f>
        <v>91513.5147079734</v>
      </c>
      <c r="E76" s="67" t="n">
        <f aca="false">E31*Inputs!$E$89/30</f>
        <v>91922.7696724368</v>
      </c>
      <c r="F76" s="67" t="n">
        <f aca="false">F31*Inputs!$E$89/30</f>
        <v>92326.2950673977</v>
      </c>
      <c r="G76" s="67" t="n">
        <f aca="false">G31*Inputs!$E$89/30</f>
        <v>92724.1711068291</v>
      </c>
      <c r="H76" s="67" t="n">
        <f aca="false">H31*Inputs!$E$89/30</f>
        <v>93116.4768817085</v>
      </c>
      <c r="I76" s="67" t="n">
        <f aca="false">I31*Inputs!$E$89/30</f>
        <v>93503.2903757396</v>
      </c>
      <c r="J76" s="67" t="n">
        <f aca="false">J31*Inputs!$E$89/30</f>
        <v>93884.6884808543</v>
      </c>
      <c r="K76" s="67" t="n">
        <f aca="false">K31*Inputs!$E$89/30</f>
        <v>94260.7470124973</v>
      </c>
      <c r="L76" s="67" t="n">
        <f aca="false">L31*Inputs!$E$89/30</f>
        <v>94631.5407246973</v>
      </c>
      <c r="M76" s="67" t="n">
        <f aca="false">M31*Inputs!$E$89/30</f>
        <v>94997.1433249266</v>
      </c>
      <c r="N76" s="67" t="n">
        <f aca="false">N31*Inputs!$E$89/30</f>
        <v>95357.6274887526</v>
      </c>
      <c r="O76" s="67" t="n">
        <f aca="false">O31*Inputs!$E$89/30</f>
        <v>99136.4285594829</v>
      </c>
      <c r="P76" s="67" t="n">
        <f aca="false">P31*Inputs!$E$89/30</f>
        <v>99584.0224961708</v>
      </c>
      <c r="Q76" s="67" t="n">
        <f aca="false">Q31*Inputs!$E$89/30</f>
        <v>100025.350117745</v>
      </c>
      <c r="R76" s="67" t="n">
        <f aca="false">R31*Inputs!$E$89/30</f>
        <v>100460.499152617</v>
      </c>
      <c r="S76" s="67" t="n">
        <f aca="false">S31*Inputs!$E$89/30</f>
        <v>100889.556101002</v>
      </c>
      <c r="T76" s="67" t="n">
        <f aca="false">T31*Inputs!$E$89/30</f>
        <v>101312.606252108</v>
      </c>
      <c r="U76" s="67" t="n">
        <f aca="false">U31*Inputs!$E$89/30</f>
        <v>101729.733701099</v>
      </c>
      <c r="V76" s="67" t="n">
        <f aca="false">V31*Inputs!$E$89/30</f>
        <v>102141.021365805</v>
      </c>
      <c r="W76" s="67" t="n">
        <f aca="false">W31*Inputs!$E$89/30</f>
        <v>102546.551003204</v>
      </c>
      <c r="X76" s="67" t="n">
        <f aca="false">X31*Inputs!$E$89/30</f>
        <v>102946.40322568</v>
      </c>
      <c r="Y76" s="67" t="n">
        <f aca="false">Y31*Inputs!$E$89/30</f>
        <v>103340.657517041</v>
      </c>
      <c r="Z76" s="67" t="n">
        <f aca="false">Z31*Inputs!$E$89/30</f>
        <v>103729.392248324</v>
      </c>
      <c r="AA76" s="67" t="n">
        <f aca="false">AA31*Inputs!$E$89/30</f>
        <v>107835.657920347</v>
      </c>
      <c r="AB76" s="67" t="n">
        <f aca="false">AB31*Inputs!$E$89/30</f>
        <v>108319.013873452</v>
      </c>
      <c r="AC76" s="67" t="n">
        <f aca="false">AC31*Inputs!$E$89/30</f>
        <v>108795.602843213</v>
      </c>
      <c r="AD76" s="67" t="n">
        <f aca="false">AD31*Inputs!$E$89/30</f>
        <v>109265.519567398</v>
      </c>
      <c r="AE76" s="67" t="n">
        <f aca="false">AE31*Inputs!$E$89/30</f>
        <v>109728.857457445</v>
      </c>
      <c r="AF76" s="67" t="n">
        <f aca="false">AF31*Inputs!$E$89/30</f>
        <v>110185.708617031</v>
      </c>
      <c r="AG76" s="67" t="n">
        <f aca="false">AG31*Inputs!$E$89/30</f>
        <v>110636.163860382</v>
      </c>
      <c r="AH76" s="67" t="n">
        <f aca="false">AH31*Inputs!$E$89/30</f>
        <v>111080.312730327</v>
      </c>
      <c r="AI76" s="67" t="n">
        <f aca="false">AI31*Inputs!$E$89/30</f>
        <v>111518.243516092</v>
      </c>
      <c r="AJ76" s="67" t="n">
        <f aca="false">AJ31*Inputs!$E$89/30</f>
        <v>111950.043270857</v>
      </c>
      <c r="AK76" s="67" t="n">
        <f aca="false">AK31*Inputs!$E$89/30</f>
        <v>112375.797829055</v>
      </c>
      <c r="AL76" s="67" t="n">
        <f aca="false">AL31*Inputs!$E$89/30</f>
        <v>112795.591823438</v>
      </c>
    </row>
    <row r="77" customFormat="false" ht="15" hidden="false" customHeight="false" outlineLevel="0" collapsed="false">
      <c r="A77" s="6" t="s">
        <v>90</v>
      </c>
      <c r="C77" s="67" t="n">
        <f aca="false">-C37*Inputs!$E$90/30</f>
        <v>8950.81666550417</v>
      </c>
      <c r="D77" s="67" t="n">
        <f aca="false">-D37*Inputs!$E$90/30</f>
        <v>8990.10676602244</v>
      </c>
      <c r="E77" s="67" t="n">
        <f aca="false">-E37*Inputs!$E$90/30</f>
        <v>9028.84680513346</v>
      </c>
      <c r="F77" s="67" t="n">
        <f aca="false">-F37*Inputs!$E$90/30</f>
        <v>9067.04448369693</v>
      </c>
      <c r="G77" s="67" t="n">
        <f aca="false">-G37*Inputs!$E$90/30</f>
        <v>9104.7073947605</v>
      </c>
      <c r="H77" s="67" t="n">
        <f aca="false">-H37*Inputs!$E$90/30</f>
        <v>9141.84302506919</v>
      </c>
      <c r="I77" s="67" t="n">
        <f aca="false">-I37*Inputs!$E$90/30</f>
        <v>9178.45875655356</v>
      </c>
      <c r="J77" s="67" t="n">
        <f aca="false">-J37*Inputs!$E$90/30</f>
        <v>9214.56186779714</v>
      </c>
      <c r="K77" s="67" t="n">
        <f aca="false">-K37*Inputs!$E$90/30</f>
        <v>9250.15953548331</v>
      </c>
      <c r="L77" s="67" t="n">
        <f aca="false">-L37*Inputs!$E$90/30</f>
        <v>9285.25883582188</v>
      </c>
      <c r="M77" s="67" t="n">
        <f aca="false">-M37*Inputs!$E$90/30</f>
        <v>9319.86674595571</v>
      </c>
      <c r="N77" s="67" t="n">
        <f aca="false">-N37*Inputs!$E$90/30</f>
        <v>9353.99014534766</v>
      </c>
      <c r="O77" s="67" t="n">
        <f aca="false">-O37*Inputs!$E$90/30</f>
        <v>9739.78975314423</v>
      </c>
      <c r="P77" s="67" t="n">
        <f aca="false">-P37*Inputs!$E$90/30</f>
        <v>9782.15895600994</v>
      </c>
      <c r="Q77" s="67" t="n">
        <f aca="false">-Q37*Inputs!$E$90/30</f>
        <v>9823.93499003553</v>
      </c>
      <c r="R77" s="67" t="n">
        <f aca="false">-R37*Inputs!$E$90/30</f>
        <v>9865.12615958476</v>
      </c>
      <c r="S77" s="67" t="n">
        <f aca="false">-S37*Inputs!$E$90/30</f>
        <v>9905.7406527603</v>
      </c>
      <c r="T77" s="67" t="n">
        <f aca="false">-T37*Inputs!$E$90/30</f>
        <v>9945.78654303139</v>
      </c>
      <c r="U77" s="67" t="n">
        <f aca="false">-U37*Inputs!$E$90/30</f>
        <v>9985.27179083868</v>
      </c>
      <c r="V77" s="67" t="n">
        <f aca="false">-V37*Inputs!$E$90/30</f>
        <v>10024.2042451767</v>
      </c>
      <c r="W77" s="67" t="n">
        <f aca="false">-W37*Inputs!$E$90/30</f>
        <v>10062.5916451539</v>
      </c>
      <c r="X77" s="67" t="n">
        <f aca="false">-X37*Inputs!$E$90/30</f>
        <v>10100.4416215315</v>
      </c>
      <c r="Y77" s="67" t="n">
        <f aca="false">-Y37*Inputs!$E$90/30</f>
        <v>10137.7616982398</v>
      </c>
      <c r="Z77" s="67" t="n">
        <f aca="false">-Z37*Inputs!$E$90/30</f>
        <v>10174.5592938742</v>
      </c>
      <c r="AA77" s="67" t="n">
        <f aca="false">-AA37*Inputs!$E$90/30</f>
        <v>10593.7763158014</v>
      </c>
      <c r="AB77" s="67" t="n">
        <f aca="false">-AB37*Inputs!$E$90/30</f>
        <v>10639.5307480107</v>
      </c>
      <c r="AC77" s="67" t="n">
        <f aca="false">-AC37*Inputs!$E$90/30</f>
        <v>10684.644618169</v>
      </c>
      <c r="AD77" s="67" t="n">
        <f aca="false">-AD37*Inputs!$E$90/30</f>
        <v>10729.1268941451</v>
      </c>
      <c r="AE77" s="67" t="n">
        <f aca="false">-AE37*Inputs!$E$90/30</f>
        <v>10772.9864182575</v>
      </c>
      <c r="AF77" s="67" t="n">
        <f aca="false">-AF37*Inputs!$E$90/30</f>
        <v>10816.2319090324</v>
      </c>
      <c r="AG77" s="67" t="n">
        <f aca="false">-AG37*Inputs!$E$90/30</f>
        <v>10858.8719629364</v>
      </c>
      <c r="AH77" s="67" t="n">
        <f aca="false">-AH37*Inputs!$E$90/30</f>
        <v>10900.9150560858</v>
      </c>
      <c r="AI77" s="67" t="n">
        <f aca="false">-AI37*Inputs!$E$90/30</f>
        <v>10942.369545931</v>
      </c>
      <c r="AJ77" s="67" t="n">
        <f aca="false">-AJ37*Inputs!$E$90/30</f>
        <v>10983.2436729185</v>
      </c>
      <c r="AK77" s="67" t="n">
        <f aca="false">-AK37*Inputs!$E$90/30</f>
        <v>11023.5455621281</v>
      </c>
      <c r="AL77" s="67" t="n">
        <f aca="false">-AL37*Inputs!$E$90/30</f>
        <v>11063.2832248888</v>
      </c>
    </row>
    <row r="78" customFormat="false" ht="15" hidden="false" customHeight="false" outlineLevel="0" collapsed="false">
      <c r="A78" s="6" t="s">
        <v>93</v>
      </c>
      <c r="C78" s="67" t="n">
        <f aca="false">-C37*Inputs!$E$91/30</f>
        <v>18647.5347198003</v>
      </c>
      <c r="D78" s="67" t="n">
        <f aca="false">-D37*Inputs!$E$91/30</f>
        <v>18729.3890958801</v>
      </c>
      <c r="E78" s="67" t="n">
        <f aca="false">-E37*Inputs!$E$91/30</f>
        <v>18810.0975106947</v>
      </c>
      <c r="F78" s="67" t="n">
        <f aca="false">-F37*Inputs!$E$91/30</f>
        <v>18889.6760077019</v>
      </c>
      <c r="G78" s="67" t="n">
        <f aca="false">-G37*Inputs!$E$91/30</f>
        <v>18968.140405751</v>
      </c>
      <c r="H78" s="67" t="n">
        <f aca="false">-H37*Inputs!$E$91/30</f>
        <v>19045.5063022275</v>
      </c>
      <c r="I78" s="67" t="n">
        <f aca="false">-I37*Inputs!$E$91/30</f>
        <v>19121.7890761532</v>
      </c>
      <c r="J78" s="67" t="n">
        <f aca="false">-J37*Inputs!$E$91/30</f>
        <v>19197.003891244</v>
      </c>
      <c r="K78" s="67" t="n">
        <f aca="false">-K37*Inputs!$E$91/30</f>
        <v>19271.1656989236</v>
      </c>
      <c r="L78" s="67" t="n">
        <f aca="false">-L37*Inputs!$E$91/30</f>
        <v>19344.2892412956</v>
      </c>
      <c r="M78" s="67" t="n">
        <f aca="false">-M37*Inputs!$E$91/30</f>
        <v>19416.3890540744</v>
      </c>
      <c r="N78" s="67" t="n">
        <f aca="false">-N37*Inputs!$E$91/30</f>
        <v>19487.4794694743</v>
      </c>
      <c r="O78" s="67" t="n">
        <f aca="false">-O37*Inputs!$E$91/30</f>
        <v>20291.2286523838</v>
      </c>
      <c r="P78" s="67" t="n">
        <f aca="false">-P37*Inputs!$E$91/30</f>
        <v>20379.4978250207</v>
      </c>
      <c r="Q78" s="67" t="n">
        <f aca="false">-Q37*Inputs!$E$91/30</f>
        <v>20466.5312292407</v>
      </c>
      <c r="R78" s="67" t="n">
        <f aca="false">-R37*Inputs!$E$91/30</f>
        <v>20552.3461658016</v>
      </c>
      <c r="S78" s="67" t="n">
        <f aca="false">-S37*Inputs!$E$91/30</f>
        <v>20636.9596932506</v>
      </c>
      <c r="T78" s="67" t="n">
        <f aca="false">-T37*Inputs!$E$91/30</f>
        <v>20720.3886313154</v>
      </c>
      <c r="U78" s="67" t="n">
        <f aca="false">-U37*Inputs!$E$91/30</f>
        <v>20802.6495642472</v>
      </c>
      <c r="V78" s="67" t="n">
        <f aca="false">-V37*Inputs!$E$91/30</f>
        <v>20883.758844118</v>
      </c>
      <c r="W78" s="67" t="n">
        <f aca="false">-W37*Inputs!$E$91/30</f>
        <v>20963.7325940707</v>
      </c>
      <c r="X78" s="67" t="n">
        <f aca="false">-X37*Inputs!$E$91/30</f>
        <v>21042.5867115239</v>
      </c>
      <c r="Y78" s="67" t="n">
        <f aca="false">-Y37*Inputs!$E$91/30</f>
        <v>21120.3368713329</v>
      </c>
      <c r="Z78" s="67" t="n">
        <f aca="false">-Z37*Inputs!$E$91/30</f>
        <v>21196.9985289045</v>
      </c>
      <c r="AA78" s="67" t="n">
        <f aca="false">-AA37*Inputs!$E$91/30</f>
        <v>22070.3673245863</v>
      </c>
      <c r="AB78" s="67" t="n">
        <f aca="false">-AB37*Inputs!$E$91/30</f>
        <v>22165.6890583555</v>
      </c>
      <c r="AC78" s="67" t="n">
        <f aca="false">-AC37*Inputs!$E$91/30</f>
        <v>22259.676287852</v>
      </c>
      <c r="AD78" s="67" t="n">
        <f aca="false">-AD37*Inputs!$E$91/30</f>
        <v>22352.3476961356</v>
      </c>
      <c r="AE78" s="67" t="n">
        <f aca="false">-AE37*Inputs!$E$91/30</f>
        <v>22443.7217047032</v>
      </c>
      <c r="AF78" s="67" t="n">
        <f aca="false">-AF37*Inputs!$E$91/30</f>
        <v>22533.8164771508</v>
      </c>
      <c r="AG78" s="67" t="n">
        <f aca="false">-AG37*Inputs!$E$91/30</f>
        <v>22622.6499227842</v>
      </c>
      <c r="AH78" s="67" t="n">
        <f aca="false">-AH37*Inputs!$E$91/30</f>
        <v>22710.2397001787</v>
      </c>
      <c r="AI78" s="67" t="n">
        <f aca="false">-AI37*Inputs!$E$91/30</f>
        <v>22796.6032206897</v>
      </c>
      <c r="AJ78" s="67" t="n">
        <f aca="false">-AJ37*Inputs!$E$91/30</f>
        <v>22881.7576519135</v>
      </c>
      <c r="AK78" s="67" t="n">
        <f aca="false">-AK37*Inputs!$E$91/30</f>
        <v>22965.7199211002</v>
      </c>
      <c r="AL78" s="67" t="n">
        <f aca="false">-AL37*Inputs!$E$91/30</f>
        <v>23048.5067185182</v>
      </c>
    </row>
    <row r="79" customFormat="false" ht="15" hidden="false" customHeight="false" outlineLevel="0" collapsed="false">
      <c r="A79" s="6" t="s">
        <v>365</v>
      </c>
      <c r="C79" s="67" t="n">
        <f aca="false">-C76</f>
        <v>-91098.4488210937</v>
      </c>
      <c r="D79" s="67" t="n">
        <f aca="false">C76-D76</f>
        <v>-415.065886879704</v>
      </c>
      <c r="E79" s="67" t="n">
        <f aca="false">D76-E76</f>
        <v>-409.254964463384</v>
      </c>
      <c r="F79" s="67" t="n">
        <f aca="false">E76-F76</f>
        <v>-403.525394960874</v>
      </c>
      <c r="G79" s="67" t="n">
        <f aca="false">F76-G76</f>
        <v>-397.876039431445</v>
      </c>
      <c r="H79" s="67" t="n">
        <f aca="false">G76-H76</f>
        <v>-392.30577487938</v>
      </c>
      <c r="I79" s="67" t="n">
        <f aca="false">H76-I76</f>
        <v>-386.813494031099</v>
      </c>
      <c r="J79" s="67" t="n">
        <f aca="false">I76-J76</f>
        <v>-381.39810511464</v>
      </c>
      <c r="K79" s="67" t="n">
        <f aca="false">J76-K76</f>
        <v>-376.058531643052</v>
      </c>
      <c r="L79" s="67" t="n">
        <f aca="false">K76-L76</f>
        <v>-370.793712200029</v>
      </c>
      <c r="M79" s="67" t="n">
        <f aca="false">L76-M76</f>
        <v>-365.60260022922</v>
      </c>
      <c r="N79" s="67" t="n">
        <f aca="false">M76-N76</f>
        <v>-360.48416382604</v>
      </c>
      <c r="O79" s="67" t="n">
        <f aca="false">N76-O76</f>
        <v>-3778.80107073026</v>
      </c>
      <c r="P79" s="67" t="n">
        <f aca="false">O76-P76</f>
        <v>-447.593936687961</v>
      </c>
      <c r="Q79" s="67" t="n">
        <f aca="false">P76-Q76</f>
        <v>-441.327621574354</v>
      </c>
      <c r="R79" s="67" t="n">
        <f aca="false">Q76-R76</f>
        <v>-435.149034872302</v>
      </c>
      <c r="S79" s="67" t="n">
        <f aca="false">R76-S76</f>
        <v>-429.056948384081</v>
      </c>
      <c r="T79" s="67" t="n">
        <f aca="false">S76-T76</f>
        <v>-423.050151106712</v>
      </c>
      <c r="U79" s="67" t="n">
        <f aca="false">T76-U76</f>
        <v>-417.127448991218</v>
      </c>
      <c r="V79" s="67" t="n">
        <f aca="false">U76-V76</f>
        <v>-411.287664705349</v>
      </c>
      <c r="W79" s="67" t="n">
        <f aca="false">V76-W76</f>
        <v>-405.529637399508</v>
      </c>
      <c r="X79" s="67" t="n">
        <f aca="false">W76-X76</f>
        <v>-399.852222475849</v>
      </c>
      <c r="Y79" s="67" t="n">
        <f aca="false">X76-Y76</f>
        <v>-394.254291361198</v>
      </c>
      <c r="Z79" s="67" t="n">
        <f aca="false">Y76-Z76</f>
        <v>-388.734731282195</v>
      </c>
      <c r="AA79" s="67" t="n">
        <f aca="false">Z76-AA76</f>
        <v>-4106.26567202296</v>
      </c>
      <c r="AB79" s="67" t="n">
        <f aca="false">AA76-AB76</f>
        <v>-483.355953105172</v>
      </c>
      <c r="AC79" s="67" t="n">
        <f aca="false">AB76-AC76</f>
        <v>-476.588969761709</v>
      </c>
      <c r="AD79" s="67" t="n">
        <f aca="false">AC76-AD76</f>
        <v>-469.916724185037</v>
      </c>
      <c r="AE79" s="67" t="n">
        <f aca="false">AD76-AE76</f>
        <v>-463.337890046445</v>
      </c>
      <c r="AF79" s="67" t="n">
        <f aca="false">AE76-AF76</f>
        <v>-456.8511595858</v>
      </c>
      <c r="AG79" s="67" t="n">
        <f aca="false">AF76-AG76</f>
        <v>-450.455243351593</v>
      </c>
      <c r="AH79" s="67" t="n">
        <f aca="false">AG76-AH76</f>
        <v>-444.148869944693</v>
      </c>
      <c r="AI79" s="67" t="n">
        <f aca="false">AH76-AI76</f>
        <v>-437.930785765449</v>
      </c>
      <c r="AJ79" s="67" t="n">
        <f aca="false">AI76-AJ76</f>
        <v>-431.799754764739</v>
      </c>
      <c r="AK79" s="67" t="n">
        <f aca="false">AJ76-AK76</f>
        <v>-425.754558198052</v>
      </c>
      <c r="AL79" s="67" t="n">
        <f aca="false">AK76-AL76</f>
        <v>-419.793994383217</v>
      </c>
    </row>
    <row r="80" customFormat="false" ht="15" hidden="false" customHeight="false" outlineLevel="0" collapsed="false">
      <c r="A80" s="6" t="s">
        <v>366</v>
      </c>
      <c r="C80" s="67" t="n">
        <f aca="false">-C77</f>
        <v>-8950.81666550417</v>
      </c>
      <c r="D80" s="67" t="n">
        <f aca="false">C77-D77</f>
        <v>-39.2901005182739</v>
      </c>
      <c r="E80" s="67" t="n">
        <f aca="false">D77-E77</f>
        <v>-38.7400391110223</v>
      </c>
      <c r="F80" s="67" t="n">
        <f aca="false">E77-F77</f>
        <v>-38.1976785634633</v>
      </c>
      <c r="G80" s="67" t="n">
        <f aca="false">F77-G77</f>
        <v>-37.6629110635768</v>
      </c>
      <c r="H80" s="67" t="n">
        <f aca="false">G77-H77</f>
        <v>-37.1356303086868</v>
      </c>
      <c r="I80" s="67" t="n">
        <f aca="false">H77-I77</f>
        <v>-36.6157314843658</v>
      </c>
      <c r="J80" s="67" t="n">
        <f aca="false">I77-J77</f>
        <v>-36.103111243583</v>
      </c>
      <c r="K80" s="67" t="n">
        <f aca="false">J77-K77</f>
        <v>-35.5976676861719</v>
      </c>
      <c r="L80" s="67" t="n">
        <f aca="false">K77-L77</f>
        <v>-35.0993003385684</v>
      </c>
      <c r="M80" s="67" t="n">
        <f aca="false">L77-M77</f>
        <v>-34.6079101338273</v>
      </c>
      <c r="N80" s="67" t="n">
        <f aca="false">M77-N77</f>
        <v>-34.1233993919541</v>
      </c>
      <c r="O80" s="67" t="n">
        <f aca="false">N77-O77</f>
        <v>-385.799607796571</v>
      </c>
      <c r="P80" s="67" t="n">
        <f aca="false">O77-P77</f>
        <v>-42.3692028657097</v>
      </c>
      <c r="Q80" s="67" t="n">
        <f aca="false">P77-Q77</f>
        <v>-41.7760340255863</v>
      </c>
      <c r="R80" s="67" t="n">
        <f aca="false">Q77-R77</f>
        <v>-41.1911695492327</v>
      </c>
      <c r="S80" s="67" t="n">
        <f aca="false">R77-S77</f>
        <v>-40.6144931755407</v>
      </c>
      <c r="T80" s="67" t="n">
        <f aca="false">S77-T77</f>
        <v>-40.0458902710852</v>
      </c>
      <c r="U80" s="67" t="n">
        <f aca="false">T77-U77</f>
        <v>-39.4852478072917</v>
      </c>
      <c r="V80" s="67" t="n">
        <f aca="false">U77-V77</f>
        <v>-38.9324543379862</v>
      </c>
      <c r="W80" s="67" t="n">
        <f aca="false">V77-W77</f>
        <v>-38.3873999772568</v>
      </c>
      <c r="X80" s="67" t="n">
        <f aca="false">W77-X77</f>
        <v>-37.8499763775744</v>
      </c>
      <c r="Y80" s="67" t="n">
        <f aca="false">X77-Y77</f>
        <v>-37.3200767082835</v>
      </c>
      <c r="Z80" s="67" t="n">
        <f aca="false">Y77-Z77</f>
        <v>-36.7975956343744</v>
      </c>
      <c r="AA80" s="67" t="n">
        <f aca="false">Z77-AA77</f>
        <v>-419.217021927254</v>
      </c>
      <c r="AB80" s="67" t="n">
        <f aca="false">AA77-AB77</f>
        <v>-45.754432209249</v>
      </c>
      <c r="AC80" s="67" t="n">
        <f aca="false">AB77-AC77</f>
        <v>-45.1138701583222</v>
      </c>
      <c r="AD80" s="67" t="n">
        <f aca="false">AC77-AD77</f>
        <v>-44.4822759761028</v>
      </c>
      <c r="AE80" s="67" t="n">
        <f aca="false">AD77-AE77</f>
        <v>-43.8595241124385</v>
      </c>
      <c r="AF80" s="67" t="n">
        <f aca="false">AE77-AF77</f>
        <v>-43.2454907748652</v>
      </c>
      <c r="AG80" s="67" t="n">
        <f aca="false">AF77-AG77</f>
        <v>-42.6400539040169</v>
      </c>
      <c r="AH80" s="67" t="n">
        <f aca="false">AG77-AH77</f>
        <v>-42.0430931493629</v>
      </c>
      <c r="AI80" s="67" t="n">
        <f aca="false">AH77-AI77</f>
        <v>-41.4544898452677</v>
      </c>
      <c r="AJ80" s="67" t="n">
        <f aca="false">AI77-AJ77</f>
        <v>-40.8741269874354</v>
      </c>
      <c r="AK80" s="67" t="n">
        <f aca="false">AJ77-AK77</f>
        <v>-40.3018892096115</v>
      </c>
      <c r="AL80" s="67" t="n">
        <f aca="false">AK77-AL77</f>
        <v>-39.7376627606773</v>
      </c>
    </row>
    <row r="81" customFormat="false" ht="15" hidden="false" customHeight="false" outlineLevel="0" collapsed="false">
      <c r="A81" s="6" t="s">
        <v>367</v>
      </c>
      <c r="C81" s="67" t="n">
        <f aca="false">C78</f>
        <v>18647.5347198003</v>
      </c>
      <c r="D81" s="67" t="n">
        <f aca="false">D78-C78</f>
        <v>81.8543760797365</v>
      </c>
      <c r="E81" s="67" t="n">
        <f aca="false">E78-D78</f>
        <v>80.7084148146278</v>
      </c>
      <c r="F81" s="67" t="n">
        <f aca="false">F78-E78</f>
        <v>79.57849700722</v>
      </c>
      <c r="G81" s="67" t="n">
        <f aca="false">G78-F78</f>
        <v>78.4643980491164</v>
      </c>
      <c r="H81" s="67" t="n">
        <f aca="false">H78-G78</f>
        <v>77.365896476429</v>
      </c>
      <c r="I81" s="67" t="n">
        <f aca="false">I78-H78</f>
        <v>76.2827739257627</v>
      </c>
      <c r="J81" s="67" t="n">
        <f aca="false">J78-I78</f>
        <v>75.2148150907997</v>
      </c>
      <c r="K81" s="67" t="n">
        <f aca="false">K78-J78</f>
        <v>74.1618076795239</v>
      </c>
      <c r="L81" s="67" t="n">
        <f aca="false">L78-K78</f>
        <v>73.1235423720173</v>
      </c>
      <c r="M81" s="67" t="n">
        <f aca="false">M78-L78</f>
        <v>72.0998127788043</v>
      </c>
      <c r="N81" s="67" t="n">
        <f aca="false">N78-M78</f>
        <v>71.0904153999072</v>
      </c>
      <c r="O81" s="67" t="n">
        <f aca="false">O78-N78</f>
        <v>803.749182909523</v>
      </c>
      <c r="P81" s="67" t="n">
        <f aca="false">P78-O78</f>
        <v>88.2691726368903</v>
      </c>
      <c r="Q81" s="67" t="n">
        <f aca="false">Q78-P78</f>
        <v>87.0334042199756</v>
      </c>
      <c r="R81" s="67" t="n">
        <f aca="false">R78-Q78</f>
        <v>85.8149365608988</v>
      </c>
      <c r="S81" s="67" t="n">
        <f aca="false">S78-R78</f>
        <v>84.613527449048</v>
      </c>
      <c r="T81" s="67" t="n">
        <f aca="false">T78-S78</f>
        <v>83.428938064757</v>
      </c>
      <c r="U81" s="67" t="n">
        <f aca="false">U78-T78</f>
        <v>82.2609329318548</v>
      </c>
      <c r="V81" s="67" t="n">
        <f aca="false">V78-U78</f>
        <v>81.109279870805</v>
      </c>
      <c r="W81" s="67" t="n">
        <f aca="false">W78-V78</f>
        <v>79.9737499526236</v>
      </c>
      <c r="X81" s="67" t="n">
        <f aca="false">X78-W78</f>
        <v>78.8541174532766</v>
      </c>
      <c r="Y81" s="67" t="n">
        <f aca="false">Y78-X78</f>
        <v>77.7501598089293</v>
      </c>
      <c r="Z81" s="67" t="n">
        <f aca="false">Z78-Y78</f>
        <v>76.6616575716071</v>
      </c>
      <c r="AA81" s="67" t="n">
        <f aca="false">AA78-Z78</f>
        <v>873.368795681781</v>
      </c>
      <c r="AB81" s="67" t="n">
        <f aca="false">AB78-AA78</f>
        <v>95.3217337692695</v>
      </c>
      <c r="AC81" s="67" t="n">
        <f aca="false">AC78-AB78</f>
        <v>93.9872294965026</v>
      </c>
      <c r="AD81" s="67" t="n">
        <f aca="false">AD78-AC78</f>
        <v>92.6714082835497</v>
      </c>
      <c r="AE81" s="67" t="n">
        <f aca="false">AE78-AD78</f>
        <v>91.3740085675781</v>
      </c>
      <c r="AF81" s="67" t="n">
        <f aca="false">AF78-AE78</f>
        <v>90.0947724476355</v>
      </c>
      <c r="AG81" s="67" t="n">
        <f aca="false">AG78-AF78</f>
        <v>88.8334456333687</v>
      </c>
      <c r="AH81" s="67" t="n">
        <f aca="false">AH78-AG78</f>
        <v>87.5897773945071</v>
      </c>
      <c r="AI81" s="67" t="n">
        <f aca="false">AI78-AH78</f>
        <v>86.3635205109749</v>
      </c>
      <c r="AJ81" s="67" t="n">
        <f aca="false">AJ78-AI78</f>
        <v>85.154431223822</v>
      </c>
      <c r="AK81" s="67" t="n">
        <f aca="false">AK78-AJ78</f>
        <v>83.9622691866971</v>
      </c>
      <c r="AL81" s="67" t="n">
        <f aca="false">AL78-AK78</f>
        <v>82.7867974180699</v>
      </c>
    </row>
    <row r="83" customFormat="false" ht="15.75" hidden="false" customHeight="true" outlineLevel="0" collapsed="false">
      <c r="A83" s="7" t="s">
        <v>443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4" t="s">
        <v>52</v>
      </c>
      <c r="C84" s="73" t="n">
        <f aca="false">C60-C65+C79+C80+C81</f>
        <v>-64556.3520084263</v>
      </c>
      <c r="D84" s="73" t="n">
        <f aca="false">D60-D65+D79+D80+D81</f>
        <v>16946.2011055272</v>
      </c>
      <c r="E84" s="73" t="n">
        <f aca="false">E60-E65+E79+E80+E81</f>
        <v>17423.2916464488</v>
      </c>
      <c r="F84" s="73" t="n">
        <f aca="false">F60-F65+F79+F80+F81</f>
        <v>17893.9546832597</v>
      </c>
      <c r="G84" s="73" t="n">
        <f aca="false">G60-G65+G79+G80+G81</f>
        <v>18358.2802010174</v>
      </c>
      <c r="H84" s="73" t="n">
        <f aca="false">H60-H65+H79+H80+H81</f>
        <v>18816.3569249889</v>
      </c>
      <c r="I84" s="73" t="n">
        <f aca="false">I60-I65+I79+I80+I81</f>
        <v>19268.272338287</v>
      </c>
      <c r="J84" s="73" t="n">
        <f aca="false">J60-J65+J79+J80+J81</f>
        <v>19714.1126992611</v>
      </c>
      <c r="K84" s="73" t="n">
        <f aca="false">K60-K65+K79+K80+K81</f>
        <v>20153.9630586439</v>
      </c>
      <c r="L84" s="73" t="n">
        <f aca="false">L60-L65+L79+L80+L81</f>
        <v>20587.9072764576</v>
      </c>
      <c r="M84" s="73" t="n">
        <f aca="false">M60-M65+M79+M80+M81</f>
        <v>21016.0280386842</v>
      </c>
      <c r="N84" s="73" t="n">
        <f aca="false">N60-N65+N79+N80+N81</f>
        <v>21438.4068737018</v>
      </c>
      <c r="O84" s="73" t="n">
        <f aca="false">O60-O65+O79+O80+O81</f>
        <v>18104.8070471031</v>
      </c>
      <c r="P84" s="73" t="n">
        <f aca="false">P60-P65+P79+P80+P81</f>
        <v>21579.0463807412</v>
      </c>
      <c r="Q84" s="73" t="n">
        <f aca="false">Q60-Q65+Q79+Q80+Q81</f>
        <v>22092.8021189521</v>
      </c>
      <c r="R84" s="73" t="n">
        <f aca="false">R60-R65+R79+R80+R81</f>
        <v>22599.6266398337</v>
      </c>
      <c r="S84" s="73" t="n">
        <f aca="false">S60-S65+S79+S80+S81</f>
        <v>23099.6169804285</v>
      </c>
      <c r="T84" s="73" t="n">
        <f aca="false">T60-T65+T79+T80+T81</f>
        <v>23592.8688192605</v>
      </c>
      <c r="U84" s="73" t="n">
        <f aca="false">U60-U65+U79+U80+U81</f>
        <v>24079.4764953546</v>
      </c>
      <c r="V84" s="73" t="n">
        <f aca="false">V60-V65+V79+V80+V81</f>
        <v>24559.5330269889</v>
      </c>
      <c r="W84" s="73" t="n">
        <f aca="false">W60-W65+W79+W80+W81</f>
        <v>25033.130130186</v>
      </c>
      <c r="X84" s="73" t="n">
        <f aca="false">X60-X65+X79+X80+X81</f>
        <v>25500.3582369439</v>
      </c>
      <c r="Y84" s="73" t="n">
        <f aca="false">Y60-Y65+Y79+Y80+Y81</f>
        <v>25961.3065132128</v>
      </c>
      <c r="Z84" s="73" t="n">
        <f aca="false">Z60-Z65+Z79+Z80+Z81</f>
        <v>26416.0628766194</v>
      </c>
      <c r="AA84" s="73" t="n">
        <f aca="false">AA60-AA65+AA79+AA80+AA81</f>
        <v>22846.8453045932</v>
      </c>
      <c r="AB84" s="73" t="n">
        <f aca="false">AB60-AB65+AB79+AB80+AB81</f>
        <v>26620.6596641583</v>
      </c>
      <c r="AC84" s="73" t="n">
        <f aca="false">AC60-AC65+AC79+AC80+AC81</f>
        <v>27174.7167597318</v>
      </c>
      <c r="AD84" s="73" t="n">
        <f aca="false">AD60-AD65+AD79+AD80+AD81</f>
        <v>27721.288845157</v>
      </c>
      <c r="AE84" s="73" t="n">
        <f aca="false">AE60-AE65+AE79+AE80+AE81</f>
        <v>28260.480710576</v>
      </c>
      <c r="AF84" s="73" t="n">
        <f aca="false">AF60-AF65+AF79+AF80+AF81</f>
        <v>28792.395679069</v>
      </c>
      <c r="AG84" s="73" t="n">
        <f aca="false">AG60-AG65+AG79+AG80+AG81</f>
        <v>29317.1356271928</v>
      </c>
      <c r="AH84" s="73" t="n">
        <f aca="false">AH60-AH65+AH79+AH80+AH81</f>
        <v>29834.8010052327</v>
      </c>
      <c r="AI84" s="73" t="n">
        <f aca="false">AI60-AI65+AI79+AI80+AI81</f>
        <v>30345.4908571698</v>
      </c>
      <c r="AJ84" s="73" t="n">
        <f aca="false">AJ60-AJ65+AJ79+AJ80+AJ81</f>
        <v>30849.3028403695</v>
      </c>
      <c r="AK84" s="73" t="n">
        <f aca="false">AK60-AK65+AK79+AK80+AK81</f>
        <v>31346.3332449942</v>
      </c>
      <c r="AL84" s="73" t="n">
        <f aca="false">AL60-AL65+AL79+AL80+AL81</f>
        <v>31836.677013144</v>
      </c>
    </row>
    <row r="85" customFormat="false" ht="15" hidden="false" customHeight="false" outlineLevel="0" collapsed="false">
      <c r="A85" s="6" t="s">
        <v>444</v>
      </c>
      <c r="C85" s="67" t="n">
        <f aca="false">-C63</f>
        <v>-62411.4295276172</v>
      </c>
      <c r="D85" s="67" t="n">
        <f aca="false">-D63</f>
        <v>-2422.4165657993</v>
      </c>
      <c r="E85" s="67" t="n">
        <f aca="false">-E63</f>
        <v>-2433.24978544686</v>
      </c>
      <c r="F85" s="67" t="n">
        <f aca="false">-F63</f>
        <v>-2443.93134001935</v>
      </c>
      <c r="G85" s="67" t="n">
        <f aca="false">-G63</f>
        <v>-2454.46335282783</v>
      </c>
      <c r="H85" s="67" t="n">
        <f aca="false">-H63</f>
        <v>-2464.84791745699</v>
      </c>
      <c r="I85" s="67" t="n">
        <f aca="false">-I63</f>
        <v>-2475.08709818134</v>
      </c>
      <c r="J85" s="67" t="n">
        <f aca="false">-J63</f>
        <v>-2485.18293037555</v>
      </c>
      <c r="K85" s="67" t="n">
        <f aca="false">-K63</f>
        <v>-2495.13742091905</v>
      </c>
      <c r="L85" s="67" t="n">
        <f aca="false">-L63</f>
        <v>-2504.95254859493</v>
      </c>
      <c r="M85" s="67" t="n">
        <f aca="false">-M63</f>
        <v>-2514.63026448335</v>
      </c>
      <c r="N85" s="67" t="n">
        <f aca="false">-N63</f>
        <v>-2524.17249234933</v>
      </c>
      <c r="O85" s="67" t="n">
        <f aca="false">-O63</f>
        <v>-2624.19957951572</v>
      </c>
      <c r="P85" s="67" t="n">
        <f aca="false">-P63</f>
        <v>-2636.0476543104</v>
      </c>
      <c r="Q85" s="67" t="n">
        <f aca="false">-Q63</f>
        <v>-2647.72985605796</v>
      </c>
      <c r="R85" s="67" t="n">
        <f aca="false">-R63</f>
        <v>-2659.24850698105</v>
      </c>
      <c r="S85" s="67" t="n">
        <f aca="false">-S63</f>
        <v>-2670.60589679122</v>
      </c>
      <c r="T85" s="67" t="n">
        <f aca="false">-T63</f>
        <v>-2681.80428314404</v>
      </c>
      <c r="U85" s="67" t="n">
        <f aca="false">-U63</f>
        <v>-2692.84589208793</v>
      </c>
      <c r="V85" s="67" t="n">
        <f aca="false">-V63</f>
        <v>-2703.7329185066</v>
      </c>
      <c r="W85" s="67" t="n">
        <f aca="false">-W63</f>
        <v>-2714.46752655541</v>
      </c>
      <c r="X85" s="67" t="n">
        <f aca="false">-X63</f>
        <v>-2725.05185009153</v>
      </c>
      <c r="Y85" s="67" t="n">
        <f aca="false">-Y63</f>
        <v>-2735.48799309815</v>
      </c>
      <c r="Z85" s="67" t="n">
        <f aca="false">-Z63</f>
        <v>-2745.77803010268</v>
      </c>
      <c r="AA85" s="67" t="n">
        <f aca="false">-AA63</f>
        <v>-2854.47329789153</v>
      </c>
      <c r="AB85" s="67" t="n">
        <f aca="false">-AB63</f>
        <v>-2867.26801429725</v>
      </c>
      <c r="AC85" s="67" t="n">
        <f aca="false">-AC63</f>
        <v>-2879.8836046733</v>
      </c>
      <c r="AD85" s="67" t="n">
        <f aca="false">-AD63</f>
        <v>-2892.32257678408</v>
      </c>
      <c r="AE85" s="67" t="n">
        <f aca="false">-AE63</f>
        <v>-2904.58740328531</v>
      </c>
      <c r="AF85" s="67" t="n">
        <f aca="false">-AF63</f>
        <v>-2916.68052221552</v>
      </c>
      <c r="AG85" s="67" t="n">
        <f aca="false">-AG63</f>
        <v>-2928.60433748071</v>
      </c>
      <c r="AH85" s="67" t="n">
        <f aca="false">-AH63</f>
        <v>-2940.36121933219</v>
      </c>
      <c r="AI85" s="67" t="n">
        <f aca="false">-AI63</f>
        <v>-2951.95350483774</v>
      </c>
      <c r="AJ85" s="67" t="n">
        <f aca="false">-AJ63</f>
        <v>-2963.38349834622</v>
      </c>
      <c r="AK85" s="67" t="n">
        <f aca="false">-AK63</f>
        <v>-2974.65347194558</v>
      </c>
      <c r="AL85" s="67" t="n">
        <f aca="false">-AL63</f>
        <v>-2985.76566591455</v>
      </c>
    </row>
    <row r="86" customFormat="false" ht="15" hidden="false" customHeight="false" outlineLevel="0" collapsed="false">
      <c r="A86" s="6" t="s">
        <v>63</v>
      </c>
      <c r="C86" s="67" t="n">
        <f aca="false">IF(C$4=1,Inputs!$E$83,0)</f>
        <v>100000</v>
      </c>
      <c r="D86" s="67" t="n">
        <f aca="false">IF(D$4=1,Inputs!$E$83,0)</f>
        <v>0</v>
      </c>
      <c r="E86" s="67" t="n">
        <f aca="false">IF(E$4=1,Inputs!$E$83,0)</f>
        <v>0</v>
      </c>
      <c r="F86" s="67" t="n">
        <f aca="false">IF(F$4=1,Inputs!$E$83,0)</f>
        <v>0</v>
      </c>
      <c r="G86" s="67" t="n">
        <f aca="false">IF(G$4=1,Inputs!$E$83,0)</f>
        <v>0</v>
      </c>
      <c r="H86" s="67" t="n">
        <f aca="false">IF(H$4=1,Inputs!$E$83,0)</f>
        <v>0</v>
      </c>
      <c r="I86" s="67" t="n">
        <f aca="false">IF(I$4=1,Inputs!$E$83,0)</f>
        <v>0</v>
      </c>
      <c r="J86" s="67" t="n">
        <f aca="false">IF(J$4=1,Inputs!$E$83,0)</f>
        <v>0</v>
      </c>
      <c r="K86" s="67" t="n">
        <f aca="false">IF(K$4=1,Inputs!$E$83,0)</f>
        <v>0</v>
      </c>
      <c r="L86" s="67" t="n">
        <f aca="false">IF(L$4=1,Inputs!$E$83,0)</f>
        <v>0</v>
      </c>
      <c r="M86" s="67" t="n">
        <f aca="false">IF(M$4=1,Inputs!$E$83,0)</f>
        <v>0</v>
      </c>
      <c r="N86" s="67" t="n">
        <f aca="false">IF(N$4=1,Inputs!$E$83,0)</f>
        <v>0</v>
      </c>
      <c r="O86" s="67" t="n">
        <f aca="false">IF(O$4=1,Inputs!$E$83,0)</f>
        <v>0</v>
      </c>
      <c r="P86" s="67" t="n">
        <f aca="false">IF(P$4=1,Inputs!$E$83,0)</f>
        <v>0</v>
      </c>
      <c r="Q86" s="67" t="n">
        <f aca="false">IF(Q$4=1,Inputs!$E$83,0)</f>
        <v>0</v>
      </c>
      <c r="R86" s="67" t="n">
        <f aca="false">IF(R$4=1,Inputs!$E$83,0)</f>
        <v>0</v>
      </c>
      <c r="S86" s="67" t="n">
        <f aca="false">IF(S$4=1,Inputs!$E$83,0)</f>
        <v>0</v>
      </c>
      <c r="T86" s="67" t="n">
        <f aca="false">IF(T$4=1,Inputs!$E$83,0)</f>
        <v>0</v>
      </c>
      <c r="U86" s="67" t="n">
        <f aca="false">IF(U$4=1,Inputs!$E$83,0)</f>
        <v>0</v>
      </c>
      <c r="V86" s="67" t="n">
        <f aca="false">IF(V$4=1,Inputs!$E$83,0)</f>
        <v>0</v>
      </c>
      <c r="W86" s="67" t="n">
        <f aca="false">IF(W$4=1,Inputs!$E$83,0)</f>
        <v>0</v>
      </c>
      <c r="X86" s="67" t="n">
        <f aca="false">IF(X$4=1,Inputs!$E$83,0)</f>
        <v>0</v>
      </c>
      <c r="Y86" s="67" t="n">
        <f aca="false">IF(Y$4=1,Inputs!$E$83,0)</f>
        <v>0</v>
      </c>
      <c r="Z86" s="67" t="n">
        <f aca="false">IF(Z$4=1,Inputs!$E$83,0)</f>
        <v>0</v>
      </c>
      <c r="AA86" s="67" t="n">
        <f aca="false">IF(AA$4=1,Inputs!$E$83,0)</f>
        <v>0</v>
      </c>
      <c r="AB86" s="67" t="n">
        <f aca="false">IF(AB$4=1,Inputs!$E$83,0)</f>
        <v>0</v>
      </c>
      <c r="AC86" s="67" t="n">
        <f aca="false">IF(AC$4=1,Inputs!$E$83,0)</f>
        <v>0</v>
      </c>
      <c r="AD86" s="67" t="n">
        <f aca="false">IF(AD$4=1,Inputs!$E$83,0)</f>
        <v>0</v>
      </c>
      <c r="AE86" s="67" t="n">
        <f aca="false">IF(AE$4=1,Inputs!$E$83,0)</f>
        <v>0</v>
      </c>
      <c r="AF86" s="67" t="n">
        <f aca="false">IF(AF$4=1,Inputs!$E$83,0)</f>
        <v>0</v>
      </c>
      <c r="AG86" s="67" t="n">
        <f aca="false">IF(AG$4=1,Inputs!$E$83,0)</f>
        <v>0</v>
      </c>
      <c r="AH86" s="67" t="n">
        <f aca="false">IF(AH$4=1,Inputs!$E$83,0)</f>
        <v>0</v>
      </c>
      <c r="AI86" s="67" t="n">
        <f aca="false">IF(AI$4=1,Inputs!$E$83,0)</f>
        <v>0</v>
      </c>
      <c r="AJ86" s="67" t="n">
        <f aca="false">IF(AJ$4=1,Inputs!$E$83,0)</f>
        <v>0</v>
      </c>
      <c r="AK86" s="67" t="n">
        <f aca="false">IF(AK$4=1,Inputs!$E$83,0)</f>
        <v>0</v>
      </c>
      <c r="AL86" s="67" t="n">
        <f aca="false">IF(AL$4=1,Inputs!$E$83,0)</f>
        <v>0</v>
      </c>
    </row>
    <row r="87" customFormat="false" ht="15" hidden="false" customHeight="false" outlineLevel="0" collapsed="false">
      <c r="A87" s="6" t="s">
        <v>54</v>
      </c>
      <c r="C87" s="67" t="n">
        <f aca="false">C86+C71+C72</f>
        <v>250000</v>
      </c>
      <c r="D87" s="67" t="n">
        <f aca="false">D86+D71+D72</f>
        <v>-1785.71428571429</v>
      </c>
      <c r="E87" s="67" t="n">
        <f aca="false">E86+E71+E72</f>
        <v>-1785.71428571429</v>
      </c>
      <c r="F87" s="67" t="n">
        <f aca="false">F86+F71+F72</f>
        <v>-1785.71428571429</v>
      </c>
      <c r="G87" s="67" t="n">
        <f aca="false">G86+G71+G72</f>
        <v>-1785.71428571429</v>
      </c>
      <c r="H87" s="67" t="n">
        <f aca="false">H86+H71+H72</f>
        <v>-1785.71428571429</v>
      </c>
      <c r="I87" s="67" t="n">
        <f aca="false">I86+I71+I72</f>
        <v>-1785.71428571429</v>
      </c>
      <c r="J87" s="67" t="n">
        <f aca="false">J86+J71+J72</f>
        <v>-1785.71428571429</v>
      </c>
      <c r="K87" s="67" t="n">
        <f aca="false">K86+K71+K72</f>
        <v>-1785.71428571429</v>
      </c>
      <c r="L87" s="67" t="n">
        <f aca="false">L86+L71+L72</f>
        <v>-1785.71428571429</v>
      </c>
      <c r="M87" s="67" t="n">
        <f aca="false">M86+M71+M72</f>
        <v>-1785.71428571429</v>
      </c>
      <c r="N87" s="67" t="n">
        <f aca="false">N86+N71+N72</f>
        <v>-1785.71428571429</v>
      </c>
      <c r="O87" s="67" t="n">
        <f aca="false">O86+O71+O72</f>
        <v>-1785.71428571429</v>
      </c>
      <c r="P87" s="67" t="n">
        <f aca="false">P86+P71+P72</f>
        <v>-1785.71428571429</v>
      </c>
      <c r="Q87" s="67" t="n">
        <f aca="false">Q86+Q71+Q72</f>
        <v>-1785.71428571429</v>
      </c>
      <c r="R87" s="67" t="n">
        <f aca="false">R86+R71+R72</f>
        <v>-1785.71428571429</v>
      </c>
      <c r="S87" s="67" t="n">
        <f aca="false">S86+S71+S72</f>
        <v>-1785.71428571429</v>
      </c>
      <c r="T87" s="67" t="n">
        <f aca="false">T86+T71+T72</f>
        <v>-1785.71428571429</v>
      </c>
      <c r="U87" s="67" t="n">
        <f aca="false">U86+U71+U72</f>
        <v>-1785.71428571429</v>
      </c>
      <c r="V87" s="67" t="n">
        <f aca="false">V86+V71+V72</f>
        <v>-1785.71428571429</v>
      </c>
      <c r="W87" s="67" t="n">
        <f aca="false">W86+W71+W72</f>
        <v>-1785.71428571429</v>
      </c>
      <c r="X87" s="67" t="n">
        <f aca="false">X86+X71+X72</f>
        <v>-1785.71428571429</v>
      </c>
      <c r="Y87" s="67" t="n">
        <f aca="false">Y86+Y71+Y72</f>
        <v>-1785.71428571429</v>
      </c>
      <c r="Z87" s="67" t="n">
        <f aca="false">Z86+Z71+Z72</f>
        <v>-1785.71428571429</v>
      </c>
      <c r="AA87" s="67" t="n">
        <f aca="false">AA86+AA71+AA72</f>
        <v>-1785.71428571429</v>
      </c>
      <c r="AB87" s="67" t="n">
        <f aca="false">AB86+AB71+AB72</f>
        <v>-1785.71428571429</v>
      </c>
      <c r="AC87" s="67" t="n">
        <f aca="false">AC86+AC71+AC72</f>
        <v>-1785.71428571429</v>
      </c>
      <c r="AD87" s="67" t="n">
        <f aca="false">AD86+AD71+AD72</f>
        <v>-1785.71428571429</v>
      </c>
      <c r="AE87" s="67" t="n">
        <f aca="false">AE86+AE71+AE72</f>
        <v>-1785.71428571429</v>
      </c>
      <c r="AF87" s="67" t="n">
        <f aca="false">AF86+AF71+AF72</f>
        <v>-1785.71428571429</v>
      </c>
      <c r="AG87" s="67" t="n">
        <f aca="false">AG86+AG71+AG72</f>
        <v>-1785.71428571429</v>
      </c>
      <c r="AH87" s="67" t="n">
        <f aca="false">AH86+AH71+AH72</f>
        <v>-1785.71428571429</v>
      </c>
      <c r="AI87" s="67" t="n">
        <f aca="false">AI86+AI71+AI72</f>
        <v>-1785.71428571429</v>
      </c>
      <c r="AJ87" s="67" t="n">
        <f aca="false">AJ86+AJ71+AJ72</f>
        <v>-1785.71428571429</v>
      </c>
      <c r="AK87" s="67" t="n">
        <f aca="false">AK86+AK71+AK72</f>
        <v>-1785.71428571429</v>
      </c>
      <c r="AL87" s="67" t="n">
        <f aca="false">AL86+AL71+AL72</f>
        <v>-1785.71428571429</v>
      </c>
    </row>
    <row r="88" customFormat="false" ht="15" hidden="false" customHeight="false" outlineLevel="0" collapsed="false">
      <c r="A88" s="111" t="s">
        <v>445</v>
      </c>
      <c r="C88" s="68" t="n">
        <f aca="false">C84+C85+C87</f>
        <v>123032.218463956</v>
      </c>
      <c r="D88" s="68" t="n">
        <f aca="false">D84+D85+D87</f>
        <v>12738.0702540136</v>
      </c>
      <c r="E88" s="68" t="n">
        <f aca="false">E84+E85+E87</f>
        <v>13204.3275752876</v>
      </c>
      <c r="F88" s="68" t="n">
        <f aca="false">F84+F85+F87</f>
        <v>13664.309057526</v>
      </c>
      <c r="G88" s="68" t="n">
        <f aca="false">G84+G85+G87</f>
        <v>14118.1025624753</v>
      </c>
      <c r="H88" s="68" t="n">
        <f aca="false">H84+H85+H87</f>
        <v>14565.7947218176</v>
      </c>
      <c r="I88" s="68" t="n">
        <f aca="false">I84+I85+I87</f>
        <v>15007.4709543913</v>
      </c>
      <c r="J88" s="68" t="n">
        <f aca="false">J84+J85+J87</f>
        <v>15443.2154831713</v>
      </c>
      <c r="K88" s="68" t="n">
        <f aca="false">K84+K85+K87</f>
        <v>15873.1113520106</v>
      </c>
      <c r="L88" s="68" t="n">
        <f aca="false">L84+L85+L87</f>
        <v>16297.2404421484</v>
      </c>
      <c r="M88" s="68" t="n">
        <f aca="false">M84+M85+M87</f>
        <v>16715.6834884865</v>
      </c>
      <c r="N88" s="68" t="n">
        <f aca="false">N84+N85+N87</f>
        <v>17128.5200956382</v>
      </c>
      <c r="O88" s="68" t="n">
        <f aca="false">O84+O85+O87</f>
        <v>13694.8931818731</v>
      </c>
      <c r="P88" s="68" t="n">
        <f aca="false">P84+P85+P87</f>
        <v>17157.2844407165</v>
      </c>
      <c r="Q88" s="68" t="n">
        <f aca="false">Q84+Q85+Q87</f>
        <v>17659.3579771799</v>
      </c>
      <c r="R88" s="68" t="n">
        <f aca="false">R84+R85+R87</f>
        <v>18154.6638471383</v>
      </c>
      <c r="S88" s="68" t="n">
        <f aca="false">S84+S85+S87</f>
        <v>18643.296797923</v>
      </c>
      <c r="T88" s="68" t="n">
        <f aca="false">T84+T85+T87</f>
        <v>19125.3502504022</v>
      </c>
      <c r="U88" s="68" t="n">
        <f aca="false">U84+U85+U87</f>
        <v>19600.9163175524</v>
      </c>
      <c r="V88" s="68" t="n">
        <f aca="false">V84+V85+V87</f>
        <v>20070.085822768</v>
      </c>
      <c r="W88" s="68" t="n">
        <f aca="false">W84+W85+W87</f>
        <v>20532.9483179163</v>
      </c>
      <c r="X88" s="68" t="n">
        <f aca="false">X84+X85+X87</f>
        <v>20989.5921011381</v>
      </c>
      <c r="Y88" s="68" t="n">
        <f aca="false">Y84+Y85+Y87</f>
        <v>21440.1042344003</v>
      </c>
      <c r="Z88" s="68" t="n">
        <f aca="false">Z84+Z85+Z87</f>
        <v>21884.5705608025</v>
      </c>
      <c r="AA88" s="68" t="n">
        <f aca="false">AA84+AA85+AA87</f>
        <v>18206.6577209874</v>
      </c>
      <c r="AB88" s="68" t="n">
        <f aca="false">AB84+AB85+AB87</f>
        <v>21967.6773641468</v>
      </c>
      <c r="AC88" s="68" t="n">
        <f aca="false">AC84+AC85+AC87</f>
        <v>22509.1188693442</v>
      </c>
      <c r="AD88" s="68" t="n">
        <f aca="false">AD84+AD85+AD87</f>
        <v>23043.2519826586</v>
      </c>
      <c r="AE88" s="68" t="n">
        <f aca="false">AE84+AE85+AE87</f>
        <v>23570.1790215764</v>
      </c>
      <c r="AF88" s="68" t="n">
        <f aca="false">AF84+AF85+AF87</f>
        <v>24090.0008711392</v>
      </c>
      <c r="AG88" s="68" t="n">
        <f aca="false">AG84+AG85+AG87</f>
        <v>24602.8170039978</v>
      </c>
      <c r="AH88" s="68" t="n">
        <f aca="false">AH84+AH85+AH87</f>
        <v>25108.7255001862</v>
      </c>
      <c r="AI88" s="68" t="n">
        <f aca="false">AI84+AI85+AI87</f>
        <v>25607.8230666178</v>
      </c>
      <c r="AJ88" s="68" t="n">
        <f aca="false">AJ84+AJ85+AJ87</f>
        <v>26100.205056309</v>
      </c>
      <c r="AK88" s="68" t="n">
        <f aca="false">AK84+AK85+AK87</f>
        <v>26585.9654873343</v>
      </c>
      <c r="AL88" s="68" t="n">
        <f aca="false">AL84+AL85+AL87</f>
        <v>27065.1970615152</v>
      </c>
    </row>
    <row r="89" customFormat="false" ht="15" hidden="false" customHeight="false" outlineLevel="0" collapsed="false">
      <c r="A89" s="6" t="s">
        <v>368</v>
      </c>
      <c r="C89" s="67" t="n">
        <f aca="false">0</f>
        <v>0</v>
      </c>
      <c r="D89" s="67" t="n">
        <f aca="false">C90</f>
        <v>123032.218463956</v>
      </c>
      <c r="E89" s="67" t="n">
        <f aca="false">D90</f>
        <v>135770.28871797</v>
      </c>
      <c r="F89" s="67" t="n">
        <f aca="false">E90</f>
        <v>148974.616293258</v>
      </c>
      <c r="G89" s="67" t="n">
        <f aca="false">F90</f>
        <v>162638.925350784</v>
      </c>
      <c r="H89" s="67" t="n">
        <f aca="false">G90</f>
        <v>176757.027913259</v>
      </c>
      <c r="I89" s="67" t="n">
        <f aca="false">H90</f>
        <v>191322.822635077</v>
      </c>
      <c r="J89" s="67" t="n">
        <f aca="false">I90</f>
        <v>206330.293589468</v>
      </c>
      <c r="K89" s="67" t="n">
        <f aca="false">J90</f>
        <v>221773.509072639</v>
      </c>
      <c r="L89" s="67" t="n">
        <f aca="false">K90</f>
        <v>237646.62042465</v>
      </c>
      <c r="M89" s="67" t="n">
        <f aca="false">L90</f>
        <v>253943.860866798</v>
      </c>
      <c r="N89" s="67" t="n">
        <f aca="false">M90</f>
        <v>270659.544355285</v>
      </c>
      <c r="O89" s="67" t="n">
        <f aca="false">N90</f>
        <v>287788.064450923</v>
      </c>
      <c r="P89" s="67" t="n">
        <f aca="false">O90</f>
        <v>301482.957632796</v>
      </c>
      <c r="Q89" s="67" t="n">
        <f aca="false">P90</f>
        <v>318640.242073513</v>
      </c>
      <c r="R89" s="67" t="n">
        <f aca="false">Q90</f>
        <v>336299.600050693</v>
      </c>
      <c r="S89" s="67" t="n">
        <f aca="false">R90</f>
        <v>354454.263897831</v>
      </c>
      <c r="T89" s="67" t="n">
        <f aca="false">S90</f>
        <v>373097.560695754</v>
      </c>
      <c r="U89" s="67" t="n">
        <f aca="false">T90</f>
        <v>392222.910946156</v>
      </c>
      <c r="V89" s="67" t="n">
        <f aca="false">U90</f>
        <v>411823.827263708</v>
      </c>
      <c r="W89" s="67" t="n">
        <f aca="false">V90</f>
        <v>431893.913086476</v>
      </c>
      <c r="X89" s="67" t="n">
        <f aca="false">W90</f>
        <v>452426.861404393</v>
      </c>
      <c r="Y89" s="67" t="n">
        <f aca="false">X90</f>
        <v>473416.453505531</v>
      </c>
      <c r="Z89" s="67" t="n">
        <f aca="false">Y90</f>
        <v>494856.557739931</v>
      </c>
      <c r="AA89" s="67" t="n">
        <f aca="false">Z90</f>
        <v>516741.128300734</v>
      </c>
      <c r="AB89" s="67" t="n">
        <f aca="false">AA90</f>
        <v>534947.786021721</v>
      </c>
      <c r="AC89" s="67" t="n">
        <f aca="false">AB90</f>
        <v>556915.463385868</v>
      </c>
      <c r="AD89" s="67" t="n">
        <f aca="false">AC90</f>
        <v>579424.582255212</v>
      </c>
      <c r="AE89" s="67" t="n">
        <f aca="false">AD90</f>
        <v>602467.834237871</v>
      </c>
      <c r="AF89" s="67" t="n">
        <f aca="false">AE90</f>
        <v>626038.013259447</v>
      </c>
      <c r="AG89" s="67" t="n">
        <f aca="false">AF90</f>
        <v>650128.014130586</v>
      </c>
      <c r="AH89" s="67" t="n">
        <f aca="false">AG90</f>
        <v>674730.831134584</v>
      </c>
      <c r="AI89" s="67" t="n">
        <f aca="false">AH90</f>
        <v>699839.55663477</v>
      </c>
      <c r="AJ89" s="67" t="n">
        <f aca="false">AI90</f>
        <v>725447.379701388</v>
      </c>
      <c r="AK89" s="67" t="n">
        <f aca="false">AJ90</f>
        <v>751547.584757697</v>
      </c>
      <c r="AL89" s="67" t="n">
        <f aca="false">AK90</f>
        <v>778133.550245031</v>
      </c>
    </row>
    <row r="90" customFormat="false" ht="15" hidden="false" customHeight="false" outlineLevel="0" collapsed="false">
      <c r="A90" s="111" t="s">
        <v>86</v>
      </c>
      <c r="C90" s="68" t="n">
        <f aca="false">C89+C88</f>
        <v>123032.218463956</v>
      </c>
      <c r="D90" s="68" t="n">
        <f aca="false">D89+D88</f>
        <v>135770.28871797</v>
      </c>
      <c r="E90" s="68" t="n">
        <f aca="false">E89+E88</f>
        <v>148974.616293258</v>
      </c>
      <c r="F90" s="68" t="n">
        <f aca="false">F89+F88</f>
        <v>162638.925350784</v>
      </c>
      <c r="G90" s="68" t="n">
        <f aca="false">G89+G88</f>
        <v>176757.027913259</v>
      </c>
      <c r="H90" s="68" t="n">
        <f aca="false">H89+H88</f>
        <v>191322.822635077</v>
      </c>
      <c r="I90" s="68" t="n">
        <f aca="false">I89+I88</f>
        <v>206330.293589468</v>
      </c>
      <c r="J90" s="68" t="n">
        <f aca="false">J89+J88</f>
        <v>221773.509072639</v>
      </c>
      <c r="K90" s="68" t="n">
        <f aca="false">K89+K88</f>
        <v>237646.62042465</v>
      </c>
      <c r="L90" s="68" t="n">
        <f aca="false">L89+L88</f>
        <v>253943.860866798</v>
      </c>
      <c r="M90" s="68" t="n">
        <f aca="false">M89+M88</f>
        <v>270659.544355285</v>
      </c>
      <c r="N90" s="68" t="n">
        <f aca="false">N89+N88</f>
        <v>287788.064450923</v>
      </c>
      <c r="O90" s="68" t="n">
        <f aca="false">O89+O88</f>
        <v>301482.957632796</v>
      </c>
      <c r="P90" s="68" t="n">
        <f aca="false">P89+P88</f>
        <v>318640.242073513</v>
      </c>
      <c r="Q90" s="68" t="n">
        <f aca="false">Q89+Q88</f>
        <v>336299.600050693</v>
      </c>
      <c r="R90" s="68" t="n">
        <f aca="false">R89+R88</f>
        <v>354454.263897831</v>
      </c>
      <c r="S90" s="68" t="n">
        <f aca="false">S89+S88</f>
        <v>373097.560695754</v>
      </c>
      <c r="T90" s="68" t="n">
        <f aca="false">T89+T88</f>
        <v>392222.910946156</v>
      </c>
      <c r="U90" s="68" t="n">
        <f aca="false">U89+U88</f>
        <v>411823.827263708</v>
      </c>
      <c r="V90" s="68" t="n">
        <f aca="false">V89+V88</f>
        <v>431893.913086476</v>
      </c>
      <c r="W90" s="68" t="n">
        <f aca="false">W89+W88</f>
        <v>452426.861404393</v>
      </c>
      <c r="X90" s="68" t="n">
        <f aca="false">X89+X88</f>
        <v>473416.453505531</v>
      </c>
      <c r="Y90" s="68" t="n">
        <f aca="false">Y89+Y88</f>
        <v>494856.557739931</v>
      </c>
      <c r="Z90" s="68" t="n">
        <f aca="false">Z89+Z88</f>
        <v>516741.128300734</v>
      </c>
      <c r="AA90" s="68" t="n">
        <f aca="false">AA89+AA88</f>
        <v>534947.786021721</v>
      </c>
      <c r="AB90" s="68" t="n">
        <f aca="false">AB89+AB88</f>
        <v>556915.463385868</v>
      </c>
      <c r="AC90" s="68" t="n">
        <f aca="false">AC89+AC88</f>
        <v>579424.582255212</v>
      </c>
      <c r="AD90" s="68" t="n">
        <f aca="false">AD89+AD88</f>
        <v>602467.834237871</v>
      </c>
      <c r="AE90" s="68" t="n">
        <f aca="false">AE89+AE88</f>
        <v>626038.013259447</v>
      </c>
      <c r="AF90" s="68" t="n">
        <f aca="false">AF89+AF88</f>
        <v>650128.014130586</v>
      </c>
      <c r="AG90" s="68" t="n">
        <f aca="false">AG89+AG88</f>
        <v>674730.831134584</v>
      </c>
      <c r="AH90" s="68" t="n">
        <f aca="false">AH89+AH88</f>
        <v>699839.55663477</v>
      </c>
      <c r="AI90" s="68" t="n">
        <f aca="false">AI89+AI88</f>
        <v>725447.379701388</v>
      </c>
      <c r="AJ90" s="68" t="n">
        <f aca="false">AJ89+AJ88</f>
        <v>751547.584757697</v>
      </c>
      <c r="AK90" s="68" t="n">
        <f aca="false">AK89+AK88</f>
        <v>778133.550245031</v>
      </c>
      <c r="AL90" s="68" t="n">
        <f aca="false">AL89+AL88</f>
        <v>805198.747306546</v>
      </c>
    </row>
    <row r="91" customFormat="false" ht="15" hidden="false" customHeight="false" outlineLevel="0" collapsed="false">
      <c r="A91" s="119" t="s">
        <v>446</v>
      </c>
      <c r="C91" s="117" t="n">
        <f aca="false">IF(C51&gt;0,1,0)</f>
        <v>1</v>
      </c>
      <c r="D91" s="117" t="n">
        <f aca="false">IF(D51&gt;0,1,0)</f>
        <v>1</v>
      </c>
      <c r="E91" s="117" t="n">
        <f aca="false">IF(E51&gt;0,1,0)</f>
        <v>1</v>
      </c>
      <c r="F91" s="117" t="n">
        <f aca="false">IF(F51&gt;0,1,0)</f>
        <v>1</v>
      </c>
      <c r="G91" s="117" t="n">
        <f aca="false">IF(G51&gt;0,1,0)</f>
        <v>1</v>
      </c>
      <c r="H91" s="117" t="n">
        <f aca="false">IF(H51&gt;0,1,0)</f>
        <v>1</v>
      </c>
      <c r="I91" s="117" t="n">
        <f aca="false">IF(I51&gt;0,1,0)</f>
        <v>1</v>
      </c>
      <c r="J91" s="117" t="n">
        <f aca="false">IF(J51&gt;0,1,0)</f>
        <v>1</v>
      </c>
      <c r="K91" s="117" t="n">
        <f aca="false">IF(K51&gt;0,1,0)</f>
        <v>1</v>
      </c>
      <c r="L91" s="117" t="n">
        <f aca="false">IF(L51&gt;0,1,0)</f>
        <v>1</v>
      </c>
      <c r="M91" s="117" t="n">
        <f aca="false">IF(M51&gt;0,1,0)</f>
        <v>1</v>
      </c>
      <c r="N91" s="117" t="n">
        <f aca="false">IF(N51&gt;0,1,0)</f>
        <v>1</v>
      </c>
      <c r="O91" s="117" t="n">
        <f aca="false">IF(O51&gt;0,1,0)</f>
        <v>1</v>
      </c>
      <c r="P91" s="117" t="n">
        <f aca="false">IF(P51&gt;0,1,0)</f>
        <v>1</v>
      </c>
      <c r="Q91" s="117" t="n">
        <f aca="false">IF(Q51&gt;0,1,0)</f>
        <v>1</v>
      </c>
      <c r="R91" s="117" t="n">
        <f aca="false">IF(R51&gt;0,1,0)</f>
        <v>1</v>
      </c>
      <c r="S91" s="117" t="n">
        <f aca="false">IF(S51&gt;0,1,0)</f>
        <v>1</v>
      </c>
      <c r="T91" s="117" t="n">
        <f aca="false">IF(T51&gt;0,1,0)</f>
        <v>1</v>
      </c>
      <c r="U91" s="117" t="n">
        <f aca="false">IF(U51&gt;0,1,0)</f>
        <v>1</v>
      </c>
      <c r="V91" s="117" t="n">
        <f aca="false">IF(V51&gt;0,1,0)</f>
        <v>1</v>
      </c>
      <c r="W91" s="117" t="n">
        <f aca="false">IF(W51&gt;0,1,0)</f>
        <v>1</v>
      </c>
      <c r="X91" s="117" t="n">
        <f aca="false">IF(X51&gt;0,1,0)</f>
        <v>1</v>
      </c>
      <c r="Y91" s="117" t="n">
        <f aca="false">IF(Y51&gt;0,1,0)</f>
        <v>1</v>
      </c>
      <c r="Z91" s="117" t="n">
        <f aca="false">IF(Z51&gt;0,1,0)</f>
        <v>1</v>
      </c>
      <c r="AA91" s="117" t="n">
        <f aca="false">IF(AA51&gt;0,1,0)</f>
        <v>1</v>
      </c>
      <c r="AB91" s="117" t="n">
        <f aca="false">IF(AB51&gt;0,1,0)</f>
        <v>1</v>
      </c>
      <c r="AC91" s="117" t="n">
        <f aca="false">IF(AC51&gt;0,1,0)</f>
        <v>1</v>
      </c>
      <c r="AD91" s="117" t="n">
        <f aca="false">IF(AD51&gt;0,1,0)</f>
        <v>1</v>
      </c>
      <c r="AE91" s="117" t="n">
        <f aca="false">IF(AE51&gt;0,1,0)</f>
        <v>1</v>
      </c>
      <c r="AF91" s="117" t="n">
        <f aca="false">IF(AF51&gt;0,1,0)</f>
        <v>1</v>
      </c>
      <c r="AG91" s="117" t="n">
        <f aca="false">IF(AG51&gt;0,1,0)</f>
        <v>1</v>
      </c>
      <c r="AH91" s="117" t="n">
        <f aca="false">IF(AH51&gt;0,1,0)</f>
        <v>1</v>
      </c>
      <c r="AI91" s="117" t="n">
        <f aca="false">IF(AI51&gt;0,1,0)</f>
        <v>1</v>
      </c>
      <c r="AJ91" s="117" t="n">
        <f aca="false">IF(AJ51&gt;0,1,0)</f>
        <v>1</v>
      </c>
      <c r="AK91" s="117" t="n">
        <f aca="false">IF(AK51&gt;0,1,0)</f>
        <v>1</v>
      </c>
      <c r="AL91" s="117" t="n">
        <f aca="false">IF(AL51&gt;0,1,0)</f>
        <v>1</v>
      </c>
    </row>
    <row r="93" customFormat="false" ht="15.75" hidden="false" customHeight="true" outlineLevel="0" collapsed="false">
      <c r="A93" s="7" t="s">
        <v>447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customFormat="false" ht="15" hidden="false" customHeight="false" outlineLevel="0" collapsed="false">
      <c r="A94" s="119" t="s">
        <v>448</v>
      </c>
      <c r="C94" s="117" t="n">
        <f aca="false">IF(C60&gt;0,1,0)</f>
        <v>1</v>
      </c>
      <c r="D94" s="117" t="n">
        <f aca="false">IF(D60&gt;0,1,0)</f>
        <v>1</v>
      </c>
      <c r="E94" s="117" t="n">
        <f aca="false">IF(E60&gt;0,1,0)</f>
        <v>1</v>
      </c>
      <c r="F94" s="117" t="n">
        <f aca="false">IF(F60&gt;0,1,0)</f>
        <v>1</v>
      </c>
      <c r="G94" s="117" t="n">
        <f aca="false">IF(G60&gt;0,1,0)</f>
        <v>1</v>
      </c>
      <c r="H94" s="117" t="n">
        <f aca="false">IF(H60&gt;0,1,0)</f>
        <v>1</v>
      </c>
      <c r="I94" s="117" t="n">
        <f aca="false">IF(I60&gt;0,1,0)</f>
        <v>1</v>
      </c>
      <c r="J94" s="117" t="n">
        <f aca="false">IF(J60&gt;0,1,0)</f>
        <v>1</v>
      </c>
      <c r="K94" s="117" t="n">
        <f aca="false">IF(K60&gt;0,1,0)</f>
        <v>1</v>
      </c>
      <c r="L94" s="117" t="n">
        <f aca="false">IF(L60&gt;0,1,0)</f>
        <v>1</v>
      </c>
      <c r="M94" s="117" t="n">
        <f aca="false">IF(M60&gt;0,1,0)</f>
        <v>1</v>
      </c>
      <c r="N94" s="117" t="n">
        <f aca="false">IF(N60&gt;0,1,0)</f>
        <v>1</v>
      </c>
      <c r="O94" s="117" t="n">
        <f aca="false">IF(O60&gt;0,1,0)</f>
        <v>1</v>
      </c>
      <c r="P94" s="117" t="n">
        <f aca="false">IF(P60&gt;0,1,0)</f>
        <v>1</v>
      </c>
      <c r="Q94" s="117" t="n">
        <f aca="false">IF(Q60&gt;0,1,0)</f>
        <v>1</v>
      </c>
      <c r="R94" s="117" t="n">
        <f aca="false">IF(R60&gt;0,1,0)</f>
        <v>1</v>
      </c>
      <c r="S94" s="117" t="n">
        <f aca="false">IF(S60&gt;0,1,0)</f>
        <v>1</v>
      </c>
      <c r="T94" s="117" t="n">
        <f aca="false">IF(T60&gt;0,1,0)</f>
        <v>1</v>
      </c>
      <c r="U94" s="117" t="n">
        <f aca="false">IF(U60&gt;0,1,0)</f>
        <v>1</v>
      </c>
      <c r="V94" s="117" t="n">
        <f aca="false">IF(V60&gt;0,1,0)</f>
        <v>1</v>
      </c>
      <c r="W94" s="117" t="n">
        <f aca="false">IF(W60&gt;0,1,0)</f>
        <v>1</v>
      </c>
      <c r="X94" s="117" t="n">
        <f aca="false">IF(X60&gt;0,1,0)</f>
        <v>1</v>
      </c>
      <c r="Y94" s="117" t="n">
        <f aca="false">IF(Y60&gt;0,1,0)</f>
        <v>1</v>
      </c>
      <c r="Z94" s="117" t="n">
        <f aca="false">IF(Z60&gt;0,1,0)</f>
        <v>1</v>
      </c>
      <c r="AA94" s="117" t="n">
        <f aca="false">IF(AA60&gt;0,1,0)</f>
        <v>1</v>
      </c>
      <c r="AB94" s="117" t="n">
        <f aca="false">IF(AB60&gt;0,1,0)</f>
        <v>1</v>
      </c>
      <c r="AC94" s="117" t="n">
        <f aca="false">IF(AC60&gt;0,1,0)</f>
        <v>1</v>
      </c>
      <c r="AD94" s="117" t="n">
        <f aca="false">IF(AD60&gt;0,1,0)</f>
        <v>1</v>
      </c>
      <c r="AE94" s="117" t="n">
        <f aca="false">IF(AE60&gt;0,1,0)</f>
        <v>1</v>
      </c>
      <c r="AF94" s="117" t="n">
        <f aca="false">IF(AF60&gt;0,1,0)</f>
        <v>1</v>
      </c>
      <c r="AG94" s="117" t="n">
        <f aca="false">IF(AG60&gt;0,1,0)</f>
        <v>1</v>
      </c>
      <c r="AH94" s="117" t="n">
        <f aca="false">IF(AH60&gt;0,1,0)</f>
        <v>1</v>
      </c>
      <c r="AI94" s="117" t="n">
        <f aca="false">IF(AI60&gt;0,1,0)</f>
        <v>1</v>
      </c>
      <c r="AJ94" s="117" t="n">
        <f aca="false">IF(AJ60&gt;0,1,0)</f>
        <v>1</v>
      </c>
      <c r="AK94" s="117" t="n">
        <f aca="false">IF(AK60&gt;0,1,0)</f>
        <v>1</v>
      </c>
      <c r="AL94" s="117" t="n">
        <f aca="false">IF(AL60&gt;0,1,0)</f>
        <v>1</v>
      </c>
    </row>
    <row r="95" customFormat="false" ht="15" hidden="false" customHeight="false" outlineLevel="0" collapsed="false">
      <c r="A95" s="6" t="s">
        <v>449</v>
      </c>
      <c r="C95" s="67" t="n">
        <f aca="false">C84+C85</f>
        <v>-126967.781536044</v>
      </c>
      <c r="D95" s="67" t="n">
        <f aca="false">D84+D85</f>
        <v>14523.7845397279</v>
      </c>
      <c r="E95" s="67" t="n">
        <f aca="false">E84+E85</f>
        <v>14990.0418610019</v>
      </c>
      <c r="F95" s="67" t="n">
        <f aca="false">F84+F85</f>
        <v>15450.0233432403</v>
      </c>
      <c r="G95" s="67" t="n">
        <f aca="false">G84+G85</f>
        <v>15903.8168481896</v>
      </c>
      <c r="H95" s="67" t="n">
        <f aca="false">H84+H85</f>
        <v>16351.5090075319</v>
      </c>
      <c r="I95" s="67" t="n">
        <f aca="false">I84+I85</f>
        <v>16793.1852401056</v>
      </c>
      <c r="J95" s="67" t="n">
        <f aca="false">J84+J85</f>
        <v>17228.9297688856</v>
      </c>
      <c r="K95" s="67" t="n">
        <f aca="false">K84+K85</f>
        <v>17658.8256377249</v>
      </c>
      <c r="L95" s="67" t="n">
        <f aca="false">L84+L85</f>
        <v>18082.9547278627</v>
      </c>
      <c r="M95" s="67" t="n">
        <f aca="false">M84+M85</f>
        <v>18501.3977742008</v>
      </c>
      <c r="N95" s="67" t="n">
        <f aca="false">N84+N85</f>
        <v>18914.2343813524</v>
      </c>
      <c r="O95" s="67" t="n">
        <f aca="false">O84+O85</f>
        <v>15480.6074675874</v>
      </c>
      <c r="P95" s="67" t="n">
        <f aca="false">P84+P85</f>
        <v>18942.9987264308</v>
      </c>
      <c r="Q95" s="67" t="n">
        <f aca="false">Q84+Q85</f>
        <v>19445.0722628942</v>
      </c>
      <c r="R95" s="67" t="n">
        <f aca="false">R84+R85</f>
        <v>19940.3781328526</v>
      </c>
      <c r="S95" s="67" t="n">
        <f aca="false">S84+S85</f>
        <v>20429.0110836373</v>
      </c>
      <c r="T95" s="67" t="n">
        <f aca="false">T84+T85</f>
        <v>20911.0645361165</v>
      </c>
      <c r="U95" s="67" t="n">
        <f aca="false">U84+U85</f>
        <v>21386.6306032667</v>
      </c>
      <c r="V95" s="67" t="n">
        <f aca="false">V84+V85</f>
        <v>21855.8001084823</v>
      </c>
      <c r="W95" s="67" t="n">
        <f aca="false">W84+W85</f>
        <v>22318.6626036305</v>
      </c>
      <c r="X95" s="67" t="n">
        <f aca="false">X84+X85</f>
        <v>22775.3063868524</v>
      </c>
      <c r="Y95" s="67" t="n">
        <f aca="false">Y84+Y85</f>
        <v>23225.8185201146</v>
      </c>
      <c r="Z95" s="67" t="n">
        <f aca="false">Z84+Z85</f>
        <v>23670.2848465168</v>
      </c>
      <c r="AA95" s="67" t="n">
        <f aca="false">AA84+AA85</f>
        <v>19992.3720067016</v>
      </c>
      <c r="AB95" s="67" t="n">
        <f aca="false">AB84+AB85</f>
        <v>23753.391649861</v>
      </c>
      <c r="AC95" s="67" t="n">
        <f aca="false">AC84+AC85</f>
        <v>24294.8331550585</v>
      </c>
      <c r="AD95" s="67" t="n">
        <f aca="false">AD84+AD85</f>
        <v>24828.9662683729</v>
      </c>
      <c r="AE95" s="67" t="n">
        <f aca="false">AE84+AE85</f>
        <v>25355.8933072907</v>
      </c>
      <c r="AF95" s="67" t="n">
        <f aca="false">AF84+AF85</f>
        <v>25875.7151568535</v>
      </c>
      <c r="AG95" s="67" t="n">
        <f aca="false">AG84+AG85</f>
        <v>26388.5312897121</v>
      </c>
      <c r="AH95" s="67" t="n">
        <f aca="false">AH84+AH85</f>
        <v>26894.4397859005</v>
      </c>
      <c r="AI95" s="67" t="n">
        <f aca="false">AI84+AI85</f>
        <v>27393.537352332</v>
      </c>
      <c r="AJ95" s="67" t="n">
        <f aca="false">AJ84+AJ85</f>
        <v>27885.9193420233</v>
      </c>
      <c r="AK95" s="67" t="n">
        <f aca="false">AK84+AK85</f>
        <v>28371.6797730486</v>
      </c>
      <c r="AL95" s="67" t="n">
        <f aca="false">AL84+AL85</f>
        <v>28850.9113472294</v>
      </c>
    </row>
    <row r="96" customFormat="false" ht="15" hidden="false" customHeight="false" outlineLevel="0" collapsed="false">
      <c r="A96" s="6" t="s">
        <v>450</v>
      </c>
      <c r="C96" s="67" t="n">
        <f aca="false">C95</f>
        <v>-126967.781536044</v>
      </c>
      <c r="D96" s="67" t="n">
        <f aca="false">C96+D95</f>
        <v>-112443.996996316</v>
      </c>
      <c r="E96" s="67" t="n">
        <f aca="false">D96+E95</f>
        <v>-97453.9551353137</v>
      </c>
      <c r="F96" s="67" t="n">
        <f aca="false">E96+F95</f>
        <v>-82003.9317920734</v>
      </c>
      <c r="G96" s="67" t="n">
        <f aca="false">F96+G95</f>
        <v>-66100.1149438838</v>
      </c>
      <c r="H96" s="67" t="n">
        <f aca="false">G96+H95</f>
        <v>-49748.6059363519</v>
      </c>
      <c r="I96" s="67" t="n">
        <f aca="false">H96+I95</f>
        <v>-32955.4206962463</v>
      </c>
      <c r="J96" s="67" t="n">
        <f aca="false">I96+J95</f>
        <v>-15726.4909273607</v>
      </c>
      <c r="K96" s="67" t="n">
        <f aca="false">J96+K95</f>
        <v>1932.33471036419</v>
      </c>
      <c r="L96" s="67" t="n">
        <f aca="false">K96+L95</f>
        <v>20015.2894382269</v>
      </c>
      <c r="M96" s="67" t="n">
        <f aca="false">L96+M95</f>
        <v>38516.6872124277</v>
      </c>
      <c r="N96" s="67" t="n">
        <f aca="false">M96+N95</f>
        <v>57430.9215937802</v>
      </c>
      <c r="O96" s="67" t="n">
        <f aca="false">N96+O95</f>
        <v>72911.5290613676</v>
      </c>
      <c r="P96" s="67" t="n">
        <f aca="false">O96+P95</f>
        <v>91854.5277877984</v>
      </c>
      <c r="Q96" s="67" t="n">
        <f aca="false">P96+Q95</f>
        <v>111299.600050693</v>
      </c>
      <c r="R96" s="67" t="n">
        <f aca="false">Q96+R95</f>
        <v>131239.978183545</v>
      </c>
      <c r="S96" s="67" t="n">
        <f aca="false">R96+S95</f>
        <v>151668.989267182</v>
      </c>
      <c r="T96" s="67" t="n">
        <f aca="false">S96+T95</f>
        <v>172580.053803299</v>
      </c>
      <c r="U96" s="67" t="n">
        <f aca="false">T96+U95</f>
        <v>193966.684406565</v>
      </c>
      <c r="V96" s="67" t="n">
        <f aca="false">U96+V95</f>
        <v>215822.484515048</v>
      </c>
      <c r="W96" s="67" t="n">
        <f aca="false">V96+W95</f>
        <v>238141.147118678</v>
      </c>
      <c r="X96" s="67" t="n">
        <f aca="false">W96+X95</f>
        <v>260916.453505531</v>
      </c>
      <c r="Y96" s="67" t="n">
        <f aca="false">X96+Y95</f>
        <v>284142.272025645</v>
      </c>
      <c r="Z96" s="67" t="n">
        <f aca="false">Y96+Z95</f>
        <v>307812.556872162</v>
      </c>
      <c r="AA96" s="67" t="n">
        <f aca="false">Z96+AA95</f>
        <v>327804.928878864</v>
      </c>
      <c r="AB96" s="67" t="n">
        <f aca="false">AA96+AB95</f>
        <v>351558.320528725</v>
      </c>
      <c r="AC96" s="67" t="n">
        <f aca="false">AB96+AC95</f>
        <v>375853.153683783</v>
      </c>
      <c r="AD96" s="67" t="n">
        <f aca="false">AC96+AD95</f>
        <v>400682.119952156</v>
      </c>
      <c r="AE96" s="67" t="n">
        <f aca="false">AD96+AE95</f>
        <v>426038.013259447</v>
      </c>
      <c r="AF96" s="67" t="n">
        <f aca="false">AE96+AF95</f>
        <v>451913.7284163</v>
      </c>
      <c r="AG96" s="67" t="n">
        <f aca="false">AF96+AG95</f>
        <v>478302.259706013</v>
      </c>
      <c r="AH96" s="67" t="n">
        <f aca="false">AG96+AH95</f>
        <v>505196.699491913</v>
      </c>
      <c r="AI96" s="67" t="n">
        <f aca="false">AH96+AI95</f>
        <v>532590.236844245</v>
      </c>
      <c r="AJ96" s="67" t="n">
        <f aca="false">AI96+AJ95</f>
        <v>560476.156186268</v>
      </c>
      <c r="AK96" s="67" t="n">
        <f aca="false">AJ96+AK95</f>
        <v>588847.835959317</v>
      </c>
      <c r="AL96" s="67" t="n">
        <f aca="false">AK96+AL95</f>
        <v>617698.747306546</v>
      </c>
    </row>
    <row r="97" customFormat="false" ht="15" hidden="false" customHeight="false" outlineLevel="0" collapsed="false">
      <c r="A97" s="119" t="s">
        <v>451</v>
      </c>
      <c r="C97" s="67" t="n">
        <f aca="false">C96</f>
        <v>-126967.781536044</v>
      </c>
      <c r="D97" s="67" t="n">
        <f aca="false">MIN(C97,D96)</f>
        <v>-126967.781536044</v>
      </c>
      <c r="E97" s="67" t="n">
        <f aca="false">MIN(D97,E96)</f>
        <v>-126967.781536044</v>
      </c>
      <c r="F97" s="67" t="n">
        <f aca="false">MIN(E97,F96)</f>
        <v>-126967.781536044</v>
      </c>
      <c r="G97" s="67" t="n">
        <f aca="false">MIN(F97,G96)</f>
        <v>-126967.781536044</v>
      </c>
      <c r="H97" s="67" t="n">
        <f aca="false">MIN(G97,H96)</f>
        <v>-126967.781536044</v>
      </c>
      <c r="I97" s="67" t="n">
        <f aca="false">MIN(H97,I96)</f>
        <v>-126967.781536044</v>
      </c>
      <c r="J97" s="67" t="n">
        <f aca="false">MIN(I97,J96)</f>
        <v>-126967.781536044</v>
      </c>
      <c r="K97" s="67" t="n">
        <f aca="false">MIN(J97,K96)</f>
        <v>-126967.781536044</v>
      </c>
      <c r="L97" s="67" t="n">
        <f aca="false">MIN(K97,L96)</f>
        <v>-126967.781536044</v>
      </c>
      <c r="M97" s="67" t="n">
        <f aca="false">MIN(L97,M96)</f>
        <v>-126967.781536044</v>
      </c>
      <c r="N97" s="67" t="n">
        <f aca="false">MIN(M97,N96)</f>
        <v>-126967.781536044</v>
      </c>
      <c r="O97" s="67" t="n">
        <f aca="false">MIN(N97,O96)</f>
        <v>-126967.781536044</v>
      </c>
      <c r="P97" s="67" t="n">
        <f aca="false">MIN(O97,P96)</f>
        <v>-126967.781536044</v>
      </c>
      <c r="Q97" s="67" t="n">
        <f aca="false">MIN(P97,Q96)</f>
        <v>-126967.781536044</v>
      </c>
      <c r="R97" s="67" t="n">
        <f aca="false">MIN(Q97,R96)</f>
        <v>-126967.781536044</v>
      </c>
      <c r="S97" s="67" t="n">
        <f aca="false">MIN(R97,S96)</f>
        <v>-126967.781536044</v>
      </c>
      <c r="T97" s="67" t="n">
        <f aca="false">MIN(S97,T96)</f>
        <v>-126967.781536044</v>
      </c>
      <c r="U97" s="67" t="n">
        <f aca="false">MIN(T97,U96)</f>
        <v>-126967.781536044</v>
      </c>
      <c r="V97" s="67" t="n">
        <f aca="false">MIN(U97,V96)</f>
        <v>-126967.781536044</v>
      </c>
      <c r="W97" s="67" t="n">
        <f aca="false">MIN(V97,W96)</f>
        <v>-126967.781536044</v>
      </c>
      <c r="X97" s="67" t="n">
        <f aca="false">MIN(W97,X96)</f>
        <v>-126967.781536044</v>
      </c>
      <c r="Y97" s="67" t="n">
        <f aca="false">MIN(X97,Y96)</f>
        <v>-126967.781536044</v>
      </c>
      <c r="Z97" s="67" t="n">
        <f aca="false">MIN(Y97,Z96)</f>
        <v>-126967.781536044</v>
      </c>
      <c r="AA97" s="67" t="n">
        <f aca="false">MIN(Z97,AA96)</f>
        <v>-126967.781536044</v>
      </c>
      <c r="AB97" s="67" t="n">
        <f aca="false">MIN(AA97,AB96)</f>
        <v>-126967.781536044</v>
      </c>
      <c r="AC97" s="67" t="n">
        <f aca="false">MIN(AB97,AC96)</f>
        <v>-126967.781536044</v>
      </c>
      <c r="AD97" s="67" t="n">
        <f aca="false">MIN(AC97,AD96)</f>
        <v>-126967.781536044</v>
      </c>
      <c r="AE97" s="67" t="n">
        <f aca="false">MIN(AD97,AE96)</f>
        <v>-126967.781536044</v>
      </c>
      <c r="AF97" s="67" t="n">
        <f aca="false">MIN(AE97,AF96)</f>
        <v>-126967.781536044</v>
      </c>
      <c r="AG97" s="67" t="n">
        <f aca="false">MIN(AF97,AG96)</f>
        <v>-126967.781536044</v>
      </c>
      <c r="AH97" s="67" t="n">
        <f aca="false">MIN(AG97,AH96)</f>
        <v>-126967.781536044</v>
      </c>
      <c r="AI97" s="67" t="n">
        <f aca="false">MIN(AH97,AI96)</f>
        <v>-126967.781536044</v>
      </c>
      <c r="AJ97" s="67" t="n">
        <f aca="false">MIN(AI97,AJ96)</f>
        <v>-126967.781536044</v>
      </c>
      <c r="AK97" s="67" t="n">
        <f aca="false">MIN(AJ97,AK96)</f>
        <v>-126967.781536044</v>
      </c>
      <c r="AL97" s="67" t="n">
        <f aca="false">MIN(AK97,AL96)</f>
        <v>-126967.781536044</v>
      </c>
    </row>
    <row r="98" customFormat="false" ht="15" hidden="false" customHeight="false" outlineLevel="0" collapsed="false">
      <c r="A98" s="119" t="s">
        <v>452</v>
      </c>
      <c r="C98" s="117" t="n">
        <f aca="false">IF(AND(C96&gt;=0,C97&lt;0),1,0)</f>
        <v>0</v>
      </c>
      <c r="D98" s="117" t="n">
        <f aca="false">IF(AND(D96&gt;=0,D97&lt;0),1,0)</f>
        <v>0</v>
      </c>
      <c r="E98" s="117" t="n">
        <f aca="false">IF(AND(E96&gt;=0,E97&lt;0),1,0)</f>
        <v>0</v>
      </c>
      <c r="F98" s="117" t="n">
        <f aca="false">IF(AND(F96&gt;=0,F97&lt;0),1,0)</f>
        <v>0</v>
      </c>
      <c r="G98" s="117" t="n">
        <f aca="false">IF(AND(G96&gt;=0,G97&lt;0),1,0)</f>
        <v>0</v>
      </c>
      <c r="H98" s="117" t="n">
        <f aca="false">IF(AND(H96&gt;=0,H97&lt;0),1,0)</f>
        <v>0</v>
      </c>
      <c r="I98" s="117" t="n">
        <f aca="false">IF(AND(I96&gt;=0,I97&lt;0),1,0)</f>
        <v>0</v>
      </c>
      <c r="J98" s="117" t="n">
        <f aca="false">IF(AND(J96&gt;=0,J97&lt;0),1,0)</f>
        <v>0</v>
      </c>
      <c r="K98" s="117" t="n">
        <f aca="false">IF(AND(K96&gt;=0,K97&lt;0),1,0)</f>
        <v>1</v>
      </c>
      <c r="L98" s="117" t="n">
        <f aca="false">IF(AND(L96&gt;=0,L97&lt;0),1,0)</f>
        <v>1</v>
      </c>
      <c r="M98" s="117" t="n">
        <f aca="false">IF(AND(M96&gt;=0,M97&lt;0),1,0)</f>
        <v>1</v>
      </c>
      <c r="N98" s="117" t="n">
        <f aca="false">IF(AND(N96&gt;=0,N97&lt;0),1,0)</f>
        <v>1</v>
      </c>
      <c r="O98" s="117" t="n">
        <f aca="false">IF(AND(O96&gt;=0,O97&lt;0),1,0)</f>
        <v>1</v>
      </c>
      <c r="P98" s="117" t="n">
        <f aca="false">IF(AND(P96&gt;=0,P97&lt;0),1,0)</f>
        <v>1</v>
      </c>
      <c r="Q98" s="117" t="n">
        <f aca="false">IF(AND(Q96&gt;=0,Q97&lt;0),1,0)</f>
        <v>1</v>
      </c>
      <c r="R98" s="117" t="n">
        <f aca="false">IF(AND(R96&gt;=0,R97&lt;0),1,0)</f>
        <v>1</v>
      </c>
      <c r="S98" s="117" t="n">
        <f aca="false">IF(AND(S96&gt;=0,S97&lt;0),1,0)</f>
        <v>1</v>
      </c>
      <c r="T98" s="117" t="n">
        <f aca="false">IF(AND(T96&gt;=0,T97&lt;0),1,0)</f>
        <v>1</v>
      </c>
      <c r="U98" s="117" t="n">
        <f aca="false">IF(AND(U96&gt;=0,U97&lt;0),1,0)</f>
        <v>1</v>
      </c>
      <c r="V98" s="117" t="n">
        <f aca="false">IF(AND(V96&gt;=0,V97&lt;0),1,0)</f>
        <v>1</v>
      </c>
      <c r="W98" s="117" t="n">
        <f aca="false">IF(AND(W96&gt;=0,W97&lt;0),1,0)</f>
        <v>1</v>
      </c>
      <c r="X98" s="117" t="n">
        <f aca="false">IF(AND(X96&gt;=0,X97&lt;0),1,0)</f>
        <v>1</v>
      </c>
      <c r="Y98" s="117" t="n">
        <f aca="false">IF(AND(Y96&gt;=0,Y97&lt;0),1,0)</f>
        <v>1</v>
      </c>
      <c r="Z98" s="117" t="n">
        <f aca="false">IF(AND(Z96&gt;=0,Z97&lt;0),1,0)</f>
        <v>1</v>
      </c>
      <c r="AA98" s="117" t="n">
        <f aca="false">IF(AND(AA96&gt;=0,AA97&lt;0),1,0)</f>
        <v>1</v>
      </c>
      <c r="AB98" s="117" t="n">
        <f aca="false">IF(AND(AB96&gt;=0,AB97&lt;0),1,0)</f>
        <v>1</v>
      </c>
      <c r="AC98" s="117" t="n">
        <f aca="false">IF(AND(AC96&gt;=0,AC97&lt;0),1,0)</f>
        <v>1</v>
      </c>
      <c r="AD98" s="117" t="n">
        <f aca="false">IF(AND(AD96&gt;=0,AD97&lt;0),1,0)</f>
        <v>1</v>
      </c>
      <c r="AE98" s="117" t="n">
        <f aca="false">IF(AND(AE96&gt;=0,AE97&lt;0),1,0)</f>
        <v>1</v>
      </c>
      <c r="AF98" s="117" t="n">
        <f aca="false">IF(AND(AF96&gt;=0,AF97&lt;0),1,0)</f>
        <v>1</v>
      </c>
      <c r="AG98" s="117" t="n">
        <f aca="false">IF(AND(AG96&gt;=0,AG97&lt;0),1,0)</f>
        <v>1</v>
      </c>
      <c r="AH98" s="117" t="n">
        <f aca="false">IF(AND(AH96&gt;=0,AH97&lt;0),1,0)</f>
        <v>1</v>
      </c>
      <c r="AI98" s="117" t="n">
        <f aca="false">IF(AND(AI96&gt;=0,AI97&lt;0),1,0)</f>
        <v>1</v>
      </c>
      <c r="AJ98" s="117" t="n">
        <f aca="false">IF(AND(AJ96&gt;=0,AJ97&lt;0),1,0)</f>
        <v>1</v>
      </c>
      <c r="AK98" s="117" t="n">
        <f aca="false">IF(AND(AK96&gt;=0,AK97&lt;0),1,0)</f>
        <v>1</v>
      </c>
      <c r="AL98" s="117" t="n">
        <f aca="false">IF(AND(AL96&gt;=0,AL97&lt;0),1,0)</f>
        <v>1</v>
      </c>
    </row>
    <row r="99" customFormat="false" ht="15" hidden="false" customHeight="false" outlineLevel="0" collapsed="false">
      <c r="A99" s="6" t="s">
        <v>453</v>
      </c>
      <c r="C99" s="67" t="n">
        <f aca="false">C84-C55*(1-Inputs!$E$95)+C85</f>
        <v>-126128.406536044</v>
      </c>
      <c r="D99" s="67" t="n">
        <f aca="false">D84-D55*(1-Inputs!$E$95)+D85</f>
        <v>15358.163259966</v>
      </c>
      <c r="E99" s="67" t="n">
        <f aca="false">E84-E55*(1-Inputs!$E$95)+E85</f>
        <v>15814.4280217162</v>
      </c>
      <c r="F99" s="67" t="n">
        <f aca="false">F84-F55*(1-Inputs!$E$95)+F85</f>
        <v>16264.4169444308</v>
      </c>
      <c r="G99" s="67" t="n">
        <f aca="false">G84-G55*(1-Inputs!$E$95)+G85</f>
        <v>16708.2178898563</v>
      </c>
      <c r="H99" s="67" t="n">
        <f aca="false">H84-H55*(1-Inputs!$E$95)+H85</f>
        <v>17145.9174896747</v>
      </c>
      <c r="I99" s="67" t="n">
        <f aca="false">I84-I55*(1-Inputs!$E$95)+I85</f>
        <v>17577.6011627247</v>
      </c>
      <c r="J99" s="67" t="n">
        <f aca="false">J84-J55*(1-Inputs!$E$95)+J85</f>
        <v>18003.3531319808</v>
      </c>
      <c r="K99" s="67" t="n">
        <f aca="false">K84-K55*(1-Inputs!$E$95)+K85</f>
        <v>18423.2564412963</v>
      </c>
      <c r="L99" s="67" t="n">
        <f aca="false">L84-L55*(1-Inputs!$E$95)+L85</f>
        <v>18837.3929719103</v>
      </c>
      <c r="M99" s="67" t="n">
        <f aca="false">M84-M55*(1-Inputs!$E$95)+M85</f>
        <v>19245.8434587246</v>
      </c>
      <c r="N99" s="67" t="n">
        <f aca="false">N84-N55*(1-Inputs!$E$95)+N85</f>
        <v>19648.6875063524</v>
      </c>
      <c r="O99" s="67" t="n">
        <f aca="false">O84-O55*(1-Inputs!$E$95)+O85</f>
        <v>16205.0680330636</v>
      </c>
      <c r="P99" s="67" t="n">
        <f aca="false">P84-P55*(1-Inputs!$E$95)+P85</f>
        <v>19657.4667323832</v>
      </c>
      <c r="Q99" s="67" t="n">
        <f aca="false">Q84-Q55*(1-Inputs!$E$95)+Q85</f>
        <v>20149.5477093227</v>
      </c>
      <c r="R99" s="67" t="n">
        <f aca="false">R84-R55*(1-Inputs!$E$95)+R85</f>
        <v>20634.8610197574</v>
      </c>
      <c r="S99" s="67" t="n">
        <f aca="false">S84-S55*(1-Inputs!$E$95)+S85</f>
        <v>21113.5014110182</v>
      </c>
      <c r="T99" s="67" t="n">
        <f aca="false">T84-T55*(1-Inputs!$E$95)+T85</f>
        <v>21585.5623039736</v>
      </c>
      <c r="U99" s="67" t="n">
        <f aca="false">U84-U55*(1-Inputs!$E$95)+U85</f>
        <v>22051.1358116</v>
      </c>
      <c r="V99" s="67" t="n">
        <f aca="false">V84-V55*(1-Inputs!$E$95)+V85</f>
        <v>22510.3127572918</v>
      </c>
      <c r="W99" s="67" t="n">
        <f aca="false">W84-W55*(1-Inputs!$E$95)+W85</f>
        <v>22963.1826929163</v>
      </c>
      <c r="X99" s="67" t="n">
        <f aca="false">X84-X55*(1-Inputs!$E$95)+X85</f>
        <v>23409.8339166143</v>
      </c>
      <c r="Y99" s="67" t="n">
        <f aca="false">Y84-Y55*(1-Inputs!$E$95)+Y85</f>
        <v>23850.3534903527</v>
      </c>
      <c r="Z99" s="67" t="n">
        <f aca="false">Z84-Z55*(1-Inputs!$E$95)+Z85</f>
        <v>24284.8272572311</v>
      </c>
      <c r="AA99" s="67" t="n">
        <f aca="false">AA84-AA55*(1-Inputs!$E$95)+AA85</f>
        <v>20596.9218578921</v>
      </c>
      <c r="AB99" s="67" t="n">
        <f aca="false">AB84-AB55*(1-Inputs!$E$95)+AB85</f>
        <v>24347.9489415277</v>
      </c>
      <c r="AC99" s="67" t="n">
        <f aca="false">AC84-AC55*(1-Inputs!$E$95)+AC85</f>
        <v>24879.3978872013</v>
      </c>
      <c r="AD99" s="67" t="n">
        <f aca="false">AD84-AD55*(1-Inputs!$E$95)+AD85</f>
        <v>25403.538440992</v>
      </c>
      <c r="AE99" s="67" t="n">
        <f aca="false">AE84-AE55*(1-Inputs!$E$95)+AE85</f>
        <v>25920.472920386</v>
      </c>
      <c r="AF99" s="67" t="n">
        <f aca="false">AF84-AF55*(1-Inputs!$E$95)+AF85</f>
        <v>26430.3022104249</v>
      </c>
      <c r="AG99" s="67" t="n">
        <f aca="false">AG84-AG55*(1-Inputs!$E$95)+AG85</f>
        <v>26933.1257837597</v>
      </c>
      <c r="AH99" s="67" t="n">
        <f aca="false">AH84-AH55*(1-Inputs!$E$95)+AH85</f>
        <v>27429.0417204243</v>
      </c>
      <c r="AI99" s="67" t="n">
        <f aca="false">AI84-AI55*(1-Inputs!$E$95)+AI85</f>
        <v>27918.146727332</v>
      </c>
      <c r="AJ99" s="67" t="n">
        <f aca="false">AJ84-AJ55*(1-Inputs!$E$95)+AJ85</f>
        <v>28400.5361574995</v>
      </c>
      <c r="AK99" s="67" t="n">
        <f aca="false">AK84-AK55*(1-Inputs!$E$95)+AK85</f>
        <v>28876.304029001</v>
      </c>
      <c r="AL99" s="67" t="n">
        <f aca="false">AL84-AL55*(1-Inputs!$E$95)+AL85</f>
        <v>29345.543043658</v>
      </c>
    </row>
    <row r="101" customFormat="false" ht="15.75" hidden="false" customHeight="true" outlineLevel="0" collapsed="false">
      <c r="A101" s="7" t="s">
        <v>454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customFormat="false" ht="15" hidden="false" customHeight="false" outlineLevel="0" collapsed="false">
      <c r="A102" s="6" t="s">
        <v>96</v>
      </c>
      <c r="C102" s="67" t="n">
        <f aca="false">C86</f>
        <v>100000</v>
      </c>
      <c r="D102" s="67" t="n">
        <f aca="false">C102+D86</f>
        <v>100000</v>
      </c>
      <c r="E102" s="67" t="n">
        <f aca="false">D102+E86</f>
        <v>100000</v>
      </c>
      <c r="F102" s="67" t="n">
        <f aca="false">E102+F86</f>
        <v>100000</v>
      </c>
      <c r="G102" s="67" t="n">
        <f aca="false">F102+G86</f>
        <v>100000</v>
      </c>
      <c r="H102" s="67" t="n">
        <f aca="false">G102+H86</f>
        <v>100000</v>
      </c>
      <c r="I102" s="67" t="n">
        <f aca="false">H102+I86</f>
        <v>100000</v>
      </c>
      <c r="J102" s="67" t="n">
        <f aca="false">I102+J86</f>
        <v>100000</v>
      </c>
      <c r="K102" s="67" t="n">
        <f aca="false">J102+K86</f>
        <v>100000</v>
      </c>
      <c r="L102" s="67" t="n">
        <f aca="false">K102+L86</f>
        <v>100000</v>
      </c>
      <c r="M102" s="67" t="n">
        <f aca="false">L102+M86</f>
        <v>100000</v>
      </c>
      <c r="N102" s="67" t="n">
        <f aca="false">M102+N86</f>
        <v>100000</v>
      </c>
      <c r="O102" s="67" t="n">
        <f aca="false">N102+O86</f>
        <v>100000</v>
      </c>
      <c r="P102" s="67" t="n">
        <f aca="false">O102+P86</f>
        <v>100000</v>
      </c>
      <c r="Q102" s="67" t="n">
        <f aca="false">P102+Q86</f>
        <v>100000</v>
      </c>
      <c r="R102" s="67" t="n">
        <f aca="false">Q102+R86</f>
        <v>100000</v>
      </c>
      <c r="S102" s="67" t="n">
        <f aca="false">R102+S86</f>
        <v>100000</v>
      </c>
      <c r="T102" s="67" t="n">
        <f aca="false">S102+T86</f>
        <v>100000</v>
      </c>
      <c r="U102" s="67" t="n">
        <f aca="false">T102+U86</f>
        <v>100000</v>
      </c>
      <c r="V102" s="67" t="n">
        <f aca="false">U102+V86</f>
        <v>100000</v>
      </c>
      <c r="W102" s="67" t="n">
        <f aca="false">V102+W86</f>
        <v>100000</v>
      </c>
      <c r="X102" s="67" t="n">
        <f aca="false">W102+X86</f>
        <v>100000</v>
      </c>
      <c r="Y102" s="67" t="n">
        <f aca="false">X102+Y86</f>
        <v>100000</v>
      </c>
      <c r="Z102" s="67" t="n">
        <f aca="false">Y102+Z86</f>
        <v>100000</v>
      </c>
      <c r="AA102" s="67" t="n">
        <f aca="false">Z102+AA86</f>
        <v>100000</v>
      </c>
      <c r="AB102" s="67" t="n">
        <f aca="false">AA102+AB86</f>
        <v>100000</v>
      </c>
      <c r="AC102" s="67" t="n">
        <f aca="false">AB102+AC86</f>
        <v>100000</v>
      </c>
      <c r="AD102" s="67" t="n">
        <f aca="false">AC102+AD86</f>
        <v>100000</v>
      </c>
      <c r="AE102" s="67" t="n">
        <f aca="false">AD102+AE86</f>
        <v>100000</v>
      </c>
      <c r="AF102" s="67" t="n">
        <f aca="false">AE102+AF86</f>
        <v>100000</v>
      </c>
      <c r="AG102" s="67" t="n">
        <f aca="false">AF102+AG86</f>
        <v>100000</v>
      </c>
      <c r="AH102" s="67" t="n">
        <f aca="false">AG102+AH86</f>
        <v>100000</v>
      </c>
      <c r="AI102" s="67" t="n">
        <f aca="false">AH102+AI86</f>
        <v>100000</v>
      </c>
      <c r="AJ102" s="67" t="n">
        <f aca="false">AI102+AJ86</f>
        <v>100000</v>
      </c>
      <c r="AK102" s="67" t="n">
        <f aca="false">AJ102+AK86</f>
        <v>100000</v>
      </c>
      <c r="AL102" s="67" t="n">
        <f aca="false">AK102+AL86</f>
        <v>100000</v>
      </c>
    </row>
    <row r="103" customFormat="false" ht="15" hidden="false" customHeight="false" outlineLevel="0" collapsed="false">
      <c r="A103" s="6" t="s">
        <v>97</v>
      </c>
      <c r="C103" s="67" t="n">
        <f aca="false">C60</f>
        <v>16102.3855497091</v>
      </c>
      <c r="D103" s="67" t="n">
        <f aca="false">C103+D60</f>
        <v>32649.2567654425</v>
      </c>
      <c r="E103" s="67" t="n">
        <f aca="false">D103+E60</f>
        <v>49639.0362401883</v>
      </c>
      <c r="F103" s="67" t="n">
        <f aca="false">E103+F60</f>
        <v>67065.2423187879</v>
      </c>
      <c r="G103" s="67" t="n">
        <f aca="false">F103+G60</f>
        <v>84921.4840892547</v>
      </c>
      <c r="H103" s="67" t="n">
        <f aca="false">G103+H60</f>
        <v>103201.46011237</v>
      </c>
      <c r="I103" s="67" t="n">
        <f aca="false">H103+I60</f>
        <v>121898.957169064</v>
      </c>
      <c r="J103" s="67" t="n">
        <f aca="false">I103+J60</f>
        <v>141007.849025334</v>
      </c>
      <c r="K103" s="67" t="n">
        <f aca="false">J103+K60</f>
        <v>160522.095214453</v>
      </c>
      <c r="L103" s="67" t="n">
        <f aca="false">K103+L60</f>
        <v>180435.739836229</v>
      </c>
      <c r="M103" s="67" t="n">
        <f aca="false">L103+M60</f>
        <v>200742.910373072</v>
      </c>
      <c r="N103" s="67" t="n">
        <f aca="false">M103+N60</f>
        <v>221437.816522639</v>
      </c>
      <c r="O103" s="67" t="n">
        <f aca="false">N103+O60</f>
        <v>241805.216722222</v>
      </c>
      <c r="P103" s="67" t="n">
        <f aca="false">O103+P60</f>
        <v>262656.317207047</v>
      </c>
      <c r="Q103" s="67" t="n">
        <f aca="false">P103+Q60</f>
        <v>283984.029121023</v>
      </c>
      <c r="R103" s="67" t="n">
        <f aca="false">Q103+R60</f>
        <v>305781.362852039</v>
      </c>
      <c r="S103" s="67" t="n">
        <f aca="false">R103+S60</f>
        <v>328041.426642558</v>
      </c>
      <c r="T103" s="67" t="n">
        <f aca="false">S103+T60</f>
        <v>350757.425219645</v>
      </c>
      <c r="U103" s="67" t="n">
        <f aca="false">T103+U60</f>
        <v>373922.658444188</v>
      </c>
      <c r="V103" s="67" t="n">
        <f aca="false">U103+V60</f>
        <v>397530.519979022</v>
      </c>
      <c r="W103" s="67" t="n">
        <f aca="false">V103+W60</f>
        <v>421574.495975704</v>
      </c>
      <c r="X103" s="67" t="n">
        <f aca="false">W103+X60</f>
        <v>446048.163779666</v>
      </c>
      <c r="Y103" s="67" t="n">
        <f aca="false">X103+Y60</f>
        <v>470945.190653505</v>
      </c>
      <c r="Z103" s="67" t="n">
        <f aca="false">Y103+Z60</f>
        <v>496259.332518145</v>
      </c>
      <c r="AA103" s="67" t="n">
        <f aca="false">Z103+AA60</f>
        <v>521273.518214706</v>
      </c>
      <c r="AB103" s="67" t="n">
        <f aca="false">AA103+AB60</f>
        <v>546809.058881082</v>
      </c>
      <c r="AC103" s="67" t="n">
        <f aca="false">AB103+AC60</f>
        <v>572858.299273283</v>
      </c>
      <c r="AD103" s="67" t="n">
        <f aca="false">AC103+AD60</f>
        <v>599413.691320735</v>
      </c>
      <c r="AE103" s="67" t="n">
        <f aca="false">AD103+AE60</f>
        <v>626467.792625852</v>
      </c>
      <c r="AF103" s="67" t="n">
        <f aca="false">AE103+AF60</f>
        <v>654013.264984614</v>
      </c>
      <c r="AG103" s="67" t="n">
        <f aca="false">AF103+AG60</f>
        <v>682042.872927858</v>
      </c>
      <c r="AH103" s="67" t="n">
        <f aca="false">AG103+AH60</f>
        <v>710549.482282989</v>
      </c>
      <c r="AI103" s="67" t="n">
        <f aca="false">AH103+AI60</f>
        <v>739526.058755829</v>
      </c>
      <c r="AJ103" s="67" t="n">
        <f aca="false">AI103+AJ60</f>
        <v>768965.666532317</v>
      </c>
      <c r="AK103" s="67" t="n">
        <f aca="false">AJ103+AK60</f>
        <v>798861.466899789</v>
      </c>
      <c r="AL103" s="67" t="n">
        <f aca="false">AK103+AL60</f>
        <v>829206.71688756</v>
      </c>
    </row>
    <row r="104" customFormat="false" ht="15" hidden="false" customHeight="false" outlineLevel="0" collapsed="false">
      <c r="A104" s="4" t="s">
        <v>92</v>
      </c>
      <c r="C104" s="73" t="n">
        <f aca="false">C90+C76+C77+C67</f>
        <v>284749.920269509</v>
      </c>
      <c r="D104" s="73" t="n">
        <f aca="false">D90+D76+D77+D67</f>
        <v>299592.931575608</v>
      </c>
      <c r="E104" s="73" t="n">
        <f aca="false">E90+E76+E77+E67</f>
        <v>314877.705179454</v>
      </c>
      <c r="F104" s="73" t="n">
        <f aca="false">F90+F76+F77+F67</f>
        <v>330597.775469347</v>
      </c>
      <c r="G104" s="73" t="n">
        <f aca="false">G90+G76+G77+G67</f>
        <v>346746.767352149</v>
      </c>
      <c r="H104" s="73" t="n">
        <f aca="false">H90+H76+H77+H67</f>
        <v>363318.394986026</v>
      </c>
      <c r="I104" s="73" t="n">
        <f aca="false">I90+I76+I77+I67</f>
        <v>380306.460530931</v>
      </c>
      <c r="J104" s="73" t="n">
        <f aca="false">J90+J76+J77+J67</f>
        <v>397704.852916578</v>
      </c>
      <c r="K104" s="73" t="n">
        <f aca="false">K90+K76+K77+K67</f>
        <v>415507.546627662</v>
      </c>
      <c r="L104" s="73" t="n">
        <f aca="false">L90+L76+L77+L67</f>
        <v>433708.600506096</v>
      </c>
      <c r="M104" s="73" t="n">
        <f aca="false">M90+M76+M77+M67</f>
        <v>452302.156570004</v>
      </c>
      <c r="N104" s="73" t="n">
        <f aca="false">N90+N76+N77+N67</f>
        <v>471282.438849256</v>
      </c>
      <c r="O104" s="73" t="n">
        <f aca="false">O90+O76+O77+O67</f>
        <v>490667.873946034</v>
      </c>
      <c r="P104" s="73" t="n">
        <f aca="false">P90+P76+P77+P67</f>
        <v>509821.529317782</v>
      </c>
      <c r="Q104" s="73" t="n">
        <f aca="false">Q90+Q76+Q77+Q67</f>
        <v>529450.560350264</v>
      </c>
      <c r="R104" s="73" t="n">
        <f aca="false">R90+R76+R77+R67</f>
        <v>549547.994732127</v>
      </c>
      <c r="S104" s="73" t="n">
        <f aca="false">S90+S76+S77+S67</f>
        <v>570106.95776438</v>
      </c>
      <c r="T104" s="73" t="n">
        <f aca="false">T90+T76+T77+T67</f>
        <v>591120.670993817</v>
      </c>
      <c r="U104" s="73" t="n">
        <f aca="false">U90+U76+U77+U67</f>
        <v>612582.450865578</v>
      </c>
      <c r="V104" s="73" t="n">
        <f aca="false">V90+V76+V77+V67</f>
        <v>634485.707394569</v>
      </c>
      <c r="W104" s="73" t="n">
        <f aca="false">W90+W76+W77+W67</f>
        <v>656823.942855489</v>
      </c>
      <c r="X104" s="73" t="n">
        <f aca="false">X90+X76+X77+X67</f>
        <v>679590.750491189</v>
      </c>
      <c r="Y104" s="73" t="n">
        <f aca="false">Y90+Y76+Y77+Y67</f>
        <v>702779.813239124</v>
      </c>
      <c r="Z104" s="73" t="n">
        <f aca="false">Z90+Z76+Z77+Z67</f>
        <v>726384.902475621</v>
      </c>
      <c r="AA104" s="73" t="n">
        <f aca="false">AA90+AA76+AA77+AA67</f>
        <v>750486.74268215</v>
      </c>
      <c r="AB104" s="73" t="n">
        <f aca="false">AB90+AB76+AB77+AB67</f>
        <v>774331.890796581</v>
      </c>
      <c r="AC104" s="73" t="n">
        <f aca="false">AC90+AC76+AC77+AC67</f>
        <v>798689.404132564</v>
      </c>
      <c r="AD104" s="73" t="n">
        <f aca="false">AD90+AD76+AD77+AD67</f>
        <v>823551.753302585</v>
      </c>
      <c r="AE104" s="73" t="n">
        <f aca="false">AE90+AE76+AE77+AE67</f>
        <v>848911.514330555</v>
      </c>
      <c r="AF104" s="73" t="n">
        <f aca="false">AF90+AF76+AF77+AF67</f>
        <v>874761.36717605</v>
      </c>
      <c r="AG104" s="73" t="n">
        <f aca="false">AG90+AG76+AG77+AG67</f>
        <v>901094.094279214</v>
      </c>
      <c r="AH104" s="73" t="n">
        <f aca="false">AH90+AH76+AH77+AH67</f>
        <v>927902.579126025</v>
      </c>
      <c r="AI104" s="73" t="n">
        <f aca="false">AI90+AI76+AI77+AI67</f>
        <v>955179.804833662</v>
      </c>
      <c r="AJ104" s="73" t="n">
        <f aca="false">AJ90+AJ76+AJ77+AJ67</f>
        <v>982918.852755659</v>
      </c>
      <c r="AK104" s="73" t="n">
        <f aca="false">AK90+AK76+AK77+AK67</f>
        <v>1011112.9011066</v>
      </c>
      <c r="AL104" s="73" t="n">
        <f aca="false">AL90+AL76+AL77+AL67</f>
        <v>1039755.22360608</v>
      </c>
    </row>
    <row r="105" customFormat="false" ht="15" hidden="false" customHeight="false" outlineLevel="0" collapsed="false">
      <c r="A105" s="6" t="s">
        <v>95</v>
      </c>
      <c r="C105" s="67" t="n">
        <f aca="false">C78+C73</f>
        <v>168647.5347198</v>
      </c>
      <c r="D105" s="67" t="n">
        <f aca="false">D78+D73</f>
        <v>166943.674810166</v>
      </c>
      <c r="E105" s="67" t="n">
        <f aca="false">E78+E73</f>
        <v>165238.668939266</v>
      </c>
      <c r="F105" s="67" t="n">
        <f aca="false">F78+F73</f>
        <v>163532.533150559</v>
      </c>
      <c r="G105" s="67" t="n">
        <f aca="false">G78+G73</f>
        <v>161825.283262894</v>
      </c>
      <c r="H105" s="67" t="n">
        <f aca="false">H78+H73</f>
        <v>160116.934873656</v>
      </c>
      <c r="I105" s="67" t="n">
        <f aca="false">I78+I73</f>
        <v>158407.503361868</v>
      </c>
      <c r="J105" s="67" t="n">
        <f aca="false">J78+J73</f>
        <v>156697.003891244</v>
      </c>
      <c r="K105" s="67" t="n">
        <f aca="false">K78+K73</f>
        <v>154985.451413209</v>
      </c>
      <c r="L105" s="67" t="n">
        <f aca="false">L78+L73</f>
        <v>153272.860669867</v>
      </c>
      <c r="M105" s="67" t="n">
        <f aca="false">M78+M73</f>
        <v>151559.246196932</v>
      </c>
      <c r="N105" s="67" t="n">
        <f aca="false">N78+N73</f>
        <v>149844.622326617</v>
      </c>
      <c r="O105" s="67" t="n">
        <f aca="false">O78+O73</f>
        <v>148862.657223812</v>
      </c>
      <c r="P105" s="67" t="n">
        <f aca="false">P78+P73</f>
        <v>147165.212110735</v>
      </c>
      <c r="Q105" s="67" t="n">
        <f aca="false">Q78+Q73</f>
        <v>145466.531229241</v>
      </c>
      <c r="R105" s="67" t="n">
        <f aca="false">R78+R73</f>
        <v>143766.631880087</v>
      </c>
      <c r="S105" s="67" t="n">
        <f aca="false">S78+S73</f>
        <v>142065.531121822</v>
      </c>
      <c r="T105" s="67" t="n">
        <f aca="false">T78+T73</f>
        <v>140363.245774172</v>
      </c>
      <c r="U105" s="67" t="n">
        <f aca="false">U78+U73</f>
        <v>138659.79242139</v>
      </c>
      <c r="V105" s="67" t="n">
        <f aca="false">V78+V73</f>
        <v>136955.187415547</v>
      </c>
      <c r="W105" s="67" t="n">
        <f aca="false">W78+W73</f>
        <v>135249.446879785</v>
      </c>
      <c r="X105" s="67" t="n">
        <f aca="false">X78+X73</f>
        <v>133542.586711524</v>
      </c>
      <c r="Y105" s="67" t="n">
        <f aca="false">Y78+Y73</f>
        <v>131834.622585619</v>
      </c>
      <c r="Z105" s="67" t="n">
        <f aca="false">Z78+Z73</f>
        <v>130125.569957476</v>
      </c>
      <c r="AA105" s="67" t="n">
        <f aca="false">AA78+AA73</f>
        <v>129213.224467443</v>
      </c>
      <c r="AB105" s="67" t="n">
        <f aca="false">AB78+AB73</f>
        <v>127522.831915498</v>
      </c>
      <c r="AC105" s="67" t="n">
        <f aca="false">AC78+AC73</f>
        <v>125831.104859281</v>
      </c>
      <c r="AD105" s="67" t="n">
        <f aca="false">AD78+AD73</f>
        <v>124138.06198185</v>
      </c>
      <c r="AE105" s="67" t="n">
        <f aca="false">AE78+AE73</f>
        <v>122443.721704703</v>
      </c>
      <c r="AF105" s="67" t="n">
        <f aca="false">AF78+AF73</f>
        <v>120748.102191436</v>
      </c>
      <c r="AG105" s="67" t="n">
        <f aca="false">AG78+AG73</f>
        <v>119051.221351355</v>
      </c>
      <c r="AH105" s="67" t="n">
        <f aca="false">AH78+AH73</f>
        <v>117353.096843036</v>
      </c>
      <c r="AI105" s="67" t="n">
        <f aca="false">AI78+AI73</f>
        <v>115653.746077832</v>
      </c>
      <c r="AJ105" s="67" t="n">
        <f aca="false">AJ78+AJ73</f>
        <v>113953.186223342</v>
      </c>
      <c r="AK105" s="67" t="n">
        <f aca="false">AK78+AK73</f>
        <v>112251.434206814</v>
      </c>
      <c r="AL105" s="67" t="n">
        <f aca="false">AL78+AL73</f>
        <v>110548.506718518</v>
      </c>
    </row>
    <row r="106" customFormat="false" ht="15" hidden="false" customHeight="false" outlineLevel="0" collapsed="false">
      <c r="A106" s="6" t="s">
        <v>98</v>
      </c>
      <c r="C106" s="67" t="n">
        <f aca="false">C102+C103</f>
        <v>116102.385549709</v>
      </c>
      <c r="D106" s="67" t="n">
        <f aca="false">D102+D103</f>
        <v>132649.256765442</v>
      </c>
      <c r="E106" s="67" t="n">
        <f aca="false">E102+E103</f>
        <v>149639.036240188</v>
      </c>
      <c r="F106" s="67" t="n">
        <f aca="false">F102+F103</f>
        <v>167065.242318788</v>
      </c>
      <c r="G106" s="67" t="n">
        <f aca="false">G102+G103</f>
        <v>184921.484089255</v>
      </c>
      <c r="H106" s="67" t="n">
        <f aca="false">H102+H103</f>
        <v>203201.46011237</v>
      </c>
      <c r="I106" s="67" t="n">
        <f aca="false">I102+I103</f>
        <v>221898.957169064</v>
      </c>
      <c r="J106" s="67" t="n">
        <f aca="false">J102+J103</f>
        <v>241007.849025334</v>
      </c>
      <c r="K106" s="67" t="n">
        <f aca="false">K102+K103</f>
        <v>260522.095214453</v>
      </c>
      <c r="L106" s="67" t="n">
        <f aca="false">L102+L103</f>
        <v>280435.739836229</v>
      </c>
      <c r="M106" s="67" t="n">
        <f aca="false">M102+M103</f>
        <v>300742.910373072</v>
      </c>
      <c r="N106" s="67" t="n">
        <f aca="false">N102+N103</f>
        <v>321437.816522639</v>
      </c>
      <c r="O106" s="67" t="n">
        <f aca="false">O102+O103</f>
        <v>341805.216722221</v>
      </c>
      <c r="P106" s="67" t="n">
        <f aca="false">P102+P103</f>
        <v>362656.317207047</v>
      </c>
      <c r="Q106" s="67" t="n">
        <f aca="false">Q102+Q103</f>
        <v>383984.029121023</v>
      </c>
      <c r="R106" s="67" t="n">
        <f aca="false">R102+R103</f>
        <v>405781.362852039</v>
      </c>
      <c r="S106" s="67" t="n">
        <f aca="false">S102+S103</f>
        <v>428041.426642558</v>
      </c>
      <c r="T106" s="67" t="n">
        <f aca="false">T102+T103</f>
        <v>450757.425219645</v>
      </c>
      <c r="U106" s="67" t="n">
        <f aca="false">U102+U103</f>
        <v>473922.658444188</v>
      </c>
      <c r="V106" s="67" t="n">
        <f aca="false">V102+V103</f>
        <v>497530.519979022</v>
      </c>
      <c r="W106" s="67" t="n">
        <f aca="false">W102+W103</f>
        <v>521574.495975704</v>
      </c>
      <c r="X106" s="67" t="n">
        <f aca="false">X102+X103</f>
        <v>546048.163779666</v>
      </c>
      <c r="Y106" s="67" t="n">
        <f aca="false">Y102+Y103</f>
        <v>570945.190653505</v>
      </c>
      <c r="Z106" s="67" t="n">
        <f aca="false">Z102+Z103</f>
        <v>596259.332518145</v>
      </c>
      <c r="AA106" s="67" t="n">
        <f aca="false">AA102+AA103</f>
        <v>621273.518214706</v>
      </c>
      <c r="AB106" s="67" t="n">
        <f aca="false">AB102+AB103</f>
        <v>646809.058881082</v>
      </c>
      <c r="AC106" s="67" t="n">
        <f aca="false">AC102+AC103</f>
        <v>672858.299273283</v>
      </c>
      <c r="AD106" s="67" t="n">
        <f aca="false">AD102+AD103</f>
        <v>699413.691320735</v>
      </c>
      <c r="AE106" s="67" t="n">
        <f aca="false">AE102+AE103</f>
        <v>726467.792625852</v>
      </c>
      <c r="AF106" s="67" t="n">
        <f aca="false">AF102+AF103</f>
        <v>754013.264984614</v>
      </c>
      <c r="AG106" s="67" t="n">
        <f aca="false">AG102+AG103</f>
        <v>782042.872927858</v>
      </c>
      <c r="AH106" s="67" t="n">
        <f aca="false">AH102+AH103</f>
        <v>810549.482282989</v>
      </c>
      <c r="AI106" s="67" t="n">
        <f aca="false">AI102+AI103</f>
        <v>839526.058755829</v>
      </c>
      <c r="AJ106" s="67" t="n">
        <f aca="false">AJ102+AJ103</f>
        <v>868965.666532317</v>
      </c>
      <c r="AK106" s="67" t="n">
        <f aca="false">AK102+AK103</f>
        <v>898861.466899789</v>
      </c>
      <c r="AL106" s="67" t="n">
        <f aca="false">AL102+AL103</f>
        <v>929206.71688756</v>
      </c>
    </row>
    <row r="107" customFormat="false" ht="15" hidden="false" customHeight="false" outlineLevel="0" collapsed="false">
      <c r="A107" s="4" t="s">
        <v>99</v>
      </c>
      <c r="C107" s="73" t="n">
        <f aca="false">C105+C106</f>
        <v>284749.920269509</v>
      </c>
      <c r="D107" s="73" t="n">
        <f aca="false">D105+D106</f>
        <v>299592.931575608</v>
      </c>
      <c r="E107" s="73" t="n">
        <f aca="false">E105+E106</f>
        <v>314877.705179454</v>
      </c>
      <c r="F107" s="73" t="n">
        <f aca="false">F105+F106</f>
        <v>330597.775469347</v>
      </c>
      <c r="G107" s="73" t="n">
        <f aca="false">G105+G106</f>
        <v>346746.767352149</v>
      </c>
      <c r="H107" s="73" t="n">
        <f aca="false">H105+H106</f>
        <v>363318.394986026</v>
      </c>
      <c r="I107" s="73" t="n">
        <f aca="false">I105+I106</f>
        <v>380306.460530931</v>
      </c>
      <c r="J107" s="73" t="n">
        <f aca="false">J105+J106</f>
        <v>397704.852916578</v>
      </c>
      <c r="K107" s="73" t="n">
        <f aca="false">K105+K106</f>
        <v>415507.546627662</v>
      </c>
      <c r="L107" s="73" t="n">
        <f aca="false">L105+L106</f>
        <v>433708.600506096</v>
      </c>
      <c r="M107" s="73" t="n">
        <f aca="false">M105+M106</f>
        <v>452302.156570004</v>
      </c>
      <c r="N107" s="73" t="n">
        <f aca="false">N105+N106</f>
        <v>471282.438849256</v>
      </c>
      <c r="O107" s="73" t="n">
        <f aca="false">O105+O106</f>
        <v>490667.873946034</v>
      </c>
      <c r="P107" s="73" t="n">
        <f aca="false">P105+P106</f>
        <v>509821.529317782</v>
      </c>
      <c r="Q107" s="73" t="n">
        <f aca="false">Q105+Q106</f>
        <v>529450.560350264</v>
      </c>
      <c r="R107" s="73" t="n">
        <f aca="false">R105+R106</f>
        <v>549547.994732127</v>
      </c>
      <c r="S107" s="73" t="n">
        <f aca="false">S105+S106</f>
        <v>570106.95776438</v>
      </c>
      <c r="T107" s="73" t="n">
        <f aca="false">T105+T106</f>
        <v>591120.670993817</v>
      </c>
      <c r="U107" s="73" t="n">
        <f aca="false">U105+U106</f>
        <v>612582.450865578</v>
      </c>
      <c r="V107" s="73" t="n">
        <f aca="false">V105+V106</f>
        <v>634485.707394569</v>
      </c>
      <c r="W107" s="73" t="n">
        <f aca="false">W105+W106</f>
        <v>656823.942855489</v>
      </c>
      <c r="X107" s="73" t="n">
        <f aca="false">X105+X106</f>
        <v>679590.750491189</v>
      </c>
      <c r="Y107" s="73" t="n">
        <f aca="false">Y105+Y106</f>
        <v>702779.813239124</v>
      </c>
      <c r="Z107" s="73" t="n">
        <f aca="false">Z105+Z106</f>
        <v>726384.90247562</v>
      </c>
      <c r="AA107" s="73" t="n">
        <f aca="false">AA105+AA106</f>
        <v>750486.742682149</v>
      </c>
      <c r="AB107" s="73" t="n">
        <f aca="false">AB105+AB106</f>
        <v>774331.89079658</v>
      </c>
      <c r="AC107" s="73" t="n">
        <f aca="false">AC105+AC106</f>
        <v>798689.404132564</v>
      </c>
      <c r="AD107" s="73" t="n">
        <f aca="false">AD105+AD106</f>
        <v>823551.753302584</v>
      </c>
      <c r="AE107" s="73" t="n">
        <f aca="false">AE105+AE106</f>
        <v>848911.514330555</v>
      </c>
      <c r="AF107" s="73" t="n">
        <f aca="false">AF105+AF106</f>
        <v>874761.36717605</v>
      </c>
      <c r="AG107" s="73" t="n">
        <f aca="false">AG105+AG106</f>
        <v>901094.094279214</v>
      </c>
      <c r="AH107" s="73" t="n">
        <f aca="false">AH105+AH106</f>
        <v>927902.579126025</v>
      </c>
      <c r="AI107" s="73" t="n">
        <f aca="false">AI105+AI106</f>
        <v>955179.804833661</v>
      </c>
      <c r="AJ107" s="73" t="n">
        <f aca="false">AJ105+AJ106</f>
        <v>982918.852755659</v>
      </c>
      <c r="AK107" s="73" t="n">
        <f aca="false">AK105+AK106</f>
        <v>1011112.9011066</v>
      </c>
      <c r="AL107" s="73" t="n">
        <f aca="false">AL105+AL106</f>
        <v>1039755.22360608</v>
      </c>
    </row>
    <row r="108" customFormat="false" ht="15" hidden="false" customHeight="false" outlineLevel="0" collapsed="false">
      <c r="A108" s="6" t="s">
        <v>455</v>
      </c>
      <c r="C108" s="67" t="n">
        <f aca="false">C104-C107</f>
        <v>0</v>
      </c>
      <c r="D108" s="67" t="n">
        <f aca="false">D104-D107</f>
        <v>0</v>
      </c>
      <c r="E108" s="67" t="n">
        <f aca="false">E104-E107</f>
        <v>0</v>
      </c>
      <c r="F108" s="67" t="n">
        <f aca="false">F104-F107</f>
        <v>0</v>
      </c>
      <c r="G108" s="67" t="n">
        <f aca="false">G104-G107</f>
        <v>0</v>
      </c>
      <c r="H108" s="67" t="n">
        <f aca="false">H104-H107</f>
        <v>0</v>
      </c>
      <c r="I108" s="67" t="n">
        <f aca="false">I104-I107</f>
        <v>0</v>
      </c>
      <c r="J108" s="67" t="n">
        <f aca="false">J104-J107</f>
        <v>0</v>
      </c>
      <c r="K108" s="67" t="n">
        <f aca="false">K104-K107</f>
        <v>0</v>
      </c>
      <c r="L108" s="67" t="n">
        <f aca="false">L104-L107</f>
        <v>0</v>
      </c>
      <c r="M108" s="67" t="n">
        <f aca="false">M104-M107</f>
        <v>0</v>
      </c>
      <c r="N108" s="67" t="n">
        <f aca="false">N104-N107</f>
        <v>0</v>
      </c>
      <c r="O108" s="67" t="n">
        <f aca="false">O104-O107</f>
        <v>0</v>
      </c>
      <c r="P108" s="67" t="n">
        <f aca="false">P104-P107</f>
        <v>0</v>
      </c>
      <c r="Q108" s="67" t="n">
        <f aca="false">Q104-Q107</f>
        <v>0</v>
      </c>
      <c r="R108" s="67" t="n">
        <f aca="false">R104-R107</f>
        <v>0</v>
      </c>
      <c r="S108" s="67" t="n">
        <f aca="false">S104-S107</f>
        <v>0</v>
      </c>
      <c r="T108" s="67" t="n">
        <f aca="false">T104-T107</f>
        <v>0</v>
      </c>
      <c r="U108" s="67" t="n">
        <f aca="false">U104-U107</f>
        <v>0</v>
      </c>
      <c r="V108" s="67" t="n">
        <f aca="false">V104-V107</f>
        <v>0</v>
      </c>
      <c r="W108" s="67" t="n">
        <f aca="false">W104-W107</f>
        <v>0</v>
      </c>
      <c r="X108" s="67" t="n">
        <f aca="false">X104-X107</f>
        <v>0</v>
      </c>
      <c r="Y108" s="67" t="n">
        <f aca="false">Y104-Y107</f>
        <v>0</v>
      </c>
      <c r="Z108" s="67" t="n">
        <f aca="false">Z104-Z107</f>
        <v>0</v>
      </c>
      <c r="AA108" s="67" t="n">
        <f aca="false">AA104-AA107</f>
        <v>0</v>
      </c>
      <c r="AB108" s="67" t="n">
        <f aca="false">AB104-AB107</f>
        <v>0</v>
      </c>
      <c r="AC108" s="67" t="n">
        <f aca="false">AC104-AC107</f>
        <v>0</v>
      </c>
      <c r="AD108" s="67" t="n">
        <f aca="false">AD104-AD107</f>
        <v>0</v>
      </c>
      <c r="AE108" s="67" t="n">
        <f aca="false">AE104-AE107</f>
        <v>0</v>
      </c>
      <c r="AF108" s="67" t="n">
        <f aca="false">AF104-AF107</f>
        <v>0</v>
      </c>
      <c r="AG108" s="67" t="n">
        <f aca="false">AG104-AG107</f>
        <v>0</v>
      </c>
      <c r="AH108" s="67" t="n">
        <f aca="false">AH104-AH107</f>
        <v>0</v>
      </c>
      <c r="AI108" s="67" t="n">
        <f aca="false">AI104-AI107</f>
        <v>0</v>
      </c>
      <c r="AJ108" s="67" t="n">
        <f aca="false">AJ104-AJ107</f>
        <v>0</v>
      </c>
      <c r="AK108" s="67" t="n">
        <f aca="false">AK104-AK107</f>
        <v>0</v>
      </c>
      <c r="AL108" s="67" t="n">
        <f aca="false">AL104-AL107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456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371</v>
      </c>
    </row>
    <row r="3" customFormat="false" ht="15" hidden="false" customHeight="false" outlineLevel="0" collapsed="false">
      <c r="A3" s="33" t="s">
        <v>372</v>
      </c>
      <c r="C3" s="35" t="s">
        <v>373</v>
      </c>
      <c r="D3" s="35" t="s">
        <v>374</v>
      </c>
      <c r="E3" s="35" t="s">
        <v>375</v>
      </c>
      <c r="F3" s="35" t="s">
        <v>376</v>
      </c>
      <c r="G3" s="35" t="s">
        <v>377</v>
      </c>
      <c r="H3" s="35" t="s">
        <v>378</v>
      </c>
      <c r="I3" s="35" t="s">
        <v>379</v>
      </c>
      <c r="J3" s="35" t="s">
        <v>380</v>
      </c>
      <c r="K3" s="35" t="s">
        <v>381</v>
      </c>
      <c r="L3" s="35" t="s">
        <v>382</v>
      </c>
      <c r="M3" s="35" t="s">
        <v>383</v>
      </c>
      <c r="N3" s="35" t="s">
        <v>384</v>
      </c>
      <c r="O3" s="35" t="s">
        <v>385</v>
      </c>
      <c r="P3" s="35" t="s">
        <v>386</v>
      </c>
      <c r="Q3" s="35" t="s">
        <v>387</v>
      </c>
      <c r="R3" s="35" t="s">
        <v>388</v>
      </c>
      <c r="S3" s="35" t="s">
        <v>389</v>
      </c>
      <c r="T3" s="35" t="s">
        <v>390</v>
      </c>
      <c r="U3" s="35" t="s">
        <v>391</v>
      </c>
      <c r="V3" s="35" t="s">
        <v>392</v>
      </c>
      <c r="W3" s="35" t="s">
        <v>393</v>
      </c>
      <c r="X3" s="35" t="s">
        <v>394</v>
      </c>
      <c r="Y3" s="35" t="s">
        <v>395</v>
      </c>
      <c r="Z3" s="35" t="s">
        <v>396</v>
      </c>
      <c r="AA3" s="35" t="s">
        <v>397</v>
      </c>
      <c r="AB3" s="35" t="s">
        <v>398</v>
      </c>
      <c r="AC3" s="35" t="s">
        <v>399</v>
      </c>
      <c r="AD3" s="35" t="s">
        <v>400</v>
      </c>
      <c r="AE3" s="35" t="s">
        <v>401</v>
      </c>
      <c r="AF3" s="35" t="s">
        <v>402</v>
      </c>
      <c r="AG3" s="35" t="s">
        <v>403</v>
      </c>
      <c r="AH3" s="35" t="s">
        <v>404</v>
      </c>
      <c r="AI3" s="35" t="s">
        <v>405</v>
      </c>
      <c r="AJ3" s="35" t="s">
        <v>406</v>
      </c>
      <c r="AK3" s="35" t="s">
        <v>407</v>
      </c>
      <c r="AL3" s="35" t="s">
        <v>408</v>
      </c>
    </row>
    <row r="4" customFormat="false" ht="15" hidden="false" customHeight="false" outlineLevel="0" collapsed="false">
      <c r="A4" s="72" t="s">
        <v>409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</row>
    <row r="5" customFormat="false" ht="15" hidden="false" customHeight="false" outlineLevel="0" collapsed="false">
      <c r="A5" s="72" t="s">
        <v>153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</row>
    <row r="7" customFormat="false" ht="15.75" hidden="false" customHeight="true" outlineLevel="0" collapsed="false">
      <c r="A7" s="7" t="s">
        <v>457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458</v>
      </c>
      <c r="C8" s="114" t="n">
        <f aca="false">Inputs!$E$59*(1+Inputs!$E$61)^(C$5-1)*MAX(0,MIN(1,C$4*1-Inputs!$E$62+1))/1</f>
        <v>1</v>
      </c>
      <c r="D8" s="114" t="n">
        <f aca="false">Inputs!$E$59*(1+Inputs!$E$61)^(D$5-1)*MAX(0,MIN(1,D$4*1-Inputs!$E$62+1))/1</f>
        <v>1</v>
      </c>
      <c r="E8" s="114" t="n">
        <f aca="false">Inputs!$E$59*(1+Inputs!$E$61)^(E$5-1)*MAX(0,MIN(1,E$4*1-Inputs!$E$62+1))/1</f>
        <v>1</v>
      </c>
      <c r="F8" s="114" t="n">
        <f aca="false">Inputs!$E$59*(1+Inputs!$E$61)^(F$5-1)*MAX(0,MIN(1,F$4*1-Inputs!$E$62+1))/1</f>
        <v>1</v>
      </c>
      <c r="G8" s="114" t="n">
        <f aca="false">Inputs!$E$59*(1+Inputs!$E$61)^(G$5-1)*MAX(0,MIN(1,G$4*1-Inputs!$E$62+1))/1</f>
        <v>1</v>
      </c>
      <c r="H8" s="114" t="n">
        <f aca="false">Inputs!$E$59*(1+Inputs!$E$61)^(H$5-1)*MAX(0,MIN(1,H$4*1-Inputs!$E$62+1))/1</f>
        <v>1</v>
      </c>
      <c r="I8" s="114" t="n">
        <f aca="false">Inputs!$E$59*(1+Inputs!$E$61)^(I$5-1)*MAX(0,MIN(1,I$4*1-Inputs!$E$62+1))/1</f>
        <v>1</v>
      </c>
      <c r="J8" s="114" t="n">
        <f aca="false">Inputs!$E$59*(1+Inputs!$E$61)^(J$5-1)*MAX(0,MIN(1,J$4*1-Inputs!$E$62+1))/1</f>
        <v>1</v>
      </c>
      <c r="K8" s="114" t="n">
        <f aca="false">Inputs!$E$59*(1+Inputs!$E$61)^(K$5-1)*MAX(0,MIN(1,K$4*1-Inputs!$E$62+1))/1</f>
        <v>1</v>
      </c>
      <c r="L8" s="114" t="n">
        <f aca="false">Inputs!$E$59*(1+Inputs!$E$61)^(L$5-1)*MAX(0,MIN(1,L$4*1-Inputs!$E$62+1))/1</f>
        <v>1</v>
      </c>
      <c r="M8" s="114" t="n">
        <f aca="false">Inputs!$E$59*(1+Inputs!$E$61)^(M$5-1)*MAX(0,MIN(1,M$4*1-Inputs!$E$62+1))/1</f>
        <v>1</v>
      </c>
      <c r="N8" s="114" t="n">
        <f aca="false">Inputs!$E$59*(1+Inputs!$E$61)^(N$5-1)*MAX(0,MIN(1,N$4*1-Inputs!$E$62+1))/1</f>
        <v>1</v>
      </c>
      <c r="O8" s="114" t="n">
        <f aca="false">Inputs!$E$59*(1+Inputs!$E$61)^(O$5-1)*MAX(0,MIN(1,O$4*1-Inputs!$E$62+1))/1</f>
        <v>1</v>
      </c>
      <c r="P8" s="114" t="n">
        <f aca="false">Inputs!$E$59*(1+Inputs!$E$61)^(P$5-1)*MAX(0,MIN(1,P$4*1-Inputs!$E$62+1))/1</f>
        <v>1</v>
      </c>
      <c r="Q8" s="114" t="n">
        <f aca="false">Inputs!$E$59*(1+Inputs!$E$61)^(Q$5-1)*MAX(0,MIN(1,Q$4*1-Inputs!$E$62+1))/1</f>
        <v>1</v>
      </c>
      <c r="R8" s="114" t="n">
        <f aca="false">Inputs!$E$59*(1+Inputs!$E$61)^(R$5-1)*MAX(0,MIN(1,R$4*1-Inputs!$E$62+1))/1</f>
        <v>1</v>
      </c>
      <c r="S8" s="114" t="n">
        <f aca="false">Inputs!$E$59*(1+Inputs!$E$61)^(S$5-1)*MAX(0,MIN(1,S$4*1-Inputs!$E$62+1))/1</f>
        <v>1</v>
      </c>
      <c r="T8" s="114" t="n">
        <f aca="false">Inputs!$E$59*(1+Inputs!$E$61)^(T$5-1)*MAX(0,MIN(1,T$4*1-Inputs!$E$62+1))/1</f>
        <v>1</v>
      </c>
      <c r="U8" s="114" t="n">
        <f aca="false">Inputs!$E$59*(1+Inputs!$E$61)^(U$5-1)*MAX(0,MIN(1,U$4*1-Inputs!$E$62+1))/1</f>
        <v>1</v>
      </c>
      <c r="V8" s="114" t="n">
        <f aca="false">Inputs!$E$59*(1+Inputs!$E$61)^(V$5-1)*MAX(0,MIN(1,V$4*1-Inputs!$E$62+1))/1</f>
        <v>1</v>
      </c>
      <c r="W8" s="114" t="n">
        <f aca="false">Inputs!$E$59*(1+Inputs!$E$61)^(W$5-1)*MAX(0,MIN(1,W$4*1-Inputs!$E$62+1))/1</f>
        <v>1</v>
      </c>
      <c r="X8" s="114" t="n">
        <f aca="false">Inputs!$E$59*(1+Inputs!$E$61)^(X$5-1)*MAX(0,MIN(1,X$4*1-Inputs!$E$62+1))/1</f>
        <v>1</v>
      </c>
      <c r="Y8" s="114" t="n">
        <f aca="false">Inputs!$E$59*(1+Inputs!$E$61)^(Y$5-1)*MAX(0,MIN(1,Y$4*1-Inputs!$E$62+1))/1</f>
        <v>1</v>
      </c>
      <c r="Z8" s="114" t="n">
        <f aca="false">Inputs!$E$59*(1+Inputs!$E$61)^(Z$5-1)*MAX(0,MIN(1,Z$4*1-Inputs!$E$62+1))/1</f>
        <v>1</v>
      </c>
      <c r="AA8" s="114" t="n">
        <f aca="false">Inputs!$E$59*(1+Inputs!$E$61)^(AA$5-1)*MAX(0,MIN(1,AA$4*1-Inputs!$E$62+1))/1</f>
        <v>1</v>
      </c>
      <c r="AB8" s="114" t="n">
        <f aca="false">Inputs!$E$59*(1+Inputs!$E$61)^(AB$5-1)*MAX(0,MIN(1,AB$4*1-Inputs!$E$62+1))/1</f>
        <v>1</v>
      </c>
      <c r="AC8" s="114" t="n">
        <f aca="false">Inputs!$E$59*(1+Inputs!$E$61)^(AC$5-1)*MAX(0,MIN(1,AC$4*1-Inputs!$E$62+1))/1</f>
        <v>1</v>
      </c>
      <c r="AD8" s="114" t="n">
        <f aca="false">Inputs!$E$59*(1+Inputs!$E$61)^(AD$5-1)*MAX(0,MIN(1,AD$4*1-Inputs!$E$62+1))/1</f>
        <v>1</v>
      </c>
      <c r="AE8" s="114" t="n">
        <f aca="false">Inputs!$E$59*(1+Inputs!$E$61)^(AE$5-1)*MAX(0,MIN(1,AE$4*1-Inputs!$E$62+1))/1</f>
        <v>1</v>
      </c>
      <c r="AF8" s="114" t="n">
        <f aca="false">Inputs!$E$59*(1+Inputs!$E$61)^(AF$5-1)*MAX(0,MIN(1,AF$4*1-Inputs!$E$62+1))/1</f>
        <v>1</v>
      </c>
      <c r="AG8" s="114" t="n">
        <f aca="false">Inputs!$E$59*(1+Inputs!$E$61)^(AG$5-1)*MAX(0,MIN(1,AG$4*1-Inputs!$E$62+1))/1</f>
        <v>1</v>
      </c>
      <c r="AH8" s="114" t="n">
        <f aca="false">Inputs!$E$59*(1+Inputs!$E$61)^(AH$5-1)*MAX(0,MIN(1,AH$4*1-Inputs!$E$62+1))/1</f>
        <v>1</v>
      </c>
      <c r="AI8" s="114" t="n">
        <f aca="false">Inputs!$E$59*(1+Inputs!$E$61)^(AI$5-1)*MAX(0,MIN(1,AI$4*1-Inputs!$E$62+1))/1</f>
        <v>1</v>
      </c>
      <c r="AJ8" s="114" t="n">
        <f aca="false">Inputs!$E$59*(1+Inputs!$E$61)^(AJ$5-1)*MAX(0,MIN(1,AJ$4*1-Inputs!$E$62+1))/1</f>
        <v>1</v>
      </c>
      <c r="AK8" s="114" t="n">
        <f aca="false">Inputs!$E$59*(1+Inputs!$E$61)^(AK$5-1)*MAX(0,MIN(1,AK$4*1-Inputs!$E$62+1))/1</f>
        <v>1</v>
      </c>
      <c r="AL8" s="114" t="n">
        <f aca="false">Inputs!$E$59*(1+Inputs!$E$61)^(AL$5-1)*MAX(0,MIN(1,AL$4*1-Inputs!$E$62+1))/1</f>
        <v>1</v>
      </c>
    </row>
    <row r="9" customFormat="false" ht="15" hidden="false" customHeight="false" outlineLevel="0" collapsed="false">
      <c r="A9" s="6" t="s">
        <v>459</v>
      </c>
      <c r="C9" s="114" t="n">
        <f aca="false">Inputs!$E$63*(1+Inputs!$E$65)^(C$5-1)*MAX(0,MIN(1,C$4*1-Inputs!$E$66+1))/1</f>
        <v>3</v>
      </c>
      <c r="D9" s="114" t="n">
        <f aca="false">Inputs!$E$63*(1+Inputs!$E$65)^(D$5-1)*MAX(0,MIN(1,D$4*1-Inputs!$E$66+1))/1</f>
        <v>3</v>
      </c>
      <c r="E9" s="114" t="n">
        <f aca="false">Inputs!$E$63*(1+Inputs!$E$65)^(E$5-1)*MAX(0,MIN(1,E$4*1-Inputs!$E$66+1))/1</f>
        <v>3</v>
      </c>
      <c r="F9" s="114" t="n">
        <f aca="false">Inputs!$E$63*(1+Inputs!$E$65)^(F$5-1)*MAX(0,MIN(1,F$4*1-Inputs!$E$66+1))/1</f>
        <v>3</v>
      </c>
      <c r="G9" s="114" t="n">
        <f aca="false">Inputs!$E$63*(1+Inputs!$E$65)^(G$5-1)*MAX(0,MIN(1,G$4*1-Inputs!$E$66+1))/1</f>
        <v>3</v>
      </c>
      <c r="H9" s="114" t="n">
        <f aca="false">Inputs!$E$63*(1+Inputs!$E$65)^(H$5-1)*MAX(0,MIN(1,H$4*1-Inputs!$E$66+1))/1</f>
        <v>3</v>
      </c>
      <c r="I9" s="114" t="n">
        <f aca="false">Inputs!$E$63*(1+Inputs!$E$65)^(I$5-1)*MAX(0,MIN(1,I$4*1-Inputs!$E$66+1))/1</f>
        <v>3</v>
      </c>
      <c r="J9" s="114" t="n">
        <f aca="false">Inputs!$E$63*(1+Inputs!$E$65)^(J$5-1)*MAX(0,MIN(1,J$4*1-Inputs!$E$66+1))/1</f>
        <v>3</v>
      </c>
      <c r="K9" s="114" t="n">
        <f aca="false">Inputs!$E$63*(1+Inputs!$E$65)^(K$5-1)*MAX(0,MIN(1,K$4*1-Inputs!$E$66+1))/1</f>
        <v>3</v>
      </c>
      <c r="L9" s="114" t="n">
        <f aca="false">Inputs!$E$63*(1+Inputs!$E$65)^(L$5-1)*MAX(0,MIN(1,L$4*1-Inputs!$E$66+1))/1</f>
        <v>3</v>
      </c>
      <c r="M9" s="114" t="n">
        <f aca="false">Inputs!$E$63*(1+Inputs!$E$65)^(M$5-1)*MAX(0,MIN(1,M$4*1-Inputs!$E$66+1))/1</f>
        <v>3</v>
      </c>
      <c r="N9" s="114" t="n">
        <f aca="false">Inputs!$E$63*(1+Inputs!$E$65)^(N$5-1)*MAX(0,MIN(1,N$4*1-Inputs!$E$66+1))/1</f>
        <v>3</v>
      </c>
      <c r="O9" s="114" t="n">
        <f aca="false">Inputs!$E$63*(1+Inputs!$E$65)^(O$5-1)*MAX(0,MIN(1,O$4*1-Inputs!$E$66+1))/1</f>
        <v>3.18</v>
      </c>
      <c r="P9" s="114" t="n">
        <f aca="false">Inputs!$E$63*(1+Inputs!$E$65)^(P$5-1)*MAX(0,MIN(1,P$4*1-Inputs!$E$66+1))/1</f>
        <v>3.18</v>
      </c>
      <c r="Q9" s="114" t="n">
        <f aca="false">Inputs!$E$63*(1+Inputs!$E$65)^(Q$5-1)*MAX(0,MIN(1,Q$4*1-Inputs!$E$66+1))/1</f>
        <v>3.18</v>
      </c>
      <c r="R9" s="114" t="n">
        <f aca="false">Inputs!$E$63*(1+Inputs!$E$65)^(R$5-1)*MAX(0,MIN(1,R$4*1-Inputs!$E$66+1))/1</f>
        <v>3.18</v>
      </c>
      <c r="S9" s="114" t="n">
        <f aca="false">Inputs!$E$63*(1+Inputs!$E$65)^(S$5-1)*MAX(0,MIN(1,S$4*1-Inputs!$E$66+1))/1</f>
        <v>3.18</v>
      </c>
      <c r="T9" s="114" t="n">
        <f aca="false">Inputs!$E$63*(1+Inputs!$E$65)^(T$5-1)*MAX(0,MIN(1,T$4*1-Inputs!$E$66+1))/1</f>
        <v>3.18</v>
      </c>
      <c r="U9" s="114" t="n">
        <f aca="false">Inputs!$E$63*(1+Inputs!$E$65)^(U$5-1)*MAX(0,MIN(1,U$4*1-Inputs!$E$66+1))/1</f>
        <v>3.18</v>
      </c>
      <c r="V9" s="114" t="n">
        <f aca="false">Inputs!$E$63*(1+Inputs!$E$65)^(V$5-1)*MAX(0,MIN(1,V$4*1-Inputs!$E$66+1))/1</f>
        <v>3.18</v>
      </c>
      <c r="W9" s="114" t="n">
        <f aca="false">Inputs!$E$63*(1+Inputs!$E$65)^(W$5-1)*MAX(0,MIN(1,W$4*1-Inputs!$E$66+1))/1</f>
        <v>3.18</v>
      </c>
      <c r="X9" s="114" t="n">
        <f aca="false">Inputs!$E$63*(1+Inputs!$E$65)^(X$5-1)*MAX(0,MIN(1,X$4*1-Inputs!$E$66+1))/1</f>
        <v>3.18</v>
      </c>
      <c r="Y9" s="114" t="n">
        <f aca="false">Inputs!$E$63*(1+Inputs!$E$65)^(Y$5-1)*MAX(0,MIN(1,Y$4*1-Inputs!$E$66+1))/1</f>
        <v>3.18</v>
      </c>
      <c r="Z9" s="114" t="n">
        <f aca="false">Inputs!$E$63*(1+Inputs!$E$65)^(Z$5-1)*MAX(0,MIN(1,Z$4*1-Inputs!$E$66+1))/1</f>
        <v>3.18</v>
      </c>
      <c r="AA9" s="114" t="n">
        <f aca="false">Inputs!$E$63*(1+Inputs!$E$65)^(AA$5-1)*MAX(0,MIN(1,AA$4*1-Inputs!$E$66+1))/1</f>
        <v>3.3708</v>
      </c>
      <c r="AB9" s="114" t="n">
        <f aca="false">Inputs!$E$63*(1+Inputs!$E$65)^(AB$5-1)*MAX(0,MIN(1,AB$4*1-Inputs!$E$66+1))/1</f>
        <v>3.3708</v>
      </c>
      <c r="AC9" s="114" t="n">
        <f aca="false">Inputs!$E$63*(1+Inputs!$E$65)^(AC$5-1)*MAX(0,MIN(1,AC$4*1-Inputs!$E$66+1))/1</f>
        <v>3.3708</v>
      </c>
      <c r="AD9" s="114" t="n">
        <f aca="false">Inputs!$E$63*(1+Inputs!$E$65)^(AD$5-1)*MAX(0,MIN(1,AD$4*1-Inputs!$E$66+1))/1</f>
        <v>3.3708</v>
      </c>
      <c r="AE9" s="114" t="n">
        <f aca="false">Inputs!$E$63*(1+Inputs!$E$65)^(AE$5-1)*MAX(0,MIN(1,AE$4*1-Inputs!$E$66+1))/1</f>
        <v>3.3708</v>
      </c>
      <c r="AF9" s="114" t="n">
        <f aca="false">Inputs!$E$63*(1+Inputs!$E$65)^(AF$5-1)*MAX(0,MIN(1,AF$4*1-Inputs!$E$66+1))/1</f>
        <v>3.3708</v>
      </c>
      <c r="AG9" s="114" t="n">
        <f aca="false">Inputs!$E$63*(1+Inputs!$E$65)^(AG$5-1)*MAX(0,MIN(1,AG$4*1-Inputs!$E$66+1))/1</f>
        <v>3.3708</v>
      </c>
      <c r="AH9" s="114" t="n">
        <f aca="false">Inputs!$E$63*(1+Inputs!$E$65)^(AH$5-1)*MAX(0,MIN(1,AH$4*1-Inputs!$E$66+1))/1</f>
        <v>3.3708</v>
      </c>
      <c r="AI9" s="114" t="n">
        <f aca="false">Inputs!$E$63*(1+Inputs!$E$65)^(AI$5-1)*MAX(0,MIN(1,AI$4*1-Inputs!$E$66+1))/1</f>
        <v>3.3708</v>
      </c>
      <c r="AJ9" s="114" t="n">
        <f aca="false">Inputs!$E$63*(1+Inputs!$E$65)^(AJ$5-1)*MAX(0,MIN(1,AJ$4*1-Inputs!$E$66+1))/1</f>
        <v>3.3708</v>
      </c>
      <c r="AK9" s="114" t="n">
        <f aca="false">Inputs!$E$63*(1+Inputs!$E$65)^(AK$5-1)*MAX(0,MIN(1,AK$4*1-Inputs!$E$66+1))/1</f>
        <v>3.3708</v>
      </c>
      <c r="AL9" s="114" t="n">
        <f aca="false">Inputs!$E$63*(1+Inputs!$E$65)^(AL$5-1)*MAX(0,MIN(1,AL$4*1-Inputs!$E$66+1))/1</f>
        <v>3.3708</v>
      </c>
    </row>
    <row r="10" customFormat="false" ht="15" hidden="false" customHeight="false" outlineLevel="0" collapsed="false">
      <c r="A10" s="6" t="s">
        <v>460</v>
      </c>
      <c r="C10" s="114" t="n">
        <f aca="false">Inputs!$E$67*(1+Inputs!$E$69)^(C$5-1)*MAX(0,MIN(1,C$4*1-Inputs!$E$70+1))/1</f>
        <v>4.5</v>
      </c>
      <c r="D10" s="114" t="n">
        <f aca="false">Inputs!$E$67*(1+Inputs!$E$69)^(D$5-1)*MAX(0,MIN(1,D$4*1-Inputs!$E$70+1))/1</f>
        <v>4.5</v>
      </c>
      <c r="E10" s="114" t="n">
        <f aca="false">Inputs!$E$67*(1+Inputs!$E$69)^(E$5-1)*MAX(0,MIN(1,E$4*1-Inputs!$E$70+1))/1</f>
        <v>4.5</v>
      </c>
      <c r="F10" s="114" t="n">
        <f aca="false">Inputs!$E$67*(1+Inputs!$E$69)^(F$5-1)*MAX(0,MIN(1,F$4*1-Inputs!$E$70+1))/1</f>
        <v>4.5</v>
      </c>
      <c r="G10" s="114" t="n">
        <f aca="false">Inputs!$E$67*(1+Inputs!$E$69)^(G$5-1)*MAX(0,MIN(1,G$4*1-Inputs!$E$70+1))/1</f>
        <v>4.5</v>
      </c>
      <c r="H10" s="114" t="n">
        <f aca="false">Inputs!$E$67*(1+Inputs!$E$69)^(H$5-1)*MAX(0,MIN(1,H$4*1-Inputs!$E$70+1))/1</f>
        <v>4.5</v>
      </c>
      <c r="I10" s="114" t="n">
        <f aca="false">Inputs!$E$67*(1+Inputs!$E$69)^(I$5-1)*MAX(0,MIN(1,I$4*1-Inputs!$E$70+1))/1</f>
        <v>4.5</v>
      </c>
      <c r="J10" s="114" t="n">
        <f aca="false">Inputs!$E$67*(1+Inputs!$E$69)^(J$5-1)*MAX(0,MIN(1,J$4*1-Inputs!$E$70+1))/1</f>
        <v>4.5</v>
      </c>
      <c r="K10" s="114" t="n">
        <f aca="false">Inputs!$E$67*(1+Inputs!$E$69)^(K$5-1)*MAX(0,MIN(1,K$4*1-Inputs!$E$70+1))/1</f>
        <v>4.5</v>
      </c>
      <c r="L10" s="114" t="n">
        <f aca="false">Inputs!$E$67*(1+Inputs!$E$69)^(L$5-1)*MAX(0,MIN(1,L$4*1-Inputs!$E$70+1))/1</f>
        <v>4.5</v>
      </c>
      <c r="M10" s="114" t="n">
        <f aca="false">Inputs!$E$67*(1+Inputs!$E$69)^(M$5-1)*MAX(0,MIN(1,M$4*1-Inputs!$E$70+1))/1</f>
        <v>4.5</v>
      </c>
      <c r="N10" s="114" t="n">
        <f aca="false">Inputs!$E$67*(1+Inputs!$E$69)^(N$5-1)*MAX(0,MIN(1,N$4*1-Inputs!$E$70+1))/1</f>
        <v>4.5</v>
      </c>
      <c r="O10" s="114" t="n">
        <f aca="false">Inputs!$E$67*(1+Inputs!$E$69)^(O$5-1)*MAX(0,MIN(1,O$4*1-Inputs!$E$70+1))/1</f>
        <v>4.68</v>
      </c>
      <c r="P10" s="114" t="n">
        <f aca="false">Inputs!$E$67*(1+Inputs!$E$69)^(P$5-1)*MAX(0,MIN(1,P$4*1-Inputs!$E$70+1))/1</f>
        <v>4.68</v>
      </c>
      <c r="Q10" s="114" t="n">
        <f aca="false">Inputs!$E$67*(1+Inputs!$E$69)^(Q$5-1)*MAX(0,MIN(1,Q$4*1-Inputs!$E$70+1))/1</f>
        <v>4.68</v>
      </c>
      <c r="R10" s="114" t="n">
        <f aca="false">Inputs!$E$67*(1+Inputs!$E$69)^(R$5-1)*MAX(0,MIN(1,R$4*1-Inputs!$E$70+1))/1</f>
        <v>4.68</v>
      </c>
      <c r="S10" s="114" t="n">
        <f aca="false">Inputs!$E$67*(1+Inputs!$E$69)^(S$5-1)*MAX(0,MIN(1,S$4*1-Inputs!$E$70+1))/1</f>
        <v>4.68</v>
      </c>
      <c r="T10" s="114" t="n">
        <f aca="false">Inputs!$E$67*(1+Inputs!$E$69)^(T$5-1)*MAX(0,MIN(1,T$4*1-Inputs!$E$70+1))/1</f>
        <v>4.68</v>
      </c>
      <c r="U10" s="114" t="n">
        <f aca="false">Inputs!$E$67*(1+Inputs!$E$69)^(U$5-1)*MAX(0,MIN(1,U$4*1-Inputs!$E$70+1))/1</f>
        <v>4.68</v>
      </c>
      <c r="V10" s="114" t="n">
        <f aca="false">Inputs!$E$67*(1+Inputs!$E$69)^(V$5-1)*MAX(0,MIN(1,V$4*1-Inputs!$E$70+1))/1</f>
        <v>4.68</v>
      </c>
      <c r="W10" s="114" t="n">
        <f aca="false">Inputs!$E$67*(1+Inputs!$E$69)^(W$5-1)*MAX(0,MIN(1,W$4*1-Inputs!$E$70+1))/1</f>
        <v>4.68</v>
      </c>
      <c r="X10" s="114" t="n">
        <f aca="false">Inputs!$E$67*(1+Inputs!$E$69)^(X$5-1)*MAX(0,MIN(1,X$4*1-Inputs!$E$70+1))/1</f>
        <v>4.68</v>
      </c>
      <c r="Y10" s="114" t="n">
        <f aca="false">Inputs!$E$67*(1+Inputs!$E$69)^(Y$5-1)*MAX(0,MIN(1,Y$4*1-Inputs!$E$70+1))/1</f>
        <v>4.68</v>
      </c>
      <c r="Z10" s="114" t="n">
        <f aca="false">Inputs!$E$67*(1+Inputs!$E$69)^(Z$5-1)*MAX(0,MIN(1,Z$4*1-Inputs!$E$70+1))/1</f>
        <v>4.68</v>
      </c>
      <c r="AA10" s="114" t="n">
        <f aca="false">Inputs!$E$67*(1+Inputs!$E$69)^(AA$5-1)*MAX(0,MIN(1,AA$4*1-Inputs!$E$70+1))/1</f>
        <v>4.8672</v>
      </c>
      <c r="AB10" s="114" t="n">
        <f aca="false">Inputs!$E$67*(1+Inputs!$E$69)^(AB$5-1)*MAX(0,MIN(1,AB$4*1-Inputs!$E$70+1))/1</f>
        <v>4.8672</v>
      </c>
      <c r="AC10" s="114" t="n">
        <f aca="false">Inputs!$E$67*(1+Inputs!$E$69)^(AC$5-1)*MAX(0,MIN(1,AC$4*1-Inputs!$E$70+1))/1</f>
        <v>4.8672</v>
      </c>
      <c r="AD10" s="114" t="n">
        <f aca="false">Inputs!$E$67*(1+Inputs!$E$69)^(AD$5-1)*MAX(0,MIN(1,AD$4*1-Inputs!$E$70+1))/1</f>
        <v>4.8672</v>
      </c>
      <c r="AE10" s="114" t="n">
        <f aca="false">Inputs!$E$67*(1+Inputs!$E$69)^(AE$5-1)*MAX(0,MIN(1,AE$4*1-Inputs!$E$70+1))/1</f>
        <v>4.8672</v>
      </c>
      <c r="AF10" s="114" t="n">
        <f aca="false">Inputs!$E$67*(1+Inputs!$E$69)^(AF$5-1)*MAX(0,MIN(1,AF$4*1-Inputs!$E$70+1))/1</f>
        <v>4.8672</v>
      </c>
      <c r="AG10" s="114" t="n">
        <f aca="false">Inputs!$E$67*(1+Inputs!$E$69)^(AG$5-1)*MAX(0,MIN(1,AG$4*1-Inputs!$E$70+1))/1</f>
        <v>4.8672</v>
      </c>
      <c r="AH10" s="114" t="n">
        <f aca="false">Inputs!$E$67*(1+Inputs!$E$69)^(AH$5-1)*MAX(0,MIN(1,AH$4*1-Inputs!$E$70+1))/1</f>
        <v>4.8672</v>
      </c>
      <c r="AI10" s="114" t="n">
        <f aca="false">Inputs!$E$67*(1+Inputs!$E$69)^(AI$5-1)*MAX(0,MIN(1,AI$4*1-Inputs!$E$70+1))/1</f>
        <v>4.8672</v>
      </c>
      <c r="AJ10" s="114" t="n">
        <f aca="false">Inputs!$E$67*(1+Inputs!$E$69)^(AJ$5-1)*MAX(0,MIN(1,AJ$4*1-Inputs!$E$70+1))/1</f>
        <v>4.8672</v>
      </c>
      <c r="AK10" s="114" t="n">
        <f aca="false">Inputs!$E$67*(1+Inputs!$E$69)^(AK$5-1)*MAX(0,MIN(1,AK$4*1-Inputs!$E$70+1))/1</f>
        <v>4.8672</v>
      </c>
      <c r="AL10" s="114" t="n">
        <f aca="false">Inputs!$E$67*(1+Inputs!$E$69)^(AL$5-1)*MAX(0,MIN(1,AL$4*1-Inputs!$E$70+1))/1</f>
        <v>4.8672</v>
      </c>
    </row>
    <row r="11" customFormat="false" ht="15" hidden="false" customHeight="false" outlineLevel="0" collapsed="false">
      <c r="A11" s="6" t="s">
        <v>461</v>
      </c>
      <c r="C11" s="114" t="n">
        <f aca="false">Inputs!$E$71*(1+Inputs!$E$73)^(C$5-1)*MAX(0,MIN(1,C$4*1-Inputs!$E$74+1))/1</f>
        <v>3</v>
      </c>
      <c r="D11" s="114" t="n">
        <f aca="false">Inputs!$E$71*(1+Inputs!$E$73)^(D$5-1)*MAX(0,MIN(1,D$4*1-Inputs!$E$74+1))/1</f>
        <v>3</v>
      </c>
      <c r="E11" s="114" t="n">
        <f aca="false">Inputs!$E$71*(1+Inputs!$E$73)^(E$5-1)*MAX(0,MIN(1,E$4*1-Inputs!$E$74+1))/1</f>
        <v>3</v>
      </c>
      <c r="F11" s="114" t="n">
        <f aca="false">Inputs!$E$71*(1+Inputs!$E$73)^(F$5-1)*MAX(0,MIN(1,F$4*1-Inputs!$E$74+1))/1</f>
        <v>3</v>
      </c>
      <c r="G11" s="114" t="n">
        <f aca="false">Inputs!$E$71*(1+Inputs!$E$73)^(G$5-1)*MAX(0,MIN(1,G$4*1-Inputs!$E$74+1))/1</f>
        <v>3</v>
      </c>
      <c r="H11" s="114" t="n">
        <f aca="false">Inputs!$E$71*(1+Inputs!$E$73)^(H$5-1)*MAX(0,MIN(1,H$4*1-Inputs!$E$74+1))/1</f>
        <v>3</v>
      </c>
      <c r="I11" s="114" t="n">
        <f aca="false">Inputs!$E$71*(1+Inputs!$E$73)^(I$5-1)*MAX(0,MIN(1,I$4*1-Inputs!$E$74+1))/1</f>
        <v>3</v>
      </c>
      <c r="J11" s="114" t="n">
        <f aca="false">Inputs!$E$71*(1+Inputs!$E$73)^(J$5-1)*MAX(0,MIN(1,J$4*1-Inputs!$E$74+1))/1</f>
        <v>3</v>
      </c>
      <c r="K11" s="114" t="n">
        <f aca="false">Inputs!$E$71*(1+Inputs!$E$73)^(K$5-1)*MAX(0,MIN(1,K$4*1-Inputs!$E$74+1))/1</f>
        <v>3</v>
      </c>
      <c r="L11" s="114" t="n">
        <f aca="false">Inputs!$E$71*(1+Inputs!$E$73)^(L$5-1)*MAX(0,MIN(1,L$4*1-Inputs!$E$74+1))/1</f>
        <v>3</v>
      </c>
      <c r="M11" s="114" t="n">
        <f aca="false">Inputs!$E$71*(1+Inputs!$E$73)^(M$5-1)*MAX(0,MIN(1,M$4*1-Inputs!$E$74+1))/1</f>
        <v>3</v>
      </c>
      <c r="N11" s="114" t="n">
        <f aca="false">Inputs!$E$71*(1+Inputs!$E$73)^(N$5-1)*MAX(0,MIN(1,N$4*1-Inputs!$E$74+1))/1</f>
        <v>3</v>
      </c>
      <c r="O11" s="114" t="n">
        <f aca="false">Inputs!$E$71*(1+Inputs!$E$73)^(O$5-1)*MAX(0,MIN(1,O$4*1-Inputs!$E$74+1))/1</f>
        <v>3.12</v>
      </c>
      <c r="P11" s="114" t="n">
        <f aca="false">Inputs!$E$71*(1+Inputs!$E$73)^(P$5-1)*MAX(0,MIN(1,P$4*1-Inputs!$E$74+1))/1</f>
        <v>3.12</v>
      </c>
      <c r="Q11" s="114" t="n">
        <f aca="false">Inputs!$E$71*(1+Inputs!$E$73)^(Q$5-1)*MAX(0,MIN(1,Q$4*1-Inputs!$E$74+1))/1</f>
        <v>3.12</v>
      </c>
      <c r="R11" s="114" t="n">
        <f aca="false">Inputs!$E$71*(1+Inputs!$E$73)^(R$5-1)*MAX(0,MIN(1,R$4*1-Inputs!$E$74+1))/1</f>
        <v>3.12</v>
      </c>
      <c r="S11" s="114" t="n">
        <f aca="false">Inputs!$E$71*(1+Inputs!$E$73)^(S$5-1)*MAX(0,MIN(1,S$4*1-Inputs!$E$74+1))/1</f>
        <v>3.12</v>
      </c>
      <c r="T11" s="114" t="n">
        <f aca="false">Inputs!$E$71*(1+Inputs!$E$73)^(T$5-1)*MAX(0,MIN(1,T$4*1-Inputs!$E$74+1))/1</f>
        <v>3.12</v>
      </c>
      <c r="U11" s="114" t="n">
        <f aca="false">Inputs!$E$71*(1+Inputs!$E$73)^(U$5-1)*MAX(0,MIN(1,U$4*1-Inputs!$E$74+1))/1</f>
        <v>3.12</v>
      </c>
      <c r="V11" s="114" t="n">
        <f aca="false">Inputs!$E$71*(1+Inputs!$E$73)^(V$5-1)*MAX(0,MIN(1,V$4*1-Inputs!$E$74+1))/1</f>
        <v>3.12</v>
      </c>
      <c r="W11" s="114" t="n">
        <f aca="false">Inputs!$E$71*(1+Inputs!$E$73)^(W$5-1)*MAX(0,MIN(1,W$4*1-Inputs!$E$74+1))/1</f>
        <v>3.12</v>
      </c>
      <c r="X11" s="114" t="n">
        <f aca="false">Inputs!$E$71*(1+Inputs!$E$73)^(X$5-1)*MAX(0,MIN(1,X$4*1-Inputs!$E$74+1))/1</f>
        <v>3.12</v>
      </c>
      <c r="Y11" s="114" t="n">
        <f aca="false">Inputs!$E$71*(1+Inputs!$E$73)^(Y$5-1)*MAX(0,MIN(1,Y$4*1-Inputs!$E$74+1))/1</f>
        <v>3.12</v>
      </c>
      <c r="Z11" s="114" t="n">
        <f aca="false">Inputs!$E$71*(1+Inputs!$E$73)^(Z$5-1)*MAX(0,MIN(1,Z$4*1-Inputs!$E$74+1))/1</f>
        <v>3.12</v>
      </c>
      <c r="AA11" s="114" t="n">
        <f aca="false">Inputs!$E$71*(1+Inputs!$E$73)^(AA$5-1)*MAX(0,MIN(1,AA$4*1-Inputs!$E$74+1))/1</f>
        <v>3.2448</v>
      </c>
      <c r="AB11" s="114" t="n">
        <f aca="false">Inputs!$E$71*(1+Inputs!$E$73)^(AB$5-1)*MAX(0,MIN(1,AB$4*1-Inputs!$E$74+1))/1</f>
        <v>3.2448</v>
      </c>
      <c r="AC11" s="114" t="n">
        <f aca="false">Inputs!$E$71*(1+Inputs!$E$73)^(AC$5-1)*MAX(0,MIN(1,AC$4*1-Inputs!$E$74+1))/1</f>
        <v>3.2448</v>
      </c>
      <c r="AD11" s="114" t="n">
        <f aca="false">Inputs!$E$71*(1+Inputs!$E$73)^(AD$5-1)*MAX(0,MIN(1,AD$4*1-Inputs!$E$74+1))/1</f>
        <v>3.2448</v>
      </c>
      <c r="AE11" s="114" t="n">
        <f aca="false">Inputs!$E$71*(1+Inputs!$E$73)^(AE$5-1)*MAX(0,MIN(1,AE$4*1-Inputs!$E$74+1))/1</f>
        <v>3.2448</v>
      </c>
      <c r="AF11" s="114" t="n">
        <f aca="false">Inputs!$E$71*(1+Inputs!$E$73)^(AF$5-1)*MAX(0,MIN(1,AF$4*1-Inputs!$E$74+1))/1</f>
        <v>3.2448</v>
      </c>
      <c r="AG11" s="114" t="n">
        <f aca="false">Inputs!$E$71*(1+Inputs!$E$73)^(AG$5-1)*MAX(0,MIN(1,AG$4*1-Inputs!$E$74+1))/1</f>
        <v>3.2448</v>
      </c>
      <c r="AH11" s="114" t="n">
        <f aca="false">Inputs!$E$71*(1+Inputs!$E$73)^(AH$5-1)*MAX(0,MIN(1,AH$4*1-Inputs!$E$74+1))/1</f>
        <v>3.2448</v>
      </c>
      <c r="AI11" s="114" t="n">
        <f aca="false">Inputs!$E$71*(1+Inputs!$E$73)^(AI$5-1)*MAX(0,MIN(1,AI$4*1-Inputs!$E$74+1))/1</f>
        <v>3.2448</v>
      </c>
      <c r="AJ11" s="114" t="n">
        <f aca="false">Inputs!$E$71*(1+Inputs!$E$73)^(AJ$5-1)*MAX(0,MIN(1,AJ$4*1-Inputs!$E$74+1))/1</f>
        <v>3.2448</v>
      </c>
      <c r="AK11" s="114" t="n">
        <f aca="false">Inputs!$E$71*(1+Inputs!$E$73)^(AK$5-1)*MAX(0,MIN(1,AK$4*1-Inputs!$E$74+1))/1</f>
        <v>3.2448</v>
      </c>
      <c r="AL11" s="114" t="n">
        <f aca="false">Inputs!$E$71*(1+Inputs!$E$73)^(AL$5-1)*MAX(0,MIN(1,AL$4*1-Inputs!$E$74+1))/1</f>
        <v>3.2448</v>
      </c>
    </row>
    <row r="12" customFormat="false" ht="15" hidden="false" customHeight="false" outlineLevel="0" collapsed="false">
      <c r="A12" s="6" t="s">
        <v>462</v>
      </c>
      <c r="C12" s="114" t="n">
        <f aca="false">Inputs!$E$75*(1+Inputs!$E$77)^(C$5-1)*MAX(0,MIN(1,C$4*1-Inputs!$E$78+1))/1</f>
        <v>1</v>
      </c>
      <c r="D12" s="114" t="n">
        <f aca="false">Inputs!$E$75*(1+Inputs!$E$77)^(D$5-1)*MAX(0,MIN(1,D$4*1-Inputs!$E$78+1))/1</f>
        <v>1</v>
      </c>
      <c r="E12" s="114" t="n">
        <f aca="false">Inputs!$E$75*(1+Inputs!$E$77)^(E$5-1)*MAX(0,MIN(1,E$4*1-Inputs!$E$78+1))/1</f>
        <v>1</v>
      </c>
      <c r="F12" s="114" t="n">
        <f aca="false">Inputs!$E$75*(1+Inputs!$E$77)^(F$5-1)*MAX(0,MIN(1,F$4*1-Inputs!$E$78+1))/1</f>
        <v>1</v>
      </c>
      <c r="G12" s="114" t="n">
        <f aca="false">Inputs!$E$75*(1+Inputs!$E$77)^(G$5-1)*MAX(0,MIN(1,G$4*1-Inputs!$E$78+1))/1</f>
        <v>1</v>
      </c>
      <c r="H12" s="114" t="n">
        <f aca="false">Inputs!$E$75*(1+Inputs!$E$77)^(H$5-1)*MAX(0,MIN(1,H$4*1-Inputs!$E$78+1))/1</f>
        <v>1</v>
      </c>
      <c r="I12" s="114" t="n">
        <f aca="false">Inputs!$E$75*(1+Inputs!$E$77)^(I$5-1)*MAX(0,MIN(1,I$4*1-Inputs!$E$78+1))/1</f>
        <v>1</v>
      </c>
      <c r="J12" s="114" t="n">
        <f aca="false">Inputs!$E$75*(1+Inputs!$E$77)^(J$5-1)*MAX(0,MIN(1,J$4*1-Inputs!$E$78+1))/1</f>
        <v>1</v>
      </c>
      <c r="K12" s="114" t="n">
        <f aca="false">Inputs!$E$75*(1+Inputs!$E$77)^(K$5-1)*MAX(0,MIN(1,K$4*1-Inputs!$E$78+1))/1</f>
        <v>1</v>
      </c>
      <c r="L12" s="114" t="n">
        <f aca="false">Inputs!$E$75*(1+Inputs!$E$77)^(L$5-1)*MAX(0,MIN(1,L$4*1-Inputs!$E$78+1))/1</f>
        <v>1</v>
      </c>
      <c r="M12" s="114" t="n">
        <f aca="false">Inputs!$E$75*(1+Inputs!$E$77)^(M$5-1)*MAX(0,MIN(1,M$4*1-Inputs!$E$78+1))/1</f>
        <v>1</v>
      </c>
      <c r="N12" s="114" t="n">
        <f aca="false">Inputs!$E$75*(1+Inputs!$E$77)^(N$5-1)*MAX(0,MIN(1,N$4*1-Inputs!$E$78+1))/1</f>
        <v>1</v>
      </c>
      <c r="O12" s="114" t="n">
        <f aca="false">Inputs!$E$75*(1+Inputs!$E$77)^(O$5-1)*MAX(0,MIN(1,O$4*1-Inputs!$E$78+1))/1</f>
        <v>1</v>
      </c>
      <c r="P12" s="114" t="n">
        <f aca="false">Inputs!$E$75*(1+Inputs!$E$77)^(P$5-1)*MAX(0,MIN(1,P$4*1-Inputs!$E$78+1))/1</f>
        <v>1</v>
      </c>
      <c r="Q12" s="114" t="n">
        <f aca="false">Inputs!$E$75*(1+Inputs!$E$77)^(Q$5-1)*MAX(0,MIN(1,Q$4*1-Inputs!$E$78+1))/1</f>
        <v>1</v>
      </c>
      <c r="R12" s="114" t="n">
        <f aca="false">Inputs!$E$75*(1+Inputs!$E$77)^(R$5-1)*MAX(0,MIN(1,R$4*1-Inputs!$E$78+1))/1</f>
        <v>1</v>
      </c>
      <c r="S12" s="114" t="n">
        <f aca="false">Inputs!$E$75*(1+Inputs!$E$77)^(S$5-1)*MAX(0,MIN(1,S$4*1-Inputs!$E$78+1))/1</f>
        <v>1</v>
      </c>
      <c r="T12" s="114" t="n">
        <f aca="false">Inputs!$E$75*(1+Inputs!$E$77)^(T$5-1)*MAX(0,MIN(1,T$4*1-Inputs!$E$78+1))/1</f>
        <v>1</v>
      </c>
      <c r="U12" s="114" t="n">
        <f aca="false">Inputs!$E$75*(1+Inputs!$E$77)^(U$5-1)*MAX(0,MIN(1,U$4*1-Inputs!$E$78+1))/1</f>
        <v>1</v>
      </c>
      <c r="V12" s="114" t="n">
        <f aca="false">Inputs!$E$75*(1+Inputs!$E$77)^(V$5-1)*MAX(0,MIN(1,V$4*1-Inputs!$E$78+1))/1</f>
        <v>1</v>
      </c>
      <c r="W12" s="114" t="n">
        <f aca="false">Inputs!$E$75*(1+Inputs!$E$77)^(W$5-1)*MAX(0,MIN(1,W$4*1-Inputs!$E$78+1))/1</f>
        <v>1</v>
      </c>
      <c r="X12" s="114" t="n">
        <f aca="false">Inputs!$E$75*(1+Inputs!$E$77)^(X$5-1)*MAX(0,MIN(1,X$4*1-Inputs!$E$78+1))/1</f>
        <v>1</v>
      </c>
      <c r="Y12" s="114" t="n">
        <f aca="false">Inputs!$E$75*(1+Inputs!$E$77)^(Y$5-1)*MAX(0,MIN(1,Y$4*1-Inputs!$E$78+1))/1</f>
        <v>1</v>
      </c>
      <c r="Z12" s="114" t="n">
        <f aca="false">Inputs!$E$75*(1+Inputs!$E$77)^(Z$5-1)*MAX(0,MIN(1,Z$4*1-Inputs!$E$78+1))/1</f>
        <v>1</v>
      </c>
      <c r="AA12" s="114" t="n">
        <f aca="false">Inputs!$E$75*(1+Inputs!$E$77)^(AA$5-1)*MAX(0,MIN(1,AA$4*1-Inputs!$E$78+1))/1</f>
        <v>1</v>
      </c>
      <c r="AB12" s="114" t="n">
        <f aca="false">Inputs!$E$75*(1+Inputs!$E$77)^(AB$5-1)*MAX(0,MIN(1,AB$4*1-Inputs!$E$78+1))/1</f>
        <v>1</v>
      </c>
      <c r="AC12" s="114" t="n">
        <f aca="false">Inputs!$E$75*(1+Inputs!$E$77)^(AC$5-1)*MAX(0,MIN(1,AC$4*1-Inputs!$E$78+1))/1</f>
        <v>1</v>
      </c>
      <c r="AD12" s="114" t="n">
        <f aca="false">Inputs!$E$75*(1+Inputs!$E$77)^(AD$5-1)*MAX(0,MIN(1,AD$4*1-Inputs!$E$78+1))/1</f>
        <v>1</v>
      </c>
      <c r="AE12" s="114" t="n">
        <f aca="false">Inputs!$E$75*(1+Inputs!$E$77)^(AE$5-1)*MAX(0,MIN(1,AE$4*1-Inputs!$E$78+1))/1</f>
        <v>1</v>
      </c>
      <c r="AF12" s="114" t="n">
        <f aca="false">Inputs!$E$75*(1+Inputs!$E$77)^(AF$5-1)*MAX(0,MIN(1,AF$4*1-Inputs!$E$78+1))/1</f>
        <v>1</v>
      </c>
      <c r="AG12" s="114" t="n">
        <f aca="false">Inputs!$E$75*(1+Inputs!$E$77)^(AG$5-1)*MAX(0,MIN(1,AG$4*1-Inputs!$E$78+1))/1</f>
        <v>1</v>
      </c>
      <c r="AH12" s="114" t="n">
        <f aca="false">Inputs!$E$75*(1+Inputs!$E$77)^(AH$5-1)*MAX(0,MIN(1,AH$4*1-Inputs!$E$78+1))/1</f>
        <v>1</v>
      </c>
      <c r="AI12" s="114" t="n">
        <f aca="false">Inputs!$E$75*(1+Inputs!$E$77)^(AI$5-1)*MAX(0,MIN(1,AI$4*1-Inputs!$E$78+1))/1</f>
        <v>1</v>
      </c>
      <c r="AJ12" s="114" t="n">
        <f aca="false">Inputs!$E$75*(1+Inputs!$E$77)^(AJ$5-1)*MAX(0,MIN(1,AJ$4*1-Inputs!$E$78+1))/1</f>
        <v>1</v>
      </c>
      <c r="AK12" s="114" t="n">
        <f aca="false">Inputs!$E$75*(1+Inputs!$E$77)^(AK$5-1)*MAX(0,MIN(1,AK$4*1-Inputs!$E$78+1))/1</f>
        <v>1</v>
      </c>
      <c r="AL12" s="114" t="n">
        <f aca="false">Inputs!$E$75*(1+Inputs!$E$77)^(AL$5-1)*MAX(0,MIN(1,AL$4*1-Inputs!$E$78+1))/1</f>
        <v>1</v>
      </c>
    </row>
    <row r="13" customFormat="false" ht="15" hidden="false" customHeight="false" outlineLevel="0" collapsed="false">
      <c r="A13" s="111" t="s">
        <v>463</v>
      </c>
      <c r="C13" s="120" t="n">
        <f aca="false">C8+C9+C10+C11+C12</f>
        <v>12.5</v>
      </c>
      <c r="D13" s="120" t="n">
        <f aca="false">D8+D9+D10+D11+D12</f>
        <v>12.5</v>
      </c>
      <c r="E13" s="120" t="n">
        <f aca="false">E8+E9+E10+E11+E12</f>
        <v>12.5</v>
      </c>
      <c r="F13" s="120" t="n">
        <f aca="false">F8+F9+F10+F11+F12</f>
        <v>12.5</v>
      </c>
      <c r="G13" s="120" t="n">
        <f aca="false">G8+G9+G10+G11+G12</f>
        <v>12.5</v>
      </c>
      <c r="H13" s="120" t="n">
        <f aca="false">H8+H9+H10+H11+H12</f>
        <v>12.5</v>
      </c>
      <c r="I13" s="120" t="n">
        <f aca="false">I8+I9+I10+I11+I12</f>
        <v>12.5</v>
      </c>
      <c r="J13" s="120" t="n">
        <f aca="false">J8+J9+J10+J11+J12</f>
        <v>12.5</v>
      </c>
      <c r="K13" s="120" t="n">
        <f aca="false">K8+K9+K10+K11+K12</f>
        <v>12.5</v>
      </c>
      <c r="L13" s="120" t="n">
        <f aca="false">L8+L9+L10+L11+L12</f>
        <v>12.5</v>
      </c>
      <c r="M13" s="120" t="n">
        <f aca="false">M8+M9+M10+M11+M12</f>
        <v>12.5</v>
      </c>
      <c r="N13" s="120" t="n">
        <f aca="false">N8+N9+N10+N11+N12</f>
        <v>12.5</v>
      </c>
      <c r="O13" s="120" t="n">
        <f aca="false">O8+O9+O10+O11+O12</f>
        <v>12.98</v>
      </c>
      <c r="P13" s="120" t="n">
        <f aca="false">P8+P9+P10+P11+P12</f>
        <v>12.98</v>
      </c>
      <c r="Q13" s="120" t="n">
        <f aca="false">Q8+Q9+Q10+Q11+Q12</f>
        <v>12.98</v>
      </c>
      <c r="R13" s="120" t="n">
        <f aca="false">R8+R9+R10+R11+R12</f>
        <v>12.98</v>
      </c>
      <c r="S13" s="120" t="n">
        <f aca="false">S8+S9+S10+S11+S12</f>
        <v>12.98</v>
      </c>
      <c r="T13" s="120" t="n">
        <f aca="false">T8+T9+T10+T11+T12</f>
        <v>12.98</v>
      </c>
      <c r="U13" s="120" t="n">
        <f aca="false">U8+U9+U10+U11+U12</f>
        <v>12.98</v>
      </c>
      <c r="V13" s="120" t="n">
        <f aca="false">V8+V9+V10+V11+V12</f>
        <v>12.98</v>
      </c>
      <c r="W13" s="120" t="n">
        <f aca="false">W8+W9+W10+W11+W12</f>
        <v>12.98</v>
      </c>
      <c r="X13" s="120" t="n">
        <f aca="false">X8+X9+X10+X11+X12</f>
        <v>12.98</v>
      </c>
      <c r="Y13" s="120" t="n">
        <f aca="false">Y8+Y9+Y10+Y11+Y12</f>
        <v>12.98</v>
      </c>
      <c r="Z13" s="120" t="n">
        <f aca="false">Z8+Z9+Z10+Z11+Z12</f>
        <v>12.98</v>
      </c>
      <c r="AA13" s="120" t="n">
        <f aca="false">AA8+AA9+AA10+AA11+AA12</f>
        <v>13.4828</v>
      </c>
      <c r="AB13" s="120" t="n">
        <f aca="false">AB8+AB9+AB10+AB11+AB12</f>
        <v>13.4828</v>
      </c>
      <c r="AC13" s="120" t="n">
        <f aca="false">AC8+AC9+AC10+AC11+AC12</f>
        <v>13.4828</v>
      </c>
      <c r="AD13" s="120" t="n">
        <f aca="false">AD8+AD9+AD10+AD11+AD12</f>
        <v>13.4828</v>
      </c>
      <c r="AE13" s="120" t="n">
        <f aca="false">AE8+AE9+AE10+AE11+AE12</f>
        <v>13.4828</v>
      </c>
      <c r="AF13" s="120" t="n">
        <f aca="false">AF8+AF9+AF10+AF11+AF12</f>
        <v>13.4828</v>
      </c>
      <c r="AG13" s="120" t="n">
        <f aca="false">AG8+AG9+AG10+AG11+AG12</f>
        <v>13.4828</v>
      </c>
      <c r="AH13" s="120" t="n">
        <f aca="false">AH8+AH9+AH10+AH11+AH12</f>
        <v>13.4828</v>
      </c>
      <c r="AI13" s="120" t="n">
        <f aca="false">AI8+AI9+AI10+AI11+AI12</f>
        <v>13.4828</v>
      </c>
      <c r="AJ13" s="120" t="n">
        <f aca="false">AJ8+AJ9+AJ10+AJ11+AJ12</f>
        <v>13.4828</v>
      </c>
      <c r="AK13" s="120" t="n">
        <f aca="false">AK8+AK9+AK10+AK11+AK12</f>
        <v>13.4828</v>
      </c>
      <c r="AL13" s="120" t="n">
        <f aca="false">AL8+AL9+AL10+AL11+AL12</f>
        <v>13.4828</v>
      </c>
    </row>
    <row r="15" customFormat="false" ht="15.75" hidden="false" customHeight="true" outlineLevel="0" collapsed="false">
      <c r="A15" s="7" t="s">
        <v>464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customFormat="false" ht="15" hidden="false" customHeight="false" outlineLevel="0" collapsed="false">
      <c r="A16" s="6" t="s">
        <v>465</v>
      </c>
      <c r="C16" s="67" t="n">
        <f aca="false">-C8*Inputs!$E$60/12*1*(1+Inputs!$E$79)*(1+Inputs!$E$80)^(C$5-1)</f>
        <v>-16500</v>
      </c>
      <c r="D16" s="67" t="n">
        <f aca="false">-D8*Inputs!$E$60/12*1*(1+Inputs!$E$79)*(1+Inputs!$E$80)^(D$5-1)</f>
        <v>-16500</v>
      </c>
      <c r="E16" s="67" t="n">
        <f aca="false">-E8*Inputs!$E$60/12*1*(1+Inputs!$E$79)*(1+Inputs!$E$80)^(E$5-1)</f>
        <v>-16500</v>
      </c>
      <c r="F16" s="67" t="n">
        <f aca="false">-F8*Inputs!$E$60/12*1*(1+Inputs!$E$79)*(1+Inputs!$E$80)^(F$5-1)</f>
        <v>-16500</v>
      </c>
      <c r="G16" s="67" t="n">
        <f aca="false">-G8*Inputs!$E$60/12*1*(1+Inputs!$E$79)*(1+Inputs!$E$80)^(G$5-1)</f>
        <v>-16500</v>
      </c>
      <c r="H16" s="67" t="n">
        <f aca="false">-H8*Inputs!$E$60/12*1*(1+Inputs!$E$79)*(1+Inputs!$E$80)^(H$5-1)</f>
        <v>-16500</v>
      </c>
      <c r="I16" s="67" t="n">
        <f aca="false">-I8*Inputs!$E$60/12*1*(1+Inputs!$E$79)*(1+Inputs!$E$80)^(I$5-1)</f>
        <v>-16500</v>
      </c>
      <c r="J16" s="67" t="n">
        <f aca="false">-J8*Inputs!$E$60/12*1*(1+Inputs!$E$79)*(1+Inputs!$E$80)^(J$5-1)</f>
        <v>-16500</v>
      </c>
      <c r="K16" s="67" t="n">
        <f aca="false">-K8*Inputs!$E$60/12*1*(1+Inputs!$E$79)*(1+Inputs!$E$80)^(K$5-1)</f>
        <v>-16500</v>
      </c>
      <c r="L16" s="67" t="n">
        <f aca="false">-L8*Inputs!$E$60/12*1*(1+Inputs!$E$79)*(1+Inputs!$E$80)^(L$5-1)</f>
        <v>-16500</v>
      </c>
      <c r="M16" s="67" t="n">
        <f aca="false">-M8*Inputs!$E$60/12*1*(1+Inputs!$E$79)*(1+Inputs!$E$80)^(M$5-1)</f>
        <v>-16500</v>
      </c>
      <c r="N16" s="67" t="n">
        <f aca="false">-N8*Inputs!$E$60/12*1*(1+Inputs!$E$79)*(1+Inputs!$E$80)^(N$5-1)</f>
        <v>-16500</v>
      </c>
      <c r="O16" s="67" t="n">
        <f aca="false">-O8*Inputs!$E$60/12*1*(1+Inputs!$E$79)*(1+Inputs!$E$80)^(O$5-1)</f>
        <v>-16995</v>
      </c>
      <c r="P16" s="67" t="n">
        <f aca="false">-P8*Inputs!$E$60/12*1*(1+Inputs!$E$79)*(1+Inputs!$E$80)^(P$5-1)</f>
        <v>-16995</v>
      </c>
      <c r="Q16" s="67" t="n">
        <f aca="false">-Q8*Inputs!$E$60/12*1*(1+Inputs!$E$79)*(1+Inputs!$E$80)^(Q$5-1)</f>
        <v>-16995</v>
      </c>
      <c r="R16" s="67" t="n">
        <f aca="false">-R8*Inputs!$E$60/12*1*(1+Inputs!$E$79)*(1+Inputs!$E$80)^(R$5-1)</f>
        <v>-16995</v>
      </c>
      <c r="S16" s="67" t="n">
        <f aca="false">-S8*Inputs!$E$60/12*1*(1+Inputs!$E$79)*(1+Inputs!$E$80)^(S$5-1)</f>
        <v>-16995</v>
      </c>
      <c r="T16" s="67" t="n">
        <f aca="false">-T8*Inputs!$E$60/12*1*(1+Inputs!$E$79)*(1+Inputs!$E$80)^(T$5-1)</f>
        <v>-16995</v>
      </c>
      <c r="U16" s="67" t="n">
        <f aca="false">-U8*Inputs!$E$60/12*1*(1+Inputs!$E$79)*(1+Inputs!$E$80)^(U$5-1)</f>
        <v>-16995</v>
      </c>
      <c r="V16" s="67" t="n">
        <f aca="false">-V8*Inputs!$E$60/12*1*(1+Inputs!$E$79)*(1+Inputs!$E$80)^(V$5-1)</f>
        <v>-16995</v>
      </c>
      <c r="W16" s="67" t="n">
        <f aca="false">-W8*Inputs!$E$60/12*1*(1+Inputs!$E$79)*(1+Inputs!$E$80)^(W$5-1)</f>
        <v>-16995</v>
      </c>
      <c r="X16" s="67" t="n">
        <f aca="false">-X8*Inputs!$E$60/12*1*(1+Inputs!$E$79)*(1+Inputs!$E$80)^(X$5-1)</f>
        <v>-16995</v>
      </c>
      <c r="Y16" s="67" t="n">
        <f aca="false">-Y8*Inputs!$E$60/12*1*(1+Inputs!$E$79)*(1+Inputs!$E$80)^(Y$5-1)</f>
        <v>-16995</v>
      </c>
      <c r="Z16" s="67" t="n">
        <f aca="false">-Z8*Inputs!$E$60/12*1*(1+Inputs!$E$79)*(1+Inputs!$E$80)^(Z$5-1)</f>
        <v>-16995</v>
      </c>
      <c r="AA16" s="67" t="n">
        <f aca="false">-AA8*Inputs!$E$60/12*1*(1+Inputs!$E$79)*(1+Inputs!$E$80)^(AA$5-1)</f>
        <v>-17504.85</v>
      </c>
      <c r="AB16" s="67" t="n">
        <f aca="false">-AB8*Inputs!$E$60/12*1*(1+Inputs!$E$79)*(1+Inputs!$E$80)^(AB$5-1)</f>
        <v>-17504.85</v>
      </c>
      <c r="AC16" s="67" t="n">
        <f aca="false">-AC8*Inputs!$E$60/12*1*(1+Inputs!$E$79)*(1+Inputs!$E$80)^(AC$5-1)</f>
        <v>-17504.85</v>
      </c>
      <c r="AD16" s="67" t="n">
        <f aca="false">-AD8*Inputs!$E$60/12*1*(1+Inputs!$E$79)*(1+Inputs!$E$80)^(AD$5-1)</f>
        <v>-17504.85</v>
      </c>
      <c r="AE16" s="67" t="n">
        <f aca="false">-AE8*Inputs!$E$60/12*1*(1+Inputs!$E$79)*(1+Inputs!$E$80)^(AE$5-1)</f>
        <v>-17504.85</v>
      </c>
      <c r="AF16" s="67" t="n">
        <f aca="false">-AF8*Inputs!$E$60/12*1*(1+Inputs!$E$79)*(1+Inputs!$E$80)^(AF$5-1)</f>
        <v>-17504.85</v>
      </c>
      <c r="AG16" s="67" t="n">
        <f aca="false">-AG8*Inputs!$E$60/12*1*(1+Inputs!$E$79)*(1+Inputs!$E$80)^(AG$5-1)</f>
        <v>-17504.85</v>
      </c>
      <c r="AH16" s="67" t="n">
        <f aca="false">-AH8*Inputs!$E$60/12*1*(1+Inputs!$E$79)*(1+Inputs!$E$80)^(AH$5-1)</f>
        <v>-17504.85</v>
      </c>
      <c r="AI16" s="67" t="n">
        <f aca="false">-AI8*Inputs!$E$60/12*1*(1+Inputs!$E$79)*(1+Inputs!$E$80)^(AI$5-1)</f>
        <v>-17504.85</v>
      </c>
      <c r="AJ16" s="67" t="n">
        <f aca="false">-AJ8*Inputs!$E$60/12*1*(1+Inputs!$E$79)*(1+Inputs!$E$80)^(AJ$5-1)</f>
        <v>-17504.85</v>
      </c>
      <c r="AK16" s="67" t="n">
        <f aca="false">-AK8*Inputs!$E$60/12*1*(1+Inputs!$E$79)*(1+Inputs!$E$80)^(AK$5-1)</f>
        <v>-17504.85</v>
      </c>
      <c r="AL16" s="67" t="n">
        <f aca="false">-AL8*Inputs!$E$60/12*1*(1+Inputs!$E$79)*(1+Inputs!$E$80)^(AL$5-1)</f>
        <v>-17504.85</v>
      </c>
    </row>
    <row r="17" customFormat="false" ht="15" hidden="false" customHeight="false" outlineLevel="0" collapsed="false">
      <c r="A17" s="6" t="s">
        <v>466</v>
      </c>
      <c r="C17" s="67" t="n">
        <f aca="false">-C9*Inputs!$E$64/12*1*(1+Inputs!$E$79)*(1+Inputs!$E$80)^(C$5-1)</f>
        <v>-26400</v>
      </c>
      <c r="D17" s="67" t="n">
        <f aca="false">-D9*Inputs!$E$64/12*1*(1+Inputs!$E$79)*(1+Inputs!$E$80)^(D$5-1)</f>
        <v>-26400</v>
      </c>
      <c r="E17" s="67" t="n">
        <f aca="false">-E9*Inputs!$E$64/12*1*(1+Inputs!$E$79)*(1+Inputs!$E$80)^(E$5-1)</f>
        <v>-26400</v>
      </c>
      <c r="F17" s="67" t="n">
        <f aca="false">-F9*Inputs!$E$64/12*1*(1+Inputs!$E$79)*(1+Inputs!$E$80)^(F$5-1)</f>
        <v>-26400</v>
      </c>
      <c r="G17" s="67" t="n">
        <f aca="false">-G9*Inputs!$E$64/12*1*(1+Inputs!$E$79)*(1+Inputs!$E$80)^(G$5-1)</f>
        <v>-26400</v>
      </c>
      <c r="H17" s="67" t="n">
        <f aca="false">-H9*Inputs!$E$64/12*1*(1+Inputs!$E$79)*(1+Inputs!$E$80)^(H$5-1)</f>
        <v>-26400</v>
      </c>
      <c r="I17" s="67" t="n">
        <f aca="false">-I9*Inputs!$E$64/12*1*(1+Inputs!$E$79)*(1+Inputs!$E$80)^(I$5-1)</f>
        <v>-26400</v>
      </c>
      <c r="J17" s="67" t="n">
        <f aca="false">-J9*Inputs!$E$64/12*1*(1+Inputs!$E$79)*(1+Inputs!$E$80)^(J$5-1)</f>
        <v>-26400</v>
      </c>
      <c r="K17" s="67" t="n">
        <f aca="false">-K9*Inputs!$E$64/12*1*(1+Inputs!$E$79)*(1+Inputs!$E$80)^(K$5-1)</f>
        <v>-26400</v>
      </c>
      <c r="L17" s="67" t="n">
        <f aca="false">-L9*Inputs!$E$64/12*1*(1+Inputs!$E$79)*(1+Inputs!$E$80)^(L$5-1)</f>
        <v>-26400</v>
      </c>
      <c r="M17" s="67" t="n">
        <f aca="false">-M9*Inputs!$E$64/12*1*(1+Inputs!$E$79)*(1+Inputs!$E$80)^(M$5-1)</f>
        <v>-26400</v>
      </c>
      <c r="N17" s="67" t="n">
        <f aca="false">-N9*Inputs!$E$64/12*1*(1+Inputs!$E$79)*(1+Inputs!$E$80)^(N$5-1)</f>
        <v>-26400</v>
      </c>
      <c r="O17" s="67" t="n">
        <f aca="false">-O9*Inputs!$E$64/12*1*(1+Inputs!$E$79)*(1+Inputs!$E$80)^(O$5-1)</f>
        <v>-28823.52</v>
      </c>
      <c r="P17" s="67" t="n">
        <f aca="false">-P9*Inputs!$E$64/12*1*(1+Inputs!$E$79)*(1+Inputs!$E$80)^(P$5-1)</f>
        <v>-28823.52</v>
      </c>
      <c r="Q17" s="67" t="n">
        <f aca="false">-Q9*Inputs!$E$64/12*1*(1+Inputs!$E$79)*(1+Inputs!$E$80)^(Q$5-1)</f>
        <v>-28823.52</v>
      </c>
      <c r="R17" s="67" t="n">
        <f aca="false">-R9*Inputs!$E$64/12*1*(1+Inputs!$E$79)*(1+Inputs!$E$80)^(R$5-1)</f>
        <v>-28823.52</v>
      </c>
      <c r="S17" s="67" t="n">
        <f aca="false">-S9*Inputs!$E$64/12*1*(1+Inputs!$E$79)*(1+Inputs!$E$80)^(S$5-1)</f>
        <v>-28823.52</v>
      </c>
      <c r="T17" s="67" t="n">
        <f aca="false">-T9*Inputs!$E$64/12*1*(1+Inputs!$E$79)*(1+Inputs!$E$80)^(T$5-1)</f>
        <v>-28823.52</v>
      </c>
      <c r="U17" s="67" t="n">
        <f aca="false">-U9*Inputs!$E$64/12*1*(1+Inputs!$E$79)*(1+Inputs!$E$80)^(U$5-1)</f>
        <v>-28823.52</v>
      </c>
      <c r="V17" s="67" t="n">
        <f aca="false">-V9*Inputs!$E$64/12*1*(1+Inputs!$E$79)*(1+Inputs!$E$80)^(V$5-1)</f>
        <v>-28823.52</v>
      </c>
      <c r="W17" s="67" t="n">
        <f aca="false">-W9*Inputs!$E$64/12*1*(1+Inputs!$E$79)*(1+Inputs!$E$80)^(W$5-1)</f>
        <v>-28823.52</v>
      </c>
      <c r="X17" s="67" t="n">
        <f aca="false">-X9*Inputs!$E$64/12*1*(1+Inputs!$E$79)*(1+Inputs!$E$80)^(X$5-1)</f>
        <v>-28823.52</v>
      </c>
      <c r="Y17" s="67" t="n">
        <f aca="false">-Y9*Inputs!$E$64/12*1*(1+Inputs!$E$79)*(1+Inputs!$E$80)^(Y$5-1)</f>
        <v>-28823.52</v>
      </c>
      <c r="Z17" s="67" t="n">
        <f aca="false">-Z9*Inputs!$E$64/12*1*(1+Inputs!$E$79)*(1+Inputs!$E$80)^(Z$5-1)</f>
        <v>-28823.52</v>
      </c>
      <c r="AA17" s="67" t="n">
        <f aca="false">-AA9*Inputs!$E$64/12*1*(1+Inputs!$E$79)*(1+Inputs!$E$80)^(AA$5-1)</f>
        <v>-31469.519136</v>
      </c>
      <c r="AB17" s="67" t="n">
        <f aca="false">-AB9*Inputs!$E$64/12*1*(1+Inputs!$E$79)*(1+Inputs!$E$80)^(AB$5-1)</f>
        <v>-31469.519136</v>
      </c>
      <c r="AC17" s="67" t="n">
        <f aca="false">-AC9*Inputs!$E$64/12*1*(1+Inputs!$E$79)*(1+Inputs!$E$80)^(AC$5-1)</f>
        <v>-31469.519136</v>
      </c>
      <c r="AD17" s="67" t="n">
        <f aca="false">-AD9*Inputs!$E$64/12*1*(1+Inputs!$E$79)*(1+Inputs!$E$80)^(AD$5-1)</f>
        <v>-31469.519136</v>
      </c>
      <c r="AE17" s="67" t="n">
        <f aca="false">-AE9*Inputs!$E$64/12*1*(1+Inputs!$E$79)*(1+Inputs!$E$80)^(AE$5-1)</f>
        <v>-31469.519136</v>
      </c>
      <c r="AF17" s="67" t="n">
        <f aca="false">-AF9*Inputs!$E$64/12*1*(1+Inputs!$E$79)*(1+Inputs!$E$80)^(AF$5-1)</f>
        <v>-31469.519136</v>
      </c>
      <c r="AG17" s="67" t="n">
        <f aca="false">-AG9*Inputs!$E$64/12*1*(1+Inputs!$E$79)*(1+Inputs!$E$80)^(AG$5-1)</f>
        <v>-31469.519136</v>
      </c>
      <c r="AH17" s="67" t="n">
        <f aca="false">-AH9*Inputs!$E$64/12*1*(1+Inputs!$E$79)*(1+Inputs!$E$80)^(AH$5-1)</f>
        <v>-31469.519136</v>
      </c>
      <c r="AI17" s="67" t="n">
        <f aca="false">-AI9*Inputs!$E$64/12*1*(1+Inputs!$E$79)*(1+Inputs!$E$80)^(AI$5-1)</f>
        <v>-31469.519136</v>
      </c>
      <c r="AJ17" s="67" t="n">
        <f aca="false">-AJ9*Inputs!$E$64/12*1*(1+Inputs!$E$79)*(1+Inputs!$E$80)^(AJ$5-1)</f>
        <v>-31469.519136</v>
      </c>
      <c r="AK17" s="67" t="n">
        <f aca="false">-AK9*Inputs!$E$64/12*1*(1+Inputs!$E$79)*(1+Inputs!$E$80)^(AK$5-1)</f>
        <v>-31469.519136</v>
      </c>
      <c r="AL17" s="67" t="n">
        <f aca="false">-AL9*Inputs!$E$64/12*1*(1+Inputs!$E$79)*(1+Inputs!$E$80)^(AL$5-1)</f>
        <v>-31469.519136</v>
      </c>
    </row>
    <row r="18" customFormat="false" ht="15" hidden="false" customHeight="false" outlineLevel="0" collapsed="false">
      <c r="A18" s="6" t="s">
        <v>467</v>
      </c>
      <c r="C18" s="67" t="n">
        <f aca="false">-C10*Inputs!$E$68/12*1*(1+Inputs!$E$79)*(1+Inputs!$E$80)^(C$5-1)</f>
        <v>-18562.5</v>
      </c>
      <c r="D18" s="67" t="n">
        <f aca="false">-D10*Inputs!$E$68/12*1*(1+Inputs!$E$79)*(1+Inputs!$E$80)^(D$5-1)</f>
        <v>-18562.5</v>
      </c>
      <c r="E18" s="67" t="n">
        <f aca="false">-E10*Inputs!$E$68/12*1*(1+Inputs!$E$79)*(1+Inputs!$E$80)^(E$5-1)</f>
        <v>-18562.5</v>
      </c>
      <c r="F18" s="67" t="n">
        <f aca="false">-F10*Inputs!$E$68/12*1*(1+Inputs!$E$79)*(1+Inputs!$E$80)^(F$5-1)</f>
        <v>-18562.5</v>
      </c>
      <c r="G18" s="67" t="n">
        <f aca="false">-G10*Inputs!$E$68/12*1*(1+Inputs!$E$79)*(1+Inputs!$E$80)^(G$5-1)</f>
        <v>-18562.5</v>
      </c>
      <c r="H18" s="67" t="n">
        <f aca="false">-H10*Inputs!$E$68/12*1*(1+Inputs!$E$79)*(1+Inputs!$E$80)^(H$5-1)</f>
        <v>-18562.5</v>
      </c>
      <c r="I18" s="67" t="n">
        <f aca="false">-I10*Inputs!$E$68/12*1*(1+Inputs!$E$79)*(1+Inputs!$E$80)^(I$5-1)</f>
        <v>-18562.5</v>
      </c>
      <c r="J18" s="67" t="n">
        <f aca="false">-J10*Inputs!$E$68/12*1*(1+Inputs!$E$79)*(1+Inputs!$E$80)^(J$5-1)</f>
        <v>-18562.5</v>
      </c>
      <c r="K18" s="67" t="n">
        <f aca="false">-K10*Inputs!$E$68/12*1*(1+Inputs!$E$79)*(1+Inputs!$E$80)^(K$5-1)</f>
        <v>-18562.5</v>
      </c>
      <c r="L18" s="67" t="n">
        <f aca="false">-L10*Inputs!$E$68/12*1*(1+Inputs!$E$79)*(1+Inputs!$E$80)^(L$5-1)</f>
        <v>-18562.5</v>
      </c>
      <c r="M18" s="67" t="n">
        <f aca="false">-M10*Inputs!$E$68/12*1*(1+Inputs!$E$79)*(1+Inputs!$E$80)^(M$5-1)</f>
        <v>-18562.5</v>
      </c>
      <c r="N18" s="67" t="n">
        <f aca="false">-N10*Inputs!$E$68/12*1*(1+Inputs!$E$79)*(1+Inputs!$E$80)^(N$5-1)</f>
        <v>-18562.5</v>
      </c>
      <c r="O18" s="67" t="n">
        <f aca="false">-O10*Inputs!$E$68/12*1*(1+Inputs!$E$79)*(1+Inputs!$E$80)^(O$5-1)</f>
        <v>-19884.15</v>
      </c>
      <c r="P18" s="67" t="n">
        <f aca="false">-P10*Inputs!$E$68/12*1*(1+Inputs!$E$79)*(1+Inputs!$E$80)^(P$5-1)</f>
        <v>-19884.15</v>
      </c>
      <c r="Q18" s="67" t="n">
        <f aca="false">-Q10*Inputs!$E$68/12*1*(1+Inputs!$E$79)*(1+Inputs!$E$80)^(Q$5-1)</f>
        <v>-19884.15</v>
      </c>
      <c r="R18" s="67" t="n">
        <f aca="false">-R10*Inputs!$E$68/12*1*(1+Inputs!$E$79)*(1+Inputs!$E$80)^(R$5-1)</f>
        <v>-19884.15</v>
      </c>
      <c r="S18" s="67" t="n">
        <f aca="false">-S10*Inputs!$E$68/12*1*(1+Inputs!$E$79)*(1+Inputs!$E$80)^(S$5-1)</f>
        <v>-19884.15</v>
      </c>
      <c r="T18" s="67" t="n">
        <f aca="false">-T10*Inputs!$E$68/12*1*(1+Inputs!$E$79)*(1+Inputs!$E$80)^(T$5-1)</f>
        <v>-19884.15</v>
      </c>
      <c r="U18" s="67" t="n">
        <f aca="false">-U10*Inputs!$E$68/12*1*(1+Inputs!$E$79)*(1+Inputs!$E$80)^(U$5-1)</f>
        <v>-19884.15</v>
      </c>
      <c r="V18" s="67" t="n">
        <f aca="false">-V10*Inputs!$E$68/12*1*(1+Inputs!$E$79)*(1+Inputs!$E$80)^(V$5-1)</f>
        <v>-19884.15</v>
      </c>
      <c r="W18" s="67" t="n">
        <f aca="false">-W10*Inputs!$E$68/12*1*(1+Inputs!$E$79)*(1+Inputs!$E$80)^(W$5-1)</f>
        <v>-19884.15</v>
      </c>
      <c r="X18" s="67" t="n">
        <f aca="false">-X10*Inputs!$E$68/12*1*(1+Inputs!$E$79)*(1+Inputs!$E$80)^(X$5-1)</f>
        <v>-19884.15</v>
      </c>
      <c r="Y18" s="67" t="n">
        <f aca="false">-Y10*Inputs!$E$68/12*1*(1+Inputs!$E$79)*(1+Inputs!$E$80)^(Y$5-1)</f>
        <v>-19884.15</v>
      </c>
      <c r="Z18" s="67" t="n">
        <f aca="false">-Z10*Inputs!$E$68/12*1*(1+Inputs!$E$79)*(1+Inputs!$E$80)^(Z$5-1)</f>
        <v>-19884.15</v>
      </c>
      <c r="AA18" s="67" t="n">
        <f aca="false">-AA10*Inputs!$E$68/12*1*(1+Inputs!$E$79)*(1+Inputs!$E$80)^(AA$5-1)</f>
        <v>-21299.90148</v>
      </c>
      <c r="AB18" s="67" t="n">
        <f aca="false">-AB10*Inputs!$E$68/12*1*(1+Inputs!$E$79)*(1+Inputs!$E$80)^(AB$5-1)</f>
        <v>-21299.90148</v>
      </c>
      <c r="AC18" s="67" t="n">
        <f aca="false">-AC10*Inputs!$E$68/12*1*(1+Inputs!$E$79)*(1+Inputs!$E$80)^(AC$5-1)</f>
        <v>-21299.90148</v>
      </c>
      <c r="AD18" s="67" t="n">
        <f aca="false">-AD10*Inputs!$E$68/12*1*(1+Inputs!$E$79)*(1+Inputs!$E$80)^(AD$5-1)</f>
        <v>-21299.90148</v>
      </c>
      <c r="AE18" s="67" t="n">
        <f aca="false">-AE10*Inputs!$E$68/12*1*(1+Inputs!$E$79)*(1+Inputs!$E$80)^(AE$5-1)</f>
        <v>-21299.90148</v>
      </c>
      <c r="AF18" s="67" t="n">
        <f aca="false">-AF10*Inputs!$E$68/12*1*(1+Inputs!$E$79)*(1+Inputs!$E$80)^(AF$5-1)</f>
        <v>-21299.90148</v>
      </c>
      <c r="AG18" s="67" t="n">
        <f aca="false">-AG10*Inputs!$E$68/12*1*(1+Inputs!$E$79)*(1+Inputs!$E$80)^(AG$5-1)</f>
        <v>-21299.90148</v>
      </c>
      <c r="AH18" s="67" t="n">
        <f aca="false">-AH10*Inputs!$E$68/12*1*(1+Inputs!$E$79)*(1+Inputs!$E$80)^(AH$5-1)</f>
        <v>-21299.90148</v>
      </c>
      <c r="AI18" s="67" t="n">
        <f aca="false">-AI10*Inputs!$E$68/12*1*(1+Inputs!$E$79)*(1+Inputs!$E$80)^(AI$5-1)</f>
        <v>-21299.90148</v>
      </c>
      <c r="AJ18" s="67" t="n">
        <f aca="false">-AJ10*Inputs!$E$68/12*1*(1+Inputs!$E$79)*(1+Inputs!$E$80)^(AJ$5-1)</f>
        <v>-21299.90148</v>
      </c>
      <c r="AK18" s="67" t="n">
        <f aca="false">-AK10*Inputs!$E$68/12*1*(1+Inputs!$E$79)*(1+Inputs!$E$80)^(AK$5-1)</f>
        <v>-21299.90148</v>
      </c>
      <c r="AL18" s="67" t="n">
        <f aca="false">-AL10*Inputs!$E$68/12*1*(1+Inputs!$E$79)*(1+Inputs!$E$80)^(AL$5-1)</f>
        <v>-21299.90148</v>
      </c>
    </row>
    <row r="19" customFormat="false" ht="15" hidden="false" customHeight="false" outlineLevel="0" collapsed="false">
      <c r="A19" s="6" t="s">
        <v>468</v>
      </c>
      <c r="C19" s="67" t="n">
        <f aca="false">-C11*Inputs!$E$72/12*1*(1+Inputs!$E$79)*(1+Inputs!$E$80)^(C$5-1)</f>
        <v>-11275</v>
      </c>
      <c r="D19" s="67" t="n">
        <f aca="false">-D11*Inputs!$E$72/12*1*(1+Inputs!$E$79)*(1+Inputs!$E$80)^(D$5-1)</f>
        <v>-11275</v>
      </c>
      <c r="E19" s="67" t="n">
        <f aca="false">-E11*Inputs!$E$72/12*1*(1+Inputs!$E$79)*(1+Inputs!$E$80)^(E$5-1)</f>
        <v>-11275</v>
      </c>
      <c r="F19" s="67" t="n">
        <f aca="false">-F11*Inputs!$E$72/12*1*(1+Inputs!$E$79)*(1+Inputs!$E$80)^(F$5-1)</f>
        <v>-11275</v>
      </c>
      <c r="G19" s="67" t="n">
        <f aca="false">-G11*Inputs!$E$72/12*1*(1+Inputs!$E$79)*(1+Inputs!$E$80)^(G$5-1)</f>
        <v>-11275</v>
      </c>
      <c r="H19" s="67" t="n">
        <f aca="false">-H11*Inputs!$E$72/12*1*(1+Inputs!$E$79)*(1+Inputs!$E$80)^(H$5-1)</f>
        <v>-11275</v>
      </c>
      <c r="I19" s="67" t="n">
        <f aca="false">-I11*Inputs!$E$72/12*1*(1+Inputs!$E$79)*(1+Inputs!$E$80)^(I$5-1)</f>
        <v>-11275</v>
      </c>
      <c r="J19" s="67" t="n">
        <f aca="false">-J11*Inputs!$E$72/12*1*(1+Inputs!$E$79)*(1+Inputs!$E$80)^(J$5-1)</f>
        <v>-11275</v>
      </c>
      <c r="K19" s="67" t="n">
        <f aca="false">-K11*Inputs!$E$72/12*1*(1+Inputs!$E$79)*(1+Inputs!$E$80)^(K$5-1)</f>
        <v>-11275</v>
      </c>
      <c r="L19" s="67" t="n">
        <f aca="false">-L11*Inputs!$E$72/12*1*(1+Inputs!$E$79)*(1+Inputs!$E$80)^(L$5-1)</f>
        <v>-11275</v>
      </c>
      <c r="M19" s="67" t="n">
        <f aca="false">-M11*Inputs!$E$72/12*1*(1+Inputs!$E$79)*(1+Inputs!$E$80)^(M$5-1)</f>
        <v>-11275</v>
      </c>
      <c r="N19" s="67" t="n">
        <f aca="false">-N11*Inputs!$E$72/12*1*(1+Inputs!$E$79)*(1+Inputs!$E$80)^(N$5-1)</f>
        <v>-11275</v>
      </c>
      <c r="O19" s="67" t="n">
        <f aca="false">-O11*Inputs!$E$72/12*1*(1+Inputs!$E$79)*(1+Inputs!$E$80)^(O$5-1)</f>
        <v>-12077.78</v>
      </c>
      <c r="P19" s="67" t="n">
        <f aca="false">-P11*Inputs!$E$72/12*1*(1+Inputs!$E$79)*(1+Inputs!$E$80)^(P$5-1)</f>
        <v>-12077.78</v>
      </c>
      <c r="Q19" s="67" t="n">
        <f aca="false">-Q11*Inputs!$E$72/12*1*(1+Inputs!$E$79)*(1+Inputs!$E$80)^(Q$5-1)</f>
        <v>-12077.78</v>
      </c>
      <c r="R19" s="67" t="n">
        <f aca="false">-R11*Inputs!$E$72/12*1*(1+Inputs!$E$79)*(1+Inputs!$E$80)^(R$5-1)</f>
        <v>-12077.78</v>
      </c>
      <c r="S19" s="67" t="n">
        <f aca="false">-S11*Inputs!$E$72/12*1*(1+Inputs!$E$79)*(1+Inputs!$E$80)^(S$5-1)</f>
        <v>-12077.78</v>
      </c>
      <c r="T19" s="67" t="n">
        <f aca="false">-T11*Inputs!$E$72/12*1*(1+Inputs!$E$79)*(1+Inputs!$E$80)^(T$5-1)</f>
        <v>-12077.78</v>
      </c>
      <c r="U19" s="67" t="n">
        <f aca="false">-U11*Inputs!$E$72/12*1*(1+Inputs!$E$79)*(1+Inputs!$E$80)^(U$5-1)</f>
        <v>-12077.78</v>
      </c>
      <c r="V19" s="67" t="n">
        <f aca="false">-V11*Inputs!$E$72/12*1*(1+Inputs!$E$79)*(1+Inputs!$E$80)^(V$5-1)</f>
        <v>-12077.78</v>
      </c>
      <c r="W19" s="67" t="n">
        <f aca="false">-W11*Inputs!$E$72/12*1*(1+Inputs!$E$79)*(1+Inputs!$E$80)^(W$5-1)</f>
        <v>-12077.78</v>
      </c>
      <c r="X19" s="67" t="n">
        <f aca="false">-X11*Inputs!$E$72/12*1*(1+Inputs!$E$79)*(1+Inputs!$E$80)^(X$5-1)</f>
        <v>-12077.78</v>
      </c>
      <c r="Y19" s="67" t="n">
        <f aca="false">-Y11*Inputs!$E$72/12*1*(1+Inputs!$E$79)*(1+Inputs!$E$80)^(Y$5-1)</f>
        <v>-12077.78</v>
      </c>
      <c r="Z19" s="67" t="n">
        <f aca="false">-Z11*Inputs!$E$72/12*1*(1+Inputs!$E$79)*(1+Inputs!$E$80)^(Z$5-1)</f>
        <v>-12077.78</v>
      </c>
      <c r="AA19" s="67" t="n">
        <f aca="false">-AA11*Inputs!$E$72/12*1*(1+Inputs!$E$79)*(1+Inputs!$E$80)^(AA$5-1)</f>
        <v>-12937.717936</v>
      </c>
      <c r="AB19" s="67" t="n">
        <f aca="false">-AB11*Inputs!$E$72/12*1*(1+Inputs!$E$79)*(1+Inputs!$E$80)^(AB$5-1)</f>
        <v>-12937.717936</v>
      </c>
      <c r="AC19" s="67" t="n">
        <f aca="false">-AC11*Inputs!$E$72/12*1*(1+Inputs!$E$79)*(1+Inputs!$E$80)^(AC$5-1)</f>
        <v>-12937.717936</v>
      </c>
      <c r="AD19" s="67" t="n">
        <f aca="false">-AD11*Inputs!$E$72/12*1*(1+Inputs!$E$79)*(1+Inputs!$E$80)^(AD$5-1)</f>
        <v>-12937.717936</v>
      </c>
      <c r="AE19" s="67" t="n">
        <f aca="false">-AE11*Inputs!$E$72/12*1*(1+Inputs!$E$79)*(1+Inputs!$E$80)^(AE$5-1)</f>
        <v>-12937.717936</v>
      </c>
      <c r="AF19" s="67" t="n">
        <f aca="false">-AF11*Inputs!$E$72/12*1*(1+Inputs!$E$79)*(1+Inputs!$E$80)^(AF$5-1)</f>
        <v>-12937.717936</v>
      </c>
      <c r="AG19" s="67" t="n">
        <f aca="false">-AG11*Inputs!$E$72/12*1*(1+Inputs!$E$79)*(1+Inputs!$E$80)^(AG$5-1)</f>
        <v>-12937.717936</v>
      </c>
      <c r="AH19" s="67" t="n">
        <f aca="false">-AH11*Inputs!$E$72/12*1*(1+Inputs!$E$79)*(1+Inputs!$E$80)^(AH$5-1)</f>
        <v>-12937.717936</v>
      </c>
      <c r="AI19" s="67" t="n">
        <f aca="false">-AI11*Inputs!$E$72/12*1*(1+Inputs!$E$79)*(1+Inputs!$E$80)^(AI$5-1)</f>
        <v>-12937.717936</v>
      </c>
      <c r="AJ19" s="67" t="n">
        <f aca="false">-AJ11*Inputs!$E$72/12*1*(1+Inputs!$E$79)*(1+Inputs!$E$80)^(AJ$5-1)</f>
        <v>-12937.717936</v>
      </c>
      <c r="AK19" s="67" t="n">
        <f aca="false">-AK11*Inputs!$E$72/12*1*(1+Inputs!$E$79)*(1+Inputs!$E$80)^(AK$5-1)</f>
        <v>-12937.717936</v>
      </c>
      <c r="AL19" s="67" t="n">
        <f aca="false">-AL11*Inputs!$E$72/12*1*(1+Inputs!$E$79)*(1+Inputs!$E$80)^(AL$5-1)</f>
        <v>-12937.717936</v>
      </c>
    </row>
    <row r="20" customFormat="false" ht="15" hidden="false" customHeight="false" outlineLevel="0" collapsed="false">
      <c r="A20" s="6" t="s">
        <v>469</v>
      </c>
      <c r="C20" s="67" t="n">
        <f aca="false">-C12*Inputs!$E$76/12*1*(1+Inputs!$E$79)*(1+Inputs!$E$80)^(C$5-1)</f>
        <v>-6233.33333333333</v>
      </c>
      <c r="D20" s="67" t="n">
        <f aca="false">-D12*Inputs!$E$76/12*1*(1+Inputs!$E$79)*(1+Inputs!$E$80)^(D$5-1)</f>
        <v>-6233.33333333333</v>
      </c>
      <c r="E20" s="67" t="n">
        <f aca="false">-E12*Inputs!$E$76/12*1*(1+Inputs!$E$79)*(1+Inputs!$E$80)^(E$5-1)</f>
        <v>-6233.33333333333</v>
      </c>
      <c r="F20" s="67" t="n">
        <f aca="false">-F12*Inputs!$E$76/12*1*(1+Inputs!$E$79)*(1+Inputs!$E$80)^(F$5-1)</f>
        <v>-6233.33333333333</v>
      </c>
      <c r="G20" s="67" t="n">
        <f aca="false">-G12*Inputs!$E$76/12*1*(1+Inputs!$E$79)*(1+Inputs!$E$80)^(G$5-1)</f>
        <v>-6233.33333333333</v>
      </c>
      <c r="H20" s="67" t="n">
        <f aca="false">-H12*Inputs!$E$76/12*1*(1+Inputs!$E$79)*(1+Inputs!$E$80)^(H$5-1)</f>
        <v>-6233.33333333333</v>
      </c>
      <c r="I20" s="67" t="n">
        <f aca="false">-I12*Inputs!$E$76/12*1*(1+Inputs!$E$79)*(1+Inputs!$E$80)^(I$5-1)</f>
        <v>-6233.33333333333</v>
      </c>
      <c r="J20" s="67" t="n">
        <f aca="false">-J12*Inputs!$E$76/12*1*(1+Inputs!$E$79)*(1+Inputs!$E$80)^(J$5-1)</f>
        <v>-6233.33333333333</v>
      </c>
      <c r="K20" s="67" t="n">
        <f aca="false">-K12*Inputs!$E$76/12*1*(1+Inputs!$E$79)*(1+Inputs!$E$80)^(K$5-1)</f>
        <v>-6233.33333333333</v>
      </c>
      <c r="L20" s="67" t="n">
        <f aca="false">-L12*Inputs!$E$76/12*1*(1+Inputs!$E$79)*(1+Inputs!$E$80)^(L$5-1)</f>
        <v>-6233.33333333333</v>
      </c>
      <c r="M20" s="67" t="n">
        <f aca="false">-M12*Inputs!$E$76/12*1*(1+Inputs!$E$79)*(1+Inputs!$E$80)^(M$5-1)</f>
        <v>-6233.33333333333</v>
      </c>
      <c r="N20" s="67" t="n">
        <f aca="false">-N12*Inputs!$E$76/12*1*(1+Inputs!$E$79)*(1+Inputs!$E$80)^(N$5-1)</f>
        <v>-6233.33333333333</v>
      </c>
      <c r="O20" s="67" t="n">
        <f aca="false">-O12*Inputs!$E$76/12*1*(1+Inputs!$E$79)*(1+Inputs!$E$80)^(O$5-1)</f>
        <v>-6420.33333333333</v>
      </c>
      <c r="P20" s="67" t="n">
        <f aca="false">-P12*Inputs!$E$76/12*1*(1+Inputs!$E$79)*(1+Inputs!$E$80)^(P$5-1)</f>
        <v>-6420.33333333333</v>
      </c>
      <c r="Q20" s="67" t="n">
        <f aca="false">-Q12*Inputs!$E$76/12*1*(1+Inputs!$E$79)*(1+Inputs!$E$80)^(Q$5-1)</f>
        <v>-6420.33333333333</v>
      </c>
      <c r="R20" s="67" t="n">
        <f aca="false">-R12*Inputs!$E$76/12*1*(1+Inputs!$E$79)*(1+Inputs!$E$80)^(R$5-1)</f>
        <v>-6420.33333333333</v>
      </c>
      <c r="S20" s="67" t="n">
        <f aca="false">-S12*Inputs!$E$76/12*1*(1+Inputs!$E$79)*(1+Inputs!$E$80)^(S$5-1)</f>
        <v>-6420.33333333333</v>
      </c>
      <c r="T20" s="67" t="n">
        <f aca="false">-T12*Inputs!$E$76/12*1*(1+Inputs!$E$79)*(1+Inputs!$E$80)^(T$5-1)</f>
        <v>-6420.33333333333</v>
      </c>
      <c r="U20" s="67" t="n">
        <f aca="false">-U12*Inputs!$E$76/12*1*(1+Inputs!$E$79)*(1+Inputs!$E$80)^(U$5-1)</f>
        <v>-6420.33333333333</v>
      </c>
      <c r="V20" s="67" t="n">
        <f aca="false">-V12*Inputs!$E$76/12*1*(1+Inputs!$E$79)*(1+Inputs!$E$80)^(V$5-1)</f>
        <v>-6420.33333333333</v>
      </c>
      <c r="W20" s="67" t="n">
        <f aca="false">-W12*Inputs!$E$76/12*1*(1+Inputs!$E$79)*(1+Inputs!$E$80)^(W$5-1)</f>
        <v>-6420.33333333333</v>
      </c>
      <c r="X20" s="67" t="n">
        <f aca="false">-X12*Inputs!$E$76/12*1*(1+Inputs!$E$79)*(1+Inputs!$E$80)^(X$5-1)</f>
        <v>-6420.33333333333</v>
      </c>
      <c r="Y20" s="67" t="n">
        <f aca="false">-Y12*Inputs!$E$76/12*1*(1+Inputs!$E$79)*(1+Inputs!$E$80)^(Y$5-1)</f>
        <v>-6420.33333333333</v>
      </c>
      <c r="Z20" s="67" t="n">
        <f aca="false">-Z12*Inputs!$E$76/12*1*(1+Inputs!$E$79)*(1+Inputs!$E$80)^(Z$5-1)</f>
        <v>-6420.33333333333</v>
      </c>
      <c r="AA20" s="67" t="n">
        <f aca="false">-AA12*Inputs!$E$76/12*1*(1+Inputs!$E$79)*(1+Inputs!$E$80)^(AA$5-1)</f>
        <v>-6612.94333333333</v>
      </c>
      <c r="AB20" s="67" t="n">
        <f aca="false">-AB12*Inputs!$E$76/12*1*(1+Inputs!$E$79)*(1+Inputs!$E$80)^(AB$5-1)</f>
        <v>-6612.94333333333</v>
      </c>
      <c r="AC20" s="67" t="n">
        <f aca="false">-AC12*Inputs!$E$76/12*1*(1+Inputs!$E$79)*(1+Inputs!$E$80)^(AC$5-1)</f>
        <v>-6612.94333333333</v>
      </c>
      <c r="AD20" s="67" t="n">
        <f aca="false">-AD12*Inputs!$E$76/12*1*(1+Inputs!$E$79)*(1+Inputs!$E$80)^(AD$5-1)</f>
        <v>-6612.94333333333</v>
      </c>
      <c r="AE20" s="67" t="n">
        <f aca="false">-AE12*Inputs!$E$76/12*1*(1+Inputs!$E$79)*(1+Inputs!$E$80)^(AE$5-1)</f>
        <v>-6612.94333333333</v>
      </c>
      <c r="AF20" s="67" t="n">
        <f aca="false">-AF12*Inputs!$E$76/12*1*(1+Inputs!$E$79)*(1+Inputs!$E$80)^(AF$5-1)</f>
        <v>-6612.94333333333</v>
      </c>
      <c r="AG20" s="67" t="n">
        <f aca="false">-AG12*Inputs!$E$76/12*1*(1+Inputs!$E$79)*(1+Inputs!$E$80)^(AG$5-1)</f>
        <v>-6612.94333333333</v>
      </c>
      <c r="AH20" s="67" t="n">
        <f aca="false">-AH12*Inputs!$E$76/12*1*(1+Inputs!$E$79)*(1+Inputs!$E$80)^(AH$5-1)</f>
        <v>-6612.94333333333</v>
      </c>
      <c r="AI20" s="67" t="n">
        <f aca="false">-AI12*Inputs!$E$76/12*1*(1+Inputs!$E$79)*(1+Inputs!$E$80)^(AI$5-1)</f>
        <v>-6612.94333333333</v>
      </c>
      <c r="AJ20" s="67" t="n">
        <f aca="false">-AJ12*Inputs!$E$76/12*1*(1+Inputs!$E$79)*(1+Inputs!$E$80)^(AJ$5-1)</f>
        <v>-6612.94333333333</v>
      </c>
      <c r="AK20" s="67" t="n">
        <f aca="false">-AK12*Inputs!$E$76/12*1*(1+Inputs!$E$79)*(1+Inputs!$E$80)^(AK$5-1)</f>
        <v>-6612.94333333333</v>
      </c>
      <c r="AL20" s="67" t="n">
        <f aca="false">-AL12*Inputs!$E$76/12*1*(1+Inputs!$E$79)*(1+Inputs!$E$80)^(AL$5-1)</f>
        <v>-6612.94333333333</v>
      </c>
    </row>
    <row r="21" customFormat="false" ht="15" hidden="false" customHeight="false" outlineLevel="0" collapsed="false">
      <c r="A21" s="111" t="s">
        <v>470</v>
      </c>
      <c r="C21" s="68" t="n">
        <f aca="false">C16+C17+C18+C19+C20</f>
        <v>-78970.8333333333</v>
      </c>
      <c r="D21" s="68" t="n">
        <f aca="false">D16+D17+D18+D19+D20</f>
        <v>-78970.8333333333</v>
      </c>
      <c r="E21" s="68" t="n">
        <f aca="false">E16+E17+E18+E19+E20</f>
        <v>-78970.8333333333</v>
      </c>
      <c r="F21" s="68" t="n">
        <f aca="false">F16+F17+F18+F19+F20</f>
        <v>-78970.8333333333</v>
      </c>
      <c r="G21" s="68" t="n">
        <f aca="false">G16+G17+G18+G19+G20</f>
        <v>-78970.8333333333</v>
      </c>
      <c r="H21" s="68" t="n">
        <f aca="false">H16+H17+H18+H19+H20</f>
        <v>-78970.8333333333</v>
      </c>
      <c r="I21" s="68" t="n">
        <f aca="false">I16+I17+I18+I19+I20</f>
        <v>-78970.8333333333</v>
      </c>
      <c r="J21" s="68" t="n">
        <f aca="false">J16+J17+J18+J19+J20</f>
        <v>-78970.8333333333</v>
      </c>
      <c r="K21" s="68" t="n">
        <f aca="false">K16+K17+K18+K19+K20</f>
        <v>-78970.8333333333</v>
      </c>
      <c r="L21" s="68" t="n">
        <f aca="false">L16+L17+L18+L19+L20</f>
        <v>-78970.8333333333</v>
      </c>
      <c r="M21" s="68" t="n">
        <f aca="false">M16+M17+M18+M19+M20</f>
        <v>-78970.8333333333</v>
      </c>
      <c r="N21" s="68" t="n">
        <f aca="false">N16+N17+N18+N19+N20</f>
        <v>-78970.8333333333</v>
      </c>
      <c r="O21" s="68" t="n">
        <f aca="false">O16+O17+O18+O19+O20</f>
        <v>-84200.7833333333</v>
      </c>
      <c r="P21" s="68" t="n">
        <f aca="false">P16+P17+P18+P19+P20</f>
        <v>-84200.7833333333</v>
      </c>
      <c r="Q21" s="68" t="n">
        <f aca="false">Q16+Q17+Q18+Q19+Q20</f>
        <v>-84200.7833333333</v>
      </c>
      <c r="R21" s="68" t="n">
        <f aca="false">R16+R17+R18+R19+R20</f>
        <v>-84200.7833333333</v>
      </c>
      <c r="S21" s="68" t="n">
        <f aca="false">S16+S17+S18+S19+S20</f>
        <v>-84200.7833333333</v>
      </c>
      <c r="T21" s="68" t="n">
        <f aca="false">T16+T17+T18+T19+T20</f>
        <v>-84200.7833333333</v>
      </c>
      <c r="U21" s="68" t="n">
        <f aca="false">U16+U17+U18+U19+U20</f>
        <v>-84200.7833333333</v>
      </c>
      <c r="V21" s="68" t="n">
        <f aca="false">V16+V17+V18+V19+V20</f>
        <v>-84200.7833333333</v>
      </c>
      <c r="W21" s="68" t="n">
        <f aca="false">W16+W17+W18+W19+W20</f>
        <v>-84200.7833333333</v>
      </c>
      <c r="X21" s="68" t="n">
        <f aca="false">X16+X17+X18+X19+X20</f>
        <v>-84200.7833333333</v>
      </c>
      <c r="Y21" s="68" t="n">
        <f aca="false">Y16+Y17+Y18+Y19+Y20</f>
        <v>-84200.7833333333</v>
      </c>
      <c r="Z21" s="68" t="n">
        <f aca="false">Z16+Z17+Z18+Z19+Z20</f>
        <v>-84200.7833333333</v>
      </c>
      <c r="AA21" s="68" t="n">
        <f aca="false">AA16+AA17+AA18+AA19+AA20</f>
        <v>-89824.9318853333</v>
      </c>
      <c r="AB21" s="68" t="n">
        <f aca="false">AB16+AB17+AB18+AB19+AB20</f>
        <v>-89824.9318853333</v>
      </c>
      <c r="AC21" s="68" t="n">
        <f aca="false">AC16+AC17+AC18+AC19+AC20</f>
        <v>-89824.9318853333</v>
      </c>
      <c r="AD21" s="68" t="n">
        <f aca="false">AD16+AD17+AD18+AD19+AD20</f>
        <v>-89824.9318853333</v>
      </c>
      <c r="AE21" s="68" t="n">
        <f aca="false">AE16+AE17+AE18+AE19+AE20</f>
        <v>-89824.9318853333</v>
      </c>
      <c r="AF21" s="68" t="n">
        <f aca="false">AF16+AF17+AF18+AF19+AF20</f>
        <v>-89824.9318853333</v>
      </c>
      <c r="AG21" s="68" t="n">
        <f aca="false">AG16+AG17+AG18+AG19+AG20</f>
        <v>-89824.9318853333</v>
      </c>
      <c r="AH21" s="68" t="n">
        <f aca="false">AH16+AH17+AH18+AH19+AH20</f>
        <v>-89824.9318853333</v>
      </c>
      <c r="AI21" s="68" t="n">
        <f aca="false">AI16+AI17+AI18+AI19+AI20</f>
        <v>-89824.9318853333</v>
      </c>
      <c r="AJ21" s="68" t="n">
        <f aca="false">AJ16+AJ17+AJ18+AJ19+AJ20</f>
        <v>-89824.9318853333</v>
      </c>
      <c r="AK21" s="68" t="n">
        <f aca="false">AK16+AK17+AK18+AK19+AK20</f>
        <v>-89824.9318853333</v>
      </c>
      <c r="AL21" s="68" t="n">
        <f aca="false">AL16+AL17+AL18+AL19+AL20</f>
        <v>-89824.9318853333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37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471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472</v>
      </c>
    </row>
    <row r="4" customFormat="false" ht="15.75" hidden="false" customHeight="true" outlineLevel="0" collapsed="false">
      <c r="A4" s="7" t="s">
        <v>473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372</v>
      </c>
      <c r="C5" s="35" t="s">
        <v>373</v>
      </c>
      <c r="D5" s="35" t="s">
        <v>374</v>
      </c>
      <c r="E5" s="35" t="s">
        <v>375</v>
      </c>
      <c r="F5" s="35" t="s">
        <v>376</v>
      </c>
      <c r="G5" s="35" t="s">
        <v>377</v>
      </c>
      <c r="H5" s="35" t="s">
        <v>378</v>
      </c>
      <c r="I5" s="35" t="s">
        <v>379</v>
      </c>
      <c r="J5" s="35" t="s">
        <v>380</v>
      </c>
      <c r="K5" s="35" t="s">
        <v>381</v>
      </c>
      <c r="L5" s="35" t="s">
        <v>382</v>
      </c>
      <c r="M5" s="35" t="s">
        <v>383</v>
      </c>
      <c r="N5" s="35" t="s">
        <v>384</v>
      </c>
      <c r="O5" s="35" t="s">
        <v>385</v>
      </c>
      <c r="P5" s="35" t="s">
        <v>386</v>
      </c>
      <c r="Q5" s="35" t="s">
        <v>387</v>
      </c>
      <c r="R5" s="35" t="s">
        <v>388</v>
      </c>
      <c r="S5" s="35" t="s">
        <v>389</v>
      </c>
      <c r="T5" s="35" t="s">
        <v>390</v>
      </c>
      <c r="U5" s="35" t="s">
        <v>391</v>
      </c>
      <c r="V5" s="35" t="s">
        <v>392</v>
      </c>
      <c r="W5" s="35" t="s">
        <v>393</v>
      </c>
      <c r="X5" s="35" t="s">
        <v>394</v>
      </c>
      <c r="Y5" s="35" t="s">
        <v>395</v>
      </c>
      <c r="Z5" s="35" t="s">
        <v>396</v>
      </c>
      <c r="AA5" s="35" t="s">
        <v>397</v>
      </c>
      <c r="AB5" s="35" t="s">
        <v>398</v>
      </c>
      <c r="AC5" s="35" t="s">
        <v>399</v>
      </c>
      <c r="AD5" s="35" t="s">
        <v>400</v>
      </c>
      <c r="AE5" s="35" t="s">
        <v>401</v>
      </c>
      <c r="AF5" s="35" t="s">
        <v>402</v>
      </c>
      <c r="AG5" s="35" t="s">
        <v>403</v>
      </c>
      <c r="AH5" s="35" t="s">
        <v>404</v>
      </c>
      <c r="AI5" s="35" t="s">
        <v>405</v>
      </c>
      <c r="AJ5" s="35" t="s">
        <v>406</v>
      </c>
      <c r="AK5" s="35" t="s">
        <v>407</v>
      </c>
      <c r="AL5" s="35" t="s">
        <v>408</v>
      </c>
    </row>
    <row r="6" customFormat="false" ht="15" hidden="false" customHeight="false" outlineLevel="0" collapsed="false">
      <c r="A6" s="72" t="s">
        <v>409</v>
      </c>
      <c r="C6" s="72" t="n">
        <v>1</v>
      </c>
      <c r="D6" s="72" t="n">
        <v>2</v>
      </c>
      <c r="E6" s="72" t="n">
        <v>3</v>
      </c>
      <c r="F6" s="72" t="n">
        <v>4</v>
      </c>
      <c r="G6" s="72" t="n">
        <v>5</v>
      </c>
      <c r="H6" s="72" t="n">
        <v>6</v>
      </c>
      <c r="I6" s="72" t="n">
        <v>7</v>
      </c>
      <c r="J6" s="72" t="n">
        <v>8</v>
      </c>
      <c r="K6" s="72" t="n">
        <v>9</v>
      </c>
      <c r="L6" s="72" t="n">
        <v>10</v>
      </c>
      <c r="M6" s="72" t="n">
        <v>11</v>
      </c>
      <c r="N6" s="72" t="n">
        <v>12</v>
      </c>
      <c r="O6" s="72" t="n">
        <v>13</v>
      </c>
      <c r="P6" s="72" t="n">
        <v>14</v>
      </c>
      <c r="Q6" s="72" t="n">
        <v>15</v>
      </c>
      <c r="R6" s="72" t="n">
        <v>16</v>
      </c>
      <c r="S6" s="72" t="n">
        <v>17</v>
      </c>
      <c r="T6" s="72" t="n">
        <v>18</v>
      </c>
      <c r="U6" s="72" t="n">
        <v>19</v>
      </c>
      <c r="V6" s="72" t="n">
        <v>20</v>
      </c>
      <c r="W6" s="72" t="n">
        <v>21</v>
      </c>
      <c r="X6" s="72" t="n">
        <v>22</v>
      </c>
      <c r="Y6" s="72" t="n">
        <v>23</v>
      </c>
      <c r="Z6" s="72" t="n">
        <v>24</v>
      </c>
      <c r="AA6" s="72" t="n">
        <v>25</v>
      </c>
      <c r="AB6" s="72" t="n">
        <v>26</v>
      </c>
      <c r="AC6" s="72" t="n">
        <v>27</v>
      </c>
      <c r="AD6" s="72" t="n">
        <v>28</v>
      </c>
      <c r="AE6" s="72" t="n">
        <v>29</v>
      </c>
      <c r="AF6" s="72" t="n">
        <v>30</v>
      </c>
      <c r="AG6" s="72" t="n">
        <v>31</v>
      </c>
      <c r="AH6" s="72" t="n">
        <v>32</v>
      </c>
      <c r="AI6" s="72" t="n">
        <v>33</v>
      </c>
      <c r="AJ6" s="72" t="n">
        <v>34</v>
      </c>
      <c r="AK6" s="72" t="n">
        <v>35</v>
      </c>
      <c r="AL6" s="72" t="n">
        <v>36</v>
      </c>
    </row>
    <row r="7" customFormat="false" ht="15" hidden="false" customHeight="false" outlineLevel="0" collapsed="false">
      <c r="A7" s="72" t="s">
        <v>153</v>
      </c>
      <c r="C7" s="72" t="n">
        <f aca="false">ROUNDUP(C6*1/12,0)</f>
        <v>1</v>
      </c>
      <c r="D7" s="72" t="n">
        <f aca="false">ROUNDUP(D6*1/12,0)</f>
        <v>1</v>
      </c>
      <c r="E7" s="72" t="n">
        <f aca="false">ROUNDUP(E6*1/12,0)</f>
        <v>1</v>
      </c>
      <c r="F7" s="72" t="n">
        <f aca="false">ROUNDUP(F6*1/12,0)</f>
        <v>1</v>
      </c>
      <c r="G7" s="72" t="n">
        <f aca="false">ROUNDUP(G6*1/12,0)</f>
        <v>1</v>
      </c>
      <c r="H7" s="72" t="n">
        <f aca="false">ROUNDUP(H6*1/12,0)</f>
        <v>1</v>
      </c>
      <c r="I7" s="72" t="n">
        <f aca="false">ROUNDUP(I6*1/12,0)</f>
        <v>1</v>
      </c>
      <c r="J7" s="72" t="n">
        <f aca="false">ROUNDUP(J6*1/12,0)</f>
        <v>1</v>
      </c>
      <c r="K7" s="72" t="n">
        <f aca="false">ROUNDUP(K6*1/12,0)</f>
        <v>1</v>
      </c>
      <c r="L7" s="72" t="n">
        <f aca="false">ROUNDUP(L6*1/12,0)</f>
        <v>1</v>
      </c>
      <c r="M7" s="72" t="n">
        <f aca="false">ROUNDUP(M6*1/12,0)</f>
        <v>1</v>
      </c>
      <c r="N7" s="72" t="n">
        <f aca="false">ROUNDUP(N6*1/12,0)</f>
        <v>1</v>
      </c>
      <c r="O7" s="72" t="n">
        <f aca="false">ROUNDUP(O6*1/12,0)</f>
        <v>2</v>
      </c>
      <c r="P7" s="72" t="n">
        <f aca="false">ROUNDUP(P6*1/12,0)</f>
        <v>2</v>
      </c>
      <c r="Q7" s="72" t="n">
        <f aca="false">ROUNDUP(Q6*1/12,0)</f>
        <v>2</v>
      </c>
      <c r="R7" s="72" t="n">
        <f aca="false">ROUNDUP(R6*1/12,0)</f>
        <v>2</v>
      </c>
      <c r="S7" s="72" t="n">
        <f aca="false">ROUNDUP(S6*1/12,0)</f>
        <v>2</v>
      </c>
      <c r="T7" s="72" t="n">
        <f aca="false">ROUNDUP(T6*1/12,0)</f>
        <v>2</v>
      </c>
      <c r="U7" s="72" t="n">
        <f aca="false">ROUNDUP(U6*1/12,0)</f>
        <v>2</v>
      </c>
      <c r="V7" s="72" t="n">
        <f aca="false">ROUNDUP(V6*1/12,0)</f>
        <v>2</v>
      </c>
      <c r="W7" s="72" t="n">
        <f aca="false">ROUNDUP(W6*1/12,0)</f>
        <v>2</v>
      </c>
      <c r="X7" s="72" t="n">
        <f aca="false">ROUNDUP(X6*1/12,0)</f>
        <v>2</v>
      </c>
      <c r="Y7" s="72" t="n">
        <f aca="false">ROUNDUP(Y6*1/12,0)</f>
        <v>2</v>
      </c>
      <c r="Z7" s="72" t="n">
        <f aca="false">ROUNDUP(Z6*1/12,0)</f>
        <v>2</v>
      </c>
      <c r="AA7" s="72" t="n">
        <f aca="false">ROUNDUP(AA6*1/12,0)</f>
        <v>3</v>
      </c>
      <c r="AB7" s="72" t="n">
        <f aca="false">ROUNDUP(AB6*1/12,0)</f>
        <v>3</v>
      </c>
      <c r="AC7" s="72" t="n">
        <f aca="false">ROUNDUP(AC6*1/12,0)</f>
        <v>3</v>
      </c>
      <c r="AD7" s="72" t="n">
        <f aca="false">ROUNDUP(AD6*1/12,0)</f>
        <v>3</v>
      </c>
      <c r="AE7" s="72" t="n">
        <f aca="false">ROUNDUP(AE6*1/12,0)</f>
        <v>3</v>
      </c>
      <c r="AF7" s="72" t="n">
        <f aca="false">ROUNDUP(AF6*1/12,0)</f>
        <v>3</v>
      </c>
      <c r="AG7" s="72" t="n">
        <f aca="false">ROUNDUP(AG6*1/12,0)</f>
        <v>3</v>
      </c>
      <c r="AH7" s="72" t="n">
        <f aca="false">ROUNDUP(AH6*1/12,0)</f>
        <v>3</v>
      </c>
      <c r="AI7" s="72" t="n">
        <f aca="false">ROUNDUP(AI6*1/12,0)</f>
        <v>3</v>
      </c>
      <c r="AJ7" s="72" t="n">
        <f aca="false">ROUNDUP(AJ6*1/12,0)</f>
        <v>3</v>
      </c>
      <c r="AK7" s="72" t="n">
        <f aca="false">ROUNDUP(AK6*1/12,0)</f>
        <v>3</v>
      </c>
      <c r="AL7" s="72" t="n">
        <f aca="false">ROUNDUP(AL6*1/12,0)</f>
        <v>3</v>
      </c>
    </row>
    <row r="9" customFormat="false" ht="15.75" hidden="false" customHeight="true" outlineLevel="0" collapsed="false">
      <c r="A9" s="7" t="s">
        <v>265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233</v>
      </c>
      <c r="C10" s="114" t="n">
        <f aca="false">-C45/MAX(1,Inputs!$B$19)</f>
        <v>30.4347826086957</v>
      </c>
      <c r="D10" s="114" t="n">
        <f aca="false">-D45/MAX(1,Inputs!$B$19)</f>
        <v>30.4347826086957</v>
      </c>
      <c r="E10" s="114" t="n">
        <f aca="false">-E45/MAX(1,Inputs!$B$19)</f>
        <v>30.4347826086957</v>
      </c>
      <c r="F10" s="114" t="n">
        <f aca="false">-F45/MAX(1,Inputs!$B$19)</f>
        <v>30.4347826086957</v>
      </c>
      <c r="G10" s="114" t="n">
        <f aca="false">-G45/MAX(1,Inputs!$B$19)</f>
        <v>30.4347826086957</v>
      </c>
      <c r="H10" s="114" t="n">
        <f aca="false">-H45/MAX(1,Inputs!$B$19)</f>
        <v>30.4347826086957</v>
      </c>
      <c r="I10" s="114" t="n">
        <f aca="false">-I45/MAX(1,Inputs!$B$19)</f>
        <v>30.4347826086957</v>
      </c>
      <c r="J10" s="114" t="n">
        <f aca="false">-J45/MAX(1,Inputs!$B$19)</f>
        <v>30.4347826086957</v>
      </c>
      <c r="K10" s="114" t="n">
        <f aca="false">-K45/MAX(1,Inputs!$B$19)</f>
        <v>30.4347826086957</v>
      </c>
      <c r="L10" s="114" t="n">
        <f aca="false">-L45/MAX(1,Inputs!$B$19)</f>
        <v>30.4347826086957</v>
      </c>
      <c r="M10" s="114" t="n">
        <f aca="false">-M45/MAX(1,Inputs!$B$19)</f>
        <v>30.4347826086957</v>
      </c>
      <c r="N10" s="114" t="n">
        <f aca="false">-N45/MAX(1,Inputs!$B$19)</f>
        <v>30.4347826086957</v>
      </c>
      <c r="O10" s="114" t="n">
        <f aca="false">-O45/MAX(1,Inputs!$B$19)</f>
        <v>30.4347826086957</v>
      </c>
      <c r="P10" s="114" t="n">
        <f aca="false">-P45/MAX(1,Inputs!$B$19)</f>
        <v>30.4347826086957</v>
      </c>
      <c r="Q10" s="114" t="n">
        <f aca="false">-Q45/MAX(1,Inputs!$B$19)</f>
        <v>30.4347826086957</v>
      </c>
      <c r="R10" s="114" t="n">
        <f aca="false">-R45/MAX(1,Inputs!$B$19)</f>
        <v>30.4347826086957</v>
      </c>
      <c r="S10" s="114" t="n">
        <f aca="false">-S45/MAX(1,Inputs!$B$19)</f>
        <v>30.4347826086957</v>
      </c>
      <c r="T10" s="114" t="n">
        <f aca="false">-T45/MAX(1,Inputs!$B$19)</f>
        <v>30.4347826086957</v>
      </c>
      <c r="U10" s="114" t="n">
        <f aca="false">-U45/MAX(1,Inputs!$B$19)</f>
        <v>30.4347826086957</v>
      </c>
      <c r="V10" s="114" t="n">
        <f aca="false">-V45/MAX(1,Inputs!$B$19)</f>
        <v>30.4347826086957</v>
      </c>
      <c r="W10" s="114" t="n">
        <f aca="false">-W45/MAX(1,Inputs!$B$19)</f>
        <v>30.4347826086957</v>
      </c>
      <c r="X10" s="114" t="n">
        <f aca="false">-X45/MAX(1,Inputs!$B$19)</f>
        <v>30.4347826086957</v>
      </c>
      <c r="Y10" s="114" t="n">
        <f aca="false">-Y45/MAX(1,Inputs!$B$19)</f>
        <v>30.4347826086957</v>
      </c>
      <c r="Z10" s="114" t="n">
        <f aca="false">-Z45/MAX(1,Inputs!$B$19)</f>
        <v>30.4347826086957</v>
      </c>
      <c r="AA10" s="114" t="n">
        <f aca="false">-AA45/MAX(1,Inputs!$B$19)</f>
        <v>30.4347826086957</v>
      </c>
      <c r="AB10" s="114" t="n">
        <f aca="false">-AB45/MAX(1,Inputs!$B$19)</f>
        <v>30.4347826086957</v>
      </c>
      <c r="AC10" s="114" t="n">
        <f aca="false">-AC45/MAX(1,Inputs!$B$19)</f>
        <v>30.4347826086957</v>
      </c>
      <c r="AD10" s="114" t="n">
        <f aca="false">-AD45/MAX(1,Inputs!$B$19)</f>
        <v>30.4347826086957</v>
      </c>
      <c r="AE10" s="114" t="n">
        <f aca="false">-AE45/MAX(1,Inputs!$B$19)</f>
        <v>30.4347826086957</v>
      </c>
      <c r="AF10" s="114" t="n">
        <f aca="false">-AF45/MAX(1,Inputs!$B$19)</f>
        <v>30.4347826086957</v>
      </c>
      <c r="AG10" s="114" t="n">
        <f aca="false">-AG45/MAX(1,Inputs!$B$19)</f>
        <v>30.4347826086957</v>
      </c>
      <c r="AH10" s="114" t="n">
        <f aca="false">-AH45/MAX(1,Inputs!$B$19)</f>
        <v>30.4347826086957</v>
      </c>
      <c r="AI10" s="114" t="n">
        <f aca="false">-AI45/MAX(1,Inputs!$B$19)</f>
        <v>30.4347826086957</v>
      </c>
      <c r="AJ10" s="114" t="n">
        <f aca="false">-AJ45/MAX(1,Inputs!$B$19)</f>
        <v>30.4347826086957</v>
      </c>
      <c r="AK10" s="114" t="n">
        <f aca="false">-AK45/MAX(1,Inputs!$B$19)</f>
        <v>30.4347826086957</v>
      </c>
      <c r="AL10" s="114" t="n">
        <f aca="false">-AL45/MAX(1,Inputs!$B$19)</f>
        <v>30.4347826086957</v>
      </c>
    </row>
    <row r="11" customFormat="false" ht="15" hidden="false" customHeight="false" outlineLevel="0" collapsed="false">
      <c r="A11" s="6" t="s">
        <v>410</v>
      </c>
      <c r="C11" s="114" t="n">
        <f aca="false">Inputs!$B$15*(1+Inputs!$B$16)^(C$7-1)*1</f>
        <v>20</v>
      </c>
      <c r="D11" s="114" t="n">
        <f aca="false">Inputs!$B$15*(1+Inputs!$B$16)^(D$7-1)*1</f>
        <v>20</v>
      </c>
      <c r="E11" s="114" t="n">
        <f aca="false">Inputs!$B$15*(1+Inputs!$B$16)^(E$7-1)*1</f>
        <v>20</v>
      </c>
      <c r="F11" s="114" t="n">
        <f aca="false">Inputs!$B$15*(1+Inputs!$B$16)^(F$7-1)*1</f>
        <v>20</v>
      </c>
      <c r="G11" s="114" t="n">
        <f aca="false">Inputs!$B$15*(1+Inputs!$B$16)^(G$7-1)*1</f>
        <v>20</v>
      </c>
      <c r="H11" s="114" t="n">
        <f aca="false">Inputs!$B$15*(1+Inputs!$B$16)^(H$7-1)*1</f>
        <v>20</v>
      </c>
      <c r="I11" s="114" t="n">
        <f aca="false">Inputs!$B$15*(1+Inputs!$B$16)^(I$7-1)*1</f>
        <v>20</v>
      </c>
      <c r="J11" s="114" t="n">
        <f aca="false">Inputs!$B$15*(1+Inputs!$B$16)^(J$7-1)*1</f>
        <v>20</v>
      </c>
      <c r="K11" s="114" t="n">
        <f aca="false">Inputs!$B$15*(1+Inputs!$B$16)^(K$7-1)*1</f>
        <v>20</v>
      </c>
      <c r="L11" s="114" t="n">
        <f aca="false">Inputs!$B$15*(1+Inputs!$B$16)^(L$7-1)*1</f>
        <v>20</v>
      </c>
      <c r="M11" s="114" t="n">
        <f aca="false">Inputs!$B$15*(1+Inputs!$B$16)^(M$7-1)*1</f>
        <v>20</v>
      </c>
      <c r="N11" s="114" t="n">
        <f aca="false">Inputs!$B$15*(1+Inputs!$B$16)^(N$7-1)*1</f>
        <v>20</v>
      </c>
      <c r="O11" s="114" t="n">
        <f aca="false">Inputs!$B$15*(1+Inputs!$B$16)^(O$7-1)*1</f>
        <v>20.6</v>
      </c>
      <c r="P11" s="114" t="n">
        <f aca="false">Inputs!$B$15*(1+Inputs!$B$16)^(P$7-1)*1</f>
        <v>20.6</v>
      </c>
      <c r="Q11" s="114" t="n">
        <f aca="false">Inputs!$B$15*(1+Inputs!$B$16)^(Q$7-1)*1</f>
        <v>20.6</v>
      </c>
      <c r="R11" s="114" t="n">
        <f aca="false">Inputs!$B$15*(1+Inputs!$B$16)^(R$7-1)*1</f>
        <v>20.6</v>
      </c>
      <c r="S11" s="114" t="n">
        <f aca="false">Inputs!$B$15*(1+Inputs!$B$16)^(S$7-1)*1</f>
        <v>20.6</v>
      </c>
      <c r="T11" s="114" t="n">
        <f aca="false">Inputs!$B$15*(1+Inputs!$B$16)^(T$7-1)*1</f>
        <v>20.6</v>
      </c>
      <c r="U11" s="114" t="n">
        <f aca="false">Inputs!$B$15*(1+Inputs!$B$16)^(U$7-1)*1</f>
        <v>20.6</v>
      </c>
      <c r="V11" s="114" t="n">
        <f aca="false">Inputs!$B$15*(1+Inputs!$B$16)^(V$7-1)*1</f>
        <v>20.6</v>
      </c>
      <c r="W11" s="114" t="n">
        <f aca="false">Inputs!$B$15*(1+Inputs!$B$16)^(W$7-1)*1</f>
        <v>20.6</v>
      </c>
      <c r="X11" s="114" t="n">
        <f aca="false">Inputs!$B$15*(1+Inputs!$B$16)^(X$7-1)*1</f>
        <v>20.6</v>
      </c>
      <c r="Y11" s="114" t="n">
        <f aca="false">Inputs!$B$15*(1+Inputs!$B$16)^(Y$7-1)*1</f>
        <v>20.6</v>
      </c>
      <c r="Z11" s="114" t="n">
        <f aca="false">Inputs!$B$15*(1+Inputs!$B$16)^(Z$7-1)*1</f>
        <v>20.6</v>
      </c>
      <c r="AA11" s="114" t="n">
        <f aca="false">Inputs!$B$15*(1+Inputs!$B$16)^(AA$7-1)*1</f>
        <v>21.218</v>
      </c>
      <c r="AB11" s="114" t="n">
        <f aca="false">Inputs!$B$15*(1+Inputs!$B$16)^(AB$7-1)*1</f>
        <v>21.218</v>
      </c>
      <c r="AC11" s="114" t="n">
        <f aca="false">Inputs!$B$15*(1+Inputs!$B$16)^(AC$7-1)*1</f>
        <v>21.218</v>
      </c>
      <c r="AD11" s="114" t="n">
        <f aca="false">Inputs!$B$15*(1+Inputs!$B$16)^(AD$7-1)*1</f>
        <v>21.218</v>
      </c>
      <c r="AE11" s="114" t="n">
        <f aca="false">Inputs!$B$15*(1+Inputs!$B$16)^(AE$7-1)*1</f>
        <v>21.218</v>
      </c>
      <c r="AF11" s="114" t="n">
        <f aca="false">Inputs!$B$15*(1+Inputs!$B$16)^(AF$7-1)*1</f>
        <v>21.218</v>
      </c>
      <c r="AG11" s="114" t="n">
        <f aca="false">Inputs!$B$15*(1+Inputs!$B$16)^(AG$7-1)*1</f>
        <v>21.218</v>
      </c>
      <c r="AH11" s="114" t="n">
        <f aca="false">Inputs!$B$15*(1+Inputs!$B$16)^(AH$7-1)*1</f>
        <v>21.218</v>
      </c>
      <c r="AI11" s="114" t="n">
        <f aca="false">Inputs!$B$15*(1+Inputs!$B$16)^(AI$7-1)*1</f>
        <v>21.218</v>
      </c>
      <c r="AJ11" s="114" t="n">
        <f aca="false">Inputs!$B$15*(1+Inputs!$B$16)^(AJ$7-1)*1</f>
        <v>21.218</v>
      </c>
      <c r="AK11" s="114" t="n">
        <f aca="false">Inputs!$B$15*(1+Inputs!$B$16)^(AK$7-1)*1</f>
        <v>21.218</v>
      </c>
      <c r="AL11" s="114" t="n">
        <f aca="false">Inputs!$B$15*(1+Inputs!$B$16)^(AL$7-1)*1</f>
        <v>21.218</v>
      </c>
    </row>
    <row r="12" customFormat="false" ht="15" hidden="false" customHeight="false" outlineLevel="0" collapsed="false">
      <c r="A12" s="4" t="s">
        <v>411</v>
      </c>
      <c r="C12" s="115" t="n">
        <f aca="false">C10+C11</f>
        <v>50.4347826086957</v>
      </c>
      <c r="D12" s="115" t="n">
        <f aca="false">D10+D11</f>
        <v>50.4347826086957</v>
      </c>
      <c r="E12" s="115" t="n">
        <f aca="false">E10+E11</f>
        <v>50.4347826086957</v>
      </c>
      <c r="F12" s="115" t="n">
        <f aca="false">F10+F11</f>
        <v>50.4347826086957</v>
      </c>
      <c r="G12" s="115" t="n">
        <f aca="false">G10+G11</f>
        <v>50.4347826086957</v>
      </c>
      <c r="H12" s="115" t="n">
        <f aca="false">H10+H11</f>
        <v>50.4347826086957</v>
      </c>
      <c r="I12" s="115" t="n">
        <f aca="false">I10+I11</f>
        <v>50.4347826086957</v>
      </c>
      <c r="J12" s="115" t="n">
        <f aca="false">J10+J11</f>
        <v>50.4347826086957</v>
      </c>
      <c r="K12" s="115" t="n">
        <f aca="false">K10+K11</f>
        <v>50.4347826086957</v>
      </c>
      <c r="L12" s="115" t="n">
        <f aca="false">L10+L11</f>
        <v>50.4347826086957</v>
      </c>
      <c r="M12" s="115" t="n">
        <f aca="false">M10+M11</f>
        <v>50.4347826086957</v>
      </c>
      <c r="N12" s="115" t="n">
        <f aca="false">N10+N11</f>
        <v>50.4347826086957</v>
      </c>
      <c r="O12" s="115" t="n">
        <f aca="false">O10+O11</f>
        <v>51.0347826086957</v>
      </c>
      <c r="P12" s="115" t="n">
        <f aca="false">P10+P11</f>
        <v>51.0347826086957</v>
      </c>
      <c r="Q12" s="115" t="n">
        <f aca="false">Q10+Q11</f>
        <v>51.0347826086957</v>
      </c>
      <c r="R12" s="115" t="n">
        <f aca="false">R10+R11</f>
        <v>51.0347826086957</v>
      </c>
      <c r="S12" s="115" t="n">
        <f aca="false">S10+S11</f>
        <v>51.0347826086957</v>
      </c>
      <c r="T12" s="115" t="n">
        <f aca="false">T10+T11</f>
        <v>51.0347826086957</v>
      </c>
      <c r="U12" s="115" t="n">
        <f aca="false">U10+U11</f>
        <v>51.0347826086957</v>
      </c>
      <c r="V12" s="115" t="n">
        <f aca="false">V10+V11</f>
        <v>51.0347826086957</v>
      </c>
      <c r="W12" s="115" t="n">
        <f aca="false">W10+W11</f>
        <v>51.0347826086957</v>
      </c>
      <c r="X12" s="115" t="n">
        <f aca="false">X10+X11</f>
        <v>51.0347826086957</v>
      </c>
      <c r="Y12" s="115" t="n">
        <f aca="false">Y10+Y11</f>
        <v>51.0347826086957</v>
      </c>
      <c r="Z12" s="115" t="n">
        <f aca="false">Z10+Z11</f>
        <v>51.0347826086957</v>
      </c>
      <c r="AA12" s="115" t="n">
        <f aca="false">AA10+AA11</f>
        <v>51.6527826086957</v>
      </c>
      <c r="AB12" s="115" t="n">
        <f aca="false">AB10+AB11</f>
        <v>51.6527826086957</v>
      </c>
      <c r="AC12" s="115" t="n">
        <f aca="false">AC10+AC11</f>
        <v>51.6527826086957</v>
      </c>
      <c r="AD12" s="115" t="n">
        <f aca="false">AD10+AD11</f>
        <v>51.6527826086957</v>
      </c>
      <c r="AE12" s="115" t="n">
        <f aca="false">AE10+AE11</f>
        <v>51.6527826086957</v>
      </c>
      <c r="AF12" s="115" t="n">
        <f aca="false">AF10+AF11</f>
        <v>51.6527826086957</v>
      </c>
      <c r="AG12" s="115" t="n">
        <f aca="false">AG10+AG11</f>
        <v>51.6527826086957</v>
      </c>
      <c r="AH12" s="115" t="n">
        <f aca="false">AH10+AH11</f>
        <v>51.6527826086957</v>
      </c>
      <c r="AI12" s="115" t="n">
        <f aca="false">AI10+AI11</f>
        <v>51.6527826086957</v>
      </c>
      <c r="AJ12" s="115" t="n">
        <f aca="false">AJ10+AJ11</f>
        <v>51.6527826086957</v>
      </c>
      <c r="AK12" s="115" t="n">
        <f aca="false">AK10+AK11</f>
        <v>51.6527826086957</v>
      </c>
      <c r="AL12" s="115" t="n">
        <f aca="false">AL10+AL11</f>
        <v>51.6527826086957</v>
      </c>
    </row>
    <row r="13" customFormat="false" ht="15" hidden="false" customHeight="false" outlineLevel="0" collapsed="false">
      <c r="A13" s="6" t="s">
        <v>412</v>
      </c>
      <c r="C13" s="116" t="n">
        <f aca="false">Inputs!$B$14</f>
        <v>2700</v>
      </c>
      <c r="D13" s="114" t="n">
        <f aca="false">C15</f>
        <v>2707.2347826087</v>
      </c>
      <c r="E13" s="114" t="n">
        <f aca="false">D15</f>
        <v>2714.35380869565</v>
      </c>
      <c r="F13" s="114" t="n">
        <f aca="false">E15</f>
        <v>2721.35893036522</v>
      </c>
      <c r="G13" s="114" t="n">
        <f aca="false">F15</f>
        <v>2728.25197008807</v>
      </c>
      <c r="H13" s="114" t="n">
        <f aca="false">G15</f>
        <v>2735.03472117536</v>
      </c>
      <c r="I13" s="114" t="n">
        <f aca="false">H15</f>
        <v>2741.70894824524</v>
      </c>
      <c r="J13" s="114" t="n">
        <f aca="false">I15</f>
        <v>2748.27638768202</v>
      </c>
      <c r="K13" s="114" t="n">
        <f aca="false">J15</f>
        <v>2754.7387480878</v>
      </c>
      <c r="L13" s="114" t="n">
        <f aca="false">K15</f>
        <v>2761.09771072709</v>
      </c>
      <c r="M13" s="114" t="n">
        <f aca="false">L15</f>
        <v>2767.35492996415</v>
      </c>
      <c r="N13" s="114" t="n">
        <f aca="false">M15</f>
        <v>2773.51203369342</v>
      </c>
      <c r="O13" s="114" t="n">
        <f aca="false">N15</f>
        <v>2779.57062376302</v>
      </c>
      <c r="P13" s="114" t="n">
        <f aca="false">O15</f>
        <v>2786.13227639151</v>
      </c>
      <c r="Q13" s="114" t="n">
        <f aca="false">P15</f>
        <v>2792.58894257794</v>
      </c>
      <c r="R13" s="114" t="n">
        <f aca="false">Q15</f>
        <v>2798.94230210539</v>
      </c>
      <c r="S13" s="114" t="n">
        <f aca="false">R15</f>
        <v>2805.1940078804</v>
      </c>
      <c r="T13" s="114" t="n">
        <f aca="false">S15</f>
        <v>2811.34568636301</v>
      </c>
      <c r="U13" s="114" t="n">
        <f aca="false">T15</f>
        <v>2817.3989379899</v>
      </c>
      <c r="V13" s="114" t="n">
        <f aca="false">U15</f>
        <v>2823.35533759075</v>
      </c>
      <c r="W13" s="114" t="n">
        <f aca="false">V15</f>
        <v>2829.216434798</v>
      </c>
      <c r="X13" s="114" t="n">
        <f aca="false">W15</f>
        <v>2834.98375444992</v>
      </c>
      <c r="Y13" s="114" t="n">
        <f aca="false">X15</f>
        <v>2840.65879698742</v>
      </c>
      <c r="Z13" s="114" t="n">
        <f aca="false">Y15</f>
        <v>2846.24303884432</v>
      </c>
      <c r="AA13" s="114" t="n">
        <f aca="false">Z15</f>
        <v>2851.7379328315</v>
      </c>
      <c r="AB13" s="114" t="n">
        <f aca="false">AA15</f>
        <v>2857.7629085149</v>
      </c>
      <c r="AC13" s="114" t="n">
        <f aca="false">AB15</f>
        <v>2863.69148458735</v>
      </c>
      <c r="AD13" s="114" t="n">
        <f aca="false">AC15</f>
        <v>2869.52520344265</v>
      </c>
      <c r="AE13" s="114" t="n">
        <f aca="false">AD15</f>
        <v>2875.26558279627</v>
      </c>
      <c r="AF13" s="114" t="n">
        <f aca="false">AE15</f>
        <v>2880.91411608022</v>
      </c>
      <c r="AG13" s="114" t="n">
        <f aca="false">AF15</f>
        <v>2886.47227283163</v>
      </c>
      <c r="AH13" s="114" t="n">
        <f aca="false">AG15</f>
        <v>2891.94149907502</v>
      </c>
      <c r="AI13" s="114" t="n">
        <f aca="false">AH15</f>
        <v>2897.32321769852</v>
      </c>
      <c r="AJ13" s="114" t="n">
        <f aca="false">AI15</f>
        <v>2902.61882882404</v>
      </c>
      <c r="AK13" s="114" t="n">
        <f aca="false">AJ15</f>
        <v>2907.82971017155</v>
      </c>
      <c r="AL13" s="114" t="n">
        <f aca="false">AK15</f>
        <v>2912.9572174175</v>
      </c>
    </row>
    <row r="14" customFormat="false" ht="15" hidden="false" customHeight="false" outlineLevel="0" collapsed="false">
      <c r="A14" s="6" t="s">
        <v>413</v>
      </c>
      <c r="C14" s="114" t="n">
        <f aca="false">C15-C13-C12</f>
        <v>-43.2</v>
      </c>
      <c r="D14" s="114" t="n">
        <f aca="false">D15-D13-D12</f>
        <v>-43.3157565217395</v>
      </c>
      <c r="E14" s="114" t="n">
        <f aca="false">E15-E13-E12</f>
        <v>-43.4296609391305</v>
      </c>
      <c r="F14" s="114" t="n">
        <f aca="false">F15-F13-F12</f>
        <v>-43.5417428858438</v>
      </c>
      <c r="G14" s="114" t="n">
        <f aca="false">G15-G13-G12</f>
        <v>-43.6520315214094</v>
      </c>
      <c r="H14" s="114" t="n">
        <f aca="false">H15-H13-H12</f>
        <v>-43.760555538806</v>
      </c>
      <c r="I14" s="114" t="n">
        <f aca="false">I15-I13-I12</f>
        <v>-43.8673431719241</v>
      </c>
      <c r="J14" s="114" t="n">
        <f aca="false">J15-J13-J12</f>
        <v>-43.9724222029123</v>
      </c>
      <c r="K14" s="114" t="n">
        <f aca="false">K15-K13-K12</f>
        <v>-44.0758199694048</v>
      </c>
      <c r="L14" s="114" t="n">
        <f aca="false">L15-L13-L12</f>
        <v>-44.1775633716335</v>
      </c>
      <c r="M14" s="114" t="n">
        <f aca="false">M15-M13-M12</f>
        <v>-44.2776788794264</v>
      </c>
      <c r="N14" s="114" t="n">
        <f aca="false">N15-N13-N12</f>
        <v>-44.3761925390951</v>
      </c>
      <c r="O14" s="114" t="n">
        <f aca="false">O15-O13-O12</f>
        <v>-44.4731299802086</v>
      </c>
      <c r="P14" s="114" t="n">
        <f aca="false">P15-P13-P12</f>
        <v>-44.5781164222638</v>
      </c>
      <c r="Q14" s="114" t="n">
        <f aca="false">Q15-Q13-Q12</f>
        <v>-44.6814230812472</v>
      </c>
      <c r="R14" s="114" t="n">
        <f aca="false">R15-R13-R12</f>
        <v>-44.7830768336864</v>
      </c>
      <c r="S14" s="114" t="n">
        <f aca="false">S15-S13-S12</f>
        <v>-44.8831041260867</v>
      </c>
      <c r="T14" s="114" t="n">
        <f aca="false">T15-T13-T12</f>
        <v>-44.981530981808</v>
      </c>
      <c r="U14" s="114" t="n">
        <f aca="false">U15-U13-U12</f>
        <v>-45.0783830078383</v>
      </c>
      <c r="V14" s="114" t="n">
        <f aca="false">V15-V13-V12</f>
        <v>-45.1736854014519</v>
      </c>
      <c r="W14" s="114" t="n">
        <f aca="false">W15-W13-W12</f>
        <v>-45.2674629567684</v>
      </c>
      <c r="X14" s="114" t="n">
        <f aca="false">X15-X13-X12</f>
        <v>-45.359740071199</v>
      </c>
      <c r="Y14" s="114" t="n">
        <f aca="false">Y15-Y13-Y12</f>
        <v>-45.4505407517984</v>
      </c>
      <c r="Z14" s="114" t="n">
        <f aca="false">Z15-Z13-Z12</f>
        <v>-45.5398886215091</v>
      </c>
      <c r="AA14" s="114" t="n">
        <f aca="false">AA15-AA13-AA12</f>
        <v>-45.6278069253038</v>
      </c>
      <c r="AB14" s="114" t="n">
        <f aca="false">AB15-AB13-AB12</f>
        <v>-45.7242065362382</v>
      </c>
      <c r="AC14" s="114" t="n">
        <f aca="false">AC15-AC13-AC12</f>
        <v>-45.8190637533974</v>
      </c>
      <c r="AD14" s="114" t="n">
        <f aca="false">AD15-AD13-AD12</f>
        <v>-45.9124032550824</v>
      </c>
      <c r="AE14" s="114" t="n">
        <f aca="false">AE15-AE13-AE12</f>
        <v>-46.00424932474</v>
      </c>
      <c r="AF14" s="114" t="n">
        <f aca="false">AF15-AF13-AF12</f>
        <v>-46.0946258572834</v>
      </c>
      <c r="AG14" s="114" t="n">
        <f aca="false">AG15-AG13-AG12</f>
        <v>-46.1835563653061</v>
      </c>
      <c r="AH14" s="114" t="n">
        <f aca="false">AH15-AH13-AH12</f>
        <v>-46.2710639852001</v>
      </c>
      <c r="AI14" s="114" t="n">
        <f aca="false">AI15-AI13-AI12</f>
        <v>-46.3571714831763</v>
      </c>
      <c r="AJ14" s="114" t="n">
        <f aca="false">AJ15-AJ13-AJ12</f>
        <v>-46.4419012611846</v>
      </c>
      <c r="AK14" s="114" t="n">
        <f aca="false">AK15-AK13-AK12</f>
        <v>-46.5252753627445</v>
      </c>
      <c r="AL14" s="114" t="n">
        <f aca="false">AL15-AL13-AL12</f>
        <v>-46.6073154786798</v>
      </c>
    </row>
    <row r="15" customFormat="false" ht="15" hidden="false" customHeight="false" outlineLevel="0" collapsed="false">
      <c r="A15" s="4" t="s">
        <v>414</v>
      </c>
      <c r="C15" s="115" t="n">
        <f aca="false">C13*(1-Inputs!$B$20)+C12</f>
        <v>2707.2347826087</v>
      </c>
      <c r="D15" s="115" t="n">
        <f aca="false">D13*(1-Inputs!$B$20)+D12</f>
        <v>2714.35380869565</v>
      </c>
      <c r="E15" s="115" t="n">
        <f aca="false">E13*(1-Inputs!$B$20)+E12</f>
        <v>2721.35893036522</v>
      </c>
      <c r="F15" s="115" t="n">
        <f aca="false">F13*(1-Inputs!$B$20)+F12</f>
        <v>2728.25197008807</v>
      </c>
      <c r="G15" s="115" t="n">
        <f aca="false">G13*(1-Inputs!$B$20)+G12</f>
        <v>2735.03472117536</v>
      </c>
      <c r="H15" s="115" t="n">
        <f aca="false">H13*(1-Inputs!$B$20)+H12</f>
        <v>2741.70894824524</v>
      </c>
      <c r="I15" s="115" t="n">
        <f aca="false">I13*(1-Inputs!$B$20)+I12</f>
        <v>2748.27638768202</v>
      </c>
      <c r="J15" s="115" t="n">
        <f aca="false">J13*(1-Inputs!$B$20)+J12</f>
        <v>2754.7387480878</v>
      </c>
      <c r="K15" s="115" t="n">
        <f aca="false">K13*(1-Inputs!$B$20)+K12</f>
        <v>2761.09771072709</v>
      </c>
      <c r="L15" s="115" t="n">
        <f aca="false">L13*(1-Inputs!$B$20)+L12</f>
        <v>2767.35492996415</v>
      </c>
      <c r="M15" s="115" t="n">
        <f aca="false">M13*(1-Inputs!$B$20)+M12</f>
        <v>2773.51203369342</v>
      </c>
      <c r="N15" s="115" t="n">
        <f aca="false">N13*(1-Inputs!$B$20)+N12</f>
        <v>2779.57062376302</v>
      </c>
      <c r="O15" s="115" t="n">
        <f aca="false">O13*(1-Inputs!$B$20)+O12</f>
        <v>2786.13227639151</v>
      </c>
      <c r="P15" s="115" t="n">
        <f aca="false">P13*(1-Inputs!$B$20)+P12</f>
        <v>2792.58894257794</v>
      </c>
      <c r="Q15" s="115" t="n">
        <f aca="false">Q13*(1-Inputs!$B$20)+Q12</f>
        <v>2798.94230210539</v>
      </c>
      <c r="R15" s="115" t="n">
        <f aca="false">R13*(1-Inputs!$B$20)+R12</f>
        <v>2805.1940078804</v>
      </c>
      <c r="S15" s="115" t="n">
        <f aca="false">S13*(1-Inputs!$B$20)+S12</f>
        <v>2811.34568636301</v>
      </c>
      <c r="T15" s="115" t="n">
        <f aca="false">T13*(1-Inputs!$B$20)+T12</f>
        <v>2817.3989379899</v>
      </c>
      <c r="U15" s="115" t="n">
        <f aca="false">U13*(1-Inputs!$B$20)+U12</f>
        <v>2823.35533759075</v>
      </c>
      <c r="V15" s="115" t="n">
        <f aca="false">V13*(1-Inputs!$B$20)+V12</f>
        <v>2829.216434798</v>
      </c>
      <c r="W15" s="115" t="n">
        <f aca="false">W13*(1-Inputs!$B$20)+W12</f>
        <v>2834.98375444992</v>
      </c>
      <c r="X15" s="115" t="n">
        <f aca="false">X13*(1-Inputs!$B$20)+X12</f>
        <v>2840.65879698742</v>
      </c>
      <c r="Y15" s="115" t="n">
        <f aca="false">Y13*(1-Inputs!$B$20)+Y12</f>
        <v>2846.24303884432</v>
      </c>
      <c r="Z15" s="115" t="n">
        <f aca="false">Z13*(1-Inputs!$B$20)+Z12</f>
        <v>2851.7379328315</v>
      </c>
      <c r="AA15" s="115" t="n">
        <f aca="false">AA13*(1-Inputs!$B$20)+AA12</f>
        <v>2857.7629085149</v>
      </c>
      <c r="AB15" s="115" t="n">
        <f aca="false">AB13*(1-Inputs!$B$20)+AB12</f>
        <v>2863.69148458735</v>
      </c>
      <c r="AC15" s="115" t="n">
        <f aca="false">AC13*(1-Inputs!$B$20)+AC12</f>
        <v>2869.52520344265</v>
      </c>
      <c r="AD15" s="115" t="n">
        <f aca="false">AD13*(1-Inputs!$B$20)+AD12</f>
        <v>2875.26558279627</v>
      </c>
      <c r="AE15" s="115" t="n">
        <f aca="false">AE13*(1-Inputs!$B$20)+AE12</f>
        <v>2880.91411608022</v>
      </c>
      <c r="AF15" s="115" t="n">
        <f aca="false">AF13*(1-Inputs!$B$20)+AF12</f>
        <v>2886.47227283163</v>
      </c>
      <c r="AG15" s="115" t="n">
        <f aca="false">AG13*(1-Inputs!$B$20)+AG12</f>
        <v>2891.94149907502</v>
      </c>
      <c r="AH15" s="115" t="n">
        <f aca="false">AH13*(1-Inputs!$B$20)+AH12</f>
        <v>2897.32321769852</v>
      </c>
      <c r="AI15" s="115" t="n">
        <f aca="false">AI13*(1-Inputs!$B$20)+AI12</f>
        <v>2902.61882882404</v>
      </c>
      <c r="AJ15" s="115" t="n">
        <f aca="false">AJ13*(1-Inputs!$B$20)+AJ12</f>
        <v>2907.82971017155</v>
      </c>
      <c r="AK15" s="115" t="n">
        <f aca="false">AK13*(1-Inputs!$B$20)+AK12</f>
        <v>2912.9572174175</v>
      </c>
      <c r="AL15" s="115" t="n">
        <f aca="false">AL13*(1-Inputs!$B$20)+AL12</f>
        <v>2918.00268454752</v>
      </c>
    </row>
    <row r="16" customFormat="false" ht="15" hidden="false" customHeight="false" outlineLevel="0" collapsed="false">
      <c r="A16" s="6" t="s">
        <v>415</v>
      </c>
      <c r="C16" s="114" t="n">
        <f aca="false">(C13+C15)/2</f>
        <v>2703.61739130435</v>
      </c>
      <c r="D16" s="114" t="n">
        <f aca="false">(D13+D15)/2</f>
        <v>2710.79429565217</v>
      </c>
      <c r="E16" s="114" t="n">
        <f aca="false">(E13+E15)/2</f>
        <v>2717.85636953043</v>
      </c>
      <c r="F16" s="114" t="n">
        <f aca="false">(F13+F15)/2</f>
        <v>2724.80545022664</v>
      </c>
      <c r="G16" s="114" t="n">
        <f aca="false">(G13+G15)/2</f>
        <v>2731.64334563171</v>
      </c>
      <c r="H16" s="114" t="n">
        <f aca="false">(H13+H15)/2</f>
        <v>2738.3718347103</v>
      </c>
      <c r="I16" s="114" t="n">
        <f aca="false">(I13+I15)/2</f>
        <v>2744.99266796363</v>
      </c>
      <c r="J16" s="114" t="n">
        <f aca="false">(J13+J15)/2</f>
        <v>2751.50756788491</v>
      </c>
      <c r="K16" s="114" t="n">
        <f aca="false">(K13+K15)/2</f>
        <v>2757.91822940745</v>
      </c>
      <c r="L16" s="114" t="n">
        <f aca="false">(L13+L15)/2</f>
        <v>2764.22632034562</v>
      </c>
      <c r="M16" s="114" t="n">
        <f aca="false">(M13+M15)/2</f>
        <v>2770.43348182879</v>
      </c>
      <c r="N16" s="114" t="n">
        <f aca="false">(N13+N15)/2</f>
        <v>2776.54132872822</v>
      </c>
      <c r="O16" s="114" t="n">
        <f aca="false">(O13+O15)/2</f>
        <v>2782.85145007727</v>
      </c>
      <c r="P16" s="114" t="n">
        <f aca="false">(P13+P15)/2</f>
        <v>2789.36060948473</v>
      </c>
      <c r="Q16" s="114" t="n">
        <f aca="false">(Q13+Q15)/2</f>
        <v>2795.76562234167</v>
      </c>
      <c r="R16" s="114" t="n">
        <f aca="false">(R13+R15)/2</f>
        <v>2802.06815499289</v>
      </c>
      <c r="S16" s="114" t="n">
        <f aca="false">(S13+S15)/2</f>
        <v>2808.2698471217</v>
      </c>
      <c r="T16" s="114" t="n">
        <f aca="false">(T13+T15)/2</f>
        <v>2814.37231217645</v>
      </c>
      <c r="U16" s="114" t="n">
        <f aca="false">(U13+U15)/2</f>
        <v>2820.37713779032</v>
      </c>
      <c r="V16" s="114" t="n">
        <f aca="false">(V13+V15)/2</f>
        <v>2826.28588619438</v>
      </c>
      <c r="W16" s="114" t="n">
        <f aca="false">(W13+W15)/2</f>
        <v>2832.10009462396</v>
      </c>
      <c r="X16" s="114" t="n">
        <f aca="false">(X13+X15)/2</f>
        <v>2837.82127571867</v>
      </c>
      <c r="Y16" s="114" t="n">
        <f aca="false">(Y13+Y15)/2</f>
        <v>2843.45091791587</v>
      </c>
      <c r="Z16" s="114" t="n">
        <f aca="false">(Z13+Z15)/2</f>
        <v>2848.99048583791</v>
      </c>
      <c r="AA16" s="114" t="n">
        <f aca="false">(AA13+AA15)/2</f>
        <v>2854.7504206732</v>
      </c>
      <c r="AB16" s="114" t="n">
        <f aca="false">(AB13+AB15)/2</f>
        <v>2860.72719655113</v>
      </c>
      <c r="AC16" s="114" t="n">
        <f aca="false">(AC13+AC15)/2</f>
        <v>2866.608344015</v>
      </c>
      <c r="AD16" s="114" t="n">
        <f aca="false">(AD13+AD15)/2</f>
        <v>2872.39539311946</v>
      </c>
      <c r="AE16" s="114" t="n">
        <f aca="false">(AE13+AE15)/2</f>
        <v>2878.08984943824</v>
      </c>
      <c r="AF16" s="114" t="n">
        <f aca="false">(AF13+AF15)/2</f>
        <v>2883.69319445593</v>
      </c>
      <c r="AG16" s="114" t="n">
        <f aca="false">(AG13+AG15)/2</f>
        <v>2889.20688595333</v>
      </c>
      <c r="AH16" s="114" t="n">
        <f aca="false">(AH13+AH15)/2</f>
        <v>2894.63235838677</v>
      </c>
      <c r="AI16" s="114" t="n">
        <f aca="false">(AI13+AI15)/2</f>
        <v>2899.97102326128</v>
      </c>
      <c r="AJ16" s="114" t="n">
        <f aca="false">(AJ13+AJ15)/2</f>
        <v>2905.22426949779</v>
      </c>
      <c r="AK16" s="114" t="n">
        <f aca="false">(AK13+AK15)/2</f>
        <v>2910.39346379452</v>
      </c>
      <c r="AL16" s="114" t="n">
        <f aca="false">(AL13+AL15)/2</f>
        <v>2915.47995098251</v>
      </c>
    </row>
    <row r="18" customFormat="false" ht="15.75" hidden="false" customHeight="true" outlineLevel="0" collapsed="false">
      <c r="A18" s="7" t="s">
        <v>416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6" t="s">
        <v>417</v>
      </c>
      <c r="C19" s="117" t="n">
        <f aca="false">Inputs!$B$7*Inputs!$B$9*Inputs!$B$11*1</f>
        <v>410.4</v>
      </c>
      <c r="D19" s="117" t="n">
        <f aca="false">Inputs!$B$7*Inputs!$B$9*Inputs!$B$11*1</f>
        <v>410.4</v>
      </c>
      <c r="E19" s="117" t="n">
        <f aca="false">Inputs!$B$7*Inputs!$B$9*Inputs!$B$11*1</f>
        <v>410.4</v>
      </c>
      <c r="F19" s="117" t="n">
        <f aca="false">Inputs!$B$7*Inputs!$B$9*Inputs!$B$11*1</f>
        <v>410.4</v>
      </c>
      <c r="G19" s="117" t="n">
        <f aca="false">Inputs!$B$7*Inputs!$B$9*Inputs!$B$11*1</f>
        <v>410.4</v>
      </c>
      <c r="H19" s="117" t="n">
        <f aca="false">Inputs!$B$7*Inputs!$B$9*Inputs!$B$11*1</f>
        <v>410.4</v>
      </c>
      <c r="I19" s="117" t="n">
        <f aca="false">Inputs!$B$7*Inputs!$B$9*Inputs!$B$11*1</f>
        <v>410.4</v>
      </c>
      <c r="J19" s="117" t="n">
        <f aca="false">Inputs!$B$7*Inputs!$B$9*Inputs!$B$11*1</f>
        <v>410.4</v>
      </c>
      <c r="K19" s="117" t="n">
        <f aca="false">Inputs!$B$7*Inputs!$B$9*Inputs!$B$11*1</f>
        <v>410.4</v>
      </c>
      <c r="L19" s="117" t="n">
        <f aca="false">Inputs!$B$7*Inputs!$B$9*Inputs!$B$11*1</f>
        <v>410.4</v>
      </c>
      <c r="M19" s="117" t="n">
        <f aca="false">Inputs!$B$7*Inputs!$B$9*Inputs!$B$11*1</f>
        <v>410.4</v>
      </c>
      <c r="N19" s="117" t="n">
        <f aca="false">Inputs!$B$7*Inputs!$B$9*Inputs!$B$11*1</f>
        <v>410.4</v>
      </c>
      <c r="O19" s="117" t="n">
        <f aca="false">Inputs!$B$7*Inputs!$B$9*Inputs!$B$11*1</f>
        <v>410.4</v>
      </c>
      <c r="P19" s="117" t="n">
        <f aca="false">Inputs!$B$7*Inputs!$B$9*Inputs!$B$11*1</f>
        <v>410.4</v>
      </c>
      <c r="Q19" s="117" t="n">
        <f aca="false">Inputs!$B$7*Inputs!$B$9*Inputs!$B$11*1</f>
        <v>410.4</v>
      </c>
      <c r="R19" s="117" t="n">
        <f aca="false">Inputs!$B$7*Inputs!$B$9*Inputs!$B$11*1</f>
        <v>410.4</v>
      </c>
      <c r="S19" s="117" t="n">
        <f aca="false">Inputs!$B$7*Inputs!$B$9*Inputs!$B$11*1</f>
        <v>410.4</v>
      </c>
      <c r="T19" s="117" t="n">
        <f aca="false">Inputs!$B$7*Inputs!$B$9*Inputs!$B$11*1</f>
        <v>410.4</v>
      </c>
      <c r="U19" s="117" t="n">
        <f aca="false">Inputs!$B$7*Inputs!$B$9*Inputs!$B$11*1</f>
        <v>410.4</v>
      </c>
      <c r="V19" s="117" t="n">
        <f aca="false">Inputs!$B$7*Inputs!$B$9*Inputs!$B$11*1</f>
        <v>410.4</v>
      </c>
      <c r="W19" s="117" t="n">
        <f aca="false">Inputs!$B$7*Inputs!$B$9*Inputs!$B$11*1</f>
        <v>410.4</v>
      </c>
      <c r="X19" s="117" t="n">
        <f aca="false">Inputs!$B$7*Inputs!$B$9*Inputs!$B$11*1</f>
        <v>410.4</v>
      </c>
      <c r="Y19" s="117" t="n">
        <f aca="false">Inputs!$B$7*Inputs!$B$9*Inputs!$B$11*1</f>
        <v>410.4</v>
      </c>
      <c r="Z19" s="117" t="n">
        <f aca="false">Inputs!$B$7*Inputs!$B$9*Inputs!$B$11*1</f>
        <v>410.4</v>
      </c>
      <c r="AA19" s="117" t="n">
        <f aca="false">Inputs!$B$7*Inputs!$B$9*Inputs!$B$11*1</f>
        <v>410.4</v>
      </c>
      <c r="AB19" s="117" t="n">
        <f aca="false">Inputs!$B$7*Inputs!$B$9*Inputs!$B$11*1</f>
        <v>410.4</v>
      </c>
      <c r="AC19" s="117" t="n">
        <f aca="false">Inputs!$B$7*Inputs!$B$9*Inputs!$B$11*1</f>
        <v>410.4</v>
      </c>
      <c r="AD19" s="117" t="n">
        <f aca="false">Inputs!$B$7*Inputs!$B$9*Inputs!$B$11*1</f>
        <v>410.4</v>
      </c>
      <c r="AE19" s="117" t="n">
        <f aca="false">Inputs!$B$7*Inputs!$B$9*Inputs!$B$11*1</f>
        <v>410.4</v>
      </c>
      <c r="AF19" s="117" t="n">
        <f aca="false">Inputs!$B$7*Inputs!$B$9*Inputs!$B$11*1</f>
        <v>410.4</v>
      </c>
      <c r="AG19" s="117" t="n">
        <f aca="false">Inputs!$B$7*Inputs!$B$9*Inputs!$B$11*1</f>
        <v>410.4</v>
      </c>
      <c r="AH19" s="117" t="n">
        <f aca="false">Inputs!$B$7*Inputs!$B$9*Inputs!$B$11*1</f>
        <v>410.4</v>
      </c>
      <c r="AI19" s="117" t="n">
        <f aca="false">Inputs!$B$7*Inputs!$B$9*Inputs!$B$11*1</f>
        <v>410.4</v>
      </c>
      <c r="AJ19" s="117" t="n">
        <f aca="false">Inputs!$B$7*Inputs!$B$9*Inputs!$B$11*1</f>
        <v>410.4</v>
      </c>
      <c r="AK19" s="117" t="n">
        <f aca="false">Inputs!$B$7*Inputs!$B$9*Inputs!$B$11*1</f>
        <v>410.4</v>
      </c>
      <c r="AL19" s="117" t="n">
        <f aca="false">Inputs!$B$7*Inputs!$B$9*Inputs!$B$11*1</f>
        <v>410.4</v>
      </c>
    </row>
    <row r="20" customFormat="false" ht="15" hidden="false" customHeight="false" outlineLevel="0" collapsed="false">
      <c r="A20" s="6" t="s">
        <v>418</v>
      </c>
      <c r="C20" s="117" t="n">
        <f aca="false">C16*Inputs!$B$21/12*1+C12*Inputs!$B$23</f>
        <v>298.266376811594</v>
      </c>
      <c r="D20" s="117" t="n">
        <f aca="false">D16*Inputs!$B$21/12*1+D12*Inputs!$B$23</f>
        <v>298.924259710145</v>
      </c>
      <c r="E20" s="117" t="n">
        <f aca="false">E16*Inputs!$B$21/12*1+E12*Inputs!$B$23</f>
        <v>299.571616482319</v>
      </c>
      <c r="F20" s="117" t="n">
        <f aca="false">F16*Inputs!$B$21/12*1+F12*Inputs!$B$23</f>
        <v>300.208615546138</v>
      </c>
      <c r="G20" s="117" t="n">
        <f aca="false">G16*Inputs!$B$21/12*1+G12*Inputs!$B$23</f>
        <v>300.835422624936</v>
      </c>
      <c r="H20" s="117" t="n">
        <f aca="false">H16*Inputs!$B$21/12*1+H12*Inputs!$B$23</f>
        <v>301.452200790473</v>
      </c>
      <c r="I20" s="117" t="n">
        <f aca="false">I16*Inputs!$B$21/12*1+I12*Inputs!$B$23</f>
        <v>302.059110505362</v>
      </c>
      <c r="J20" s="117" t="n">
        <f aca="false">J16*Inputs!$B$21/12*1+J12*Inputs!$B$23</f>
        <v>302.656309664812</v>
      </c>
      <c r="K20" s="117" t="n">
        <f aca="false">K16*Inputs!$B$21/12*1+K12*Inputs!$B$23</f>
        <v>303.243953637711</v>
      </c>
      <c r="L20" s="117" t="n">
        <f aca="false">L16*Inputs!$B$21/12*1+L12*Inputs!$B$23</f>
        <v>303.822195307044</v>
      </c>
      <c r="M20" s="117" t="n">
        <f aca="false">M16*Inputs!$B$21/12*1+M12*Inputs!$B$23</f>
        <v>304.391185109668</v>
      </c>
      <c r="N20" s="117" t="n">
        <f aca="false">N16*Inputs!$B$21/12*1+N12*Inputs!$B$23</f>
        <v>304.951071075449</v>
      </c>
      <c r="O20" s="117" t="n">
        <f aca="false">O16*Inputs!$B$21/12*1+O12*Inputs!$B$23</f>
        <v>306.129498865778</v>
      </c>
      <c r="P20" s="117" t="n">
        <f aca="false">P16*Inputs!$B$21/12*1+P12*Inputs!$B$23</f>
        <v>306.726171811462</v>
      </c>
      <c r="Q20" s="117" t="n">
        <f aca="false">Q16*Inputs!$B$21/12*1+Q12*Inputs!$B$23</f>
        <v>307.313297990015</v>
      </c>
      <c r="R20" s="117" t="n">
        <f aca="false">R16*Inputs!$B$21/12*1+R12*Inputs!$B$23</f>
        <v>307.891030149711</v>
      </c>
      <c r="S20" s="117" t="n">
        <f aca="false">S16*Inputs!$B$21/12*1+S12*Inputs!$B$23</f>
        <v>308.459518594852</v>
      </c>
      <c r="T20" s="117" t="n">
        <f aca="false">T16*Inputs!$B$21/12*1+T12*Inputs!$B$23</f>
        <v>309.01891122487</v>
      </c>
      <c r="U20" s="117" t="n">
        <f aca="false">U16*Inputs!$B$21/12*1+U12*Inputs!$B$23</f>
        <v>309.569353572809</v>
      </c>
      <c r="V20" s="117" t="n">
        <f aca="false">V16*Inputs!$B$21/12*1+V12*Inputs!$B$23</f>
        <v>310.11098884318</v>
      </c>
      <c r="W20" s="117" t="n">
        <f aca="false">W16*Inputs!$B$21/12*1+W12*Inputs!$B$23</f>
        <v>310.643957949225</v>
      </c>
      <c r="X20" s="117" t="n">
        <f aca="false">X16*Inputs!$B$21/12*1+X12*Inputs!$B$23</f>
        <v>311.168399549574</v>
      </c>
      <c r="Y20" s="117" t="n">
        <f aca="false">Y16*Inputs!$B$21/12*1+Y12*Inputs!$B$23</f>
        <v>311.684450084317</v>
      </c>
      <c r="Z20" s="117" t="n">
        <f aca="false">Z16*Inputs!$B$21/12*1+Z12*Inputs!$B$23</f>
        <v>312.192243810504</v>
      </c>
      <c r="AA20" s="117" t="n">
        <f aca="false">AA16*Inputs!$B$21/12*1+AA12*Inputs!$B$23</f>
        <v>313.338237837072</v>
      </c>
      <c r="AB20" s="117" t="n">
        <f aca="false">AB16*Inputs!$B$21/12*1+AB12*Inputs!$B$23</f>
        <v>313.886108959216</v>
      </c>
      <c r="AC20" s="117" t="n">
        <f aca="false">AC16*Inputs!$B$21/12*1+AC12*Inputs!$B$23</f>
        <v>314.425214143404</v>
      </c>
      <c r="AD20" s="117" t="n">
        <f aca="false">AD16*Inputs!$B$21/12*1+AD12*Inputs!$B$23</f>
        <v>314.955693644646</v>
      </c>
      <c r="AE20" s="117" t="n">
        <f aca="false">AE16*Inputs!$B$21/12*1+AE12*Inputs!$B$23</f>
        <v>315.477685473868</v>
      </c>
      <c r="AF20" s="117" t="n">
        <f aca="false">AF16*Inputs!$B$21/12*1+AF12*Inputs!$B$23</f>
        <v>315.991325433822</v>
      </c>
      <c r="AG20" s="117" t="n">
        <f aca="false">AG16*Inputs!$B$21/12*1+AG12*Inputs!$B$23</f>
        <v>316.496747154417</v>
      </c>
      <c r="AH20" s="117" t="n">
        <f aca="false">AH16*Inputs!$B$21/12*1+AH12*Inputs!$B$23</f>
        <v>316.994082127483</v>
      </c>
      <c r="AI20" s="117" t="n">
        <f aca="false">AI16*Inputs!$B$21/12*1+AI12*Inputs!$B$23</f>
        <v>317.483459740979</v>
      </c>
      <c r="AJ20" s="117" t="n">
        <f aca="false">AJ16*Inputs!$B$21/12*1+AJ12*Inputs!$B$23</f>
        <v>317.96500731266</v>
      </c>
      <c r="AK20" s="117" t="n">
        <f aca="false">AK16*Inputs!$B$21/12*1+AK12*Inputs!$B$23</f>
        <v>318.438850123194</v>
      </c>
      <c r="AL20" s="117" t="n">
        <f aca="false">AL16*Inputs!$B$21/12*1+AL12*Inputs!$B$23</f>
        <v>318.905111448759</v>
      </c>
    </row>
    <row r="21" customFormat="false" ht="15" hidden="false" customHeight="false" outlineLevel="0" collapsed="false">
      <c r="A21" s="4" t="s">
        <v>419</v>
      </c>
      <c r="C21" s="118" t="n">
        <f aca="false">MIN(C19,C20)</f>
        <v>298.266376811594</v>
      </c>
      <c r="D21" s="118" t="n">
        <f aca="false">MIN(D19,D20)</f>
        <v>298.924259710145</v>
      </c>
      <c r="E21" s="118" t="n">
        <f aca="false">MIN(E19,E20)</f>
        <v>299.571616482319</v>
      </c>
      <c r="F21" s="118" t="n">
        <f aca="false">MIN(F19,F20)</f>
        <v>300.208615546138</v>
      </c>
      <c r="G21" s="118" t="n">
        <f aca="false">MIN(G19,G20)</f>
        <v>300.835422624936</v>
      </c>
      <c r="H21" s="118" t="n">
        <f aca="false">MIN(H19,H20)</f>
        <v>301.452200790473</v>
      </c>
      <c r="I21" s="118" t="n">
        <f aca="false">MIN(I19,I20)</f>
        <v>302.059110505362</v>
      </c>
      <c r="J21" s="118" t="n">
        <f aca="false">MIN(J19,J20)</f>
        <v>302.656309664812</v>
      </c>
      <c r="K21" s="118" t="n">
        <f aca="false">MIN(K19,K20)</f>
        <v>303.243953637711</v>
      </c>
      <c r="L21" s="118" t="n">
        <f aca="false">MIN(L19,L20)</f>
        <v>303.822195307044</v>
      </c>
      <c r="M21" s="118" t="n">
        <f aca="false">MIN(M19,M20)</f>
        <v>304.391185109668</v>
      </c>
      <c r="N21" s="118" t="n">
        <f aca="false">MIN(N19,N20)</f>
        <v>304.951071075449</v>
      </c>
      <c r="O21" s="118" t="n">
        <f aca="false">MIN(O19,O20)</f>
        <v>306.129498865778</v>
      </c>
      <c r="P21" s="118" t="n">
        <f aca="false">MIN(P19,P20)</f>
        <v>306.726171811462</v>
      </c>
      <c r="Q21" s="118" t="n">
        <f aca="false">MIN(Q19,Q20)</f>
        <v>307.313297990015</v>
      </c>
      <c r="R21" s="118" t="n">
        <f aca="false">MIN(R19,R20)</f>
        <v>307.891030149711</v>
      </c>
      <c r="S21" s="118" t="n">
        <f aca="false">MIN(S19,S20)</f>
        <v>308.459518594852</v>
      </c>
      <c r="T21" s="118" t="n">
        <f aca="false">MIN(T19,T20)</f>
        <v>309.01891122487</v>
      </c>
      <c r="U21" s="118" t="n">
        <f aca="false">MIN(U19,U20)</f>
        <v>309.569353572809</v>
      </c>
      <c r="V21" s="118" t="n">
        <f aca="false">MIN(V19,V20)</f>
        <v>310.11098884318</v>
      </c>
      <c r="W21" s="118" t="n">
        <f aca="false">MIN(W19,W20)</f>
        <v>310.643957949225</v>
      </c>
      <c r="X21" s="118" t="n">
        <f aca="false">MIN(X19,X20)</f>
        <v>311.168399549574</v>
      </c>
      <c r="Y21" s="118" t="n">
        <f aca="false">MIN(Y19,Y20)</f>
        <v>311.684450084317</v>
      </c>
      <c r="Z21" s="118" t="n">
        <f aca="false">MIN(Z19,Z20)</f>
        <v>312.192243810504</v>
      </c>
      <c r="AA21" s="118" t="n">
        <f aca="false">MIN(AA19,AA20)</f>
        <v>313.338237837072</v>
      </c>
      <c r="AB21" s="118" t="n">
        <f aca="false">MIN(AB19,AB20)</f>
        <v>313.886108959216</v>
      </c>
      <c r="AC21" s="118" t="n">
        <f aca="false">MIN(AC19,AC20)</f>
        <v>314.425214143404</v>
      </c>
      <c r="AD21" s="118" t="n">
        <f aca="false">MIN(AD19,AD20)</f>
        <v>314.955693644646</v>
      </c>
      <c r="AE21" s="118" t="n">
        <f aca="false">MIN(AE19,AE20)</f>
        <v>315.477685473868</v>
      </c>
      <c r="AF21" s="118" t="n">
        <f aca="false">MIN(AF19,AF20)</f>
        <v>315.991325433822</v>
      </c>
      <c r="AG21" s="118" t="n">
        <f aca="false">MIN(AG19,AG20)</f>
        <v>316.496747154417</v>
      </c>
      <c r="AH21" s="118" t="n">
        <f aca="false">MIN(AH19,AH20)</f>
        <v>316.994082127483</v>
      </c>
      <c r="AI21" s="118" t="n">
        <f aca="false">MIN(AI19,AI20)</f>
        <v>317.483459740979</v>
      </c>
      <c r="AJ21" s="118" t="n">
        <f aca="false">MIN(AJ19,AJ20)</f>
        <v>317.96500731266</v>
      </c>
      <c r="AK21" s="118" t="n">
        <f aca="false">MIN(AK19,AK20)</f>
        <v>318.438850123194</v>
      </c>
      <c r="AL21" s="118" t="n">
        <f aca="false">MIN(AL19,AL20)</f>
        <v>318.905111448759</v>
      </c>
    </row>
    <row r="22" customFormat="false" ht="15" hidden="false" customHeight="false" outlineLevel="0" collapsed="false">
      <c r="A22" s="6" t="s">
        <v>420</v>
      </c>
      <c r="C22" s="114" t="n">
        <f aca="false">C114</f>
        <v>3</v>
      </c>
      <c r="D22" s="114" t="n">
        <f aca="false">D114</f>
        <v>3</v>
      </c>
      <c r="E22" s="114" t="n">
        <f aca="false">E114</f>
        <v>3</v>
      </c>
      <c r="F22" s="114" t="n">
        <f aca="false">F114</f>
        <v>3</v>
      </c>
      <c r="G22" s="114" t="n">
        <f aca="false">G114</f>
        <v>3</v>
      </c>
      <c r="H22" s="114" t="n">
        <f aca="false">H114</f>
        <v>3</v>
      </c>
      <c r="I22" s="114" t="n">
        <f aca="false">I114</f>
        <v>3</v>
      </c>
      <c r="J22" s="114" t="n">
        <f aca="false">J114</f>
        <v>3</v>
      </c>
      <c r="K22" s="114" t="n">
        <f aca="false">K114</f>
        <v>3</v>
      </c>
      <c r="L22" s="114" t="n">
        <f aca="false">L114</f>
        <v>3</v>
      </c>
      <c r="M22" s="114" t="n">
        <f aca="false">M114</f>
        <v>3</v>
      </c>
      <c r="N22" s="114" t="n">
        <f aca="false">N114</f>
        <v>3</v>
      </c>
      <c r="O22" s="114" t="n">
        <f aca="false">O114</f>
        <v>3.18</v>
      </c>
      <c r="P22" s="114" t="n">
        <f aca="false">P114</f>
        <v>3.18</v>
      </c>
      <c r="Q22" s="114" t="n">
        <f aca="false">Q114</f>
        <v>3.18</v>
      </c>
      <c r="R22" s="114" t="n">
        <f aca="false">R114</f>
        <v>3.18</v>
      </c>
      <c r="S22" s="114" t="n">
        <f aca="false">S114</f>
        <v>3.18</v>
      </c>
      <c r="T22" s="114" t="n">
        <f aca="false">T114</f>
        <v>3.18</v>
      </c>
      <c r="U22" s="114" t="n">
        <f aca="false">U114</f>
        <v>3.18</v>
      </c>
      <c r="V22" s="114" t="n">
        <f aca="false">V114</f>
        <v>3.18</v>
      </c>
      <c r="W22" s="114" t="n">
        <f aca="false">W114</f>
        <v>3.18</v>
      </c>
      <c r="X22" s="114" t="n">
        <f aca="false">X114</f>
        <v>3.18</v>
      </c>
      <c r="Y22" s="114" t="n">
        <f aca="false">Y114</f>
        <v>3.18</v>
      </c>
      <c r="Z22" s="114" t="n">
        <f aca="false">Z114</f>
        <v>3.18</v>
      </c>
      <c r="AA22" s="114" t="n">
        <f aca="false">AA114</f>
        <v>3.3708</v>
      </c>
      <c r="AB22" s="114" t="n">
        <f aca="false">AB114</f>
        <v>3.3708</v>
      </c>
      <c r="AC22" s="114" t="n">
        <f aca="false">AC114</f>
        <v>3.3708</v>
      </c>
      <c r="AD22" s="114" t="n">
        <f aca="false">AD114</f>
        <v>3.3708</v>
      </c>
      <c r="AE22" s="114" t="n">
        <f aca="false">AE114</f>
        <v>3.3708</v>
      </c>
      <c r="AF22" s="114" t="n">
        <f aca="false">AF114</f>
        <v>3.3708</v>
      </c>
      <c r="AG22" s="114" t="n">
        <f aca="false">AG114</f>
        <v>3.3708</v>
      </c>
      <c r="AH22" s="114" t="n">
        <f aca="false">AH114</f>
        <v>3.3708</v>
      </c>
      <c r="AI22" s="114" t="n">
        <f aca="false">AI114</f>
        <v>3.3708</v>
      </c>
      <c r="AJ22" s="114" t="n">
        <f aca="false">AJ114</f>
        <v>3.3708</v>
      </c>
      <c r="AK22" s="114" t="n">
        <f aca="false">AK114</f>
        <v>3.3708</v>
      </c>
      <c r="AL22" s="114" t="n">
        <f aca="false">AL114</f>
        <v>3.3708</v>
      </c>
    </row>
    <row r="23" customFormat="false" ht="15" hidden="false" customHeight="false" outlineLevel="0" collapsed="false">
      <c r="A23" s="6" t="s">
        <v>421</v>
      </c>
      <c r="C23" s="117" t="n">
        <f aca="false">MIN(C22,Inputs!$B$8)*Inputs!$B$10*Inputs!$B$11*1</f>
        <v>405</v>
      </c>
      <c r="D23" s="117" t="n">
        <f aca="false">MIN(D22,Inputs!$B$8)*Inputs!$B$10*Inputs!$B$11*1</f>
        <v>405</v>
      </c>
      <c r="E23" s="117" t="n">
        <f aca="false">MIN(E22,Inputs!$B$8)*Inputs!$B$10*Inputs!$B$11*1</f>
        <v>405</v>
      </c>
      <c r="F23" s="117" t="n">
        <f aca="false">MIN(F22,Inputs!$B$8)*Inputs!$B$10*Inputs!$B$11*1</f>
        <v>405</v>
      </c>
      <c r="G23" s="117" t="n">
        <f aca="false">MIN(G22,Inputs!$B$8)*Inputs!$B$10*Inputs!$B$11*1</f>
        <v>405</v>
      </c>
      <c r="H23" s="117" t="n">
        <f aca="false">MIN(H22,Inputs!$B$8)*Inputs!$B$10*Inputs!$B$11*1</f>
        <v>405</v>
      </c>
      <c r="I23" s="117" t="n">
        <f aca="false">MIN(I22,Inputs!$B$8)*Inputs!$B$10*Inputs!$B$11*1</f>
        <v>405</v>
      </c>
      <c r="J23" s="117" t="n">
        <f aca="false">MIN(J22,Inputs!$B$8)*Inputs!$B$10*Inputs!$B$11*1</f>
        <v>405</v>
      </c>
      <c r="K23" s="117" t="n">
        <f aca="false">MIN(K22,Inputs!$B$8)*Inputs!$B$10*Inputs!$B$11*1</f>
        <v>405</v>
      </c>
      <c r="L23" s="117" t="n">
        <f aca="false">MIN(L22,Inputs!$B$8)*Inputs!$B$10*Inputs!$B$11*1</f>
        <v>405</v>
      </c>
      <c r="M23" s="117" t="n">
        <f aca="false">MIN(M22,Inputs!$B$8)*Inputs!$B$10*Inputs!$B$11*1</f>
        <v>405</v>
      </c>
      <c r="N23" s="117" t="n">
        <f aca="false">MIN(N22,Inputs!$B$8)*Inputs!$B$10*Inputs!$B$11*1</f>
        <v>405</v>
      </c>
      <c r="O23" s="117" t="n">
        <f aca="false">MIN(O22,Inputs!$B$8)*Inputs!$B$10*Inputs!$B$11*1</f>
        <v>429.3</v>
      </c>
      <c r="P23" s="117" t="n">
        <f aca="false">MIN(P22,Inputs!$B$8)*Inputs!$B$10*Inputs!$B$11*1</f>
        <v>429.3</v>
      </c>
      <c r="Q23" s="117" t="n">
        <f aca="false">MIN(Q22,Inputs!$B$8)*Inputs!$B$10*Inputs!$B$11*1</f>
        <v>429.3</v>
      </c>
      <c r="R23" s="117" t="n">
        <f aca="false">MIN(R22,Inputs!$B$8)*Inputs!$B$10*Inputs!$B$11*1</f>
        <v>429.3</v>
      </c>
      <c r="S23" s="117" t="n">
        <f aca="false">MIN(S22,Inputs!$B$8)*Inputs!$B$10*Inputs!$B$11*1</f>
        <v>429.3</v>
      </c>
      <c r="T23" s="117" t="n">
        <f aca="false">MIN(T22,Inputs!$B$8)*Inputs!$B$10*Inputs!$B$11*1</f>
        <v>429.3</v>
      </c>
      <c r="U23" s="117" t="n">
        <f aca="false">MIN(U22,Inputs!$B$8)*Inputs!$B$10*Inputs!$B$11*1</f>
        <v>429.3</v>
      </c>
      <c r="V23" s="117" t="n">
        <f aca="false">MIN(V22,Inputs!$B$8)*Inputs!$B$10*Inputs!$B$11*1</f>
        <v>429.3</v>
      </c>
      <c r="W23" s="117" t="n">
        <f aca="false">MIN(W22,Inputs!$B$8)*Inputs!$B$10*Inputs!$B$11*1</f>
        <v>429.3</v>
      </c>
      <c r="X23" s="117" t="n">
        <f aca="false">MIN(X22,Inputs!$B$8)*Inputs!$B$10*Inputs!$B$11*1</f>
        <v>429.3</v>
      </c>
      <c r="Y23" s="117" t="n">
        <f aca="false">MIN(Y22,Inputs!$B$8)*Inputs!$B$10*Inputs!$B$11*1</f>
        <v>429.3</v>
      </c>
      <c r="Z23" s="117" t="n">
        <f aca="false">MIN(Z22,Inputs!$B$8)*Inputs!$B$10*Inputs!$B$11*1</f>
        <v>429.3</v>
      </c>
      <c r="AA23" s="117" t="n">
        <f aca="false">MIN(AA22,Inputs!$B$8)*Inputs!$B$10*Inputs!$B$11*1</f>
        <v>455.058</v>
      </c>
      <c r="AB23" s="117" t="n">
        <f aca="false">MIN(AB22,Inputs!$B$8)*Inputs!$B$10*Inputs!$B$11*1</f>
        <v>455.058</v>
      </c>
      <c r="AC23" s="117" t="n">
        <f aca="false">MIN(AC22,Inputs!$B$8)*Inputs!$B$10*Inputs!$B$11*1</f>
        <v>455.058</v>
      </c>
      <c r="AD23" s="117" t="n">
        <f aca="false">MIN(AD22,Inputs!$B$8)*Inputs!$B$10*Inputs!$B$11*1</f>
        <v>455.058</v>
      </c>
      <c r="AE23" s="117" t="n">
        <f aca="false">MIN(AE22,Inputs!$B$8)*Inputs!$B$10*Inputs!$B$11*1</f>
        <v>455.058</v>
      </c>
      <c r="AF23" s="117" t="n">
        <f aca="false">MIN(AF22,Inputs!$B$8)*Inputs!$B$10*Inputs!$B$11*1</f>
        <v>455.058</v>
      </c>
      <c r="AG23" s="117" t="n">
        <f aca="false">MIN(AG22,Inputs!$B$8)*Inputs!$B$10*Inputs!$B$11*1</f>
        <v>455.058</v>
      </c>
      <c r="AH23" s="117" t="n">
        <f aca="false">MIN(AH22,Inputs!$B$8)*Inputs!$B$10*Inputs!$B$11*1</f>
        <v>455.058</v>
      </c>
      <c r="AI23" s="117" t="n">
        <f aca="false">MIN(AI22,Inputs!$B$8)*Inputs!$B$10*Inputs!$B$11*1</f>
        <v>455.058</v>
      </c>
      <c r="AJ23" s="117" t="n">
        <f aca="false">MIN(AJ22,Inputs!$B$8)*Inputs!$B$10*Inputs!$B$11*1</f>
        <v>455.058</v>
      </c>
      <c r="AK23" s="117" t="n">
        <f aca="false">MIN(AK22,Inputs!$B$8)*Inputs!$B$10*Inputs!$B$11*1</f>
        <v>455.058</v>
      </c>
      <c r="AL23" s="117" t="n">
        <f aca="false">MIN(AL22,Inputs!$B$8)*Inputs!$B$10*Inputs!$B$11*1</f>
        <v>455.058</v>
      </c>
    </row>
    <row r="24" customFormat="false" ht="15" hidden="false" customHeight="false" outlineLevel="0" collapsed="false">
      <c r="A24" s="6" t="s">
        <v>422</v>
      </c>
      <c r="C24" s="117" t="n">
        <f aca="false">C16*Inputs!$B$22/12*1</f>
        <v>315.422028985507</v>
      </c>
      <c r="D24" s="117" t="n">
        <f aca="false">D16*Inputs!$B$22/12*1</f>
        <v>316.259334492754</v>
      </c>
      <c r="E24" s="117" t="n">
        <f aca="false">E16*Inputs!$B$22/12*1</f>
        <v>317.083243111884</v>
      </c>
      <c r="F24" s="117" t="n">
        <f aca="false">F16*Inputs!$B$22/12*1</f>
        <v>317.893969193108</v>
      </c>
      <c r="G24" s="117" t="n">
        <f aca="false">G16*Inputs!$B$22/12*1</f>
        <v>318.691723657033</v>
      </c>
      <c r="H24" s="117" t="n">
        <f aca="false">H16*Inputs!$B$22/12*1</f>
        <v>319.476714049535</v>
      </c>
      <c r="I24" s="117" t="n">
        <f aca="false">I16*Inputs!$B$22/12*1</f>
        <v>320.249144595757</v>
      </c>
      <c r="J24" s="117" t="n">
        <f aca="false">J16*Inputs!$B$22/12*1</f>
        <v>321.009216253239</v>
      </c>
      <c r="K24" s="117" t="n">
        <f aca="false">K16*Inputs!$B$22/12*1</f>
        <v>321.757126764202</v>
      </c>
      <c r="L24" s="117" t="n">
        <f aca="false">L16*Inputs!$B$22/12*1</f>
        <v>322.493070706989</v>
      </c>
      <c r="M24" s="117" t="n">
        <f aca="false">M16*Inputs!$B$22/12*1</f>
        <v>323.217239546692</v>
      </c>
      <c r="N24" s="117" t="n">
        <f aca="false">N16*Inputs!$B$22/12*1</f>
        <v>323.929821684959</v>
      </c>
      <c r="O24" s="117" t="n">
        <f aca="false">O16*Inputs!$B$22/12*1</f>
        <v>324.666002509014</v>
      </c>
      <c r="P24" s="117" t="n">
        <f aca="false">P16*Inputs!$B$22/12*1</f>
        <v>325.425404439885</v>
      </c>
      <c r="Q24" s="117" t="n">
        <f aca="false">Q16*Inputs!$B$22/12*1</f>
        <v>326.172655939861</v>
      </c>
      <c r="R24" s="117" t="n">
        <f aca="false">R16*Inputs!$B$22/12*1</f>
        <v>326.907951415838</v>
      </c>
      <c r="S24" s="117" t="n">
        <f aca="false">S16*Inputs!$B$22/12*1</f>
        <v>327.631482164199</v>
      </c>
      <c r="T24" s="117" t="n">
        <f aca="false">T16*Inputs!$B$22/12*1</f>
        <v>328.343436420586</v>
      </c>
      <c r="U24" s="117" t="n">
        <f aca="false">U16*Inputs!$B$22/12*1</f>
        <v>329.043999408871</v>
      </c>
      <c r="V24" s="117" t="n">
        <f aca="false">V16*Inputs!$B$22/12*1</f>
        <v>329.733353389344</v>
      </c>
      <c r="W24" s="117" t="n">
        <f aca="false">W16*Inputs!$B$22/12*1</f>
        <v>330.411677706129</v>
      </c>
      <c r="X24" s="117" t="n">
        <f aca="false">X16*Inputs!$B$22/12*1</f>
        <v>331.079148833845</v>
      </c>
      <c r="Y24" s="117" t="n">
        <f aca="false">Y16*Inputs!$B$22/12*1</f>
        <v>331.735940423518</v>
      </c>
      <c r="Z24" s="117" t="n">
        <f aca="false">Z16*Inputs!$B$22/12*1</f>
        <v>332.382223347756</v>
      </c>
      <c r="AA24" s="117" t="n">
        <f aca="false">AA16*Inputs!$B$22/12*1</f>
        <v>333.054215745207</v>
      </c>
      <c r="AB24" s="117" t="n">
        <f aca="false">AB16*Inputs!$B$22/12*1</f>
        <v>333.751506264298</v>
      </c>
      <c r="AC24" s="117" t="n">
        <f aca="false">AC16*Inputs!$B$22/12*1</f>
        <v>334.437640135084</v>
      </c>
      <c r="AD24" s="117" t="n">
        <f aca="false">AD16*Inputs!$B$22/12*1</f>
        <v>335.112795863937</v>
      </c>
      <c r="AE24" s="117" t="n">
        <f aca="false">AE16*Inputs!$B$22/12*1</f>
        <v>335.777149101128</v>
      </c>
      <c r="AF24" s="117" t="n">
        <f aca="false">AF16*Inputs!$B$22/12*1</f>
        <v>336.430872686525</v>
      </c>
      <c r="AG24" s="117" t="n">
        <f aca="false">AG16*Inputs!$B$22/12*1</f>
        <v>337.074136694555</v>
      </c>
      <c r="AH24" s="117" t="n">
        <f aca="false">AH16*Inputs!$B$22/12*1</f>
        <v>337.707108478457</v>
      </c>
      <c r="AI24" s="117" t="n">
        <f aca="false">AI16*Inputs!$B$22/12*1</f>
        <v>338.329952713816</v>
      </c>
      <c r="AJ24" s="117" t="n">
        <f aca="false">AJ16*Inputs!$B$22/12*1</f>
        <v>338.942831441409</v>
      </c>
      <c r="AK24" s="117" t="n">
        <f aca="false">AK16*Inputs!$B$22/12*1</f>
        <v>339.545904109361</v>
      </c>
      <c r="AL24" s="117" t="n">
        <f aca="false">AL16*Inputs!$B$22/12*1</f>
        <v>340.139327614626</v>
      </c>
    </row>
    <row r="25" customFormat="false" ht="15" hidden="false" customHeight="false" outlineLevel="0" collapsed="false">
      <c r="A25" s="4" t="s">
        <v>423</v>
      </c>
      <c r="C25" s="118" t="n">
        <f aca="false">MIN(C23,C24)</f>
        <v>315.422028985507</v>
      </c>
      <c r="D25" s="118" t="n">
        <f aca="false">MIN(D23,D24)</f>
        <v>316.259334492754</v>
      </c>
      <c r="E25" s="118" t="n">
        <f aca="false">MIN(E23,E24)</f>
        <v>317.083243111884</v>
      </c>
      <c r="F25" s="118" t="n">
        <f aca="false">MIN(F23,F24)</f>
        <v>317.893969193108</v>
      </c>
      <c r="G25" s="118" t="n">
        <f aca="false">MIN(G23,G24)</f>
        <v>318.691723657033</v>
      </c>
      <c r="H25" s="118" t="n">
        <f aca="false">MIN(H23,H24)</f>
        <v>319.476714049535</v>
      </c>
      <c r="I25" s="118" t="n">
        <f aca="false">MIN(I23,I24)</f>
        <v>320.249144595757</v>
      </c>
      <c r="J25" s="118" t="n">
        <f aca="false">MIN(J23,J24)</f>
        <v>321.009216253239</v>
      </c>
      <c r="K25" s="118" t="n">
        <f aca="false">MIN(K23,K24)</f>
        <v>321.757126764202</v>
      </c>
      <c r="L25" s="118" t="n">
        <f aca="false">MIN(L23,L24)</f>
        <v>322.493070706989</v>
      </c>
      <c r="M25" s="118" t="n">
        <f aca="false">MIN(M23,M24)</f>
        <v>323.217239546692</v>
      </c>
      <c r="N25" s="118" t="n">
        <f aca="false">MIN(N23,N24)</f>
        <v>323.929821684959</v>
      </c>
      <c r="O25" s="118" t="n">
        <f aca="false">MIN(O23,O24)</f>
        <v>324.666002509014</v>
      </c>
      <c r="P25" s="118" t="n">
        <f aca="false">MIN(P23,P24)</f>
        <v>325.425404439885</v>
      </c>
      <c r="Q25" s="118" t="n">
        <f aca="false">MIN(Q23,Q24)</f>
        <v>326.172655939861</v>
      </c>
      <c r="R25" s="118" t="n">
        <f aca="false">MIN(R23,R24)</f>
        <v>326.907951415838</v>
      </c>
      <c r="S25" s="118" t="n">
        <f aca="false">MIN(S23,S24)</f>
        <v>327.631482164199</v>
      </c>
      <c r="T25" s="118" t="n">
        <f aca="false">MIN(T23,T24)</f>
        <v>328.343436420586</v>
      </c>
      <c r="U25" s="118" t="n">
        <f aca="false">MIN(U23,U24)</f>
        <v>329.043999408871</v>
      </c>
      <c r="V25" s="118" t="n">
        <f aca="false">MIN(V23,V24)</f>
        <v>329.733353389344</v>
      </c>
      <c r="W25" s="118" t="n">
        <f aca="false">MIN(W23,W24)</f>
        <v>330.411677706129</v>
      </c>
      <c r="X25" s="118" t="n">
        <f aca="false">MIN(X23,X24)</f>
        <v>331.079148833845</v>
      </c>
      <c r="Y25" s="118" t="n">
        <f aca="false">MIN(Y23,Y24)</f>
        <v>331.735940423518</v>
      </c>
      <c r="Z25" s="118" t="n">
        <f aca="false">MIN(Z23,Z24)</f>
        <v>332.382223347756</v>
      </c>
      <c r="AA25" s="118" t="n">
        <f aca="false">MIN(AA23,AA24)</f>
        <v>333.054215745207</v>
      </c>
      <c r="AB25" s="118" t="n">
        <f aca="false">MIN(AB23,AB24)</f>
        <v>333.751506264298</v>
      </c>
      <c r="AC25" s="118" t="n">
        <f aca="false">MIN(AC23,AC24)</f>
        <v>334.437640135084</v>
      </c>
      <c r="AD25" s="118" t="n">
        <f aca="false">MIN(AD23,AD24)</f>
        <v>335.112795863937</v>
      </c>
      <c r="AE25" s="118" t="n">
        <f aca="false">MIN(AE23,AE24)</f>
        <v>335.777149101128</v>
      </c>
      <c r="AF25" s="118" t="n">
        <f aca="false">MIN(AF23,AF24)</f>
        <v>336.430872686525</v>
      </c>
      <c r="AG25" s="118" t="n">
        <f aca="false">MIN(AG23,AG24)</f>
        <v>337.074136694555</v>
      </c>
      <c r="AH25" s="118" t="n">
        <f aca="false">MIN(AH23,AH24)</f>
        <v>337.707108478457</v>
      </c>
      <c r="AI25" s="118" t="n">
        <f aca="false">MIN(AI23,AI24)</f>
        <v>338.329952713816</v>
      </c>
      <c r="AJ25" s="118" t="n">
        <f aca="false">MIN(AJ23,AJ24)</f>
        <v>338.942831441409</v>
      </c>
      <c r="AK25" s="118" t="n">
        <f aca="false">MIN(AK23,AK24)</f>
        <v>339.545904109361</v>
      </c>
      <c r="AL25" s="118" t="n">
        <f aca="false">MIN(AL23,AL24)</f>
        <v>340.139327614626</v>
      </c>
    </row>
    <row r="27" customFormat="false" ht="15.75" hidden="false" customHeight="true" outlineLevel="0" collapsed="false">
      <c r="A27" s="7" t="s">
        <v>424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customFormat="false" ht="15" hidden="false" customHeight="false" outlineLevel="0" collapsed="false">
      <c r="A28" s="6" t="s">
        <v>425</v>
      </c>
      <c r="C28" s="67" t="n">
        <f aca="false">C21*Inputs!$B$26*(1+Inputs!$B$28)^(C$7-1)</f>
        <v>95445.2405797102</v>
      </c>
      <c r="D28" s="67" t="n">
        <f aca="false">D21*Inputs!$B$26*(1+Inputs!$B$28)^(D$7-1)</f>
        <v>95655.7631072464</v>
      </c>
      <c r="E28" s="67" t="n">
        <f aca="false">E21*Inputs!$B$26*(1+Inputs!$B$28)^(E$7-1)</f>
        <v>95862.917274342</v>
      </c>
      <c r="F28" s="67" t="n">
        <f aca="false">F21*Inputs!$B$26*(1+Inputs!$B$28)^(F$7-1)</f>
        <v>96066.7569747641</v>
      </c>
      <c r="G28" s="67" t="n">
        <f aca="false">G21*Inputs!$B$26*(1+Inputs!$B$28)^(G$7-1)</f>
        <v>96267.3352399795</v>
      </c>
      <c r="H28" s="67" t="n">
        <f aca="false">H21*Inputs!$B$26*(1+Inputs!$B$28)^(H$7-1)</f>
        <v>96464.7042529514</v>
      </c>
      <c r="I28" s="67" t="n">
        <f aca="false">I21*Inputs!$B$26*(1+Inputs!$B$28)^(I$7-1)</f>
        <v>96658.9153617158</v>
      </c>
      <c r="J28" s="67" t="n">
        <f aca="false">J21*Inputs!$B$26*(1+Inputs!$B$28)^(J$7-1)</f>
        <v>96850.0190927399</v>
      </c>
      <c r="K28" s="67" t="n">
        <f aca="false">K21*Inputs!$B$26*(1+Inputs!$B$28)^(K$7-1)</f>
        <v>97038.0651640677</v>
      </c>
      <c r="L28" s="67" t="n">
        <f aca="false">L21*Inputs!$B$26*(1+Inputs!$B$28)^(L$7-1)</f>
        <v>97223.1024982542</v>
      </c>
      <c r="M28" s="67" t="n">
        <f aca="false">M21*Inputs!$B$26*(1+Inputs!$B$28)^(M$7-1)</f>
        <v>97405.1792350937</v>
      </c>
      <c r="N28" s="67" t="n">
        <f aca="false">N21*Inputs!$B$26*(1+Inputs!$B$28)^(N$7-1)</f>
        <v>97584.3427441438</v>
      </c>
      <c r="O28" s="67" t="n">
        <f aca="false">O21*Inputs!$B$26*(1+Inputs!$B$28)^(O$7-1)</f>
        <v>99920.6684297901</v>
      </c>
      <c r="P28" s="67" t="n">
        <f aca="false">P21*Inputs!$B$26*(1+Inputs!$B$28)^(P$7-1)</f>
        <v>100115.422479261</v>
      </c>
      <c r="Q28" s="67" t="n">
        <f aca="false">Q21*Inputs!$B$26*(1+Inputs!$B$28)^(Q$7-1)</f>
        <v>100307.060463941</v>
      </c>
      <c r="R28" s="67" t="n">
        <f aca="false">R21*Inputs!$B$26*(1+Inputs!$B$28)^(R$7-1)</f>
        <v>100495.632240866</v>
      </c>
      <c r="S28" s="67" t="n">
        <f aca="false">S21*Inputs!$B$26*(1+Inputs!$B$28)^(S$7-1)</f>
        <v>100681.18686936</v>
      </c>
      <c r="T28" s="67" t="n">
        <f aca="false">T21*Inputs!$B$26*(1+Inputs!$B$28)^(T$7-1)</f>
        <v>100863.772623798</v>
      </c>
      <c r="U28" s="67" t="n">
        <f aca="false">U21*Inputs!$B$26*(1+Inputs!$B$28)^(U$7-1)</f>
        <v>101043.437006165</v>
      </c>
      <c r="V28" s="67" t="n">
        <f aca="false">V21*Inputs!$B$26*(1+Inputs!$B$28)^(V$7-1)</f>
        <v>101220.226758414</v>
      </c>
      <c r="W28" s="67" t="n">
        <f aca="false">W21*Inputs!$B$26*(1+Inputs!$B$28)^(W$7-1)</f>
        <v>101394.187874627</v>
      </c>
      <c r="X28" s="67" t="n">
        <f aca="false">X21*Inputs!$B$26*(1+Inputs!$B$28)^(X$7-1)</f>
        <v>101565.365612981</v>
      </c>
      <c r="Y28" s="67" t="n">
        <f aca="false">Y21*Inputs!$B$26*(1+Inputs!$B$28)^(Y$7-1)</f>
        <v>101733.804507521</v>
      </c>
      <c r="Z28" s="67" t="n">
        <f aca="false">Z21*Inputs!$B$26*(1+Inputs!$B$28)^(Z$7-1)</f>
        <v>101899.548379749</v>
      </c>
      <c r="AA28" s="67" t="n">
        <f aca="false">AA21*Inputs!$B$26*(1+Inputs!$B$28)^(AA$7-1)</f>
        <v>104319.072846621</v>
      </c>
      <c r="AB28" s="67" t="n">
        <f aca="false">AB21*Inputs!$B$26*(1+Inputs!$B$28)^(AB$7-1)</f>
        <v>104501.474483574</v>
      </c>
      <c r="AC28" s="67" t="n">
        <f aca="false">AC21*Inputs!$B$26*(1+Inputs!$B$28)^(AC$7-1)</f>
        <v>104680.957694335</v>
      </c>
      <c r="AD28" s="67" t="n">
        <f aca="false">AD21*Inputs!$B$26*(1+Inputs!$B$28)^(AD$7-1)</f>
        <v>104857.569173725</v>
      </c>
      <c r="AE28" s="67" t="n">
        <f aca="false">AE21*Inputs!$B$26*(1+Inputs!$B$28)^(AE$7-1)</f>
        <v>105031.354869444</v>
      </c>
      <c r="AF28" s="67" t="n">
        <f aca="false">AF21*Inputs!$B$26*(1+Inputs!$B$28)^(AF$7-1)</f>
        <v>105202.359994032</v>
      </c>
      <c r="AG28" s="67" t="n">
        <f aca="false">AG21*Inputs!$B$26*(1+Inputs!$B$28)^(AG$7-1)</f>
        <v>105370.629036626</v>
      </c>
      <c r="AH28" s="67" t="n">
        <f aca="false">AH21*Inputs!$B$26*(1+Inputs!$B$28)^(AH$7-1)</f>
        <v>105536.205774539</v>
      </c>
      <c r="AI28" s="67" t="n">
        <f aca="false">AI21*Inputs!$B$26*(1+Inputs!$B$28)^(AI$7-1)</f>
        <v>105699.133284645</v>
      </c>
      <c r="AJ28" s="67" t="n">
        <f aca="false">AJ21*Inputs!$B$26*(1+Inputs!$B$28)^(AJ$7-1)</f>
        <v>105859.453954589</v>
      </c>
      <c r="AK28" s="67" t="n">
        <f aca="false">AK21*Inputs!$B$26*(1+Inputs!$B$28)^(AK$7-1)</f>
        <v>106017.209493815</v>
      </c>
      <c r="AL28" s="67" t="n">
        <f aca="false">AL21*Inputs!$B$26*(1+Inputs!$B$28)^(AL$7-1)</f>
        <v>106172.440944412</v>
      </c>
    </row>
    <row r="29" customFormat="false" ht="15" hidden="false" customHeight="false" outlineLevel="0" collapsed="false">
      <c r="A29" s="6" t="s">
        <v>426</v>
      </c>
      <c r="C29" s="67" t="n">
        <f aca="false">C25*Inputs!$B$27*(1+Inputs!$B$28)^(C$7-1)</f>
        <v>61507.2956521739</v>
      </c>
      <c r="D29" s="67" t="n">
        <f aca="false">D25*Inputs!$B$27*(1+Inputs!$B$28)^(D$7-1)</f>
        <v>61670.5702260869</v>
      </c>
      <c r="E29" s="67" t="n">
        <f aca="false">E25*Inputs!$B$27*(1+Inputs!$B$28)^(E$7-1)</f>
        <v>61831.2324068174</v>
      </c>
      <c r="F29" s="67" t="n">
        <f aca="false">F25*Inputs!$B$27*(1+Inputs!$B$28)^(F$7-1)</f>
        <v>61989.3239926561</v>
      </c>
      <c r="G29" s="67" t="n">
        <f aca="false">G25*Inputs!$B$27*(1+Inputs!$B$28)^(G$7-1)</f>
        <v>62144.8861131214</v>
      </c>
      <c r="H29" s="67" t="n">
        <f aca="false">H25*Inputs!$B$27*(1+Inputs!$B$28)^(H$7-1)</f>
        <v>62297.9592396593</v>
      </c>
      <c r="I29" s="67" t="n">
        <f aca="false">I25*Inputs!$B$27*(1+Inputs!$B$28)^(I$7-1)</f>
        <v>62448.5831961726</v>
      </c>
      <c r="J29" s="67" t="n">
        <f aca="false">J25*Inputs!$B$27*(1+Inputs!$B$28)^(J$7-1)</f>
        <v>62596.7971693817</v>
      </c>
      <c r="K29" s="67" t="n">
        <f aca="false">K25*Inputs!$B$27*(1+Inputs!$B$28)^(K$7-1)</f>
        <v>62742.6397190194</v>
      </c>
      <c r="L29" s="67" t="n">
        <f aca="false">L25*Inputs!$B$27*(1+Inputs!$B$28)^(L$7-1)</f>
        <v>62886.1487878629</v>
      </c>
      <c r="M29" s="67" t="n">
        <f aca="false">M25*Inputs!$B$27*(1+Inputs!$B$28)^(M$7-1)</f>
        <v>63027.3617116049</v>
      </c>
      <c r="N29" s="67" t="n">
        <f aca="false">N25*Inputs!$B$27*(1+Inputs!$B$28)^(N$7-1)</f>
        <v>63166.3152285671</v>
      </c>
      <c r="O29" s="67" t="n">
        <f aca="false">O25*Inputs!$B$27*(1+Inputs!$B$28)^(O$7-1)</f>
        <v>64576.067899043</v>
      </c>
      <c r="P29" s="67" t="n">
        <f aca="false">P25*Inputs!$B$27*(1+Inputs!$B$28)^(P$7-1)</f>
        <v>64727.1129430931</v>
      </c>
      <c r="Q29" s="67" t="n">
        <f aca="false">Q25*Inputs!$B$27*(1+Inputs!$B$28)^(Q$7-1)</f>
        <v>64875.7412664384</v>
      </c>
      <c r="R29" s="67" t="n">
        <f aca="false">R25*Inputs!$B$27*(1+Inputs!$B$28)^(R$7-1)</f>
        <v>65021.9915366101</v>
      </c>
      <c r="S29" s="67" t="n">
        <f aca="false">S25*Inputs!$B$27*(1+Inputs!$B$28)^(S$7-1)</f>
        <v>65165.9018024591</v>
      </c>
      <c r="T29" s="67" t="n">
        <f aca="false">T25*Inputs!$B$27*(1+Inputs!$B$28)^(T$7-1)</f>
        <v>65307.5095040546</v>
      </c>
      <c r="U29" s="67" t="n">
        <f aca="false">U25*Inputs!$B$27*(1+Inputs!$B$28)^(U$7-1)</f>
        <v>65446.8514824245</v>
      </c>
      <c r="V29" s="67" t="n">
        <f aca="false">V25*Inputs!$B$27*(1+Inputs!$B$28)^(V$7-1)</f>
        <v>65583.9639891405</v>
      </c>
      <c r="W29" s="67" t="n">
        <f aca="false">W25*Inputs!$B$27*(1+Inputs!$B$28)^(W$7-1)</f>
        <v>65718.882695749</v>
      </c>
      <c r="X29" s="67" t="n">
        <f aca="false">X25*Inputs!$B$27*(1+Inputs!$B$28)^(X$7-1)</f>
        <v>65851.6427030518</v>
      </c>
      <c r="Y29" s="67" t="n">
        <f aca="false">Y25*Inputs!$B$27*(1+Inputs!$B$28)^(Y$7-1)</f>
        <v>65982.2785502378</v>
      </c>
      <c r="Z29" s="67" t="n">
        <f aca="false">Z25*Inputs!$B$27*(1+Inputs!$B$28)^(Z$7-1)</f>
        <v>66110.8242238687</v>
      </c>
      <c r="AA29" s="67" t="n">
        <f aca="false">AA25*Inputs!$B$27*(1+Inputs!$B$28)^(AA$7-1)</f>
        <v>67569.3731819561</v>
      </c>
      <c r="AB29" s="67" t="n">
        <f aca="false">AB25*Inputs!$B$27*(1+Inputs!$B$28)^(AB$7-1)</f>
        <v>67710.8380878882</v>
      </c>
      <c r="AC29" s="67" t="n">
        <f aca="false">AC25*Inputs!$B$27*(1+Inputs!$B$28)^(AC$7-1)</f>
        <v>67850.0395553255</v>
      </c>
      <c r="AD29" s="67" t="n">
        <f aca="false">AD25*Inputs!$B$27*(1+Inputs!$B$28)^(AD$7-1)</f>
        <v>67987.0137992838</v>
      </c>
      <c r="AE29" s="67" t="n">
        <f aca="false">AE25*Inputs!$B$27*(1+Inputs!$B$28)^(AE$7-1)</f>
        <v>68121.7964553387</v>
      </c>
      <c r="AF29" s="67" t="n">
        <f aca="false">AF25*Inputs!$B$27*(1+Inputs!$B$28)^(AF$7-1)</f>
        <v>68254.4225888968</v>
      </c>
      <c r="AG29" s="67" t="n">
        <f aca="false">AG25*Inputs!$B$27*(1+Inputs!$B$28)^(AG$7-1)</f>
        <v>68384.9267043179</v>
      </c>
      <c r="AH29" s="67" t="n">
        <f aca="false">AH25*Inputs!$B$27*(1+Inputs!$B$28)^(AH$7-1)</f>
        <v>68513.3427538923</v>
      </c>
      <c r="AI29" s="67" t="n">
        <f aca="false">AI25*Inputs!$B$27*(1+Inputs!$B$28)^(AI$7-1)</f>
        <v>68639.7041466735</v>
      </c>
      <c r="AJ29" s="67" t="n">
        <f aca="false">AJ25*Inputs!$B$27*(1+Inputs!$B$28)^(AJ$7-1)</f>
        <v>68764.0437571702</v>
      </c>
      <c r="AK29" s="67" t="n">
        <f aca="false">AK25*Inputs!$B$27*(1+Inputs!$B$28)^(AK$7-1)</f>
        <v>68886.393933899</v>
      </c>
      <c r="AL29" s="67" t="n">
        <f aca="false">AL25*Inputs!$B$27*(1+Inputs!$B$28)^(AL$7-1)</f>
        <v>69006.7865078001</v>
      </c>
    </row>
    <row r="30" customFormat="false" ht="15" hidden="false" customHeight="false" outlineLevel="0" collapsed="false">
      <c r="A30" s="4" t="s">
        <v>240</v>
      </c>
      <c r="C30" s="73" t="n">
        <f aca="false">C28+C29</f>
        <v>156952.536231884</v>
      </c>
      <c r="D30" s="73" t="n">
        <f aca="false">D28+D29</f>
        <v>157326.333333333</v>
      </c>
      <c r="E30" s="73" t="n">
        <f aca="false">E28+E29</f>
        <v>157694.149681159</v>
      </c>
      <c r="F30" s="73" t="n">
        <f aca="false">F28+F29</f>
        <v>158056.08096742</v>
      </c>
      <c r="G30" s="73" t="n">
        <f aca="false">G28+G29</f>
        <v>158412.221353101</v>
      </c>
      <c r="H30" s="73" t="n">
        <f aca="false">H28+H29</f>
        <v>158762.663492611</v>
      </c>
      <c r="I30" s="73" t="n">
        <f aca="false">I28+I29</f>
        <v>159107.498557888</v>
      </c>
      <c r="J30" s="73" t="n">
        <f aca="false">J28+J29</f>
        <v>159446.816262122</v>
      </c>
      <c r="K30" s="73" t="n">
        <f aca="false">K28+K29</f>
        <v>159780.704883087</v>
      </c>
      <c r="L30" s="73" t="n">
        <f aca="false">L28+L29</f>
        <v>160109.251286117</v>
      </c>
      <c r="M30" s="73" t="n">
        <f aca="false">M28+M29</f>
        <v>160432.540946699</v>
      </c>
      <c r="N30" s="73" t="n">
        <f aca="false">N28+N29</f>
        <v>160750.657972711</v>
      </c>
      <c r="O30" s="73" t="n">
        <f aca="false">O28+O29</f>
        <v>164496.736328833</v>
      </c>
      <c r="P30" s="73" t="n">
        <f aca="false">P28+P29</f>
        <v>164842.535422354</v>
      </c>
      <c r="Q30" s="73" t="n">
        <f aca="false">Q28+Q29</f>
        <v>165182.801730379</v>
      </c>
      <c r="R30" s="73" t="n">
        <f aca="false">R28+R29</f>
        <v>165517.623777476</v>
      </c>
      <c r="S30" s="73" t="n">
        <f aca="false">S28+S29</f>
        <v>165847.088671819</v>
      </c>
      <c r="T30" s="73" t="n">
        <f aca="false">T28+T29</f>
        <v>166171.282127852</v>
      </c>
      <c r="U30" s="73" t="n">
        <f aca="false">U28+U29</f>
        <v>166490.288488589</v>
      </c>
      <c r="V30" s="73" t="n">
        <f aca="false">V28+V29</f>
        <v>166804.190747554</v>
      </c>
      <c r="W30" s="73" t="n">
        <f aca="false">W28+W29</f>
        <v>167113.070570376</v>
      </c>
      <c r="X30" s="73" t="n">
        <f aca="false">X28+X29</f>
        <v>167417.008316033</v>
      </c>
      <c r="Y30" s="73" t="n">
        <f aca="false">Y28+Y29</f>
        <v>167716.083057759</v>
      </c>
      <c r="Z30" s="73" t="n">
        <f aca="false">Z28+Z29</f>
        <v>168010.372603617</v>
      </c>
      <c r="AA30" s="73" t="n">
        <f aca="false">AA28+AA29</f>
        <v>171888.446028577</v>
      </c>
      <c r="AB30" s="73" t="n">
        <f aca="false">AB28+AB29</f>
        <v>172212.312571462</v>
      </c>
      <c r="AC30" s="73" t="n">
        <f aca="false">AC28+AC29</f>
        <v>172530.997249661</v>
      </c>
      <c r="AD30" s="73" t="n">
        <f aca="false">AD28+AD29</f>
        <v>172844.582973008</v>
      </c>
      <c r="AE30" s="73" t="n">
        <f aca="false">AE28+AE29</f>
        <v>173153.151324783</v>
      </c>
      <c r="AF30" s="73" t="n">
        <f aca="false">AF28+AF29</f>
        <v>173456.782582928</v>
      </c>
      <c r="AG30" s="73" t="n">
        <f aca="false">AG28+AG29</f>
        <v>173755.555740944</v>
      </c>
      <c r="AH30" s="73" t="n">
        <f aca="false">AH28+AH29</f>
        <v>174049.548528431</v>
      </c>
      <c r="AI30" s="73" t="n">
        <f aca="false">AI28+AI29</f>
        <v>174338.837431318</v>
      </c>
      <c r="AJ30" s="73" t="n">
        <f aca="false">AJ28+AJ29</f>
        <v>174623.497711759</v>
      </c>
      <c r="AK30" s="73" t="n">
        <f aca="false">AK28+AK29</f>
        <v>174903.603427714</v>
      </c>
      <c r="AL30" s="73" t="n">
        <f aca="false">AL28+AL29</f>
        <v>175179.227452212</v>
      </c>
    </row>
    <row r="31" customFormat="false" ht="15" hidden="false" customHeight="false" outlineLevel="0" collapsed="false">
      <c r="A31" s="6" t="s">
        <v>427</v>
      </c>
      <c r="C31" s="67" t="n">
        <f aca="false">-C30*Inputs!$B$31*Inputs!$B$32</f>
        <v>-25426.3108695652</v>
      </c>
      <c r="D31" s="67" t="n">
        <f aca="false">-D30*Inputs!$B$31*Inputs!$B$32</f>
        <v>-25486.866</v>
      </c>
      <c r="E31" s="67" t="n">
        <f aca="false">-E30*Inputs!$B$31*Inputs!$B$32</f>
        <v>-25546.4522483478</v>
      </c>
      <c r="F31" s="67" t="n">
        <f aca="false">-F30*Inputs!$B$31*Inputs!$B$32</f>
        <v>-25605.0851167221</v>
      </c>
      <c r="G31" s="67" t="n">
        <f aca="false">-G30*Inputs!$B$31*Inputs!$B$32</f>
        <v>-25662.7798592024</v>
      </c>
      <c r="H31" s="67" t="n">
        <f aca="false">-H30*Inputs!$B$31*Inputs!$B$32</f>
        <v>-25719.5514858029</v>
      </c>
      <c r="I31" s="67" t="n">
        <f aca="false">-I30*Inputs!$B$31*Inputs!$B$32</f>
        <v>-25775.4147663779</v>
      </c>
      <c r="J31" s="67" t="n">
        <f aca="false">-J30*Inputs!$B$31*Inputs!$B$32</f>
        <v>-25830.3842344637</v>
      </c>
      <c r="K31" s="67" t="n">
        <f aca="false">-K30*Inputs!$B$31*Inputs!$B$32</f>
        <v>-25884.4741910601</v>
      </c>
      <c r="L31" s="67" t="n">
        <f aca="false">-L30*Inputs!$B$31*Inputs!$B$32</f>
        <v>-25937.698708351</v>
      </c>
      <c r="M31" s="67" t="n">
        <f aca="false">-M30*Inputs!$B$31*Inputs!$B$32</f>
        <v>-25990.0716333652</v>
      </c>
      <c r="N31" s="67" t="n">
        <f aca="false">-N30*Inputs!$B$31*Inputs!$B$32</f>
        <v>-26041.6065915792</v>
      </c>
      <c r="O31" s="67" t="n">
        <f aca="false">-O30*Inputs!$B$31*Inputs!$B$32</f>
        <v>-26648.4712852709</v>
      </c>
      <c r="P31" s="67" t="n">
        <f aca="false">-P30*Inputs!$B$31*Inputs!$B$32</f>
        <v>-26704.4907384214</v>
      </c>
      <c r="Q31" s="67" t="n">
        <f aca="false">-Q30*Inputs!$B$31*Inputs!$B$32</f>
        <v>-26759.6138803214</v>
      </c>
      <c r="R31" s="67" t="n">
        <f aca="false">-R30*Inputs!$B$31*Inputs!$B$32</f>
        <v>-26813.8550519511</v>
      </c>
      <c r="S31" s="67" t="n">
        <f aca="false">-S30*Inputs!$B$31*Inputs!$B$32</f>
        <v>-26867.2283648346</v>
      </c>
      <c r="T31" s="67" t="n">
        <f aca="false">-T30*Inputs!$B$31*Inputs!$B$32</f>
        <v>-26919.7477047121</v>
      </c>
      <c r="U31" s="67" t="n">
        <f aca="false">-U30*Inputs!$B$31*Inputs!$B$32</f>
        <v>-26971.4267351515</v>
      </c>
      <c r="V31" s="67" t="n">
        <f aca="false">-V30*Inputs!$B$31*Inputs!$B$32</f>
        <v>-27022.2789011038</v>
      </c>
      <c r="W31" s="67" t="n">
        <f aca="false">-W30*Inputs!$B$31*Inputs!$B$32</f>
        <v>-27072.3174324009</v>
      </c>
      <c r="X31" s="67" t="n">
        <f aca="false">-X30*Inputs!$B$31*Inputs!$B$32</f>
        <v>-27121.5553471973</v>
      </c>
      <c r="Y31" s="67" t="n">
        <f aca="false">-Y30*Inputs!$B$31*Inputs!$B$32</f>
        <v>-27170.0054553569</v>
      </c>
      <c r="Z31" s="67" t="n">
        <f aca="false">-Z30*Inputs!$B$31*Inputs!$B$32</f>
        <v>-27217.680361786</v>
      </c>
      <c r="AA31" s="67" t="n">
        <f aca="false">-AA30*Inputs!$B$31*Inputs!$B$32</f>
        <v>-27845.9282566295</v>
      </c>
      <c r="AB31" s="67" t="n">
        <f aca="false">-AB30*Inputs!$B$31*Inputs!$B$32</f>
        <v>-27898.3946365768</v>
      </c>
      <c r="AC31" s="67" t="n">
        <f aca="false">-AC30*Inputs!$B$31*Inputs!$B$32</f>
        <v>-27950.0215544451</v>
      </c>
      <c r="AD31" s="67" t="n">
        <f aca="false">-AD30*Inputs!$B$31*Inputs!$B$32</f>
        <v>-28000.8224416274</v>
      </c>
      <c r="AE31" s="67" t="n">
        <f aca="false">-AE30*Inputs!$B$31*Inputs!$B$32</f>
        <v>-28050.8105146148</v>
      </c>
      <c r="AF31" s="67" t="n">
        <f aca="false">-AF30*Inputs!$B$31*Inputs!$B$32</f>
        <v>-28099.9987784344</v>
      </c>
      <c r="AG31" s="67" t="n">
        <f aca="false">-AG30*Inputs!$B$31*Inputs!$B$32</f>
        <v>-28148.4000300329</v>
      </c>
      <c r="AH31" s="67" t="n">
        <f aca="false">-AH30*Inputs!$B$31*Inputs!$B$32</f>
        <v>-28196.0268616058</v>
      </c>
      <c r="AI31" s="67" t="n">
        <f aca="false">-AI30*Inputs!$B$31*Inputs!$B$32</f>
        <v>-28242.8916638736</v>
      </c>
      <c r="AJ31" s="67" t="n">
        <f aca="false">-AJ30*Inputs!$B$31*Inputs!$B$32</f>
        <v>-28289.006629305</v>
      </c>
      <c r="AK31" s="67" t="n">
        <f aca="false">-AK30*Inputs!$B$31*Inputs!$B$32</f>
        <v>-28334.3837552896</v>
      </c>
      <c r="AL31" s="67" t="n">
        <f aca="false">-AL30*Inputs!$B$31*Inputs!$B$32</f>
        <v>-28379.0348472584</v>
      </c>
    </row>
    <row r="32" customFormat="false" ht="15" hidden="false" customHeight="false" outlineLevel="0" collapsed="false">
      <c r="A32" s="6" t="s">
        <v>428</v>
      </c>
      <c r="C32" s="67" t="n">
        <f aca="false">-(C30+C31)*Inputs!$B$33</f>
        <v>-2630.52450724638</v>
      </c>
      <c r="D32" s="67" t="n">
        <f aca="false">-(D30+D31)*Inputs!$B$33</f>
        <v>-2636.78934666667</v>
      </c>
      <c r="E32" s="67" t="n">
        <f aca="false">-(E30+E31)*Inputs!$B$33</f>
        <v>-2642.95394865623</v>
      </c>
      <c r="F32" s="67" t="n">
        <f aca="false">-(F30+F31)*Inputs!$B$33</f>
        <v>-2649.01991701396</v>
      </c>
      <c r="G32" s="67" t="n">
        <f aca="false">-(G30+G31)*Inputs!$B$33</f>
        <v>-2654.98882987797</v>
      </c>
      <c r="H32" s="67" t="n">
        <f aca="false">-(H30+H31)*Inputs!$B$33</f>
        <v>-2660.86224013616</v>
      </c>
      <c r="I32" s="67" t="n">
        <f aca="false">-(I30+I31)*Inputs!$B$33</f>
        <v>-2666.64167583021</v>
      </c>
      <c r="J32" s="67" t="n">
        <f aca="false">-(J30+J31)*Inputs!$B$33</f>
        <v>-2672.32864055316</v>
      </c>
      <c r="K32" s="67" t="n">
        <f aca="false">-(K30+K31)*Inputs!$B$33</f>
        <v>-2677.92461384054</v>
      </c>
      <c r="L32" s="67" t="n">
        <f aca="false">-(L30+L31)*Inputs!$B$33</f>
        <v>-2683.43105155532</v>
      </c>
      <c r="M32" s="67" t="n">
        <f aca="false">-(M30+M31)*Inputs!$B$33</f>
        <v>-2688.84938626667</v>
      </c>
      <c r="N32" s="67" t="n">
        <f aca="false">-(N30+N31)*Inputs!$B$33</f>
        <v>-2694.18102762263</v>
      </c>
      <c r="O32" s="67" t="n">
        <f aca="false">-(O30+O31)*Inputs!$B$33</f>
        <v>-2756.96530087124</v>
      </c>
      <c r="P32" s="67" t="n">
        <f aca="false">-(P30+P31)*Inputs!$B$33</f>
        <v>-2762.76089367866</v>
      </c>
      <c r="Q32" s="67" t="n">
        <f aca="false">-(Q30+Q31)*Inputs!$B$33</f>
        <v>-2768.46375700116</v>
      </c>
      <c r="R32" s="67" t="n">
        <f aca="false">-(R30+R31)*Inputs!$B$33</f>
        <v>-2774.07537451049</v>
      </c>
      <c r="S32" s="67" t="n">
        <f aca="false">-(S30+S31)*Inputs!$B$33</f>
        <v>-2779.59720613968</v>
      </c>
      <c r="T32" s="67" t="n">
        <f aca="false">-(T30+T31)*Inputs!$B$33</f>
        <v>-2785.0306884628</v>
      </c>
      <c r="U32" s="67" t="n">
        <f aca="false">-(U30+U31)*Inputs!$B$33</f>
        <v>-2790.37723506876</v>
      </c>
      <c r="V32" s="67" t="n">
        <f aca="false">-(V30+V31)*Inputs!$B$33</f>
        <v>-2795.63823692901</v>
      </c>
      <c r="W32" s="67" t="n">
        <f aca="false">-(W30+W31)*Inputs!$B$33</f>
        <v>-2800.8150627595</v>
      </c>
      <c r="X32" s="67" t="n">
        <f aca="false">-(X30+X31)*Inputs!$B$33</f>
        <v>-2805.90905937671</v>
      </c>
      <c r="Y32" s="67" t="n">
        <f aca="false">-(Y30+Y31)*Inputs!$B$33</f>
        <v>-2810.92155204804</v>
      </c>
      <c r="Z32" s="67" t="n">
        <f aca="false">-(Z30+Z31)*Inputs!$B$33</f>
        <v>-2815.85384483663</v>
      </c>
      <c r="AA32" s="67" t="n">
        <f aca="false">-(AA30+AA31)*Inputs!$B$33</f>
        <v>-2880.85035543895</v>
      </c>
      <c r="AB32" s="67" t="n">
        <f aca="false">-(AB30+AB31)*Inputs!$B$33</f>
        <v>-2886.2783586977</v>
      </c>
      <c r="AC32" s="67" t="n">
        <f aca="false">-(AC30+AC31)*Inputs!$B$33</f>
        <v>-2891.61951390432</v>
      </c>
      <c r="AD32" s="67" t="n">
        <f aca="false">-(AD30+AD31)*Inputs!$B$33</f>
        <v>-2896.87521062762</v>
      </c>
      <c r="AE32" s="67" t="n">
        <f aca="false">-(AE30+AE31)*Inputs!$B$33</f>
        <v>-2902.04681620336</v>
      </c>
      <c r="AF32" s="67" t="n">
        <f aca="false">-(AF30+AF31)*Inputs!$B$33</f>
        <v>-2907.13567608988</v>
      </c>
      <c r="AG32" s="67" t="n">
        <f aca="false">-(AG30+AG31)*Inputs!$B$33</f>
        <v>-2912.14311421822</v>
      </c>
      <c r="AH32" s="67" t="n">
        <f aca="false">-(AH30+AH31)*Inputs!$B$33</f>
        <v>-2917.0704333365</v>
      </c>
      <c r="AI32" s="67" t="n">
        <f aca="false">-(AI30+AI31)*Inputs!$B$33</f>
        <v>-2921.91891534889</v>
      </c>
      <c r="AJ32" s="67" t="n">
        <f aca="false">-(AJ30+AJ31)*Inputs!$B$33</f>
        <v>-2926.68982164909</v>
      </c>
      <c r="AK32" s="67" t="n">
        <f aca="false">-(AK30+AK31)*Inputs!$B$33</f>
        <v>-2931.38439344848</v>
      </c>
      <c r="AL32" s="67" t="n">
        <f aca="false">-(AL30+AL31)*Inputs!$B$33</f>
        <v>-2936.00385209908</v>
      </c>
    </row>
    <row r="33" customFormat="false" ht="15" hidden="false" customHeight="false" outlineLevel="0" collapsed="false">
      <c r="A33" s="111" t="s">
        <v>244</v>
      </c>
      <c r="C33" s="68" t="n">
        <f aca="false">C30+C31+C32</f>
        <v>128895.700855072</v>
      </c>
      <c r="D33" s="68" t="n">
        <f aca="false">D30+D31+D32</f>
        <v>129202.677986667</v>
      </c>
      <c r="E33" s="68" t="n">
        <f aca="false">E30+E31+E32</f>
        <v>129504.743484155</v>
      </c>
      <c r="F33" s="68" t="n">
        <f aca="false">F30+F31+F32</f>
        <v>129801.975933684</v>
      </c>
      <c r="G33" s="68" t="n">
        <f aca="false">G30+G31+G32</f>
        <v>130094.452664021</v>
      </c>
      <c r="H33" s="68" t="n">
        <f aca="false">H30+H31+H32</f>
        <v>130382.249766672</v>
      </c>
      <c r="I33" s="68" t="n">
        <f aca="false">I30+I31+I32</f>
        <v>130665.44211568</v>
      </c>
      <c r="J33" s="68" t="n">
        <f aca="false">J30+J31+J32</f>
        <v>130944.103387105</v>
      </c>
      <c r="K33" s="68" t="n">
        <f aca="false">K30+K31+K32</f>
        <v>131218.306078186</v>
      </c>
      <c r="L33" s="68" t="n">
        <f aca="false">L30+L31+L32</f>
        <v>131488.121526211</v>
      </c>
      <c r="M33" s="68" t="n">
        <f aca="false">M30+M31+M32</f>
        <v>131753.619927067</v>
      </c>
      <c r="N33" s="68" t="n">
        <f aca="false">N30+N31+N32</f>
        <v>132014.870353509</v>
      </c>
      <c r="O33" s="68" t="n">
        <f aca="false">O30+O31+O32</f>
        <v>135091.299742691</v>
      </c>
      <c r="P33" s="68" t="n">
        <f aca="false">P30+P31+P32</f>
        <v>135375.283790254</v>
      </c>
      <c r="Q33" s="68" t="n">
        <f aca="false">Q30+Q31+Q32</f>
        <v>135654.724093057</v>
      </c>
      <c r="R33" s="68" t="n">
        <f aca="false">R30+R31+R32</f>
        <v>135929.693351014</v>
      </c>
      <c r="S33" s="68" t="n">
        <f aca="false">S30+S31+S32</f>
        <v>136200.263100844</v>
      </c>
      <c r="T33" s="68" t="n">
        <f aca="false">T30+T31+T32</f>
        <v>136466.503734677</v>
      </c>
      <c r="U33" s="68" t="n">
        <f aca="false">U30+U31+U32</f>
        <v>136728.484518369</v>
      </c>
      <c r="V33" s="68" t="n">
        <f aca="false">V30+V31+V32</f>
        <v>136986.273609522</v>
      </c>
      <c r="W33" s="68" t="n">
        <f aca="false">W30+W31+W32</f>
        <v>137239.938075216</v>
      </c>
      <c r="X33" s="68" t="n">
        <f aca="false">X30+X31+X32</f>
        <v>137489.543909459</v>
      </c>
      <c r="Y33" s="68" t="n">
        <f aca="false">Y30+Y31+Y32</f>
        <v>137735.156050354</v>
      </c>
      <c r="Z33" s="68" t="n">
        <f aca="false">Z30+Z31+Z32</f>
        <v>137976.838396995</v>
      </c>
      <c r="AA33" s="68" t="n">
        <f aca="false">AA30+AA31+AA32</f>
        <v>141161.667416508</v>
      </c>
      <c r="AB33" s="68" t="n">
        <f aca="false">AB30+AB31+AB32</f>
        <v>141427.639576187</v>
      </c>
      <c r="AC33" s="68" t="n">
        <f aca="false">AC30+AC31+AC32</f>
        <v>141689.356181311</v>
      </c>
      <c r="AD33" s="68" t="n">
        <f aca="false">AD30+AD31+AD32</f>
        <v>141946.885320753</v>
      </c>
      <c r="AE33" s="68" t="n">
        <f aca="false">AE30+AE31+AE32</f>
        <v>142200.293993964</v>
      </c>
      <c r="AF33" s="68" t="n">
        <f aca="false">AF30+AF31+AF32</f>
        <v>142449.648128404</v>
      </c>
      <c r="AG33" s="68" t="n">
        <f aca="false">AG30+AG31+AG32</f>
        <v>142695.012596693</v>
      </c>
      <c r="AH33" s="68" t="n">
        <f aca="false">AH30+AH31+AH32</f>
        <v>142936.451233489</v>
      </c>
      <c r="AI33" s="68" t="n">
        <f aca="false">AI30+AI31+AI32</f>
        <v>143174.026852096</v>
      </c>
      <c r="AJ33" s="68" t="n">
        <f aca="false">AJ30+AJ31+AJ32</f>
        <v>143407.801260805</v>
      </c>
      <c r="AK33" s="68" t="n">
        <f aca="false">AK30+AK31+AK32</f>
        <v>143637.835278976</v>
      </c>
      <c r="AL33" s="68" t="n">
        <f aca="false">AL30+AL31+AL32</f>
        <v>143864.188752855</v>
      </c>
    </row>
    <row r="35" customFormat="false" ht="15.75" hidden="false" customHeight="true" outlineLevel="0" collapsed="false">
      <c r="A35" s="7" t="s">
        <v>75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customFormat="false" ht="15" hidden="false" customHeight="false" outlineLevel="0" collapsed="false">
      <c r="A36" s="6" t="s">
        <v>429</v>
      </c>
      <c r="C36" s="67" t="n">
        <f aca="false">-C30*Inputs!$B$36</f>
        <v>-8475.43695652174</v>
      </c>
      <c r="D36" s="67" t="n">
        <f aca="false">-D30*Inputs!$B$36</f>
        <v>-8495.622</v>
      </c>
      <c r="E36" s="67" t="n">
        <f aca="false">-E30*Inputs!$B$36</f>
        <v>-8515.48408278261</v>
      </c>
      <c r="F36" s="67" t="n">
        <f aca="false">-F30*Inputs!$B$36</f>
        <v>-8535.0283722407</v>
      </c>
      <c r="G36" s="67" t="n">
        <f aca="false">-G30*Inputs!$B$36</f>
        <v>-8554.25995306745</v>
      </c>
      <c r="H36" s="67" t="n">
        <f aca="false">-H30*Inputs!$B$36</f>
        <v>-8573.18382860098</v>
      </c>
      <c r="I36" s="67" t="n">
        <f aca="false">-I30*Inputs!$B$36</f>
        <v>-8591.80492212597</v>
      </c>
      <c r="J36" s="67" t="n">
        <f aca="false">-J30*Inputs!$B$36</f>
        <v>-8610.12807815456</v>
      </c>
      <c r="K36" s="67" t="n">
        <f aca="false">-K30*Inputs!$B$36</f>
        <v>-8628.1580636867</v>
      </c>
      <c r="L36" s="67" t="n">
        <f aca="false">-L30*Inputs!$B$36</f>
        <v>-8645.89956945032</v>
      </c>
      <c r="M36" s="67" t="n">
        <f aca="false">-M30*Inputs!$B$36</f>
        <v>-8663.35721112172</v>
      </c>
      <c r="N36" s="67" t="n">
        <f aca="false">-N30*Inputs!$B$36</f>
        <v>-8680.53553052639</v>
      </c>
      <c r="O36" s="67" t="n">
        <f aca="false">-O30*Inputs!$B$36</f>
        <v>-8882.82376175698</v>
      </c>
      <c r="P36" s="67" t="n">
        <f aca="false">-P30*Inputs!$B$36</f>
        <v>-8901.49691280713</v>
      </c>
      <c r="Q36" s="67" t="n">
        <f aca="false">-Q30*Inputs!$B$36</f>
        <v>-8919.87129344048</v>
      </c>
      <c r="R36" s="67" t="n">
        <f aca="false">-R30*Inputs!$B$36</f>
        <v>-8937.95168398369</v>
      </c>
      <c r="S36" s="67" t="n">
        <f aca="false">-S30*Inputs!$B$36</f>
        <v>-8955.74278827821</v>
      </c>
      <c r="T36" s="67" t="n">
        <f aca="false">-T30*Inputs!$B$36</f>
        <v>-8973.24923490402</v>
      </c>
      <c r="U36" s="67" t="n">
        <f aca="false">-U30*Inputs!$B$36</f>
        <v>-8990.47557838382</v>
      </c>
      <c r="V36" s="67" t="n">
        <f aca="false">-V30*Inputs!$B$36</f>
        <v>-9007.42630036794</v>
      </c>
      <c r="W36" s="67" t="n">
        <f aca="false">-W30*Inputs!$B$36</f>
        <v>-9024.10581080031</v>
      </c>
      <c r="X36" s="67" t="n">
        <f aca="false">-X30*Inputs!$B$36</f>
        <v>-9040.51844906577</v>
      </c>
      <c r="Y36" s="67" t="n">
        <f aca="false">-Y30*Inputs!$B$36</f>
        <v>-9056.66848511898</v>
      </c>
      <c r="Z36" s="67" t="n">
        <f aca="false">-Z30*Inputs!$B$36</f>
        <v>-9072.56012059534</v>
      </c>
      <c r="AA36" s="67" t="n">
        <f aca="false">-AA30*Inputs!$B$36</f>
        <v>-9281.97608554315</v>
      </c>
      <c r="AB36" s="67" t="n">
        <f aca="false">-AB30*Inputs!$B$36</f>
        <v>-9299.46487885895</v>
      </c>
      <c r="AC36" s="67" t="n">
        <f aca="false">-AC30*Inputs!$B$36</f>
        <v>-9316.67385148168</v>
      </c>
      <c r="AD36" s="67" t="n">
        <f aca="false">-AD30*Inputs!$B$36</f>
        <v>-9333.60748054246</v>
      </c>
      <c r="AE36" s="67" t="n">
        <f aca="false">-AE30*Inputs!$B$36</f>
        <v>-9350.27017153826</v>
      </c>
      <c r="AF36" s="67" t="n">
        <f aca="false">-AF30*Inputs!$B$36</f>
        <v>-9366.66625947813</v>
      </c>
      <c r="AG36" s="67" t="n">
        <f aca="false">-AG30*Inputs!$B$36</f>
        <v>-9382.80001001097</v>
      </c>
      <c r="AH36" s="67" t="n">
        <f aca="false">-AH30*Inputs!$B$36</f>
        <v>-9398.67562053527</v>
      </c>
      <c r="AI36" s="67" t="n">
        <f aca="false">-AI30*Inputs!$B$36</f>
        <v>-9414.29722129119</v>
      </c>
      <c r="AJ36" s="67" t="n">
        <f aca="false">-AJ30*Inputs!$B$36</f>
        <v>-9429.66887643501</v>
      </c>
      <c r="AK36" s="67" t="n">
        <f aca="false">-AK30*Inputs!$B$36</f>
        <v>-9444.79458509654</v>
      </c>
      <c r="AL36" s="67" t="n">
        <f aca="false">-AL30*Inputs!$B$36</f>
        <v>-9459.67828241947</v>
      </c>
    </row>
    <row r="37" customFormat="false" ht="15" hidden="false" customHeight="false" outlineLevel="0" collapsed="false">
      <c r="A37" s="6" t="s">
        <v>430</v>
      </c>
      <c r="C37" s="67" t="n">
        <f aca="false">-C28*Inputs!$B$37</f>
        <v>-10308.0859826087</v>
      </c>
      <c r="D37" s="67" t="n">
        <f aca="false">-D28*Inputs!$B$37</f>
        <v>-10330.8224155826</v>
      </c>
      <c r="E37" s="67" t="n">
        <f aca="false">-E28*Inputs!$B$37</f>
        <v>-10353.1950656289</v>
      </c>
      <c r="F37" s="67" t="n">
        <f aca="false">-F28*Inputs!$B$37</f>
        <v>-10375.2097532745</v>
      </c>
      <c r="G37" s="67" t="n">
        <f aca="false">-G28*Inputs!$B$37</f>
        <v>-10396.8722059178</v>
      </c>
      <c r="H37" s="67" t="n">
        <f aca="false">-H28*Inputs!$B$37</f>
        <v>-10418.1880593188</v>
      </c>
      <c r="I37" s="67" t="n">
        <f aca="false">-I28*Inputs!$B$37</f>
        <v>-10439.1628590653</v>
      </c>
      <c r="J37" s="67" t="n">
        <f aca="false">-J28*Inputs!$B$37</f>
        <v>-10459.8020620159</v>
      </c>
      <c r="K37" s="67" t="n">
        <f aca="false">-K28*Inputs!$B$37</f>
        <v>-10480.1110377193</v>
      </c>
      <c r="L37" s="67" t="n">
        <f aca="false">-L28*Inputs!$B$37</f>
        <v>-10500.0950698115</v>
      </c>
      <c r="M37" s="67" t="n">
        <f aca="false">-M28*Inputs!$B$37</f>
        <v>-10519.7593573901</v>
      </c>
      <c r="N37" s="67" t="n">
        <f aca="false">-N28*Inputs!$B$37</f>
        <v>-10539.1090163675</v>
      </c>
      <c r="O37" s="67" t="n">
        <f aca="false">-O28*Inputs!$B$37</f>
        <v>-10791.4321904173</v>
      </c>
      <c r="P37" s="67" t="n">
        <f aca="false">-P28*Inputs!$B$37</f>
        <v>-10812.4656277602</v>
      </c>
      <c r="Q37" s="67" t="n">
        <f aca="false">-Q28*Inputs!$B$37</f>
        <v>-10833.1625301056</v>
      </c>
      <c r="R37" s="67" t="n">
        <f aca="false">-R28*Inputs!$B$37</f>
        <v>-10853.5282820135</v>
      </c>
      <c r="S37" s="67" t="n">
        <f aca="false">-S28*Inputs!$B$37</f>
        <v>-10873.5681818908</v>
      </c>
      <c r="T37" s="67" t="n">
        <f aca="false">-T28*Inputs!$B$37</f>
        <v>-10893.2874433702</v>
      </c>
      <c r="U37" s="67" t="n">
        <f aca="false">-U28*Inputs!$B$37</f>
        <v>-10912.6911966658</v>
      </c>
      <c r="V37" s="67" t="n">
        <f aca="false">-V28*Inputs!$B$37</f>
        <v>-10931.7844899087</v>
      </c>
      <c r="W37" s="67" t="n">
        <f aca="false">-W28*Inputs!$B$37</f>
        <v>-10950.5722904597</v>
      </c>
      <c r="X37" s="67" t="n">
        <f aca="false">-X28*Inputs!$B$37</f>
        <v>-10969.0594862019</v>
      </c>
      <c r="Y37" s="67" t="n">
        <f aca="false">-Y28*Inputs!$B$37</f>
        <v>-10987.2508868123</v>
      </c>
      <c r="Z37" s="67" t="n">
        <f aca="false">-Z28*Inputs!$B$37</f>
        <v>-11005.1512250128</v>
      </c>
      <c r="AA37" s="67" t="n">
        <f aca="false">-AA28*Inputs!$B$37</f>
        <v>-11266.4598674351</v>
      </c>
      <c r="AB37" s="67" t="n">
        <f aca="false">-AB28*Inputs!$B$37</f>
        <v>-11286.159244226</v>
      </c>
      <c r="AC37" s="67" t="n">
        <f aca="false">-AC28*Inputs!$B$37</f>
        <v>-11305.5434309882</v>
      </c>
      <c r="AD37" s="67" t="n">
        <f aca="false">-AD28*Inputs!$B$37</f>
        <v>-11324.6174707623</v>
      </c>
      <c r="AE37" s="67" t="n">
        <f aca="false">-AE28*Inputs!$B$37</f>
        <v>-11343.3863258999</v>
      </c>
      <c r="AF37" s="67" t="n">
        <f aca="false">-AF28*Inputs!$B$37</f>
        <v>-11361.8548793554</v>
      </c>
      <c r="AG37" s="67" t="n">
        <f aca="false">-AG28*Inputs!$B$37</f>
        <v>-11380.0279359556</v>
      </c>
      <c r="AH37" s="67" t="n">
        <f aca="false">-AH28*Inputs!$B$37</f>
        <v>-11397.9102236502</v>
      </c>
      <c r="AI37" s="67" t="n">
        <f aca="false">-AI28*Inputs!$B$37</f>
        <v>-11415.5063947416</v>
      </c>
      <c r="AJ37" s="67" t="n">
        <f aca="false">-AJ28*Inputs!$B$37</f>
        <v>-11432.8210270956</v>
      </c>
      <c r="AK37" s="67" t="n">
        <f aca="false">-AK28*Inputs!$B$37</f>
        <v>-11449.858625332</v>
      </c>
      <c r="AL37" s="67" t="n">
        <f aca="false">-AL28*Inputs!$B$37</f>
        <v>-11466.6236219965</v>
      </c>
    </row>
    <row r="38" customFormat="false" ht="15" hidden="false" customHeight="false" outlineLevel="0" collapsed="false">
      <c r="A38" s="6" t="s">
        <v>431</v>
      </c>
      <c r="C38" s="67" t="n">
        <f aca="false">-C33*Inputs!$B$38</f>
        <v>-1804.53981197101</v>
      </c>
      <c r="D38" s="67" t="n">
        <f aca="false">-D33*Inputs!$B$38</f>
        <v>-1808.83749181333</v>
      </c>
      <c r="E38" s="67" t="n">
        <f aca="false">-E33*Inputs!$B$38</f>
        <v>-1813.06640877818</v>
      </c>
      <c r="F38" s="67" t="n">
        <f aca="false">-F33*Inputs!$B$38</f>
        <v>-1817.22766307158</v>
      </c>
      <c r="G38" s="67" t="n">
        <f aca="false">-G33*Inputs!$B$38</f>
        <v>-1821.32233729629</v>
      </c>
      <c r="H38" s="67" t="n">
        <f aca="false">-H33*Inputs!$B$38</f>
        <v>-1825.3514967334</v>
      </c>
      <c r="I38" s="67" t="n">
        <f aca="false">-I33*Inputs!$B$38</f>
        <v>-1829.31618961952</v>
      </c>
      <c r="J38" s="67" t="n">
        <f aca="false">-J33*Inputs!$B$38</f>
        <v>-1833.21744741947</v>
      </c>
      <c r="K38" s="67" t="n">
        <f aca="false">-K33*Inputs!$B$38</f>
        <v>-1837.05628509461</v>
      </c>
      <c r="L38" s="67" t="n">
        <f aca="false">-L33*Inputs!$B$38</f>
        <v>-1840.83370136695</v>
      </c>
      <c r="M38" s="67" t="n">
        <f aca="false">-M33*Inputs!$B$38</f>
        <v>-1844.55067897893</v>
      </c>
      <c r="N38" s="67" t="n">
        <f aca="false">-N33*Inputs!$B$38</f>
        <v>-1848.20818494913</v>
      </c>
      <c r="O38" s="67" t="n">
        <f aca="false">-O33*Inputs!$B$38</f>
        <v>-1891.27819639767</v>
      </c>
      <c r="P38" s="67" t="n">
        <f aca="false">-P33*Inputs!$B$38</f>
        <v>-1895.25397306356</v>
      </c>
      <c r="Q38" s="67" t="n">
        <f aca="false">-Q33*Inputs!$B$38</f>
        <v>-1899.16613730279</v>
      </c>
      <c r="R38" s="67" t="n">
        <f aca="false">-R33*Inputs!$B$38</f>
        <v>-1903.0157069142</v>
      </c>
      <c r="S38" s="67" t="n">
        <f aca="false">-S33*Inputs!$B$38</f>
        <v>-1906.80368341182</v>
      </c>
      <c r="T38" s="67" t="n">
        <f aca="false">-T33*Inputs!$B$38</f>
        <v>-1910.53105228548</v>
      </c>
      <c r="U38" s="67" t="n">
        <f aca="false">-U33*Inputs!$B$38</f>
        <v>-1914.19878325717</v>
      </c>
      <c r="V38" s="67" t="n">
        <f aca="false">-V33*Inputs!$B$38</f>
        <v>-1917.8078305333</v>
      </c>
      <c r="W38" s="67" t="n">
        <f aca="false">-W33*Inputs!$B$38</f>
        <v>-1921.35913305302</v>
      </c>
      <c r="X38" s="67" t="n">
        <f aca="false">-X33*Inputs!$B$38</f>
        <v>-1924.85361473242</v>
      </c>
      <c r="Y38" s="67" t="n">
        <f aca="false">-Y33*Inputs!$B$38</f>
        <v>-1928.29218470495</v>
      </c>
      <c r="Z38" s="67" t="n">
        <f aca="false">-Z33*Inputs!$B$38</f>
        <v>-1931.67573755793</v>
      </c>
      <c r="AA38" s="67" t="n">
        <f aca="false">-AA33*Inputs!$B$38</f>
        <v>-1976.26334383112</v>
      </c>
      <c r="AB38" s="67" t="n">
        <f aca="false">-AB33*Inputs!$B$38</f>
        <v>-1979.98695406662</v>
      </c>
      <c r="AC38" s="67" t="n">
        <f aca="false">-AC33*Inputs!$B$38</f>
        <v>-1983.65098653836</v>
      </c>
      <c r="AD38" s="67" t="n">
        <f aca="false">-AD33*Inputs!$B$38</f>
        <v>-1987.25639449055</v>
      </c>
      <c r="AE38" s="67" t="n">
        <f aca="false">-AE33*Inputs!$B$38</f>
        <v>-1990.8041159155</v>
      </c>
      <c r="AF38" s="67" t="n">
        <f aca="false">-AF33*Inputs!$B$38</f>
        <v>-1994.29507379766</v>
      </c>
      <c r="AG38" s="67" t="n">
        <f aca="false">-AG33*Inputs!$B$38</f>
        <v>-1997.7301763537</v>
      </c>
      <c r="AH38" s="67" t="n">
        <f aca="false">-AH33*Inputs!$B$38</f>
        <v>-2001.11031726884</v>
      </c>
      <c r="AI38" s="67" t="n">
        <f aca="false">-AI33*Inputs!$B$38</f>
        <v>-2004.43637592934</v>
      </c>
      <c r="AJ38" s="67" t="n">
        <f aca="false">-AJ33*Inputs!$B$38</f>
        <v>-2007.70921765128</v>
      </c>
      <c r="AK38" s="67" t="n">
        <f aca="false">-AK33*Inputs!$B$38</f>
        <v>-2010.92969390566</v>
      </c>
      <c r="AL38" s="67" t="n">
        <f aca="false">-AL33*Inputs!$B$38</f>
        <v>-2014.09864253997</v>
      </c>
    </row>
    <row r="39" customFormat="false" ht="15" hidden="false" customHeight="false" outlineLevel="0" collapsed="false">
      <c r="A39" s="4" t="s">
        <v>75</v>
      </c>
      <c r="C39" s="73" t="n">
        <f aca="false">C36+C37+C38</f>
        <v>-20588.0627511015</v>
      </c>
      <c r="D39" s="73" t="n">
        <f aca="false">D36+D37+D38</f>
        <v>-20635.2819073959</v>
      </c>
      <c r="E39" s="73" t="n">
        <f aca="false">E36+E37+E38</f>
        <v>-20681.7455571897</v>
      </c>
      <c r="F39" s="73" t="n">
        <f aca="false">F36+F37+F38</f>
        <v>-20727.4657885868</v>
      </c>
      <c r="G39" s="73" t="n">
        <f aca="false">G36+G37+G38</f>
        <v>-20772.4544962815</v>
      </c>
      <c r="H39" s="73" t="n">
        <f aca="false">H36+H37+H38</f>
        <v>-20816.7233846531</v>
      </c>
      <c r="I39" s="73" t="n">
        <f aca="false">I36+I37+I38</f>
        <v>-20860.2839708108</v>
      </c>
      <c r="J39" s="73" t="n">
        <f aca="false">J36+J37+J38</f>
        <v>-20903.1475875899</v>
      </c>
      <c r="K39" s="73" t="n">
        <f aca="false">K36+K37+K38</f>
        <v>-20945.3253865006</v>
      </c>
      <c r="L39" s="73" t="n">
        <f aca="false">L36+L37+L38</f>
        <v>-20986.8283406287</v>
      </c>
      <c r="M39" s="73" t="n">
        <f aca="false">M36+M37+M38</f>
        <v>-21027.6672474908</v>
      </c>
      <c r="N39" s="73" t="n">
        <f aca="false">N36+N37+N38</f>
        <v>-21067.852731843</v>
      </c>
      <c r="O39" s="73" t="n">
        <f aca="false">O36+O37+O38</f>
        <v>-21565.534148572</v>
      </c>
      <c r="P39" s="73" t="n">
        <f aca="false">P36+P37+P38</f>
        <v>-21609.2165136309</v>
      </c>
      <c r="Q39" s="73" t="n">
        <f aca="false">Q36+Q37+Q38</f>
        <v>-21652.1999608489</v>
      </c>
      <c r="R39" s="73" t="n">
        <f aca="false">R36+R37+R38</f>
        <v>-21694.4956729114</v>
      </c>
      <c r="S39" s="73" t="n">
        <f aca="false">S36+S37+S38</f>
        <v>-21736.1146535809</v>
      </c>
      <c r="T39" s="73" t="n">
        <f aca="false">T36+T37+T38</f>
        <v>-21777.0677305597</v>
      </c>
      <c r="U39" s="73" t="n">
        <f aca="false">U36+U37+U38</f>
        <v>-21817.3655583068</v>
      </c>
      <c r="V39" s="73" t="n">
        <f aca="false">V36+V37+V38</f>
        <v>-21857.01862081</v>
      </c>
      <c r="W39" s="73" t="n">
        <f aca="false">W36+W37+W38</f>
        <v>-21896.0372343131</v>
      </c>
      <c r="X39" s="73" t="n">
        <f aca="false">X36+X37+X38</f>
        <v>-21934.4315500001</v>
      </c>
      <c r="Y39" s="73" t="n">
        <f aca="false">Y36+Y37+Y38</f>
        <v>-21972.2115566362</v>
      </c>
      <c r="Z39" s="73" t="n">
        <f aca="false">Z36+Z37+Z38</f>
        <v>-22009.3870831661</v>
      </c>
      <c r="AA39" s="73" t="n">
        <f aca="false">AA36+AA37+AA38</f>
        <v>-22524.6992968093</v>
      </c>
      <c r="AB39" s="73" t="n">
        <f aca="false">AB36+AB37+AB38</f>
        <v>-22565.6110771515</v>
      </c>
      <c r="AC39" s="73" t="n">
        <f aca="false">AC36+AC37+AC38</f>
        <v>-22605.8682690083</v>
      </c>
      <c r="AD39" s="73" t="n">
        <f aca="false">AD36+AD37+AD38</f>
        <v>-22645.4813457953</v>
      </c>
      <c r="AE39" s="73" t="n">
        <f aca="false">AE36+AE37+AE38</f>
        <v>-22684.4606133537</v>
      </c>
      <c r="AF39" s="73" t="n">
        <f aca="false">AF36+AF37+AF38</f>
        <v>-22722.8162126312</v>
      </c>
      <c r="AG39" s="73" t="n">
        <f aca="false">AG36+AG37+AG38</f>
        <v>-22760.5581223203</v>
      </c>
      <c r="AH39" s="73" t="n">
        <f aca="false">AH36+AH37+AH38</f>
        <v>-22797.6961614543</v>
      </c>
      <c r="AI39" s="73" t="n">
        <f aca="false">AI36+AI37+AI38</f>
        <v>-22834.2399919622</v>
      </c>
      <c r="AJ39" s="73" t="n">
        <f aca="false">AJ36+AJ37+AJ38</f>
        <v>-22870.1991211819</v>
      </c>
      <c r="AK39" s="73" t="n">
        <f aca="false">AK36+AK37+AK38</f>
        <v>-22905.5829043342</v>
      </c>
      <c r="AL39" s="73" t="n">
        <f aca="false">AL36+AL37+AL38</f>
        <v>-22940.400546956</v>
      </c>
    </row>
    <row r="40" customFormat="false" ht="15" hidden="false" customHeight="false" outlineLevel="0" collapsed="false">
      <c r="A40" s="111" t="s">
        <v>45</v>
      </c>
      <c r="C40" s="68" t="n">
        <f aca="false">C33+C39</f>
        <v>108307.638103971</v>
      </c>
      <c r="D40" s="68" t="n">
        <f aca="false">D33+D39</f>
        <v>108567.396079271</v>
      </c>
      <c r="E40" s="68" t="n">
        <f aca="false">E33+E39</f>
        <v>108822.997926966</v>
      </c>
      <c r="F40" s="68" t="n">
        <f aca="false">F33+F39</f>
        <v>109074.510145097</v>
      </c>
      <c r="G40" s="68" t="n">
        <f aca="false">G33+G39</f>
        <v>109321.998167739</v>
      </c>
      <c r="H40" s="68" t="n">
        <f aca="false">H33+H39</f>
        <v>109565.526382019</v>
      </c>
      <c r="I40" s="68" t="n">
        <f aca="false">I33+I39</f>
        <v>109805.158144869</v>
      </c>
      <c r="J40" s="68" t="n">
        <f aca="false">J33+J39</f>
        <v>110040.955799515</v>
      </c>
      <c r="K40" s="68" t="n">
        <f aca="false">K33+K39</f>
        <v>110272.980691686</v>
      </c>
      <c r="L40" s="68" t="n">
        <f aca="false">L33+L39</f>
        <v>110501.293185582</v>
      </c>
      <c r="M40" s="68" t="n">
        <f aca="false">M33+M39</f>
        <v>110725.952679576</v>
      </c>
      <c r="N40" s="68" t="n">
        <f aca="false">N33+N39</f>
        <v>110947.017621666</v>
      </c>
      <c r="O40" s="68" t="n">
        <f aca="false">O33+O39</f>
        <v>113525.765594119</v>
      </c>
      <c r="P40" s="68" t="n">
        <f aca="false">P33+P39</f>
        <v>113766.067276623</v>
      </c>
      <c r="Q40" s="68" t="n">
        <f aca="false">Q33+Q39</f>
        <v>114002.524132208</v>
      </c>
      <c r="R40" s="68" t="n">
        <f aca="false">R33+R39</f>
        <v>114235.197678103</v>
      </c>
      <c r="S40" s="68" t="n">
        <f aca="false">S33+S39</f>
        <v>114464.148447264</v>
      </c>
      <c r="T40" s="68" t="n">
        <f aca="false">T33+T39</f>
        <v>114689.436004118</v>
      </c>
      <c r="U40" s="68" t="n">
        <f aca="false">U33+U39</f>
        <v>114911.118960062</v>
      </c>
      <c r="V40" s="68" t="n">
        <f aca="false">V33+V39</f>
        <v>115129.254988712</v>
      </c>
      <c r="W40" s="68" t="n">
        <f aca="false">W33+W39</f>
        <v>115343.900840903</v>
      </c>
      <c r="X40" s="68" t="n">
        <f aca="false">X33+X39</f>
        <v>115555.112359459</v>
      </c>
      <c r="Y40" s="68" t="n">
        <f aca="false">Y33+Y39</f>
        <v>115762.944493718</v>
      </c>
      <c r="Z40" s="68" t="n">
        <f aca="false">Z33+Z39</f>
        <v>115967.451313829</v>
      </c>
      <c r="AA40" s="68" t="n">
        <f aca="false">AA33+AA39</f>
        <v>118636.968119699</v>
      </c>
      <c r="AB40" s="68" t="n">
        <f aca="false">AB33+AB39</f>
        <v>118862.028499036</v>
      </c>
      <c r="AC40" s="68" t="n">
        <f aca="false">AC33+AC39</f>
        <v>119083.487912303</v>
      </c>
      <c r="AD40" s="68" t="n">
        <f aca="false">AD33+AD39</f>
        <v>119301.403974958</v>
      </c>
      <c r="AE40" s="68" t="n">
        <f aca="false">AE33+AE39</f>
        <v>119515.833380611</v>
      </c>
      <c r="AF40" s="68" t="n">
        <f aca="false">AF33+AF39</f>
        <v>119726.831915773</v>
      </c>
      <c r="AG40" s="68" t="n">
        <f aca="false">AG33+AG39</f>
        <v>119934.454474372</v>
      </c>
      <c r="AH40" s="68" t="n">
        <f aca="false">AH33+AH39</f>
        <v>120138.755072034</v>
      </c>
      <c r="AI40" s="68" t="n">
        <f aca="false">AI33+AI39</f>
        <v>120339.786860134</v>
      </c>
      <c r="AJ40" s="68" t="n">
        <f aca="false">AJ33+AJ39</f>
        <v>120537.602139623</v>
      </c>
      <c r="AK40" s="68" t="n">
        <f aca="false">AK33+AK39</f>
        <v>120732.252374641</v>
      </c>
      <c r="AL40" s="68" t="n">
        <f aca="false">AL33+AL39</f>
        <v>120923.788205899</v>
      </c>
    </row>
    <row r="42" customFormat="false" ht="15.75" hidden="false" customHeight="true" outlineLevel="0" collapsed="false">
      <c r="A42" s="7" t="s">
        <v>47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customFormat="false" ht="15" hidden="false" customHeight="false" outlineLevel="0" collapsed="false">
      <c r="A43" s="6" t="s">
        <v>355</v>
      </c>
      <c r="C43" s="67" t="n">
        <f aca="false">C126</f>
        <v>-78970.8333333333</v>
      </c>
      <c r="D43" s="67" t="n">
        <f aca="false">D126</f>
        <v>-78970.8333333333</v>
      </c>
      <c r="E43" s="67" t="n">
        <f aca="false">E126</f>
        <v>-78970.8333333333</v>
      </c>
      <c r="F43" s="67" t="n">
        <f aca="false">F126</f>
        <v>-78970.8333333333</v>
      </c>
      <c r="G43" s="67" t="n">
        <f aca="false">G126</f>
        <v>-78970.8333333333</v>
      </c>
      <c r="H43" s="67" t="n">
        <f aca="false">H126</f>
        <v>-78970.8333333333</v>
      </c>
      <c r="I43" s="67" t="n">
        <f aca="false">I126</f>
        <v>-78970.8333333333</v>
      </c>
      <c r="J43" s="67" t="n">
        <f aca="false">J126</f>
        <v>-78970.8333333333</v>
      </c>
      <c r="K43" s="67" t="n">
        <f aca="false">K126</f>
        <v>-78970.8333333333</v>
      </c>
      <c r="L43" s="67" t="n">
        <f aca="false">L126</f>
        <v>-78970.8333333333</v>
      </c>
      <c r="M43" s="67" t="n">
        <f aca="false">M126</f>
        <v>-78970.8333333333</v>
      </c>
      <c r="N43" s="67" t="n">
        <f aca="false">N126</f>
        <v>-78970.8333333333</v>
      </c>
      <c r="O43" s="67" t="n">
        <f aca="false">O126</f>
        <v>-84200.7833333333</v>
      </c>
      <c r="P43" s="67" t="n">
        <f aca="false">P126</f>
        <v>-84200.7833333333</v>
      </c>
      <c r="Q43" s="67" t="n">
        <f aca="false">Q126</f>
        <v>-84200.7833333333</v>
      </c>
      <c r="R43" s="67" t="n">
        <f aca="false">R126</f>
        <v>-84200.7833333333</v>
      </c>
      <c r="S43" s="67" t="n">
        <f aca="false">S126</f>
        <v>-84200.7833333333</v>
      </c>
      <c r="T43" s="67" t="n">
        <f aca="false">T126</f>
        <v>-84200.7833333333</v>
      </c>
      <c r="U43" s="67" t="n">
        <f aca="false">U126</f>
        <v>-84200.7833333333</v>
      </c>
      <c r="V43" s="67" t="n">
        <f aca="false">V126</f>
        <v>-84200.7833333333</v>
      </c>
      <c r="W43" s="67" t="n">
        <f aca="false">W126</f>
        <v>-84200.7833333333</v>
      </c>
      <c r="X43" s="67" t="n">
        <f aca="false">X126</f>
        <v>-84200.7833333333</v>
      </c>
      <c r="Y43" s="67" t="n">
        <f aca="false">Y126</f>
        <v>-84200.7833333333</v>
      </c>
      <c r="Z43" s="67" t="n">
        <f aca="false">Z126</f>
        <v>-84200.7833333333</v>
      </c>
      <c r="AA43" s="67" t="n">
        <f aca="false">AA126</f>
        <v>-89824.9318853333</v>
      </c>
      <c r="AB43" s="67" t="n">
        <f aca="false">AB126</f>
        <v>-89824.9318853333</v>
      </c>
      <c r="AC43" s="67" t="n">
        <f aca="false">AC126</f>
        <v>-89824.9318853333</v>
      </c>
      <c r="AD43" s="67" t="n">
        <f aca="false">AD126</f>
        <v>-89824.9318853333</v>
      </c>
      <c r="AE43" s="67" t="n">
        <f aca="false">AE126</f>
        <v>-89824.9318853333</v>
      </c>
      <c r="AF43" s="67" t="n">
        <f aca="false">AF126</f>
        <v>-89824.9318853333</v>
      </c>
      <c r="AG43" s="67" t="n">
        <f aca="false">AG126</f>
        <v>-89824.9318853333</v>
      </c>
      <c r="AH43" s="67" t="n">
        <f aca="false">AH126</f>
        <v>-89824.9318853333</v>
      </c>
      <c r="AI43" s="67" t="n">
        <f aca="false">AI126</f>
        <v>-89824.9318853333</v>
      </c>
      <c r="AJ43" s="67" t="n">
        <f aca="false">AJ126</f>
        <v>-89824.9318853333</v>
      </c>
      <c r="AK43" s="67" t="n">
        <f aca="false">AK126</f>
        <v>-89824.9318853333</v>
      </c>
      <c r="AL43" s="67" t="n">
        <f aca="false">AL126</f>
        <v>-89824.9318853333</v>
      </c>
    </row>
    <row r="44" customFormat="false" ht="15" hidden="false" customHeight="false" outlineLevel="0" collapsed="false">
      <c r="A44" s="6" t="s">
        <v>356</v>
      </c>
      <c r="C44" s="67" t="n">
        <f aca="false">-C33*C28/MAX(1,C30)*Inputs!$B$39*Inputs!$B$40</f>
        <v>-10033.0815198312</v>
      </c>
      <c r="D44" s="67" t="n">
        <f aca="false">-D33*D28/MAX(1,D30)*Inputs!$B$39*Inputs!$B$40</f>
        <v>-10055.211378457</v>
      </c>
      <c r="E44" s="67" t="n">
        <f aca="false">-E33*E28/MAX(1,E30)*Inputs!$B$39*Inputs!$B$40</f>
        <v>-10076.9871593447</v>
      </c>
      <c r="F44" s="67" t="n">
        <f aca="false">-F33*F28/MAX(1,F30)*Inputs!$B$39*Inputs!$B$40</f>
        <v>-10098.4145277383</v>
      </c>
      <c r="G44" s="67" t="n">
        <f aca="false">-G33*G28/MAX(1,G30)*Inputs!$B$39*Inputs!$B$40</f>
        <v>-10119.4990582375</v>
      </c>
      <c r="H44" s="67" t="n">
        <f aca="false">-H33*H28/MAX(1,H30)*Inputs!$B$39*Inputs!$B$40</f>
        <v>-10140.2462362488</v>
      </c>
      <c r="I44" s="67" t="n">
        <f aca="false">-I33*I28/MAX(1,I30)*Inputs!$B$39*Inputs!$B$40</f>
        <v>-10160.6614594119</v>
      </c>
      <c r="J44" s="67" t="n">
        <f aca="false">-J33*J28/MAX(1,J30)*Inputs!$B$39*Inputs!$B$40</f>
        <v>-10180.7500390044</v>
      </c>
      <c r="K44" s="67" t="n">
        <f aca="false">-K33*K28/MAX(1,K30)*Inputs!$B$39*Inputs!$B$40</f>
        <v>-10200.5172013234</v>
      </c>
      <c r="L44" s="67" t="n">
        <f aca="false">-L33*L28/MAX(1,L30)*Inputs!$B$39*Inputs!$B$40</f>
        <v>-10219.9680890453</v>
      </c>
      <c r="M44" s="67" t="n">
        <f aca="false">-M33*M28/MAX(1,M30)*Inputs!$B$39*Inputs!$B$40</f>
        <v>-10239.1077625636</v>
      </c>
      <c r="N44" s="67" t="n">
        <f aca="false">-N33*N28/MAX(1,N30)*Inputs!$B$39*Inputs!$B$40</f>
        <v>-10257.9412013057</v>
      </c>
      <c r="O44" s="67" t="n">
        <f aca="false">-O33*O28/MAX(1,O30)*Inputs!$B$39*Inputs!$B$40</f>
        <v>-10503.5327668839</v>
      </c>
      <c r="P44" s="67" t="n">
        <f aca="false">-P33*P28/MAX(1,P30)*Inputs!$B$39*Inputs!$B$40</f>
        <v>-10524.0050632792</v>
      </c>
      <c r="Q44" s="67" t="n">
        <f aca="false">-Q33*Q28/MAX(1,Q30)*Inputs!$B$39*Inputs!$B$40</f>
        <v>-10544.1498029321</v>
      </c>
      <c r="R44" s="67" t="n">
        <f aca="false">-R33*R28/MAX(1,R30)*Inputs!$B$39*Inputs!$B$40</f>
        <v>-10563.9722267505</v>
      </c>
      <c r="S44" s="67" t="n">
        <f aca="false">-S33*S28/MAX(1,S30)*Inputs!$B$39*Inputs!$B$40</f>
        <v>-10583.4774917879</v>
      </c>
      <c r="T44" s="67" t="n">
        <f aca="false">-T33*T28/MAX(1,T30)*Inputs!$B$39*Inputs!$B$40</f>
        <v>-10602.6706725847</v>
      </c>
      <c r="U44" s="67" t="n">
        <f aca="false">-U33*U28/MAX(1,U30)*Inputs!$B$39*Inputs!$B$40</f>
        <v>-10621.5567624887</v>
      </c>
      <c r="V44" s="67" t="n">
        <f aca="false">-V33*V28/MAX(1,V30)*Inputs!$B$39*Inputs!$B$40</f>
        <v>-10640.1406749542</v>
      </c>
      <c r="W44" s="67" t="n">
        <f aca="false">-W33*W28/MAX(1,W30)*Inputs!$B$39*Inputs!$B$40</f>
        <v>-10658.4272448203</v>
      </c>
      <c r="X44" s="67" t="n">
        <f aca="false">-X33*X28/MAX(1,X30)*Inputs!$B$39*Inputs!$B$40</f>
        <v>-10676.4212295686</v>
      </c>
      <c r="Y44" s="67" t="n">
        <f aca="false">-Y33*Y28/MAX(1,Y30)*Inputs!$B$39*Inputs!$B$40</f>
        <v>-10694.1273105608</v>
      </c>
      <c r="Z44" s="67" t="n">
        <f aca="false">-Z33*Z28/MAX(1,Z30)*Inputs!$B$39*Inputs!$B$40</f>
        <v>-10711.5500942572</v>
      </c>
      <c r="AA44" s="67" t="n">
        <f aca="false">-AA33*AA28/MAX(1,AA30)*Inputs!$B$39*Inputs!$B$40</f>
        <v>-10965.8874092235</v>
      </c>
      <c r="AB44" s="67" t="n">
        <f aca="false">-AB33*AB28/MAX(1,AB30)*Inputs!$B$39*Inputs!$B$40</f>
        <v>-10985.0612358259</v>
      </c>
      <c r="AC44" s="67" t="n">
        <f aca="false">-AC33*AC28/MAX(1,AC30)*Inputs!$B$39*Inputs!$B$40</f>
        <v>-11003.9282812027</v>
      </c>
      <c r="AD44" s="67" t="n">
        <f aca="false">-AD33*AD28/MAX(1,AD30)*Inputs!$B$39*Inputs!$B$40</f>
        <v>-11022.4934538534</v>
      </c>
      <c r="AE44" s="67" t="n">
        <f aca="false">-AE33*AE28/MAX(1,AE30)*Inputs!$B$39*Inputs!$B$40</f>
        <v>-11040.7615837417</v>
      </c>
      <c r="AF44" s="67" t="n">
        <f aca="false">-AF33*AF28/MAX(1,AF30)*Inputs!$B$39*Inputs!$B$40</f>
        <v>-11058.7374235518</v>
      </c>
      <c r="AG44" s="67" t="n">
        <f aca="false">-AG33*AG28/MAX(1,AG30)*Inputs!$B$39*Inputs!$B$40</f>
        <v>-11076.4256499249</v>
      </c>
      <c r="AH44" s="67" t="n">
        <f aca="false">-AH33*AH28/MAX(1,AH30)*Inputs!$B$39*Inputs!$B$40</f>
        <v>-11093.8308646761</v>
      </c>
      <c r="AI44" s="67" t="n">
        <f aca="false">-AI33*AI28/MAX(1,AI30)*Inputs!$B$39*Inputs!$B$40</f>
        <v>-11110.9575959913</v>
      </c>
      <c r="AJ44" s="67" t="n">
        <f aca="false">-AJ33*AJ28/MAX(1,AJ30)*Inputs!$B$39*Inputs!$B$40</f>
        <v>-11127.8102996054</v>
      </c>
      <c r="AK44" s="67" t="n">
        <f aca="false">-AK33*AK28/MAX(1,AK30)*Inputs!$B$39*Inputs!$B$40</f>
        <v>-11144.3933599616</v>
      </c>
      <c r="AL44" s="67" t="n">
        <f aca="false">-AL33*AL28/MAX(1,AL30)*Inputs!$B$39*Inputs!$B$40</f>
        <v>-11160.7110913522</v>
      </c>
    </row>
    <row r="45" customFormat="false" ht="15" hidden="false" customHeight="false" outlineLevel="0" collapsed="false">
      <c r="A45" s="6" t="s">
        <v>357</v>
      </c>
      <c r="C45" s="67" t="n">
        <f aca="false">-Inputs!$B$17*(1+Inputs!$B$18)^(C$7-1)*1</f>
        <v>-7000</v>
      </c>
      <c r="D45" s="67" t="n">
        <f aca="false">-Inputs!$B$17*(1+Inputs!$B$18)^(D$7-1)*1</f>
        <v>-7000</v>
      </c>
      <c r="E45" s="67" t="n">
        <f aca="false">-Inputs!$B$17*(1+Inputs!$B$18)^(E$7-1)*1</f>
        <v>-7000</v>
      </c>
      <c r="F45" s="67" t="n">
        <f aca="false">-Inputs!$B$17*(1+Inputs!$B$18)^(F$7-1)*1</f>
        <v>-7000</v>
      </c>
      <c r="G45" s="67" t="n">
        <f aca="false">-Inputs!$B$17*(1+Inputs!$B$18)^(G$7-1)*1</f>
        <v>-7000</v>
      </c>
      <c r="H45" s="67" t="n">
        <f aca="false">-Inputs!$B$17*(1+Inputs!$B$18)^(H$7-1)*1</f>
        <v>-7000</v>
      </c>
      <c r="I45" s="67" t="n">
        <f aca="false">-Inputs!$B$17*(1+Inputs!$B$18)^(I$7-1)*1</f>
        <v>-7000</v>
      </c>
      <c r="J45" s="67" t="n">
        <f aca="false">-Inputs!$B$17*(1+Inputs!$B$18)^(J$7-1)*1</f>
        <v>-7000</v>
      </c>
      <c r="K45" s="67" t="n">
        <f aca="false">-Inputs!$B$17*(1+Inputs!$B$18)^(K$7-1)*1</f>
        <v>-7000</v>
      </c>
      <c r="L45" s="67" t="n">
        <f aca="false">-Inputs!$B$17*(1+Inputs!$B$18)^(L$7-1)*1</f>
        <v>-7000</v>
      </c>
      <c r="M45" s="67" t="n">
        <f aca="false">-Inputs!$B$17*(1+Inputs!$B$18)^(M$7-1)*1</f>
        <v>-7000</v>
      </c>
      <c r="N45" s="67" t="n">
        <f aca="false">-Inputs!$B$17*(1+Inputs!$B$18)^(N$7-1)*1</f>
        <v>-7000</v>
      </c>
      <c r="O45" s="67" t="n">
        <f aca="false">-Inputs!$B$17*(1+Inputs!$B$18)^(O$7-1)*1</f>
        <v>-7000</v>
      </c>
      <c r="P45" s="67" t="n">
        <f aca="false">-Inputs!$B$17*(1+Inputs!$B$18)^(P$7-1)*1</f>
        <v>-7000</v>
      </c>
      <c r="Q45" s="67" t="n">
        <f aca="false">-Inputs!$B$17*(1+Inputs!$B$18)^(Q$7-1)*1</f>
        <v>-7000</v>
      </c>
      <c r="R45" s="67" t="n">
        <f aca="false">-Inputs!$B$17*(1+Inputs!$B$18)^(R$7-1)*1</f>
        <v>-7000</v>
      </c>
      <c r="S45" s="67" t="n">
        <f aca="false">-Inputs!$B$17*(1+Inputs!$B$18)^(S$7-1)*1</f>
        <v>-7000</v>
      </c>
      <c r="T45" s="67" t="n">
        <f aca="false">-Inputs!$B$17*(1+Inputs!$B$18)^(T$7-1)*1</f>
        <v>-7000</v>
      </c>
      <c r="U45" s="67" t="n">
        <f aca="false">-Inputs!$B$17*(1+Inputs!$B$18)^(U$7-1)*1</f>
        <v>-7000</v>
      </c>
      <c r="V45" s="67" t="n">
        <f aca="false">-Inputs!$B$17*(1+Inputs!$B$18)^(V$7-1)*1</f>
        <v>-7000</v>
      </c>
      <c r="W45" s="67" t="n">
        <f aca="false">-Inputs!$B$17*(1+Inputs!$B$18)^(W$7-1)*1</f>
        <v>-7000</v>
      </c>
      <c r="X45" s="67" t="n">
        <f aca="false">-Inputs!$B$17*(1+Inputs!$B$18)^(X$7-1)*1</f>
        <v>-7000</v>
      </c>
      <c r="Y45" s="67" t="n">
        <f aca="false">-Inputs!$B$17*(1+Inputs!$B$18)^(Y$7-1)*1</f>
        <v>-7000</v>
      </c>
      <c r="Z45" s="67" t="n">
        <f aca="false">-Inputs!$B$17*(1+Inputs!$B$18)^(Z$7-1)*1</f>
        <v>-7000</v>
      </c>
      <c r="AA45" s="67" t="n">
        <f aca="false">-Inputs!$B$17*(1+Inputs!$B$18)^(AA$7-1)*1</f>
        <v>-7000</v>
      </c>
      <c r="AB45" s="67" t="n">
        <f aca="false">-Inputs!$B$17*(1+Inputs!$B$18)^(AB$7-1)*1</f>
        <v>-7000</v>
      </c>
      <c r="AC45" s="67" t="n">
        <f aca="false">-Inputs!$B$17*(1+Inputs!$B$18)^(AC$7-1)*1</f>
        <v>-7000</v>
      </c>
      <c r="AD45" s="67" t="n">
        <f aca="false">-Inputs!$B$17*(1+Inputs!$B$18)^(AD$7-1)*1</f>
        <v>-7000</v>
      </c>
      <c r="AE45" s="67" t="n">
        <f aca="false">-Inputs!$B$17*(1+Inputs!$B$18)^(AE$7-1)*1</f>
        <v>-7000</v>
      </c>
      <c r="AF45" s="67" t="n">
        <f aca="false">-Inputs!$B$17*(1+Inputs!$B$18)^(AF$7-1)*1</f>
        <v>-7000</v>
      </c>
      <c r="AG45" s="67" t="n">
        <f aca="false">-Inputs!$B$17*(1+Inputs!$B$18)^(AG$7-1)*1</f>
        <v>-7000</v>
      </c>
      <c r="AH45" s="67" t="n">
        <f aca="false">-Inputs!$B$17*(1+Inputs!$B$18)^(AH$7-1)*1</f>
        <v>-7000</v>
      </c>
      <c r="AI45" s="67" t="n">
        <f aca="false">-Inputs!$B$17*(1+Inputs!$B$18)^(AI$7-1)*1</f>
        <v>-7000</v>
      </c>
      <c r="AJ45" s="67" t="n">
        <f aca="false">-Inputs!$B$17*(1+Inputs!$B$18)^(AJ$7-1)*1</f>
        <v>-7000</v>
      </c>
      <c r="AK45" s="67" t="n">
        <f aca="false">-Inputs!$B$17*(1+Inputs!$B$18)^(AK$7-1)*1</f>
        <v>-7000</v>
      </c>
      <c r="AL45" s="67" t="n">
        <f aca="false">-Inputs!$B$17*(1+Inputs!$B$18)^(AL$7-1)*1</f>
        <v>-7000</v>
      </c>
    </row>
    <row r="46" customFormat="false" ht="15" hidden="false" customHeight="false" outlineLevel="0" collapsed="false">
      <c r="A46" s="6" t="s">
        <v>358</v>
      </c>
      <c r="C46" s="67" t="n">
        <f aca="false">-Inputs!$B$48*Inputs!$B$49/12*1</f>
        <v>-10666.6666666667</v>
      </c>
      <c r="D46" s="67" t="n">
        <f aca="false">-Inputs!$B$48*Inputs!$B$49/12*1</f>
        <v>-10666.6666666667</v>
      </c>
      <c r="E46" s="67" t="n">
        <f aca="false">-Inputs!$B$48*Inputs!$B$49/12*1</f>
        <v>-10666.6666666667</v>
      </c>
      <c r="F46" s="67" t="n">
        <f aca="false">-Inputs!$B$48*Inputs!$B$49/12*1</f>
        <v>-10666.6666666667</v>
      </c>
      <c r="G46" s="67" t="n">
        <f aca="false">-Inputs!$B$48*Inputs!$B$49/12*1</f>
        <v>-10666.6666666667</v>
      </c>
      <c r="H46" s="67" t="n">
        <f aca="false">-Inputs!$B$48*Inputs!$B$49/12*1</f>
        <v>-10666.6666666667</v>
      </c>
      <c r="I46" s="67" t="n">
        <f aca="false">-Inputs!$B$48*Inputs!$B$49/12*1</f>
        <v>-10666.6666666667</v>
      </c>
      <c r="J46" s="67" t="n">
        <f aca="false">-Inputs!$B$48*Inputs!$B$49/12*1</f>
        <v>-10666.6666666667</v>
      </c>
      <c r="K46" s="67" t="n">
        <f aca="false">-Inputs!$B$48*Inputs!$B$49/12*1</f>
        <v>-10666.6666666667</v>
      </c>
      <c r="L46" s="67" t="n">
        <f aca="false">-Inputs!$B$48*Inputs!$B$49/12*1</f>
        <v>-10666.6666666667</v>
      </c>
      <c r="M46" s="67" t="n">
        <f aca="false">-Inputs!$B$48*Inputs!$B$49/12*1</f>
        <v>-10666.6666666667</v>
      </c>
      <c r="N46" s="67" t="n">
        <f aca="false">-Inputs!$B$48*Inputs!$B$49/12*1</f>
        <v>-10666.6666666667</v>
      </c>
      <c r="O46" s="67" t="n">
        <f aca="false">-Inputs!$B$48*Inputs!$B$49/12*1</f>
        <v>-10666.6666666667</v>
      </c>
      <c r="P46" s="67" t="n">
        <f aca="false">-Inputs!$B$48*Inputs!$B$49/12*1</f>
        <v>-10666.6666666667</v>
      </c>
      <c r="Q46" s="67" t="n">
        <f aca="false">-Inputs!$B$48*Inputs!$B$49/12*1</f>
        <v>-10666.6666666667</v>
      </c>
      <c r="R46" s="67" t="n">
        <f aca="false">-Inputs!$B$48*Inputs!$B$49/12*1</f>
        <v>-10666.6666666667</v>
      </c>
      <c r="S46" s="67" t="n">
        <f aca="false">-Inputs!$B$48*Inputs!$B$49/12*1</f>
        <v>-10666.6666666667</v>
      </c>
      <c r="T46" s="67" t="n">
        <f aca="false">-Inputs!$B$48*Inputs!$B$49/12*1</f>
        <v>-10666.6666666667</v>
      </c>
      <c r="U46" s="67" t="n">
        <f aca="false">-Inputs!$B$48*Inputs!$B$49/12*1</f>
        <v>-10666.6666666667</v>
      </c>
      <c r="V46" s="67" t="n">
        <f aca="false">-Inputs!$B$48*Inputs!$B$49/12*1</f>
        <v>-10666.6666666667</v>
      </c>
      <c r="W46" s="67" t="n">
        <f aca="false">-Inputs!$B$48*Inputs!$B$49/12*1</f>
        <v>-10666.6666666667</v>
      </c>
      <c r="X46" s="67" t="n">
        <f aca="false">-Inputs!$B$48*Inputs!$B$49/12*1</f>
        <v>-10666.6666666667</v>
      </c>
      <c r="Y46" s="67" t="n">
        <f aca="false">-Inputs!$B$48*Inputs!$B$49/12*1</f>
        <v>-10666.6666666667</v>
      </c>
      <c r="Z46" s="67" t="n">
        <f aca="false">-Inputs!$B$48*Inputs!$B$49/12*1</f>
        <v>-10666.6666666667</v>
      </c>
      <c r="AA46" s="67" t="n">
        <f aca="false">-Inputs!$B$48*Inputs!$B$49/12*1</f>
        <v>-10666.6666666667</v>
      </c>
      <c r="AB46" s="67" t="n">
        <f aca="false">-Inputs!$B$48*Inputs!$B$49/12*1</f>
        <v>-10666.6666666667</v>
      </c>
      <c r="AC46" s="67" t="n">
        <f aca="false">-Inputs!$B$48*Inputs!$B$49/12*1</f>
        <v>-10666.6666666667</v>
      </c>
      <c r="AD46" s="67" t="n">
        <f aca="false">-Inputs!$B$48*Inputs!$B$49/12*1</f>
        <v>-10666.6666666667</v>
      </c>
      <c r="AE46" s="67" t="n">
        <f aca="false">-Inputs!$B$48*Inputs!$B$49/12*1</f>
        <v>-10666.6666666667</v>
      </c>
      <c r="AF46" s="67" t="n">
        <f aca="false">-Inputs!$B$48*Inputs!$B$49/12*1</f>
        <v>-10666.6666666667</v>
      </c>
      <c r="AG46" s="67" t="n">
        <f aca="false">-Inputs!$B$48*Inputs!$B$49/12*1</f>
        <v>-10666.6666666667</v>
      </c>
      <c r="AH46" s="67" t="n">
        <f aca="false">-Inputs!$B$48*Inputs!$B$49/12*1</f>
        <v>-10666.6666666667</v>
      </c>
      <c r="AI46" s="67" t="n">
        <f aca="false">-Inputs!$B$48*Inputs!$B$49/12*1</f>
        <v>-10666.6666666667</v>
      </c>
      <c r="AJ46" s="67" t="n">
        <f aca="false">-Inputs!$B$48*Inputs!$B$49/12*1</f>
        <v>-10666.6666666667</v>
      </c>
      <c r="AK46" s="67" t="n">
        <f aca="false">-Inputs!$B$48*Inputs!$B$49/12*1</f>
        <v>-10666.6666666667</v>
      </c>
      <c r="AL46" s="67" t="n">
        <f aca="false">-Inputs!$B$48*Inputs!$B$49/12*1</f>
        <v>-10666.6666666667</v>
      </c>
    </row>
    <row r="47" customFormat="false" ht="15" hidden="false" customHeight="false" outlineLevel="0" collapsed="false">
      <c r="A47" s="6" t="s">
        <v>359</v>
      </c>
      <c r="C47" s="67" t="n">
        <f aca="false">-Inputs!$B$41*1</f>
        <v>-1800</v>
      </c>
      <c r="D47" s="67" t="n">
        <f aca="false">-Inputs!$B$41*1</f>
        <v>-1800</v>
      </c>
      <c r="E47" s="67" t="n">
        <f aca="false">-Inputs!$B$41*1</f>
        <v>-1800</v>
      </c>
      <c r="F47" s="67" t="n">
        <f aca="false">-Inputs!$B$41*1</f>
        <v>-1800</v>
      </c>
      <c r="G47" s="67" t="n">
        <f aca="false">-Inputs!$B$41*1</f>
        <v>-1800</v>
      </c>
      <c r="H47" s="67" t="n">
        <f aca="false">-Inputs!$B$41*1</f>
        <v>-1800</v>
      </c>
      <c r="I47" s="67" t="n">
        <f aca="false">-Inputs!$B$41*1</f>
        <v>-1800</v>
      </c>
      <c r="J47" s="67" t="n">
        <f aca="false">-Inputs!$B$41*1</f>
        <v>-1800</v>
      </c>
      <c r="K47" s="67" t="n">
        <f aca="false">-Inputs!$B$41*1</f>
        <v>-1800</v>
      </c>
      <c r="L47" s="67" t="n">
        <f aca="false">-Inputs!$B$41*1</f>
        <v>-1800</v>
      </c>
      <c r="M47" s="67" t="n">
        <f aca="false">-Inputs!$B$41*1</f>
        <v>-1800</v>
      </c>
      <c r="N47" s="67" t="n">
        <f aca="false">-Inputs!$B$41*1</f>
        <v>-1800</v>
      </c>
      <c r="O47" s="67" t="n">
        <f aca="false">-Inputs!$B$41*1</f>
        <v>-1800</v>
      </c>
      <c r="P47" s="67" t="n">
        <f aca="false">-Inputs!$B$41*1</f>
        <v>-1800</v>
      </c>
      <c r="Q47" s="67" t="n">
        <f aca="false">-Inputs!$B$41*1</f>
        <v>-1800</v>
      </c>
      <c r="R47" s="67" t="n">
        <f aca="false">-Inputs!$B$41*1</f>
        <v>-1800</v>
      </c>
      <c r="S47" s="67" t="n">
        <f aca="false">-Inputs!$B$41*1</f>
        <v>-1800</v>
      </c>
      <c r="T47" s="67" t="n">
        <f aca="false">-Inputs!$B$41*1</f>
        <v>-1800</v>
      </c>
      <c r="U47" s="67" t="n">
        <f aca="false">-Inputs!$B$41*1</f>
        <v>-1800</v>
      </c>
      <c r="V47" s="67" t="n">
        <f aca="false">-Inputs!$B$41*1</f>
        <v>-1800</v>
      </c>
      <c r="W47" s="67" t="n">
        <f aca="false">-Inputs!$B$41*1</f>
        <v>-1800</v>
      </c>
      <c r="X47" s="67" t="n">
        <f aca="false">-Inputs!$B$41*1</f>
        <v>-1800</v>
      </c>
      <c r="Y47" s="67" t="n">
        <f aca="false">-Inputs!$B$41*1</f>
        <v>-1800</v>
      </c>
      <c r="Z47" s="67" t="n">
        <f aca="false">-Inputs!$B$41*1</f>
        <v>-1800</v>
      </c>
      <c r="AA47" s="67" t="n">
        <f aca="false">-Inputs!$B$41*1</f>
        <v>-1800</v>
      </c>
      <c r="AB47" s="67" t="n">
        <f aca="false">-Inputs!$B$41*1</f>
        <v>-1800</v>
      </c>
      <c r="AC47" s="67" t="n">
        <f aca="false">-Inputs!$B$41*1</f>
        <v>-1800</v>
      </c>
      <c r="AD47" s="67" t="n">
        <f aca="false">-Inputs!$B$41*1</f>
        <v>-1800</v>
      </c>
      <c r="AE47" s="67" t="n">
        <f aca="false">-Inputs!$B$41*1</f>
        <v>-1800</v>
      </c>
      <c r="AF47" s="67" t="n">
        <f aca="false">-Inputs!$B$41*1</f>
        <v>-1800</v>
      </c>
      <c r="AG47" s="67" t="n">
        <f aca="false">-Inputs!$B$41*1</f>
        <v>-1800</v>
      </c>
      <c r="AH47" s="67" t="n">
        <f aca="false">-Inputs!$B$41*1</f>
        <v>-1800</v>
      </c>
      <c r="AI47" s="67" t="n">
        <f aca="false">-Inputs!$B$41*1</f>
        <v>-1800</v>
      </c>
      <c r="AJ47" s="67" t="n">
        <f aca="false">-Inputs!$B$41*1</f>
        <v>-1800</v>
      </c>
      <c r="AK47" s="67" t="n">
        <f aca="false">-Inputs!$B$41*1</f>
        <v>-1800</v>
      </c>
      <c r="AL47" s="67" t="n">
        <f aca="false">-Inputs!$B$41*1</f>
        <v>-1800</v>
      </c>
    </row>
    <row r="48" customFormat="false" ht="15" hidden="false" customHeight="false" outlineLevel="0" collapsed="false">
      <c r="A48" s="6" t="s">
        <v>360</v>
      </c>
      <c r="C48" s="67" t="n">
        <f aca="false">-Inputs!$B$42*1</f>
        <v>-1300</v>
      </c>
      <c r="D48" s="67" t="n">
        <f aca="false">-Inputs!$B$42*1</f>
        <v>-1300</v>
      </c>
      <c r="E48" s="67" t="n">
        <f aca="false">-Inputs!$B$42*1</f>
        <v>-1300</v>
      </c>
      <c r="F48" s="67" t="n">
        <f aca="false">-Inputs!$B$42*1</f>
        <v>-1300</v>
      </c>
      <c r="G48" s="67" t="n">
        <f aca="false">-Inputs!$B$42*1</f>
        <v>-1300</v>
      </c>
      <c r="H48" s="67" t="n">
        <f aca="false">-Inputs!$B$42*1</f>
        <v>-1300</v>
      </c>
      <c r="I48" s="67" t="n">
        <f aca="false">-Inputs!$B$42*1</f>
        <v>-1300</v>
      </c>
      <c r="J48" s="67" t="n">
        <f aca="false">-Inputs!$B$42*1</f>
        <v>-1300</v>
      </c>
      <c r="K48" s="67" t="n">
        <f aca="false">-Inputs!$B$42*1</f>
        <v>-1300</v>
      </c>
      <c r="L48" s="67" t="n">
        <f aca="false">-Inputs!$B$42*1</f>
        <v>-1300</v>
      </c>
      <c r="M48" s="67" t="n">
        <f aca="false">-Inputs!$B$42*1</f>
        <v>-1300</v>
      </c>
      <c r="N48" s="67" t="n">
        <f aca="false">-Inputs!$B$42*1</f>
        <v>-1300</v>
      </c>
      <c r="O48" s="67" t="n">
        <f aca="false">-Inputs!$B$42*1</f>
        <v>-1300</v>
      </c>
      <c r="P48" s="67" t="n">
        <f aca="false">-Inputs!$B$42*1</f>
        <v>-1300</v>
      </c>
      <c r="Q48" s="67" t="n">
        <f aca="false">-Inputs!$B$42*1</f>
        <v>-1300</v>
      </c>
      <c r="R48" s="67" t="n">
        <f aca="false">-Inputs!$B$42*1</f>
        <v>-1300</v>
      </c>
      <c r="S48" s="67" t="n">
        <f aca="false">-Inputs!$B$42*1</f>
        <v>-1300</v>
      </c>
      <c r="T48" s="67" t="n">
        <f aca="false">-Inputs!$B$42*1</f>
        <v>-1300</v>
      </c>
      <c r="U48" s="67" t="n">
        <f aca="false">-Inputs!$B$42*1</f>
        <v>-1300</v>
      </c>
      <c r="V48" s="67" t="n">
        <f aca="false">-Inputs!$B$42*1</f>
        <v>-1300</v>
      </c>
      <c r="W48" s="67" t="n">
        <f aca="false">-Inputs!$B$42*1</f>
        <v>-1300</v>
      </c>
      <c r="X48" s="67" t="n">
        <f aca="false">-Inputs!$B$42*1</f>
        <v>-1300</v>
      </c>
      <c r="Y48" s="67" t="n">
        <f aca="false">-Inputs!$B$42*1</f>
        <v>-1300</v>
      </c>
      <c r="Z48" s="67" t="n">
        <f aca="false">-Inputs!$B$42*1</f>
        <v>-1300</v>
      </c>
      <c r="AA48" s="67" t="n">
        <f aca="false">-Inputs!$B$42*1</f>
        <v>-1300</v>
      </c>
      <c r="AB48" s="67" t="n">
        <f aca="false">-Inputs!$B$42*1</f>
        <v>-1300</v>
      </c>
      <c r="AC48" s="67" t="n">
        <f aca="false">-Inputs!$B$42*1</f>
        <v>-1300</v>
      </c>
      <c r="AD48" s="67" t="n">
        <f aca="false">-Inputs!$B$42*1</f>
        <v>-1300</v>
      </c>
      <c r="AE48" s="67" t="n">
        <f aca="false">-Inputs!$B$42*1</f>
        <v>-1300</v>
      </c>
      <c r="AF48" s="67" t="n">
        <f aca="false">-Inputs!$B$42*1</f>
        <v>-1300</v>
      </c>
      <c r="AG48" s="67" t="n">
        <f aca="false">-Inputs!$B$42*1</f>
        <v>-1300</v>
      </c>
      <c r="AH48" s="67" t="n">
        <f aca="false">-Inputs!$B$42*1</f>
        <v>-1300</v>
      </c>
      <c r="AI48" s="67" t="n">
        <f aca="false">-Inputs!$B$42*1</f>
        <v>-1300</v>
      </c>
      <c r="AJ48" s="67" t="n">
        <f aca="false">-Inputs!$B$42*1</f>
        <v>-1300</v>
      </c>
      <c r="AK48" s="67" t="n">
        <f aca="false">-Inputs!$B$42*1</f>
        <v>-1300</v>
      </c>
      <c r="AL48" s="67" t="n">
        <f aca="false">-Inputs!$B$42*1</f>
        <v>-1300</v>
      </c>
    </row>
    <row r="49" customFormat="false" ht="15" hidden="false" customHeight="false" outlineLevel="0" collapsed="false">
      <c r="A49" s="6" t="s">
        <v>361</v>
      </c>
      <c r="C49" s="67" t="n">
        <f aca="false">-Inputs!$B$43*1</f>
        <v>-1100</v>
      </c>
      <c r="D49" s="67" t="n">
        <f aca="false">-Inputs!$B$43*1</f>
        <v>-1100</v>
      </c>
      <c r="E49" s="67" t="n">
        <f aca="false">-Inputs!$B$43*1</f>
        <v>-1100</v>
      </c>
      <c r="F49" s="67" t="n">
        <f aca="false">-Inputs!$B$43*1</f>
        <v>-1100</v>
      </c>
      <c r="G49" s="67" t="n">
        <f aca="false">-Inputs!$B$43*1</f>
        <v>-1100</v>
      </c>
      <c r="H49" s="67" t="n">
        <f aca="false">-Inputs!$B$43*1</f>
        <v>-1100</v>
      </c>
      <c r="I49" s="67" t="n">
        <f aca="false">-Inputs!$B$43*1</f>
        <v>-1100</v>
      </c>
      <c r="J49" s="67" t="n">
        <f aca="false">-Inputs!$B$43*1</f>
        <v>-1100</v>
      </c>
      <c r="K49" s="67" t="n">
        <f aca="false">-Inputs!$B$43*1</f>
        <v>-1100</v>
      </c>
      <c r="L49" s="67" t="n">
        <f aca="false">-Inputs!$B$43*1</f>
        <v>-1100</v>
      </c>
      <c r="M49" s="67" t="n">
        <f aca="false">-Inputs!$B$43*1</f>
        <v>-1100</v>
      </c>
      <c r="N49" s="67" t="n">
        <f aca="false">-Inputs!$B$43*1</f>
        <v>-1100</v>
      </c>
      <c r="O49" s="67" t="n">
        <f aca="false">-Inputs!$B$43*1</f>
        <v>-1100</v>
      </c>
      <c r="P49" s="67" t="n">
        <f aca="false">-Inputs!$B$43*1</f>
        <v>-1100</v>
      </c>
      <c r="Q49" s="67" t="n">
        <f aca="false">-Inputs!$B$43*1</f>
        <v>-1100</v>
      </c>
      <c r="R49" s="67" t="n">
        <f aca="false">-Inputs!$B$43*1</f>
        <v>-1100</v>
      </c>
      <c r="S49" s="67" t="n">
        <f aca="false">-Inputs!$B$43*1</f>
        <v>-1100</v>
      </c>
      <c r="T49" s="67" t="n">
        <f aca="false">-Inputs!$B$43*1</f>
        <v>-1100</v>
      </c>
      <c r="U49" s="67" t="n">
        <f aca="false">-Inputs!$B$43*1</f>
        <v>-1100</v>
      </c>
      <c r="V49" s="67" t="n">
        <f aca="false">-Inputs!$B$43*1</f>
        <v>-1100</v>
      </c>
      <c r="W49" s="67" t="n">
        <f aca="false">-Inputs!$B$43*1</f>
        <v>-1100</v>
      </c>
      <c r="X49" s="67" t="n">
        <f aca="false">-Inputs!$B$43*1</f>
        <v>-1100</v>
      </c>
      <c r="Y49" s="67" t="n">
        <f aca="false">-Inputs!$B$43*1</f>
        <v>-1100</v>
      </c>
      <c r="Z49" s="67" t="n">
        <f aca="false">-Inputs!$B$43*1</f>
        <v>-1100</v>
      </c>
      <c r="AA49" s="67" t="n">
        <f aca="false">-Inputs!$B$43*1</f>
        <v>-1100</v>
      </c>
      <c r="AB49" s="67" t="n">
        <f aca="false">-Inputs!$B$43*1</f>
        <v>-1100</v>
      </c>
      <c r="AC49" s="67" t="n">
        <f aca="false">-Inputs!$B$43*1</f>
        <v>-1100</v>
      </c>
      <c r="AD49" s="67" t="n">
        <f aca="false">-Inputs!$B$43*1</f>
        <v>-1100</v>
      </c>
      <c r="AE49" s="67" t="n">
        <f aca="false">-Inputs!$B$43*1</f>
        <v>-1100</v>
      </c>
      <c r="AF49" s="67" t="n">
        <f aca="false">-Inputs!$B$43*1</f>
        <v>-1100</v>
      </c>
      <c r="AG49" s="67" t="n">
        <f aca="false">-Inputs!$B$43*1</f>
        <v>-1100</v>
      </c>
      <c r="AH49" s="67" t="n">
        <f aca="false">-Inputs!$B$43*1</f>
        <v>-1100</v>
      </c>
      <c r="AI49" s="67" t="n">
        <f aca="false">-Inputs!$B$43*1</f>
        <v>-1100</v>
      </c>
      <c r="AJ49" s="67" t="n">
        <f aca="false">-Inputs!$B$43*1</f>
        <v>-1100</v>
      </c>
      <c r="AK49" s="67" t="n">
        <f aca="false">-Inputs!$B$43*1</f>
        <v>-1100</v>
      </c>
      <c r="AL49" s="67" t="n">
        <f aca="false">-Inputs!$B$43*1</f>
        <v>-1100</v>
      </c>
    </row>
    <row r="50" customFormat="false" ht="15" hidden="false" customHeight="false" outlineLevel="0" collapsed="false">
      <c r="A50" s="6" t="s">
        <v>362</v>
      </c>
      <c r="C50" s="67" t="n">
        <f aca="false">-Inputs!$B$44*1</f>
        <v>-1400</v>
      </c>
      <c r="D50" s="67" t="n">
        <f aca="false">-Inputs!$B$44*1</f>
        <v>-1400</v>
      </c>
      <c r="E50" s="67" t="n">
        <f aca="false">-Inputs!$B$44*1</f>
        <v>-1400</v>
      </c>
      <c r="F50" s="67" t="n">
        <f aca="false">-Inputs!$B$44*1</f>
        <v>-1400</v>
      </c>
      <c r="G50" s="67" t="n">
        <f aca="false">-Inputs!$B$44*1</f>
        <v>-1400</v>
      </c>
      <c r="H50" s="67" t="n">
        <f aca="false">-Inputs!$B$44*1</f>
        <v>-1400</v>
      </c>
      <c r="I50" s="67" t="n">
        <f aca="false">-Inputs!$B$44*1</f>
        <v>-1400</v>
      </c>
      <c r="J50" s="67" t="n">
        <f aca="false">-Inputs!$B$44*1</f>
        <v>-1400</v>
      </c>
      <c r="K50" s="67" t="n">
        <f aca="false">-Inputs!$B$44*1</f>
        <v>-1400</v>
      </c>
      <c r="L50" s="67" t="n">
        <f aca="false">-Inputs!$B$44*1</f>
        <v>-1400</v>
      </c>
      <c r="M50" s="67" t="n">
        <f aca="false">-Inputs!$B$44*1</f>
        <v>-1400</v>
      </c>
      <c r="N50" s="67" t="n">
        <f aca="false">-Inputs!$B$44*1</f>
        <v>-1400</v>
      </c>
      <c r="O50" s="67" t="n">
        <f aca="false">-Inputs!$B$44*1</f>
        <v>-1400</v>
      </c>
      <c r="P50" s="67" t="n">
        <f aca="false">-Inputs!$B$44*1</f>
        <v>-1400</v>
      </c>
      <c r="Q50" s="67" t="n">
        <f aca="false">-Inputs!$B$44*1</f>
        <v>-1400</v>
      </c>
      <c r="R50" s="67" t="n">
        <f aca="false">-Inputs!$B$44*1</f>
        <v>-1400</v>
      </c>
      <c r="S50" s="67" t="n">
        <f aca="false">-Inputs!$B$44*1</f>
        <v>-1400</v>
      </c>
      <c r="T50" s="67" t="n">
        <f aca="false">-Inputs!$B$44*1</f>
        <v>-1400</v>
      </c>
      <c r="U50" s="67" t="n">
        <f aca="false">-Inputs!$B$44*1</f>
        <v>-1400</v>
      </c>
      <c r="V50" s="67" t="n">
        <f aca="false">-Inputs!$B$44*1</f>
        <v>-1400</v>
      </c>
      <c r="W50" s="67" t="n">
        <f aca="false">-Inputs!$B$44*1</f>
        <v>-1400</v>
      </c>
      <c r="X50" s="67" t="n">
        <f aca="false">-Inputs!$B$44*1</f>
        <v>-1400</v>
      </c>
      <c r="Y50" s="67" t="n">
        <f aca="false">-Inputs!$B$44*1</f>
        <v>-1400</v>
      </c>
      <c r="Z50" s="67" t="n">
        <f aca="false">-Inputs!$B$44*1</f>
        <v>-1400</v>
      </c>
      <c r="AA50" s="67" t="n">
        <f aca="false">-Inputs!$B$44*1</f>
        <v>-1400</v>
      </c>
      <c r="AB50" s="67" t="n">
        <f aca="false">-Inputs!$B$44*1</f>
        <v>-1400</v>
      </c>
      <c r="AC50" s="67" t="n">
        <f aca="false">-Inputs!$B$44*1</f>
        <v>-1400</v>
      </c>
      <c r="AD50" s="67" t="n">
        <f aca="false">-Inputs!$B$44*1</f>
        <v>-1400</v>
      </c>
      <c r="AE50" s="67" t="n">
        <f aca="false">-Inputs!$B$44*1</f>
        <v>-1400</v>
      </c>
      <c r="AF50" s="67" t="n">
        <f aca="false">-Inputs!$B$44*1</f>
        <v>-1400</v>
      </c>
      <c r="AG50" s="67" t="n">
        <f aca="false">-Inputs!$B$44*1</f>
        <v>-1400</v>
      </c>
      <c r="AH50" s="67" t="n">
        <f aca="false">-Inputs!$B$44*1</f>
        <v>-1400</v>
      </c>
      <c r="AI50" s="67" t="n">
        <f aca="false">-Inputs!$B$44*1</f>
        <v>-1400</v>
      </c>
      <c r="AJ50" s="67" t="n">
        <f aca="false">-Inputs!$B$44*1</f>
        <v>-1400</v>
      </c>
      <c r="AK50" s="67" t="n">
        <f aca="false">-Inputs!$B$44*1</f>
        <v>-1400</v>
      </c>
      <c r="AL50" s="67" t="n">
        <f aca="false">-Inputs!$B$44*1</f>
        <v>-1400</v>
      </c>
    </row>
    <row r="51" customFormat="false" ht="15" hidden="false" customHeight="false" outlineLevel="0" collapsed="false">
      <c r="A51" s="6" t="s">
        <v>363</v>
      </c>
      <c r="C51" s="67" t="n">
        <f aca="false">-Inputs!$B$45*1</f>
        <v>-3000</v>
      </c>
      <c r="D51" s="67" t="n">
        <f aca="false">-Inputs!$B$45*1</f>
        <v>-3000</v>
      </c>
      <c r="E51" s="67" t="n">
        <f aca="false">-Inputs!$B$45*1</f>
        <v>-3000</v>
      </c>
      <c r="F51" s="67" t="n">
        <f aca="false">-Inputs!$B$45*1</f>
        <v>-3000</v>
      </c>
      <c r="G51" s="67" t="n">
        <f aca="false">-Inputs!$B$45*1</f>
        <v>-3000</v>
      </c>
      <c r="H51" s="67" t="n">
        <f aca="false">-Inputs!$B$45*1</f>
        <v>-3000</v>
      </c>
      <c r="I51" s="67" t="n">
        <f aca="false">-Inputs!$B$45*1</f>
        <v>-3000</v>
      </c>
      <c r="J51" s="67" t="n">
        <f aca="false">-Inputs!$B$45*1</f>
        <v>-3000</v>
      </c>
      <c r="K51" s="67" t="n">
        <f aca="false">-Inputs!$B$45*1</f>
        <v>-3000</v>
      </c>
      <c r="L51" s="67" t="n">
        <f aca="false">-Inputs!$B$45*1</f>
        <v>-3000</v>
      </c>
      <c r="M51" s="67" t="n">
        <f aca="false">-Inputs!$B$45*1</f>
        <v>-3000</v>
      </c>
      <c r="N51" s="67" t="n">
        <f aca="false">-Inputs!$B$45*1</f>
        <v>-3000</v>
      </c>
      <c r="O51" s="67" t="n">
        <f aca="false">-Inputs!$B$45*1</f>
        <v>-3000</v>
      </c>
      <c r="P51" s="67" t="n">
        <f aca="false">-Inputs!$B$45*1</f>
        <v>-3000</v>
      </c>
      <c r="Q51" s="67" t="n">
        <f aca="false">-Inputs!$B$45*1</f>
        <v>-3000</v>
      </c>
      <c r="R51" s="67" t="n">
        <f aca="false">-Inputs!$B$45*1</f>
        <v>-3000</v>
      </c>
      <c r="S51" s="67" t="n">
        <f aca="false">-Inputs!$B$45*1</f>
        <v>-3000</v>
      </c>
      <c r="T51" s="67" t="n">
        <f aca="false">-Inputs!$B$45*1</f>
        <v>-3000</v>
      </c>
      <c r="U51" s="67" t="n">
        <f aca="false">-Inputs!$B$45*1</f>
        <v>-3000</v>
      </c>
      <c r="V51" s="67" t="n">
        <f aca="false">-Inputs!$B$45*1</f>
        <v>-3000</v>
      </c>
      <c r="W51" s="67" t="n">
        <f aca="false">-Inputs!$B$45*1</f>
        <v>-3000</v>
      </c>
      <c r="X51" s="67" t="n">
        <f aca="false">-Inputs!$B$45*1</f>
        <v>-3000</v>
      </c>
      <c r="Y51" s="67" t="n">
        <f aca="false">-Inputs!$B$45*1</f>
        <v>-3000</v>
      </c>
      <c r="Z51" s="67" t="n">
        <f aca="false">-Inputs!$B$45*1</f>
        <v>-3000</v>
      </c>
      <c r="AA51" s="67" t="n">
        <f aca="false">-Inputs!$B$45*1</f>
        <v>-3000</v>
      </c>
      <c r="AB51" s="67" t="n">
        <f aca="false">-Inputs!$B$45*1</f>
        <v>-3000</v>
      </c>
      <c r="AC51" s="67" t="n">
        <f aca="false">-Inputs!$B$45*1</f>
        <v>-3000</v>
      </c>
      <c r="AD51" s="67" t="n">
        <f aca="false">-Inputs!$B$45*1</f>
        <v>-3000</v>
      </c>
      <c r="AE51" s="67" t="n">
        <f aca="false">-Inputs!$B$45*1</f>
        <v>-3000</v>
      </c>
      <c r="AF51" s="67" t="n">
        <f aca="false">-Inputs!$B$45*1</f>
        <v>-3000</v>
      </c>
      <c r="AG51" s="67" t="n">
        <f aca="false">-Inputs!$B$45*1</f>
        <v>-3000</v>
      </c>
      <c r="AH51" s="67" t="n">
        <f aca="false">-Inputs!$B$45*1</f>
        <v>-3000</v>
      </c>
      <c r="AI51" s="67" t="n">
        <f aca="false">-Inputs!$B$45*1</f>
        <v>-3000</v>
      </c>
      <c r="AJ51" s="67" t="n">
        <f aca="false">-Inputs!$B$45*1</f>
        <v>-3000</v>
      </c>
      <c r="AK51" s="67" t="n">
        <f aca="false">-Inputs!$B$45*1</f>
        <v>-3000</v>
      </c>
      <c r="AL51" s="67" t="n">
        <f aca="false">-Inputs!$B$45*1</f>
        <v>-3000</v>
      </c>
    </row>
    <row r="52" customFormat="false" ht="15" hidden="false" customHeight="false" outlineLevel="0" collapsed="false">
      <c r="A52" s="111" t="s">
        <v>76</v>
      </c>
      <c r="C52" s="68" t="n">
        <f aca="false">C43+C44+C45+C46+C47+C48+C49+C50+C51</f>
        <v>-115270.581519831</v>
      </c>
      <c r="D52" s="68" t="n">
        <f aca="false">D43+D44+D45+D46+D47+D48+D49+D50+D51</f>
        <v>-115292.711378457</v>
      </c>
      <c r="E52" s="68" t="n">
        <f aca="false">E43+E44+E45+E46+E47+E48+E49+E50+E51</f>
        <v>-115314.487159345</v>
      </c>
      <c r="F52" s="68" t="n">
        <f aca="false">F43+F44+F45+F46+F47+F48+F49+F50+F51</f>
        <v>-115335.914527738</v>
      </c>
      <c r="G52" s="68" t="n">
        <f aca="false">G43+G44+G45+G46+G47+G48+G49+G50+G51</f>
        <v>-115356.999058238</v>
      </c>
      <c r="H52" s="68" t="n">
        <f aca="false">H43+H44+H45+H46+H47+H48+H49+H50+H51</f>
        <v>-115377.746236249</v>
      </c>
      <c r="I52" s="68" t="n">
        <f aca="false">I43+I44+I45+I46+I47+I48+I49+I50+I51</f>
        <v>-115398.161459412</v>
      </c>
      <c r="J52" s="68" t="n">
        <f aca="false">J43+J44+J45+J46+J47+J48+J49+J50+J51</f>
        <v>-115418.250039004</v>
      </c>
      <c r="K52" s="68" t="n">
        <f aca="false">K43+K44+K45+K46+K47+K48+K49+K50+K51</f>
        <v>-115438.017201323</v>
      </c>
      <c r="L52" s="68" t="n">
        <f aca="false">L43+L44+L45+L46+L47+L48+L49+L50+L51</f>
        <v>-115457.468089045</v>
      </c>
      <c r="M52" s="68" t="n">
        <f aca="false">M43+M44+M45+M46+M47+M48+M49+M50+M51</f>
        <v>-115476.607762564</v>
      </c>
      <c r="N52" s="68" t="n">
        <f aca="false">N43+N44+N45+N46+N47+N48+N49+N50+N51</f>
        <v>-115495.441201306</v>
      </c>
      <c r="O52" s="68" t="n">
        <f aca="false">O43+O44+O45+O46+O47+O48+O49+O50+O51</f>
        <v>-120970.982766884</v>
      </c>
      <c r="P52" s="68" t="n">
        <f aca="false">P43+P44+P45+P46+P47+P48+P49+P50+P51</f>
        <v>-120991.455063279</v>
      </c>
      <c r="Q52" s="68" t="n">
        <f aca="false">Q43+Q44+Q45+Q46+Q47+Q48+Q49+Q50+Q51</f>
        <v>-121011.599802932</v>
      </c>
      <c r="R52" s="68" t="n">
        <f aca="false">R43+R44+R45+R46+R47+R48+R49+R50+R51</f>
        <v>-121031.422226751</v>
      </c>
      <c r="S52" s="68" t="n">
        <f aca="false">S43+S44+S45+S46+S47+S48+S49+S50+S51</f>
        <v>-121050.927491788</v>
      </c>
      <c r="T52" s="68" t="n">
        <f aca="false">T43+T44+T45+T46+T47+T48+T49+T50+T51</f>
        <v>-121070.120672585</v>
      </c>
      <c r="U52" s="68" t="n">
        <f aca="false">U43+U44+U45+U46+U47+U48+U49+U50+U51</f>
        <v>-121089.006762489</v>
      </c>
      <c r="V52" s="68" t="n">
        <f aca="false">V43+V44+V45+V46+V47+V48+V49+V50+V51</f>
        <v>-121107.590674954</v>
      </c>
      <c r="W52" s="68" t="n">
        <f aca="false">W43+W44+W45+W46+W47+W48+W49+W50+W51</f>
        <v>-121125.87724482</v>
      </c>
      <c r="X52" s="68" t="n">
        <f aca="false">X43+X44+X45+X46+X47+X48+X49+X50+X51</f>
        <v>-121143.871229569</v>
      </c>
      <c r="Y52" s="68" t="n">
        <f aca="false">Y43+Y44+Y45+Y46+Y47+Y48+Y49+Y50+Y51</f>
        <v>-121161.577310561</v>
      </c>
      <c r="Z52" s="68" t="n">
        <f aca="false">Z43+Z44+Z45+Z46+Z47+Z48+Z49+Z50+Z51</f>
        <v>-121179.000094257</v>
      </c>
      <c r="AA52" s="68" t="n">
        <f aca="false">AA43+AA44+AA45+AA46+AA47+AA48+AA49+AA50+AA51</f>
        <v>-127057.485961224</v>
      </c>
      <c r="AB52" s="68" t="n">
        <f aca="false">AB43+AB44+AB45+AB46+AB47+AB48+AB49+AB50+AB51</f>
        <v>-127076.659787826</v>
      </c>
      <c r="AC52" s="68" t="n">
        <f aca="false">AC43+AC44+AC45+AC46+AC47+AC48+AC49+AC50+AC51</f>
        <v>-127095.526833203</v>
      </c>
      <c r="AD52" s="68" t="n">
        <f aca="false">AD43+AD44+AD45+AD46+AD47+AD48+AD49+AD50+AD51</f>
        <v>-127114.092005853</v>
      </c>
      <c r="AE52" s="68" t="n">
        <f aca="false">AE43+AE44+AE45+AE46+AE47+AE48+AE49+AE50+AE51</f>
        <v>-127132.360135742</v>
      </c>
      <c r="AF52" s="68" t="n">
        <f aca="false">AF43+AF44+AF45+AF46+AF47+AF48+AF49+AF50+AF51</f>
        <v>-127150.335975552</v>
      </c>
      <c r="AG52" s="68" t="n">
        <f aca="false">AG43+AG44+AG45+AG46+AG47+AG48+AG49+AG50+AG51</f>
        <v>-127168.024201925</v>
      </c>
      <c r="AH52" s="68" t="n">
        <f aca="false">AH43+AH44+AH45+AH46+AH47+AH48+AH49+AH50+AH51</f>
        <v>-127185.429416676</v>
      </c>
      <c r="AI52" s="68" t="n">
        <f aca="false">AI43+AI44+AI45+AI46+AI47+AI48+AI49+AI50+AI51</f>
        <v>-127202.556147991</v>
      </c>
      <c r="AJ52" s="68" t="n">
        <f aca="false">AJ43+AJ44+AJ45+AJ46+AJ47+AJ48+AJ49+AJ50+AJ51</f>
        <v>-127219.408851605</v>
      </c>
      <c r="AK52" s="68" t="n">
        <f aca="false">AK43+AK44+AK45+AK46+AK47+AK48+AK49+AK50+AK51</f>
        <v>-127235.991911962</v>
      </c>
      <c r="AL52" s="68" t="n">
        <f aca="false">AL43+AL44+AL45+AL46+AL47+AL48+AL49+AL50+AL51</f>
        <v>-127252.309643352</v>
      </c>
    </row>
    <row r="53" customFormat="false" ht="15" hidden="false" customHeight="false" outlineLevel="0" collapsed="false">
      <c r="A53" s="111" t="s">
        <v>48</v>
      </c>
      <c r="C53" s="68" t="n">
        <f aca="false">C40+C52</f>
        <v>-6962.94341586015</v>
      </c>
      <c r="D53" s="68" t="n">
        <f aca="false">D40+D52</f>
        <v>-6725.31529918627</v>
      </c>
      <c r="E53" s="68" t="n">
        <f aca="false">E40+E52</f>
        <v>-6491.4892323791</v>
      </c>
      <c r="F53" s="68" t="n">
        <f aca="false">F40+F52</f>
        <v>-6261.40438264086</v>
      </c>
      <c r="G53" s="68" t="n">
        <f aca="false">G40+G52</f>
        <v>-6035.00089049846</v>
      </c>
      <c r="H53" s="68" t="n">
        <f aca="false">H40+H52</f>
        <v>-5812.21985423031</v>
      </c>
      <c r="I53" s="68" t="n">
        <f aca="false">I40+I52</f>
        <v>-5593.00331454244</v>
      </c>
      <c r="J53" s="68" t="n">
        <f aca="false">J40+J52</f>
        <v>-5377.29423948961</v>
      </c>
      <c r="K53" s="68" t="n">
        <f aca="false">K40+K52</f>
        <v>-5165.03650963759</v>
      </c>
      <c r="L53" s="68" t="n">
        <f aca="false">L40+L52</f>
        <v>-4956.17490346322</v>
      </c>
      <c r="M53" s="68" t="n">
        <f aca="false">M40+M52</f>
        <v>-4750.65508298765</v>
      </c>
      <c r="N53" s="68" t="n">
        <f aca="false">N40+N52</f>
        <v>-4548.42357963967</v>
      </c>
      <c r="O53" s="68" t="n">
        <f aca="false">O40+O52</f>
        <v>-7445.2171727651</v>
      </c>
      <c r="P53" s="68" t="n">
        <f aca="false">P40+P52</f>
        <v>-7225.38778665585</v>
      </c>
      <c r="Q53" s="68" t="n">
        <f aca="false">Q40+Q52</f>
        <v>-7009.07567072433</v>
      </c>
      <c r="R53" s="68" t="n">
        <f aca="false">R40+R52</f>
        <v>-6796.22454864769</v>
      </c>
      <c r="S53" s="68" t="n">
        <f aca="false">S40+S52</f>
        <v>-6586.77904452433</v>
      </c>
      <c r="T53" s="68" t="n">
        <f aca="false">T40+T52</f>
        <v>-6380.68466846691</v>
      </c>
      <c r="U53" s="68" t="n">
        <f aca="false">U40+U52</f>
        <v>-6177.88780242644</v>
      </c>
      <c r="V53" s="68" t="n">
        <f aca="false">V40+V52</f>
        <v>-5978.33568624259</v>
      </c>
      <c r="W53" s="68" t="n">
        <f aca="false">W40+W52</f>
        <v>-5781.97640391768</v>
      </c>
      <c r="X53" s="68" t="n">
        <f aca="false">X40+X52</f>
        <v>-5588.75887011003</v>
      </c>
      <c r="Y53" s="68" t="n">
        <f aca="false">Y40+Y52</f>
        <v>-5398.63281684322</v>
      </c>
      <c r="Z53" s="68" t="n">
        <f aca="false">Z40+Z52</f>
        <v>-5211.54878042867</v>
      </c>
      <c r="AA53" s="68" t="n">
        <f aca="false">AA40+AA52</f>
        <v>-8420.51784152439</v>
      </c>
      <c r="AB53" s="68" t="n">
        <f aca="false">AB40+AB52</f>
        <v>-8214.63128879004</v>
      </c>
      <c r="AC53" s="68" t="n">
        <f aca="false">AC40+AC52</f>
        <v>-8012.0389208995</v>
      </c>
      <c r="AD53" s="68" t="n">
        <f aca="false">AD40+AD52</f>
        <v>-7812.68803089521</v>
      </c>
      <c r="AE53" s="68" t="n">
        <f aca="false">AE40+AE52</f>
        <v>-7616.52675513095</v>
      </c>
      <c r="AF53" s="68" t="n">
        <f aca="false">AF40+AF52</f>
        <v>-7423.50405977892</v>
      </c>
      <c r="AG53" s="68" t="n">
        <f aca="false">AG40+AG52</f>
        <v>-7233.56972755253</v>
      </c>
      <c r="AH53" s="68" t="n">
        <f aca="false">AH40+AH52</f>
        <v>-7046.67434464177</v>
      </c>
      <c r="AI53" s="68" t="n">
        <f aca="false">AI40+AI52</f>
        <v>-6862.76928785759</v>
      </c>
      <c r="AJ53" s="68" t="n">
        <f aca="false">AJ40+AJ52</f>
        <v>-6681.80671198193</v>
      </c>
      <c r="AK53" s="68" t="n">
        <f aca="false">AK40+AK52</f>
        <v>-6503.73953732029</v>
      </c>
      <c r="AL53" s="68" t="n">
        <f aca="false">AL40+AL52</f>
        <v>-6328.52143745325</v>
      </c>
    </row>
    <row r="55" customFormat="false" ht="15.75" hidden="false" customHeight="true" outlineLevel="0" collapsed="false">
      <c r="A55" s="7" t="s">
        <v>432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customFormat="false" ht="15" hidden="false" customHeight="false" outlineLevel="0" collapsed="false">
      <c r="A56" s="4" t="s">
        <v>78</v>
      </c>
      <c r="C56" s="73" t="n">
        <f aca="false">C53+C67</f>
        <v>-7700.24621958427</v>
      </c>
      <c r="D56" s="73" t="n">
        <f aca="false">D53+D67</f>
        <v>-7485.69000969373</v>
      </c>
      <c r="E56" s="73" t="n">
        <f aca="false">E53+E67</f>
        <v>-7274.98978993729</v>
      </c>
      <c r="F56" s="73" t="n">
        <f aca="false">F53+F67</f>
        <v>-7068.08386447293</v>
      </c>
      <c r="G56" s="73" t="n">
        <f aca="false">G53+G67</f>
        <v>-6864.91152459196</v>
      </c>
      <c r="H56" s="73" t="n">
        <f aca="false">H53+H67</f>
        <v>-6665.413032925</v>
      </c>
      <c r="I56" s="73" t="n">
        <f aca="false">I53+I67</f>
        <v>-6469.52960790064</v>
      </c>
      <c r="J56" s="73" t="n">
        <f aca="false">J53+J67</f>
        <v>-6277.20340845266</v>
      </c>
      <c r="K56" s="73" t="n">
        <f aca="false">K53+K67</f>
        <v>-6088.37751897174</v>
      </c>
      <c r="L56" s="73" t="n">
        <f aca="false">L53+L67</f>
        <v>-5902.99593449848</v>
      </c>
      <c r="M56" s="73" t="n">
        <f aca="false">M53+M67</f>
        <v>-5721.00354615274</v>
      </c>
      <c r="N56" s="73" t="n">
        <f aca="false">N53+N67</f>
        <v>-5542.34612679646</v>
      </c>
      <c r="O56" s="73" t="n">
        <f aca="false">O53+O67</f>
        <v>-8463.26316630451</v>
      </c>
      <c r="P56" s="73" t="n">
        <f aca="false">P53+P67</f>
        <v>-8267.60793801495</v>
      </c>
      <c r="Q56" s="73" t="n">
        <f aca="false">Q53+Q67</f>
        <v>-8075.51987995719</v>
      </c>
      <c r="R56" s="73" t="n">
        <f aca="false">R53+R67</f>
        <v>-7886.94191740752</v>
      </c>
      <c r="S56" s="73" t="n">
        <f aca="false">S53+S67</f>
        <v>-7701.81788883788</v>
      </c>
      <c r="T56" s="73" t="n">
        <f aca="false">T53+T67</f>
        <v>-7520.09253130452</v>
      </c>
      <c r="U56" s="73" t="n">
        <f aca="false">U53+U67</f>
        <v>-7341.71146607089</v>
      </c>
      <c r="V56" s="73" t="n">
        <f aca="false">V53+V67</f>
        <v>-7166.62118446017</v>
      </c>
      <c r="W56" s="73" t="n">
        <f aca="false">W53+W67</f>
        <v>-6994.76903393441</v>
      </c>
      <c r="X56" s="73" t="n">
        <f aca="false">X53+X67</f>
        <v>-6826.10320439631</v>
      </c>
      <c r="Y56" s="73" t="n">
        <f aca="false">Y53+Y67</f>
        <v>-6660.57271470992</v>
      </c>
      <c r="Z56" s="73" t="n">
        <f aca="false">Z53+Z67</f>
        <v>-6498.12739943768</v>
      </c>
      <c r="AA56" s="73" t="n">
        <f aca="false">AA53+AA67</f>
        <v>-9732.30390114349</v>
      </c>
      <c r="AB56" s="73" t="n">
        <f aca="false">AB53+AB67</f>
        <v>-9551.67228404775</v>
      </c>
      <c r="AC56" s="73" t="n">
        <f aca="false">AC53+AC67</f>
        <v>-9374.38158690388</v>
      </c>
      <c r="AD56" s="73" t="n">
        <f aca="false">AD53+AD67</f>
        <v>-9200.37835499257</v>
      </c>
      <c r="AE56" s="73" t="n">
        <f aca="false">AE53+AE67</f>
        <v>-9029.6099888701</v>
      </c>
      <c r="AF56" s="73" t="n">
        <f aca="false">AF53+AF67</f>
        <v>-8862.02473068385</v>
      </c>
      <c r="AG56" s="73" t="n">
        <f aca="false">AG53+AG67</f>
        <v>-8697.57165070687</v>
      </c>
      <c r="AH56" s="73" t="n">
        <f aca="false">AH53+AH67</f>
        <v>-8536.2006340878</v>
      </c>
      <c r="AI56" s="73" t="n">
        <f aca="false">AI53+AI67</f>
        <v>-8377.86236781293</v>
      </c>
      <c r="AJ56" s="73" t="n">
        <f aca="false">AJ53+AJ67</f>
        <v>-8222.5083278767</v>
      </c>
      <c r="AK56" s="73" t="n">
        <f aca="false">AK53+AK67</f>
        <v>-8070.09076665773</v>
      </c>
      <c r="AL56" s="73" t="n">
        <f aca="false">AL53+AL67</f>
        <v>-7920.56270049656</v>
      </c>
    </row>
    <row r="57" customFormat="false" ht="15" hidden="false" customHeight="false" outlineLevel="0" collapsed="false">
      <c r="A57" s="6" t="s">
        <v>433</v>
      </c>
      <c r="C57" s="67" t="n">
        <f aca="false">-(C72+C73+C75)/2*Inputs!$B$85/12</f>
        <v>-1062.5</v>
      </c>
      <c r="D57" s="67" t="n">
        <f aca="false">-(D72+D73+D75)/2*Inputs!$B$85/12</f>
        <v>-1056.1755952381</v>
      </c>
      <c r="E57" s="67" t="n">
        <f aca="false">-(E72+E73+E75)/2*Inputs!$B$85/12</f>
        <v>-1043.52678571429</v>
      </c>
      <c r="F57" s="67" t="n">
        <f aca="false">-(F72+F73+F75)/2*Inputs!$B$85/12</f>
        <v>-1030.87797619048</v>
      </c>
      <c r="G57" s="67" t="n">
        <f aca="false">-(G72+G73+G75)/2*Inputs!$B$85/12</f>
        <v>-1018.22916666667</v>
      </c>
      <c r="H57" s="67" t="n">
        <f aca="false">-(H72+H73+H75)/2*Inputs!$B$85/12</f>
        <v>-1005.58035714286</v>
      </c>
      <c r="I57" s="67" t="n">
        <f aca="false">-(I72+I73+I75)/2*Inputs!$B$85/12</f>
        <v>-992.931547619048</v>
      </c>
      <c r="J57" s="67" t="n">
        <f aca="false">-(J72+J73+J75)/2*Inputs!$B$85/12</f>
        <v>-980.282738095238</v>
      </c>
      <c r="K57" s="67" t="n">
        <f aca="false">-(K72+K73+K75)/2*Inputs!$B$85/12</f>
        <v>-967.633928571429</v>
      </c>
      <c r="L57" s="67" t="n">
        <f aca="false">-(L72+L73+L75)/2*Inputs!$B$85/12</f>
        <v>-954.985119047619</v>
      </c>
      <c r="M57" s="67" t="n">
        <f aca="false">-(M72+M73+M75)/2*Inputs!$B$85/12</f>
        <v>-942.33630952381</v>
      </c>
      <c r="N57" s="67" t="n">
        <f aca="false">-(N72+N73+N75)/2*Inputs!$B$85/12</f>
        <v>-929.6875</v>
      </c>
      <c r="O57" s="67" t="n">
        <f aca="false">-(O72+O73+O75)/2*Inputs!$B$85/12</f>
        <v>-917.03869047619</v>
      </c>
      <c r="P57" s="67" t="n">
        <f aca="false">-(P72+P73+P75)/2*Inputs!$B$85/12</f>
        <v>-904.389880952381</v>
      </c>
      <c r="Q57" s="67" t="n">
        <f aca="false">-(Q72+Q73+Q75)/2*Inputs!$B$85/12</f>
        <v>-891.741071428571</v>
      </c>
      <c r="R57" s="67" t="n">
        <f aca="false">-(R72+R73+R75)/2*Inputs!$B$85/12</f>
        <v>-879.092261904762</v>
      </c>
      <c r="S57" s="67" t="n">
        <f aca="false">-(S72+S73+S75)/2*Inputs!$B$85/12</f>
        <v>-866.443452380952</v>
      </c>
      <c r="T57" s="67" t="n">
        <f aca="false">-(T72+T73+T75)/2*Inputs!$B$85/12</f>
        <v>-853.794642857142</v>
      </c>
      <c r="U57" s="67" t="n">
        <f aca="false">-(U72+U73+U75)/2*Inputs!$B$85/12</f>
        <v>-841.145833333333</v>
      </c>
      <c r="V57" s="67" t="n">
        <f aca="false">-(V72+V73+V75)/2*Inputs!$B$85/12</f>
        <v>-828.497023809523</v>
      </c>
      <c r="W57" s="67" t="n">
        <f aca="false">-(W72+W73+W75)/2*Inputs!$B$85/12</f>
        <v>-815.848214285714</v>
      </c>
      <c r="X57" s="67" t="n">
        <f aca="false">-(X72+X73+X75)/2*Inputs!$B$85/12</f>
        <v>-803.199404761904</v>
      </c>
      <c r="Y57" s="67" t="n">
        <f aca="false">-(Y72+Y73+Y75)/2*Inputs!$B$85/12</f>
        <v>-790.550595238095</v>
      </c>
      <c r="Z57" s="67" t="n">
        <f aca="false">-(Z72+Z73+Z75)/2*Inputs!$B$85/12</f>
        <v>-777.901785714285</v>
      </c>
      <c r="AA57" s="67" t="n">
        <f aca="false">-(AA72+AA73+AA75)/2*Inputs!$B$85/12</f>
        <v>-765.252976190476</v>
      </c>
      <c r="AB57" s="67" t="n">
        <f aca="false">-(AB72+AB73+AB75)/2*Inputs!$B$85/12</f>
        <v>-752.604166666666</v>
      </c>
      <c r="AC57" s="67" t="n">
        <f aca="false">-(AC72+AC73+AC75)/2*Inputs!$B$85/12</f>
        <v>-739.955357142856</v>
      </c>
      <c r="AD57" s="67" t="n">
        <f aca="false">-(AD72+AD73+AD75)/2*Inputs!$B$85/12</f>
        <v>-727.306547619047</v>
      </c>
      <c r="AE57" s="67" t="n">
        <f aca="false">-(AE72+AE73+AE75)/2*Inputs!$B$85/12</f>
        <v>-714.657738095237</v>
      </c>
      <c r="AF57" s="67" t="n">
        <f aca="false">-(AF72+AF73+AF75)/2*Inputs!$B$85/12</f>
        <v>-702.008928571428</v>
      </c>
      <c r="AG57" s="67" t="n">
        <f aca="false">-(AG72+AG73+AG75)/2*Inputs!$B$85/12</f>
        <v>-689.360119047618</v>
      </c>
      <c r="AH57" s="67" t="n">
        <f aca="false">-(AH72+AH73+AH75)/2*Inputs!$B$85/12</f>
        <v>-676.711309523809</v>
      </c>
      <c r="AI57" s="67" t="n">
        <f aca="false">-(AI72+AI73+AI75)/2*Inputs!$B$85/12</f>
        <v>-664.062499999999</v>
      </c>
      <c r="AJ57" s="67" t="n">
        <f aca="false">-(AJ72+AJ73+AJ75)/2*Inputs!$B$85/12</f>
        <v>-651.41369047619</v>
      </c>
      <c r="AK57" s="67" t="n">
        <f aca="false">-(AK72+AK73+AK75)/2*Inputs!$B$85/12</f>
        <v>-638.76488095238</v>
      </c>
      <c r="AL57" s="67" t="n">
        <f aca="false">-(AL72+AL73+AL75)/2*Inputs!$B$85/12</f>
        <v>-626.11607142857</v>
      </c>
    </row>
    <row r="58" customFormat="false" ht="15" hidden="false" customHeight="false" outlineLevel="0" collapsed="false">
      <c r="A58" s="111" t="s">
        <v>80</v>
      </c>
      <c r="C58" s="68" t="n">
        <f aca="false">C56+C57</f>
        <v>-8762.74621958427</v>
      </c>
      <c r="D58" s="68" t="n">
        <f aca="false">D56+D57</f>
        <v>-8541.86560493182</v>
      </c>
      <c r="E58" s="68" t="n">
        <f aca="false">E56+E57</f>
        <v>-8318.51657565158</v>
      </c>
      <c r="F58" s="68" t="n">
        <f aca="false">F56+F57</f>
        <v>-8098.9618406634</v>
      </c>
      <c r="G58" s="68" t="n">
        <f aca="false">G56+G57</f>
        <v>-7883.14069125862</v>
      </c>
      <c r="H58" s="68" t="n">
        <f aca="false">H56+H57</f>
        <v>-7670.99339006786</v>
      </c>
      <c r="I58" s="68" t="n">
        <f aca="false">I56+I57</f>
        <v>-7462.46115551969</v>
      </c>
      <c r="J58" s="68" t="n">
        <f aca="false">J56+J57</f>
        <v>-7257.48614654789</v>
      </c>
      <c r="K58" s="68" t="n">
        <f aca="false">K56+K57</f>
        <v>-7056.01144754317</v>
      </c>
      <c r="L58" s="68" t="n">
        <f aca="false">L56+L57</f>
        <v>-6857.9810535461</v>
      </c>
      <c r="M58" s="68" t="n">
        <f aca="false">M56+M57</f>
        <v>-6663.33985567655</v>
      </c>
      <c r="N58" s="68" t="n">
        <f aca="false">N56+N57</f>
        <v>-6472.03362679646</v>
      </c>
      <c r="O58" s="68" t="n">
        <f aca="false">O56+O57</f>
        <v>-9380.30185678071</v>
      </c>
      <c r="P58" s="68" t="n">
        <f aca="false">P56+P57</f>
        <v>-9171.99781896733</v>
      </c>
      <c r="Q58" s="68" t="n">
        <f aca="false">Q56+Q57</f>
        <v>-8967.26095138576</v>
      </c>
      <c r="R58" s="68" t="n">
        <f aca="false">R56+R57</f>
        <v>-8766.03417931228</v>
      </c>
      <c r="S58" s="68" t="n">
        <f aca="false">S56+S57</f>
        <v>-8568.26134121884</v>
      </c>
      <c r="T58" s="68" t="n">
        <f aca="false">T56+T57</f>
        <v>-8373.88717416166</v>
      </c>
      <c r="U58" s="68" t="n">
        <f aca="false">U56+U57</f>
        <v>-8182.85729940423</v>
      </c>
      <c r="V58" s="68" t="n">
        <f aca="false">V56+V57</f>
        <v>-7995.11820826969</v>
      </c>
      <c r="W58" s="68" t="n">
        <f aca="false">W56+W57</f>
        <v>-7810.61724822012</v>
      </c>
      <c r="X58" s="68" t="n">
        <f aca="false">X56+X57</f>
        <v>-7629.30260915821</v>
      </c>
      <c r="Y58" s="68" t="n">
        <f aca="false">Y56+Y57</f>
        <v>-7451.12330994801</v>
      </c>
      <c r="Z58" s="68" t="n">
        <f aca="false">Z56+Z57</f>
        <v>-7276.02918515197</v>
      </c>
      <c r="AA58" s="68" t="n">
        <f aca="false">AA56+AA57</f>
        <v>-10497.556877334</v>
      </c>
      <c r="AB58" s="68" t="n">
        <f aca="false">AB56+AB57</f>
        <v>-10304.2764507144</v>
      </c>
      <c r="AC58" s="68" t="n">
        <f aca="false">AC56+AC57</f>
        <v>-10114.3369440467</v>
      </c>
      <c r="AD58" s="68" t="n">
        <f aca="false">AD56+AD57</f>
        <v>-9927.68490261162</v>
      </c>
      <c r="AE58" s="68" t="n">
        <f aca="false">AE56+AE57</f>
        <v>-9744.26772696533</v>
      </c>
      <c r="AF58" s="68" t="n">
        <f aca="false">AF56+AF57</f>
        <v>-9564.03365925528</v>
      </c>
      <c r="AG58" s="68" t="n">
        <f aca="false">AG56+AG57</f>
        <v>-9386.93176975449</v>
      </c>
      <c r="AH58" s="68" t="n">
        <f aca="false">AH56+AH57</f>
        <v>-9212.91194361161</v>
      </c>
      <c r="AI58" s="68" t="n">
        <f aca="false">AI56+AI57</f>
        <v>-9041.92486781293</v>
      </c>
      <c r="AJ58" s="68" t="n">
        <f aca="false">AJ56+AJ57</f>
        <v>-8873.92201835289</v>
      </c>
      <c r="AK58" s="68" t="n">
        <f aca="false">AK56+AK57</f>
        <v>-8708.85564761011</v>
      </c>
      <c r="AL58" s="68" t="n">
        <f aca="false">AL56+AL57</f>
        <v>-8546.67877192513</v>
      </c>
    </row>
    <row r="59" customFormat="false" ht="15" hidden="false" customHeight="false" outlineLevel="0" collapsed="false">
      <c r="A59" s="119" t="s">
        <v>434</v>
      </c>
      <c r="C59" s="67" t="n">
        <f aca="false">C58</f>
        <v>-8762.74621958427</v>
      </c>
      <c r="D59" s="67" t="n">
        <f aca="false">C59+D58</f>
        <v>-17304.6118245161</v>
      </c>
      <c r="E59" s="67" t="n">
        <f aca="false">D59+E58</f>
        <v>-25623.1284001677</v>
      </c>
      <c r="F59" s="67" t="n">
        <f aca="false">E59+F58</f>
        <v>-33722.0902408311</v>
      </c>
      <c r="G59" s="67" t="n">
        <f aca="false">F59+G58</f>
        <v>-41605.2309320897</v>
      </c>
      <c r="H59" s="67" t="n">
        <f aca="false">G59+H58</f>
        <v>-49276.2243221576</v>
      </c>
      <c r="I59" s="67" t="n">
        <f aca="false">H59+I58</f>
        <v>-56738.6854776772</v>
      </c>
      <c r="J59" s="67" t="n">
        <f aca="false">I59+J58</f>
        <v>-63996.1716242251</v>
      </c>
      <c r="K59" s="67" t="n">
        <f aca="false">J59+K58</f>
        <v>-71052.1830717683</v>
      </c>
      <c r="L59" s="67" t="n">
        <f aca="false">K59+L58</f>
        <v>-77910.1641253144</v>
      </c>
      <c r="M59" s="67" t="n">
        <f aca="false">L59+M58</f>
        <v>-84573.503980991</v>
      </c>
      <c r="N59" s="67" t="n">
        <f aca="false">M59+N58</f>
        <v>-91045.5376077874</v>
      </c>
      <c r="O59" s="67" t="n">
        <f aca="false">N59+O58</f>
        <v>-100425.839464568</v>
      </c>
      <c r="P59" s="67" t="n">
        <f aca="false">O59+P58</f>
        <v>-109597.837283535</v>
      </c>
      <c r="Q59" s="67" t="n">
        <f aca="false">P59+Q58</f>
        <v>-118565.098234921</v>
      </c>
      <c r="R59" s="67" t="n">
        <f aca="false">Q59+R58</f>
        <v>-127331.132414233</v>
      </c>
      <c r="S59" s="67" t="n">
        <f aca="false">R59+S58</f>
        <v>-135899.393755452</v>
      </c>
      <c r="T59" s="67" t="n">
        <f aca="false">S59+T58</f>
        <v>-144273.280929614</v>
      </c>
      <c r="U59" s="67" t="n">
        <f aca="false">T59+U58</f>
        <v>-152456.138229018</v>
      </c>
      <c r="V59" s="67" t="n">
        <f aca="false">U59+V58</f>
        <v>-160451.256437288</v>
      </c>
      <c r="W59" s="67" t="n">
        <f aca="false">V59+W58</f>
        <v>-168261.873685508</v>
      </c>
      <c r="X59" s="67" t="n">
        <f aca="false">W59+X58</f>
        <v>-175891.176294666</v>
      </c>
      <c r="Y59" s="67" t="n">
        <f aca="false">X59+Y58</f>
        <v>-183342.299604614</v>
      </c>
      <c r="Z59" s="67" t="n">
        <f aca="false">Y59+Z58</f>
        <v>-190618.328789766</v>
      </c>
      <c r="AA59" s="67" t="n">
        <f aca="false">Z59+AA58</f>
        <v>-201115.8856671</v>
      </c>
      <c r="AB59" s="67" t="n">
        <f aca="false">AA59+AB58</f>
        <v>-211420.162117815</v>
      </c>
      <c r="AC59" s="67" t="n">
        <f aca="false">AB59+AC58</f>
        <v>-221534.499061861</v>
      </c>
      <c r="AD59" s="67" t="n">
        <f aca="false">AC59+AD58</f>
        <v>-231462.183964473</v>
      </c>
      <c r="AE59" s="67" t="n">
        <f aca="false">AD59+AE58</f>
        <v>-241206.451691438</v>
      </c>
      <c r="AF59" s="67" t="n">
        <f aca="false">AE59+AF58</f>
        <v>-250770.485350694</v>
      </c>
      <c r="AG59" s="67" t="n">
        <f aca="false">AF59+AG58</f>
        <v>-260157.417120448</v>
      </c>
      <c r="AH59" s="67" t="n">
        <f aca="false">AG59+AH58</f>
        <v>-269370.32906406</v>
      </c>
      <c r="AI59" s="67" t="n">
        <f aca="false">AH59+AI58</f>
        <v>-278412.253931873</v>
      </c>
      <c r="AJ59" s="67" t="n">
        <f aca="false">AI59+AJ58</f>
        <v>-287286.175950226</v>
      </c>
      <c r="AK59" s="67" t="n">
        <f aca="false">AJ59+AK58</f>
        <v>-295995.031597836</v>
      </c>
      <c r="AL59" s="67" t="n">
        <f aca="false">AK59+AL58</f>
        <v>-304541.710369761</v>
      </c>
    </row>
    <row r="60" customFormat="false" ht="15" hidden="false" customHeight="false" outlineLevel="0" collapsed="false">
      <c r="A60" s="119" t="s">
        <v>435</v>
      </c>
      <c r="C60" s="67" t="n">
        <f aca="false">MAX(0,C59)</f>
        <v>0</v>
      </c>
      <c r="D60" s="67" t="n">
        <f aca="false">MAX(C60,D59)</f>
        <v>0</v>
      </c>
      <c r="E60" s="67" t="n">
        <f aca="false">MAX(D60,E59)</f>
        <v>0</v>
      </c>
      <c r="F60" s="67" t="n">
        <f aca="false">MAX(E60,F59)</f>
        <v>0</v>
      </c>
      <c r="G60" s="67" t="n">
        <f aca="false">MAX(F60,G59)</f>
        <v>0</v>
      </c>
      <c r="H60" s="67" t="n">
        <f aca="false">MAX(G60,H59)</f>
        <v>0</v>
      </c>
      <c r="I60" s="67" t="n">
        <f aca="false">MAX(H60,I59)</f>
        <v>0</v>
      </c>
      <c r="J60" s="67" t="n">
        <f aca="false">MAX(I60,J59)</f>
        <v>0</v>
      </c>
      <c r="K60" s="67" t="n">
        <f aca="false">MAX(J60,K59)</f>
        <v>0</v>
      </c>
      <c r="L60" s="67" t="n">
        <f aca="false">MAX(K60,L59)</f>
        <v>0</v>
      </c>
      <c r="M60" s="67" t="n">
        <f aca="false">MAX(L60,M59)</f>
        <v>0</v>
      </c>
      <c r="N60" s="67" t="n">
        <f aca="false">MAX(M60,N59)</f>
        <v>0</v>
      </c>
      <c r="O60" s="67" t="n">
        <f aca="false">MAX(N60,O59)</f>
        <v>0</v>
      </c>
      <c r="P60" s="67" t="n">
        <f aca="false">MAX(O60,P59)</f>
        <v>0</v>
      </c>
      <c r="Q60" s="67" t="n">
        <f aca="false">MAX(P60,Q59)</f>
        <v>0</v>
      </c>
      <c r="R60" s="67" t="n">
        <f aca="false">MAX(Q60,R59)</f>
        <v>0</v>
      </c>
      <c r="S60" s="67" t="n">
        <f aca="false">MAX(R60,S59)</f>
        <v>0</v>
      </c>
      <c r="T60" s="67" t="n">
        <f aca="false">MAX(S60,T59)</f>
        <v>0</v>
      </c>
      <c r="U60" s="67" t="n">
        <f aca="false">MAX(T60,U59)</f>
        <v>0</v>
      </c>
      <c r="V60" s="67" t="n">
        <f aca="false">MAX(U60,V59)</f>
        <v>0</v>
      </c>
      <c r="W60" s="67" t="n">
        <f aca="false">MAX(V60,W59)</f>
        <v>0</v>
      </c>
      <c r="X60" s="67" t="n">
        <f aca="false">MAX(W60,X59)</f>
        <v>0</v>
      </c>
      <c r="Y60" s="67" t="n">
        <f aca="false">MAX(X60,Y59)</f>
        <v>0</v>
      </c>
      <c r="Z60" s="67" t="n">
        <f aca="false">MAX(Y60,Z59)</f>
        <v>0</v>
      </c>
      <c r="AA60" s="67" t="n">
        <f aca="false">MAX(Z60,AA59)</f>
        <v>0</v>
      </c>
      <c r="AB60" s="67" t="n">
        <f aca="false">MAX(AA60,AB59)</f>
        <v>0</v>
      </c>
      <c r="AC60" s="67" t="n">
        <f aca="false">MAX(AB60,AC59)</f>
        <v>0</v>
      </c>
      <c r="AD60" s="67" t="n">
        <f aca="false">MAX(AC60,AD59)</f>
        <v>0</v>
      </c>
      <c r="AE60" s="67" t="n">
        <f aca="false">MAX(AD60,AE59)</f>
        <v>0</v>
      </c>
      <c r="AF60" s="67" t="n">
        <f aca="false">MAX(AE60,AF59)</f>
        <v>0</v>
      </c>
      <c r="AG60" s="67" t="n">
        <f aca="false">MAX(AF60,AG59)</f>
        <v>0</v>
      </c>
      <c r="AH60" s="67" t="n">
        <f aca="false">MAX(AG60,AH59)</f>
        <v>0</v>
      </c>
      <c r="AI60" s="67" t="n">
        <f aca="false">MAX(AH60,AI59)</f>
        <v>0</v>
      </c>
      <c r="AJ60" s="67" t="n">
        <f aca="false">MAX(AI60,AJ59)</f>
        <v>0</v>
      </c>
      <c r="AK60" s="67" t="n">
        <f aca="false">MAX(AJ60,AK59)</f>
        <v>0</v>
      </c>
      <c r="AL60" s="67" t="n">
        <f aca="false">MAX(AK60,AL59)</f>
        <v>0</v>
      </c>
    </row>
    <row r="61" customFormat="false" ht="15" hidden="false" customHeight="false" outlineLevel="0" collapsed="false">
      <c r="A61" s="6" t="s">
        <v>81</v>
      </c>
      <c r="C61" s="67" t="n">
        <f aca="false">-C60*Inputs!$B$95</f>
        <v>-0</v>
      </c>
      <c r="D61" s="67" t="n">
        <f aca="false">-(D60-C60)*Inputs!$B$95</f>
        <v>-0</v>
      </c>
      <c r="E61" s="67" t="n">
        <f aca="false">-(E60-D60)*Inputs!$B$95</f>
        <v>-0</v>
      </c>
      <c r="F61" s="67" t="n">
        <f aca="false">-(F60-E60)*Inputs!$B$95</f>
        <v>-0</v>
      </c>
      <c r="G61" s="67" t="n">
        <f aca="false">-(G60-F60)*Inputs!$B$95</f>
        <v>-0</v>
      </c>
      <c r="H61" s="67" t="n">
        <f aca="false">-(H60-G60)*Inputs!$B$95</f>
        <v>-0</v>
      </c>
      <c r="I61" s="67" t="n">
        <f aca="false">-(I60-H60)*Inputs!$B$95</f>
        <v>-0</v>
      </c>
      <c r="J61" s="67" t="n">
        <f aca="false">-(J60-I60)*Inputs!$B$95</f>
        <v>-0</v>
      </c>
      <c r="K61" s="67" t="n">
        <f aca="false">-(K60-J60)*Inputs!$B$95</f>
        <v>-0</v>
      </c>
      <c r="L61" s="67" t="n">
        <f aca="false">-(L60-K60)*Inputs!$B$95</f>
        <v>-0</v>
      </c>
      <c r="M61" s="67" t="n">
        <f aca="false">-(M60-L60)*Inputs!$B$95</f>
        <v>-0</v>
      </c>
      <c r="N61" s="67" t="n">
        <f aca="false">-(N60-M60)*Inputs!$B$95</f>
        <v>-0</v>
      </c>
      <c r="O61" s="67" t="n">
        <f aca="false">-(O60-N60)*Inputs!$B$95</f>
        <v>-0</v>
      </c>
      <c r="P61" s="67" t="n">
        <f aca="false">-(P60-O60)*Inputs!$B$95</f>
        <v>-0</v>
      </c>
      <c r="Q61" s="67" t="n">
        <f aca="false">-(Q60-P60)*Inputs!$B$95</f>
        <v>-0</v>
      </c>
      <c r="R61" s="67" t="n">
        <f aca="false">-(R60-Q60)*Inputs!$B$95</f>
        <v>-0</v>
      </c>
      <c r="S61" s="67" t="n">
        <f aca="false">-(S60-R60)*Inputs!$B$95</f>
        <v>-0</v>
      </c>
      <c r="T61" s="67" t="n">
        <f aca="false">-(T60-S60)*Inputs!$B$95</f>
        <v>-0</v>
      </c>
      <c r="U61" s="67" t="n">
        <f aca="false">-(U60-T60)*Inputs!$B$95</f>
        <v>-0</v>
      </c>
      <c r="V61" s="67" t="n">
        <f aca="false">-(V60-U60)*Inputs!$B$95</f>
        <v>-0</v>
      </c>
      <c r="W61" s="67" t="n">
        <f aca="false">-(W60-V60)*Inputs!$B$95</f>
        <v>-0</v>
      </c>
      <c r="X61" s="67" t="n">
        <f aca="false">-(X60-W60)*Inputs!$B$95</f>
        <v>-0</v>
      </c>
      <c r="Y61" s="67" t="n">
        <f aca="false">-(Y60-X60)*Inputs!$B$95</f>
        <v>-0</v>
      </c>
      <c r="Z61" s="67" t="n">
        <f aca="false">-(Z60-Y60)*Inputs!$B$95</f>
        <v>-0</v>
      </c>
      <c r="AA61" s="67" t="n">
        <f aca="false">-(AA60-Z60)*Inputs!$B$95</f>
        <v>-0</v>
      </c>
      <c r="AB61" s="67" t="n">
        <f aca="false">-(AB60-AA60)*Inputs!$B$95</f>
        <v>-0</v>
      </c>
      <c r="AC61" s="67" t="n">
        <f aca="false">-(AC60-AB60)*Inputs!$B$95</f>
        <v>-0</v>
      </c>
      <c r="AD61" s="67" t="n">
        <f aca="false">-(AD60-AC60)*Inputs!$B$95</f>
        <v>-0</v>
      </c>
      <c r="AE61" s="67" t="n">
        <f aca="false">-(AE60-AD60)*Inputs!$B$95</f>
        <v>-0</v>
      </c>
      <c r="AF61" s="67" t="n">
        <f aca="false">-(AF60-AE60)*Inputs!$B$95</f>
        <v>-0</v>
      </c>
      <c r="AG61" s="67" t="n">
        <f aca="false">-(AG60-AF60)*Inputs!$B$95</f>
        <v>-0</v>
      </c>
      <c r="AH61" s="67" t="n">
        <f aca="false">-(AH60-AG60)*Inputs!$B$95</f>
        <v>-0</v>
      </c>
      <c r="AI61" s="67" t="n">
        <f aca="false">-(AI60-AH60)*Inputs!$B$95</f>
        <v>-0</v>
      </c>
      <c r="AJ61" s="67" t="n">
        <f aca="false">-(AJ60-AI60)*Inputs!$B$95</f>
        <v>-0</v>
      </c>
      <c r="AK61" s="67" t="n">
        <f aca="false">-(AK60-AJ60)*Inputs!$B$95</f>
        <v>-0</v>
      </c>
      <c r="AL61" s="67" t="n">
        <f aca="false">-(AL60-AK60)*Inputs!$B$95</f>
        <v>-0</v>
      </c>
    </row>
    <row r="62" customFormat="false" ht="15" hidden="false" customHeight="false" outlineLevel="0" collapsed="false">
      <c r="A62" s="111" t="s">
        <v>50</v>
      </c>
      <c r="C62" s="68" t="n">
        <f aca="false">C58+C61</f>
        <v>-8762.74621958427</v>
      </c>
      <c r="D62" s="68" t="n">
        <f aca="false">D58+D61</f>
        <v>-8541.86560493182</v>
      </c>
      <c r="E62" s="68" t="n">
        <f aca="false">E58+E61</f>
        <v>-8318.51657565158</v>
      </c>
      <c r="F62" s="68" t="n">
        <f aca="false">F58+F61</f>
        <v>-8098.9618406634</v>
      </c>
      <c r="G62" s="68" t="n">
        <f aca="false">G58+G61</f>
        <v>-7883.14069125862</v>
      </c>
      <c r="H62" s="68" t="n">
        <f aca="false">H58+H61</f>
        <v>-7670.99339006786</v>
      </c>
      <c r="I62" s="68" t="n">
        <f aca="false">I58+I61</f>
        <v>-7462.46115551969</v>
      </c>
      <c r="J62" s="68" t="n">
        <f aca="false">J58+J61</f>
        <v>-7257.48614654789</v>
      </c>
      <c r="K62" s="68" t="n">
        <f aca="false">K58+K61</f>
        <v>-7056.01144754317</v>
      </c>
      <c r="L62" s="68" t="n">
        <f aca="false">L58+L61</f>
        <v>-6857.9810535461</v>
      </c>
      <c r="M62" s="68" t="n">
        <f aca="false">M58+M61</f>
        <v>-6663.33985567655</v>
      </c>
      <c r="N62" s="68" t="n">
        <f aca="false">N58+N61</f>
        <v>-6472.03362679646</v>
      </c>
      <c r="O62" s="68" t="n">
        <f aca="false">O58+O61</f>
        <v>-9380.30185678071</v>
      </c>
      <c r="P62" s="68" t="n">
        <f aca="false">P58+P61</f>
        <v>-9171.99781896733</v>
      </c>
      <c r="Q62" s="68" t="n">
        <f aca="false">Q58+Q61</f>
        <v>-8967.26095138576</v>
      </c>
      <c r="R62" s="68" t="n">
        <f aca="false">R58+R61</f>
        <v>-8766.03417931228</v>
      </c>
      <c r="S62" s="68" t="n">
        <f aca="false">S58+S61</f>
        <v>-8568.26134121884</v>
      </c>
      <c r="T62" s="68" t="n">
        <f aca="false">T58+T61</f>
        <v>-8373.88717416166</v>
      </c>
      <c r="U62" s="68" t="n">
        <f aca="false">U58+U61</f>
        <v>-8182.85729940423</v>
      </c>
      <c r="V62" s="68" t="n">
        <f aca="false">V58+V61</f>
        <v>-7995.11820826969</v>
      </c>
      <c r="W62" s="68" t="n">
        <f aca="false">W58+W61</f>
        <v>-7810.61724822012</v>
      </c>
      <c r="X62" s="68" t="n">
        <f aca="false">X58+X61</f>
        <v>-7629.30260915821</v>
      </c>
      <c r="Y62" s="68" t="n">
        <f aca="false">Y58+Y61</f>
        <v>-7451.12330994801</v>
      </c>
      <c r="Z62" s="68" t="n">
        <f aca="false">Z58+Z61</f>
        <v>-7276.02918515197</v>
      </c>
      <c r="AA62" s="68" t="n">
        <f aca="false">AA58+AA61</f>
        <v>-10497.556877334</v>
      </c>
      <c r="AB62" s="68" t="n">
        <f aca="false">AB58+AB61</f>
        <v>-10304.2764507144</v>
      </c>
      <c r="AC62" s="68" t="n">
        <f aca="false">AC58+AC61</f>
        <v>-10114.3369440467</v>
      </c>
      <c r="AD62" s="68" t="n">
        <f aca="false">AD58+AD61</f>
        <v>-9927.68490261162</v>
      </c>
      <c r="AE62" s="68" t="n">
        <f aca="false">AE58+AE61</f>
        <v>-9744.26772696533</v>
      </c>
      <c r="AF62" s="68" t="n">
        <f aca="false">AF58+AF61</f>
        <v>-9564.03365925528</v>
      </c>
      <c r="AG62" s="68" t="n">
        <f aca="false">AG58+AG61</f>
        <v>-9386.93176975449</v>
      </c>
      <c r="AH62" s="68" t="n">
        <f aca="false">AH58+AH61</f>
        <v>-9212.91194361161</v>
      </c>
      <c r="AI62" s="68" t="n">
        <f aca="false">AI58+AI61</f>
        <v>-9041.92486781293</v>
      </c>
      <c r="AJ62" s="68" t="n">
        <f aca="false">AJ58+AJ61</f>
        <v>-8873.92201835289</v>
      </c>
      <c r="AK62" s="68" t="n">
        <f aca="false">AK58+AK61</f>
        <v>-8708.85564761011</v>
      </c>
      <c r="AL62" s="68" t="n">
        <f aca="false">AL58+AL61</f>
        <v>-8546.67877192513</v>
      </c>
    </row>
    <row r="64" customFormat="false" ht="15.75" hidden="false" customHeight="true" outlineLevel="0" collapsed="false">
      <c r="A64" s="7" t="s">
        <v>436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customFormat="false" ht="15" hidden="false" customHeight="false" outlineLevel="0" collapsed="false">
      <c r="A65" s="6" t="s">
        <v>437</v>
      </c>
      <c r="C65" s="67" t="n">
        <f aca="false">Inputs!$B$52*Inputs!$B$48+MAX(0,Inputs!$B$7+Inputs!$B$8-Inputs!$B$54)*Inputs!$B$53+Inputs!$B$55+C33*Inputs!$B$56</f>
        <v>61933.4355128261</v>
      </c>
      <c r="D65" s="67" t="n">
        <f aca="false">D33*Inputs!$B$56</f>
        <v>1938.0401698</v>
      </c>
      <c r="E65" s="67" t="n">
        <f aca="false">E33*Inputs!$B$56</f>
        <v>1942.57115226233</v>
      </c>
      <c r="F65" s="67" t="n">
        <f aca="false">F33*Inputs!$B$56</f>
        <v>1947.02963900526</v>
      </c>
      <c r="G65" s="67" t="n">
        <f aca="false">G33*Inputs!$B$56</f>
        <v>1951.41678996031</v>
      </c>
      <c r="H65" s="67" t="n">
        <f aca="false">H33*Inputs!$B$56</f>
        <v>1955.73374650007</v>
      </c>
      <c r="I65" s="67" t="n">
        <f aca="false">I33*Inputs!$B$56</f>
        <v>1959.9816317352</v>
      </c>
      <c r="J65" s="67" t="n">
        <f aca="false">J33*Inputs!$B$56</f>
        <v>1964.16155080657</v>
      </c>
      <c r="K65" s="67" t="n">
        <f aca="false">K33*Inputs!$B$56</f>
        <v>1968.2745911728</v>
      </c>
      <c r="L65" s="67" t="n">
        <f aca="false">L33*Inputs!$B$56</f>
        <v>1972.32182289316</v>
      </c>
      <c r="M65" s="67" t="n">
        <f aca="false">M33*Inputs!$B$56</f>
        <v>1976.304298906</v>
      </c>
      <c r="N65" s="67" t="n">
        <f aca="false">N33*Inputs!$B$56</f>
        <v>1980.22305530264</v>
      </c>
      <c r="O65" s="67" t="n">
        <f aca="false">O33*Inputs!$B$56</f>
        <v>2026.36949614036</v>
      </c>
      <c r="P65" s="67" t="n">
        <f aca="false">P33*Inputs!$B$56</f>
        <v>2030.62925685381</v>
      </c>
      <c r="Q65" s="67" t="n">
        <f aca="false">Q33*Inputs!$B$56</f>
        <v>2034.82086139585</v>
      </c>
      <c r="R65" s="67" t="n">
        <f aca="false">R33*Inputs!$B$56</f>
        <v>2038.94540026521</v>
      </c>
      <c r="S65" s="67" t="n">
        <f aca="false">S33*Inputs!$B$56</f>
        <v>2043.00394651267</v>
      </c>
      <c r="T65" s="67" t="n">
        <f aca="false">T33*Inputs!$B$56</f>
        <v>2046.99755602016</v>
      </c>
      <c r="U65" s="67" t="n">
        <f aca="false">U33*Inputs!$B$56</f>
        <v>2050.92726777554</v>
      </c>
      <c r="V65" s="67" t="n">
        <f aca="false">V33*Inputs!$B$56</f>
        <v>2054.79410414282</v>
      </c>
      <c r="W65" s="67" t="n">
        <f aca="false">W33*Inputs!$B$56</f>
        <v>2058.59907112824</v>
      </c>
      <c r="X65" s="67" t="n">
        <f aca="false">X33*Inputs!$B$56</f>
        <v>2062.34315864188</v>
      </c>
      <c r="Y65" s="67" t="n">
        <f aca="false">Y33*Inputs!$B$56</f>
        <v>2066.02734075531</v>
      </c>
      <c r="Z65" s="67" t="n">
        <f aca="false">Z33*Inputs!$B$56</f>
        <v>2069.65257595492</v>
      </c>
      <c r="AA65" s="67" t="n">
        <f aca="false">AA33*Inputs!$B$56</f>
        <v>2117.42501124763</v>
      </c>
      <c r="AB65" s="67" t="n">
        <f aca="false">AB33*Inputs!$B$56</f>
        <v>2121.41459364281</v>
      </c>
      <c r="AC65" s="67" t="n">
        <f aca="false">AC33*Inputs!$B$56</f>
        <v>2125.34034271967</v>
      </c>
      <c r="AD65" s="67" t="n">
        <f aca="false">AD33*Inputs!$B$56</f>
        <v>2129.2032798113</v>
      </c>
      <c r="AE65" s="67" t="n">
        <f aca="false">AE33*Inputs!$B$56</f>
        <v>2133.00440990947</v>
      </c>
      <c r="AF65" s="67" t="n">
        <f aca="false">AF33*Inputs!$B$56</f>
        <v>2136.74472192606</v>
      </c>
      <c r="AG65" s="67" t="n">
        <f aca="false">AG33*Inputs!$B$56</f>
        <v>2140.42518895039</v>
      </c>
      <c r="AH65" s="67" t="n">
        <f aca="false">AH33*Inputs!$B$56</f>
        <v>2144.04676850233</v>
      </c>
      <c r="AI65" s="67" t="n">
        <f aca="false">AI33*Inputs!$B$56</f>
        <v>2147.61040278144</v>
      </c>
      <c r="AJ65" s="67" t="n">
        <f aca="false">AJ33*Inputs!$B$56</f>
        <v>2151.11701891208</v>
      </c>
      <c r="AK65" s="67" t="n">
        <f aca="false">AK33*Inputs!$B$56</f>
        <v>2154.56752918463</v>
      </c>
      <c r="AL65" s="67" t="n">
        <f aca="false">AL33*Inputs!$B$56</f>
        <v>2157.96283129282</v>
      </c>
    </row>
    <row r="66" customFormat="false" ht="15" hidden="false" customHeight="false" outlineLevel="0" collapsed="false">
      <c r="A66" s="6" t="s">
        <v>438</v>
      </c>
      <c r="C66" s="67" t="n">
        <f aca="false">C65</f>
        <v>61933.4355128261</v>
      </c>
      <c r="D66" s="67" t="n">
        <f aca="false">C66+D65</f>
        <v>63871.4756826261</v>
      </c>
      <c r="E66" s="67" t="n">
        <f aca="false">D66+E65</f>
        <v>65814.0468348884</v>
      </c>
      <c r="F66" s="67" t="n">
        <f aca="false">E66+F65</f>
        <v>67761.0764738937</v>
      </c>
      <c r="G66" s="67" t="n">
        <f aca="false">F66+G65</f>
        <v>69712.493263854</v>
      </c>
      <c r="H66" s="67" t="n">
        <f aca="false">G66+H65</f>
        <v>71668.2270103541</v>
      </c>
      <c r="I66" s="67" t="n">
        <f aca="false">H66+I65</f>
        <v>73628.2086420893</v>
      </c>
      <c r="J66" s="67" t="n">
        <f aca="false">I66+J65</f>
        <v>75592.3701928959</v>
      </c>
      <c r="K66" s="67" t="n">
        <f aca="false">J66+K65</f>
        <v>77560.6447840687</v>
      </c>
      <c r="L66" s="67" t="n">
        <f aca="false">K66+L65</f>
        <v>79532.9666069618</v>
      </c>
      <c r="M66" s="67" t="n">
        <f aca="false">L66+M65</f>
        <v>81509.2709058678</v>
      </c>
      <c r="N66" s="67" t="n">
        <f aca="false">M66+N65</f>
        <v>83489.4939611705</v>
      </c>
      <c r="O66" s="67" t="n">
        <f aca="false">N66+O65</f>
        <v>85515.8634573108</v>
      </c>
      <c r="P66" s="67" t="n">
        <f aca="false">O66+P65</f>
        <v>87546.4927141646</v>
      </c>
      <c r="Q66" s="67" t="n">
        <f aca="false">P66+Q65</f>
        <v>89581.3135755605</v>
      </c>
      <c r="R66" s="67" t="n">
        <f aca="false">Q66+R65</f>
        <v>91620.2589758257</v>
      </c>
      <c r="S66" s="67" t="n">
        <f aca="false">R66+S65</f>
        <v>93663.2629223384</v>
      </c>
      <c r="T66" s="67" t="n">
        <f aca="false">S66+T65</f>
        <v>95710.2604783585</v>
      </c>
      <c r="U66" s="67" t="n">
        <f aca="false">T66+U65</f>
        <v>97761.1877461341</v>
      </c>
      <c r="V66" s="67" t="n">
        <f aca="false">U66+V65</f>
        <v>99815.9818502769</v>
      </c>
      <c r="W66" s="67" t="n">
        <f aca="false">V66+W65</f>
        <v>101874.580921405</v>
      </c>
      <c r="X66" s="67" t="n">
        <f aca="false">W66+X65</f>
        <v>103936.924080047</v>
      </c>
      <c r="Y66" s="67" t="n">
        <f aca="false">X66+Y65</f>
        <v>106002.951420802</v>
      </c>
      <c r="Z66" s="67" t="n">
        <f aca="false">Y66+Z65</f>
        <v>108072.603996757</v>
      </c>
      <c r="AA66" s="67" t="n">
        <f aca="false">Z66+AA65</f>
        <v>110190.029008005</v>
      </c>
      <c r="AB66" s="67" t="n">
        <f aca="false">AA66+AB65</f>
        <v>112311.443601648</v>
      </c>
      <c r="AC66" s="67" t="n">
        <f aca="false">AB66+AC65</f>
        <v>114436.783944367</v>
      </c>
      <c r="AD66" s="67" t="n">
        <f aca="false">AC66+AD65</f>
        <v>116565.987224179</v>
      </c>
      <c r="AE66" s="67" t="n">
        <f aca="false">AD66+AE65</f>
        <v>118698.991634088</v>
      </c>
      <c r="AF66" s="67" t="n">
        <f aca="false">AE66+AF65</f>
        <v>120835.736356014</v>
      </c>
      <c r="AG66" s="67" t="n">
        <f aca="false">AF66+AG65</f>
        <v>122976.161544965</v>
      </c>
      <c r="AH66" s="67" t="n">
        <f aca="false">AG66+AH65</f>
        <v>125120.208313467</v>
      </c>
      <c r="AI66" s="67" t="n">
        <f aca="false">AH66+AI65</f>
        <v>127267.818716248</v>
      </c>
      <c r="AJ66" s="67" t="n">
        <f aca="false">AI66+AJ65</f>
        <v>129418.93573516</v>
      </c>
      <c r="AK66" s="67" t="n">
        <f aca="false">AJ66+AK65</f>
        <v>131573.503264345</v>
      </c>
      <c r="AL66" s="67" t="n">
        <f aca="false">AK66+AL65</f>
        <v>133731.466095638</v>
      </c>
    </row>
    <row r="67" customFormat="false" ht="15" hidden="false" customHeight="false" outlineLevel="0" collapsed="false">
      <c r="A67" s="6" t="s">
        <v>77</v>
      </c>
      <c r="C67" s="67" t="n">
        <f aca="false">-MIN(C66/MAX(1,Inputs!$B$94*12),C65)</f>
        <v>-737.30280372412</v>
      </c>
      <c r="D67" s="67" t="n">
        <f aca="false">-MIN(D66/MAX(1,Inputs!$B$94*12),C69+D65)</f>
        <v>-760.374710507453</v>
      </c>
      <c r="E67" s="67" t="n">
        <f aca="false">-MIN(E66/MAX(1,Inputs!$B$94*12),D69+E65)</f>
        <v>-783.500557558195</v>
      </c>
      <c r="F67" s="67" t="n">
        <f aca="false">-MIN(F66/MAX(1,Inputs!$B$94*12),E69+F65)</f>
        <v>-806.679481832068</v>
      </c>
      <c r="G67" s="67" t="n">
        <f aca="false">-MIN(G66/MAX(1,Inputs!$B$94*12),F69+G65)</f>
        <v>-829.9106340935</v>
      </c>
      <c r="H67" s="67" t="n">
        <f aca="false">-MIN(H66/MAX(1,Inputs!$B$94*12),G69+H65)</f>
        <v>-853.193178694691</v>
      </c>
      <c r="I67" s="67" t="n">
        <f aca="false">-MIN(I66/MAX(1,Inputs!$B$94*12),H69+I65)</f>
        <v>-876.526293358206</v>
      </c>
      <c r="J67" s="67" t="n">
        <f aca="false">-MIN(J66/MAX(1,Inputs!$B$94*12),I69+J65)</f>
        <v>-899.909168963046</v>
      </c>
      <c r="K67" s="67" t="n">
        <f aca="false">-MIN(K66/MAX(1,Inputs!$B$94*12),J69+K65)</f>
        <v>-923.341009334151</v>
      </c>
      <c r="L67" s="67" t="n">
        <f aca="false">-MIN(L66/MAX(1,Inputs!$B$94*12),K69+L65)</f>
        <v>-946.82103103526</v>
      </c>
      <c r="M67" s="67" t="n">
        <f aca="false">-MIN(M66/MAX(1,Inputs!$B$94*12),L69+M65)</f>
        <v>-970.348463165093</v>
      </c>
      <c r="N67" s="67" t="n">
        <f aca="false">-MIN(N66/MAX(1,Inputs!$B$94*12),M69+N65)</f>
        <v>-993.922547156791</v>
      </c>
      <c r="O67" s="67" t="n">
        <f aca="false">-MIN(O66/MAX(1,Inputs!$B$94*12),N69+O65)</f>
        <v>-1018.04599353941</v>
      </c>
      <c r="P67" s="67" t="n">
        <f aca="false">-MIN(P66/MAX(1,Inputs!$B$94*12),O69+P65)</f>
        <v>-1042.2201513591</v>
      </c>
      <c r="Q67" s="67" t="n">
        <f aca="false">-MIN(Q66/MAX(1,Inputs!$B$94*12),P69+Q65)</f>
        <v>-1066.44420923286</v>
      </c>
      <c r="R67" s="67" t="n">
        <f aca="false">-MIN(R66/MAX(1,Inputs!$B$94*12),Q69+R65)</f>
        <v>-1090.71736875983</v>
      </c>
      <c r="S67" s="67" t="n">
        <f aca="false">-MIN(S66/MAX(1,Inputs!$B$94*12),R69+S65)</f>
        <v>-1115.03884431355</v>
      </c>
      <c r="T67" s="67" t="n">
        <f aca="false">-MIN(T66/MAX(1,Inputs!$B$94*12),S69+T65)</f>
        <v>-1139.4078628376</v>
      </c>
      <c r="U67" s="67" t="n">
        <f aca="false">-MIN(U66/MAX(1,Inputs!$B$94*12),T69+U65)</f>
        <v>-1163.82366364445</v>
      </c>
      <c r="V67" s="67" t="n">
        <f aca="false">-MIN(V66/MAX(1,Inputs!$B$94*12),U69+V65)</f>
        <v>-1188.28549821758</v>
      </c>
      <c r="W67" s="67" t="n">
        <f aca="false">-MIN(W66/MAX(1,Inputs!$B$94*12),V69+W65)</f>
        <v>-1212.79263001673</v>
      </c>
      <c r="X67" s="67" t="n">
        <f aca="false">-MIN(X66/MAX(1,Inputs!$B$94*12),W69+X65)</f>
        <v>-1237.34433428627</v>
      </c>
      <c r="Y67" s="67" t="n">
        <f aca="false">-MIN(Y66/MAX(1,Inputs!$B$94*12),X69+Y65)</f>
        <v>-1261.93989786669</v>
      </c>
      <c r="Z67" s="67" t="n">
        <f aca="false">-MIN(Z66/MAX(1,Inputs!$B$94*12),Y69+Z65)</f>
        <v>-1286.57861900901</v>
      </c>
      <c r="AA67" s="67" t="n">
        <f aca="false">-MIN(AA66/MAX(1,Inputs!$B$94*12),Z69+AA65)</f>
        <v>-1311.78605961911</v>
      </c>
      <c r="AB67" s="67" t="n">
        <f aca="false">-MIN(AB66/MAX(1,Inputs!$B$94*12),AA69+AB65)</f>
        <v>-1337.04099525771</v>
      </c>
      <c r="AC67" s="67" t="n">
        <f aca="false">-MIN(AC66/MAX(1,Inputs!$B$94*12),AB69+AC65)</f>
        <v>-1362.34266600437</v>
      </c>
      <c r="AD67" s="67" t="n">
        <f aca="false">-MIN(AD66/MAX(1,Inputs!$B$94*12),AC69+AD65)</f>
        <v>-1387.69032409737</v>
      </c>
      <c r="AE67" s="67" t="n">
        <f aca="false">-MIN(AE66/MAX(1,Inputs!$B$94*12),AD69+AE65)</f>
        <v>-1413.08323373914</v>
      </c>
      <c r="AF67" s="67" t="n">
        <f aca="false">-MIN(AF66/MAX(1,Inputs!$B$94*12),AE69+AF65)</f>
        <v>-1438.52067090493</v>
      </c>
      <c r="AG67" s="67" t="n">
        <f aca="false">-MIN(AG66/MAX(1,Inputs!$B$94*12),AF69+AG65)</f>
        <v>-1464.00192315434</v>
      </c>
      <c r="AH67" s="67" t="n">
        <f aca="false">-MIN(AH66/MAX(1,Inputs!$B$94*12),AG69+AH65)</f>
        <v>-1489.52628944603</v>
      </c>
      <c r="AI67" s="67" t="n">
        <f aca="false">-MIN(AI66/MAX(1,Inputs!$B$94*12),AH69+AI65)</f>
        <v>-1515.09307995534</v>
      </c>
      <c r="AJ67" s="67" t="n">
        <f aca="false">-MIN(AJ66/MAX(1,Inputs!$B$94*12),AI69+AJ65)</f>
        <v>-1540.70161589477</v>
      </c>
      <c r="AK67" s="67" t="n">
        <f aca="false">-MIN(AK66/MAX(1,Inputs!$B$94*12),AJ69+AK65)</f>
        <v>-1566.35122933744</v>
      </c>
      <c r="AL67" s="67" t="n">
        <f aca="false">-MIN(AL66/MAX(1,Inputs!$B$94*12),AK69+AL65)</f>
        <v>-1592.04126304331</v>
      </c>
    </row>
    <row r="68" customFormat="false" ht="15" hidden="false" customHeight="false" outlineLevel="0" collapsed="false">
      <c r="A68" s="6" t="s">
        <v>439</v>
      </c>
      <c r="C68" s="67" t="n">
        <f aca="false">C67</f>
        <v>-737.30280372412</v>
      </c>
      <c r="D68" s="67" t="n">
        <f aca="false">C68+D67</f>
        <v>-1497.67751423157</v>
      </c>
      <c r="E68" s="67" t="n">
        <f aca="false">D68+E67</f>
        <v>-2281.17807178977</v>
      </c>
      <c r="F68" s="67" t="n">
        <f aca="false">E68+F67</f>
        <v>-3087.85755362184</v>
      </c>
      <c r="G68" s="67" t="n">
        <f aca="false">F68+G67</f>
        <v>-3917.76818771534</v>
      </c>
      <c r="H68" s="67" t="n">
        <f aca="false">G68+H67</f>
        <v>-4770.96136641003</v>
      </c>
      <c r="I68" s="67" t="n">
        <f aca="false">H68+I67</f>
        <v>-5647.48765976823</v>
      </c>
      <c r="J68" s="67" t="n">
        <f aca="false">I68+J67</f>
        <v>-6547.39682873128</v>
      </c>
      <c r="K68" s="67" t="n">
        <f aca="false">J68+K67</f>
        <v>-7470.73783806543</v>
      </c>
      <c r="L68" s="67" t="n">
        <f aca="false">K68+L67</f>
        <v>-8417.55886910069</v>
      </c>
      <c r="M68" s="67" t="n">
        <f aca="false">L68+M67</f>
        <v>-9387.90733226578</v>
      </c>
      <c r="N68" s="67" t="n">
        <f aca="false">M68+N67</f>
        <v>-10381.8298794226</v>
      </c>
      <c r="O68" s="67" t="n">
        <f aca="false">N68+O67</f>
        <v>-11399.875872962</v>
      </c>
      <c r="P68" s="67" t="n">
        <f aca="false">O68+P67</f>
        <v>-12442.0960243211</v>
      </c>
      <c r="Q68" s="67" t="n">
        <f aca="false">P68+Q67</f>
        <v>-13508.540233554</v>
      </c>
      <c r="R68" s="67" t="n">
        <f aca="false">Q68+R67</f>
        <v>-14599.2576023138</v>
      </c>
      <c r="S68" s="67" t="n">
        <f aca="false">R68+S67</f>
        <v>-15714.2964466273</v>
      </c>
      <c r="T68" s="67" t="n">
        <f aca="false">S68+T67</f>
        <v>-16853.7043094649</v>
      </c>
      <c r="U68" s="67" t="n">
        <f aca="false">T68+U67</f>
        <v>-18017.5279731094</v>
      </c>
      <c r="V68" s="67" t="n">
        <f aca="false">U68+V67</f>
        <v>-19205.813471327</v>
      </c>
      <c r="W68" s="67" t="n">
        <f aca="false">V68+W67</f>
        <v>-20418.6061013437</v>
      </c>
      <c r="X68" s="67" t="n">
        <f aca="false">W68+X67</f>
        <v>-21655.95043563</v>
      </c>
      <c r="Y68" s="67" t="n">
        <f aca="false">X68+Y67</f>
        <v>-22917.8903334967</v>
      </c>
      <c r="Z68" s="67" t="n">
        <f aca="false">Y68+Z67</f>
        <v>-24204.4689525057</v>
      </c>
      <c r="AA68" s="67" t="n">
        <f aca="false">Z68+AA67</f>
        <v>-25516.2550121248</v>
      </c>
      <c r="AB68" s="67" t="n">
        <f aca="false">AA68+AB67</f>
        <v>-26853.2960073825</v>
      </c>
      <c r="AC68" s="67" t="n">
        <f aca="false">AB68+AC67</f>
        <v>-28215.6386733869</v>
      </c>
      <c r="AD68" s="67" t="n">
        <f aca="false">AC68+AD67</f>
        <v>-29603.3289974842</v>
      </c>
      <c r="AE68" s="67" t="n">
        <f aca="false">AD68+AE67</f>
        <v>-31016.4122312234</v>
      </c>
      <c r="AF68" s="67" t="n">
        <f aca="false">AE68+AF67</f>
        <v>-32454.9329021283</v>
      </c>
      <c r="AG68" s="67" t="n">
        <f aca="false">AF68+AG67</f>
        <v>-33918.9348252827</v>
      </c>
      <c r="AH68" s="67" t="n">
        <f aca="false">AG68+AH67</f>
        <v>-35408.4611147287</v>
      </c>
      <c r="AI68" s="67" t="n">
        <f aca="false">AH68+AI67</f>
        <v>-36923.554194684</v>
      </c>
      <c r="AJ68" s="67" t="n">
        <f aca="false">AI68+AJ67</f>
        <v>-38464.2558105788</v>
      </c>
      <c r="AK68" s="67" t="n">
        <f aca="false">AJ68+AK67</f>
        <v>-40030.6070399162</v>
      </c>
      <c r="AL68" s="67" t="n">
        <f aca="false">AK68+AL67</f>
        <v>-41622.6483029595</v>
      </c>
    </row>
    <row r="69" customFormat="false" ht="15" hidden="false" customHeight="false" outlineLevel="0" collapsed="false">
      <c r="A69" s="4" t="s">
        <v>91</v>
      </c>
      <c r="C69" s="73" t="n">
        <f aca="false">C66+C68</f>
        <v>61196.132709102</v>
      </c>
      <c r="D69" s="73" t="n">
        <f aca="false">D66+D68</f>
        <v>62373.7981683945</v>
      </c>
      <c r="E69" s="73" t="n">
        <f aca="false">E66+E68</f>
        <v>63532.8687630986</v>
      </c>
      <c r="F69" s="73" t="n">
        <f aca="false">F66+F68</f>
        <v>64673.2189202719</v>
      </c>
      <c r="G69" s="73" t="n">
        <f aca="false">G66+G68</f>
        <v>65794.7250761387</v>
      </c>
      <c r="H69" s="73" t="n">
        <f aca="false">H66+H68</f>
        <v>66897.265643944</v>
      </c>
      <c r="I69" s="73" t="n">
        <f aca="false">I66+I68</f>
        <v>67980.720982321</v>
      </c>
      <c r="J69" s="73" t="n">
        <f aca="false">J66+J68</f>
        <v>69044.9733641646</v>
      </c>
      <c r="K69" s="73" t="n">
        <f aca="false">K66+K68</f>
        <v>70089.9069460032</v>
      </c>
      <c r="L69" s="73" t="n">
        <f aca="false">L66+L68</f>
        <v>71115.4077378611</v>
      </c>
      <c r="M69" s="73" t="n">
        <f aca="false">M66+M68</f>
        <v>72121.363573602</v>
      </c>
      <c r="N69" s="73" t="n">
        <f aca="false">N66+N68</f>
        <v>73107.6640817479</v>
      </c>
      <c r="O69" s="73" t="n">
        <f aca="false">O66+O68</f>
        <v>74115.9875843488</v>
      </c>
      <c r="P69" s="73" t="n">
        <f aca="false">P66+P68</f>
        <v>75104.3966898436</v>
      </c>
      <c r="Q69" s="73" t="n">
        <f aca="false">Q66+Q68</f>
        <v>76072.7733420065</v>
      </c>
      <c r="R69" s="73" t="n">
        <f aca="false">R66+R68</f>
        <v>77021.0013735119</v>
      </c>
      <c r="S69" s="73" t="n">
        <f aca="false">S66+S68</f>
        <v>77948.966475711</v>
      </c>
      <c r="T69" s="73" t="n">
        <f aca="false">T66+T68</f>
        <v>78856.5561688936</v>
      </c>
      <c r="U69" s="73" t="n">
        <f aca="false">U66+U68</f>
        <v>79743.6597730247</v>
      </c>
      <c r="V69" s="73" t="n">
        <f aca="false">V66+V68</f>
        <v>80610.1683789499</v>
      </c>
      <c r="W69" s="73" t="n">
        <f aca="false">W66+W68</f>
        <v>81455.9748200614</v>
      </c>
      <c r="X69" s="73" t="n">
        <f aca="false">X66+X68</f>
        <v>82280.973644417</v>
      </c>
      <c r="Y69" s="73" t="n">
        <f aca="false">Y66+Y68</f>
        <v>83085.0610873056</v>
      </c>
      <c r="Z69" s="73" t="n">
        <f aca="false">Z66+Z68</f>
        <v>83868.1350442515</v>
      </c>
      <c r="AA69" s="73" t="n">
        <f aca="false">AA66+AA68</f>
        <v>84673.7739958801</v>
      </c>
      <c r="AB69" s="73" t="n">
        <f aca="false">AB66+AB68</f>
        <v>85458.1475942652</v>
      </c>
      <c r="AC69" s="73" t="n">
        <f aca="false">AC66+AC68</f>
        <v>86221.1452709805</v>
      </c>
      <c r="AD69" s="73" t="n">
        <f aca="false">AD66+AD68</f>
        <v>86962.6582266944</v>
      </c>
      <c r="AE69" s="73" t="n">
        <f aca="false">AE66+AE68</f>
        <v>87682.5794028647</v>
      </c>
      <c r="AF69" s="73" t="n">
        <f aca="false">AF66+AF68</f>
        <v>88380.8034538859</v>
      </c>
      <c r="AG69" s="73" t="n">
        <f aca="false">AG66+AG68</f>
        <v>89057.2267196819</v>
      </c>
      <c r="AH69" s="73" t="n">
        <f aca="false">AH66+AH68</f>
        <v>89711.7471987382</v>
      </c>
      <c r="AI69" s="73" t="n">
        <f aca="false">AI66+AI68</f>
        <v>90344.2645215643</v>
      </c>
      <c r="AJ69" s="73" t="n">
        <f aca="false">AJ66+AJ68</f>
        <v>90954.6799245816</v>
      </c>
      <c r="AK69" s="73" t="n">
        <f aca="false">AK66+AK68</f>
        <v>91542.8962244288</v>
      </c>
      <c r="AL69" s="73" t="n">
        <f aca="false">AL66+AL68</f>
        <v>92108.8177926783</v>
      </c>
    </row>
    <row r="71" customFormat="false" ht="15.75" hidden="false" customHeight="true" outlineLevel="0" collapsed="false">
      <c r="A71" s="7" t="s">
        <v>440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customFormat="false" ht="15" hidden="false" customHeight="false" outlineLevel="0" collapsed="false">
      <c r="A72" s="6" t="s">
        <v>441</v>
      </c>
      <c r="C72" s="67" t="n">
        <f aca="false">0</f>
        <v>0</v>
      </c>
      <c r="D72" s="67" t="n">
        <f aca="false">C75</f>
        <v>150000</v>
      </c>
      <c r="E72" s="67" t="n">
        <f aca="false">D75</f>
        <v>148214.285714286</v>
      </c>
      <c r="F72" s="67" t="n">
        <f aca="false">E75</f>
        <v>146428.571428571</v>
      </c>
      <c r="G72" s="67" t="n">
        <f aca="false">F75</f>
        <v>144642.857142857</v>
      </c>
      <c r="H72" s="67" t="n">
        <f aca="false">G75</f>
        <v>142857.142857143</v>
      </c>
      <c r="I72" s="67" t="n">
        <f aca="false">H75</f>
        <v>141071.428571429</v>
      </c>
      <c r="J72" s="67" t="n">
        <f aca="false">I75</f>
        <v>139285.714285714</v>
      </c>
      <c r="K72" s="67" t="n">
        <f aca="false">J75</f>
        <v>137500</v>
      </c>
      <c r="L72" s="67" t="n">
        <f aca="false">K75</f>
        <v>135714.285714286</v>
      </c>
      <c r="M72" s="67" t="n">
        <f aca="false">L75</f>
        <v>133928.571428571</v>
      </c>
      <c r="N72" s="67" t="n">
        <f aca="false">M75</f>
        <v>132142.857142857</v>
      </c>
      <c r="O72" s="67" t="n">
        <f aca="false">N75</f>
        <v>130357.142857143</v>
      </c>
      <c r="P72" s="67" t="n">
        <f aca="false">O75</f>
        <v>128571.428571429</v>
      </c>
      <c r="Q72" s="67" t="n">
        <f aca="false">P75</f>
        <v>126785.714285714</v>
      </c>
      <c r="R72" s="67" t="n">
        <f aca="false">Q75</f>
        <v>125000</v>
      </c>
      <c r="S72" s="67" t="n">
        <f aca="false">R75</f>
        <v>123214.285714286</v>
      </c>
      <c r="T72" s="67" t="n">
        <f aca="false">S75</f>
        <v>121428.571428571</v>
      </c>
      <c r="U72" s="67" t="n">
        <f aca="false">T75</f>
        <v>119642.857142857</v>
      </c>
      <c r="V72" s="67" t="n">
        <f aca="false">U75</f>
        <v>117857.142857143</v>
      </c>
      <c r="W72" s="67" t="n">
        <f aca="false">V75</f>
        <v>116071.428571428</v>
      </c>
      <c r="X72" s="67" t="n">
        <f aca="false">W75</f>
        <v>114285.714285714</v>
      </c>
      <c r="Y72" s="67" t="n">
        <f aca="false">X75</f>
        <v>112500</v>
      </c>
      <c r="Z72" s="67" t="n">
        <f aca="false">Y75</f>
        <v>110714.285714286</v>
      </c>
      <c r="AA72" s="67" t="n">
        <f aca="false">Z75</f>
        <v>108928.571428571</v>
      </c>
      <c r="AB72" s="67" t="n">
        <f aca="false">AA75</f>
        <v>107142.857142857</v>
      </c>
      <c r="AC72" s="67" t="n">
        <f aca="false">AB75</f>
        <v>105357.142857143</v>
      </c>
      <c r="AD72" s="67" t="n">
        <f aca="false">AC75</f>
        <v>103571.428571428</v>
      </c>
      <c r="AE72" s="67" t="n">
        <f aca="false">AD75</f>
        <v>101785.714285714</v>
      </c>
      <c r="AF72" s="67" t="n">
        <f aca="false">AE75</f>
        <v>99999.9999999999</v>
      </c>
      <c r="AG72" s="67" t="n">
        <f aca="false">AF75</f>
        <v>98214.2857142856</v>
      </c>
      <c r="AH72" s="67" t="n">
        <f aca="false">AG75</f>
        <v>96428.5714285713</v>
      </c>
      <c r="AI72" s="67" t="n">
        <f aca="false">AH75</f>
        <v>94642.857142857</v>
      </c>
      <c r="AJ72" s="67" t="n">
        <f aca="false">AI75</f>
        <v>92857.1428571427</v>
      </c>
      <c r="AK72" s="67" t="n">
        <f aca="false">AJ75</f>
        <v>91071.4285714284</v>
      </c>
      <c r="AL72" s="67" t="n">
        <f aca="false">AK75</f>
        <v>89285.7142857141</v>
      </c>
    </row>
    <row r="73" customFormat="false" ht="15" hidden="false" customHeight="false" outlineLevel="0" collapsed="false">
      <c r="A73" s="6" t="s">
        <v>84</v>
      </c>
      <c r="C73" s="67" t="n">
        <f aca="false">IF(C$6=1,Inputs!$B$84,0)</f>
        <v>150000</v>
      </c>
      <c r="D73" s="67" t="n">
        <f aca="false">IF(D$6=1,Inputs!$B$84,0)</f>
        <v>0</v>
      </c>
      <c r="E73" s="67" t="n">
        <f aca="false">IF(E$6=1,Inputs!$B$84,0)</f>
        <v>0</v>
      </c>
      <c r="F73" s="67" t="n">
        <f aca="false">IF(F$6=1,Inputs!$B$84,0)</f>
        <v>0</v>
      </c>
      <c r="G73" s="67" t="n">
        <f aca="false">IF(G$6=1,Inputs!$B$84,0)</f>
        <v>0</v>
      </c>
      <c r="H73" s="67" t="n">
        <f aca="false">IF(H$6=1,Inputs!$B$84,0)</f>
        <v>0</v>
      </c>
      <c r="I73" s="67" t="n">
        <f aca="false">IF(I$6=1,Inputs!$B$84,0)</f>
        <v>0</v>
      </c>
      <c r="J73" s="67" t="n">
        <f aca="false">IF(J$6=1,Inputs!$B$84,0)</f>
        <v>0</v>
      </c>
      <c r="K73" s="67" t="n">
        <f aca="false">IF(K$6=1,Inputs!$B$84,0)</f>
        <v>0</v>
      </c>
      <c r="L73" s="67" t="n">
        <f aca="false">IF(L$6=1,Inputs!$B$84,0)</f>
        <v>0</v>
      </c>
      <c r="M73" s="67" t="n">
        <f aca="false">IF(M$6=1,Inputs!$B$84,0)</f>
        <v>0</v>
      </c>
      <c r="N73" s="67" t="n">
        <f aca="false">IF(N$6=1,Inputs!$B$84,0)</f>
        <v>0</v>
      </c>
      <c r="O73" s="67" t="n">
        <f aca="false">IF(O$6=1,Inputs!$B$84,0)</f>
        <v>0</v>
      </c>
      <c r="P73" s="67" t="n">
        <f aca="false">IF(P$6=1,Inputs!$B$84,0)</f>
        <v>0</v>
      </c>
      <c r="Q73" s="67" t="n">
        <f aca="false">IF(Q$6=1,Inputs!$B$84,0)</f>
        <v>0</v>
      </c>
      <c r="R73" s="67" t="n">
        <f aca="false">IF(R$6=1,Inputs!$B$84,0)</f>
        <v>0</v>
      </c>
      <c r="S73" s="67" t="n">
        <f aca="false">IF(S$6=1,Inputs!$B$84,0)</f>
        <v>0</v>
      </c>
      <c r="T73" s="67" t="n">
        <f aca="false">IF(T$6=1,Inputs!$B$84,0)</f>
        <v>0</v>
      </c>
      <c r="U73" s="67" t="n">
        <f aca="false">IF(U$6=1,Inputs!$B$84,0)</f>
        <v>0</v>
      </c>
      <c r="V73" s="67" t="n">
        <f aca="false">IF(V$6=1,Inputs!$B$84,0)</f>
        <v>0</v>
      </c>
      <c r="W73" s="67" t="n">
        <f aca="false">IF(W$6=1,Inputs!$B$84,0)</f>
        <v>0</v>
      </c>
      <c r="X73" s="67" t="n">
        <f aca="false">IF(X$6=1,Inputs!$B$84,0)</f>
        <v>0</v>
      </c>
      <c r="Y73" s="67" t="n">
        <f aca="false">IF(Y$6=1,Inputs!$B$84,0)</f>
        <v>0</v>
      </c>
      <c r="Z73" s="67" t="n">
        <f aca="false">IF(Z$6=1,Inputs!$B$84,0)</f>
        <v>0</v>
      </c>
      <c r="AA73" s="67" t="n">
        <f aca="false">IF(AA$6=1,Inputs!$B$84,0)</f>
        <v>0</v>
      </c>
      <c r="AB73" s="67" t="n">
        <f aca="false">IF(AB$6=1,Inputs!$B$84,0)</f>
        <v>0</v>
      </c>
      <c r="AC73" s="67" t="n">
        <f aca="false">IF(AC$6=1,Inputs!$B$84,0)</f>
        <v>0</v>
      </c>
      <c r="AD73" s="67" t="n">
        <f aca="false">IF(AD$6=1,Inputs!$B$84,0)</f>
        <v>0</v>
      </c>
      <c r="AE73" s="67" t="n">
        <f aca="false">IF(AE$6=1,Inputs!$B$84,0)</f>
        <v>0</v>
      </c>
      <c r="AF73" s="67" t="n">
        <f aca="false">IF(AF$6=1,Inputs!$B$84,0)</f>
        <v>0</v>
      </c>
      <c r="AG73" s="67" t="n">
        <f aca="false">IF(AG$6=1,Inputs!$B$84,0)</f>
        <v>0</v>
      </c>
      <c r="AH73" s="67" t="n">
        <f aca="false">IF(AH$6=1,Inputs!$B$84,0)</f>
        <v>0</v>
      </c>
      <c r="AI73" s="67" t="n">
        <f aca="false">IF(AI$6=1,Inputs!$B$84,0)</f>
        <v>0</v>
      </c>
      <c r="AJ73" s="67" t="n">
        <f aca="false">IF(AJ$6=1,Inputs!$B$84,0)</f>
        <v>0</v>
      </c>
      <c r="AK73" s="67" t="n">
        <f aca="false">IF(AK$6=1,Inputs!$B$84,0)</f>
        <v>0</v>
      </c>
      <c r="AL73" s="67" t="n">
        <f aca="false">IF(AL$6=1,Inputs!$B$84,0)</f>
        <v>0</v>
      </c>
    </row>
    <row r="74" customFormat="false" ht="15" hidden="false" customHeight="false" outlineLevel="0" collapsed="false">
      <c r="A74" s="6" t="s">
        <v>85</v>
      </c>
      <c r="C74" s="67" t="n">
        <f aca="false">-MIN(C72,Inputs!$B$84/MAX(1,Inputs!$B$86*12))</f>
        <v>-0</v>
      </c>
      <c r="D74" s="67" t="n">
        <f aca="false">-MIN(D72,Inputs!$B$84/MAX(1,Inputs!$B$86*12))</f>
        <v>-1785.71428571429</v>
      </c>
      <c r="E74" s="67" t="n">
        <f aca="false">-MIN(E72,Inputs!$B$84/MAX(1,Inputs!$B$86*12))</f>
        <v>-1785.71428571429</v>
      </c>
      <c r="F74" s="67" t="n">
        <f aca="false">-MIN(F72,Inputs!$B$84/MAX(1,Inputs!$B$86*12))</f>
        <v>-1785.71428571429</v>
      </c>
      <c r="G74" s="67" t="n">
        <f aca="false">-MIN(G72,Inputs!$B$84/MAX(1,Inputs!$B$86*12))</f>
        <v>-1785.71428571429</v>
      </c>
      <c r="H74" s="67" t="n">
        <f aca="false">-MIN(H72,Inputs!$B$84/MAX(1,Inputs!$B$86*12))</f>
        <v>-1785.71428571429</v>
      </c>
      <c r="I74" s="67" t="n">
        <f aca="false">-MIN(I72,Inputs!$B$84/MAX(1,Inputs!$B$86*12))</f>
        <v>-1785.71428571429</v>
      </c>
      <c r="J74" s="67" t="n">
        <f aca="false">-MIN(J72,Inputs!$B$84/MAX(1,Inputs!$B$86*12))</f>
        <v>-1785.71428571429</v>
      </c>
      <c r="K74" s="67" t="n">
        <f aca="false">-MIN(K72,Inputs!$B$84/MAX(1,Inputs!$B$86*12))</f>
        <v>-1785.71428571429</v>
      </c>
      <c r="L74" s="67" t="n">
        <f aca="false">-MIN(L72,Inputs!$B$84/MAX(1,Inputs!$B$86*12))</f>
        <v>-1785.71428571429</v>
      </c>
      <c r="M74" s="67" t="n">
        <f aca="false">-MIN(M72,Inputs!$B$84/MAX(1,Inputs!$B$86*12))</f>
        <v>-1785.71428571429</v>
      </c>
      <c r="N74" s="67" t="n">
        <f aca="false">-MIN(N72,Inputs!$B$84/MAX(1,Inputs!$B$86*12))</f>
        <v>-1785.71428571429</v>
      </c>
      <c r="O74" s="67" t="n">
        <f aca="false">-MIN(O72,Inputs!$B$84/MAX(1,Inputs!$B$86*12))</f>
        <v>-1785.71428571429</v>
      </c>
      <c r="P74" s="67" t="n">
        <f aca="false">-MIN(P72,Inputs!$B$84/MAX(1,Inputs!$B$86*12))</f>
        <v>-1785.71428571429</v>
      </c>
      <c r="Q74" s="67" t="n">
        <f aca="false">-MIN(Q72,Inputs!$B$84/MAX(1,Inputs!$B$86*12))</f>
        <v>-1785.71428571429</v>
      </c>
      <c r="R74" s="67" t="n">
        <f aca="false">-MIN(R72,Inputs!$B$84/MAX(1,Inputs!$B$86*12))</f>
        <v>-1785.71428571429</v>
      </c>
      <c r="S74" s="67" t="n">
        <f aca="false">-MIN(S72,Inputs!$B$84/MAX(1,Inputs!$B$86*12))</f>
        <v>-1785.71428571429</v>
      </c>
      <c r="T74" s="67" t="n">
        <f aca="false">-MIN(T72,Inputs!$B$84/MAX(1,Inputs!$B$86*12))</f>
        <v>-1785.71428571429</v>
      </c>
      <c r="U74" s="67" t="n">
        <f aca="false">-MIN(U72,Inputs!$B$84/MAX(1,Inputs!$B$86*12))</f>
        <v>-1785.71428571429</v>
      </c>
      <c r="V74" s="67" t="n">
        <f aca="false">-MIN(V72,Inputs!$B$84/MAX(1,Inputs!$B$86*12))</f>
        <v>-1785.71428571429</v>
      </c>
      <c r="W74" s="67" t="n">
        <f aca="false">-MIN(W72,Inputs!$B$84/MAX(1,Inputs!$B$86*12))</f>
        <v>-1785.71428571429</v>
      </c>
      <c r="X74" s="67" t="n">
        <f aca="false">-MIN(X72,Inputs!$B$84/MAX(1,Inputs!$B$86*12))</f>
        <v>-1785.71428571429</v>
      </c>
      <c r="Y74" s="67" t="n">
        <f aca="false">-MIN(Y72,Inputs!$B$84/MAX(1,Inputs!$B$86*12))</f>
        <v>-1785.71428571429</v>
      </c>
      <c r="Z74" s="67" t="n">
        <f aca="false">-MIN(Z72,Inputs!$B$84/MAX(1,Inputs!$B$86*12))</f>
        <v>-1785.71428571429</v>
      </c>
      <c r="AA74" s="67" t="n">
        <f aca="false">-MIN(AA72,Inputs!$B$84/MAX(1,Inputs!$B$86*12))</f>
        <v>-1785.71428571429</v>
      </c>
      <c r="AB74" s="67" t="n">
        <f aca="false">-MIN(AB72,Inputs!$B$84/MAX(1,Inputs!$B$86*12))</f>
        <v>-1785.71428571429</v>
      </c>
      <c r="AC74" s="67" t="n">
        <f aca="false">-MIN(AC72,Inputs!$B$84/MAX(1,Inputs!$B$86*12))</f>
        <v>-1785.71428571429</v>
      </c>
      <c r="AD74" s="67" t="n">
        <f aca="false">-MIN(AD72,Inputs!$B$84/MAX(1,Inputs!$B$86*12))</f>
        <v>-1785.71428571429</v>
      </c>
      <c r="AE74" s="67" t="n">
        <f aca="false">-MIN(AE72,Inputs!$B$84/MAX(1,Inputs!$B$86*12))</f>
        <v>-1785.71428571429</v>
      </c>
      <c r="AF74" s="67" t="n">
        <f aca="false">-MIN(AF72,Inputs!$B$84/MAX(1,Inputs!$B$86*12))</f>
        <v>-1785.71428571429</v>
      </c>
      <c r="AG74" s="67" t="n">
        <f aca="false">-MIN(AG72,Inputs!$B$84/MAX(1,Inputs!$B$86*12))</f>
        <v>-1785.71428571429</v>
      </c>
      <c r="AH74" s="67" t="n">
        <f aca="false">-MIN(AH72,Inputs!$B$84/MAX(1,Inputs!$B$86*12))</f>
        <v>-1785.71428571429</v>
      </c>
      <c r="AI74" s="67" t="n">
        <f aca="false">-MIN(AI72,Inputs!$B$84/MAX(1,Inputs!$B$86*12))</f>
        <v>-1785.71428571429</v>
      </c>
      <c r="AJ74" s="67" t="n">
        <f aca="false">-MIN(AJ72,Inputs!$B$84/MAX(1,Inputs!$B$86*12))</f>
        <v>-1785.71428571429</v>
      </c>
      <c r="AK74" s="67" t="n">
        <f aca="false">-MIN(AK72,Inputs!$B$84/MAX(1,Inputs!$B$86*12))</f>
        <v>-1785.71428571429</v>
      </c>
      <c r="AL74" s="67" t="n">
        <f aca="false">-MIN(AL72,Inputs!$B$84/MAX(1,Inputs!$B$86*12))</f>
        <v>-1785.71428571429</v>
      </c>
    </row>
    <row r="75" customFormat="false" ht="15" hidden="false" customHeight="false" outlineLevel="0" collapsed="false">
      <c r="A75" s="4" t="s">
        <v>442</v>
      </c>
      <c r="C75" s="73" t="n">
        <f aca="false">C72+C73+C74</f>
        <v>150000</v>
      </c>
      <c r="D75" s="73" t="n">
        <f aca="false">D72+D73+D74</f>
        <v>148214.285714286</v>
      </c>
      <c r="E75" s="73" t="n">
        <f aca="false">E72+E73+E74</f>
        <v>146428.571428571</v>
      </c>
      <c r="F75" s="73" t="n">
        <f aca="false">F72+F73+F74</f>
        <v>144642.857142857</v>
      </c>
      <c r="G75" s="73" t="n">
        <f aca="false">G72+G73+G74</f>
        <v>142857.142857143</v>
      </c>
      <c r="H75" s="73" t="n">
        <f aca="false">H72+H73+H74</f>
        <v>141071.428571429</v>
      </c>
      <c r="I75" s="73" t="n">
        <f aca="false">I72+I73+I74</f>
        <v>139285.714285714</v>
      </c>
      <c r="J75" s="73" t="n">
        <f aca="false">J72+J73+J74</f>
        <v>137500</v>
      </c>
      <c r="K75" s="73" t="n">
        <f aca="false">K72+K73+K74</f>
        <v>135714.285714286</v>
      </c>
      <c r="L75" s="73" t="n">
        <f aca="false">L72+L73+L74</f>
        <v>133928.571428571</v>
      </c>
      <c r="M75" s="73" t="n">
        <f aca="false">M72+M73+M74</f>
        <v>132142.857142857</v>
      </c>
      <c r="N75" s="73" t="n">
        <f aca="false">N72+N73+N74</f>
        <v>130357.142857143</v>
      </c>
      <c r="O75" s="73" t="n">
        <f aca="false">O72+O73+O74</f>
        <v>128571.428571429</v>
      </c>
      <c r="P75" s="73" t="n">
        <f aca="false">P72+P73+P74</f>
        <v>126785.714285714</v>
      </c>
      <c r="Q75" s="73" t="n">
        <f aca="false">Q72+Q73+Q74</f>
        <v>125000</v>
      </c>
      <c r="R75" s="73" t="n">
        <f aca="false">R72+R73+R74</f>
        <v>123214.285714286</v>
      </c>
      <c r="S75" s="73" t="n">
        <f aca="false">S72+S73+S74</f>
        <v>121428.571428571</v>
      </c>
      <c r="T75" s="73" t="n">
        <f aca="false">T72+T73+T74</f>
        <v>119642.857142857</v>
      </c>
      <c r="U75" s="73" t="n">
        <f aca="false">U72+U73+U74</f>
        <v>117857.142857143</v>
      </c>
      <c r="V75" s="73" t="n">
        <f aca="false">V72+V73+V74</f>
        <v>116071.428571428</v>
      </c>
      <c r="W75" s="73" t="n">
        <f aca="false">W72+W73+W74</f>
        <v>114285.714285714</v>
      </c>
      <c r="X75" s="73" t="n">
        <f aca="false">X72+X73+X74</f>
        <v>112500</v>
      </c>
      <c r="Y75" s="73" t="n">
        <f aca="false">Y72+Y73+Y74</f>
        <v>110714.285714286</v>
      </c>
      <c r="Z75" s="73" t="n">
        <f aca="false">Z72+Z73+Z74</f>
        <v>108928.571428571</v>
      </c>
      <c r="AA75" s="73" t="n">
        <f aca="false">AA72+AA73+AA74</f>
        <v>107142.857142857</v>
      </c>
      <c r="AB75" s="73" t="n">
        <f aca="false">AB72+AB73+AB74</f>
        <v>105357.142857143</v>
      </c>
      <c r="AC75" s="73" t="n">
        <f aca="false">AC72+AC73+AC74</f>
        <v>103571.428571428</v>
      </c>
      <c r="AD75" s="73" t="n">
        <f aca="false">AD72+AD73+AD74</f>
        <v>101785.714285714</v>
      </c>
      <c r="AE75" s="73" t="n">
        <f aca="false">AE72+AE73+AE74</f>
        <v>99999.9999999999</v>
      </c>
      <c r="AF75" s="73" t="n">
        <f aca="false">AF72+AF73+AF74</f>
        <v>98214.2857142856</v>
      </c>
      <c r="AG75" s="73" t="n">
        <f aca="false">AG72+AG73+AG74</f>
        <v>96428.5714285713</v>
      </c>
      <c r="AH75" s="73" t="n">
        <f aca="false">AH72+AH73+AH74</f>
        <v>94642.857142857</v>
      </c>
      <c r="AI75" s="73" t="n">
        <f aca="false">AI72+AI73+AI74</f>
        <v>92857.1428571427</v>
      </c>
      <c r="AJ75" s="73" t="n">
        <f aca="false">AJ72+AJ73+AJ74</f>
        <v>91071.4285714284</v>
      </c>
      <c r="AK75" s="73" t="n">
        <f aca="false">AK72+AK73+AK74</f>
        <v>89285.7142857141</v>
      </c>
      <c r="AL75" s="73" t="n">
        <f aca="false">AL72+AL73+AL74</f>
        <v>87499.9999999999</v>
      </c>
    </row>
    <row r="77" customFormat="false" ht="15.75" hidden="false" customHeight="true" outlineLevel="0" collapsed="false">
      <c r="A77" s="7" t="s">
        <v>339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customFormat="false" ht="15" hidden="false" customHeight="false" outlineLevel="0" collapsed="false">
      <c r="A78" s="6" t="s">
        <v>89</v>
      </c>
      <c r="C78" s="67" t="n">
        <f aca="false">C33*Inputs!$B$89/30</f>
        <v>94523.5139603865</v>
      </c>
      <c r="D78" s="67" t="n">
        <f aca="false">D33*Inputs!$B$89/30</f>
        <v>94748.6305235555</v>
      </c>
      <c r="E78" s="67" t="n">
        <f aca="false">E33*Inputs!$B$89/30</f>
        <v>94970.1452217139</v>
      </c>
      <c r="F78" s="67" t="n">
        <f aca="false">F33*Inputs!$B$89/30</f>
        <v>95188.1156847018</v>
      </c>
      <c r="G78" s="67" t="n">
        <f aca="false">G33*Inputs!$B$89/30</f>
        <v>95402.5986202818</v>
      </c>
      <c r="H78" s="67" t="n">
        <f aca="false">H33*Inputs!$B$89/30</f>
        <v>95613.6498288925</v>
      </c>
      <c r="I78" s="67" t="n">
        <f aca="false">I33*Inputs!$B$89/30</f>
        <v>95821.3242181655</v>
      </c>
      <c r="J78" s="67" t="n">
        <f aca="false">J33*Inputs!$B$89/30</f>
        <v>96025.6758172101</v>
      </c>
      <c r="K78" s="67" t="n">
        <f aca="false">K33*Inputs!$B$89/30</f>
        <v>96226.75779067</v>
      </c>
      <c r="L78" s="67" t="n">
        <f aca="false">L33*Inputs!$B$89/30</f>
        <v>96424.6224525546</v>
      </c>
      <c r="M78" s="67" t="n">
        <f aca="false">M33*Inputs!$B$89/30</f>
        <v>96619.321279849</v>
      </c>
      <c r="N78" s="67" t="n">
        <f aca="false">N33*Inputs!$B$89/30</f>
        <v>96810.9049259066</v>
      </c>
      <c r="O78" s="67" t="n">
        <f aca="false">O33*Inputs!$B$89/30</f>
        <v>99066.95314464</v>
      </c>
      <c r="P78" s="67" t="n">
        <f aca="false">P33*Inputs!$B$89/30</f>
        <v>99275.2081128531</v>
      </c>
      <c r="Q78" s="67" t="n">
        <f aca="false">Q33*Inputs!$B$89/30</f>
        <v>99480.1310015749</v>
      </c>
      <c r="R78" s="67" t="n">
        <f aca="false">R33*Inputs!$B$89/30</f>
        <v>99681.7751240771</v>
      </c>
      <c r="S78" s="67" t="n">
        <f aca="false">S33*Inputs!$B$89/30</f>
        <v>99880.1929406193</v>
      </c>
      <c r="T78" s="67" t="n">
        <f aca="false">T33*Inputs!$B$89/30</f>
        <v>100075.436072097</v>
      </c>
      <c r="U78" s="67" t="n">
        <f aca="false">U33*Inputs!$B$89/30</f>
        <v>100267.555313471</v>
      </c>
      <c r="V78" s="67" t="n">
        <f aca="false">V33*Inputs!$B$89/30</f>
        <v>100456.600646983</v>
      </c>
      <c r="W78" s="67" t="n">
        <f aca="false">W33*Inputs!$B$89/30</f>
        <v>100642.621255158</v>
      </c>
      <c r="X78" s="67" t="n">
        <f aca="false">X33*Inputs!$B$89/30</f>
        <v>100825.665533603</v>
      </c>
      <c r="Y78" s="67" t="n">
        <f aca="false">Y33*Inputs!$B$89/30</f>
        <v>101005.781103593</v>
      </c>
      <c r="Z78" s="67" t="n">
        <f aca="false">Z33*Inputs!$B$89/30</f>
        <v>101183.014824463</v>
      </c>
      <c r="AA78" s="67" t="n">
        <f aca="false">AA33*Inputs!$B$89/30</f>
        <v>103518.55610544</v>
      </c>
      <c r="AB78" s="67" t="n">
        <f aca="false">AB33*Inputs!$B$89/30</f>
        <v>103713.602355871</v>
      </c>
      <c r="AC78" s="67" t="n">
        <f aca="false">AC33*Inputs!$B$89/30</f>
        <v>103905.527866295</v>
      </c>
      <c r="AD78" s="67" t="n">
        <f aca="false">AD33*Inputs!$B$89/30</f>
        <v>104094.382568553</v>
      </c>
      <c r="AE78" s="67" t="n">
        <f aca="false">AE33*Inputs!$B$89/30</f>
        <v>104280.215595574</v>
      </c>
      <c r="AF78" s="67" t="n">
        <f aca="false">AF33*Inputs!$B$89/30</f>
        <v>104463.075294163</v>
      </c>
      <c r="AG78" s="67" t="n">
        <f aca="false">AG33*Inputs!$B$89/30</f>
        <v>104643.009237575</v>
      </c>
      <c r="AH78" s="67" t="n">
        <f aca="false">AH33*Inputs!$B$89/30</f>
        <v>104820.064237892</v>
      </c>
      <c r="AI78" s="67" t="n">
        <f aca="false">AI33*Inputs!$B$89/30</f>
        <v>104994.286358204</v>
      </c>
      <c r="AJ78" s="67" t="n">
        <f aca="false">AJ33*Inputs!$B$89/30</f>
        <v>105165.720924591</v>
      </c>
      <c r="AK78" s="67" t="n">
        <f aca="false">AK33*Inputs!$B$89/30</f>
        <v>105334.412537915</v>
      </c>
      <c r="AL78" s="67" t="n">
        <f aca="false">AL33*Inputs!$B$89/30</f>
        <v>105500.405085427</v>
      </c>
    </row>
    <row r="79" customFormat="false" ht="15" hidden="false" customHeight="false" outlineLevel="0" collapsed="false">
      <c r="A79" s="6" t="s">
        <v>90</v>
      </c>
      <c r="C79" s="67" t="n">
        <f aca="false">-C39*Inputs!$B$90/30</f>
        <v>8235.22510044058</v>
      </c>
      <c r="D79" s="67" t="n">
        <f aca="false">-D39*Inputs!$B$90/30</f>
        <v>8254.11276295838</v>
      </c>
      <c r="E79" s="67" t="n">
        <f aca="false">-E39*Inputs!$B$90/30</f>
        <v>8272.69822287589</v>
      </c>
      <c r="F79" s="67" t="n">
        <f aca="false">-F39*Inputs!$B$90/30</f>
        <v>8290.98631543472</v>
      </c>
      <c r="G79" s="67" t="n">
        <f aca="false">-G39*Inputs!$B$90/30</f>
        <v>8308.98179851261</v>
      </c>
      <c r="H79" s="67" t="n">
        <f aca="false">-H39*Inputs!$B$90/30</f>
        <v>8326.68935386126</v>
      </c>
      <c r="I79" s="67" t="n">
        <f aca="false">-I39*Inputs!$B$90/30</f>
        <v>8344.11358832432</v>
      </c>
      <c r="J79" s="67" t="n">
        <f aca="false">-J39*Inputs!$B$90/30</f>
        <v>8361.25903503598</v>
      </c>
      <c r="K79" s="67" t="n">
        <f aca="false">-K39*Inputs!$B$90/30</f>
        <v>8378.13015460025</v>
      </c>
      <c r="L79" s="67" t="n">
        <f aca="false">-L39*Inputs!$B$90/30</f>
        <v>8394.73133625149</v>
      </c>
      <c r="M79" s="67" t="n">
        <f aca="false">-M39*Inputs!$B$90/30</f>
        <v>8411.06689899631</v>
      </c>
      <c r="N79" s="67" t="n">
        <f aca="false">-N39*Inputs!$B$90/30</f>
        <v>8427.14109273721</v>
      </c>
      <c r="O79" s="67" t="n">
        <f aca="false">-O39*Inputs!$B$90/30</f>
        <v>8626.21365942879</v>
      </c>
      <c r="P79" s="67" t="n">
        <f aca="false">-P39*Inputs!$B$90/30</f>
        <v>8643.68660545236</v>
      </c>
      <c r="Q79" s="67" t="n">
        <f aca="false">-Q39*Inputs!$B$90/30</f>
        <v>8660.87998433956</v>
      </c>
      <c r="R79" s="67" t="n">
        <f aca="false">-R39*Inputs!$B$90/30</f>
        <v>8677.79826916455</v>
      </c>
      <c r="S79" s="67" t="n">
        <f aca="false">-S39*Inputs!$B$90/30</f>
        <v>8694.44586143235</v>
      </c>
      <c r="T79" s="67" t="n">
        <f aca="false">-T39*Inputs!$B$90/30</f>
        <v>8710.82709222386</v>
      </c>
      <c r="U79" s="67" t="n">
        <f aca="false">-U39*Inputs!$B$90/30</f>
        <v>8726.94622332271</v>
      </c>
      <c r="V79" s="67" t="n">
        <f aca="false">-V39*Inputs!$B$90/30</f>
        <v>8742.80744832398</v>
      </c>
      <c r="W79" s="67" t="n">
        <f aca="false">-W39*Inputs!$B$90/30</f>
        <v>8758.41489372523</v>
      </c>
      <c r="X79" s="67" t="n">
        <f aca="false">-X39*Inputs!$B$90/30</f>
        <v>8773.77262000005</v>
      </c>
      <c r="Y79" s="67" t="n">
        <f aca="false">-Y39*Inputs!$B$90/30</f>
        <v>8788.88462265448</v>
      </c>
      <c r="Z79" s="67" t="n">
        <f aca="false">-Z39*Inputs!$B$90/30</f>
        <v>8803.75483326644</v>
      </c>
      <c r="AA79" s="67" t="n">
        <f aca="false">-AA39*Inputs!$B$90/30</f>
        <v>9009.87971872373</v>
      </c>
      <c r="AB79" s="67" t="n">
        <f aca="false">-AB39*Inputs!$B$90/30</f>
        <v>9026.24443086061</v>
      </c>
      <c r="AC79" s="67" t="n">
        <f aca="false">-AC39*Inputs!$B$90/30</f>
        <v>9042.3473076033</v>
      </c>
      <c r="AD79" s="67" t="n">
        <f aca="false">-AD39*Inputs!$B$90/30</f>
        <v>9058.19253831811</v>
      </c>
      <c r="AE79" s="67" t="n">
        <f aca="false">-AE39*Inputs!$B$90/30</f>
        <v>9073.78424534149</v>
      </c>
      <c r="AF79" s="67" t="n">
        <f aca="false">-AF39*Inputs!$B$90/30</f>
        <v>9089.12648505248</v>
      </c>
      <c r="AG79" s="67" t="n">
        <f aca="false">-AG39*Inputs!$B$90/30</f>
        <v>9104.2232489281</v>
      </c>
      <c r="AH79" s="67" t="n">
        <f aca="false">-AH39*Inputs!$B$90/30</f>
        <v>9119.07846458172</v>
      </c>
      <c r="AI79" s="67" t="n">
        <f aca="false">-AI39*Inputs!$B$90/30</f>
        <v>9133.69599678487</v>
      </c>
      <c r="AJ79" s="67" t="n">
        <f aca="false">-AJ39*Inputs!$B$90/30</f>
        <v>9148.07964847277</v>
      </c>
      <c r="AK79" s="67" t="n">
        <f aca="false">-AK39*Inputs!$B$90/30</f>
        <v>9162.23316173367</v>
      </c>
      <c r="AL79" s="67" t="n">
        <f aca="false">-AL39*Inputs!$B$90/30</f>
        <v>9176.16021878239</v>
      </c>
    </row>
    <row r="80" customFormat="false" ht="15" hidden="false" customHeight="false" outlineLevel="0" collapsed="false">
      <c r="A80" s="6" t="s">
        <v>93</v>
      </c>
      <c r="C80" s="67" t="n">
        <f aca="false">-C39*Inputs!$B$91/30</f>
        <v>17156.7189592512</v>
      </c>
      <c r="D80" s="67" t="n">
        <f aca="false">-D39*Inputs!$B$91/30</f>
        <v>17196.0682561633</v>
      </c>
      <c r="E80" s="67" t="n">
        <f aca="false">-E39*Inputs!$B$91/30</f>
        <v>17234.7879643248</v>
      </c>
      <c r="F80" s="67" t="n">
        <f aca="false">-F39*Inputs!$B$91/30</f>
        <v>17272.8881571557</v>
      </c>
      <c r="G80" s="67" t="n">
        <f aca="false">-G39*Inputs!$B$91/30</f>
        <v>17310.3787469013</v>
      </c>
      <c r="H80" s="67" t="n">
        <f aca="false">-H39*Inputs!$B$91/30</f>
        <v>17347.2694872109</v>
      </c>
      <c r="I80" s="67" t="n">
        <f aca="false">-I39*Inputs!$B$91/30</f>
        <v>17383.5699756757</v>
      </c>
      <c r="J80" s="67" t="n">
        <f aca="false">-J39*Inputs!$B$91/30</f>
        <v>17419.289656325</v>
      </c>
      <c r="K80" s="67" t="n">
        <f aca="false">-K39*Inputs!$B$91/30</f>
        <v>17454.4378220838</v>
      </c>
      <c r="L80" s="67" t="n">
        <f aca="false">-L39*Inputs!$B$91/30</f>
        <v>17489.0236171906</v>
      </c>
      <c r="M80" s="67" t="n">
        <f aca="false">-M39*Inputs!$B$91/30</f>
        <v>17523.0560395757</v>
      </c>
      <c r="N80" s="67" t="n">
        <f aca="false">-N39*Inputs!$B$91/30</f>
        <v>17556.5439432025</v>
      </c>
      <c r="O80" s="67" t="n">
        <f aca="false">-O39*Inputs!$B$91/30</f>
        <v>17971.2784571433</v>
      </c>
      <c r="P80" s="67" t="n">
        <f aca="false">-P39*Inputs!$B$91/30</f>
        <v>18007.6804280258</v>
      </c>
      <c r="Q80" s="67" t="n">
        <f aca="false">-Q39*Inputs!$B$91/30</f>
        <v>18043.4999673741</v>
      </c>
      <c r="R80" s="67" t="n">
        <f aca="false">-R39*Inputs!$B$91/30</f>
        <v>18078.7463940928</v>
      </c>
      <c r="S80" s="67" t="n">
        <f aca="false">-S39*Inputs!$B$91/30</f>
        <v>18113.4288779841</v>
      </c>
      <c r="T80" s="67" t="n">
        <f aca="false">-T39*Inputs!$B$91/30</f>
        <v>18147.5564421331</v>
      </c>
      <c r="U80" s="67" t="n">
        <f aca="false">-U39*Inputs!$B$91/30</f>
        <v>18181.1379652557</v>
      </c>
      <c r="V80" s="67" t="n">
        <f aca="false">-V39*Inputs!$B$91/30</f>
        <v>18214.1821840083</v>
      </c>
      <c r="W80" s="67" t="n">
        <f aca="false">-W39*Inputs!$B$91/30</f>
        <v>18246.6976952609</v>
      </c>
      <c r="X80" s="67" t="n">
        <f aca="false">-X39*Inputs!$B$91/30</f>
        <v>18278.6929583334</v>
      </c>
      <c r="Y80" s="67" t="n">
        <f aca="false">-Y39*Inputs!$B$91/30</f>
        <v>18310.1762971968</v>
      </c>
      <c r="Z80" s="67" t="n">
        <f aca="false">-Z39*Inputs!$B$91/30</f>
        <v>18341.1559026384</v>
      </c>
      <c r="AA80" s="67" t="n">
        <f aca="false">-AA39*Inputs!$B$91/30</f>
        <v>18770.5827473411</v>
      </c>
      <c r="AB80" s="67" t="n">
        <f aca="false">-AB39*Inputs!$B$91/30</f>
        <v>18804.6758976263</v>
      </c>
      <c r="AC80" s="67" t="n">
        <f aca="false">-AC39*Inputs!$B$91/30</f>
        <v>18838.2235575069</v>
      </c>
      <c r="AD80" s="67" t="n">
        <f aca="false">-AD39*Inputs!$B$91/30</f>
        <v>18871.2344548294</v>
      </c>
      <c r="AE80" s="67" t="n">
        <f aca="false">-AE39*Inputs!$B$91/30</f>
        <v>18903.7171777948</v>
      </c>
      <c r="AF80" s="67" t="n">
        <f aca="false">-AF39*Inputs!$B$91/30</f>
        <v>18935.6801771927</v>
      </c>
      <c r="AG80" s="67" t="n">
        <f aca="false">-AG39*Inputs!$B$91/30</f>
        <v>18967.1317686002</v>
      </c>
      <c r="AH80" s="67" t="n">
        <f aca="false">-AH39*Inputs!$B$91/30</f>
        <v>18998.0801345452</v>
      </c>
      <c r="AI80" s="67" t="n">
        <f aca="false">-AI39*Inputs!$B$91/30</f>
        <v>19028.5333266351</v>
      </c>
      <c r="AJ80" s="67" t="n">
        <f aca="false">-AJ39*Inputs!$B$91/30</f>
        <v>19058.4992676516</v>
      </c>
      <c r="AK80" s="67" t="n">
        <f aca="false">-AK39*Inputs!$B$91/30</f>
        <v>19087.9857536118</v>
      </c>
      <c r="AL80" s="67" t="n">
        <f aca="false">-AL39*Inputs!$B$91/30</f>
        <v>19117.0004557967</v>
      </c>
    </row>
    <row r="81" customFormat="false" ht="15" hidden="false" customHeight="false" outlineLevel="0" collapsed="false">
      <c r="A81" s="6" t="s">
        <v>365</v>
      </c>
      <c r="C81" s="67" t="n">
        <f aca="false">-C78</f>
        <v>-94523.5139603865</v>
      </c>
      <c r="D81" s="67" t="n">
        <f aca="false">C78-D78</f>
        <v>-225.116563169038</v>
      </c>
      <c r="E81" s="67" t="n">
        <f aca="false">D78-E78</f>
        <v>-221.514698158397</v>
      </c>
      <c r="F81" s="67" t="n">
        <f aca="false">E78-F78</f>
        <v>-217.97046298784</v>
      </c>
      <c r="G81" s="67" t="n">
        <f aca="false">F78-G78</f>
        <v>-214.482935580018</v>
      </c>
      <c r="H81" s="67" t="n">
        <f aca="false">G78-H78</f>
        <v>-211.051208610748</v>
      </c>
      <c r="I81" s="67" t="n">
        <f aca="false">H78-I78</f>
        <v>-207.674389273001</v>
      </c>
      <c r="J81" s="67" t="n">
        <f aca="false">I78-J78</f>
        <v>-204.351599044603</v>
      </c>
      <c r="K81" s="67" t="n">
        <f aca="false">J78-K78</f>
        <v>-201.081973459906</v>
      </c>
      <c r="L81" s="67" t="n">
        <f aca="false">K78-L78</f>
        <v>-197.864661884538</v>
      </c>
      <c r="M81" s="67" t="n">
        <f aca="false">L78-M78</f>
        <v>-194.698827294385</v>
      </c>
      <c r="N81" s="67" t="n">
        <f aca="false">M78-N78</f>
        <v>-191.583646057683</v>
      </c>
      <c r="O81" s="67" t="n">
        <f aca="false">N78-O78</f>
        <v>-2256.04821873331</v>
      </c>
      <c r="P81" s="67" t="n">
        <f aca="false">O78-P78</f>
        <v>-208.254968213165</v>
      </c>
      <c r="Q81" s="67" t="n">
        <f aca="false">P78-Q78</f>
        <v>-204.922888721776</v>
      </c>
      <c r="R81" s="67" t="n">
        <f aca="false">Q78-R78</f>
        <v>-201.644122502199</v>
      </c>
      <c r="S81" s="67" t="n">
        <f aca="false">R78-S78</f>
        <v>-198.417816542191</v>
      </c>
      <c r="T81" s="67" t="n">
        <f aca="false">S78-T78</f>
        <v>-195.243131477488</v>
      </c>
      <c r="U81" s="67" t="n">
        <f aca="false">T78-U78</f>
        <v>-192.119241373846</v>
      </c>
      <c r="V81" s="67" t="n">
        <f aca="false">U78-V78</f>
        <v>-189.04533351188</v>
      </c>
      <c r="W81" s="67" t="n">
        <f aca="false">V78-W78</f>
        <v>-186.020608175706</v>
      </c>
      <c r="X81" s="67" t="n">
        <f aca="false">W78-X78</f>
        <v>-183.044278444824</v>
      </c>
      <c r="Y81" s="67" t="n">
        <f aca="false">X78-Y78</f>
        <v>-180.115569989794</v>
      </c>
      <c r="Z81" s="67" t="n">
        <f aca="false">Y78-Z78</f>
        <v>-177.233720869961</v>
      </c>
      <c r="AA81" s="67" t="n">
        <f aca="false">Z78-AA78</f>
        <v>-2335.54128097677</v>
      </c>
      <c r="AB81" s="67" t="n">
        <f aca="false">AA78-AB78</f>
        <v>-195.046250431231</v>
      </c>
      <c r="AC81" s="67" t="n">
        <f aca="false">AB78-AC78</f>
        <v>-191.925510424277</v>
      </c>
      <c r="AD81" s="67" t="n">
        <f aca="false">AC78-AD78</f>
        <v>-188.854702257493</v>
      </c>
      <c r="AE81" s="67" t="n">
        <f aca="false">AD78-AE78</f>
        <v>-185.833027021392</v>
      </c>
      <c r="AF81" s="67" t="n">
        <f aca="false">AE78-AF78</f>
        <v>-182.859698589076</v>
      </c>
      <c r="AG81" s="67" t="n">
        <f aca="false">AF78-AG78</f>
        <v>-179.933943411612</v>
      </c>
      <c r="AH81" s="67" t="n">
        <f aca="false">AG78-AH78</f>
        <v>-177.05500031705</v>
      </c>
      <c r="AI81" s="67" t="n">
        <f aca="false">AH78-AI78</f>
        <v>-174.222120311926</v>
      </c>
      <c r="AJ81" s="67" t="n">
        <f aca="false">AI78-AJ78</f>
        <v>-171.434566387004</v>
      </c>
      <c r="AK81" s="67" t="n">
        <f aca="false">AJ78-AK78</f>
        <v>-168.691613324787</v>
      </c>
      <c r="AL81" s="67" t="n">
        <f aca="false">AK78-AL78</f>
        <v>-165.992547511574</v>
      </c>
    </row>
    <row r="82" customFormat="false" ht="15" hidden="false" customHeight="false" outlineLevel="0" collapsed="false">
      <c r="A82" s="6" t="s">
        <v>366</v>
      </c>
      <c r="C82" s="67" t="n">
        <f aca="false">-C79</f>
        <v>-8235.22510044058</v>
      </c>
      <c r="D82" s="67" t="n">
        <f aca="false">C79-D79</f>
        <v>-18.8876625177963</v>
      </c>
      <c r="E82" s="67" t="n">
        <f aca="false">D79-E79</f>
        <v>-18.5854599175109</v>
      </c>
      <c r="F82" s="67" t="n">
        <f aca="false">E79-F79</f>
        <v>-18.2880925588324</v>
      </c>
      <c r="G82" s="67" t="n">
        <f aca="false">F79-G79</f>
        <v>-17.9954830778897</v>
      </c>
      <c r="H82" s="67" t="n">
        <f aca="false">G79-H79</f>
        <v>-17.7075553486447</v>
      </c>
      <c r="I82" s="67" t="n">
        <f aca="false">H79-I79</f>
        <v>-17.4242344630657</v>
      </c>
      <c r="J82" s="67" t="n">
        <f aca="false">I79-J79</f>
        <v>-17.1454467116546</v>
      </c>
      <c r="K82" s="67" t="n">
        <f aca="false">J79-K79</f>
        <v>-16.8711195642718</v>
      </c>
      <c r="L82" s="67" t="n">
        <f aca="false">K79-L79</f>
        <v>-16.6011816512419</v>
      </c>
      <c r="M82" s="67" t="n">
        <f aca="false">L79-M79</f>
        <v>-16.3355627448218</v>
      </c>
      <c r="N82" s="67" t="n">
        <f aca="false">M79-N79</f>
        <v>-16.0741937409039</v>
      </c>
      <c r="O82" s="67" t="n">
        <f aca="false">N79-O79</f>
        <v>-199.072566691577</v>
      </c>
      <c r="P82" s="67" t="n">
        <f aca="false">O79-P79</f>
        <v>-17.4729460235722</v>
      </c>
      <c r="Q82" s="67" t="n">
        <f aca="false">P79-Q79</f>
        <v>-17.1933788871938</v>
      </c>
      <c r="R82" s="67" t="n">
        <f aca="false">Q79-R79</f>
        <v>-16.9182848249966</v>
      </c>
      <c r="S82" s="67" t="n">
        <f aca="false">R79-S79</f>
        <v>-16.6475922677964</v>
      </c>
      <c r="T82" s="67" t="n">
        <f aca="false">S79-T79</f>
        <v>-16.3812307915141</v>
      </c>
      <c r="U82" s="67" t="n">
        <f aca="false">T79-U79</f>
        <v>-16.119131098847</v>
      </c>
      <c r="V82" s="67" t="n">
        <f aca="false">U79-V79</f>
        <v>-15.861225001272</v>
      </c>
      <c r="W82" s="67" t="n">
        <f aca="false">V79-W79</f>
        <v>-15.6074454012432</v>
      </c>
      <c r="X82" s="67" t="n">
        <f aca="false">W79-X79</f>
        <v>-15.3577262748258</v>
      </c>
      <c r="Y82" s="67" t="n">
        <f aca="false">X79-Y79</f>
        <v>-15.1120026544286</v>
      </c>
      <c r="Z82" s="67" t="n">
        <f aca="false">Y79-Z79</f>
        <v>-14.8702106119599</v>
      </c>
      <c r="AA82" s="67" t="n">
        <f aca="false">Z79-AA79</f>
        <v>-206.124885457288</v>
      </c>
      <c r="AB82" s="67" t="n">
        <f aca="false">AA79-AB79</f>
        <v>-16.3647121368831</v>
      </c>
      <c r="AC82" s="67" t="n">
        <f aca="false">AB79-AC79</f>
        <v>-16.1028767426924</v>
      </c>
      <c r="AD82" s="67" t="n">
        <f aca="false">AC79-AD79</f>
        <v>-15.8452307148073</v>
      </c>
      <c r="AE82" s="67" t="n">
        <f aca="false">AD79-AE79</f>
        <v>-15.5917070233736</v>
      </c>
      <c r="AF82" s="67" t="n">
        <f aca="false">AE79-AF79</f>
        <v>-15.3422397109953</v>
      </c>
      <c r="AG82" s="67" t="n">
        <f aca="false">AF79-AG79</f>
        <v>-15.0967638756229</v>
      </c>
      <c r="AH82" s="67" t="n">
        <f aca="false">AG79-AH79</f>
        <v>-14.8552156536134</v>
      </c>
      <c r="AI82" s="67" t="n">
        <f aca="false">AH79-AI79</f>
        <v>-14.6175322031504</v>
      </c>
      <c r="AJ82" s="67" t="n">
        <f aca="false">AI79-AJ79</f>
        <v>-14.3836516879037</v>
      </c>
      <c r="AK82" s="67" t="n">
        <f aca="false">AJ79-AK79</f>
        <v>-14.1535132608988</v>
      </c>
      <c r="AL82" s="67" t="n">
        <f aca="false">AK79-AL79</f>
        <v>-13.9270570487242</v>
      </c>
    </row>
    <row r="83" customFormat="false" ht="15" hidden="false" customHeight="false" outlineLevel="0" collapsed="false">
      <c r="A83" s="6" t="s">
        <v>367</v>
      </c>
      <c r="C83" s="67" t="n">
        <f aca="false">C80</f>
        <v>17156.7189592512</v>
      </c>
      <c r="D83" s="67" t="n">
        <f aca="false">D80-C80</f>
        <v>39.349296912078</v>
      </c>
      <c r="E83" s="67" t="n">
        <f aca="false">E80-D80</f>
        <v>38.7197081614795</v>
      </c>
      <c r="F83" s="67" t="n">
        <f aca="false">F80-E80</f>
        <v>38.1001928309015</v>
      </c>
      <c r="G83" s="67" t="n">
        <f aca="false">G80-F80</f>
        <v>37.4905897456047</v>
      </c>
      <c r="H83" s="67" t="n">
        <f aca="false">H80-G80</f>
        <v>36.8907403096746</v>
      </c>
      <c r="I83" s="67" t="n">
        <f aca="false">I80-H80</f>
        <v>36.3004884647235</v>
      </c>
      <c r="J83" s="67" t="n">
        <f aca="false">J80-I80</f>
        <v>35.7196806492793</v>
      </c>
      <c r="K83" s="67" t="n">
        <f aca="false">K80-J80</f>
        <v>35.1481657588956</v>
      </c>
      <c r="L83" s="67" t="n">
        <f aca="false">L80-K80</f>
        <v>34.5857951067592</v>
      </c>
      <c r="M83" s="67" t="n">
        <f aca="false">M80-L80</f>
        <v>34.0324223850475</v>
      </c>
      <c r="N83" s="67" t="n">
        <f aca="false">N80-M80</f>
        <v>33.4879036268794</v>
      </c>
      <c r="O83" s="67" t="n">
        <f aca="false">O80-N80</f>
        <v>414.734513940788</v>
      </c>
      <c r="P83" s="67" t="n">
        <f aca="false">P80-O80</f>
        <v>36.4019708824417</v>
      </c>
      <c r="Q83" s="67" t="n">
        <f aca="false">Q80-P80</f>
        <v>35.8195393483147</v>
      </c>
      <c r="R83" s="67" t="n">
        <f aca="false">R80-Q80</f>
        <v>35.2464267187424</v>
      </c>
      <c r="S83" s="67" t="n">
        <f aca="false">S80-R80</f>
        <v>34.6824838912471</v>
      </c>
      <c r="T83" s="67" t="n">
        <f aca="false">T80-S80</f>
        <v>34.1275641489847</v>
      </c>
      <c r="U83" s="67" t="n">
        <f aca="false">U80-T80</f>
        <v>33.5815231226006</v>
      </c>
      <c r="V83" s="67" t="n">
        <f aca="false">V80-U80</f>
        <v>33.044218752646</v>
      </c>
      <c r="W83" s="67" t="n">
        <f aca="false">W80-V80</f>
        <v>32.5155112525936</v>
      </c>
      <c r="X83" s="67" t="n">
        <f aca="false">X80-W80</f>
        <v>31.9952630725493</v>
      </c>
      <c r="Y83" s="67" t="n">
        <f aca="false">Y80-X80</f>
        <v>31.4833388633997</v>
      </c>
      <c r="Z83" s="67" t="n">
        <f aca="false">Z80-Y80</f>
        <v>30.9796054415783</v>
      </c>
      <c r="AA83" s="67" t="n">
        <f aca="false">AA80-Z80</f>
        <v>429.426844702684</v>
      </c>
      <c r="AB83" s="67" t="n">
        <f aca="false">AB80-AA80</f>
        <v>34.0931502851709</v>
      </c>
      <c r="AC83" s="67" t="n">
        <f aca="false">AC80-AB80</f>
        <v>33.547659880609</v>
      </c>
      <c r="AD83" s="67" t="n">
        <f aca="false">AD80-AC80</f>
        <v>33.0108973225179</v>
      </c>
      <c r="AE83" s="67" t="n">
        <f aca="false">AE80-AD80</f>
        <v>32.4827229653602</v>
      </c>
      <c r="AF83" s="67" t="n">
        <f aca="false">AF80-AE80</f>
        <v>31.9629993979106</v>
      </c>
      <c r="AG83" s="67" t="n">
        <f aca="false">AG80-AF80</f>
        <v>31.4515914075455</v>
      </c>
      <c r="AH83" s="67" t="n">
        <f aca="false">AH80-AG80</f>
        <v>30.948365945027</v>
      </c>
      <c r="AI83" s="67" t="n">
        <f aca="false">AI80-AH80</f>
        <v>30.453192089899</v>
      </c>
      <c r="AJ83" s="67" t="n">
        <f aca="false">AJ80-AI80</f>
        <v>29.9659410164641</v>
      </c>
      <c r="AK83" s="67" t="n">
        <f aca="false">AK80-AJ80</f>
        <v>29.4864859602094</v>
      </c>
      <c r="AL83" s="67" t="n">
        <f aca="false">AL80-AK80</f>
        <v>29.0147021848388</v>
      </c>
    </row>
    <row r="85" customFormat="false" ht="15.75" hidden="false" customHeight="true" outlineLevel="0" collapsed="false">
      <c r="A85" s="7" t="s">
        <v>443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customFormat="false" ht="15" hidden="false" customHeight="false" outlineLevel="0" collapsed="false">
      <c r="A86" s="4" t="s">
        <v>52</v>
      </c>
      <c r="C86" s="73" t="n">
        <f aca="false">C62-C67+C81+C82+C83</f>
        <v>-93627.463517436</v>
      </c>
      <c r="D86" s="73" t="n">
        <f aca="false">D62-D67+D81+D82+D83</f>
        <v>-7986.14582319913</v>
      </c>
      <c r="E86" s="73" t="n">
        <f aca="false">E62-E67+E81+E82+E83</f>
        <v>-7736.39646800781</v>
      </c>
      <c r="F86" s="73" t="n">
        <f aca="false">F62-F67+F81+F82+F83</f>
        <v>-7490.44072154711</v>
      </c>
      <c r="G86" s="73" t="n">
        <f aca="false">G62-G67+G81+G82+G83</f>
        <v>-7248.21788607743</v>
      </c>
      <c r="H86" s="73" t="n">
        <f aca="false">H62-H67+H81+H82+H83</f>
        <v>-7009.66823502288</v>
      </c>
      <c r="I86" s="73" t="n">
        <f aca="false">I62-I67+I81+I82+I83</f>
        <v>-6774.73299743283</v>
      </c>
      <c r="J86" s="73" t="n">
        <f aca="false">J62-J67+J81+J82+J83</f>
        <v>-6543.35434269183</v>
      </c>
      <c r="K86" s="73" t="n">
        <f aca="false">K62-K67+K81+K82+K83</f>
        <v>-6315.4753654743</v>
      </c>
      <c r="L86" s="73" t="n">
        <f aca="false">L62-L67+L81+L82+L83</f>
        <v>-6091.04007093986</v>
      </c>
      <c r="M86" s="73" t="n">
        <f aca="false">M62-M67+M81+M82+M83</f>
        <v>-5869.99336016562</v>
      </c>
      <c r="N86" s="73" t="n">
        <f aca="false">N62-N67+N81+N82+N83</f>
        <v>-5652.28101581138</v>
      </c>
      <c r="O86" s="73" t="n">
        <f aca="false">O62-O67+O81+O82+O83</f>
        <v>-10402.6421347254</v>
      </c>
      <c r="P86" s="73" t="n">
        <f aca="false">P62-P67+P81+P82+P83</f>
        <v>-8319.10361096252</v>
      </c>
      <c r="Q86" s="73" t="n">
        <f aca="false">Q62-Q67+Q81+Q82+Q83</f>
        <v>-8087.11347041355</v>
      </c>
      <c r="R86" s="73" t="n">
        <f aca="false">R62-R67+R81+R82+R83</f>
        <v>-7858.6327911609</v>
      </c>
      <c r="S86" s="73" t="n">
        <f aca="false">S62-S67+S81+S82+S83</f>
        <v>-7633.60542182402</v>
      </c>
      <c r="T86" s="73" t="n">
        <f aca="false">T62-T67+T81+T82+T83</f>
        <v>-7411.97610944408</v>
      </c>
      <c r="U86" s="73" t="n">
        <f aca="false">U62-U67+U81+U82+U83</f>
        <v>-7193.69048510987</v>
      </c>
      <c r="V86" s="73" t="n">
        <f aca="false">V62-V67+V81+V82+V83</f>
        <v>-6978.69504981262</v>
      </c>
      <c r="W86" s="73" t="n">
        <f aca="false">W62-W67+W81+W82+W83</f>
        <v>-6766.93716052775</v>
      </c>
      <c r="X86" s="73" t="n">
        <f aca="false">X62-X67+X81+X82+X83</f>
        <v>-6558.36501651904</v>
      </c>
      <c r="Y86" s="73" t="n">
        <f aca="false">Y62-Y67+Y81+Y82+Y83</f>
        <v>-6352.92764586214</v>
      </c>
      <c r="Z86" s="73" t="n">
        <f aca="false">Z62-Z67+Z81+Z82+Z83</f>
        <v>-6150.5748921833</v>
      </c>
      <c r="AA86" s="73" t="n">
        <f aca="false">AA62-AA67+AA81+AA82+AA83</f>
        <v>-11298.0101394462</v>
      </c>
      <c r="AB86" s="73" t="n">
        <f aca="false">AB62-AB67+AB81+AB82+AB83</f>
        <v>-9144.55326773965</v>
      </c>
      <c r="AC86" s="73" t="n">
        <f aca="false">AC62-AC67+AC81+AC82+AC83</f>
        <v>-8926.47500532872</v>
      </c>
      <c r="AD86" s="73" t="n">
        <f aca="false">AD62-AD67+AD81+AD82+AD83</f>
        <v>-8711.68361416404</v>
      </c>
      <c r="AE86" s="73" t="n">
        <f aca="false">AE62-AE67+AE81+AE82+AE83</f>
        <v>-8500.12650430559</v>
      </c>
      <c r="AF86" s="73" t="n">
        <f aca="false">AF62-AF67+AF81+AF82+AF83</f>
        <v>-8291.75192725251</v>
      </c>
      <c r="AG86" s="73" t="n">
        <f aca="false">AG62-AG67+AG81+AG82+AG83</f>
        <v>-8086.50896247984</v>
      </c>
      <c r="AH86" s="73" t="n">
        <f aca="false">AH62-AH67+AH81+AH82+AH83</f>
        <v>-7884.34750419121</v>
      </c>
      <c r="AI86" s="73" t="n">
        <f aca="false">AI62-AI67+AI81+AI82+AI83</f>
        <v>-7685.21824828277</v>
      </c>
      <c r="AJ86" s="73" t="n">
        <f aca="false">AJ62-AJ67+AJ81+AJ82+AJ83</f>
        <v>-7489.07267951656</v>
      </c>
      <c r="AK86" s="73" t="n">
        <f aca="false">AK62-AK67+AK81+AK82+AK83</f>
        <v>-7295.86305889815</v>
      </c>
      <c r="AL86" s="73" t="n">
        <f aca="false">AL62-AL67+AL81+AL82+AL83</f>
        <v>-7105.54241125728</v>
      </c>
    </row>
    <row r="87" customFormat="false" ht="15" hidden="false" customHeight="false" outlineLevel="0" collapsed="false">
      <c r="A87" s="6" t="s">
        <v>444</v>
      </c>
      <c r="C87" s="67" t="n">
        <f aca="false">-C65</f>
        <v>-61933.4355128261</v>
      </c>
      <c r="D87" s="67" t="n">
        <f aca="false">-D65</f>
        <v>-1938.0401698</v>
      </c>
      <c r="E87" s="67" t="n">
        <f aca="false">-E65</f>
        <v>-1942.57115226233</v>
      </c>
      <c r="F87" s="67" t="n">
        <f aca="false">-F65</f>
        <v>-1947.02963900526</v>
      </c>
      <c r="G87" s="67" t="n">
        <f aca="false">-G65</f>
        <v>-1951.41678996031</v>
      </c>
      <c r="H87" s="67" t="n">
        <f aca="false">-H65</f>
        <v>-1955.73374650007</v>
      </c>
      <c r="I87" s="67" t="n">
        <f aca="false">-I65</f>
        <v>-1959.9816317352</v>
      </c>
      <c r="J87" s="67" t="n">
        <f aca="false">-J65</f>
        <v>-1964.16155080657</v>
      </c>
      <c r="K87" s="67" t="n">
        <f aca="false">-K65</f>
        <v>-1968.2745911728</v>
      </c>
      <c r="L87" s="67" t="n">
        <f aca="false">-L65</f>
        <v>-1972.32182289316</v>
      </c>
      <c r="M87" s="67" t="n">
        <f aca="false">-M65</f>
        <v>-1976.304298906</v>
      </c>
      <c r="N87" s="67" t="n">
        <f aca="false">-N65</f>
        <v>-1980.22305530264</v>
      </c>
      <c r="O87" s="67" t="n">
        <f aca="false">-O65</f>
        <v>-2026.36949614036</v>
      </c>
      <c r="P87" s="67" t="n">
        <f aca="false">-P65</f>
        <v>-2030.62925685381</v>
      </c>
      <c r="Q87" s="67" t="n">
        <f aca="false">-Q65</f>
        <v>-2034.82086139585</v>
      </c>
      <c r="R87" s="67" t="n">
        <f aca="false">-R65</f>
        <v>-2038.94540026521</v>
      </c>
      <c r="S87" s="67" t="n">
        <f aca="false">-S65</f>
        <v>-2043.00394651267</v>
      </c>
      <c r="T87" s="67" t="n">
        <f aca="false">-T65</f>
        <v>-2046.99755602016</v>
      </c>
      <c r="U87" s="67" t="n">
        <f aca="false">-U65</f>
        <v>-2050.92726777554</v>
      </c>
      <c r="V87" s="67" t="n">
        <f aca="false">-V65</f>
        <v>-2054.79410414282</v>
      </c>
      <c r="W87" s="67" t="n">
        <f aca="false">-W65</f>
        <v>-2058.59907112824</v>
      </c>
      <c r="X87" s="67" t="n">
        <f aca="false">-X65</f>
        <v>-2062.34315864188</v>
      </c>
      <c r="Y87" s="67" t="n">
        <f aca="false">-Y65</f>
        <v>-2066.02734075531</v>
      </c>
      <c r="Z87" s="67" t="n">
        <f aca="false">-Z65</f>
        <v>-2069.65257595492</v>
      </c>
      <c r="AA87" s="67" t="n">
        <f aca="false">-AA65</f>
        <v>-2117.42501124763</v>
      </c>
      <c r="AB87" s="67" t="n">
        <f aca="false">-AB65</f>
        <v>-2121.41459364281</v>
      </c>
      <c r="AC87" s="67" t="n">
        <f aca="false">-AC65</f>
        <v>-2125.34034271967</v>
      </c>
      <c r="AD87" s="67" t="n">
        <f aca="false">-AD65</f>
        <v>-2129.2032798113</v>
      </c>
      <c r="AE87" s="67" t="n">
        <f aca="false">-AE65</f>
        <v>-2133.00440990947</v>
      </c>
      <c r="AF87" s="67" t="n">
        <f aca="false">-AF65</f>
        <v>-2136.74472192606</v>
      </c>
      <c r="AG87" s="67" t="n">
        <f aca="false">-AG65</f>
        <v>-2140.42518895039</v>
      </c>
      <c r="AH87" s="67" t="n">
        <f aca="false">-AH65</f>
        <v>-2144.04676850233</v>
      </c>
      <c r="AI87" s="67" t="n">
        <f aca="false">-AI65</f>
        <v>-2147.61040278144</v>
      </c>
      <c r="AJ87" s="67" t="n">
        <f aca="false">-AJ65</f>
        <v>-2151.11701891208</v>
      </c>
      <c r="AK87" s="67" t="n">
        <f aca="false">-AK65</f>
        <v>-2154.56752918463</v>
      </c>
      <c r="AL87" s="67" t="n">
        <f aca="false">-AL65</f>
        <v>-2157.96283129282</v>
      </c>
    </row>
    <row r="88" customFormat="false" ht="15" hidden="false" customHeight="false" outlineLevel="0" collapsed="false">
      <c r="A88" s="6" t="s">
        <v>63</v>
      </c>
      <c r="C88" s="67" t="n">
        <f aca="false">IF(C$6=1,Inputs!$B$83,0)</f>
        <v>100000</v>
      </c>
      <c r="D88" s="67" t="n">
        <f aca="false">IF(D$6=1,Inputs!$B$83,0)</f>
        <v>0</v>
      </c>
      <c r="E88" s="67" t="n">
        <f aca="false">IF(E$6=1,Inputs!$B$83,0)</f>
        <v>0</v>
      </c>
      <c r="F88" s="67" t="n">
        <f aca="false">IF(F$6=1,Inputs!$B$83,0)</f>
        <v>0</v>
      </c>
      <c r="G88" s="67" t="n">
        <f aca="false">IF(G$6=1,Inputs!$B$83,0)</f>
        <v>0</v>
      </c>
      <c r="H88" s="67" t="n">
        <f aca="false">IF(H$6=1,Inputs!$B$83,0)</f>
        <v>0</v>
      </c>
      <c r="I88" s="67" t="n">
        <f aca="false">IF(I$6=1,Inputs!$B$83,0)</f>
        <v>0</v>
      </c>
      <c r="J88" s="67" t="n">
        <f aca="false">IF(J$6=1,Inputs!$B$83,0)</f>
        <v>0</v>
      </c>
      <c r="K88" s="67" t="n">
        <f aca="false">IF(K$6=1,Inputs!$B$83,0)</f>
        <v>0</v>
      </c>
      <c r="L88" s="67" t="n">
        <f aca="false">IF(L$6=1,Inputs!$B$83,0)</f>
        <v>0</v>
      </c>
      <c r="M88" s="67" t="n">
        <f aca="false">IF(M$6=1,Inputs!$B$83,0)</f>
        <v>0</v>
      </c>
      <c r="N88" s="67" t="n">
        <f aca="false">IF(N$6=1,Inputs!$B$83,0)</f>
        <v>0</v>
      </c>
      <c r="O88" s="67" t="n">
        <f aca="false">IF(O$6=1,Inputs!$B$83,0)</f>
        <v>0</v>
      </c>
      <c r="P88" s="67" t="n">
        <f aca="false">IF(P$6=1,Inputs!$B$83,0)</f>
        <v>0</v>
      </c>
      <c r="Q88" s="67" t="n">
        <f aca="false">IF(Q$6=1,Inputs!$B$83,0)</f>
        <v>0</v>
      </c>
      <c r="R88" s="67" t="n">
        <f aca="false">IF(R$6=1,Inputs!$B$83,0)</f>
        <v>0</v>
      </c>
      <c r="S88" s="67" t="n">
        <f aca="false">IF(S$6=1,Inputs!$B$83,0)</f>
        <v>0</v>
      </c>
      <c r="T88" s="67" t="n">
        <f aca="false">IF(T$6=1,Inputs!$B$83,0)</f>
        <v>0</v>
      </c>
      <c r="U88" s="67" t="n">
        <f aca="false">IF(U$6=1,Inputs!$B$83,0)</f>
        <v>0</v>
      </c>
      <c r="V88" s="67" t="n">
        <f aca="false">IF(V$6=1,Inputs!$B$83,0)</f>
        <v>0</v>
      </c>
      <c r="W88" s="67" t="n">
        <f aca="false">IF(W$6=1,Inputs!$B$83,0)</f>
        <v>0</v>
      </c>
      <c r="X88" s="67" t="n">
        <f aca="false">IF(X$6=1,Inputs!$B$83,0)</f>
        <v>0</v>
      </c>
      <c r="Y88" s="67" t="n">
        <f aca="false">IF(Y$6=1,Inputs!$B$83,0)</f>
        <v>0</v>
      </c>
      <c r="Z88" s="67" t="n">
        <f aca="false">IF(Z$6=1,Inputs!$B$83,0)</f>
        <v>0</v>
      </c>
      <c r="AA88" s="67" t="n">
        <f aca="false">IF(AA$6=1,Inputs!$B$83,0)</f>
        <v>0</v>
      </c>
      <c r="AB88" s="67" t="n">
        <f aca="false">IF(AB$6=1,Inputs!$B$83,0)</f>
        <v>0</v>
      </c>
      <c r="AC88" s="67" t="n">
        <f aca="false">IF(AC$6=1,Inputs!$B$83,0)</f>
        <v>0</v>
      </c>
      <c r="AD88" s="67" t="n">
        <f aca="false">IF(AD$6=1,Inputs!$B$83,0)</f>
        <v>0</v>
      </c>
      <c r="AE88" s="67" t="n">
        <f aca="false">IF(AE$6=1,Inputs!$B$83,0)</f>
        <v>0</v>
      </c>
      <c r="AF88" s="67" t="n">
        <f aca="false">IF(AF$6=1,Inputs!$B$83,0)</f>
        <v>0</v>
      </c>
      <c r="AG88" s="67" t="n">
        <f aca="false">IF(AG$6=1,Inputs!$B$83,0)</f>
        <v>0</v>
      </c>
      <c r="AH88" s="67" t="n">
        <f aca="false">IF(AH$6=1,Inputs!$B$83,0)</f>
        <v>0</v>
      </c>
      <c r="AI88" s="67" t="n">
        <f aca="false">IF(AI$6=1,Inputs!$B$83,0)</f>
        <v>0</v>
      </c>
      <c r="AJ88" s="67" t="n">
        <f aca="false">IF(AJ$6=1,Inputs!$B$83,0)</f>
        <v>0</v>
      </c>
      <c r="AK88" s="67" t="n">
        <f aca="false">IF(AK$6=1,Inputs!$B$83,0)</f>
        <v>0</v>
      </c>
      <c r="AL88" s="67" t="n">
        <f aca="false">IF(AL$6=1,Inputs!$B$83,0)</f>
        <v>0</v>
      </c>
    </row>
    <row r="89" customFormat="false" ht="15" hidden="false" customHeight="false" outlineLevel="0" collapsed="false">
      <c r="A89" s="6" t="s">
        <v>54</v>
      </c>
      <c r="C89" s="67" t="n">
        <f aca="false">C88+C73+C74</f>
        <v>250000</v>
      </c>
      <c r="D89" s="67" t="n">
        <f aca="false">D88+D73+D74</f>
        <v>-1785.71428571429</v>
      </c>
      <c r="E89" s="67" t="n">
        <f aca="false">E88+E73+E74</f>
        <v>-1785.71428571429</v>
      </c>
      <c r="F89" s="67" t="n">
        <f aca="false">F88+F73+F74</f>
        <v>-1785.71428571429</v>
      </c>
      <c r="G89" s="67" t="n">
        <f aca="false">G88+G73+G74</f>
        <v>-1785.71428571429</v>
      </c>
      <c r="H89" s="67" t="n">
        <f aca="false">H88+H73+H74</f>
        <v>-1785.71428571429</v>
      </c>
      <c r="I89" s="67" t="n">
        <f aca="false">I88+I73+I74</f>
        <v>-1785.71428571429</v>
      </c>
      <c r="J89" s="67" t="n">
        <f aca="false">J88+J73+J74</f>
        <v>-1785.71428571429</v>
      </c>
      <c r="K89" s="67" t="n">
        <f aca="false">K88+K73+K74</f>
        <v>-1785.71428571429</v>
      </c>
      <c r="L89" s="67" t="n">
        <f aca="false">L88+L73+L74</f>
        <v>-1785.71428571429</v>
      </c>
      <c r="M89" s="67" t="n">
        <f aca="false">M88+M73+M74</f>
        <v>-1785.71428571429</v>
      </c>
      <c r="N89" s="67" t="n">
        <f aca="false">N88+N73+N74</f>
        <v>-1785.71428571429</v>
      </c>
      <c r="O89" s="67" t="n">
        <f aca="false">O88+O73+O74</f>
        <v>-1785.71428571429</v>
      </c>
      <c r="P89" s="67" t="n">
        <f aca="false">P88+P73+P74</f>
        <v>-1785.71428571429</v>
      </c>
      <c r="Q89" s="67" t="n">
        <f aca="false">Q88+Q73+Q74</f>
        <v>-1785.71428571429</v>
      </c>
      <c r="R89" s="67" t="n">
        <f aca="false">R88+R73+R74</f>
        <v>-1785.71428571429</v>
      </c>
      <c r="S89" s="67" t="n">
        <f aca="false">S88+S73+S74</f>
        <v>-1785.71428571429</v>
      </c>
      <c r="T89" s="67" t="n">
        <f aca="false">T88+T73+T74</f>
        <v>-1785.71428571429</v>
      </c>
      <c r="U89" s="67" t="n">
        <f aca="false">U88+U73+U74</f>
        <v>-1785.71428571429</v>
      </c>
      <c r="V89" s="67" t="n">
        <f aca="false">V88+V73+V74</f>
        <v>-1785.71428571429</v>
      </c>
      <c r="W89" s="67" t="n">
        <f aca="false">W88+W73+W74</f>
        <v>-1785.71428571429</v>
      </c>
      <c r="X89" s="67" t="n">
        <f aca="false">X88+X73+X74</f>
        <v>-1785.71428571429</v>
      </c>
      <c r="Y89" s="67" t="n">
        <f aca="false">Y88+Y73+Y74</f>
        <v>-1785.71428571429</v>
      </c>
      <c r="Z89" s="67" t="n">
        <f aca="false">Z88+Z73+Z74</f>
        <v>-1785.71428571429</v>
      </c>
      <c r="AA89" s="67" t="n">
        <f aca="false">AA88+AA73+AA74</f>
        <v>-1785.71428571429</v>
      </c>
      <c r="AB89" s="67" t="n">
        <f aca="false">AB88+AB73+AB74</f>
        <v>-1785.71428571429</v>
      </c>
      <c r="AC89" s="67" t="n">
        <f aca="false">AC88+AC73+AC74</f>
        <v>-1785.71428571429</v>
      </c>
      <c r="AD89" s="67" t="n">
        <f aca="false">AD88+AD73+AD74</f>
        <v>-1785.71428571429</v>
      </c>
      <c r="AE89" s="67" t="n">
        <f aca="false">AE88+AE73+AE74</f>
        <v>-1785.71428571429</v>
      </c>
      <c r="AF89" s="67" t="n">
        <f aca="false">AF88+AF73+AF74</f>
        <v>-1785.71428571429</v>
      </c>
      <c r="AG89" s="67" t="n">
        <f aca="false">AG88+AG73+AG74</f>
        <v>-1785.71428571429</v>
      </c>
      <c r="AH89" s="67" t="n">
        <f aca="false">AH88+AH73+AH74</f>
        <v>-1785.71428571429</v>
      </c>
      <c r="AI89" s="67" t="n">
        <f aca="false">AI88+AI73+AI74</f>
        <v>-1785.71428571429</v>
      </c>
      <c r="AJ89" s="67" t="n">
        <f aca="false">AJ88+AJ73+AJ74</f>
        <v>-1785.71428571429</v>
      </c>
      <c r="AK89" s="67" t="n">
        <f aca="false">AK88+AK73+AK74</f>
        <v>-1785.71428571429</v>
      </c>
      <c r="AL89" s="67" t="n">
        <f aca="false">AL88+AL73+AL74</f>
        <v>-1785.71428571429</v>
      </c>
    </row>
    <row r="90" customFormat="false" ht="15" hidden="false" customHeight="false" outlineLevel="0" collapsed="false">
      <c r="A90" s="111" t="s">
        <v>445</v>
      </c>
      <c r="C90" s="68" t="n">
        <f aca="false">C86+C87+C89</f>
        <v>94439.1009697379</v>
      </c>
      <c r="D90" s="68" t="n">
        <f aca="false">D86+D87+D89</f>
        <v>-11709.9002787134</v>
      </c>
      <c r="E90" s="68" t="n">
        <f aca="false">E86+E87+E89</f>
        <v>-11464.6819059844</v>
      </c>
      <c r="F90" s="68" t="n">
        <f aca="false">F86+F87+F89</f>
        <v>-11223.1846462667</v>
      </c>
      <c r="G90" s="68" t="n">
        <f aca="false">G86+G87+G89</f>
        <v>-10985.348961752</v>
      </c>
      <c r="H90" s="68" t="n">
        <f aca="false">H86+H87+H89</f>
        <v>-10751.1162672372</v>
      </c>
      <c r="I90" s="68" t="n">
        <f aca="false">I86+I87+I89</f>
        <v>-10520.4289148823</v>
      </c>
      <c r="J90" s="68" t="n">
        <f aca="false">J86+J87+J89</f>
        <v>-10293.2301792127</v>
      </c>
      <c r="K90" s="68" t="n">
        <f aca="false">K86+K87+K89</f>
        <v>-10069.4642423614</v>
      </c>
      <c r="L90" s="68" t="n">
        <f aca="false">L86+L87+L89</f>
        <v>-9849.07617954731</v>
      </c>
      <c r="M90" s="68" t="n">
        <f aca="false">M86+M87+M89</f>
        <v>-9632.01194478591</v>
      </c>
      <c r="N90" s="68" t="n">
        <f aca="false">N86+N87+N89</f>
        <v>-9418.2183568283</v>
      </c>
      <c r="O90" s="68" t="n">
        <f aca="false">O86+O87+O89</f>
        <v>-14214.72591658</v>
      </c>
      <c r="P90" s="68" t="n">
        <f aca="false">P86+P87+P89</f>
        <v>-12135.4471535306</v>
      </c>
      <c r="Q90" s="68" t="n">
        <f aca="false">Q86+Q87+Q89</f>
        <v>-11907.6486175237</v>
      </c>
      <c r="R90" s="68" t="n">
        <f aca="false">R86+R87+R89</f>
        <v>-11683.2924771404</v>
      </c>
      <c r="S90" s="68" t="n">
        <f aca="false">S86+S87+S89</f>
        <v>-11462.323654051</v>
      </c>
      <c r="T90" s="68" t="n">
        <f aca="false">T86+T87+T89</f>
        <v>-11244.6879511785</v>
      </c>
      <c r="U90" s="68" t="n">
        <f aca="false">U86+U87+U89</f>
        <v>-11030.3320385997</v>
      </c>
      <c r="V90" s="68" t="n">
        <f aca="false">V86+V87+V89</f>
        <v>-10819.2034396697</v>
      </c>
      <c r="W90" s="68" t="n">
        <f aca="false">W86+W87+W89</f>
        <v>-10611.2505173703</v>
      </c>
      <c r="X90" s="68" t="n">
        <f aca="false">X86+X87+X89</f>
        <v>-10406.4224608752</v>
      </c>
      <c r="Y90" s="68" t="n">
        <f aca="false">Y86+Y87+Y89</f>
        <v>-10204.6692723317</v>
      </c>
      <c r="Z90" s="68" t="n">
        <f aca="false">Z86+Z87+Z89</f>
        <v>-10005.9417538525</v>
      </c>
      <c r="AA90" s="68" t="n">
        <f aca="false">AA86+AA87+AA89</f>
        <v>-15201.1494364082</v>
      </c>
      <c r="AB90" s="68" t="n">
        <f aca="false">AB86+AB87+AB89</f>
        <v>-13051.6821470967</v>
      </c>
      <c r="AC90" s="68" t="n">
        <f aca="false">AC86+AC87+AC89</f>
        <v>-12837.5296337627</v>
      </c>
      <c r="AD90" s="68" t="n">
        <f aca="false">AD86+AD87+AD89</f>
        <v>-12626.6011796896</v>
      </c>
      <c r="AE90" s="68" t="n">
        <f aca="false">AE86+AE87+AE89</f>
        <v>-12418.8451999293</v>
      </c>
      <c r="AF90" s="68" t="n">
        <f aca="false">AF86+AF87+AF89</f>
        <v>-12214.2109348929</v>
      </c>
      <c r="AG90" s="68" t="n">
        <f aca="false">AG86+AG87+AG89</f>
        <v>-12012.6484371445</v>
      </c>
      <c r="AH90" s="68" t="n">
        <f aca="false">AH86+AH87+AH89</f>
        <v>-11814.1085584078</v>
      </c>
      <c r="AI90" s="68" t="n">
        <f aca="false">AI86+AI87+AI89</f>
        <v>-11618.5429367785</v>
      </c>
      <c r="AJ90" s="68" t="n">
        <f aca="false">AJ86+AJ87+AJ89</f>
        <v>-11425.9039841429</v>
      </c>
      <c r="AK90" s="68" t="n">
        <f aca="false">AK86+AK87+AK89</f>
        <v>-11236.1448737971</v>
      </c>
      <c r="AL90" s="68" t="n">
        <f aca="false">AL86+AL87+AL89</f>
        <v>-11049.2195282644</v>
      </c>
    </row>
    <row r="91" customFormat="false" ht="15" hidden="false" customHeight="false" outlineLevel="0" collapsed="false">
      <c r="A91" s="6" t="s">
        <v>368</v>
      </c>
      <c r="C91" s="67" t="n">
        <f aca="false">0</f>
        <v>0</v>
      </c>
      <c r="D91" s="67" t="n">
        <f aca="false">C92</f>
        <v>94439.1009697379</v>
      </c>
      <c r="E91" s="67" t="n">
        <f aca="false">D92</f>
        <v>82729.2006910245</v>
      </c>
      <c r="F91" s="67" t="n">
        <f aca="false">E92</f>
        <v>71264.5187850401</v>
      </c>
      <c r="G91" s="67" t="n">
        <f aca="false">F92</f>
        <v>60041.3341387734</v>
      </c>
      <c r="H91" s="67" t="n">
        <f aca="false">G92</f>
        <v>49055.9851770214</v>
      </c>
      <c r="I91" s="67" t="n">
        <f aca="false">H92</f>
        <v>38304.8689097842</v>
      </c>
      <c r="J91" s="67" t="n">
        <f aca="false">I92</f>
        <v>27784.4399949018</v>
      </c>
      <c r="K91" s="67" t="n">
        <f aca="false">J92</f>
        <v>17491.2098156892</v>
      </c>
      <c r="L91" s="67" t="n">
        <f aca="false">K92</f>
        <v>7421.74557332777</v>
      </c>
      <c r="M91" s="67" t="n">
        <f aca="false">L92</f>
        <v>-2427.33060621954</v>
      </c>
      <c r="N91" s="67" t="n">
        <f aca="false">M92</f>
        <v>-12059.3425510054</v>
      </c>
      <c r="O91" s="67" t="n">
        <f aca="false">N92</f>
        <v>-21477.5609078337</v>
      </c>
      <c r="P91" s="67" t="n">
        <f aca="false">O92</f>
        <v>-35692.2868244138</v>
      </c>
      <c r="Q91" s="67" t="n">
        <f aca="false">P92</f>
        <v>-47827.7339779444</v>
      </c>
      <c r="R91" s="67" t="n">
        <f aca="false">Q92</f>
        <v>-59735.3825954681</v>
      </c>
      <c r="S91" s="67" t="n">
        <f aca="false">R92</f>
        <v>-71418.6750726085</v>
      </c>
      <c r="T91" s="67" t="n">
        <f aca="false">S92</f>
        <v>-82880.9987266595</v>
      </c>
      <c r="U91" s="67" t="n">
        <f aca="false">T92</f>
        <v>-94125.686677838</v>
      </c>
      <c r="V91" s="67" t="n">
        <f aca="false">U92</f>
        <v>-105156.018716438</v>
      </c>
      <c r="W91" s="67" t="n">
        <f aca="false">V92</f>
        <v>-115975.222156107</v>
      </c>
      <c r="X91" s="67" t="n">
        <f aca="false">W92</f>
        <v>-126586.472673478</v>
      </c>
      <c r="Y91" s="67" t="n">
        <f aca="false">X92</f>
        <v>-136992.895134353</v>
      </c>
      <c r="Z91" s="67" t="n">
        <f aca="false">Y92</f>
        <v>-147197.564406685</v>
      </c>
      <c r="AA91" s="67" t="n">
        <f aca="false">Z92</f>
        <v>-157203.506160537</v>
      </c>
      <c r="AB91" s="67" t="n">
        <f aca="false">AA92</f>
        <v>-172404.655596945</v>
      </c>
      <c r="AC91" s="67" t="n">
        <f aca="false">AB92</f>
        <v>-185456.337744042</v>
      </c>
      <c r="AD91" s="67" t="n">
        <f aca="false">AC92</f>
        <v>-198293.867377805</v>
      </c>
      <c r="AE91" s="67" t="n">
        <f aca="false">AD92</f>
        <v>-210920.468557494</v>
      </c>
      <c r="AF91" s="67" t="n">
        <f aca="false">AE92</f>
        <v>-223339.313757424</v>
      </c>
      <c r="AG91" s="67" t="n">
        <f aca="false">AF92</f>
        <v>-235553.524692317</v>
      </c>
      <c r="AH91" s="67" t="n">
        <f aca="false">AG92</f>
        <v>-247566.173129461</v>
      </c>
      <c r="AI91" s="67" t="n">
        <f aca="false">AH92</f>
        <v>-259380.281687869</v>
      </c>
      <c r="AJ91" s="67" t="n">
        <f aca="false">AI92</f>
        <v>-270998.824624647</v>
      </c>
      <c r="AK91" s="67" t="n">
        <f aca="false">AJ92</f>
        <v>-282424.72860879</v>
      </c>
      <c r="AL91" s="67" t="n">
        <f aca="false">AK92</f>
        <v>-293660.873482587</v>
      </c>
    </row>
    <row r="92" customFormat="false" ht="15" hidden="false" customHeight="false" outlineLevel="0" collapsed="false">
      <c r="A92" s="111" t="s">
        <v>86</v>
      </c>
      <c r="C92" s="68" t="n">
        <f aca="false">C91+C90</f>
        <v>94439.1009697379</v>
      </c>
      <c r="D92" s="68" t="n">
        <f aca="false">D91+D90</f>
        <v>82729.2006910245</v>
      </c>
      <c r="E92" s="68" t="n">
        <f aca="false">E91+E90</f>
        <v>71264.5187850401</v>
      </c>
      <c r="F92" s="68" t="n">
        <f aca="false">F91+F90</f>
        <v>60041.3341387734</v>
      </c>
      <c r="G92" s="68" t="n">
        <f aca="false">G91+G90</f>
        <v>49055.9851770214</v>
      </c>
      <c r="H92" s="68" t="n">
        <f aca="false">H91+H90</f>
        <v>38304.8689097842</v>
      </c>
      <c r="I92" s="68" t="n">
        <f aca="false">I91+I90</f>
        <v>27784.4399949018</v>
      </c>
      <c r="J92" s="68" t="n">
        <f aca="false">J91+J90</f>
        <v>17491.2098156892</v>
      </c>
      <c r="K92" s="68" t="n">
        <f aca="false">K91+K90</f>
        <v>7421.74557332777</v>
      </c>
      <c r="L92" s="68" t="n">
        <f aca="false">L91+L90</f>
        <v>-2427.33060621954</v>
      </c>
      <c r="M92" s="68" t="n">
        <f aca="false">M91+M90</f>
        <v>-12059.3425510054</v>
      </c>
      <c r="N92" s="68" t="n">
        <f aca="false">N91+N90</f>
        <v>-21477.5609078337</v>
      </c>
      <c r="O92" s="68" t="n">
        <f aca="false">O91+O90</f>
        <v>-35692.2868244138</v>
      </c>
      <c r="P92" s="68" t="n">
        <f aca="false">P91+P90</f>
        <v>-47827.7339779444</v>
      </c>
      <c r="Q92" s="68" t="n">
        <f aca="false">Q91+Q90</f>
        <v>-59735.3825954681</v>
      </c>
      <c r="R92" s="68" t="n">
        <f aca="false">R91+R90</f>
        <v>-71418.6750726085</v>
      </c>
      <c r="S92" s="68" t="n">
        <f aca="false">S91+S90</f>
        <v>-82880.9987266595</v>
      </c>
      <c r="T92" s="68" t="n">
        <f aca="false">T91+T90</f>
        <v>-94125.686677838</v>
      </c>
      <c r="U92" s="68" t="n">
        <f aca="false">U91+U90</f>
        <v>-105156.018716438</v>
      </c>
      <c r="V92" s="68" t="n">
        <f aca="false">V91+V90</f>
        <v>-115975.222156107</v>
      </c>
      <c r="W92" s="68" t="n">
        <f aca="false">W91+W90</f>
        <v>-126586.472673478</v>
      </c>
      <c r="X92" s="68" t="n">
        <f aca="false">X91+X90</f>
        <v>-136992.895134353</v>
      </c>
      <c r="Y92" s="68" t="n">
        <f aca="false">Y91+Y90</f>
        <v>-147197.564406685</v>
      </c>
      <c r="Z92" s="68" t="n">
        <f aca="false">Z91+Z90</f>
        <v>-157203.506160537</v>
      </c>
      <c r="AA92" s="68" t="n">
        <f aca="false">AA91+AA90</f>
        <v>-172404.655596945</v>
      </c>
      <c r="AB92" s="68" t="n">
        <f aca="false">AB91+AB90</f>
        <v>-185456.337744042</v>
      </c>
      <c r="AC92" s="68" t="n">
        <f aca="false">AC91+AC90</f>
        <v>-198293.867377805</v>
      </c>
      <c r="AD92" s="68" t="n">
        <f aca="false">AD91+AD90</f>
        <v>-210920.468557494</v>
      </c>
      <c r="AE92" s="68" t="n">
        <f aca="false">AE91+AE90</f>
        <v>-223339.313757424</v>
      </c>
      <c r="AF92" s="68" t="n">
        <f aca="false">AF91+AF90</f>
        <v>-235553.524692317</v>
      </c>
      <c r="AG92" s="68" t="n">
        <f aca="false">AG91+AG90</f>
        <v>-247566.173129461</v>
      </c>
      <c r="AH92" s="68" t="n">
        <f aca="false">AH91+AH90</f>
        <v>-259380.281687869</v>
      </c>
      <c r="AI92" s="68" t="n">
        <f aca="false">AI91+AI90</f>
        <v>-270998.824624647</v>
      </c>
      <c r="AJ92" s="68" t="n">
        <f aca="false">AJ91+AJ90</f>
        <v>-282424.72860879</v>
      </c>
      <c r="AK92" s="68" t="n">
        <f aca="false">AK91+AK90</f>
        <v>-293660.873482587</v>
      </c>
      <c r="AL92" s="68" t="n">
        <f aca="false">AL91+AL90</f>
        <v>-304710.093010852</v>
      </c>
    </row>
    <row r="93" customFormat="false" ht="15" hidden="false" customHeight="false" outlineLevel="0" collapsed="false">
      <c r="A93" s="119" t="s">
        <v>446</v>
      </c>
      <c r="C93" s="117" t="n">
        <f aca="false">IF(C53&gt;0,1,0)</f>
        <v>0</v>
      </c>
      <c r="D93" s="117" t="n">
        <f aca="false">IF(D53&gt;0,1,0)</f>
        <v>0</v>
      </c>
      <c r="E93" s="117" t="n">
        <f aca="false">IF(E53&gt;0,1,0)</f>
        <v>0</v>
      </c>
      <c r="F93" s="117" t="n">
        <f aca="false">IF(F53&gt;0,1,0)</f>
        <v>0</v>
      </c>
      <c r="G93" s="117" t="n">
        <f aca="false">IF(G53&gt;0,1,0)</f>
        <v>0</v>
      </c>
      <c r="H93" s="117" t="n">
        <f aca="false">IF(H53&gt;0,1,0)</f>
        <v>0</v>
      </c>
      <c r="I93" s="117" t="n">
        <f aca="false">IF(I53&gt;0,1,0)</f>
        <v>0</v>
      </c>
      <c r="J93" s="117" t="n">
        <f aca="false">IF(J53&gt;0,1,0)</f>
        <v>0</v>
      </c>
      <c r="K93" s="117" t="n">
        <f aca="false">IF(K53&gt;0,1,0)</f>
        <v>0</v>
      </c>
      <c r="L93" s="117" t="n">
        <f aca="false">IF(L53&gt;0,1,0)</f>
        <v>0</v>
      </c>
      <c r="M93" s="117" t="n">
        <f aca="false">IF(M53&gt;0,1,0)</f>
        <v>0</v>
      </c>
      <c r="N93" s="117" t="n">
        <f aca="false">IF(N53&gt;0,1,0)</f>
        <v>0</v>
      </c>
      <c r="O93" s="117" t="n">
        <f aca="false">IF(O53&gt;0,1,0)</f>
        <v>0</v>
      </c>
      <c r="P93" s="117" t="n">
        <f aca="false">IF(P53&gt;0,1,0)</f>
        <v>0</v>
      </c>
      <c r="Q93" s="117" t="n">
        <f aca="false">IF(Q53&gt;0,1,0)</f>
        <v>0</v>
      </c>
      <c r="R93" s="117" t="n">
        <f aca="false">IF(R53&gt;0,1,0)</f>
        <v>0</v>
      </c>
      <c r="S93" s="117" t="n">
        <f aca="false">IF(S53&gt;0,1,0)</f>
        <v>0</v>
      </c>
      <c r="T93" s="117" t="n">
        <f aca="false">IF(T53&gt;0,1,0)</f>
        <v>0</v>
      </c>
      <c r="U93" s="117" t="n">
        <f aca="false">IF(U53&gt;0,1,0)</f>
        <v>0</v>
      </c>
      <c r="V93" s="117" t="n">
        <f aca="false">IF(V53&gt;0,1,0)</f>
        <v>0</v>
      </c>
      <c r="W93" s="117" t="n">
        <f aca="false">IF(W53&gt;0,1,0)</f>
        <v>0</v>
      </c>
      <c r="X93" s="117" t="n">
        <f aca="false">IF(X53&gt;0,1,0)</f>
        <v>0</v>
      </c>
      <c r="Y93" s="117" t="n">
        <f aca="false">IF(Y53&gt;0,1,0)</f>
        <v>0</v>
      </c>
      <c r="Z93" s="117" t="n">
        <f aca="false">IF(Z53&gt;0,1,0)</f>
        <v>0</v>
      </c>
      <c r="AA93" s="117" t="n">
        <f aca="false">IF(AA53&gt;0,1,0)</f>
        <v>0</v>
      </c>
      <c r="AB93" s="117" t="n">
        <f aca="false">IF(AB53&gt;0,1,0)</f>
        <v>0</v>
      </c>
      <c r="AC93" s="117" t="n">
        <f aca="false">IF(AC53&gt;0,1,0)</f>
        <v>0</v>
      </c>
      <c r="AD93" s="117" t="n">
        <f aca="false">IF(AD53&gt;0,1,0)</f>
        <v>0</v>
      </c>
      <c r="AE93" s="117" t="n">
        <f aca="false">IF(AE53&gt;0,1,0)</f>
        <v>0</v>
      </c>
      <c r="AF93" s="117" t="n">
        <f aca="false">IF(AF53&gt;0,1,0)</f>
        <v>0</v>
      </c>
      <c r="AG93" s="117" t="n">
        <f aca="false">IF(AG53&gt;0,1,0)</f>
        <v>0</v>
      </c>
      <c r="AH93" s="117" t="n">
        <f aca="false">IF(AH53&gt;0,1,0)</f>
        <v>0</v>
      </c>
      <c r="AI93" s="117" t="n">
        <f aca="false">IF(AI53&gt;0,1,0)</f>
        <v>0</v>
      </c>
      <c r="AJ93" s="117" t="n">
        <f aca="false">IF(AJ53&gt;0,1,0)</f>
        <v>0</v>
      </c>
      <c r="AK93" s="117" t="n">
        <f aca="false">IF(AK53&gt;0,1,0)</f>
        <v>0</v>
      </c>
      <c r="AL93" s="117" t="n">
        <f aca="false">IF(AL53&gt;0,1,0)</f>
        <v>0</v>
      </c>
    </row>
    <row r="95" customFormat="false" ht="15.75" hidden="false" customHeight="true" outlineLevel="0" collapsed="false">
      <c r="A95" s="7" t="s">
        <v>447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customFormat="false" ht="15" hidden="false" customHeight="false" outlineLevel="0" collapsed="false">
      <c r="A96" s="119" t="s">
        <v>448</v>
      </c>
      <c r="C96" s="117" t="n">
        <f aca="false">IF(C62&gt;0,1,0)</f>
        <v>0</v>
      </c>
      <c r="D96" s="117" t="n">
        <f aca="false">IF(D62&gt;0,1,0)</f>
        <v>0</v>
      </c>
      <c r="E96" s="117" t="n">
        <f aca="false">IF(E62&gt;0,1,0)</f>
        <v>0</v>
      </c>
      <c r="F96" s="117" t="n">
        <f aca="false">IF(F62&gt;0,1,0)</f>
        <v>0</v>
      </c>
      <c r="G96" s="117" t="n">
        <f aca="false">IF(G62&gt;0,1,0)</f>
        <v>0</v>
      </c>
      <c r="H96" s="117" t="n">
        <f aca="false">IF(H62&gt;0,1,0)</f>
        <v>0</v>
      </c>
      <c r="I96" s="117" t="n">
        <f aca="false">IF(I62&gt;0,1,0)</f>
        <v>0</v>
      </c>
      <c r="J96" s="117" t="n">
        <f aca="false">IF(J62&gt;0,1,0)</f>
        <v>0</v>
      </c>
      <c r="K96" s="117" t="n">
        <f aca="false">IF(K62&gt;0,1,0)</f>
        <v>0</v>
      </c>
      <c r="L96" s="117" t="n">
        <f aca="false">IF(L62&gt;0,1,0)</f>
        <v>0</v>
      </c>
      <c r="M96" s="117" t="n">
        <f aca="false">IF(M62&gt;0,1,0)</f>
        <v>0</v>
      </c>
      <c r="N96" s="117" t="n">
        <f aca="false">IF(N62&gt;0,1,0)</f>
        <v>0</v>
      </c>
      <c r="O96" s="117" t="n">
        <f aca="false">IF(O62&gt;0,1,0)</f>
        <v>0</v>
      </c>
      <c r="P96" s="117" t="n">
        <f aca="false">IF(P62&gt;0,1,0)</f>
        <v>0</v>
      </c>
      <c r="Q96" s="117" t="n">
        <f aca="false">IF(Q62&gt;0,1,0)</f>
        <v>0</v>
      </c>
      <c r="R96" s="117" t="n">
        <f aca="false">IF(R62&gt;0,1,0)</f>
        <v>0</v>
      </c>
      <c r="S96" s="117" t="n">
        <f aca="false">IF(S62&gt;0,1,0)</f>
        <v>0</v>
      </c>
      <c r="T96" s="117" t="n">
        <f aca="false">IF(T62&gt;0,1,0)</f>
        <v>0</v>
      </c>
      <c r="U96" s="117" t="n">
        <f aca="false">IF(U62&gt;0,1,0)</f>
        <v>0</v>
      </c>
      <c r="V96" s="117" t="n">
        <f aca="false">IF(V62&gt;0,1,0)</f>
        <v>0</v>
      </c>
      <c r="W96" s="117" t="n">
        <f aca="false">IF(W62&gt;0,1,0)</f>
        <v>0</v>
      </c>
      <c r="X96" s="117" t="n">
        <f aca="false">IF(X62&gt;0,1,0)</f>
        <v>0</v>
      </c>
      <c r="Y96" s="117" t="n">
        <f aca="false">IF(Y62&gt;0,1,0)</f>
        <v>0</v>
      </c>
      <c r="Z96" s="117" t="n">
        <f aca="false">IF(Z62&gt;0,1,0)</f>
        <v>0</v>
      </c>
      <c r="AA96" s="117" t="n">
        <f aca="false">IF(AA62&gt;0,1,0)</f>
        <v>0</v>
      </c>
      <c r="AB96" s="117" t="n">
        <f aca="false">IF(AB62&gt;0,1,0)</f>
        <v>0</v>
      </c>
      <c r="AC96" s="117" t="n">
        <f aca="false">IF(AC62&gt;0,1,0)</f>
        <v>0</v>
      </c>
      <c r="AD96" s="117" t="n">
        <f aca="false">IF(AD62&gt;0,1,0)</f>
        <v>0</v>
      </c>
      <c r="AE96" s="117" t="n">
        <f aca="false">IF(AE62&gt;0,1,0)</f>
        <v>0</v>
      </c>
      <c r="AF96" s="117" t="n">
        <f aca="false">IF(AF62&gt;0,1,0)</f>
        <v>0</v>
      </c>
      <c r="AG96" s="117" t="n">
        <f aca="false">IF(AG62&gt;0,1,0)</f>
        <v>0</v>
      </c>
      <c r="AH96" s="117" t="n">
        <f aca="false">IF(AH62&gt;0,1,0)</f>
        <v>0</v>
      </c>
      <c r="AI96" s="117" t="n">
        <f aca="false">IF(AI62&gt;0,1,0)</f>
        <v>0</v>
      </c>
      <c r="AJ96" s="117" t="n">
        <f aca="false">IF(AJ62&gt;0,1,0)</f>
        <v>0</v>
      </c>
      <c r="AK96" s="117" t="n">
        <f aca="false">IF(AK62&gt;0,1,0)</f>
        <v>0</v>
      </c>
      <c r="AL96" s="117" t="n">
        <f aca="false">IF(AL62&gt;0,1,0)</f>
        <v>0</v>
      </c>
    </row>
    <row r="97" customFormat="false" ht="15" hidden="false" customHeight="false" outlineLevel="0" collapsed="false">
      <c r="A97" s="6" t="s">
        <v>449</v>
      </c>
      <c r="C97" s="67" t="n">
        <f aca="false">C86+C87</f>
        <v>-155560.899030262</v>
      </c>
      <c r="D97" s="67" t="n">
        <f aca="false">D86+D87</f>
        <v>-9924.18599299912</v>
      </c>
      <c r="E97" s="67" t="n">
        <f aca="false">E86+E87</f>
        <v>-9678.96762027014</v>
      </c>
      <c r="F97" s="67" t="n">
        <f aca="false">F86+F87</f>
        <v>-9437.47036055237</v>
      </c>
      <c r="G97" s="67" t="n">
        <f aca="false">G86+G87</f>
        <v>-9199.63467603774</v>
      </c>
      <c r="H97" s="67" t="n">
        <f aca="false">H86+H87</f>
        <v>-8965.40198152296</v>
      </c>
      <c r="I97" s="67" t="n">
        <f aca="false">I86+I87</f>
        <v>-8734.71462916803</v>
      </c>
      <c r="J97" s="67" t="n">
        <f aca="false">J86+J87</f>
        <v>-8507.5158934984</v>
      </c>
      <c r="K97" s="67" t="n">
        <f aca="false">K86+K87</f>
        <v>-8283.7499566471</v>
      </c>
      <c r="L97" s="67" t="n">
        <f aca="false">L86+L87</f>
        <v>-8063.36189383302</v>
      </c>
      <c r="M97" s="67" t="n">
        <f aca="false">M86+M87</f>
        <v>-7846.29765907162</v>
      </c>
      <c r="N97" s="67" t="n">
        <f aca="false">N86+N87</f>
        <v>-7632.50407111401</v>
      </c>
      <c r="O97" s="67" t="n">
        <f aca="false">O86+O87</f>
        <v>-12429.0116308658</v>
      </c>
      <c r="P97" s="67" t="n">
        <f aca="false">P86+P87</f>
        <v>-10349.7328678163</v>
      </c>
      <c r="Q97" s="67" t="n">
        <f aca="false">Q86+Q87</f>
        <v>-10121.9343318094</v>
      </c>
      <c r="R97" s="67" t="n">
        <f aca="false">R86+R87</f>
        <v>-9897.57819142612</v>
      </c>
      <c r="S97" s="67" t="n">
        <f aca="false">S86+S87</f>
        <v>-9676.60936833669</v>
      </c>
      <c r="T97" s="67" t="n">
        <f aca="false">T86+T87</f>
        <v>-9458.97366546424</v>
      </c>
      <c r="U97" s="67" t="n">
        <f aca="false">U86+U87</f>
        <v>-9244.6177528854</v>
      </c>
      <c r="V97" s="67" t="n">
        <f aca="false">V86+V87</f>
        <v>-9033.48915395544</v>
      </c>
      <c r="W97" s="67" t="n">
        <f aca="false">W86+W87</f>
        <v>-8825.53623165599</v>
      </c>
      <c r="X97" s="67" t="n">
        <f aca="false">X86+X87</f>
        <v>-8620.70817516092</v>
      </c>
      <c r="Y97" s="67" t="n">
        <f aca="false">Y86+Y87</f>
        <v>-8418.95498661745</v>
      </c>
      <c r="Z97" s="67" t="n">
        <f aca="false">Z86+Z87</f>
        <v>-8220.22746813822</v>
      </c>
      <c r="AA97" s="67" t="n">
        <f aca="false">AA86+AA87</f>
        <v>-13415.4351506939</v>
      </c>
      <c r="AB97" s="67" t="n">
        <f aca="false">AB86+AB87</f>
        <v>-11265.9678613825</v>
      </c>
      <c r="AC97" s="67" t="n">
        <f aca="false">AC86+AC87</f>
        <v>-11051.8153480484</v>
      </c>
      <c r="AD97" s="67" t="n">
        <f aca="false">AD86+AD87</f>
        <v>-10840.8868939753</v>
      </c>
      <c r="AE97" s="67" t="n">
        <f aca="false">AE86+AE87</f>
        <v>-10633.1309142151</v>
      </c>
      <c r="AF97" s="67" t="n">
        <f aca="false">AF86+AF87</f>
        <v>-10428.4966491786</v>
      </c>
      <c r="AG97" s="67" t="n">
        <f aca="false">AG86+AG87</f>
        <v>-10226.9341514302</v>
      </c>
      <c r="AH97" s="67" t="n">
        <f aca="false">AH86+AH87</f>
        <v>-10028.3942726935</v>
      </c>
      <c r="AI97" s="67" t="n">
        <f aca="false">AI86+AI87</f>
        <v>-9832.82865106421</v>
      </c>
      <c r="AJ97" s="67" t="n">
        <f aca="false">AJ86+AJ87</f>
        <v>-9640.18969842864</v>
      </c>
      <c r="AK97" s="67" t="n">
        <f aca="false">AK86+AK87</f>
        <v>-9450.43058808278</v>
      </c>
      <c r="AL97" s="67" t="n">
        <f aca="false">AL86+AL87</f>
        <v>-9263.50524255011</v>
      </c>
    </row>
    <row r="98" customFormat="false" ht="15" hidden="false" customHeight="false" outlineLevel="0" collapsed="false">
      <c r="A98" s="6" t="s">
        <v>450</v>
      </c>
      <c r="C98" s="67" t="n">
        <f aca="false">C97</f>
        <v>-155560.899030262</v>
      </c>
      <c r="D98" s="67" t="n">
        <f aca="false">C98+D97</f>
        <v>-165485.085023261</v>
      </c>
      <c r="E98" s="67" t="n">
        <f aca="false">D98+E97</f>
        <v>-175164.052643531</v>
      </c>
      <c r="F98" s="67" t="n">
        <f aca="false">E98+F97</f>
        <v>-184601.523004084</v>
      </c>
      <c r="G98" s="67" t="n">
        <f aca="false">F98+G97</f>
        <v>-193801.157680121</v>
      </c>
      <c r="H98" s="67" t="n">
        <f aca="false">G98+H97</f>
        <v>-202766.559661644</v>
      </c>
      <c r="I98" s="67" t="n">
        <f aca="false">H98+I97</f>
        <v>-211501.274290812</v>
      </c>
      <c r="J98" s="67" t="n">
        <f aca="false">I98+J97</f>
        <v>-220008.790184311</v>
      </c>
      <c r="K98" s="67" t="n">
        <f aca="false">J98+K97</f>
        <v>-228292.540140958</v>
      </c>
      <c r="L98" s="67" t="n">
        <f aca="false">K98+L97</f>
        <v>-236355.902034791</v>
      </c>
      <c r="M98" s="67" t="n">
        <f aca="false">L98+M97</f>
        <v>-244202.199693863</v>
      </c>
      <c r="N98" s="67" t="n">
        <f aca="false">M98+N97</f>
        <v>-251834.703764977</v>
      </c>
      <c r="O98" s="67" t="n">
        <f aca="false">N98+O97</f>
        <v>-264263.715395842</v>
      </c>
      <c r="P98" s="67" t="n">
        <f aca="false">O98+P97</f>
        <v>-274613.448263659</v>
      </c>
      <c r="Q98" s="67" t="n">
        <f aca="false">P98+Q97</f>
        <v>-284735.382595468</v>
      </c>
      <c r="R98" s="67" t="n">
        <f aca="false">Q98+R97</f>
        <v>-294632.960786894</v>
      </c>
      <c r="S98" s="67" t="n">
        <f aca="false">R98+S97</f>
        <v>-304309.570155231</v>
      </c>
      <c r="T98" s="67" t="n">
        <f aca="false">S98+T97</f>
        <v>-313768.543820695</v>
      </c>
      <c r="U98" s="67" t="n">
        <f aca="false">T98+U97</f>
        <v>-323013.161573581</v>
      </c>
      <c r="V98" s="67" t="n">
        <f aca="false">U98+V97</f>
        <v>-332046.650727536</v>
      </c>
      <c r="W98" s="67" t="n">
        <f aca="false">V98+W97</f>
        <v>-340872.186959192</v>
      </c>
      <c r="X98" s="67" t="n">
        <f aca="false">W98+X97</f>
        <v>-349492.895134353</v>
      </c>
      <c r="Y98" s="67" t="n">
        <f aca="false">X98+Y97</f>
        <v>-357911.85012097</v>
      </c>
      <c r="Z98" s="67" t="n">
        <f aca="false">Y98+Z97</f>
        <v>-366132.077589109</v>
      </c>
      <c r="AA98" s="67" t="n">
        <f aca="false">Z98+AA97</f>
        <v>-379547.512739802</v>
      </c>
      <c r="AB98" s="67" t="n">
        <f aca="false">AA98+AB97</f>
        <v>-390813.480601185</v>
      </c>
      <c r="AC98" s="67" t="n">
        <f aca="false">AB98+AC97</f>
        <v>-401865.295949233</v>
      </c>
      <c r="AD98" s="67" t="n">
        <f aca="false">AC98+AD97</f>
        <v>-412706.182843209</v>
      </c>
      <c r="AE98" s="67" t="n">
        <f aca="false">AD98+AE97</f>
        <v>-423339.313757424</v>
      </c>
      <c r="AF98" s="67" t="n">
        <f aca="false">AE98+AF97</f>
        <v>-433767.810406602</v>
      </c>
      <c r="AG98" s="67" t="n">
        <f aca="false">AF98+AG97</f>
        <v>-443994.744558032</v>
      </c>
      <c r="AH98" s="67" t="n">
        <f aca="false">AG98+AH97</f>
        <v>-454023.138830726</v>
      </c>
      <c r="AI98" s="67" t="n">
        <f aca="false">AH98+AI97</f>
        <v>-463855.96748179</v>
      </c>
      <c r="AJ98" s="67" t="n">
        <f aca="false">AI98+AJ97</f>
        <v>-473496.157180219</v>
      </c>
      <c r="AK98" s="67" t="n">
        <f aca="false">AJ98+AK97</f>
        <v>-482946.587768302</v>
      </c>
      <c r="AL98" s="67" t="n">
        <f aca="false">AK98+AL97</f>
        <v>-492210.093010852</v>
      </c>
    </row>
    <row r="99" customFormat="false" ht="15" hidden="false" customHeight="false" outlineLevel="0" collapsed="false">
      <c r="A99" s="119" t="s">
        <v>451</v>
      </c>
      <c r="C99" s="67" t="n">
        <f aca="false">C98</f>
        <v>-155560.899030262</v>
      </c>
      <c r="D99" s="67" t="n">
        <f aca="false">MIN(C99,D98)</f>
        <v>-165485.085023261</v>
      </c>
      <c r="E99" s="67" t="n">
        <f aca="false">MIN(D99,E98)</f>
        <v>-175164.052643531</v>
      </c>
      <c r="F99" s="67" t="n">
        <f aca="false">MIN(E99,F98)</f>
        <v>-184601.523004084</v>
      </c>
      <c r="G99" s="67" t="n">
        <f aca="false">MIN(F99,G98)</f>
        <v>-193801.157680121</v>
      </c>
      <c r="H99" s="67" t="n">
        <f aca="false">MIN(G99,H98)</f>
        <v>-202766.559661644</v>
      </c>
      <c r="I99" s="67" t="n">
        <f aca="false">MIN(H99,I98)</f>
        <v>-211501.274290812</v>
      </c>
      <c r="J99" s="67" t="n">
        <f aca="false">MIN(I99,J98)</f>
        <v>-220008.790184311</v>
      </c>
      <c r="K99" s="67" t="n">
        <f aca="false">MIN(J99,K98)</f>
        <v>-228292.540140958</v>
      </c>
      <c r="L99" s="67" t="n">
        <f aca="false">MIN(K99,L98)</f>
        <v>-236355.902034791</v>
      </c>
      <c r="M99" s="67" t="n">
        <f aca="false">MIN(L99,M98)</f>
        <v>-244202.199693863</v>
      </c>
      <c r="N99" s="67" t="n">
        <f aca="false">MIN(M99,N98)</f>
        <v>-251834.703764977</v>
      </c>
      <c r="O99" s="67" t="n">
        <f aca="false">MIN(N99,O98)</f>
        <v>-264263.715395842</v>
      </c>
      <c r="P99" s="67" t="n">
        <f aca="false">MIN(O99,P98)</f>
        <v>-274613.448263659</v>
      </c>
      <c r="Q99" s="67" t="n">
        <f aca="false">MIN(P99,Q98)</f>
        <v>-284735.382595468</v>
      </c>
      <c r="R99" s="67" t="n">
        <f aca="false">MIN(Q99,R98)</f>
        <v>-294632.960786894</v>
      </c>
      <c r="S99" s="67" t="n">
        <f aca="false">MIN(R99,S98)</f>
        <v>-304309.570155231</v>
      </c>
      <c r="T99" s="67" t="n">
        <f aca="false">MIN(S99,T98)</f>
        <v>-313768.543820695</v>
      </c>
      <c r="U99" s="67" t="n">
        <f aca="false">MIN(T99,U98)</f>
        <v>-323013.161573581</v>
      </c>
      <c r="V99" s="67" t="n">
        <f aca="false">MIN(U99,V98)</f>
        <v>-332046.650727536</v>
      </c>
      <c r="W99" s="67" t="n">
        <f aca="false">MIN(V99,W98)</f>
        <v>-340872.186959192</v>
      </c>
      <c r="X99" s="67" t="n">
        <f aca="false">MIN(W99,X98)</f>
        <v>-349492.895134353</v>
      </c>
      <c r="Y99" s="67" t="n">
        <f aca="false">MIN(X99,Y98)</f>
        <v>-357911.85012097</v>
      </c>
      <c r="Z99" s="67" t="n">
        <f aca="false">MIN(Y99,Z98)</f>
        <v>-366132.077589109</v>
      </c>
      <c r="AA99" s="67" t="n">
        <f aca="false">MIN(Z99,AA98)</f>
        <v>-379547.512739802</v>
      </c>
      <c r="AB99" s="67" t="n">
        <f aca="false">MIN(AA99,AB98)</f>
        <v>-390813.480601185</v>
      </c>
      <c r="AC99" s="67" t="n">
        <f aca="false">MIN(AB99,AC98)</f>
        <v>-401865.295949233</v>
      </c>
      <c r="AD99" s="67" t="n">
        <f aca="false">MIN(AC99,AD98)</f>
        <v>-412706.182843209</v>
      </c>
      <c r="AE99" s="67" t="n">
        <f aca="false">MIN(AD99,AE98)</f>
        <v>-423339.313757424</v>
      </c>
      <c r="AF99" s="67" t="n">
        <f aca="false">MIN(AE99,AF98)</f>
        <v>-433767.810406602</v>
      </c>
      <c r="AG99" s="67" t="n">
        <f aca="false">MIN(AF99,AG98)</f>
        <v>-443994.744558032</v>
      </c>
      <c r="AH99" s="67" t="n">
        <f aca="false">MIN(AG99,AH98)</f>
        <v>-454023.138830726</v>
      </c>
      <c r="AI99" s="67" t="n">
        <f aca="false">MIN(AH99,AI98)</f>
        <v>-463855.96748179</v>
      </c>
      <c r="AJ99" s="67" t="n">
        <f aca="false">MIN(AI99,AJ98)</f>
        <v>-473496.157180219</v>
      </c>
      <c r="AK99" s="67" t="n">
        <f aca="false">MIN(AJ99,AK98)</f>
        <v>-482946.587768302</v>
      </c>
      <c r="AL99" s="67" t="n">
        <f aca="false">MIN(AK99,AL98)</f>
        <v>-492210.093010852</v>
      </c>
    </row>
    <row r="100" customFormat="false" ht="15" hidden="false" customHeight="false" outlineLevel="0" collapsed="false">
      <c r="A100" s="119" t="s">
        <v>452</v>
      </c>
      <c r="C100" s="117" t="n">
        <f aca="false">IF(AND(C98&gt;=0,C99&lt;0),1,0)</f>
        <v>0</v>
      </c>
      <c r="D100" s="117" t="n">
        <f aca="false">IF(AND(D98&gt;=0,D99&lt;0),1,0)</f>
        <v>0</v>
      </c>
      <c r="E100" s="117" t="n">
        <f aca="false">IF(AND(E98&gt;=0,E99&lt;0),1,0)</f>
        <v>0</v>
      </c>
      <c r="F100" s="117" t="n">
        <f aca="false">IF(AND(F98&gt;=0,F99&lt;0),1,0)</f>
        <v>0</v>
      </c>
      <c r="G100" s="117" t="n">
        <f aca="false">IF(AND(G98&gt;=0,G99&lt;0),1,0)</f>
        <v>0</v>
      </c>
      <c r="H100" s="117" t="n">
        <f aca="false">IF(AND(H98&gt;=0,H99&lt;0),1,0)</f>
        <v>0</v>
      </c>
      <c r="I100" s="117" t="n">
        <f aca="false">IF(AND(I98&gt;=0,I99&lt;0),1,0)</f>
        <v>0</v>
      </c>
      <c r="J100" s="117" t="n">
        <f aca="false">IF(AND(J98&gt;=0,J99&lt;0),1,0)</f>
        <v>0</v>
      </c>
      <c r="K100" s="117" t="n">
        <f aca="false">IF(AND(K98&gt;=0,K99&lt;0),1,0)</f>
        <v>0</v>
      </c>
      <c r="L100" s="117" t="n">
        <f aca="false">IF(AND(L98&gt;=0,L99&lt;0),1,0)</f>
        <v>0</v>
      </c>
      <c r="M100" s="117" t="n">
        <f aca="false">IF(AND(M98&gt;=0,M99&lt;0),1,0)</f>
        <v>0</v>
      </c>
      <c r="N100" s="117" t="n">
        <f aca="false">IF(AND(N98&gt;=0,N99&lt;0),1,0)</f>
        <v>0</v>
      </c>
      <c r="O100" s="117" t="n">
        <f aca="false">IF(AND(O98&gt;=0,O99&lt;0),1,0)</f>
        <v>0</v>
      </c>
      <c r="P100" s="117" t="n">
        <f aca="false">IF(AND(P98&gt;=0,P99&lt;0),1,0)</f>
        <v>0</v>
      </c>
      <c r="Q100" s="117" t="n">
        <f aca="false">IF(AND(Q98&gt;=0,Q99&lt;0),1,0)</f>
        <v>0</v>
      </c>
      <c r="R100" s="117" t="n">
        <f aca="false">IF(AND(R98&gt;=0,R99&lt;0),1,0)</f>
        <v>0</v>
      </c>
      <c r="S100" s="117" t="n">
        <f aca="false">IF(AND(S98&gt;=0,S99&lt;0),1,0)</f>
        <v>0</v>
      </c>
      <c r="T100" s="117" t="n">
        <f aca="false">IF(AND(T98&gt;=0,T99&lt;0),1,0)</f>
        <v>0</v>
      </c>
      <c r="U100" s="117" t="n">
        <f aca="false">IF(AND(U98&gt;=0,U99&lt;0),1,0)</f>
        <v>0</v>
      </c>
      <c r="V100" s="117" t="n">
        <f aca="false">IF(AND(V98&gt;=0,V99&lt;0),1,0)</f>
        <v>0</v>
      </c>
      <c r="W100" s="117" t="n">
        <f aca="false">IF(AND(W98&gt;=0,W99&lt;0),1,0)</f>
        <v>0</v>
      </c>
      <c r="X100" s="117" t="n">
        <f aca="false">IF(AND(X98&gt;=0,X99&lt;0),1,0)</f>
        <v>0</v>
      </c>
      <c r="Y100" s="117" t="n">
        <f aca="false">IF(AND(Y98&gt;=0,Y99&lt;0),1,0)</f>
        <v>0</v>
      </c>
      <c r="Z100" s="117" t="n">
        <f aca="false">IF(AND(Z98&gt;=0,Z99&lt;0),1,0)</f>
        <v>0</v>
      </c>
      <c r="AA100" s="117" t="n">
        <f aca="false">IF(AND(AA98&gt;=0,AA99&lt;0),1,0)</f>
        <v>0</v>
      </c>
      <c r="AB100" s="117" t="n">
        <f aca="false">IF(AND(AB98&gt;=0,AB99&lt;0),1,0)</f>
        <v>0</v>
      </c>
      <c r="AC100" s="117" t="n">
        <f aca="false">IF(AND(AC98&gt;=0,AC99&lt;0),1,0)</f>
        <v>0</v>
      </c>
      <c r="AD100" s="117" t="n">
        <f aca="false">IF(AND(AD98&gt;=0,AD99&lt;0),1,0)</f>
        <v>0</v>
      </c>
      <c r="AE100" s="117" t="n">
        <f aca="false">IF(AND(AE98&gt;=0,AE99&lt;0),1,0)</f>
        <v>0</v>
      </c>
      <c r="AF100" s="117" t="n">
        <f aca="false">IF(AND(AF98&gt;=0,AF99&lt;0),1,0)</f>
        <v>0</v>
      </c>
      <c r="AG100" s="117" t="n">
        <f aca="false">IF(AND(AG98&gt;=0,AG99&lt;0),1,0)</f>
        <v>0</v>
      </c>
      <c r="AH100" s="117" t="n">
        <f aca="false">IF(AND(AH98&gt;=0,AH99&lt;0),1,0)</f>
        <v>0</v>
      </c>
      <c r="AI100" s="117" t="n">
        <f aca="false">IF(AND(AI98&gt;=0,AI99&lt;0),1,0)</f>
        <v>0</v>
      </c>
      <c r="AJ100" s="117" t="n">
        <f aca="false">IF(AND(AJ98&gt;=0,AJ99&lt;0),1,0)</f>
        <v>0</v>
      </c>
      <c r="AK100" s="117" t="n">
        <f aca="false">IF(AND(AK98&gt;=0,AK99&lt;0),1,0)</f>
        <v>0</v>
      </c>
      <c r="AL100" s="117" t="n">
        <f aca="false">IF(AND(AL98&gt;=0,AL99&lt;0),1,0)</f>
        <v>0</v>
      </c>
    </row>
    <row r="101" customFormat="false" ht="15" hidden="false" customHeight="false" outlineLevel="0" collapsed="false">
      <c r="A101" s="6" t="s">
        <v>453</v>
      </c>
      <c r="C101" s="67" t="n">
        <f aca="false">C86-C57*(1-Inputs!$B$95)+C87</f>
        <v>-154721.524030262</v>
      </c>
      <c r="D101" s="67" t="n">
        <f aca="false">D86-D57*(1-Inputs!$B$95)+D87</f>
        <v>-9089.80727276103</v>
      </c>
      <c r="E101" s="67" t="n">
        <f aca="false">E86-E57*(1-Inputs!$B$95)+E87</f>
        <v>-8854.58145955586</v>
      </c>
      <c r="F101" s="67" t="n">
        <f aca="false">F86-F57*(1-Inputs!$B$95)+F87</f>
        <v>-8623.07675936189</v>
      </c>
      <c r="G101" s="67" t="n">
        <f aca="false">G86-G57*(1-Inputs!$B$95)+G87</f>
        <v>-8395.23363437107</v>
      </c>
      <c r="H101" s="67" t="n">
        <f aca="false">H86-H57*(1-Inputs!$B$95)+H87</f>
        <v>-8170.9934993801</v>
      </c>
      <c r="I101" s="67" t="n">
        <f aca="false">I86-I57*(1-Inputs!$B$95)+I87</f>
        <v>-7950.29870654899</v>
      </c>
      <c r="J101" s="67" t="n">
        <f aca="false">J86-J57*(1-Inputs!$B$95)+J87</f>
        <v>-7733.09253040316</v>
      </c>
      <c r="K101" s="67" t="n">
        <f aca="false">K86-K57*(1-Inputs!$B$95)+K87</f>
        <v>-7519.31915307567</v>
      </c>
      <c r="L101" s="67" t="n">
        <f aca="false">L86-L57*(1-Inputs!$B$95)+L87</f>
        <v>-7308.92364978541</v>
      </c>
      <c r="M101" s="67" t="n">
        <f aca="false">M86-M57*(1-Inputs!$B$95)+M87</f>
        <v>-7101.85197454781</v>
      </c>
      <c r="N101" s="67" t="n">
        <f aca="false">N86-N57*(1-Inputs!$B$95)+N87</f>
        <v>-6898.05094611401</v>
      </c>
      <c r="O101" s="67" t="n">
        <f aca="false">O86-O57*(1-Inputs!$B$95)+O87</f>
        <v>-11704.5510653896</v>
      </c>
      <c r="P101" s="67" t="n">
        <f aca="false">P86-P57*(1-Inputs!$B$95)+P87</f>
        <v>-9635.26486186395</v>
      </c>
      <c r="Q101" s="67" t="n">
        <f aca="false">Q86-Q57*(1-Inputs!$B$95)+Q87</f>
        <v>-9417.45888538083</v>
      </c>
      <c r="R101" s="67" t="n">
        <f aca="false">R86-R57*(1-Inputs!$B$95)+R87</f>
        <v>-9203.09530452136</v>
      </c>
      <c r="S101" s="67" t="n">
        <f aca="false">S86-S57*(1-Inputs!$B$95)+S87</f>
        <v>-8992.11904095574</v>
      </c>
      <c r="T101" s="67" t="n">
        <f aca="false">T86-T57*(1-Inputs!$B$95)+T87</f>
        <v>-8784.47589760709</v>
      </c>
      <c r="U101" s="67" t="n">
        <f aca="false">U86-U57*(1-Inputs!$B$95)+U87</f>
        <v>-8580.11254455207</v>
      </c>
      <c r="V101" s="67" t="n">
        <f aca="false">V86-V57*(1-Inputs!$B$95)+V87</f>
        <v>-8378.97650514592</v>
      </c>
      <c r="W101" s="67" t="n">
        <f aca="false">W86-W57*(1-Inputs!$B$95)+W87</f>
        <v>-8181.01614237027</v>
      </c>
      <c r="X101" s="67" t="n">
        <f aca="false">X86-X57*(1-Inputs!$B$95)+X87</f>
        <v>-7986.18064539901</v>
      </c>
      <c r="Y101" s="67" t="n">
        <f aca="false">Y86-Y57*(1-Inputs!$B$95)+Y87</f>
        <v>-7794.42001637935</v>
      </c>
      <c r="Z101" s="67" t="n">
        <f aca="false">Z86-Z57*(1-Inputs!$B$95)+Z87</f>
        <v>-7605.68505742393</v>
      </c>
      <c r="AA101" s="67" t="n">
        <f aca="false">AA86-AA57*(1-Inputs!$B$95)+AA87</f>
        <v>-12810.8852995034</v>
      </c>
      <c r="AB101" s="67" t="n">
        <f aca="false">AB86-AB57*(1-Inputs!$B$95)+AB87</f>
        <v>-10671.4105697158</v>
      </c>
      <c r="AC101" s="67" t="n">
        <f aca="false">AC86-AC57*(1-Inputs!$B$95)+AC87</f>
        <v>-10467.2506159055</v>
      </c>
      <c r="AD101" s="67" t="n">
        <f aca="false">AD86-AD57*(1-Inputs!$B$95)+AD87</f>
        <v>-10266.3147213563</v>
      </c>
      <c r="AE101" s="67" t="n">
        <f aca="false">AE86-AE57*(1-Inputs!$B$95)+AE87</f>
        <v>-10068.5513011198</v>
      </c>
      <c r="AF101" s="67" t="n">
        <f aca="false">AF86-AF57*(1-Inputs!$B$95)+AF87</f>
        <v>-9873.90959560714</v>
      </c>
      <c r="AG101" s="67" t="n">
        <f aca="false">AG86-AG57*(1-Inputs!$B$95)+AG87</f>
        <v>-9682.33965738261</v>
      </c>
      <c r="AH101" s="67" t="n">
        <f aca="false">AH86-AH57*(1-Inputs!$B$95)+AH87</f>
        <v>-9493.79233816973</v>
      </c>
      <c r="AI101" s="67" t="n">
        <f aca="false">AI86-AI57*(1-Inputs!$B$95)+AI87</f>
        <v>-9308.21927606421</v>
      </c>
      <c r="AJ101" s="67" t="n">
        <f aca="false">AJ86-AJ57*(1-Inputs!$B$95)+AJ87</f>
        <v>-9125.57288295245</v>
      </c>
      <c r="AK101" s="67" t="n">
        <f aca="false">AK86-AK57*(1-Inputs!$B$95)+AK87</f>
        <v>-8945.8063321304</v>
      </c>
      <c r="AL101" s="67" t="n">
        <f aca="false">AL86-AL57*(1-Inputs!$B$95)+AL87</f>
        <v>-8768.87354612154</v>
      </c>
    </row>
    <row r="103" customFormat="false" ht="15.75" hidden="false" customHeight="true" outlineLevel="0" collapsed="false">
      <c r="A103" s="7" t="s">
        <v>454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customFormat="false" ht="15" hidden="false" customHeight="false" outlineLevel="0" collapsed="false">
      <c r="A104" s="6" t="s">
        <v>96</v>
      </c>
      <c r="C104" s="67" t="n">
        <f aca="false">C88</f>
        <v>100000</v>
      </c>
      <c r="D104" s="67" t="n">
        <f aca="false">C104+D88</f>
        <v>100000</v>
      </c>
      <c r="E104" s="67" t="n">
        <f aca="false">D104+E88</f>
        <v>100000</v>
      </c>
      <c r="F104" s="67" t="n">
        <f aca="false">E104+F88</f>
        <v>100000</v>
      </c>
      <c r="G104" s="67" t="n">
        <f aca="false">F104+G88</f>
        <v>100000</v>
      </c>
      <c r="H104" s="67" t="n">
        <f aca="false">G104+H88</f>
        <v>100000</v>
      </c>
      <c r="I104" s="67" t="n">
        <f aca="false">H104+I88</f>
        <v>100000</v>
      </c>
      <c r="J104" s="67" t="n">
        <f aca="false">I104+J88</f>
        <v>100000</v>
      </c>
      <c r="K104" s="67" t="n">
        <f aca="false">J104+K88</f>
        <v>100000</v>
      </c>
      <c r="L104" s="67" t="n">
        <f aca="false">K104+L88</f>
        <v>100000</v>
      </c>
      <c r="M104" s="67" t="n">
        <f aca="false">L104+M88</f>
        <v>100000</v>
      </c>
      <c r="N104" s="67" t="n">
        <f aca="false">M104+N88</f>
        <v>100000</v>
      </c>
      <c r="O104" s="67" t="n">
        <f aca="false">N104+O88</f>
        <v>100000</v>
      </c>
      <c r="P104" s="67" t="n">
        <f aca="false">O104+P88</f>
        <v>100000</v>
      </c>
      <c r="Q104" s="67" t="n">
        <f aca="false">P104+Q88</f>
        <v>100000</v>
      </c>
      <c r="R104" s="67" t="n">
        <f aca="false">Q104+R88</f>
        <v>100000</v>
      </c>
      <c r="S104" s="67" t="n">
        <f aca="false">R104+S88</f>
        <v>100000</v>
      </c>
      <c r="T104" s="67" t="n">
        <f aca="false">S104+T88</f>
        <v>100000</v>
      </c>
      <c r="U104" s="67" t="n">
        <f aca="false">T104+U88</f>
        <v>100000</v>
      </c>
      <c r="V104" s="67" t="n">
        <f aca="false">U104+V88</f>
        <v>100000</v>
      </c>
      <c r="W104" s="67" t="n">
        <f aca="false">V104+W88</f>
        <v>100000</v>
      </c>
      <c r="X104" s="67" t="n">
        <f aca="false">W104+X88</f>
        <v>100000</v>
      </c>
      <c r="Y104" s="67" t="n">
        <f aca="false">X104+Y88</f>
        <v>100000</v>
      </c>
      <c r="Z104" s="67" t="n">
        <f aca="false">Y104+Z88</f>
        <v>100000</v>
      </c>
      <c r="AA104" s="67" t="n">
        <f aca="false">Z104+AA88</f>
        <v>100000</v>
      </c>
      <c r="AB104" s="67" t="n">
        <f aca="false">AA104+AB88</f>
        <v>100000</v>
      </c>
      <c r="AC104" s="67" t="n">
        <f aca="false">AB104+AC88</f>
        <v>100000</v>
      </c>
      <c r="AD104" s="67" t="n">
        <f aca="false">AC104+AD88</f>
        <v>100000</v>
      </c>
      <c r="AE104" s="67" t="n">
        <f aca="false">AD104+AE88</f>
        <v>100000</v>
      </c>
      <c r="AF104" s="67" t="n">
        <f aca="false">AE104+AF88</f>
        <v>100000</v>
      </c>
      <c r="AG104" s="67" t="n">
        <f aca="false">AF104+AG88</f>
        <v>100000</v>
      </c>
      <c r="AH104" s="67" t="n">
        <f aca="false">AG104+AH88</f>
        <v>100000</v>
      </c>
      <c r="AI104" s="67" t="n">
        <f aca="false">AH104+AI88</f>
        <v>100000</v>
      </c>
      <c r="AJ104" s="67" t="n">
        <f aca="false">AI104+AJ88</f>
        <v>100000</v>
      </c>
      <c r="AK104" s="67" t="n">
        <f aca="false">AJ104+AK88</f>
        <v>100000</v>
      </c>
      <c r="AL104" s="67" t="n">
        <f aca="false">AK104+AL88</f>
        <v>100000</v>
      </c>
    </row>
    <row r="105" customFormat="false" ht="15" hidden="false" customHeight="false" outlineLevel="0" collapsed="false">
      <c r="A105" s="6" t="s">
        <v>97</v>
      </c>
      <c r="C105" s="67" t="n">
        <f aca="false">C62</f>
        <v>-8762.74621958427</v>
      </c>
      <c r="D105" s="67" t="n">
        <f aca="false">C105+D62</f>
        <v>-17304.6118245161</v>
      </c>
      <c r="E105" s="67" t="n">
        <f aca="false">D105+E62</f>
        <v>-25623.1284001677</v>
      </c>
      <c r="F105" s="67" t="n">
        <f aca="false">E105+F62</f>
        <v>-33722.0902408311</v>
      </c>
      <c r="G105" s="67" t="n">
        <f aca="false">F105+G62</f>
        <v>-41605.2309320897</v>
      </c>
      <c r="H105" s="67" t="n">
        <f aca="false">G105+H62</f>
        <v>-49276.2243221576</v>
      </c>
      <c r="I105" s="67" t="n">
        <f aca="false">H105+I62</f>
        <v>-56738.6854776772</v>
      </c>
      <c r="J105" s="67" t="n">
        <f aca="false">I105+J62</f>
        <v>-63996.1716242251</v>
      </c>
      <c r="K105" s="67" t="n">
        <f aca="false">J105+K62</f>
        <v>-71052.1830717683</v>
      </c>
      <c r="L105" s="67" t="n">
        <f aca="false">K105+L62</f>
        <v>-77910.1641253144</v>
      </c>
      <c r="M105" s="67" t="n">
        <f aca="false">L105+M62</f>
        <v>-84573.503980991</v>
      </c>
      <c r="N105" s="67" t="n">
        <f aca="false">M105+N62</f>
        <v>-91045.5376077874</v>
      </c>
      <c r="O105" s="67" t="n">
        <f aca="false">N105+O62</f>
        <v>-100425.839464568</v>
      </c>
      <c r="P105" s="67" t="n">
        <f aca="false">O105+P62</f>
        <v>-109597.837283535</v>
      </c>
      <c r="Q105" s="67" t="n">
        <f aca="false">P105+Q62</f>
        <v>-118565.098234921</v>
      </c>
      <c r="R105" s="67" t="n">
        <f aca="false">Q105+R62</f>
        <v>-127331.132414233</v>
      </c>
      <c r="S105" s="67" t="n">
        <f aca="false">R105+S62</f>
        <v>-135899.393755452</v>
      </c>
      <c r="T105" s="67" t="n">
        <f aca="false">S105+T62</f>
        <v>-144273.280929614</v>
      </c>
      <c r="U105" s="67" t="n">
        <f aca="false">T105+U62</f>
        <v>-152456.138229018</v>
      </c>
      <c r="V105" s="67" t="n">
        <f aca="false">U105+V62</f>
        <v>-160451.256437288</v>
      </c>
      <c r="W105" s="67" t="n">
        <f aca="false">V105+W62</f>
        <v>-168261.873685508</v>
      </c>
      <c r="X105" s="67" t="n">
        <f aca="false">W105+X62</f>
        <v>-175891.176294666</v>
      </c>
      <c r="Y105" s="67" t="n">
        <f aca="false">X105+Y62</f>
        <v>-183342.299604614</v>
      </c>
      <c r="Z105" s="67" t="n">
        <f aca="false">Y105+Z62</f>
        <v>-190618.328789766</v>
      </c>
      <c r="AA105" s="67" t="n">
        <f aca="false">Z105+AA62</f>
        <v>-201115.8856671</v>
      </c>
      <c r="AB105" s="67" t="n">
        <f aca="false">AA105+AB62</f>
        <v>-211420.162117815</v>
      </c>
      <c r="AC105" s="67" t="n">
        <f aca="false">AB105+AC62</f>
        <v>-221534.499061861</v>
      </c>
      <c r="AD105" s="67" t="n">
        <f aca="false">AC105+AD62</f>
        <v>-231462.183964473</v>
      </c>
      <c r="AE105" s="67" t="n">
        <f aca="false">AD105+AE62</f>
        <v>-241206.451691438</v>
      </c>
      <c r="AF105" s="67" t="n">
        <f aca="false">AE105+AF62</f>
        <v>-250770.485350694</v>
      </c>
      <c r="AG105" s="67" t="n">
        <f aca="false">AF105+AG62</f>
        <v>-260157.417120448</v>
      </c>
      <c r="AH105" s="67" t="n">
        <f aca="false">AG105+AH62</f>
        <v>-269370.32906406</v>
      </c>
      <c r="AI105" s="67" t="n">
        <f aca="false">AH105+AI62</f>
        <v>-278412.253931873</v>
      </c>
      <c r="AJ105" s="67" t="n">
        <f aca="false">AI105+AJ62</f>
        <v>-287286.175950226</v>
      </c>
      <c r="AK105" s="67" t="n">
        <f aca="false">AJ105+AK62</f>
        <v>-295995.031597836</v>
      </c>
      <c r="AL105" s="67" t="n">
        <f aca="false">AK105+AL62</f>
        <v>-304541.710369761</v>
      </c>
    </row>
    <row r="106" customFormat="false" ht="15" hidden="false" customHeight="false" outlineLevel="0" collapsed="false">
      <c r="A106" s="4" t="s">
        <v>92</v>
      </c>
      <c r="C106" s="73" t="n">
        <f aca="false">C92+C78+C79+C69</f>
        <v>258393.972739667</v>
      </c>
      <c r="D106" s="73" t="n">
        <f aca="false">D92+D78+D79+D69</f>
        <v>248105.742145933</v>
      </c>
      <c r="E106" s="73" t="n">
        <f aca="false">E92+E78+E79+E69</f>
        <v>238040.230992729</v>
      </c>
      <c r="F106" s="73" t="n">
        <f aca="false">F92+F78+F79+F69</f>
        <v>228193.655059182</v>
      </c>
      <c r="G106" s="73" t="n">
        <f aca="false">G92+G78+G79+G69</f>
        <v>218562.290671954</v>
      </c>
      <c r="H106" s="73" t="n">
        <f aca="false">H92+H78+H79+H69</f>
        <v>209142.473736482</v>
      </c>
      <c r="I106" s="73" t="n">
        <f aca="false">I92+I78+I79+I69</f>
        <v>199930.598783713</v>
      </c>
      <c r="J106" s="73" t="n">
        <f aca="false">J92+J78+J79+J69</f>
        <v>190923.1180321</v>
      </c>
      <c r="K106" s="73" t="n">
        <f aca="false">K92+K78+K79+K69</f>
        <v>182116.540464601</v>
      </c>
      <c r="L106" s="73" t="n">
        <f aca="false">L92+L78+L79+L69</f>
        <v>173507.430920448</v>
      </c>
      <c r="M106" s="73" t="n">
        <f aca="false">M92+M78+M79+M69</f>
        <v>165092.409201442</v>
      </c>
      <c r="N106" s="73" t="n">
        <f aca="false">N92+N78+N79+N69</f>
        <v>156868.149192558</v>
      </c>
      <c r="O106" s="73" t="n">
        <f aca="false">O92+O78+O79+O69</f>
        <v>146116.867564004</v>
      </c>
      <c r="P106" s="73" t="n">
        <f aca="false">P92+P78+P79+P69</f>
        <v>135195.557430205</v>
      </c>
      <c r="Q106" s="73" t="n">
        <f aca="false">Q92+Q78+Q79+Q69</f>
        <v>124478.401732453</v>
      </c>
      <c r="R106" s="73" t="n">
        <f aca="false">R92+R78+R79+R69</f>
        <v>113961.899694145</v>
      </c>
      <c r="S106" s="73" t="n">
        <f aca="false">S92+S78+S79+S69</f>
        <v>103642.606551103</v>
      </c>
      <c r="T106" s="73" t="n">
        <f aca="false">T92+T78+T79+T69</f>
        <v>93517.1326553762</v>
      </c>
      <c r="U106" s="73" t="n">
        <f aca="false">U92+U78+U79+U69</f>
        <v>83582.1425933803</v>
      </c>
      <c r="V106" s="73" t="n">
        <f aca="false">V92+V78+V79+V69</f>
        <v>73834.354318149</v>
      </c>
      <c r="W106" s="73" t="n">
        <f aca="false">W92+W78+W79+W69</f>
        <v>64270.5382954672</v>
      </c>
      <c r="X106" s="73" t="n">
        <f aca="false">X92+X78+X79+X69</f>
        <v>54887.5166636672</v>
      </c>
      <c r="Y106" s="73" t="n">
        <f aca="false">Y92+Y78+Y79+Y69</f>
        <v>45682.1624068683</v>
      </c>
      <c r="Z106" s="73" t="n">
        <f aca="false">Z92+Z78+Z79+Z69</f>
        <v>36651.3985414436</v>
      </c>
      <c r="AA106" s="73" t="n">
        <f aca="false">AA92+AA78+AA79+AA69</f>
        <v>24797.5542230981</v>
      </c>
      <c r="AB106" s="73" t="n">
        <f aca="false">AB92+AB78+AB79+AB69</f>
        <v>12741.6566369545</v>
      </c>
      <c r="AC106" s="73" t="n">
        <f aca="false">AC92+AC78+AC79+AC69</f>
        <v>875.15306707412</v>
      </c>
      <c r="AD106" s="73" t="n">
        <f aca="false">AD92+AD78+AD79+AD69</f>
        <v>-10805.2352239293</v>
      </c>
      <c r="AE106" s="73" t="n">
        <f aca="false">AE92+AE78+AE79+AE69</f>
        <v>-22302.7345136435</v>
      </c>
      <c r="AF106" s="73" t="n">
        <f aca="false">AF92+AF78+AF79+AF69</f>
        <v>-33620.5194592152</v>
      </c>
      <c r="AG106" s="73" t="n">
        <f aca="false">AG92+AG78+AG79+AG69</f>
        <v>-44761.7139232764</v>
      </c>
      <c r="AH106" s="73" t="n">
        <f aca="false">AH92+AH78+AH79+AH69</f>
        <v>-55729.3917866573</v>
      </c>
      <c r="AI106" s="73" t="n">
        <f aca="false">AI92+AI78+AI79+AI69</f>
        <v>-66526.5777480946</v>
      </c>
      <c r="AJ106" s="73" t="n">
        <f aca="false">AJ92+AJ78+AJ79+AJ69</f>
        <v>-77156.2481111453</v>
      </c>
      <c r="AK106" s="73" t="n">
        <f aca="false">AK92+AK78+AK79+AK69</f>
        <v>-87621.3315585095</v>
      </c>
      <c r="AL106" s="73" t="n">
        <f aca="false">AL92+AL78+AL79+AL69</f>
        <v>-97924.709913964</v>
      </c>
    </row>
    <row r="107" customFormat="false" ht="15" hidden="false" customHeight="false" outlineLevel="0" collapsed="false">
      <c r="A107" s="6" t="s">
        <v>95</v>
      </c>
      <c r="C107" s="67" t="n">
        <f aca="false">C80+C75</f>
        <v>167156.718959251</v>
      </c>
      <c r="D107" s="67" t="n">
        <f aca="false">D80+D75</f>
        <v>165410.353970449</v>
      </c>
      <c r="E107" s="67" t="n">
        <f aca="false">E80+E75</f>
        <v>163663.359392896</v>
      </c>
      <c r="F107" s="67" t="n">
        <f aca="false">F80+F75</f>
        <v>161915.745300013</v>
      </c>
      <c r="G107" s="67" t="n">
        <f aca="false">G80+G75</f>
        <v>160167.521604044</v>
      </c>
      <c r="H107" s="67" t="n">
        <f aca="false">H80+H75</f>
        <v>158418.69805864</v>
      </c>
      <c r="I107" s="67" t="n">
        <f aca="false">I80+I75</f>
        <v>156669.28426139</v>
      </c>
      <c r="J107" s="67" t="n">
        <f aca="false">J80+J75</f>
        <v>154919.289656325</v>
      </c>
      <c r="K107" s="67" t="n">
        <f aca="false">K80+K75</f>
        <v>153168.72353637</v>
      </c>
      <c r="L107" s="67" t="n">
        <f aca="false">L80+L75</f>
        <v>151417.595045762</v>
      </c>
      <c r="M107" s="67" t="n">
        <f aca="false">M80+M75</f>
        <v>149665.913182433</v>
      </c>
      <c r="N107" s="67" t="n">
        <f aca="false">N80+N75</f>
        <v>147913.686800345</v>
      </c>
      <c r="O107" s="67" t="n">
        <f aca="false">O80+O75</f>
        <v>146542.707028572</v>
      </c>
      <c r="P107" s="67" t="n">
        <f aca="false">P80+P75</f>
        <v>144793.39471374</v>
      </c>
      <c r="Q107" s="67" t="n">
        <f aca="false">Q80+Q75</f>
        <v>143043.499967374</v>
      </c>
      <c r="R107" s="67" t="n">
        <f aca="false">R80+R75</f>
        <v>141293.032108378</v>
      </c>
      <c r="S107" s="67" t="n">
        <f aca="false">S80+S75</f>
        <v>139542.000306555</v>
      </c>
      <c r="T107" s="67" t="n">
        <f aca="false">T80+T75</f>
        <v>137790.41358499</v>
      </c>
      <c r="U107" s="67" t="n">
        <f aca="false">U80+U75</f>
        <v>136038.280822398</v>
      </c>
      <c r="V107" s="67" t="n">
        <f aca="false">V80+V75</f>
        <v>134285.610755437</v>
      </c>
      <c r="W107" s="67" t="n">
        <f aca="false">W80+W75</f>
        <v>132532.411980975</v>
      </c>
      <c r="X107" s="67" t="n">
        <f aca="false">X80+X75</f>
        <v>130778.692958333</v>
      </c>
      <c r="Y107" s="67" t="n">
        <f aca="false">Y80+Y75</f>
        <v>129024.462011482</v>
      </c>
      <c r="Z107" s="67" t="n">
        <f aca="false">Z80+Z75</f>
        <v>127269.72733121</v>
      </c>
      <c r="AA107" s="67" t="n">
        <f aca="false">AA80+AA75</f>
        <v>125913.439890198</v>
      </c>
      <c r="AB107" s="67" t="n">
        <f aca="false">AB80+AB75</f>
        <v>124161.818754769</v>
      </c>
      <c r="AC107" s="67" t="n">
        <f aca="false">AC80+AC75</f>
        <v>122409.652128935</v>
      </c>
      <c r="AD107" s="67" t="n">
        <f aca="false">AD80+AD75</f>
        <v>120656.948740544</v>
      </c>
      <c r="AE107" s="67" t="n">
        <f aca="false">AE80+AE75</f>
        <v>118903.717177795</v>
      </c>
      <c r="AF107" s="67" t="n">
        <f aca="false">AF80+AF75</f>
        <v>117149.965891478</v>
      </c>
      <c r="AG107" s="67" t="n">
        <f aca="false">AG80+AG75</f>
        <v>115395.703197172</v>
      </c>
      <c r="AH107" s="67" t="n">
        <f aca="false">AH80+AH75</f>
        <v>113640.937277402</v>
      </c>
      <c r="AI107" s="67" t="n">
        <f aca="false">AI80+AI75</f>
        <v>111885.676183778</v>
      </c>
      <c r="AJ107" s="67" t="n">
        <f aca="false">AJ80+AJ75</f>
        <v>110129.92783908</v>
      </c>
      <c r="AK107" s="67" t="n">
        <f aca="false">AK80+AK75</f>
        <v>108373.700039326</v>
      </c>
      <c r="AL107" s="67" t="n">
        <f aca="false">AL80+AL75</f>
        <v>106617.000455797</v>
      </c>
    </row>
    <row r="108" customFormat="false" ht="15" hidden="false" customHeight="false" outlineLevel="0" collapsed="false">
      <c r="A108" s="6" t="s">
        <v>98</v>
      </c>
      <c r="C108" s="67" t="n">
        <f aca="false">C104+C105</f>
        <v>91237.2537804157</v>
      </c>
      <c r="D108" s="67" t="n">
        <f aca="false">D104+D105</f>
        <v>82695.3881754839</v>
      </c>
      <c r="E108" s="67" t="n">
        <f aca="false">E104+E105</f>
        <v>74376.8715998323</v>
      </c>
      <c r="F108" s="67" t="n">
        <f aca="false">F104+F105</f>
        <v>66277.9097591689</v>
      </c>
      <c r="G108" s="67" t="n">
        <f aca="false">G104+G105</f>
        <v>58394.7690679103</v>
      </c>
      <c r="H108" s="67" t="n">
        <f aca="false">H104+H105</f>
        <v>50723.7756778424</v>
      </c>
      <c r="I108" s="67" t="n">
        <f aca="false">I104+I105</f>
        <v>43261.3145223228</v>
      </c>
      <c r="J108" s="67" t="n">
        <f aca="false">J104+J105</f>
        <v>36003.8283757749</v>
      </c>
      <c r="K108" s="67" t="n">
        <f aca="false">K104+K105</f>
        <v>28947.8169282317</v>
      </c>
      <c r="L108" s="67" t="n">
        <f aca="false">L104+L105</f>
        <v>22089.8358746856</v>
      </c>
      <c r="M108" s="67" t="n">
        <f aca="false">M104+M105</f>
        <v>15426.4960190091</v>
      </c>
      <c r="N108" s="67" t="n">
        <f aca="false">N104+N105</f>
        <v>8954.46239221259</v>
      </c>
      <c r="O108" s="67" t="n">
        <f aca="false">O104+O105</f>
        <v>-425.839464568111</v>
      </c>
      <c r="P108" s="67" t="n">
        <f aca="false">P104+P105</f>
        <v>-9597.83728353544</v>
      </c>
      <c r="Q108" s="67" t="n">
        <f aca="false">Q104+Q105</f>
        <v>-18565.0982349212</v>
      </c>
      <c r="R108" s="67" t="n">
        <f aca="false">R104+R105</f>
        <v>-27331.1324142335</v>
      </c>
      <c r="S108" s="67" t="n">
        <f aca="false">S104+S105</f>
        <v>-35899.3937554523</v>
      </c>
      <c r="T108" s="67" t="n">
        <f aca="false">T104+T105</f>
        <v>-44273.2809296139</v>
      </c>
      <c r="U108" s="67" t="n">
        <f aca="false">U104+U105</f>
        <v>-52456.1382290182</v>
      </c>
      <c r="V108" s="67" t="n">
        <f aca="false">V104+V105</f>
        <v>-60451.2564372879</v>
      </c>
      <c r="W108" s="67" t="n">
        <f aca="false">W104+W105</f>
        <v>-68261.873685508</v>
      </c>
      <c r="X108" s="67" t="n">
        <f aca="false">X104+X105</f>
        <v>-75891.1762946662</v>
      </c>
      <c r="Y108" s="67" t="n">
        <f aca="false">Y104+Y105</f>
        <v>-83342.2996046142</v>
      </c>
      <c r="Z108" s="67" t="n">
        <f aca="false">Z104+Z105</f>
        <v>-90618.3287897662</v>
      </c>
      <c r="AA108" s="67" t="n">
        <f aca="false">AA104+AA105</f>
        <v>-101115.8856671</v>
      </c>
      <c r="AB108" s="67" t="n">
        <f aca="false">AB104+AB105</f>
        <v>-111420.162117815</v>
      </c>
      <c r="AC108" s="67" t="n">
        <f aca="false">AC104+AC105</f>
        <v>-121534.499061861</v>
      </c>
      <c r="AD108" s="67" t="n">
        <f aca="false">AD104+AD105</f>
        <v>-131462.183964473</v>
      </c>
      <c r="AE108" s="67" t="n">
        <f aca="false">AE104+AE105</f>
        <v>-141206.451691438</v>
      </c>
      <c r="AF108" s="67" t="n">
        <f aca="false">AF104+AF105</f>
        <v>-150770.485350694</v>
      </c>
      <c r="AG108" s="67" t="n">
        <f aca="false">AG104+AG105</f>
        <v>-160157.417120448</v>
      </c>
      <c r="AH108" s="67" t="n">
        <f aca="false">AH104+AH105</f>
        <v>-169370.32906406</v>
      </c>
      <c r="AI108" s="67" t="n">
        <f aca="false">AI104+AI105</f>
        <v>-178412.253931873</v>
      </c>
      <c r="AJ108" s="67" t="n">
        <f aca="false">AJ104+AJ105</f>
        <v>-187286.175950226</v>
      </c>
      <c r="AK108" s="67" t="n">
        <f aca="false">AK104+AK105</f>
        <v>-195995.031597836</v>
      </c>
      <c r="AL108" s="67" t="n">
        <f aca="false">AL104+AL105</f>
        <v>-204541.710369761</v>
      </c>
    </row>
    <row r="109" customFormat="false" ht="15" hidden="false" customHeight="false" outlineLevel="0" collapsed="false">
      <c r="A109" s="4" t="s">
        <v>99</v>
      </c>
      <c r="C109" s="73" t="n">
        <f aca="false">C107+C108</f>
        <v>258393.972739667</v>
      </c>
      <c r="D109" s="73" t="n">
        <f aca="false">D107+D108</f>
        <v>248105.742145933</v>
      </c>
      <c r="E109" s="73" t="n">
        <f aca="false">E107+E108</f>
        <v>238040.230992729</v>
      </c>
      <c r="F109" s="73" t="n">
        <f aca="false">F107+F108</f>
        <v>228193.655059182</v>
      </c>
      <c r="G109" s="73" t="n">
        <f aca="false">G107+G108</f>
        <v>218562.290671954</v>
      </c>
      <c r="H109" s="73" t="n">
        <f aca="false">H107+H108</f>
        <v>209142.473736482</v>
      </c>
      <c r="I109" s="73" t="n">
        <f aca="false">I107+I108</f>
        <v>199930.598783713</v>
      </c>
      <c r="J109" s="73" t="n">
        <f aca="false">J107+J108</f>
        <v>190923.1180321</v>
      </c>
      <c r="K109" s="73" t="n">
        <f aca="false">K107+K108</f>
        <v>182116.540464601</v>
      </c>
      <c r="L109" s="73" t="n">
        <f aca="false">L107+L108</f>
        <v>173507.430920448</v>
      </c>
      <c r="M109" s="73" t="n">
        <f aca="false">M107+M108</f>
        <v>165092.409201442</v>
      </c>
      <c r="N109" s="73" t="n">
        <f aca="false">N107+N108</f>
        <v>156868.149192558</v>
      </c>
      <c r="O109" s="73" t="n">
        <f aca="false">O107+O108</f>
        <v>146116.867564004</v>
      </c>
      <c r="P109" s="73" t="n">
        <f aca="false">P107+P108</f>
        <v>135195.557430205</v>
      </c>
      <c r="Q109" s="73" t="n">
        <f aca="false">Q107+Q108</f>
        <v>124478.401732453</v>
      </c>
      <c r="R109" s="73" t="n">
        <f aca="false">R107+R108</f>
        <v>113961.899694145</v>
      </c>
      <c r="S109" s="73" t="n">
        <f aca="false">S107+S108</f>
        <v>103642.606551103</v>
      </c>
      <c r="T109" s="73" t="n">
        <f aca="false">T107+T108</f>
        <v>93517.1326553762</v>
      </c>
      <c r="U109" s="73" t="n">
        <f aca="false">U107+U108</f>
        <v>83582.1425933803</v>
      </c>
      <c r="V109" s="73" t="n">
        <f aca="false">V107+V108</f>
        <v>73834.3543181489</v>
      </c>
      <c r="W109" s="73" t="n">
        <f aca="false">W107+W108</f>
        <v>64270.5382954671</v>
      </c>
      <c r="X109" s="73" t="n">
        <f aca="false">X107+X108</f>
        <v>54887.5166636672</v>
      </c>
      <c r="Y109" s="73" t="n">
        <f aca="false">Y107+Y108</f>
        <v>45682.1624068683</v>
      </c>
      <c r="Z109" s="73" t="n">
        <f aca="false">Z107+Z108</f>
        <v>36651.3985414436</v>
      </c>
      <c r="AA109" s="73" t="n">
        <f aca="false">AA107+AA108</f>
        <v>24797.554223098</v>
      </c>
      <c r="AB109" s="73" t="n">
        <f aca="false">AB107+AB108</f>
        <v>12741.6566369545</v>
      </c>
      <c r="AC109" s="73" t="n">
        <f aca="false">AC107+AC108</f>
        <v>875.153067074061</v>
      </c>
      <c r="AD109" s="73" t="n">
        <f aca="false">AD107+AD108</f>
        <v>-10805.2352239293</v>
      </c>
      <c r="AE109" s="73" t="n">
        <f aca="false">AE107+AE108</f>
        <v>-22302.7345136436</v>
      </c>
      <c r="AF109" s="73" t="n">
        <f aca="false">AF107+AF108</f>
        <v>-33620.5194592153</v>
      </c>
      <c r="AG109" s="73" t="n">
        <f aca="false">AG107+AG108</f>
        <v>-44761.7139232765</v>
      </c>
      <c r="AH109" s="73" t="n">
        <f aca="false">AH107+AH108</f>
        <v>-55729.3917866574</v>
      </c>
      <c r="AI109" s="73" t="n">
        <f aca="false">AI107+AI108</f>
        <v>-66526.5777480947</v>
      </c>
      <c r="AJ109" s="73" t="n">
        <f aca="false">AJ107+AJ108</f>
        <v>-77156.2481111455</v>
      </c>
      <c r="AK109" s="73" t="n">
        <f aca="false">AK107+AK108</f>
        <v>-87621.3315585096</v>
      </c>
      <c r="AL109" s="73" t="n">
        <f aca="false">AL107+AL108</f>
        <v>-97924.7099139642</v>
      </c>
    </row>
    <row r="110" customFormat="false" ht="15" hidden="false" customHeight="false" outlineLevel="0" collapsed="false">
      <c r="A110" s="6" t="s">
        <v>455</v>
      </c>
      <c r="C110" s="67" t="n">
        <f aca="false">C106-C109</f>
        <v>0</v>
      </c>
      <c r="D110" s="67" t="n">
        <f aca="false">D106-D109</f>
        <v>0</v>
      </c>
      <c r="E110" s="67" t="n">
        <f aca="false">E106-E109</f>
        <v>0</v>
      </c>
      <c r="F110" s="67" t="n">
        <f aca="false">F106-F109</f>
        <v>0</v>
      </c>
      <c r="G110" s="67" t="n">
        <f aca="false">G106-G109</f>
        <v>0</v>
      </c>
      <c r="H110" s="67" t="n">
        <f aca="false">H106-H109</f>
        <v>0</v>
      </c>
      <c r="I110" s="67" t="n">
        <f aca="false">I106-I109</f>
        <v>0</v>
      </c>
      <c r="J110" s="67" t="n">
        <f aca="false">J106-J109</f>
        <v>0</v>
      </c>
      <c r="K110" s="67" t="n">
        <f aca="false">K106-K109</f>
        <v>0</v>
      </c>
      <c r="L110" s="67" t="n">
        <f aca="false">L106-L109</f>
        <v>0</v>
      </c>
      <c r="M110" s="67" t="n">
        <f aca="false">M106-M109</f>
        <v>0</v>
      </c>
      <c r="N110" s="67" t="n">
        <f aca="false">N106-N109</f>
        <v>0</v>
      </c>
      <c r="O110" s="67" t="n">
        <f aca="false">O106-O109</f>
        <v>0</v>
      </c>
      <c r="P110" s="67" t="n">
        <f aca="false">P106-P109</f>
        <v>0</v>
      </c>
      <c r="Q110" s="67" t="n">
        <f aca="false">Q106-Q109</f>
        <v>0</v>
      </c>
      <c r="R110" s="67" t="n">
        <f aca="false">R106-R109</f>
        <v>0</v>
      </c>
      <c r="S110" s="67" t="n">
        <f aca="false">S106-S109</f>
        <v>0</v>
      </c>
      <c r="T110" s="67" t="n">
        <f aca="false">T106-T109</f>
        <v>0</v>
      </c>
      <c r="U110" s="67" t="n">
        <f aca="false">U106-U109</f>
        <v>0</v>
      </c>
      <c r="V110" s="67" t="n">
        <f aca="false">V106-V109</f>
        <v>0</v>
      </c>
      <c r="W110" s="67" t="n">
        <f aca="false">W106-W109</f>
        <v>0</v>
      </c>
      <c r="X110" s="67" t="n">
        <f aca="false">X106-X109</f>
        <v>0</v>
      </c>
      <c r="Y110" s="67" t="n">
        <f aca="false">Y106-Y109</f>
        <v>0</v>
      </c>
      <c r="Z110" s="67" t="n">
        <f aca="false">Z106-Z109</f>
        <v>0</v>
      </c>
      <c r="AA110" s="67" t="n">
        <f aca="false">AA106-AA109</f>
        <v>0</v>
      </c>
      <c r="AB110" s="67" t="n">
        <f aca="false">AB106-AB109</f>
        <v>5.82076609134674E-011</v>
      </c>
      <c r="AC110" s="67" t="n">
        <f aca="false">AC106-AC109</f>
        <v>5.82076609134674E-011</v>
      </c>
      <c r="AD110" s="67" t="n">
        <f aca="false">AD106-AD109</f>
        <v>7.27595761418343E-011</v>
      </c>
      <c r="AE110" s="67" t="n">
        <f aca="false">AE106-AE109</f>
        <v>8.73114913702011E-011</v>
      </c>
      <c r="AF110" s="67" t="n">
        <f aca="false">AF106-AF109</f>
        <v>0</v>
      </c>
      <c r="AG110" s="67" t="n">
        <f aca="false">AG106-AG109</f>
        <v>0</v>
      </c>
      <c r="AH110" s="67" t="n">
        <f aca="false">AH106-AH109</f>
        <v>0</v>
      </c>
      <c r="AI110" s="67" t="n">
        <f aca="false">AI106-AI109</f>
        <v>0</v>
      </c>
      <c r="AJ110" s="67" t="n">
        <f aca="false">AJ106-AJ109</f>
        <v>0</v>
      </c>
      <c r="AK110" s="67" t="n">
        <f aca="false">AK106-AK109</f>
        <v>0</v>
      </c>
      <c r="AL110" s="67" t="n">
        <f aca="false">AL106-AL109</f>
        <v>0</v>
      </c>
    </row>
    <row r="112" customFormat="false" ht="15.75" hidden="false" customHeight="true" outlineLevel="0" collapsed="false">
      <c r="A112" s="7" t="s">
        <v>457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customFormat="false" ht="15" hidden="false" customHeight="false" outlineLevel="0" collapsed="false">
      <c r="A113" s="6" t="s">
        <v>458</v>
      </c>
      <c r="C113" s="114" t="n">
        <f aca="false">Inputs!$B$59*(1+Inputs!$B$61)^(C$7-1)*MAX(0,MIN(1,C$6*1-Inputs!$B$62+1))/1</f>
        <v>1</v>
      </c>
      <c r="D113" s="114" t="n">
        <f aca="false">Inputs!$B$59*(1+Inputs!$B$61)^(D$7-1)*MAX(0,MIN(1,D$6*1-Inputs!$B$62+1))/1</f>
        <v>1</v>
      </c>
      <c r="E113" s="114" t="n">
        <f aca="false">Inputs!$B$59*(1+Inputs!$B$61)^(E$7-1)*MAX(0,MIN(1,E$6*1-Inputs!$B$62+1))/1</f>
        <v>1</v>
      </c>
      <c r="F113" s="114" t="n">
        <f aca="false">Inputs!$B$59*(1+Inputs!$B$61)^(F$7-1)*MAX(0,MIN(1,F$6*1-Inputs!$B$62+1))/1</f>
        <v>1</v>
      </c>
      <c r="G113" s="114" t="n">
        <f aca="false">Inputs!$B$59*(1+Inputs!$B$61)^(G$7-1)*MAX(0,MIN(1,G$6*1-Inputs!$B$62+1))/1</f>
        <v>1</v>
      </c>
      <c r="H113" s="114" t="n">
        <f aca="false">Inputs!$B$59*(1+Inputs!$B$61)^(H$7-1)*MAX(0,MIN(1,H$6*1-Inputs!$B$62+1))/1</f>
        <v>1</v>
      </c>
      <c r="I113" s="114" t="n">
        <f aca="false">Inputs!$B$59*(1+Inputs!$B$61)^(I$7-1)*MAX(0,MIN(1,I$6*1-Inputs!$B$62+1))/1</f>
        <v>1</v>
      </c>
      <c r="J113" s="114" t="n">
        <f aca="false">Inputs!$B$59*(1+Inputs!$B$61)^(J$7-1)*MAX(0,MIN(1,J$6*1-Inputs!$B$62+1))/1</f>
        <v>1</v>
      </c>
      <c r="K113" s="114" t="n">
        <f aca="false">Inputs!$B$59*(1+Inputs!$B$61)^(K$7-1)*MAX(0,MIN(1,K$6*1-Inputs!$B$62+1))/1</f>
        <v>1</v>
      </c>
      <c r="L113" s="114" t="n">
        <f aca="false">Inputs!$B$59*(1+Inputs!$B$61)^(L$7-1)*MAX(0,MIN(1,L$6*1-Inputs!$B$62+1))/1</f>
        <v>1</v>
      </c>
      <c r="M113" s="114" t="n">
        <f aca="false">Inputs!$B$59*(1+Inputs!$B$61)^(M$7-1)*MAX(0,MIN(1,M$6*1-Inputs!$B$62+1))/1</f>
        <v>1</v>
      </c>
      <c r="N113" s="114" t="n">
        <f aca="false">Inputs!$B$59*(1+Inputs!$B$61)^(N$7-1)*MAX(0,MIN(1,N$6*1-Inputs!$B$62+1))/1</f>
        <v>1</v>
      </c>
      <c r="O113" s="114" t="n">
        <f aca="false">Inputs!$B$59*(1+Inputs!$B$61)^(O$7-1)*MAX(0,MIN(1,O$6*1-Inputs!$B$62+1))/1</f>
        <v>1</v>
      </c>
      <c r="P113" s="114" t="n">
        <f aca="false">Inputs!$B$59*(1+Inputs!$B$61)^(P$7-1)*MAX(0,MIN(1,P$6*1-Inputs!$B$62+1))/1</f>
        <v>1</v>
      </c>
      <c r="Q113" s="114" t="n">
        <f aca="false">Inputs!$B$59*(1+Inputs!$B$61)^(Q$7-1)*MAX(0,MIN(1,Q$6*1-Inputs!$B$62+1))/1</f>
        <v>1</v>
      </c>
      <c r="R113" s="114" t="n">
        <f aca="false">Inputs!$B$59*(1+Inputs!$B$61)^(R$7-1)*MAX(0,MIN(1,R$6*1-Inputs!$B$62+1))/1</f>
        <v>1</v>
      </c>
      <c r="S113" s="114" t="n">
        <f aca="false">Inputs!$B$59*(1+Inputs!$B$61)^(S$7-1)*MAX(0,MIN(1,S$6*1-Inputs!$B$62+1))/1</f>
        <v>1</v>
      </c>
      <c r="T113" s="114" t="n">
        <f aca="false">Inputs!$B$59*(1+Inputs!$B$61)^(T$7-1)*MAX(0,MIN(1,T$6*1-Inputs!$B$62+1))/1</f>
        <v>1</v>
      </c>
      <c r="U113" s="114" t="n">
        <f aca="false">Inputs!$B$59*(1+Inputs!$B$61)^(U$7-1)*MAX(0,MIN(1,U$6*1-Inputs!$B$62+1))/1</f>
        <v>1</v>
      </c>
      <c r="V113" s="114" t="n">
        <f aca="false">Inputs!$B$59*(1+Inputs!$B$61)^(V$7-1)*MAX(0,MIN(1,V$6*1-Inputs!$B$62+1))/1</f>
        <v>1</v>
      </c>
      <c r="W113" s="114" t="n">
        <f aca="false">Inputs!$B$59*(1+Inputs!$B$61)^(W$7-1)*MAX(0,MIN(1,W$6*1-Inputs!$B$62+1))/1</f>
        <v>1</v>
      </c>
      <c r="X113" s="114" t="n">
        <f aca="false">Inputs!$B$59*(1+Inputs!$B$61)^(X$7-1)*MAX(0,MIN(1,X$6*1-Inputs!$B$62+1))/1</f>
        <v>1</v>
      </c>
      <c r="Y113" s="114" t="n">
        <f aca="false">Inputs!$B$59*(1+Inputs!$B$61)^(Y$7-1)*MAX(0,MIN(1,Y$6*1-Inputs!$B$62+1))/1</f>
        <v>1</v>
      </c>
      <c r="Z113" s="114" t="n">
        <f aca="false">Inputs!$B$59*(1+Inputs!$B$61)^(Z$7-1)*MAX(0,MIN(1,Z$6*1-Inputs!$B$62+1))/1</f>
        <v>1</v>
      </c>
      <c r="AA113" s="114" t="n">
        <f aca="false">Inputs!$B$59*(1+Inputs!$B$61)^(AA$7-1)*MAX(0,MIN(1,AA$6*1-Inputs!$B$62+1))/1</f>
        <v>1</v>
      </c>
      <c r="AB113" s="114" t="n">
        <f aca="false">Inputs!$B$59*(1+Inputs!$B$61)^(AB$7-1)*MAX(0,MIN(1,AB$6*1-Inputs!$B$62+1))/1</f>
        <v>1</v>
      </c>
      <c r="AC113" s="114" t="n">
        <f aca="false">Inputs!$B$59*(1+Inputs!$B$61)^(AC$7-1)*MAX(0,MIN(1,AC$6*1-Inputs!$B$62+1))/1</f>
        <v>1</v>
      </c>
      <c r="AD113" s="114" t="n">
        <f aca="false">Inputs!$B$59*(1+Inputs!$B$61)^(AD$7-1)*MAX(0,MIN(1,AD$6*1-Inputs!$B$62+1))/1</f>
        <v>1</v>
      </c>
      <c r="AE113" s="114" t="n">
        <f aca="false">Inputs!$B$59*(1+Inputs!$B$61)^(AE$7-1)*MAX(0,MIN(1,AE$6*1-Inputs!$B$62+1))/1</f>
        <v>1</v>
      </c>
      <c r="AF113" s="114" t="n">
        <f aca="false">Inputs!$B$59*(1+Inputs!$B$61)^(AF$7-1)*MAX(0,MIN(1,AF$6*1-Inputs!$B$62+1))/1</f>
        <v>1</v>
      </c>
      <c r="AG113" s="114" t="n">
        <f aca="false">Inputs!$B$59*(1+Inputs!$B$61)^(AG$7-1)*MAX(0,MIN(1,AG$6*1-Inputs!$B$62+1))/1</f>
        <v>1</v>
      </c>
      <c r="AH113" s="114" t="n">
        <f aca="false">Inputs!$B$59*(1+Inputs!$B$61)^(AH$7-1)*MAX(0,MIN(1,AH$6*1-Inputs!$B$62+1))/1</f>
        <v>1</v>
      </c>
      <c r="AI113" s="114" t="n">
        <f aca="false">Inputs!$B$59*(1+Inputs!$B$61)^(AI$7-1)*MAX(0,MIN(1,AI$6*1-Inputs!$B$62+1))/1</f>
        <v>1</v>
      </c>
      <c r="AJ113" s="114" t="n">
        <f aca="false">Inputs!$B$59*(1+Inputs!$B$61)^(AJ$7-1)*MAX(0,MIN(1,AJ$6*1-Inputs!$B$62+1))/1</f>
        <v>1</v>
      </c>
      <c r="AK113" s="114" t="n">
        <f aca="false">Inputs!$B$59*(1+Inputs!$B$61)^(AK$7-1)*MAX(0,MIN(1,AK$6*1-Inputs!$B$62+1))/1</f>
        <v>1</v>
      </c>
      <c r="AL113" s="114" t="n">
        <f aca="false">Inputs!$B$59*(1+Inputs!$B$61)^(AL$7-1)*MAX(0,MIN(1,AL$6*1-Inputs!$B$62+1))/1</f>
        <v>1</v>
      </c>
    </row>
    <row r="114" customFormat="false" ht="15" hidden="false" customHeight="false" outlineLevel="0" collapsed="false">
      <c r="A114" s="6" t="s">
        <v>459</v>
      </c>
      <c r="C114" s="114" t="n">
        <f aca="false">Inputs!$B$63*(1+Inputs!$B$65)^(C$7-1)*MAX(0,MIN(1,C$6*1-Inputs!$B$66+1))/1</f>
        <v>3</v>
      </c>
      <c r="D114" s="114" t="n">
        <f aca="false">Inputs!$B$63*(1+Inputs!$B$65)^(D$7-1)*MAX(0,MIN(1,D$6*1-Inputs!$B$66+1))/1</f>
        <v>3</v>
      </c>
      <c r="E114" s="114" t="n">
        <f aca="false">Inputs!$B$63*(1+Inputs!$B$65)^(E$7-1)*MAX(0,MIN(1,E$6*1-Inputs!$B$66+1))/1</f>
        <v>3</v>
      </c>
      <c r="F114" s="114" t="n">
        <f aca="false">Inputs!$B$63*(1+Inputs!$B$65)^(F$7-1)*MAX(0,MIN(1,F$6*1-Inputs!$B$66+1))/1</f>
        <v>3</v>
      </c>
      <c r="G114" s="114" t="n">
        <f aca="false">Inputs!$B$63*(1+Inputs!$B$65)^(G$7-1)*MAX(0,MIN(1,G$6*1-Inputs!$B$66+1))/1</f>
        <v>3</v>
      </c>
      <c r="H114" s="114" t="n">
        <f aca="false">Inputs!$B$63*(1+Inputs!$B$65)^(H$7-1)*MAX(0,MIN(1,H$6*1-Inputs!$B$66+1))/1</f>
        <v>3</v>
      </c>
      <c r="I114" s="114" t="n">
        <f aca="false">Inputs!$B$63*(1+Inputs!$B$65)^(I$7-1)*MAX(0,MIN(1,I$6*1-Inputs!$B$66+1))/1</f>
        <v>3</v>
      </c>
      <c r="J114" s="114" t="n">
        <f aca="false">Inputs!$B$63*(1+Inputs!$B$65)^(J$7-1)*MAX(0,MIN(1,J$6*1-Inputs!$B$66+1))/1</f>
        <v>3</v>
      </c>
      <c r="K114" s="114" t="n">
        <f aca="false">Inputs!$B$63*(1+Inputs!$B$65)^(K$7-1)*MAX(0,MIN(1,K$6*1-Inputs!$B$66+1))/1</f>
        <v>3</v>
      </c>
      <c r="L114" s="114" t="n">
        <f aca="false">Inputs!$B$63*(1+Inputs!$B$65)^(L$7-1)*MAX(0,MIN(1,L$6*1-Inputs!$B$66+1))/1</f>
        <v>3</v>
      </c>
      <c r="M114" s="114" t="n">
        <f aca="false">Inputs!$B$63*(1+Inputs!$B$65)^(M$7-1)*MAX(0,MIN(1,M$6*1-Inputs!$B$66+1))/1</f>
        <v>3</v>
      </c>
      <c r="N114" s="114" t="n">
        <f aca="false">Inputs!$B$63*(1+Inputs!$B$65)^(N$7-1)*MAX(0,MIN(1,N$6*1-Inputs!$B$66+1))/1</f>
        <v>3</v>
      </c>
      <c r="O114" s="114" t="n">
        <f aca="false">Inputs!$B$63*(1+Inputs!$B$65)^(O$7-1)*MAX(0,MIN(1,O$6*1-Inputs!$B$66+1))/1</f>
        <v>3.18</v>
      </c>
      <c r="P114" s="114" t="n">
        <f aca="false">Inputs!$B$63*(1+Inputs!$B$65)^(P$7-1)*MAX(0,MIN(1,P$6*1-Inputs!$B$66+1))/1</f>
        <v>3.18</v>
      </c>
      <c r="Q114" s="114" t="n">
        <f aca="false">Inputs!$B$63*(1+Inputs!$B$65)^(Q$7-1)*MAX(0,MIN(1,Q$6*1-Inputs!$B$66+1))/1</f>
        <v>3.18</v>
      </c>
      <c r="R114" s="114" t="n">
        <f aca="false">Inputs!$B$63*(1+Inputs!$B$65)^(R$7-1)*MAX(0,MIN(1,R$6*1-Inputs!$B$66+1))/1</f>
        <v>3.18</v>
      </c>
      <c r="S114" s="114" t="n">
        <f aca="false">Inputs!$B$63*(1+Inputs!$B$65)^(S$7-1)*MAX(0,MIN(1,S$6*1-Inputs!$B$66+1))/1</f>
        <v>3.18</v>
      </c>
      <c r="T114" s="114" t="n">
        <f aca="false">Inputs!$B$63*(1+Inputs!$B$65)^(T$7-1)*MAX(0,MIN(1,T$6*1-Inputs!$B$66+1))/1</f>
        <v>3.18</v>
      </c>
      <c r="U114" s="114" t="n">
        <f aca="false">Inputs!$B$63*(1+Inputs!$B$65)^(U$7-1)*MAX(0,MIN(1,U$6*1-Inputs!$B$66+1))/1</f>
        <v>3.18</v>
      </c>
      <c r="V114" s="114" t="n">
        <f aca="false">Inputs!$B$63*(1+Inputs!$B$65)^(V$7-1)*MAX(0,MIN(1,V$6*1-Inputs!$B$66+1))/1</f>
        <v>3.18</v>
      </c>
      <c r="W114" s="114" t="n">
        <f aca="false">Inputs!$B$63*(1+Inputs!$B$65)^(W$7-1)*MAX(0,MIN(1,W$6*1-Inputs!$B$66+1))/1</f>
        <v>3.18</v>
      </c>
      <c r="X114" s="114" t="n">
        <f aca="false">Inputs!$B$63*(1+Inputs!$B$65)^(X$7-1)*MAX(0,MIN(1,X$6*1-Inputs!$B$66+1))/1</f>
        <v>3.18</v>
      </c>
      <c r="Y114" s="114" t="n">
        <f aca="false">Inputs!$B$63*(1+Inputs!$B$65)^(Y$7-1)*MAX(0,MIN(1,Y$6*1-Inputs!$B$66+1))/1</f>
        <v>3.18</v>
      </c>
      <c r="Z114" s="114" t="n">
        <f aca="false">Inputs!$B$63*(1+Inputs!$B$65)^(Z$7-1)*MAX(0,MIN(1,Z$6*1-Inputs!$B$66+1))/1</f>
        <v>3.18</v>
      </c>
      <c r="AA114" s="114" t="n">
        <f aca="false">Inputs!$B$63*(1+Inputs!$B$65)^(AA$7-1)*MAX(0,MIN(1,AA$6*1-Inputs!$B$66+1))/1</f>
        <v>3.3708</v>
      </c>
      <c r="AB114" s="114" t="n">
        <f aca="false">Inputs!$B$63*(1+Inputs!$B$65)^(AB$7-1)*MAX(0,MIN(1,AB$6*1-Inputs!$B$66+1))/1</f>
        <v>3.3708</v>
      </c>
      <c r="AC114" s="114" t="n">
        <f aca="false">Inputs!$B$63*(1+Inputs!$B$65)^(AC$7-1)*MAX(0,MIN(1,AC$6*1-Inputs!$B$66+1))/1</f>
        <v>3.3708</v>
      </c>
      <c r="AD114" s="114" t="n">
        <f aca="false">Inputs!$B$63*(1+Inputs!$B$65)^(AD$7-1)*MAX(0,MIN(1,AD$6*1-Inputs!$B$66+1))/1</f>
        <v>3.3708</v>
      </c>
      <c r="AE114" s="114" t="n">
        <f aca="false">Inputs!$B$63*(1+Inputs!$B$65)^(AE$7-1)*MAX(0,MIN(1,AE$6*1-Inputs!$B$66+1))/1</f>
        <v>3.3708</v>
      </c>
      <c r="AF114" s="114" t="n">
        <f aca="false">Inputs!$B$63*(1+Inputs!$B$65)^(AF$7-1)*MAX(0,MIN(1,AF$6*1-Inputs!$B$66+1))/1</f>
        <v>3.3708</v>
      </c>
      <c r="AG114" s="114" t="n">
        <f aca="false">Inputs!$B$63*(1+Inputs!$B$65)^(AG$7-1)*MAX(0,MIN(1,AG$6*1-Inputs!$B$66+1))/1</f>
        <v>3.3708</v>
      </c>
      <c r="AH114" s="114" t="n">
        <f aca="false">Inputs!$B$63*(1+Inputs!$B$65)^(AH$7-1)*MAX(0,MIN(1,AH$6*1-Inputs!$B$66+1))/1</f>
        <v>3.3708</v>
      </c>
      <c r="AI114" s="114" t="n">
        <f aca="false">Inputs!$B$63*(1+Inputs!$B$65)^(AI$7-1)*MAX(0,MIN(1,AI$6*1-Inputs!$B$66+1))/1</f>
        <v>3.3708</v>
      </c>
      <c r="AJ114" s="114" t="n">
        <f aca="false">Inputs!$B$63*(1+Inputs!$B$65)^(AJ$7-1)*MAX(0,MIN(1,AJ$6*1-Inputs!$B$66+1))/1</f>
        <v>3.3708</v>
      </c>
      <c r="AK114" s="114" t="n">
        <f aca="false">Inputs!$B$63*(1+Inputs!$B$65)^(AK$7-1)*MAX(0,MIN(1,AK$6*1-Inputs!$B$66+1))/1</f>
        <v>3.3708</v>
      </c>
      <c r="AL114" s="114" t="n">
        <f aca="false">Inputs!$B$63*(1+Inputs!$B$65)^(AL$7-1)*MAX(0,MIN(1,AL$6*1-Inputs!$B$66+1))/1</f>
        <v>3.3708</v>
      </c>
    </row>
    <row r="115" customFormat="false" ht="15" hidden="false" customHeight="false" outlineLevel="0" collapsed="false">
      <c r="A115" s="6" t="s">
        <v>460</v>
      </c>
      <c r="C115" s="114" t="n">
        <f aca="false">Inputs!$B$67*(1+Inputs!$B$69)^(C$7-1)*MAX(0,MIN(1,C$6*1-Inputs!$B$70+1))/1</f>
        <v>4.5</v>
      </c>
      <c r="D115" s="114" t="n">
        <f aca="false">Inputs!$B$67*(1+Inputs!$B$69)^(D$7-1)*MAX(0,MIN(1,D$6*1-Inputs!$B$70+1))/1</f>
        <v>4.5</v>
      </c>
      <c r="E115" s="114" t="n">
        <f aca="false">Inputs!$B$67*(1+Inputs!$B$69)^(E$7-1)*MAX(0,MIN(1,E$6*1-Inputs!$B$70+1))/1</f>
        <v>4.5</v>
      </c>
      <c r="F115" s="114" t="n">
        <f aca="false">Inputs!$B$67*(1+Inputs!$B$69)^(F$7-1)*MAX(0,MIN(1,F$6*1-Inputs!$B$70+1))/1</f>
        <v>4.5</v>
      </c>
      <c r="G115" s="114" t="n">
        <f aca="false">Inputs!$B$67*(1+Inputs!$B$69)^(G$7-1)*MAX(0,MIN(1,G$6*1-Inputs!$B$70+1))/1</f>
        <v>4.5</v>
      </c>
      <c r="H115" s="114" t="n">
        <f aca="false">Inputs!$B$67*(1+Inputs!$B$69)^(H$7-1)*MAX(0,MIN(1,H$6*1-Inputs!$B$70+1))/1</f>
        <v>4.5</v>
      </c>
      <c r="I115" s="114" t="n">
        <f aca="false">Inputs!$B$67*(1+Inputs!$B$69)^(I$7-1)*MAX(0,MIN(1,I$6*1-Inputs!$B$70+1))/1</f>
        <v>4.5</v>
      </c>
      <c r="J115" s="114" t="n">
        <f aca="false">Inputs!$B$67*(1+Inputs!$B$69)^(J$7-1)*MAX(0,MIN(1,J$6*1-Inputs!$B$70+1))/1</f>
        <v>4.5</v>
      </c>
      <c r="K115" s="114" t="n">
        <f aca="false">Inputs!$B$67*(1+Inputs!$B$69)^(K$7-1)*MAX(0,MIN(1,K$6*1-Inputs!$B$70+1))/1</f>
        <v>4.5</v>
      </c>
      <c r="L115" s="114" t="n">
        <f aca="false">Inputs!$B$67*(1+Inputs!$B$69)^(L$7-1)*MAX(0,MIN(1,L$6*1-Inputs!$B$70+1))/1</f>
        <v>4.5</v>
      </c>
      <c r="M115" s="114" t="n">
        <f aca="false">Inputs!$B$67*(1+Inputs!$B$69)^(M$7-1)*MAX(0,MIN(1,M$6*1-Inputs!$B$70+1))/1</f>
        <v>4.5</v>
      </c>
      <c r="N115" s="114" t="n">
        <f aca="false">Inputs!$B$67*(1+Inputs!$B$69)^(N$7-1)*MAX(0,MIN(1,N$6*1-Inputs!$B$70+1))/1</f>
        <v>4.5</v>
      </c>
      <c r="O115" s="114" t="n">
        <f aca="false">Inputs!$B$67*(1+Inputs!$B$69)^(O$7-1)*MAX(0,MIN(1,O$6*1-Inputs!$B$70+1))/1</f>
        <v>4.68</v>
      </c>
      <c r="P115" s="114" t="n">
        <f aca="false">Inputs!$B$67*(1+Inputs!$B$69)^(P$7-1)*MAX(0,MIN(1,P$6*1-Inputs!$B$70+1))/1</f>
        <v>4.68</v>
      </c>
      <c r="Q115" s="114" t="n">
        <f aca="false">Inputs!$B$67*(1+Inputs!$B$69)^(Q$7-1)*MAX(0,MIN(1,Q$6*1-Inputs!$B$70+1))/1</f>
        <v>4.68</v>
      </c>
      <c r="R115" s="114" t="n">
        <f aca="false">Inputs!$B$67*(1+Inputs!$B$69)^(R$7-1)*MAX(0,MIN(1,R$6*1-Inputs!$B$70+1))/1</f>
        <v>4.68</v>
      </c>
      <c r="S115" s="114" t="n">
        <f aca="false">Inputs!$B$67*(1+Inputs!$B$69)^(S$7-1)*MAX(0,MIN(1,S$6*1-Inputs!$B$70+1))/1</f>
        <v>4.68</v>
      </c>
      <c r="T115" s="114" t="n">
        <f aca="false">Inputs!$B$67*(1+Inputs!$B$69)^(T$7-1)*MAX(0,MIN(1,T$6*1-Inputs!$B$70+1))/1</f>
        <v>4.68</v>
      </c>
      <c r="U115" s="114" t="n">
        <f aca="false">Inputs!$B$67*(1+Inputs!$B$69)^(U$7-1)*MAX(0,MIN(1,U$6*1-Inputs!$B$70+1))/1</f>
        <v>4.68</v>
      </c>
      <c r="V115" s="114" t="n">
        <f aca="false">Inputs!$B$67*(1+Inputs!$B$69)^(V$7-1)*MAX(0,MIN(1,V$6*1-Inputs!$B$70+1))/1</f>
        <v>4.68</v>
      </c>
      <c r="W115" s="114" t="n">
        <f aca="false">Inputs!$B$67*(1+Inputs!$B$69)^(W$7-1)*MAX(0,MIN(1,W$6*1-Inputs!$B$70+1))/1</f>
        <v>4.68</v>
      </c>
      <c r="X115" s="114" t="n">
        <f aca="false">Inputs!$B$67*(1+Inputs!$B$69)^(X$7-1)*MAX(0,MIN(1,X$6*1-Inputs!$B$70+1))/1</f>
        <v>4.68</v>
      </c>
      <c r="Y115" s="114" t="n">
        <f aca="false">Inputs!$B$67*(1+Inputs!$B$69)^(Y$7-1)*MAX(0,MIN(1,Y$6*1-Inputs!$B$70+1))/1</f>
        <v>4.68</v>
      </c>
      <c r="Z115" s="114" t="n">
        <f aca="false">Inputs!$B$67*(1+Inputs!$B$69)^(Z$7-1)*MAX(0,MIN(1,Z$6*1-Inputs!$B$70+1))/1</f>
        <v>4.68</v>
      </c>
      <c r="AA115" s="114" t="n">
        <f aca="false">Inputs!$B$67*(1+Inputs!$B$69)^(AA$7-1)*MAX(0,MIN(1,AA$6*1-Inputs!$B$70+1))/1</f>
        <v>4.8672</v>
      </c>
      <c r="AB115" s="114" t="n">
        <f aca="false">Inputs!$B$67*(1+Inputs!$B$69)^(AB$7-1)*MAX(0,MIN(1,AB$6*1-Inputs!$B$70+1))/1</f>
        <v>4.8672</v>
      </c>
      <c r="AC115" s="114" t="n">
        <f aca="false">Inputs!$B$67*(1+Inputs!$B$69)^(AC$7-1)*MAX(0,MIN(1,AC$6*1-Inputs!$B$70+1))/1</f>
        <v>4.8672</v>
      </c>
      <c r="AD115" s="114" t="n">
        <f aca="false">Inputs!$B$67*(1+Inputs!$B$69)^(AD$7-1)*MAX(0,MIN(1,AD$6*1-Inputs!$B$70+1))/1</f>
        <v>4.8672</v>
      </c>
      <c r="AE115" s="114" t="n">
        <f aca="false">Inputs!$B$67*(1+Inputs!$B$69)^(AE$7-1)*MAX(0,MIN(1,AE$6*1-Inputs!$B$70+1))/1</f>
        <v>4.8672</v>
      </c>
      <c r="AF115" s="114" t="n">
        <f aca="false">Inputs!$B$67*(1+Inputs!$B$69)^(AF$7-1)*MAX(0,MIN(1,AF$6*1-Inputs!$B$70+1))/1</f>
        <v>4.8672</v>
      </c>
      <c r="AG115" s="114" t="n">
        <f aca="false">Inputs!$B$67*(1+Inputs!$B$69)^(AG$7-1)*MAX(0,MIN(1,AG$6*1-Inputs!$B$70+1))/1</f>
        <v>4.8672</v>
      </c>
      <c r="AH115" s="114" t="n">
        <f aca="false">Inputs!$B$67*(1+Inputs!$B$69)^(AH$7-1)*MAX(0,MIN(1,AH$6*1-Inputs!$B$70+1))/1</f>
        <v>4.8672</v>
      </c>
      <c r="AI115" s="114" t="n">
        <f aca="false">Inputs!$B$67*(1+Inputs!$B$69)^(AI$7-1)*MAX(0,MIN(1,AI$6*1-Inputs!$B$70+1))/1</f>
        <v>4.8672</v>
      </c>
      <c r="AJ115" s="114" t="n">
        <f aca="false">Inputs!$B$67*(1+Inputs!$B$69)^(AJ$7-1)*MAX(0,MIN(1,AJ$6*1-Inputs!$B$70+1))/1</f>
        <v>4.8672</v>
      </c>
      <c r="AK115" s="114" t="n">
        <f aca="false">Inputs!$B$67*(1+Inputs!$B$69)^(AK$7-1)*MAX(0,MIN(1,AK$6*1-Inputs!$B$70+1))/1</f>
        <v>4.8672</v>
      </c>
      <c r="AL115" s="114" t="n">
        <f aca="false">Inputs!$B$67*(1+Inputs!$B$69)^(AL$7-1)*MAX(0,MIN(1,AL$6*1-Inputs!$B$70+1))/1</f>
        <v>4.8672</v>
      </c>
    </row>
    <row r="116" customFormat="false" ht="15" hidden="false" customHeight="false" outlineLevel="0" collapsed="false">
      <c r="A116" s="6" t="s">
        <v>461</v>
      </c>
      <c r="C116" s="114" t="n">
        <f aca="false">Inputs!$B$71*(1+Inputs!$B$73)^(C$7-1)*MAX(0,MIN(1,C$6*1-Inputs!$B$74+1))/1</f>
        <v>3</v>
      </c>
      <c r="D116" s="114" t="n">
        <f aca="false">Inputs!$B$71*(1+Inputs!$B$73)^(D$7-1)*MAX(0,MIN(1,D$6*1-Inputs!$B$74+1))/1</f>
        <v>3</v>
      </c>
      <c r="E116" s="114" t="n">
        <f aca="false">Inputs!$B$71*(1+Inputs!$B$73)^(E$7-1)*MAX(0,MIN(1,E$6*1-Inputs!$B$74+1))/1</f>
        <v>3</v>
      </c>
      <c r="F116" s="114" t="n">
        <f aca="false">Inputs!$B$71*(1+Inputs!$B$73)^(F$7-1)*MAX(0,MIN(1,F$6*1-Inputs!$B$74+1))/1</f>
        <v>3</v>
      </c>
      <c r="G116" s="114" t="n">
        <f aca="false">Inputs!$B$71*(1+Inputs!$B$73)^(G$7-1)*MAX(0,MIN(1,G$6*1-Inputs!$B$74+1))/1</f>
        <v>3</v>
      </c>
      <c r="H116" s="114" t="n">
        <f aca="false">Inputs!$B$71*(1+Inputs!$B$73)^(H$7-1)*MAX(0,MIN(1,H$6*1-Inputs!$B$74+1))/1</f>
        <v>3</v>
      </c>
      <c r="I116" s="114" t="n">
        <f aca="false">Inputs!$B$71*(1+Inputs!$B$73)^(I$7-1)*MAX(0,MIN(1,I$6*1-Inputs!$B$74+1))/1</f>
        <v>3</v>
      </c>
      <c r="J116" s="114" t="n">
        <f aca="false">Inputs!$B$71*(1+Inputs!$B$73)^(J$7-1)*MAX(0,MIN(1,J$6*1-Inputs!$B$74+1))/1</f>
        <v>3</v>
      </c>
      <c r="K116" s="114" t="n">
        <f aca="false">Inputs!$B$71*(1+Inputs!$B$73)^(K$7-1)*MAX(0,MIN(1,K$6*1-Inputs!$B$74+1))/1</f>
        <v>3</v>
      </c>
      <c r="L116" s="114" t="n">
        <f aca="false">Inputs!$B$71*(1+Inputs!$B$73)^(L$7-1)*MAX(0,MIN(1,L$6*1-Inputs!$B$74+1))/1</f>
        <v>3</v>
      </c>
      <c r="M116" s="114" t="n">
        <f aca="false">Inputs!$B$71*(1+Inputs!$B$73)^(M$7-1)*MAX(0,MIN(1,M$6*1-Inputs!$B$74+1))/1</f>
        <v>3</v>
      </c>
      <c r="N116" s="114" t="n">
        <f aca="false">Inputs!$B$71*(1+Inputs!$B$73)^(N$7-1)*MAX(0,MIN(1,N$6*1-Inputs!$B$74+1))/1</f>
        <v>3</v>
      </c>
      <c r="O116" s="114" t="n">
        <f aca="false">Inputs!$B$71*(1+Inputs!$B$73)^(O$7-1)*MAX(0,MIN(1,O$6*1-Inputs!$B$74+1))/1</f>
        <v>3.12</v>
      </c>
      <c r="P116" s="114" t="n">
        <f aca="false">Inputs!$B$71*(1+Inputs!$B$73)^(P$7-1)*MAX(0,MIN(1,P$6*1-Inputs!$B$74+1))/1</f>
        <v>3.12</v>
      </c>
      <c r="Q116" s="114" t="n">
        <f aca="false">Inputs!$B$71*(1+Inputs!$B$73)^(Q$7-1)*MAX(0,MIN(1,Q$6*1-Inputs!$B$74+1))/1</f>
        <v>3.12</v>
      </c>
      <c r="R116" s="114" t="n">
        <f aca="false">Inputs!$B$71*(1+Inputs!$B$73)^(R$7-1)*MAX(0,MIN(1,R$6*1-Inputs!$B$74+1))/1</f>
        <v>3.12</v>
      </c>
      <c r="S116" s="114" t="n">
        <f aca="false">Inputs!$B$71*(1+Inputs!$B$73)^(S$7-1)*MAX(0,MIN(1,S$6*1-Inputs!$B$74+1))/1</f>
        <v>3.12</v>
      </c>
      <c r="T116" s="114" t="n">
        <f aca="false">Inputs!$B$71*(1+Inputs!$B$73)^(T$7-1)*MAX(0,MIN(1,T$6*1-Inputs!$B$74+1))/1</f>
        <v>3.12</v>
      </c>
      <c r="U116" s="114" t="n">
        <f aca="false">Inputs!$B$71*(1+Inputs!$B$73)^(U$7-1)*MAX(0,MIN(1,U$6*1-Inputs!$B$74+1))/1</f>
        <v>3.12</v>
      </c>
      <c r="V116" s="114" t="n">
        <f aca="false">Inputs!$B$71*(1+Inputs!$B$73)^(V$7-1)*MAX(0,MIN(1,V$6*1-Inputs!$B$74+1))/1</f>
        <v>3.12</v>
      </c>
      <c r="W116" s="114" t="n">
        <f aca="false">Inputs!$B$71*(1+Inputs!$B$73)^(W$7-1)*MAX(0,MIN(1,W$6*1-Inputs!$B$74+1))/1</f>
        <v>3.12</v>
      </c>
      <c r="X116" s="114" t="n">
        <f aca="false">Inputs!$B$71*(1+Inputs!$B$73)^(X$7-1)*MAX(0,MIN(1,X$6*1-Inputs!$B$74+1))/1</f>
        <v>3.12</v>
      </c>
      <c r="Y116" s="114" t="n">
        <f aca="false">Inputs!$B$71*(1+Inputs!$B$73)^(Y$7-1)*MAX(0,MIN(1,Y$6*1-Inputs!$B$74+1))/1</f>
        <v>3.12</v>
      </c>
      <c r="Z116" s="114" t="n">
        <f aca="false">Inputs!$B$71*(1+Inputs!$B$73)^(Z$7-1)*MAX(0,MIN(1,Z$6*1-Inputs!$B$74+1))/1</f>
        <v>3.12</v>
      </c>
      <c r="AA116" s="114" t="n">
        <f aca="false">Inputs!$B$71*(1+Inputs!$B$73)^(AA$7-1)*MAX(0,MIN(1,AA$6*1-Inputs!$B$74+1))/1</f>
        <v>3.2448</v>
      </c>
      <c r="AB116" s="114" t="n">
        <f aca="false">Inputs!$B$71*(1+Inputs!$B$73)^(AB$7-1)*MAX(0,MIN(1,AB$6*1-Inputs!$B$74+1))/1</f>
        <v>3.2448</v>
      </c>
      <c r="AC116" s="114" t="n">
        <f aca="false">Inputs!$B$71*(1+Inputs!$B$73)^(AC$7-1)*MAX(0,MIN(1,AC$6*1-Inputs!$B$74+1))/1</f>
        <v>3.2448</v>
      </c>
      <c r="AD116" s="114" t="n">
        <f aca="false">Inputs!$B$71*(1+Inputs!$B$73)^(AD$7-1)*MAX(0,MIN(1,AD$6*1-Inputs!$B$74+1))/1</f>
        <v>3.2448</v>
      </c>
      <c r="AE116" s="114" t="n">
        <f aca="false">Inputs!$B$71*(1+Inputs!$B$73)^(AE$7-1)*MAX(0,MIN(1,AE$6*1-Inputs!$B$74+1))/1</f>
        <v>3.2448</v>
      </c>
      <c r="AF116" s="114" t="n">
        <f aca="false">Inputs!$B$71*(1+Inputs!$B$73)^(AF$7-1)*MAX(0,MIN(1,AF$6*1-Inputs!$B$74+1))/1</f>
        <v>3.2448</v>
      </c>
      <c r="AG116" s="114" t="n">
        <f aca="false">Inputs!$B$71*(1+Inputs!$B$73)^(AG$7-1)*MAX(0,MIN(1,AG$6*1-Inputs!$B$74+1))/1</f>
        <v>3.2448</v>
      </c>
      <c r="AH116" s="114" t="n">
        <f aca="false">Inputs!$B$71*(1+Inputs!$B$73)^(AH$7-1)*MAX(0,MIN(1,AH$6*1-Inputs!$B$74+1))/1</f>
        <v>3.2448</v>
      </c>
      <c r="AI116" s="114" t="n">
        <f aca="false">Inputs!$B$71*(1+Inputs!$B$73)^(AI$7-1)*MAX(0,MIN(1,AI$6*1-Inputs!$B$74+1))/1</f>
        <v>3.2448</v>
      </c>
      <c r="AJ116" s="114" t="n">
        <f aca="false">Inputs!$B$71*(1+Inputs!$B$73)^(AJ$7-1)*MAX(0,MIN(1,AJ$6*1-Inputs!$B$74+1))/1</f>
        <v>3.2448</v>
      </c>
      <c r="AK116" s="114" t="n">
        <f aca="false">Inputs!$B$71*(1+Inputs!$B$73)^(AK$7-1)*MAX(0,MIN(1,AK$6*1-Inputs!$B$74+1))/1</f>
        <v>3.2448</v>
      </c>
      <c r="AL116" s="114" t="n">
        <f aca="false">Inputs!$B$71*(1+Inputs!$B$73)^(AL$7-1)*MAX(0,MIN(1,AL$6*1-Inputs!$B$74+1))/1</f>
        <v>3.2448</v>
      </c>
    </row>
    <row r="117" customFormat="false" ht="15" hidden="false" customHeight="false" outlineLevel="0" collapsed="false">
      <c r="A117" s="6" t="s">
        <v>462</v>
      </c>
      <c r="C117" s="114" t="n">
        <f aca="false">Inputs!$B$75*(1+Inputs!$B$77)^(C$7-1)*MAX(0,MIN(1,C$6*1-Inputs!$B$78+1))/1</f>
        <v>1</v>
      </c>
      <c r="D117" s="114" t="n">
        <f aca="false">Inputs!$B$75*(1+Inputs!$B$77)^(D$7-1)*MAX(0,MIN(1,D$6*1-Inputs!$B$78+1))/1</f>
        <v>1</v>
      </c>
      <c r="E117" s="114" t="n">
        <f aca="false">Inputs!$B$75*(1+Inputs!$B$77)^(E$7-1)*MAX(0,MIN(1,E$6*1-Inputs!$B$78+1))/1</f>
        <v>1</v>
      </c>
      <c r="F117" s="114" t="n">
        <f aca="false">Inputs!$B$75*(1+Inputs!$B$77)^(F$7-1)*MAX(0,MIN(1,F$6*1-Inputs!$B$78+1))/1</f>
        <v>1</v>
      </c>
      <c r="G117" s="114" t="n">
        <f aca="false">Inputs!$B$75*(1+Inputs!$B$77)^(G$7-1)*MAX(0,MIN(1,G$6*1-Inputs!$B$78+1))/1</f>
        <v>1</v>
      </c>
      <c r="H117" s="114" t="n">
        <f aca="false">Inputs!$B$75*(1+Inputs!$B$77)^(H$7-1)*MAX(0,MIN(1,H$6*1-Inputs!$B$78+1))/1</f>
        <v>1</v>
      </c>
      <c r="I117" s="114" t="n">
        <f aca="false">Inputs!$B$75*(1+Inputs!$B$77)^(I$7-1)*MAX(0,MIN(1,I$6*1-Inputs!$B$78+1))/1</f>
        <v>1</v>
      </c>
      <c r="J117" s="114" t="n">
        <f aca="false">Inputs!$B$75*(1+Inputs!$B$77)^(J$7-1)*MAX(0,MIN(1,J$6*1-Inputs!$B$78+1))/1</f>
        <v>1</v>
      </c>
      <c r="K117" s="114" t="n">
        <f aca="false">Inputs!$B$75*(1+Inputs!$B$77)^(K$7-1)*MAX(0,MIN(1,K$6*1-Inputs!$B$78+1))/1</f>
        <v>1</v>
      </c>
      <c r="L117" s="114" t="n">
        <f aca="false">Inputs!$B$75*(1+Inputs!$B$77)^(L$7-1)*MAX(0,MIN(1,L$6*1-Inputs!$B$78+1))/1</f>
        <v>1</v>
      </c>
      <c r="M117" s="114" t="n">
        <f aca="false">Inputs!$B$75*(1+Inputs!$B$77)^(M$7-1)*MAX(0,MIN(1,M$6*1-Inputs!$B$78+1))/1</f>
        <v>1</v>
      </c>
      <c r="N117" s="114" t="n">
        <f aca="false">Inputs!$B$75*(1+Inputs!$B$77)^(N$7-1)*MAX(0,MIN(1,N$6*1-Inputs!$B$78+1))/1</f>
        <v>1</v>
      </c>
      <c r="O117" s="114" t="n">
        <f aca="false">Inputs!$B$75*(1+Inputs!$B$77)^(O$7-1)*MAX(0,MIN(1,O$6*1-Inputs!$B$78+1))/1</f>
        <v>1</v>
      </c>
      <c r="P117" s="114" t="n">
        <f aca="false">Inputs!$B$75*(1+Inputs!$B$77)^(P$7-1)*MAX(0,MIN(1,P$6*1-Inputs!$B$78+1))/1</f>
        <v>1</v>
      </c>
      <c r="Q117" s="114" t="n">
        <f aca="false">Inputs!$B$75*(1+Inputs!$B$77)^(Q$7-1)*MAX(0,MIN(1,Q$6*1-Inputs!$B$78+1))/1</f>
        <v>1</v>
      </c>
      <c r="R117" s="114" t="n">
        <f aca="false">Inputs!$B$75*(1+Inputs!$B$77)^(R$7-1)*MAX(0,MIN(1,R$6*1-Inputs!$B$78+1))/1</f>
        <v>1</v>
      </c>
      <c r="S117" s="114" t="n">
        <f aca="false">Inputs!$B$75*(1+Inputs!$B$77)^(S$7-1)*MAX(0,MIN(1,S$6*1-Inputs!$B$78+1))/1</f>
        <v>1</v>
      </c>
      <c r="T117" s="114" t="n">
        <f aca="false">Inputs!$B$75*(1+Inputs!$B$77)^(T$7-1)*MAX(0,MIN(1,T$6*1-Inputs!$B$78+1))/1</f>
        <v>1</v>
      </c>
      <c r="U117" s="114" t="n">
        <f aca="false">Inputs!$B$75*(1+Inputs!$B$77)^(U$7-1)*MAX(0,MIN(1,U$6*1-Inputs!$B$78+1))/1</f>
        <v>1</v>
      </c>
      <c r="V117" s="114" t="n">
        <f aca="false">Inputs!$B$75*(1+Inputs!$B$77)^(V$7-1)*MAX(0,MIN(1,V$6*1-Inputs!$B$78+1))/1</f>
        <v>1</v>
      </c>
      <c r="W117" s="114" t="n">
        <f aca="false">Inputs!$B$75*(1+Inputs!$B$77)^(W$7-1)*MAX(0,MIN(1,W$6*1-Inputs!$B$78+1))/1</f>
        <v>1</v>
      </c>
      <c r="X117" s="114" t="n">
        <f aca="false">Inputs!$B$75*(1+Inputs!$B$77)^(X$7-1)*MAX(0,MIN(1,X$6*1-Inputs!$B$78+1))/1</f>
        <v>1</v>
      </c>
      <c r="Y117" s="114" t="n">
        <f aca="false">Inputs!$B$75*(1+Inputs!$B$77)^(Y$7-1)*MAX(0,MIN(1,Y$6*1-Inputs!$B$78+1))/1</f>
        <v>1</v>
      </c>
      <c r="Z117" s="114" t="n">
        <f aca="false">Inputs!$B$75*(1+Inputs!$B$77)^(Z$7-1)*MAX(0,MIN(1,Z$6*1-Inputs!$B$78+1))/1</f>
        <v>1</v>
      </c>
      <c r="AA117" s="114" t="n">
        <f aca="false">Inputs!$B$75*(1+Inputs!$B$77)^(AA$7-1)*MAX(0,MIN(1,AA$6*1-Inputs!$B$78+1))/1</f>
        <v>1</v>
      </c>
      <c r="AB117" s="114" t="n">
        <f aca="false">Inputs!$B$75*(1+Inputs!$B$77)^(AB$7-1)*MAX(0,MIN(1,AB$6*1-Inputs!$B$78+1))/1</f>
        <v>1</v>
      </c>
      <c r="AC117" s="114" t="n">
        <f aca="false">Inputs!$B$75*(1+Inputs!$B$77)^(AC$7-1)*MAX(0,MIN(1,AC$6*1-Inputs!$B$78+1))/1</f>
        <v>1</v>
      </c>
      <c r="AD117" s="114" t="n">
        <f aca="false">Inputs!$B$75*(1+Inputs!$B$77)^(AD$7-1)*MAX(0,MIN(1,AD$6*1-Inputs!$B$78+1))/1</f>
        <v>1</v>
      </c>
      <c r="AE117" s="114" t="n">
        <f aca="false">Inputs!$B$75*(1+Inputs!$B$77)^(AE$7-1)*MAX(0,MIN(1,AE$6*1-Inputs!$B$78+1))/1</f>
        <v>1</v>
      </c>
      <c r="AF117" s="114" t="n">
        <f aca="false">Inputs!$B$75*(1+Inputs!$B$77)^(AF$7-1)*MAX(0,MIN(1,AF$6*1-Inputs!$B$78+1))/1</f>
        <v>1</v>
      </c>
      <c r="AG117" s="114" t="n">
        <f aca="false">Inputs!$B$75*(1+Inputs!$B$77)^(AG$7-1)*MAX(0,MIN(1,AG$6*1-Inputs!$B$78+1))/1</f>
        <v>1</v>
      </c>
      <c r="AH117" s="114" t="n">
        <f aca="false">Inputs!$B$75*(1+Inputs!$B$77)^(AH$7-1)*MAX(0,MIN(1,AH$6*1-Inputs!$B$78+1))/1</f>
        <v>1</v>
      </c>
      <c r="AI117" s="114" t="n">
        <f aca="false">Inputs!$B$75*(1+Inputs!$B$77)^(AI$7-1)*MAX(0,MIN(1,AI$6*1-Inputs!$B$78+1))/1</f>
        <v>1</v>
      </c>
      <c r="AJ117" s="114" t="n">
        <f aca="false">Inputs!$B$75*(1+Inputs!$B$77)^(AJ$7-1)*MAX(0,MIN(1,AJ$6*1-Inputs!$B$78+1))/1</f>
        <v>1</v>
      </c>
      <c r="AK117" s="114" t="n">
        <f aca="false">Inputs!$B$75*(1+Inputs!$B$77)^(AK$7-1)*MAX(0,MIN(1,AK$6*1-Inputs!$B$78+1))/1</f>
        <v>1</v>
      </c>
      <c r="AL117" s="114" t="n">
        <f aca="false">Inputs!$B$75*(1+Inputs!$B$77)^(AL$7-1)*MAX(0,MIN(1,AL$6*1-Inputs!$B$78+1))/1</f>
        <v>1</v>
      </c>
    </row>
    <row r="118" customFormat="false" ht="15" hidden="false" customHeight="false" outlineLevel="0" collapsed="false">
      <c r="A118" s="111" t="s">
        <v>463</v>
      </c>
      <c r="C118" s="120" t="n">
        <f aca="false">C113+C114+C115+C116+C117</f>
        <v>12.5</v>
      </c>
      <c r="D118" s="120" t="n">
        <f aca="false">D113+D114+D115+D116+D117</f>
        <v>12.5</v>
      </c>
      <c r="E118" s="120" t="n">
        <f aca="false">E113+E114+E115+E116+E117</f>
        <v>12.5</v>
      </c>
      <c r="F118" s="120" t="n">
        <f aca="false">F113+F114+F115+F116+F117</f>
        <v>12.5</v>
      </c>
      <c r="G118" s="120" t="n">
        <f aca="false">G113+G114+G115+G116+G117</f>
        <v>12.5</v>
      </c>
      <c r="H118" s="120" t="n">
        <f aca="false">H113+H114+H115+H116+H117</f>
        <v>12.5</v>
      </c>
      <c r="I118" s="120" t="n">
        <f aca="false">I113+I114+I115+I116+I117</f>
        <v>12.5</v>
      </c>
      <c r="J118" s="120" t="n">
        <f aca="false">J113+J114+J115+J116+J117</f>
        <v>12.5</v>
      </c>
      <c r="K118" s="120" t="n">
        <f aca="false">K113+K114+K115+K116+K117</f>
        <v>12.5</v>
      </c>
      <c r="L118" s="120" t="n">
        <f aca="false">L113+L114+L115+L116+L117</f>
        <v>12.5</v>
      </c>
      <c r="M118" s="120" t="n">
        <f aca="false">M113+M114+M115+M116+M117</f>
        <v>12.5</v>
      </c>
      <c r="N118" s="120" t="n">
        <f aca="false">N113+N114+N115+N116+N117</f>
        <v>12.5</v>
      </c>
      <c r="O118" s="120" t="n">
        <f aca="false">O113+O114+O115+O116+O117</f>
        <v>12.98</v>
      </c>
      <c r="P118" s="120" t="n">
        <f aca="false">P113+P114+P115+P116+P117</f>
        <v>12.98</v>
      </c>
      <c r="Q118" s="120" t="n">
        <f aca="false">Q113+Q114+Q115+Q116+Q117</f>
        <v>12.98</v>
      </c>
      <c r="R118" s="120" t="n">
        <f aca="false">R113+R114+R115+R116+R117</f>
        <v>12.98</v>
      </c>
      <c r="S118" s="120" t="n">
        <f aca="false">S113+S114+S115+S116+S117</f>
        <v>12.98</v>
      </c>
      <c r="T118" s="120" t="n">
        <f aca="false">T113+T114+T115+T116+T117</f>
        <v>12.98</v>
      </c>
      <c r="U118" s="120" t="n">
        <f aca="false">U113+U114+U115+U116+U117</f>
        <v>12.98</v>
      </c>
      <c r="V118" s="120" t="n">
        <f aca="false">V113+V114+V115+V116+V117</f>
        <v>12.98</v>
      </c>
      <c r="W118" s="120" t="n">
        <f aca="false">W113+W114+W115+W116+W117</f>
        <v>12.98</v>
      </c>
      <c r="X118" s="120" t="n">
        <f aca="false">X113+X114+X115+X116+X117</f>
        <v>12.98</v>
      </c>
      <c r="Y118" s="120" t="n">
        <f aca="false">Y113+Y114+Y115+Y116+Y117</f>
        <v>12.98</v>
      </c>
      <c r="Z118" s="120" t="n">
        <f aca="false">Z113+Z114+Z115+Z116+Z117</f>
        <v>12.98</v>
      </c>
      <c r="AA118" s="120" t="n">
        <f aca="false">AA113+AA114+AA115+AA116+AA117</f>
        <v>13.4828</v>
      </c>
      <c r="AB118" s="120" t="n">
        <f aca="false">AB113+AB114+AB115+AB116+AB117</f>
        <v>13.4828</v>
      </c>
      <c r="AC118" s="120" t="n">
        <f aca="false">AC113+AC114+AC115+AC116+AC117</f>
        <v>13.4828</v>
      </c>
      <c r="AD118" s="120" t="n">
        <f aca="false">AD113+AD114+AD115+AD116+AD117</f>
        <v>13.4828</v>
      </c>
      <c r="AE118" s="120" t="n">
        <f aca="false">AE113+AE114+AE115+AE116+AE117</f>
        <v>13.4828</v>
      </c>
      <c r="AF118" s="120" t="n">
        <f aca="false">AF113+AF114+AF115+AF116+AF117</f>
        <v>13.4828</v>
      </c>
      <c r="AG118" s="120" t="n">
        <f aca="false">AG113+AG114+AG115+AG116+AG117</f>
        <v>13.4828</v>
      </c>
      <c r="AH118" s="120" t="n">
        <f aca="false">AH113+AH114+AH115+AH116+AH117</f>
        <v>13.4828</v>
      </c>
      <c r="AI118" s="120" t="n">
        <f aca="false">AI113+AI114+AI115+AI116+AI117</f>
        <v>13.4828</v>
      </c>
      <c r="AJ118" s="120" t="n">
        <f aca="false">AJ113+AJ114+AJ115+AJ116+AJ117</f>
        <v>13.4828</v>
      </c>
      <c r="AK118" s="120" t="n">
        <f aca="false">AK113+AK114+AK115+AK116+AK117</f>
        <v>13.4828</v>
      </c>
      <c r="AL118" s="120" t="n">
        <f aca="false">AL113+AL114+AL115+AL116+AL117</f>
        <v>13.4828</v>
      </c>
    </row>
    <row r="120" customFormat="false" ht="15.75" hidden="false" customHeight="true" outlineLevel="0" collapsed="false">
      <c r="A120" s="7" t="s">
        <v>464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customFormat="false" ht="15" hidden="false" customHeight="false" outlineLevel="0" collapsed="false">
      <c r="A121" s="6" t="s">
        <v>465</v>
      </c>
      <c r="C121" s="67" t="n">
        <f aca="false">-C113*Inputs!$B$60/12*1*(1+Inputs!$B$79)*(1+Inputs!$B$80)^(C$7-1)</f>
        <v>-16500</v>
      </c>
      <c r="D121" s="67" t="n">
        <f aca="false">-D113*Inputs!$B$60/12*1*(1+Inputs!$B$79)*(1+Inputs!$B$80)^(D$7-1)</f>
        <v>-16500</v>
      </c>
      <c r="E121" s="67" t="n">
        <f aca="false">-E113*Inputs!$B$60/12*1*(1+Inputs!$B$79)*(1+Inputs!$B$80)^(E$7-1)</f>
        <v>-16500</v>
      </c>
      <c r="F121" s="67" t="n">
        <f aca="false">-F113*Inputs!$B$60/12*1*(1+Inputs!$B$79)*(1+Inputs!$B$80)^(F$7-1)</f>
        <v>-16500</v>
      </c>
      <c r="G121" s="67" t="n">
        <f aca="false">-G113*Inputs!$B$60/12*1*(1+Inputs!$B$79)*(1+Inputs!$B$80)^(G$7-1)</f>
        <v>-16500</v>
      </c>
      <c r="H121" s="67" t="n">
        <f aca="false">-H113*Inputs!$B$60/12*1*(1+Inputs!$B$79)*(1+Inputs!$B$80)^(H$7-1)</f>
        <v>-16500</v>
      </c>
      <c r="I121" s="67" t="n">
        <f aca="false">-I113*Inputs!$B$60/12*1*(1+Inputs!$B$79)*(1+Inputs!$B$80)^(I$7-1)</f>
        <v>-16500</v>
      </c>
      <c r="J121" s="67" t="n">
        <f aca="false">-J113*Inputs!$B$60/12*1*(1+Inputs!$B$79)*(1+Inputs!$B$80)^(J$7-1)</f>
        <v>-16500</v>
      </c>
      <c r="K121" s="67" t="n">
        <f aca="false">-K113*Inputs!$B$60/12*1*(1+Inputs!$B$79)*(1+Inputs!$B$80)^(K$7-1)</f>
        <v>-16500</v>
      </c>
      <c r="L121" s="67" t="n">
        <f aca="false">-L113*Inputs!$B$60/12*1*(1+Inputs!$B$79)*(1+Inputs!$B$80)^(L$7-1)</f>
        <v>-16500</v>
      </c>
      <c r="M121" s="67" t="n">
        <f aca="false">-M113*Inputs!$B$60/12*1*(1+Inputs!$B$79)*(1+Inputs!$B$80)^(M$7-1)</f>
        <v>-16500</v>
      </c>
      <c r="N121" s="67" t="n">
        <f aca="false">-N113*Inputs!$B$60/12*1*(1+Inputs!$B$79)*(1+Inputs!$B$80)^(N$7-1)</f>
        <v>-16500</v>
      </c>
      <c r="O121" s="67" t="n">
        <f aca="false">-O113*Inputs!$B$60/12*1*(1+Inputs!$B$79)*(1+Inputs!$B$80)^(O$7-1)</f>
        <v>-16995</v>
      </c>
      <c r="P121" s="67" t="n">
        <f aca="false">-P113*Inputs!$B$60/12*1*(1+Inputs!$B$79)*(1+Inputs!$B$80)^(P$7-1)</f>
        <v>-16995</v>
      </c>
      <c r="Q121" s="67" t="n">
        <f aca="false">-Q113*Inputs!$B$60/12*1*(1+Inputs!$B$79)*(1+Inputs!$B$80)^(Q$7-1)</f>
        <v>-16995</v>
      </c>
      <c r="R121" s="67" t="n">
        <f aca="false">-R113*Inputs!$B$60/12*1*(1+Inputs!$B$79)*(1+Inputs!$B$80)^(R$7-1)</f>
        <v>-16995</v>
      </c>
      <c r="S121" s="67" t="n">
        <f aca="false">-S113*Inputs!$B$60/12*1*(1+Inputs!$B$79)*(1+Inputs!$B$80)^(S$7-1)</f>
        <v>-16995</v>
      </c>
      <c r="T121" s="67" t="n">
        <f aca="false">-T113*Inputs!$B$60/12*1*(1+Inputs!$B$79)*(1+Inputs!$B$80)^(T$7-1)</f>
        <v>-16995</v>
      </c>
      <c r="U121" s="67" t="n">
        <f aca="false">-U113*Inputs!$B$60/12*1*(1+Inputs!$B$79)*(1+Inputs!$B$80)^(U$7-1)</f>
        <v>-16995</v>
      </c>
      <c r="V121" s="67" t="n">
        <f aca="false">-V113*Inputs!$B$60/12*1*(1+Inputs!$B$79)*(1+Inputs!$B$80)^(V$7-1)</f>
        <v>-16995</v>
      </c>
      <c r="W121" s="67" t="n">
        <f aca="false">-W113*Inputs!$B$60/12*1*(1+Inputs!$B$79)*(1+Inputs!$B$80)^(W$7-1)</f>
        <v>-16995</v>
      </c>
      <c r="X121" s="67" t="n">
        <f aca="false">-X113*Inputs!$B$60/12*1*(1+Inputs!$B$79)*(1+Inputs!$B$80)^(X$7-1)</f>
        <v>-16995</v>
      </c>
      <c r="Y121" s="67" t="n">
        <f aca="false">-Y113*Inputs!$B$60/12*1*(1+Inputs!$B$79)*(1+Inputs!$B$80)^(Y$7-1)</f>
        <v>-16995</v>
      </c>
      <c r="Z121" s="67" t="n">
        <f aca="false">-Z113*Inputs!$B$60/12*1*(1+Inputs!$B$79)*(1+Inputs!$B$80)^(Z$7-1)</f>
        <v>-16995</v>
      </c>
      <c r="AA121" s="67" t="n">
        <f aca="false">-AA113*Inputs!$B$60/12*1*(1+Inputs!$B$79)*(1+Inputs!$B$80)^(AA$7-1)</f>
        <v>-17504.85</v>
      </c>
      <c r="AB121" s="67" t="n">
        <f aca="false">-AB113*Inputs!$B$60/12*1*(1+Inputs!$B$79)*(1+Inputs!$B$80)^(AB$7-1)</f>
        <v>-17504.85</v>
      </c>
      <c r="AC121" s="67" t="n">
        <f aca="false">-AC113*Inputs!$B$60/12*1*(1+Inputs!$B$79)*(1+Inputs!$B$80)^(AC$7-1)</f>
        <v>-17504.85</v>
      </c>
      <c r="AD121" s="67" t="n">
        <f aca="false">-AD113*Inputs!$B$60/12*1*(1+Inputs!$B$79)*(1+Inputs!$B$80)^(AD$7-1)</f>
        <v>-17504.85</v>
      </c>
      <c r="AE121" s="67" t="n">
        <f aca="false">-AE113*Inputs!$B$60/12*1*(1+Inputs!$B$79)*(1+Inputs!$B$80)^(AE$7-1)</f>
        <v>-17504.85</v>
      </c>
      <c r="AF121" s="67" t="n">
        <f aca="false">-AF113*Inputs!$B$60/12*1*(1+Inputs!$B$79)*(1+Inputs!$B$80)^(AF$7-1)</f>
        <v>-17504.85</v>
      </c>
      <c r="AG121" s="67" t="n">
        <f aca="false">-AG113*Inputs!$B$60/12*1*(1+Inputs!$B$79)*(1+Inputs!$B$80)^(AG$7-1)</f>
        <v>-17504.85</v>
      </c>
      <c r="AH121" s="67" t="n">
        <f aca="false">-AH113*Inputs!$B$60/12*1*(1+Inputs!$B$79)*(1+Inputs!$B$80)^(AH$7-1)</f>
        <v>-17504.85</v>
      </c>
      <c r="AI121" s="67" t="n">
        <f aca="false">-AI113*Inputs!$B$60/12*1*(1+Inputs!$B$79)*(1+Inputs!$B$80)^(AI$7-1)</f>
        <v>-17504.85</v>
      </c>
      <c r="AJ121" s="67" t="n">
        <f aca="false">-AJ113*Inputs!$B$60/12*1*(1+Inputs!$B$79)*(1+Inputs!$B$80)^(AJ$7-1)</f>
        <v>-17504.85</v>
      </c>
      <c r="AK121" s="67" t="n">
        <f aca="false">-AK113*Inputs!$B$60/12*1*(1+Inputs!$B$79)*(1+Inputs!$B$80)^(AK$7-1)</f>
        <v>-17504.85</v>
      </c>
      <c r="AL121" s="67" t="n">
        <f aca="false">-AL113*Inputs!$B$60/12*1*(1+Inputs!$B$79)*(1+Inputs!$B$80)^(AL$7-1)</f>
        <v>-17504.85</v>
      </c>
    </row>
    <row r="122" customFormat="false" ht="15" hidden="false" customHeight="false" outlineLevel="0" collapsed="false">
      <c r="A122" s="6" t="s">
        <v>466</v>
      </c>
      <c r="C122" s="67" t="n">
        <f aca="false">-C114*Inputs!$B$64/12*1*(1+Inputs!$B$79)*(1+Inputs!$B$80)^(C$7-1)</f>
        <v>-26400</v>
      </c>
      <c r="D122" s="67" t="n">
        <f aca="false">-D114*Inputs!$B$64/12*1*(1+Inputs!$B$79)*(1+Inputs!$B$80)^(D$7-1)</f>
        <v>-26400</v>
      </c>
      <c r="E122" s="67" t="n">
        <f aca="false">-E114*Inputs!$B$64/12*1*(1+Inputs!$B$79)*(1+Inputs!$B$80)^(E$7-1)</f>
        <v>-26400</v>
      </c>
      <c r="F122" s="67" t="n">
        <f aca="false">-F114*Inputs!$B$64/12*1*(1+Inputs!$B$79)*(1+Inputs!$B$80)^(F$7-1)</f>
        <v>-26400</v>
      </c>
      <c r="G122" s="67" t="n">
        <f aca="false">-G114*Inputs!$B$64/12*1*(1+Inputs!$B$79)*(1+Inputs!$B$80)^(G$7-1)</f>
        <v>-26400</v>
      </c>
      <c r="H122" s="67" t="n">
        <f aca="false">-H114*Inputs!$B$64/12*1*(1+Inputs!$B$79)*(1+Inputs!$B$80)^(H$7-1)</f>
        <v>-26400</v>
      </c>
      <c r="I122" s="67" t="n">
        <f aca="false">-I114*Inputs!$B$64/12*1*(1+Inputs!$B$79)*(1+Inputs!$B$80)^(I$7-1)</f>
        <v>-26400</v>
      </c>
      <c r="J122" s="67" t="n">
        <f aca="false">-J114*Inputs!$B$64/12*1*(1+Inputs!$B$79)*(1+Inputs!$B$80)^(J$7-1)</f>
        <v>-26400</v>
      </c>
      <c r="K122" s="67" t="n">
        <f aca="false">-K114*Inputs!$B$64/12*1*(1+Inputs!$B$79)*(1+Inputs!$B$80)^(K$7-1)</f>
        <v>-26400</v>
      </c>
      <c r="L122" s="67" t="n">
        <f aca="false">-L114*Inputs!$B$64/12*1*(1+Inputs!$B$79)*(1+Inputs!$B$80)^(L$7-1)</f>
        <v>-26400</v>
      </c>
      <c r="M122" s="67" t="n">
        <f aca="false">-M114*Inputs!$B$64/12*1*(1+Inputs!$B$79)*(1+Inputs!$B$80)^(M$7-1)</f>
        <v>-26400</v>
      </c>
      <c r="N122" s="67" t="n">
        <f aca="false">-N114*Inputs!$B$64/12*1*(1+Inputs!$B$79)*(1+Inputs!$B$80)^(N$7-1)</f>
        <v>-26400</v>
      </c>
      <c r="O122" s="67" t="n">
        <f aca="false">-O114*Inputs!$B$64/12*1*(1+Inputs!$B$79)*(1+Inputs!$B$80)^(O$7-1)</f>
        <v>-28823.52</v>
      </c>
      <c r="P122" s="67" t="n">
        <f aca="false">-P114*Inputs!$B$64/12*1*(1+Inputs!$B$79)*(1+Inputs!$B$80)^(P$7-1)</f>
        <v>-28823.52</v>
      </c>
      <c r="Q122" s="67" t="n">
        <f aca="false">-Q114*Inputs!$B$64/12*1*(1+Inputs!$B$79)*(1+Inputs!$B$80)^(Q$7-1)</f>
        <v>-28823.52</v>
      </c>
      <c r="R122" s="67" t="n">
        <f aca="false">-R114*Inputs!$B$64/12*1*(1+Inputs!$B$79)*(1+Inputs!$B$80)^(R$7-1)</f>
        <v>-28823.52</v>
      </c>
      <c r="S122" s="67" t="n">
        <f aca="false">-S114*Inputs!$B$64/12*1*(1+Inputs!$B$79)*(1+Inputs!$B$80)^(S$7-1)</f>
        <v>-28823.52</v>
      </c>
      <c r="T122" s="67" t="n">
        <f aca="false">-T114*Inputs!$B$64/12*1*(1+Inputs!$B$79)*(1+Inputs!$B$80)^(T$7-1)</f>
        <v>-28823.52</v>
      </c>
      <c r="U122" s="67" t="n">
        <f aca="false">-U114*Inputs!$B$64/12*1*(1+Inputs!$B$79)*(1+Inputs!$B$80)^(U$7-1)</f>
        <v>-28823.52</v>
      </c>
      <c r="V122" s="67" t="n">
        <f aca="false">-V114*Inputs!$B$64/12*1*(1+Inputs!$B$79)*(1+Inputs!$B$80)^(V$7-1)</f>
        <v>-28823.52</v>
      </c>
      <c r="W122" s="67" t="n">
        <f aca="false">-W114*Inputs!$B$64/12*1*(1+Inputs!$B$79)*(1+Inputs!$B$80)^(W$7-1)</f>
        <v>-28823.52</v>
      </c>
      <c r="X122" s="67" t="n">
        <f aca="false">-X114*Inputs!$B$64/12*1*(1+Inputs!$B$79)*(1+Inputs!$B$80)^(X$7-1)</f>
        <v>-28823.52</v>
      </c>
      <c r="Y122" s="67" t="n">
        <f aca="false">-Y114*Inputs!$B$64/12*1*(1+Inputs!$B$79)*(1+Inputs!$B$80)^(Y$7-1)</f>
        <v>-28823.52</v>
      </c>
      <c r="Z122" s="67" t="n">
        <f aca="false">-Z114*Inputs!$B$64/12*1*(1+Inputs!$B$79)*(1+Inputs!$B$80)^(Z$7-1)</f>
        <v>-28823.52</v>
      </c>
      <c r="AA122" s="67" t="n">
        <f aca="false">-AA114*Inputs!$B$64/12*1*(1+Inputs!$B$79)*(1+Inputs!$B$80)^(AA$7-1)</f>
        <v>-31469.519136</v>
      </c>
      <c r="AB122" s="67" t="n">
        <f aca="false">-AB114*Inputs!$B$64/12*1*(1+Inputs!$B$79)*(1+Inputs!$B$80)^(AB$7-1)</f>
        <v>-31469.519136</v>
      </c>
      <c r="AC122" s="67" t="n">
        <f aca="false">-AC114*Inputs!$B$64/12*1*(1+Inputs!$B$79)*(1+Inputs!$B$80)^(AC$7-1)</f>
        <v>-31469.519136</v>
      </c>
      <c r="AD122" s="67" t="n">
        <f aca="false">-AD114*Inputs!$B$64/12*1*(1+Inputs!$B$79)*(1+Inputs!$B$80)^(AD$7-1)</f>
        <v>-31469.519136</v>
      </c>
      <c r="AE122" s="67" t="n">
        <f aca="false">-AE114*Inputs!$B$64/12*1*(1+Inputs!$B$79)*(1+Inputs!$B$80)^(AE$7-1)</f>
        <v>-31469.519136</v>
      </c>
      <c r="AF122" s="67" t="n">
        <f aca="false">-AF114*Inputs!$B$64/12*1*(1+Inputs!$B$79)*(1+Inputs!$B$80)^(AF$7-1)</f>
        <v>-31469.519136</v>
      </c>
      <c r="AG122" s="67" t="n">
        <f aca="false">-AG114*Inputs!$B$64/12*1*(1+Inputs!$B$79)*(1+Inputs!$B$80)^(AG$7-1)</f>
        <v>-31469.519136</v>
      </c>
      <c r="AH122" s="67" t="n">
        <f aca="false">-AH114*Inputs!$B$64/12*1*(1+Inputs!$B$79)*(1+Inputs!$B$80)^(AH$7-1)</f>
        <v>-31469.519136</v>
      </c>
      <c r="AI122" s="67" t="n">
        <f aca="false">-AI114*Inputs!$B$64/12*1*(1+Inputs!$B$79)*(1+Inputs!$B$80)^(AI$7-1)</f>
        <v>-31469.519136</v>
      </c>
      <c r="AJ122" s="67" t="n">
        <f aca="false">-AJ114*Inputs!$B$64/12*1*(1+Inputs!$B$79)*(1+Inputs!$B$80)^(AJ$7-1)</f>
        <v>-31469.519136</v>
      </c>
      <c r="AK122" s="67" t="n">
        <f aca="false">-AK114*Inputs!$B$64/12*1*(1+Inputs!$B$79)*(1+Inputs!$B$80)^(AK$7-1)</f>
        <v>-31469.519136</v>
      </c>
      <c r="AL122" s="67" t="n">
        <f aca="false">-AL114*Inputs!$B$64/12*1*(1+Inputs!$B$79)*(1+Inputs!$B$80)^(AL$7-1)</f>
        <v>-31469.519136</v>
      </c>
    </row>
    <row r="123" customFormat="false" ht="15" hidden="false" customHeight="false" outlineLevel="0" collapsed="false">
      <c r="A123" s="6" t="s">
        <v>467</v>
      </c>
      <c r="C123" s="67" t="n">
        <f aca="false">-C115*Inputs!$B$68/12*1*(1+Inputs!$B$79)*(1+Inputs!$B$80)^(C$7-1)</f>
        <v>-18562.5</v>
      </c>
      <c r="D123" s="67" t="n">
        <f aca="false">-D115*Inputs!$B$68/12*1*(1+Inputs!$B$79)*(1+Inputs!$B$80)^(D$7-1)</f>
        <v>-18562.5</v>
      </c>
      <c r="E123" s="67" t="n">
        <f aca="false">-E115*Inputs!$B$68/12*1*(1+Inputs!$B$79)*(1+Inputs!$B$80)^(E$7-1)</f>
        <v>-18562.5</v>
      </c>
      <c r="F123" s="67" t="n">
        <f aca="false">-F115*Inputs!$B$68/12*1*(1+Inputs!$B$79)*(1+Inputs!$B$80)^(F$7-1)</f>
        <v>-18562.5</v>
      </c>
      <c r="G123" s="67" t="n">
        <f aca="false">-G115*Inputs!$B$68/12*1*(1+Inputs!$B$79)*(1+Inputs!$B$80)^(G$7-1)</f>
        <v>-18562.5</v>
      </c>
      <c r="H123" s="67" t="n">
        <f aca="false">-H115*Inputs!$B$68/12*1*(1+Inputs!$B$79)*(1+Inputs!$B$80)^(H$7-1)</f>
        <v>-18562.5</v>
      </c>
      <c r="I123" s="67" t="n">
        <f aca="false">-I115*Inputs!$B$68/12*1*(1+Inputs!$B$79)*(1+Inputs!$B$80)^(I$7-1)</f>
        <v>-18562.5</v>
      </c>
      <c r="J123" s="67" t="n">
        <f aca="false">-J115*Inputs!$B$68/12*1*(1+Inputs!$B$79)*(1+Inputs!$B$80)^(J$7-1)</f>
        <v>-18562.5</v>
      </c>
      <c r="K123" s="67" t="n">
        <f aca="false">-K115*Inputs!$B$68/12*1*(1+Inputs!$B$79)*(1+Inputs!$B$80)^(K$7-1)</f>
        <v>-18562.5</v>
      </c>
      <c r="L123" s="67" t="n">
        <f aca="false">-L115*Inputs!$B$68/12*1*(1+Inputs!$B$79)*(1+Inputs!$B$80)^(L$7-1)</f>
        <v>-18562.5</v>
      </c>
      <c r="M123" s="67" t="n">
        <f aca="false">-M115*Inputs!$B$68/12*1*(1+Inputs!$B$79)*(1+Inputs!$B$80)^(M$7-1)</f>
        <v>-18562.5</v>
      </c>
      <c r="N123" s="67" t="n">
        <f aca="false">-N115*Inputs!$B$68/12*1*(1+Inputs!$B$79)*(1+Inputs!$B$80)^(N$7-1)</f>
        <v>-18562.5</v>
      </c>
      <c r="O123" s="67" t="n">
        <f aca="false">-O115*Inputs!$B$68/12*1*(1+Inputs!$B$79)*(1+Inputs!$B$80)^(O$7-1)</f>
        <v>-19884.15</v>
      </c>
      <c r="P123" s="67" t="n">
        <f aca="false">-P115*Inputs!$B$68/12*1*(1+Inputs!$B$79)*(1+Inputs!$B$80)^(P$7-1)</f>
        <v>-19884.15</v>
      </c>
      <c r="Q123" s="67" t="n">
        <f aca="false">-Q115*Inputs!$B$68/12*1*(1+Inputs!$B$79)*(1+Inputs!$B$80)^(Q$7-1)</f>
        <v>-19884.15</v>
      </c>
      <c r="R123" s="67" t="n">
        <f aca="false">-R115*Inputs!$B$68/12*1*(1+Inputs!$B$79)*(1+Inputs!$B$80)^(R$7-1)</f>
        <v>-19884.15</v>
      </c>
      <c r="S123" s="67" t="n">
        <f aca="false">-S115*Inputs!$B$68/12*1*(1+Inputs!$B$79)*(1+Inputs!$B$80)^(S$7-1)</f>
        <v>-19884.15</v>
      </c>
      <c r="T123" s="67" t="n">
        <f aca="false">-T115*Inputs!$B$68/12*1*(1+Inputs!$B$79)*(1+Inputs!$B$80)^(T$7-1)</f>
        <v>-19884.15</v>
      </c>
      <c r="U123" s="67" t="n">
        <f aca="false">-U115*Inputs!$B$68/12*1*(1+Inputs!$B$79)*(1+Inputs!$B$80)^(U$7-1)</f>
        <v>-19884.15</v>
      </c>
      <c r="V123" s="67" t="n">
        <f aca="false">-V115*Inputs!$B$68/12*1*(1+Inputs!$B$79)*(1+Inputs!$B$80)^(V$7-1)</f>
        <v>-19884.15</v>
      </c>
      <c r="W123" s="67" t="n">
        <f aca="false">-W115*Inputs!$B$68/12*1*(1+Inputs!$B$79)*(1+Inputs!$B$80)^(W$7-1)</f>
        <v>-19884.15</v>
      </c>
      <c r="X123" s="67" t="n">
        <f aca="false">-X115*Inputs!$B$68/12*1*(1+Inputs!$B$79)*(1+Inputs!$B$80)^(X$7-1)</f>
        <v>-19884.15</v>
      </c>
      <c r="Y123" s="67" t="n">
        <f aca="false">-Y115*Inputs!$B$68/12*1*(1+Inputs!$B$79)*(1+Inputs!$B$80)^(Y$7-1)</f>
        <v>-19884.15</v>
      </c>
      <c r="Z123" s="67" t="n">
        <f aca="false">-Z115*Inputs!$B$68/12*1*(1+Inputs!$B$79)*(1+Inputs!$B$80)^(Z$7-1)</f>
        <v>-19884.15</v>
      </c>
      <c r="AA123" s="67" t="n">
        <f aca="false">-AA115*Inputs!$B$68/12*1*(1+Inputs!$B$79)*(1+Inputs!$B$80)^(AA$7-1)</f>
        <v>-21299.90148</v>
      </c>
      <c r="AB123" s="67" t="n">
        <f aca="false">-AB115*Inputs!$B$68/12*1*(1+Inputs!$B$79)*(1+Inputs!$B$80)^(AB$7-1)</f>
        <v>-21299.90148</v>
      </c>
      <c r="AC123" s="67" t="n">
        <f aca="false">-AC115*Inputs!$B$68/12*1*(1+Inputs!$B$79)*(1+Inputs!$B$80)^(AC$7-1)</f>
        <v>-21299.90148</v>
      </c>
      <c r="AD123" s="67" t="n">
        <f aca="false">-AD115*Inputs!$B$68/12*1*(1+Inputs!$B$79)*(1+Inputs!$B$80)^(AD$7-1)</f>
        <v>-21299.90148</v>
      </c>
      <c r="AE123" s="67" t="n">
        <f aca="false">-AE115*Inputs!$B$68/12*1*(1+Inputs!$B$79)*(1+Inputs!$B$80)^(AE$7-1)</f>
        <v>-21299.90148</v>
      </c>
      <c r="AF123" s="67" t="n">
        <f aca="false">-AF115*Inputs!$B$68/12*1*(1+Inputs!$B$79)*(1+Inputs!$B$80)^(AF$7-1)</f>
        <v>-21299.90148</v>
      </c>
      <c r="AG123" s="67" t="n">
        <f aca="false">-AG115*Inputs!$B$68/12*1*(1+Inputs!$B$79)*(1+Inputs!$B$80)^(AG$7-1)</f>
        <v>-21299.90148</v>
      </c>
      <c r="AH123" s="67" t="n">
        <f aca="false">-AH115*Inputs!$B$68/12*1*(1+Inputs!$B$79)*(1+Inputs!$B$80)^(AH$7-1)</f>
        <v>-21299.90148</v>
      </c>
      <c r="AI123" s="67" t="n">
        <f aca="false">-AI115*Inputs!$B$68/12*1*(1+Inputs!$B$79)*(1+Inputs!$B$80)^(AI$7-1)</f>
        <v>-21299.90148</v>
      </c>
      <c r="AJ123" s="67" t="n">
        <f aca="false">-AJ115*Inputs!$B$68/12*1*(1+Inputs!$B$79)*(1+Inputs!$B$80)^(AJ$7-1)</f>
        <v>-21299.90148</v>
      </c>
      <c r="AK123" s="67" t="n">
        <f aca="false">-AK115*Inputs!$B$68/12*1*(1+Inputs!$B$79)*(1+Inputs!$B$80)^(AK$7-1)</f>
        <v>-21299.90148</v>
      </c>
      <c r="AL123" s="67" t="n">
        <f aca="false">-AL115*Inputs!$B$68/12*1*(1+Inputs!$B$79)*(1+Inputs!$B$80)^(AL$7-1)</f>
        <v>-21299.90148</v>
      </c>
    </row>
    <row r="124" customFormat="false" ht="15" hidden="false" customHeight="false" outlineLevel="0" collapsed="false">
      <c r="A124" s="6" t="s">
        <v>468</v>
      </c>
      <c r="C124" s="67" t="n">
        <f aca="false">-C116*Inputs!$B$72/12*1*(1+Inputs!$B$79)*(1+Inputs!$B$80)^(C$7-1)</f>
        <v>-11275</v>
      </c>
      <c r="D124" s="67" t="n">
        <f aca="false">-D116*Inputs!$B$72/12*1*(1+Inputs!$B$79)*(1+Inputs!$B$80)^(D$7-1)</f>
        <v>-11275</v>
      </c>
      <c r="E124" s="67" t="n">
        <f aca="false">-E116*Inputs!$B$72/12*1*(1+Inputs!$B$79)*(1+Inputs!$B$80)^(E$7-1)</f>
        <v>-11275</v>
      </c>
      <c r="F124" s="67" t="n">
        <f aca="false">-F116*Inputs!$B$72/12*1*(1+Inputs!$B$79)*(1+Inputs!$B$80)^(F$7-1)</f>
        <v>-11275</v>
      </c>
      <c r="G124" s="67" t="n">
        <f aca="false">-G116*Inputs!$B$72/12*1*(1+Inputs!$B$79)*(1+Inputs!$B$80)^(G$7-1)</f>
        <v>-11275</v>
      </c>
      <c r="H124" s="67" t="n">
        <f aca="false">-H116*Inputs!$B$72/12*1*(1+Inputs!$B$79)*(1+Inputs!$B$80)^(H$7-1)</f>
        <v>-11275</v>
      </c>
      <c r="I124" s="67" t="n">
        <f aca="false">-I116*Inputs!$B$72/12*1*(1+Inputs!$B$79)*(1+Inputs!$B$80)^(I$7-1)</f>
        <v>-11275</v>
      </c>
      <c r="J124" s="67" t="n">
        <f aca="false">-J116*Inputs!$B$72/12*1*(1+Inputs!$B$79)*(1+Inputs!$B$80)^(J$7-1)</f>
        <v>-11275</v>
      </c>
      <c r="K124" s="67" t="n">
        <f aca="false">-K116*Inputs!$B$72/12*1*(1+Inputs!$B$79)*(1+Inputs!$B$80)^(K$7-1)</f>
        <v>-11275</v>
      </c>
      <c r="L124" s="67" t="n">
        <f aca="false">-L116*Inputs!$B$72/12*1*(1+Inputs!$B$79)*(1+Inputs!$B$80)^(L$7-1)</f>
        <v>-11275</v>
      </c>
      <c r="M124" s="67" t="n">
        <f aca="false">-M116*Inputs!$B$72/12*1*(1+Inputs!$B$79)*(1+Inputs!$B$80)^(M$7-1)</f>
        <v>-11275</v>
      </c>
      <c r="N124" s="67" t="n">
        <f aca="false">-N116*Inputs!$B$72/12*1*(1+Inputs!$B$79)*(1+Inputs!$B$80)^(N$7-1)</f>
        <v>-11275</v>
      </c>
      <c r="O124" s="67" t="n">
        <f aca="false">-O116*Inputs!$B$72/12*1*(1+Inputs!$B$79)*(1+Inputs!$B$80)^(O$7-1)</f>
        <v>-12077.78</v>
      </c>
      <c r="P124" s="67" t="n">
        <f aca="false">-P116*Inputs!$B$72/12*1*(1+Inputs!$B$79)*(1+Inputs!$B$80)^(P$7-1)</f>
        <v>-12077.78</v>
      </c>
      <c r="Q124" s="67" t="n">
        <f aca="false">-Q116*Inputs!$B$72/12*1*(1+Inputs!$B$79)*(1+Inputs!$B$80)^(Q$7-1)</f>
        <v>-12077.78</v>
      </c>
      <c r="R124" s="67" t="n">
        <f aca="false">-R116*Inputs!$B$72/12*1*(1+Inputs!$B$79)*(1+Inputs!$B$80)^(R$7-1)</f>
        <v>-12077.78</v>
      </c>
      <c r="S124" s="67" t="n">
        <f aca="false">-S116*Inputs!$B$72/12*1*(1+Inputs!$B$79)*(1+Inputs!$B$80)^(S$7-1)</f>
        <v>-12077.78</v>
      </c>
      <c r="T124" s="67" t="n">
        <f aca="false">-T116*Inputs!$B$72/12*1*(1+Inputs!$B$79)*(1+Inputs!$B$80)^(T$7-1)</f>
        <v>-12077.78</v>
      </c>
      <c r="U124" s="67" t="n">
        <f aca="false">-U116*Inputs!$B$72/12*1*(1+Inputs!$B$79)*(1+Inputs!$B$80)^(U$7-1)</f>
        <v>-12077.78</v>
      </c>
      <c r="V124" s="67" t="n">
        <f aca="false">-V116*Inputs!$B$72/12*1*(1+Inputs!$B$79)*(1+Inputs!$B$80)^(V$7-1)</f>
        <v>-12077.78</v>
      </c>
      <c r="W124" s="67" t="n">
        <f aca="false">-W116*Inputs!$B$72/12*1*(1+Inputs!$B$79)*(1+Inputs!$B$80)^(W$7-1)</f>
        <v>-12077.78</v>
      </c>
      <c r="X124" s="67" t="n">
        <f aca="false">-X116*Inputs!$B$72/12*1*(1+Inputs!$B$79)*(1+Inputs!$B$80)^(X$7-1)</f>
        <v>-12077.78</v>
      </c>
      <c r="Y124" s="67" t="n">
        <f aca="false">-Y116*Inputs!$B$72/12*1*(1+Inputs!$B$79)*(1+Inputs!$B$80)^(Y$7-1)</f>
        <v>-12077.78</v>
      </c>
      <c r="Z124" s="67" t="n">
        <f aca="false">-Z116*Inputs!$B$72/12*1*(1+Inputs!$B$79)*(1+Inputs!$B$80)^(Z$7-1)</f>
        <v>-12077.78</v>
      </c>
      <c r="AA124" s="67" t="n">
        <f aca="false">-AA116*Inputs!$B$72/12*1*(1+Inputs!$B$79)*(1+Inputs!$B$80)^(AA$7-1)</f>
        <v>-12937.717936</v>
      </c>
      <c r="AB124" s="67" t="n">
        <f aca="false">-AB116*Inputs!$B$72/12*1*(1+Inputs!$B$79)*(1+Inputs!$B$80)^(AB$7-1)</f>
        <v>-12937.717936</v>
      </c>
      <c r="AC124" s="67" t="n">
        <f aca="false">-AC116*Inputs!$B$72/12*1*(1+Inputs!$B$79)*(1+Inputs!$B$80)^(AC$7-1)</f>
        <v>-12937.717936</v>
      </c>
      <c r="AD124" s="67" t="n">
        <f aca="false">-AD116*Inputs!$B$72/12*1*(1+Inputs!$B$79)*(1+Inputs!$B$80)^(AD$7-1)</f>
        <v>-12937.717936</v>
      </c>
      <c r="AE124" s="67" t="n">
        <f aca="false">-AE116*Inputs!$B$72/12*1*(1+Inputs!$B$79)*(1+Inputs!$B$80)^(AE$7-1)</f>
        <v>-12937.717936</v>
      </c>
      <c r="AF124" s="67" t="n">
        <f aca="false">-AF116*Inputs!$B$72/12*1*(1+Inputs!$B$79)*(1+Inputs!$B$80)^(AF$7-1)</f>
        <v>-12937.717936</v>
      </c>
      <c r="AG124" s="67" t="n">
        <f aca="false">-AG116*Inputs!$B$72/12*1*(1+Inputs!$B$79)*(1+Inputs!$B$80)^(AG$7-1)</f>
        <v>-12937.717936</v>
      </c>
      <c r="AH124" s="67" t="n">
        <f aca="false">-AH116*Inputs!$B$72/12*1*(1+Inputs!$B$79)*(1+Inputs!$B$80)^(AH$7-1)</f>
        <v>-12937.717936</v>
      </c>
      <c r="AI124" s="67" t="n">
        <f aca="false">-AI116*Inputs!$B$72/12*1*(1+Inputs!$B$79)*(1+Inputs!$B$80)^(AI$7-1)</f>
        <v>-12937.717936</v>
      </c>
      <c r="AJ124" s="67" t="n">
        <f aca="false">-AJ116*Inputs!$B$72/12*1*(1+Inputs!$B$79)*(1+Inputs!$B$80)^(AJ$7-1)</f>
        <v>-12937.717936</v>
      </c>
      <c r="AK124" s="67" t="n">
        <f aca="false">-AK116*Inputs!$B$72/12*1*(1+Inputs!$B$79)*(1+Inputs!$B$80)^(AK$7-1)</f>
        <v>-12937.717936</v>
      </c>
      <c r="AL124" s="67" t="n">
        <f aca="false">-AL116*Inputs!$B$72/12*1*(1+Inputs!$B$79)*(1+Inputs!$B$80)^(AL$7-1)</f>
        <v>-12937.717936</v>
      </c>
    </row>
    <row r="125" customFormat="false" ht="15" hidden="false" customHeight="false" outlineLevel="0" collapsed="false">
      <c r="A125" s="6" t="s">
        <v>469</v>
      </c>
      <c r="C125" s="67" t="n">
        <f aca="false">-C117*Inputs!$B$76/12*1*(1+Inputs!$B$79)*(1+Inputs!$B$80)^(C$7-1)</f>
        <v>-6233.33333333333</v>
      </c>
      <c r="D125" s="67" t="n">
        <f aca="false">-D117*Inputs!$B$76/12*1*(1+Inputs!$B$79)*(1+Inputs!$B$80)^(D$7-1)</f>
        <v>-6233.33333333333</v>
      </c>
      <c r="E125" s="67" t="n">
        <f aca="false">-E117*Inputs!$B$76/12*1*(1+Inputs!$B$79)*(1+Inputs!$B$80)^(E$7-1)</f>
        <v>-6233.33333333333</v>
      </c>
      <c r="F125" s="67" t="n">
        <f aca="false">-F117*Inputs!$B$76/12*1*(1+Inputs!$B$79)*(1+Inputs!$B$80)^(F$7-1)</f>
        <v>-6233.33333333333</v>
      </c>
      <c r="G125" s="67" t="n">
        <f aca="false">-G117*Inputs!$B$76/12*1*(1+Inputs!$B$79)*(1+Inputs!$B$80)^(G$7-1)</f>
        <v>-6233.33333333333</v>
      </c>
      <c r="H125" s="67" t="n">
        <f aca="false">-H117*Inputs!$B$76/12*1*(1+Inputs!$B$79)*(1+Inputs!$B$80)^(H$7-1)</f>
        <v>-6233.33333333333</v>
      </c>
      <c r="I125" s="67" t="n">
        <f aca="false">-I117*Inputs!$B$76/12*1*(1+Inputs!$B$79)*(1+Inputs!$B$80)^(I$7-1)</f>
        <v>-6233.33333333333</v>
      </c>
      <c r="J125" s="67" t="n">
        <f aca="false">-J117*Inputs!$B$76/12*1*(1+Inputs!$B$79)*(1+Inputs!$B$80)^(J$7-1)</f>
        <v>-6233.33333333333</v>
      </c>
      <c r="K125" s="67" t="n">
        <f aca="false">-K117*Inputs!$B$76/12*1*(1+Inputs!$B$79)*(1+Inputs!$B$80)^(K$7-1)</f>
        <v>-6233.33333333333</v>
      </c>
      <c r="L125" s="67" t="n">
        <f aca="false">-L117*Inputs!$B$76/12*1*(1+Inputs!$B$79)*(1+Inputs!$B$80)^(L$7-1)</f>
        <v>-6233.33333333333</v>
      </c>
      <c r="M125" s="67" t="n">
        <f aca="false">-M117*Inputs!$B$76/12*1*(1+Inputs!$B$79)*(1+Inputs!$B$80)^(M$7-1)</f>
        <v>-6233.33333333333</v>
      </c>
      <c r="N125" s="67" t="n">
        <f aca="false">-N117*Inputs!$B$76/12*1*(1+Inputs!$B$79)*(1+Inputs!$B$80)^(N$7-1)</f>
        <v>-6233.33333333333</v>
      </c>
      <c r="O125" s="67" t="n">
        <f aca="false">-O117*Inputs!$B$76/12*1*(1+Inputs!$B$79)*(1+Inputs!$B$80)^(O$7-1)</f>
        <v>-6420.33333333333</v>
      </c>
      <c r="P125" s="67" t="n">
        <f aca="false">-P117*Inputs!$B$76/12*1*(1+Inputs!$B$79)*(1+Inputs!$B$80)^(P$7-1)</f>
        <v>-6420.33333333333</v>
      </c>
      <c r="Q125" s="67" t="n">
        <f aca="false">-Q117*Inputs!$B$76/12*1*(1+Inputs!$B$79)*(1+Inputs!$B$80)^(Q$7-1)</f>
        <v>-6420.33333333333</v>
      </c>
      <c r="R125" s="67" t="n">
        <f aca="false">-R117*Inputs!$B$76/12*1*(1+Inputs!$B$79)*(1+Inputs!$B$80)^(R$7-1)</f>
        <v>-6420.33333333333</v>
      </c>
      <c r="S125" s="67" t="n">
        <f aca="false">-S117*Inputs!$B$76/12*1*(1+Inputs!$B$79)*(1+Inputs!$B$80)^(S$7-1)</f>
        <v>-6420.33333333333</v>
      </c>
      <c r="T125" s="67" t="n">
        <f aca="false">-T117*Inputs!$B$76/12*1*(1+Inputs!$B$79)*(1+Inputs!$B$80)^(T$7-1)</f>
        <v>-6420.33333333333</v>
      </c>
      <c r="U125" s="67" t="n">
        <f aca="false">-U117*Inputs!$B$76/12*1*(1+Inputs!$B$79)*(1+Inputs!$B$80)^(U$7-1)</f>
        <v>-6420.33333333333</v>
      </c>
      <c r="V125" s="67" t="n">
        <f aca="false">-V117*Inputs!$B$76/12*1*(1+Inputs!$B$79)*(1+Inputs!$B$80)^(V$7-1)</f>
        <v>-6420.33333333333</v>
      </c>
      <c r="W125" s="67" t="n">
        <f aca="false">-W117*Inputs!$B$76/12*1*(1+Inputs!$B$79)*(1+Inputs!$B$80)^(W$7-1)</f>
        <v>-6420.33333333333</v>
      </c>
      <c r="X125" s="67" t="n">
        <f aca="false">-X117*Inputs!$B$76/12*1*(1+Inputs!$B$79)*(1+Inputs!$B$80)^(X$7-1)</f>
        <v>-6420.33333333333</v>
      </c>
      <c r="Y125" s="67" t="n">
        <f aca="false">-Y117*Inputs!$B$76/12*1*(1+Inputs!$B$79)*(1+Inputs!$B$80)^(Y$7-1)</f>
        <v>-6420.33333333333</v>
      </c>
      <c r="Z125" s="67" t="n">
        <f aca="false">-Z117*Inputs!$B$76/12*1*(1+Inputs!$B$79)*(1+Inputs!$B$80)^(Z$7-1)</f>
        <v>-6420.33333333333</v>
      </c>
      <c r="AA125" s="67" t="n">
        <f aca="false">-AA117*Inputs!$B$76/12*1*(1+Inputs!$B$79)*(1+Inputs!$B$80)^(AA$7-1)</f>
        <v>-6612.94333333333</v>
      </c>
      <c r="AB125" s="67" t="n">
        <f aca="false">-AB117*Inputs!$B$76/12*1*(1+Inputs!$B$79)*(1+Inputs!$B$80)^(AB$7-1)</f>
        <v>-6612.94333333333</v>
      </c>
      <c r="AC125" s="67" t="n">
        <f aca="false">-AC117*Inputs!$B$76/12*1*(1+Inputs!$B$79)*(1+Inputs!$B$80)^(AC$7-1)</f>
        <v>-6612.94333333333</v>
      </c>
      <c r="AD125" s="67" t="n">
        <f aca="false">-AD117*Inputs!$B$76/12*1*(1+Inputs!$B$79)*(1+Inputs!$B$80)^(AD$7-1)</f>
        <v>-6612.94333333333</v>
      </c>
      <c r="AE125" s="67" t="n">
        <f aca="false">-AE117*Inputs!$B$76/12*1*(1+Inputs!$B$79)*(1+Inputs!$B$80)^(AE$7-1)</f>
        <v>-6612.94333333333</v>
      </c>
      <c r="AF125" s="67" t="n">
        <f aca="false">-AF117*Inputs!$B$76/12*1*(1+Inputs!$B$79)*(1+Inputs!$B$80)^(AF$7-1)</f>
        <v>-6612.94333333333</v>
      </c>
      <c r="AG125" s="67" t="n">
        <f aca="false">-AG117*Inputs!$B$76/12*1*(1+Inputs!$B$79)*(1+Inputs!$B$80)^(AG$7-1)</f>
        <v>-6612.94333333333</v>
      </c>
      <c r="AH125" s="67" t="n">
        <f aca="false">-AH117*Inputs!$B$76/12*1*(1+Inputs!$B$79)*(1+Inputs!$B$80)^(AH$7-1)</f>
        <v>-6612.94333333333</v>
      </c>
      <c r="AI125" s="67" t="n">
        <f aca="false">-AI117*Inputs!$B$76/12*1*(1+Inputs!$B$79)*(1+Inputs!$B$80)^(AI$7-1)</f>
        <v>-6612.94333333333</v>
      </c>
      <c r="AJ125" s="67" t="n">
        <f aca="false">-AJ117*Inputs!$B$76/12*1*(1+Inputs!$B$79)*(1+Inputs!$B$80)^(AJ$7-1)</f>
        <v>-6612.94333333333</v>
      </c>
      <c r="AK125" s="67" t="n">
        <f aca="false">-AK117*Inputs!$B$76/12*1*(1+Inputs!$B$79)*(1+Inputs!$B$80)^(AK$7-1)</f>
        <v>-6612.94333333333</v>
      </c>
      <c r="AL125" s="67" t="n">
        <f aca="false">-AL117*Inputs!$B$76/12*1*(1+Inputs!$B$79)*(1+Inputs!$B$80)^(AL$7-1)</f>
        <v>-6612.94333333333</v>
      </c>
    </row>
    <row r="126" customFormat="false" ht="15" hidden="false" customHeight="false" outlineLevel="0" collapsed="false">
      <c r="A126" s="111" t="s">
        <v>470</v>
      </c>
      <c r="C126" s="68" t="n">
        <f aca="false">C121+C122+C123+C124+C125</f>
        <v>-78970.8333333333</v>
      </c>
      <c r="D126" s="68" t="n">
        <f aca="false">D121+D122+D123+D124+D125</f>
        <v>-78970.8333333333</v>
      </c>
      <c r="E126" s="68" t="n">
        <f aca="false">E121+E122+E123+E124+E125</f>
        <v>-78970.8333333333</v>
      </c>
      <c r="F126" s="68" t="n">
        <f aca="false">F121+F122+F123+F124+F125</f>
        <v>-78970.8333333333</v>
      </c>
      <c r="G126" s="68" t="n">
        <f aca="false">G121+G122+G123+G124+G125</f>
        <v>-78970.8333333333</v>
      </c>
      <c r="H126" s="68" t="n">
        <f aca="false">H121+H122+H123+H124+H125</f>
        <v>-78970.8333333333</v>
      </c>
      <c r="I126" s="68" t="n">
        <f aca="false">I121+I122+I123+I124+I125</f>
        <v>-78970.8333333333</v>
      </c>
      <c r="J126" s="68" t="n">
        <f aca="false">J121+J122+J123+J124+J125</f>
        <v>-78970.8333333333</v>
      </c>
      <c r="K126" s="68" t="n">
        <f aca="false">K121+K122+K123+K124+K125</f>
        <v>-78970.8333333333</v>
      </c>
      <c r="L126" s="68" t="n">
        <f aca="false">L121+L122+L123+L124+L125</f>
        <v>-78970.8333333333</v>
      </c>
      <c r="M126" s="68" t="n">
        <f aca="false">M121+M122+M123+M124+M125</f>
        <v>-78970.8333333333</v>
      </c>
      <c r="N126" s="68" t="n">
        <f aca="false">N121+N122+N123+N124+N125</f>
        <v>-78970.8333333333</v>
      </c>
      <c r="O126" s="68" t="n">
        <f aca="false">O121+O122+O123+O124+O125</f>
        <v>-84200.7833333333</v>
      </c>
      <c r="P126" s="68" t="n">
        <f aca="false">P121+P122+P123+P124+P125</f>
        <v>-84200.7833333333</v>
      </c>
      <c r="Q126" s="68" t="n">
        <f aca="false">Q121+Q122+Q123+Q124+Q125</f>
        <v>-84200.7833333333</v>
      </c>
      <c r="R126" s="68" t="n">
        <f aca="false">R121+R122+R123+R124+R125</f>
        <v>-84200.7833333333</v>
      </c>
      <c r="S126" s="68" t="n">
        <f aca="false">S121+S122+S123+S124+S125</f>
        <v>-84200.7833333333</v>
      </c>
      <c r="T126" s="68" t="n">
        <f aca="false">T121+T122+T123+T124+T125</f>
        <v>-84200.7833333333</v>
      </c>
      <c r="U126" s="68" t="n">
        <f aca="false">U121+U122+U123+U124+U125</f>
        <v>-84200.7833333333</v>
      </c>
      <c r="V126" s="68" t="n">
        <f aca="false">V121+V122+V123+V124+V125</f>
        <v>-84200.7833333333</v>
      </c>
      <c r="W126" s="68" t="n">
        <f aca="false">W121+W122+W123+W124+W125</f>
        <v>-84200.7833333333</v>
      </c>
      <c r="X126" s="68" t="n">
        <f aca="false">X121+X122+X123+X124+X125</f>
        <v>-84200.7833333333</v>
      </c>
      <c r="Y126" s="68" t="n">
        <f aca="false">Y121+Y122+Y123+Y124+Y125</f>
        <v>-84200.7833333333</v>
      </c>
      <c r="Z126" s="68" t="n">
        <f aca="false">Z121+Z122+Z123+Z124+Z125</f>
        <v>-84200.7833333333</v>
      </c>
      <c r="AA126" s="68" t="n">
        <f aca="false">AA121+AA122+AA123+AA124+AA125</f>
        <v>-89824.9318853333</v>
      </c>
      <c r="AB126" s="68" t="n">
        <f aca="false">AB121+AB122+AB123+AB124+AB125</f>
        <v>-89824.9318853333</v>
      </c>
      <c r="AC126" s="68" t="n">
        <f aca="false">AC121+AC122+AC123+AC124+AC125</f>
        <v>-89824.9318853333</v>
      </c>
      <c r="AD126" s="68" t="n">
        <f aca="false">AD121+AD122+AD123+AD124+AD125</f>
        <v>-89824.9318853333</v>
      </c>
      <c r="AE126" s="68" t="n">
        <f aca="false">AE121+AE122+AE123+AE124+AE125</f>
        <v>-89824.9318853333</v>
      </c>
      <c r="AF126" s="68" t="n">
        <f aca="false">AF121+AF122+AF123+AF124+AF125</f>
        <v>-89824.9318853333</v>
      </c>
      <c r="AG126" s="68" t="n">
        <f aca="false">AG121+AG122+AG123+AG124+AG125</f>
        <v>-89824.9318853333</v>
      </c>
      <c r="AH126" s="68" t="n">
        <f aca="false">AH121+AH122+AH123+AH124+AH125</f>
        <v>-89824.9318853333</v>
      </c>
      <c r="AI126" s="68" t="n">
        <f aca="false">AI121+AI122+AI123+AI124+AI125</f>
        <v>-89824.9318853333</v>
      </c>
      <c r="AJ126" s="68" t="n">
        <f aca="false">AJ121+AJ122+AJ123+AJ124+AJ125</f>
        <v>-89824.9318853333</v>
      </c>
      <c r="AK126" s="68" t="n">
        <f aca="false">AK121+AK122+AK123+AK124+AK125</f>
        <v>-89824.9318853333</v>
      </c>
      <c r="AL126" s="68" t="n">
        <f aca="false">AL121+AL122+AL123+AL124+AL125</f>
        <v>-89824.9318853333</v>
      </c>
    </row>
    <row r="129" customFormat="false" ht="15.75" hidden="false" customHeight="true" outlineLevel="0" collapsed="false">
      <c r="A129" s="7" t="s">
        <v>474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customFormat="false" ht="15" hidden="false" customHeight="false" outlineLevel="0" collapsed="false">
      <c r="A130" s="33" t="s">
        <v>372</v>
      </c>
      <c r="C130" s="35" t="s">
        <v>373</v>
      </c>
      <c r="D130" s="35" t="s">
        <v>374</v>
      </c>
      <c r="E130" s="35" t="s">
        <v>375</v>
      </c>
      <c r="F130" s="35" t="s">
        <v>376</v>
      </c>
      <c r="G130" s="35" t="s">
        <v>377</v>
      </c>
      <c r="H130" s="35" t="s">
        <v>378</v>
      </c>
      <c r="I130" s="35" t="s">
        <v>379</v>
      </c>
      <c r="J130" s="35" t="s">
        <v>380</v>
      </c>
      <c r="K130" s="35" t="s">
        <v>381</v>
      </c>
      <c r="L130" s="35" t="s">
        <v>382</v>
      </c>
      <c r="M130" s="35" t="s">
        <v>383</v>
      </c>
      <c r="N130" s="35" t="s">
        <v>384</v>
      </c>
      <c r="O130" s="35" t="s">
        <v>385</v>
      </c>
      <c r="P130" s="35" t="s">
        <v>386</v>
      </c>
      <c r="Q130" s="35" t="s">
        <v>387</v>
      </c>
      <c r="R130" s="35" t="s">
        <v>388</v>
      </c>
      <c r="S130" s="35" t="s">
        <v>389</v>
      </c>
      <c r="T130" s="35" t="s">
        <v>390</v>
      </c>
      <c r="U130" s="35" t="s">
        <v>391</v>
      </c>
      <c r="V130" s="35" t="s">
        <v>392</v>
      </c>
      <c r="W130" s="35" t="s">
        <v>393</v>
      </c>
      <c r="X130" s="35" t="s">
        <v>394</v>
      </c>
      <c r="Y130" s="35" t="s">
        <v>395</v>
      </c>
      <c r="Z130" s="35" t="s">
        <v>396</v>
      </c>
      <c r="AA130" s="35" t="s">
        <v>397</v>
      </c>
      <c r="AB130" s="35" t="s">
        <v>398</v>
      </c>
      <c r="AC130" s="35" t="s">
        <v>399</v>
      </c>
      <c r="AD130" s="35" t="s">
        <v>400</v>
      </c>
      <c r="AE130" s="35" t="s">
        <v>401</v>
      </c>
      <c r="AF130" s="35" t="s">
        <v>402</v>
      </c>
      <c r="AG130" s="35" t="s">
        <v>403</v>
      </c>
      <c r="AH130" s="35" t="s">
        <v>404</v>
      </c>
      <c r="AI130" s="35" t="s">
        <v>405</v>
      </c>
      <c r="AJ130" s="35" t="s">
        <v>406</v>
      </c>
      <c r="AK130" s="35" t="s">
        <v>407</v>
      </c>
      <c r="AL130" s="35" t="s">
        <v>408</v>
      </c>
    </row>
    <row r="131" customFormat="false" ht="15" hidden="false" customHeight="false" outlineLevel="0" collapsed="false">
      <c r="A131" s="72" t="s">
        <v>409</v>
      </c>
      <c r="C131" s="72" t="n">
        <v>1</v>
      </c>
      <c r="D131" s="72" t="n">
        <v>2</v>
      </c>
      <c r="E131" s="72" t="n">
        <v>3</v>
      </c>
      <c r="F131" s="72" t="n">
        <v>4</v>
      </c>
      <c r="G131" s="72" t="n">
        <v>5</v>
      </c>
      <c r="H131" s="72" t="n">
        <v>6</v>
      </c>
      <c r="I131" s="72" t="n">
        <v>7</v>
      </c>
      <c r="J131" s="72" t="n">
        <v>8</v>
      </c>
      <c r="K131" s="72" t="n">
        <v>9</v>
      </c>
      <c r="L131" s="72" t="n">
        <v>10</v>
      </c>
      <c r="M131" s="72" t="n">
        <v>11</v>
      </c>
      <c r="N131" s="72" t="n">
        <v>12</v>
      </c>
      <c r="O131" s="72" t="n">
        <v>13</v>
      </c>
      <c r="P131" s="72" t="n">
        <v>14</v>
      </c>
      <c r="Q131" s="72" t="n">
        <v>15</v>
      </c>
      <c r="R131" s="72" t="n">
        <v>16</v>
      </c>
      <c r="S131" s="72" t="n">
        <v>17</v>
      </c>
      <c r="T131" s="72" t="n">
        <v>18</v>
      </c>
      <c r="U131" s="72" t="n">
        <v>19</v>
      </c>
      <c r="V131" s="72" t="n">
        <v>20</v>
      </c>
      <c r="W131" s="72" t="n">
        <v>21</v>
      </c>
      <c r="X131" s="72" t="n">
        <v>22</v>
      </c>
      <c r="Y131" s="72" t="n">
        <v>23</v>
      </c>
      <c r="Z131" s="72" t="n">
        <v>24</v>
      </c>
      <c r="AA131" s="72" t="n">
        <v>25</v>
      </c>
      <c r="AB131" s="72" t="n">
        <v>26</v>
      </c>
      <c r="AC131" s="72" t="n">
        <v>27</v>
      </c>
      <c r="AD131" s="72" t="n">
        <v>28</v>
      </c>
      <c r="AE131" s="72" t="n">
        <v>29</v>
      </c>
      <c r="AF131" s="72" t="n">
        <v>30</v>
      </c>
      <c r="AG131" s="72" t="n">
        <v>31</v>
      </c>
      <c r="AH131" s="72" t="n">
        <v>32</v>
      </c>
      <c r="AI131" s="72" t="n">
        <v>33</v>
      </c>
      <c r="AJ131" s="72" t="n">
        <v>34</v>
      </c>
      <c r="AK131" s="72" t="n">
        <v>35</v>
      </c>
      <c r="AL131" s="72" t="n">
        <v>36</v>
      </c>
    </row>
    <row r="132" customFormat="false" ht="15" hidden="false" customHeight="false" outlineLevel="0" collapsed="false">
      <c r="A132" s="72" t="s">
        <v>153</v>
      </c>
      <c r="C132" s="72" t="n">
        <f aca="false">ROUNDUP(C131*1/12,0)</f>
        <v>1</v>
      </c>
      <c r="D132" s="72" t="n">
        <f aca="false">ROUNDUP(D131*1/12,0)</f>
        <v>1</v>
      </c>
      <c r="E132" s="72" t="n">
        <f aca="false">ROUNDUP(E131*1/12,0)</f>
        <v>1</v>
      </c>
      <c r="F132" s="72" t="n">
        <f aca="false">ROUNDUP(F131*1/12,0)</f>
        <v>1</v>
      </c>
      <c r="G132" s="72" t="n">
        <f aca="false">ROUNDUP(G131*1/12,0)</f>
        <v>1</v>
      </c>
      <c r="H132" s="72" t="n">
        <f aca="false">ROUNDUP(H131*1/12,0)</f>
        <v>1</v>
      </c>
      <c r="I132" s="72" t="n">
        <f aca="false">ROUNDUP(I131*1/12,0)</f>
        <v>1</v>
      </c>
      <c r="J132" s="72" t="n">
        <f aca="false">ROUNDUP(J131*1/12,0)</f>
        <v>1</v>
      </c>
      <c r="K132" s="72" t="n">
        <f aca="false">ROUNDUP(K131*1/12,0)</f>
        <v>1</v>
      </c>
      <c r="L132" s="72" t="n">
        <f aca="false">ROUNDUP(L131*1/12,0)</f>
        <v>1</v>
      </c>
      <c r="M132" s="72" t="n">
        <f aca="false">ROUNDUP(M131*1/12,0)</f>
        <v>1</v>
      </c>
      <c r="N132" s="72" t="n">
        <f aca="false">ROUNDUP(N131*1/12,0)</f>
        <v>1</v>
      </c>
      <c r="O132" s="72" t="n">
        <f aca="false">ROUNDUP(O131*1/12,0)</f>
        <v>2</v>
      </c>
      <c r="P132" s="72" t="n">
        <f aca="false">ROUNDUP(P131*1/12,0)</f>
        <v>2</v>
      </c>
      <c r="Q132" s="72" t="n">
        <f aca="false">ROUNDUP(Q131*1/12,0)</f>
        <v>2</v>
      </c>
      <c r="R132" s="72" t="n">
        <f aca="false">ROUNDUP(R131*1/12,0)</f>
        <v>2</v>
      </c>
      <c r="S132" s="72" t="n">
        <f aca="false">ROUNDUP(S131*1/12,0)</f>
        <v>2</v>
      </c>
      <c r="T132" s="72" t="n">
        <f aca="false">ROUNDUP(T131*1/12,0)</f>
        <v>2</v>
      </c>
      <c r="U132" s="72" t="n">
        <f aca="false">ROUNDUP(U131*1/12,0)</f>
        <v>2</v>
      </c>
      <c r="V132" s="72" t="n">
        <f aca="false">ROUNDUP(V131*1/12,0)</f>
        <v>2</v>
      </c>
      <c r="W132" s="72" t="n">
        <f aca="false">ROUNDUP(W131*1/12,0)</f>
        <v>2</v>
      </c>
      <c r="X132" s="72" t="n">
        <f aca="false">ROUNDUP(X131*1/12,0)</f>
        <v>2</v>
      </c>
      <c r="Y132" s="72" t="n">
        <f aca="false">ROUNDUP(Y131*1/12,0)</f>
        <v>2</v>
      </c>
      <c r="Z132" s="72" t="n">
        <f aca="false">ROUNDUP(Z131*1/12,0)</f>
        <v>2</v>
      </c>
      <c r="AA132" s="72" t="n">
        <f aca="false">ROUNDUP(AA131*1/12,0)</f>
        <v>3</v>
      </c>
      <c r="AB132" s="72" t="n">
        <f aca="false">ROUNDUP(AB131*1/12,0)</f>
        <v>3</v>
      </c>
      <c r="AC132" s="72" t="n">
        <f aca="false">ROUNDUP(AC131*1/12,0)</f>
        <v>3</v>
      </c>
      <c r="AD132" s="72" t="n">
        <f aca="false">ROUNDUP(AD131*1/12,0)</f>
        <v>3</v>
      </c>
      <c r="AE132" s="72" t="n">
        <f aca="false">ROUNDUP(AE131*1/12,0)</f>
        <v>3</v>
      </c>
      <c r="AF132" s="72" t="n">
        <f aca="false">ROUNDUP(AF131*1/12,0)</f>
        <v>3</v>
      </c>
      <c r="AG132" s="72" t="n">
        <f aca="false">ROUNDUP(AG131*1/12,0)</f>
        <v>3</v>
      </c>
      <c r="AH132" s="72" t="n">
        <f aca="false">ROUNDUP(AH131*1/12,0)</f>
        <v>3</v>
      </c>
      <c r="AI132" s="72" t="n">
        <f aca="false">ROUNDUP(AI131*1/12,0)</f>
        <v>3</v>
      </c>
      <c r="AJ132" s="72" t="n">
        <f aca="false">ROUNDUP(AJ131*1/12,0)</f>
        <v>3</v>
      </c>
      <c r="AK132" s="72" t="n">
        <f aca="false">ROUNDUP(AK131*1/12,0)</f>
        <v>3</v>
      </c>
      <c r="AL132" s="72" t="n">
        <f aca="false">ROUNDUP(AL131*1/12,0)</f>
        <v>3</v>
      </c>
    </row>
    <row r="134" customFormat="false" ht="15.75" hidden="false" customHeight="true" outlineLevel="0" collapsed="false">
      <c r="A134" s="7" t="s">
        <v>265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customFormat="false" ht="15" hidden="false" customHeight="false" outlineLevel="0" collapsed="false">
      <c r="A135" s="6" t="s">
        <v>233</v>
      </c>
      <c r="C135" s="114" t="n">
        <f aca="false">-C170/MAX(1,Inputs!$C$19)</f>
        <v>33.3333333333333</v>
      </c>
      <c r="D135" s="114" t="n">
        <f aca="false">-D170/MAX(1,Inputs!$C$19)</f>
        <v>33.3333333333333</v>
      </c>
      <c r="E135" s="114" t="n">
        <f aca="false">-E170/MAX(1,Inputs!$C$19)</f>
        <v>33.3333333333333</v>
      </c>
      <c r="F135" s="114" t="n">
        <f aca="false">-F170/MAX(1,Inputs!$C$19)</f>
        <v>33.3333333333333</v>
      </c>
      <c r="G135" s="114" t="n">
        <f aca="false">-G170/MAX(1,Inputs!$C$19)</f>
        <v>33.3333333333333</v>
      </c>
      <c r="H135" s="114" t="n">
        <f aca="false">-H170/MAX(1,Inputs!$C$19)</f>
        <v>33.3333333333333</v>
      </c>
      <c r="I135" s="114" t="n">
        <f aca="false">-I170/MAX(1,Inputs!$C$19)</f>
        <v>33.3333333333333</v>
      </c>
      <c r="J135" s="114" t="n">
        <f aca="false">-J170/MAX(1,Inputs!$C$19)</f>
        <v>33.3333333333333</v>
      </c>
      <c r="K135" s="114" t="n">
        <f aca="false">-K170/MAX(1,Inputs!$C$19)</f>
        <v>33.3333333333333</v>
      </c>
      <c r="L135" s="114" t="n">
        <f aca="false">-L170/MAX(1,Inputs!$C$19)</f>
        <v>33.3333333333333</v>
      </c>
      <c r="M135" s="114" t="n">
        <f aca="false">-M170/MAX(1,Inputs!$C$19)</f>
        <v>33.3333333333333</v>
      </c>
      <c r="N135" s="114" t="n">
        <f aca="false">-N170/MAX(1,Inputs!$C$19)</f>
        <v>33.3333333333333</v>
      </c>
      <c r="O135" s="114" t="n">
        <f aca="false">-O170/MAX(1,Inputs!$C$19)</f>
        <v>35</v>
      </c>
      <c r="P135" s="114" t="n">
        <f aca="false">-P170/MAX(1,Inputs!$C$19)</f>
        <v>35</v>
      </c>
      <c r="Q135" s="114" t="n">
        <f aca="false">-Q170/MAX(1,Inputs!$C$19)</f>
        <v>35</v>
      </c>
      <c r="R135" s="114" t="n">
        <f aca="false">-R170/MAX(1,Inputs!$C$19)</f>
        <v>35</v>
      </c>
      <c r="S135" s="114" t="n">
        <f aca="false">-S170/MAX(1,Inputs!$C$19)</f>
        <v>35</v>
      </c>
      <c r="T135" s="114" t="n">
        <f aca="false">-T170/MAX(1,Inputs!$C$19)</f>
        <v>35</v>
      </c>
      <c r="U135" s="114" t="n">
        <f aca="false">-U170/MAX(1,Inputs!$C$19)</f>
        <v>35</v>
      </c>
      <c r="V135" s="114" t="n">
        <f aca="false">-V170/MAX(1,Inputs!$C$19)</f>
        <v>35</v>
      </c>
      <c r="W135" s="114" t="n">
        <f aca="false">-W170/MAX(1,Inputs!$C$19)</f>
        <v>35</v>
      </c>
      <c r="X135" s="114" t="n">
        <f aca="false">-X170/MAX(1,Inputs!$C$19)</f>
        <v>35</v>
      </c>
      <c r="Y135" s="114" t="n">
        <f aca="false">-Y170/MAX(1,Inputs!$C$19)</f>
        <v>35</v>
      </c>
      <c r="Z135" s="114" t="n">
        <f aca="false">-Z170/MAX(1,Inputs!$C$19)</f>
        <v>35</v>
      </c>
      <c r="AA135" s="114" t="n">
        <f aca="false">-AA170/MAX(1,Inputs!$C$19)</f>
        <v>36.75</v>
      </c>
      <c r="AB135" s="114" t="n">
        <f aca="false">-AB170/MAX(1,Inputs!$C$19)</f>
        <v>36.75</v>
      </c>
      <c r="AC135" s="114" t="n">
        <f aca="false">-AC170/MAX(1,Inputs!$C$19)</f>
        <v>36.75</v>
      </c>
      <c r="AD135" s="114" t="n">
        <f aca="false">-AD170/MAX(1,Inputs!$C$19)</f>
        <v>36.75</v>
      </c>
      <c r="AE135" s="114" t="n">
        <f aca="false">-AE170/MAX(1,Inputs!$C$19)</f>
        <v>36.75</v>
      </c>
      <c r="AF135" s="114" t="n">
        <f aca="false">-AF170/MAX(1,Inputs!$C$19)</f>
        <v>36.75</v>
      </c>
      <c r="AG135" s="114" t="n">
        <f aca="false">-AG170/MAX(1,Inputs!$C$19)</f>
        <v>36.75</v>
      </c>
      <c r="AH135" s="114" t="n">
        <f aca="false">-AH170/MAX(1,Inputs!$C$19)</f>
        <v>36.75</v>
      </c>
      <c r="AI135" s="114" t="n">
        <f aca="false">-AI170/MAX(1,Inputs!$C$19)</f>
        <v>36.75</v>
      </c>
      <c r="AJ135" s="114" t="n">
        <f aca="false">-AJ170/MAX(1,Inputs!$C$19)</f>
        <v>36.75</v>
      </c>
      <c r="AK135" s="114" t="n">
        <f aca="false">-AK170/MAX(1,Inputs!$C$19)</f>
        <v>36.75</v>
      </c>
      <c r="AL135" s="114" t="n">
        <f aca="false">-AL170/MAX(1,Inputs!$C$19)</f>
        <v>36.75</v>
      </c>
    </row>
    <row r="136" customFormat="false" ht="15" hidden="false" customHeight="false" outlineLevel="0" collapsed="false">
      <c r="A136" s="6" t="s">
        <v>410</v>
      </c>
      <c r="C136" s="114" t="n">
        <f aca="false">Inputs!$C$15*(1+Inputs!$C$16)^(C$132-1)*1</f>
        <v>24</v>
      </c>
      <c r="D136" s="114" t="n">
        <f aca="false">Inputs!$C$15*(1+Inputs!$C$16)^(D$132-1)*1</f>
        <v>24</v>
      </c>
      <c r="E136" s="114" t="n">
        <f aca="false">Inputs!$C$15*(1+Inputs!$C$16)^(E$132-1)*1</f>
        <v>24</v>
      </c>
      <c r="F136" s="114" t="n">
        <f aca="false">Inputs!$C$15*(1+Inputs!$C$16)^(F$132-1)*1</f>
        <v>24</v>
      </c>
      <c r="G136" s="114" t="n">
        <f aca="false">Inputs!$C$15*(1+Inputs!$C$16)^(G$132-1)*1</f>
        <v>24</v>
      </c>
      <c r="H136" s="114" t="n">
        <f aca="false">Inputs!$C$15*(1+Inputs!$C$16)^(H$132-1)*1</f>
        <v>24</v>
      </c>
      <c r="I136" s="114" t="n">
        <f aca="false">Inputs!$C$15*(1+Inputs!$C$16)^(I$132-1)*1</f>
        <v>24</v>
      </c>
      <c r="J136" s="114" t="n">
        <f aca="false">Inputs!$C$15*(1+Inputs!$C$16)^(J$132-1)*1</f>
        <v>24</v>
      </c>
      <c r="K136" s="114" t="n">
        <f aca="false">Inputs!$C$15*(1+Inputs!$C$16)^(K$132-1)*1</f>
        <v>24</v>
      </c>
      <c r="L136" s="114" t="n">
        <f aca="false">Inputs!$C$15*(1+Inputs!$C$16)^(L$132-1)*1</f>
        <v>24</v>
      </c>
      <c r="M136" s="114" t="n">
        <f aca="false">Inputs!$C$15*(1+Inputs!$C$16)^(M$132-1)*1</f>
        <v>24</v>
      </c>
      <c r="N136" s="114" t="n">
        <f aca="false">Inputs!$C$15*(1+Inputs!$C$16)^(N$132-1)*1</f>
        <v>24</v>
      </c>
      <c r="O136" s="114" t="n">
        <f aca="false">Inputs!$C$15*(1+Inputs!$C$16)^(O$132-1)*1</f>
        <v>25.44</v>
      </c>
      <c r="P136" s="114" t="n">
        <f aca="false">Inputs!$C$15*(1+Inputs!$C$16)^(P$132-1)*1</f>
        <v>25.44</v>
      </c>
      <c r="Q136" s="114" t="n">
        <f aca="false">Inputs!$C$15*(1+Inputs!$C$16)^(Q$132-1)*1</f>
        <v>25.44</v>
      </c>
      <c r="R136" s="114" t="n">
        <f aca="false">Inputs!$C$15*(1+Inputs!$C$16)^(R$132-1)*1</f>
        <v>25.44</v>
      </c>
      <c r="S136" s="114" t="n">
        <f aca="false">Inputs!$C$15*(1+Inputs!$C$16)^(S$132-1)*1</f>
        <v>25.44</v>
      </c>
      <c r="T136" s="114" t="n">
        <f aca="false">Inputs!$C$15*(1+Inputs!$C$16)^(T$132-1)*1</f>
        <v>25.44</v>
      </c>
      <c r="U136" s="114" t="n">
        <f aca="false">Inputs!$C$15*(1+Inputs!$C$16)^(U$132-1)*1</f>
        <v>25.44</v>
      </c>
      <c r="V136" s="114" t="n">
        <f aca="false">Inputs!$C$15*(1+Inputs!$C$16)^(V$132-1)*1</f>
        <v>25.44</v>
      </c>
      <c r="W136" s="114" t="n">
        <f aca="false">Inputs!$C$15*(1+Inputs!$C$16)^(W$132-1)*1</f>
        <v>25.44</v>
      </c>
      <c r="X136" s="114" t="n">
        <f aca="false">Inputs!$C$15*(1+Inputs!$C$16)^(X$132-1)*1</f>
        <v>25.44</v>
      </c>
      <c r="Y136" s="114" t="n">
        <f aca="false">Inputs!$C$15*(1+Inputs!$C$16)^(Y$132-1)*1</f>
        <v>25.44</v>
      </c>
      <c r="Z136" s="114" t="n">
        <f aca="false">Inputs!$C$15*(1+Inputs!$C$16)^(Z$132-1)*1</f>
        <v>25.44</v>
      </c>
      <c r="AA136" s="114" t="n">
        <f aca="false">Inputs!$C$15*(1+Inputs!$C$16)^(AA$132-1)*1</f>
        <v>26.9664</v>
      </c>
      <c r="AB136" s="114" t="n">
        <f aca="false">Inputs!$C$15*(1+Inputs!$C$16)^(AB$132-1)*1</f>
        <v>26.9664</v>
      </c>
      <c r="AC136" s="114" t="n">
        <f aca="false">Inputs!$C$15*(1+Inputs!$C$16)^(AC$132-1)*1</f>
        <v>26.9664</v>
      </c>
      <c r="AD136" s="114" t="n">
        <f aca="false">Inputs!$C$15*(1+Inputs!$C$16)^(AD$132-1)*1</f>
        <v>26.9664</v>
      </c>
      <c r="AE136" s="114" t="n">
        <f aca="false">Inputs!$C$15*(1+Inputs!$C$16)^(AE$132-1)*1</f>
        <v>26.9664</v>
      </c>
      <c r="AF136" s="114" t="n">
        <f aca="false">Inputs!$C$15*(1+Inputs!$C$16)^(AF$132-1)*1</f>
        <v>26.9664</v>
      </c>
      <c r="AG136" s="114" t="n">
        <f aca="false">Inputs!$C$15*(1+Inputs!$C$16)^(AG$132-1)*1</f>
        <v>26.9664</v>
      </c>
      <c r="AH136" s="114" t="n">
        <f aca="false">Inputs!$C$15*(1+Inputs!$C$16)^(AH$132-1)*1</f>
        <v>26.9664</v>
      </c>
      <c r="AI136" s="114" t="n">
        <f aca="false">Inputs!$C$15*(1+Inputs!$C$16)^(AI$132-1)*1</f>
        <v>26.9664</v>
      </c>
      <c r="AJ136" s="114" t="n">
        <f aca="false">Inputs!$C$15*(1+Inputs!$C$16)^(AJ$132-1)*1</f>
        <v>26.9664</v>
      </c>
      <c r="AK136" s="114" t="n">
        <f aca="false">Inputs!$C$15*(1+Inputs!$C$16)^(AK$132-1)*1</f>
        <v>26.9664</v>
      </c>
      <c r="AL136" s="114" t="n">
        <f aca="false">Inputs!$C$15*(1+Inputs!$C$16)^(AL$132-1)*1</f>
        <v>26.9664</v>
      </c>
    </row>
    <row r="137" customFormat="false" ht="15" hidden="false" customHeight="false" outlineLevel="0" collapsed="false">
      <c r="A137" s="4" t="s">
        <v>411</v>
      </c>
      <c r="C137" s="115" t="n">
        <f aca="false">C135+C136</f>
        <v>57.3333333333333</v>
      </c>
      <c r="D137" s="115" t="n">
        <f aca="false">D135+D136</f>
        <v>57.3333333333333</v>
      </c>
      <c r="E137" s="115" t="n">
        <f aca="false">E135+E136</f>
        <v>57.3333333333333</v>
      </c>
      <c r="F137" s="115" t="n">
        <f aca="false">F135+F136</f>
        <v>57.3333333333333</v>
      </c>
      <c r="G137" s="115" t="n">
        <f aca="false">G135+G136</f>
        <v>57.3333333333333</v>
      </c>
      <c r="H137" s="115" t="n">
        <f aca="false">H135+H136</f>
        <v>57.3333333333333</v>
      </c>
      <c r="I137" s="115" t="n">
        <f aca="false">I135+I136</f>
        <v>57.3333333333333</v>
      </c>
      <c r="J137" s="115" t="n">
        <f aca="false">J135+J136</f>
        <v>57.3333333333333</v>
      </c>
      <c r="K137" s="115" t="n">
        <f aca="false">K135+K136</f>
        <v>57.3333333333333</v>
      </c>
      <c r="L137" s="115" t="n">
        <f aca="false">L135+L136</f>
        <v>57.3333333333333</v>
      </c>
      <c r="M137" s="115" t="n">
        <f aca="false">M135+M136</f>
        <v>57.3333333333333</v>
      </c>
      <c r="N137" s="115" t="n">
        <f aca="false">N135+N136</f>
        <v>57.3333333333333</v>
      </c>
      <c r="O137" s="115" t="n">
        <f aca="false">O135+O136</f>
        <v>60.44</v>
      </c>
      <c r="P137" s="115" t="n">
        <f aca="false">P135+P136</f>
        <v>60.44</v>
      </c>
      <c r="Q137" s="115" t="n">
        <f aca="false">Q135+Q136</f>
        <v>60.44</v>
      </c>
      <c r="R137" s="115" t="n">
        <f aca="false">R135+R136</f>
        <v>60.44</v>
      </c>
      <c r="S137" s="115" t="n">
        <f aca="false">S135+S136</f>
        <v>60.44</v>
      </c>
      <c r="T137" s="115" t="n">
        <f aca="false">T135+T136</f>
        <v>60.44</v>
      </c>
      <c r="U137" s="115" t="n">
        <f aca="false">U135+U136</f>
        <v>60.44</v>
      </c>
      <c r="V137" s="115" t="n">
        <f aca="false">V135+V136</f>
        <v>60.44</v>
      </c>
      <c r="W137" s="115" t="n">
        <f aca="false">W135+W136</f>
        <v>60.44</v>
      </c>
      <c r="X137" s="115" t="n">
        <f aca="false">X135+X136</f>
        <v>60.44</v>
      </c>
      <c r="Y137" s="115" t="n">
        <f aca="false">Y135+Y136</f>
        <v>60.44</v>
      </c>
      <c r="Z137" s="115" t="n">
        <f aca="false">Z135+Z136</f>
        <v>60.44</v>
      </c>
      <c r="AA137" s="115" t="n">
        <f aca="false">AA135+AA136</f>
        <v>63.7164</v>
      </c>
      <c r="AB137" s="115" t="n">
        <f aca="false">AB135+AB136</f>
        <v>63.7164</v>
      </c>
      <c r="AC137" s="115" t="n">
        <f aca="false">AC135+AC136</f>
        <v>63.7164</v>
      </c>
      <c r="AD137" s="115" t="n">
        <f aca="false">AD135+AD136</f>
        <v>63.7164</v>
      </c>
      <c r="AE137" s="115" t="n">
        <f aca="false">AE135+AE136</f>
        <v>63.7164</v>
      </c>
      <c r="AF137" s="115" t="n">
        <f aca="false">AF135+AF136</f>
        <v>63.7164</v>
      </c>
      <c r="AG137" s="115" t="n">
        <f aca="false">AG135+AG136</f>
        <v>63.7164</v>
      </c>
      <c r="AH137" s="115" t="n">
        <f aca="false">AH135+AH136</f>
        <v>63.7164</v>
      </c>
      <c r="AI137" s="115" t="n">
        <f aca="false">AI135+AI136</f>
        <v>63.7164</v>
      </c>
      <c r="AJ137" s="115" t="n">
        <f aca="false">AJ135+AJ136</f>
        <v>63.7164</v>
      </c>
      <c r="AK137" s="115" t="n">
        <f aca="false">AK135+AK136</f>
        <v>63.7164</v>
      </c>
      <c r="AL137" s="115" t="n">
        <f aca="false">AL135+AL136</f>
        <v>63.7164</v>
      </c>
    </row>
    <row r="138" customFormat="false" ht="15" hidden="false" customHeight="false" outlineLevel="0" collapsed="false">
      <c r="A138" s="6" t="s">
        <v>412</v>
      </c>
      <c r="C138" s="116" t="n">
        <f aca="false">Inputs!$C$14</f>
        <v>3000</v>
      </c>
      <c r="D138" s="114" t="n">
        <f aca="false">C140</f>
        <v>3015.33333333333</v>
      </c>
      <c r="E138" s="114" t="n">
        <f aca="false">D140</f>
        <v>3030.452</v>
      </c>
      <c r="F138" s="114" t="n">
        <f aca="false">E140</f>
        <v>3045.35900533333</v>
      </c>
      <c r="G138" s="114" t="n">
        <f aca="false">F140</f>
        <v>3060.057312592</v>
      </c>
      <c r="H138" s="114" t="n">
        <f aca="false">G140</f>
        <v>3074.54984354905</v>
      </c>
      <c r="I138" s="114" t="n">
        <f aca="false">H140</f>
        <v>3088.83947907269</v>
      </c>
      <c r="J138" s="114" t="n">
        <f aca="false">I140</f>
        <v>3102.92905969901</v>
      </c>
      <c r="K138" s="114" t="n">
        <f aca="false">J140</f>
        <v>3116.82138619656</v>
      </c>
      <c r="L138" s="114" t="n">
        <f aca="false">K140</f>
        <v>3130.51922012314</v>
      </c>
      <c r="M138" s="114" t="n">
        <f aca="false">L140</f>
        <v>3144.02528437475</v>
      </c>
      <c r="N138" s="114" t="n">
        <f aca="false">M140</f>
        <v>3157.34226372683</v>
      </c>
      <c r="O138" s="114" t="n">
        <f aca="false">N140</f>
        <v>3170.47280536799</v>
      </c>
      <c r="P138" s="114" t="n">
        <f aca="false">O140</f>
        <v>3186.52618609284</v>
      </c>
      <c r="Q138" s="114" t="n">
        <f aca="false">P140</f>
        <v>3202.35481948754</v>
      </c>
      <c r="R138" s="114" t="n">
        <f aca="false">Q140</f>
        <v>3217.96185201471</v>
      </c>
      <c r="S138" s="114" t="n">
        <f aca="false">R140</f>
        <v>3233.35038608651</v>
      </c>
      <c r="T138" s="114" t="n">
        <f aca="false">S140</f>
        <v>3248.5234806813</v>
      </c>
      <c r="U138" s="114" t="n">
        <f aca="false">T140</f>
        <v>3263.48415195176</v>
      </c>
      <c r="V138" s="114" t="n">
        <f aca="false">U140</f>
        <v>3278.23537382443</v>
      </c>
      <c r="W138" s="114" t="n">
        <f aca="false">V140</f>
        <v>3292.78007859089</v>
      </c>
      <c r="X138" s="114" t="n">
        <f aca="false">W140</f>
        <v>3307.12115749062</v>
      </c>
      <c r="Y138" s="114" t="n">
        <f aca="false">X140</f>
        <v>3321.26146128575</v>
      </c>
      <c r="Z138" s="114" t="n">
        <f aca="false">Y140</f>
        <v>3335.20380082775</v>
      </c>
      <c r="AA138" s="114" t="n">
        <f aca="false">Z140</f>
        <v>3348.95094761616</v>
      </c>
      <c r="AB138" s="114" t="n">
        <f aca="false">AA140</f>
        <v>3365.78203434954</v>
      </c>
      <c r="AC138" s="114" t="n">
        <f aca="false">AB140</f>
        <v>3382.37748586864</v>
      </c>
      <c r="AD138" s="114" t="n">
        <f aca="false">AC140</f>
        <v>3398.74060106648</v>
      </c>
      <c r="AE138" s="114" t="n">
        <f aca="false">AD140</f>
        <v>3414.87463265155</v>
      </c>
      <c r="AF138" s="114" t="n">
        <f aca="false">AE140</f>
        <v>3430.78278779443</v>
      </c>
      <c r="AG138" s="114" t="n">
        <f aca="false">AF140</f>
        <v>3446.46822876531</v>
      </c>
      <c r="AH138" s="114" t="n">
        <f aca="false">AG140</f>
        <v>3461.93407356259</v>
      </c>
      <c r="AI138" s="114" t="n">
        <f aca="false">AH140</f>
        <v>3477.18339653271</v>
      </c>
      <c r="AJ138" s="114" t="n">
        <f aca="false">AI140</f>
        <v>3492.21922898126</v>
      </c>
      <c r="AK138" s="114" t="n">
        <f aca="false">AJ140</f>
        <v>3507.04455977552</v>
      </c>
      <c r="AL138" s="114" t="n">
        <f aca="false">AK140</f>
        <v>3521.66233593866</v>
      </c>
    </row>
    <row r="139" customFormat="false" ht="15" hidden="false" customHeight="false" outlineLevel="0" collapsed="false">
      <c r="A139" s="6" t="s">
        <v>413</v>
      </c>
      <c r="C139" s="114" t="n">
        <f aca="false">C140-C138-C137</f>
        <v>-41.9999999999999</v>
      </c>
      <c r="D139" s="114" t="n">
        <f aca="false">D140-D138-D137</f>
        <v>-42.2146666666666</v>
      </c>
      <c r="E139" s="114" t="n">
        <f aca="false">E140-E138-E137</f>
        <v>-42.4263279999999</v>
      </c>
      <c r="F139" s="114" t="n">
        <f aca="false">F140-F138-F137</f>
        <v>-42.6350260746666</v>
      </c>
      <c r="G139" s="114" t="n">
        <f aca="false">G140-G138-G137</f>
        <v>-42.840802376288</v>
      </c>
      <c r="H139" s="114" t="n">
        <f aca="false">H140-H138-H137</f>
        <v>-43.0436978096867</v>
      </c>
      <c r="I139" s="114" t="n">
        <f aca="false">I140-I138-I137</f>
        <v>-43.2437527070177</v>
      </c>
      <c r="J139" s="114" t="n">
        <f aca="false">J140-J138-J137</f>
        <v>-43.4410068357859</v>
      </c>
      <c r="K139" s="114" t="n">
        <f aca="false">K140-K138-K137</f>
        <v>-43.6354994067518</v>
      </c>
      <c r="L139" s="114" t="n">
        <f aca="false">L140-L138-L137</f>
        <v>-43.8272690817238</v>
      </c>
      <c r="M139" s="114" t="n">
        <f aca="false">M140-M138-M137</f>
        <v>-44.0163539812464</v>
      </c>
      <c r="N139" s="114" t="n">
        <f aca="false">N140-N138-N137</f>
        <v>-44.2027916921755</v>
      </c>
      <c r="O139" s="114" t="n">
        <f aca="false">O140-O138-O137</f>
        <v>-44.386619275152</v>
      </c>
      <c r="P139" s="114" t="n">
        <f aca="false">P140-P138-P137</f>
        <v>-44.6113666052997</v>
      </c>
      <c r="Q139" s="114" t="n">
        <f aca="false">Q140-Q138-Q137</f>
        <v>-44.8329674728256</v>
      </c>
      <c r="R139" s="114" t="n">
        <f aca="false">R140-R138-R137</f>
        <v>-45.0514659282061</v>
      </c>
      <c r="S139" s="114" t="n">
        <f aca="false">S140-S138-S137</f>
        <v>-45.2669054052112</v>
      </c>
      <c r="T139" s="114" t="n">
        <f aca="false">T140-T138-T137</f>
        <v>-45.4793287295383</v>
      </c>
      <c r="U139" s="114" t="n">
        <f aca="false">U140-U138-U137</f>
        <v>-45.6887781273244</v>
      </c>
      <c r="V139" s="114" t="n">
        <f aca="false">V140-V138-V137</f>
        <v>-45.8952952335421</v>
      </c>
      <c r="W139" s="114" t="n">
        <f aca="false">W140-W138-W137</f>
        <v>-46.0989211002724</v>
      </c>
      <c r="X139" s="114" t="n">
        <f aca="false">X140-X138-X137</f>
        <v>-46.2996962048687</v>
      </c>
      <c r="Y139" s="114" t="n">
        <f aca="false">Y140-Y138-Y137</f>
        <v>-46.4976604580006</v>
      </c>
      <c r="Z139" s="114" t="n">
        <f aca="false">Z140-Z138-Z137</f>
        <v>-46.6928532115884</v>
      </c>
      <c r="AA139" s="114" t="n">
        <f aca="false">AA140-AA138-AA137</f>
        <v>-46.8853132666265</v>
      </c>
      <c r="AB139" s="114" t="n">
        <f aca="false">AB140-AB138-AB137</f>
        <v>-47.1209484808939</v>
      </c>
      <c r="AC139" s="114" t="n">
        <f aca="false">AC140-AC138-AC137</f>
        <v>-47.3532848021612</v>
      </c>
      <c r="AD139" s="114" t="n">
        <f aca="false">AD140-AD138-AD137</f>
        <v>-47.5823684149311</v>
      </c>
      <c r="AE139" s="114" t="n">
        <f aca="false">AE140-AE138-AE137</f>
        <v>-47.808244857122</v>
      </c>
      <c r="AF139" s="114" t="n">
        <f aca="false">AF140-AF138-AF137</f>
        <v>-48.0309590291224</v>
      </c>
      <c r="AG139" s="114" t="n">
        <f aca="false">AG140-AG138-AG137</f>
        <v>-48.2505552027144</v>
      </c>
      <c r="AH139" s="114" t="n">
        <f aca="false">AH140-AH138-AH137</f>
        <v>-48.4670770298765</v>
      </c>
      <c r="AI139" s="114" t="n">
        <f aca="false">AI140-AI138-AI137</f>
        <v>-48.6805675514581</v>
      </c>
      <c r="AJ139" s="114" t="n">
        <f aca="false">AJ140-AJ138-AJ137</f>
        <v>-48.8910692057377</v>
      </c>
      <c r="AK139" s="114" t="n">
        <f aca="false">AK140-AK138-AK137</f>
        <v>-49.0986238368575</v>
      </c>
      <c r="AL139" s="114" t="n">
        <f aca="false">AL140-AL138-AL137</f>
        <v>-49.3032727031416</v>
      </c>
    </row>
    <row r="140" customFormat="false" ht="15" hidden="false" customHeight="false" outlineLevel="0" collapsed="false">
      <c r="A140" s="4" t="s">
        <v>414</v>
      </c>
      <c r="C140" s="115" t="n">
        <f aca="false">C138*(1-Inputs!$C$20)+C137</f>
        <v>3015.33333333333</v>
      </c>
      <c r="D140" s="115" t="n">
        <f aca="false">D138*(1-Inputs!$C$20)+D137</f>
        <v>3030.452</v>
      </c>
      <c r="E140" s="115" t="n">
        <f aca="false">E138*(1-Inputs!$C$20)+E137</f>
        <v>3045.35900533333</v>
      </c>
      <c r="F140" s="115" t="n">
        <f aca="false">F138*(1-Inputs!$C$20)+F137</f>
        <v>3060.057312592</v>
      </c>
      <c r="G140" s="115" t="n">
        <f aca="false">G138*(1-Inputs!$C$20)+G137</f>
        <v>3074.54984354905</v>
      </c>
      <c r="H140" s="115" t="n">
        <f aca="false">H138*(1-Inputs!$C$20)+H137</f>
        <v>3088.83947907269</v>
      </c>
      <c r="I140" s="115" t="n">
        <f aca="false">I138*(1-Inputs!$C$20)+I137</f>
        <v>3102.92905969901</v>
      </c>
      <c r="J140" s="115" t="n">
        <f aca="false">J138*(1-Inputs!$C$20)+J137</f>
        <v>3116.82138619656</v>
      </c>
      <c r="K140" s="115" t="n">
        <f aca="false">K138*(1-Inputs!$C$20)+K137</f>
        <v>3130.51922012314</v>
      </c>
      <c r="L140" s="115" t="n">
        <f aca="false">L138*(1-Inputs!$C$20)+L137</f>
        <v>3144.02528437475</v>
      </c>
      <c r="M140" s="115" t="n">
        <f aca="false">M138*(1-Inputs!$C$20)+M137</f>
        <v>3157.34226372683</v>
      </c>
      <c r="N140" s="115" t="n">
        <f aca="false">N138*(1-Inputs!$C$20)+N137</f>
        <v>3170.47280536799</v>
      </c>
      <c r="O140" s="115" t="n">
        <f aca="false">O138*(1-Inputs!$C$20)+O137</f>
        <v>3186.52618609284</v>
      </c>
      <c r="P140" s="115" t="n">
        <f aca="false">P138*(1-Inputs!$C$20)+P137</f>
        <v>3202.35481948754</v>
      </c>
      <c r="Q140" s="115" t="n">
        <f aca="false">Q138*(1-Inputs!$C$20)+Q137</f>
        <v>3217.96185201471</v>
      </c>
      <c r="R140" s="115" t="n">
        <f aca="false">R138*(1-Inputs!$C$20)+R137</f>
        <v>3233.35038608651</v>
      </c>
      <c r="S140" s="115" t="n">
        <f aca="false">S138*(1-Inputs!$C$20)+S137</f>
        <v>3248.5234806813</v>
      </c>
      <c r="T140" s="115" t="n">
        <f aca="false">T138*(1-Inputs!$C$20)+T137</f>
        <v>3263.48415195176</v>
      </c>
      <c r="U140" s="115" t="n">
        <f aca="false">U138*(1-Inputs!$C$20)+U137</f>
        <v>3278.23537382443</v>
      </c>
      <c r="V140" s="115" t="n">
        <f aca="false">V138*(1-Inputs!$C$20)+V137</f>
        <v>3292.78007859089</v>
      </c>
      <c r="W140" s="115" t="n">
        <f aca="false">W138*(1-Inputs!$C$20)+W137</f>
        <v>3307.12115749062</v>
      </c>
      <c r="X140" s="115" t="n">
        <f aca="false">X138*(1-Inputs!$C$20)+X137</f>
        <v>3321.26146128575</v>
      </c>
      <c r="Y140" s="115" t="n">
        <f aca="false">Y138*(1-Inputs!$C$20)+Y137</f>
        <v>3335.20380082775</v>
      </c>
      <c r="Z140" s="115" t="n">
        <f aca="false">Z138*(1-Inputs!$C$20)+Z137</f>
        <v>3348.95094761616</v>
      </c>
      <c r="AA140" s="115" t="n">
        <f aca="false">AA138*(1-Inputs!$C$20)+AA137</f>
        <v>3365.78203434954</v>
      </c>
      <c r="AB140" s="115" t="n">
        <f aca="false">AB138*(1-Inputs!$C$20)+AB137</f>
        <v>3382.37748586864</v>
      </c>
      <c r="AC140" s="115" t="n">
        <f aca="false">AC138*(1-Inputs!$C$20)+AC137</f>
        <v>3398.74060106648</v>
      </c>
      <c r="AD140" s="115" t="n">
        <f aca="false">AD138*(1-Inputs!$C$20)+AD137</f>
        <v>3414.87463265155</v>
      </c>
      <c r="AE140" s="115" t="n">
        <f aca="false">AE138*(1-Inputs!$C$20)+AE137</f>
        <v>3430.78278779443</v>
      </c>
      <c r="AF140" s="115" t="n">
        <f aca="false">AF138*(1-Inputs!$C$20)+AF137</f>
        <v>3446.46822876531</v>
      </c>
      <c r="AG140" s="115" t="n">
        <f aca="false">AG138*(1-Inputs!$C$20)+AG137</f>
        <v>3461.93407356259</v>
      </c>
      <c r="AH140" s="115" t="n">
        <f aca="false">AH138*(1-Inputs!$C$20)+AH137</f>
        <v>3477.18339653271</v>
      </c>
      <c r="AI140" s="115" t="n">
        <f aca="false">AI138*(1-Inputs!$C$20)+AI137</f>
        <v>3492.21922898126</v>
      </c>
      <c r="AJ140" s="115" t="n">
        <f aca="false">AJ138*(1-Inputs!$C$20)+AJ137</f>
        <v>3507.04455977552</v>
      </c>
      <c r="AK140" s="115" t="n">
        <f aca="false">AK138*(1-Inputs!$C$20)+AK137</f>
        <v>3521.66233593866</v>
      </c>
      <c r="AL140" s="115" t="n">
        <f aca="false">AL138*(1-Inputs!$C$20)+AL137</f>
        <v>3536.07546323552</v>
      </c>
    </row>
    <row r="141" customFormat="false" ht="15" hidden="false" customHeight="false" outlineLevel="0" collapsed="false">
      <c r="A141" s="6" t="s">
        <v>415</v>
      </c>
      <c r="C141" s="114" t="n">
        <f aca="false">(C138+C140)/2</f>
        <v>3007.66666666667</v>
      </c>
      <c r="D141" s="114" t="n">
        <f aca="false">(D138+D140)/2</f>
        <v>3022.89266666667</v>
      </c>
      <c r="E141" s="114" t="n">
        <f aca="false">(E138+E140)/2</f>
        <v>3037.90550266667</v>
      </c>
      <c r="F141" s="114" t="n">
        <f aca="false">(F138+F140)/2</f>
        <v>3052.70815896267</v>
      </c>
      <c r="G141" s="114" t="n">
        <f aca="false">(G138+G140)/2</f>
        <v>3067.30357807052</v>
      </c>
      <c r="H141" s="114" t="n">
        <f aca="false">(H138+H140)/2</f>
        <v>3081.69466131087</v>
      </c>
      <c r="I141" s="114" t="n">
        <f aca="false">(I138+I140)/2</f>
        <v>3095.88426938585</v>
      </c>
      <c r="J141" s="114" t="n">
        <f aca="false">(J138+J140)/2</f>
        <v>3109.87522294778</v>
      </c>
      <c r="K141" s="114" t="n">
        <f aca="false">(K138+K140)/2</f>
        <v>3123.67030315985</v>
      </c>
      <c r="L141" s="114" t="n">
        <f aca="false">(L138+L140)/2</f>
        <v>3137.27225224894</v>
      </c>
      <c r="M141" s="114" t="n">
        <f aca="false">(M138+M140)/2</f>
        <v>3150.68377405079</v>
      </c>
      <c r="N141" s="114" t="n">
        <f aca="false">(N138+N140)/2</f>
        <v>3163.90753454741</v>
      </c>
      <c r="O141" s="114" t="n">
        <f aca="false">(O138+O140)/2</f>
        <v>3178.49949573042</v>
      </c>
      <c r="P141" s="114" t="n">
        <f aca="false">(P138+P140)/2</f>
        <v>3194.44050279019</v>
      </c>
      <c r="Q141" s="114" t="n">
        <f aca="false">(Q138+Q140)/2</f>
        <v>3210.15833575113</v>
      </c>
      <c r="R141" s="114" t="n">
        <f aca="false">(R138+R140)/2</f>
        <v>3225.65611905061</v>
      </c>
      <c r="S141" s="114" t="n">
        <f aca="false">(S138+S140)/2</f>
        <v>3240.9369333839</v>
      </c>
      <c r="T141" s="114" t="n">
        <f aca="false">(T138+T140)/2</f>
        <v>3256.00381631653</v>
      </c>
      <c r="U141" s="114" t="n">
        <f aca="false">(U138+U140)/2</f>
        <v>3270.8597628881</v>
      </c>
      <c r="V141" s="114" t="n">
        <f aca="false">(V138+V140)/2</f>
        <v>3285.50772620766</v>
      </c>
      <c r="W141" s="114" t="n">
        <f aca="false">(W138+W140)/2</f>
        <v>3299.95061804076</v>
      </c>
      <c r="X141" s="114" t="n">
        <f aca="false">(X138+X140)/2</f>
        <v>3314.19130938819</v>
      </c>
      <c r="Y141" s="114" t="n">
        <f aca="false">(Y138+Y140)/2</f>
        <v>3328.23263105675</v>
      </c>
      <c r="Z141" s="114" t="n">
        <f aca="false">(Z138+Z140)/2</f>
        <v>3342.07737422196</v>
      </c>
      <c r="AA141" s="114" t="n">
        <f aca="false">(AA138+AA140)/2</f>
        <v>3357.36649098285</v>
      </c>
      <c r="AB141" s="114" t="n">
        <f aca="false">(AB138+AB140)/2</f>
        <v>3374.07976010909</v>
      </c>
      <c r="AC141" s="114" t="n">
        <f aca="false">(AC138+AC140)/2</f>
        <v>3390.55904346756</v>
      </c>
      <c r="AD141" s="114" t="n">
        <f aca="false">(AD138+AD140)/2</f>
        <v>3406.80761685902</v>
      </c>
      <c r="AE141" s="114" t="n">
        <f aca="false">(AE138+AE140)/2</f>
        <v>3422.82871022299</v>
      </c>
      <c r="AF141" s="114" t="n">
        <f aca="false">(AF138+AF140)/2</f>
        <v>3438.62550827987</v>
      </c>
      <c r="AG141" s="114" t="n">
        <f aca="false">(AG138+AG140)/2</f>
        <v>3454.20115116395</v>
      </c>
      <c r="AH141" s="114" t="n">
        <f aca="false">(AH138+AH140)/2</f>
        <v>3469.55873504765</v>
      </c>
      <c r="AI141" s="114" t="n">
        <f aca="false">(AI138+AI140)/2</f>
        <v>3484.70131275699</v>
      </c>
      <c r="AJ141" s="114" t="n">
        <f aca="false">(AJ138+AJ140)/2</f>
        <v>3499.63189437839</v>
      </c>
      <c r="AK141" s="114" t="n">
        <f aca="false">(AK138+AK140)/2</f>
        <v>3514.35344785709</v>
      </c>
      <c r="AL141" s="114" t="n">
        <f aca="false">(AL138+AL140)/2</f>
        <v>3528.86889958709</v>
      </c>
    </row>
    <row r="143" customFormat="false" ht="15.75" hidden="false" customHeight="true" outlineLevel="0" collapsed="false">
      <c r="A143" s="7" t="s">
        <v>416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customFormat="false" ht="15" hidden="false" customHeight="false" outlineLevel="0" collapsed="false">
      <c r="A144" s="6" t="s">
        <v>417</v>
      </c>
      <c r="C144" s="117" t="n">
        <f aca="false">Inputs!$C$7*Inputs!$C$9*Inputs!$C$11*1</f>
        <v>432</v>
      </c>
      <c r="D144" s="117" t="n">
        <f aca="false">Inputs!$C$7*Inputs!$C$9*Inputs!$C$11*1</f>
        <v>432</v>
      </c>
      <c r="E144" s="117" t="n">
        <f aca="false">Inputs!$C$7*Inputs!$C$9*Inputs!$C$11*1</f>
        <v>432</v>
      </c>
      <c r="F144" s="117" t="n">
        <f aca="false">Inputs!$C$7*Inputs!$C$9*Inputs!$C$11*1</f>
        <v>432</v>
      </c>
      <c r="G144" s="117" t="n">
        <f aca="false">Inputs!$C$7*Inputs!$C$9*Inputs!$C$11*1</f>
        <v>432</v>
      </c>
      <c r="H144" s="117" t="n">
        <f aca="false">Inputs!$C$7*Inputs!$C$9*Inputs!$C$11*1</f>
        <v>432</v>
      </c>
      <c r="I144" s="117" t="n">
        <f aca="false">Inputs!$C$7*Inputs!$C$9*Inputs!$C$11*1</f>
        <v>432</v>
      </c>
      <c r="J144" s="117" t="n">
        <f aca="false">Inputs!$C$7*Inputs!$C$9*Inputs!$C$11*1</f>
        <v>432</v>
      </c>
      <c r="K144" s="117" t="n">
        <f aca="false">Inputs!$C$7*Inputs!$C$9*Inputs!$C$11*1</f>
        <v>432</v>
      </c>
      <c r="L144" s="117" t="n">
        <f aca="false">Inputs!$C$7*Inputs!$C$9*Inputs!$C$11*1</f>
        <v>432</v>
      </c>
      <c r="M144" s="117" t="n">
        <f aca="false">Inputs!$C$7*Inputs!$C$9*Inputs!$C$11*1</f>
        <v>432</v>
      </c>
      <c r="N144" s="117" t="n">
        <f aca="false">Inputs!$C$7*Inputs!$C$9*Inputs!$C$11*1</f>
        <v>432</v>
      </c>
      <c r="O144" s="117" t="n">
        <f aca="false">Inputs!$C$7*Inputs!$C$9*Inputs!$C$11*1</f>
        <v>432</v>
      </c>
      <c r="P144" s="117" t="n">
        <f aca="false">Inputs!$C$7*Inputs!$C$9*Inputs!$C$11*1</f>
        <v>432</v>
      </c>
      <c r="Q144" s="117" t="n">
        <f aca="false">Inputs!$C$7*Inputs!$C$9*Inputs!$C$11*1</f>
        <v>432</v>
      </c>
      <c r="R144" s="117" t="n">
        <f aca="false">Inputs!$C$7*Inputs!$C$9*Inputs!$C$11*1</f>
        <v>432</v>
      </c>
      <c r="S144" s="117" t="n">
        <f aca="false">Inputs!$C$7*Inputs!$C$9*Inputs!$C$11*1</f>
        <v>432</v>
      </c>
      <c r="T144" s="117" t="n">
        <f aca="false">Inputs!$C$7*Inputs!$C$9*Inputs!$C$11*1</f>
        <v>432</v>
      </c>
      <c r="U144" s="117" t="n">
        <f aca="false">Inputs!$C$7*Inputs!$C$9*Inputs!$C$11*1</f>
        <v>432</v>
      </c>
      <c r="V144" s="117" t="n">
        <f aca="false">Inputs!$C$7*Inputs!$C$9*Inputs!$C$11*1</f>
        <v>432</v>
      </c>
      <c r="W144" s="117" t="n">
        <f aca="false">Inputs!$C$7*Inputs!$C$9*Inputs!$C$11*1</f>
        <v>432</v>
      </c>
      <c r="X144" s="117" t="n">
        <f aca="false">Inputs!$C$7*Inputs!$C$9*Inputs!$C$11*1</f>
        <v>432</v>
      </c>
      <c r="Y144" s="117" t="n">
        <f aca="false">Inputs!$C$7*Inputs!$C$9*Inputs!$C$11*1</f>
        <v>432</v>
      </c>
      <c r="Z144" s="117" t="n">
        <f aca="false">Inputs!$C$7*Inputs!$C$9*Inputs!$C$11*1</f>
        <v>432</v>
      </c>
      <c r="AA144" s="117" t="n">
        <f aca="false">Inputs!$C$7*Inputs!$C$9*Inputs!$C$11*1</f>
        <v>432</v>
      </c>
      <c r="AB144" s="117" t="n">
        <f aca="false">Inputs!$C$7*Inputs!$C$9*Inputs!$C$11*1</f>
        <v>432</v>
      </c>
      <c r="AC144" s="117" t="n">
        <f aca="false">Inputs!$C$7*Inputs!$C$9*Inputs!$C$11*1</f>
        <v>432</v>
      </c>
      <c r="AD144" s="117" t="n">
        <f aca="false">Inputs!$C$7*Inputs!$C$9*Inputs!$C$11*1</f>
        <v>432</v>
      </c>
      <c r="AE144" s="117" t="n">
        <f aca="false">Inputs!$C$7*Inputs!$C$9*Inputs!$C$11*1</f>
        <v>432</v>
      </c>
      <c r="AF144" s="117" t="n">
        <f aca="false">Inputs!$C$7*Inputs!$C$9*Inputs!$C$11*1</f>
        <v>432</v>
      </c>
      <c r="AG144" s="117" t="n">
        <f aca="false">Inputs!$C$7*Inputs!$C$9*Inputs!$C$11*1</f>
        <v>432</v>
      </c>
      <c r="AH144" s="117" t="n">
        <f aca="false">Inputs!$C$7*Inputs!$C$9*Inputs!$C$11*1</f>
        <v>432</v>
      </c>
      <c r="AI144" s="117" t="n">
        <f aca="false">Inputs!$C$7*Inputs!$C$9*Inputs!$C$11*1</f>
        <v>432</v>
      </c>
      <c r="AJ144" s="117" t="n">
        <f aca="false">Inputs!$C$7*Inputs!$C$9*Inputs!$C$11*1</f>
        <v>432</v>
      </c>
      <c r="AK144" s="117" t="n">
        <f aca="false">Inputs!$C$7*Inputs!$C$9*Inputs!$C$11*1</f>
        <v>432</v>
      </c>
      <c r="AL144" s="117" t="n">
        <f aca="false">Inputs!$C$7*Inputs!$C$9*Inputs!$C$11*1</f>
        <v>432</v>
      </c>
    </row>
    <row r="145" customFormat="false" ht="15" hidden="false" customHeight="false" outlineLevel="0" collapsed="false">
      <c r="A145" s="6" t="s">
        <v>418</v>
      </c>
      <c r="C145" s="117" t="n">
        <f aca="false">C141*Inputs!$C$21/12*1+C137*Inputs!$C$23</f>
        <v>345.568055555556</v>
      </c>
      <c r="D145" s="117" t="n">
        <f aca="false">D141*Inputs!$C$21/12*1+D137*Inputs!$C$23</f>
        <v>347.027213888889</v>
      </c>
      <c r="E145" s="117" t="n">
        <f aca="false">E141*Inputs!$C$21/12*1+E137*Inputs!$C$23</f>
        <v>348.465944005556</v>
      </c>
      <c r="F145" s="117" t="n">
        <f aca="false">F141*Inputs!$C$21/12*1+F137*Inputs!$C$23</f>
        <v>349.884531900589</v>
      </c>
      <c r="G145" s="117" t="n">
        <f aca="false">G141*Inputs!$C$21/12*1+G137*Inputs!$C$23</f>
        <v>351.283259565092</v>
      </c>
      <c r="H145" s="117" t="n">
        <f aca="false">H141*Inputs!$C$21/12*1+H137*Inputs!$C$23</f>
        <v>352.662405042292</v>
      </c>
      <c r="I145" s="117" t="n">
        <f aca="false">I141*Inputs!$C$21/12*1+I137*Inputs!$C$23</f>
        <v>354.022242482811</v>
      </c>
      <c r="J145" s="117" t="n">
        <f aca="false">J141*Inputs!$C$21/12*1+J137*Inputs!$C$23</f>
        <v>355.363042199162</v>
      </c>
      <c r="K145" s="117" t="n">
        <f aca="false">K141*Inputs!$C$21/12*1+K137*Inputs!$C$23</f>
        <v>356.685070719485</v>
      </c>
      <c r="L145" s="117" t="n">
        <f aca="false">L141*Inputs!$C$21/12*1+L137*Inputs!$C$23</f>
        <v>357.988590840524</v>
      </c>
      <c r="M145" s="117" t="n">
        <f aca="false">M141*Inputs!$C$21/12*1+M137*Inputs!$C$23</f>
        <v>359.273861679867</v>
      </c>
      <c r="N145" s="117" t="n">
        <f aca="false">N141*Inputs!$C$21/12*1+N137*Inputs!$C$23</f>
        <v>360.54113872746</v>
      </c>
      <c r="O145" s="117" t="n">
        <f aca="false">O141*Inputs!$C$21/12*1+O137*Inputs!$C$23</f>
        <v>365.046201674165</v>
      </c>
      <c r="P145" s="117" t="n">
        <f aca="false">P141*Inputs!$C$21/12*1+P137*Inputs!$C$23</f>
        <v>366.573881517393</v>
      </c>
      <c r="Q145" s="117" t="n">
        <f aca="false">Q141*Inputs!$C$21/12*1+Q137*Inputs!$C$23</f>
        <v>368.080173842816</v>
      </c>
      <c r="R145" s="117" t="n">
        <f aca="false">R141*Inputs!$C$21/12*1+R137*Inputs!$C$23</f>
        <v>369.565378075684</v>
      </c>
      <c r="S145" s="117" t="n">
        <f aca="false">S141*Inputs!$C$21/12*1+S137*Inputs!$C$23</f>
        <v>371.029789449291</v>
      </c>
      <c r="T145" s="117" t="n">
        <f aca="false">T141*Inputs!$C$21/12*1+T137*Inputs!$C$23</f>
        <v>372.473699063667</v>
      </c>
      <c r="U145" s="117" t="n">
        <f aca="false">U141*Inputs!$C$21/12*1+U137*Inputs!$C$23</f>
        <v>373.897393943443</v>
      </c>
      <c r="V145" s="117" t="n">
        <f aca="false">V141*Inputs!$C$21/12*1+V137*Inputs!$C$23</f>
        <v>375.301157094901</v>
      </c>
      <c r="W145" s="117" t="n">
        <f aca="false">W141*Inputs!$C$21/12*1+W137*Inputs!$C$23</f>
        <v>376.685267562239</v>
      </c>
      <c r="X145" s="117" t="n">
        <f aca="false">X141*Inputs!$C$21/12*1+X137*Inputs!$C$23</f>
        <v>378.050000483034</v>
      </c>
      <c r="Y145" s="117" t="n">
        <f aca="false">Y141*Inputs!$C$21/12*1+Y137*Inputs!$C$23</f>
        <v>379.395627142939</v>
      </c>
      <c r="Z145" s="117" t="n">
        <f aca="false">Z141*Inputs!$C$21/12*1+Z137*Inputs!$C$23</f>
        <v>380.722415029604</v>
      </c>
      <c r="AA145" s="117" t="n">
        <f aca="false">AA141*Inputs!$C$21/12*1+AA137*Inputs!$C$23</f>
        <v>385.464022052523</v>
      </c>
      <c r="AB145" s="117" t="n">
        <f aca="false">AB141*Inputs!$C$21/12*1+AB137*Inputs!$C$23</f>
        <v>387.065710343788</v>
      </c>
      <c r="AC145" s="117" t="n">
        <f aca="false">AC141*Inputs!$C$21/12*1+AC137*Inputs!$C$23</f>
        <v>388.644974998975</v>
      </c>
      <c r="AD145" s="117" t="n">
        <f aca="false">AD141*Inputs!$C$21/12*1+AD137*Inputs!$C$23</f>
        <v>390.202129948989</v>
      </c>
      <c r="AE145" s="117" t="n">
        <f aca="false">AE141*Inputs!$C$21/12*1+AE137*Inputs!$C$23</f>
        <v>391.737484729703</v>
      </c>
      <c r="AF145" s="117" t="n">
        <f aca="false">AF141*Inputs!$C$21/12*1+AF137*Inputs!$C$23</f>
        <v>393.251344543487</v>
      </c>
      <c r="AG145" s="117" t="n">
        <f aca="false">AG141*Inputs!$C$21/12*1+AG137*Inputs!$C$23</f>
        <v>394.744010319878</v>
      </c>
      <c r="AH145" s="117" t="n">
        <f aca="false">AH141*Inputs!$C$21/12*1+AH137*Inputs!$C$23</f>
        <v>396.2157787754</v>
      </c>
      <c r="AI145" s="117" t="n">
        <f aca="false">AI141*Inputs!$C$21/12*1+AI137*Inputs!$C$23</f>
        <v>397.666942472544</v>
      </c>
      <c r="AJ145" s="117" t="n">
        <f aca="false">AJ141*Inputs!$C$21/12*1+AJ137*Inputs!$C$23</f>
        <v>399.097789877929</v>
      </c>
      <c r="AK145" s="117" t="n">
        <f aca="false">AK141*Inputs!$C$21/12*1+AK137*Inputs!$C$23</f>
        <v>400.508605419638</v>
      </c>
      <c r="AL145" s="117" t="n">
        <f aca="false">AL141*Inputs!$C$21/12*1+AL137*Inputs!$C$23</f>
        <v>401.899669543763</v>
      </c>
    </row>
    <row r="146" customFormat="false" ht="15" hidden="false" customHeight="false" outlineLevel="0" collapsed="false">
      <c r="A146" s="4" t="s">
        <v>419</v>
      </c>
      <c r="C146" s="118" t="n">
        <f aca="false">MIN(C144,C145)</f>
        <v>345.568055555556</v>
      </c>
      <c r="D146" s="118" t="n">
        <f aca="false">MIN(D144,D145)</f>
        <v>347.027213888889</v>
      </c>
      <c r="E146" s="118" t="n">
        <f aca="false">MIN(E144,E145)</f>
        <v>348.465944005556</v>
      </c>
      <c r="F146" s="118" t="n">
        <f aca="false">MIN(F144,F145)</f>
        <v>349.884531900589</v>
      </c>
      <c r="G146" s="118" t="n">
        <f aca="false">MIN(G144,G145)</f>
        <v>351.283259565092</v>
      </c>
      <c r="H146" s="118" t="n">
        <f aca="false">MIN(H144,H145)</f>
        <v>352.662405042292</v>
      </c>
      <c r="I146" s="118" t="n">
        <f aca="false">MIN(I144,I145)</f>
        <v>354.022242482811</v>
      </c>
      <c r="J146" s="118" t="n">
        <f aca="false">MIN(J144,J145)</f>
        <v>355.363042199162</v>
      </c>
      <c r="K146" s="118" t="n">
        <f aca="false">MIN(K144,K145)</f>
        <v>356.685070719485</v>
      </c>
      <c r="L146" s="118" t="n">
        <f aca="false">MIN(L144,L145)</f>
        <v>357.988590840524</v>
      </c>
      <c r="M146" s="118" t="n">
        <f aca="false">MIN(M144,M145)</f>
        <v>359.273861679867</v>
      </c>
      <c r="N146" s="118" t="n">
        <f aca="false">MIN(N144,N145)</f>
        <v>360.54113872746</v>
      </c>
      <c r="O146" s="118" t="n">
        <f aca="false">MIN(O144,O145)</f>
        <v>365.046201674165</v>
      </c>
      <c r="P146" s="118" t="n">
        <f aca="false">MIN(P144,P145)</f>
        <v>366.573881517393</v>
      </c>
      <c r="Q146" s="118" t="n">
        <f aca="false">MIN(Q144,Q145)</f>
        <v>368.080173842816</v>
      </c>
      <c r="R146" s="118" t="n">
        <f aca="false">MIN(R144,R145)</f>
        <v>369.565378075684</v>
      </c>
      <c r="S146" s="118" t="n">
        <f aca="false">MIN(S144,S145)</f>
        <v>371.029789449291</v>
      </c>
      <c r="T146" s="118" t="n">
        <f aca="false">MIN(T144,T145)</f>
        <v>372.473699063667</v>
      </c>
      <c r="U146" s="118" t="n">
        <f aca="false">MIN(U144,U145)</f>
        <v>373.897393943443</v>
      </c>
      <c r="V146" s="118" t="n">
        <f aca="false">MIN(V144,V145)</f>
        <v>375.301157094901</v>
      </c>
      <c r="W146" s="118" t="n">
        <f aca="false">MIN(W144,W145)</f>
        <v>376.685267562239</v>
      </c>
      <c r="X146" s="118" t="n">
        <f aca="false">MIN(X144,X145)</f>
        <v>378.050000483034</v>
      </c>
      <c r="Y146" s="118" t="n">
        <f aca="false">MIN(Y144,Y145)</f>
        <v>379.395627142939</v>
      </c>
      <c r="Z146" s="118" t="n">
        <f aca="false">MIN(Z144,Z145)</f>
        <v>380.722415029604</v>
      </c>
      <c r="AA146" s="118" t="n">
        <f aca="false">MIN(AA144,AA145)</f>
        <v>385.464022052523</v>
      </c>
      <c r="AB146" s="118" t="n">
        <f aca="false">MIN(AB144,AB145)</f>
        <v>387.065710343788</v>
      </c>
      <c r="AC146" s="118" t="n">
        <f aca="false">MIN(AC144,AC145)</f>
        <v>388.644974998975</v>
      </c>
      <c r="AD146" s="118" t="n">
        <f aca="false">MIN(AD144,AD145)</f>
        <v>390.202129948989</v>
      </c>
      <c r="AE146" s="118" t="n">
        <f aca="false">MIN(AE144,AE145)</f>
        <v>391.737484729703</v>
      </c>
      <c r="AF146" s="118" t="n">
        <f aca="false">MIN(AF144,AF145)</f>
        <v>393.251344543487</v>
      </c>
      <c r="AG146" s="118" t="n">
        <f aca="false">MIN(AG144,AG145)</f>
        <v>394.744010319878</v>
      </c>
      <c r="AH146" s="118" t="n">
        <f aca="false">MIN(AH144,AH145)</f>
        <v>396.2157787754</v>
      </c>
      <c r="AI146" s="118" t="n">
        <f aca="false">MIN(AI144,AI145)</f>
        <v>397.666942472544</v>
      </c>
      <c r="AJ146" s="118" t="n">
        <f aca="false">MIN(AJ144,AJ145)</f>
        <v>399.097789877929</v>
      </c>
      <c r="AK146" s="118" t="n">
        <f aca="false">MIN(AK144,AK145)</f>
        <v>400.508605419638</v>
      </c>
      <c r="AL146" s="118" t="n">
        <f aca="false">MIN(AL144,AL145)</f>
        <v>401.899669543763</v>
      </c>
    </row>
    <row r="147" customFormat="false" ht="15" hidden="false" customHeight="false" outlineLevel="0" collapsed="false">
      <c r="A147" s="6" t="s">
        <v>420</v>
      </c>
      <c r="C147" s="114" t="n">
        <f aca="false">C239</f>
        <v>3</v>
      </c>
      <c r="D147" s="114" t="n">
        <f aca="false">D239</f>
        <v>3</v>
      </c>
      <c r="E147" s="114" t="n">
        <f aca="false">E239</f>
        <v>3</v>
      </c>
      <c r="F147" s="114" t="n">
        <f aca="false">F239</f>
        <v>3</v>
      </c>
      <c r="G147" s="114" t="n">
        <f aca="false">G239</f>
        <v>3</v>
      </c>
      <c r="H147" s="114" t="n">
        <f aca="false">H239</f>
        <v>3</v>
      </c>
      <c r="I147" s="114" t="n">
        <f aca="false">I239</f>
        <v>3</v>
      </c>
      <c r="J147" s="114" t="n">
        <f aca="false">J239</f>
        <v>3</v>
      </c>
      <c r="K147" s="114" t="n">
        <f aca="false">K239</f>
        <v>3</v>
      </c>
      <c r="L147" s="114" t="n">
        <f aca="false">L239</f>
        <v>3</v>
      </c>
      <c r="M147" s="114" t="n">
        <f aca="false">M239</f>
        <v>3</v>
      </c>
      <c r="N147" s="114" t="n">
        <f aca="false">N239</f>
        <v>3</v>
      </c>
      <c r="O147" s="114" t="n">
        <f aca="false">O239</f>
        <v>3.18</v>
      </c>
      <c r="P147" s="114" t="n">
        <f aca="false">P239</f>
        <v>3.18</v>
      </c>
      <c r="Q147" s="114" t="n">
        <f aca="false">Q239</f>
        <v>3.18</v>
      </c>
      <c r="R147" s="114" t="n">
        <f aca="false">R239</f>
        <v>3.18</v>
      </c>
      <c r="S147" s="114" t="n">
        <f aca="false">S239</f>
        <v>3.18</v>
      </c>
      <c r="T147" s="114" t="n">
        <f aca="false">T239</f>
        <v>3.18</v>
      </c>
      <c r="U147" s="114" t="n">
        <f aca="false">U239</f>
        <v>3.18</v>
      </c>
      <c r="V147" s="114" t="n">
        <f aca="false">V239</f>
        <v>3.18</v>
      </c>
      <c r="W147" s="114" t="n">
        <f aca="false">W239</f>
        <v>3.18</v>
      </c>
      <c r="X147" s="114" t="n">
        <f aca="false">X239</f>
        <v>3.18</v>
      </c>
      <c r="Y147" s="114" t="n">
        <f aca="false">Y239</f>
        <v>3.18</v>
      </c>
      <c r="Z147" s="114" t="n">
        <f aca="false">Z239</f>
        <v>3.18</v>
      </c>
      <c r="AA147" s="114" t="n">
        <f aca="false">AA239</f>
        <v>3.3708</v>
      </c>
      <c r="AB147" s="114" t="n">
        <f aca="false">AB239</f>
        <v>3.3708</v>
      </c>
      <c r="AC147" s="114" t="n">
        <f aca="false">AC239</f>
        <v>3.3708</v>
      </c>
      <c r="AD147" s="114" t="n">
        <f aca="false">AD239</f>
        <v>3.3708</v>
      </c>
      <c r="AE147" s="114" t="n">
        <f aca="false">AE239</f>
        <v>3.3708</v>
      </c>
      <c r="AF147" s="114" t="n">
        <f aca="false">AF239</f>
        <v>3.3708</v>
      </c>
      <c r="AG147" s="114" t="n">
        <f aca="false">AG239</f>
        <v>3.3708</v>
      </c>
      <c r="AH147" s="114" t="n">
        <f aca="false">AH239</f>
        <v>3.3708</v>
      </c>
      <c r="AI147" s="114" t="n">
        <f aca="false">AI239</f>
        <v>3.3708</v>
      </c>
      <c r="AJ147" s="114" t="n">
        <f aca="false">AJ239</f>
        <v>3.3708</v>
      </c>
      <c r="AK147" s="114" t="n">
        <f aca="false">AK239</f>
        <v>3.3708</v>
      </c>
      <c r="AL147" s="114" t="n">
        <f aca="false">AL239</f>
        <v>3.3708</v>
      </c>
    </row>
    <row r="148" customFormat="false" ht="15" hidden="false" customHeight="false" outlineLevel="0" collapsed="false">
      <c r="A148" s="6" t="s">
        <v>421</v>
      </c>
      <c r="C148" s="117" t="n">
        <f aca="false">MIN(C147,Inputs!$C$8)*Inputs!$C$10*Inputs!$C$11*1</f>
        <v>432</v>
      </c>
      <c r="D148" s="117" t="n">
        <f aca="false">MIN(D147,Inputs!$C$8)*Inputs!$C$10*Inputs!$C$11*1</f>
        <v>432</v>
      </c>
      <c r="E148" s="117" t="n">
        <f aca="false">MIN(E147,Inputs!$C$8)*Inputs!$C$10*Inputs!$C$11*1</f>
        <v>432</v>
      </c>
      <c r="F148" s="117" t="n">
        <f aca="false">MIN(F147,Inputs!$C$8)*Inputs!$C$10*Inputs!$C$11*1</f>
        <v>432</v>
      </c>
      <c r="G148" s="117" t="n">
        <f aca="false">MIN(G147,Inputs!$C$8)*Inputs!$C$10*Inputs!$C$11*1</f>
        <v>432</v>
      </c>
      <c r="H148" s="117" t="n">
        <f aca="false">MIN(H147,Inputs!$C$8)*Inputs!$C$10*Inputs!$C$11*1</f>
        <v>432</v>
      </c>
      <c r="I148" s="117" t="n">
        <f aca="false">MIN(I147,Inputs!$C$8)*Inputs!$C$10*Inputs!$C$11*1</f>
        <v>432</v>
      </c>
      <c r="J148" s="117" t="n">
        <f aca="false">MIN(J147,Inputs!$C$8)*Inputs!$C$10*Inputs!$C$11*1</f>
        <v>432</v>
      </c>
      <c r="K148" s="117" t="n">
        <f aca="false">MIN(K147,Inputs!$C$8)*Inputs!$C$10*Inputs!$C$11*1</f>
        <v>432</v>
      </c>
      <c r="L148" s="117" t="n">
        <f aca="false">MIN(L147,Inputs!$C$8)*Inputs!$C$10*Inputs!$C$11*1</f>
        <v>432</v>
      </c>
      <c r="M148" s="117" t="n">
        <f aca="false">MIN(M147,Inputs!$C$8)*Inputs!$C$10*Inputs!$C$11*1</f>
        <v>432</v>
      </c>
      <c r="N148" s="117" t="n">
        <f aca="false">MIN(N147,Inputs!$C$8)*Inputs!$C$10*Inputs!$C$11*1</f>
        <v>432</v>
      </c>
      <c r="O148" s="117" t="n">
        <f aca="false">MIN(O147,Inputs!$C$8)*Inputs!$C$10*Inputs!$C$11*1</f>
        <v>457.92</v>
      </c>
      <c r="P148" s="117" t="n">
        <f aca="false">MIN(P147,Inputs!$C$8)*Inputs!$C$10*Inputs!$C$11*1</f>
        <v>457.92</v>
      </c>
      <c r="Q148" s="117" t="n">
        <f aca="false">MIN(Q147,Inputs!$C$8)*Inputs!$C$10*Inputs!$C$11*1</f>
        <v>457.92</v>
      </c>
      <c r="R148" s="117" t="n">
        <f aca="false">MIN(R147,Inputs!$C$8)*Inputs!$C$10*Inputs!$C$11*1</f>
        <v>457.92</v>
      </c>
      <c r="S148" s="117" t="n">
        <f aca="false">MIN(S147,Inputs!$C$8)*Inputs!$C$10*Inputs!$C$11*1</f>
        <v>457.92</v>
      </c>
      <c r="T148" s="117" t="n">
        <f aca="false">MIN(T147,Inputs!$C$8)*Inputs!$C$10*Inputs!$C$11*1</f>
        <v>457.92</v>
      </c>
      <c r="U148" s="117" t="n">
        <f aca="false">MIN(U147,Inputs!$C$8)*Inputs!$C$10*Inputs!$C$11*1</f>
        <v>457.92</v>
      </c>
      <c r="V148" s="117" t="n">
        <f aca="false">MIN(V147,Inputs!$C$8)*Inputs!$C$10*Inputs!$C$11*1</f>
        <v>457.92</v>
      </c>
      <c r="W148" s="117" t="n">
        <f aca="false">MIN(W147,Inputs!$C$8)*Inputs!$C$10*Inputs!$C$11*1</f>
        <v>457.92</v>
      </c>
      <c r="X148" s="117" t="n">
        <f aca="false">MIN(X147,Inputs!$C$8)*Inputs!$C$10*Inputs!$C$11*1</f>
        <v>457.92</v>
      </c>
      <c r="Y148" s="117" t="n">
        <f aca="false">MIN(Y147,Inputs!$C$8)*Inputs!$C$10*Inputs!$C$11*1</f>
        <v>457.92</v>
      </c>
      <c r="Z148" s="117" t="n">
        <f aca="false">MIN(Z147,Inputs!$C$8)*Inputs!$C$10*Inputs!$C$11*1</f>
        <v>457.92</v>
      </c>
      <c r="AA148" s="117" t="n">
        <f aca="false">MIN(AA147,Inputs!$C$8)*Inputs!$C$10*Inputs!$C$11*1</f>
        <v>485.3952</v>
      </c>
      <c r="AB148" s="117" t="n">
        <f aca="false">MIN(AB147,Inputs!$C$8)*Inputs!$C$10*Inputs!$C$11*1</f>
        <v>485.3952</v>
      </c>
      <c r="AC148" s="117" t="n">
        <f aca="false">MIN(AC147,Inputs!$C$8)*Inputs!$C$10*Inputs!$C$11*1</f>
        <v>485.3952</v>
      </c>
      <c r="AD148" s="117" t="n">
        <f aca="false">MIN(AD147,Inputs!$C$8)*Inputs!$C$10*Inputs!$C$11*1</f>
        <v>485.3952</v>
      </c>
      <c r="AE148" s="117" t="n">
        <f aca="false">MIN(AE147,Inputs!$C$8)*Inputs!$C$10*Inputs!$C$11*1</f>
        <v>485.3952</v>
      </c>
      <c r="AF148" s="117" t="n">
        <f aca="false">MIN(AF147,Inputs!$C$8)*Inputs!$C$10*Inputs!$C$11*1</f>
        <v>485.3952</v>
      </c>
      <c r="AG148" s="117" t="n">
        <f aca="false">MIN(AG147,Inputs!$C$8)*Inputs!$C$10*Inputs!$C$11*1</f>
        <v>485.3952</v>
      </c>
      <c r="AH148" s="117" t="n">
        <f aca="false">MIN(AH147,Inputs!$C$8)*Inputs!$C$10*Inputs!$C$11*1</f>
        <v>485.3952</v>
      </c>
      <c r="AI148" s="117" t="n">
        <f aca="false">MIN(AI147,Inputs!$C$8)*Inputs!$C$10*Inputs!$C$11*1</f>
        <v>485.3952</v>
      </c>
      <c r="AJ148" s="117" t="n">
        <f aca="false">MIN(AJ147,Inputs!$C$8)*Inputs!$C$10*Inputs!$C$11*1</f>
        <v>485.3952</v>
      </c>
      <c r="AK148" s="117" t="n">
        <f aca="false">MIN(AK147,Inputs!$C$8)*Inputs!$C$10*Inputs!$C$11*1</f>
        <v>485.3952</v>
      </c>
      <c r="AL148" s="117" t="n">
        <f aca="false">MIN(AL147,Inputs!$C$8)*Inputs!$C$10*Inputs!$C$11*1</f>
        <v>485.3952</v>
      </c>
    </row>
    <row r="149" customFormat="false" ht="15" hidden="false" customHeight="false" outlineLevel="0" collapsed="false">
      <c r="A149" s="6" t="s">
        <v>422</v>
      </c>
      <c r="C149" s="117" t="n">
        <f aca="false">C141*Inputs!$C$22/12*1</f>
        <v>375.958333333333</v>
      </c>
      <c r="D149" s="117" t="n">
        <f aca="false">D141*Inputs!$C$22/12*1</f>
        <v>377.861583333333</v>
      </c>
      <c r="E149" s="117" t="n">
        <f aca="false">E141*Inputs!$C$22/12*1</f>
        <v>379.738187833333</v>
      </c>
      <c r="F149" s="117" t="n">
        <f aca="false">F141*Inputs!$C$22/12*1</f>
        <v>381.588519870333</v>
      </c>
      <c r="G149" s="117" t="n">
        <f aca="false">G141*Inputs!$C$22/12*1</f>
        <v>383.412947258815</v>
      </c>
      <c r="H149" s="117" t="n">
        <f aca="false">H141*Inputs!$C$22/12*1</f>
        <v>385.211832663859</v>
      </c>
      <c r="I149" s="117" t="n">
        <f aca="false">I141*Inputs!$C$22/12*1</f>
        <v>386.985533673231</v>
      </c>
      <c r="J149" s="117" t="n">
        <f aca="false">J141*Inputs!$C$22/12*1</f>
        <v>388.734402868473</v>
      </c>
      <c r="K149" s="117" t="n">
        <f aca="false">K141*Inputs!$C$22/12*1</f>
        <v>390.458787894981</v>
      </c>
      <c r="L149" s="117" t="n">
        <f aca="false">L141*Inputs!$C$22/12*1</f>
        <v>392.159031531118</v>
      </c>
      <c r="M149" s="117" t="n">
        <f aca="false">M141*Inputs!$C$22/12*1</f>
        <v>393.835471756349</v>
      </c>
      <c r="N149" s="117" t="n">
        <f aca="false">N141*Inputs!$C$22/12*1</f>
        <v>395.488441818427</v>
      </c>
      <c r="O149" s="117" t="n">
        <f aca="false">O141*Inputs!$C$22/12*1</f>
        <v>397.312436966302</v>
      </c>
      <c r="P149" s="117" t="n">
        <f aca="false">P141*Inputs!$C$22/12*1</f>
        <v>399.305062848774</v>
      </c>
      <c r="Q149" s="117" t="n">
        <f aca="false">Q141*Inputs!$C$22/12*1</f>
        <v>401.269791968891</v>
      </c>
      <c r="R149" s="117" t="n">
        <f aca="false">R141*Inputs!$C$22/12*1</f>
        <v>403.207014881326</v>
      </c>
      <c r="S149" s="117" t="n">
        <f aca="false">S141*Inputs!$C$22/12*1</f>
        <v>405.117116672988</v>
      </c>
      <c r="T149" s="117" t="n">
        <f aca="false">T141*Inputs!$C$22/12*1</f>
        <v>407.000477039566</v>
      </c>
      <c r="U149" s="117" t="n">
        <f aca="false">U141*Inputs!$C$22/12*1</f>
        <v>408.857470361012</v>
      </c>
      <c r="V149" s="117" t="n">
        <f aca="false">V141*Inputs!$C$22/12*1</f>
        <v>410.688465775958</v>
      </c>
      <c r="W149" s="117" t="n">
        <f aca="false">W141*Inputs!$C$22/12*1</f>
        <v>412.493827255095</v>
      </c>
      <c r="X149" s="117" t="n">
        <f aca="false">X141*Inputs!$C$22/12*1</f>
        <v>414.273913673523</v>
      </c>
      <c r="Y149" s="117" t="n">
        <f aca="false">Y141*Inputs!$C$22/12*1</f>
        <v>416.029078882094</v>
      </c>
      <c r="Z149" s="117" t="n">
        <f aca="false">Z141*Inputs!$C$22/12*1</f>
        <v>417.759671777745</v>
      </c>
      <c r="AA149" s="117" t="n">
        <f aca="false">AA141*Inputs!$C$22/12*1</f>
        <v>419.670811372856</v>
      </c>
      <c r="AB149" s="117" t="n">
        <f aca="false">AB141*Inputs!$C$22/12*1</f>
        <v>421.759970013636</v>
      </c>
      <c r="AC149" s="117" t="n">
        <f aca="false">AC141*Inputs!$C$22/12*1</f>
        <v>423.819880433445</v>
      </c>
      <c r="AD149" s="117" t="n">
        <f aca="false">AD141*Inputs!$C$22/12*1</f>
        <v>425.850952107377</v>
      </c>
      <c r="AE149" s="117" t="n">
        <f aca="false">AE141*Inputs!$C$22/12*1</f>
        <v>427.853588777874</v>
      </c>
      <c r="AF149" s="117" t="n">
        <f aca="false">AF141*Inputs!$C$22/12*1</f>
        <v>429.828188534983</v>
      </c>
      <c r="AG149" s="117" t="n">
        <f aca="false">AG141*Inputs!$C$22/12*1</f>
        <v>431.775143895494</v>
      </c>
      <c r="AH149" s="117" t="n">
        <f aca="false">AH141*Inputs!$C$22/12*1</f>
        <v>433.694841880957</v>
      </c>
      <c r="AI149" s="117" t="n">
        <f aca="false">AI141*Inputs!$C$22/12*1</f>
        <v>435.587664094623</v>
      </c>
      <c r="AJ149" s="117" t="n">
        <f aca="false">AJ141*Inputs!$C$22/12*1</f>
        <v>437.453986797298</v>
      </c>
      <c r="AK149" s="117" t="n">
        <f aca="false">AK141*Inputs!$C$22/12*1</f>
        <v>439.294180982136</v>
      </c>
      <c r="AL149" s="117" t="n">
        <f aca="false">AL141*Inputs!$C$22/12*1</f>
        <v>441.108612448386</v>
      </c>
    </row>
    <row r="150" customFormat="false" ht="15" hidden="false" customHeight="false" outlineLevel="0" collapsed="false">
      <c r="A150" s="4" t="s">
        <v>423</v>
      </c>
      <c r="C150" s="118" t="n">
        <f aca="false">MIN(C148,C149)</f>
        <v>375.958333333333</v>
      </c>
      <c r="D150" s="118" t="n">
        <f aca="false">MIN(D148,D149)</f>
        <v>377.861583333333</v>
      </c>
      <c r="E150" s="118" t="n">
        <f aca="false">MIN(E148,E149)</f>
        <v>379.738187833333</v>
      </c>
      <c r="F150" s="118" t="n">
        <f aca="false">MIN(F148,F149)</f>
        <v>381.588519870333</v>
      </c>
      <c r="G150" s="118" t="n">
        <f aca="false">MIN(G148,G149)</f>
        <v>383.412947258815</v>
      </c>
      <c r="H150" s="118" t="n">
        <f aca="false">MIN(H148,H149)</f>
        <v>385.211832663859</v>
      </c>
      <c r="I150" s="118" t="n">
        <f aca="false">MIN(I148,I149)</f>
        <v>386.985533673231</v>
      </c>
      <c r="J150" s="118" t="n">
        <f aca="false">MIN(J148,J149)</f>
        <v>388.734402868473</v>
      </c>
      <c r="K150" s="118" t="n">
        <f aca="false">MIN(K148,K149)</f>
        <v>390.458787894981</v>
      </c>
      <c r="L150" s="118" t="n">
        <f aca="false">MIN(L148,L149)</f>
        <v>392.159031531118</v>
      </c>
      <c r="M150" s="118" t="n">
        <f aca="false">MIN(M148,M149)</f>
        <v>393.835471756349</v>
      </c>
      <c r="N150" s="118" t="n">
        <f aca="false">MIN(N148,N149)</f>
        <v>395.488441818427</v>
      </c>
      <c r="O150" s="118" t="n">
        <f aca="false">MIN(O148,O149)</f>
        <v>397.312436966302</v>
      </c>
      <c r="P150" s="118" t="n">
        <f aca="false">MIN(P148,P149)</f>
        <v>399.305062848774</v>
      </c>
      <c r="Q150" s="118" t="n">
        <f aca="false">MIN(Q148,Q149)</f>
        <v>401.269791968891</v>
      </c>
      <c r="R150" s="118" t="n">
        <f aca="false">MIN(R148,R149)</f>
        <v>403.207014881326</v>
      </c>
      <c r="S150" s="118" t="n">
        <f aca="false">MIN(S148,S149)</f>
        <v>405.117116672988</v>
      </c>
      <c r="T150" s="118" t="n">
        <f aca="false">MIN(T148,T149)</f>
        <v>407.000477039566</v>
      </c>
      <c r="U150" s="118" t="n">
        <f aca="false">MIN(U148,U149)</f>
        <v>408.857470361012</v>
      </c>
      <c r="V150" s="118" t="n">
        <f aca="false">MIN(V148,V149)</f>
        <v>410.688465775958</v>
      </c>
      <c r="W150" s="118" t="n">
        <f aca="false">MIN(W148,W149)</f>
        <v>412.493827255095</v>
      </c>
      <c r="X150" s="118" t="n">
        <f aca="false">MIN(X148,X149)</f>
        <v>414.273913673523</v>
      </c>
      <c r="Y150" s="118" t="n">
        <f aca="false">MIN(Y148,Y149)</f>
        <v>416.029078882094</v>
      </c>
      <c r="Z150" s="118" t="n">
        <f aca="false">MIN(Z148,Z149)</f>
        <v>417.759671777745</v>
      </c>
      <c r="AA150" s="118" t="n">
        <f aca="false">MIN(AA148,AA149)</f>
        <v>419.670811372856</v>
      </c>
      <c r="AB150" s="118" t="n">
        <f aca="false">MIN(AB148,AB149)</f>
        <v>421.759970013636</v>
      </c>
      <c r="AC150" s="118" t="n">
        <f aca="false">MIN(AC148,AC149)</f>
        <v>423.819880433445</v>
      </c>
      <c r="AD150" s="118" t="n">
        <f aca="false">MIN(AD148,AD149)</f>
        <v>425.850952107377</v>
      </c>
      <c r="AE150" s="118" t="n">
        <f aca="false">MIN(AE148,AE149)</f>
        <v>427.853588777874</v>
      </c>
      <c r="AF150" s="118" t="n">
        <f aca="false">MIN(AF148,AF149)</f>
        <v>429.828188534983</v>
      </c>
      <c r="AG150" s="118" t="n">
        <f aca="false">MIN(AG148,AG149)</f>
        <v>431.775143895494</v>
      </c>
      <c r="AH150" s="118" t="n">
        <f aca="false">MIN(AH148,AH149)</f>
        <v>433.694841880957</v>
      </c>
      <c r="AI150" s="118" t="n">
        <f aca="false">MIN(AI148,AI149)</f>
        <v>435.587664094623</v>
      </c>
      <c r="AJ150" s="118" t="n">
        <f aca="false">MIN(AJ148,AJ149)</f>
        <v>437.453986797298</v>
      </c>
      <c r="AK150" s="118" t="n">
        <f aca="false">MIN(AK148,AK149)</f>
        <v>439.294180982136</v>
      </c>
      <c r="AL150" s="118" t="n">
        <f aca="false">MIN(AL148,AL149)</f>
        <v>441.108612448386</v>
      </c>
    </row>
    <row r="152" customFormat="false" ht="15.75" hidden="false" customHeight="true" outlineLevel="0" collapsed="false">
      <c r="A152" s="7" t="s">
        <v>424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customFormat="false" ht="15" hidden="false" customHeight="false" outlineLevel="0" collapsed="false">
      <c r="A153" s="6" t="s">
        <v>425</v>
      </c>
      <c r="C153" s="67" t="n">
        <f aca="false">C146*Inputs!$C$26*(1+Inputs!$C$28)^(C$132-1)</f>
        <v>114037.458333333</v>
      </c>
      <c r="D153" s="67" t="n">
        <f aca="false">D146*Inputs!$C$26*(1+Inputs!$C$28)^(D$132-1)</f>
        <v>114518.980583333</v>
      </c>
      <c r="E153" s="67" t="n">
        <f aca="false">E146*Inputs!$C$26*(1+Inputs!$C$28)^(E$132-1)</f>
        <v>114993.761521833</v>
      </c>
      <c r="F153" s="67" t="n">
        <f aca="false">F146*Inputs!$C$26*(1+Inputs!$C$28)^(F$132-1)</f>
        <v>115461.895527194</v>
      </c>
      <c r="G153" s="67" t="n">
        <f aca="false">G146*Inputs!$C$26*(1+Inputs!$C$28)^(G$132-1)</f>
        <v>115923.47565648</v>
      </c>
      <c r="H153" s="67" t="n">
        <f aca="false">H146*Inputs!$C$26*(1+Inputs!$C$28)^(H$132-1)</f>
        <v>116378.593663956</v>
      </c>
      <c r="I153" s="67" t="n">
        <f aca="false">I146*Inputs!$C$26*(1+Inputs!$C$28)^(I$132-1)</f>
        <v>116827.340019328</v>
      </c>
      <c r="J153" s="67" t="n">
        <f aca="false">J146*Inputs!$C$26*(1+Inputs!$C$28)^(J$132-1)</f>
        <v>117269.803925724</v>
      </c>
      <c r="K153" s="67" t="n">
        <f aca="false">K146*Inputs!$C$26*(1+Inputs!$C$28)^(K$132-1)</f>
        <v>117706.07333743</v>
      </c>
      <c r="L153" s="67" t="n">
        <f aca="false">L146*Inputs!$C$26*(1+Inputs!$C$28)^(L$132-1)</f>
        <v>118136.234977373</v>
      </c>
      <c r="M153" s="67" t="n">
        <f aca="false">M146*Inputs!$C$26*(1+Inputs!$C$28)^(M$132-1)</f>
        <v>118560.374354356</v>
      </c>
      <c r="N153" s="67" t="n">
        <f aca="false">N146*Inputs!$C$26*(1+Inputs!$C$28)^(N$132-1)</f>
        <v>118978.575780062</v>
      </c>
      <c r="O153" s="67" t="n">
        <f aca="false">O146*Inputs!$C$26*(1+Inputs!$C$28)^(O$132-1)</f>
        <v>124079.203949049</v>
      </c>
      <c r="P153" s="67" t="n">
        <f aca="false">P146*Inputs!$C$26*(1+Inputs!$C$28)^(P$132-1)</f>
        <v>124598.462327762</v>
      </c>
      <c r="Q153" s="67" t="n">
        <f aca="false">Q146*Inputs!$C$26*(1+Inputs!$C$28)^(Q$132-1)</f>
        <v>125110.451089173</v>
      </c>
      <c r="R153" s="67" t="n">
        <f aca="false">R146*Inputs!$C$26*(1+Inputs!$C$28)^(R$132-1)</f>
        <v>125615.272007925</v>
      </c>
      <c r="S153" s="67" t="n">
        <f aca="false">S146*Inputs!$C$26*(1+Inputs!$C$28)^(S$132-1)</f>
        <v>126113.025433814</v>
      </c>
      <c r="T153" s="67" t="n">
        <f aca="false">T146*Inputs!$C$26*(1+Inputs!$C$28)^(T$132-1)</f>
        <v>126603.81031174</v>
      </c>
      <c r="U153" s="67" t="n">
        <f aca="false">U146*Inputs!$C$26*(1+Inputs!$C$28)^(U$132-1)</f>
        <v>127087.724201376</v>
      </c>
      <c r="V153" s="67" t="n">
        <f aca="false">V146*Inputs!$C$26*(1+Inputs!$C$28)^(V$132-1)</f>
        <v>127564.863296557</v>
      </c>
      <c r="W153" s="67" t="n">
        <f aca="false">W146*Inputs!$C$26*(1+Inputs!$C$28)^(W$132-1)</f>
        <v>128035.322444405</v>
      </c>
      <c r="X153" s="67" t="n">
        <f aca="false">X146*Inputs!$C$26*(1+Inputs!$C$28)^(X$132-1)</f>
        <v>128499.195164183</v>
      </c>
      <c r="Y153" s="67" t="n">
        <f aca="false">Y146*Inputs!$C$26*(1+Inputs!$C$28)^(Y$132-1)</f>
        <v>128956.573665885</v>
      </c>
      <c r="Z153" s="67" t="n">
        <f aca="false">Z146*Inputs!$C$26*(1+Inputs!$C$28)^(Z$132-1)</f>
        <v>129407.548868562</v>
      </c>
      <c r="AA153" s="67" t="n">
        <f aca="false">AA146*Inputs!$C$26*(1+Inputs!$C$28)^(AA$132-1)</f>
        <v>134949.797728522</v>
      </c>
      <c r="AB153" s="67" t="n">
        <f aca="false">AB146*Inputs!$C$26*(1+Inputs!$C$28)^(AB$132-1)</f>
        <v>135510.543994229</v>
      </c>
      <c r="AC153" s="67" t="n">
        <f aca="false">AC146*Inputs!$C$26*(1+Inputs!$C$28)^(AC$132-1)</f>
        <v>136063.439812216</v>
      </c>
      <c r="AD153" s="67" t="n">
        <f aca="false">AD146*Inputs!$C$26*(1+Inputs!$C$28)^(AD$132-1)</f>
        <v>136608.595088751</v>
      </c>
      <c r="AE153" s="67" t="n">
        <f aca="false">AE146*Inputs!$C$26*(1+Inputs!$C$28)^(AE$132-1)</f>
        <v>137146.118191415</v>
      </c>
      <c r="AF153" s="67" t="n">
        <f aca="false">AF146*Inputs!$C$26*(1+Inputs!$C$28)^(AF$132-1)</f>
        <v>137676.115970641</v>
      </c>
      <c r="AG153" s="67" t="n">
        <f aca="false">AG146*Inputs!$C$26*(1+Inputs!$C$28)^(AG$132-1)</f>
        <v>138198.693780958</v>
      </c>
      <c r="AH153" s="67" t="n">
        <f aca="false">AH146*Inputs!$C$26*(1+Inputs!$C$28)^(AH$132-1)</f>
        <v>138713.955501931</v>
      </c>
      <c r="AI153" s="67" t="n">
        <f aca="false">AI146*Inputs!$C$26*(1+Inputs!$C$28)^(AI$132-1)</f>
        <v>139222.00355881</v>
      </c>
      <c r="AJ153" s="67" t="n">
        <f aca="false">AJ146*Inputs!$C$26*(1+Inputs!$C$28)^(AJ$132-1)</f>
        <v>139722.938942893</v>
      </c>
      <c r="AK153" s="67" t="n">
        <f aca="false">AK146*Inputs!$C$26*(1+Inputs!$C$28)^(AK$132-1)</f>
        <v>140216.861231599</v>
      </c>
      <c r="AL153" s="67" t="n">
        <f aca="false">AL146*Inputs!$C$26*(1+Inputs!$C$28)^(AL$132-1)</f>
        <v>140703.868608263</v>
      </c>
    </row>
    <row r="154" customFormat="false" ht="15" hidden="false" customHeight="false" outlineLevel="0" collapsed="false">
      <c r="A154" s="6" t="s">
        <v>426</v>
      </c>
      <c r="C154" s="67" t="n">
        <f aca="false">C150*Inputs!$C$27*(1+Inputs!$C$28)^(C$132-1)</f>
        <v>75191.6666666667</v>
      </c>
      <c r="D154" s="67" t="n">
        <f aca="false">D150*Inputs!$C$27*(1+Inputs!$C$28)^(D$132-1)</f>
        <v>75572.3166666667</v>
      </c>
      <c r="E154" s="67" t="n">
        <f aca="false">E150*Inputs!$C$27*(1+Inputs!$C$28)^(E$132-1)</f>
        <v>75947.6375666667</v>
      </c>
      <c r="F154" s="67" t="n">
        <f aca="false">F150*Inputs!$C$27*(1+Inputs!$C$28)^(F$132-1)</f>
        <v>76317.7039740667</v>
      </c>
      <c r="G154" s="67" t="n">
        <f aca="false">G150*Inputs!$C$27*(1+Inputs!$C$28)^(G$132-1)</f>
        <v>76682.5894517631</v>
      </c>
      <c r="H154" s="67" t="n">
        <f aca="false">H150*Inputs!$C$27*(1+Inputs!$C$28)^(H$132-1)</f>
        <v>77042.3665327717</v>
      </c>
      <c r="I154" s="67" t="n">
        <f aca="false">I150*Inputs!$C$27*(1+Inputs!$C$28)^(I$132-1)</f>
        <v>77397.1067346463</v>
      </c>
      <c r="J154" s="67" t="n">
        <f aca="false">J150*Inputs!$C$27*(1+Inputs!$C$28)^(J$132-1)</f>
        <v>77746.8805736946</v>
      </c>
      <c r="K154" s="67" t="n">
        <f aca="false">K150*Inputs!$C$27*(1+Inputs!$C$28)^(K$132-1)</f>
        <v>78091.7575789962</v>
      </c>
      <c r="L154" s="67" t="n">
        <f aca="false">L150*Inputs!$C$27*(1+Inputs!$C$28)^(L$132-1)</f>
        <v>78431.8063062236</v>
      </c>
      <c r="M154" s="67" t="n">
        <f aca="false">M150*Inputs!$C$27*(1+Inputs!$C$28)^(M$132-1)</f>
        <v>78767.0943512697</v>
      </c>
      <c r="N154" s="67" t="n">
        <f aca="false">N150*Inputs!$C$27*(1+Inputs!$C$28)^(N$132-1)</f>
        <v>79097.6883636853</v>
      </c>
      <c r="O154" s="67" t="n">
        <f aca="false">O150*Inputs!$C$27*(1+Inputs!$C$28)^(O$132-1)</f>
        <v>81846.3620150582</v>
      </c>
      <c r="P154" s="67" t="n">
        <f aca="false">P150*Inputs!$C$27*(1+Inputs!$C$28)^(P$132-1)</f>
        <v>82256.8429468474</v>
      </c>
      <c r="Q154" s="67" t="n">
        <f aca="false">Q150*Inputs!$C$27*(1+Inputs!$C$28)^(Q$132-1)</f>
        <v>82661.5771455915</v>
      </c>
      <c r="R154" s="67" t="n">
        <f aca="false">R150*Inputs!$C$27*(1+Inputs!$C$28)^(R$132-1)</f>
        <v>83060.6450655532</v>
      </c>
      <c r="S154" s="67" t="n">
        <f aca="false">S150*Inputs!$C$27*(1+Inputs!$C$28)^(S$132-1)</f>
        <v>83454.1260346355</v>
      </c>
      <c r="T154" s="67" t="n">
        <f aca="false">T150*Inputs!$C$27*(1+Inputs!$C$28)^(T$132-1)</f>
        <v>83842.0982701506</v>
      </c>
      <c r="U154" s="67" t="n">
        <f aca="false">U150*Inputs!$C$27*(1+Inputs!$C$28)^(U$132-1)</f>
        <v>84224.6388943685</v>
      </c>
      <c r="V154" s="67" t="n">
        <f aca="false">V150*Inputs!$C$27*(1+Inputs!$C$28)^(V$132-1)</f>
        <v>84601.8239498473</v>
      </c>
      <c r="W154" s="67" t="n">
        <f aca="false">W150*Inputs!$C$27*(1+Inputs!$C$28)^(W$132-1)</f>
        <v>84973.7284145495</v>
      </c>
      <c r="X154" s="67" t="n">
        <f aca="false">X150*Inputs!$C$27*(1+Inputs!$C$28)^(X$132-1)</f>
        <v>85340.4262167458</v>
      </c>
      <c r="Y154" s="67" t="n">
        <f aca="false">Y150*Inputs!$C$27*(1+Inputs!$C$28)^(Y$132-1)</f>
        <v>85701.9902497113</v>
      </c>
      <c r="Z154" s="67" t="n">
        <f aca="false">Z150*Inputs!$C$27*(1+Inputs!$C$28)^(Z$132-1)</f>
        <v>86058.4923862154</v>
      </c>
      <c r="AA154" s="67" t="n">
        <f aca="false">AA150*Inputs!$C$27*(1+Inputs!$C$28)^(AA$132-1)</f>
        <v>89045.7527570926</v>
      </c>
      <c r="AB154" s="67" t="n">
        <f aca="false">AB150*Inputs!$C$27*(1+Inputs!$C$28)^(AB$132-1)</f>
        <v>89489.0304374933</v>
      </c>
      <c r="AC154" s="67" t="n">
        <f aca="false">AC150*Inputs!$C$27*(1+Inputs!$C$28)^(AC$132-1)</f>
        <v>89926.1022303684</v>
      </c>
      <c r="AD154" s="67" t="n">
        <f aca="false">AD150*Inputs!$C$27*(1+Inputs!$C$28)^(AD$132-1)</f>
        <v>90357.0550181432</v>
      </c>
      <c r="AE154" s="67" t="n">
        <f aca="false">AE150*Inputs!$C$27*(1+Inputs!$C$28)^(AE$132-1)</f>
        <v>90781.9744668892</v>
      </c>
      <c r="AF154" s="67" t="n">
        <f aca="false">AF150*Inputs!$C$27*(1+Inputs!$C$28)^(AF$132-1)</f>
        <v>91200.9450433527</v>
      </c>
      <c r="AG154" s="67" t="n">
        <f aca="false">AG150*Inputs!$C$27*(1+Inputs!$C$28)^(AG$132-1)</f>
        <v>91614.0500317458</v>
      </c>
      <c r="AH154" s="67" t="n">
        <f aca="false">AH150*Inputs!$C$27*(1+Inputs!$C$28)^(AH$132-1)</f>
        <v>92021.3715503014</v>
      </c>
      <c r="AI154" s="67" t="n">
        <f aca="false">AI150*Inputs!$C$27*(1+Inputs!$C$28)^(AI$132-1)</f>
        <v>92422.9905675972</v>
      </c>
      <c r="AJ154" s="67" t="n">
        <f aca="false">AJ150*Inputs!$C$27*(1+Inputs!$C$28)^(AJ$132-1)</f>
        <v>92818.9869186508</v>
      </c>
      <c r="AK154" s="67" t="n">
        <f aca="false">AK150*Inputs!$C$27*(1+Inputs!$C$28)^(AK$132-1)</f>
        <v>93209.4393207897</v>
      </c>
      <c r="AL154" s="67" t="n">
        <f aca="false">AL150*Inputs!$C$27*(1+Inputs!$C$28)^(AL$132-1)</f>
        <v>93594.4253892986</v>
      </c>
    </row>
    <row r="155" customFormat="false" ht="15" hidden="false" customHeight="false" outlineLevel="0" collapsed="false">
      <c r="A155" s="4" t="s">
        <v>240</v>
      </c>
      <c r="C155" s="73" t="n">
        <f aca="false">C153+C154</f>
        <v>189229.125</v>
      </c>
      <c r="D155" s="73" t="n">
        <f aca="false">D153+D154</f>
        <v>190091.29725</v>
      </c>
      <c r="E155" s="73" t="n">
        <f aca="false">E153+E154</f>
        <v>190941.3990885</v>
      </c>
      <c r="F155" s="73" t="n">
        <f aca="false">F153+F154</f>
        <v>191779.599501261</v>
      </c>
      <c r="G155" s="73" t="n">
        <f aca="false">G153+G154</f>
        <v>192606.065108243</v>
      </c>
      <c r="H155" s="73" t="n">
        <f aca="false">H153+H154</f>
        <v>193420.960196728</v>
      </c>
      <c r="I155" s="73" t="n">
        <f aca="false">I153+I154</f>
        <v>194224.446753974</v>
      </c>
      <c r="J155" s="73" t="n">
        <f aca="false">J153+J154</f>
        <v>195016.684499418</v>
      </c>
      <c r="K155" s="73" t="n">
        <f aca="false">K153+K154</f>
        <v>195797.830916426</v>
      </c>
      <c r="L155" s="73" t="n">
        <f aca="false">L153+L154</f>
        <v>196568.041283596</v>
      </c>
      <c r="M155" s="73" t="n">
        <f aca="false">M153+M154</f>
        <v>197327.468705626</v>
      </c>
      <c r="N155" s="73" t="n">
        <f aca="false">N153+N154</f>
        <v>198076.264143747</v>
      </c>
      <c r="O155" s="73" t="n">
        <f aca="false">O153+O154</f>
        <v>205925.565964107</v>
      </c>
      <c r="P155" s="73" t="n">
        <f aca="false">P153+P154</f>
        <v>206855.305274609</v>
      </c>
      <c r="Q155" s="73" t="n">
        <f aca="false">Q153+Q154</f>
        <v>207772.028234765</v>
      </c>
      <c r="R155" s="73" t="n">
        <f aca="false">R153+R154</f>
        <v>208675.917073478</v>
      </c>
      <c r="S155" s="73" t="n">
        <f aca="false">S153+S154</f>
        <v>209567.151468449</v>
      </c>
      <c r="T155" s="73" t="n">
        <f aca="false">T153+T154</f>
        <v>210445.908581891</v>
      </c>
      <c r="U155" s="73" t="n">
        <f aca="false">U153+U154</f>
        <v>211312.363095745</v>
      </c>
      <c r="V155" s="73" t="n">
        <f aca="false">V153+V154</f>
        <v>212166.687246404</v>
      </c>
      <c r="W155" s="73" t="n">
        <f aca="false">W153+W154</f>
        <v>213009.050858955</v>
      </c>
      <c r="X155" s="73" t="n">
        <f aca="false">X153+X154</f>
        <v>213839.621380929</v>
      </c>
      <c r="Y155" s="73" t="n">
        <f aca="false">Y153+Y154</f>
        <v>214658.563915596</v>
      </c>
      <c r="Z155" s="73" t="n">
        <f aca="false">Z153+Z154</f>
        <v>215466.041254778</v>
      </c>
      <c r="AA155" s="73" t="n">
        <f aca="false">AA153+AA154</f>
        <v>223995.550485615</v>
      </c>
      <c r="AB155" s="73" t="n">
        <f aca="false">AB153+AB154</f>
        <v>224999.574431722</v>
      </c>
      <c r="AC155" s="73" t="n">
        <f aca="false">AC153+AC154</f>
        <v>225989.542042584</v>
      </c>
      <c r="AD155" s="73" t="n">
        <f aca="false">AD153+AD154</f>
        <v>226965.650106894</v>
      </c>
      <c r="AE155" s="73" t="n">
        <f aca="false">AE153+AE154</f>
        <v>227928.092658304</v>
      </c>
      <c r="AF155" s="73" t="n">
        <f aca="false">AF153+AF154</f>
        <v>228877.061013994</v>
      </c>
      <c r="AG155" s="73" t="n">
        <f aca="false">AG153+AG154</f>
        <v>229812.743812704</v>
      </c>
      <c r="AH155" s="73" t="n">
        <f aca="false">AH153+AH154</f>
        <v>230735.327052233</v>
      </c>
      <c r="AI155" s="73" t="n">
        <f aca="false">AI153+AI154</f>
        <v>231644.994126408</v>
      </c>
      <c r="AJ155" s="73" t="n">
        <f aca="false">AJ153+AJ154</f>
        <v>232541.925861544</v>
      </c>
      <c r="AK155" s="73" t="n">
        <f aca="false">AK153+AK154</f>
        <v>233426.300552389</v>
      </c>
      <c r="AL155" s="73" t="n">
        <f aca="false">AL153+AL154</f>
        <v>234298.293997561</v>
      </c>
    </row>
    <row r="156" customFormat="false" ht="15" hidden="false" customHeight="false" outlineLevel="0" collapsed="false">
      <c r="A156" s="6" t="s">
        <v>427</v>
      </c>
      <c r="C156" s="67" t="n">
        <f aca="false">-C155*Inputs!$C$31*Inputs!$C$32</f>
        <v>-26019.0046875</v>
      </c>
      <c r="D156" s="67" t="n">
        <f aca="false">-D155*Inputs!$C$31*Inputs!$C$32</f>
        <v>-26137.553371875</v>
      </c>
      <c r="E156" s="67" t="n">
        <f aca="false">-E155*Inputs!$C$31*Inputs!$C$32</f>
        <v>-26254.4423746688</v>
      </c>
      <c r="F156" s="67" t="n">
        <f aca="false">-F155*Inputs!$C$31*Inputs!$C$32</f>
        <v>-26369.6949314234</v>
      </c>
      <c r="G156" s="67" t="n">
        <f aca="false">-G155*Inputs!$C$31*Inputs!$C$32</f>
        <v>-26483.3339523835</v>
      </c>
      <c r="H156" s="67" t="n">
        <f aca="false">-H155*Inputs!$C$31*Inputs!$C$32</f>
        <v>-26595.3820270501</v>
      </c>
      <c r="I156" s="67" t="n">
        <f aca="false">-I155*Inputs!$C$31*Inputs!$C$32</f>
        <v>-26705.8614286714</v>
      </c>
      <c r="J156" s="67" t="n">
        <f aca="false">-J155*Inputs!$C$31*Inputs!$C$32</f>
        <v>-26814.79411867</v>
      </c>
      <c r="K156" s="67" t="n">
        <f aca="false">-K155*Inputs!$C$31*Inputs!$C$32</f>
        <v>-26922.2017510086</v>
      </c>
      <c r="L156" s="67" t="n">
        <f aca="false">-L155*Inputs!$C$31*Inputs!$C$32</f>
        <v>-27028.1056764945</v>
      </c>
      <c r="M156" s="67" t="n">
        <f aca="false">-M155*Inputs!$C$31*Inputs!$C$32</f>
        <v>-27132.5269470236</v>
      </c>
      <c r="N156" s="67" t="n">
        <f aca="false">-N155*Inputs!$C$31*Inputs!$C$32</f>
        <v>-27235.4863197652</v>
      </c>
      <c r="O156" s="67" t="n">
        <f aca="false">-O155*Inputs!$C$31*Inputs!$C$32</f>
        <v>-28314.7653200647</v>
      </c>
      <c r="P156" s="67" t="n">
        <f aca="false">-P155*Inputs!$C$31*Inputs!$C$32</f>
        <v>-28442.6044752588</v>
      </c>
      <c r="Q156" s="67" t="n">
        <f aca="false">-Q155*Inputs!$C$31*Inputs!$C$32</f>
        <v>-28568.6538822802</v>
      </c>
      <c r="R156" s="67" t="n">
        <f aca="false">-R155*Inputs!$C$31*Inputs!$C$32</f>
        <v>-28692.9385976032</v>
      </c>
      <c r="S156" s="67" t="n">
        <f aca="false">-S155*Inputs!$C$31*Inputs!$C$32</f>
        <v>-28815.4833269118</v>
      </c>
      <c r="T156" s="67" t="n">
        <f aca="false">-T155*Inputs!$C$31*Inputs!$C$32</f>
        <v>-28936.31243001</v>
      </c>
      <c r="U156" s="67" t="n">
        <f aca="false">-U155*Inputs!$C$31*Inputs!$C$32</f>
        <v>-29055.4499256649</v>
      </c>
      <c r="V156" s="67" t="n">
        <f aca="false">-V155*Inputs!$C$31*Inputs!$C$32</f>
        <v>-29172.9194963806</v>
      </c>
      <c r="W156" s="67" t="n">
        <f aca="false">-W155*Inputs!$C$31*Inputs!$C$32</f>
        <v>-29288.7444931063</v>
      </c>
      <c r="X156" s="67" t="n">
        <f aca="false">-X155*Inputs!$C$31*Inputs!$C$32</f>
        <v>-29402.9479398778</v>
      </c>
      <c r="Y156" s="67" t="n">
        <f aca="false">-Y155*Inputs!$C$31*Inputs!$C$32</f>
        <v>-29515.5525383945</v>
      </c>
      <c r="Z156" s="67" t="n">
        <f aca="false">-Z155*Inputs!$C$31*Inputs!$C$32</f>
        <v>-29626.580672532</v>
      </c>
      <c r="AA156" s="67" t="n">
        <f aca="false">-AA155*Inputs!$C$31*Inputs!$C$32</f>
        <v>-30799.388191772</v>
      </c>
      <c r="AB156" s="67" t="n">
        <f aca="false">-AB155*Inputs!$C$31*Inputs!$C$32</f>
        <v>-30937.4414843618</v>
      </c>
      <c r="AC156" s="67" t="n">
        <f aca="false">-AC155*Inputs!$C$31*Inputs!$C$32</f>
        <v>-31073.5620308554</v>
      </c>
      <c r="AD156" s="67" t="n">
        <f aca="false">-AD155*Inputs!$C$31*Inputs!$C$32</f>
        <v>-31207.776889698</v>
      </c>
      <c r="AE156" s="67" t="n">
        <f aca="false">-AE155*Inputs!$C$31*Inputs!$C$32</f>
        <v>-31340.1127405168</v>
      </c>
      <c r="AF156" s="67" t="n">
        <f aca="false">-AF155*Inputs!$C$31*Inputs!$C$32</f>
        <v>-31470.5958894242</v>
      </c>
      <c r="AG156" s="67" t="n">
        <f aca="false">-AG155*Inputs!$C$31*Inputs!$C$32</f>
        <v>-31599.2522742468</v>
      </c>
      <c r="AH156" s="67" t="n">
        <f aca="false">-AH155*Inputs!$C$31*Inputs!$C$32</f>
        <v>-31726.107469682</v>
      </c>
      <c r="AI156" s="67" t="n">
        <f aca="false">-AI155*Inputs!$C$31*Inputs!$C$32</f>
        <v>-31851.186692381</v>
      </c>
      <c r="AJ156" s="67" t="n">
        <f aca="false">-AJ155*Inputs!$C$31*Inputs!$C$32</f>
        <v>-31974.5148059623</v>
      </c>
      <c r="AK156" s="67" t="n">
        <f aca="false">-AK155*Inputs!$C$31*Inputs!$C$32</f>
        <v>-32096.1163259534</v>
      </c>
      <c r="AL156" s="67" t="n">
        <f aca="false">-AL155*Inputs!$C$31*Inputs!$C$32</f>
        <v>-32216.0154246647</v>
      </c>
    </row>
    <row r="157" customFormat="false" ht="15" hidden="false" customHeight="false" outlineLevel="0" collapsed="false">
      <c r="A157" s="6" t="s">
        <v>428</v>
      </c>
      <c r="C157" s="67" t="n">
        <f aca="false">-(C155+C156)*Inputs!$C$33</f>
        <v>-2448.1518046875</v>
      </c>
      <c r="D157" s="67" t="n">
        <f aca="false">-(D155+D156)*Inputs!$C$33</f>
        <v>-2459.30615817188</v>
      </c>
      <c r="E157" s="67" t="n">
        <f aca="false">-(E155+E156)*Inputs!$C$33</f>
        <v>-2470.30435070747</v>
      </c>
      <c r="F157" s="67" t="n">
        <f aca="false">-(F155+F156)*Inputs!$C$33</f>
        <v>-2481.14856854756</v>
      </c>
      <c r="G157" s="67" t="n">
        <f aca="false">-(G155+G156)*Inputs!$C$33</f>
        <v>-2491.8409673379</v>
      </c>
      <c r="H157" s="67" t="n">
        <f aca="false">-(H155+H156)*Inputs!$C$33</f>
        <v>-2502.38367254517</v>
      </c>
      <c r="I157" s="67" t="n">
        <f aca="false">-(I155+I156)*Inputs!$C$33</f>
        <v>-2512.77877987954</v>
      </c>
      <c r="J157" s="67" t="n">
        <f aca="false">-(J155+J156)*Inputs!$C$33</f>
        <v>-2523.02835571122</v>
      </c>
      <c r="K157" s="67" t="n">
        <f aca="false">-(K155+K156)*Inputs!$C$33</f>
        <v>-2533.13443748126</v>
      </c>
      <c r="L157" s="67" t="n">
        <f aca="false">-(L155+L156)*Inputs!$C$33</f>
        <v>-2543.09903410653</v>
      </c>
      <c r="M157" s="67" t="n">
        <f aca="false">-(M155+M156)*Inputs!$C$33</f>
        <v>-2552.92412637904</v>
      </c>
      <c r="N157" s="67" t="n">
        <f aca="false">-(N155+N156)*Inputs!$C$33</f>
        <v>-2562.61166735973</v>
      </c>
      <c r="O157" s="67" t="n">
        <f aca="false">-(O155+O156)*Inputs!$C$33</f>
        <v>-2664.16200966063</v>
      </c>
      <c r="P157" s="67" t="n">
        <f aca="false">-(P155+P156)*Inputs!$C$33</f>
        <v>-2676.19051199026</v>
      </c>
      <c r="Q157" s="67" t="n">
        <f aca="false">-(Q155+Q156)*Inputs!$C$33</f>
        <v>-2688.05061528727</v>
      </c>
      <c r="R157" s="67" t="n">
        <f aca="false">-(R155+R156)*Inputs!$C$33</f>
        <v>-2699.74467713812</v>
      </c>
      <c r="S157" s="67" t="n">
        <f aca="false">-(S155+S156)*Inputs!$C$33</f>
        <v>-2711.27502212306</v>
      </c>
      <c r="T157" s="67" t="n">
        <f aca="false">-(T155+T156)*Inputs!$C$33</f>
        <v>-2722.64394227822</v>
      </c>
      <c r="U157" s="67" t="n">
        <f aca="false">-(U155+U156)*Inputs!$C$33</f>
        <v>-2733.8536975512</v>
      </c>
      <c r="V157" s="67" t="n">
        <f aca="false">-(V155+V156)*Inputs!$C$33</f>
        <v>-2744.90651625035</v>
      </c>
      <c r="W157" s="67" t="n">
        <f aca="false">-(W155+W156)*Inputs!$C$33</f>
        <v>-2755.80459548773</v>
      </c>
      <c r="X157" s="67" t="n">
        <f aca="false">-(X155+X156)*Inputs!$C$33</f>
        <v>-2766.55010161577</v>
      </c>
      <c r="Y157" s="67" t="n">
        <f aca="false">-(Y155+Y156)*Inputs!$C$33</f>
        <v>-2777.14517065802</v>
      </c>
      <c r="Z157" s="67" t="n">
        <f aca="false">-(Z155+Z156)*Inputs!$C$33</f>
        <v>-2787.59190873369</v>
      </c>
      <c r="AA157" s="67" t="n">
        <f aca="false">-(AA155+AA156)*Inputs!$C$33</f>
        <v>-2897.94243440764</v>
      </c>
      <c r="AB157" s="67" t="n">
        <f aca="false">-(AB155+AB156)*Inputs!$C$33</f>
        <v>-2910.93199421041</v>
      </c>
      <c r="AC157" s="67" t="n">
        <f aca="false">-(AC155+AC156)*Inputs!$C$33</f>
        <v>-2923.73970017594</v>
      </c>
      <c r="AD157" s="67" t="n">
        <f aca="false">-(AD155+AD156)*Inputs!$C$33</f>
        <v>-2936.36809825795</v>
      </c>
      <c r="AE157" s="67" t="n">
        <f aca="false">-(AE155+AE156)*Inputs!$C$33</f>
        <v>-2948.81969876681</v>
      </c>
      <c r="AF157" s="67" t="n">
        <f aca="false">-(AF155+AF156)*Inputs!$C$33</f>
        <v>-2961.09697686855</v>
      </c>
      <c r="AG157" s="67" t="n">
        <f aca="false">-(AG155+AG156)*Inputs!$C$33</f>
        <v>-2973.20237307686</v>
      </c>
      <c r="AH157" s="67" t="n">
        <f aca="false">-(AH155+AH156)*Inputs!$C$33</f>
        <v>-2985.13829373826</v>
      </c>
      <c r="AI157" s="67" t="n">
        <f aca="false">-(AI155+AI156)*Inputs!$C$33</f>
        <v>-2996.9071115104</v>
      </c>
      <c r="AJ157" s="67" t="n">
        <f aca="false">-(AJ155+AJ156)*Inputs!$C$33</f>
        <v>-3008.51116583373</v>
      </c>
      <c r="AK157" s="67" t="n">
        <f aca="false">-(AK155+AK156)*Inputs!$C$33</f>
        <v>-3019.95276339653</v>
      </c>
      <c r="AL157" s="67" t="n">
        <f aca="false">-(AL155+AL156)*Inputs!$C$33</f>
        <v>-3031.23417859345</v>
      </c>
    </row>
    <row r="158" customFormat="false" ht="15" hidden="false" customHeight="false" outlineLevel="0" collapsed="false">
      <c r="A158" s="111" t="s">
        <v>244</v>
      </c>
      <c r="C158" s="68" t="n">
        <f aca="false">C155+C156+C157</f>
        <v>160761.968507812</v>
      </c>
      <c r="D158" s="68" t="n">
        <f aca="false">D155+D156+D157</f>
        <v>161494.437719953</v>
      </c>
      <c r="E158" s="68" t="n">
        <f aca="false">E155+E156+E157</f>
        <v>162216.652363124</v>
      </c>
      <c r="F158" s="68" t="n">
        <f aca="false">F155+F156+F157</f>
        <v>162928.75600129</v>
      </c>
      <c r="G158" s="68" t="n">
        <f aca="false">G155+G156+G157</f>
        <v>163630.890188522</v>
      </c>
      <c r="H158" s="68" t="n">
        <f aca="false">H155+H156+H157</f>
        <v>164323.194497133</v>
      </c>
      <c r="I158" s="68" t="n">
        <f aca="false">I155+I156+I157</f>
        <v>165005.806545423</v>
      </c>
      <c r="J158" s="68" t="n">
        <f aca="false">J155+J156+J157</f>
        <v>165678.862025037</v>
      </c>
      <c r="K158" s="68" t="n">
        <f aca="false">K155+K156+K157</f>
        <v>166342.494727936</v>
      </c>
      <c r="L158" s="68" t="n">
        <f aca="false">L155+L156+L157</f>
        <v>166996.836572995</v>
      </c>
      <c r="M158" s="68" t="n">
        <f aca="false">M155+M156+M157</f>
        <v>167642.017632223</v>
      </c>
      <c r="N158" s="68" t="n">
        <f aca="false">N155+N156+N157</f>
        <v>168278.166156622</v>
      </c>
      <c r="O158" s="68" t="n">
        <f aca="false">O155+O156+O157</f>
        <v>174946.638634382</v>
      </c>
      <c r="P158" s="68" t="n">
        <f aca="false">P155+P156+P157</f>
        <v>175736.51028736</v>
      </c>
      <c r="Q158" s="68" t="n">
        <f aca="false">Q155+Q156+Q157</f>
        <v>176515.323737197</v>
      </c>
      <c r="R158" s="68" t="n">
        <f aca="false">R155+R156+R157</f>
        <v>177283.233798737</v>
      </c>
      <c r="S158" s="68" t="n">
        <f aca="false">S155+S156+S157</f>
        <v>178040.393119415</v>
      </c>
      <c r="T158" s="68" t="n">
        <f aca="false">T155+T156+T157</f>
        <v>178786.952209603</v>
      </c>
      <c r="U158" s="68" t="n">
        <f aca="false">U155+U156+U157</f>
        <v>179523.059472529</v>
      </c>
      <c r="V158" s="68" t="n">
        <f aca="false">V155+V156+V157</f>
        <v>180248.861233773</v>
      </c>
      <c r="W158" s="68" t="n">
        <f aca="false">W155+W156+W157</f>
        <v>180964.501770361</v>
      </c>
      <c r="X158" s="68" t="n">
        <f aca="false">X155+X156+X157</f>
        <v>181670.123339436</v>
      </c>
      <c r="Y158" s="68" t="n">
        <f aca="false">Y155+Y156+Y157</f>
        <v>182365.866206544</v>
      </c>
      <c r="Z158" s="68" t="n">
        <f aca="false">Z155+Z156+Z157</f>
        <v>183051.868673512</v>
      </c>
      <c r="AA158" s="68" t="n">
        <f aca="false">AA155+AA156+AA157</f>
        <v>190298.219859435</v>
      </c>
      <c r="AB158" s="68" t="n">
        <f aca="false">AB155+AB156+AB157</f>
        <v>191151.20095315</v>
      </c>
      <c r="AC158" s="68" t="n">
        <f aca="false">AC155+AC156+AC157</f>
        <v>191992.240311553</v>
      </c>
      <c r="AD158" s="68" t="n">
        <f aca="false">AD155+AD156+AD157</f>
        <v>192821.505118938</v>
      </c>
      <c r="AE158" s="68" t="n">
        <f aca="false">AE155+AE156+AE157</f>
        <v>193639.16021902</v>
      </c>
      <c r="AF158" s="68" t="n">
        <f aca="false">AF155+AF156+AF157</f>
        <v>194445.368147701</v>
      </c>
      <c r="AG158" s="68" t="n">
        <f aca="false">AG155+AG156+AG157</f>
        <v>195240.289165381</v>
      </c>
      <c r="AH158" s="68" t="n">
        <f aca="false">AH155+AH156+AH157</f>
        <v>196024.081288812</v>
      </c>
      <c r="AI158" s="68" t="n">
        <f aca="false">AI155+AI156+AI157</f>
        <v>196796.900322516</v>
      </c>
      <c r="AJ158" s="68" t="n">
        <f aca="false">AJ155+AJ156+AJ157</f>
        <v>197558.899889748</v>
      </c>
      <c r="AK158" s="68" t="n">
        <f aca="false">AK155+AK156+AK157</f>
        <v>198310.231463039</v>
      </c>
      <c r="AL158" s="68" t="n">
        <f aca="false">AL155+AL156+AL157</f>
        <v>199051.044394303</v>
      </c>
    </row>
    <row r="160" customFormat="false" ht="15.75" hidden="false" customHeight="true" outlineLevel="0" collapsed="false">
      <c r="A160" s="7" t="s">
        <v>75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customFormat="false" ht="15" hidden="false" customHeight="false" outlineLevel="0" collapsed="false">
      <c r="A161" s="6" t="s">
        <v>429</v>
      </c>
      <c r="C161" s="67" t="n">
        <f aca="false">-C155*Inputs!$C$36</f>
        <v>-9272.227125</v>
      </c>
      <c r="D161" s="67" t="n">
        <f aca="false">-D155*Inputs!$C$36</f>
        <v>-9314.47356525</v>
      </c>
      <c r="E161" s="67" t="n">
        <f aca="false">-E155*Inputs!$C$36</f>
        <v>-9356.1285553365</v>
      </c>
      <c r="F161" s="67" t="n">
        <f aca="false">-F155*Inputs!$C$36</f>
        <v>-9397.20037556179</v>
      </c>
      <c r="G161" s="67" t="n">
        <f aca="false">-G155*Inputs!$C$36</f>
        <v>-9437.69719030393</v>
      </c>
      <c r="H161" s="67" t="n">
        <f aca="false">-H155*Inputs!$C$36</f>
        <v>-9477.62704963967</v>
      </c>
      <c r="I161" s="67" t="n">
        <f aca="false">-I155*Inputs!$C$36</f>
        <v>-9516.99789094472</v>
      </c>
      <c r="J161" s="67" t="n">
        <f aca="false">-J155*Inputs!$C$36</f>
        <v>-9555.81754047149</v>
      </c>
      <c r="K161" s="67" t="n">
        <f aca="false">-K155*Inputs!$C$36</f>
        <v>-9594.09371490489</v>
      </c>
      <c r="L161" s="67" t="n">
        <f aca="false">-L155*Inputs!$C$36</f>
        <v>-9631.83402289622</v>
      </c>
      <c r="M161" s="67" t="n">
        <f aca="false">-M155*Inputs!$C$36</f>
        <v>-9669.04596657567</v>
      </c>
      <c r="N161" s="67" t="n">
        <f aca="false">-N155*Inputs!$C$36</f>
        <v>-9705.73694304361</v>
      </c>
      <c r="O161" s="67" t="n">
        <f aca="false">-O155*Inputs!$C$36</f>
        <v>-10090.3527322412</v>
      </c>
      <c r="P161" s="67" t="n">
        <f aca="false">-P155*Inputs!$C$36</f>
        <v>-10135.9099584559</v>
      </c>
      <c r="Q161" s="67" t="n">
        <f aca="false">-Q155*Inputs!$C$36</f>
        <v>-10180.8293835035</v>
      </c>
      <c r="R161" s="67" t="n">
        <f aca="false">-R155*Inputs!$C$36</f>
        <v>-10225.1199366004</v>
      </c>
      <c r="S161" s="67" t="n">
        <f aca="false">-S155*Inputs!$C$36</f>
        <v>-10268.790421954</v>
      </c>
      <c r="T161" s="67" t="n">
        <f aca="false">-T155*Inputs!$C$36</f>
        <v>-10311.8495205127</v>
      </c>
      <c r="U161" s="67" t="n">
        <f aca="false">-U155*Inputs!$C$36</f>
        <v>-10354.3057916915</v>
      </c>
      <c r="V161" s="67" t="n">
        <f aca="false">-V155*Inputs!$C$36</f>
        <v>-10396.1676750738</v>
      </c>
      <c r="W161" s="67" t="n">
        <f aca="false">-W155*Inputs!$C$36</f>
        <v>-10437.4434920888</v>
      </c>
      <c r="X161" s="67" t="n">
        <f aca="false">-X155*Inputs!$C$36</f>
        <v>-10478.1414476655</v>
      </c>
      <c r="Y161" s="67" t="n">
        <f aca="false">-Y155*Inputs!$C$36</f>
        <v>-10518.2696318642</v>
      </c>
      <c r="Z161" s="67" t="n">
        <f aca="false">-Z155*Inputs!$C$36</f>
        <v>-10557.8360214841</v>
      </c>
      <c r="AA161" s="67" t="n">
        <f aca="false">-AA155*Inputs!$C$36</f>
        <v>-10975.7819737951</v>
      </c>
      <c r="AB161" s="67" t="n">
        <f aca="false">-AB155*Inputs!$C$36</f>
        <v>-11024.9791471544</v>
      </c>
      <c r="AC161" s="67" t="n">
        <f aca="false">-AC155*Inputs!$C$36</f>
        <v>-11073.4875600866</v>
      </c>
      <c r="AD161" s="67" t="n">
        <f aca="false">-AD155*Inputs!$C$36</f>
        <v>-11121.3168552378</v>
      </c>
      <c r="AE161" s="67" t="n">
        <f aca="false">-AE155*Inputs!$C$36</f>
        <v>-11168.4765402569</v>
      </c>
      <c r="AF161" s="67" t="n">
        <f aca="false">-AF155*Inputs!$C$36</f>
        <v>-11214.9759896857</v>
      </c>
      <c r="AG161" s="67" t="n">
        <f aca="false">-AG155*Inputs!$C$36</f>
        <v>-11260.8244468225</v>
      </c>
      <c r="AH161" s="67" t="n">
        <f aca="false">-AH155*Inputs!$C$36</f>
        <v>-11306.0310255594</v>
      </c>
      <c r="AI161" s="67" t="n">
        <f aca="false">-AI155*Inputs!$C$36</f>
        <v>-11350.604712194</v>
      </c>
      <c r="AJ161" s="67" t="n">
        <f aca="false">-AJ155*Inputs!$C$36</f>
        <v>-11394.5543672157</v>
      </c>
      <c r="AK161" s="67" t="n">
        <f aca="false">-AK155*Inputs!$C$36</f>
        <v>-11437.888727067</v>
      </c>
      <c r="AL161" s="67" t="n">
        <f aca="false">-AL155*Inputs!$C$36</f>
        <v>-11480.6164058805</v>
      </c>
    </row>
    <row r="162" customFormat="false" ht="15" hidden="false" customHeight="false" outlineLevel="0" collapsed="false">
      <c r="A162" s="6" t="s">
        <v>430</v>
      </c>
      <c r="C162" s="67" t="n">
        <f aca="false">-C153*Inputs!$C$37</f>
        <v>-11175.6709166667</v>
      </c>
      <c r="D162" s="67" t="n">
        <f aca="false">-D153*Inputs!$C$37</f>
        <v>-11222.8600971667</v>
      </c>
      <c r="E162" s="67" t="n">
        <f aca="false">-E153*Inputs!$C$37</f>
        <v>-11269.3886291397</v>
      </c>
      <c r="F162" s="67" t="n">
        <f aca="false">-F153*Inputs!$C$37</f>
        <v>-11315.265761665</v>
      </c>
      <c r="G162" s="67" t="n">
        <f aca="false">-G153*Inputs!$C$37</f>
        <v>-11360.5006143351</v>
      </c>
      <c r="H162" s="67" t="n">
        <f aca="false">-H153*Inputs!$C$37</f>
        <v>-11405.1021790677</v>
      </c>
      <c r="I162" s="67" t="n">
        <f aca="false">-I153*Inputs!$C$37</f>
        <v>-11449.0793218941</v>
      </c>
      <c r="J162" s="67" t="n">
        <f aca="false">-J153*Inputs!$C$37</f>
        <v>-11492.4407847209</v>
      </c>
      <c r="K162" s="67" t="n">
        <f aca="false">-K153*Inputs!$C$37</f>
        <v>-11535.1951870682</v>
      </c>
      <c r="L162" s="67" t="n">
        <f aca="false">-L153*Inputs!$C$37</f>
        <v>-11577.3510277825</v>
      </c>
      <c r="M162" s="67" t="n">
        <f aca="false">-M153*Inputs!$C$37</f>
        <v>-11618.9166867269</v>
      </c>
      <c r="N162" s="67" t="n">
        <f aca="false">-N153*Inputs!$C$37</f>
        <v>-11659.9004264461</v>
      </c>
      <c r="O162" s="67" t="n">
        <f aca="false">-O153*Inputs!$C$37</f>
        <v>-12159.7619870068</v>
      </c>
      <c r="P162" s="67" t="n">
        <f aca="false">-P153*Inputs!$C$37</f>
        <v>-12210.6493081207</v>
      </c>
      <c r="Q162" s="67" t="n">
        <f aca="false">-Q153*Inputs!$C$37</f>
        <v>-12260.824206739</v>
      </c>
      <c r="R162" s="67" t="n">
        <f aca="false">-R153*Inputs!$C$37</f>
        <v>-12310.2966567766</v>
      </c>
      <c r="S162" s="67" t="n">
        <f aca="false">-S153*Inputs!$C$37</f>
        <v>-12359.0764925138</v>
      </c>
      <c r="T162" s="67" t="n">
        <f aca="false">-T153*Inputs!$C$37</f>
        <v>-12407.1734105506</v>
      </c>
      <c r="U162" s="67" t="n">
        <f aca="false">-U153*Inputs!$C$37</f>
        <v>-12454.5969717349</v>
      </c>
      <c r="V162" s="67" t="n">
        <f aca="false">-V153*Inputs!$C$37</f>
        <v>-12501.3566030626</v>
      </c>
      <c r="W162" s="67" t="n">
        <f aca="false">-W153*Inputs!$C$37</f>
        <v>-12547.4615995517</v>
      </c>
      <c r="X162" s="67" t="n">
        <f aca="false">-X153*Inputs!$C$37</f>
        <v>-12592.92112609</v>
      </c>
      <c r="Y162" s="67" t="n">
        <f aca="false">-Y153*Inputs!$C$37</f>
        <v>-12637.7442192567</v>
      </c>
      <c r="Z162" s="67" t="n">
        <f aca="false">-Z153*Inputs!$C$37</f>
        <v>-12681.9397891191</v>
      </c>
      <c r="AA162" s="67" t="n">
        <f aca="false">-AA153*Inputs!$C$37</f>
        <v>-13225.0801773952</v>
      </c>
      <c r="AB162" s="67" t="n">
        <f aca="false">-AB153*Inputs!$C$37</f>
        <v>-13280.0333114344</v>
      </c>
      <c r="AC162" s="67" t="n">
        <f aca="false">-AC153*Inputs!$C$37</f>
        <v>-13334.2171015972</v>
      </c>
      <c r="AD162" s="67" t="n">
        <f aca="false">-AD153*Inputs!$C$37</f>
        <v>-13387.6423186976</v>
      </c>
      <c r="AE162" s="67" t="n">
        <f aca="false">-AE153*Inputs!$C$37</f>
        <v>-13440.3195827587</v>
      </c>
      <c r="AF162" s="67" t="n">
        <f aca="false">-AF153*Inputs!$C$37</f>
        <v>-13492.2593651228</v>
      </c>
      <c r="AG162" s="67" t="n">
        <f aca="false">-AG153*Inputs!$C$37</f>
        <v>-13543.4719905339</v>
      </c>
      <c r="AH162" s="67" t="n">
        <f aca="false">-AH153*Inputs!$C$37</f>
        <v>-13593.9676391893</v>
      </c>
      <c r="AI162" s="67" t="n">
        <f aca="false">-AI153*Inputs!$C$37</f>
        <v>-13643.7563487634</v>
      </c>
      <c r="AJ162" s="67" t="n">
        <f aca="false">-AJ153*Inputs!$C$37</f>
        <v>-13692.8480164035</v>
      </c>
      <c r="AK162" s="67" t="n">
        <f aca="false">-AK153*Inputs!$C$37</f>
        <v>-13741.2524006967</v>
      </c>
      <c r="AL162" s="67" t="n">
        <f aca="false">-AL153*Inputs!$C$37</f>
        <v>-13788.9791236097</v>
      </c>
    </row>
    <row r="163" customFormat="false" ht="15" hidden="false" customHeight="false" outlineLevel="0" collapsed="false">
      <c r="A163" s="6" t="s">
        <v>431</v>
      </c>
      <c r="C163" s="67" t="n">
        <f aca="false">-C158*Inputs!$C$38</f>
        <v>-1929.14362209375</v>
      </c>
      <c r="D163" s="67" t="n">
        <f aca="false">-D158*Inputs!$C$38</f>
        <v>-1937.93325263944</v>
      </c>
      <c r="E163" s="67" t="n">
        <f aca="false">-E158*Inputs!$C$38</f>
        <v>-1946.59982835749</v>
      </c>
      <c r="F163" s="67" t="n">
        <f aca="false">-F158*Inputs!$C$38</f>
        <v>-1955.14507201548</v>
      </c>
      <c r="G163" s="67" t="n">
        <f aca="false">-G158*Inputs!$C$38</f>
        <v>-1963.57068226226</v>
      </c>
      <c r="H163" s="67" t="n">
        <f aca="false">-H158*Inputs!$C$38</f>
        <v>-1971.87833396559</v>
      </c>
      <c r="I163" s="67" t="n">
        <f aca="false">-I158*Inputs!$C$38</f>
        <v>-1980.06967854507</v>
      </c>
      <c r="J163" s="67" t="n">
        <f aca="false">-J158*Inputs!$C$38</f>
        <v>-1988.14634430044</v>
      </c>
      <c r="K163" s="67" t="n">
        <f aca="false">-K158*Inputs!$C$38</f>
        <v>-1996.10993673524</v>
      </c>
      <c r="L163" s="67" t="n">
        <f aca="false">-L158*Inputs!$C$38</f>
        <v>-2003.96203887594</v>
      </c>
      <c r="M163" s="67" t="n">
        <f aca="false">-M158*Inputs!$C$38</f>
        <v>-2011.70421158668</v>
      </c>
      <c r="N163" s="67" t="n">
        <f aca="false">-N158*Inputs!$C$38</f>
        <v>-2019.33799387947</v>
      </c>
      <c r="O163" s="67" t="n">
        <f aca="false">-O158*Inputs!$C$38</f>
        <v>-2099.35966361258</v>
      </c>
      <c r="P163" s="67" t="n">
        <f aca="false">-P158*Inputs!$C$38</f>
        <v>-2108.83812344832</v>
      </c>
      <c r="Q163" s="67" t="n">
        <f aca="false">-Q158*Inputs!$C$38</f>
        <v>-2118.18388484637</v>
      </c>
      <c r="R163" s="67" t="n">
        <f aca="false">-R158*Inputs!$C$38</f>
        <v>-2127.39880558484</v>
      </c>
      <c r="S163" s="67" t="n">
        <f aca="false">-S158*Inputs!$C$38</f>
        <v>-2136.48471743297</v>
      </c>
      <c r="T163" s="67" t="n">
        <f aca="false">-T158*Inputs!$C$38</f>
        <v>-2145.44342651523</v>
      </c>
      <c r="U163" s="67" t="n">
        <f aca="false">-U158*Inputs!$C$38</f>
        <v>-2154.27671367034</v>
      </c>
      <c r="V163" s="67" t="n">
        <f aca="false">-V158*Inputs!$C$38</f>
        <v>-2162.98633480528</v>
      </c>
      <c r="W163" s="67" t="n">
        <f aca="false">-W158*Inputs!$C$38</f>
        <v>-2171.57402124433</v>
      </c>
      <c r="X163" s="67" t="n">
        <f aca="false">-X158*Inputs!$C$38</f>
        <v>-2180.04148007323</v>
      </c>
      <c r="Y163" s="67" t="n">
        <f aca="false">-Y158*Inputs!$C$38</f>
        <v>-2188.39039447852</v>
      </c>
      <c r="Z163" s="67" t="n">
        <f aca="false">-Z158*Inputs!$C$38</f>
        <v>-2196.62242408215</v>
      </c>
      <c r="AA163" s="67" t="n">
        <f aca="false">-AA158*Inputs!$C$38</f>
        <v>-2283.57863831322</v>
      </c>
      <c r="AB163" s="67" t="n">
        <f aca="false">-AB158*Inputs!$C$38</f>
        <v>-2293.8144114378</v>
      </c>
      <c r="AC163" s="67" t="n">
        <f aca="false">-AC158*Inputs!$C$38</f>
        <v>-2303.90688373864</v>
      </c>
      <c r="AD163" s="67" t="n">
        <f aca="false">-AD158*Inputs!$C$38</f>
        <v>-2313.85806142726</v>
      </c>
      <c r="AE163" s="67" t="n">
        <f aca="false">-AE158*Inputs!$C$38</f>
        <v>-2323.66992262825</v>
      </c>
      <c r="AF163" s="67" t="n">
        <f aca="false">-AF158*Inputs!$C$38</f>
        <v>-2333.34441777242</v>
      </c>
      <c r="AG163" s="67" t="n">
        <f aca="false">-AG158*Inputs!$C$38</f>
        <v>-2342.88346998457</v>
      </c>
      <c r="AH163" s="67" t="n">
        <f aca="false">-AH158*Inputs!$C$38</f>
        <v>-2352.28897546575</v>
      </c>
      <c r="AI163" s="67" t="n">
        <f aca="false">-AI158*Inputs!$C$38</f>
        <v>-2361.56280387019</v>
      </c>
      <c r="AJ163" s="67" t="n">
        <f aca="false">-AJ158*Inputs!$C$38</f>
        <v>-2370.70679867698</v>
      </c>
      <c r="AK163" s="67" t="n">
        <f aca="false">-AK158*Inputs!$C$38</f>
        <v>-2379.72277755646</v>
      </c>
      <c r="AL163" s="67" t="n">
        <f aca="false">-AL158*Inputs!$C$38</f>
        <v>-2388.61253273164</v>
      </c>
    </row>
    <row r="164" customFormat="false" ht="15" hidden="false" customHeight="false" outlineLevel="0" collapsed="false">
      <c r="A164" s="4" t="s">
        <v>75</v>
      </c>
      <c r="C164" s="73" t="n">
        <f aca="false">C161+C162+C163</f>
        <v>-22377.0416637604</v>
      </c>
      <c r="D164" s="73" t="n">
        <f aca="false">D161+D162+D163</f>
        <v>-22475.2669150561</v>
      </c>
      <c r="E164" s="73" t="n">
        <f aca="false">E161+E162+E163</f>
        <v>-22572.1170128337</v>
      </c>
      <c r="F164" s="73" t="n">
        <f aca="false">F161+F162+F163</f>
        <v>-22667.6112092423</v>
      </c>
      <c r="G164" s="73" t="n">
        <f aca="false">G161+G162+G163</f>
        <v>-22761.7684869013</v>
      </c>
      <c r="H164" s="73" t="n">
        <f aca="false">H161+H162+H163</f>
        <v>-22854.607562673</v>
      </c>
      <c r="I164" s="73" t="n">
        <f aca="false">I161+I162+I163</f>
        <v>-22946.1468913839</v>
      </c>
      <c r="J164" s="73" t="n">
        <f aca="false">J161+J162+J163</f>
        <v>-23036.4046694928</v>
      </c>
      <c r="K164" s="73" t="n">
        <f aca="false">K161+K162+K163</f>
        <v>-23125.3988387083</v>
      </c>
      <c r="L164" s="73" t="n">
        <f aca="false">L161+L162+L163</f>
        <v>-23213.1470895547</v>
      </c>
      <c r="M164" s="73" t="n">
        <f aca="false">M161+M162+M163</f>
        <v>-23299.6668648893</v>
      </c>
      <c r="N164" s="73" t="n">
        <f aca="false">N161+N162+N163</f>
        <v>-23384.9753633692</v>
      </c>
      <c r="O164" s="73" t="n">
        <f aca="false">O161+O162+O163</f>
        <v>-24349.4743828606</v>
      </c>
      <c r="P164" s="73" t="n">
        <f aca="false">P161+P162+P163</f>
        <v>-24455.3973900249</v>
      </c>
      <c r="Q164" s="73" t="n">
        <f aca="false">Q161+Q162+Q163</f>
        <v>-24559.8374750888</v>
      </c>
      <c r="R164" s="73" t="n">
        <f aca="false">R161+R162+R163</f>
        <v>-24662.8153989619</v>
      </c>
      <c r="S164" s="73" t="n">
        <f aca="false">S161+S162+S163</f>
        <v>-24764.3516319008</v>
      </c>
      <c r="T164" s="73" t="n">
        <f aca="false">T161+T162+T163</f>
        <v>-24864.4663575785</v>
      </c>
      <c r="U164" s="73" t="n">
        <f aca="false">U161+U162+U163</f>
        <v>-24963.1794770967</v>
      </c>
      <c r="V164" s="73" t="n">
        <f aca="false">V161+V162+V163</f>
        <v>-25060.5106129417</v>
      </c>
      <c r="W164" s="73" t="n">
        <f aca="false">W161+W162+W163</f>
        <v>-25156.4791128848</v>
      </c>
      <c r="X164" s="73" t="n">
        <f aca="false">X161+X162+X163</f>
        <v>-25251.1040538287</v>
      </c>
      <c r="Y164" s="73" t="n">
        <f aca="false">Y161+Y162+Y163</f>
        <v>-25344.4042455994</v>
      </c>
      <c r="Z164" s="73" t="n">
        <f aca="false">Z161+Z162+Z163</f>
        <v>-25436.3982346854</v>
      </c>
      <c r="AA164" s="73" t="n">
        <f aca="false">AA161+AA162+AA163</f>
        <v>-26484.4407895035</v>
      </c>
      <c r="AB164" s="73" t="n">
        <f aca="false">AB161+AB162+AB163</f>
        <v>-26598.8268700266</v>
      </c>
      <c r="AC164" s="73" t="n">
        <f aca="false">AC161+AC162+AC163</f>
        <v>-26711.6115454224</v>
      </c>
      <c r="AD164" s="73" t="n">
        <f aca="false">AD161+AD162+AD163</f>
        <v>-26822.8172353627</v>
      </c>
      <c r="AE164" s="73" t="n">
        <f aca="false">AE161+AE162+AE163</f>
        <v>-26932.4660456438</v>
      </c>
      <c r="AF164" s="73" t="n">
        <f aca="false">AF161+AF162+AF163</f>
        <v>-27040.579772581</v>
      </c>
      <c r="AG164" s="73" t="n">
        <f aca="false">AG161+AG162+AG163</f>
        <v>-27147.179907341</v>
      </c>
      <c r="AH164" s="73" t="n">
        <f aca="false">AH161+AH162+AH163</f>
        <v>-27252.2876402144</v>
      </c>
      <c r="AI164" s="73" t="n">
        <f aca="false">AI161+AI162+AI163</f>
        <v>-27355.9238648276</v>
      </c>
      <c r="AJ164" s="73" t="n">
        <f aca="false">AJ161+AJ162+AJ163</f>
        <v>-27458.1091822962</v>
      </c>
      <c r="AK164" s="73" t="n">
        <f aca="false">AK161+AK162+AK163</f>
        <v>-27558.8639053202</v>
      </c>
      <c r="AL164" s="73" t="n">
        <f aca="false">AL161+AL162+AL163</f>
        <v>-27658.2080622219</v>
      </c>
    </row>
    <row r="165" customFormat="false" ht="15" hidden="false" customHeight="false" outlineLevel="0" collapsed="false">
      <c r="A165" s="111" t="s">
        <v>45</v>
      </c>
      <c r="C165" s="68" t="n">
        <f aca="false">C158+C164</f>
        <v>138384.926844052</v>
      </c>
      <c r="D165" s="68" t="n">
        <f aca="false">D158+D164</f>
        <v>139019.170804897</v>
      </c>
      <c r="E165" s="68" t="n">
        <f aca="false">E158+E164</f>
        <v>139644.53535029</v>
      </c>
      <c r="F165" s="68" t="n">
        <f aca="false">F158+F164</f>
        <v>140261.144792048</v>
      </c>
      <c r="G165" s="68" t="n">
        <f aca="false">G158+G164</f>
        <v>140869.121701621</v>
      </c>
      <c r="H165" s="68" t="n">
        <f aca="false">H158+H164</f>
        <v>141468.58693446</v>
      </c>
      <c r="I165" s="68" t="n">
        <f aca="false">I158+I164</f>
        <v>142059.659654039</v>
      </c>
      <c r="J165" s="68" t="n">
        <f aca="false">J158+J164</f>
        <v>142642.457355544</v>
      </c>
      <c r="K165" s="68" t="n">
        <f aca="false">K158+K164</f>
        <v>143217.095889228</v>
      </c>
      <c r="L165" s="68" t="n">
        <f aca="false">L158+L164</f>
        <v>143783.689483441</v>
      </c>
      <c r="M165" s="68" t="n">
        <f aca="false">M158+M164</f>
        <v>144342.350767334</v>
      </c>
      <c r="N165" s="68" t="n">
        <f aca="false">N158+N164</f>
        <v>144893.190793253</v>
      </c>
      <c r="O165" s="68" t="n">
        <f aca="false">O158+O164</f>
        <v>150597.164251521</v>
      </c>
      <c r="P165" s="68" t="n">
        <f aca="false">P158+P164</f>
        <v>151281.112897335</v>
      </c>
      <c r="Q165" s="68" t="n">
        <f aca="false">Q158+Q164</f>
        <v>151955.486262109</v>
      </c>
      <c r="R165" s="68" t="n">
        <f aca="false">R158+R164</f>
        <v>152620.418399775</v>
      </c>
      <c r="S165" s="68" t="n">
        <f aca="false">S158+S164</f>
        <v>153276.041487514</v>
      </c>
      <c r="T165" s="68" t="n">
        <f aca="false">T158+T164</f>
        <v>153922.485852024</v>
      </c>
      <c r="U165" s="68" t="n">
        <f aca="false">U158+U164</f>
        <v>154559.879995432</v>
      </c>
      <c r="V165" s="68" t="n">
        <f aca="false">V158+V164</f>
        <v>155188.350620832</v>
      </c>
      <c r="W165" s="68" t="n">
        <f aca="false">W158+W164</f>
        <v>155808.022657476</v>
      </c>
      <c r="X165" s="68" t="n">
        <f aca="false">X158+X164</f>
        <v>156419.019285607</v>
      </c>
      <c r="Y165" s="68" t="n">
        <f aca="false">Y158+Y164</f>
        <v>157021.461960944</v>
      </c>
      <c r="Z165" s="68" t="n">
        <f aca="false">Z158+Z164</f>
        <v>157615.470438827</v>
      </c>
      <c r="AA165" s="68" t="n">
        <f aca="false">AA158+AA164</f>
        <v>163813.779069932</v>
      </c>
      <c r="AB165" s="68" t="n">
        <f aca="false">AB158+AB164</f>
        <v>164552.374083123</v>
      </c>
      <c r="AC165" s="68" t="n">
        <f aca="false">AC158+AC164</f>
        <v>165280.628766131</v>
      </c>
      <c r="AD165" s="68" t="n">
        <f aca="false">AD158+AD164</f>
        <v>165998.687883576</v>
      </c>
      <c r="AE165" s="68" t="n">
        <f aca="false">AE158+AE164</f>
        <v>166706.694173377</v>
      </c>
      <c r="AF165" s="68" t="n">
        <f aca="false">AF158+AF164</f>
        <v>167404.78837512</v>
      </c>
      <c r="AG165" s="68" t="n">
        <f aca="false">AG158+AG164</f>
        <v>168093.10925804</v>
      </c>
      <c r="AH165" s="68" t="n">
        <f aca="false">AH158+AH164</f>
        <v>168771.793648598</v>
      </c>
      <c r="AI165" s="68" t="n">
        <f aca="false">AI158+AI164</f>
        <v>169440.976457689</v>
      </c>
      <c r="AJ165" s="68" t="n">
        <f aca="false">AJ158+AJ164</f>
        <v>170100.790707452</v>
      </c>
      <c r="AK165" s="68" t="n">
        <f aca="false">AK158+AK164</f>
        <v>170751.367557718</v>
      </c>
      <c r="AL165" s="68" t="n">
        <f aca="false">AL158+AL164</f>
        <v>171392.836332081</v>
      </c>
    </row>
    <row r="167" customFormat="false" ht="15.75" hidden="false" customHeight="true" outlineLevel="0" collapsed="false">
      <c r="A167" s="7" t="s">
        <v>47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customFormat="false" ht="15" hidden="false" customHeight="false" outlineLevel="0" collapsed="false">
      <c r="A168" s="6" t="s">
        <v>355</v>
      </c>
      <c r="C168" s="67" t="n">
        <f aca="false">C251</f>
        <v>-78970.8333333333</v>
      </c>
      <c r="D168" s="67" t="n">
        <f aca="false">D251</f>
        <v>-78970.8333333333</v>
      </c>
      <c r="E168" s="67" t="n">
        <f aca="false">E251</f>
        <v>-78970.8333333333</v>
      </c>
      <c r="F168" s="67" t="n">
        <f aca="false">F251</f>
        <v>-78970.8333333333</v>
      </c>
      <c r="G168" s="67" t="n">
        <f aca="false">G251</f>
        <v>-78970.8333333333</v>
      </c>
      <c r="H168" s="67" t="n">
        <f aca="false">H251</f>
        <v>-78970.8333333333</v>
      </c>
      <c r="I168" s="67" t="n">
        <f aca="false">I251</f>
        <v>-78970.8333333333</v>
      </c>
      <c r="J168" s="67" t="n">
        <f aca="false">J251</f>
        <v>-78970.8333333333</v>
      </c>
      <c r="K168" s="67" t="n">
        <f aca="false">K251</f>
        <v>-78970.8333333333</v>
      </c>
      <c r="L168" s="67" t="n">
        <f aca="false">L251</f>
        <v>-78970.8333333333</v>
      </c>
      <c r="M168" s="67" t="n">
        <f aca="false">M251</f>
        <v>-78970.8333333333</v>
      </c>
      <c r="N168" s="67" t="n">
        <f aca="false">N251</f>
        <v>-78970.8333333333</v>
      </c>
      <c r="O168" s="67" t="n">
        <f aca="false">O251</f>
        <v>-84200.7833333333</v>
      </c>
      <c r="P168" s="67" t="n">
        <f aca="false">P251</f>
        <v>-84200.7833333333</v>
      </c>
      <c r="Q168" s="67" t="n">
        <f aca="false">Q251</f>
        <v>-84200.7833333333</v>
      </c>
      <c r="R168" s="67" t="n">
        <f aca="false">R251</f>
        <v>-84200.7833333333</v>
      </c>
      <c r="S168" s="67" t="n">
        <f aca="false">S251</f>
        <v>-84200.7833333333</v>
      </c>
      <c r="T168" s="67" t="n">
        <f aca="false">T251</f>
        <v>-84200.7833333333</v>
      </c>
      <c r="U168" s="67" t="n">
        <f aca="false">U251</f>
        <v>-84200.7833333333</v>
      </c>
      <c r="V168" s="67" t="n">
        <f aca="false">V251</f>
        <v>-84200.7833333333</v>
      </c>
      <c r="W168" s="67" t="n">
        <f aca="false">W251</f>
        <v>-84200.7833333333</v>
      </c>
      <c r="X168" s="67" t="n">
        <f aca="false">X251</f>
        <v>-84200.7833333333</v>
      </c>
      <c r="Y168" s="67" t="n">
        <f aca="false">Y251</f>
        <v>-84200.7833333333</v>
      </c>
      <c r="Z168" s="67" t="n">
        <f aca="false">Z251</f>
        <v>-84200.7833333333</v>
      </c>
      <c r="AA168" s="67" t="n">
        <f aca="false">AA251</f>
        <v>-89824.9318853333</v>
      </c>
      <c r="AB168" s="67" t="n">
        <f aca="false">AB251</f>
        <v>-89824.9318853333</v>
      </c>
      <c r="AC168" s="67" t="n">
        <f aca="false">AC251</f>
        <v>-89824.9318853333</v>
      </c>
      <c r="AD168" s="67" t="n">
        <f aca="false">AD251</f>
        <v>-89824.9318853333</v>
      </c>
      <c r="AE168" s="67" t="n">
        <f aca="false">AE251</f>
        <v>-89824.9318853333</v>
      </c>
      <c r="AF168" s="67" t="n">
        <f aca="false">AF251</f>
        <v>-89824.9318853333</v>
      </c>
      <c r="AG168" s="67" t="n">
        <f aca="false">AG251</f>
        <v>-89824.9318853333</v>
      </c>
      <c r="AH168" s="67" t="n">
        <f aca="false">AH251</f>
        <v>-89824.9318853333</v>
      </c>
      <c r="AI168" s="67" t="n">
        <f aca="false">AI251</f>
        <v>-89824.9318853333</v>
      </c>
      <c r="AJ168" s="67" t="n">
        <f aca="false">AJ251</f>
        <v>-89824.9318853333</v>
      </c>
      <c r="AK168" s="67" t="n">
        <f aca="false">AK251</f>
        <v>-89824.9318853333</v>
      </c>
      <c r="AL168" s="67" t="n">
        <f aca="false">AL251</f>
        <v>-89824.9318853333</v>
      </c>
    </row>
    <row r="169" customFormat="false" ht="15" hidden="false" customHeight="false" outlineLevel="0" collapsed="false">
      <c r="A169" s="6" t="s">
        <v>356</v>
      </c>
      <c r="C169" s="67" t="n">
        <f aca="false">-C158*C153/MAX(1,C155)*Inputs!$C$39*Inputs!$C$40</f>
        <v>-11625.8337834375</v>
      </c>
      <c r="D169" s="67" t="n">
        <f aca="false">-D158*D153/MAX(1,D155)*Inputs!$C$39*Inputs!$C$40</f>
        <v>-11674.9237730194</v>
      </c>
      <c r="E169" s="67" t="n">
        <f aca="false">-E158*E153/MAX(1,E155)*Inputs!$C$39*Inputs!$C$40</f>
        <v>-11723.3265027471</v>
      </c>
      <c r="F169" s="67" t="n">
        <f aca="false">-F158*F153/MAX(1,F155)*Inputs!$C$39*Inputs!$C$40</f>
        <v>-11771.0515942586</v>
      </c>
      <c r="G169" s="67" t="n">
        <f aca="false">-G158*G153/MAX(1,G155)*Inputs!$C$39*Inputs!$C$40</f>
        <v>-11818.108534489</v>
      </c>
      <c r="H169" s="67" t="n">
        <f aca="false">-H158*H153/MAX(1,H155)*Inputs!$C$39*Inputs!$C$40</f>
        <v>-11864.5066775562</v>
      </c>
      <c r="I169" s="67" t="n">
        <f aca="false">-I158*I153/MAX(1,I155)*Inputs!$C$39*Inputs!$C$40</f>
        <v>-11910.2552466204</v>
      </c>
      <c r="J169" s="67" t="n">
        <f aca="false">-J158*J153/MAX(1,J155)*Inputs!$C$39*Inputs!$C$40</f>
        <v>-11955.3633357177</v>
      </c>
      <c r="K169" s="67" t="n">
        <f aca="false">-K158*K153/MAX(1,K155)*Inputs!$C$39*Inputs!$C$40</f>
        <v>-11999.8399115677</v>
      </c>
      <c r="L169" s="67" t="n">
        <f aca="false">-L158*L153/MAX(1,L155)*Inputs!$C$39*Inputs!$C$40</f>
        <v>-12043.6938153557</v>
      </c>
      <c r="M169" s="67" t="n">
        <f aca="false">-M158*M153/MAX(1,M155)*Inputs!$C$39*Inputs!$C$40</f>
        <v>-12086.9337644907</v>
      </c>
      <c r="N169" s="67" t="n">
        <f aca="false">-N158*N153/MAX(1,N155)*Inputs!$C$39*Inputs!$C$40</f>
        <v>-12129.5683543379</v>
      </c>
      <c r="O169" s="67" t="n">
        <f aca="false">-O158*O153/MAX(1,O155)*Inputs!$C$39*Inputs!$C$40</f>
        <v>-12649.5646445956</v>
      </c>
      <c r="P169" s="67" t="n">
        <f aca="false">-P158*P153/MAX(1,P155)*Inputs!$C$39*Inputs!$C$40</f>
        <v>-12702.5017381595</v>
      </c>
      <c r="Q169" s="67" t="n">
        <f aca="false">-Q158*Q153/MAX(1,Q155)*Inputs!$C$39*Inputs!$C$40</f>
        <v>-12754.6977124135</v>
      </c>
      <c r="R169" s="67" t="n">
        <f aca="false">-R158*R153/MAX(1,R155)*Inputs!$C$39*Inputs!$C$40</f>
        <v>-12806.1629430279</v>
      </c>
      <c r="S169" s="67" t="n">
        <f aca="false">-S158*S153/MAX(1,S155)*Inputs!$C$39*Inputs!$C$40</f>
        <v>-12856.9076604137</v>
      </c>
      <c r="T169" s="67" t="n">
        <f aca="false">-T158*T153/MAX(1,T155)*Inputs!$C$39*Inputs!$C$40</f>
        <v>-12906.9419517562</v>
      </c>
      <c r="U169" s="67" t="n">
        <f aca="false">-U158*U153/MAX(1,U155)*Inputs!$C$39*Inputs!$C$40</f>
        <v>-12956.2757630198</v>
      </c>
      <c r="V169" s="67" t="n">
        <f aca="false">-V158*V153/MAX(1,V155)*Inputs!$C$39*Inputs!$C$40</f>
        <v>-13004.9189009257</v>
      </c>
      <c r="W169" s="67" t="n">
        <f aca="false">-W158*W153/MAX(1,W155)*Inputs!$C$39*Inputs!$C$40</f>
        <v>-13052.881034901</v>
      </c>
      <c r="X169" s="67" t="n">
        <f aca="false">-X158*X153/MAX(1,X155)*Inputs!$C$39*Inputs!$C$40</f>
        <v>-13100.1716990006</v>
      </c>
      <c r="Y169" s="67" t="n">
        <f aca="false">-Y158*Y153/MAX(1,Y155)*Inputs!$C$39*Inputs!$C$40</f>
        <v>-13146.8002938028</v>
      </c>
      <c r="Z169" s="67" t="n">
        <f aca="false">-Z158*Z153/MAX(1,Z155)*Inputs!$C$39*Inputs!$C$40</f>
        <v>-13192.7760882778</v>
      </c>
      <c r="AA169" s="67" t="n">
        <f aca="false">-AA158*AA153/MAX(1,AA155)*Inputs!$C$39*Inputs!$C$40</f>
        <v>-13757.7945039285</v>
      </c>
      <c r="AB169" s="67" t="n">
        <f aca="false">-AB158*AB153/MAX(1,AB155)*Inputs!$C$39*Inputs!$C$40</f>
        <v>-13814.9611838517</v>
      </c>
      <c r="AC169" s="67" t="n">
        <f aca="false">-AC158*AC153/MAX(1,AC155)*Inputs!$C$39*Inputs!$C$40</f>
        <v>-13871.3275302559</v>
      </c>
      <c r="AD169" s="67" t="n">
        <f aca="false">-AD158*AD153/MAX(1,AD155)*Inputs!$C$39*Inputs!$C$40</f>
        <v>-13926.9047478105</v>
      </c>
      <c r="AE169" s="67" t="n">
        <f aca="false">-AE158*AE153/MAX(1,AE155)*Inputs!$C$39*Inputs!$C$40</f>
        <v>-13981.7038843193</v>
      </c>
      <c r="AF169" s="67" t="n">
        <f aca="false">-AF158*AF153/MAX(1,AF155)*Inputs!$C$39*Inputs!$C$40</f>
        <v>-14035.7358329169</v>
      </c>
      <c r="AG169" s="67" t="n">
        <f aca="false">-AG158*AG153/MAX(1,AG155)*Inputs!$C$39*Inputs!$C$40</f>
        <v>-14089.0113342343</v>
      </c>
      <c r="AH169" s="67" t="n">
        <f aca="false">-AH158*AH153/MAX(1,AH155)*Inputs!$C$39*Inputs!$C$40</f>
        <v>-14141.5409785331</v>
      </c>
      <c r="AI169" s="67" t="n">
        <f aca="false">-AI158*AI153/MAX(1,AI155)*Inputs!$C$39*Inputs!$C$40</f>
        <v>-14193.3352078118</v>
      </c>
      <c r="AJ169" s="67" t="n">
        <f aca="false">-AJ158*AJ153/MAX(1,AJ155)*Inputs!$C$39*Inputs!$C$40</f>
        <v>-14244.4043178806</v>
      </c>
      <c r="AK169" s="67" t="n">
        <f aca="false">-AK158*AK153/MAX(1,AK155)*Inputs!$C$39*Inputs!$C$40</f>
        <v>-14294.7584604084</v>
      </c>
      <c r="AL169" s="67" t="n">
        <f aca="false">-AL158*AL153/MAX(1,AL155)*Inputs!$C$39*Inputs!$C$40</f>
        <v>-14344.4076449409</v>
      </c>
    </row>
    <row r="170" customFormat="false" ht="15" hidden="false" customHeight="false" outlineLevel="0" collapsed="false">
      <c r="A170" s="6" t="s">
        <v>357</v>
      </c>
      <c r="C170" s="67" t="n">
        <f aca="false">-Inputs!$C$17*(1+Inputs!$C$18)^(C$132-1)*1</f>
        <v>-7000</v>
      </c>
      <c r="D170" s="67" t="n">
        <f aca="false">-Inputs!$C$17*(1+Inputs!$C$18)^(D$132-1)*1</f>
        <v>-7000</v>
      </c>
      <c r="E170" s="67" t="n">
        <f aca="false">-Inputs!$C$17*(1+Inputs!$C$18)^(E$132-1)*1</f>
        <v>-7000</v>
      </c>
      <c r="F170" s="67" t="n">
        <f aca="false">-Inputs!$C$17*(1+Inputs!$C$18)^(F$132-1)*1</f>
        <v>-7000</v>
      </c>
      <c r="G170" s="67" t="n">
        <f aca="false">-Inputs!$C$17*(1+Inputs!$C$18)^(G$132-1)*1</f>
        <v>-7000</v>
      </c>
      <c r="H170" s="67" t="n">
        <f aca="false">-Inputs!$C$17*(1+Inputs!$C$18)^(H$132-1)*1</f>
        <v>-7000</v>
      </c>
      <c r="I170" s="67" t="n">
        <f aca="false">-Inputs!$C$17*(1+Inputs!$C$18)^(I$132-1)*1</f>
        <v>-7000</v>
      </c>
      <c r="J170" s="67" t="n">
        <f aca="false">-Inputs!$C$17*(1+Inputs!$C$18)^(J$132-1)*1</f>
        <v>-7000</v>
      </c>
      <c r="K170" s="67" t="n">
        <f aca="false">-Inputs!$C$17*(1+Inputs!$C$18)^(K$132-1)*1</f>
        <v>-7000</v>
      </c>
      <c r="L170" s="67" t="n">
        <f aca="false">-Inputs!$C$17*(1+Inputs!$C$18)^(L$132-1)*1</f>
        <v>-7000</v>
      </c>
      <c r="M170" s="67" t="n">
        <f aca="false">-Inputs!$C$17*(1+Inputs!$C$18)^(M$132-1)*1</f>
        <v>-7000</v>
      </c>
      <c r="N170" s="67" t="n">
        <f aca="false">-Inputs!$C$17*(1+Inputs!$C$18)^(N$132-1)*1</f>
        <v>-7000</v>
      </c>
      <c r="O170" s="67" t="n">
        <f aca="false">-Inputs!$C$17*(1+Inputs!$C$18)^(O$132-1)*1</f>
        <v>-7350</v>
      </c>
      <c r="P170" s="67" t="n">
        <f aca="false">-Inputs!$C$17*(1+Inputs!$C$18)^(P$132-1)*1</f>
        <v>-7350</v>
      </c>
      <c r="Q170" s="67" t="n">
        <f aca="false">-Inputs!$C$17*(1+Inputs!$C$18)^(Q$132-1)*1</f>
        <v>-7350</v>
      </c>
      <c r="R170" s="67" t="n">
        <f aca="false">-Inputs!$C$17*(1+Inputs!$C$18)^(R$132-1)*1</f>
        <v>-7350</v>
      </c>
      <c r="S170" s="67" t="n">
        <f aca="false">-Inputs!$C$17*(1+Inputs!$C$18)^(S$132-1)*1</f>
        <v>-7350</v>
      </c>
      <c r="T170" s="67" t="n">
        <f aca="false">-Inputs!$C$17*(1+Inputs!$C$18)^(T$132-1)*1</f>
        <v>-7350</v>
      </c>
      <c r="U170" s="67" t="n">
        <f aca="false">-Inputs!$C$17*(1+Inputs!$C$18)^(U$132-1)*1</f>
        <v>-7350</v>
      </c>
      <c r="V170" s="67" t="n">
        <f aca="false">-Inputs!$C$17*(1+Inputs!$C$18)^(V$132-1)*1</f>
        <v>-7350</v>
      </c>
      <c r="W170" s="67" t="n">
        <f aca="false">-Inputs!$C$17*(1+Inputs!$C$18)^(W$132-1)*1</f>
        <v>-7350</v>
      </c>
      <c r="X170" s="67" t="n">
        <f aca="false">-Inputs!$C$17*(1+Inputs!$C$18)^(X$132-1)*1</f>
        <v>-7350</v>
      </c>
      <c r="Y170" s="67" t="n">
        <f aca="false">-Inputs!$C$17*(1+Inputs!$C$18)^(Y$132-1)*1</f>
        <v>-7350</v>
      </c>
      <c r="Z170" s="67" t="n">
        <f aca="false">-Inputs!$C$17*(1+Inputs!$C$18)^(Z$132-1)*1</f>
        <v>-7350</v>
      </c>
      <c r="AA170" s="67" t="n">
        <f aca="false">-Inputs!$C$17*(1+Inputs!$C$18)^(AA$132-1)*1</f>
        <v>-7717.5</v>
      </c>
      <c r="AB170" s="67" t="n">
        <f aca="false">-Inputs!$C$17*(1+Inputs!$C$18)^(AB$132-1)*1</f>
        <v>-7717.5</v>
      </c>
      <c r="AC170" s="67" t="n">
        <f aca="false">-Inputs!$C$17*(1+Inputs!$C$18)^(AC$132-1)*1</f>
        <v>-7717.5</v>
      </c>
      <c r="AD170" s="67" t="n">
        <f aca="false">-Inputs!$C$17*(1+Inputs!$C$18)^(AD$132-1)*1</f>
        <v>-7717.5</v>
      </c>
      <c r="AE170" s="67" t="n">
        <f aca="false">-Inputs!$C$17*(1+Inputs!$C$18)^(AE$132-1)*1</f>
        <v>-7717.5</v>
      </c>
      <c r="AF170" s="67" t="n">
        <f aca="false">-Inputs!$C$17*(1+Inputs!$C$18)^(AF$132-1)*1</f>
        <v>-7717.5</v>
      </c>
      <c r="AG170" s="67" t="n">
        <f aca="false">-Inputs!$C$17*(1+Inputs!$C$18)^(AG$132-1)*1</f>
        <v>-7717.5</v>
      </c>
      <c r="AH170" s="67" t="n">
        <f aca="false">-Inputs!$C$17*(1+Inputs!$C$18)^(AH$132-1)*1</f>
        <v>-7717.5</v>
      </c>
      <c r="AI170" s="67" t="n">
        <f aca="false">-Inputs!$C$17*(1+Inputs!$C$18)^(AI$132-1)*1</f>
        <v>-7717.5</v>
      </c>
      <c r="AJ170" s="67" t="n">
        <f aca="false">-Inputs!$C$17*(1+Inputs!$C$18)^(AJ$132-1)*1</f>
        <v>-7717.5</v>
      </c>
      <c r="AK170" s="67" t="n">
        <f aca="false">-Inputs!$C$17*(1+Inputs!$C$18)^(AK$132-1)*1</f>
        <v>-7717.5</v>
      </c>
      <c r="AL170" s="67" t="n">
        <f aca="false">-Inputs!$C$17*(1+Inputs!$C$18)^(AL$132-1)*1</f>
        <v>-7717.5</v>
      </c>
    </row>
    <row r="171" customFormat="false" ht="15" hidden="false" customHeight="false" outlineLevel="0" collapsed="false">
      <c r="A171" s="6" t="s">
        <v>358</v>
      </c>
      <c r="C171" s="67" t="n">
        <f aca="false">-Inputs!$C$48*Inputs!$C$49/12*1</f>
        <v>-10000</v>
      </c>
      <c r="D171" s="67" t="n">
        <f aca="false">-Inputs!$C$48*Inputs!$C$49/12*1</f>
        <v>-10000</v>
      </c>
      <c r="E171" s="67" t="n">
        <f aca="false">-Inputs!$C$48*Inputs!$C$49/12*1</f>
        <v>-10000</v>
      </c>
      <c r="F171" s="67" t="n">
        <f aca="false">-Inputs!$C$48*Inputs!$C$49/12*1</f>
        <v>-10000</v>
      </c>
      <c r="G171" s="67" t="n">
        <f aca="false">-Inputs!$C$48*Inputs!$C$49/12*1</f>
        <v>-10000</v>
      </c>
      <c r="H171" s="67" t="n">
        <f aca="false">-Inputs!$C$48*Inputs!$C$49/12*1</f>
        <v>-10000</v>
      </c>
      <c r="I171" s="67" t="n">
        <f aca="false">-Inputs!$C$48*Inputs!$C$49/12*1</f>
        <v>-10000</v>
      </c>
      <c r="J171" s="67" t="n">
        <f aca="false">-Inputs!$C$48*Inputs!$C$49/12*1</f>
        <v>-10000</v>
      </c>
      <c r="K171" s="67" t="n">
        <f aca="false">-Inputs!$C$48*Inputs!$C$49/12*1</f>
        <v>-10000</v>
      </c>
      <c r="L171" s="67" t="n">
        <f aca="false">-Inputs!$C$48*Inputs!$C$49/12*1</f>
        <v>-10000</v>
      </c>
      <c r="M171" s="67" t="n">
        <f aca="false">-Inputs!$C$48*Inputs!$C$49/12*1</f>
        <v>-10000</v>
      </c>
      <c r="N171" s="67" t="n">
        <f aca="false">-Inputs!$C$48*Inputs!$C$49/12*1</f>
        <v>-10000</v>
      </c>
      <c r="O171" s="67" t="n">
        <f aca="false">-Inputs!$C$48*Inputs!$C$49/12*1</f>
        <v>-10000</v>
      </c>
      <c r="P171" s="67" t="n">
        <f aca="false">-Inputs!$C$48*Inputs!$C$49/12*1</f>
        <v>-10000</v>
      </c>
      <c r="Q171" s="67" t="n">
        <f aca="false">-Inputs!$C$48*Inputs!$C$49/12*1</f>
        <v>-10000</v>
      </c>
      <c r="R171" s="67" t="n">
        <f aca="false">-Inputs!$C$48*Inputs!$C$49/12*1</f>
        <v>-10000</v>
      </c>
      <c r="S171" s="67" t="n">
        <f aca="false">-Inputs!$C$48*Inputs!$C$49/12*1</f>
        <v>-10000</v>
      </c>
      <c r="T171" s="67" t="n">
        <f aca="false">-Inputs!$C$48*Inputs!$C$49/12*1</f>
        <v>-10000</v>
      </c>
      <c r="U171" s="67" t="n">
        <f aca="false">-Inputs!$C$48*Inputs!$C$49/12*1</f>
        <v>-10000</v>
      </c>
      <c r="V171" s="67" t="n">
        <f aca="false">-Inputs!$C$48*Inputs!$C$49/12*1</f>
        <v>-10000</v>
      </c>
      <c r="W171" s="67" t="n">
        <f aca="false">-Inputs!$C$48*Inputs!$C$49/12*1</f>
        <v>-10000</v>
      </c>
      <c r="X171" s="67" t="n">
        <f aca="false">-Inputs!$C$48*Inputs!$C$49/12*1</f>
        <v>-10000</v>
      </c>
      <c r="Y171" s="67" t="n">
        <f aca="false">-Inputs!$C$48*Inputs!$C$49/12*1</f>
        <v>-10000</v>
      </c>
      <c r="Z171" s="67" t="n">
        <f aca="false">-Inputs!$C$48*Inputs!$C$49/12*1</f>
        <v>-10000</v>
      </c>
      <c r="AA171" s="67" t="n">
        <f aca="false">-Inputs!$C$48*Inputs!$C$49/12*1</f>
        <v>-10000</v>
      </c>
      <c r="AB171" s="67" t="n">
        <f aca="false">-Inputs!$C$48*Inputs!$C$49/12*1</f>
        <v>-10000</v>
      </c>
      <c r="AC171" s="67" t="n">
        <f aca="false">-Inputs!$C$48*Inputs!$C$49/12*1</f>
        <v>-10000</v>
      </c>
      <c r="AD171" s="67" t="n">
        <f aca="false">-Inputs!$C$48*Inputs!$C$49/12*1</f>
        <v>-10000</v>
      </c>
      <c r="AE171" s="67" t="n">
        <f aca="false">-Inputs!$C$48*Inputs!$C$49/12*1</f>
        <v>-10000</v>
      </c>
      <c r="AF171" s="67" t="n">
        <f aca="false">-Inputs!$C$48*Inputs!$C$49/12*1</f>
        <v>-10000</v>
      </c>
      <c r="AG171" s="67" t="n">
        <f aca="false">-Inputs!$C$48*Inputs!$C$49/12*1</f>
        <v>-10000</v>
      </c>
      <c r="AH171" s="67" t="n">
        <f aca="false">-Inputs!$C$48*Inputs!$C$49/12*1</f>
        <v>-10000</v>
      </c>
      <c r="AI171" s="67" t="n">
        <f aca="false">-Inputs!$C$48*Inputs!$C$49/12*1</f>
        <v>-10000</v>
      </c>
      <c r="AJ171" s="67" t="n">
        <f aca="false">-Inputs!$C$48*Inputs!$C$49/12*1</f>
        <v>-10000</v>
      </c>
      <c r="AK171" s="67" t="n">
        <f aca="false">-Inputs!$C$48*Inputs!$C$49/12*1</f>
        <v>-10000</v>
      </c>
      <c r="AL171" s="67" t="n">
        <f aca="false">-Inputs!$C$48*Inputs!$C$49/12*1</f>
        <v>-10000</v>
      </c>
    </row>
    <row r="172" customFormat="false" ht="15" hidden="false" customHeight="false" outlineLevel="0" collapsed="false">
      <c r="A172" s="6" t="s">
        <v>359</v>
      </c>
      <c r="C172" s="67" t="n">
        <f aca="false">-Inputs!$C$41*1</f>
        <v>-1800</v>
      </c>
      <c r="D172" s="67" t="n">
        <f aca="false">-Inputs!$C$41*1</f>
        <v>-1800</v>
      </c>
      <c r="E172" s="67" t="n">
        <f aca="false">-Inputs!$C$41*1</f>
        <v>-1800</v>
      </c>
      <c r="F172" s="67" t="n">
        <f aca="false">-Inputs!$C$41*1</f>
        <v>-1800</v>
      </c>
      <c r="G172" s="67" t="n">
        <f aca="false">-Inputs!$C$41*1</f>
        <v>-1800</v>
      </c>
      <c r="H172" s="67" t="n">
        <f aca="false">-Inputs!$C$41*1</f>
        <v>-1800</v>
      </c>
      <c r="I172" s="67" t="n">
        <f aca="false">-Inputs!$C$41*1</f>
        <v>-1800</v>
      </c>
      <c r="J172" s="67" t="n">
        <f aca="false">-Inputs!$C$41*1</f>
        <v>-1800</v>
      </c>
      <c r="K172" s="67" t="n">
        <f aca="false">-Inputs!$C$41*1</f>
        <v>-1800</v>
      </c>
      <c r="L172" s="67" t="n">
        <f aca="false">-Inputs!$C$41*1</f>
        <v>-1800</v>
      </c>
      <c r="M172" s="67" t="n">
        <f aca="false">-Inputs!$C$41*1</f>
        <v>-1800</v>
      </c>
      <c r="N172" s="67" t="n">
        <f aca="false">-Inputs!$C$41*1</f>
        <v>-1800</v>
      </c>
      <c r="O172" s="67" t="n">
        <f aca="false">-Inputs!$C$41*1</f>
        <v>-1800</v>
      </c>
      <c r="P172" s="67" t="n">
        <f aca="false">-Inputs!$C$41*1</f>
        <v>-1800</v>
      </c>
      <c r="Q172" s="67" t="n">
        <f aca="false">-Inputs!$C$41*1</f>
        <v>-1800</v>
      </c>
      <c r="R172" s="67" t="n">
        <f aca="false">-Inputs!$C$41*1</f>
        <v>-1800</v>
      </c>
      <c r="S172" s="67" t="n">
        <f aca="false">-Inputs!$C$41*1</f>
        <v>-1800</v>
      </c>
      <c r="T172" s="67" t="n">
        <f aca="false">-Inputs!$C$41*1</f>
        <v>-1800</v>
      </c>
      <c r="U172" s="67" t="n">
        <f aca="false">-Inputs!$C$41*1</f>
        <v>-1800</v>
      </c>
      <c r="V172" s="67" t="n">
        <f aca="false">-Inputs!$C$41*1</f>
        <v>-1800</v>
      </c>
      <c r="W172" s="67" t="n">
        <f aca="false">-Inputs!$C$41*1</f>
        <v>-1800</v>
      </c>
      <c r="X172" s="67" t="n">
        <f aca="false">-Inputs!$C$41*1</f>
        <v>-1800</v>
      </c>
      <c r="Y172" s="67" t="n">
        <f aca="false">-Inputs!$C$41*1</f>
        <v>-1800</v>
      </c>
      <c r="Z172" s="67" t="n">
        <f aca="false">-Inputs!$C$41*1</f>
        <v>-1800</v>
      </c>
      <c r="AA172" s="67" t="n">
        <f aca="false">-Inputs!$C$41*1</f>
        <v>-1800</v>
      </c>
      <c r="AB172" s="67" t="n">
        <f aca="false">-Inputs!$C$41*1</f>
        <v>-1800</v>
      </c>
      <c r="AC172" s="67" t="n">
        <f aca="false">-Inputs!$C$41*1</f>
        <v>-1800</v>
      </c>
      <c r="AD172" s="67" t="n">
        <f aca="false">-Inputs!$C$41*1</f>
        <v>-1800</v>
      </c>
      <c r="AE172" s="67" t="n">
        <f aca="false">-Inputs!$C$41*1</f>
        <v>-1800</v>
      </c>
      <c r="AF172" s="67" t="n">
        <f aca="false">-Inputs!$C$41*1</f>
        <v>-1800</v>
      </c>
      <c r="AG172" s="67" t="n">
        <f aca="false">-Inputs!$C$41*1</f>
        <v>-1800</v>
      </c>
      <c r="AH172" s="67" t="n">
        <f aca="false">-Inputs!$C$41*1</f>
        <v>-1800</v>
      </c>
      <c r="AI172" s="67" t="n">
        <f aca="false">-Inputs!$C$41*1</f>
        <v>-1800</v>
      </c>
      <c r="AJ172" s="67" t="n">
        <f aca="false">-Inputs!$C$41*1</f>
        <v>-1800</v>
      </c>
      <c r="AK172" s="67" t="n">
        <f aca="false">-Inputs!$C$41*1</f>
        <v>-1800</v>
      </c>
      <c r="AL172" s="67" t="n">
        <f aca="false">-Inputs!$C$41*1</f>
        <v>-1800</v>
      </c>
    </row>
    <row r="173" customFormat="false" ht="15" hidden="false" customHeight="false" outlineLevel="0" collapsed="false">
      <c r="A173" s="6" t="s">
        <v>360</v>
      </c>
      <c r="C173" s="67" t="n">
        <f aca="false">-Inputs!$C$42*1</f>
        <v>-1300</v>
      </c>
      <c r="D173" s="67" t="n">
        <f aca="false">-Inputs!$C$42*1</f>
        <v>-1300</v>
      </c>
      <c r="E173" s="67" t="n">
        <f aca="false">-Inputs!$C$42*1</f>
        <v>-1300</v>
      </c>
      <c r="F173" s="67" t="n">
        <f aca="false">-Inputs!$C$42*1</f>
        <v>-1300</v>
      </c>
      <c r="G173" s="67" t="n">
        <f aca="false">-Inputs!$C$42*1</f>
        <v>-1300</v>
      </c>
      <c r="H173" s="67" t="n">
        <f aca="false">-Inputs!$C$42*1</f>
        <v>-1300</v>
      </c>
      <c r="I173" s="67" t="n">
        <f aca="false">-Inputs!$C$42*1</f>
        <v>-1300</v>
      </c>
      <c r="J173" s="67" t="n">
        <f aca="false">-Inputs!$C$42*1</f>
        <v>-1300</v>
      </c>
      <c r="K173" s="67" t="n">
        <f aca="false">-Inputs!$C$42*1</f>
        <v>-1300</v>
      </c>
      <c r="L173" s="67" t="n">
        <f aca="false">-Inputs!$C$42*1</f>
        <v>-1300</v>
      </c>
      <c r="M173" s="67" t="n">
        <f aca="false">-Inputs!$C$42*1</f>
        <v>-1300</v>
      </c>
      <c r="N173" s="67" t="n">
        <f aca="false">-Inputs!$C$42*1</f>
        <v>-1300</v>
      </c>
      <c r="O173" s="67" t="n">
        <f aca="false">-Inputs!$C$42*1</f>
        <v>-1300</v>
      </c>
      <c r="P173" s="67" t="n">
        <f aca="false">-Inputs!$C$42*1</f>
        <v>-1300</v>
      </c>
      <c r="Q173" s="67" t="n">
        <f aca="false">-Inputs!$C$42*1</f>
        <v>-1300</v>
      </c>
      <c r="R173" s="67" t="n">
        <f aca="false">-Inputs!$C$42*1</f>
        <v>-1300</v>
      </c>
      <c r="S173" s="67" t="n">
        <f aca="false">-Inputs!$C$42*1</f>
        <v>-1300</v>
      </c>
      <c r="T173" s="67" t="n">
        <f aca="false">-Inputs!$C$42*1</f>
        <v>-1300</v>
      </c>
      <c r="U173" s="67" t="n">
        <f aca="false">-Inputs!$C$42*1</f>
        <v>-1300</v>
      </c>
      <c r="V173" s="67" t="n">
        <f aca="false">-Inputs!$C$42*1</f>
        <v>-1300</v>
      </c>
      <c r="W173" s="67" t="n">
        <f aca="false">-Inputs!$C$42*1</f>
        <v>-1300</v>
      </c>
      <c r="X173" s="67" t="n">
        <f aca="false">-Inputs!$C$42*1</f>
        <v>-1300</v>
      </c>
      <c r="Y173" s="67" t="n">
        <f aca="false">-Inputs!$C$42*1</f>
        <v>-1300</v>
      </c>
      <c r="Z173" s="67" t="n">
        <f aca="false">-Inputs!$C$42*1</f>
        <v>-1300</v>
      </c>
      <c r="AA173" s="67" t="n">
        <f aca="false">-Inputs!$C$42*1</f>
        <v>-1300</v>
      </c>
      <c r="AB173" s="67" t="n">
        <f aca="false">-Inputs!$C$42*1</f>
        <v>-1300</v>
      </c>
      <c r="AC173" s="67" t="n">
        <f aca="false">-Inputs!$C$42*1</f>
        <v>-1300</v>
      </c>
      <c r="AD173" s="67" t="n">
        <f aca="false">-Inputs!$C$42*1</f>
        <v>-1300</v>
      </c>
      <c r="AE173" s="67" t="n">
        <f aca="false">-Inputs!$C$42*1</f>
        <v>-1300</v>
      </c>
      <c r="AF173" s="67" t="n">
        <f aca="false">-Inputs!$C$42*1</f>
        <v>-1300</v>
      </c>
      <c r="AG173" s="67" t="n">
        <f aca="false">-Inputs!$C$42*1</f>
        <v>-1300</v>
      </c>
      <c r="AH173" s="67" t="n">
        <f aca="false">-Inputs!$C$42*1</f>
        <v>-1300</v>
      </c>
      <c r="AI173" s="67" t="n">
        <f aca="false">-Inputs!$C$42*1</f>
        <v>-1300</v>
      </c>
      <c r="AJ173" s="67" t="n">
        <f aca="false">-Inputs!$C$42*1</f>
        <v>-1300</v>
      </c>
      <c r="AK173" s="67" t="n">
        <f aca="false">-Inputs!$C$42*1</f>
        <v>-1300</v>
      </c>
      <c r="AL173" s="67" t="n">
        <f aca="false">-Inputs!$C$42*1</f>
        <v>-1300</v>
      </c>
    </row>
    <row r="174" customFormat="false" ht="15" hidden="false" customHeight="false" outlineLevel="0" collapsed="false">
      <c r="A174" s="6" t="s">
        <v>361</v>
      </c>
      <c r="C174" s="67" t="n">
        <f aca="false">-Inputs!$C$43*1</f>
        <v>-1100</v>
      </c>
      <c r="D174" s="67" t="n">
        <f aca="false">-Inputs!$C$43*1</f>
        <v>-1100</v>
      </c>
      <c r="E174" s="67" t="n">
        <f aca="false">-Inputs!$C$43*1</f>
        <v>-1100</v>
      </c>
      <c r="F174" s="67" t="n">
        <f aca="false">-Inputs!$C$43*1</f>
        <v>-1100</v>
      </c>
      <c r="G174" s="67" t="n">
        <f aca="false">-Inputs!$C$43*1</f>
        <v>-1100</v>
      </c>
      <c r="H174" s="67" t="n">
        <f aca="false">-Inputs!$C$43*1</f>
        <v>-1100</v>
      </c>
      <c r="I174" s="67" t="n">
        <f aca="false">-Inputs!$C$43*1</f>
        <v>-1100</v>
      </c>
      <c r="J174" s="67" t="n">
        <f aca="false">-Inputs!$C$43*1</f>
        <v>-1100</v>
      </c>
      <c r="K174" s="67" t="n">
        <f aca="false">-Inputs!$C$43*1</f>
        <v>-1100</v>
      </c>
      <c r="L174" s="67" t="n">
        <f aca="false">-Inputs!$C$43*1</f>
        <v>-1100</v>
      </c>
      <c r="M174" s="67" t="n">
        <f aca="false">-Inputs!$C$43*1</f>
        <v>-1100</v>
      </c>
      <c r="N174" s="67" t="n">
        <f aca="false">-Inputs!$C$43*1</f>
        <v>-1100</v>
      </c>
      <c r="O174" s="67" t="n">
        <f aca="false">-Inputs!$C$43*1</f>
        <v>-1100</v>
      </c>
      <c r="P174" s="67" t="n">
        <f aca="false">-Inputs!$C$43*1</f>
        <v>-1100</v>
      </c>
      <c r="Q174" s="67" t="n">
        <f aca="false">-Inputs!$C$43*1</f>
        <v>-1100</v>
      </c>
      <c r="R174" s="67" t="n">
        <f aca="false">-Inputs!$C$43*1</f>
        <v>-1100</v>
      </c>
      <c r="S174" s="67" t="n">
        <f aca="false">-Inputs!$C$43*1</f>
        <v>-1100</v>
      </c>
      <c r="T174" s="67" t="n">
        <f aca="false">-Inputs!$C$43*1</f>
        <v>-1100</v>
      </c>
      <c r="U174" s="67" t="n">
        <f aca="false">-Inputs!$C$43*1</f>
        <v>-1100</v>
      </c>
      <c r="V174" s="67" t="n">
        <f aca="false">-Inputs!$C$43*1</f>
        <v>-1100</v>
      </c>
      <c r="W174" s="67" t="n">
        <f aca="false">-Inputs!$C$43*1</f>
        <v>-1100</v>
      </c>
      <c r="X174" s="67" t="n">
        <f aca="false">-Inputs!$C$43*1</f>
        <v>-1100</v>
      </c>
      <c r="Y174" s="67" t="n">
        <f aca="false">-Inputs!$C$43*1</f>
        <v>-1100</v>
      </c>
      <c r="Z174" s="67" t="n">
        <f aca="false">-Inputs!$C$43*1</f>
        <v>-1100</v>
      </c>
      <c r="AA174" s="67" t="n">
        <f aca="false">-Inputs!$C$43*1</f>
        <v>-1100</v>
      </c>
      <c r="AB174" s="67" t="n">
        <f aca="false">-Inputs!$C$43*1</f>
        <v>-1100</v>
      </c>
      <c r="AC174" s="67" t="n">
        <f aca="false">-Inputs!$C$43*1</f>
        <v>-1100</v>
      </c>
      <c r="AD174" s="67" t="n">
        <f aca="false">-Inputs!$C$43*1</f>
        <v>-1100</v>
      </c>
      <c r="AE174" s="67" t="n">
        <f aca="false">-Inputs!$C$43*1</f>
        <v>-1100</v>
      </c>
      <c r="AF174" s="67" t="n">
        <f aca="false">-Inputs!$C$43*1</f>
        <v>-1100</v>
      </c>
      <c r="AG174" s="67" t="n">
        <f aca="false">-Inputs!$C$43*1</f>
        <v>-1100</v>
      </c>
      <c r="AH174" s="67" t="n">
        <f aca="false">-Inputs!$C$43*1</f>
        <v>-1100</v>
      </c>
      <c r="AI174" s="67" t="n">
        <f aca="false">-Inputs!$C$43*1</f>
        <v>-1100</v>
      </c>
      <c r="AJ174" s="67" t="n">
        <f aca="false">-Inputs!$C$43*1</f>
        <v>-1100</v>
      </c>
      <c r="AK174" s="67" t="n">
        <f aca="false">-Inputs!$C$43*1</f>
        <v>-1100</v>
      </c>
      <c r="AL174" s="67" t="n">
        <f aca="false">-Inputs!$C$43*1</f>
        <v>-1100</v>
      </c>
    </row>
    <row r="175" customFormat="false" ht="15" hidden="false" customHeight="false" outlineLevel="0" collapsed="false">
      <c r="A175" s="6" t="s">
        <v>362</v>
      </c>
      <c r="C175" s="67" t="n">
        <f aca="false">-Inputs!$C$44*1</f>
        <v>-1400</v>
      </c>
      <c r="D175" s="67" t="n">
        <f aca="false">-Inputs!$C$44*1</f>
        <v>-1400</v>
      </c>
      <c r="E175" s="67" t="n">
        <f aca="false">-Inputs!$C$44*1</f>
        <v>-1400</v>
      </c>
      <c r="F175" s="67" t="n">
        <f aca="false">-Inputs!$C$44*1</f>
        <v>-1400</v>
      </c>
      <c r="G175" s="67" t="n">
        <f aca="false">-Inputs!$C$44*1</f>
        <v>-1400</v>
      </c>
      <c r="H175" s="67" t="n">
        <f aca="false">-Inputs!$C$44*1</f>
        <v>-1400</v>
      </c>
      <c r="I175" s="67" t="n">
        <f aca="false">-Inputs!$C$44*1</f>
        <v>-1400</v>
      </c>
      <c r="J175" s="67" t="n">
        <f aca="false">-Inputs!$C$44*1</f>
        <v>-1400</v>
      </c>
      <c r="K175" s="67" t="n">
        <f aca="false">-Inputs!$C$44*1</f>
        <v>-1400</v>
      </c>
      <c r="L175" s="67" t="n">
        <f aca="false">-Inputs!$C$44*1</f>
        <v>-1400</v>
      </c>
      <c r="M175" s="67" t="n">
        <f aca="false">-Inputs!$C$44*1</f>
        <v>-1400</v>
      </c>
      <c r="N175" s="67" t="n">
        <f aca="false">-Inputs!$C$44*1</f>
        <v>-1400</v>
      </c>
      <c r="O175" s="67" t="n">
        <f aca="false">-Inputs!$C$44*1</f>
        <v>-1400</v>
      </c>
      <c r="P175" s="67" t="n">
        <f aca="false">-Inputs!$C$44*1</f>
        <v>-1400</v>
      </c>
      <c r="Q175" s="67" t="n">
        <f aca="false">-Inputs!$C$44*1</f>
        <v>-1400</v>
      </c>
      <c r="R175" s="67" t="n">
        <f aca="false">-Inputs!$C$44*1</f>
        <v>-1400</v>
      </c>
      <c r="S175" s="67" t="n">
        <f aca="false">-Inputs!$C$44*1</f>
        <v>-1400</v>
      </c>
      <c r="T175" s="67" t="n">
        <f aca="false">-Inputs!$C$44*1</f>
        <v>-1400</v>
      </c>
      <c r="U175" s="67" t="n">
        <f aca="false">-Inputs!$C$44*1</f>
        <v>-1400</v>
      </c>
      <c r="V175" s="67" t="n">
        <f aca="false">-Inputs!$C$44*1</f>
        <v>-1400</v>
      </c>
      <c r="W175" s="67" t="n">
        <f aca="false">-Inputs!$C$44*1</f>
        <v>-1400</v>
      </c>
      <c r="X175" s="67" t="n">
        <f aca="false">-Inputs!$C$44*1</f>
        <v>-1400</v>
      </c>
      <c r="Y175" s="67" t="n">
        <f aca="false">-Inputs!$C$44*1</f>
        <v>-1400</v>
      </c>
      <c r="Z175" s="67" t="n">
        <f aca="false">-Inputs!$C$44*1</f>
        <v>-1400</v>
      </c>
      <c r="AA175" s="67" t="n">
        <f aca="false">-Inputs!$C$44*1</f>
        <v>-1400</v>
      </c>
      <c r="AB175" s="67" t="n">
        <f aca="false">-Inputs!$C$44*1</f>
        <v>-1400</v>
      </c>
      <c r="AC175" s="67" t="n">
        <f aca="false">-Inputs!$C$44*1</f>
        <v>-1400</v>
      </c>
      <c r="AD175" s="67" t="n">
        <f aca="false">-Inputs!$C$44*1</f>
        <v>-1400</v>
      </c>
      <c r="AE175" s="67" t="n">
        <f aca="false">-Inputs!$C$44*1</f>
        <v>-1400</v>
      </c>
      <c r="AF175" s="67" t="n">
        <f aca="false">-Inputs!$C$44*1</f>
        <v>-1400</v>
      </c>
      <c r="AG175" s="67" t="n">
        <f aca="false">-Inputs!$C$44*1</f>
        <v>-1400</v>
      </c>
      <c r="AH175" s="67" t="n">
        <f aca="false">-Inputs!$C$44*1</f>
        <v>-1400</v>
      </c>
      <c r="AI175" s="67" t="n">
        <f aca="false">-Inputs!$C$44*1</f>
        <v>-1400</v>
      </c>
      <c r="AJ175" s="67" t="n">
        <f aca="false">-Inputs!$C$44*1</f>
        <v>-1400</v>
      </c>
      <c r="AK175" s="67" t="n">
        <f aca="false">-Inputs!$C$44*1</f>
        <v>-1400</v>
      </c>
      <c r="AL175" s="67" t="n">
        <f aca="false">-Inputs!$C$44*1</f>
        <v>-1400</v>
      </c>
    </row>
    <row r="176" customFormat="false" ht="15" hidden="false" customHeight="false" outlineLevel="0" collapsed="false">
      <c r="A176" s="6" t="s">
        <v>363</v>
      </c>
      <c r="C176" s="67" t="n">
        <f aca="false">-Inputs!$C$45*1</f>
        <v>-3000</v>
      </c>
      <c r="D176" s="67" t="n">
        <f aca="false">-Inputs!$C$45*1</f>
        <v>-3000</v>
      </c>
      <c r="E176" s="67" t="n">
        <f aca="false">-Inputs!$C$45*1</f>
        <v>-3000</v>
      </c>
      <c r="F176" s="67" t="n">
        <f aca="false">-Inputs!$C$45*1</f>
        <v>-3000</v>
      </c>
      <c r="G176" s="67" t="n">
        <f aca="false">-Inputs!$C$45*1</f>
        <v>-3000</v>
      </c>
      <c r="H176" s="67" t="n">
        <f aca="false">-Inputs!$C$45*1</f>
        <v>-3000</v>
      </c>
      <c r="I176" s="67" t="n">
        <f aca="false">-Inputs!$C$45*1</f>
        <v>-3000</v>
      </c>
      <c r="J176" s="67" t="n">
        <f aca="false">-Inputs!$C$45*1</f>
        <v>-3000</v>
      </c>
      <c r="K176" s="67" t="n">
        <f aca="false">-Inputs!$C$45*1</f>
        <v>-3000</v>
      </c>
      <c r="L176" s="67" t="n">
        <f aca="false">-Inputs!$C$45*1</f>
        <v>-3000</v>
      </c>
      <c r="M176" s="67" t="n">
        <f aca="false">-Inputs!$C$45*1</f>
        <v>-3000</v>
      </c>
      <c r="N176" s="67" t="n">
        <f aca="false">-Inputs!$C$45*1</f>
        <v>-3000</v>
      </c>
      <c r="O176" s="67" t="n">
        <f aca="false">-Inputs!$C$45*1</f>
        <v>-3000</v>
      </c>
      <c r="P176" s="67" t="n">
        <f aca="false">-Inputs!$C$45*1</f>
        <v>-3000</v>
      </c>
      <c r="Q176" s="67" t="n">
        <f aca="false">-Inputs!$C$45*1</f>
        <v>-3000</v>
      </c>
      <c r="R176" s="67" t="n">
        <f aca="false">-Inputs!$C$45*1</f>
        <v>-3000</v>
      </c>
      <c r="S176" s="67" t="n">
        <f aca="false">-Inputs!$C$45*1</f>
        <v>-3000</v>
      </c>
      <c r="T176" s="67" t="n">
        <f aca="false">-Inputs!$C$45*1</f>
        <v>-3000</v>
      </c>
      <c r="U176" s="67" t="n">
        <f aca="false">-Inputs!$C$45*1</f>
        <v>-3000</v>
      </c>
      <c r="V176" s="67" t="n">
        <f aca="false">-Inputs!$C$45*1</f>
        <v>-3000</v>
      </c>
      <c r="W176" s="67" t="n">
        <f aca="false">-Inputs!$C$45*1</f>
        <v>-3000</v>
      </c>
      <c r="X176" s="67" t="n">
        <f aca="false">-Inputs!$C$45*1</f>
        <v>-3000</v>
      </c>
      <c r="Y176" s="67" t="n">
        <f aca="false">-Inputs!$C$45*1</f>
        <v>-3000</v>
      </c>
      <c r="Z176" s="67" t="n">
        <f aca="false">-Inputs!$C$45*1</f>
        <v>-3000</v>
      </c>
      <c r="AA176" s="67" t="n">
        <f aca="false">-Inputs!$C$45*1</f>
        <v>-3000</v>
      </c>
      <c r="AB176" s="67" t="n">
        <f aca="false">-Inputs!$C$45*1</f>
        <v>-3000</v>
      </c>
      <c r="AC176" s="67" t="n">
        <f aca="false">-Inputs!$C$45*1</f>
        <v>-3000</v>
      </c>
      <c r="AD176" s="67" t="n">
        <f aca="false">-Inputs!$C$45*1</f>
        <v>-3000</v>
      </c>
      <c r="AE176" s="67" t="n">
        <f aca="false">-Inputs!$C$45*1</f>
        <v>-3000</v>
      </c>
      <c r="AF176" s="67" t="n">
        <f aca="false">-Inputs!$C$45*1</f>
        <v>-3000</v>
      </c>
      <c r="AG176" s="67" t="n">
        <f aca="false">-Inputs!$C$45*1</f>
        <v>-3000</v>
      </c>
      <c r="AH176" s="67" t="n">
        <f aca="false">-Inputs!$C$45*1</f>
        <v>-3000</v>
      </c>
      <c r="AI176" s="67" t="n">
        <f aca="false">-Inputs!$C$45*1</f>
        <v>-3000</v>
      </c>
      <c r="AJ176" s="67" t="n">
        <f aca="false">-Inputs!$C$45*1</f>
        <v>-3000</v>
      </c>
      <c r="AK176" s="67" t="n">
        <f aca="false">-Inputs!$C$45*1</f>
        <v>-3000</v>
      </c>
      <c r="AL176" s="67" t="n">
        <f aca="false">-Inputs!$C$45*1</f>
        <v>-3000</v>
      </c>
    </row>
    <row r="177" customFormat="false" ht="15" hidden="false" customHeight="false" outlineLevel="0" collapsed="false">
      <c r="A177" s="111" t="s">
        <v>76</v>
      </c>
      <c r="C177" s="68" t="n">
        <f aca="false">C168+C169+C170+C171+C172+C173+C174+C175+C176</f>
        <v>-116196.667116771</v>
      </c>
      <c r="D177" s="68" t="n">
        <f aca="false">D168+D169+D170+D171+D172+D173+D174+D175+D176</f>
        <v>-116245.757106353</v>
      </c>
      <c r="E177" s="68" t="n">
        <f aca="false">E168+E169+E170+E171+E172+E173+E174+E175+E176</f>
        <v>-116294.15983608</v>
      </c>
      <c r="F177" s="68" t="n">
        <f aca="false">F168+F169+F170+F171+F172+F173+F174+F175+F176</f>
        <v>-116341.884927592</v>
      </c>
      <c r="G177" s="68" t="n">
        <f aca="false">G168+G169+G170+G171+G172+G173+G174+G175+G176</f>
        <v>-116388.941867822</v>
      </c>
      <c r="H177" s="68" t="n">
        <f aca="false">H168+H169+H170+H171+H172+H173+H174+H175+H176</f>
        <v>-116435.34001089</v>
      </c>
      <c r="I177" s="68" t="n">
        <f aca="false">I168+I169+I170+I171+I172+I173+I174+I175+I176</f>
        <v>-116481.088579954</v>
      </c>
      <c r="J177" s="68" t="n">
        <f aca="false">J168+J169+J170+J171+J172+J173+J174+J175+J176</f>
        <v>-116526.196669051</v>
      </c>
      <c r="K177" s="68" t="n">
        <f aca="false">K168+K169+K170+K171+K172+K173+K174+K175+K176</f>
        <v>-116570.673244901</v>
      </c>
      <c r="L177" s="68" t="n">
        <f aca="false">L168+L169+L170+L171+L172+L173+L174+L175+L176</f>
        <v>-116614.527148689</v>
      </c>
      <c r="M177" s="68" t="n">
        <f aca="false">M168+M169+M170+M171+M172+M173+M174+M175+M176</f>
        <v>-116657.767097824</v>
      </c>
      <c r="N177" s="68" t="n">
        <f aca="false">N168+N169+N170+N171+N172+N173+N174+N175+N176</f>
        <v>-116700.401687671</v>
      </c>
      <c r="O177" s="68" t="n">
        <f aca="false">O168+O169+O170+O171+O172+O173+O174+O175+O176</f>
        <v>-122800.347977929</v>
      </c>
      <c r="P177" s="68" t="n">
        <f aca="false">P168+P169+P170+P171+P172+P173+P174+P175+P176</f>
        <v>-122853.285071493</v>
      </c>
      <c r="Q177" s="68" t="n">
        <f aca="false">Q168+Q169+Q170+Q171+Q172+Q173+Q174+Q175+Q176</f>
        <v>-122905.481045747</v>
      </c>
      <c r="R177" s="68" t="n">
        <f aca="false">R168+R169+R170+R171+R172+R173+R174+R175+R176</f>
        <v>-122956.946276361</v>
      </c>
      <c r="S177" s="68" t="n">
        <f aca="false">S168+S169+S170+S171+S172+S173+S174+S175+S176</f>
        <v>-123007.690993747</v>
      </c>
      <c r="T177" s="68" t="n">
        <f aca="false">T168+T169+T170+T171+T172+T173+T174+T175+T176</f>
        <v>-123057.72528509</v>
      </c>
      <c r="U177" s="68" t="n">
        <f aca="false">U168+U169+U170+U171+U172+U173+U174+U175+U176</f>
        <v>-123107.059096353</v>
      </c>
      <c r="V177" s="68" t="n">
        <f aca="false">V168+V169+V170+V171+V172+V173+V174+V175+V176</f>
        <v>-123155.702234259</v>
      </c>
      <c r="W177" s="68" t="n">
        <f aca="false">W168+W169+W170+W171+W172+W173+W174+W175+W176</f>
        <v>-123203.664368234</v>
      </c>
      <c r="X177" s="68" t="n">
        <f aca="false">X168+X169+X170+X171+X172+X173+X174+X175+X176</f>
        <v>-123250.955032334</v>
      </c>
      <c r="Y177" s="68" t="n">
        <f aca="false">Y168+Y169+Y170+Y171+Y172+Y173+Y174+Y175+Y176</f>
        <v>-123297.583627136</v>
      </c>
      <c r="Z177" s="68" t="n">
        <f aca="false">Z168+Z169+Z170+Z171+Z172+Z173+Z174+Z175+Z176</f>
        <v>-123343.559421611</v>
      </c>
      <c r="AA177" s="68" t="n">
        <f aca="false">AA168+AA169+AA170+AA171+AA172+AA173+AA174+AA175+AA176</f>
        <v>-129900.226389262</v>
      </c>
      <c r="AB177" s="68" t="n">
        <f aca="false">AB168+AB169+AB170+AB171+AB172+AB173+AB174+AB175+AB176</f>
        <v>-129957.393069185</v>
      </c>
      <c r="AC177" s="68" t="n">
        <f aca="false">AC168+AC169+AC170+AC171+AC172+AC173+AC174+AC175+AC176</f>
        <v>-130013.759415589</v>
      </c>
      <c r="AD177" s="68" t="n">
        <f aca="false">AD168+AD169+AD170+AD171+AD172+AD173+AD174+AD175+AD176</f>
        <v>-130069.336633144</v>
      </c>
      <c r="AE177" s="68" t="n">
        <f aca="false">AE168+AE169+AE170+AE171+AE172+AE173+AE174+AE175+AE176</f>
        <v>-130124.135769653</v>
      </c>
      <c r="AF177" s="68" t="n">
        <f aca="false">AF168+AF169+AF170+AF171+AF172+AF173+AF174+AF175+AF176</f>
        <v>-130178.16771825</v>
      </c>
      <c r="AG177" s="68" t="n">
        <f aca="false">AG168+AG169+AG170+AG171+AG172+AG173+AG174+AG175+AG176</f>
        <v>-130231.443219568</v>
      </c>
      <c r="AH177" s="68" t="n">
        <f aca="false">AH168+AH169+AH170+AH171+AH172+AH173+AH174+AH175+AH176</f>
        <v>-130283.972863866</v>
      </c>
      <c r="AI177" s="68" t="n">
        <f aca="false">AI168+AI169+AI170+AI171+AI172+AI173+AI174+AI175+AI176</f>
        <v>-130335.767093145</v>
      </c>
      <c r="AJ177" s="68" t="n">
        <f aca="false">AJ168+AJ169+AJ170+AJ171+AJ172+AJ173+AJ174+AJ175+AJ176</f>
        <v>-130386.836203214</v>
      </c>
      <c r="AK177" s="68" t="n">
        <f aca="false">AK168+AK169+AK170+AK171+AK172+AK173+AK174+AK175+AK176</f>
        <v>-130437.190345742</v>
      </c>
      <c r="AL177" s="68" t="n">
        <f aca="false">AL168+AL169+AL170+AL171+AL172+AL173+AL174+AL175+AL176</f>
        <v>-130486.839530274</v>
      </c>
    </row>
    <row r="178" customFormat="false" ht="15" hidden="false" customHeight="false" outlineLevel="0" collapsed="false">
      <c r="A178" s="111" t="s">
        <v>48</v>
      </c>
      <c r="C178" s="68" t="n">
        <f aca="false">C165+C177</f>
        <v>22188.2597272812</v>
      </c>
      <c r="D178" s="68" t="n">
        <f aca="false">D165+D177</f>
        <v>22773.4136985443</v>
      </c>
      <c r="E178" s="68" t="n">
        <f aca="false">E165+E177</f>
        <v>23350.3755142097</v>
      </c>
      <c r="F178" s="68" t="n">
        <f aca="false">F165+F177</f>
        <v>23919.2598644558</v>
      </c>
      <c r="G178" s="68" t="n">
        <f aca="false">G165+G177</f>
        <v>24480.1798337984</v>
      </c>
      <c r="H178" s="68" t="n">
        <f aca="false">H165+H177</f>
        <v>25033.2469235702</v>
      </c>
      <c r="I178" s="68" t="n">
        <f aca="false">I165+I177</f>
        <v>25578.5710740852</v>
      </c>
      <c r="J178" s="68" t="n">
        <f aca="false">J165+J177</f>
        <v>26116.260686493</v>
      </c>
      <c r="K178" s="68" t="n">
        <f aca="false">K165+K177</f>
        <v>26646.4226443271</v>
      </c>
      <c r="L178" s="68" t="n">
        <f aca="false">L165+L177</f>
        <v>27169.1623347516</v>
      </c>
      <c r="M178" s="68" t="n">
        <f aca="false">M165+M177</f>
        <v>27684.58366951</v>
      </c>
      <c r="N178" s="68" t="n">
        <f aca="false">N165+N177</f>
        <v>28192.7891055819</v>
      </c>
      <c r="O178" s="68" t="n">
        <f aca="false">O165+O177</f>
        <v>27796.816273592</v>
      </c>
      <c r="P178" s="68" t="n">
        <f aca="false">P165+P177</f>
        <v>28427.8278258426</v>
      </c>
      <c r="Q178" s="68" t="n">
        <f aca="false">Q165+Q177</f>
        <v>29050.0052163617</v>
      </c>
      <c r="R178" s="68" t="n">
        <f aca="false">R165+R177</f>
        <v>29663.4721234136</v>
      </c>
      <c r="S178" s="68" t="n">
        <f aca="false">S165+S177</f>
        <v>30268.3504937667</v>
      </c>
      <c r="T178" s="68" t="n">
        <f aca="false">T165+T177</f>
        <v>30864.7605669348</v>
      </c>
      <c r="U178" s="68" t="n">
        <f aca="false">U165+U177</f>
        <v>31452.8208990787</v>
      </c>
      <c r="V178" s="68" t="n">
        <f aca="false">V165+V177</f>
        <v>32032.6483865725</v>
      </c>
      <c r="W178" s="68" t="n">
        <f aca="false">W165+W177</f>
        <v>32604.3582892415</v>
      </c>
      <c r="X178" s="68" t="n">
        <f aca="false">X165+X177</f>
        <v>33168.064253273</v>
      </c>
      <c r="Y178" s="68" t="n">
        <f aca="false">Y165+Y177</f>
        <v>33723.8783338081</v>
      </c>
      <c r="Z178" s="68" t="n">
        <f aca="false">Z165+Z177</f>
        <v>34271.9110172157</v>
      </c>
      <c r="AA178" s="68" t="n">
        <f aca="false">AA165+AA177</f>
        <v>33913.5526806697</v>
      </c>
      <c r="AB178" s="68" t="n">
        <f aca="false">AB165+AB177</f>
        <v>34594.9810139384</v>
      </c>
      <c r="AC178" s="68" t="n">
        <f aca="false">AC165+AC177</f>
        <v>35266.8693505414</v>
      </c>
      <c r="AD178" s="68" t="n">
        <f aca="false">AD165+AD177</f>
        <v>35929.3512504319</v>
      </c>
      <c r="AE178" s="68" t="n">
        <f aca="false">AE165+AE177</f>
        <v>36582.558403724</v>
      </c>
      <c r="AF178" s="68" t="n">
        <f aca="false">AF165+AF177</f>
        <v>37226.62065687</v>
      </c>
      <c r="AG178" s="68" t="n">
        <f aca="false">AG165+AG177</f>
        <v>37861.6660384719</v>
      </c>
      <c r="AH178" s="68" t="n">
        <f aca="false">AH165+AH177</f>
        <v>38487.8207847315</v>
      </c>
      <c r="AI178" s="68" t="n">
        <f aca="false">AI165+AI177</f>
        <v>39105.2093645433</v>
      </c>
      <c r="AJ178" s="68" t="n">
        <f aca="false">AJ165+AJ177</f>
        <v>39713.9545042378</v>
      </c>
      <c r="AK178" s="68" t="n">
        <f aca="false">AK165+AK177</f>
        <v>40314.1772119767</v>
      </c>
      <c r="AL178" s="68" t="n">
        <f aca="false">AL165+AL177</f>
        <v>40905.9968018071</v>
      </c>
    </row>
    <row r="180" customFormat="false" ht="15.75" hidden="false" customHeight="true" outlineLevel="0" collapsed="false">
      <c r="A180" s="7" t="s">
        <v>432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customFormat="false" ht="15" hidden="false" customHeight="false" outlineLevel="0" collapsed="false">
      <c r="A181" s="4" t="s">
        <v>78</v>
      </c>
      <c r="C181" s="73" t="n">
        <f aca="false">C178+C192</f>
        <v>21445.2665186191</v>
      </c>
      <c r="D181" s="73" t="n">
        <f aca="false">D178+D192</f>
        <v>22001.5821974322</v>
      </c>
      <c r="E181" s="73" t="n">
        <f aca="false">E178+E192</f>
        <v>22549.576753747</v>
      </c>
      <c r="F181" s="73" t="n">
        <f aca="false">F178+F192</f>
        <v>23089.3666832786</v>
      </c>
      <c r="G181" s="73" t="n">
        <f aca="false">G178+G192</f>
        <v>23621.0668508019</v>
      </c>
      <c r="H181" s="73" t="n">
        <f aca="false">H178+H192</f>
        <v>24144.7905129849</v>
      </c>
      <c r="I181" s="73" t="n">
        <f aca="false">I178+I192</f>
        <v>24660.6493409025</v>
      </c>
      <c r="J181" s="73" t="n">
        <f aca="false">J178+J192</f>
        <v>25168.7534422344</v>
      </c>
      <c r="K181" s="73" t="n">
        <f aca="false">K178+K192</f>
        <v>25669.2113831528</v>
      </c>
      <c r="L181" s="73" t="n">
        <f aca="false">L178+L192</f>
        <v>26162.1302099035</v>
      </c>
      <c r="M181" s="73" t="n">
        <f aca="false">M178+M192</f>
        <v>26647.6154700848</v>
      </c>
      <c r="N181" s="73" t="n">
        <f aca="false">N178+N192</f>
        <v>27125.7712336287</v>
      </c>
      <c r="O181" s="73" t="n">
        <f aca="false">O178+O192</f>
        <v>26698.557930454</v>
      </c>
      <c r="P181" s="73" t="n">
        <f aca="false">P178+P192</f>
        <v>27298.1879630104</v>
      </c>
      <c r="Q181" s="73" t="n">
        <f aca="false">Q178+Q192</f>
        <v>27888.8447600051</v>
      </c>
      <c r="R181" s="73" t="n">
        <f aca="false">R178+R192</f>
        <v>28470.6539467358</v>
      </c>
      <c r="S181" s="73" t="n">
        <f aca="false">S178+S192</f>
        <v>29043.7393897461</v>
      </c>
      <c r="T181" s="73" t="n">
        <f aca="false">T178+T192</f>
        <v>29608.2232214483</v>
      </c>
      <c r="U181" s="73" t="n">
        <f aca="false">U178+U192</f>
        <v>30164.2258644006</v>
      </c>
      <c r="V181" s="73" t="n">
        <f aca="false">V178+V192</f>
        <v>30711.8660552455</v>
      </c>
      <c r="W181" s="73" t="n">
        <f aca="false">W178+W192</f>
        <v>31251.2608683126</v>
      </c>
      <c r="X181" s="73" t="n">
        <f aca="false">X178+X192</f>
        <v>31782.5257388907</v>
      </c>
      <c r="Y181" s="73" t="n">
        <f aca="false">Y178+Y192</f>
        <v>32305.7744861746</v>
      </c>
      <c r="Z181" s="73" t="n">
        <f aca="false">Z178+Z192</f>
        <v>32821.1193358905</v>
      </c>
      <c r="AA181" s="73" t="n">
        <f aca="false">AA178+AA192</f>
        <v>32428.7791743696</v>
      </c>
      <c r="AB181" s="73" t="n">
        <f aca="false">AB178+AB192</f>
        <v>33076.073364611</v>
      </c>
      <c r="AC181" s="73" t="n">
        <f aca="false">AC178+AC192</f>
        <v>33713.677372587</v>
      </c>
      <c r="AD181" s="73" t="n">
        <f aca="false">AD178+AD192</f>
        <v>34341.7268608491</v>
      </c>
      <c r="AE181" s="73" t="n">
        <f aca="false">AE178+AE192</f>
        <v>34960.3555926735</v>
      </c>
      <c r="AF181" s="73" t="n">
        <f aca="false">AF178+AF192</f>
        <v>35569.6954586502</v>
      </c>
      <c r="AG181" s="73" t="n">
        <f aca="false">AG178+AG192</f>
        <v>36169.8765029012</v>
      </c>
      <c r="AH181" s="73" t="n">
        <f aca="false">AH178+AH192</f>
        <v>36761.0269489306</v>
      </c>
      <c r="AI181" s="73" t="n">
        <f aca="false">AI178+AI192</f>
        <v>37343.2732251134</v>
      </c>
      <c r="AJ181" s="73" t="n">
        <f aca="false">AJ178+AJ192</f>
        <v>37916.7399898276</v>
      </c>
      <c r="AK181" s="73" t="n">
        <f aca="false">AK178+AK192</f>
        <v>38481.5501562338</v>
      </c>
      <c r="AL181" s="73" t="n">
        <f aca="false">AL178+AL192</f>
        <v>39037.824916708</v>
      </c>
    </row>
    <row r="182" customFormat="false" ht="15" hidden="false" customHeight="false" outlineLevel="0" collapsed="false">
      <c r="A182" s="6" t="s">
        <v>433</v>
      </c>
      <c r="C182" s="67" t="n">
        <f aca="false">-(C197+C198+C200)/2*Inputs!$C$85/12</f>
        <v>-1062.5</v>
      </c>
      <c r="D182" s="67" t="n">
        <f aca="false">-(D197+D198+D200)/2*Inputs!$C$85/12</f>
        <v>-1056.1755952381</v>
      </c>
      <c r="E182" s="67" t="n">
        <f aca="false">-(E197+E198+E200)/2*Inputs!$C$85/12</f>
        <v>-1043.52678571429</v>
      </c>
      <c r="F182" s="67" t="n">
        <f aca="false">-(F197+F198+F200)/2*Inputs!$C$85/12</f>
        <v>-1030.87797619048</v>
      </c>
      <c r="G182" s="67" t="n">
        <f aca="false">-(G197+G198+G200)/2*Inputs!$C$85/12</f>
        <v>-1018.22916666667</v>
      </c>
      <c r="H182" s="67" t="n">
        <f aca="false">-(H197+H198+H200)/2*Inputs!$C$85/12</f>
        <v>-1005.58035714286</v>
      </c>
      <c r="I182" s="67" t="n">
        <f aca="false">-(I197+I198+I200)/2*Inputs!$C$85/12</f>
        <v>-992.931547619048</v>
      </c>
      <c r="J182" s="67" t="n">
        <f aca="false">-(J197+J198+J200)/2*Inputs!$C$85/12</f>
        <v>-980.282738095238</v>
      </c>
      <c r="K182" s="67" t="n">
        <f aca="false">-(K197+K198+K200)/2*Inputs!$C$85/12</f>
        <v>-967.633928571429</v>
      </c>
      <c r="L182" s="67" t="n">
        <f aca="false">-(L197+L198+L200)/2*Inputs!$C$85/12</f>
        <v>-954.985119047619</v>
      </c>
      <c r="M182" s="67" t="n">
        <f aca="false">-(M197+M198+M200)/2*Inputs!$C$85/12</f>
        <v>-942.33630952381</v>
      </c>
      <c r="N182" s="67" t="n">
        <f aca="false">-(N197+N198+N200)/2*Inputs!$C$85/12</f>
        <v>-929.6875</v>
      </c>
      <c r="O182" s="67" t="n">
        <f aca="false">-(O197+O198+O200)/2*Inputs!$C$85/12</f>
        <v>-917.03869047619</v>
      </c>
      <c r="P182" s="67" t="n">
        <f aca="false">-(P197+P198+P200)/2*Inputs!$C$85/12</f>
        <v>-904.389880952381</v>
      </c>
      <c r="Q182" s="67" t="n">
        <f aca="false">-(Q197+Q198+Q200)/2*Inputs!$C$85/12</f>
        <v>-891.741071428571</v>
      </c>
      <c r="R182" s="67" t="n">
        <f aca="false">-(R197+R198+R200)/2*Inputs!$C$85/12</f>
        <v>-879.092261904762</v>
      </c>
      <c r="S182" s="67" t="n">
        <f aca="false">-(S197+S198+S200)/2*Inputs!$C$85/12</f>
        <v>-866.443452380952</v>
      </c>
      <c r="T182" s="67" t="n">
        <f aca="false">-(T197+T198+T200)/2*Inputs!$C$85/12</f>
        <v>-853.794642857142</v>
      </c>
      <c r="U182" s="67" t="n">
        <f aca="false">-(U197+U198+U200)/2*Inputs!$C$85/12</f>
        <v>-841.145833333333</v>
      </c>
      <c r="V182" s="67" t="n">
        <f aca="false">-(V197+V198+V200)/2*Inputs!$C$85/12</f>
        <v>-828.497023809523</v>
      </c>
      <c r="W182" s="67" t="n">
        <f aca="false">-(W197+W198+W200)/2*Inputs!$C$85/12</f>
        <v>-815.848214285714</v>
      </c>
      <c r="X182" s="67" t="n">
        <f aca="false">-(X197+X198+X200)/2*Inputs!$C$85/12</f>
        <v>-803.199404761904</v>
      </c>
      <c r="Y182" s="67" t="n">
        <f aca="false">-(Y197+Y198+Y200)/2*Inputs!$C$85/12</f>
        <v>-790.550595238095</v>
      </c>
      <c r="Z182" s="67" t="n">
        <f aca="false">-(Z197+Z198+Z200)/2*Inputs!$C$85/12</f>
        <v>-777.901785714285</v>
      </c>
      <c r="AA182" s="67" t="n">
        <f aca="false">-(AA197+AA198+AA200)/2*Inputs!$C$85/12</f>
        <v>-765.252976190476</v>
      </c>
      <c r="AB182" s="67" t="n">
        <f aca="false">-(AB197+AB198+AB200)/2*Inputs!$C$85/12</f>
        <v>-752.604166666666</v>
      </c>
      <c r="AC182" s="67" t="n">
        <f aca="false">-(AC197+AC198+AC200)/2*Inputs!$C$85/12</f>
        <v>-739.955357142856</v>
      </c>
      <c r="AD182" s="67" t="n">
        <f aca="false">-(AD197+AD198+AD200)/2*Inputs!$C$85/12</f>
        <v>-727.306547619047</v>
      </c>
      <c r="AE182" s="67" t="n">
        <f aca="false">-(AE197+AE198+AE200)/2*Inputs!$C$85/12</f>
        <v>-714.657738095237</v>
      </c>
      <c r="AF182" s="67" t="n">
        <f aca="false">-(AF197+AF198+AF200)/2*Inputs!$C$85/12</f>
        <v>-702.008928571428</v>
      </c>
      <c r="AG182" s="67" t="n">
        <f aca="false">-(AG197+AG198+AG200)/2*Inputs!$C$85/12</f>
        <v>-689.360119047618</v>
      </c>
      <c r="AH182" s="67" t="n">
        <f aca="false">-(AH197+AH198+AH200)/2*Inputs!$C$85/12</f>
        <v>-676.711309523809</v>
      </c>
      <c r="AI182" s="67" t="n">
        <f aca="false">-(AI197+AI198+AI200)/2*Inputs!$C$85/12</f>
        <v>-664.062499999999</v>
      </c>
      <c r="AJ182" s="67" t="n">
        <f aca="false">-(AJ197+AJ198+AJ200)/2*Inputs!$C$85/12</f>
        <v>-651.41369047619</v>
      </c>
      <c r="AK182" s="67" t="n">
        <f aca="false">-(AK197+AK198+AK200)/2*Inputs!$C$85/12</f>
        <v>-638.76488095238</v>
      </c>
      <c r="AL182" s="67" t="n">
        <f aca="false">-(AL197+AL198+AL200)/2*Inputs!$C$85/12</f>
        <v>-626.11607142857</v>
      </c>
    </row>
    <row r="183" customFormat="false" ht="15" hidden="false" customHeight="false" outlineLevel="0" collapsed="false">
      <c r="A183" s="111" t="s">
        <v>80</v>
      </c>
      <c r="C183" s="68" t="n">
        <f aca="false">C181+C182</f>
        <v>20382.7665186191</v>
      </c>
      <c r="D183" s="68" t="n">
        <f aca="false">D181+D182</f>
        <v>20945.4066021941</v>
      </c>
      <c r="E183" s="68" t="n">
        <f aca="false">E181+E182</f>
        <v>21506.0499680328</v>
      </c>
      <c r="F183" s="68" t="n">
        <f aca="false">F181+F182</f>
        <v>22058.4887070881</v>
      </c>
      <c r="G183" s="68" t="n">
        <f aca="false">G181+G182</f>
        <v>22602.8376841352</v>
      </c>
      <c r="H183" s="68" t="n">
        <f aca="false">H181+H182</f>
        <v>23139.210155842</v>
      </c>
      <c r="I183" s="68" t="n">
        <f aca="false">I181+I182</f>
        <v>23667.7177932835</v>
      </c>
      <c r="J183" s="68" t="n">
        <f aca="false">J181+J182</f>
        <v>24188.4707041392</v>
      </c>
      <c r="K183" s="68" t="n">
        <f aca="false">K181+K182</f>
        <v>24701.5774545814</v>
      </c>
      <c r="L183" s="68" t="n">
        <f aca="false">L181+L182</f>
        <v>25207.1450908559</v>
      </c>
      <c r="M183" s="68" t="n">
        <f aca="false">M181+M182</f>
        <v>25705.2791605609</v>
      </c>
      <c r="N183" s="68" t="n">
        <f aca="false">N181+N182</f>
        <v>26196.0837336287</v>
      </c>
      <c r="O183" s="68" t="n">
        <f aca="false">O181+O182</f>
        <v>25781.5192399778</v>
      </c>
      <c r="P183" s="68" t="n">
        <f aca="false">P181+P182</f>
        <v>26393.7980820581</v>
      </c>
      <c r="Q183" s="68" t="n">
        <f aca="false">Q181+Q182</f>
        <v>26997.1036885765</v>
      </c>
      <c r="R183" s="68" t="n">
        <f aca="false">R181+R182</f>
        <v>27591.561684831</v>
      </c>
      <c r="S183" s="68" t="n">
        <f aca="false">S181+S182</f>
        <v>28177.2959373652</v>
      </c>
      <c r="T183" s="68" t="n">
        <f aca="false">T181+T182</f>
        <v>28754.4285785911</v>
      </c>
      <c r="U183" s="68" t="n">
        <f aca="false">U181+U182</f>
        <v>29323.0800310673</v>
      </c>
      <c r="V183" s="68" t="n">
        <f aca="false">V181+V182</f>
        <v>29883.369031436</v>
      </c>
      <c r="W183" s="68" t="n">
        <f aca="false">W181+W182</f>
        <v>30435.4126540269</v>
      </c>
      <c r="X183" s="68" t="n">
        <f aca="false">X181+X182</f>
        <v>30979.3263341288</v>
      </c>
      <c r="Y183" s="68" t="n">
        <f aca="false">Y181+Y182</f>
        <v>31515.2238909365</v>
      </c>
      <c r="Z183" s="68" t="n">
        <f aca="false">Z181+Z182</f>
        <v>32043.2175501762</v>
      </c>
      <c r="AA183" s="68" t="n">
        <f aca="false">AA181+AA182</f>
        <v>31663.5261981792</v>
      </c>
      <c r="AB183" s="68" t="n">
        <f aca="false">AB181+AB182</f>
        <v>32323.4691979444</v>
      </c>
      <c r="AC183" s="68" t="n">
        <f aca="false">AC181+AC182</f>
        <v>32973.7220154441</v>
      </c>
      <c r="AD183" s="68" t="n">
        <f aca="false">AD181+AD182</f>
        <v>33614.42031323</v>
      </c>
      <c r="AE183" s="68" t="n">
        <f aca="false">AE181+AE182</f>
        <v>34245.6978545782</v>
      </c>
      <c r="AF183" s="68" t="n">
        <f aca="false">AF181+AF182</f>
        <v>34867.6865300788</v>
      </c>
      <c r="AG183" s="68" t="n">
        <f aca="false">AG181+AG182</f>
        <v>35480.5163838536</v>
      </c>
      <c r="AH183" s="68" t="n">
        <f aca="false">AH181+AH182</f>
        <v>36084.3156394068</v>
      </c>
      <c r="AI183" s="68" t="n">
        <f aca="false">AI181+AI182</f>
        <v>36679.2107251134</v>
      </c>
      <c r="AJ183" s="68" t="n">
        <f aca="false">AJ181+AJ182</f>
        <v>37265.3262993514</v>
      </c>
      <c r="AK183" s="68" t="n">
        <f aca="false">AK181+AK182</f>
        <v>37842.7852752814</v>
      </c>
      <c r="AL183" s="68" t="n">
        <f aca="false">AL181+AL182</f>
        <v>38411.7088452795</v>
      </c>
    </row>
    <row r="184" customFormat="false" ht="15" hidden="false" customHeight="false" outlineLevel="0" collapsed="false">
      <c r="A184" s="119" t="s">
        <v>434</v>
      </c>
      <c r="C184" s="67" t="n">
        <f aca="false">C183</f>
        <v>20382.7665186191</v>
      </c>
      <c r="D184" s="67" t="n">
        <f aca="false">C184+D183</f>
        <v>41328.1731208132</v>
      </c>
      <c r="E184" s="67" t="n">
        <f aca="false">D184+E183</f>
        <v>62834.223088846</v>
      </c>
      <c r="F184" s="67" t="n">
        <f aca="false">E184+F183</f>
        <v>84892.7117959341</v>
      </c>
      <c r="G184" s="67" t="n">
        <f aca="false">F184+G183</f>
        <v>107495.549480069</v>
      </c>
      <c r="H184" s="67" t="n">
        <f aca="false">G184+H183</f>
        <v>130634.759635911</v>
      </c>
      <c r="I184" s="67" t="n">
        <f aca="false">H184+I183</f>
        <v>154302.477429195</v>
      </c>
      <c r="J184" s="67" t="n">
        <f aca="false">I184+J183</f>
        <v>178490.948133334</v>
      </c>
      <c r="K184" s="67" t="n">
        <f aca="false">J184+K183</f>
        <v>203192.525587915</v>
      </c>
      <c r="L184" s="67" t="n">
        <f aca="false">K184+L183</f>
        <v>228399.670678771</v>
      </c>
      <c r="M184" s="67" t="n">
        <f aca="false">L184+M183</f>
        <v>254104.949839332</v>
      </c>
      <c r="N184" s="67" t="n">
        <f aca="false">M184+N183</f>
        <v>280301.033572961</v>
      </c>
      <c r="O184" s="67" t="n">
        <f aca="false">N184+O183</f>
        <v>306082.552812939</v>
      </c>
      <c r="P184" s="67" t="n">
        <f aca="false">O184+P183</f>
        <v>332476.350894997</v>
      </c>
      <c r="Q184" s="67" t="n">
        <f aca="false">P184+Q183</f>
        <v>359473.454583573</v>
      </c>
      <c r="R184" s="67" t="n">
        <f aca="false">Q184+R183</f>
        <v>387065.016268404</v>
      </c>
      <c r="S184" s="67" t="n">
        <f aca="false">R184+S183</f>
        <v>415242.312205769</v>
      </c>
      <c r="T184" s="67" t="n">
        <f aca="false">S184+T183</f>
        <v>443996.740784361</v>
      </c>
      <c r="U184" s="67" t="n">
        <f aca="false">T184+U183</f>
        <v>473319.820815428</v>
      </c>
      <c r="V184" s="67" t="n">
        <f aca="false">U184+V183</f>
        <v>503203.189846864</v>
      </c>
      <c r="W184" s="67" t="n">
        <f aca="false">V184+W183</f>
        <v>533638.602500891</v>
      </c>
      <c r="X184" s="67" t="n">
        <f aca="false">W184+X183</f>
        <v>564617.92883502</v>
      </c>
      <c r="Y184" s="67" t="n">
        <f aca="false">X184+Y183</f>
        <v>596133.152725956</v>
      </c>
      <c r="Z184" s="67" t="n">
        <f aca="false">Y184+Z183</f>
        <v>628176.370276132</v>
      </c>
      <c r="AA184" s="67" t="n">
        <f aca="false">Z184+AA183</f>
        <v>659839.896474311</v>
      </c>
      <c r="AB184" s="67" t="n">
        <f aca="false">AA184+AB183</f>
        <v>692163.365672256</v>
      </c>
      <c r="AC184" s="67" t="n">
        <f aca="false">AB184+AC183</f>
        <v>725137.0876877</v>
      </c>
      <c r="AD184" s="67" t="n">
        <f aca="false">AC184+AD183</f>
        <v>758751.50800093</v>
      </c>
      <c r="AE184" s="67" t="n">
        <f aca="false">AD184+AE183</f>
        <v>792997.205855508</v>
      </c>
      <c r="AF184" s="67" t="n">
        <f aca="false">AE184+AF183</f>
        <v>827864.892385587</v>
      </c>
      <c r="AG184" s="67" t="n">
        <f aca="false">AF184+AG183</f>
        <v>863345.40876944</v>
      </c>
      <c r="AH184" s="67" t="n">
        <f aca="false">AG184+AH183</f>
        <v>899429.724408847</v>
      </c>
      <c r="AI184" s="67" t="n">
        <f aca="false">AH184+AI183</f>
        <v>936108.935133961</v>
      </c>
      <c r="AJ184" s="67" t="n">
        <f aca="false">AI184+AJ183</f>
        <v>973374.261433312</v>
      </c>
      <c r="AK184" s="67" t="n">
        <f aca="false">AJ184+AK183</f>
        <v>1011217.04670859</v>
      </c>
      <c r="AL184" s="67" t="n">
        <f aca="false">AK184+AL183</f>
        <v>1049628.75555387</v>
      </c>
    </row>
    <row r="185" customFormat="false" ht="15" hidden="false" customHeight="false" outlineLevel="0" collapsed="false">
      <c r="A185" s="119" t="s">
        <v>435</v>
      </c>
      <c r="C185" s="67" t="n">
        <f aca="false">MAX(0,C184)</f>
        <v>20382.7665186191</v>
      </c>
      <c r="D185" s="67" t="n">
        <f aca="false">MAX(C185,D184)</f>
        <v>41328.1731208132</v>
      </c>
      <c r="E185" s="67" t="n">
        <f aca="false">MAX(D185,E184)</f>
        <v>62834.223088846</v>
      </c>
      <c r="F185" s="67" t="n">
        <f aca="false">MAX(E185,F184)</f>
        <v>84892.7117959341</v>
      </c>
      <c r="G185" s="67" t="n">
        <f aca="false">MAX(F185,G184)</f>
        <v>107495.549480069</v>
      </c>
      <c r="H185" s="67" t="n">
        <f aca="false">MAX(G185,H184)</f>
        <v>130634.759635911</v>
      </c>
      <c r="I185" s="67" t="n">
        <f aca="false">MAX(H185,I184)</f>
        <v>154302.477429195</v>
      </c>
      <c r="J185" s="67" t="n">
        <f aca="false">MAX(I185,J184)</f>
        <v>178490.948133334</v>
      </c>
      <c r="K185" s="67" t="n">
        <f aca="false">MAX(J185,K184)</f>
        <v>203192.525587915</v>
      </c>
      <c r="L185" s="67" t="n">
        <f aca="false">MAX(K185,L184)</f>
        <v>228399.670678771</v>
      </c>
      <c r="M185" s="67" t="n">
        <f aca="false">MAX(L185,M184)</f>
        <v>254104.949839332</v>
      </c>
      <c r="N185" s="67" t="n">
        <f aca="false">MAX(M185,N184)</f>
        <v>280301.033572961</v>
      </c>
      <c r="O185" s="67" t="n">
        <f aca="false">MAX(N185,O184)</f>
        <v>306082.552812939</v>
      </c>
      <c r="P185" s="67" t="n">
        <f aca="false">MAX(O185,P184)</f>
        <v>332476.350894997</v>
      </c>
      <c r="Q185" s="67" t="n">
        <f aca="false">MAX(P185,Q184)</f>
        <v>359473.454583573</v>
      </c>
      <c r="R185" s="67" t="n">
        <f aca="false">MAX(Q185,R184)</f>
        <v>387065.016268404</v>
      </c>
      <c r="S185" s="67" t="n">
        <f aca="false">MAX(R185,S184)</f>
        <v>415242.312205769</v>
      </c>
      <c r="T185" s="67" t="n">
        <f aca="false">MAX(S185,T184)</f>
        <v>443996.740784361</v>
      </c>
      <c r="U185" s="67" t="n">
        <f aca="false">MAX(T185,U184)</f>
        <v>473319.820815428</v>
      </c>
      <c r="V185" s="67" t="n">
        <f aca="false">MAX(U185,V184)</f>
        <v>503203.189846864</v>
      </c>
      <c r="W185" s="67" t="n">
        <f aca="false">MAX(V185,W184)</f>
        <v>533638.602500891</v>
      </c>
      <c r="X185" s="67" t="n">
        <f aca="false">MAX(W185,X184)</f>
        <v>564617.92883502</v>
      </c>
      <c r="Y185" s="67" t="n">
        <f aca="false">MAX(X185,Y184)</f>
        <v>596133.152725956</v>
      </c>
      <c r="Z185" s="67" t="n">
        <f aca="false">MAX(Y185,Z184)</f>
        <v>628176.370276132</v>
      </c>
      <c r="AA185" s="67" t="n">
        <f aca="false">MAX(Z185,AA184)</f>
        <v>659839.896474311</v>
      </c>
      <c r="AB185" s="67" t="n">
        <f aca="false">MAX(AA185,AB184)</f>
        <v>692163.365672256</v>
      </c>
      <c r="AC185" s="67" t="n">
        <f aca="false">MAX(AB185,AC184)</f>
        <v>725137.0876877</v>
      </c>
      <c r="AD185" s="67" t="n">
        <f aca="false">MAX(AC185,AD184)</f>
        <v>758751.50800093</v>
      </c>
      <c r="AE185" s="67" t="n">
        <f aca="false">MAX(AD185,AE184)</f>
        <v>792997.205855508</v>
      </c>
      <c r="AF185" s="67" t="n">
        <f aca="false">MAX(AE185,AF184)</f>
        <v>827864.892385587</v>
      </c>
      <c r="AG185" s="67" t="n">
        <f aca="false">MAX(AF185,AG184)</f>
        <v>863345.40876944</v>
      </c>
      <c r="AH185" s="67" t="n">
        <f aca="false">MAX(AG185,AH184)</f>
        <v>899429.724408847</v>
      </c>
      <c r="AI185" s="67" t="n">
        <f aca="false">MAX(AH185,AI184)</f>
        <v>936108.935133961</v>
      </c>
      <c r="AJ185" s="67" t="n">
        <f aca="false">MAX(AI185,AJ184)</f>
        <v>973374.261433312</v>
      </c>
      <c r="AK185" s="67" t="n">
        <f aca="false">MAX(AJ185,AK184)</f>
        <v>1011217.04670859</v>
      </c>
      <c r="AL185" s="67" t="n">
        <f aca="false">MAX(AK185,AL184)</f>
        <v>1049628.75555387</v>
      </c>
    </row>
    <row r="186" customFormat="false" ht="15" hidden="false" customHeight="false" outlineLevel="0" collapsed="false">
      <c r="A186" s="6" t="s">
        <v>81</v>
      </c>
      <c r="C186" s="67" t="n">
        <f aca="false">-C185*Inputs!$C$95</f>
        <v>-4280.38096891002</v>
      </c>
      <c r="D186" s="67" t="n">
        <f aca="false">-(D185-C185)*Inputs!$C$95</f>
        <v>-4398.53538646076</v>
      </c>
      <c r="E186" s="67" t="n">
        <f aca="false">-(E185-D185)*Inputs!$C$95</f>
        <v>-4516.27049328688</v>
      </c>
      <c r="F186" s="67" t="n">
        <f aca="false">-(F185-E185)*Inputs!$C$95</f>
        <v>-4632.2826284885</v>
      </c>
      <c r="G186" s="67" t="n">
        <f aca="false">-(G185-F185)*Inputs!$C$95</f>
        <v>-4746.59591366839</v>
      </c>
      <c r="H186" s="67" t="n">
        <f aca="false">-(H185-G185)*Inputs!$C$95</f>
        <v>-4859.23413272682</v>
      </c>
      <c r="I186" s="67" t="n">
        <f aca="false">-(I185-H185)*Inputs!$C$95</f>
        <v>-4970.22073658953</v>
      </c>
      <c r="J186" s="67" t="n">
        <f aca="false">-(J185-I185)*Inputs!$C$95</f>
        <v>-5079.57884786923</v>
      </c>
      <c r="K186" s="67" t="n">
        <f aca="false">-(K185-J185)*Inputs!$C$95</f>
        <v>-5187.33126546209</v>
      </c>
      <c r="L186" s="67" t="n">
        <f aca="false">-(L185-K185)*Inputs!$C$95</f>
        <v>-5293.50046907973</v>
      </c>
      <c r="M186" s="67" t="n">
        <f aca="false">-(M185-L185)*Inputs!$C$95</f>
        <v>-5398.1086237178</v>
      </c>
      <c r="N186" s="67" t="n">
        <f aca="false">-(N185-M185)*Inputs!$C$95</f>
        <v>-5501.17758406202</v>
      </c>
      <c r="O186" s="67" t="n">
        <f aca="false">-(O185-N185)*Inputs!$C$95</f>
        <v>-5414.11904039534</v>
      </c>
      <c r="P186" s="67" t="n">
        <f aca="false">-(P185-O185)*Inputs!$C$95</f>
        <v>-5542.6975972322</v>
      </c>
      <c r="Q186" s="67" t="n">
        <f aca="false">-(Q185-P185)*Inputs!$C$95</f>
        <v>-5669.39177460108</v>
      </c>
      <c r="R186" s="67" t="n">
        <f aca="false">-(R185-Q185)*Inputs!$C$95</f>
        <v>-5794.22795381451</v>
      </c>
      <c r="S186" s="67" t="n">
        <f aca="false">-(S185-R185)*Inputs!$C$95</f>
        <v>-5917.23214684668</v>
      </c>
      <c r="T186" s="67" t="n">
        <f aca="false">-(T185-S185)*Inputs!$C$95</f>
        <v>-6038.43000150414</v>
      </c>
      <c r="U186" s="67" t="n">
        <f aca="false">-(U185-T185)*Inputs!$C$95</f>
        <v>-6157.84680652413</v>
      </c>
      <c r="V186" s="67" t="n">
        <f aca="false">-(V185-U185)*Inputs!$C$95</f>
        <v>-6275.50749660156</v>
      </c>
      <c r="W186" s="67" t="n">
        <f aca="false">-(W185-V185)*Inputs!$C$95</f>
        <v>-6391.43665734564</v>
      </c>
      <c r="X186" s="67" t="n">
        <f aca="false">-(X185-W185)*Inputs!$C$95</f>
        <v>-6505.65853016704</v>
      </c>
      <c r="Y186" s="67" t="n">
        <f aca="false">-(Y185-X185)*Inputs!$C$95</f>
        <v>-6618.19701709666</v>
      </c>
      <c r="Z186" s="67" t="n">
        <f aca="false">-(Z185-Y185)*Inputs!$C$95</f>
        <v>-6729.075685537</v>
      </c>
      <c r="AA186" s="67" t="n">
        <f aca="false">-(AA185-Z185)*Inputs!$C$95</f>
        <v>-6649.34050161761</v>
      </c>
      <c r="AB186" s="67" t="n">
        <f aca="false">-(AB185-AA185)*Inputs!$C$95</f>
        <v>-6787.92853156832</v>
      </c>
      <c r="AC186" s="67" t="n">
        <f aca="false">-(AC185-AB185)*Inputs!$C$95</f>
        <v>-6924.48162324326</v>
      </c>
      <c r="AD186" s="67" t="n">
        <f aca="false">-(AD185-AC185)*Inputs!$C$95</f>
        <v>-7059.0282657783</v>
      </c>
      <c r="AE186" s="67" t="n">
        <f aca="false">-(AE185-AD185)*Inputs!$C$95</f>
        <v>-7191.59654946144</v>
      </c>
      <c r="AF186" s="67" t="n">
        <f aca="false">-(AF185-AE185)*Inputs!$C$95</f>
        <v>-7322.21417131654</v>
      </c>
      <c r="AG186" s="67" t="n">
        <f aca="false">-(AG185-AF185)*Inputs!$C$95</f>
        <v>-7450.90844060926</v>
      </c>
      <c r="AH186" s="67" t="n">
        <f aca="false">-(AH185-AG185)*Inputs!$C$95</f>
        <v>-7577.70628427543</v>
      </c>
      <c r="AI186" s="67" t="n">
        <f aca="false">-(AI185-AH185)*Inputs!$C$95</f>
        <v>-7702.63425227381</v>
      </c>
      <c r="AJ186" s="67" t="n">
        <f aca="false">-(AJ185-AI185)*Inputs!$C$95</f>
        <v>-7825.7185228638</v>
      </c>
      <c r="AK186" s="67" t="n">
        <f aca="false">-(AK185-AJ185)*Inputs!$C$95</f>
        <v>-7946.9849078091</v>
      </c>
      <c r="AL186" s="67" t="n">
        <f aca="false">-(AL185-AK185)*Inputs!$C$95</f>
        <v>-8066.45885750868</v>
      </c>
    </row>
    <row r="187" customFormat="false" ht="15" hidden="false" customHeight="false" outlineLevel="0" collapsed="false">
      <c r="A187" s="111" t="s">
        <v>50</v>
      </c>
      <c r="C187" s="68" t="n">
        <f aca="false">C183+C186</f>
        <v>16102.3855497091</v>
      </c>
      <c r="D187" s="68" t="n">
        <f aca="false">D183+D186</f>
        <v>16546.8712157333</v>
      </c>
      <c r="E187" s="68" t="n">
        <f aca="false">E183+E186</f>
        <v>16989.7794747459</v>
      </c>
      <c r="F187" s="68" t="n">
        <f aca="false">F183+F186</f>
        <v>17426.2060785996</v>
      </c>
      <c r="G187" s="68" t="n">
        <f aca="false">G183+G186</f>
        <v>17856.2417704668</v>
      </c>
      <c r="H187" s="68" t="n">
        <f aca="false">H183+H186</f>
        <v>18279.9760231152</v>
      </c>
      <c r="I187" s="68" t="n">
        <f aca="false">I183+I186</f>
        <v>18697.4970566939</v>
      </c>
      <c r="J187" s="68" t="n">
        <f aca="false">J183+J186</f>
        <v>19108.8918562699</v>
      </c>
      <c r="K187" s="68" t="n">
        <f aca="false">K183+K186</f>
        <v>19514.2461891193</v>
      </c>
      <c r="L187" s="68" t="n">
        <f aca="false">L183+L186</f>
        <v>19913.6446217761</v>
      </c>
      <c r="M187" s="68" t="n">
        <f aca="false">M183+M186</f>
        <v>20307.1705368431</v>
      </c>
      <c r="N187" s="68" t="n">
        <f aca="false">N183+N186</f>
        <v>20694.9061495666</v>
      </c>
      <c r="O187" s="68" t="n">
        <f aca="false">O183+O186</f>
        <v>20367.4001995825</v>
      </c>
      <c r="P187" s="68" t="n">
        <f aca="false">P183+P186</f>
        <v>20851.1004848259</v>
      </c>
      <c r="Q187" s="68" t="n">
        <f aca="false">Q183+Q186</f>
        <v>21327.7119139755</v>
      </c>
      <c r="R187" s="68" t="n">
        <f aca="false">R183+R186</f>
        <v>21797.3337310165</v>
      </c>
      <c r="S187" s="68" t="n">
        <f aca="false">S183+S186</f>
        <v>22260.0637905185</v>
      </c>
      <c r="T187" s="68" t="n">
        <f aca="false">T183+T186</f>
        <v>22715.998577087</v>
      </c>
      <c r="U187" s="68" t="n">
        <f aca="false">U183+U186</f>
        <v>23165.2332245432</v>
      </c>
      <c r="V187" s="68" t="n">
        <f aca="false">V183+V186</f>
        <v>23607.8615348344</v>
      </c>
      <c r="W187" s="68" t="n">
        <f aca="false">W183+W186</f>
        <v>24043.9759966813</v>
      </c>
      <c r="X187" s="68" t="n">
        <f aca="false">X183+X186</f>
        <v>24473.6678039618</v>
      </c>
      <c r="Y187" s="68" t="n">
        <f aca="false">Y183+Y186</f>
        <v>24897.0268738399</v>
      </c>
      <c r="Z187" s="68" t="n">
        <f aca="false">Z183+Z186</f>
        <v>25314.1418646392</v>
      </c>
      <c r="AA187" s="68" t="n">
        <f aca="false">AA183+AA186</f>
        <v>25014.1856965615</v>
      </c>
      <c r="AB187" s="68" t="n">
        <f aca="false">AB183+AB186</f>
        <v>25535.540666376</v>
      </c>
      <c r="AC187" s="68" t="n">
        <f aca="false">AC183+AC186</f>
        <v>26049.2403922008</v>
      </c>
      <c r="AD187" s="68" t="n">
        <f aca="false">AD183+AD186</f>
        <v>26555.3920474517</v>
      </c>
      <c r="AE187" s="68" t="n">
        <f aca="false">AE183+AE186</f>
        <v>27054.1013051168</v>
      </c>
      <c r="AF187" s="68" t="n">
        <f aca="false">AF183+AF186</f>
        <v>27545.4723587623</v>
      </c>
      <c r="AG187" s="68" t="n">
        <f aca="false">AG183+AG186</f>
        <v>28029.6079432443</v>
      </c>
      <c r="AH187" s="68" t="n">
        <f aca="false">AH183+AH186</f>
        <v>28506.6093551314</v>
      </c>
      <c r="AI187" s="68" t="n">
        <f aca="false">AI183+AI186</f>
        <v>28976.5764728396</v>
      </c>
      <c r="AJ187" s="68" t="n">
        <f aca="false">AJ183+AJ186</f>
        <v>29439.6077764876</v>
      </c>
      <c r="AK187" s="68" t="n">
        <f aca="false">AK183+AK186</f>
        <v>29895.8003674723</v>
      </c>
      <c r="AL187" s="68" t="n">
        <f aca="false">AL183+AL186</f>
        <v>30345.2499877708</v>
      </c>
    </row>
    <row r="189" customFormat="false" ht="15.75" hidden="false" customHeight="true" outlineLevel="0" collapsed="false">
      <c r="A189" s="7" t="s">
        <v>436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customFormat="false" ht="15" hidden="false" customHeight="false" outlineLevel="0" collapsed="false">
      <c r="A190" s="6" t="s">
        <v>437</v>
      </c>
      <c r="C190" s="67" t="n">
        <f aca="false">Inputs!$C$52*Inputs!$C$48+MAX(0,Inputs!$C$7+Inputs!$C$8-Inputs!$C$54)*Inputs!$C$53+Inputs!$C$55+C158*Inputs!$C$56</f>
        <v>62411.4295276172</v>
      </c>
      <c r="D190" s="67" t="n">
        <f aca="false">D158*Inputs!$C$56</f>
        <v>2422.4165657993</v>
      </c>
      <c r="E190" s="67" t="n">
        <f aca="false">E158*Inputs!$C$56</f>
        <v>2433.24978544686</v>
      </c>
      <c r="F190" s="67" t="n">
        <f aca="false">F158*Inputs!$C$56</f>
        <v>2443.93134001935</v>
      </c>
      <c r="G190" s="67" t="n">
        <f aca="false">G158*Inputs!$C$56</f>
        <v>2454.46335282783</v>
      </c>
      <c r="H190" s="67" t="n">
        <f aca="false">H158*Inputs!$C$56</f>
        <v>2464.84791745699</v>
      </c>
      <c r="I190" s="67" t="n">
        <f aca="false">I158*Inputs!$C$56</f>
        <v>2475.08709818134</v>
      </c>
      <c r="J190" s="67" t="n">
        <f aca="false">J158*Inputs!$C$56</f>
        <v>2485.18293037555</v>
      </c>
      <c r="K190" s="67" t="n">
        <f aca="false">K158*Inputs!$C$56</f>
        <v>2495.13742091905</v>
      </c>
      <c r="L190" s="67" t="n">
        <f aca="false">L158*Inputs!$C$56</f>
        <v>2504.95254859493</v>
      </c>
      <c r="M190" s="67" t="n">
        <f aca="false">M158*Inputs!$C$56</f>
        <v>2514.63026448335</v>
      </c>
      <c r="N190" s="67" t="n">
        <f aca="false">N158*Inputs!$C$56</f>
        <v>2524.17249234933</v>
      </c>
      <c r="O190" s="67" t="n">
        <f aca="false">O158*Inputs!$C$56</f>
        <v>2624.19957951572</v>
      </c>
      <c r="P190" s="67" t="n">
        <f aca="false">P158*Inputs!$C$56</f>
        <v>2636.0476543104</v>
      </c>
      <c r="Q190" s="67" t="n">
        <f aca="false">Q158*Inputs!$C$56</f>
        <v>2647.72985605796</v>
      </c>
      <c r="R190" s="67" t="n">
        <f aca="false">R158*Inputs!$C$56</f>
        <v>2659.24850698105</v>
      </c>
      <c r="S190" s="67" t="n">
        <f aca="false">S158*Inputs!$C$56</f>
        <v>2670.60589679122</v>
      </c>
      <c r="T190" s="67" t="n">
        <f aca="false">T158*Inputs!$C$56</f>
        <v>2681.80428314404</v>
      </c>
      <c r="U190" s="67" t="n">
        <f aca="false">U158*Inputs!$C$56</f>
        <v>2692.84589208793</v>
      </c>
      <c r="V190" s="67" t="n">
        <f aca="false">V158*Inputs!$C$56</f>
        <v>2703.7329185066</v>
      </c>
      <c r="W190" s="67" t="n">
        <f aca="false">W158*Inputs!$C$56</f>
        <v>2714.46752655541</v>
      </c>
      <c r="X190" s="67" t="n">
        <f aca="false">X158*Inputs!$C$56</f>
        <v>2725.05185009153</v>
      </c>
      <c r="Y190" s="67" t="n">
        <f aca="false">Y158*Inputs!$C$56</f>
        <v>2735.48799309815</v>
      </c>
      <c r="Z190" s="67" t="n">
        <f aca="false">Z158*Inputs!$C$56</f>
        <v>2745.77803010268</v>
      </c>
      <c r="AA190" s="67" t="n">
        <f aca="false">AA158*Inputs!$C$56</f>
        <v>2854.47329789153</v>
      </c>
      <c r="AB190" s="67" t="n">
        <f aca="false">AB158*Inputs!$C$56</f>
        <v>2867.26801429725</v>
      </c>
      <c r="AC190" s="67" t="n">
        <f aca="false">AC158*Inputs!$C$56</f>
        <v>2879.8836046733</v>
      </c>
      <c r="AD190" s="67" t="n">
        <f aca="false">AD158*Inputs!$C$56</f>
        <v>2892.32257678408</v>
      </c>
      <c r="AE190" s="67" t="n">
        <f aca="false">AE158*Inputs!$C$56</f>
        <v>2904.58740328531</v>
      </c>
      <c r="AF190" s="67" t="n">
        <f aca="false">AF158*Inputs!$C$56</f>
        <v>2916.68052221552</v>
      </c>
      <c r="AG190" s="67" t="n">
        <f aca="false">AG158*Inputs!$C$56</f>
        <v>2928.60433748071</v>
      </c>
      <c r="AH190" s="67" t="n">
        <f aca="false">AH158*Inputs!$C$56</f>
        <v>2940.36121933219</v>
      </c>
      <c r="AI190" s="67" t="n">
        <f aca="false">AI158*Inputs!$C$56</f>
        <v>2951.95350483774</v>
      </c>
      <c r="AJ190" s="67" t="n">
        <f aca="false">AJ158*Inputs!$C$56</f>
        <v>2963.38349834622</v>
      </c>
      <c r="AK190" s="67" t="n">
        <f aca="false">AK158*Inputs!$C$56</f>
        <v>2974.65347194558</v>
      </c>
      <c r="AL190" s="67" t="n">
        <f aca="false">AL158*Inputs!$C$56</f>
        <v>2985.76566591455</v>
      </c>
    </row>
    <row r="191" customFormat="false" ht="15" hidden="false" customHeight="false" outlineLevel="0" collapsed="false">
      <c r="A191" s="6" t="s">
        <v>438</v>
      </c>
      <c r="C191" s="67" t="n">
        <f aca="false">C190</f>
        <v>62411.4295276172</v>
      </c>
      <c r="D191" s="67" t="n">
        <f aca="false">C191+D190</f>
        <v>64833.8460934165</v>
      </c>
      <c r="E191" s="67" t="n">
        <f aca="false">D191+E190</f>
        <v>67267.0958788633</v>
      </c>
      <c r="F191" s="67" t="n">
        <f aca="false">E191+F190</f>
        <v>69711.0272188827</v>
      </c>
      <c r="G191" s="67" t="n">
        <f aca="false">F191+G190</f>
        <v>72165.4905717105</v>
      </c>
      <c r="H191" s="67" t="n">
        <f aca="false">G191+H190</f>
        <v>74630.3384891675</v>
      </c>
      <c r="I191" s="67" t="n">
        <f aca="false">H191+I190</f>
        <v>77105.4255873489</v>
      </c>
      <c r="J191" s="67" t="n">
        <f aca="false">I191+J190</f>
        <v>79590.6085177244</v>
      </c>
      <c r="K191" s="67" t="n">
        <f aca="false">J191+K190</f>
        <v>82085.7459386435</v>
      </c>
      <c r="L191" s="67" t="n">
        <f aca="false">K191+L190</f>
        <v>84590.6984872384</v>
      </c>
      <c r="M191" s="67" t="n">
        <f aca="false">L191+M190</f>
        <v>87105.3287517217</v>
      </c>
      <c r="N191" s="67" t="n">
        <f aca="false">M191+N190</f>
        <v>89629.5012440711</v>
      </c>
      <c r="O191" s="67" t="n">
        <f aca="false">N191+O190</f>
        <v>92253.7008235868</v>
      </c>
      <c r="P191" s="67" t="n">
        <f aca="false">O191+P190</f>
        <v>94889.7484778972</v>
      </c>
      <c r="Q191" s="67" t="n">
        <f aca="false">P191+Q190</f>
        <v>97537.4783339552</v>
      </c>
      <c r="R191" s="67" t="n">
        <f aca="false">Q191+R190</f>
        <v>100196.726840936</v>
      </c>
      <c r="S191" s="67" t="n">
        <f aca="false">R191+S190</f>
        <v>102867.332737727</v>
      </c>
      <c r="T191" s="67" t="n">
        <f aca="false">S191+T190</f>
        <v>105549.137020871</v>
      </c>
      <c r="U191" s="67" t="n">
        <f aca="false">T191+U190</f>
        <v>108241.982912959</v>
      </c>
      <c r="V191" s="67" t="n">
        <f aca="false">U191+V190</f>
        <v>110945.715831466</v>
      </c>
      <c r="W191" s="67" t="n">
        <f aca="false">V191+W190</f>
        <v>113660.183358021</v>
      </c>
      <c r="X191" s="67" t="n">
        <f aca="false">W191+X190</f>
        <v>116385.235208113</v>
      </c>
      <c r="Y191" s="67" t="n">
        <f aca="false">X191+Y190</f>
        <v>119120.723201211</v>
      </c>
      <c r="Z191" s="67" t="n">
        <f aca="false">Y191+Z190</f>
        <v>121866.501231314</v>
      </c>
      <c r="AA191" s="67" t="n">
        <f aca="false">Z191+AA190</f>
        <v>124720.974529205</v>
      </c>
      <c r="AB191" s="67" t="n">
        <f aca="false">AA191+AB190</f>
        <v>127588.242543503</v>
      </c>
      <c r="AC191" s="67" t="n">
        <f aca="false">AB191+AC190</f>
        <v>130468.126148176</v>
      </c>
      <c r="AD191" s="67" t="n">
        <f aca="false">AC191+AD190</f>
        <v>133360.44872496</v>
      </c>
      <c r="AE191" s="67" t="n">
        <f aca="false">AD191+AE190</f>
        <v>136265.036128245</v>
      </c>
      <c r="AF191" s="67" t="n">
        <f aca="false">AE191+AF190</f>
        <v>139181.716650461</v>
      </c>
      <c r="AG191" s="67" t="n">
        <f aca="false">AF191+AG190</f>
        <v>142110.320987942</v>
      </c>
      <c r="AH191" s="67" t="n">
        <f aca="false">AG191+AH190</f>
        <v>145050.682207274</v>
      </c>
      <c r="AI191" s="67" t="n">
        <f aca="false">AH191+AI190</f>
        <v>148002.635712111</v>
      </c>
      <c r="AJ191" s="67" t="n">
        <f aca="false">AI191+AJ190</f>
        <v>150966.019210458</v>
      </c>
      <c r="AK191" s="67" t="n">
        <f aca="false">AJ191+AK190</f>
        <v>153940.672682403</v>
      </c>
      <c r="AL191" s="67" t="n">
        <f aca="false">AK191+AL190</f>
        <v>156926.438348318</v>
      </c>
    </row>
    <row r="192" customFormat="false" ht="15" hidden="false" customHeight="false" outlineLevel="0" collapsed="false">
      <c r="A192" s="6" t="s">
        <v>77</v>
      </c>
      <c r="C192" s="67" t="n">
        <f aca="false">-MIN(C191/MAX(1,Inputs!$C$94*12),C190)</f>
        <v>-742.993208662109</v>
      </c>
      <c r="D192" s="67" t="n">
        <f aca="false">-MIN(D191/MAX(1,Inputs!$C$94*12),C194+D190)</f>
        <v>-771.831501112101</v>
      </c>
      <c r="E192" s="67" t="n">
        <f aca="false">-MIN(E191/MAX(1,Inputs!$C$94*12),D194+E190)</f>
        <v>-800.798760462659</v>
      </c>
      <c r="F192" s="67" t="n">
        <f aca="false">-MIN(F191/MAX(1,Inputs!$C$94*12),E194+F190)</f>
        <v>-829.893181177175</v>
      </c>
      <c r="G192" s="67" t="n">
        <f aca="false">-MIN(G191/MAX(1,Inputs!$C$94*12),F194+G190)</f>
        <v>-859.112982996554</v>
      </c>
      <c r="H192" s="67" t="n">
        <f aca="false">-MIN(H191/MAX(1,Inputs!$C$94*12),G194+H190)</f>
        <v>-888.456410585328</v>
      </c>
      <c r="I192" s="67" t="n">
        <f aca="false">-MIN(I191/MAX(1,Inputs!$C$94*12),H194+I190)</f>
        <v>-917.921733182725</v>
      </c>
      <c r="J192" s="67" t="n">
        <f aca="false">-MIN(J191/MAX(1,Inputs!$C$94*12),I194+J190)</f>
        <v>-947.507244258624</v>
      </c>
      <c r="K192" s="67" t="n">
        <f aca="false">-MIN(K191/MAX(1,Inputs!$C$94*12),J194+K190)</f>
        <v>-977.211261174327</v>
      </c>
      <c r="L192" s="67" t="n">
        <f aca="false">-MIN(L191/MAX(1,Inputs!$C$94*12),K194+L190)</f>
        <v>-1007.03212484808</v>
      </c>
      <c r="M192" s="67" t="n">
        <f aca="false">-MIN(M191/MAX(1,Inputs!$C$94*12),L194+M190)</f>
        <v>-1036.96819942526</v>
      </c>
      <c r="N192" s="67" t="n">
        <f aca="false">-MIN(N191/MAX(1,Inputs!$C$94*12),M194+N190)</f>
        <v>-1067.01787195323</v>
      </c>
      <c r="O192" s="67" t="n">
        <f aca="false">-MIN(O191/MAX(1,Inputs!$C$94*12),N194+O190)</f>
        <v>-1098.25834313794</v>
      </c>
      <c r="P192" s="67" t="n">
        <f aca="false">-MIN(P191/MAX(1,Inputs!$C$94*12),O194+P190)</f>
        <v>-1129.63986283211</v>
      </c>
      <c r="Q192" s="67" t="n">
        <f aca="false">-MIN(Q191/MAX(1,Inputs!$C$94*12),P194+Q190)</f>
        <v>-1161.16045635661</v>
      </c>
      <c r="R192" s="67" t="n">
        <f aca="false">-MIN(R191/MAX(1,Inputs!$C$94*12),Q194+R190)</f>
        <v>-1192.81817667781</v>
      </c>
      <c r="S192" s="67" t="n">
        <f aca="false">-MIN(S191/MAX(1,Inputs!$C$94*12),R194+S190)</f>
        <v>-1224.61110402056</v>
      </c>
      <c r="T192" s="67" t="n">
        <f aca="false">-MIN(T191/MAX(1,Inputs!$C$94*12),S194+T190)</f>
        <v>-1256.53734548657</v>
      </c>
      <c r="U192" s="67" t="n">
        <f aca="false">-MIN(U191/MAX(1,Inputs!$C$94*12),T194+U190)</f>
        <v>-1288.59503467809</v>
      </c>
      <c r="V192" s="67" t="n">
        <f aca="false">-MIN(V191/MAX(1,Inputs!$C$94*12),U194+V190)</f>
        <v>-1320.78233132698</v>
      </c>
      <c r="W192" s="67" t="n">
        <f aca="false">-MIN(W191/MAX(1,Inputs!$C$94*12),V194+W190)</f>
        <v>-1353.09742092883</v>
      </c>
      <c r="X192" s="67" t="n">
        <f aca="false">-MIN(X191/MAX(1,Inputs!$C$94*12),W194+X190)</f>
        <v>-1385.5385143823</v>
      </c>
      <c r="Y192" s="67" t="n">
        <f aca="false">-MIN(Y191/MAX(1,Inputs!$C$94*12),X194+Y190)</f>
        <v>-1418.10384763347</v>
      </c>
      <c r="Z192" s="67" t="n">
        <f aca="false">-MIN(Z191/MAX(1,Inputs!$C$94*12),Y194+Z190)</f>
        <v>-1450.79168132516</v>
      </c>
      <c r="AA192" s="67" t="n">
        <f aca="false">-MIN(AA191/MAX(1,Inputs!$C$94*12),Z194+AA190)</f>
        <v>-1484.77350630006</v>
      </c>
      <c r="AB192" s="67" t="n">
        <f aca="false">-MIN(AB191/MAX(1,Inputs!$C$94*12),AA194+AB190)</f>
        <v>-1518.90764932741</v>
      </c>
      <c r="AC192" s="67" t="n">
        <f aca="false">-MIN(AC191/MAX(1,Inputs!$C$94*12),AB194+AC190)</f>
        <v>-1553.19197795447</v>
      </c>
      <c r="AD192" s="67" t="n">
        <f aca="false">-MIN(AD191/MAX(1,Inputs!$C$94*12),AC194+AD190)</f>
        <v>-1587.62438958286</v>
      </c>
      <c r="AE192" s="67" t="n">
        <f aca="false">-MIN(AE191/MAX(1,Inputs!$C$94*12),AD194+AE190)</f>
        <v>-1622.20281105054</v>
      </c>
      <c r="AF192" s="67" t="n">
        <f aca="false">-MIN(AF191/MAX(1,Inputs!$C$94*12),AE194+AF190)</f>
        <v>-1656.92519821977</v>
      </c>
      <c r="AG192" s="67" t="n">
        <f aca="false">-MIN(AG191/MAX(1,Inputs!$C$94*12),AF194+AG190)</f>
        <v>-1691.78953557073</v>
      </c>
      <c r="AH192" s="67" t="n">
        <f aca="false">-MIN(AH191/MAX(1,Inputs!$C$94*12),AG194+AH190)</f>
        <v>-1726.79383580088</v>
      </c>
      <c r="AI192" s="67" t="n">
        <f aca="false">-MIN(AI191/MAX(1,Inputs!$C$94*12),AH194+AI190)</f>
        <v>-1761.9361394299</v>
      </c>
      <c r="AJ192" s="67" t="n">
        <f aca="false">-MIN(AJ191/MAX(1,Inputs!$C$94*12),AI194+AJ190)</f>
        <v>-1797.21451441021</v>
      </c>
      <c r="AK192" s="67" t="n">
        <f aca="false">-MIN(AK191/MAX(1,Inputs!$C$94*12),AJ194+AK190)</f>
        <v>-1832.6270557429</v>
      </c>
      <c r="AL192" s="67" t="n">
        <f aca="false">-MIN(AL191/MAX(1,Inputs!$C$94*12),AK194+AL190)</f>
        <v>-1868.17188509902</v>
      </c>
    </row>
    <row r="193" customFormat="false" ht="15" hidden="false" customHeight="false" outlineLevel="0" collapsed="false">
      <c r="A193" s="6" t="s">
        <v>439</v>
      </c>
      <c r="C193" s="67" t="n">
        <f aca="false">C192</f>
        <v>-742.993208662109</v>
      </c>
      <c r="D193" s="67" t="n">
        <f aca="false">C193+D192</f>
        <v>-1514.82470977421</v>
      </c>
      <c r="E193" s="67" t="n">
        <f aca="false">D193+E192</f>
        <v>-2315.62347023687</v>
      </c>
      <c r="F193" s="67" t="n">
        <f aca="false">E193+F192</f>
        <v>-3145.51665141404</v>
      </c>
      <c r="G193" s="67" t="n">
        <f aca="false">F193+G192</f>
        <v>-4004.6296344106</v>
      </c>
      <c r="H193" s="67" t="n">
        <f aca="false">G193+H192</f>
        <v>-4893.08604499593</v>
      </c>
      <c r="I193" s="67" t="n">
        <f aca="false">H193+I192</f>
        <v>-5811.00777817865</v>
      </c>
      <c r="J193" s="67" t="n">
        <f aca="false">I193+J192</f>
        <v>-6758.51502243728</v>
      </c>
      <c r="K193" s="67" t="n">
        <f aca="false">J193+K192</f>
        <v>-7735.7262836116</v>
      </c>
      <c r="L193" s="67" t="n">
        <f aca="false">K193+L192</f>
        <v>-8742.75840845968</v>
      </c>
      <c r="M193" s="67" t="n">
        <f aca="false">L193+M192</f>
        <v>-9779.72660788494</v>
      </c>
      <c r="N193" s="67" t="n">
        <f aca="false">M193+N192</f>
        <v>-10846.7444798382</v>
      </c>
      <c r="O193" s="67" t="n">
        <f aca="false">N193+O192</f>
        <v>-11945.0028229761</v>
      </c>
      <c r="P193" s="67" t="n">
        <f aca="false">O193+P192</f>
        <v>-13074.6426858082</v>
      </c>
      <c r="Q193" s="67" t="n">
        <f aca="false">P193+Q192</f>
        <v>-14235.8031421648</v>
      </c>
      <c r="R193" s="67" t="n">
        <f aca="false">Q193+R192</f>
        <v>-15428.6213188426</v>
      </c>
      <c r="S193" s="67" t="n">
        <f aca="false">R193+S192</f>
        <v>-16653.2324228632</v>
      </c>
      <c r="T193" s="67" t="n">
        <f aca="false">S193+T192</f>
        <v>-17909.7697683498</v>
      </c>
      <c r="U193" s="67" t="n">
        <f aca="false">T193+U192</f>
        <v>-19198.3648030279</v>
      </c>
      <c r="V193" s="67" t="n">
        <f aca="false">U193+V192</f>
        <v>-20519.1471343548</v>
      </c>
      <c r="W193" s="67" t="n">
        <f aca="false">V193+W192</f>
        <v>-21872.2445552837</v>
      </c>
      <c r="X193" s="67" t="n">
        <f aca="false">W193+X192</f>
        <v>-23257.7830696659</v>
      </c>
      <c r="Y193" s="67" t="n">
        <f aca="false">X193+Y192</f>
        <v>-24675.8869172994</v>
      </c>
      <c r="Z193" s="67" t="n">
        <f aca="false">Y193+Z192</f>
        <v>-26126.6785986246</v>
      </c>
      <c r="AA193" s="67" t="n">
        <f aca="false">Z193+AA192</f>
        <v>-27611.4521049246</v>
      </c>
      <c r="AB193" s="67" t="n">
        <f aca="false">AA193+AB192</f>
        <v>-29130.3597542521</v>
      </c>
      <c r="AC193" s="67" t="n">
        <f aca="false">AB193+AC192</f>
        <v>-30683.5517322065</v>
      </c>
      <c r="AD193" s="67" t="n">
        <f aca="false">AC193+AD192</f>
        <v>-32271.1761217894</v>
      </c>
      <c r="AE193" s="67" t="n">
        <f aca="false">AD193+AE192</f>
        <v>-33893.3789328399</v>
      </c>
      <c r="AF193" s="67" t="n">
        <f aca="false">AE193+AF192</f>
        <v>-35550.3041310597</v>
      </c>
      <c r="AG193" s="67" t="n">
        <f aca="false">AF193+AG192</f>
        <v>-37242.0936666304</v>
      </c>
      <c r="AH193" s="67" t="n">
        <f aca="false">AG193+AH192</f>
        <v>-38968.8875024313</v>
      </c>
      <c r="AI193" s="67" t="n">
        <f aca="false">AH193+AI192</f>
        <v>-40730.8236418612</v>
      </c>
      <c r="AJ193" s="67" t="n">
        <f aca="false">AI193+AJ192</f>
        <v>-42528.0381562714</v>
      </c>
      <c r="AK193" s="67" t="n">
        <f aca="false">AJ193+AK192</f>
        <v>-44360.6652120143</v>
      </c>
      <c r="AL193" s="67" t="n">
        <f aca="false">AK193+AL192</f>
        <v>-46228.8370971133</v>
      </c>
    </row>
    <row r="194" customFormat="false" ht="15" hidden="false" customHeight="false" outlineLevel="0" collapsed="false">
      <c r="A194" s="4" t="s">
        <v>91</v>
      </c>
      <c r="C194" s="73" t="n">
        <f aca="false">C191+C193</f>
        <v>61668.4363189551</v>
      </c>
      <c r="D194" s="73" t="n">
        <f aca="false">D191+D193</f>
        <v>63319.0213836423</v>
      </c>
      <c r="E194" s="73" t="n">
        <f aca="false">E191+E193</f>
        <v>64951.4724086265</v>
      </c>
      <c r="F194" s="73" t="n">
        <f aca="false">F191+F193</f>
        <v>66565.5105674687</v>
      </c>
      <c r="G194" s="73" t="n">
        <f aca="false">G191+G193</f>
        <v>68160.8609372999</v>
      </c>
      <c r="H194" s="73" t="n">
        <f aca="false">H191+H193</f>
        <v>69737.2524441716</v>
      </c>
      <c r="I194" s="73" t="n">
        <f aca="false">I191+I193</f>
        <v>71294.4178091702</v>
      </c>
      <c r="J194" s="73" t="n">
        <f aca="false">J191+J193</f>
        <v>72832.0934952872</v>
      </c>
      <c r="K194" s="73" t="n">
        <f aca="false">K191+K193</f>
        <v>74350.0196550319</v>
      </c>
      <c r="L194" s="73" t="n">
        <f aca="false">L191+L193</f>
        <v>75847.9400787787</v>
      </c>
      <c r="M194" s="73" t="n">
        <f aca="false">M191+M193</f>
        <v>77325.6021438368</v>
      </c>
      <c r="N194" s="73" t="n">
        <f aca="false">N191+N193</f>
        <v>78782.7567642329</v>
      </c>
      <c r="O194" s="73" t="n">
        <f aca="false">O191+O193</f>
        <v>80308.6980006107</v>
      </c>
      <c r="P194" s="73" t="n">
        <f aca="false">P191+P193</f>
        <v>81815.105792089</v>
      </c>
      <c r="Q194" s="73" t="n">
        <f aca="false">Q191+Q193</f>
        <v>83301.6751917904</v>
      </c>
      <c r="R194" s="73" t="n">
        <f aca="false">R191+R193</f>
        <v>84768.1055220936</v>
      </c>
      <c r="S194" s="73" t="n">
        <f aca="false">S191+S193</f>
        <v>86214.1003148643</v>
      </c>
      <c r="T194" s="73" t="n">
        <f aca="false">T191+T193</f>
        <v>87639.3672525217</v>
      </c>
      <c r="U194" s="73" t="n">
        <f aca="false">U191+U193</f>
        <v>89043.6181099316</v>
      </c>
      <c r="V194" s="73" t="n">
        <f aca="false">V191+V193</f>
        <v>90426.5686971112</v>
      </c>
      <c r="W194" s="73" t="n">
        <f aca="false">W191+W193</f>
        <v>91787.9388027378</v>
      </c>
      <c r="X194" s="73" t="n">
        <f aca="false">X191+X193</f>
        <v>93127.452138447</v>
      </c>
      <c r="Y194" s="73" t="n">
        <f aca="false">Y191+Y193</f>
        <v>94444.8362839117</v>
      </c>
      <c r="Z194" s="73" t="n">
        <f aca="false">Z191+Z193</f>
        <v>95739.8226326892</v>
      </c>
      <c r="AA194" s="73" t="n">
        <f aca="false">AA191+AA193</f>
        <v>97109.5224242807</v>
      </c>
      <c r="AB194" s="73" t="n">
        <f aca="false">AB191+AB193</f>
        <v>98457.8827892505</v>
      </c>
      <c r="AC194" s="73" t="n">
        <f aca="false">AC191+AC193</f>
        <v>99784.5744159693</v>
      </c>
      <c r="AD194" s="73" t="n">
        <f aca="false">AD191+AD193</f>
        <v>101089.272603171</v>
      </c>
      <c r="AE194" s="73" t="n">
        <f aca="false">AE191+AE193</f>
        <v>102371.657195405</v>
      </c>
      <c r="AF194" s="73" t="n">
        <f aca="false">AF191+AF193</f>
        <v>103631.412519401</v>
      </c>
      <c r="AG194" s="73" t="n">
        <f aca="false">AG191+AG193</f>
        <v>104868.227321311</v>
      </c>
      <c r="AH194" s="73" t="n">
        <f aca="false">AH191+AH193</f>
        <v>106081.794704842</v>
      </c>
      <c r="AI194" s="73" t="n">
        <f aca="false">AI191+AI193</f>
        <v>107271.81207025</v>
      </c>
      <c r="AJ194" s="73" t="n">
        <f aca="false">AJ191+AJ193</f>
        <v>108437.981054186</v>
      </c>
      <c r="AK194" s="73" t="n">
        <f aca="false">AK191+AK193</f>
        <v>109580.007470389</v>
      </c>
      <c r="AL194" s="73" t="n">
        <f aca="false">AL191+AL193</f>
        <v>110697.601251204</v>
      </c>
    </row>
    <row r="196" customFormat="false" ht="15.75" hidden="false" customHeight="true" outlineLevel="0" collapsed="false">
      <c r="A196" s="7" t="s">
        <v>440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customFormat="false" ht="15" hidden="false" customHeight="false" outlineLevel="0" collapsed="false">
      <c r="A197" s="6" t="s">
        <v>441</v>
      </c>
      <c r="C197" s="67" t="n">
        <f aca="false">0</f>
        <v>0</v>
      </c>
      <c r="D197" s="67" t="n">
        <f aca="false">C200</f>
        <v>150000</v>
      </c>
      <c r="E197" s="67" t="n">
        <f aca="false">D200</f>
        <v>148214.285714286</v>
      </c>
      <c r="F197" s="67" t="n">
        <f aca="false">E200</f>
        <v>146428.571428571</v>
      </c>
      <c r="G197" s="67" t="n">
        <f aca="false">F200</f>
        <v>144642.857142857</v>
      </c>
      <c r="H197" s="67" t="n">
        <f aca="false">G200</f>
        <v>142857.142857143</v>
      </c>
      <c r="I197" s="67" t="n">
        <f aca="false">H200</f>
        <v>141071.428571429</v>
      </c>
      <c r="J197" s="67" t="n">
        <f aca="false">I200</f>
        <v>139285.714285714</v>
      </c>
      <c r="K197" s="67" t="n">
        <f aca="false">J200</f>
        <v>137500</v>
      </c>
      <c r="L197" s="67" t="n">
        <f aca="false">K200</f>
        <v>135714.285714286</v>
      </c>
      <c r="M197" s="67" t="n">
        <f aca="false">L200</f>
        <v>133928.571428571</v>
      </c>
      <c r="N197" s="67" t="n">
        <f aca="false">M200</f>
        <v>132142.857142857</v>
      </c>
      <c r="O197" s="67" t="n">
        <f aca="false">N200</f>
        <v>130357.142857143</v>
      </c>
      <c r="P197" s="67" t="n">
        <f aca="false">O200</f>
        <v>128571.428571429</v>
      </c>
      <c r="Q197" s="67" t="n">
        <f aca="false">P200</f>
        <v>126785.714285714</v>
      </c>
      <c r="R197" s="67" t="n">
        <f aca="false">Q200</f>
        <v>125000</v>
      </c>
      <c r="S197" s="67" t="n">
        <f aca="false">R200</f>
        <v>123214.285714286</v>
      </c>
      <c r="T197" s="67" t="n">
        <f aca="false">S200</f>
        <v>121428.571428571</v>
      </c>
      <c r="U197" s="67" t="n">
        <f aca="false">T200</f>
        <v>119642.857142857</v>
      </c>
      <c r="V197" s="67" t="n">
        <f aca="false">U200</f>
        <v>117857.142857143</v>
      </c>
      <c r="W197" s="67" t="n">
        <f aca="false">V200</f>
        <v>116071.428571428</v>
      </c>
      <c r="X197" s="67" t="n">
        <f aca="false">W200</f>
        <v>114285.714285714</v>
      </c>
      <c r="Y197" s="67" t="n">
        <f aca="false">X200</f>
        <v>112500</v>
      </c>
      <c r="Z197" s="67" t="n">
        <f aca="false">Y200</f>
        <v>110714.285714286</v>
      </c>
      <c r="AA197" s="67" t="n">
        <f aca="false">Z200</f>
        <v>108928.571428571</v>
      </c>
      <c r="AB197" s="67" t="n">
        <f aca="false">AA200</f>
        <v>107142.857142857</v>
      </c>
      <c r="AC197" s="67" t="n">
        <f aca="false">AB200</f>
        <v>105357.142857143</v>
      </c>
      <c r="AD197" s="67" t="n">
        <f aca="false">AC200</f>
        <v>103571.428571428</v>
      </c>
      <c r="AE197" s="67" t="n">
        <f aca="false">AD200</f>
        <v>101785.714285714</v>
      </c>
      <c r="AF197" s="67" t="n">
        <f aca="false">AE200</f>
        <v>99999.9999999999</v>
      </c>
      <c r="AG197" s="67" t="n">
        <f aca="false">AF200</f>
        <v>98214.2857142856</v>
      </c>
      <c r="AH197" s="67" t="n">
        <f aca="false">AG200</f>
        <v>96428.5714285713</v>
      </c>
      <c r="AI197" s="67" t="n">
        <f aca="false">AH200</f>
        <v>94642.857142857</v>
      </c>
      <c r="AJ197" s="67" t="n">
        <f aca="false">AI200</f>
        <v>92857.1428571427</v>
      </c>
      <c r="AK197" s="67" t="n">
        <f aca="false">AJ200</f>
        <v>91071.4285714284</v>
      </c>
      <c r="AL197" s="67" t="n">
        <f aca="false">AK200</f>
        <v>89285.7142857141</v>
      </c>
    </row>
    <row r="198" customFormat="false" ht="15" hidden="false" customHeight="false" outlineLevel="0" collapsed="false">
      <c r="A198" s="6" t="s">
        <v>84</v>
      </c>
      <c r="C198" s="67" t="n">
        <f aca="false">IF(C$131=1,Inputs!$C$84,0)</f>
        <v>150000</v>
      </c>
      <c r="D198" s="67" t="n">
        <f aca="false">IF(D$131=1,Inputs!$C$84,0)</f>
        <v>0</v>
      </c>
      <c r="E198" s="67" t="n">
        <f aca="false">IF(E$131=1,Inputs!$C$84,0)</f>
        <v>0</v>
      </c>
      <c r="F198" s="67" t="n">
        <f aca="false">IF(F$131=1,Inputs!$C$84,0)</f>
        <v>0</v>
      </c>
      <c r="G198" s="67" t="n">
        <f aca="false">IF(G$131=1,Inputs!$C$84,0)</f>
        <v>0</v>
      </c>
      <c r="H198" s="67" t="n">
        <f aca="false">IF(H$131=1,Inputs!$C$84,0)</f>
        <v>0</v>
      </c>
      <c r="I198" s="67" t="n">
        <f aca="false">IF(I$131=1,Inputs!$C$84,0)</f>
        <v>0</v>
      </c>
      <c r="J198" s="67" t="n">
        <f aca="false">IF(J$131=1,Inputs!$C$84,0)</f>
        <v>0</v>
      </c>
      <c r="K198" s="67" t="n">
        <f aca="false">IF(K$131=1,Inputs!$C$84,0)</f>
        <v>0</v>
      </c>
      <c r="L198" s="67" t="n">
        <f aca="false">IF(L$131=1,Inputs!$C$84,0)</f>
        <v>0</v>
      </c>
      <c r="M198" s="67" t="n">
        <f aca="false">IF(M$131=1,Inputs!$C$84,0)</f>
        <v>0</v>
      </c>
      <c r="N198" s="67" t="n">
        <f aca="false">IF(N$131=1,Inputs!$C$84,0)</f>
        <v>0</v>
      </c>
      <c r="O198" s="67" t="n">
        <f aca="false">IF(O$131=1,Inputs!$C$84,0)</f>
        <v>0</v>
      </c>
      <c r="P198" s="67" t="n">
        <f aca="false">IF(P$131=1,Inputs!$C$84,0)</f>
        <v>0</v>
      </c>
      <c r="Q198" s="67" t="n">
        <f aca="false">IF(Q$131=1,Inputs!$C$84,0)</f>
        <v>0</v>
      </c>
      <c r="R198" s="67" t="n">
        <f aca="false">IF(R$131=1,Inputs!$C$84,0)</f>
        <v>0</v>
      </c>
      <c r="S198" s="67" t="n">
        <f aca="false">IF(S$131=1,Inputs!$C$84,0)</f>
        <v>0</v>
      </c>
      <c r="T198" s="67" t="n">
        <f aca="false">IF(T$131=1,Inputs!$C$84,0)</f>
        <v>0</v>
      </c>
      <c r="U198" s="67" t="n">
        <f aca="false">IF(U$131=1,Inputs!$C$84,0)</f>
        <v>0</v>
      </c>
      <c r="V198" s="67" t="n">
        <f aca="false">IF(V$131=1,Inputs!$C$84,0)</f>
        <v>0</v>
      </c>
      <c r="W198" s="67" t="n">
        <f aca="false">IF(W$131=1,Inputs!$C$84,0)</f>
        <v>0</v>
      </c>
      <c r="X198" s="67" t="n">
        <f aca="false">IF(X$131=1,Inputs!$C$84,0)</f>
        <v>0</v>
      </c>
      <c r="Y198" s="67" t="n">
        <f aca="false">IF(Y$131=1,Inputs!$C$84,0)</f>
        <v>0</v>
      </c>
      <c r="Z198" s="67" t="n">
        <f aca="false">IF(Z$131=1,Inputs!$C$84,0)</f>
        <v>0</v>
      </c>
      <c r="AA198" s="67" t="n">
        <f aca="false">IF(AA$131=1,Inputs!$C$84,0)</f>
        <v>0</v>
      </c>
      <c r="AB198" s="67" t="n">
        <f aca="false">IF(AB$131=1,Inputs!$C$84,0)</f>
        <v>0</v>
      </c>
      <c r="AC198" s="67" t="n">
        <f aca="false">IF(AC$131=1,Inputs!$C$84,0)</f>
        <v>0</v>
      </c>
      <c r="AD198" s="67" t="n">
        <f aca="false">IF(AD$131=1,Inputs!$C$84,0)</f>
        <v>0</v>
      </c>
      <c r="AE198" s="67" t="n">
        <f aca="false">IF(AE$131=1,Inputs!$C$84,0)</f>
        <v>0</v>
      </c>
      <c r="AF198" s="67" t="n">
        <f aca="false">IF(AF$131=1,Inputs!$C$84,0)</f>
        <v>0</v>
      </c>
      <c r="AG198" s="67" t="n">
        <f aca="false">IF(AG$131=1,Inputs!$C$84,0)</f>
        <v>0</v>
      </c>
      <c r="AH198" s="67" t="n">
        <f aca="false">IF(AH$131=1,Inputs!$C$84,0)</f>
        <v>0</v>
      </c>
      <c r="AI198" s="67" t="n">
        <f aca="false">IF(AI$131=1,Inputs!$C$84,0)</f>
        <v>0</v>
      </c>
      <c r="AJ198" s="67" t="n">
        <f aca="false">IF(AJ$131=1,Inputs!$C$84,0)</f>
        <v>0</v>
      </c>
      <c r="AK198" s="67" t="n">
        <f aca="false">IF(AK$131=1,Inputs!$C$84,0)</f>
        <v>0</v>
      </c>
      <c r="AL198" s="67" t="n">
        <f aca="false">IF(AL$131=1,Inputs!$C$84,0)</f>
        <v>0</v>
      </c>
    </row>
    <row r="199" customFormat="false" ht="15" hidden="false" customHeight="false" outlineLevel="0" collapsed="false">
      <c r="A199" s="6" t="s">
        <v>85</v>
      </c>
      <c r="C199" s="67" t="n">
        <f aca="false">-MIN(C197,Inputs!$C$84/MAX(1,Inputs!$C$86*12))</f>
        <v>-0</v>
      </c>
      <c r="D199" s="67" t="n">
        <f aca="false">-MIN(D197,Inputs!$C$84/MAX(1,Inputs!$C$86*12))</f>
        <v>-1785.71428571429</v>
      </c>
      <c r="E199" s="67" t="n">
        <f aca="false">-MIN(E197,Inputs!$C$84/MAX(1,Inputs!$C$86*12))</f>
        <v>-1785.71428571429</v>
      </c>
      <c r="F199" s="67" t="n">
        <f aca="false">-MIN(F197,Inputs!$C$84/MAX(1,Inputs!$C$86*12))</f>
        <v>-1785.71428571429</v>
      </c>
      <c r="G199" s="67" t="n">
        <f aca="false">-MIN(G197,Inputs!$C$84/MAX(1,Inputs!$C$86*12))</f>
        <v>-1785.71428571429</v>
      </c>
      <c r="H199" s="67" t="n">
        <f aca="false">-MIN(H197,Inputs!$C$84/MAX(1,Inputs!$C$86*12))</f>
        <v>-1785.71428571429</v>
      </c>
      <c r="I199" s="67" t="n">
        <f aca="false">-MIN(I197,Inputs!$C$84/MAX(1,Inputs!$C$86*12))</f>
        <v>-1785.71428571429</v>
      </c>
      <c r="J199" s="67" t="n">
        <f aca="false">-MIN(J197,Inputs!$C$84/MAX(1,Inputs!$C$86*12))</f>
        <v>-1785.71428571429</v>
      </c>
      <c r="K199" s="67" t="n">
        <f aca="false">-MIN(K197,Inputs!$C$84/MAX(1,Inputs!$C$86*12))</f>
        <v>-1785.71428571429</v>
      </c>
      <c r="L199" s="67" t="n">
        <f aca="false">-MIN(L197,Inputs!$C$84/MAX(1,Inputs!$C$86*12))</f>
        <v>-1785.71428571429</v>
      </c>
      <c r="M199" s="67" t="n">
        <f aca="false">-MIN(M197,Inputs!$C$84/MAX(1,Inputs!$C$86*12))</f>
        <v>-1785.71428571429</v>
      </c>
      <c r="N199" s="67" t="n">
        <f aca="false">-MIN(N197,Inputs!$C$84/MAX(1,Inputs!$C$86*12))</f>
        <v>-1785.71428571429</v>
      </c>
      <c r="O199" s="67" t="n">
        <f aca="false">-MIN(O197,Inputs!$C$84/MAX(1,Inputs!$C$86*12))</f>
        <v>-1785.71428571429</v>
      </c>
      <c r="P199" s="67" t="n">
        <f aca="false">-MIN(P197,Inputs!$C$84/MAX(1,Inputs!$C$86*12))</f>
        <v>-1785.71428571429</v>
      </c>
      <c r="Q199" s="67" t="n">
        <f aca="false">-MIN(Q197,Inputs!$C$84/MAX(1,Inputs!$C$86*12))</f>
        <v>-1785.71428571429</v>
      </c>
      <c r="R199" s="67" t="n">
        <f aca="false">-MIN(R197,Inputs!$C$84/MAX(1,Inputs!$C$86*12))</f>
        <v>-1785.71428571429</v>
      </c>
      <c r="S199" s="67" t="n">
        <f aca="false">-MIN(S197,Inputs!$C$84/MAX(1,Inputs!$C$86*12))</f>
        <v>-1785.71428571429</v>
      </c>
      <c r="T199" s="67" t="n">
        <f aca="false">-MIN(T197,Inputs!$C$84/MAX(1,Inputs!$C$86*12))</f>
        <v>-1785.71428571429</v>
      </c>
      <c r="U199" s="67" t="n">
        <f aca="false">-MIN(U197,Inputs!$C$84/MAX(1,Inputs!$C$86*12))</f>
        <v>-1785.71428571429</v>
      </c>
      <c r="V199" s="67" t="n">
        <f aca="false">-MIN(V197,Inputs!$C$84/MAX(1,Inputs!$C$86*12))</f>
        <v>-1785.71428571429</v>
      </c>
      <c r="W199" s="67" t="n">
        <f aca="false">-MIN(W197,Inputs!$C$84/MAX(1,Inputs!$C$86*12))</f>
        <v>-1785.71428571429</v>
      </c>
      <c r="X199" s="67" t="n">
        <f aca="false">-MIN(X197,Inputs!$C$84/MAX(1,Inputs!$C$86*12))</f>
        <v>-1785.71428571429</v>
      </c>
      <c r="Y199" s="67" t="n">
        <f aca="false">-MIN(Y197,Inputs!$C$84/MAX(1,Inputs!$C$86*12))</f>
        <v>-1785.71428571429</v>
      </c>
      <c r="Z199" s="67" t="n">
        <f aca="false">-MIN(Z197,Inputs!$C$84/MAX(1,Inputs!$C$86*12))</f>
        <v>-1785.71428571429</v>
      </c>
      <c r="AA199" s="67" t="n">
        <f aca="false">-MIN(AA197,Inputs!$C$84/MAX(1,Inputs!$C$86*12))</f>
        <v>-1785.71428571429</v>
      </c>
      <c r="AB199" s="67" t="n">
        <f aca="false">-MIN(AB197,Inputs!$C$84/MAX(1,Inputs!$C$86*12))</f>
        <v>-1785.71428571429</v>
      </c>
      <c r="AC199" s="67" t="n">
        <f aca="false">-MIN(AC197,Inputs!$C$84/MAX(1,Inputs!$C$86*12))</f>
        <v>-1785.71428571429</v>
      </c>
      <c r="AD199" s="67" t="n">
        <f aca="false">-MIN(AD197,Inputs!$C$84/MAX(1,Inputs!$C$86*12))</f>
        <v>-1785.71428571429</v>
      </c>
      <c r="AE199" s="67" t="n">
        <f aca="false">-MIN(AE197,Inputs!$C$84/MAX(1,Inputs!$C$86*12))</f>
        <v>-1785.71428571429</v>
      </c>
      <c r="AF199" s="67" t="n">
        <f aca="false">-MIN(AF197,Inputs!$C$84/MAX(1,Inputs!$C$86*12))</f>
        <v>-1785.71428571429</v>
      </c>
      <c r="AG199" s="67" t="n">
        <f aca="false">-MIN(AG197,Inputs!$C$84/MAX(1,Inputs!$C$86*12))</f>
        <v>-1785.71428571429</v>
      </c>
      <c r="AH199" s="67" t="n">
        <f aca="false">-MIN(AH197,Inputs!$C$84/MAX(1,Inputs!$C$86*12))</f>
        <v>-1785.71428571429</v>
      </c>
      <c r="AI199" s="67" t="n">
        <f aca="false">-MIN(AI197,Inputs!$C$84/MAX(1,Inputs!$C$86*12))</f>
        <v>-1785.71428571429</v>
      </c>
      <c r="AJ199" s="67" t="n">
        <f aca="false">-MIN(AJ197,Inputs!$C$84/MAX(1,Inputs!$C$86*12))</f>
        <v>-1785.71428571429</v>
      </c>
      <c r="AK199" s="67" t="n">
        <f aca="false">-MIN(AK197,Inputs!$C$84/MAX(1,Inputs!$C$86*12))</f>
        <v>-1785.71428571429</v>
      </c>
      <c r="AL199" s="67" t="n">
        <f aca="false">-MIN(AL197,Inputs!$C$84/MAX(1,Inputs!$C$86*12))</f>
        <v>-1785.71428571429</v>
      </c>
    </row>
    <row r="200" customFormat="false" ht="15" hidden="false" customHeight="false" outlineLevel="0" collapsed="false">
      <c r="A200" s="4" t="s">
        <v>442</v>
      </c>
      <c r="C200" s="73" t="n">
        <f aca="false">C197+C198+C199</f>
        <v>150000</v>
      </c>
      <c r="D200" s="73" t="n">
        <f aca="false">D197+D198+D199</f>
        <v>148214.285714286</v>
      </c>
      <c r="E200" s="73" t="n">
        <f aca="false">E197+E198+E199</f>
        <v>146428.571428571</v>
      </c>
      <c r="F200" s="73" t="n">
        <f aca="false">F197+F198+F199</f>
        <v>144642.857142857</v>
      </c>
      <c r="G200" s="73" t="n">
        <f aca="false">G197+G198+G199</f>
        <v>142857.142857143</v>
      </c>
      <c r="H200" s="73" t="n">
        <f aca="false">H197+H198+H199</f>
        <v>141071.428571429</v>
      </c>
      <c r="I200" s="73" t="n">
        <f aca="false">I197+I198+I199</f>
        <v>139285.714285714</v>
      </c>
      <c r="J200" s="73" t="n">
        <f aca="false">J197+J198+J199</f>
        <v>137500</v>
      </c>
      <c r="K200" s="73" t="n">
        <f aca="false">K197+K198+K199</f>
        <v>135714.285714286</v>
      </c>
      <c r="L200" s="73" t="n">
        <f aca="false">L197+L198+L199</f>
        <v>133928.571428571</v>
      </c>
      <c r="M200" s="73" t="n">
        <f aca="false">M197+M198+M199</f>
        <v>132142.857142857</v>
      </c>
      <c r="N200" s="73" t="n">
        <f aca="false">N197+N198+N199</f>
        <v>130357.142857143</v>
      </c>
      <c r="O200" s="73" t="n">
        <f aca="false">O197+O198+O199</f>
        <v>128571.428571429</v>
      </c>
      <c r="P200" s="73" t="n">
        <f aca="false">P197+P198+P199</f>
        <v>126785.714285714</v>
      </c>
      <c r="Q200" s="73" t="n">
        <f aca="false">Q197+Q198+Q199</f>
        <v>125000</v>
      </c>
      <c r="R200" s="73" t="n">
        <f aca="false">R197+R198+R199</f>
        <v>123214.285714286</v>
      </c>
      <c r="S200" s="73" t="n">
        <f aca="false">S197+S198+S199</f>
        <v>121428.571428571</v>
      </c>
      <c r="T200" s="73" t="n">
        <f aca="false">T197+T198+T199</f>
        <v>119642.857142857</v>
      </c>
      <c r="U200" s="73" t="n">
        <f aca="false">U197+U198+U199</f>
        <v>117857.142857143</v>
      </c>
      <c r="V200" s="73" t="n">
        <f aca="false">V197+V198+V199</f>
        <v>116071.428571428</v>
      </c>
      <c r="W200" s="73" t="n">
        <f aca="false">W197+W198+W199</f>
        <v>114285.714285714</v>
      </c>
      <c r="X200" s="73" t="n">
        <f aca="false">X197+X198+X199</f>
        <v>112500</v>
      </c>
      <c r="Y200" s="73" t="n">
        <f aca="false">Y197+Y198+Y199</f>
        <v>110714.285714286</v>
      </c>
      <c r="Z200" s="73" t="n">
        <f aca="false">Z197+Z198+Z199</f>
        <v>108928.571428571</v>
      </c>
      <c r="AA200" s="73" t="n">
        <f aca="false">AA197+AA198+AA199</f>
        <v>107142.857142857</v>
      </c>
      <c r="AB200" s="73" t="n">
        <f aca="false">AB197+AB198+AB199</f>
        <v>105357.142857143</v>
      </c>
      <c r="AC200" s="73" t="n">
        <f aca="false">AC197+AC198+AC199</f>
        <v>103571.428571428</v>
      </c>
      <c r="AD200" s="73" t="n">
        <f aca="false">AD197+AD198+AD199</f>
        <v>101785.714285714</v>
      </c>
      <c r="AE200" s="73" t="n">
        <f aca="false">AE197+AE198+AE199</f>
        <v>99999.9999999999</v>
      </c>
      <c r="AF200" s="73" t="n">
        <f aca="false">AF197+AF198+AF199</f>
        <v>98214.2857142856</v>
      </c>
      <c r="AG200" s="73" t="n">
        <f aca="false">AG197+AG198+AG199</f>
        <v>96428.5714285713</v>
      </c>
      <c r="AH200" s="73" t="n">
        <f aca="false">AH197+AH198+AH199</f>
        <v>94642.857142857</v>
      </c>
      <c r="AI200" s="73" t="n">
        <f aca="false">AI197+AI198+AI199</f>
        <v>92857.1428571427</v>
      </c>
      <c r="AJ200" s="73" t="n">
        <f aca="false">AJ197+AJ198+AJ199</f>
        <v>91071.4285714284</v>
      </c>
      <c r="AK200" s="73" t="n">
        <f aca="false">AK197+AK198+AK199</f>
        <v>89285.7142857141</v>
      </c>
      <c r="AL200" s="73" t="n">
        <f aca="false">AL197+AL198+AL199</f>
        <v>87499.9999999999</v>
      </c>
    </row>
    <row r="202" customFormat="false" ht="15.75" hidden="false" customHeight="true" outlineLevel="0" collapsed="false">
      <c r="A202" s="7" t="s">
        <v>339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customFormat="false" ht="15" hidden="false" customHeight="false" outlineLevel="0" collapsed="false">
      <c r="A203" s="6" t="s">
        <v>89</v>
      </c>
      <c r="C203" s="67" t="n">
        <f aca="false">C158*Inputs!$C$89/30</f>
        <v>91098.4488210937</v>
      </c>
      <c r="D203" s="67" t="n">
        <f aca="false">D158*Inputs!$C$89/30</f>
        <v>91513.5147079734</v>
      </c>
      <c r="E203" s="67" t="n">
        <f aca="false">E158*Inputs!$C$89/30</f>
        <v>91922.7696724368</v>
      </c>
      <c r="F203" s="67" t="n">
        <f aca="false">F158*Inputs!$C$89/30</f>
        <v>92326.2950673977</v>
      </c>
      <c r="G203" s="67" t="n">
        <f aca="false">G158*Inputs!$C$89/30</f>
        <v>92724.1711068291</v>
      </c>
      <c r="H203" s="67" t="n">
        <f aca="false">H158*Inputs!$C$89/30</f>
        <v>93116.4768817085</v>
      </c>
      <c r="I203" s="67" t="n">
        <f aca="false">I158*Inputs!$C$89/30</f>
        <v>93503.2903757396</v>
      </c>
      <c r="J203" s="67" t="n">
        <f aca="false">J158*Inputs!$C$89/30</f>
        <v>93884.6884808543</v>
      </c>
      <c r="K203" s="67" t="n">
        <f aca="false">K158*Inputs!$C$89/30</f>
        <v>94260.7470124973</v>
      </c>
      <c r="L203" s="67" t="n">
        <f aca="false">L158*Inputs!$C$89/30</f>
        <v>94631.5407246973</v>
      </c>
      <c r="M203" s="67" t="n">
        <f aca="false">M158*Inputs!$C$89/30</f>
        <v>94997.1433249266</v>
      </c>
      <c r="N203" s="67" t="n">
        <f aca="false">N158*Inputs!$C$89/30</f>
        <v>95357.6274887526</v>
      </c>
      <c r="O203" s="67" t="n">
        <f aca="false">O158*Inputs!$C$89/30</f>
        <v>99136.4285594829</v>
      </c>
      <c r="P203" s="67" t="n">
        <f aca="false">P158*Inputs!$C$89/30</f>
        <v>99584.0224961708</v>
      </c>
      <c r="Q203" s="67" t="n">
        <f aca="false">Q158*Inputs!$C$89/30</f>
        <v>100025.350117745</v>
      </c>
      <c r="R203" s="67" t="n">
        <f aca="false">R158*Inputs!$C$89/30</f>
        <v>100460.499152617</v>
      </c>
      <c r="S203" s="67" t="n">
        <f aca="false">S158*Inputs!$C$89/30</f>
        <v>100889.556101002</v>
      </c>
      <c r="T203" s="67" t="n">
        <f aca="false">T158*Inputs!$C$89/30</f>
        <v>101312.606252108</v>
      </c>
      <c r="U203" s="67" t="n">
        <f aca="false">U158*Inputs!$C$89/30</f>
        <v>101729.733701099</v>
      </c>
      <c r="V203" s="67" t="n">
        <f aca="false">V158*Inputs!$C$89/30</f>
        <v>102141.021365805</v>
      </c>
      <c r="W203" s="67" t="n">
        <f aca="false">W158*Inputs!$C$89/30</f>
        <v>102546.551003204</v>
      </c>
      <c r="X203" s="67" t="n">
        <f aca="false">X158*Inputs!$C$89/30</f>
        <v>102946.40322568</v>
      </c>
      <c r="Y203" s="67" t="n">
        <f aca="false">Y158*Inputs!$C$89/30</f>
        <v>103340.657517041</v>
      </c>
      <c r="Z203" s="67" t="n">
        <f aca="false">Z158*Inputs!$C$89/30</f>
        <v>103729.392248324</v>
      </c>
      <c r="AA203" s="67" t="n">
        <f aca="false">AA158*Inputs!$C$89/30</f>
        <v>107835.657920347</v>
      </c>
      <c r="AB203" s="67" t="n">
        <f aca="false">AB158*Inputs!$C$89/30</f>
        <v>108319.013873452</v>
      </c>
      <c r="AC203" s="67" t="n">
        <f aca="false">AC158*Inputs!$C$89/30</f>
        <v>108795.602843213</v>
      </c>
      <c r="AD203" s="67" t="n">
        <f aca="false">AD158*Inputs!$C$89/30</f>
        <v>109265.519567398</v>
      </c>
      <c r="AE203" s="67" t="n">
        <f aca="false">AE158*Inputs!$C$89/30</f>
        <v>109728.857457445</v>
      </c>
      <c r="AF203" s="67" t="n">
        <f aca="false">AF158*Inputs!$C$89/30</f>
        <v>110185.708617031</v>
      </c>
      <c r="AG203" s="67" t="n">
        <f aca="false">AG158*Inputs!$C$89/30</f>
        <v>110636.163860382</v>
      </c>
      <c r="AH203" s="67" t="n">
        <f aca="false">AH158*Inputs!$C$89/30</f>
        <v>111080.312730327</v>
      </c>
      <c r="AI203" s="67" t="n">
        <f aca="false">AI158*Inputs!$C$89/30</f>
        <v>111518.243516092</v>
      </c>
      <c r="AJ203" s="67" t="n">
        <f aca="false">AJ158*Inputs!$C$89/30</f>
        <v>111950.043270857</v>
      </c>
      <c r="AK203" s="67" t="n">
        <f aca="false">AK158*Inputs!$C$89/30</f>
        <v>112375.797829055</v>
      </c>
      <c r="AL203" s="67" t="n">
        <f aca="false">AL158*Inputs!$C$89/30</f>
        <v>112795.591823438</v>
      </c>
    </row>
    <row r="204" customFormat="false" ht="15" hidden="false" customHeight="false" outlineLevel="0" collapsed="false">
      <c r="A204" s="6" t="s">
        <v>90</v>
      </c>
      <c r="C204" s="67" t="n">
        <f aca="false">-C164*Inputs!$C$90/30</f>
        <v>8950.81666550417</v>
      </c>
      <c r="D204" s="67" t="n">
        <f aca="false">-D164*Inputs!$C$90/30</f>
        <v>8990.10676602244</v>
      </c>
      <c r="E204" s="67" t="n">
        <f aca="false">-E164*Inputs!$C$90/30</f>
        <v>9028.84680513346</v>
      </c>
      <c r="F204" s="67" t="n">
        <f aca="false">-F164*Inputs!$C$90/30</f>
        <v>9067.04448369693</v>
      </c>
      <c r="G204" s="67" t="n">
        <f aca="false">-G164*Inputs!$C$90/30</f>
        <v>9104.7073947605</v>
      </c>
      <c r="H204" s="67" t="n">
        <f aca="false">-H164*Inputs!$C$90/30</f>
        <v>9141.84302506919</v>
      </c>
      <c r="I204" s="67" t="n">
        <f aca="false">-I164*Inputs!$C$90/30</f>
        <v>9178.45875655356</v>
      </c>
      <c r="J204" s="67" t="n">
        <f aca="false">-J164*Inputs!$C$90/30</f>
        <v>9214.56186779714</v>
      </c>
      <c r="K204" s="67" t="n">
        <f aca="false">-K164*Inputs!$C$90/30</f>
        <v>9250.15953548331</v>
      </c>
      <c r="L204" s="67" t="n">
        <f aca="false">-L164*Inputs!$C$90/30</f>
        <v>9285.25883582188</v>
      </c>
      <c r="M204" s="67" t="n">
        <f aca="false">-M164*Inputs!$C$90/30</f>
        <v>9319.86674595571</v>
      </c>
      <c r="N204" s="67" t="n">
        <f aca="false">-N164*Inputs!$C$90/30</f>
        <v>9353.99014534766</v>
      </c>
      <c r="O204" s="67" t="n">
        <f aca="false">-O164*Inputs!$C$90/30</f>
        <v>9739.78975314423</v>
      </c>
      <c r="P204" s="67" t="n">
        <f aca="false">-P164*Inputs!$C$90/30</f>
        <v>9782.15895600994</v>
      </c>
      <c r="Q204" s="67" t="n">
        <f aca="false">-Q164*Inputs!$C$90/30</f>
        <v>9823.93499003553</v>
      </c>
      <c r="R204" s="67" t="n">
        <f aca="false">-R164*Inputs!$C$90/30</f>
        <v>9865.12615958476</v>
      </c>
      <c r="S204" s="67" t="n">
        <f aca="false">-S164*Inputs!$C$90/30</f>
        <v>9905.7406527603</v>
      </c>
      <c r="T204" s="67" t="n">
        <f aca="false">-T164*Inputs!$C$90/30</f>
        <v>9945.78654303139</v>
      </c>
      <c r="U204" s="67" t="n">
        <f aca="false">-U164*Inputs!$C$90/30</f>
        <v>9985.27179083868</v>
      </c>
      <c r="V204" s="67" t="n">
        <f aca="false">-V164*Inputs!$C$90/30</f>
        <v>10024.2042451767</v>
      </c>
      <c r="W204" s="67" t="n">
        <f aca="false">-W164*Inputs!$C$90/30</f>
        <v>10062.5916451539</v>
      </c>
      <c r="X204" s="67" t="n">
        <f aca="false">-X164*Inputs!$C$90/30</f>
        <v>10100.4416215315</v>
      </c>
      <c r="Y204" s="67" t="n">
        <f aca="false">-Y164*Inputs!$C$90/30</f>
        <v>10137.7616982398</v>
      </c>
      <c r="Z204" s="67" t="n">
        <f aca="false">-Z164*Inputs!$C$90/30</f>
        <v>10174.5592938742</v>
      </c>
      <c r="AA204" s="67" t="n">
        <f aca="false">-AA164*Inputs!$C$90/30</f>
        <v>10593.7763158014</v>
      </c>
      <c r="AB204" s="67" t="n">
        <f aca="false">-AB164*Inputs!$C$90/30</f>
        <v>10639.5307480107</v>
      </c>
      <c r="AC204" s="67" t="n">
        <f aca="false">-AC164*Inputs!$C$90/30</f>
        <v>10684.644618169</v>
      </c>
      <c r="AD204" s="67" t="n">
        <f aca="false">-AD164*Inputs!$C$90/30</f>
        <v>10729.1268941451</v>
      </c>
      <c r="AE204" s="67" t="n">
        <f aca="false">-AE164*Inputs!$C$90/30</f>
        <v>10772.9864182575</v>
      </c>
      <c r="AF204" s="67" t="n">
        <f aca="false">-AF164*Inputs!$C$90/30</f>
        <v>10816.2319090324</v>
      </c>
      <c r="AG204" s="67" t="n">
        <f aca="false">-AG164*Inputs!$C$90/30</f>
        <v>10858.8719629364</v>
      </c>
      <c r="AH204" s="67" t="n">
        <f aca="false">-AH164*Inputs!$C$90/30</f>
        <v>10900.9150560858</v>
      </c>
      <c r="AI204" s="67" t="n">
        <f aca="false">-AI164*Inputs!$C$90/30</f>
        <v>10942.369545931</v>
      </c>
      <c r="AJ204" s="67" t="n">
        <f aca="false">-AJ164*Inputs!$C$90/30</f>
        <v>10983.2436729185</v>
      </c>
      <c r="AK204" s="67" t="n">
        <f aca="false">-AK164*Inputs!$C$90/30</f>
        <v>11023.5455621281</v>
      </c>
      <c r="AL204" s="67" t="n">
        <f aca="false">-AL164*Inputs!$C$90/30</f>
        <v>11063.2832248888</v>
      </c>
    </row>
    <row r="205" customFormat="false" ht="15" hidden="false" customHeight="false" outlineLevel="0" collapsed="false">
      <c r="A205" s="6" t="s">
        <v>93</v>
      </c>
      <c r="C205" s="67" t="n">
        <f aca="false">-C164*Inputs!$C$91/30</f>
        <v>18647.5347198003</v>
      </c>
      <c r="D205" s="67" t="n">
        <f aca="false">-D164*Inputs!$C$91/30</f>
        <v>18729.3890958801</v>
      </c>
      <c r="E205" s="67" t="n">
        <f aca="false">-E164*Inputs!$C$91/30</f>
        <v>18810.0975106947</v>
      </c>
      <c r="F205" s="67" t="n">
        <f aca="false">-F164*Inputs!$C$91/30</f>
        <v>18889.6760077019</v>
      </c>
      <c r="G205" s="67" t="n">
        <f aca="false">-G164*Inputs!$C$91/30</f>
        <v>18968.140405751</v>
      </c>
      <c r="H205" s="67" t="n">
        <f aca="false">-H164*Inputs!$C$91/30</f>
        <v>19045.5063022275</v>
      </c>
      <c r="I205" s="67" t="n">
        <f aca="false">-I164*Inputs!$C$91/30</f>
        <v>19121.7890761532</v>
      </c>
      <c r="J205" s="67" t="n">
        <f aca="false">-J164*Inputs!$C$91/30</f>
        <v>19197.003891244</v>
      </c>
      <c r="K205" s="67" t="n">
        <f aca="false">-K164*Inputs!$C$91/30</f>
        <v>19271.1656989236</v>
      </c>
      <c r="L205" s="67" t="n">
        <f aca="false">-L164*Inputs!$C$91/30</f>
        <v>19344.2892412956</v>
      </c>
      <c r="M205" s="67" t="n">
        <f aca="false">-M164*Inputs!$C$91/30</f>
        <v>19416.3890540744</v>
      </c>
      <c r="N205" s="67" t="n">
        <f aca="false">-N164*Inputs!$C$91/30</f>
        <v>19487.4794694743</v>
      </c>
      <c r="O205" s="67" t="n">
        <f aca="false">-O164*Inputs!$C$91/30</f>
        <v>20291.2286523838</v>
      </c>
      <c r="P205" s="67" t="n">
        <f aca="false">-P164*Inputs!$C$91/30</f>
        <v>20379.4978250207</v>
      </c>
      <c r="Q205" s="67" t="n">
        <f aca="false">-Q164*Inputs!$C$91/30</f>
        <v>20466.5312292407</v>
      </c>
      <c r="R205" s="67" t="n">
        <f aca="false">-R164*Inputs!$C$91/30</f>
        <v>20552.3461658016</v>
      </c>
      <c r="S205" s="67" t="n">
        <f aca="false">-S164*Inputs!$C$91/30</f>
        <v>20636.9596932506</v>
      </c>
      <c r="T205" s="67" t="n">
        <f aca="false">-T164*Inputs!$C$91/30</f>
        <v>20720.3886313154</v>
      </c>
      <c r="U205" s="67" t="n">
        <f aca="false">-U164*Inputs!$C$91/30</f>
        <v>20802.6495642472</v>
      </c>
      <c r="V205" s="67" t="n">
        <f aca="false">-V164*Inputs!$C$91/30</f>
        <v>20883.758844118</v>
      </c>
      <c r="W205" s="67" t="n">
        <f aca="false">-W164*Inputs!$C$91/30</f>
        <v>20963.7325940707</v>
      </c>
      <c r="X205" s="67" t="n">
        <f aca="false">-X164*Inputs!$C$91/30</f>
        <v>21042.5867115239</v>
      </c>
      <c r="Y205" s="67" t="n">
        <f aca="false">-Y164*Inputs!$C$91/30</f>
        <v>21120.3368713329</v>
      </c>
      <c r="Z205" s="67" t="n">
        <f aca="false">-Z164*Inputs!$C$91/30</f>
        <v>21196.9985289045</v>
      </c>
      <c r="AA205" s="67" t="n">
        <f aca="false">-AA164*Inputs!$C$91/30</f>
        <v>22070.3673245863</v>
      </c>
      <c r="AB205" s="67" t="n">
        <f aca="false">-AB164*Inputs!$C$91/30</f>
        <v>22165.6890583555</v>
      </c>
      <c r="AC205" s="67" t="n">
        <f aca="false">-AC164*Inputs!$C$91/30</f>
        <v>22259.676287852</v>
      </c>
      <c r="AD205" s="67" t="n">
        <f aca="false">-AD164*Inputs!$C$91/30</f>
        <v>22352.3476961356</v>
      </c>
      <c r="AE205" s="67" t="n">
        <f aca="false">-AE164*Inputs!$C$91/30</f>
        <v>22443.7217047032</v>
      </c>
      <c r="AF205" s="67" t="n">
        <f aca="false">-AF164*Inputs!$C$91/30</f>
        <v>22533.8164771508</v>
      </c>
      <c r="AG205" s="67" t="n">
        <f aca="false">-AG164*Inputs!$C$91/30</f>
        <v>22622.6499227842</v>
      </c>
      <c r="AH205" s="67" t="n">
        <f aca="false">-AH164*Inputs!$C$91/30</f>
        <v>22710.2397001787</v>
      </c>
      <c r="AI205" s="67" t="n">
        <f aca="false">-AI164*Inputs!$C$91/30</f>
        <v>22796.6032206897</v>
      </c>
      <c r="AJ205" s="67" t="n">
        <f aca="false">-AJ164*Inputs!$C$91/30</f>
        <v>22881.7576519135</v>
      </c>
      <c r="AK205" s="67" t="n">
        <f aca="false">-AK164*Inputs!$C$91/30</f>
        <v>22965.7199211002</v>
      </c>
      <c r="AL205" s="67" t="n">
        <f aca="false">-AL164*Inputs!$C$91/30</f>
        <v>23048.5067185182</v>
      </c>
    </row>
    <row r="206" customFormat="false" ht="15" hidden="false" customHeight="false" outlineLevel="0" collapsed="false">
      <c r="A206" s="6" t="s">
        <v>365</v>
      </c>
      <c r="C206" s="67" t="n">
        <f aca="false">-C203</f>
        <v>-91098.4488210937</v>
      </c>
      <c r="D206" s="67" t="n">
        <f aca="false">C203-D203</f>
        <v>-415.065886879704</v>
      </c>
      <c r="E206" s="67" t="n">
        <f aca="false">D203-E203</f>
        <v>-409.254964463384</v>
      </c>
      <c r="F206" s="67" t="n">
        <f aca="false">E203-F203</f>
        <v>-403.525394960874</v>
      </c>
      <c r="G206" s="67" t="n">
        <f aca="false">F203-G203</f>
        <v>-397.876039431445</v>
      </c>
      <c r="H206" s="67" t="n">
        <f aca="false">G203-H203</f>
        <v>-392.30577487938</v>
      </c>
      <c r="I206" s="67" t="n">
        <f aca="false">H203-I203</f>
        <v>-386.813494031099</v>
      </c>
      <c r="J206" s="67" t="n">
        <f aca="false">I203-J203</f>
        <v>-381.39810511464</v>
      </c>
      <c r="K206" s="67" t="n">
        <f aca="false">J203-K203</f>
        <v>-376.058531643052</v>
      </c>
      <c r="L206" s="67" t="n">
        <f aca="false">K203-L203</f>
        <v>-370.793712200029</v>
      </c>
      <c r="M206" s="67" t="n">
        <f aca="false">L203-M203</f>
        <v>-365.60260022922</v>
      </c>
      <c r="N206" s="67" t="n">
        <f aca="false">M203-N203</f>
        <v>-360.48416382604</v>
      </c>
      <c r="O206" s="67" t="n">
        <f aca="false">N203-O203</f>
        <v>-3778.80107073026</v>
      </c>
      <c r="P206" s="67" t="n">
        <f aca="false">O203-P203</f>
        <v>-447.593936687961</v>
      </c>
      <c r="Q206" s="67" t="n">
        <f aca="false">P203-Q203</f>
        <v>-441.327621574354</v>
      </c>
      <c r="R206" s="67" t="n">
        <f aca="false">Q203-R203</f>
        <v>-435.149034872302</v>
      </c>
      <c r="S206" s="67" t="n">
        <f aca="false">R203-S203</f>
        <v>-429.056948384081</v>
      </c>
      <c r="T206" s="67" t="n">
        <f aca="false">S203-T203</f>
        <v>-423.050151106712</v>
      </c>
      <c r="U206" s="67" t="n">
        <f aca="false">T203-U203</f>
        <v>-417.127448991218</v>
      </c>
      <c r="V206" s="67" t="n">
        <f aca="false">U203-V203</f>
        <v>-411.287664705349</v>
      </c>
      <c r="W206" s="67" t="n">
        <f aca="false">V203-W203</f>
        <v>-405.529637399508</v>
      </c>
      <c r="X206" s="67" t="n">
        <f aca="false">W203-X203</f>
        <v>-399.852222475849</v>
      </c>
      <c r="Y206" s="67" t="n">
        <f aca="false">X203-Y203</f>
        <v>-394.254291361198</v>
      </c>
      <c r="Z206" s="67" t="n">
        <f aca="false">Y203-Z203</f>
        <v>-388.734731282195</v>
      </c>
      <c r="AA206" s="67" t="n">
        <f aca="false">Z203-AA203</f>
        <v>-4106.26567202296</v>
      </c>
      <c r="AB206" s="67" t="n">
        <f aca="false">AA203-AB203</f>
        <v>-483.355953105172</v>
      </c>
      <c r="AC206" s="67" t="n">
        <f aca="false">AB203-AC203</f>
        <v>-476.588969761709</v>
      </c>
      <c r="AD206" s="67" t="n">
        <f aca="false">AC203-AD203</f>
        <v>-469.916724185037</v>
      </c>
      <c r="AE206" s="67" t="n">
        <f aca="false">AD203-AE203</f>
        <v>-463.337890046445</v>
      </c>
      <c r="AF206" s="67" t="n">
        <f aca="false">AE203-AF203</f>
        <v>-456.8511595858</v>
      </c>
      <c r="AG206" s="67" t="n">
        <f aca="false">AF203-AG203</f>
        <v>-450.455243351593</v>
      </c>
      <c r="AH206" s="67" t="n">
        <f aca="false">AG203-AH203</f>
        <v>-444.148869944693</v>
      </c>
      <c r="AI206" s="67" t="n">
        <f aca="false">AH203-AI203</f>
        <v>-437.930785765449</v>
      </c>
      <c r="AJ206" s="67" t="n">
        <f aca="false">AI203-AJ203</f>
        <v>-431.799754764739</v>
      </c>
      <c r="AK206" s="67" t="n">
        <f aca="false">AJ203-AK203</f>
        <v>-425.754558198052</v>
      </c>
      <c r="AL206" s="67" t="n">
        <f aca="false">AK203-AL203</f>
        <v>-419.793994383217</v>
      </c>
    </row>
    <row r="207" customFormat="false" ht="15" hidden="false" customHeight="false" outlineLevel="0" collapsed="false">
      <c r="A207" s="6" t="s">
        <v>366</v>
      </c>
      <c r="C207" s="67" t="n">
        <f aca="false">-C204</f>
        <v>-8950.81666550417</v>
      </c>
      <c r="D207" s="67" t="n">
        <f aca="false">C204-D204</f>
        <v>-39.2901005182739</v>
      </c>
      <c r="E207" s="67" t="n">
        <f aca="false">D204-E204</f>
        <v>-38.7400391110223</v>
      </c>
      <c r="F207" s="67" t="n">
        <f aca="false">E204-F204</f>
        <v>-38.1976785634633</v>
      </c>
      <c r="G207" s="67" t="n">
        <f aca="false">F204-G204</f>
        <v>-37.6629110635768</v>
      </c>
      <c r="H207" s="67" t="n">
        <f aca="false">G204-H204</f>
        <v>-37.1356303086868</v>
      </c>
      <c r="I207" s="67" t="n">
        <f aca="false">H204-I204</f>
        <v>-36.6157314843658</v>
      </c>
      <c r="J207" s="67" t="n">
        <f aca="false">I204-J204</f>
        <v>-36.103111243583</v>
      </c>
      <c r="K207" s="67" t="n">
        <f aca="false">J204-K204</f>
        <v>-35.5976676861719</v>
      </c>
      <c r="L207" s="67" t="n">
        <f aca="false">K204-L204</f>
        <v>-35.0993003385684</v>
      </c>
      <c r="M207" s="67" t="n">
        <f aca="false">L204-M204</f>
        <v>-34.6079101338273</v>
      </c>
      <c r="N207" s="67" t="n">
        <f aca="false">M204-N204</f>
        <v>-34.1233993919541</v>
      </c>
      <c r="O207" s="67" t="n">
        <f aca="false">N204-O204</f>
        <v>-385.799607796571</v>
      </c>
      <c r="P207" s="67" t="n">
        <f aca="false">O204-P204</f>
        <v>-42.3692028657097</v>
      </c>
      <c r="Q207" s="67" t="n">
        <f aca="false">P204-Q204</f>
        <v>-41.7760340255863</v>
      </c>
      <c r="R207" s="67" t="n">
        <f aca="false">Q204-R204</f>
        <v>-41.1911695492327</v>
      </c>
      <c r="S207" s="67" t="n">
        <f aca="false">R204-S204</f>
        <v>-40.6144931755407</v>
      </c>
      <c r="T207" s="67" t="n">
        <f aca="false">S204-T204</f>
        <v>-40.0458902710852</v>
      </c>
      <c r="U207" s="67" t="n">
        <f aca="false">T204-U204</f>
        <v>-39.4852478072917</v>
      </c>
      <c r="V207" s="67" t="n">
        <f aca="false">U204-V204</f>
        <v>-38.9324543379862</v>
      </c>
      <c r="W207" s="67" t="n">
        <f aca="false">V204-W204</f>
        <v>-38.3873999772568</v>
      </c>
      <c r="X207" s="67" t="n">
        <f aca="false">W204-X204</f>
        <v>-37.8499763775744</v>
      </c>
      <c r="Y207" s="67" t="n">
        <f aca="false">X204-Y204</f>
        <v>-37.3200767082835</v>
      </c>
      <c r="Z207" s="67" t="n">
        <f aca="false">Y204-Z204</f>
        <v>-36.7975956343744</v>
      </c>
      <c r="AA207" s="67" t="n">
        <f aca="false">Z204-AA204</f>
        <v>-419.217021927254</v>
      </c>
      <c r="AB207" s="67" t="n">
        <f aca="false">AA204-AB204</f>
        <v>-45.754432209249</v>
      </c>
      <c r="AC207" s="67" t="n">
        <f aca="false">AB204-AC204</f>
        <v>-45.1138701583222</v>
      </c>
      <c r="AD207" s="67" t="n">
        <f aca="false">AC204-AD204</f>
        <v>-44.4822759761028</v>
      </c>
      <c r="AE207" s="67" t="n">
        <f aca="false">AD204-AE204</f>
        <v>-43.8595241124385</v>
      </c>
      <c r="AF207" s="67" t="n">
        <f aca="false">AE204-AF204</f>
        <v>-43.2454907748652</v>
      </c>
      <c r="AG207" s="67" t="n">
        <f aca="false">AF204-AG204</f>
        <v>-42.6400539040169</v>
      </c>
      <c r="AH207" s="67" t="n">
        <f aca="false">AG204-AH204</f>
        <v>-42.0430931493629</v>
      </c>
      <c r="AI207" s="67" t="n">
        <f aca="false">AH204-AI204</f>
        <v>-41.4544898452677</v>
      </c>
      <c r="AJ207" s="67" t="n">
        <f aca="false">AI204-AJ204</f>
        <v>-40.8741269874354</v>
      </c>
      <c r="AK207" s="67" t="n">
        <f aca="false">AJ204-AK204</f>
        <v>-40.3018892096115</v>
      </c>
      <c r="AL207" s="67" t="n">
        <f aca="false">AK204-AL204</f>
        <v>-39.7376627606773</v>
      </c>
    </row>
    <row r="208" customFormat="false" ht="15" hidden="false" customHeight="false" outlineLevel="0" collapsed="false">
      <c r="A208" s="6" t="s">
        <v>367</v>
      </c>
      <c r="C208" s="67" t="n">
        <f aca="false">C205</f>
        <v>18647.5347198003</v>
      </c>
      <c r="D208" s="67" t="n">
        <f aca="false">D205-C205</f>
        <v>81.8543760797365</v>
      </c>
      <c r="E208" s="67" t="n">
        <f aca="false">E205-D205</f>
        <v>80.7084148146278</v>
      </c>
      <c r="F208" s="67" t="n">
        <f aca="false">F205-E205</f>
        <v>79.57849700722</v>
      </c>
      <c r="G208" s="67" t="n">
        <f aca="false">G205-F205</f>
        <v>78.4643980491164</v>
      </c>
      <c r="H208" s="67" t="n">
        <f aca="false">H205-G205</f>
        <v>77.365896476429</v>
      </c>
      <c r="I208" s="67" t="n">
        <f aca="false">I205-H205</f>
        <v>76.2827739257627</v>
      </c>
      <c r="J208" s="67" t="n">
        <f aca="false">J205-I205</f>
        <v>75.2148150907997</v>
      </c>
      <c r="K208" s="67" t="n">
        <f aca="false">K205-J205</f>
        <v>74.1618076795239</v>
      </c>
      <c r="L208" s="67" t="n">
        <f aca="false">L205-K205</f>
        <v>73.1235423720173</v>
      </c>
      <c r="M208" s="67" t="n">
        <f aca="false">M205-L205</f>
        <v>72.0998127788043</v>
      </c>
      <c r="N208" s="67" t="n">
        <f aca="false">N205-M205</f>
        <v>71.0904153999072</v>
      </c>
      <c r="O208" s="67" t="n">
        <f aca="false">O205-N205</f>
        <v>803.749182909523</v>
      </c>
      <c r="P208" s="67" t="n">
        <f aca="false">P205-O205</f>
        <v>88.2691726368903</v>
      </c>
      <c r="Q208" s="67" t="n">
        <f aca="false">Q205-P205</f>
        <v>87.0334042199756</v>
      </c>
      <c r="R208" s="67" t="n">
        <f aca="false">R205-Q205</f>
        <v>85.8149365608988</v>
      </c>
      <c r="S208" s="67" t="n">
        <f aca="false">S205-R205</f>
        <v>84.613527449048</v>
      </c>
      <c r="T208" s="67" t="n">
        <f aca="false">T205-S205</f>
        <v>83.428938064757</v>
      </c>
      <c r="U208" s="67" t="n">
        <f aca="false">U205-T205</f>
        <v>82.2609329318548</v>
      </c>
      <c r="V208" s="67" t="n">
        <f aca="false">V205-U205</f>
        <v>81.109279870805</v>
      </c>
      <c r="W208" s="67" t="n">
        <f aca="false">W205-V205</f>
        <v>79.9737499526236</v>
      </c>
      <c r="X208" s="67" t="n">
        <f aca="false">X205-W205</f>
        <v>78.8541174532766</v>
      </c>
      <c r="Y208" s="67" t="n">
        <f aca="false">Y205-X205</f>
        <v>77.7501598089293</v>
      </c>
      <c r="Z208" s="67" t="n">
        <f aca="false">Z205-Y205</f>
        <v>76.6616575716071</v>
      </c>
      <c r="AA208" s="67" t="n">
        <f aca="false">AA205-Z205</f>
        <v>873.368795681781</v>
      </c>
      <c r="AB208" s="67" t="n">
        <f aca="false">AB205-AA205</f>
        <v>95.3217337692695</v>
      </c>
      <c r="AC208" s="67" t="n">
        <f aca="false">AC205-AB205</f>
        <v>93.9872294965026</v>
      </c>
      <c r="AD208" s="67" t="n">
        <f aca="false">AD205-AC205</f>
        <v>92.6714082835497</v>
      </c>
      <c r="AE208" s="67" t="n">
        <f aca="false">AE205-AD205</f>
        <v>91.3740085675781</v>
      </c>
      <c r="AF208" s="67" t="n">
        <f aca="false">AF205-AE205</f>
        <v>90.0947724476355</v>
      </c>
      <c r="AG208" s="67" t="n">
        <f aca="false">AG205-AF205</f>
        <v>88.8334456333687</v>
      </c>
      <c r="AH208" s="67" t="n">
        <f aca="false">AH205-AG205</f>
        <v>87.5897773945071</v>
      </c>
      <c r="AI208" s="67" t="n">
        <f aca="false">AI205-AH205</f>
        <v>86.3635205109749</v>
      </c>
      <c r="AJ208" s="67" t="n">
        <f aca="false">AJ205-AI205</f>
        <v>85.154431223822</v>
      </c>
      <c r="AK208" s="67" t="n">
        <f aca="false">AK205-AJ205</f>
        <v>83.9622691866971</v>
      </c>
      <c r="AL208" s="67" t="n">
        <f aca="false">AL205-AK205</f>
        <v>82.7867974180699</v>
      </c>
    </row>
    <row r="210" customFormat="false" ht="15.75" hidden="false" customHeight="true" outlineLevel="0" collapsed="false">
      <c r="A210" s="7" t="s">
        <v>443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customFormat="false" ht="15" hidden="false" customHeight="false" outlineLevel="0" collapsed="false">
      <c r="A211" s="4" t="s">
        <v>52</v>
      </c>
      <c r="C211" s="73" t="n">
        <f aca="false">C187-C192+C206+C207+C208</f>
        <v>-64556.3520084263</v>
      </c>
      <c r="D211" s="73" t="n">
        <f aca="false">D187-D192+D206+D207+D208</f>
        <v>16946.2011055272</v>
      </c>
      <c r="E211" s="73" t="n">
        <f aca="false">E187-E192+E206+E207+E208</f>
        <v>17423.2916464488</v>
      </c>
      <c r="F211" s="73" t="n">
        <f aca="false">F187-F192+F206+F207+F208</f>
        <v>17893.9546832597</v>
      </c>
      <c r="G211" s="73" t="n">
        <f aca="false">G187-G192+G206+G207+G208</f>
        <v>18358.2802010174</v>
      </c>
      <c r="H211" s="73" t="n">
        <f aca="false">H187-H192+H206+H207+H208</f>
        <v>18816.3569249889</v>
      </c>
      <c r="I211" s="73" t="n">
        <f aca="false">I187-I192+I206+I207+I208</f>
        <v>19268.272338287</v>
      </c>
      <c r="J211" s="73" t="n">
        <f aca="false">J187-J192+J206+J207+J208</f>
        <v>19714.1126992611</v>
      </c>
      <c r="K211" s="73" t="n">
        <f aca="false">K187-K192+K206+K207+K208</f>
        <v>20153.9630586439</v>
      </c>
      <c r="L211" s="73" t="n">
        <f aca="false">L187-L192+L206+L207+L208</f>
        <v>20587.9072764576</v>
      </c>
      <c r="M211" s="73" t="n">
        <f aca="false">M187-M192+M206+M207+M208</f>
        <v>21016.0280386842</v>
      </c>
      <c r="N211" s="73" t="n">
        <f aca="false">N187-N192+N206+N207+N208</f>
        <v>21438.4068737018</v>
      </c>
      <c r="O211" s="73" t="n">
        <f aca="false">O187-O192+O206+O207+O208</f>
        <v>18104.8070471031</v>
      </c>
      <c r="P211" s="73" t="n">
        <f aca="false">P187-P192+P206+P207+P208</f>
        <v>21579.0463807412</v>
      </c>
      <c r="Q211" s="73" t="n">
        <f aca="false">Q187-Q192+Q206+Q207+Q208</f>
        <v>22092.8021189521</v>
      </c>
      <c r="R211" s="73" t="n">
        <f aca="false">R187-R192+R206+R207+R208</f>
        <v>22599.6266398337</v>
      </c>
      <c r="S211" s="73" t="n">
        <f aca="false">S187-S192+S206+S207+S208</f>
        <v>23099.6169804285</v>
      </c>
      <c r="T211" s="73" t="n">
        <f aca="false">T187-T192+T206+T207+T208</f>
        <v>23592.8688192605</v>
      </c>
      <c r="U211" s="73" t="n">
        <f aca="false">U187-U192+U206+U207+U208</f>
        <v>24079.4764953546</v>
      </c>
      <c r="V211" s="73" t="n">
        <f aca="false">V187-V192+V206+V207+V208</f>
        <v>24559.5330269889</v>
      </c>
      <c r="W211" s="73" t="n">
        <f aca="false">W187-W192+W206+W207+W208</f>
        <v>25033.130130186</v>
      </c>
      <c r="X211" s="73" t="n">
        <f aca="false">X187-X192+X206+X207+X208</f>
        <v>25500.3582369439</v>
      </c>
      <c r="Y211" s="73" t="n">
        <f aca="false">Y187-Y192+Y206+Y207+Y208</f>
        <v>25961.3065132128</v>
      </c>
      <c r="Z211" s="73" t="n">
        <f aca="false">Z187-Z192+Z206+Z207+Z208</f>
        <v>26416.0628766194</v>
      </c>
      <c r="AA211" s="73" t="n">
        <f aca="false">AA187-AA192+AA206+AA207+AA208</f>
        <v>22846.8453045932</v>
      </c>
      <c r="AB211" s="73" t="n">
        <f aca="false">AB187-AB192+AB206+AB207+AB208</f>
        <v>26620.6596641583</v>
      </c>
      <c r="AC211" s="73" t="n">
        <f aca="false">AC187-AC192+AC206+AC207+AC208</f>
        <v>27174.7167597318</v>
      </c>
      <c r="AD211" s="73" t="n">
        <f aca="false">AD187-AD192+AD206+AD207+AD208</f>
        <v>27721.288845157</v>
      </c>
      <c r="AE211" s="73" t="n">
        <f aca="false">AE187-AE192+AE206+AE207+AE208</f>
        <v>28260.480710576</v>
      </c>
      <c r="AF211" s="73" t="n">
        <f aca="false">AF187-AF192+AF206+AF207+AF208</f>
        <v>28792.395679069</v>
      </c>
      <c r="AG211" s="73" t="n">
        <f aca="false">AG187-AG192+AG206+AG207+AG208</f>
        <v>29317.1356271928</v>
      </c>
      <c r="AH211" s="73" t="n">
        <f aca="false">AH187-AH192+AH206+AH207+AH208</f>
        <v>29834.8010052327</v>
      </c>
      <c r="AI211" s="73" t="n">
        <f aca="false">AI187-AI192+AI206+AI207+AI208</f>
        <v>30345.4908571698</v>
      </c>
      <c r="AJ211" s="73" t="n">
        <f aca="false">AJ187-AJ192+AJ206+AJ207+AJ208</f>
        <v>30849.3028403695</v>
      </c>
      <c r="AK211" s="73" t="n">
        <f aca="false">AK187-AK192+AK206+AK207+AK208</f>
        <v>31346.3332449942</v>
      </c>
      <c r="AL211" s="73" t="n">
        <f aca="false">AL187-AL192+AL206+AL207+AL208</f>
        <v>31836.677013144</v>
      </c>
    </row>
    <row r="212" customFormat="false" ht="15" hidden="false" customHeight="false" outlineLevel="0" collapsed="false">
      <c r="A212" s="6" t="s">
        <v>444</v>
      </c>
      <c r="C212" s="67" t="n">
        <f aca="false">-C190</f>
        <v>-62411.4295276172</v>
      </c>
      <c r="D212" s="67" t="n">
        <f aca="false">-D190</f>
        <v>-2422.4165657993</v>
      </c>
      <c r="E212" s="67" t="n">
        <f aca="false">-E190</f>
        <v>-2433.24978544686</v>
      </c>
      <c r="F212" s="67" t="n">
        <f aca="false">-F190</f>
        <v>-2443.93134001935</v>
      </c>
      <c r="G212" s="67" t="n">
        <f aca="false">-G190</f>
        <v>-2454.46335282783</v>
      </c>
      <c r="H212" s="67" t="n">
        <f aca="false">-H190</f>
        <v>-2464.84791745699</v>
      </c>
      <c r="I212" s="67" t="n">
        <f aca="false">-I190</f>
        <v>-2475.08709818134</v>
      </c>
      <c r="J212" s="67" t="n">
        <f aca="false">-J190</f>
        <v>-2485.18293037555</v>
      </c>
      <c r="K212" s="67" t="n">
        <f aca="false">-K190</f>
        <v>-2495.13742091905</v>
      </c>
      <c r="L212" s="67" t="n">
        <f aca="false">-L190</f>
        <v>-2504.95254859493</v>
      </c>
      <c r="M212" s="67" t="n">
        <f aca="false">-M190</f>
        <v>-2514.63026448335</v>
      </c>
      <c r="N212" s="67" t="n">
        <f aca="false">-N190</f>
        <v>-2524.17249234933</v>
      </c>
      <c r="O212" s="67" t="n">
        <f aca="false">-O190</f>
        <v>-2624.19957951572</v>
      </c>
      <c r="P212" s="67" t="n">
        <f aca="false">-P190</f>
        <v>-2636.0476543104</v>
      </c>
      <c r="Q212" s="67" t="n">
        <f aca="false">-Q190</f>
        <v>-2647.72985605796</v>
      </c>
      <c r="R212" s="67" t="n">
        <f aca="false">-R190</f>
        <v>-2659.24850698105</v>
      </c>
      <c r="S212" s="67" t="n">
        <f aca="false">-S190</f>
        <v>-2670.60589679122</v>
      </c>
      <c r="T212" s="67" t="n">
        <f aca="false">-T190</f>
        <v>-2681.80428314404</v>
      </c>
      <c r="U212" s="67" t="n">
        <f aca="false">-U190</f>
        <v>-2692.84589208793</v>
      </c>
      <c r="V212" s="67" t="n">
        <f aca="false">-V190</f>
        <v>-2703.7329185066</v>
      </c>
      <c r="W212" s="67" t="n">
        <f aca="false">-W190</f>
        <v>-2714.46752655541</v>
      </c>
      <c r="X212" s="67" t="n">
        <f aca="false">-X190</f>
        <v>-2725.05185009153</v>
      </c>
      <c r="Y212" s="67" t="n">
        <f aca="false">-Y190</f>
        <v>-2735.48799309815</v>
      </c>
      <c r="Z212" s="67" t="n">
        <f aca="false">-Z190</f>
        <v>-2745.77803010268</v>
      </c>
      <c r="AA212" s="67" t="n">
        <f aca="false">-AA190</f>
        <v>-2854.47329789153</v>
      </c>
      <c r="AB212" s="67" t="n">
        <f aca="false">-AB190</f>
        <v>-2867.26801429725</v>
      </c>
      <c r="AC212" s="67" t="n">
        <f aca="false">-AC190</f>
        <v>-2879.8836046733</v>
      </c>
      <c r="AD212" s="67" t="n">
        <f aca="false">-AD190</f>
        <v>-2892.32257678408</v>
      </c>
      <c r="AE212" s="67" t="n">
        <f aca="false">-AE190</f>
        <v>-2904.58740328531</v>
      </c>
      <c r="AF212" s="67" t="n">
        <f aca="false">-AF190</f>
        <v>-2916.68052221552</v>
      </c>
      <c r="AG212" s="67" t="n">
        <f aca="false">-AG190</f>
        <v>-2928.60433748071</v>
      </c>
      <c r="AH212" s="67" t="n">
        <f aca="false">-AH190</f>
        <v>-2940.36121933219</v>
      </c>
      <c r="AI212" s="67" t="n">
        <f aca="false">-AI190</f>
        <v>-2951.95350483774</v>
      </c>
      <c r="AJ212" s="67" t="n">
        <f aca="false">-AJ190</f>
        <v>-2963.38349834622</v>
      </c>
      <c r="AK212" s="67" t="n">
        <f aca="false">-AK190</f>
        <v>-2974.65347194558</v>
      </c>
      <c r="AL212" s="67" t="n">
        <f aca="false">-AL190</f>
        <v>-2985.76566591455</v>
      </c>
    </row>
    <row r="213" customFormat="false" ht="15" hidden="false" customHeight="false" outlineLevel="0" collapsed="false">
      <c r="A213" s="6" t="s">
        <v>63</v>
      </c>
      <c r="C213" s="67" t="n">
        <f aca="false">IF(C$131=1,Inputs!$C$83,0)</f>
        <v>100000</v>
      </c>
      <c r="D213" s="67" t="n">
        <f aca="false">IF(D$131=1,Inputs!$C$83,0)</f>
        <v>0</v>
      </c>
      <c r="E213" s="67" t="n">
        <f aca="false">IF(E$131=1,Inputs!$C$83,0)</f>
        <v>0</v>
      </c>
      <c r="F213" s="67" t="n">
        <f aca="false">IF(F$131=1,Inputs!$C$83,0)</f>
        <v>0</v>
      </c>
      <c r="G213" s="67" t="n">
        <f aca="false">IF(G$131=1,Inputs!$C$83,0)</f>
        <v>0</v>
      </c>
      <c r="H213" s="67" t="n">
        <f aca="false">IF(H$131=1,Inputs!$C$83,0)</f>
        <v>0</v>
      </c>
      <c r="I213" s="67" t="n">
        <f aca="false">IF(I$131=1,Inputs!$C$83,0)</f>
        <v>0</v>
      </c>
      <c r="J213" s="67" t="n">
        <f aca="false">IF(J$131=1,Inputs!$C$83,0)</f>
        <v>0</v>
      </c>
      <c r="K213" s="67" t="n">
        <f aca="false">IF(K$131=1,Inputs!$C$83,0)</f>
        <v>0</v>
      </c>
      <c r="L213" s="67" t="n">
        <f aca="false">IF(L$131=1,Inputs!$C$83,0)</f>
        <v>0</v>
      </c>
      <c r="M213" s="67" t="n">
        <f aca="false">IF(M$131=1,Inputs!$C$83,0)</f>
        <v>0</v>
      </c>
      <c r="N213" s="67" t="n">
        <f aca="false">IF(N$131=1,Inputs!$C$83,0)</f>
        <v>0</v>
      </c>
      <c r="O213" s="67" t="n">
        <f aca="false">IF(O$131=1,Inputs!$C$83,0)</f>
        <v>0</v>
      </c>
      <c r="P213" s="67" t="n">
        <f aca="false">IF(P$131=1,Inputs!$C$83,0)</f>
        <v>0</v>
      </c>
      <c r="Q213" s="67" t="n">
        <f aca="false">IF(Q$131=1,Inputs!$C$83,0)</f>
        <v>0</v>
      </c>
      <c r="R213" s="67" t="n">
        <f aca="false">IF(R$131=1,Inputs!$C$83,0)</f>
        <v>0</v>
      </c>
      <c r="S213" s="67" t="n">
        <f aca="false">IF(S$131=1,Inputs!$C$83,0)</f>
        <v>0</v>
      </c>
      <c r="T213" s="67" t="n">
        <f aca="false">IF(T$131=1,Inputs!$C$83,0)</f>
        <v>0</v>
      </c>
      <c r="U213" s="67" t="n">
        <f aca="false">IF(U$131=1,Inputs!$C$83,0)</f>
        <v>0</v>
      </c>
      <c r="V213" s="67" t="n">
        <f aca="false">IF(V$131=1,Inputs!$C$83,0)</f>
        <v>0</v>
      </c>
      <c r="W213" s="67" t="n">
        <f aca="false">IF(W$131=1,Inputs!$C$83,0)</f>
        <v>0</v>
      </c>
      <c r="X213" s="67" t="n">
        <f aca="false">IF(X$131=1,Inputs!$C$83,0)</f>
        <v>0</v>
      </c>
      <c r="Y213" s="67" t="n">
        <f aca="false">IF(Y$131=1,Inputs!$C$83,0)</f>
        <v>0</v>
      </c>
      <c r="Z213" s="67" t="n">
        <f aca="false">IF(Z$131=1,Inputs!$C$83,0)</f>
        <v>0</v>
      </c>
      <c r="AA213" s="67" t="n">
        <f aca="false">IF(AA$131=1,Inputs!$C$83,0)</f>
        <v>0</v>
      </c>
      <c r="AB213" s="67" t="n">
        <f aca="false">IF(AB$131=1,Inputs!$C$83,0)</f>
        <v>0</v>
      </c>
      <c r="AC213" s="67" t="n">
        <f aca="false">IF(AC$131=1,Inputs!$C$83,0)</f>
        <v>0</v>
      </c>
      <c r="AD213" s="67" t="n">
        <f aca="false">IF(AD$131=1,Inputs!$C$83,0)</f>
        <v>0</v>
      </c>
      <c r="AE213" s="67" t="n">
        <f aca="false">IF(AE$131=1,Inputs!$C$83,0)</f>
        <v>0</v>
      </c>
      <c r="AF213" s="67" t="n">
        <f aca="false">IF(AF$131=1,Inputs!$C$83,0)</f>
        <v>0</v>
      </c>
      <c r="AG213" s="67" t="n">
        <f aca="false">IF(AG$131=1,Inputs!$C$83,0)</f>
        <v>0</v>
      </c>
      <c r="AH213" s="67" t="n">
        <f aca="false">IF(AH$131=1,Inputs!$C$83,0)</f>
        <v>0</v>
      </c>
      <c r="AI213" s="67" t="n">
        <f aca="false">IF(AI$131=1,Inputs!$C$83,0)</f>
        <v>0</v>
      </c>
      <c r="AJ213" s="67" t="n">
        <f aca="false">IF(AJ$131=1,Inputs!$C$83,0)</f>
        <v>0</v>
      </c>
      <c r="AK213" s="67" t="n">
        <f aca="false">IF(AK$131=1,Inputs!$C$83,0)</f>
        <v>0</v>
      </c>
      <c r="AL213" s="67" t="n">
        <f aca="false">IF(AL$131=1,Inputs!$C$83,0)</f>
        <v>0</v>
      </c>
    </row>
    <row r="214" customFormat="false" ht="15" hidden="false" customHeight="false" outlineLevel="0" collapsed="false">
      <c r="A214" s="6" t="s">
        <v>54</v>
      </c>
      <c r="C214" s="67" t="n">
        <f aca="false">C213+C198+C199</f>
        <v>250000</v>
      </c>
      <c r="D214" s="67" t="n">
        <f aca="false">D213+D198+D199</f>
        <v>-1785.71428571429</v>
      </c>
      <c r="E214" s="67" t="n">
        <f aca="false">E213+E198+E199</f>
        <v>-1785.71428571429</v>
      </c>
      <c r="F214" s="67" t="n">
        <f aca="false">F213+F198+F199</f>
        <v>-1785.71428571429</v>
      </c>
      <c r="G214" s="67" t="n">
        <f aca="false">G213+G198+G199</f>
        <v>-1785.71428571429</v>
      </c>
      <c r="H214" s="67" t="n">
        <f aca="false">H213+H198+H199</f>
        <v>-1785.71428571429</v>
      </c>
      <c r="I214" s="67" t="n">
        <f aca="false">I213+I198+I199</f>
        <v>-1785.71428571429</v>
      </c>
      <c r="J214" s="67" t="n">
        <f aca="false">J213+J198+J199</f>
        <v>-1785.71428571429</v>
      </c>
      <c r="K214" s="67" t="n">
        <f aca="false">K213+K198+K199</f>
        <v>-1785.71428571429</v>
      </c>
      <c r="L214" s="67" t="n">
        <f aca="false">L213+L198+L199</f>
        <v>-1785.71428571429</v>
      </c>
      <c r="M214" s="67" t="n">
        <f aca="false">M213+M198+M199</f>
        <v>-1785.71428571429</v>
      </c>
      <c r="N214" s="67" t="n">
        <f aca="false">N213+N198+N199</f>
        <v>-1785.71428571429</v>
      </c>
      <c r="O214" s="67" t="n">
        <f aca="false">O213+O198+O199</f>
        <v>-1785.71428571429</v>
      </c>
      <c r="P214" s="67" t="n">
        <f aca="false">P213+P198+P199</f>
        <v>-1785.71428571429</v>
      </c>
      <c r="Q214" s="67" t="n">
        <f aca="false">Q213+Q198+Q199</f>
        <v>-1785.71428571429</v>
      </c>
      <c r="R214" s="67" t="n">
        <f aca="false">R213+R198+R199</f>
        <v>-1785.71428571429</v>
      </c>
      <c r="S214" s="67" t="n">
        <f aca="false">S213+S198+S199</f>
        <v>-1785.71428571429</v>
      </c>
      <c r="T214" s="67" t="n">
        <f aca="false">T213+T198+T199</f>
        <v>-1785.71428571429</v>
      </c>
      <c r="U214" s="67" t="n">
        <f aca="false">U213+U198+U199</f>
        <v>-1785.71428571429</v>
      </c>
      <c r="V214" s="67" t="n">
        <f aca="false">V213+V198+V199</f>
        <v>-1785.71428571429</v>
      </c>
      <c r="W214" s="67" t="n">
        <f aca="false">W213+W198+W199</f>
        <v>-1785.71428571429</v>
      </c>
      <c r="X214" s="67" t="n">
        <f aca="false">X213+X198+X199</f>
        <v>-1785.71428571429</v>
      </c>
      <c r="Y214" s="67" t="n">
        <f aca="false">Y213+Y198+Y199</f>
        <v>-1785.71428571429</v>
      </c>
      <c r="Z214" s="67" t="n">
        <f aca="false">Z213+Z198+Z199</f>
        <v>-1785.71428571429</v>
      </c>
      <c r="AA214" s="67" t="n">
        <f aca="false">AA213+AA198+AA199</f>
        <v>-1785.71428571429</v>
      </c>
      <c r="AB214" s="67" t="n">
        <f aca="false">AB213+AB198+AB199</f>
        <v>-1785.71428571429</v>
      </c>
      <c r="AC214" s="67" t="n">
        <f aca="false">AC213+AC198+AC199</f>
        <v>-1785.71428571429</v>
      </c>
      <c r="AD214" s="67" t="n">
        <f aca="false">AD213+AD198+AD199</f>
        <v>-1785.71428571429</v>
      </c>
      <c r="AE214" s="67" t="n">
        <f aca="false">AE213+AE198+AE199</f>
        <v>-1785.71428571429</v>
      </c>
      <c r="AF214" s="67" t="n">
        <f aca="false">AF213+AF198+AF199</f>
        <v>-1785.71428571429</v>
      </c>
      <c r="AG214" s="67" t="n">
        <f aca="false">AG213+AG198+AG199</f>
        <v>-1785.71428571429</v>
      </c>
      <c r="AH214" s="67" t="n">
        <f aca="false">AH213+AH198+AH199</f>
        <v>-1785.71428571429</v>
      </c>
      <c r="AI214" s="67" t="n">
        <f aca="false">AI213+AI198+AI199</f>
        <v>-1785.71428571429</v>
      </c>
      <c r="AJ214" s="67" t="n">
        <f aca="false">AJ213+AJ198+AJ199</f>
        <v>-1785.71428571429</v>
      </c>
      <c r="AK214" s="67" t="n">
        <f aca="false">AK213+AK198+AK199</f>
        <v>-1785.71428571429</v>
      </c>
      <c r="AL214" s="67" t="n">
        <f aca="false">AL213+AL198+AL199</f>
        <v>-1785.71428571429</v>
      </c>
    </row>
    <row r="215" customFormat="false" ht="15" hidden="false" customHeight="false" outlineLevel="0" collapsed="false">
      <c r="A215" s="111" t="s">
        <v>445</v>
      </c>
      <c r="C215" s="68" t="n">
        <f aca="false">C211+C212+C214</f>
        <v>123032.218463956</v>
      </c>
      <c r="D215" s="68" t="n">
        <f aca="false">D211+D212+D214</f>
        <v>12738.0702540136</v>
      </c>
      <c r="E215" s="68" t="n">
        <f aca="false">E211+E212+E214</f>
        <v>13204.3275752876</v>
      </c>
      <c r="F215" s="68" t="n">
        <f aca="false">F211+F212+F214</f>
        <v>13664.309057526</v>
      </c>
      <c r="G215" s="68" t="n">
        <f aca="false">G211+G212+G214</f>
        <v>14118.1025624753</v>
      </c>
      <c r="H215" s="68" t="n">
        <f aca="false">H211+H212+H214</f>
        <v>14565.7947218176</v>
      </c>
      <c r="I215" s="68" t="n">
        <f aca="false">I211+I212+I214</f>
        <v>15007.4709543913</v>
      </c>
      <c r="J215" s="68" t="n">
        <f aca="false">J211+J212+J214</f>
        <v>15443.2154831713</v>
      </c>
      <c r="K215" s="68" t="n">
        <f aca="false">K211+K212+K214</f>
        <v>15873.1113520106</v>
      </c>
      <c r="L215" s="68" t="n">
        <f aca="false">L211+L212+L214</f>
        <v>16297.2404421484</v>
      </c>
      <c r="M215" s="68" t="n">
        <f aca="false">M211+M212+M214</f>
        <v>16715.6834884865</v>
      </c>
      <c r="N215" s="68" t="n">
        <f aca="false">N211+N212+N214</f>
        <v>17128.5200956382</v>
      </c>
      <c r="O215" s="68" t="n">
        <f aca="false">O211+O212+O214</f>
        <v>13694.8931818731</v>
      </c>
      <c r="P215" s="68" t="n">
        <f aca="false">P211+P212+P214</f>
        <v>17157.2844407165</v>
      </c>
      <c r="Q215" s="68" t="n">
        <f aca="false">Q211+Q212+Q214</f>
        <v>17659.3579771799</v>
      </c>
      <c r="R215" s="68" t="n">
        <f aca="false">R211+R212+R214</f>
        <v>18154.6638471383</v>
      </c>
      <c r="S215" s="68" t="n">
        <f aca="false">S211+S212+S214</f>
        <v>18643.296797923</v>
      </c>
      <c r="T215" s="68" t="n">
        <f aca="false">T211+T212+T214</f>
        <v>19125.3502504022</v>
      </c>
      <c r="U215" s="68" t="n">
        <f aca="false">U211+U212+U214</f>
        <v>19600.9163175524</v>
      </c>
      <c r="V215" s="68" t="n">
        <f aca="false">V211+V212+V214</f>
        <v>20070.085822768</v>
      </c>
      <c r="W215" s="68" t="n">
        <f aca="false">W211+W212+W214</f>
        <v>20532.9483179163</v>
      </c>
      <c r="X215" s="68" t="n">
        <f aca="false">X211+X212+X214</f>
        <v>20989.5921011381</v>
      </c>
      <c r="Y215" s="68" t="n">
        <f aca="false">Y211+Y212+Y214</f>
        <v>21440.1042344003</v>
      </c>
      <c r="Z215" s="68" t="n">
        <f aca="false">Z211+Z212+Z214</f>
        <v>21884.5705608025</v>
      </c>
      <c r="AA215" s="68" t="n">
        <f aca="false">AA211+AA212+AA214</f>
        <v>18206.6577209874</v>
      </c>
      <c r="AB215" s="68" t="n">
        <f aca="false">AB211+AB212+AB214</f>
        <v>21967.6773641468</v>
      </c>
      <c r="AC215" s="68" t="n">
        <f aca="false">AC211+AC212+AC214</f>
        <v>22509.1188693442</v>
      </c>
      <c r="AD215" s="68" t="n">
        <f aca="false">AD211+AD212+AD214</f>
        <v>23043.2519826586</v>
      </c>
      <c r="AE215" s="68" t="n">
        <f aca="false">AE211+AE212+AE214</f>
        <v>23570.1790215764</v>
      </c>
      <c r="AF215" s="68" t="n">
        <f aca="false">AF211+AF212+AF214</f>
        <v>24090.0008711392</v>
      </c>
      <c r="AG215" s="68" t="n">
        <f aca="false">AG211+AG212+AG214</f>
        <v>24602.8170039978</v>
      </c>
      <c r="AH215" s="68" t="n">
        <f aca="false">AH211+AH212+AH214</f>
        <v>25108.7255001862</v>
      </c>
      <c r="AI215" s="68" t="n">
        <f aca="false">AI211+AI212+AI214</f>
        <v>25607.8230666178</v>
      </c>
      <c r="AJ215" s="68" t="n">
        <f aca="false">AJ211+AJ212+AJ214</f>
        <v>26100.205056309</v>
      </c>
      <c r="AK215" s="68" t="n">
        <f aca="false">AK211+AK212+AK214</f>
        <v>26585.9654873343</v>
      </c>
      <c r="AL215" s="68" t="n">
        <f aca="false">AL211+AL212+AL214</f>
        <v>27065.1970615152</v>
      </c>
    </row>
    <row r="216" customFormat="false" ht="15" hidden="false" customHeight="false" outlineLevel="0" collapsed="false">
      <c r="A216" s="6" t="s">
        <v>368</v>
      </c>
      <c r="C216" s="67" t="n">
        <f aca="false">0</f>
        <v>0</v>
      </c>
      <c r="D216" s="67" t="n">
        <f aca="false">C217</f>
        <v>123032.218463956</v>
      </c>
      <c r="E216" s="67" t="n">
        <f aca="false">D217</f>
        <v>135770.28871797</v>
      </c>
      <c r="F216" s="67" t="n">
        <f aca="false">E217</f>
        <v>148974.616293258</v>
      </c>
      <c r="G216" s="67" t="n">
        <f aca="false">F217</f>
        <v>162638.925350784</v>
      </c>
      <c r="H216" s="67" t="n">
        <f aca="false">G217</f>
        <v>176757.027913259</v>
      </c>
      <c r="I216" s="67" t="n">
        <f aca="false">H217</f>
        <v>191322.822635077</v>
      </c>
      <c r="J216" s="67" t="n">
        <f aca="false">I217</f>
        <v>206330.293589468</v>
      </c>
      <c r="K216" s="67" t="n">
        <f aca="false">J217</f>
        <v>221773.509072639</v>
      </c>
      <c r="L216" s="67" t="n">
        <f aca="false">K217</f>
        <v>237646.62042465</v>
      </c>
      <c r="M216" s="67" t="n">
        <f aca="false">L217</f>
        <v>253943.860866798</v>
      </c>
      <c r="N216" s="67" t="n">
        <f aca="false">M217</f>
        <v>270659.544355285</v>
      </c>
      <c r="O216" s="67" t="n">
        <f aca="false">N217</f>
        <v>287788.064450923</v>
      </c>
      <c r="P216" s="67" t="n">
        <f aca="false">O217</f>
        <v>301482.957632796</v>
      </c>
      <c r="Q216" s="67" t="n">
        <f aca="false">P217</f>
        <v>318640.242073513</v>
      </c>
      <c r="R216" s="67" t="n">
        <f aca="false">Q217</f>
        <v>336299.600050693</v>
      </c>
      <c r="S216" s="67" t="n">
        <f aca="false">R217</f>
        <v>354454.263897831</v>
      </c>
      <c r="T216" s="67" t="n">
        <f aca="false">S217</f>
        <v>373097.560695754</v>
      </c>
      <c r="U216" s="67" t="n">
        <f aca="false">T217</f>
        <v>392222.910946156</v>
      </c>
      <c r="V216" s="67" t="n">
        <f aca="false">U217</f>
        <v>411823.827263708</v>
      </c>
      <c r="W216" s="67" t="n">
        <f aca="false">V217</f>
        <v>431893.913086476</v>
      </c>
      <c r="X216" s="67" t="n">
        <f aca="false">W217</f>
        <v>452426.861404393</v>
      </c>
      <c r="Y216" s="67" t="n">
        <f aca="false">X217</f>
        <v>473416.453505531</v>
      </c>
      <c r="Z216" s="67" t="n">
        <f aca="false">Y217</f>
        <v>494856.557739931</v>
      </c>
      <c r="AA216" s="67" t="n">
        <f aca="false">Z217</f>
        <v>516741.128300734</v>
      </c>
      <c r="AB216" s="67" t="n">
        <f aca="false">AA217</f>
        <v>534947.786021721</v>
      </c>
      <c r="AC216" s="67" t="n">
        <f aca="false">AB217</f>
        <v>556915.463385868</v>
      </c>
      <c r="AD216" s="67" t="n">
        <f aca="false">AC217</f>
        <v>579424.582255212</v>
      </c>
      <c r="AE216" s="67" t="n">
        <f aca="false">AD217</f>
        <v>602467.834237871</v>
      </c>
      <c r="AF216" s="67" t="n">
        <f aca="false">AE217</f>
        <v>626038.013259447</v>
      </c>
      <c r="AG216" s="67" t="n">
        <f aca="false">AF217</f>
        <v>650128.014130586</v>
      </c>
      <c r="AH216" s="67" t="n">
        <f aca="false">AG217</f>
        <v>674730.831134584</v>
      </c>
      <c r="AI216" s="67" t="n">
        <f aca="false">AH217</f>
        <v>699839.55663477</v>
      </c>
      <c r="AJ216" s="67" t="n">
        <f aca="false">AI217</f>
        <v>725447.379701388</v>
      </c>
      <c r="AK216" s="67" t="n">
        <f aca="false">AJ217</f>
        <v>751547.584757697</v>
      </c>
      <c r="AL216" s="67" t="n">
        <f aca="false">AK217</f>
        <v>778133.550245031</v>
      </c>
    </row>
    <row r="217" customFormat="false" ht="15" hidden="false" customHeight="false" outlineLevel="0" collapsed="false">
      <c r="A217" s="111" t="s">
        <v>86</v>
      </c>
      <c r="C217" s="68" t="n">
        <f aca="false">C216+C215</f>
        <v>123032.218463956</v>
      </c>
      <c r="D217" s="68" t="n">
        <f aca="false">D216+D215</f>
        <v>135770.28871797</v>
      </c>
      <c r="E217" s="68" t="n">
        <f aca="false">E216+E215</f>
        <v>148974.616293258</v>
      </c>
      <c r="F217" s="68" t="n">
        <f aca="false">F216+F215</f>
        <v>162638.925350784</v>
      </c>
      <c r="G217" s="68" t="n">
        <f aca="false">G216+G215</f>
        <v>176757.027913259</v>
      </c>
      <c r="H217" s="68" t="n">
        <f aca="false">H216+H215</f>
        <v>191322.822635077</v>
      </c>
      <c r="I217" s="68" t="n">
        <f aca="false">I216+I215</f>
        <v>206330.293589468</v>
      </c>
      <c r="J217" s="68" t="n">
        <f aca="false">J216+J215</f>
        <v>221773.509072639</v>
      </c>
      <c r="K217" s="68" t="n">
        <f aca="false">K216+K215</f>
        <v>237646.62042465</v>
      </c>
      <c r="L217" s="68" t="n">
        <f aca="false">L216+L215</f>
        <v>253943.860866798</v>
      </c>
      <c r="M217" s="68" t="n">
        <f aca="false">M216+M215</f>
        <v>270659.544355285</v>
      </c>
      <c r="N217" s="68" t="n">
        <f aca="false">N216+N215</f>
        <v>287788.064450923</v>
      </c>
      <c r="O217" s="68" t="n">
        <f aca="false">O216+O215</f>
        <v>301482.957632796</v>
      </c>
      <c r="P217" s="68" t="n">
        <f aca="false">P216+P215</f>
        <v>318640.242073513</v>
      </c>
      <c r="Q217" s="68" t="n">
        <f aca="false">Q216+Q215</f>
        <v>336299.600050693</v>
      </c>
      <c r="R217" s="68" t="n">
        <f aca="false">R216+R215</f>
        <v>354454.263897831</v>
      </c>
      <c r="S217" s="68" t="n">
        <f aca="false">S216+S215</f>
        <v>373097.560695754</v>
      </c>
      <c r="T217" s="68" t="n">
        <f aca="false">T216+T215</f>
        <v>392222.910946156</v>
      </c>
      <c r="U217" s="68" t="n">
        <f aca="false">U216+U215</f>
        <v>411823.827263708</v>
      </c>
      <c r="V217" s="68" t="n">
        <f aca="false">V216+V215</f>
        <v>431893.913086476</v>
      </c>
      <c r="W217" s="68" t="n">
        <f aca="false">W216+W215</f>
        <v>452426.861404393</v>
      </c>
      <c r="X217" s="68" t="n">
        <f aca="false">X216+X215</f>
        <v>473416.453505531</v>
      </c>
      <c r="Y217" s="68" t="n">
        <f aca="false">Y216+Y215</f>
        <v>494856.557739931</v>
      </c>
      <c r="Z217" s="68" t="n">
        <f aca="false">Z216+Z215</f>
        <v>516741.128300734</v>
      </c>
      <c r="AA217" s="68" t="n">
        <f aca="false">AA216+AA215</f>
        <v>534947.786021721</v>
      </c>
      <c r="AB217" s="68" t="n">
        <f aca="false">AB216+AB215</f>
        <v>556915.463385868</v>
      </c>
      <c r="AC217" s="68" t="n">
        <f aca="false">AC216+AC215</f>
        <v>579424.582255212</v>
      </c>
      <c r="AD217" s="68" t="n">
        <f aca="false">AD216+AD215</f>
        <v>602467.834237871</v>
      </c>
      <c r="AE217" s="68" t="n">
        <f aca="false">AE216+AE215</f>
        <v>626038.013259447</v>
      </c>
      <c r="AF217" s="68" t="n">
        <f aca="false">AF216+AF215</f>
        <v>650128.014130586</v>
      </c>
      <c r="AG217" s="68" t="n">
        <f aca="false">AG216+AG215</f>
        <v>674730.831134584</v>
      </c>
      <c r="AH217" s="68" t="n">
        <f aca="false">AH216+AH215</f>
        <v>699839.55663477</v>
      </c>
      <c r="AI217" s="68" t="n">
        <f aca="false">AI216+AI215</f>
        <v>725447.379701388</v>
      </c>
      <c r="AJ217" s="68" t="n">
        <f aca="false">AJ216+AJ215</f>
        <v>751547.584757697</v>
      </c>
      <c r="AK217" s="68" t="n">
        <f aca="false">AK216+AK215</f>
        <v>778133.550245031</v>
      </c>
      <c r="AL217" s="68" t="n">
        <f aca="false">AL216+AL215</f>
        <v>805198.747306546</v>
      </c>
    </row>
    <row r="218" customFormat="false" ht="15" hidden="false" customHeight="false" outlineLevel="0" collapsed="false">
      <c r="A218" s="119" t="s">
        <v>446</v>
      </c>
      <c r="C218" s="117" t="n">
        <f aca="false">IF(C178&gt;0,1,0)</f>
        <v>1</v>
      </c>
      <c r="D218" s="117" t="n">
        <f aca="false">IF(D178&gt;0,1,0)</f>
        <v>1</v>
      </c>
      <c r="E218" s="117" t="n">
        <f aca="false">IF(E178&gt;0,1,0)</f>
        <v>1</v>
      </c>
      <c r="F218" s="117" t="n">
        <f aca="false">IF(F178&gt;0,1,0)</f>
        <v>1</v>
      </c>
      <c r="G218" s="117" t="n">
        <f aca="false">IF(G178&gt;0,1,0)</f>
        <v>1</v>
      </c>
      <c r="H218" s="117" t="n">
        <f aca="false">IF(H178&gt;0,1,0)</f>
        <v>1</v>
      </c>
      <c r="I218" s="117" t="n">
        <f aca="false">IF(I178&gt;0,1,0)</f>
        <v>1</v>
      </c>
      <c r="J218" s="117" t="n">
        <f aca="false">IF(J178&gt;0,1,0)</f>
        <v>1</v>
      </c>
      <c r="K218" s="117" t="n">
        <f aca="false">IF(K178&gt;0,1,0)</f>
        <v>1</v>
      </c>
      <c r="L218" s="117" t="n">
        <f aca="false">IF(L178&gt;0,1,0)</f>
        <v>1</v>
      </c>
      <c r="M218" s="117" t="n">
        <f aca="false">IF(M178&gt;0,1,0)</f>
        <v>1</v>
      </c>
      <c r="N218" s="117" t="n">
        <f aca="false">IF(N178&gt;0,1,0)</f>
        <v>1</v>
      </c>
      <c r="O218" s="117" t="n">
        <f aca="false">IF(O178&gt;0,1,0)</f>
        <v>1</v>
      </c>
      <c r="P218" s="117" t="n">
        <f aca="false">IF(P178&gt;0,1,0)</f>
        <v>1</v>
      </c>
      <c r="Q218" s="117" t="n">
        <f aca="false">IF(Q178&gt;0,1,0)</f>
        <v>1</v>
      </c>
      <c r="R218" s="117" t="n">
        <f aca="false">IF(R178&gt;0,1,0)</f>
        <v>1</v>
      </c>
      <c r="S218" s="117" t="n">
        <f aca="false">IF(S178&gt;0,1,0)</f>
        <v>1</v>
      </c>
      <c r="T218" s="117" t="n">
        <f aca="false">IF(T178&gt;0,1,0)</f>
        <v>1</v>
      </c>
      <c r="U218" s="117" t="n">
        <f aca="false">IF(U178&gt;0,1,0)</f>
        <v>1</v>
      </c>
      <c r="V218" s="117" t="n">
        <f aca="false">IF(V178&gt;0,1,0)</f>
        <v>1</v>
      </c>
      <c r="W218" s="117" t="n">
        <f aca="false">IF(W178&gt;0,1,0)</f>
        <v>1</v>
      </c>
      <c r="X218" s="117" t="n">
        <f aca="false">IF(X178&gt;0,1,0)</f>
        <v>1</v>
      </c>
      <c r="Y218" s="117" t="n">
        <f aca="false">IF(Y178&gt;0,1,0)</f>
        <v>1</v>
      </c>
      <c r="Z218" s="117" t="n">
        <f aca="false">IF(Z178&gt;0,1,0)</f>
        <v>1</v>
      </c>
      <c r="AA218" s="117" t="n">
        <f aca="false">IF(AA178&gt;0,1,0)</f>
        <v>1</v>
      </c>
      <c r="AB218" s="117" t="n">
        <f aca="false">IF(AB178&gt;0,1,0)</f>
        <v>1</v>
      </c>
      <c r="AC218" s="117" t="n">
        <f aca="false">IF(AC178&gt;0,1,0)</f>
        <v>1</v>
      </c>
      <c r="AD218" s="117" t="n">
        <f aca="false">IF(AD178&gt;0,1,0)</f>
        <v>1</v>
      </c>
      <c r="AE218" s="117" t="n">
        <f aca="false">IF(AE178&gt;0,1,0)</f>
        <v>1</v>
      </c>
      <c r="AF218" s="117" t="n">
        <f aca="false">IF(AF178&gt;0,1,0)</f>
        <v>1</v>
      </c>
      <c r="AG218" s="117" t="n">
        <f aca="false">IF(AG178&gt;0,1,0)</f>
        <v>1</v>
      </c>
      <c r="AH218" s="117" t="n">
        <f aca="false">IF(AH178&gt;0,1,0)</f>
        <v>1</v>
      </c>
      <c r="AI218" s="117" t="n">
        <f aca="false">IF(AI178&gt;0,1,0)</f>
        <v>1</v>
      </c>
      <c r="AJ218" s="117" t="n">
        <f aca="false">IF(AJ178&gt;0,1,0)</f>
        <v>1</v>
      </c>
      <c r="AK218" s="117" t="n">
        <f aca="false">IF(AK178&gt;0,1,0)</f>
        <v>1</v>
      </c>
      <c r="AL218" s="117" t="n">
        <f aca="false">IF(AL178&gt;0,1,0)</f>
        <v>1</v>
      </c>
    </row>
    <row r="220" customFormat="false" ht="15.75" hidden="false" customHeight="true" outlineLevel="0" collapsed="false">
      <c r="A220" s="7" t="s">
        <v>447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customFormat="false" ht="15" hidden="false" customHeight="false" outlineLevel="0" collapsed="false">
      <c r="A221" s="119" t="s">
        <v>448</v>
      </c>
      <c r="C221" s="117" t="n">
        <f aca="false">IF(C187&gt;0,1,0)</f>
        <v>1</v>
      </c>
      <c r="D221" s="117" t="n">
        <f aca="false">IF(D187&gt;0,1,0)</f>
        <v>1</v>
      </c>
      <c r="E221" s="117" t="n">
        <f aca="false">IF(E187&gt;0,1,0)</f>
        <v>1</v>
      </c>
      <c r="F221" s="117" t="n">
        <f aca="false">IF(F187&gt;0,1,0)</f>
        <v>1</v>
      </c>
      <c r="G221" s="117" t="n">
        <f aca="false">IF(G187&gt;0,1,0)</f>
        <v>1</v>
      </c>
      <c r="H221" s="117" t="n">
        <f aca="false">IF(H187&gt;0,1,0)</f>
        <v>1</v>
      </c>
      <c r="I221" s="117" t="n">
        <f aca="false">IF(I187&gt;0,1,0)</f>
        <v>1</v>
      </c>
      <c r="J221" s="117" t="n">
        <f aca="false">IF(J187&gt;0,1,0)</f>
        <v>1</v>
      </c>
      <c r="K221" s="117" t="n">
        <f aca="false">IF(K187&gt;0,1,0)</f>
        <v>1</v>
      </c>
      <c r="L221" s="117" t="n">
        <f aca="false">IF(L187&gt;0,1,0)</f>
        <v>1</v>
      </c>
      <c r="M221" s="117" t="n">
        <f aca="false">IF(M187&gt;0,1,0)</f>
        <v>1</v>
      </c>
      <c r="N221" s="117" t="n">
        <f aca="false">IF(N187&gt;0,1,0)</f>
        <v>1</v>
      </c>
      <c r="O221" s="117" t="n">
        <f aca="false">IF(O187&gt;0,1,0)</f>
        <v>1</v>
      </c>
      <c r="P221" s="117" t="n">
        <f aca="false">IF(P187&gt;0,1,0)</f>
        <v>1</v>
      </c>
      <c r="Q221" s="117" t="n">
        <f aca="false">IF(Q187&gt;0,1,0)</f>
        <v>1</v>
      </c>
      <c r="R221" s="117" t="n">
        <f aca="false">IF(R187&gt;0,1,0)</f>
        <v>1</v>
      </c>
      <c r="S221" s="117" t="n">
        <f aca="false">IF(S187&gt;0,1,0)</f>
        <v>1</v>
      </c>
      <c r="T221" s="117" t="n">
        <f aca="false">IF(T187&gt;0,1,0)</f>
        <v>1</v>
      </c>
      <c r="U221" s="117" t="n">
        <f aca="false">IF(U187&gt;0,1,0)</f>
        <v>1</v>
      </c>
      <c r="V221" s="117" t="n">
        <f aca="false">IF(V187&gt;0,1,0)</f>
        <v>1</v>
      </c>
      <c r="W221" s="117" t="n">
        <f aca="false">IF(W187&gt;0,1,0)</f>
        <v>1</v>
      </c>
      <c r="X221" s="117" t="n">
        <f aca="false">IF(X187&gt;0,1,0)</f>
        <v>1</v>
      </c>
      <c r="Y221" s="117" t="n">
        <f aca="false">IF(Y187&gt;0,1,0)</f>
        <v>1</v>
      </c>
      <c r="Z221" s="117" t="n">
        <f aca="false">IF(Z187&gt;0,1,0)</f>
        <v>1</v>
      </c>
      <c r="AA221" s="117" t="n">
        <f aca="false">IF(AA187&gt;0,1,0)</f>
        <v>1</v>
      </c>
      <c r="AB221" s="117" t="n">
        <f aca="false">IF(AB187&gt;0,1,0)</f>
        <v>1</v>
      </c>
      <c r="AC221" s="117" t="n">
        <f aca="false">IF(AC187&gt;0,1,0)</f>
        <v>1</v>
      </c>
      <c r="AD221" s="117" t="n">
        <f aca="false">IF(AD187&gt;0,1,0)</f>
        <v>1</v>
      </c>
      <c r="AE221" s="117" t="n">
        <f aca="false">IF(AE187&gt;0,1,0)</f>
        <v>1</v>
      </c>
      <c r="AF221" s="117" t="n">
        <f aca="false">IF(AF187&gt;0,1,0)</f>
        <v>1</v>
      </c>
      <c r="AG221" s="117" t="n">
        <f aca="false">IF(AG187&gt;0,1,0)</f>
        <v>1</v>
      </c>
      <c r="AH221" s="117" t="n">
        <f aca="false">IF(AH187&gt;0,1,0)</f>
        <v>1</v>
      </c>
      <c r="AI221" s="117" t="n">
        <f aca="false">IF(AI187&gt;0,1,0)</f>
        <v>1</v>
      </c>
      <c r="AJ221" s="117" t="n">
        <f aca="false">IF(AJ187&gt;0,1,0)</f>
        <v>1</v>
      </c>
      <c r="AK221" s="117" t="n">
        <f aca="false">IF(AK187&gt;0,1,0)</f>
        <v>1</v>
      </c>
      <c r="AL221" s="117" t="n">
        <f aca="false">IF(AL187&gt;0,1,0)</f>
        <v>1</v>
      </c>
    </row>
    <row r="222" customFormat="false" ht="15" hidden="false" customHeight="false" outlineLevel="0" collapsed="false">
      <c r="A222" s="6" t="s">
        <v>449</v>
      </c>
      <c r="C222" s="67" t="n">
        <f aca="false">C211+C212</f>
        <v>-126967.781536044</v>
      </c>
      <c r="D222" s="67" t="n">
        <f aca="false">D211+D212</f>
        <v>14523.7845397279</v>
      </c>
      <c r="E222" s="67" t="n">
        <f aca="false">E211+E212</f>
        <v>14990.0418610019</v>
      </c>
      <c r="F222" s="67" t="n">
        <f aca="false">F211+F212</f>
        <v>15450.0233432403</v>
      </c>
      <c r="G222" s="67" t="n">
        <f aca="false">G211+G212</f>
        <v>15903.8168481896</v>
      </c>
      <c r="H222" s="67" t="n">
        <f aca="false">H211+H212</f>
        <v>16351.5090075319</v>
      </c>
      <c r="I222" s="67" t="n">
        <f aca="false">I211+I212</f>
        <v>16793.1852401056</v>
      </c>
      <c r="J222" s="67" t="n">
        <f aca="false">J211+J212</f>
        <v>17228.9297688856</v>
      </c>
      <c r="K222" s="67" t="n">
        <f aca="false">K211+K212</f>
        <v>17658.8256377249</v>
      </c>
      <c r="L222" s="67" t="n">
        <f aca="false">L211+L212</f>
        <v>18082.9547278627</v>
      </c>
      <c r="M222" s="67" t="n">
        <f aca="false">M211+M212</f>
        <v>18501.3977742008</v>
      </c>
      <c r="N222" s="67" t="n">
        <f aca="false">N211+N212</f>
        <v>18914.2343813524</v>
      </c>
      <c r="O222" s="67" t="n">
        <f aca="false">O211+O212</f>
        <v>15480.6074675874</v>
      </c>
      <c r="P222" s="67" t="n">
        <f aca="false">P211+P212</f>
        <v>18942.9987264308</v>
      </c>
      <c r="Q222" s="67" t="n">
        <f aca="false">Q211+Q212</f>
        <v>19445.0722628942</v>
      </c>
      <c r="R222" s="67" t="n">
        <f aca="false">R211+R212</f>
        <v>19940.3781328526</v>
      </c>
      <c r="S222" s="67" t="n">
        <f aca="false">S211+S212</f>
        <v>20429.0110836373</v>
      </c>
      <c r="T222" s="67" t="n">
        <f aca="false">T211+T212</f>
        <v>20911.0645361165</v>
      </c>
      <c r="U222" s="67" t="n">
        <f aca="false">U211+U212</f>
        <v>21386.6306032667</v>
      </c>
      <c r="V222" s="67" t="n">
        <f aca="false">V211+V212</f>
        <v>21855.8001084823</v>
      </c>
      <c r="W222" s="67" t="n">
        <f aca="false">W211+W212</f>
        <v>22318.6626036305</v>
      </c>
      <c r="X222" s="67" t="n">
        <f aca="false">X211+X212</f>
        <v>22775.3063868524</v>
      </c>
      <c r="Y222" s="67" t="n">
        <f aca="false">Y211+Y212</f>
        <v>23225.8185201146</v>
      </c>
      <c r="Z222" s="67" t="n">
        <f aca="false">Z211+Z212</f>
        <v>23670.2848465168</v>
      </c>
      <c r="AA222" s="67" t="n">
        <f aca="false">AA211+AA212</f>
        <v>19992.3720067016</v>
      </c>
      <c r="AB222" s="67" t="n">
        <f aca="false">AB211+AB212</f>
        <v>23753.391649861</v>
      </c>
      <c r="AC222" s="67" t="n">
        <f aca="false">AC211+AC212</f>
        <v>24294.8331550585</v>
      </c>
      <c r="AD222" s="67" t="n">
        <f aca="false">AD211+AD212</f>
        <v>24828.9662683729</v>
      </c>
      <c r="AE222" s="67" t="n">
        <f aca="false">AE211+AE212</f>
        <v>25355.8933072907</v>
      </c>
      <c r="AF222" s="67" t="n">
        <f aca="false">AF211+AF212</f>
        <v>25875.7151568535</v>
      </c>
      <c r="AG222" s="67" t="n">
        <f aca="false">AG211+AG212</f>
        <v>26388.5312897121</v>
      </c>
      <c r="AH222" s="67" t="n">
        <f aca="false">AH211+AH212</f>
        <v>26894.4397859005</v>
      </c>
      <c r="AI222" s="67" t="n">
        <f aca="false">AI211+AI212</f>
        <v>27393.537352332</v>
      </c>
      <c r="AJ222" s="67" t="n">
        <f aca="false">AJ211+AJ212</f>
        <v>27885.9193420233</v>
      </c>
      <c r="AK222" s="67" t="n">
        <f aca="false">AK211+AK212</f>
        <v>28371.6797730486</v>
      </c>
      <c r="AL222" s="67" t="n">
        <f aca="false">AL211+AL212</f>
        <v>28850.9113472294</v>
      </c>
    </row>
    <row r="223" customFormat="false" ht="15" hidden="false" customHeight="false" outlineLevel="0" collapsed="false">
      <c r="A223" s="6" t="s">
        <v>450</v>
      </c>
      <c r="C223" s="67" t="n">
        <f aca="false">C222</f>
        <v>-126967.781536044</v>
      </c>
      <c r="D223" s="67" t="n">
        <f aca="false">C223+D222</f>
        <v>-112443.996996316</v>
      </c>
      <c r="E223" s="67" t="n">
        <f aca="false">D223+E222</f>
        <v>-97453.9551353137</v>
      </c>
      <c r="F223" s="67" t="n">
        <f aca="false">E223+F222</f>
        <v>-82003.9317920734</v>
      </c>
      <c r="G223" s="67" t="n">
        <f aca="false">F223+G222</f>
        <v>-66100.1149438838</v>
      </c>
      <c r="H223" s="67" t="n">
        <f aca="false">G223+H222</f>
        <v>-49748.6059363519</v>
      </c>
      <c r="I223" s="67" t="n">
        <f aca="false">H223+I222</f>
        <v>-32955.4206962463</v>
      </c>
      <c r="J223" s="67" t="n">
        <f aca="false">I223+J222</f>
        <v>-15726.4909273607</v>
      </c>
      <c r="K223" s="67" t="n">
        <f aca="false">J223+K222</f>
        <v>1932.33471036419</v>
      </c>
      <c r="L223" s="67" t="n">
        <f aca="false">K223+L222</f>
        <v>20015.2894382269</v>
      </c>
      <c r="M223" s="67" t="n">
        <f aca="false">L223+M222</f>
        <v>38516.6872124277</v>
      </c>
      <c r="N223" s="67" t="n">
        <f aca="false">M223+N222</f>
        <v>57430.9215937802</v>
      </c>
      <c r="O223" s="67" t="n">
        <f aca="false">N223+O222</f>
        <v>72911.5290613676</v>
      </c>
      <c r="P223" s="67" t="n">
        <f aca="false">O223+P222</f>
        <v>91854.5277877984</v>
      </c>
      <c r="Q223" s="67" t="n">
        <f aca="false">P223+Q222</f>
        <v>111299.600050693</v>
      </c>
      <c r="R223" s="67" t="n">
        <f aca="false">Q223+R222</f>
        <v>131239.978183545</v>
      </c>
      <c r="S223" s="67" t="n">
        <f aca="false">R223+S222</f>
        <v>151668.989267182</v>
      </c>
      <c r="T223" s="67" t="n">
        <f aca="false">S223+T222</f>
        <v>172580.053803299</v>
      </c>
      <c r="U223" s="67" t="n">
        <f aca="false">T223+U222</f>
        <v>193966.684406565</v>
      </c>
      <c r="V223" s="67" t="n">
        <f aca="false">U223+V222</f>
        <v>215822.484515048</v>
      </c>
      <c r="W223" s="67" t="n">
        <f aca="false">V223+W222</f>
        <v>238141.147118678</v>
      </c>
      <c r="X223" s="67" t="n">
        <f aca="false">W223+X222</f>
        <v>260916.453505531</v>
      </c>
      <c r="Y223" s="67" t="n">
        <f aca="false">X223+Y222</f>
        <v>284142.272025645</v>
      </c>
      <c r="Z223" s="67" t="n">
        <f aca="false">Y223+Z222</f>
        <v>307812.556872162</v>
      </c>
      <c r="AA223" s="67" t="n">
        <f aca="false">Z223+AA222</f>
        <v>327804.928878864</v>
      </c>
      <c r="AB223" s="67" t="n">
        <f aca="false">AA223+AB222</f>
        <v>351558.320528725</v>
      </c>
      <c r="AC223" s="67" t="n">
        <f aca="false">AB223+AC222</f>
        <v>375853.153683783</v>
      </c>
      <c r="AD223" s="67" t="n">
        <f aca="false">AC223+AD222</f>
        <v>400682.119952156</v>
      </c>
      <c r="AE223" s="67" t="n">
        <f aca="false">AD223+AE222</f>
        <v>426038.013259447</v>
      </c>
      <c r="AF223" s="67" t="n">
        <f aca="false">AE223+AF222</f>
        <v>451913.7284163</v>
      </c>
      <c r="AG223" s="67" t="n">
        <f aca="false">AF223+AG222</f>
        <v>478302.259706013</v>
      </c>
      <c r="AH223" s="67" t="n">
        <f aca="false">AG223+AH222</f>
        <v>505196.699491913</v>
      </c>
      <c r="AI223" s="67" t="n">
        <f aca="false">AH223+AI222</f>
        <v>532590.236844245</v>
      </c>
      <c r="AJ223" s="67" t="n">
        <f aca="false">AI223+AJ222</f>
        <v>560476.156186268</v>
      </c>
      <c r="AK223" s="67" t="n">
        <f aca="false">AJ223+AK222</f>
        <v>588847.835959317</v>
      </c>
      <c r="AL223" s="67" t="n">
        <f aca="false">AK223+AL222</f>
        <v>617698.747306546</v>
      </c>
    </row>
    <row r="224" customFormat="false" ht="15" hidden="false" customHeight="false" outlineLevel="0" collapsed="false">
      <c r="A224" s="119" t="s">
        <v>451</v>
      </c>
      <c r="C224" s="67" t="n">
        <f aca="false">C223</f>
        <v>-126967.781536044</v>
      </c>
      <c r="D224" s="67" t="n">
        <f aca="false">MIN(C224,D223)</f>
        <v>-126967.781536044</v>
      </c>
      <c r="E224" s="67" t="n">
        <f aca="false">MIN(D224,E223)</f>
        <v>-126967.781536044</v>
      </c>
      <c r="F224" s="67" t="n">
        <f aca="false">MIN(E224,F223)</f>
        <v>-126967.781536044</v>
      </c>
      <c r="G224" s="67" t="n">
        <f aca="false">MIN(F224,G223)</f>
        <v>-126967.781536044</v>
      </c>
      <c r="H224" s="67" t="n">
        <f aca="false">MIN(G224,H223)</f>
        <v>-126967.781536044</v>
      </c>
      <c r="I224" s="67" t="n">
        <f aca="false">MIN(H224,I223)</f>
        <v>-126967.781536044</v>
      </c>
      <c r="J224" s="67" t="n">
        <f aca="false">MIN(I224,J223)</f>
        <v>-126967.781536044</v>
      </c>
      <c r="K224" s="67" t="n">
        <f aca="false">MIN(J224,K223)</f>
        <v>-126967.781536044</v>
      </c>
      <c r="L224" s="67" t="n">
        <f aca="false">MIN(K224,L223)</f>
        <v>-126967.781536044</v>
      </c>
      <c r="M224" s="67" t="n">
        <f aca="false">MIN(L224,M223)</f>
        <v>-126967.781536044</v>
      </c>
      <c r="N224" s="67" t="n">
        <f aca="false">MIN(M224,N223)</f>
        <v>-126967.781536044</v>
      </c>
      <c r="O224" s="67" t="n">
        <f aca="false">MIN(N224,O223)</f>
        <v>-126967.781536044</v>
      </c>
      <c r="P224" s="67" t="n">
        <f aca="false">MIN(O224,P223)</f>
        <v>-126967.781536044</v>
      </c>
      <c r="Q224" s="67" t="n">
        <f aca="false">MIN(P224,Q223)</f>
        <v>-126967.781536044</v>
      </c>
      <c r="R224" s="67" t="n">
        <f aca="false">MIN(Q224,R223)</f>
        <v>-126967.781536044</v>
      </c>
      <c r="S224" s="67" t="n">
        <f aca="false">MIN(R224,S223)</f>
        <v>-126967.781536044</v>
      </c>
      <c r="T224" s="67" t="n">
        <f aca="false">MIN(S224,T223)</f>
        <v>-126967.781536044</v>
      </c>
      <c r="U224" s="67" t="n">
        <f aca="false">MIN(T224,U223)</f>
        <v>-126967.781536044</v>
      </c>
      <c r="V224" s="67" t="n">
        <f aca="false">MIN(U224,V223)</f>
        <v>-126967.781536044</v>
      </c>
      <c r="W224" s="67" t="n">
        <f aca="false">MIN(V224,W223)</f>
        <v>-126967.781536044</v>
      </c>
      <c r="X224" s="67" t="n">
        <f aca="false">MIN(W224,X223)</f>
        <v>-126967.781536044</v>
      </c>
      <c r="Y224" s="67" t="n">
        <f aca="false">MIN(X224,Y223)</f>
        <v>-126967.781536044</v>
      </c>
      <c r="Z224" s="67" t="n">
        <f aca="false">MIN(Y224,Z223)</f>
        <v>-126967.781536044</v>
      </c>
      <c r="AA224" s="67" t="n">
        <f aca="false">MIN(Z224,AA223)</f>
        <v>-126967.781536044</v>
      </c>
      <c r="AB224" s="67" t="n">
        <f aca="false">MIN(AA224,AB223)</f>
        <v>-126967.781536044</v>
      </c>
      <c r="AC224" s="67" t="n">
        <f aca="false">MIN(AB224,AC223)</f>
        <v>-126967.781536044</v>
      </c>
      <c r="AD224" s="67" t="n">
        <f aca="false">MIN(AC224,AD223)</f>
        <v>-126967.781536044</v>
      </c>
      <c r="AE224" s="67" t="n">
        <f aca="false">MIN(AD224,AE223)</f>
        <v>-126967.781536044</v>
      </c>
      <c r="AF224" s="67" t="n">
        <f aca="false">MIN(AE224,AF223)</f>
        <v>-126967.781536044</v>
      </c>
      <c r="AG224" s="67" t="n">
        <f aca="false">MIN(AF224,AG223)</f>
        <v>-126967.781536044</v>
      </c>
      <c r="AH224" s="67" t="n">
        <f aca="false">MIN(AG224,AH223)</f>
        <v>-126967.781536044</v>
      </c>
      <c r="AI224" s="67" t="n">
        <f aca="false">MIN(AH224,AI223)</f>
        <v>-126967.781536044</v>
      </c>
      <c r="AJ224" s="67" t="n">
        <f aca="false">MIN(AI224,AJ223)</f>
        <v>-126967.781536044</v>
      </c>
      <c r="AK224" s="67" t="n">
        <f aca="false">MIN(AJ224,AK223)</f>
        <v>-126967.781536044</v>
      </c>
      <c r="AL224" s="67" t="n">
        <f aca="false">MIN(AK224,AL223)</f>
        <v>-126967.781536044</v>
      </c>
    </row>
    <row r="225" customFormat="false" ht="15" hidden="false" customHeight="false" outlineLevel="0" collapsed="false">
      <c r="A225" s="119" t="s">
        <v>452</v>
      </c>
      <c r="C225" s="117" t="n">
        <f aca="false">IF(AND(C223&gt;=0,C224&lt;0),1,0)</f>
        <v>0</v>
      </c>
      <c r="D225" s="117" t="n">
        <f aca="false">IF(AND(D223&gt;=0,D224&lt;0),1,0)</f>
        <v>0</v>
      </c>
      <c r="E225" s="117" t="n">
        <f aca="false">IF(AND(E223&gt;=0,E224&lt;0),1,0)</f>
        <v>0</v>
      </c>
      <c r="F225" s="117" t="n">
        <f aca="false">IF(AND(F223&gt;=0,F224&lt;0),1,0)</f>
        <v>0</v>
      </c>
      <c r="G225" s="117" t="n">
        <f aca="false">IF(AND(G223&gt;=0,G224&lt;0),1,0)</f>
        <v>0</v>
      </c>
      <c r="H225" s="117" t="n">
        <f aca="false">IF(AND(H223&gt;=0,H224&lt;0),1,0)</f>
        <v>0</v>
      </c>
      <c r="I225" s="117" t="n">
        <f aca="false">IF(AND(I223&gt;=0,I224&lt;0),1,0)</f>
        <v>0</v>
      </c>
      <c r="J225" s="117" t="n">
        <f aca="false">IF(AND(J223&gt;=0,J224&lt;0),1,0)</f>
        <v>0</v>
      </c>
      <c r="K225" s="117" t="n">
        <f aca="false">IF(AND(K223&gt;=0,K224&lt;0),1,0)</f>
        <v>1</v>
      </c>
      <c r="L225" s="117" t="n">
        <f aca="false">IF(AND(L223&gt;=0,L224&lt;0),1,0)</f>
        <v>1</v>
      </c>
      <c r="M225" s="117" t="n">
        <f aca="false">IF(AND(M223&gt;=0,M224&lt;0),1,0)</f>
        <v>1</v>
      </c>
      <c r="N225" s="117" t="n">
        <f aca="false">IF(AND(N223&gt;=0,N224&lt;0),1,0)</f>
        <v>1</v>
      </c>
      <c r="O225" s="117" t="n">
        <f aca="false">IF(AND(O223&gt;=0,O224&lt;0),1,0)</f>
        <v>1</v>
      </c>
      <c r="P225" s="117" t="n">
        <f aca="false">IF(AND(P223&gt;=0,P224&lt;0),1,0)</f>
        <v>1</v>
      </c>
      <c r="Q225" s="117" t="n">
        <f aca="false">IF(AND(Q223&gt;=0,Q224&lt;0),1,0)</f>
        <v>1</v>
      </c>
      <c r="R225" s="117" t="n">
        <f aca="false">IF(AND(R223&gt;=0,R224&lt;0),1,0)</f>
        <v>1</v>
      </c>
      <c r="S225" s="117" t="n">
        <f aca="false">IF(AND(S223&gt;=0,S224&lt;0),1,0)</f>
        <v>1</v>
      </c>
      <c r="T225" s="117" t="n">
        <f aca="false">IF(AND(T223&gt;=0,T224&lt;0),1,0)</f>
        <v>1</v>
      </c>
      <c r="U225" s="117" t="n">
        <f aca="false">IF(AND(U223&gt;=0,U224&lt;0),1,0)</f>
        <v>1</v>
      </c>
      <c r="V225" s="117" t="n">
        <f aca="false">IF(AND(V223&gt;=0,V224&lt;0),1,0)</f>
        <v>1</v>
      </c>
      <c r="W225" s="117" t="n">
        <f aca="false">IF(AND(W223&gt;=0,W224&lt;0),1,0)</f>
        <v>1</v>
      </c>
      <c r="X225" s="117" t="n">
        <f aca="false">IF(AND(X223&gt;=0,X224&lt;0),1,0)</f>
        <v>1</v>
      </c>
      <c r="Y225" s="117" t="n">
        <f aca="false">IF(AND(Y223&gt;=0,Y224&lt;0),1,0)</f>
        <v>1</v>
      </c>
      <c r="Z225" s="117" t="n">
        <f aca="false">IF(AND(Z223&gt;=0,Z224&lt;0),1,0)</f>
        <v>1</v>
      </c>
      <c r="AA225" s="117" t="n">
        <f aca="false">IF(AND(AA223&gt;=0,AA224&lt;0),1,0)</f>
        <v>1</v>
      </c>
      <c r="AB225" s="117" t="n">
        <f aca="false">IF(AND(AB223&gt;=0,AB224&lt;0),1,0)</f>
        <v>1</v>
      </c>
      <c r="AC225" s="117" t="n">
        <f aca="false">IF(AND(AC223&gt;=0,AC224&lt;0),1,0)</f>
        <v>1</v>
      </c>
      <c r="AD225" s="117" t="n">
        <f aca="false">IF(AND(AD223&gt;=0,AD224&lt;0),1,0)</f>
        <v>1</v>
      </c>
      <c r="AE225" s="117" t="n">
        <f aca="false">IF(AND(AE223&gt;=0,AE224&lt;0),1,0)</f>
        <v>1</v>
      </c>
      <c r="AF225" s="117" t="n">
        <f aca="false">IF(AND(AF223&gt;=0,AF224&lt;0),1,0)</f>
        <v>1</v>
      </c>
      <c r="AG225" s="117" t="n">
        <f aca="false">IF(AND(AG223&gt;=0,AG224&lt;0),1,0)</f>
        <v>1</v>
      </c>
      <c r="AH225" s="117" t="n">
        <f aca="false">IF(AND(AH223&gt;=0,AH224&lt;0),1,0)</f>
        <v>1</v>
      </c>
      <c r="AI225" s="117" t="n">
        <f aca="false">IF(AND(AI223&gt;=0,AI224&lt;0),1,0)</f>
        <v>1</v>
      </c>
      <c r="AJ225" s="117" t="n">
        <f aca="false">IF(AND(AJ223&gt;=0,AJ224&lt;0),1,0)</f>
        <v>1</v>
      </c>
      <c r="AK225" s="117" t="n">
        <f aca="false">IF(AND(AK223&gt;=0,AK224&lt;0),1,0)</f>
        <v>1</v>
      </c>
      <c r="AL225" s="117" t="n">
        <f aca="false">IF(AND(AL223&gt;=0,AL224&lt;0),1,0)</f>
        <v>1</v>
      </c>
    </row>
    <row r="226" customFormat="false" ht="15" hidden="false" customHeight="false" outlineLevel="0" collapsed="false">
      <c r="A226" s="6" t="s">
        <v>453</v>
      </c>
      <c r="C226" s="67" t="n">
        <f aca="false">C211-C182*(1-Inputs!$C$95)+C212</f>
        <v>-126128.406536044</v>
      </c>
      <c r="D226" s="67" t="n">
        <f aca="false">D211-D182*(1-Inputs!$C$95)+D212</f>
        <v>15358.163259966</v>
      </c>
      <c r="E226" s="67" t="n">
        <f aca="false">E211-E182*(1-Inputs!$C$95)+E212</f>
        <v>15814.4280217162</v>
      </c>
      <c r="F226" s="67" t="n">
        <f aca="false">F211-F182*(1-Inputs!$C$95)+F212</f>
        <v>16264.4169444308</v>
      </c>
      <c r="G226" s="67" t="n">
        <f aca="false">G211-G182*(1-Inputs!$C$95)+G212</f>
        <v>16708.2178898563</v>
      </c>
      <c r="H226" s="67" t="n">
        <f aca="false">H211-H182*(1-Inputs!$C$95)+H212</f>
        <v>17145.9174896747</v>
      </c>
      <c r="I226" s="67" t="n">
        <f aca="false">I211-I182*(1-Inputs!$C$95)+I212</f>
        <v>17577.6011627247</v>
      </c>
      <c r="J226" s="67" t="n">
        <f aca="false">J211-J182*(1-Inputs!$C$95)+J212</f>
        <v>18003.3531319808</v>
      </c>
      <c r="K226" s="67" t="n">
        <f aca="false">K211-K182*(1-Inputs!$C$95)+K212</f>
        <v>18423.2564412963</v>
      </c>
      <c r="L226" s="67" t="n">
        <f aca="false">L211-L182*(1-Inputs!$C$95)+L212</f>
        <v>18837.3929719103</v>
      </c>
      <c r="M226" s="67" t="n">
        <f aca="false">M211-M182*(1-Inputs!$C$95)+M212</f>
        <v>19245.8434587246</v>
      </c>
      <c r="N226" s="67" t="n">
        <f aca="false">N211-N182*(1-Inputs!$C$95)+N212</f>
        <v>19648.6875063524</v>
      </c>
      <c r="O226" s="67" t="n">
        <f aca="false">O211-O182*(1-Inputs!$C$95)+O212</f>
        <v>16205.0680330636</v>
      </c>
      <c r="P226" s="67" t="n">
        <f aca="false">P211-P182*(1-Inputs!$C$95)+P212</f>
        <v>19657.4667323832</v>
      </c>
      <c r="Q226" s="67" t="n">
        <f aca="false">Q211-Q182*(1-Inputs!$C$95)+Q212</f>
        <v>20149.5477093227</v>
      </c>
      <c r="R226" s="67" t="n">
        <f aca="false">R211-R182*(1-Inputs!$C$95)+R212</f>
        <v>20634.8610197574</v>
      </c>
      <c r="S226" s="67" t="n">
        <f aca="false">S211-S182*(1-Inputs!$C$95)+S212</f>
        <v>21113.5014110182</v>
      </c>
      <c r="T226" s="67" t="n">
        <f aca="false">T211-T182*(1-Inputs!$C$95)+T212</f>
        <v>21585.5623039736</v>
      </c>
      <c r="U226" s="67" t="n">
        <f aca="false">U211-U182*(1-Inputs!$C$95)+U212</f>
        <v>22051.1358116</v>
      </c>
      <c r="V226" s="67" t="n">
        <f aca="false">V211-V182*(1-Inputs!$C$95)+V212</f>
        <v>22510.3127572918</v>
      </c>
      <c r="W226" s="67" t="n">
        <f aca="false">W211-W182*(1-Inputs!$C$95)+W212</f>
        <v>22963.1826929163</v>
      </c>
      <c r="X226" s="67" t="n">
        <f aca="false">X211-X182*(1-Inputs!$C$95)+X212</f>
        <v>23409.8339166143</v>
      </c>
      <c r="Y226" s="67" t="n">
        <f aca="false">Y211-Y182*(1-Inputs!$C$95)+Y212</f>
        <v>23850.3534903527</v>
      </c>
      <c r="Z226" s="67" t="n">
        <f aca="false">Z211-Z182*(1-Inputs!$C$95)+Z212</f>
        <v>24284.8272572311</v>
      </c>
      <c r="AA226" s="67" t="n">
        <f aca="false">AA211-AA182*(1-Inputs!$C$95)+AA212</f>
        <v>20596.9218578921</v>
      </c>
      <c r="AB226" s="67" t="n">
        <f aca="false">AB211-AB182*(1-Inputs!$C$95)+AB212</f>
        <v>24347.9489415277</v>
      </c>
      <c r="AC226" s="67" t="n">
        <f aca="false">AC211-AC182*(1-Inputs!$C$95)+AC212</f>
        <v>24879.3978872013</v>
      </c>
      <c r="AD226" s="67" t="n">
        <f aca="false">AD211-AD182*(1-Inputs!$C$95)+AD212</f>
        <v>25403.538440992</v>
      </c>
      <c r="AE226" s="67" t="n">
        <f aca="false">AE211-AE182*(1-Inputs!$C$95)+AE212</f>
        <v>25920.472920386</v>
      </c>
      <c r="AF226" s="67" t="n">
        <f aca="false">AF211-AF182*(1-Inputs!$C$95)+AF212</f>
        <v>26430.3022104249</v>
      </c>
      <c r="AG226" s="67" t="n">
        <f aca="false">AG211-AG182*(1-Inputs!$C$95)+AG212</f>
        <v>26933.1257837597</v>
      </c>
      <c r="AH226" s="67" t="n">
        <f aca="false">AH211-AH182*(1-Inputs!$C$95)+AH212</f>
        <v>27429.0417204243</v>
      </c>
      <c r="AI226" s="67" t="n">
        <f aca="false">AI211-AI182*(1-Inputs!$C$95)+AI212</f>
        <v>27918.146727332</v>
      </c>
      <c r="AJ226" s="67" t="n">
        <f aca="false">AJ211-AJ182*(1-Inputs!$C$95)+AJ212</f>
        <v>28400.5361574995</v>
      </c>
      <c r="AK226" s="67" t="n">
        <f aca="false">AK211-AK182*(1-Inputs!$C$95)+AK212</f>
        <v>28876.304029001</v>
      </c>
      <c r="AL226" s="67" t="n">
        <f aca="false">AL211-AL182*(1-Inputs!$C$95)+AL212</f>
        <v>29345.543043658</v>
      </c>
    </row>
    <row r="228" customFormat="false" ht="15.75" hidden="false" customHeight="true" outlineLevel="0" collapsed="false">
      <c r="A228" s="7" t="s">
        <v>454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customFormat="false" ht="15" hidden="false" customHeight="false" outlineLevel="0" collapsed="false">
      <c r="A229" s="6" t="s">
        <v>96</v>
      </c>
      <c r="C229" s="67" t="n">
        <f aca="false">C213</f>
        <v>100000</v>
      </c>
      <c r="D229" s="67" t="n">
        <f aca="false">C229+D213</f>
        <v>100000</v>
      </c>
      <c r="E229" s="67" t="n">
        <f aca="false">D229+E213</f>
        <v>100000</v>
      </c>
      <c r="F229" s="67" t="n">
        <f aca="false">E229+F213</f>
        <v>100000</v>
      </c>
      <c r="G229" s="67" t="n">
        <f aca="false">F229+G213</f>
        <v>100000</v>
      </c>
      <c r="H229" s="67" t="n">
        <f aca="false">G229+H213</f>
        <v>100000</v>
      </c>
      <c r="I229" s="67" t="n">
        <f aca="false">H229+I213</f>
        <v>100000</v>
      </c>
      <c r="J229" s="67" t="n">
        <f aca="false">I229+J213</f>
        <v>100000</v>
      </c>
      <c r="K229" s="67" t="n">
        <f aca="false">J229+K213</f>
        <v>100000</v>
      </c>
      <c r="L229" s="67" t="n">
        <f aca="false">K229+L213</f>
        <v>100000</v>
      </c>
      <c r="M229" s="67" t="n">
        <f aca="false">L229+M213</f>
        <v>100000</v>
      </c>
      <c r="N229" s="67" t="n">
        <f aca="false">M229+N213</f>
        <v>100000</v>
      </c>
      <c r="O229" s="67" t="n">
        <f aca="false">N229+O213</f>
        <v>100000</v>
      </c>
      <c r="P229" s="67" t="n">
        <f aca="false">O229+P213</f>
        <v>100000</v>
      </c>
      <c r="Q229" s="67" t="n">
        <f aca="false">P229+Q213</f>
        <v>100000</v>
      </c>
      <c r="R229" s="67" t="n">
        <f aca="false">Q229+R213</f>
        <v>100000</v>
      </c>
      <c r="S229" s="67" t="n">
        <f aca="false">R229+S213</f>
        <v>100000</v>
      </c>
      <c r="T229" s="67" t="n">
        <f aca="false">S229+T213</f>
        <v>100000</v>
      </c>
      <c r="U229" s="67" t="n">
        <f aca="false">T229+U213</f>
        <v>100000</v>
      </c>
      <c r="V229" s="67" t="n">
        <f aca="false">U229+V213</f>
        <v>100000</v>
      </c>
      <c r="W229" s="67" t="n">
        <f aca="false">V229+W213</f>
        <v>100000</v>
      </c>
      <c r="X229" s="67" t="n">
        <f aca="false">W229+X213</f>
        <v>100000</v>
      </c>
      <c r="Y229" s="67" t="n">
        <f aca="false">X229+Y213</f>
        <v>100000</v>
      </c>
      <c r="Z229" s="67" t="n">
        <f aca="false">Y229+Z213</f>
        <v>100000</v>
      </c>
      <c r="AA229" s="67" t="n">
        <f aca="false">Z229+AA213</f>
        <v>100000</v>
      </c>
      <c r="AB229" s="67" t="n">
        <f aca="false">AA229+AB213</f>
        <v>100000</v>
      </c>
      <c r="AC229" s="67" t="n">
        <f aca="false">AB229+AC213</f>
        <v>100000</v>
      </c>
      <c r="AD229" s="67" t="n">
        <f aca="false">AC229+AD213</f>
        <v>100000</v>
      </c>
      <c r="AE229" s="67" t="n">
        <f aca="false">AD229+AE213</f>
        <v>100000</v>
      </c>
      <c r="AF229" s="67" t="n">
        <f aca="false">AE229+AF213</f>
        <v>100000</v>
      </c>
      <c r="AG229" s="67" t="n">
        <f aca="false">AF229+AG213</f>
        <v>100000</v>
      </c>
      <c r="AH229" s="67" t="n">
        <f aca="false">AG229+AH213</f>
        <v>100000</v>
      </c>
      <c r="AI229" s="67" t="n">
        <f aca="false">AH229+AI213</f>
        <v>100000</v>
      </c>
      <c r="AJ229" s="67" t="n">
        <f aca="false">AI229+AJ213</f>
        <v>100000</v>
      </c>
      <c r="AK229" s="67" t="n">
        <f aca="false">AJ229+AK213</f>
        <v>100000</v>
      </c>
      <c r="AL229" s="67" t="n">
        <f aca="false">AK229+AL213</f>
        <v>100000</v>
      </c>
    </row>
    <row r="230" customFormat="false" ht="15" hidden="false" customHeight="false" outlineLevel="0" collapsed="false">
      <c r="A230" s="6" t="s">
        <v>97</v>
      </c>
      <c r="C230" s="67" t="n">
        <f aca="false">C187</f>
        <v>16102.3855497091</v>
      </c>
      <c r="D230" s="67" t="n">
        <f aca="false">C230+D187</f>
        <v>32649.2567654425</v>
      </c>
      <c r="E230" s="67" t="n">
        <f aca="false">D230+E187</f>
        <v>49639.0362401883</v>
      </c>
      <c r="F230" s="67" t="n">
        <f aca="false">E230+F187</f>
        <v>67065.2423187879</v>
      </c>
      <c r="G230" s="67" t="n">
        <f aca="false">F230+G187</f>
        <v>84921.4840892547</v>
      </c>
      <c r="H230" s="67" t="n">
        <f aca="false">G230+H187</f>
        <v>103201.46011237</v>
      </c>
      <c r="I230" s="67" t="n">
        <f aca="false">H230+I187</f>
        <v>121898.957169064</v>
      </c>
      <c r="J230" s="67" t="n">
        <f aca="false">I230+J187</f>
        <v>141007.849025334</v>
      </c>
      <c r="K230" s="67" t="n">
        <f aca="false">J230+K187</f>
        <v>160522.095214453</v>
      </c>
      <c r="L230" s="67" t="n">
        <f aca="false">K230+L187</f>
        <v>180435.739836229</v>
      </c>
      <c r="M230" s="67" t="n">
        <f aca="false">L230+M187</f>
        <v>200742.910373072</v>
      </c>
      <c r="N230" s="67" t="n">
        <f aca="false">M230+N187</f>
        <v>221437.816522639</v>
      </c>
      <c r="O230" s="67" t="n">
        <f aca="false">N230+O187</f>
        <v>241805.216722222</v>
      </c>
      <c r="P230" s="67" t="n">
        <f aca="false">O230+P187</f>
        <v>262656.317207047</v>
      </c>
      <c r="Q230" s="67" t="n">
        <f aca="false">P230+Q187</f>
        <v>283984.029121023</v>
      </c>
      <c r="R230" s="67" t="n">
        <f aca="false">Q230+R187</f>
        <v>305781.362852039</v>
      </c>
      <c r="S230" s="67" t="n">
        <f aca="false">R230+S187</f>
        <v>328041.426642558</v>
      </c>
      <c r="T230" s="67" t="n">
        <f aca="false">S230+T187</f>
        <v>350757.425219645</v>
      </c>
      <c r="U230" s="67" t="n">
        <f aca="false">T230+U187</f>
        <v>373922.658444188</v>
      </c>
      <c r="V230" s="67" t="n">
        <f aca="false">U230+V187</f>
        <v>397530.519979022</v>
      </c>
      <c r="W230" s="67" t="n">
        <f aca="false">V230+W187</f>
        <v>421574.495975704</v>
      </c>
      <c r="X230" s="67" t="n">
        <f aca="false">W230+X187</f>
        <v>446048.163779666</v>
      </c>
      <c r="Y230" s="67" t="n">
        <f aca="false">X230+Y187</f>
        <v>470945.190653505</v>
      </c>
      <c r="Z230" s="67" t="n">
        <f aca="false">Y230+Z187</f>
        <v>496259.332518145</v>
      </c>
      <c r="AA230" s="67" t="n">
        <f aca="false">Z230+AA187</f>
        <v>521273.518214706</v>
      </c>
      <c r="AB230" s="67" t="n">
        <f aca="false">AA230+AB187</f>
        <v>546809.058881082</v>
      </c>
      <c r="AC230" s="67" t="n">
        <f aca="false">AB230+AC187</f>
        <v>572858.299273283</v>
      </c>
      <c r="AD230" s="67" t="n">
        <f aca="false">AC230+AD187</f>
        <v>599413.691320735</v>
      </c>
      <c r="AE230" s="67" t="n">
        <f aca="false">AD230+AE187</f>
        <v>626467.792625852</v>
      </c>
      <c r="AF230" s="67" t="n">
        <f aca="false">AE230+AF187</f>
        <v>654013.264984614</v>
      </c>
      <c r="AG230" s="67" t="n">
        <f aca="false">AF230+AG187</f>
        <v>682042.872927858</v>
      </c>
      <c r="AH230" s="67" t="n">
        <f aca="false">AG230+AH187</f>
        <v>710549.482282989</v>
      </c>
      <c r="AI230" s="67" t="n">
        <f aca="false">AH230+AI187</f>
        <v>739526.058755829</v>
      </c>
      <c r="AJ230" s="67" t="n">
        <f aca="false">AI230+AJ187</f>
        <v>768965.666532317</v>
      </c>
      <c r="AK230" s="67" t="n">
        <f aca="false">AJ230+AK187</f>
        <v>798861.466899789</v>
      </c>
      <c r="AL230" s="67" t="n">
        <f aca="false">AK230+AL187</f>
        <v>829206.71688756</v>
      </c>
    </row>
    <row r="231" customFormat="false" ht="15" hidden="false" customHeight="false" outlineLevel="0" collapsed="false">
      <c r="A231" s="4" t="s">
        <v>92</v>
      </c>
      <c r="C231" s="73" t="n">
        <f aca="false">C217+C203+C204+C194</f>
        <v>284749.920269509</v>
      </c>
      <c r="D231" s="73" t="n">
        <f aca="false">D217+D203+D204+D194</f>
        <v>299592.931575608</v>
      </c>
      <c r="E231" s="73" t="n">
        <f aca="false">E217+E203+E204+E194</f>
        <v>314877.705179454</v>
      </c>
      <c r="F231" s="73" t="n">
        <f aca="false">F217+F203+F204+F194</f>
        <v>330597.775469347</v>
      </c>
      <c r="G231" s="73" t="n">
        <f aca="false">G217+G203+G204+G194</f>
        <v>346746.767352149</v>
      </c>
      <c r="H231" s="73" t="n">
        <f aca="false">H217+H203+H204+H194</f>
        <v>363318.394986026</v>
      </c>
      <c r="I231" s="73" t="n">
        <f aca="false">I217+I203+I204+I194</f>
        <v>380306.460530931</v>
      </c>
      <c r="J231" s="73" t="n">
        <f aca="false">J217+J203+J204+J194</f>
        <v>397704.852916578</v>
      </c>
      <c r="K231" s="73" t="n">
        <f aca="false">K217+K203+K204+K194</f>
        <v>415507.546627662</v>
      </c>
      <c r="L231" s="73" t="n">
        <f aca="false">L217+L203+L204+L194</f>
        <v>433708.600506096</v>
      </c>
      <c r="M231" s="73" t="n">
        <f aca="false">M217+M203+M204+M194</f>
        <v>452302.156570004</v>
      </c>
      <c r="N231" s="73" t="n">
        <f aca="false">N217+N203+N204+N194</f>
        <v>471282.438849256</v>
      </c>
      <c r="O231" s="73" t="n">
        <f aca="false">O217+O203+O204+O194</f>
        <v>490667.873946034</v>
      </c>
      <c r="P231" s="73" t="n">
        <f aca="false">P217+P203+P204+P194</f>
        <v>509821.529317782</v>
      </c>
      <c r="Q231" s="73" t="n">
        <f aca="false">Q217+Q203+Q204+Q194</f>
        <v>529450.560350264</v>
      </c>
      <c r="R231" s="73" t="n">
        <f aca="false">R217+R203+R204+R194</f>
        <v>549547.994732127</v>
      </c>
      <c r="S231" s="73" t="n">
        <f aca="false">S217+S203+S204+S194</f>
        <v>570106.95776438</v>
      </c>
      <c r="T231" s="73" t="n">
        <f aca="false">T217+T203+T204+T194</f>
        <v>591120.670993817</v>
      </c>
      <c r="U231" s="73" t="n">
        <f aca="false">U217+U203+U204+U194</f>
        <v>612582.450865578</v>
      </c>
      <c r="V231" s="73" t="n">
        <f aca="false">V217+V203+V204+V194</f>
        <v>634485.707394569</v>
      </c>
      <c r="W231" s="73" t="n">
        <f aca="false">W217+W203+W204+W194</f>
        <v>656823.942855489</v>
      </c>
      <c r="X231" s="73" t="n">
        <f aca="false">X217+X203+X204+X194</f>
        <v>679590.750491189</v>
      </c>
      <c r="Y231" s="73" t="n">
        <f aca="false">Y217+Y203+Y204+Y194</f>
        <v>702779.813239124</v>
      </c>
      <c r="Z231" s="73" t="n">
        <f aca="false">Z217+Z203+Z204+Z194</f>
        <v>726384.902475621</v>
      </c>
      <c r="AA231" s="73" t="n">
        <f aca="false">AA217+AA203+AA204+AA194</f>
        <v>750486.74268215</v>
      </c>
      <c r="AB231" s="73" t="n">
        <f aca="false">AB217+AB203+AB204+AB194</f>
        <v>774331.890796581</v>
      </c>
      <c r="AC231" s="73" t="n">
        <f aca="false">AC217+AC203+AC204+AC194</f>
        <v>798689.404132564</v>
      </c>
      <c r="AD231" s="73" t="n">
        <f aca="false">AD217+AD203+AD204+AD194</f>
        <v>823551.753302585</v>
      </c>
      <c r="AE231" s="73" t="n">
        <f aca="false">AE217+AE203+AE204+AE194</f>
        <v>848911.514330555</v>
      </c>
      <c r="AF231" s="73" t="n">
        <f aca="false">AF217+AF203+AF204+AF194</f>
        <v>874761.36717605</v>
      </c>
      <c r="AG231" s="73" t="n">
        <f aca="false">AG217+AG203+AG204+AG194</f>
        <v>901094.094279214</v>
      </c>
      <c r="AH231" s="73" t="n">
        <f aca="false">AH217+AH203+AH204+AH194</f>
        <v>927902.579126025</v>
      </c>
      <c r="AI231" s="73" t="n">
        <f aca="false">AI217+AI203+AI204+AI194</f>
        <v>955179.804833662</v>
      </c>
      <c r="AJ231" s="73" t="n">
        <f aca="false">AJ217+AJ203+AJ204+AJ194</f>
        <v>982918.852755659</v>
      </c>
      <c r="AK231" s="73" t="n">
        <f aca="false">AK217+AK203+AK204+AK194</f>
        <v>1011112.9011066</v>
      </c>
      <c r="AL231" s="73" t="n">
        <f aca="false">AL217+AL203+AL204+AL194</f>
        <v>1039755.22360608</v>
      </c>
    </row>
    <row r="232" customFormat="false" ht="15" hidden="false" customHeight="false" outlineLevel="0" collapsed="false">
      <c r="A232" s="6" t="s">
        <v>95</v>
      </c>
      <c r="C232" s="67" t="n">
        <f aca="false">C205+C200</f>
        <v>168647.5347198</v>
      </c>
      <c r="D232" s="67" t="n">
        <f aca="false">D205+D200</f>
        <v>166943.674810166</v>
      </c>
      <c r="E232" s="67" t="n">
        <f aca="false">E205+E200</f>
        <v>165238.668939266</v>
      </c>
      <c r="F232" s="67" t="n">
        <f aca="false">F205+F200</f>
        <v>163532.533150559</v>
      </c>
      <c r="G232" s="67" t="n">
        <f aca="false">G205+G200</f>
        <v>161825.283262894</v>
      </c>
      <c r="H232" s="67" t="n">
        <f aca="false">H205+H200</f>
        <v>160116.934873656</v>
      </c>
      <c r="I232" s="67" t="n">
        <f aca="false">I205+I200</f>
        <v>158407.503361868</v>
      </c>
      <c r="J232" s="67" t="n">
        <f aca="false">J205+J200</f>
        <v>156697.003891244</v>
      </c>
      <c r="K232" s="67" t="n">
        <f aca="false">K205+K200</f>
        <v>154985.451413209</v>
      </c>
      <c r="L232" s="67" t="n">
        <f aca="false">L205+L200</f>
        <v>153272.860669867</v>
      </c>
      <c r="M232" s="67" t="n">
        <f aca="false">M205+M200</f>
        <v>151559.246196932</v>
      </c>
      <c r="N232" s="67" t="n">
        <f aca="false">N205+N200</f>
        <v>149844.622326617</v>
      </c>
      <c r="O232" s="67" t="n">
        <f aca="false">O205+O200</f>
        <v>148862.657223812</v>
      </c>
      <c r="P232" s="67" t="n">
        <f aca="false">P205+P200</f>
        <v>147165.212110735</v>
      </c>
      <c r="Q232" s="67" t="n">
        <f aca="false">Q205+Q200</f>
        <v>145466.531229241</v>
      </c>
      <c r="R232" s="67" t="n">
        <f aca="false">R205+R200</f>
        <v>143766.631880087</v>
      </c>
      <c r="S232" s="67" t="n">
        <f aca="false">S205+S200</f>
        <v>142065.531121822</v>
      </c>
      <c r="T232" s="67" t="n">
        <f aca="false">T205+T200</f>
        <v>140363.245774172</v>
      </c>
      <c r="U232" s="67" t="n">
        <f aca="false">U205+U200</f>
        <v>138659.79242139</v>
      </c>
      <c r="V232" s="67" t="n">
        <f aca="false">V205+V200</f>
        <v>136955.187415547</v>
      </c>
      <c r="W232" s="67" t="n">
        <f aca="false">W205+W200</f>
        <v>135249.446879785</v>
      </c>
      <c r="X232" s="67" t="n">
        <f aca="false">X205+X200</f>
        <v>133542.586711524</v>
      </c>
      <c r="Y232" s="67" t="n">
        <f aca="false">Y205+Y200</f>
        <v>131834.622585619</v>
      </c>
      <c r="Z232" s="67" t="n">
        <f aca="false">Z205+Z200</f>
        <v>130125.569957476</v>
      </c>
      <c r="AA232" s="67" t="n">
        <f aca="false">AA205+AA200</f>
        <v>129213.224467443</v>
      </c>
      <c r="AB232" s="67" t="n">
        <f aca="false">AB205+AB200</f>
        <v>127522.831915498</v>
      </c>
      <c r="AC232" s="67" t="n">
        <f aca="false">AC205+AC200</f>
        <v>125831.104859281</v>
      </c>
      <c r="AD232" s="67" t="n">
        <f aca="false">AD205+AD200</f>
        <v>124138.06198185</v>
      </c>
      <c r="AE232" s="67" t="n">
        <f aca="false">AE205+AE200</f>
        <v>122443.721704703</v>
      </c>
      <c r="AF232" s="67" t="n">
        <f aca="false">AF205+AF200</f>
        <v>120748.102191436</v>
      </c>
      <c r="AG232" s="67" t="n">
        <f aca="false">AG205+AG200</f>
        <v>119051.221351355</v>
      </c>
      <c r="AH232" s="67" t="n">
        <f aca="false">AH205+AH200</f>
        <v>117353.096843036</v>
      </c>
      <c r="AI232" s="67" t="n">
        <f aca="false">AI205+AI200</f>
        <v>115653.746077832</v>
      </c>
      <c r="AJ232" s="67" t="n">
        <f aca="false">AJ205+AJ200</f>
        <v>113953.186223342</v>
      </c>
      <c r="AK232" s="67" t="n">
        <f aca="false">AK205+AK200</f>
        <v>112251.434206814</v>
      </c>
      <c r="AL232" s="67" t="n">
        <f aca="false">AL205+AL200</f>
        <v>110548.506718518</v>
      </c>
    </row>
    <row r="233" customFormat="false" ht="15" hidden="false" customHeight="false" outlineLevel="0" collapsed="false">
      <c r="A233" s="6" t="s">
        <v>98</v>
      </c>
      <c r="C233" s="67" t="n">
        <f aca="false">C229+C230</f>
        <v>116102.385549709</v>
      </c>
      <c r="D233" s="67" t="n">
        <f aca="false">D229+D230</f>
        <v>132649.256765442</v>
      </c>
      <c r="E233" s="67" t="n">
        <f aca="false">E229+E230</f>
        <v>149639.036240188</v>
      </c>
      <c r="F233" s="67" t="n">
        <f aca="false">F229+F230</f>
        <v>167065.242318788</v>
      </c>
      <c r="G233" s="67" t="n">
        <f aca="false">G229+G230</f>
        <v>184921.484089255</v>
      </c>
      <c r="H233" s="67" t="n">
        <f aca="false">H229+H230</f>
        <v>203201.46011237</v>
      </c>
      <c r="I233" s="67" t="n">
        <f aca="false">I229+I230</f>
        <v>221898.957169064</v>
      </c>
      <c r="J233" s="67" t="n">
        <f aca="false">J229+J230</f>
        <v>241007.849025334</v>
      </c>
      <c r="K233" s="67" t="n">
        <f aca="false">K229+K230</f>
        <v>260522.095214453</v>
      </c>
      <c r="L233" s="67" t="n">
        <f aca="false">L229+L230</f>
        <v>280435.739836229</v>
      </c>
      <c r="M233" s="67" t="n">
        <f aca="false">M229+M230</f>
        <v>300742.910373072</v>
      </c>
      <c r="N233" s="67" t="n">
        <f aca="false">N229+N230</f>
        <v>321437.816522639</v>
      </c>
      <c r="O233" s="67" t="n">
        <f aca="false">O229+O230</f>
        <v>341805.216722221</v>
      </c>
      <c r="P233" s="67" t="n">
        <f aca="false">P229+P230</f>
        <v>362656.317207047</v>
      </c>
      <c r="Q233" s="67" t="n">
        <f aca="false">Q229+Q230</f>
        <v>383984.029121023</v>
      </c>
      <c r="R233" s="67" t="n">
        <f aca="false">R229+R230</f>
        <v>405781.362852039</v>
      </c>
      <c r="S233" s="67" t="n">
        <f aca="false">S229+S230</f>
        <v>428041.426642558</v>
      </c>
      <c r="T233" s="67" t="n">
        <f aca="false">T229+T230</f>
        <v>450757.425219645</v>
      </c>
      <c r="U233" s="67" t="n">
        <f aca="false">U229+U230</f>
        <v>473922.658444188</v>
      </c>
      <c r="V233" s="67" t="n">
        <f aca="false">V229+V230</f>
        <v>497530.519979022</v>
      </c>
      <c r="W233" s="67" t="n">
        <f aca="false">W229+W230</f>
        <v>521574.495975704</v>
      </c>
      <c r="X233" s="67" t="n">
        <f aca="false">X229+X230</f>
        <v>546048.163779666</v>
      </c>
      <c r="Y233" s="67" t="n">
        <f aca="false">Y229+Y230</f>
        <v>570945.190653505</v>
      </c>
      <c r="Z233" s="67" t="n">
        <f aca="false">Z229+Z230</f>
        <v>596259.332518145</v>
      </c>
      <c r="AA233" s="67" t="n">
        <f aca="false">AA229+AA230</f>
        <v>621273.518214706</v>
      </c>
      <c r="AB233" s="67" t="n">
        <f aca="false">AB229+AB230</f>
        <v>646809.058881082</v>
      </c>
      <c r="AC233" s="67" t="n">
        <f aca="false">AC229+AC230</f>
        <v>672858.299273283</v>
      </c>
      <c r="AD233" s="67" t="n">
        <f aca="false">AD229+AD230</f>
        <v>699413.691320735</v>
      </c>
      <c r="AE233" s="67" t="n">
        <f aca="false">AE229+AE230</f>
        <v>726467.792625852</v>
      </c>
      <c r="AF233" s="67" t="n">
        <f aca="false">AF229+AF230</f>
        <v>754013.264984614</v>
      </c>
      <c r="AG233" s="67" t="n">
        <f aca="false">AG229+AG230</f>
        <v>782042.872927858</v>
      </c>
      <c r="AH233" s="67" t="n">
        <f aca="false">AH229+AH230</f>
        <v>810549.482282989</v>
      </c>
      <c r="AI233" s="67" t="n">
        <f aca="false">AI229+AI230</f>
        <v>839526.058755829</v>
      </c>
      <c r="AJ233" s="67" t="n">
        <f aca="false">AJ229+AJ230</f>
        <v>868965.666532317</v>
      </c>
      <c r="AK233" s="67" t="n">
        <f aca="false">AK229+AK230</f>
        <v>898861.466899789</v>
      </c>
      <c r="AL233" s="67" t="n">
        <f aca="false">AL229+AL230</f>
        <v>929206.71688756</v>
      </c>
    </row>
    <row r="234" customFormat="false" ht="15" hidden="false" customHeight="false" outlineLevel="0" collapsed="false">
      <c r="A234" s="4" t="s">
        <v>99</v>
      </c>
      <c r="C234" s="73" t="n">
        <f aca="false">C232+C233</f>
        <v>284749.920269509</v>
      </c>
      <c r="D234" s="73" t="n">
        <f aca="false">D232+D233</f>
        <v>299592.931575608</v>
      </c>
      <c r="E234" s="73" t="n">
        <f aca="false">E232+E233</f>
        <v>314877.705179454</v>
      </c>
      <c r="F234" s="73" t="n">
        <f aca="false">F232+F233</f>
        <v>330597.775469347</v>
      </c>
      <c r="G234" s="73" t="n">
        <f aca="false">G232+G233</f>
        <v>346746.767352149</v>
      </c>
      <c r="H234" s="73" t="n">
        <f aca="false">H232+H233</f>
        <v>363318.394986026</v>
      </c>
      <c r="I234" s="73" t="n">
        <f aca="false">I232+I233</f>
        <v>380306.460530931</v>
      </c>
      <c r="J234" s="73" t="n">
        <f aca="false">J232+J233</f>
        <v>397704.852916578</v>
      </c>
      <c r="K234" s="73" t="n">
        <f aca="false">K232+K233</f>
        <v>415507.546627662</v>
      </c>
      <c r="L234" s="73" t="n">
        <f aca="false">L232+L233</f>
        <v>433708.600506096</v>
      </c>
      <c r="M234" s="73" t="n">
        <f aca="false">M232+M233</f>
        <v>452302.156570004</v>
      </c>
      <c r="N234" s="73" t="n">
        <f aca="false">N232+N233</f>
        <v>471282.438849256</v>
      </c>
      <c r="O234" s="73" t="n">
        <f aca="false">O232+O233</f>
        <v>490667.873946034</v>
      </c>
      <c r="P234" s="73" t="n">
        <f aca="false">P232+P233</f>
        <v>509821.529317782</v>
      </c>
      <c r="Q234" s="73" t="n">
        <f aca="false">Q232+Q233</f>
        <v>529450.560350264</v>
      </c>
      <c r="R234" s="73" t="n">
        <f aca="false">R232+R233</f>
        <v>549547.994732127</v>
      </c>
      <c r="S234" s="73" t="n">
        <f aca="false">S232+S233</f>
        <v>570106.95776438</v>
      </c>
      <c r="T234" s="73" t="n">
        <f aca="false">T232+T233</f>
        <v>591120.670993817</v>
      </c>
      <c r="U234" s="73" t="n">
        <f aca="false">U232+U233</f>
        <v>612582.450865578</v>
      </c>
      <c r="V234" s="73" t="n">
        <f aca="false">V232+V233</f>
        <v>634485.707394569</v>
      </c>
      <c r="W234" s="73" t="n">
        <f aca="false">W232+W233</f>
        <v>656823.942855489</v>
      </c>
      <c r="X234" s="73" t="n">
        <f aca="false">X232+X233</f>
        <v>679590.750491189</v>
      </c>
      <c r="Y234" s="73" t="n">
        <f aca="false">Y232+Y233</f>
        <v>702779.813239124</v>
      </c>
      <c r="Z234" s="73" t="n">
        <f aca="false">Z232+Z233</f>
        <v>726384.90247562</v>
      </c>
      <c r="AA234" s="73" t="n">
        <f aca="false">AA232+AA233</f>
        <v>750486.742682149</v>
      </c>
      <c r="AB234" s="73" t="n">
        <f aca="false">AB232+AB233</f>
        <v>774331.89079658</v>
      </c>
      <c r="AC234" s="73" t="n">
        <f aca="false">AC232+AC233</f>
        <v>798689.404132564</v>
      </c>
      <c r="AD234" s="73" t="n">
        <f aca="false">AD232+AD233</f>
        <v>823551.753302584</v>
      </c>
      <c r="AE234" s="73" t="n">
        <f aca="false">AE232+AE233</f>
        <v>848911.514330555</v>
      </c>
      <c r="AF234" s="73" t="n">
        <f aca="false">AF232+AF233</f>
        <v>874761.36717605</v>
      </c>
      <c r="AG234" s="73" t="n">
        <f aca="false">AG232+AG233</f>
        <v>901094.094279214</v>
      </c>
      <c r="AH234" s="73" t="n">
        <f aca="false">AH232+AH233</f>
        <v>927902.579126025</v>
      </c>
      <c r="AI234" s="73" t="n">
        <f aca="false">AI232+AI233</f>
        <v>955179.804833661</v>
      </c>
      <c r="AJ234" s="73" t="n">
        <f aca="false">AJ232+AJ233</f>
        <v>982918.852755659</v>
      </c>
      <c r="AK234" s="73" t="n">
        <f aca="false">AK232+AK233</f>
        <v>1011112.9011066</v>
      </c>
      <c r="AL234" s="73" t="n">
        <f aca="false">AL232+AL233</f>
        <v>1039755.22360608</v>
      </c>
    </row>
    <row r="235" customFormat="false" ht="15" hidden="false" customHeight="false" outlineLevel="0" collapsed="false">
      <c r="A235" s="6" t="s">
        <v>455</v>
      </c>
      <c r="C235" s="67" t="n">
        <f aca="false">C231-C234</f>
        <v>0</v>
      </c>
      <c r="D235" s="67" t="n">
        <f aca="false">D231-D234</f>
        <v>0</v>
      </c>
      <c r="E235" s="67" t="n">
        <f aca="false">E231-E234</f>
        <v>0</v>
      </c>
      <c r="F235" s="67" t="n">
        <f aca="false">F231-F234</f>
        <v>0</v>
      </c>
      <c r="G235" s="67" t="n">
        <f aca="false">G231-G234</f>
        <v>0</v>
      </c>
      <c r="H235" s="67" t="n">
        <f aca="false">H231-H234</f>
        <v>0</v>
      </c>
      <c r="I235" s="67" t="n">
        <f aca="false">I231-I234</f>
        <v>0</v>
      </c>
      <c r="J235" s="67" t="n">
        <f aca="false">J231-J234</f>
        <v>0</v>
      </c>
      <c r="K235" s="67" t="n">
        <f aca="false">K231-K234</f>
        <v>0</v>
      </c>
      <c r="L235" s="67" t="n">
        <f aca="false">L231-L234</f>
        <v>0</v>
      </c>
      <c r="M235" s="67" t="n">
        <f aca="false">M231-M234</f>
        <v>0</v>
      </c>
      <c r="N235" s="67" t="n">
        <f aca="false">N231-N234</f>
        <v>0</v>
      </c>
      <c r="O235" s="67" t="n">
        <f aca="false">O231-O234</f>
        <v>0</v>
      </c>
      <c r="P235" s="67" t="n">
        <f aca="false">P231-P234</f>
        <v>0</v>
      </c>
      <c r="Q235" s="67" t="n">
        <f aca="false">Q231-Q234</f>
        <v>0</v>
      </c>
      <c r="R235" s="67" t="n">
        <f aca="false">R231-R234</f>
        <v>0</v>
      </c>
      <c r="S235" s="67" t="n">
        <f aca="false">S231-S234</f>
        <v>0</v>
      </c>
      <c r="T235" s="67" t="n">
        <f aca="false">T231-T234</f>
        <v>0</v>
      </c>
      <c r="U235" s="67" t="n">
        <f aca="false">U231-U234</f>
        <v>0</v>
      </c>
      <c r="V235" s="67" t="n">
        <f aca="false">V231-V234</f>
        <v>0</v>
      </c>
      <c r="W235" s="67" t="n">
        <f aca="false">W231-W234</f>
        <v>0</v>
      </c>
      <c r="X235" s="67" t="n">
        <f aca="false">X231-X234</f>
        <v>0</v>
      </c>
      <c r="Y235" s="67" t="n">
        <f aca="false">Y231-Y234</f>
        <v>0</v>
      </c>
      <c r="Z235" s="67" t="n">
        <f aca="false">Z231-Z234</f>
        <v>0</v>
      </c>
      <c r="AA235" s="67" t="n">
        <f aca="false">AA231-AA234</f>
        <v>0</v>
      </c>
      <c r="AB235" s="67" t="n">
        <f aca="false">AB231-AB234</f>
        <v>0</v>
      </c>
      <c r="AC235" s="67" t="n">
        <f aca="false">AC231-AC234</f>
        <v>0</v>
      </c>
      <c r="AD235" s="67" t="n">
        <f aca="false">AD231-AD234</f>
        <v>0</v>
      </c>
      <c r="AE235" s="67" t="n">
        <f aca="false">AE231-AE234</f>
        <v>0</v>
      </c>
      <c r="AF235" s="67" t="n">
        <f aca="false">AF231-AF234</f>
        <v>0</v>
      </c>
      <c r="AG235" s="67" t="n">
        <f aca="false">AG231-AG234</f>
        <v>0</v>
      </c>
      <c r="AH235" s="67" t="n">
        <f aca="false">AH231-AH234</f>
        <v>0</v>
      </c>
      <c r="AI235" s="67" t="n">
        <f aca="false">AI231-AI234</f>
        <v>0</v>
      </c>
      <c r="AJ235" s="67" t="n">
        <f aca="false">AJ231-AJ234</f>
        <v>0</v>
      </c>
      <c r="AK235" s="67" t="n">
        <f aca="false">AK231-AK234</f>
        <v>0</v>
      </c>
      <c r="AL235" s="67" t="n">
        <f aca="false">AL231-AL234</f>
        <v>0</v>
      </c>
    </row>
    <row r="237" customFormat="false" ht="15.75" hidden="false" customHeight="true" outlineLevel="0" collapsed="false">
      <c r="A237" s="7" t="s">
        <v>457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customFormat="false" ht="15" hidden="false" customHeight="false" outlineLevel="0" collapsed="false">
      <c r="A238" s="6" t="s">
        <v>458</v>
      </c>
      <c r="C238" s="114" t="n">
        <f aca="false">Inputs!$C$59*(1+Inputs!$C$61)^(C$132-1)*MAX(0,MIN(1,C$131*1-Inputs!$C$62+1))/1</f>
        <v>1</v>
      </c>
      <c r="D238" s="114" t="n">
        <f aca="false">Inputs!$C$59*(1+Inputs!$C$61)^(D$132-1)*MAX(0,MIN(1,D$131*1-Inputs!$C$62+1))/1</f>
        <v>1</v>
      </c>
      <c r="E238" s="114" t="n">
        <f aca="false">Inputs!$C$59*(1+Inputs!$C$61)^(E$132-1)*MAX(0,MIN(1,E$131*1-Inputs!$C$62+1))/1</f>
        <v>1</v>
      </c>
      <c r="F238" s="114" t="n">
        <f aca="false">Inputs!$C$59*(1+Inputs!$C$61)^(F$132-1)*MAX(0,MIN(1,F$131*1-Inputs!$C$62+1))/1</f>
        <v>1</v>
      </c>
      <c r="G238" s="114" t="n">
        <f aca="false">Inputs!$C$59*(1+Inputs!$C$61)^(G$132-1)*MAX(0,MIN(1,G$131*1-Inputs!$C$62+1))/1</f>
        <v>1</v>
      </c>
      <c r="H238" s="114" t="n">
        <f aca="false">Inputs!$C$59*(1+Inputs!$C$61)^(H$132-1)*MAX(0,MIN(1,H$131*1-Inputs!$C$62+1))/1</f>
        <v>1</v>
      </c>
      <c r="I238" s="114" t="n">
        <f aca="false">Inputs!$C$59*(1+Inputs!$C$61)^(I$132-1)*MAX(0,MIN(1,I$131*1-Inputs!$C$62+1))/1</f>
        <v>1</v>
      </c>
      <c r="J238" s="114" t="n">
        <f aca="false">Inputs!$C$59*(1+Inputs!$C$61)^(J$132-1)*MAX(0,MIN(1,J$131*1-Inputs!$C$62+1))/1</f>
        <v>1</v>
      </c>
      <c r="K238" s="114" t="n">
        <f aca="false">Inputs!$C$59*(1+Inputs!$C$61)^(K$132-1)*MAX(0,MIN(1,K$131*1-Inputs!$C$62+1))/1</f>
        <v>1</v>
      </c>
      <c r="L238" s="114" t="n">
        <f aca="false">Inputs!$C$59*(1+Inputs!$C$61)^(L$132-1)*MAX(0,MIN(1,L$131*1-Inputs!$C$62+1))/1</f>
        <v>1</v>
      </c>
      <c r="M238" s="114" t="n">
        <f aca="false">Inputs!$C$59*(1+Inputs!$C$61)^(M$132-1)*MAX(0,MIN(1,M$131*1-Inputs!$C$62+1))/1</f>
        <v>1</v>
      </c>
      <c r="N238" s="114" t="n">
        <f aca="false">Inputs!$C$59*(1+Inputs!$C$61)^(N$132-1)*MAX(0,MIN(1,N$131*1-Inputs!$C$62+1))/1</f>
        <v>1</v>
      </c>
      <c r="O238" s="114" t="n">
        <f aca="false">Inputs!$C$59*(1+Inputs!$C$61)^(O$132-1)*MAX(0,MIN(1,O$131*1-Inputs!$C$62+1))/1</f>
        <v>1</v>
      </c>
      <c r="P238" s="114" t="n">
        <f aca="false">Inputs!$C$59*(1+Inputs!$C$61)^(P$132-1)*MAX(0,MIN(1,P$131*1-Inputs!$C$62+1))/1</f>
        <v>1</v>
      </c>
      <c r="Q238" s="114" t="n">
        <f aca="false">Inputs!$C$59*(1+Inputs!$C$61)^(Q$132-1)*MAX(0,MIN(1,Q$131*1-Inputs!$C$62+1))/1</f>
        <v>1</v>
      </c>
      <c r="R238" s="114" t="n">
        <f aca="false">Inputs!$C$59*(1+Inputs!$C$61)^(R$132-1)*MAX(0,MIN(1,R$131*1-Inputs!$C$62+1))/1</f>
        <v>1</v>
      </c>
      <c r="S238" s="114" t="n">
        <f aca="false">Inputs!$C$59*(1+Inputs!$C$61)^(S$132-1)*MAX(0,MIN(1,S$131*1-Inputs!$C$62+1))/1</f>
        <v>1</v>
      </c>
      <c r="T238" s="114" t="n">
        <f aca="false">Inputs!$C$59*(1+Inputs!$C$61)^(T$132-1)*MAX(0,MIN(1,T$131*1-Inputs!$C$62+1))/1</f>
        <v>1</v>
      </c>
      <c r="U238" s="114" t="n">
        <f aca="false">Inputs!$C$59*(1+Inputs!$C$61)^(U$132-1)*MAX(0,MIN(1,U$131*1-Inputs!$C$62+1))/1</f>
        <v>1</v>
      </c>
      <c r="V238" s="114" t="n">
        <f aca="false">Inputs!$C$59*(1+Inputs!$C$61)^(V$132-1)*MAX(0,MIN(1,V$131*1-Inputs!$C$62+1))/1</f>
        <v>1</v>
      </c>
      <c r="W238" s="114" t="n">
        <f aca="false">Inputs!$C$59*(1+Inputs!$C$61)^(W$132-1)*MAX(0,MIN(1,W$131*1-Inputs!$C$62+1))/1</f>
        <v>1</v>
      </c>
      <c r="X238" s="114" t="n">
        <f aca="false">Inputs!$C$59*(1+Inputs!$C$61)^(X$132-1)*MAX(0,MIN(1,X$131*1-Inputs!$C$62+1))/1</f>
        <v>1</v>
      </c>
      <c r="Y238" s="114" t="n">
        <f aca="false">Inputs!$C$59*(1+Inputs!$C$61)^(Y$132-1)*MAX(0,MIN(1,Y$131*1-Inputs!$C$62+1))/1</f>
        <v>1</v>
      </c>
      <c r="Z238" s="114" t="n">
        <f aca="false">Inputs!$C$59*(1+Inputs!$C$61)^(Z$132-1)*MAX(0,MIN(1,Z$131*1-Inputs!$C$62+1))/1</f>
        <v>1</v>
      </c>
      <c r="AA238" s="114" t="n">
        <f aca="false">Inputs!$C$59*(1+Inputs!$C$61)^(AA$132-1)*MAX(0,MIN(1,AA$131*1-Inputs!$C$62+1))/1</f>
        <v>1</v>
      </c>
      <c r="AB238" s="114" t="n">
        <f aca="false">Inputs!$C$59*(1+Inputs!$C$61)^(AB$132-1)*MAX(0,MIN(1,AB$131*1-Inputs!$C$62+1))/1</f>
        <v>1</v>
      </c>
      <c r="AC238" s="114" t="n">
        <f aca="false">Inputs!$C$59*(1+Inputs!$C$61)^(AC$132-1)*MAX(0,MIN(1,AC$131*1-Inputs!$C$62+1))/1</f>
        <v>1</v>
      </c>
      <c r="AD238" s="114" t="n">
        <f aca="false">Inputs!$C$59*(1+Inputs!$C$61)^(AD$132-1)*MAX(0,MIN(1,AD$131*1-Inputs!$C$62+1))/1</f>
        <v>1</v>
      </c>
      <c r="AE238" s="114" t="n">
        <f aca="false">Inputs!$C$59*(1+Inputs!$C$61)^(AE$132-1)*MAX(0,MIN(1,AE$131*1-Inputs!$C$62+1))/1</f>
        <v>1</v>
      </c>
      <c r="AF238" s="114" t="n">
        <f aca="false">Inputs!$C$59*(1+Inputs!$C$61)^(AF$132-1)*MAX(0,MIN(1,AF$131*1-Inputs!$C$62+1))/1</f>
        <v>1</v>
      </c>
      <c r="AG238" s="114" t="n">
        <f aca="false">Inputs!$C$59*(1+Inputs!$C$61)^(AG$132-1)*MAX(0,MIN(1,AG$131*1-Inputs!$C$62+1))/1</f>
        <v>1</v>
      </c>
      <c r="AH238" s="114" t="n">
        <f aca="false">Inputs!$C$59*(1+Inputs!$C$61)^(AH$132-1)*MAX(0,MIN(1,AH$131*1-Inputs!$C$62+1))/1</f>
        <v>1</v>
      </c>
      <c r="AI238" s="114" t="n">
        <f aca="false">Inputs!$C$59*(1+Inputs!$C$61)^(AI$132-1)*MAX(0,MIN(1,AI$131*1-Inputs!$C$62+1))/1</f>
        <v>1</v>
      </c>
      <c r="AJ238" s="114" t="n">
        <f aca="false">Inputs!$C$59*(1+Inputs!$C$61)^(AJ$132-1)*MAX(0,MIN(1,AJ$131*1-Inputs!$C$62+1))/1</f>
        <v>1</v>
      </c>
      <c r="AK238" s="114" t="n">
        <f aca="false">Inputs!$C$59*(1+Inputs!$C$61)^(AK$132-1)*MAX(0,MIN(1,AK$131*1-Inputs!$C$62+1))/1</f>
        <v>1</v>
      </c>
      <c r="AL238" s="114" t="n">
        <f aca="false">Inputs!$C$59*(1+Inputs!$C$61)^(AL$132-1)*MAX(0,MIN(1,AL$131*1-Inputs!$C$62+1))/1</f>
        <v>1</v>
      </c>
    </row>
    <row r="239" customFormat="false" ht="15" hidden="false" customHeight="false" outlineLevel="0" collapsed="false">
      <c r="A239" s="6" t="s">
        <v>459</v>
      </c>
      <c r="C239" s="114" t="n">
        <f aca="false">Inputs!$C$63*(1+Inputs!$C$65)^(C$132-1)*MAX(0,MIN(1,C$131*1-Inputs!$C$66+1))/1</f>
        <v>3</v>
      </c>
      <c r="D239" s="114" t="n">
        <f aca="false">Inputs!$C$63*(1+Inputs!$C$65)^(D$132-1)*MAX(0,MIN(1,D$131*1-Inputs!$C$66+1))/1</f>
        <v>3</v>
      </c>
      <c r="E239" s="114" t="n">
        <f aca="false">Inputs!$C$63*(1+Inputs!$C$65)^(E$132-1)*MAX(0,MIN(1,E$131*1-Inputs!$C$66+1))/1</f>
        <v>3</v>
      </c>
      <c r="F239" s="114" t="n">
        <f aca="false">Inputs!$C$63*(1+Inputs!$C$65)^(F$132-1)*MAX(0,MIN(1,F$131*1-Inputs!$C$66+1))/1</f>
        <v>3</v>
      </c>
      <c r="G239" s="114" t="n">
        <f aca="false">Inputs!$C$63*(1+Inputs!$C$65)^(G$132-1)*MAX(0,MIN(1,G$131*1-Inputs!$C$66+1))/1</f>
        <v>3</v>
      </c>
      <c r="H239" s="114" t="n">
        <f aca="false">Inputs!$C$63*(1+Inputs!$C$65)^(H$132-1)*MAX(0,MIN(1,H$131*1-Inputs!$C$66+1))/1</f>
        <v>3</v>
      </c>
      <c r="I239" s="114" t="n">
        <f aca="false">Inputs!$C$63*(1+Inputs!$C$65)^(I$132-1)*MAX(0,MIN(1,I$131*1-Inputs!$C$66+1))/1</f>
        <v>3</v>
      </c>
      <c r="J239" s="114" t="n">
        <f aca="false">Inputs!$C$63*(1+Inputs!$C$65)^(J$132-1)*MAX(0,MIN(1,J$131*1-Inputs!$C$66+1))/1</f>
        <v>3</v>
      </c>
      <c r="K239" s="114" t="n">
        <f aca="false">Inputs!$C$63*(1+Inputs!$C$65)^(K$132-1)*MAX(0,MIN(1,K$131*1-Inputs!$C$66+1))/1</f>
        <v>3</v>
      </c>
      <c r="L239" s="114" t="n">
        <f aca="false">Inputs!$C$63*(1+Inputs!$C$65)^(L$132-1)*MAX(0,MIN(1,L$131*1-Inputs!$C$66+1))/1</f>
        <v>3</v>
      </c>
      <c r="M239" s="114" t="n">
        <f aca="false">Inputs!$C$63*(1+Inputs!$C$65)^(M$132-1)*MAX(0,MIN(1,M$131*1-Inputs!$C$66+1))/1</f>
        <v>3</v>
      </c>
      <c r="N239" s="114" t="n">
        <f aca="false">Inputs!$C$63*(1+Inputs!$C$65)^(N$132-1)*MAX(0,MIN(1,N$131*1-Inputs!$C$66+1))/1</f>
        <v>3</v>
      </c>
      <c r="O239" s="114" t="n">
        <f aca="false">Inputs!$C$63*(1+Inputs!$C$65)^(O$132-1)*MAX(0,MIN(1,O$131*1-Inputs!$C$66+1))/1</f>
        <v>3.18</v>
      </c>
      <c r="P239" s="114" t="n">
        <f aca="false">Inputs!$C$63*(1+Inputs!$C$65)^(P$132-1)*MAX(0,MIN(1,P$131*1-Inputs!$C$66+1))/1</f>
        <v>3.18</v>
      </c>
      <c r="Q239" s="114" t="n">
        <f aca="false">Inputs!$C$63*(1+Inputs!$C$65)^(Q$132-1)*MAX(0,MIN(1,Q$131*1-Inputs!$C$66+1))/1</f>
        <v>3.18</v>
      </c>
      <c r="R239" s="114" t="n">
        <f aca="false">Inputs!$C$63*(1+Inputs!$C$65)^(R$132-1)*MAX(0,MIN(1,R$131*1-Inputs!$C$66+1))/1</f>
        <v>3.18</v>
      </c>
      <c r="S239" s="114" t="n">
        <f aca="false">Inputs!$C$63*(1+Inputs!$C$65)^(S$132-1)*MAX(0,MIN(1,S$131*1-Inputs!$C$66+1))/1</f>
        <v>3.18</v>
      </c>
      <c r="T239" s="114" t="n">
        <f aca="false">Inputs!$C$63*(1+Inputs!$C$65)^(T$132-1)*MAX(0,MIN(1,T$131*1-Inputs!$C$66+1))/1</f>
        <v>3.18</v>
      </c>
      <c r="U239" s="114" t="n">
        <f aca="false">Inputs!$C$63*(1+Inputs!$C$65)^(U$132-1)*MAX(0,MIN(1,U$131*1-Inputs!$C$66+1))/1</f>
        <v>3.18</v>
      </c>
      <c r="V239" s="114" t="n">
        <f aca="false">Inputs!$C$63*(1+Inputs!$C$65)^(V$132-1)*MAX(0,MIN(1,V$131*1-Inputs!$C$66+1))/1</f>
        <v>3.18</v>
      </c>
      <c r="W239" s="114" t="n">
        <f aca="false">Inputs!$C$63*(1+Inputs!$C$65)^(W$132-1)*MAX(0,MIN(1,W$131*1-Inputs!$C$66+1))/1</f>
        <v>3.18</v>
      </c>
      <c r="X239" s="114" t="n">
        <f aca="false">Inputs!$C$63*(1+Inputs!$C$65)^(X$132-1)*MAX(0,MIN(1,X$131*1-Inputs!$C$66+1))/1</f>
        <v>3.18</v>
      </c>
      <c r="Y239" s="114" t="n">
        <f aca="false">Inputs!$C$63*(1+Inputs!$C$65)^(Y$132-1)*MAX(0,MIN(1,Y$131*1-Inputs!$C$66+1))/1</f>
        <v>3.18</v>
      </c>
      <c r="Z239" s="114" t="n">
        <f aca="false">Inputs!$C$63*(1+Inputs!$C$65)^(Z$132-1)*MAX(0,MIN(1,Z$131*1-Inputs!$C$66+1))/1</f>
        <v>3.18</v>
      </c>
      <c r="AA239" s="114" t="n">
        <f aca="false">Inputs!$C$63*(1+Inputs!$C$65)^(AA$132-1)*MAX(0,MIN(1,AA$131*1-Inputs!$C$66+1))/1</f>
        <v>3.3708</v>
      </c>
      <c r="AB239" s="114" t="n">
        <f aca="false">Inputs!$C$63*(1+Inputs!$C$65)^(AB$132-1)*MAX(0,MIN(1,AB$131*1-Inputs!$C$66+1))/1</f>
        <v>3.3708</v>
      </c>
      <c r="AC239" s="114" t="n">
        <f aca="false">Inputs!$C$63*(1+Inputs!$C$65)^(AC$132-1)*MAX(0,MIN(1,AC$131*1-Inputs!$C$66+1))/1</f>
        <v>3.3708</v>
      </c>
      <c r="AD239" s="114" t="n">
        <f aca="false">Inputs!$C$63*(1+Inputs!$C$65)^(AD$132-1)*MAX(0,MIN(1,AD$131*1-Inputs!$C$66+1))/1</f>
        <v>3.3708</v>
      </c>
      <c r="AE239" s="114" t="n">
        <f aca="false">Inputs!$C$63*(1+Inputs!$C$65)^(AE$132-1)*MAX(0,MIN(1,AE$131*1-Inputs!$C$66+1))/1</f>
        <v>3.3708</v>
      </c>
      <c r="AF239" s="114" t="n">
        <f aca="false">Inputs!$C$63*(1+Inputs!$C$65)^(AF$132-1)*MAX(0,MIN(1,AF$131*1-Inputs!$C$66+1))/1</f>
        <v>3.3708</v>
      </c>
      <c r="AG239" s="114" t="n">
        <f aca="false">Inputs!$C$63*(1+Inputs!$C$65)^(AG$132-1)*MAX(0,MIN(1,AG$131*1-Inputs!$C$66+1))/1</f>
        <v>3.3708</v>
      </c>
      <c r="AH239" s="114" t="n">
        <f aca="false">Inputs!$C$63*(1+Inputs!$C$65)^(AH$132-1)*MAX(0,MIN(1,AH$131*1-Inputs!$C$66+1))/1</f>
        <v>3.3708</v>
      </c>
      <c r="AI239" s="114" t="n">
        <f aca="false">Inputs!$C$63*(1+Inputs!$C$65)^(AI$132-1)*MAX(0,MIN(1,AI$131*1-Inputs!$C$66+1))/1</f>
        <v>3.3708</v>
      </c>
      <c r="AJ239" s="114" t="n">
        <f aca="false">Inputs!$C$63*(1+Inputs!$C$65)^(AJ$132-1)*MAX(0,MIN(1,AJ$131*1-Inputs!$C$66+1))/1</f>
        <v>3.3708</v>
      </c>
      <c r="AK239" s="114" t="n">
        <f aca="false">Inputs!$C$63*(1+Inputs!$C$65)^(AK$132-1)*MAX(0,MIN(1,AK$131*1-Inputs!$C$66+1))/1</f>
        <v>3.3708</v>
      </c>
      <c r="AL239" s="114" t="n">
        <f aca="false">Inputs!$C$63*(1+Inputs!$C$65)^(AL$132-1)*MAX(0,MIN(1,AL$131*1-Inputs!$C$66+1))/1</f>
        <v>3.3708</v>
      </c>
    </row>
    <row r="240" customFormat="false" ht="15" hidden="false" customHeight="false" outlineLevel="0" collapsed="false">
      <c r="A240" s="6" t="s">
        <v>460</v>
      </c>
      <c r="C240" s="114" t="n">
        <f aca="false">Inputs!$C$67*(1+Inputs!$C$69)^(C$132-1)*MAX(0,MIN(1,C$131*1-Inputs!$C$70+1))/1</f>
        <v>4.5</v>
      </c>
      <c r="D240" s="114" t="n">
        <f aca="false">Inputs!$C$67*(1+Inputs!$C$69)^(D$132-1)*MAX(0,MIN(1,D$131*1-Inputs!$C$70+1))/1</f>
        <v>4.5</v>
      </c>
      <c r="E240" s="114" t="n">
        <f aca="false">Inputs!$C$67*(1+Inputs!$C$69)^(E$132-1)*MAX(0,MIN(1,E$131*1-Inputs!$C$70+1))/1</f>
        <v>4.5</v>
      </c>
      <c r="F240" s="114" t="n">
        <f aca="false">Inputs!$C$67*(1+Inputs!$C$69)^(F$132-1)*MAX(0,MIN(1,F$131*1-Inputs!$C$70+1))/1</f>
        <v>4.5</v>
      </c>
      <c r="G240" s="114" t="n">
        <f aca="false">Inputs!$C$67*(1+Inputs!$C$69)^(G$132-1)*MAX(0,MIN(1,G$131*1-Inputs!$C$70+1))/1</f>
        <v>4.5</v>
      </c>
      <c r="H240" s="114" t="n">
        <f aca="false">Inputs!$C$67*(1+Inputs!$C$69)^(H$132-1)*MAX(0,MIN(1,H$131*1-Inputs!$C$70+1))/1</f>
        <v>4.5</v>
      </c>
      <c r="I240" s="114" t="n">
        <f aca="false">Inputs!$C$67*(1+Inputs!$C$69)^(I$132-1)*MAX(0,MIN(1,I$131*1-Inputs!$C$70+1))/1</f>
        <v>4.5</v>
      </c>
      <c r="J240" s="114" t="n">
        <f aca="false">Inputs!$C$67*(1+Inputs!$C$69)^(J$132-1)*MAX(0,MIN(1,J$131*1-Inputs!$C$70+1))/1</f>
        <v>4.5</v>
      </c>
      <c r="K240" s="114" t="n">
        <f aca="false">Inputs!$C$67*(1+Inputs!$C$69)^(K$132-1)*MAX(0,MIN(1,K$131*1-Inputs!$C$70+1))/1</f>
        <v>4.5</v>
      </c>
      <c r="L240" s="114" t="n">
        <f aca="false">Inputs!$C$67*(1+Inputs!$C$69)^(L$132-1)*MAX(0,MIN(1,L$131*1-Inputs!$C$70+1))/1</f>
        <v>4.5</v>
      </c>
      <c r="M240" s="114" t="n">
        <f aca="false">Inputs!$C$67*(1+Inputs!$C$69)^(M$132-1)*MAX(0,MIN(1,M$131*1-Inputs!$C$70+1))/1</f>
        <v>4.5</v>
      </c>
      <c r="N240" s="114" t="n">
        <f aca="false">Inputs!$C$67*(1+Inputs!$C$69)^(N$132-1)*MAX(0,MIN(1,N$131*1-Inputs!$C$70+1))/1</f>
        <v>4.5</v>
      </c>
      <c r="O240" s="114" t="n">
        <f aca="false">Inputs!$C$67*(1+Inputs!$C$69)^(O$132-1)*MAX(0,MIN(1,O$131*1-Inputs!$C$70+1))/1</f>
        <v>4.68</v>
      </c>
      <c r="P240" s="114" t="n">
        <f aca="false">Inputs!$C$67*(1+Inputs!$C$69)^(P$132-1)*MAX(0,MIN(1,P$131*1-Inputs!$C$70+1))/1</f>
        <v>4.68</v>
      </c>
      <c r="Q240" s="114" t="n">
        <f aca="false">Inputs!$C$67*(1+Inputs!$C$69)^(Q$132-1)*MAX(0,MIN(1,Q$131*1-Inputs!$C$70+1))/1</f>
        <v>4.68</v>
      </c>
      <c r="R240" s="114" t="n">
        <f aca="false">Inputs!$C$67*(1+Inputs!$C$69)^(R$132-1)*MAX(0,MIN(1,R$131*1-Inputs!$C$70+1))/1</f>
        <v>4.68</v>
      </c>
      <c r="S240" s="114" t="n">
        <f aca="false">Inputs!$C$67*(1+Inputs!$C$69)^(S$132-1)*MAX(0,MIN(1,S$131*1-Inputs!$C$70+1))/1</f>
        <v>4.68</v>
      </c>
      <c r="T240" s="114" t="n">
        <f aca="false">Inputs!$C$67*(1+Inputs!$C$69)^(T$132-1)*MAX(0,MIN(1,T$131*1-Inputs!$C$70+1))/1</f>
        <v>4.68</v>
      </c>
      <c r="U240" s="114" t="n">
        <f aca="false">Inputs!$C$67*(1+Inputs!$C$69)^(U$132-1)*MAX(0,MIN(1,U$131*1-Inputs!$C$70+1))/1</f>
        <v>4.68</v>
      </c>
      <c r="V240" s="114" t="n">
        <f aca="false">Inputs!$C$67*(1+Inputs!$C$69)^(V$132-1)*MAX(0,MIN(1,V$131*1-Inputs!$C$70+1))/1</f>
        <v>4.68</v>
      </c>
      <c r="W240" s="114" t="n">
        <f aca="false">Inputs!$C$67*(1+Inputs!$C$69)^(W$132-1)*MAX(0,MIN(1,W$131*1-Inputs!$C$70+1))/1</f>
        <v>4.68</v>
      </c>
      <c r="X240" s="114" t="n">
        <f aca="false">Inputs!$C$67*(1+Inputs!$C$69)^(X$132-1)*MAX(0,MIN(1,X$131*1-Inputs!$C$70+1))/1</f>
        <v>4.68</v>
      </c>
      <c r="Y240" s="114" t="n">
        <f aca="false">Inputs!$C$67*(1+Inputs!$C$69)^(Y$132-1)*MAX(0,MIN(1,Y$131*1-Inputs!$C$70+1))/1</f>
        <v>4.68</v>
      </c>
      <c r="Z240" s="114" t="n">
        <f aca="false">Inputs!$C$67*(1+Inputs!$C$69)^(Z$132-1)*MAX(0,MIN(1,Z$131*1-Inputs!$C$70+1))/1</f>
        <v>4.68</v>
      </c>
      <c r="AA240" s="114" t="n">
        <f aca="false">Inputs!$C$67*(1+Inputs!$C$69)^(AA$132-1)*MAX(0,MIN(1,AA$131*1-Inputs!$C$70+1))/1</f>
        <v>4.8672</v>
      </c>
      <c r="AB240" s="114" t="n">
        <f aca="false">Inputs!$C$67*(1+Inputs!$C$69)^(AB$132-1)*MAX(0,MIN(1,AB$131*1-Inputs!$C$70+1))/1</f>
        <v>4.8672</v>
      </c>
      <c r="AC240" s="114" t="n">
        <f aca="false">Inputs!$C$67*(1+Inputs!$C$69)^(AC$132-1)*MAX(0,MIN(1,AC$131*1-Inputs!$C$70+1))/1</f>
        <v>4.8672</v>
      </c>
      <c r="AD240" s="114" t="n">
        <f aca="false">Inputs!$C$67*(1+Inputs!$C$69)^(AD$132-1)*MAX(0,MIN(1,AD$131*1-Inputs!$C$70+1))/1</f>
        <v>4.8672</v>
      </c>
      <c r="AE240" s="114" t="n">
        <f aca="false">Inputs!$C$67*(1+Inputs!$C$69)^(AE$132-1)*MAX(0,MIN(1,AE$131*1-Inputs!$C$70+1))/1</f>
        <v>4.8672</v>
      </c>
      <c r="AF240" s="114" t="n">
        <f aca="false">Inputs!$C$67*(1+Inputs!$C$69)^(AF$132-1)*MAX(0,MIN(1,AF$131*1-Inputs!$C$70+1))/1</f>
        <v>4.8672</v>
      </c>
      <c r="AG240" s="114" t="n">
        <f aca="false">Inputs!$C$67*(1+Inputs!$C$69)^(AG$132-1)*MAX(0,MIN(1,AG$131*1-Inputs!$C$70+1))/1</f>
        <v>4.8672</v>
      </c>
      <c r="AH240" s="114" t="n">
        <f aca="false">Inputs!$C$67*(1+Inputs!$C$69)^(AH$132-1)*MAX(0,MIN(1,AH$131*1-Inputs!$C$70+1))/1</f>
        <v>4.8672</v>
      </c>
      <c r="AI240" s="114" t="n">
        <f aca="false">Inputs!$C$67*(1+Inputs!$C$69)^(AI$132-1)*MAX(0,MIN(1,AI$131*1-Inputs!$C$70+1))/1</f>
        <v>4.8672</v>
      </c>
      <c r="AJ240" s="114" t="n">
        <f aca="false">Inputs!$C$67*(1+Inputs!$C$69)^(AJ$132-1)*MAX(0,MIN(1,AJ$131*1-Inputs!$C$70+1))/1</f>
        <v>4.8672</v>
      </c>
      <c r="AK240" s="114" t="n">
        <f aca="false">Inputs!$C$67*(1+Inputs!$C$69)^(AK$132-1)*MAX(0,MIN(1,AK$131*1-Inputs!$C$70+1))/1</f>
        <v>4.8672</v>
      </c>
      <c r="AL240" s="114" t="n">
        <f aca="false">Inputs!$C$67*(1+Inputs!$C$69)^(AL$132-1)*MAX(0,MIN(1,AL$131*1-Inputs!$C$70+1))/1</f>
        <v>4.8672</v>
      </c>
    </row>
    <row r="241" customFormat="false" ht="15" hidden="false" customHeight="false" outlineLevel="0" collapsed="false">
      <c r="A241" s="6" t="s">
        <v>461</v>
      </c>
      <c r="C241" s="114" t="n">
        <f aca="false">Inputs!$C$71*(1+Inputs!$C$73)^(C$132-1)*MAX(0,MIN(1,C$131*1-Inputs!$C$74+1))/1</f>
        <v>3</v>
      </c>
      <c r="D241" s="114" t="n">
        <f aca="false">Inputs!$C$71*(1+Inputs!$C$73)^(D$132-1)*MAX(0,MIN(1,D$131*1-Inputs!$C$74+1))/1</f>
        <v>3</v>
      </c>
      <c r="E241" s="114" t="n">
        <f aca="false">Inputs!$C$71*(1+Inputs!$C$73)^(E$132-1)*MAX(0,MIN(1,E$131*1-Inputs!$C$74+1))/1</f>
        <v>3</v>
      </c>
      <c r="F241" s="114" t="n">
        <f aca="false">Inputs!$C$71*(1+Inputs!$C$73)^(F$132-1)*MAX(0,MIN(1,F$131*1-Inputs!$C$74+1))/1</f>
        <v>3</v>
      </c>
      <c r="G241" s="114" t="n">
        <f aca="false">Inputs!$C$71*(1+Inputs!$C$73)^(G$132-1)*MAX(0,MIN(1,G$131*1-Inputs!$C$74+1))/1</f>
        <v>3</v>
      </c>
      <c r="H241" s="114" t="n">
        <f aca="false">Inputs!$C$71*(1+Inputs!$C$73)^(H$132-1)*MAX(0,MIN(1,H$131*1-Inputs!$C$74+1))/1</f>
        <v>3</v>
      </c>
      <c r="I241" s="114" t="n">
        <f aca="false">Inputs!$C$71*(1+Inputs!$C$73)^(I$132-1)*MAX(0,MIN(1,I$131*1-Inputs!$C$74+1))/1</f>
        <v>3</v>
      </c>
      <c r="J241" s="114" t="n">
        <f aca="false">Inputs!$C$71*(1+Inputs!$C$73)^(J$132-1)*MAX(0,MIN(1,J$131*1-Inputs!$C$74+1))/1</f>
        <v>3</v>
      </c>
      <c r="K241" s="114" t="n">
        <f aca="false">Inputs!$C$71*(1+Inputs!$C$73)^(K$132-1)*MAX(0,MIN(1,K$131*1-Inputs!$C$74+1))/1</f>
        <v>3</v>
      </c>
      <c r="L241" s="114" t="n">
        <f aca="false">Inputs!$C$71*(1+Inputs!$C$73)^(L$132-1)*MAX(0,MIN(1,L$131*1-Inputs!$C$74+1))/1</f>
        <v>3</v>
      </c>
      <c r="M241" s="114" t="n">
        <f aca="false">Inputs!$C$71*(1+Inputs!$C$73)^(M$132-1)*MAX(0,MIN(1,M$131*1-Inputs!$C$74+1))/1</f>
        <v>3</v>
      </c>
      <c r="N241" s="114" t="n">
        <f aca="false">Inputs!$C$71*(1+Inputs!$C$73)^(N$132-1)*MAX(0,MIN(1,N$131*1-Inputs!$C$74+1))/1</f>
        <v>3</v>
      </c>
      <c r="O241" s="114" t="n">
        <f aca="false">Inputs!$C$71*(1+Inputs!$C$73)^(O$132-1)*MAX(0,MIN(1,O$131*1-Inputs!$C$74+1))/1</f>
        <v>3.12</v>
      </c>
      <c r="P241" s="114" t="n">
        <f aca="false">Inputs!$C$71*(1+Inputs!$C$73)^(P$132-1)*MAX(0,MIN(1,P$131*1-Inputs!$C$74+1))/1</f>
        <v>3.12</v>
      </c>
      <c r="Q241" s="114" t="n">
        <f aca="false">Inputs!$C$71*(1+Inputs!$C$73)^(Q$132-1)*MAX(0,MIN(1,Q$131*1-Inputs!$C$74+1))/1</f>
        <v>3.12</v>
      </c>
      <c r="R241" s="114" t="n">
        <f aca="false">Inputs!$C$71*(1+Inputs!$C$73)^(R$132-1)*MAX(0,MIN(1,R$131*1-Inputs!$C$74+1))/1</f>
        <v>3.12</v>
      </c>
      <c r="S241" s="114" t="n">
        <f aca="false">Inputs!$C$71*(1+Inputs!$C$73)^(S$132-1)*MAX(0,MIN(1,S$131*1-Inputs!$C$74+1))/1</f>
        <v>3.12</v>
      </c>
      <c r="T241" s="114" t="n">
        <f aca="false">Inputs!$C$71*(1+Inputs!$C$73)^(T$132-1)*MAX(0,MIN(1,T$131*1-Inputs!$C$74+1))/1</f>
        <v>3.12</v>
      </c>
      <c r="U241" s="114" t="n">
        <f aca="false">Inputs!$C$71*(1+Inputs!$C$73)^(U$132-1)*MAX(0,MIN(1,U$131*1-Inputs!$C$74+1))/1</f>
        <v>3.12</v>
      </c>
      <c r="V241" s="114" t="n">
        <f aca="false">Inputs!$C$71*(1+Inputs!$C$73)^(V$132-1)*MAX(0,MIN(1,V$131*1-Inputs!$C$74+1))/1</f>
        <v>3.12</v>
      </c>
      <c r="W241" s="114" t="n">
        <f aca="false">Inputs!$C$71*(1+Inputs!$C$73)^(W$132-1)*MAX(0,MIN(1,W$131*1-Inputs!$C$74+1))/1</f>
        <v>3.12</v>
      </c>
      <c r="X241" s="114" t="n">
        <f aca="false">Inputs!$C$71*(1+Inputs!$C$73)^(X$132-1)*MAX(0,MIN(1,X$131*1-Inputs!$C$74+1))/1</f>
        <v>3.12</v>
      </c>
      <c r="Y241" s="114" t="n">
        <f aca="false">Inputs!$C$71*(1+Inputs!$C$73)^(Y$132-1)*MAX(0,MIN(1,Y$131*1-Inputs!$C$74+1))/1</f>
        <v>3.12</v>
      </c>
      <c r="Z241" s="114" t="n">
        <f aca="false">Inputs!$C$71*(1+Inputs!$C$73)^(Z$132-1)*MAX(0,MIN(1,Z$131*1-Inputs!$C$74+1))/1</f>
        <v>3.12</v>
      </c>
      <c r="AA241" s="114" t="n">
        <f aca="false">Inputs!$C$71*(1+Inputs!$C$73)^(AA$132-1)*MAX(0,MIN(1,AA$131*1-Inputs!$C$74+1))/1</f>
        <v>3.2448</v>
      </c>
      <c r="AB241" s="114" t="n">
        <f aca="false">Inputs!$C$71*(1+Inputs!$C$73)^(AB$132-1)*MAX(0,MIN(1,AB$131*1-Inputs!$C$74+1))/1</f>
        <v>3.2448</v>
      </c>
      <c r="AC241" s="114" t="n">
        <f aca="false">Inputs!$C$71*(1+Inputs!$C$73)^(AC$132-1)*MAX(0,MIN(1,AC$131*1-Inputs!$C$74+1))/1</f>
        <v>3.2448</v>
      </c>
      <c r="AD241" s="114" t="n">
        <f aca="false">Inputs!$C$71*(1+Inputs!$C$73)^(AD$132-1)*MAX(0,MIN(1,AD$131*1-Inputs!$C$74+1))/1</f>
        <v>3.2448</v>
      </c>
      <c r="AE241" s="114" t="n">
        <f aca="false">Inputs!$C$71*(1+Inputs!$C$73)^(AE$132-1)*MAX(0,MIN(1,AE$131*1-Inputs!$C$74+1))/1</f>
        <v>3.2448</v>
      </c>
      <c r="AF241" s="114" t="n">
        <f aca="false">Inputs!$C$71*(1+Inputs!$C$73)^(AF$132-1)*MAX(0,MIN(1,AF$131*1-Inputs!$C$74+1))/1</f>
        <v>3.2448</v>
      </c>
      <c r="AG241" s="114" t="n">
        <f aca="false">Inputs!$C$71*(1+Inputs!$C$73)^(AG$132-1)*MAX(0,MIN(1,AG$131*1-Inputs!$C$74+1))/1</f>
        <v>3.2448</v>
      </c>
      <c r="AH241" s="114" t="n">
        <f aca="false">Inputs!$C$71*(1+Inputs!$C$73)^(AH$132-1)*MAX(0,MIN(1,AH$131*1-Inputs!$C$74+1))/1</f>
        <v>3.2448</v>
      </c>
      <c r="AI241" s="114" t="n">
        <f aca="false">Inputs!$C$71*(1+Inputs!$C$73)^(AI$132-1)*MAX(0,MIN(1,AI$131*1-Inputs!$C$74+1))/1</f>
        <v>3.2448</v>
      </c>
      <c r="AJ241" s="114" t="n">
        <f aca="false">Inputs!$C$71*(1+Inputs!$C$73)^(AJ$132-1)*MAX(0,MIN(1,AJ$131*1-Inputs!$C$74+1))/1</f>
        <v>3.2448</v>
      </c>
      <c r="AK241" s="114" t="n">
        <f aca="false">Inputs!$C$71*(1+Inputs!$C$73)^(AK$132-1)*MAX(0,MIN(1,AK$131*1-Inputs!$C$74+1))/1</f>
        <v>3.2448</v>
      </c>
      <c r="AL241" s="114" t="n">
        <f aca="false">Inputs!$C$71*(1+Inputs!$C$73)^(AL$132-1)*MAX(0,MIN(1,AL$131*1-Inputs!$C$74+1))/1</f>
        <v>3.2448</v>
      </c>
    </row>
    <row r="242" customFormat="false" ht="15" hidden="false" customHeight="false" outlineLevel="0" collapsed="false">
      <c r="A242" s="6" t="s">
        <v>462</v>
      </c>
      <c r="C242" s="114" t="n">
        <f aca="false">Inputs!$C$75*(1+Inputs!$C$77)^(C$132-1)*MAX(0,MIN(1,C$131*1-Inputs!$C$78+1))/1</f>
        <v>1</v>
      </c>
      <c r="D242" s="114" t="n">
        <f aca="false">Inputs!$C$75*(1+Inputs!$C$77)^(D$132-1)*MAX(0,MIN(1,D$131*1-Inputs!$C$78+1))/1</f>
        <v>1</v>
      </c>
      <c r="E242" s="114" t="n">
        <f aca="false">Inputs!$C$75*(1+Inputs!$C$77)^(E$132-1)*MAX(0,MIN(1,E$131*1-Inputs!$C$78+1))/1</f>
        <v>1</v>
      </c>
      <c r="F242" s="114" t="n">
        <f aca="false">Inputs!$C$75*(1+Inputs!$C$77)^(F$132-1)*MAX(0,MIN(1,F$131*1-Inputs!$C$78+1))/1</f>
        <v>1</v>
      </c>
      <c r="G242" s="114" t="n">
        <f aca="false">Inputs!$C$75*(1+Inputs!$C$77)^(G$132-1)*MAX(0,MIN(1,G$131*1-Inputs!$C$78+1))/1</f>
        <v>1</v>
      </c>
      <c r="H242" s="114" t="n">
        <f aca="false">Inputs!$C$75*(1+Inputs!$C$77)^(H$132-1)*MAX(0,MIN(1,H$131*1-Inputs!$C$78+1))/1</f>
        <v>1</v>
      </c>
      <c r="I242" s="114" t="n">
        <f aca="false">Inputs!$C$75*(1+Inputs!$C$77)^(I$132-1)*MAX(0,MIN(1,I$131*1-Inputs!$C$78+1))/1</f>
        <v>1</v>
      </c>
      <c r="J242" s="114" t="n">
        <f aca="false">Inputs!$C$75*(1+Inputs!$C$77)^(J$132-1)*MAX(0,MIN(1,J$131*1-Inputs!$C$78+1))/1</f>
        <v>1</v>
      </c>
      <c r="K242" s="114" t="n">
        <f aca="false">Inputs!$C$75*(1+Inputs!$C$77)^(K$132-1)*MAX(0,MIN(1,K$131*1-Inputs!$C$78+1))/1</f>
        <v>1</v>
      </c>
      <c r="L242" s="114" t="n">
        <f aca="false">Inputs!$C$75*(1+Inputs!$C$77)^(L$132-1)*MAX(0,MIN(1,L$131*1-Inputs!$C$78+1))/1</f>
        <v>1</v>
      </c>
      <c r="M242" s="114" t="n">
        <f aca="false">Inputs!$C$75*(1+Inputs!$C$77)^(M$132-1)*MAX(0,MIN(1,M$131*1-Inputs!$C$78+1))/1</f>
        <v>1</v>
      </c>
      <c r="N242" s="114" t="n">
        <f aca="false">Inputs!$C$75*(1+Inputs!$C$77)^(N$132-1)*MAX(0,MIN(1,N$131*1-Inputs!$C$78+1))/1</f>
        <v>1</v>
      </c>
      <c r="O242" s="114" t="n">
        <f aca="false">Inputs!$C$75*(1+Inputs!$C$77)^(O$132-1)*MAX(0,MIN(1,O$131*1-Inputs!$C$78+1))/1</f>
        <v>1</v>
      </c>
      <c r="P242" s="114" t="n">
        <f aca="false">Inputs!$C$75*(1+Inputs!$C$77)^(P$132-1)*MAX(0,MIN(1,P$131*1-Inputs!$C$78+1))/1</f>
        <v>1</v>
      </c>
      <c r="Q242" s="114" t="n">
        <f aca="false">Inputs!$C$75*(1+Inputs!$C$77)^(Q$132-1)*MAX(0,MIN(1,Q$131*1-Inputs!$C$78+1))/1</f>
        <v>1</v>
      </c>
      <c r="R242" s="114" t="n">
        <f aca="false">Inputs!$C$75*(1+Inputs!$C$77)^(R$132-1)*MAX(0,MIN(1,R$131*1-Inputs!$C$78+1))/1</f>
        <v>1</v>
      </c>
      <c r="S242" s="114" t="n">
        <f aca="false">Inputs!$C$75*(1+Inputs!$C$77)^(S$132-1)*MAX(0,MIN(1,S$131*1-Inputs!$C$78+1))/1</f>
        <v>1</v>
      </c>
      <c r="T242" s="114" t="n">
        <f aca="false">Inputs!$C$75*(1+Inputs!$C$77)^(T$132-1)*MAX(0,MIN(1,T$131*1-Inputs!$C$78+1))/1</f>
        <v>1</v>
      </c>
      <c r="U242" s="114" t="n">
        <f aca="false">Inputs!$C$75*(1+Inputs!$C$77)^(U$132-1)*MAX(0,MIN(1,U$131*1-Inputs!$C$78+1))/1</f>
        <v>1</v>
      </c>
      <c r="V242" s="114" t="n">
        <f aca="false">Inputs!$C$75*(1+Inputs!$C$77)^(V$132-1)*MAX(0,MIN(1,V$131*1-Inputs!$C$78+1))/1</f>
        <v>1</v>
      </c>
      <c r="W242" s="114" t="n">
        <f aca="false">Inputs!$C$75*(1+Inputs!$C$77)^(W$132-1)*MAX(0,MIN(1,W$131*1-Inputs!$C$78+1))/1</f>
        <v>1</v>
      </c>
      <c r="X242" s="114" t="n">
        <f aca="false">Inputs!$C$75*(1+Inputs!$C$77)^(X$132-1)*MAX(0,MIN(1,X$131*1-Inputs!$C$78+1))/1</f>
        <v>1</v>
      </c>
      <c r="Y242" s="114" t="n">
        <f aca="false">Inputs!$C$75*(1+Inputs!$C$77)^(Y$132-1)*MAX(0,MIN(1,Y$131*1-Inputs!$C$78+1))/1</f>
        <v>1</v>
      </c>
      <c r="Z242" s="114" t="n">
        <f aca="false">Inputs!$C$75*(1+Inputs!$C$77)^(Z$132-1)*MAX(0,MIN(1,Z$131*1-Inputs!$C$78+1))/1</f>
        <v>1</v>
      </c>
      <c r="AA242" s="114" t="n">
        <f aca="false">Inputs!$C$75*(1+Inputs!$C$77)^(AA$132-1)*MAX(0,MIN(1,AA$131*1-Inputs!$C$78+1))/1</f>
        <v>1</v>
      </c>
      <c r="AB242" s="114" t="n">
        <f aca="false">Inputs!$C$75*(1+Inputs!$C$77)^(AB$132-1)*MAX(0,MIN(1,AB$131*1-Inputs!$C$78+1))/1</f>
        <v>1</v>
      </c>
      <c r="AC242" s="114" t="n">
        <f aca="false">Inputs!$C$75*(1+Inputs!$C$77)^(AC$132-1)*MAX(0,MIN(1,AC$131*1-Inputs!$C$78+1))/1</f>
        <v>1</v>
      </c>
      <c r="AD242" s="114" t="n">
        <f aca="false">Inputs!$C$75*(1+Inputs!$C$77)^(AD$132-1)*MAX(0,MIN(1,AD$131*1-Inputs!$C$78+1))/1</f>
        <v>1</v>
      </c>
      <c r="AE242" s="114" t="n">
        <f aca="false">Inputs!$C$75*(1+Inputs!$C$77)^(AE$132-1)*MAX(0,MIN(1,AE$131*1-Inputs!$C$78+1))/1</f>
        <v>1</v>
      </c>
      <c r="AF242" s="114" t="n">
        <f aca="false">Inputs!$C$75*(1+Inputs!$C$77)^(AF$132-1)*MAX(0,MIN(1,AF$131*1-Inputs!$C$78+1))/1</f>
        <v>1</v>
      </c>
      <c r="AG242" s="114" t="n">
        <f aca="false">Inputs!$C$75*(1+Inputs!$C$77)^(AG$132-1)*MAX(0,MIN(1,AG$131*1-Inputs!$C$78+1))/1</f>
        <v>1</v>
      </c>
      <c r="AH242" s="114" t="n">
        <f aca="false">Inputs!$C$75*(1+Inputs!$C$77)^(AH$132-1)*MAX(0,MIN(1,AH$131*1-Inputs!$C$78+1))/1</f>
        <v>1</v>
      </c>
      <c r="AI242" s="114" t="n">
        <f aca="false">Inputs!$C$75*(1+Inputs!$C$77)^(AI$132-1)*MAX(0,MIN(1,AI$131*1-Inputs!$C$78+1))/1</f>
        <v>1</v>
      </c>
      <c r="AJ242" s="114" t="n">
        <f aca="false">Inputs!$C$75*(1+Inputs!$C$77)^(AJ$132-1)*MAX(0,MIN(1,AJ$131*1-Inputs!$C$78+1))/1</f>
        <v>1</v>
      </c>
      <c r="AK242" s="114" t="n">
        <f aca="false">Inputs!$C$75*(1+Inputs!$C$77)^(AK$132-1)*MAX(0,MIN(1,AK$131*1-Inputs!$C$78+1))/1</f>
        <v>1</v>
      </c>
      <c r="AL242" s="114" t="n">
        <f aca="false">Inputs!$C$75*(1+Inputs!$C$77)^(AL$132-1)*MAX(0,MIN(1,AL$131*1-Inputs!$C$78+1))/1</f>
        <v>1</v>
      </c>
    </row>
    <row r="243" customFormat="false" ht="15" hidden="false" customHeight="false" outlineLevel="0" collapsed="false">
      <c r="A243" s="111" t="s">
        <v>463</v>
      </c>
      <c r="C243" s="120" t="n">
        <f aca="false">C238+C239+C240+C241+C242</f>
        <v>12.5</v>
      </c>
      <c r="D243" s="120" t="n">
        <f aca="false">D238+D239+D240+D241+D242</f>
        <v>12.5</v>
      </c>
      <c r="E243" s="120" t="n">
        <f aca="false">E238+E239+E240+E241+E242</f>
        <v>12.5</v>
      </c>
      <c r="F243" s="120" t="n">
        <f aca="false">F238+F239+F240+F241+F242</f>
        <v>12.5</v>
      </c>
      <c r="G243" s="120" t="n">
        <f aca="false">G238+G239+G240+G241+G242</f>
        <v>12.5</v>
      </c>
      <c r="H243" s="120" t="n">
        <f aca="false">H238+H239+H240+H241+H242</f>
        <v>12.5</v>
      </c>
      <c r="I243" s="120" t="n">
        <f aca="false">I238+I239+I240+I241+I242</f>
        <v>12.5</v>
      </c>
      <c r="J243" s="120" t="n">
        <f aca="false">J238+J239+J240+J241+J242</f>
        <v>12.5</v>
      </c>
      <c r="K243" s="120" t="n">
        <f aca="false">K238+K239+K240+K241+K242</f>
        <v>12.5</v>
      </c>
      <c r="L243" s="120" t="n">
        <f aca="false">L238+L239+L240+L241+L242</f>
        <v>12.5</v>
      </c>
      <c r="M243" s="120" t="n">
        <f aca="false">M238+M239+M240+M241+M242</f>
        <v>12.5</v>
      </c>
      <c r="N243" s="120" t="n">
        <f aca="false">N238+N239+N240+N241+N242</f>
        <v>12.5</v>
      </c>
      <c r="O243" s="120" t="n">
        <f aca="false">O238+O239+O240+O241+O242</f>
        <v>12.98</v>
      </c>
      <c r="P243" s="120" t="n">
        <f aca="false">P238+P239+P240+P241+P242</f>
        <v>12.98</v>
      </c>
      <c r="Q243" s="120" t="n">
        <f aca="false">Q238+Q239+Q240+Q241+Q242</f>
        <v>12.98</v>
      </c>
      <c r="R243" s="120" t="n">
        <f aca="false">R238+R239+R240+R241+R242</f>
        <v>12.98</v>
      </c>
      <c r="S243" s="120" t="n">
        <f aca="false">S238+S239+S240+S241+S242</f>
        <v>12.98</v>
      </c>
      <c r="T243" s="120" t="n">
        <f aca="false">T238+T239+T240+T241+T242</f>
        <v>12.98</v>
      </c>
      <c r="U243" s="120" t="n">
        <f aca="false">U238+U239+U240+U241+U242</f>
        <v>12.98</v>
      </c>
      <c r="V243" s="120" t="n">
        <f aca="false">V238+V239+V240+V241+V242</f>
        <v>12.98</v>
      </c>
      <c r="W243" s="120" t="n">
        <f aca="false">W238+W239+W240+W241+W242</f>
        <v>12.98</v>
      </c>
      <c r="X243" s="120" t="n">
        <f aca="false">X238+X239+X240+X241+X242</f>
        <v>12.98</v>
      </c>
      <c r="Y243" s="120" t="n">
        <f aca="false">Y238+Y239+Y240+Y241+Y242</f>
        <v>12.98</v>
      </c>
      <c r="Z243" s="120" t="n">
        <f aca="false">Z238+Z239+Z240+Z241+Z242</f>
        <v>12.98</v>
      </c>
      <c r="AA243" s="120" t="n">
        <f aca="false">AA238+AA239+AA240+AA241+AA242</f>
        <v>13.4828</v>
      </c>
      <c r="AB243" s="120" t="n">
        <f aca="false">AB238+AB239+AB240+AB241+AB242</f>
        <v>13.4828</v>
      </c>
      <c r="AC243" s="120" t="n">
        <f aca="false">AC238+AC239+AC240+AC241+AC242</f>
        <v>13.4828</v>
      </c>
      <c r="AD243" s="120" t="n">
        <f aca="false">AD238+AD239+AD240+AD241+AD242</f>
        <v>13.4828</v>
      </c>
      <c r="AE243" s="120" t="n">
        <f aca="false">AE238+AE239+AE240+AE241+AE242</f>
        <v>13.4828</v>
      </c>
      <c r="AF243" s="120" t="n">
        <f aca="false">AF238+AF239+AF240+AF241+AF242</f>
        <v>13.4828</v>
      </c>
      <c r="AG243" s="120" t="n">
        <f aca="false">AG238+AG239+AG240+AG241+AG242</f>
        <v>13.4828</v>
      </c>
      <c r="AH243" s="120" t="n">
        <f aca="false">AH238+AH239+AH240+AH241+AH242</f>
        <v>13.4828</v>
      </c>
      <c r="AI243" s="120" t="n">
        <f aca="false">AI238+AI239+AI240+AI241+AI242</f>
        <v>13.4828</v>
      </c>
      <c r="AJ243" s="120" t="n">
        <f aca="false">AJ238+AJ239+AJ240+AJ241+AJ242</f>
        <v>13.4828</v>
      </c>
      <c r="AK243" s="120" t="n">
        <f aca="false">AK238+AK239+AK240+AK241+AK242</f>
        <v>13.4828</v>
      </c>
      <c r="AL243" s="120" t="n">
        <f aca="false">AL238+AL239+AL240+AL241+AL242</f>
        <v>13.4828</v>
      </c>
    </row>
    <row r="245" customFormat="false" ht="15.75" hidden="false" customHeight="true" outlineLevel="0" collapsed="false">
      <c r="A245" s="7" t="s">
        <v>464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customFormat="false" ht="15" hidden="false" customHeight="false" outlineLevel="0" collapsed="false">
      <c r="A246" s="6" t="s">
        <v>465</v>
      </c>
      <c r="C246" s="67" t="n">
        <f aca="false">-C238*Inputs!$C$60/12*1*(1+Inputs!$C$79)*(1+Inputs!$C$80)^(C$132-1)</f>
        <v>-16500</v>
      </c>
      <c r="D246" s="67" t="n">
        <f aca="false">-D238*Inputs!$C$60/12*1*(1+Inputs!$C$79)*(1+Inputs!$C$80)^(D$132-1)</f>
        <v>-16500</v>
      </c>
      <c r="E246" s="67" t="n">
        <f aca="false">-E238*Inputs!$C$60/12*1*(1+Inputs!$C$79)*(1+Inputs!$C$80)^(E$132-1)</f>
        <v>-16500</v>
      </c>
      <c r="F246" s="67" t="n">
        <f aca="false">-F238*Inputs!$C$60/12*1*(1+Inputs!$C$79)*(1+Inputs!$C$80)^(F$132-1)</f>
        <v>-16500</v>
      </c>
      <c r="G246" s="67" t="n">
        <f aca="false">-G238*Inputs!$C$60/12*1*(1+Inputs!$C$79)*(1+Inputs!$C$80)^(G$132-1)</f>
        <v>-16500</v>
      </c>
      <c r="H246" s="67" t="n">
        <f aca="false">-H238*Inputs!$C$60/12*1*(1+Inputs!$C$79)*(1+Inputs!$C$80)^(H$132-1)</f>
        <v>-16500</v>
      </c>
      <c r="I246" s="67" t="n">
        <f aca="false">-I238*Inputs!$C$60/12*1*(1+Inputs!$C$79)*(1+Inputs!$C$80)^(I$132-1)</f>
        <v>-16500</v>
      </c>
      <c r="J246" s="67" t="n">
        <f aca="false">-J238*Inputs!$C$60/12*1*(1+Inputs!$C$79)*(1+Inputs!$C$80)^(J$132-1)</f>
        <v>-16500</v>
      </c>
      <c r="K246" s="67" t="n">
        <f aca="false">-K238*Inputs!$C$60/12*1*(1+Inputs!$C$79)*(1+Inputs!$C$80)^(K$132-1)</f>
        <v>-16500</v>
      </c>
      <c r="L246" s="67" t="n">
        <f aca="false">-L238*Inputs!$C$60/12*1*(1+Inputs!$C$79)*(1+Inputs!$C$80)^(L$132-1)</f>
        <v>-16500</v>
      </c>
      <c r="M246" s="67" t="n">
        <f aca="false">-M238*Inputs!$C$60/12*1*(1+Inputs!$C$79)*(1+Inputs!$C$80)^(M$132-1)</f>
        <v>-16500</v>
      </c>
      <c r="N246" s="67" t="n">
        <f aca="false">-N238*Inputs!$C$60/12*1*(1+Inputs!$C$79)*(1+Inputs!$C$80)^(N$132-1)</f>
        <v>-16500</v>
      </c>
      <c r="O246" s="67" t="n">
        <f aca="false">-O238*Inputs!$C$60/12*1*(1+Inputs!$C$79)*(1+Inputs!$C$80)^(O$132-1)</f>
        <v>-16995</v>
      </c>
      <c r="P246" s="67" t="n">
        <f aca="false">-P238*Inputs!$C$60/12*1*(1+Inputs!$C$79)*(1+Inputs!$C$80)^(P$132-1)</f>
        <v>-16995</v>
      </c>
      <c r="Q246" s="67" t="n">
        <f aca="false">-Q238*Inputs!$C$60/12*1*(1+Inputs!$C$79)*(1+Inputs!$C$80)^(Q$132-1)</f>
        <v>-16995</v>
      </c>
      <c r="R246" s="67" t="n">
        <f aca="false">-R238*Inputs!$C$60/12*1*(1+Inputs!$C$79)*(1+Inputs!$C$80)^(R$132-1)</f>
        <v>-16995</v>
      </c>
      <c r="S246" s="67" t="n">
        <f aca="false">-S238*Inputs!$C$60/12*1*(1+Inputs!$C$79)*(1+Inputs!$C$80)^(S$132-1)</f>
        <v>-16995</v>
      </c>
      <c r="T246" s="67" t="n">
        <f aca="false">-T238*Inputs!$C$60/12*1*(1+Inputs!$C$79)*(1+Inputs!$C$80)^(T$132-1)</f>
        <v>-16995</v>
      </c>
      <c r="U246" s="67" t="n">
        <f aca="false">-U238*Inputs!$C$60/12*1*(1+Inputs!$C$79)*(1+Inputs!$C$80)^(U$132-1)</f>
        <v>-16995</v>
      </c>
      <c r="V246" s="67" t="n">
        <f aca="false">-V238*Inputs!$C$60/12*1*(1+Inputs!$C$79)*(1+Inputs!$C$80)^(V$132-1)</f>
        <v>-16995</v>
      </c>
      <c r="W246" s="67" t="n">
        <f aca="false">-W238*Inputs!$C$60/12*1*(1+Inputs!$C$79)*(1+Inputs!$C$80)^(W$132-1)</f>
        <v>-16995</v>
      </c>
      <c r="X246" s="67" t="n">
        <f aca="false">-X238*Inputs!$C$60/12*1*(1+Inputs!$C$79)*(1+Inputs!$C$80)^(X$132-1)</f>
        <v>-16995</v>
      </c>
      <c r="Y246" s="67" t="n">
        <f aca="false">-Y238*Inputs!$C$60/12*1*(1+Inputs!$C$79)*(1+Inputs!$C$80)^(Y$132-1)</f>
        <v>-16995</v>
      </c>
      <c r="Z246" s="67" t="n">
        <f aca="false">-Z238*Inputs!$C$60/12*1*(1+Inputs!$C$79)*(1+Inputs!$C$80)^(Z$132-1)</f>
        <v>-16995</v>
      </c>
      <c r="AA246" s="67" t="n">
        <f aca="false">-AA238*Inputs!$C$60/12*1*(1+Inputs!$C$79)*(1+Inputs!$C$80)^(AA$132-1)</f>
        <v>-17504.85</v>
      </c>
      <c r="AB246" s="67" t="n">
        <f aca="false">-AB238*Inputs!$C$60/12*1*(1+Inputs!$C$79)*(1+Inputs!$C$80)^(AB$132-1)</f>
        <v>-17504.85</v>
      </c>
      <c r="AC246" s="67" t="n">
        <f aca="false">-AC238*Inputs!$C$60/12*1*(1+Inputs!$C$79)*(1+Inputs!$C$80)^(AC$132-1)</f>
        <v>-17504.85</v>
      </c>
      <c r="AD246" s="67" t="n">
        <f aca="false">-AD238*Inputs!$C$60/12*1*(1+Inputs!$C$79)*(1+Inputs!$C$80)^(AD$132-1)</f>
        <v>-17504.85</v>
      </c>
      <c r="AE246" s="67" t="n">
        <f aca="false">-AE238*Inputs!$C$60/12*1*(1+Inputs!$C$79)*(1+Inputs!$C$80)^(AE$132-1)</f>
        <v>-17504.85</v>
      </c>
      <c r="AF246" s="67" t="n">
        <f aca="false">-AF238*Inputs!$C$60/12*1*(1+Inputs!$C$79)*(1+Inputs!$C$80)^(AF$132-1)</f>
        <v>-17504.85</v>
      </c>
      <c r="AG246" s="67" t="n">
        <f aca="false">-AG238*Inputs!$C$60/12*1*(1+Inputs!$C$79)*(1+Inputs!$C$80)^(AG$132-1)</f>
        <v>-17504.85</v>
      </c>
      <c r="AH246" s="67" t="n">
        <f aca="false">-AH238*Inputs!$C$60/12*1*(1+Inputs!$C$79)*(1+Inputs!$C$80)^(AH$132-1)</f>
        <v>-17504.85</v>
      </c>
      <c r="AI246" s="67" t="n">
        <f aca="false">-AI238*Inputs!$C$60/12*1*(1+Inputs!$C$79)*(1+Inputs!$C$80)^(AI$132-1)</f>
        <v>-17504.85</v>
      </c>
      <c r="AJ246" s="67" t="n">
        <f aca="false">-AJ238*Inputs!$C$60/12*1*(1+Inputs!$C$79)*(1+Inputs!$C$80)^(AJ$132-1)</f>
        <v>-17504.85</v>
      </c>
      <c r="AK246" s="67" t="n">
        <f aca="false">-AK238*Inputs!$C$60/12*1*(1+Inputs!$C$79)*(1+Inputs!$C$80)^(AK$132-1)</f>
        <v>-17504.85</v>
      </c>
      <c r="AL246" s="67" t="n">
        <f aca="false">-AL238*Inputs!$C$60/12*1*(1+Inputs!$C$79)*(1+Inputs!$C$80)^(AL$132-1)</f>
        <v>-17504.85</v>
      </c>
    </row>
    <row r="247" customFormat="false" ht="15" hidden="false" customHeight="false" outlineLevel="0" collapsed="false">
      <c r="A247" s="6" t="s">
        <v>466</v>
      </c>
      <c r="C247" s="67" t="n">
        <f aca="false">-C239*Inputs!$C$64/12*1*(1+Inputs!$C$79)*(1+Inputs!$C$80)^(C$132-1)</f>
        <v>-26400</v>
      </c>
      <c r="D247" s="67" t="n">
        <f aca="false">-D239*Inputs!$C$64/12*1*(1+Inputs!$C$79)*(1+Inputs!$C$80)^(D$132-1)</f>
        <v>-26400</v>
      </c>
      <c r="E247" s="67" t="n">
        <f aca="false">-E239*Inputs!$C$64/12*1*(1+Inputs!$C$79)*(1+Inputs!$C$80)^(E$132-1)</f>
        <v>-26400</v>
      </c>
      <c r="F247" s="67" t="n">
        <f aca="false">-F239*Inputs!$C$64/12*1*(1+Inputs!$C$79)*(1+Inputs!$C$80)^(F$132-1)</f>
        <v>-26400</v>
      </c>
      <c r="G247" s="67" t="n">
        <f aca="false">-G239*Inputs!$C$64/12*1*(1+Inputs!$C$79)*(1+Inputs!$C$80)^(G$132-1)</f>
        <v>-26400</v>
      </c>
      <c r="H247" s="67" t="n">
        <f aca="false">-H239*Inputs!$C$64/12*1*(1+Inputs!$C$79)*(1+Inputs!$C$80)^(H$132-1)</f>
        <v>-26400</v>
      </c>
      <c r="I247" s="67" t="n">
        <f aca="false">-I239*Inputs!$C$64/12*1*(1+Inputs!$C$79)*(1+Inputs!$C$80)^(I$132-1)</f>
        <v>-26400</v>
      </c>
      <c r="J247" s="67" t="n">
        <f aca="false">-J239*Inputs!$C$64/12*1*(1+Inputs!$C$79)*(1+Inputs!$C$80)^(J$132-1)</f>
        <v>-26400</v>
      </c>
      <c r="K247" s="67" t="n">
        <f aca="false">-K239*Inputs!$C$64/12*1*(1+Inputs!$C$79)*(1+Inputs!$C$80)^(K$132-1)</f>
        <v>-26400</v>
      </c>
      <c r="L247" s="67" t="n">
        <f aca="false">-L239*Inputs!$C$64/12*1*(1+Inputs!$C$79)*(1+Inputs!$C$80)^(L$132-1)</f>
        <v>-26400</v>
      </c>
      <c r="M247" s="67" t="n">
        <f aca="false">-M239*Inputs!$C$64/12*1*(1+Inputs!$C$79)*(1+Inputs!$C$80)^(M$132-1)</f>
        <v>-26400</v>
      </c>
      <c r="N247" s="67" t="n">
        <f aca="false">-N239*Inputs!$C$64/12*1*(1+Inputs!$C$79)*(1+Inputs!$C$80)^(N$132-1)</f>
        <v>-26400</v>
      </c>
      <c r="O247" s="67" t="n">
        <f aca="false">-O239*Inputs!$C$64/12*1*(1+Inputs!$C$79)*(1+Inputs!$C$80)^(O$132-1)</f>
        <v>-28823.52</v>
      </c>
      <c r="P247" s="67" t="n">
        <f aca="false">-P239*Inputs!$C$64/12*1*(1+Inputs!$C$79)*(1+Inputs!$C$80)^(P$132-1)</f>
        <v>-28823.52</v>
      </c>
      <c r="Q247" s="67" t="n">
        <f aca="false">-Q239*Inputs!$C$64/12*1*(1+Inputs!$C$79)*(1+Inputs!$C$80)^(Q$132-1)</f>
        <v>-28823.52</v>
      </c>
      <c r="R247" s="67" t="n">
        <f aca="false">-R239*Inputs!$C$64/12*1*(1+Inputs!$C$79)*(1+Inputs!$C$80)^(R$132-1)</f>
        <v>-28823.52</v>
      </c>
      <c r="S247" s="67" t="n">
        <f aca="false">-S239*Inputs!$C$64/12*1*(1+Inputs!$C$79)*(1+Inputs!$C$80)^(S$132-1)</f>
        <v>-28823.52</v>
      </c>
      <c r="T247" s="67" t="n">
        <f aca="false">-T239*Inputs!$C$64/12*1*(1+Inputs!$C$79)*(1+Inputs!$C$80)^(T$132-1)</f>
        <v>-28823.52</v>
      </c>
      <c r="U247" s="67" t="n">
        <f aca="false">-U239*Inputs!$C$64/12*1*(1+Inputs!$C$79)*(1+Inputs!$C$80)^(U$132-1)</f>
        <v>-28823.52</v>
      </c>
      <c r="V247" s="67" t="n">
        <f aca="false">-V239*Inputs!$C$64/12*1*(1+Inputs!$C$79)*(1+Inputs!$C$80)^(V$132-1)</f>
        <v>-28823.52</v>
      </c>
      <c r="W247" s="67" t="n">
        <f aca="false">-W239*Inputs!$C$64/12*1*(1+Inputs!$C$79)*(1+Inputs!$C$80)^(W$132-1)</f>
        <v>-28823.52</v>
      </c>
      <c r="X247" s="67" t="n">
        <f aca="false">-X239*Inputs!$C$64/12*1*(1+Inputs!$C$79)*(1+Inputs!$C$80)^(X$132-1)</f>
        <v>-28823.52</v>
      </c>
      <c r="Y247" s="67" t="n">
        <f aca="false">-Y239*Inputs!$C$64/12*1*(1+Inputs!$C$79)*(1+Inputs!$C$80)^(Y$132-1)</f>
        <v>-28823.52</v>
      </c>
      <c r="Z247" s="67" t="n">
        <f aca="false">-Z239*Inputs!$C$64/12*1*(1+Inputs!$C$79)*(1+Inputs!$C$80)^(Z$132-1)</f>
        <v>-28823.52</v>
      </c>
      <c r="AA247" s="67" t="n">
        <f aca="false">-AA239*Inputs!$C$64/12*1*(1+Inputs!$C$79)*(1+Inputs!$C$80)^(AA$132-1)</f>
        <v>-31469.519136</v>
      </c>
      <c r="AB247" s="67" t="n">
        <f aca="false">-AB239*Inputs!$C$64/12*1*(1+Inputs!$C$79)*(1+Inputs!$C$80)^(AB$132-1)</f>
        <v>-31469.519136</v>
      </c>
      <c r="AC247" s="67" t="n">
        <f aca="false">-AC239*Inputs!$C$64/12*1*(1+Inputs!$C$79)*(1+Inputs!$C$80)^(AC$132-1)</f>
        <v>-31469.519136</v>
      </c>
      <c r="AD247" s="67" t="n">
        <f aca="false">-AD239*Inputs!$C$64/12*1*(1+Inputs!$C$79)*(1+Inputs!$C$80)^(AD$132-1)</f>
        <v>-31469.519136</v>
      </c>
      <c r="AE247" s="67" t="n">
        <f aca="false">-AE239*Inputs!$C$64/12*1*(1+Inputs!$C$79)*(1+Inputs!$C$80)^(AE$132-1)</f>
        <v>-31469.519136</v>
      </c>
      <c r="AF247" s="67" t="n">
        <f aca="false">-AF239*Inputs!$C$64/12*1*(1+Inputs!$C$79)*(1+Inputs!$C$80)^(AF$132-1)</f>
        <v>-31469.519136</v>
      </c>
      <c r="AG247" s="67" t="n">
        <f aca="false">-AG239*Inputs!$C$64/12*1*(1+Inputs!$C$79)*(1+Inputs!$C$80)^(AG$132-1)</f>
        <v>-31469.519136</v>
      </c>
      <c r="AH247" s="67" t="n">
        <f aca="false">-AH239*Inputs!$C$64/12*1*(1+Inputs!$C$79)*(1+Inputs!$C$80)^(AH$132-1)</f>
        <v>-31469.519136</v>
      </c>
      <c r="AI247" s="67" t="n">
        <f aca="false">-AI239*Inputs!$C$64/12*1*(1+Inputs!$C$79)*(1+Inputs!$C$80)^(AI$132-1)</f>
        <v>-31469.519136</v>
      </c>
      <c r="AJ247" s="67" t="n">
        <f aca="false">-AJ239*Inputs!$C$64/12*1*(1+Inputs!$C$79)*(1+Inputs!$C$80)^(AJ$132-1)</f>
        <v>-31469.519136</v>
      </c>
      <c r="AK247" s="67" t="n">
        <f aca="false">-AK239*Inputs!$C$64/12*1*(1+Inputs!$C$79)*(1+Inputs!$C$80)^(AK$132-1)</f>
        <v>-31469.519136</v>
      </c>
      <c r="AL247" s="67" t="n">
        <f aca="false">-AL239*Inputs!$C$64/12*1*(1+Inputs!$C$79)*(1+Inputs!$C$80)^(AL$132-1)</f>
        <v>-31469.519136</v>
      </c>
    </row>
    <row r="248" customFormat="false" ht="15" hidden="false" customHeight="false" outlineLevel="0" collapsed="false">
      <c r="A248" s="6" t="s">
        <v>467</v>
      </c>
      <c r="C248" s="67" t="n">
        <f aca="false">-C240*Inputs!$C$68/12*1*(1+Inputs!$C$79)*(1+Inputs!$C$80)^(C$132-1)</f>
        <v>-18562.5</v>
      </c>
      <c r="D248" s="67" t="n">
        <f aca="false">-D240*Inputs!$C$68/12*1*(1+Inputs!$C$79)*(1+Inputs!$C$80)^(D$132-1)</f>
        <v>-18562.5</v>
      </c>
      <c r="E248" s="67" t="n">
        <f aca="false">-E240*Inputs!$C$68/12*1*(1+Inputs!$C$79)*(1+Inputs!$C$80)^(E$132-1)</f>
        <v>-18562.5</v>
      </c>
      <c r="F248" s="67" t="n">
        <f aca="false">-F240*Inputs!$C$68/12*1*(1+Inputs!$C$79)*(1+Inputs!$C$80)^(F$132-1)</f>
        <v>-18562.5</v>
      </c>
      <c r="G248" s="67" t="n">
        <f aca="false">-G240*Inputs!$C$68/12*1*(1+Inputs!$C$79)*(1+Inputs!$C$80)^(G$132-1)</f>
        <v>-18562.5</v>
      </c>
      <c r="H248" s="67" t="n">
        <f aca="false">-H240*Inputs!$C$68/12*1*(1+Inputs!$C$79)*(1+Inputs!$C$80)^(H$132-1)</f>
        <v>-18562.5</v>
      </c>
      <c r="I248" s="67" t="n">
        <f aca="false">-I240*Inputs!$C$68/12*1*(1+Inputs!$C$79)*(1+Inputs!$C$80)^(I$132-1)</f>
        <v>-18562.5</v>
      </c>
      <c r="J248" s="67" t="n">
        <f aca="false">-J240*Inputs!$C$68/12*1*(1+Inputs!$C$79)*(1+Inputs!$C$80)^(J$132-1)</f>
        <v>-18562.5</v>
      </c>
      <c r="K248" s="67" t="n">
        <f aca="false">-K240*Inputs!$C$68/12*1*(1+Inputs!$C$79)*(1+Inputs!$C$80)^(K$132-1)</f>
        <v>-18562.5</v>
      </c>
      <c r="L248" s="67" t="n">
        <f aca="false">-L240*Inputs!$C$68/12*1*(1+Inputs!$C$79)*(1+Inputs!$C$80)^(L$132-1)</f>
        <v>-18562.5</v>
      </c>
      <c r="M248" s="67" t="n">
        <f aca="false">-M240*Inputs!$C$68/12*1*(1+Inputs!$C$79)*(1+Inputs!$C$80)^(M$132-1)</f>
        <v>-18562.5</v>
      </c>
      <c r="N248" s="67" t="n">
        <f aca="false">-N240*Inputs!$C$68/12*1*(1+Inputs!$C$79)*(1+Inputs!$C$80)^(N$132-1)</f>
        <v>-18562.5</v>
      </c>
      <c r="O248" s="67" t="n">
        <f aca="false">-O240*Inputs!$C$68/12*1*(1+Inputs!$C$79)*(1+Inputs!$C$80)^(O$132-1)</f>
        <v>-19884.15</v>
      </c>
      <c r="P248" s="67" t="n">
        <f aca="false">-P240*Inputs!$C$68/12*1*(1+Inputs!$C$79)*(1+Inputs!$C$80)^(P$132-1)</f>
        <v>-19884.15</v>
      </c>
      <c r="Q248" s="67" t="n">
        <f aca="false">-Q240*Inputs!$C$68/12*1*(1+Inputs!$C$79)*(1+Inputs!$C$80)^(Q$132-1)</f>
        <v>-19884.15</v>
      </c>
      <c r="R248" s="67" t="n">
        <f aca="false">-R240*Inputs!$C$68/12*1*(1+Inputs!$C$79)*(1+Inputs!$C$80)^(R$132-1)</f>
        <v>-19884.15</v>
      </c>
      <c r="S248" s="67" t="n">
        <f aca="false">-S240*Inputs!$C$68/12*1*(1+Inputs!$C$79)*(1+Inputs!$C$80)^(S$132-1)</f>
        <v>-19884.15</v>
      </c>
      <c r="T248" s="67" t="n">
        <f aca="false">-T240*Inputs!$C$68/12*1*(1+Inputs!$C$79)*(1+Inputs!$C$80)^(T$132-1)</f>
        <v>-19884.15</v>
      </c>
      <c r="U248" s="67" t="n">
        <f aca="false">-U240*Inputs!$C$68/12*1*(1+Inputs!$C$79)*(1+Inputs!$C$80)^(U$132-1)</f>
        <v>-19884.15</v>
      </c>
      <c r="V248" s="67" t="n">
        <f aca="false">-V240*Inputs!$C$68/12*1*(1+Inputs!$C$79)*(1+Inputs!$C$80)^(V$132-1)</f>
        <v>-19884.15</v>
      </c>
      <c r="W248" s="67" t="n">
        <f aca="false">-W240*Inputs!$C$68/12*1*(1+Inputs!$C$79)*(1+Inputs!$C$80)^(W$132-1)</f>
        <v>-19884.15</v>
      </c>
      <c r="X248" s="67" t="n">
        <f aca="false">-X240*Inputs!$C$68/12*1*(1+Inputs!$C$79)*(1+Inputs!$C$80)^(X$132-1)</f>
        <v>-19884.15</v>
      </c>
      <c r="Y248" s="67" t="n">
        <f aca="false">-Y240*Inputs!$C$68/12*1*(1+Inputs!$C$79)*(1+Inputs!$C$80)^(Y$132-1)</f>
        <v>-19884.15</v>
      </c>
      <c r="Z248" s="67" t="n">
        <f aca="false">-Z240*Inputs!$C$68/12*1*(1+Inputs!$C$79)*(1+Inputs!$C$80)^(Z$132-1)</f>
        <v>-19884.15</v>
      </c>
      <c r="AA248" s="67" t="n">
        <f aca="false">-AA240*Inputs!$C$68/12*1*(1+Inputs!$C$79)*(1+Inputs!$C$80)^(AA$132-1)</f>
        <v>-21299.90148</v>
      </c>
      <c r="AB248" s="67" t="n">
        <f aca="false">-AB240*Inputs!$C$68/12*1*(1+Inputs!$C$79)*(1+Inputs!$C$80)^(AB$132-1)</f>
        <v>-21299.90148</v>
      </c>
      <c r="AC248" s="67" t="n">
        <f aca="false">-AC240*Inputs!$C$68/12*1*(1+Inputs!$C$79)*(1+Inputs!$C$80)^(AC$132-1)</f>
        <v>-21299.90148</v>
      </c>
      <c r="AD248" s="67" t="n">
        <f aca="false">-AD240*Inputs!$C$68/12*1*(1+Inputs!$C$79)*(1+Inputs!$C$80)^(AD$132-1)</f>
        <v>-21299.90148</v>
      </c>
      <c r="AE248" s="67" t="n">
        <f aca="false">-AE240*Inputs!$C$68/12*1*(1+Inputs!$C$79)*(1+Inputs!$C$80)^(AE$132-1)</f>
        <v>-21299.90148</v>
      </c>
      <c r="AF248" s="67" t="n">
        <f aca="false">-AF240*Inputs!$C$68/12*1*(1+Inputs!$C$79)*(1+Inputs!$C$80)^(AF$132-1)</f>
        <v>-21299.90148</v>
      </c>
      <c r="AG248" s="67" t="n">
        <f aca="false">-AG240*Inputs!$C$68/12*1*(1+Inputs!$C$79)*(1+Inputs!$C$80)^(AG$132-1)</f>
        <v>-21299.90148</v>
      </c>
      <c r="AH248" s="67" t="n">
        <f aca="false">-AH240*Inputs!$C$68/12*1*(1+Inputs!$C$79)*(1+Inputs!$C$80)^(AH$132-1)</f>
        <v>-21299.90148</v>
      </c>
      <c r="AI248" s="67" t="n">
        <f aca="false">-AI240*Inputs!$C$68/12*1*(1+Inputs!$C$79)*(1+Inputs!$C$80)^(AI$132-1)</f>
        <v>-21299.90148</v>
      </c>
      <c r="AJ248" s="67" t="n">
        <f aca="false">-AJ240*Inputs!$C$68/12*1*(1+Inputs!$C$79)*(1+Inputs!$C$80)^(AJ$132-1)</f>
        <v>-21299.90148</v>
      </c>
      <c r="AK248" s="67" t="n">
        <f aca="false">-AK240*Inputs!$C$68/12*1*(1+Inputs!$C$79)*(1+Inputs!$C$80)^(AK$132-1)</f>
        <v>-21299.90148</v>
      </c>
      <c r="AL248" s="67" t="n">
        <f aca="false">-AL240*Inputs!$C$68/12*1*(1+Inputs!$C$79)*(1+Inputs!$C$80)^(AL$132-1)</f>
        <v>-21299.90148</v>
      </c>
    </row>
    <row r="249" customFormat="false" ht="15" hidden="false" customHeight="false" outlineLevel="0" collapsed="false">
      <c r="A249" s="6" t="s">
        <v>468</v>
      </c>
      <c r="C249" s="67" t="n">
        <f aca="false">-C241*Inputs!$C$72/12*1*(1+Inputs!$C$79)*(1+Inputs!$C$80)^(C$132-1)</f>
        <v>-11275</v>
      </c>
      <c r="D249" s="67" t="n">
        <f aca="false">-D241*Inputs!$C$72/12*1*(1+Inputs!$C$79)*(1+Inputs!$C$80)^(D$132-1)</f>
        <v>-11275</v>
      </c>
      <c r="E249" s="67" t="n">
        <f aca="false">-E241*Inputs!$C$72/12*1*(1+Inputs!$C$79)*(1+Inputs!$C$80)^(E$132-1)</f>
        <v>-11275</v>
      </c>
      <c r="F249" s="67" t="n">
        <f aca="false">-F241*Inputs!$C$72/12*1*(1+Inputs!$C$79)*(1+Inputs!$C$80)^(F$132-1)</f>
        <v>-11275</v>
      </c>
      <c r="G249" s="67" t="n">
        <f aca="false">-G241*Inputs!$C$72/12*1*(1+Inputs!$C$79)*(1+Inputs!$C$80)^(G$132-1)</f>
        <v>-11275</v>
      </c>
      <c r="H249" s="67" t="n">
        <f aca="false">-H241*Inputs!$C$72/12*1*(1+Inputs!$C$79)*(1+Inputs!$C$80)^(H$132-1)</f>
        <v>-11275</v>
      </c>
      <c r="I249" s="67" t="n">
        <f aca="false">-I241*Inputs!$C$72/12*1*(1+Inputs!$C$79)*(1+Inputs!$C$80)^(I$132-1)</f>
        <v>-11275</v>
      </c>
      <c r="J249" s="67" t="n">
        <f aca="false">-J241*Inputs!$C$72/12*1*(1+Inputs!$C$79)*(1+Inputs!$C$80)^(J$132-1)</f>
        <v>-11275</v>
      </c>
      <c r="K249" s="67" t="n">
        <f aca="false">-K241*Inputs!$C$72/12*1*(1+Inputs!$C$79)*(1+Inputs!$C$80)^(K$132-1)</f>
        <v>-11275</v>
      </c>
      <c r="L249" s="67" t="n">
        <f aca="false">-L241*Inputs!$C$72/12*1*(1+Inputs!$C$79)*(1+Inputs!$C$80)^(L$132-1)</f>
        <v>-11275</v>
      </c>
      <c r="M249" s="67" t="n">
        <f aca="false">-M241*Inputs!$C$72/12*1*(1+Inputs!$C$79)*(1+Inputs!$C$80)^(M$132-1)</f>
        <v>-11275</v>
      </c>
      <c r="N249" s="67" t="n">
        <f aca="false">-N241*Inputs!$C$72/12*1*(1+Inputs!$C$79)*(1+Inputs!$C$80)^(N$132-1)</f>
        <v>-11275</v>
      </c>
      <c r="O249" s="67" t="n">
        <f aca="false">-O241*Inputs!$C$72/12*1*(1+Inputs!$C$79)*(1+Inputs!$C$80)^(O$132-1)</f>
        <v>-12077.78</v>
      </c>
      <c r="P249" s="67" t="n">
        <f aca="false">-P241*Inputs!$C$72/12*1*(1+Inputs!$C$79)*(1+Inputs!$C$80)^(P$132-1)</f>
        <v>-12077.78</v>
      </c>
      <c r="Q249" s="67" t="n">
        <f aca="false">-Q241*Inputs!$C$72/12*1*(1+Inputs!$C$79)*(1+Inputs!$C$80)^(Q$132-1)</f>
        <v>-12077.78</v>
      </c>
      <c r="R249" s="67" t="n">
        <f aca="false">-R241*Inputs!$C$72/12*1*(1+Inputs!$C$79)*(1+Inputs!$C$80)^(R$132-1)</f>
        <v>-12077.78</v>
      </c>
      <c r="S249" s="67" t="n">
        <f aca="false">-S241*Inputs!$C$72/12*1*(1+Inputs!$C$79)*(1+Inputs!$C$80)^(S$132-1)</f>
        <v>-12077.78</v>
      </c>
      <c r="T249" s="67" t="n">
        <f aca="false">-T241*Inputs!$C$72/12*1*(1+Inputs!$C$79)*(1+Inputs!$C$80)^(T$132-1)</f>
        <v>-12077.78</v>
      </c>
      <c r="U249" s="67" t="n">
        <f aca="false">-U241*Inputs!$C$72/12*1*(1+Inputs!$C$79)*(1+Inputs!$C$80)^(U$132-1)</f>
        <v>-12077.78</v>
      </c>
      <c r="V249" s="67" t="n">
        <f aca="false">-V241*Inputs!$C$72/12*1*(1+Inputs!$C$79)*(1+Inputs!$C$80)^(V$132-1)</f>
        <v>-12077.78</v>
      </c>
      <c r="W249" s="67" t="n">
        <f aca="false">-W241*Inputs!$C$72/12*1*(1+Inputs!$C$79)*(1+Inputs!$C$80)^(W$132-1)</f>
        <v>-12077.78</v>
      </c>
      <c r="X249" s="67" t="n">
        <f aca="false">-X241*Inputs!$C$72/12*1*(1+Inputs!$C$79)*(1+Inputs!$C$80)^(X$132-1)</f>
        <v>-12077.78</v>
      </c>
      <c r="Y249" s="67" t="n">
        <f aca="false">-Y241*Inputs!$C$72/12*1*(1+Inputs!$C$79)*(1+Inputs!$C$80)^(Y$132-1)</f>
        <v>-12077.78</v>
      </c>
      <c r="Z249" s="67" t="n">
        <f aca="false">-Z241*Inputs!$C$72/12*1*(1+Inputs!$C$79)*(1+Inputs!$C$80)^(Z$132-1)</f>
        <v>-12077.78</v>
      </c>
      <c r="AA249" s="67" t="n">
        <f aca="false">-AA241*Inputs!$C$72/12*1*(1+Inputs!$C$79)*(1+Inputs!$C$80)^(AA$132-1)</f>
        <v>-12937.717936</v>
      </c>
      <c r="AB249" s="67" t="n">
        <f aca="false">-AB241*Inputs!$C$72/12*1*(1+Inputs!$C$79)*(1+Inputs!$C$80)^(AB$132-1)</f>
        <v>-12937.717936</v>
      </c>
      <c r="AC249" s="67" t="n">
        <f aca="false">-AC241*Inputs!$C$72/12*1*(1+Inputs!$C$79)*(1+Inputs!$C$80)^(AC$132-1)</f>
        <v>-12937.717936</v>
      </c>
      <c r="AD249" s="67" t="n">
        <f aca="false">-AD241*Inputs!$C$72/12*1*(1+Inputs!$C$79)*(1+Inputs!$C$80)^(AD$132-1)</f>
        <v>-12937.717936</v>
      </c>
      <c r="AE249" s="67" t="n">
        <f aca="false">-AE241*Inputs!$C$72/12*1*(1+Inputs!$C$79)*(1+Inputs!$C$80)^(AE$132-1)</f>
        <v>-12937.717936</v>
      </c>
      <c r="AF249" s="67" t="n">
        <f aca="false">-AF241*Inputs!$C$72/12*1*(1+Inputs!$C$79)*(1+Inputs!$C$80)^(AF$132-1)</f>
        <v>-12937.717936</v>
      </c>
      <c r="AG249" s="67" t="n">
        <f aca="false">-AG241*Inputs!$C$72/12*1*(1+Inputs!$C$79)*(1+Inputs!$C$80)^(AG$132-1)</f>
        <v>-12937.717936</v>
      </c>
      <c r="AH249" s="67" t="n">
        <f aca="false">-AH241*Inputs!$C$72/12*1*(1+Inputs!$C$79)*(1+Inputs!$C$80)^(AH$132-1)</f>
        <v>-12937.717936</v>
      </c>
      <c r="AI249" s="67" t="n">
        <f aca="false">-AI241*Inputs!$C$72/12*1*(1+Inputs!$C$79)*(1+Inputs!$C$80)^(AI$132-1)</f>
        <v>-12937.717936</v>
      </c>
      <c r="AJ249" s="67" t="n">
        <f aca="false">-AJ241*Inputs!$C$72/12*1*(1+Inputs!$C$79)*(1+Inputs!$C$80)^(AJ$132-1)</f>
        <v>-12937.717936</v>
      </c>
      <c r="AK249" s="67" t="n">
        <f aca="false">-AK241*Inputs!$C$72/12*1*(1+Inputs!$C$79)*(1+Inputs!$C$80)^(AK$132-1)</f>
        <v>-12937.717936</v>
      </c>
      <c r="AL249" s="67" t="n">
        <f aca="false">-AL241*Inputs!$C$72/12*1*(1+Inputs!$C$79)*(1+Inputs!$C$80)^(AL$132-1)</f>
        <v>-12937.717936</v>
      </c>
    </row>
    <row r="250" customFormat="false" ht="15" hidden="false" customHeight="false" outlineLevel="0" collapsed="false">
      <c r="A250" s="6" t="s">
        <v>469</v>
      </c>
      <c r="C250" s="67" t="n">
        <f aca="false">-C242*Inputs!$C$76/12*1*(1+Inputs!$C$79)*(1+Inputs!$C$80)^(C$132-1)</f>
        <v>-6233.33333333333</v>
      </c>
      <c r="D250" s="67" t="n">
        <f aca="false">-D242*Inputs!$C$76/12*1*(1+Inputs!$C$79)*(1+Inputs!$C$80)^(D$132-1)</f>
        <v>-6233.33333333333</v>
      </c>
      <c r="E250" s="67" t="n">
        <f aca="false">-E242*Inputs!$C$76/12*1*(1+Inputs!$C$79)*(1+Inputs!$C$80)^(E$132-1)</f>
        <v>-6233.33333333333</v>
      </c>
      <c r="F250" s="67" t="n">
        <f aca="false">-F242*Inputs!$C$76/12*1*(1+Inputs!$C$79)*(1+Inputs!$C$80)^(F$132-1)</f>
        <v>-6233.33333333333</v>
      </c>
      <c r="G250" s="67" t="n">
        <f aca="false">-G242*Inputs!$C$76/12*1*(1+Inputs!$C$79)*(1+Inputs!$C$80)^(G$132-1)</f>
        <v>-6233.33333333333</v>
      </c>
      <c r="H250" s="67" t="n">
        <f aca="false">-H242*Inputs!$C$76/12*1*(1+Inputs!$C$79)*(1+Inputs!$C$80)^(H$132-1)</f>
        <v>-6233.33333333333</v>
      </c>
      <c r="I250" s="67" t="n">
        <f aca="false">-I242*Inputs!$C$76/12*1*(1+Inputs!$C$79)*(1+Inputs!$C$80)^(I$132-1)</f>
        <v>-6233.33333333333</v>
      </c>
      <c r="J250" s="67" t="n">
        <f aca="false">-J242*Inputs!$C$76/12*1*(1+Inputs!$C$79)*(1+Inputs!$C$80)^(J$132-1)</f>
        <v>-6233.33333333333</v>
      </c>
      <c r="K250" s="67" t="n">
        <f aca="false">-K242*Inputs!$C$76/12*1*(1+Inputs!$C$79)*(1+Inputs!$C$80)^(K$132-1)</f>
        <v>-6233.33333333333</v>
      </c>
      <c r="L250" s="67" t="n">
        <f aca="false">-L242*Inputs!$C$76/12*1*(1+Inputs!$C$79)*(1+Inputs!$C$80)^(L$132-1)</f>
        <v>-6233.33333333333</v>
      </c>
      <c r="M250" s="67" t="n">
        <f aca="false">-M242*Inputs!$C$76/12*1*(1+Inputs!$C$79)*(1+Inputs!$C$80)^(M$132-1)</f>
        <v>-6233.33333333333</v>
      </c>
      <c r="N250" s="67" t="n">
        <f aca="false">-N242*Inputs!$C$76/12*1*(1+Inputs!$C$79)*(1+Inputs!$C$80)^(N$132-1)</f>
        <v>-6233.33333333333</v>
      </c>
      <c r="O250" s="67" t="n">
        <f aca="false">-O242*Inputs!$C$76/12*1*(1+Inputs!$C$79)*(1+Inputs!$C$80)^(O$132-1)</f>
        <v>-6420.33333333333</v>
      </c>
      <c r="P250" s="67" t="n">
        <f aca="false">-P242*Inputs!$C$76/12*1*(1+Inputs!$C$79)*(1+Inputs!$C$80)^(P$132-1)</f>
        <v>-6420.33333333333</v>
      </c>
      <c r="Q250" s="67" t="n">
        <f aca="false">-Q242*Inputs!$C$76/12*1*(1+Inputs!$C$79)*(1+Inputs!$C$80)^(Q$132-1)</f>
        <v>-6420.33333333333</v>
      </c>
      <c r="R250" s="67" t="n">
        <f aca="false">-R242*Inputs!$C$76/12*1*(1+Inputs!$C$79)*(1+Inputs!$C$80)^(R$132-1)</f>
        <v>-6420.33333333333</v>
      </c>
      <c r="S250" s="67" t="n">
        <f aca="false">-S242*Inputs!$C$76/12*1*(1+Inputs!$C$79)*(1+Inputs!$C$80)^(S$132-1)</f>
        <v>-6420.33333333333</v>
      </c>
      <c r="T250" s="67" t="n">
        <f aca="false">-T242*Inputs!$C$76/12*1*(1+Inputs!$C$79)*(1+Inputs!$C$80)^(T$132-1)</f>
        <v>-6420.33333333333</v>
      </c>
      <c r="U250" s="67" t="n">
        <f aca="false">-U242*Inputs!$C$76/12*1*(1+Inputs!$C$79)*(1+Inputs!$C$80)^(U$132-1)</f>
        <v>-6420.33333333333</v>
      </c>
      <c r="V250" s="67" t="n">
        <f aca="false">-V242*Inputs!$C$76/12*1*(1+Inputs!$C$79)*(1+Inputs!$C$80)^(V$132-1)</f>
        <v>-6420.33333333333</v>
      </c>
      <c r="W250" s="67" t="n">
        <f aca="false">-W242*Inputs!$C$76/12*1*(1+Inputs!$C$79)*(1+Inputs!$C$80)^(W$132-1)</f>
        <v>-6420.33333333333</v>
      </c>
      <c r="X250" s="67" t="n">
        <f aca="false">-X242*Inputs!$C$76/12*1*(1+Inputs!$C$79)*(1+Inputs!$C$80)^(X$132-1)</f>
        <v>-6420.33333333333</v>
      </c>
      <c r="Y250" s="67" t="n">
        <f aca="false">-Y242*Inputs!$C$76/12*1*(1+Inputs!$C$79)*(1+Inputs!$C$80)^(Y$132-1)</f>
        <v>-6420.33333333333</v>
      </c>
      <c r="Z250" s="67" t="n">
        <f aca="false">-Z242*Inputs!$C$76/12*1*(1+Inputs!$C$79)*(1+Inputs!$C$80)^(Z$132-1)</f>
        <v>-6420.33333333333</v>
      </c>
      <c r="AA250" s="67" t="n">
        <f aca="false">-AA242*Inputs!$C$76/12*1*(1+Inputs!$C$79)*(1+Inputs!$C$80)^(AA$132-1)</f>
        <v>-6612.94333333333</v>
      </c>
      <c r="AB250" s="67" t="n">
        <f aca="false">-AB242*Inputs!$C$76/12*1*(1+Inputs!$C$79)*(1+Inputs!$C$80)^(AB$132-1)</f>
        <v>-6612.94333333333</v>
      </c>
      <c r="AC250" s="67" t="n">
        <f aca="false">-AC242*Inputs!$C$76/12*1*(1+Inputs!$C$79)*(1+Inputs!$C$80)^(AC$132-1)</f>
        <v>-6612.94333333333</v>
      </c>
      <c r="AD250" s="67" t="n">
        <f aca="false">-AD242*Inputs!$C$76/12*1*(1+Inputs!$C$79)*(1+Inputs!$C$80)^(AD$132-1)</f>
        <v>-6612.94333333333</v>
      </c>
      <c r="AE250" s="67" t="n">
        <f aca="false">-AE242*Inputs!$C$76/12*1*(1+Inputs!$C$79)*(1+Inputs!$C$80)^(AE$132-1)</f>
        <v>-6612.94333333333</v>
      </c>
      <c r="AF250" s="67" t="n">
        <f aca="false">-AF242*Inputs!$C$76/12*1*(1+Inputs!$C$79)*(1+Inputs!$C$80)^(AF$132-1)</f>
        <v>-6612.94333333333</v>
      </c>
      <c r="AG250" s="67" t="n">
        <f aca="false">-AG242*Inputs!$C$76/12*1*(1+Inputs!$C$79)*(1+Inputs!$C$80)^(AG$132-1)</f>
        <v>-6612.94333333333</v>
      </c>
      <c r="AH250" s="67" t="n">
        <f aca="false">-AH242*Inputs!$C$76/12*1*(1+Inputs!$C$79)*(1+Inputs!$C$80)^(AH$132-1)</f>
        <v>-6612.94333333333</v>
      </c>
      <c r="AI250" s="67" t="n">
        <f aca="false">-AI242*Inputs!$C$76/12*1*(1+Inputs!$C$79)*(1+Inputs!$C$80)^(AI$132-1)</f>
        <v>-6612.94333333333</v>
      </c>
      <c r="AJ250" s="67" t="n">
        <f aca="false">-AJ242*Inputs!$C$76/12*1*(1+Inputs!$C$79)*(1+Inputs!$C$80)^(AJ$132-1)</f>
        <v>-6612.94333333333</v>
      </c>
      <c r="AK250" s="67" t="n">
        <f aca="false">-AK242*Inputs!$C$76/12*1*(1+Inputs!$C$79)*(1+Inputs!$C$80)^(AK$132-1)</f>
        <v>-6612.94333333333</v>
      </c>
      <c r="AL250" s="67" t="n">
        <f aca="false">-AL242*Inputs!$C$76/12*1*(1+Inputs!$C$79)*(1+Inputs!$C$80)^(AL$132-1)</f>
        <v>-6612.94333333333</v>
      </c>
    </row>
    <row r="251" customFormat="false" ht="15" hidden="false" customHeight="false" outlineLevel="0" collapsed="false">
      <c r="A251" s="111" t="s">
        <v>470</v>
      </c>
      <c r="C251" s="68" t="n">
        <f aca="false">C246+C247+C248+C249+C250</f>
        <v>-78970.8333333333</v>
      </c>
      <c r="D251" s="68" t="n">
        <f aca="false">D246+D247+D248+D249+D250</f>
        <v>-78970.8333333333</v>
      </c>
      <c r="E251" s="68" t="n">
        <f aca="false">E246+E247+E248+E249+E250</f>
        <v>-78970.8333333333</v>
      </c>
      <c r="F251" s="68" t="n">
        <f aca="false">F246+F247+F248+F249+F250</f>
        <v>-78970.8333333333</v>
      </c>
      <c r="G251" s="68" t="n">
        <f aca="false">G246+G247+G248+G249+G250</f>
        <v>-78970.8333333333</v>
      </c>
      <c r="H251" s="68" t="n">
        <f aca="false">H246+H247+H248+H249+H250</f>
        <v>-78970.8333333333</v>
      </c>
      <c r="I251" s="68" t="n">
        <f aca="false">I246+I247+I248+I249+I250</f>
        <v>-78970.8333333333</v>
      </c>
      <c r="J251" s="68" t="n">
        <f aca="false">J246+J247+J248+J249+J250</f>
        <v>-78970.8333333333</v>
      </c>
      <c r="K251" s="68" t="n">
        <f aca="false">K246+K247+K248+K249+K250</f>
        <v>-78970.8333333333</v>
      </c>
      <c r="L251" s="68" t="n">
        <f aca="false">L246+L247+L248+L249+L250</f>
        <v>-78970.8333333333</v>
      </c>
      <c r="M251" s="68" t="n">
        <f aca="false">M246+M247+M248+M249+M250</f>
        <v>-78970.8333333333</v>
      </c>
      <c r="N251" s="68" t="n">
        <f aca="false">N246+N247+N248+N249+N250</f>
        <v>-78970.8333333333</v>
      </c>
      <c r="O251" s="68" t="n">
        <f aca="false">O246+O247+O248+O249+O250</f>
        <v>-84200.7833333333</v>
      </c>
      <c r="P251" s="68" t="n">
        <f aca="false">P246+P247+P248+P249+P250</f>
        <v>-84200.7833333333</v>
      </c>
      <c r="Q251" s="68" t="n">
        <f aca="false">Q246+Q247+Q248+Q249+Q250</f>
        <v>-84200.7833333333</v>
      </c>
      <c r="R251" s="68" t="n">
        <f aca="false">R246+R247+R248+R249+R250</f>
        <v>-84200.7833333333</v>
      </c>
      <c r="S251" s="68" t="n">
        <f aca="false">S246+S247+S248+S249+S250</f>
        <v>-84200.7833333333</v>
      </c>
      <c r="T251" s="68" t="n">
        <f aca="false">T246+T247+T248+T249+T250</f>
        <v>-84200.7833333333</v>
      </c>
      <c r="U251" s="68" t="n">
        <f aca="false">U246+U247+U248+U249+U250</f>
        <v>-84200.7833333333</v>
      </c>
      <c r="V251" s="68" t="n">
        <f aca="false">V246+V247+V248+V249+V250</f>
        <v>-84200.7833333333</v>
      </c>
      <c r="W251" s="68" t="n">
        <f aca="false">W246+W247+W248+W249+W250</f>
        <v>-84200.7833333333</v>
      </c>
      <c r="X251" s="68" t="n">
        <f aca="false">X246+X247+X248+X249+X250</f>
        <v>-84200.7833333333</v>
      </c>
      <c r="Y251" s="68" t="n">
        <f aca="false">Y246+Y247+Y248+Y249+Y250</f>
        <v>-84200.7833333333</v>
      </c>
      <c r="Z251" s="68" t="n">
        <f aca="false">Z246+Z247+Z248+Z249+Z250</f>
        <v>-84200.7833333333</v>
      </c>
      <c r="AA251" s="68" t="n">
        <f aca="false">AA246+AA247+AA248+AA249+AA250</f>
        <v>-89824.9318853333</v>
      </c>
      <c r="AB251" s="68" t="n">
        <f aca="false">AB246+AB247+AB248+AB249+AB250</f>
        <v>-89824.9318853333</v>
      </c>
      <c r="AC251" s="68" t="n">
        <f aca="false">AC246+AC247+AC248+AC249+AC250</f>
        <v>-89824.9318853333</v>
      </c>
      <c r="AD251" s="68" t="n">
        <f aca="false">AD246+AD247+AD248+AD249+AD250</f>
        <v>-89824.9318853333</v>
      </c>
      <c r="AE251" s="68" t="n">
        <f aca="false">AE246+AE247+AE248+AE249+AE250</f>
        <v>-89824.9318853333</v>
      </c>
      <c r="AF251" s="68" t="n">
        <f aca="false">AF246+AF247+AF248+AF249+AF250</f>
        <v>-89824.9318853333</v>
      </c>
      <c r="AG251" s="68" t="n">
        <f aca="false">AG246+AG247+AG248+AG249+AG250</f>
        <v>-89824.9318853333</v>
      </c>
      <c r="AH251" s="68" t="n">
        <f aca="false">AH246+AH247+AH248+AH249+AH250</f>
        <v>-89824.9318853333</v>
      </c>
      <c r="AI251" s="68" t="n">
        <f aca="false">AI246+AI247+AI248+AI249+AI250</f>
        <v>-89824.9318853333</v>
      </c>
      <c r="AJ251" s="68" t="n">
        <f aca="false">AJ246+AJ247+AJ248+AJ249+AJ250</f>
        <v>-89824.9318853333</v>
      </c>
      <c r="AK251" s="68" t="n">
        <f aca="false">AK246+AK247+AK248+AK249+AK250</f>
        <v>-89824.9318853333</v>
      </c>
      <c r="AL251" s="68" t="n">
        <f aca="false">AL246+AL247+AL248+AL249+AL250</f>
        <v>-89824.9318853333</v>
      </c>
    </row>
    <row r="254" customFormat="false" ht="15.75" hidden="false" customHeight="true" outlineLevel="0" collapsed="false">
      <c r="A254" s="7" t="s">
        <v>475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customFormat="false" ht="15" hidden="false" customHeight="false" outlineLevel="0" collapsed="false">
      <c r="A255" s="33" t="s">
        <v>372</v>
      </c>
      <c r="C255" s="35" t="s">
        <v>373</v>
      </c>
      <c r="D255" s="35" t="s">
        <v>374</v>
      </c>
      <c r="E255" s="35" t="s">
        <v>375</v>
      </c>
      <c r="F255" s="35" t="s">
        <v>376</v>
      </c>
      <c r="G255" s="35" t="s">
        <v>377</v>
      </c>
      <c r="H255" s="35" t="s">
        <v>378</v>
      </c>
      <c r="I255" s="35" t="s">
        <v>379</v>
      </c>
      <c r="J255" s="35" t="s">
        <v>380</v>
      </c>
      <c r="K255" s="35" t="s">
        <v>381</v>
      </c>
      <c r="L255" s="35" t="s">
        <v>382</v>
      </c>
      <c r="M255" s="35" t="s">
        <v>383</v>
      </c>
      <c r="N255" s="35" t="s">
        <v>384</v>
      </c>
      <c r="O255" s="35" t="s">
        <v>385</v>
      </c>
      <c r="P255" s="35" t="s">
        <v>386</v>
      </c>
      <c r="Q255" s="35" t="s">
        <v>387</v>
      </c>
      <c r="R255" s="35" t="s">
        <v>388</v>
      </c>
      <c r="S255" s="35" t="s">
        <v>389</v>
      </c>
      <c r="T255" s="35" t="s">
        <v>390</v>
      </c>
      <c r="U255" s="35" t="s">
        <v>391</v>
      </c>
      <c r="V255" s="35" t="s">
        <v>392</v>
      </c>
      <c r="W255" s="35" t="s">
        <v>393</v>
      </c>
      <c r="X255" s="35" t="s">
        <v>394</v>
      </c>
      <c r="Y255" s="35" t="s">
        <v>395</v>
      </c>
      <c r="Z255" s="35" t="s">
        <v>396</v>
      </c>
      <c r="AA255" s="35" t="s">
        <v>397</v>
      </c>
      <c r="AB255" s="35" t="s">
        <v>398</v>
      </c>
      <c r="AC255" s="35" t="s">
        <v>399</v>
      </c>
      <c r="AD255" s="35" t="s">
        <v>400</v>
      </c>
      <c r="AE255" s="35" t="s">
        <v>401</v>
      </c>
      <c r="AF255" s="35" t="s">
        <v>402</v>
      </c>
      <c r="AG255" s="35" t="s">
        <v>403</v>
      </c>
      <c r="AH255" s="35" t="s">
        <v>404</v>
      </c>
      <c r="AI255" s="35" t="s">
        <v>405</v>
      </c>
      <c r="AJ255" s="35" t="s">
        <v>406</v>
      </c>
      <c r="AK255" s="35" t="s">
        <v>407</v>
      </c>
      <c r="AL255" s="35" t="s">
        <v>408</v>
      </c>
    </row>
    <row r="256" customFormat="false" ht="15" hidden="false" customHeight="false" outlineLevel="0" collapsed="false">
      <c r="A256" s="72" t="s">
        <v>409</v>
      </c>
      <c r="C256" s="72" t="n">
        <v>1</v>
      </c>
      <c r="D256" s="72" t="n">
        <v>2</v>
      </c>
      <c r="E256" s="72" t="n">
        <v>3</v>
      </c>
      <c r="F256" s="72" t="n">
        <v>4</v>
      </c>
      <c r="G256" s="72" t="n">
        <v>5</v>
      </c>
      <c r="H256" s="72" t="n">
        <v>6</v>
      </c>
      <c r="I256" s="72" t="n">
        <v>7</v>
      </c>
      <c r="J256" s="72" t="n">
        <v>8</v>
      </c>
      <c r="K256" s="72" t="n">
        <v>9</v>
      </c>
      <c r="L256" s="72" t="n">
        <v>10</v>
      </c>
      <c r="M256" s="72" t="n">
        <v>11</v>
      </c>
      <c r="N256" s="72" t="n">
        <v>12</v>
      </c>
      <c r="O256" s="72" t="n">
        <v>13</v>
      </c>
      <c r="P256" s="72" t="n">
        <v>14</v>
      </c>
      <c r="Q256" s="72" t="n">
        <v>15</v>
      </c>
      <c r="R256" s="72" t="n">
        <v>16</v>
      </c>
      <c r="S256" s="72" t="n">
        <v>17</v>
      </c>
      <c r="T256" s="72" t="n">
        <v>18</v>
      </c>
      <c r="U256" s="72" t="n">
        <v>19</v>
      </c>
      <c r="V256" s="72" t="n">
        <v>20</v>
      </c>
      <c r="W256" s="72" t="n">
        <v>21</v>
      </c>
      <c r="X256" s="72" t="n">
        <v>22</v>
      </c>
      <c r="Y256" s="72" t="n">
        <v>23</v>
      </c>
      <c r="Z256" s="72" t="n">
        <v>24</v>
      </c>
      <c r="AA256" s="72" t="n">
        <v>25</v>
      </c>
      <c r="AB256" s="72" t="n">
        <v>26</v>
      </c>
      <c r="AC256" s="72" t="n">
        <v>27</v>
      </c>
      <c r="AD256" s="72" t="n">
        <v>28</v>
      </c>
      <c r="AE256" s="72" t="n">
        <v>29</v>
      </c>
      <c r="AF256" s="72" t="n">
        <v>30</v>
      </c>
      <c r="AG256" s="72" t="n">
        <v>31</v>
      </c>
      <c r="AH256" s="72" t="n">
        <v>32</v>
      </c>
      <c r="AI256" s="72" t="n">
        <v>33</v>
      </c>
      <c r="AJ256" s="72" t="n">
        <v>34</v>
      </c>
      <c r="AK256" s="72" t="n">
        <v>35</v>
      </c>
      <c r="AL256" s="72" t="n">
        <v>36</v>
      </c>
    </row>
    <row r="257" customFormat="false" ht="15" hidden="false" customHeight="false" outlineLevel="0" collapsed="false">
      <c r="A257" s="72" t="s">
        <v>153</v>
      </c>
      <c r="C257" s="72" t="n">
        <f aca="false">ROUNDUP(C256*1/12,0)</f>
        <v>1</v>
      </c>
      <c r="D257" s="72" t="n">
        <f aca="false">ROUNDUP(D256*1/12,0)</f>
        <v>1</v>
      </c>
      <c r="E257" s="72" t="n">
        <f aca="false">ROUNDUP(E256*1/12,0)</f>
        <v>1</v>
      </c>
      <c r="F257" s="72" t="n">
        <f aca="false">ROUNDUP(F256*1/12,0)</f>
        <v>1</v>
      </c>
      <c r="G257" s="72" t="n">
        <f aca="false">ROUNDUP(G256*1/12,0)</f>
        <v>1</v>
      </c>
      <c r="H257" s="72" t="n">
        <f aca="false">ROUNDUP(H256*1/12,0)</f>
        <v>1</v>
      </c>
      <c r="I257" s="72" t="n">
        <f aca="false">ROUNDUP(I256*1/12,0)</f>
        <v>1</v>
      </c>
      <c r="J257" s="72" t="n">
        <f aca="false">ROUNDUP(J256*1/12,0)</f>
        <v>1</v>
      </c>
      <c r="K257" s="72" t="n">
        <f aca="false">ROUNDUP(K256*1/12,0)</f>
        <v>1</v>
      </c>
      <c r="L257" s="72" t="n">
        <f aca="false">ROUNDUP(L256*1/12,0)</f>
        <v>1</v>
      </c>
      <c r="M257" s="72" t="n">
        <f aca="false">ROUNDUP(M256*1/12,0)</f>
        <v>1</v>
      </c>
      <c r="N257" s="72" t="n">
        <f aca="false">ROUNDUP(N256*1/12,0)</f>
        <v>1</v>
      </c>
      <c r="O257" s="72" t="n">
        <f aca="false">ROUNDUP(O256*1/12,0)</f>
        <v>2</v>
      </c>
      <c r="P257" s="72" t="n">
        <f aca="false">ROUNDUP(P256*1/12,0)</f>
        <v>2</v>
      </c>
      <c r="Q257" s="72" t="n">
        <f aca="false">ROUNDUP(Q256*1/12,0)</f>
        <v>2</v>
      </c>
      <c r="R257" s="72" t="n">
        <f aca="false">ROUNDUP(R256*1/12,0)</f>
        <v>2</v>
      </c>
      <c r="S257" s="72" t="n">
        <f aca="false">ROUNDUP(S256*1/12,0)</f>
        <v>2</v>
      </c>
      <c r="T257" s="72" t="n">
        <f aca="false">ROUNDUP(T256*1/12,0)</f>
        <v>2</v>
      </c>
      <c r="U257" s="72" t="n">
        <f aca="false">ROUNDUP(U256*1/12,0)</f>
        <v>2</v>
      </c>
      <c r="V257" s="72" t="n">
        <f aca="false">ROUNDUP(V256*1/12,0)</f>
        <v>2</v>
      </c>
      <c r="W257" s="72" t="n">
        <f aca="false">ROUNDUP(W256*1/12,0)</f>
        <v>2</v>
      </c>
      <c r="X257" s="72" t="n">
        <f aca="false">ROUNDUP(X256*1/12,0)</f>
        <v>2</v>
      </c>
      <c r="Y257" s="72" t="n">
        <f aca="false">ROUNDUP(Y256*1/12,0)</f>
        <v>2</v>
      </c>
      <c r="Z257" s="72" t="n">
        <f aca="false">ROUNDUP(Z256*1/12,0)</f>
        <v>2</v>
      </c>
      <c r="AA257" s="72" t="n">
        <f aca="false">ROUNDUP(AA256*1/12,0)</f>
        <v>3</v>
      </c>
      <c r="AB257" s="72" t="n">
        <f aca="false">ROUNDUP(AB256*1/12,0)</f>
        <v>3</v>
      </c>
      <c r="AC257" s="72" t="n">
        <f aca="false">ROUNDUP(AC256*1/12,0)</f>
        <v>3</v>
      </c>
      <c r="AD257" s="72" t="n">
        <f aca="false">ROUNDUP(AD256*1/12,0)</f>
        <v>3</v>
      </c>
      <c r="AE257" s="72" t="n">
        <f aca="false">ROUNDUP(AE256*1/12,0)</f>
        <v>3</v>
      </c>
      <c r="AF257" s="72" t="n">
        <f aca="false">ROUNDUP(AF256*1/12,0)</f>
        <v>3</v>
      </c>
      <c r="AG257" s="72" t="n">
        <f aca="false">ROUNDUP(AG256*1/12,0)</f>
        <v>3</v>
      </c>
      <c r="AH257" s="72" t="n">
        <f aca="false">ROUNDUP(AH256*1/12,0)</f>
        <v>3</v>
      </c>
      <c r="AI257" s="72" t="n">
        <f aca="false">ROUNDUP(AI256*1/12,0)</f>
        <v>3</v>
      </c>
      <c r="AJ257" s="72" t="n">
        <f aca="false">ROUNDUP(AJ256*1/12,0)</f>
        <v>3</v>
      </c>
      <c r="AK257" s="72" t="n">
        <f aca="false">ROUNDUP(AK256*1/12,0)</f>
        <v>3</v>
      </c>
      <c r="AL257" s="72" t="n">
        <f aca="false">ROUNDUP(AL256*1/12,0)</f>
        <v>3</v>
      </c>
    </row>
    <row r="259" customFormat="false" ht="15.75" hidden="false" customHeight="true" outlineLevel="0" collapsed="false">
      <c r="A259" s="7" t="s">
        <v>265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customFormat="false" ht="15" hidden="false" customHeight="false" outlineLevel="0" collapsed="false">
      <c r="A260" s="6" t="s">
        <v>233</v>
      </c>
      <c r="C260" s="114" t="n">
        <f aca="false">-C295/MAX(1,Inputs!$D$19)</f>
        <v>36.8421052631579</v>
      </c>
      <c r="D260" s="114" t="n">
        <f aca="false">-D295/MAX(1,Inputs!$D$19)</f>
        <v>36.8421052631579</v>
      </c>
      <c r="E260" s="114" t="n">
        <f aca="false">-E295/MAX(1,Inputs!$D$19)</f>
        <v>36.8421052631579</v>
      </c>
      <c r="F260" s="114" t="n">
        <f aca="false">-F295/MAX(1,Inputs!$D$19)</f>
        <v>36.8421052631579</v>
      </c>
      <c r="G260" s="114" t="n">
        <f aca="false">-G295/MAX(1,Inputs!$D$19)</f>
        <v>36.8421052631579</v>
      </c>
      <c r="H260" s="114" t="n">
        <f aca="false">-H295/MAX(1,Inputs!$D$19)</f>
        <v>36.8421052631579</v>
      </c>
      <c r="I260" s="114" t="n">
        <f aca="false">-I295/MAX(1,Inputs!$D$19)</f>
        <v>36.8421052631579</v>
      </c>
      <c r="J260" s="114" t="n">
        <f aca="false">-J295/MAX(1,Inputs!$D$19)</f>
        <v>36.8421052631579</v>
      </c>
      <c r="K260" s="114" t="n">
        <f aca="false">-K295/MAX(1,Inputs!$D$19)</f>
        <v>36.8421052631579</v>
      </c>
      <c r="L260" s="114" t="n">
        <f aca="false">-L295/MAX(1,Inputs!$D$19)</f>
        <v>36.8421052631579</v>
      </c>
      <c r="M260" s="114" t="n">
        <f aca="false">-M295/MAX(1,Inputs!$D$19)</f>
        <v>36.8421052631579</v>
      </c>
      <c r="N260" s="114" t="n">
        <f aca="false">-N295/MAX(1,Inputs!$D$19)</f>
        <v>36.8421052631579</v>
      </c>
      <c r="O260" s="114" t="n">
        <f aca="false">-O295/MAX(1,Inputs!$D$19)</f>
        <v>40.5263157894737</v>
      </c>
      <c r="P260" s="114" t="n">
        <f aca="false">-P295/MAX(1,Inputs!$D$19)</f>
        <v>40.5263157894737</v>
      </c>
      <c r="Q260" s="114" t="n">
        <f aca="false">-Q295/MAX(1,Inputs!$D$19)</f>
        <v>40.5263157894737</v>
      </c>
      <c r="R260" s="114" t="n">
        <f aca="false">-R295/MAX(1,Inputs!$D$19)</f>
        <v>40.5263157894737</v>
      </c>
      <c r="S260" s="114" t="n">
        <f aca="false">-S295/MAX(1,Inputs!$D$19)</f>
        <v>40.5263157894737</v>
      </c>
      <c r="T260" s="114" t="n">
        <f aca="false">-T295/MAX(1,Inputs!$D$19)</f>
        <v>40.5263157894737</v>
      </c>
      <c r="U260" s="114" t="n">
        <f aca="false">-U295/MAX(1,Inputs!$D$19)</f>
        <v>40.5263157894737</v>
      </c>
      <c r="V260" s="114" t="n">
        <f aca="false">-V295/MAX(1,Inputs!$D$19)</f>
        <v>40.5263157894737</v>
      </c>
      <c r="W260" s="114" t="n">
        <f aca="false">-W295/MAX(1,Inputs!$D$19)</f>
        <v>40.5263157894737</v>
      </c>
      <c r="X260" s="114" t="n">
        <f aca="false">-X295/MAX(1,Inputs!$D$19)</f>
        <v>40.5263157894737</v>
      </c>
      <c r="Y260" s="114" t="n">
        <f aca="false">-Y295/MAX(1,Inputs!$D$19)</f>
        <v>40.5263157894737</v>
      </c>
      <c r="Z260" s="114" t="n">
        <f aca="false">-Z295/MAX(1,Inputs!$D$19)</f>
        <v>40.5263157894737</v>
      </c>
      <c r="AA260" s="114" t="n">
        <f aca="false">-AA295/MAX(1,Inputs!$D$19)</f>
        <v>44.5789473684211</v>
      </c>
      <c r="AB260" s="114" t="n">
        <f aca="false">-AB295/MAX(1,Inputs!$D$19)</f>
        <v>44.5789473684211</v>
      </c>
      <c r="AC260" s="114" t="n">
        <f aca="false">-AC295/MAX(1,Inputs!$D$19)</f>
        <v>44.5789473684211</v>
      </c>
      <c r="AD260" s="114" t="n">
        <f aca="false">-AD295/MAX(1,Inputs!$D$19)</f>
        <v>44.5789473684211</v>
      </c>
      <c r="AE260" s="114" t="n">
        <f aca="false">-AE295/MAX(1,Inputs!$D$19)</f>
        <v>44.5789473684211</v>
      </c>
      <c r="AF260" s="114" t="n">
        <f aca="false">-AF295/MAX(1,Inputs!$D$19)</f>
        <v>44.5789473684211</v>
      </c>
      <c r="AG260" s="114" t="n">
        <f aca="false">-AG295/MAX(1,Inputs!$D$19)</f>
        <v>44.5789473684211</v>
      </c>
      <c r="AH260" s="114" t="n">
        <f aca="false">-AH295/MAX(1,Inputs!$D$19)</f>
        <v>44.5789473684211</v>
      </c>
      <c r="AI260" s="114" t="n">
        <f aca="false">-AI295/MAX(1,Inputs!$D$19)</f>
        <v>44.5789473684211</v>
      </c>
      <c r="AJ260" s="114" t="n">
        <f aca="false">-AJ295/MAX(1,Inputs!$D$19)</f>
        <v>44.5789473684211</v>
      </c>
      <c r="AK260" s="114" t="n">
        <f aca="false">-AK295/MAX(1,Inputs!$D$19)</f>
        <v>44.5789473684211</v>
      </c>
      <c r="AL260" s="114" t="n">
        <f aca="false">-AL295/MAX(1,Inputs!$D$19)</f>
        <v>44.5789473684211</v>
      </c>
    </row>
    <row r="261" customFormat="false" ht="15" hidden="false" customHeight="false" outlineLevel="0" collapsed="false">
      <c r="A261" s="6" t="s">
        <v>410</v>
      </c>
      <c r="C261" s="114" t="n">
        <f aca="false">Inputs!$D$15*(1+Inputs!$D$16)^(C$257-1)*1</f>
        <v>28</v>
      </c>
      <c r="D261" s="114" t="n">
        <f aca="false">Inputs!$D$15*(1+Inputs!$D$16)^(D$257-1)*1</f>
        <v>28</v>
      </c>
      <c r="E261" s="114" t="n">
        <f aca="false">Inputs!$D$15*(1+Inputs!$D$16)^(E$257-1)*1</f>
        <v>28</v>
      </c>
      <c r="F261" s="114" t="n">
        <f aca="false">Inputs!$D$15*(1+Inputs!$D$16)^(F$257-1)*1</f>
        <v>28</v>
      </c>
      <c r="G261" s="114" t="n">
        <f aca="false">Inputs!$D$15*(1+Inputs!$D$16)^(G$257-1)*1</f>
        <v>28</v>
      </c>
      <c r="H261" s="114" t="n">
        <f aca="false">Inputs!$D$15*(1+Inputs!$D$16)^(H$257-1)*1</f>
        <v>28</v>
      </c>
      <c r="I261" s="114" t="n">
        <f aca="false">Inputs!$D$15*(1+Inputs!$D$16)^(I$257-1)*1</f>
        <v>28</v>
      </c>
      <c r="J261" s="114" t="n">
        <f aca="false">Inputs!$D$15*(1+Inputs!$D$16)^(J$257-1)*1</f>
        <v>28</v>
      </c>
      <c r="K261" s="114" t="n">
        <f aca="false">Inputs!$D$15*(1+Inputs!$D$16)^(K$257-1)*1</f>
        <v>28</v>
      </c>
      <c r="L261" s="114" t="n">
        <f aca="false">Inputs!$D$15*(1+Inputs!$D$16)^(L$257-1)*1</f>
        <v>28</v>
      </c>
      <c r="M261" s="114" t="n">
        <f aca="false">Inputs!$D$15*(1+Inputs!$D$16)^(M$257-1)*1</f>
        <v>28</v>
      </c>
      <c r="N261" s="114" t="n">
        <f aca="false">Inputs!$D$15*(1+Inputs!$D$16)^(N$257-1)*1</f>
        <v>28</v>
      </c>
      <c r="O261" s="114" t="n">
        <f aca="false">Inputs!$D$15*(1+Inputs!$D$16)^(O$257-1)*1</f>
        <v>30.52</v>
      </c>
      <c r="P261" s="114" t="n">
        <f aca="false">Inputs!$D$15*(1+Inputs!$D$16)^(P$257-1)*1</f>
        <v>30.52</v>
      </c>
      <c r="Q261" s="114" t="n">
        <f aca="false">Inputs!$D$15*(1+Inputs!$D$16)^(Q$257-1)*1</f>
        <v>30.52</v>
      </c>
      <c r="R261" s="114" t="n">
        <f aca="false">Inputs!$D$15*(1+Inputs!$D$16)^(R$257-1)*1</f>
        <v>30.52</v>
      </c>
      <c r="S261" s="114" t="n">
        <f aca="false">Inputs!$D$15*(1+Inputs!$D$16)^(S$257-1)*1</f>
        <v>30.52</v>
      </c>
      <c r="T261" s="114" t="n">
        <f aca="false">Inputs!$D$15*(1+Inputs!$D$16)^(T$257-1)*1</f>
        <v>30.52</v>
      </c>
      <c r="U261" s="114" t="n">
        <f aca="false">Inputs!$D$15*(1+Inputs!$D$16)^(U$257-1)*1</f>
        <v>30.52</v>
      </c>
      <c r="V261" s="114" t="n">
        <f aca="false">Inputs!$D$15*(1+Inputs!$D$16)^(V$257-1)*1</f>
        <v>30.52</v>
      </c>
      <c r="W261" s="114" t="n">
        <f aca="false">Inputs!$D$15*(1+Inputs!$D$16)^(W$257-1)*1</f>
        <v>30.52</v>
      </c>
      <c r="X261" s="114" t="n">
        <f aca="false">Inputs!$D$15*(1+Inputs!$D$16)^(X$257-1)*1</f>
        <v>30.52</v>
      </c>
      <c r="Y261" s="114" t="n">
        <f aca="false">Inputs!$D$15*(1+Inputs!$D$16)^(Y$257-1)*1</f>
        <v>30.52</v>
      </c>
      <c r="Z261" s="114" t="n">
        <f aca="false">Inputs!$D$15*(1+Inputs!$D$16)^(Z$257-1)*1</f>
        <v>30.52</v>
      </c>
      <c r="AA261" s="114" t="n">
        <f aca="false">Inputs!$D$15*(1+Inputs!$D$16)^(AA$257-1)*1</f>
        <v>33.2668</v>
      </c>
      <c r="AB261" s="114" t="n">
        <f aca="false">Inputs!$D$15*(1+Inputs!$D$16)^(AB$257-1)*1</f>
        <v>33.2668</v>
      </c>
      <c r="AC261" s="114" t="n">
        <f aca="false">Inputs!$D$15*(1+Inputs!$D$16)^(AC$257-1)*1</f>
        <v>33.2668</v>
      </c>
      <c r="AD261" s="114" t="n">
        <f aca="false">Inputs!$D$15*(1+Inputs!$D$16)^(AD$257-1)*1</f>
        <v>33.2668</v>
      </c>
      <c r="AE261" s="114" t="n">
        <f aca="false">Inputs!$D$15*(1+Inputs!$D$16)^(AE$257-1)*1</f>
        <v>33.2668</v>
      </c>
      <c r="AF261" s="114" t="n">
        <f aca="false">Inputs!$D$15*(1+Inputs!$D$16)^(AF$257-1)*1</f>
        <v>33.2668</v>
      </c>
      <c r="AG261" s="114" t="n">
        <f aca="false">Inputs!$D$15*(1+Inputs!$D$16)^(AG$257-1)*1</f>
        <v>33.2668</v>
      </c>
      <c r="AH261" s="114" t="n">
        <f aca="false">Inputs!$D$15*(1+Inputs!$D$16)^(AH$257-1)*1</f>
        <v>33.2668</v>
      </c>
      <c r="AI261" s="114" t="n">
        <f aca="false">Inputs!$D$15*(1+Inputs!$D$16)^(AI$257-1)*1</f>
        <v>33.2668</v>
      </c>
      <c r="AJ261" s="114" t="n">
        <f aca="false">Inputs!$D$15*(1+Inputs!$D$16)^(AJ$257-1)*1</f>
        <v>33.2668</v>
      </c>
      <c r="AK261" s="114" t="n">
        <f aca="false">Inputs!$D$15*(1+Inputs!$D$16)^(AK$257-1)*1</f>
        <v>33.2668</v>
      </c>
      <c r="AL261" s="114" t="n">
        <f aca="false">Inputs!$D$15*(1+Inputs!$D$16)^(AL$257-1)*1</f>
        <v>33.2668</v>
      </c>
    </row>
    <row r="262" customFormat="false" ht="15" hidden="false" customHeight="false" outlineLevel="0" collapsed="false">
      <c r="A262" s="4" t="s">
        <v>411</v>
      </c>
      <c r="C262" s="115" t="n">
        <f aca="false">C260+C261</f>
        <v>64.8421052631579</v>
      </c>
      <c r="D262" s="115" t="n">
        <f aca="false">D260+D261</f>
        <v>64.8421052631579</v>
      </c>
      <c r="E262" s="115" t="n">
        <f aca="false">E260+E261</f>
        <v>64.8421052631579</v>
      </c>
      <c r="F262" s="115" t="n">
        <f aca="false">F260+F261</f>
        <v>64.8421052631579</v>
      </c>
      <c r="G262" s="115" t="n">
        <f aca="false">G260+G261</f>
        <v>64.8421052631579</v>
      </c>
      <c r="H262" s="115" t="n">
        <f aca="false">H260+H261</f>
        <v>64.8421052631579</v>
      </c>
      <c r="I262" s="115" t="n">
        <f aca="false">I260+I261</f>
        <v>64.8421052631579</v>
      </c>
      <c r="J262" s="115" t="n">
        <f aca="false">J260+J261</f>
        <v>64.8421052631579</v>
      </c>
      <c r="K262" s="115" t="n">
        <f aca="false">K260+K261</f>
        <v>64.8421052631579</v>
      </c>
      <c r="L262" s="115" t="n">
        <f aca="false">L260+L261</f>
        <v>64.8421052631579</v>
      </c>
      <c r="M262" s="115" t="n">
        <f aca="false">M260+M261</f>
        <v>64.8421052631579</v>
      </c>
      <c r="N262" s="115" t="n">
        <f aca="false">N260+N261</f>
        <v>64.8421052631579</v>
      </c>
      <c r="O262" s="115" t="n">
        <f aca="false">O260+O261</f>
        <v>71.0463157894737</v>
      </c>
      <c r="P262" s="115" t="n">
        <f aca="false">P260+P261</f>
        <v>71.0463157894737</v>
      </c>
      <c r="Q262" s="115" t="n">
        <f aca="false">Q260+Q261</f>
        <v>71.0463157894737</v>
      </c>
      <c r="R262" s="115" t="n">
        <f aca="false">R260+R261</f>
        <v>71.0463157894737</v>
      </c>
      <c r="S262" s="115" t="n">
        <f aca="false">S260+S261</f>
        <v>71.0463157894737</v>
      </c>
      <c r="T262" s="115" t="n">
        <f aca="false">T260+T261</f>
        <v>71.0463157894737</v>
      </c>
      <c r="U262" s="115" t="n">
        <f aca="false">U260+U261</f>
        <v>71.0463157894737</v>
      </c>
      <c r="V262" s="115" t="n">
        <f aca="false">V260+V261</f>
        <v>71.0463157894737</v>
      </c>
      <c r="W262" s="115" t="n">
        <f aca="false">W260+W261</f>
        <v>71.0463157894737</v>
      </c>
      <c r="X262" s="115" t="n">
        <f aca="false">X260+X261</f>
        <v>71.0463157894737</v>
      </c>
      <c r="Y262" s="115" t="n">
        <f aca="false">Y260+Y261</f>
        <v>71.0463157894737</v>
      </c>
      <c r="Z262" s="115" t="n">
        <f aca="false">Z260+Z261</f>
        <v>71.0463157894737</v>
      </c>
      <c r="AA262" s="115" t="n">
        <f aca="false">AA260+AA261</f>
        <v>77.8457473684211</v>
      </c>
      <c r="AB262" s="115" t="n">
        <f aca="false">AB260+AB261</f>
        <v>77.8457473684211</v>
      </c>
      <c r="AC262" s="115" t="n">
        <f aca="false">AC260+AC261</f>
        <v>77.8457473684211</v>
      </c>
      <c r="AD262" s="115" t="n">
        <f aca="false">AD260+AD261</f>
        <v>77.8457473684211</v>
      </c>
      <c r="AE262" s="115" t="n">
        <f aca="false">AE260+AE261</f>
        <v>77.8457473684211</v>
      </c>
      <c r="AF262" s="115" t="n">
        <f aca="false">AF260+AF261</f>
        <v>77.8457473684211</v>
      </c>
      <c r="AG262" s="115" t="n">
        <f aca="false">AG260+AG261</f>
        <v>77.8457473684211</v>
      </c>
      <c r="AH262" s="115" t="n">
        <f aca="false">AH260+AH261</f>
        <v>77.8457473684211</v>
      </c>
      <c r="AI262" s="115" t="n">
        <f aca="false">AI260+AI261</f>
        <v>77.8457473684211</v>
      </c>
      <c r="AJ262" s="115" t="n">
        <f aca="false">AJ260+AJ261</f>
        <v>77.8457473684211</v>
      </c>
      <c r="AK262" s="115" t="n">
        <f aca="false">AK260+AK261</f>
        <v>77.8457473684211</v>
      </c>
      <c r="AL262" s="115" t="n">
        <f aca="false">AL260+AL261</f>
        <v>77.8457473684211</v>
      </c>
    </row>
    <row r="263" customFormat="false" ht="15" hidden="false" customHeight="false" outlineLevel="0" collapsed="false">
      <c r="A263" s="6" t="s">
        <v>412</v>
      </c>
      <c r="C263" s="116" t="n">
        <f aca="false">Inputs!$D$14</f>
        <v>3300</v>
      </c>
      <c r="D263" s="114" t="n">
        <f aca="false">C265</f>
        <v>3325.24210526316</v>
      </c>
      <c r="E263" s="114" t="n">
        <f aca="false">D265</f>
        <v>3350.18130526316</v>
      </c>
      <c r="F263" s="114" t="n">
        <f aca="false">E265</f>
        <v>3374.82123486316</v>
      </c>
      <c r="G263" s="114" t="n">
        <f aca="false">F265</f>
        <v>3399.16548530796</v>
      </c>
      <c r="H263" s="114" t="n">
        <f aca="false">G265</f>
        <v>3423.21760474742</v>
      </c>
      <c r="I263" s="114" t="n">
        <f aca="false">H265</f>
        <v>3446.98109875361</v>
      </c>
      <c r="J263" s="114" t="n">
        <f aca="false">I265</f>
        <v>3470.45943083172</v>
      </c>
      <c r="K263" s="114" t="n">
        <f aca="false">J265</f>
        <v>3493.6560229249</v>
      </c>
      <c r="L263" s="114" t="n">
        <f aca="false">K265</f>
        <v>3516.57425591296</v>
      </c>
      <c r="M263" s="114" t="n">
        <f aca="false">L265</f>
        <v>3539.21747010516</v>
      </c>
      <c r="N263" s="114" t="n">
        <f aca="false">M265</f>
        <v>3561.58896572706</v>
      </c>
      <c r="O263" s="114" t="n">
        <f aca="false">N265</f>
        <v>3583.69200340149</v>
      </c>
      <c r="P263" s="114" t="n">
        <f aca="false">O265</f>
        <v>3611.73401515015</v>
      </c>
      <c r="Q263" s="114" t="n">
        <f aca="false">P265</f>
        <v>3639.43952275782</v>
      </c>
      <c r="R263" s="114" t="n">
        <f aca="false">Q265</f>
        <v>3666.8125642742</v>
      </c>
      <c r="S263" s="114" t="n">
        <f aca="false">R265</f>
        <v>3693.85712929238</v>
      </c>
      <c r="T263" s="114" t="n">
        <f aca="false">S265</f>
        <v>3720.57715953035</v>
      </c>
      <c r="U263" s="114" t="n">
        <f aca="false">T265</f>
        <v>3746.97654940546</v>
      </c>
      <c r="V263" s="114" t="n">
        <f aca="false">U265</f>
        <v>3773.05914660207</v>
      </c>
      <c r="W263" s="114" t="n">
        <f aca="false">V265</f>
        <v>3798.82875263231</v>
      </c>
      <c r="X263" s="114" t="n">
        <f aca="false">W265</f>
        <v>3824.2891233902</v>
      </c>
      <c r="Y263" s="114" t="n">
        <f aca="false">X265</f>
        <v>3849.44396969899</v>
      </c>
      <c r="Z263" s="114" t="n">
        <f aca="false">Y265</f>
        <v>3874.29695785208</v>
      </c>
      <c r="AA263" s="114" t="n">
        <f aca="false">Z265</f>
        <v>3898.85171014733</v>
      </c>
      <c r="AB263" s="114" t="n">
        <f aca="false">AA265</f>
        <v>3929.91123699398</v>
      </c>
      <c r="AC263" s="114" t="n">
        <f aca="false">AB265</f>
        <v>3960.59804951847</v>
      </c>
      <c r="AD263" s="114" t="n">
        <f aca="false">AC265</f>
        <v>3990.91662029267</v>
      </c>
      <c r="AE263" s="114" t="n">
        <f aca="false">AD265</f>
        <v>4020.87136821758</v>
      </c>
      <c r="AF263" s="114" t="n">
        <f aca="false">AE265</f>
        <v>4050.46665916739</v>
      </c>
      <c r="AG263" s="114" t="n">
        <f aca="false">AF265</f>
        <v>4079.7068066258</v>
      </c>
      <c r="AH263" s="114" t="n">
        <f aca="false">AG265</f>
        <v>4108.59607231472</v>
      </c>
      <c r="AI263" s="114" t="n">
        <f aca="false">AH265</f>
        <v>4137.13866681536</v>
      </c>
      <c r="AJ263" s="114" t="n">
        <f aca="false">AI265</f>
        <v>4165.338750182</v>
      </c>
      <c r="AK263" s="114" t="n">
        <f aca="false">AJ265</f>
        <v>4193.20043254823</v>
      </c>
      <c r="AL263" s="114" t="n">
        <f aca="false">AK265</f>
        <v>4220.72777472607</v>
      </c>
    </row>
    <row r="264" customFormat="false" ht="15" hidden="false" customHeight="false" outlineLevel="0" collapsed="false">
      <c r="A264" s="6" t="s">
        <v>413</v>
      </c>
      <c r="C264" s="114" t="n">
        <f aca="false">C265-C263-C262</f>
        <v>-39.5999999999999</v>
      </c>
      <c r="D264" s="114" t="n">
        <f aca="false">D265-D263-D262</f>
        <v>-39.9029052631581</v>
      </c>
      <c r="E264" s="114" t="n">
        <f aca="false">E265-E263-E262</f>
        <v>-40.2021756631579</v>
      </c>
      <c r="F264" s="114" t="n">
        <f aca="false">F265-F263-F262</f>
        <v>-40.497854818358</v>
      </c>
      <c r="G264" s="114" t="n">
        <f aca="false">G265-G263-G262</f>
        <v>-40.7899858236956</v>
      </c>
      <c r="H264" s="114" t="n">
        <f aca="false">H265-H263-H262</f>
        <v>-41.078611256969</v>
      </c>
      <c r="I264" s="114" t="n">
        <f aca="false">I265-I263-I262</f>
        <v>-41.3637731850435</v>
      </c>
      <c r="J264" s="114" t="n">
        <f aca="false">J265-J263-J262</f>
        <v>-41.6455131699808</v>
      </c>
      <c r="K264" s="114" t="n">
        <f aca="false">K265-K263-K262</f>
        <v>-41.9238722750988</v>
      </c>
      <c r="L264" s="114" t="n">
        <f aca="false">L265-L263-L262</f>
        <v>-42.1988910709556</v>
      </c>
      <c r="M264" s="114" t="n">
        <f aca="false">M265-M263-M262</f>
        <v>-42.4706096412619</v>
      </c>
      <c r="N264" s="114" t="n">
        <f aca="false">N265-N263-N262</f>
        <v>-42.7390675887245</v>
      </c>
      <c r="O264" s="114" t="n">
        <f aca="false">O265-O263-O262</f>
        <v>-43.0043040408177</v>
      </c>
      <c r="P264" s="114" t="n">
        <f aca="false">P265-P263-P262</f>
        <v>-43.340808181802</v>
      </c>
      <c r="Q264" s="114" t="n">
        <f aca="false">Q265-Q263-Q262</f>
        <v>-43.6732742730937</v>
      </c>
      <c r="R264" s="114" t="n">
        <f aca="false">R265-R263-R262</f>
        <v>-44.0017507712905</v>
      </c>
      <c r="S264" s="114" t="n">
        <f aca="false">S265-S263-S262</f>
        <v>-44.3262855515086</v>
      </c>
      <c r="T264" s="114" t="n">
        <f aca="false">T265-T263-T262</f>
        <v>-44.6469259143641</v>
      </c>
      <c r="U264" s="114" t="n">
        <f aca="false">U265-U263-U262</f>
        <v>-44.9637185928654</v>
      </c>
      <c r="V264" s="114" t="n">
        <f aca="false">V265-V263-V262</f>
        <v>-45.276709759225</v>
      </c>
      <c r="W264" s="114" t="n">
        <f aca="false">W265-W263-W262</f>
        <v>-45.5859450315879</v>
      </c>
      <c r="X264" s="114" t="n">
        <f aca="false">X265-X263-X262</f>
        <v>-45.8914694806826</v>
      </c>
      <c r="Y264" s="114" t="n">
        <f aca="false">Y265-Y263-Y262</f>
        <v>-46.1933276363879</v>
      </c>
      <c r="Z264" s="114" t="n">
        <f aca="false">Z265-Z263-Z262</f>
        <v>-46.4915634942249</v>
      </c>
      <c r="AA264" s="114" t="n">
        <f aca="false">AA265-AA263-AA262</f>
        <v>-46.7862205217679</v>
      </c>
      <c r="AB264" s="114" t="n">
        <f aca="false">AB265-AB263-AB262</f>
        <v>-47.1589348439278</v>
      </c>
      <c r="AC264" s="114" t="n">
        <f aca="false">AC265-AC263-AC262</f>
        <v>-47.5271765942215</v>
      </c>
      <c r="AD264" s="114" t="n">
        <f aca="false">AD265-AD263-AD262</f>
        <v>-47.890999443512</v>
      </c>
      <c r="AE264" s="114" t="n">
        <f aca="false">AE265-AE263-AE262</f>
        <v>-48.250456418611</v>
      </c>
      <c r="AF264" s="114" t="n">
        <f aca="false">AF265-AF263-AF262</f>
        <v>-48.6055999100085</v>
      </c>
      <c r="AG264" s="114" t="n">
        <f aca="false">AG265-AG263-AG262</f>
        <v>-48.9564816795095</v>
      </c>
      <c r="AH264" s="114" t="n">
        <f aca="false">AH265-AH263-AH262</f>
        <v>-49.3031528677765</v>
      </c>
      <c r="AI264" s="114" t="n">
        <f aca="false">AI265-AI263-AI262</f>
        <v>-49.6456640017849</v>
      </c>
      <c r="AJ264" s="114" t="n">
        <f aca="false">AJ265-AJ263-AJ262</f>
        <v>-49.9840650021842</v>
      </c>
      <c r="AK264" s="114" t="n">
        <f aca="false">AK265-AK263-AK262</f>
        <v>-50.3184051905791</v>
      </c>
      <c r="AL264" s="114" t="n">
        <f aca="false">AL265-AL263-AL262</f>
        <v>-50.6487332967126</v>
      </c>
    </row>
    <row r="265" customFormat="false" ht="15" hidden="false" customHeight="false" outlineLevel="0" collapsed="false">
      <c r="A265" s="4" t="s">
        <v>414</v>
      </c>
      <c r="C265" s="115" t="n">
        <f aca="false">C263*(1-Inputs!$D$20)+C262</f>
        <v>3325.24210526316</v>
      </c>
      <c r="D265" s="115" t="n">
        <f aca="false">D263*(1-Inputs!$D$20)+D262</f>
        <v>3350.18130526316</v>
      </c>
      <c r="E265" s="115" t="n">
        <f aca="false">E263*(1-Inputs!$D$20)+E262</f>
        <v>3374.82123486316</v>
      </c>
      <c r="F265" s="115" t="n">
        <f aca="false">F263*(1-Inputs!$D$20)+F262</f>
        <v>3399.16548530796</v>
      </c>
      <c r="G265" s="115" t="n">
        <f aca="false">G263*(1-Inputs!$D$20)+G262</f>
        <v>3423.21760474742</v>
      </c>
      <c r="H265" s="115" t="n">
        <f aca="false">H263*(1-Inputs!$D$20)+H262</f>
        <v>3446.98109875361</v>
      </c>
      <c r="I265" s="115" t="n">
        <f aca="false">I263*(1-Inputs!$D$20)+I262</f>
        <v>3470.45943083172</v>
      </c>
      <c r="J265" s="115" t="n">
        <f aca="false">J263*(1-Inputs!$D$20)+J262</f>
        <v>3493.6560229249</v>
      </c>
      <c r="K265" s="115" t="n">
        <f aca="false">K263*(1-Inputs!$D$20)+K262</f>
        <v>3516.57425591296</v>
      </c>
      <c r="L265" s="115" t="n">
        <f aca="false">L263*(1-Inputs!$D$20)+L262</f>
        <v>3539.21747010516</v>
      </c>
      <c r="M265" s="115" t="n">
        <f aca="false">M263*(1-Inputs!$D$20)+M262</f>
        <v>3561.58896572706</v>
      </c>
      <c r="N265" s="115" t="n">
        <f aca="false">N263*(1-Inputs!$D$20)+N262</f>
        <v>3583.69200340149</v>
      </c>
      <c r="O265" s="115" t="n">
        <f aca="false">O263*(1-Inputs!$D$20)+O262</f>
        <v>3611.73401515015</v>
      </c>
      <c r="P265" s="115" t="n">
        <f aca="false">P263*(1-Inputs!$D$20)+P262</f>
        <v>3639.43952275782</v>
      </c>
      <c r="Q265" s="115" t="n">
        <f aca="false">Q263*(1-Inputs!$D$20)+Q262</f>
        <v>3666.8125642742</v>
      </c>
      <c r="R265" s="115" t="n">
        <f aca="false">R263*(1-Inputs!$D$20)+R262</f>
        <v>3693.85712929238</v>
      </c>
      <c r="S265" s="115" t="n">
        <f aca="false">S263*(1-Inputs!$D$20)+S262</f>
        <v>3720.57715953035</v>
      </c>
      <c r="T265" s="115" t="n">
        <f aca="false">T263*(1-Inputs!$D$20)+T262</f>
        <v>3746.97654940546</v>
      </c>
      <c r="U265" s="115" t="n">
        <f aca="false">U263*(1-Inputs!$D$20)+U262</f>
        <v>3773.05914660207</v>
      </c>
      <c r="V265" s="115" t="n">
        <f aca="false">V263*(1-Inputs!$D$20)+V262</f>
        <v>3798.82875263231</v>
      </c>
      <c r="W265" s="115" t="n">
        <f aca="false">W263*(1-Inputs!$D$20)+W262</f>
        <v>3824.2891233902</v>
      </c>
      <c r="X265" s="115" t="n">
        <f aca="false">X263*(1-Inputs!$D$20)+X262</f>
        <v>3849.44396969899</v>
      </c>
      <c r="Y265" s="115" t="n">
        <f aca="false">Y263*(1-Inputs!$D$20)+Y262</f>
        <v>3874.29695785208</v>
      </c>
      <c r="Z265" s="115" t="n">
        <f aca="false">Z263*(1-Inputs!$D$20)+Z262</f>
        <v>3898.85171014733</v>
      </c>
      <c r="AA265" s="115" t="n">
        <f aca="false">AA263*(1-Inputs!$D$20)+AA262</f>
        <v>3929.91123699398</v>
      </c>
      <c r="AB265" s="115" t="n">
        <f aca="false">AB263*(1-Inputs!$D$20)+AB262</f>
        <v>3960.59804951847</v>
      </c>
      <c r="AC265" s="115" t="n">
        <f aca="false">AC263*(1-Inputs!$D$20)+AC262</f>
        <v>3990.91662029267</v>
      </c>
      <c r="AD265" s="115" t="n">
        <f aca="false">AD263*(1-Inputs!$D$20)+AD262</f>
        <v>4020.87136821758</v>
      </c>
      <c r="AE265" s="115" t="n">
        <f aca="false">AE263*(1-Inputs!$D$20)+AE262</f>
        <v>4050.46665916739</v>
      </c>
      <c r="AF265" s="115" t="n">
        <f aca="false">AF263*(1-Inputs!$D$20)+AF262</f>
        <v>4079.7068066258</v>
      </c>
      <c r="AG265" s="115" t="n">
        <f aca="false">AG263*(1-Inputs!$D$20)+AG262</f>
        <v>4108.59607231472</v>
      </c>
      <c r="AH265" s="115" t="n">
        <f aca="false">AH263*(1-Inputs!$D$20)+AH262</f>
        <v>4137.13866681536</v>
      </c>
      <c r="AI265" s="115" t="n">
        <f aca="false">AI263*(1-Inputs!$D$20)+AI262</f>
        <v>4165.338750182</v>
      </c>
      <c r="AJ265" s="115" t="n">
        <f aca="false">AJ263*(1-Inputs!$D$20)+AJ262</f>
        <v>4193.20043254823</v>
      </c>
      <c r="AK265" s="115" t="n">
        <f aca="false">AK263*(1-Inputs!$D$20)+AK262</f>
        <v>4220.72777472607</v>
      </c>
      <c r="AL265" s="115" t="n">
        <f aca="false">AL263*(1-Inputs!$D$20)+AL262</f>
        <v>4247.92478879778</v>
      </c>
    </row>
    <row r="266" customFormat="false" ht="15" hidden="false" customHeight="false" outlineLevel="0" collapsed="false">
      <c r="A266" s="6" t="s">
        <v>415</v>
      </c>
      <c r="C266" s="114" t="n">
        <f aca="false">(C263+C265)/2</f>
        <v>3312.62105263158</v>
      </c>
      <c r="D266" s="114" t="n">
        <f aca="false">(D263+D265)/2</f>
        <v>3337.71170526316</v>
      </c>
      <c r="E266" s="114" t="n">
        <f aca="false">(E263+E265)/2</f>
        <v>3362.50127006316</v>
      </c>
      <c r="F266" s="114" t="n">
        <f aca="false">(F263+F265)/2</f>
        <v>3386.99336008556</v>
      </c>
      <c r="G266" s="114" t="n">
        <f aca="false">(G263+G265)/2</f>
        <v>3411.19154502769</v>
      </c>
      <c r="H266" s="114" t="n">
        <f aca="false">(H263+H265)/2</f>
        <v>3435.09935175051</v>
      </c>
      <c r="I266" s="114" t="n">
        <f aca="false">(I263+I265)/2</f>
        <v>3458.72026479267</v>
      </c>
      <c r="J266" s="114" t="n">
        <f aca="false">(J263+J265)/2</f>
        <v>3482.05772687831</v>
      </c>
      <c r="K266" s="114" t="n">
        <f aca="false">(K263+K265)/2</f>
        <v>3505.11513941893</v>
      </c>
      <c r="L266" s="114" t="n">
        <f aca="false">(L263+L265)/2</f>
        <v>3527.89586300906</v>
      </c>
      <c r="M266" s="114" t="n">
        <f aca="false">(M263+M265)/2</f>
        <v>3550.40321791611</v>
      </c>
      <c r="N266" s="114" t="n">
        <f aca="false">(N263+N265)/2</f>
        <v>3572.64048456427</v>
      </c>
      <c r="O266" s="114" t="n">
        <f aca="false">(O263+O265)/2</f>
        <v>3597.71300927582</v>
      </c>
      <c r="P266" s="114" t="n">
        <f aca="false">(P263+P265)/2</f>
        <v>3625.58676895398</v>
      </c>
      <c r="Q266" s="114" t="n">
        <f aca="false">(Q263+Q265)/2</f>
        <v>3653.12604351601</v>
      </c>
      <c r="R266" s="114" t="n">
        <f aca="false">(R263+R265)/2</f>
        <v>3680.33484678329</v>
      </c>
      <c r="S266" s="114" t="n">
        <f aca="false">(S263+S265)/2</f>
        <v>3707.21714441136</v>
      </c>
      <c r="T266" s="114" t="n">
        <f aca="false">(T263+T265)/2</f>
        <v>3733.7768544679</v>
      </c>
      <c r="U266" s="114" t="n">
        <f aca="false">(U263+U265)/2</f>
        <v>3760.01784800376</v>
      </c>
      <c r="V266" s="114" t="n">
        <f aca="false">(V263+V265)/2</f>
        <v>3785.94394961719</v>
      </c>
      <c r="W266" s="114" t="n">
        <f aca="false">(W263+W265)/2</f>
        <v>3811.55893801126</v>
      </c>
      <c r="X266" s="114" t="n">
        <f aca="false">(X263+X265)/2</f>
        <v>3836.8665465446</v>
      </c>
      <c r="Y266" s="114" t="n">
        <f aca="false">(Y263+Y265)/2</f>
        <v>3861.87046377553</v>
      </c>
      <c r="Z266" s="114" t="n">
        <f aca="false">(Z263+Z265)/2</f>
        <v>3886.5743339997</v>
      </c>
      <c r="AA266" s="114" t="n">
        <f aca="false">(AA263+AA265)/2</f>
        <v>3914.38147357065</v>
      </c>
      <c r="AB266" s="114" t="n">
        <f aca="false">(AB263+AB265)/2</f>
        <v>3945.25464325623</v>
      </c>
      <c r="AC266" s="114" t="n">
        <f aca="false">(AC263+AC265)/2</f>
        <v>3975.75733490557</v>
      </c>
      <c r="AD266" s="114" t="n">
        <f aca="false">(AD263+AD265)/2</f>
        <v>4005.89399425513</v>
      </c>
      <c r="AE266" s="114" t="n">
        <f aca="false">(AE263+AE265)/2</f>
        <v>4035.66901369249</v>
      </c>
      <c r="AF266" s="114" t="n">
        <f aca="false">(AF263+AF265)/2</f>
        <v>4065.0867328966</v>
      </c>
      <c r="AG266" s="114" t="n">
        <f aca="false">(AG263+AG265)/2</f>
        <v>4094.15143947026</v>
      </c>
      <c r="AH266" s="114" t="n">
        <f aca="false">(AH263+AH265)/2</f>
        <v>4122.86736956504</v>
      </c>
      <c r="AI266" s="114" t="n">
        <f aca="false">(AI263+AI265)/2</f>
        <v>4151.23870849868</v>
      </c>
      <c r="AJ266" s="114" t="n">
        <f aca="false">(AJ263+AJ265)/2</f>
        <v>4179.26959136511</v>
      </c>
      <c r="AK266" s="114" t="n">
        <f aca="false">(AK263+AK265)/2</f>
        <v>4206.96410363715</v>
      </c>
      <c r="AL266" s="114" t="n">
        <f aca="false">(AL263+AL265)/2</f>
        <v>4234.32628176193</v>
      </c>
    </row>
    <row r="268" customFormat="false" ht="15.75" hidden="false" customHeight="true" outlineLevel="0" collapsed="false">
      <c r="A268" s="7" t="s">
        <v>416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customFormat="false" ht="15" hidden="false" customHeight="false" outlineLevel="0" collapsed="false">
      <c r="A269" s="6" t="s">
        <v>417</v>
      </c>
      <c r="C269" s="117" t="n">
        <f aca="false">Inputs!$D$7*Inputs!$D$9*Inputs!$D$11*1</f>
        <v>453.6</v>
      </c>
      <c r="D269" s="117" t="n">
        <f aca="false">Inputs!$D$7*Inputs!$D$9*Inputs!$D$11*1</f>
        <v>453.6</v>
      </c>
      <c r="E269" s="117" t="n">
        <f aca="false">Inputs!$D$7*Inputs!$D$9*Inputs!$D$11*1</f>
        <v>453.6</v>
      </c>
      <c r="F269" s="117" t="n">
        <f aca="false">Inputs!$D$7*Inputs!$D$9*Inputs!$D$11*1</f>
        <v>453.6</v>
      </c>
      <c r="G269" s="117" t="n">
        <f aca="false">Inputs!$D$7*Inputs!$D$9*Inputs!$D$11*1</f>
        <v>453.6</v>
      </c>
      <c r="H269" s="117" t="n">
        <f aca="false">Inputs!$D$7*Inputs!$D$9*Inputs!$D$11*1</f>
        <v>453.6</v>
      </c>
      <c r="I269" s="117" t="n">
        <f aca="false">Inputs!$D$7*Inputs!$D$9*Inputs!$D$11*1</f>
        <v>453.6</v>
      </c>
      <c r="J269" s="117" t="n">
        <f aca="false">Inputs!$D$7*Inputs!$D$9*Inputs!$D$11*1</f>
        <v>453.6</v>
      </c>
      <c r="K269" s="117" t="n">
        <f aca="false">Inputs!$D$7*Inputs!$D$9*Inputs!$D$11*1</f>
        <v>453.6</v>
      </c>
      <c r="L269" s="117" t="n">
        <f aca="false">Inputs!$D$7*Inputs!$D$9*Inputs!$D$11*1</f>
        <v>453.6</v>
      </c>
      <c r="M269" s="117" t="n">
        <f aca="false">Inputs!$D$7*Inputs!$D$9*Inputs!$D$11*1</f>
        <v>453.6</v>
      </c>
      <c r="N269" s="117" t="n">
        <f aca="false">Inputs!$D$7*Inputs!$D$9*Inputs!$D$11*1</f>
        <v>453.6</v>
      </c>
      <c r="O269" s="117" t="n">
        <f aca="false">Inputs!$D$7*Inputs!$D$9*Inputs!$D$11*1</f>
        <v>453.6</v>
      </c>
      <c r="P269" s="117" t="n">
        <f aca="false">Inputs!$D$7*Inputs!$D$9*Inputs!$D$11*1</f>
        <v>453.6</v>
      </c>
      <c r="Q269" s="117" t="n">
        <f aca="false">Inputs!$D$7*Inputs!$D$9*Inputs!$D$11*1</f>
        <v>453.6</v>
      </c>
      <c r="R269" s="117" t="n">
        <f aca="false">Inputs!$D$7*Inputs!$D$9*Inputs!$D$11*1</f>
        <v>453.6</v>
      </c>
      <c r="S269" s="117" t="n">
        <f aca="false">Inputs!$D$7*Inputs!$D$9*Inputs!$D$11*1</f>
        <v>453.6</v>
      </c>
      <c r="T269" s="117" t="n">
        <f aca="false">Inputs!$D$7*Inputs!$D$9*Inputs!$D$11*1</f>
        <v>453.6</v>
      </c>
      <c r="U269" s="117" t="n">
        <f aca="false">Inputs!$D$7*Inputs!$D$9*Inputs!$D$11*1</f>
        <v>453.6</v>
      </c>
      <c r="V269" s="117" t="n">
        <f aca="false">Inputs!$D$7*Inputs!$D$9*Inputs!$D$11*1</f>
        <v>453.6</v>
      </c>
      <c r="W269" s="117" t="n">
        <f aca="false">Inputs!$D$7*Inputs!$D$9*Inputs!$D$11*1</f>
        <v>453.6</v>
      </c>
      <c r="X269" s="117" t="n">
        <f aca="false">Inputs!$D$7*Inputs!$D$9*Inputs!$D$11*1</f>
        <v>453.6</v>
      </c>
      <c r="Y269" s="117" t="n">
        <f aca="false">Inputs!$D$7*Inputs!$D$9*Inputs!$D$11*1</f>
        <v>453.6</v>
      </c>
      <c r="Z269" s="117" t="n">
        <f aca="false">Inputs!$D$7*Inputs!$D$9*Inputs!$D$11*1</f>
        <v>453.6</v>
      </c>
      <c r="AA269" s="117" t="n">
        <f aca="false">Inputs!$D$7*Inputs!$D$9*Inputs!$D$11*1</f>
        <v>453.6</v>
      </c>
      <c r="AB269" s="117" t="n">
        <f aca="false">Inputs!$D$7*Inputs!$D$9*Inputs!$D$11*1</f>
        <v>453.6</v>
      </c>
      <c r="AC269" s="117" t="n">
        <f aca="false">Inputs!$D$7*Inputs!$D$9*Inputs!$D$11*1</f>
        <v>453.6</v>
      </c>
      <c r="AD269" s="117" t="n">
        <f aca="false">Inputs!$D$7*Inputs!$D$9*Inputs!$D$11*1</f>
        <v>453.6</v>
      </c>
      <c r="AE269" s="117" t="n">
        <f aca="false">Inputs!$D$7*Inputs!$D$9*Inputs!$D$11*1</f>
        <v>453.6</v>
      </c>
      <c r="AF269" s="117" t="n">
        <f aca="false">Inputs!$D$7*Inputs!$D$9*Inputs!$D$11*1</f>
        <v>453.6</v>
      </c>
      <c r="AG269" s="117" t="n">
        <f aca="false">Inputs!$D$7*Inputs!$D$9*Inputs!$D$11*1</f>
        <v>453.6</v>
      </c>
      <c r="AH269" s="117" t="n">
        <f aca="false">Inputs!$D$7*Inputs!$D$9*Inputs!$D$11*1</f>
        <v>453.6</v>
      </c>
      <c r="AI269" s="117" t="n">
        <f aca="false">Inputs!$D$7*Inputs!$D$9*Inputs!$D$11*1</f>
        <v>453.6</v>
      </c>
      <c r="AJ269" s="117" t="n">
        <f aca="false">Inputs!$D$7*Inputs!$D$9*Inputs!$D$11*1</f>
        <v>453.6</v>
      </c>
      <c r="AK269" s="117" t="n">
        <f aca="false">Inputs!$D$7*Inputs!$D$9*Inputs!$D$11*1</f>
        <v>453.6</v>
      </c>
      <c r="AL269" s="117" t="n">
        <f aca="false">Inputs!$D$7*Inputs!$D$9*Inputs!$D$11*1</f>
        <v>453.6</v>
      </c>
    </row>
    <row r="270" customFormat="false" ht="15" hidden="false" customHeight="false" outlineLevel="0" collapsed="false">
      <c r="A270" s="6" t="s">
        <v>418</v>
      </c>
      <c r="C270" s="117" t="n">
        <f aca="false">C266*Inputs!$D$21/12*1+C262*Inputs!$D$23</f>
        <v>396.104210526316</v>
      </c>
      <c r="D270" s="117" t="n">
        <f aca="false">D266*Inputs!$D$21/12*1+D262*Inputs!$D$23</f>
        <v>398.613275789474</v>
      </c>
      <c r="E270" s="117" t="n">
        <f aca="false">E266*Inputs!$D$21/12*1+E262*Inputs!$D$23</f>
        <v>401.092232269474</v>
      </c>
      <c r="F270" s="117" t="n">
        <f aca="false">F266*Inputs!$D$21/12*1+F262*Inputs!$D$23</f>
        <v>403.541441271714</v>
      </c>
      <c r="G270" s="117" t="n">
        <f aca="false">G266*Inputs!$D$21/12*1+G262*Inputs!$D$23</f>
        <v>405.961259765927</v>
      </c>
      <c r="H270" s="117" t="n">
        <f aca="false">H266*Inputs!$D$21/12*1+H262*Inputs!$D$23</f>
        <v>408.352040438209</v>
      </c>
      <c r="I270" s="117" t="n">
        <f aca="false">I266*Inputs!$D$21/12*1+I262*Inputs!$D$23</f>
        <v>410.714131742424</v>
      </c>
      <c r="J270" s="117" t="n">
        <f aca="false">J266*Inputs!$D$21/12*1+J262*Inputs!$D$23</f>
        <v>413.047877950989</v>
      </c>
      <c r="K270" s="117" t="n">
        <f aca="false">K266*Inputs!$D$21/12*1+K262*Inputs!$D$23</f>
        <v>415.353619205051</v>
      </c>
      <c r="L270" s="117" t="n">
        <f aca="false">L266*Inputs!$D$21/12*1+L262*Inputs!$D$23</f>
        <v>417.631691564064</v>
      </c>
      <c r="M270" s="117" t="n">
        <f aca="false">M266*Inputs!$D$21/12*1+M262*Inputs!$D$23</f>
        <v>419.882427054769</v>
      </c>
      <c r="N270" s="117" t="n">
        <f aca="false">N266*Inputs!$D$21/12*1+N262*Inputs!$D$23</f>
        <v>422.106153719585</v>
      </c>
      <c r="O270" s="117" t="n">
        <f aca="false">O266*Inputs!$D$21/12*1+O262*Inputs!$D$23</f>
        <v>430.817616717056</v>
      </c>
      <c r="P270" s="117" t="n">
        <f aca="false">P266*Inputs!$D$21/12*1+P262*Inputs!$D$23</f>
        <v>433.604992684872</v>
      </c>
      <c r="Q270" s="117" t="n">
        <f aca="false">Q266*Inputs!$D$21/12*1+Q262*Inputs!$D$23</f>
        <v>436.358920141075</v>
      </c>
      <c r="R270" s="117" t="n">
        <f aca="false">R266*Inputs!$D$21/12*1+R262*Inputs!$D$23</f>
        <v>439.079800467803</v>
      </c>
      <c r="S270" s="117" t="n">
        <f aca="false">S266*Inputs!$D$21/12*1+S262*Inputs!$D$23</f>
        <v>441.76803023061</v>
      </c>
      <c r="T270" s="117" t="n">
        <f aca="false">T266*Inputs!$D$21/12*1+T262*Inputs!$D$23</f>
        <v>444.424001236264</v>
      </c>
      <c r="U270" s="117" t="n">
        <f aca="false">U266*Inputs!$D$21/12*1+U262*Inputs!$D$23</f>
        <v>447.04810058985</v>
      </c>
      <c r="V270" s="117" t="n">
        <f aca="false">V266*Inputs!$D$21/12*1+V262*Inputs!$D$23</f>
        <v>449.640710751193</v>
      </c>
      <c r="W270" s="117" t="n">
        <f aca="false">W266*Inputs!$D$21/12*1+W262*Inputs!$D$23</f>
        <v>452.202209590599</v>
      </c>
      <c r="X270" s="117" t="n">
        <f aca="false">X266*Inputs!$D$21/12*1+X262*Inputs!$D$23</f>
        <v>454.732970443933</v>
      </c>
      <c r="Y270" s="117" t="n">
        <f aca="false">Y266*Inputs!$D$21/12*1+Y262*Inputs!$D$23</f>
        <v>457.233362167027</v>
      </c>
      <c r="Z270" s="117" t="n">
        <f aca="false">Z266*Inputs!$D$21/12*1+Z262*Inputs!$D$23</f>
        <v>459.703749189444</v>
      </c>
      <c r="AA270" s="117" t="n">
        <f aca="false">AA266*Inputs!$D$21/12*1+AA262*Inputs!$D$23</f>
        <v>469.283894725486</v>
      </c>
      <c r="AB270" s="117" t="n">
        <f aca="false">AB266*Inputs!$D$21/12*1+AB262*Inputs!$D$23</f>
        <v>472.371211694044</v>
      </c>
      <c r="AC270" s="117" t="n">
        <f aca="false">AC266*Inputs!$D$21/12*1+AC262*Inputs!$D$23</f>
        <v>475.421480858978</v>
      </c>
      <c r="AD270" s="117" t="n">
        <f aca="false">AD266*Inputs!$D$21/12*1+AD262*Inputs!$D$23</f>
        <v>478.435146793934</v>
      </c>
      <c r="AE270" s="117" t="n">
        <f aca="false">AE266*Inputs!$D$21/12*1+AE262*Inputs!$D$23</f>
        <v>481.41264873767</v>
      </c>
      <c r="AF270" s="117" t="n">
        <f aca="false">AF266*Inputs!$D$21/12*1+AF262*Inputs!$D$23</f>
        <v>484.354420658081</v>
      </c>
      <c r="AG270" s="117" t="n">
        <f aca="false">AG266*Inputs!$D$21/12*1+AG262*Inputs!$D$23</f>
        <v>487.260891315447</v>
      </c>
      <c r="AH270" s="117" t="n">
        <f aca="false">AH266*Inputs!$D$21/12*1+AH262*Inputs!$D$23</f>
        <v>490.132484324925</v>
      </c>
      <c r="AI270" s="117" t="n">
        <f aca="false">AI266*Inputs!$D$21/12*1+AI262*Inputs!$D$23</f>
        <v>492.969618218289</v>
      </c>
      <c r="AJ270" s="117" t="n">
        <f aca="false">AJ266*Inputs!$D$21/12*1+AJ262*Inputs!$D$23</f>
        <v>495.772706504932</v>
      </c>
      <c r="AK270" s="117" t="n">
        <f aca="false">AK266*Inputs!$D$21/12*1+AK262*Inputs!$D$23</f>
        <v>498.542157732136</v>
      </c>
      <c r="AL270" s="117" t="n">
        <f aca="false">AL266*Inputs!$D$21/12*1+AL262*Inputs!$D$23</f>
        <v>501.278375544614</v>
      </c>
    </row>
    <row r="271" customFormat="false" ht="15" hidden="false" customHeight="false" outlineLevel="0" collapsed="false">
      <c r="A271" s="4" t="s">
        <v>419</v>
      </c>
      <c r="C271" s="118" t="n">
        <f aca="false">MIN(C269,C270)</f>
        <v>396.104210526316</v>
      </c>
      <c r="D271" s="118" t="n">
        <f aca="false">MIN(D269,D270)</f>
        <v>398.613275789474</v>
      </c>
      <c r="E271" s="118" t="n">
        <f aca="false">MIN(E269,E270)</f>
        <v>401.092232269474</v>
      </c>
      <c r="F271" s="118" t="n">
        <f aca="false">MIN(F269,F270)</f>
        <v>403.541441271714</v>
      </c>
      <c r="G271" s="118" t="n">
        <f aca="false">MIN(G269,G270)</f>
        <v>405.961259765927</v>
      </c>
      <c r="H271" s="118" t="n">
        <f aca="false">MIN(H269,H270)</f>
        <v>408.352040438209</v>
      </c>
      <c r="I271" s="118" t="n">
        <f aca="false">MIN(I269,I270)</f>
        <v>410.714131742424</v>
      </c>
      <c r="J271" s="118" t="n">
        <f aca="false">MIN(J269,J270)</f>
        <v>413.047877950989</v>
      </c>
      <c r="K271" s="118" t="n">
        <f aca="false">MIN(K269,K270)</f>
        <v>415.353619205051</v>
      </c>
      <c r="L271" s="118" t="n">
        <f aca="false">MIN(L269,L270)</f>
        <v>417.631691564064</v>
      </c>
      <c r="M271" s="118" t="n">
        <f aca="false">MIN(M269,M270)</f>
        <v>419.882427054769</v>
      </c>
      <c r="N271" s="118" t="n">
        <f aca="false">MIN(N269,N270)</f>
        <v>422.106153719585</v>
      </c>
      <c r="O271" s="118" t="n">
        <f aca="false">MIN(O269,O270)</f>
        <v>430.817616717056</v>
      </c>
      <c r="P271" s="118" t="n">
        <f aca="false">MIN(P269,P270)</f>
        <v>433.604992684872</v>
      </c>
      <c r="Q271" s="118" t="n">
        <f aca="false">MIN(Q269,Q270)</f>
        <v>436.358920141075</v>
      </c>
      <c r="R271" s="118" t="n">
        <f aca="false">MIN(R269,R270)</f>
        <v>439.079800467803</v>
      </c>
      <c r="S271" s="118" t="n">
        <f aca="false">MIN(S269,S270)</f>
        <v>441.76803023061</v>
      </c>
      <c r="T271" s="118" t="n">
        <f aca="false">MIN(T269,T270)</f>
        <v>444.424001236264</v>
      </c>
      <c r="U271" s="118" t="n">
        <f aca="false">MIN(U269,U270)</f>
        <v>447.04810058985</v>
      </c>
      <c r="V271" s="118" t="n">
        <f aca="false">MIN(V269,V270)</f>
        <v>449.640710751193</v>
      </c>
      <c r="W271" s="118" t="n">
        <f aca="false">MIN(W269,W270)</f>
        <v>452.202209590599</v>
      </c>
      <c r="X271" s="118" t="n">
        <f aca="false">MIN(X269,X270)</f>
        <v>453.6</v>
      </c>
      <c r="Y271" s="118" t="n">
        <f aca="false">MIN(Y269,Y270)</f>
        <v>453.6</v>
      </c>
      <c r="Z271" s="118" t="n">
        <f aca="false">MIN(Z269,Z270)</f>
        <v>453.6</v>
      </c>
      <c r="AA271" s="118" t="n">
        <f aca="false">MIN(AA269,AA270)</f>
        <v>453.6</v>
      </c>
      <c r="AB271" s="118" t="n">
        <f aca="false">MIN(AB269,AB270)</f>
        <v>453.6</v>
      </c>
      <c r="AC271" s="118" t="n">
        <f aca="false">MIN(AC269,AC270)</f>
        <v>453.6</v>
      </c>
      <c r="AD271" s="118" t="n">
        <f aca="false">MIN(AD269,AD270)</f>
        <v>453.6</v>
      </c>
      <c r="AE271" s="118" t="n">
        <f aca="false">MIN(AE269,AE270)</f>
        <v>453.6</v>
      </c>
      <c r="AF271" s="118" t="n">
        <f aca="false">MIN(AF269,AF270)</f>
        <v>453.6</v>
      </c>
      <c r="AG271" s="118" t="n">
        <f aca="false">MIN(AG269,AG270)</f>
        <v>453.6</v>
      </c>
      <c r="AH271" s="118" t="n">
        <f aca="false">MIN(AH269,AH270)</f>
        <v>453.6</v>
      </c>
      <c r="AI271" s="118" t="n">
        <f aca="false">MIN(AI269,AI270)</f>
        <v>453.6</v>
      </c>
      <c r="AJ271" s="118" t="n">
        <f aca="false">MIN(AJ269,AJ270)</f>
        <v>453.6</v>
      </c>
      <c r="AK271" s="118" t="n">
        <f aca="false">MIN(AK269,AK270)</f>
        <v>453.6</v>
      </c>
      <c r="AL271" s="118" t="n">
        <f aca="false">MIN(AL269,AL270)</f>
        <v>453.6</v>
      </c>
    </row>
    <row r="272" customFormat="false" ht="15" hidden="false" customHeight="false" outlineLevel="0" collapsed="false">
      <c r="A272" s="6" t="s">
        <v>420</v>
      </c>
      <c r="C272" s="114" t="n">
        <f aca="false">C364</f>
        <v>3</v>
      </c>
      <c r="D272" s="114" t="n">
        <f aca="false">D364</f>
        <v>3</v>
      </c>
      <c r="E272" s="114" t="n">
        <f aca="false">E364</f>
        <v>3</v>
      </c>
      <c r="F272" s="114" t="n">
        <f aca="false">F364</f>
        <v>3</v>
      </c>
      <c r="G272" s="114" t="n">
        <f aca="false">G364</f>
        <v>3</v>
      </c>
      <c r="H272" s="114" t="n">
        <f aca="false">H364</f>
        <v>3</v>
      </c>
      <c r="I272" s="114" t="n">
        <f aca="false">I364</f>
        <v>3</v>
      </c>
      <c r="J272" s="114" t="n">
        <f aca="false">J364</f>
        <v>3</v>
      </c>
      <c r="K272" s="114" t="n">
        <f aca="false">K364</f>
        <v>3</v>
      </c>
      <c r="L272" s="114" t="n">
        <f aca="false">L364</f>
        <v>3</v>
      </c>
      <c r="M272" s="114" t="n">
        <f aca="false">M364</f>
        <v>3</v>
      </c>
      <c r="N272" s="114" t="n">
        <f aca="false">N364</f>
        <v>3</v>
      </c>
      <c r="O272" s="114" t="n">
        <f aca="false">O364</f>
        <v>3.18</v>
      </c>
      <c r="P272" s="114" t="n">
        <f aca="false">P364</f>
        <v>3.18</v>
      </c>
      <c r="Q272" s="114" t="n">
        <f aca="false">Q364</f>
        <v>3.18</v>
      </c>
      <c r="R272" s="114" t="n">
        <f aca="false">R364</f>
        <v>3.18</v>
      </c>
      <c r="S272" s="114" t="n">
        <f aca="false">S364</f>
        <v>3.18</v>
      </c>
      <c r="T272" s="114" t="n">
        <f aca="false">T364</f>
        <v>3.18</v>
      </c>
      <c r="U272" s="114" t="n">
        <f aca="false">U364</f>
        <v>3.18</v>
      </c>
      <c r="V272" s="114" t="n">
        <f aca="false">V364</f>
        <v>3.18</v>
      </c>
      <c r="W272" s="114" t="n">
        <f aca="false">W364</f>
        <v>3.18</v>
      </c>
      <c r="X272" s="114" t="n">
        <f aca="false">X364</f>
        <v>3.18</v>
      </c>
      <c r="Y272" s="114" t="n">
        <f aca="false">Y364</f>
        <v>3.18</v>
      </c>
      <c r="Z272" s="114" t="n">
        <f aca="false">Z364</f>
        <v>3.18</v>
      </c>
      <c r="AA272" s="114" t="n">
        <f aca="false">AA364</f>
        <v>3.3708</v>
      </c>
      <c r="AB272" s="114" t="n">
        <f aca="false">AB364</f>
        <v>3.3708</v>
      </c>
      <c r="AC272" s="114" t="n">
        <f aca="false">AC364</f>
        <v>3.3708</v>
      </c>
      <c r="AD272" s="114" t="n">
        <f aca="false">AD364</f>
        <v>3.3708</v>
      </c>
      <c r="AE272" s="114" t="n">
        <f aca="false">AE364</f>
        <v>3.3708</v>
      </c>
      <c r="AF272" s="114" t="n">
        <f aca="false">AF364</f>
        <v>3.3708</v>
      </c>
      <c r="AG272" s="114" t="n">
        <f aca="false">AG364</f>
        <v>3.3708</v>
      </c>
      <c r="AH272" s="114" t="n">
        <f aca="false">AH364</f>
        <v>3.3708</v>
      </c>
      <c r="AI272" s="114" t="n">
        <f aca="false">AI364</f>
        <v>3.3708</v>
      </c>
      <c r="AJ272" s="114" t="n">
        <f aca="false">AJ364</f>
        <v>3.3708</v>
      </c>
      <c r="AK272" s="114" t="n">
        <f aca="false">AK364</f>
        <v>3.3708</v>
      </c>
      <c r="AL272" s="114" t="n">
        <f aca="false">AL364</f>
        <v>3.3708</v>
      </c>
    </row>
    <row r="273" customFormat="false" ht="15" hidden="false" customHeight="false" outlineLevel="0" collapsed="false">
      <c r="A273" s="6" t="s">
        <v>421</v>
      </c>
      <c r="C273" s="117" t="n">
        <f aca="false">MIN(C272,Inputs!$D$8)*Inputs!$D$10*Inputs!$D$11*1</f>
        <v>459</v>
      </c>
      <c r="D273" s="117" t="n">
        <f aca="false">MIN(D272,Inputs!$D$8)*Inputs!$D$10*Inputs!$D$11*1</f>
        <v>459</v>
      </c>
      <c r="E273" s="117" t="n">
        <f aca="false">MIN(E272,Inputs!$D$8)*Inputs!$D$10*Inputs!$D$11*1</f>
        <v>459</v>
      </c>
      <c r="F273" s="117" t="n">
        <f aca="false">MIN(F272,Inputs!$D$8)*Inputs!$D$10*Inputs!$D$11*1</f>
        <v>459</v>
      </c>
      <c r="G273" s="117" t="n">
        <f aca="false">MIN(G272,Inputs!$D$8)*Inputs!$D$10*Inputs!$D$11*1</f>
        <v>459</v>
      </c>
      <c r="H273" s="117" t="n">
        <f aca="false">MIN(H272,Inputs!$D$8)*Inputs!$D$10*Inputs!$D$11*1</f>
        <v>459</v>
      </c>
      <c r="I273" s="117" t="n">
        <f aca="false">MIN(I272,Inputs!$D$8)*Inputs!$D$10*Inputs!$D$11*1</f>
        <v>459</v>
      </c>
      <c r="J273" s="117" t="n">
        <f aca="false">MIN(J272,Inputs!$D$8)*Inputs!$D$10*Inputs!$D$11*1</f>
        <v>459</v>
      </c>
      <c r="K273" s="117" t="n">
        <f aca="false">MIN(K272,Inputs!$D$8)*Inputs!$D$10*Inputs!$D$11*1</f>
        <v>459</v>
      </c>
      <c r="L273" s="117" t="n">
        <f aca="false">MIN(L272,Inputs!$D$8)*Inputs!$D$10*Inputs!$D$11*1</f>
        <v>459</v>
      </c>
      <c r="M273" s="117" t="n">
        <f aca="false">MIN(M272,Inputs!$D$8)*Inputs!$D$10*Inputs!$D$11*1</f>
        <v>459</v>
      </c>
      <c r="N273" s="117" t="n">
        <f aca="false">MIN(N272,Inputs!$D$8)*Inputs!$D$10*Inputs!$D$11*1</f>
        <v>459</v>
      </c>
      <c r="O273" s="117" t="n">
        <f aca="false">MIN(O272,Inputs!$D$8)*Inputs!$D$10*Inputs!$D$11*1</f>
        <v>486.54</v>
      </c>
      <c r="P273" s="117" t="n">
        <f aca="false">MIN(P272,Inputs!$D$8)*Inputs!$D$10*Inputs!$D$11*1</f>
        <v>486.54</v>
      </c>
      <c r="Q273" s="117" t="n">
        <f aca="false">MIN(Q272,Inputs!$D$8)*Inputs!$D$10*Inputs!$D$11*1</f>
        <v>486.54</v>
      </c>
      <c r="R273" s="117" t="n">
        <f aca="false">MIN(R272,Inputs!$D$8)*Inputs!$D$10*Inputs!$D$11*1</f>
        <v>486.54</v>
      </c>
      <c r="S273" s="117" t="n">
        <f aca="false">MIN(S272,Inputs!$D$8)*Inputs!$D$10*Inputs!$D$11*1</f>
        <v>486.54</v>
      </c>
      <c r="T273" s="117" t="n">
        <f aca="false">MIN(T272,Inputs!$D$8)*Inputs!$D$10*Inputs!$D$11*1</f>
        <v>486.54</v>
      </c>
      <c r="U273" s="117" t="n">
        <f aca="false">MIN(U272,Inputs!$D$8)*Inputs!$D$10*Inputs!$D$11*1</f>
        <v>486.54</v>
      </c>
      <c r="V273" s="117" t="n">
        <f aca="false">MIN(V272,Inputs!$D$8)*Inputs!$D$10*Inputs!$D$11*1</f>
        <v>486.54</v>
      </c>
      <c r="W273" s="117" t="n">
        <f aca="false">MIN(W272,Inputs!$D$8)*Inputs!$D$10*Inputs!$D$11*1</f>
        <v>486.54</v>
      </c>
      <c r="X273" s="117" t="n">
        <f aca="false">MIN(X272,Inputs!$D$8)*Inputs!$D$10*Inputs!$D$11*1</f>
        <v>486.54</v>
      </c>
      <c r="Y273" s="117" t="n">
        <f aca="false">MIN(Y272,Inputs!$D$8)*Inputs!$D$10*Inputs!$D$11*1</f>
        <v>486.54</v>
      </c>
      <c r="Z273" s="117" t="n">
        <f aca="false">MIN(Z272,Inputs!$D$8)*Inputs!$D$10*Inputs!$D$11*1</f>
        <v>486.54</v>
      </c>
      <c r="AA273" s="117" t="n">
        <f aca="false">MIN(AA272,Inputs!$D$8)*Inputs!$D$10*Inputs!$D$11*1</f>
        <v>515.7324</v>
      </c>
      <c r="AB273" s="117" t="n">
        <f aca="false">MIN(AB272,Inputs!$D$8)*Inputs!$D$10*Inputs!$D$11*1</f>
        <v>515.7324</v>
      </c>
      <c r="AC273" s="117" t="n">
        <f aca="false">MIN(AC272,Inputs!$D$8)*Inputs!$D$10*Inputs!$D$11*1</f>
        <v>515.7324</v>
      </c>
      <c r="AD273" s="117" t="n">
        <f aca="false">MIN(AD272,Inputs!$D$8)*Inputs!$D$10*Inputs!$D$11*1</f>
        <v>515.7324</v>
      </c>
      <c r="AE273" s="117" t="n">
        <f aca="false">MIN(AE272,Inputs!$D$8)*Inputs!$D$10*Inputs!$D$11*1</f>
        <v>515.7324</v>
      </c>
      <c r="AF273" s="117" t="n">
        <f aca="false">MIN(AF272,Inputs!$D$8)*Inputs!$D$10*Inputs!$D$11*1</f>
        <v>515.7324</v>
      </c>
      <c r="AG273" s="117" t="n">
        <f aca="false">MIN(AG272,Inputs!$D$8)*Inputs!$D$10*Inputs!$D$11*1</f>
        <v>515.7324</v>
      </c>
      <c r="AH273" s="117" t="n">
        <f aca="false">MIN(AH272,Inputs!$D$8)*Inputs!$D$10*Inputs!$D$11*1</f>
        <v>515.7324</v>
      </c>
      <c r="AI273" s="117" t="n">
        <f aca="false">MIN(AI272,Inputs!$D$8)*Inputs!$D$10*Inputs!$D$11*1</f>
        <v>515.7324</v>
      </c>
      <c r="AJ273" s="117" t="n">
        <f aca="false">MIN(AJ272,Inputs!$D$8)*Inputs!$D$10*Inputs!$D$11*1</f>
        <v>515.7324</v>
      </c>
      <c r="AK273" s="117" t="n">
        <f aca="false">MIN(AK272,Inputs!$D$8)*Inputs!$D$10*Inputs!$D$11*1</f>
        <v>515.7324</v>
      </c>
      <c r="AL273" s="117" t="n">
        <f aca="false">MIN(AL272,Inputs!$D$8)*Inputs!$D$10*Inputs!$D$11*1</f>
        <v>515.7324</v>
      </c>
    </row>
    <row r="274" customFormat="false" ht="15" hidden="false" customHeight="false" outlineLevel="0" collapsed="false">
      <c r="A274" s="6" t="s">
        <v>422</v>
      </c>
      <c r="C274" s="117" t="n">
        <f aca="false">C266*Inputs!$D$22/12*1</f>
        <v>441.682807017544</v>
      </c>
      <c r="D274" s="117" t="n">
        <f aca="false">D266*Inputs!$D$22/12*1</f>
        <v>445.028227368421</v>
      </c>
      <c r="E274" s="117" t="n">
        <f aca="false">E266*Inputs!$D$22/12*1</f>
        <v>448.333502675088</v>
      </c>
      <c r="F274" s="117" t="n">
        <f aca="false">F266*Inputs!$D$22/12*1</f>
        <v>451.599114678074</v>
      </c>
      <c r="G274" s="117" t="n">
        <f aca="false">G266*Inputs!$D$22/12*1</f>
        <v>454.825539337025</v>
      </c>
      <c r="H274" s="117" t="n">
        <f aca="false">H266*Inputs!$D$22/12*1</f>
        <v>458.013246900069</v>
      </c>
      <c r="I274" s="117" t="n">
        <f aca="false">I266*Inputs!$D$22/12*1</f>
        <v>461.162701972356</v>
      </c>
      <c r="J274" s="117" t="n">
        <f aca="false">J266*Inputs!$D$22/12*1</f>
        <v>464.274363583775</v>
      </c>
      <c r="K274" s="117" t="n">
        <f aca="false">K266*Inputs!$D$22/12*1</f>
        <v>467.348685255857</v>
      </c>
      <c r="L274" s="117" t="n">
        <f aca="false">L266*Inputs!$D$22/12*1</f>
        <v>470.386115067875</v>
      </c>
      <c r="M274" s="117" t="n">
        <f aca="false">M266*Inputs!$D$22/12*1</f>
        <v>473.387095722148</v>
      </c>
      <c r="N274" s="117" t="n">
        <f aca="false">N266*Inputs!$D$22/12*1</f>
        <v>476.35206460857</v>
      </c>
      <c r="O274" s="117" t="n">
        <f aca="false">O266*Inputs!$D$22/12*1</f>
        <v>479.695067903443</v>
      </c>
      <c r="P274" s="117" t="n">
        <f aca="false">P266*Inputs!$D$22/12*1</f>
        <v>483.411569193864</v>
      </c>
      <c r="Q274" s="117" t="n">
        <f aca="false">Q266*Inputs!$D$22/12*1</f>
        <v>487.083472468801</v>
      </c>
      <c r="R274" s="117" t="n">
        <f aca="false">R266*Inputs!$D$22/12*1</f>
        <v>490.711312904439</v>
      </c>
      <c r="S274" s="117" t="n">
        <f aca="false">S266*Inputs!$D$22/12*1</f>
        <v>494.295619254849</v>
      </c>
      <c r="T274" s="117" t="n">
        <f aca="false">T266*Inputs!$D$22/12*1</f>
        <v>497.836913929054</v>
      </c>
      <c r="U274" s="117" t="n">
        <f aca="false">U266*Inputs!$D$22/12*1</f>
        <v>501.335713067168</v>
      </c>
      <c r="V274" s="117" t="n">
        <f aca="false">V266*Inputs!$D$22/12*1</f>
        <v>504.792526615625</v>
      </c>
      <c r="W274" s="117" t="n">
        <f aca="false">W266*Inputs!$D$22/12*1</f>
        <v>508.207858401501</v>
      </c>
      <c r="X274" s="117" t="n">
        <f aca="false">X266*Inputs!$D$22/12*1</f>
        <v>511.582206205946</v>
      </c>
      <c r="Y274" s="117" t="n">
        <f aca="false">Y266*Inputs!$D$22/12*1</f>
        <v>514.916061836738</v>
      </c>
      <c r="Z274" s="117" t="n">
        <f aca="false">Z266*Inputs!$D$22/12*1</f>
        <v>518.20991119996</v>
      </c>
      <c r="AA274" s="117" t="n">
        <f aca="false">AA266*Inputs!$D$22/12*1</f>
        <v>521.91752980942</v>
      </c>
      <c r="AB274" s="117" t="n">
        <f aca="false">AB266*Inputs!$D$22/12*1</f>
        <v>526.033952434163</v>
      </c>
      <c r="AC274" s="117" t="n">
        <f aca="false">AC266*Inputs!$D$22/12*1</f>
        <v>530.10097798741</v>
      </c>
      <c r="AD274" s="117" t="n">
        <f aca="false">AD266*Inputs!$D$22/12*1</f>
        <v>534.119199234017</v>
      </c>
      <c r="AE274" s="117" t="n">
        <f aca="false">AE266*Inputs!$D$22/12*1</f>
        <v>538.089201825665</v>
      </c>
      <c r="AF274" s="117" t="n">
        <f aca="false">AF266*Inputs!$D$22/12*1</f>
        <v>542.011564386213</v>
      </c>
      <c r="AG274" s="117" t="n">
        <f aca="false">AG266*Inputs!$D$22/12*1</f>
        <v>545.886858596035</v>
      </c>
      <c r="AH274" s="117" t="n">
        <f aca="false">AH266*Inputs!$D$22/12*1</f>
        <v>549.715649275338</v>
      </c>
      <c r="AI274" s="117" t="n">
        <f aca="false">AI266*Inputs!$D$22/12*1</f>
        <v>553.49849446649</v>
      </c>
      <c r="AJ274" s="117" t="n">
        <f aca="false">AJ266*Inputs!$D$22/12*1</f>
        <v>557.235945515349</v>
      </c>
      <c r="AK274" s="117" t="n">
        <f aca="false">AK266*Inputs!$D$22/12*1</f>
        <v>560.928547151621</v>
      </c>
      <c r="AL274" s="117" t="n">
        <f aca="false">AL266*Inputs!$D$22/12*1</f>
        <v>564.576837568257</v>
      </c>
    </row>
    <row r="275" customFormat="false" ht="15" hidden="false" customHeight="false" outlineLevel="0" collapsed="false">
      <c r="A275" s="4" t="s">
        <v>423</v>
      </c>
      <c r="C275" s="118" t="n">
        <f aca="false">MIN(C273,C274)</f>
        <v>441.682807017544</v>
      </c>
      <c r="D275" s="118" t="n">
        <f aca="false">MIN(D273,D274)</f>
        <v>445.028227368421</v>
      </c>
      <c r="E275" s="118" t="n">
        <f aca="false">MIN(E273,E274)</f>
        <v>448.333502675088</v>
      </c>
      <c r="F275" s="118" t="n">
        <f aca="false">MIN(F273,F274)</f>
        <v>451.599114678074</v>
      </c>
      <c r="G275" s="118" t="n">
        <f aca="false">MIN(G273,G274)</f>
        <v>454.825539337025</v>
      </c>
      <c r="H275" s="118" t="n">
        <f aca="false">MIN(H273,H274)</f>
        <v>458.013246900069</v>
      </c>
      <c r="I275" s="118" t="n">
        <f aca="false">MIN(I273,I274)</f>
        <v>459</v>
      </c>
      <c r="J275" s="118" t="n">
        <f aca="false">MIN(J273,J274)</f>
        <v>459</v>
      </c>
      <c r="K275" s="118" t="n">
        <f aca="false">MIN(K273,K274)</f>
        <v>459</v>
      </c>
      <c r="L275" s="118" t="n">
        <f aca="false">MIN(L273,L274)</f>
        <v>459</v>
      </c>
      <c r="M275" s="118" t="n">
        <f aca="false">MIN(M273,M274)</f>
        <v>459</v>
      </c>
      <c r="N275" s="118" t="n">
        <f aca="false">MIN(N273,N274)</f>
        <v>459</v>
      </c>
      <c r="O275" s="118" t="n">
        <f aca="false">MIN(O273,O274)</f>
        <v>479.695067903443</v>
      </c>
      <c r="P275" s="118" t="n">
        <f aca="false">MIN(P273,P274)</f>
        <v>483.411569193864</v>
      </c>
      <c r="Q275" s="118" t="n">
        <f aca="false">MIN(Q273,Q274)</f>
        <v>486.54</v>
      </c>
      <c r="R275" s="118" t="n">
        <f aca="false">MIN(R273,R274)</f>
        <v>486.54</v>
      </c>
      <c r="S275" s="118" t="n">
        <f aca="false">MIN(S273,S274)</f>
        <v>486.54</v>
      </c>
      <c r="T275" s="118" t="n">
        <f aca="false">MIN(T273,T274)</f>
        <v>486.54</v>
      </c>
      <c r="U275" s="118" t="n">
        <f aca="false">MIN(U273,U274)</f>
        <v>486.54</v>
      </c>
      <c r="V275" s="118" t="n">
        <f aca="false">MIN(V273,V274)</f>
        <v>486.54</v>
      </c>
      <c r="W275" s="118" t="n">
        <f aca="false">MIN(W273,W274)</f>
        <v>486.54</v>
      </c>
      <c r="X275" s="118" t="n">
        <f aca="false">MIN(X273,X274)</f>
        <v>486.54</v>
      </c>
      <c r="Y275" s="118" t="n">
        <f aca="false">MIN(Y273,Y274)</f>
        <v>486.54</v>
      </c>
      <c r="Z275" s="118" t="n">
        <f aca="false">MIN(Z273,Z274)</f>
        <v>486.54</v>
      </c>
      <c r="AA275" s="118" t="n">
        <f aca="false">MIN(AA273,AA274)</f>
        <v>515.7324</v>
      </c>
      <c r="AB275" s="118" t="n">
        <f aca="false">MIN(AB273,AB274)</f>
        <v>515.7324</v>
      </c>
      <c r="AC275" s="118" t="n">
        <f aca="false">MIN(AC273,AC274)</f>
        <v>515.7324</v>
      </c>
      <c r="AD275" s="118" t="n">
        <f aca="false">MIN(AD273,AD274)</f>
        <v>515.7324</v>
      </c>
      <c r="AE275" s="118" t="n">
        <f aca="false">MIN(AE273,AE274)</f>
        <v>515.7324</v>
      </c>
      <c r="AF275" s="118" t="n">
        <f aca="false">MIN(AF273,AF274)</f>
        <v>515.7324</v>
      </c>
      <c r="AG275" s="118" t="n">
        <f aca="false">MIN(AG273,AG274)</f>
        <v>515.7324</v>
      </c>
      <c r="AH275" s="118" t="n">
        <f aca="false">MIN(AH273,AH274)</f>
        <v>515.7324</v>
      </c>
      <c r="AI275" s="118" t="n">
        <f aca="false">MIN(AI273,AI274)</f>
        <v>515.7324</v>
      </c>
      <c r="AJ275" s="118" t="n">
        <f aca="false">MIN(AJ273,AJ274)</f>
        <v>515.7324</v>
      </c>
      <c r="AK275" s="118" t="n">
        <f aca="false">MIN(AK273,AK274)</f>
        <v>515.7324</v>
      </c>
      <c r="AL275" s="118" t="n">
        <f aca="false">MIN(AL273,AL274)</f>
        <v>515.7324</v>
      </c>
    </row>
    <row r="277" customFormat="false" ht="15.75" hidden="false" customHeight="true" outlineLevel="0" collapsed="false">
      <c r="A277" s="7" t="s">
        <v>424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customFormat="false" ht="15" hidden="false" customHeight="false" outlineLevel="0" collapsed="false">
      <c r="A278" s="6" t="s">
        <v>425</v>
      </c>
      <c r="C278" s="67" t="n">
        <f aca="false">C271*Inputs!$D$26*(1+Inputs!$D$28)^(C$257-1)</f>
        <v>134675.431578947</v>
      </c>
      <c r="D278" s="67" t="n">
        <f aca="false">D271*Inputs!$D$26*(1+Inputs!$D$28)^(D$257-1)</f>
        <v>135528.513768421</v>
      </c>
      <c r="E278" s="67" t="n">
        <f aca="false">E271*Inputs!$D$26*(1+Inputs!$D$28)^(E$257-1)</f>
        <v>136371.358971621</v>
      </c>
      <c r="F278" s="67" t="n">
        <f aca="false">F271*Inputs!$D$26*(1+Inputs!$D$28)^(F$257-1)</f>
        <v>137204.090032383</v>
      </c>
      <c r="G278" s="67" t="n">
        <f aca="false">G271*Inputs!$D$26*(1+Inputs!$D$28)^(G$257-1)</f>
        <v>138026.828320415</v>
      </c>
      <c r="H278" s="67" t="n">
        <f aca="false">H271*Inputs!$D$26*(1+Inputs!$D$28)^(H$257-1)</f>
        <v>138839.693748991</v>
      </c>
      <c r="I278" s="67" t="n">
        <f aca="false">I271*Inputs!$D$26*(1+Inputs!$D$28)^(I$257-1)</f>
        <v>139642.804792424</v>
      </c>
      <c r="J278" s="67" t="n">
        <f aca="false">J271*Inputs!$D$26*(1+Inputs!$D$28)^(J$257-1)</f>
        <v>140436.278503336</v>
      </c>
      <c r="K278" s="67" t="n">
        <f aca="false">K271*Inputs!$D$26*(1+Inputs!$D$28)^(K$257-1)</f>
        <v>141220.230529717</v>
      </c>
      <c r="L278" s="67" t="n">
        <f aca="false">L271*Inputs!$D$26*(1+Inputs!$D$28)^(L$257-1)</f>
        <v>141994.775131782</v>
      </c>
      <c r="M278" s="67" t="n">
        <f aca="false">M271*Inputs!$D$26*(1+Inputs!$D$28)^(M$257-1)</f>
        <v>142760.025198621</v>
      </c>
      <c r="N278" s="67" t="n">
        <f aca="false">N271*Inputs!$D$26*(1+Inputs!$D$28)^(N$257-1)</f>
        <v>143516.092264659</v>
      </c>
      <c r="O278" s="67" t="n">
        <f aca="false">O271*Inputs!$D$26*(1+Inputs!$D$28)^(O$257-1)</f>
        <v>152337.109271151</v>
      </c>
      <c r="P278" s="67" t="n">
        <f aca="false">P271*Inputs!$D$26*(1+Inputs!$D$28)^(P$257-1)</f>
        <v>153322.725413371</v>
      </c>
      <c r="Q278" s="67" t="n">
        <f aca="false">Q271*Inputs!$D$26*(1+Inputs!$D$28)^(Q$257-1)</f>
        <v>154296.514161884</v>
      </c>
      <c r="R278" s="67" t="n">
        <f aca="false">R271*Inputs!$D$26*(1+Inputs!$D$28)^(R$257-1)</f>
        <v>155258.617445415</v>
      </c>
      <c r="S278" s="67" t="n">
        <f aca="false">S271*Inputs!$D$26*(1+Inputs!$D$28)^(S$257-1)</f>
        <v>156209.175489544</v>
      </c>
      <c r="T278" s="67" t="n">
        <f aca="false">T271*Inputs!$D$26*(1+Inputs!$D$28)^(T$257-1)</f>
        <v>157148.326837143</v>
      </c>
      <c r="U278" s="67" t="n">
        <f aca="false">U271*Inputs!$D$26*(1+Inputs!$D$28)^(U$257-1)</f>
        <v>158076.208368571</v>
      </c>
      <c r="V278" s="67" t="n">
        <f aca="false">V271*Inputs!$D$26*(1+Inputs!$D$28)^(V$257-1)</f>
        <v>158992.955321622</v>
      </c>
      <c r="W278" s="67" t="n">
        <f aca="false">W271*Inputs!$D$26*(1+Inputs!$D$28)^(W$257-1)</f>
        <v>159898.701311236</v>
      </c>
      <c r="X278" s="67" t="n">
        <f aca="false">X271*Inputs!$D$26*(1+Inputs!$D$28)^(X$257-1)</f>
        <v>160392.96</v>
      </c>
      <c r="Y278" s="67" t="n">
        <f aca="false">Y271*Inputs!$D$26*(1+Inputs!$D$28)^(Y$257-1)</f>
        <v>160392.96</v>
      </c>
      <c r="Z278" s="67" t="n">
        <f aca="false">Z271*Inputs!$D$26*(1+Inputs!$D$28)^(Z$257-1)</f>
        <v>160392.96</v>
      </c>
      <c r="AA278" s="67" t="n">
        <f aca="false">AA271*Inputs!$D$26*(1+Inputs!$D$28)^(AA$257-1)</f>
        <v>166808.6784</v>
      </c>
      <c r="AB278" s="67" t="n">
        <f aca="false">AB271*Inputs!$D$26*(1+Inputs!$D$28)^(AB$257-1)</f>
        <v>166808.6784</v>
      </c>
      <c r="AC278" s="67" t="n">
        <f aca="false">AC271*Inputs!$D$26*(1+Inputs!$D$28)^(AC$257-1)</f>
        <v>166808.6784</v>
      </c>
      <c r="AD278" s="67" t="n">
        <f aca="false">AD271*Inputs!$D$26*(1+Inputs!$D$28)^(AD$257-1)</f>
        <v>166808.6784</v>
      </c>
      <c r="AE278" s="67" t="n">
        <f aca="false">AE271*Inputs!$D$26*(1+Inputs!$D$28)^(AE$257-1)</f>
        <v>166808.6784</v>
      </c>
      <c r="AF278" s="67" t="n">
        <f aca="false">AF271*Inputs!$D$26*(1+Inputs!$D$28)^(AF$257-1)</f>
        <v>166808.6784</v>
      </c>
      <c r="AG278" s="67" t="n">
        <f aca="false">AG271*Inputs!$D$26*(1+Inputs!$D$28)^(AG$257-1)</f>
        <v>166808.6784</v>
      </c>
      <c r="AH278" s="67" t="n">
        <f aca="false">AH271*Inputs!$D$26*(1+Inputs!$D$28)^(AH$257-1)</f>
        <v>166808.6784</v>
      </c>
      <c r="AI278" s="67" t="n">
        <f aca="false">AI271*Inputs!$D$26*(1+Inputs!$D$28)^(AI$257-1)</f>
        <v>166808.6784</v>
      </c>
      <c r="AJ278" s="67" t="n">
        <f aca="false">AJ271*Inputs!$D$26*(1+Inputs!$D$28)^(AJ$257-1)</f>
        <v>166808.6784</v>
      </c>
      <c r="AK278" s="67" t="n">
        <f aca="false">AK271*Inputs!$D$26*(1+Inputs!$D$28)^(AK$257-1)</f>
        <v>166808.6784</v>
      </c>
      <c r="AL278" s="67" t="n">
        <f aca="false">AL271*Inputs!$D$26*(1+Inputs!$D$28)^(AL$257-1)</f>
        <v>166808.6784</v>
      </c>
    </row>
    <row r="279" customFormat="false" ht="15" hidden="false" customHeight="false" outlineLevel="0" collapsed="false">
      <c r="A279" s="6" t="s">
        <v>426</v>
      </c>
      <c r="C279" s="67" t="n">
        <f aca="false">C275*Inputs!$D$27*(1+Inputs!$D$28)^(C$257-1)</f>
        <v>90544.9754385965</v>
      </c>
      <c r="D279" s="67" t="n">
        <f aca="false">D275*Inputs!$D$27*(1+Inputs!$D$28)^(D$257-1)</f>
        <v>91230.7866105263</v>
      </c>
      <c r="E279" s="67" t="n">
        <f aca="false">E275*Inputs!$D$27*(1+Inputs!$D$28)^(E$257-1)</f>
        <v>91908.368048393</v>
      </c>
      <c r="F279" s="67" t="n">
        <f aca="false">F275*Inputs!$D$27*(1+Inputs!$D$28)^(F$257-1)</f>
        <v>92577.8185090052</v>
      </c>
      <c r="G279" s="67" t="n">
        <f aca="false">G275*Inputs!$D$27*(1+Inputs!$D$28)^(G$257-1)</f>
        <v>93239.2355640902</v>
      </c>
      <c r="H279" s="67" t="n">
        <f aca="false">H275*Inputs!$D$27*(1+Inputs!$D$28)^(H$257-1)</f>
        <v>93892.7156145141</v>
      </c>
      <c r="I279" s="67" t="n">
        <f aca="false">I275*Inputs!$D$27*(1+Inputs!$D$28)^(I$257-1)</f>
        <v>94095</v>
      </c>
      <c r="J279" s="67" t="n">
        <f aca="false">J275*Inputs!$D$27*(1+Inputs!$D$28)^(J$257-1)</f>
        <v>94095</v>
      </c>
      <c r="K279" s="67" t="n">
        <f aca="false">K275*Inputs!$D$27*(1+Inputs!$D$28)^(K$257-1)</f>
        <v>94095</v>
      </c>
      <c r="L279" s="67" t="n">
        <f aca="false">L275*Inputs!$D$27*(1+Inputs!$D$28)^(L$257-1)</f>
        <v>94095</v>
      </c>
      <c r="M279" s="67" t="n">
        <f aca="false">M275*Inputs!$D$27*(1+Inputs!$D$28)^(M$257-1)</f>
        <v>94095</v>
      </c>
      <c r="N279" s="67" t="n">
        <f aca="false">N275*Inputs!$D$27*(1+Inputs!$D$28)^(N$257-1)</f>
        <v>94095</v>
      </c>
      <c r="O279" s="67" t="n">
        <f aca="false">O275*Inputs!$D$27*(1+Inputs!$D$28)^(O$257-1)</f>
        <v>102270.988477014</v>
      </c>
      <c r="P279" s="67" t="n">
        <f aca="false">P275*Inputs!$D$27*(1+Inputs!$D$28)^(P$257-1)</f>
        <v>103063.346552132</v>
      </c>
      <c r="Q279" s="67" t="n">
        <f aca="false">Q275*Inputs!$D$27*(1+Inputs!$D$28)^(Q$257-1)</f>
        <v>103730.328</v>
      </c>
      <c r="R279" s="67" t="n">
        <f aca="false">R275*Inputs!$D$27*(1+Inputs!$D$28)^(R$257-1)</f>
        <v>103730.328</v>
      </c>
      <c r="S279" s="67" t="n">
        <f aca="false">S275*Inputs!$D$27*(1+Inputs!$D$28)^(S$257-1)</f>
        <v>103730.328</v>
      </c>
      <c r="T279" s="67" t="n">
        <f aca="false">T275*Inputs!$D$27*(1+Inputs!$D$28)^(T$257-1)</f>
        <v>103730.328</v>
      </c>
      <c r="U279" s="67" t="n">
        <f aca="false">U275*Inputs!$D$27*(1+Inputs!$D$28)^(U$257-1)</f>
        <v>103730.328</v>
      </c>
      <c r="V279" s="67" t="n">
        <f aca="false">V275*Inputs!$D$27*(1+Inputs!$D$28)^(V$257-1)</f>
        <v>103730.328</v>
      </c>
      <c r="W279" s="67" t="n">
        <f aca="false">W275*Inputs!$D$27*(1+Inputs!$D$28)^(W$257-1)</f>
        <v>103730.328</v>
      </c>
      <c r="X279" s="67" t="n">
        <f aca="false">X275*Inputs!$D$27*(1+Inputs!$D$28)^(X$257-1)</f>
        <v>103730.328</v>
      </c>
      <c r="Y279" s="67" t="n">
        <f aca="false">Y275*Inputs!$D$27*(1+Inputs!$D$28)^(Y$257-1)</f>
        <v>103730.328</v>
      </c>
      <c r="Z279" s="67" t="n">
        <f aca="false">Z275*Inputs!$D$27*(1+Inputs!$D$28)^(Z$257-1)</f>
        <v>103730.328</v>
      </c>
      <c r="AA279" s="67" t="n">
        <f aca="false">AA275*Inputs!$D$27*(1+Inputs!$D$28)^(AA$257-1)</f>
        <v>114352.3135872</v>
      </c>
      <c r="AB279" s="67" t="n">
        <f aca="false">AB275*Inputs!$D$27*(1+Inputs!$D$28)^(AB$257-1)</f>
        <v>114352.3135872</v>
      </c>
      <c r="AC279" s="67" t="n">
        <f aca="false">AC275*Inputs!$D$27*(1+Inputs!$D$28)^(AC$257-1)</f>
        <v>114352.3135872</v>
      </c>
      <c r="AD279" s="67" t="n">
        <f aca="false">AD275*Inputs!$D$27*(1+Inputs!$D$28)^(AD$257-1)</f>
        <v>114352.3135872</v>
      </c>
      <c r="AE279" s="67" t="n">
        <f aca="false">AE275*Inputs!$D$27*(1+Inputs!$D$28)^(AE$257-1)</f>
        <v>114352.3135872</v>
      </c>
      <c r="AF279" s="67" t="n">
        <f aca="false">AF275*Inputs!$D$27*(1+Inputs!$D$28)^(AF$257-1)</f>
        <v>114352.3135872</v>
      </c>
      <c r="AG279" s="67" t="n">
        <f aca="false">AG275*Inputs!$D$27*(1+Inputs!$D$28)^(AG$257-1)</f>
        <v>114352.3135872</v>
      </c>
      <c r="AH279" s="67" t="n">
        <f aca="false">AH275*Inputs!$D$27*(1+Inputs!$D$28)^(AH$257-1)</f>
        <v>114352.3135872</v>
      </c>
      <c r="AI279" s="67" t="n">
        <f aca="false">AI275*Inputs!$D$27*(1+Inputs!$D$28)^(AI$257-1)</f>
        <v>114352.3135872</v>
      </c>
      <c r="AJ279" s="67" t="n">
        <f aca="false">AJ275*Inputs!$D$27*(1+Inputs!$D$28)^(AJ$257-1)</f>
        <v>114352.3135872</v>
      </c>
      <c r="AK279" s="67" t="n">
        <f aca="false">AK275*Inputs!$D$27*(1+Inputs!$D$28)^(AK$257-1)</f>
        <v>114352.3135872</v>
      </c>
      <c r="AL279" s="67" t="n">
        <f aca="false">AL275*Inputs!$D$27*(1+Inputs!$D$28)^(AL$257-1)</f>
        <v>114352.3135872</v>
      </c>
    </row>
    <row r="280" customFormat="false" ht="15" hidden="false" customHeight="false" outlineLevel="0" collapsed="false">
      <c r="A280" s="4" t="s">
        <v>240</v>
      </c>
      <c r="C280" s="73" t="n">
        <f aca="false">C278+C279</f>
        <v>225220.407017544</v>
      </c>
      <c r="D280" s="73" t="n">
        <f aca="false">D278+D279</f>
        <v>226759.300378947</v>
      </c>
      <c r="E280" s="73" t="n">
        <f aca="false">E278+E279</f>
        <v>228279.727020014</v>
      </c>
      <c r="F280" s="73" t="n">
        <f aca="false">F278+F279</f>
        <v>229781.908541388</v>
      </c>
      <c r="G280" s="73" t="n">
        <f aca="false">G278+G279</f>
        <v>231266.063884505</v>
      </c>
      <c r="H280" s="73" t="n">
        <f aca="false">H278+H279</f>
        <v>232732.409363505</v>
      </c>
      <c r="I280" s="73" t="n">
        <f aca="false">I278+I279</f>
        <v>233737.804792424</v>
      </c>
      <c r="J280" s="73" t="n">
        <f aca="false">J278+J279</f>
        <v>234531.278503336</v>
      </c>
      <c r="K280" s="73" t="n">
        <f aca="false">K278+K279</f>
        <v>235315.230529717</v>
      </c>
      <c r="L280" s="73" t="n">
        <f aca="false">L278+L279</f>
        <v>236089.775131782</v>
      </c>
      <c r="M280" s="73" t="n">
        <f aca="false">M278+M279</f>
        <v>236855.025198621</v>
      </c>
      <c r="N280" s="73" t="n">
        <f aca="false">N278+N279</f>
        <v>237611.092264659</v>
      </c>
      <c r="O280" s="73" t="n">
        <f aca="false">O278+O279</f>
        <v>254608.097748165</v>
      </c>
      <c r="P280" s="73" t="n">
        <f aca="false">P278+P279</f>
        <v>256386.071965503</v>
      </c>
      <c r="Q280" s="73" t="n">
        <f aca="false">Q278+Q279</f>
        <v>258026.842161884</v>
      </c>
      <c r="R280" s="73" t="n">
        <f aca="false">R278+R279</f>
        <v>258988.945445415</v>
      </c>
      <c r="S280" s="73" t="n">
        <f aca="false">S278+S279</f>
        <v>259939.503489544</v>
      </c>
      <c r="T280" s="73" t="n">
        <f aca="false">T278+T279</f>
        <v>260878.654837143</v>
      </c>
      <c r="U280" s="73" t="n">
        <f aca="false">U278+U279</f>
        <v>261806.536368571</v>
      </c>
      <c r="V280" s="73" t="n">
        <f aca="false">V278+V279</f>
        <v>262723.283321622</v>
      </c>
      <c r="W280" s="73" t="n">
        <f aca="false">W278+W279</f>
        <v>263629.029311236</v>
      </c>
      <c r="X280" s="73" t="n">
        <f aca="false">X278+X279</f>
        <v>264123.288</v>
      </c>
      <c r="Y280" s="73" t="n">
        <f aca="false">Y278+Y279</f>
        <v>264123.288</v>
      </c>
      <c r="Z280" s="73" t="n">
        <f aca="false">Z278+Z279</f>
        <v>264123.288</v>
      </c>
      <c r="AA280" s="73" t="n">
        <f aca="false">AA278+AA279</f>
        <v>281160.9919872</v>
      </c>
      <c r="AB280" s="73" t="n">
        <f aca="false">AB278+AB279</f>
        <v>281160.9919872</v>
      </c>
      <c r="AC280" s="73" t="n">
        <f aca="false">AC278+AC279</f>
        <v>281160.9919872</v>
      </c>
      <c r="AD280" s="73" t="n">
        <f aca="false">AD278+AD279</f>
        <v>281160.9919872</v>
      </c>
      <c r="AE280" s="73" t="n">
        <f aca="false">AE278+AE279</f>
        <v>281160.9919872</v>
      </c>
      <c r="AF280" s="73" t="n">
        <f aca="false">AF278+AF279</f>
        <v>281160.9919872</v>
      </c>
      <c r="AG280" s="73" t="n">
        <f aca="false">AG278+AG279</f>
        <v>281160.9919872</v>
      </c>
      <c r="AH280" s="73" t="n">
        <f aca="false">AH278+AH279</f>
        <v>281160.9919872</v>
      </c>
      <c r="AI280" s="73" t="n">
        <f aca="false">AI278+AI279</f>
        <v>281160.9919872</v>
      </c>
      <c r="AJ280" s="73" t="n">
        <f aca="false">AJ278+AJ279</f>
        <v>281160.9919872</v>
      </c>
      <c r="AK280" s="73" t="n">
        <f aca="false">AK278+AK279</f>
        <v>281160.9919872</v>
      </c>
      <c r="AL280" s="73" t="n">
        <f aca="false">AL278+AL279</f>
        <v>281160.9919872</v>
      </c>
    </row>
    <row r="281" customFormat="false" ht="15" hidden="false" customHeight="false" outlineLevel="0" collapsed="false">
      <c r="A281" s="6" t="s">
        <v>427</v>
      </c>
      <c r="C281" s="67" t="n">
        <f aca="false">-C280*Inputs!$D$31*Inputs!$D$32</f>
        <v>-25900.3468070175</v>
      </c>
      <c r="D281" s="67" t="n">
        <f aca="false">-D280*Inputs!$D$31*Inputs!$D$32</f>
        <v>-26077.3195435789</v>
      </c>
      <c r="E281" s="67" t="n">
        <f aca="false">-E280*Inputs!$D$31*Inputs!$D$32</f>
        <v>-26252.1686073016</v>
      </c>
      <c r="F281" s="67" t="n">
        <f aca="false">-F280*Inputs!$D$31*Inputs!$D$32</f>
        <v>-26424.9194822596</v>
      </c>
      <c r="G281" s="67" t="n">
        <f aca="false">-G280*Inputs!$D$31*Inputs!$D$32</f>
        <v>-26595.5973467181</v>
      </c>
      <c r="H281" s="67" t="n">
        <f aca="false">-H280*Inputs!$D$31*Inputs!$D$32</f>
        <v>-26764.2270768031</v>
      </c>
      <c r="I281" s="67" t="n">
        <f aca="false">-I280*Inputs!$D$31*Inputs!$D$32</f>
        <v>-26879.8475511288</v>
      </c>
      <c r="J281" s="67" t="n">
        <f aca="false">-J280*Inputs!$D$31*Inputs!$D$32</f>
        <v>-26971.0970278837</v>
      </c>
      <c r="K281" s="67" t="n">
        <f aca="false">-K280*Inputs!$D$31*Inputs!$D$32</f>
        <v>-27061.2515109175</v>
      </c>
      <c r="L281" s="67" t="n">
        <f aca="false">-L280*Inputs!$D$31*Inputs!$D$32</f>
        <v>-27150.3241401549</v>
      </c>
      <c r="M281" s="67" t="n">
        <f aca="false">-M280*Inputs!$D$31*Inputs!$D$32</f>
        <v>-27238.3278978415</v>
      </c>
      <c r="N281" s="67" t="n">
        <f aca="false">-N280*Inputs!$D$31*Inputs!$D$32</f>
        <v>-27325.2756104358</v>
      </c>
      <c r="O281" s="67" t="n">
        <f aca="false">-O280*Inputs!$D$31*Inputs!$D$32</f>
        <v>-29279.931241039</v>
      </c>
      <c r="P281" s="67" t="n">
        <f aca="false">-P280*Inputs!$D$31*Inputs!$D$32</f>
        <v>-29484.3982760328</v>
      </c>
      <c r="Q281" s="67" t="n">
        <f aca="false">-Q280*Inputs!$D$31*Inputs!$D$32</f>
        <v>-29673.0868486167</v>
      </c>
      <c r="R281" s="67" t="n">
        <f aca="false">-R280*Inputs!$D$31*Inputs!$D$32</f>
        <v>-29783.7287262227</v>
      </c>
      <c r="S281" s="67" t="n">
        <f aca="false">-S280*Inputs!$D$31*Inputs!$D$32</f>
        <v>-29893.0429012975</v>
      </c>
      <c r="T281" s="67" t="n">
        <f aca="false">-T280*Inputs!$D$31*Inputs!$D$32</f>
        <v>-30001.0453062714</v>
      </c>
      <c r="U281" s="67" t="n">
        <f aca="false">-U280*Inputs!$D$31*Inputs!$D$32</f>
        <v>-30107.7516823857</v>
      </c>
      <c r="V281" s="67" t="n">
        <f aca="false">-V280*Inputs!$D$31*Inputs!$D$32</f>
        <v>-30213.1775819865</v>
      </c>
      <c r="W281" s="67" t="n">
        <f aca="false">-W280*Inputs!$D$31*Inputs!$D$32</f>
        <v>-30317.3383707921</v>
      </c>
      <c r="X281" s="67" t="n">
        <f aca="false">-X280*Inputs!$D$31*Inputs!$D$32</f>
        <v>-30374.17812</v>
      </c>
      <c r="Y281" s="67" t="n">
        <f aca="false">-Y280*Inputs!$D$31*Inputs!$D$32</f>
        <v>-30374.17812</v>
      </c>
      <c r="Z281" s="67" t="n">
        <f aca="false">-Z280*Inputs!$D$31*Inputs!$D$32</f>
        <v>-30374.17812</v>
      </c>
      <c r="AA281" s="67" t="n">
        <f aca="false">-AA280*Inputs!$D$31*Inputs!$D$32</f>
        <v>-32333.514078528</v>
      </c>
      <c r="AB281" s="67" t="n">
        <f aca="false">-AB280*Inputs!$D$31*Inputs!$D$32</f>
        <v>-32333.514078528</v>
      </c>
      <c r="AC281" s="67" t="n">
        <f aca="false">-AC280*Inputs!$D$31*Inputs!$D$32</f>
        <v>-32333.514078528</v>
      </c>
      <c r="AD281" s="67" t="n">
        <f aca="false">-AD280*Inputs!$D$31*Inputs!$D$32</f>
        <v>-32333.514078528</v>
      </c>
      <c r="AE281" s="67" t="n">
        <f aca="false">-AE280*Inputs!$D$31*Inputs!$D$32</f>
        <v>-32333.514078528</v>
      </c>
      <c r="AF281" s="67" t="n">
        <f aca="false">-AF280*Inputs!$D$31*Inputs!$D$32</f>
        <v>-32333.514078528</v>
      </c>
      <c r="AG281" s="67" t="n">
        <f aca="false">-AG280*Inputs!$D$31*Inputs!$D$32</f>
        <v>-32333.514078528</v>
      </c>
      <c r="AH281" s="67" t="n">
        <f aca="false">-AH280*Inputs!$D$31*Inputs!$D$32</f>
        <v>-32333.514078528</v>
      </c>
      <c r="AI281" s="67" t="n">
        <f aca="false">-AI280*Inputs!$D$31*Inputs!$D$32</f>
        <v>-32333.514078528</v>
      </c>
      <c r="AJ281" s="67" t="n">
        <f aca="false">-AJ280*Inputs!$D$31*Inputs!$D$32</f>
        <v>-32333.514078528</v>
      </c>
      <c r="AK281" s="67" t="n">
        <f aca="false">-AK280*Inputs!$D$31*Inputs!$D$32</f>
        <v>-32333.514078528</v>
      </c>
      <c r="AL281" s="67" t="n">
        <f aca="false">-AL280*Inputs!$D$31*Inputs!$D$32</f>
        <v>-32333.514078528</v>
      </c>
    </row>
    <row r="282" customFormat="false" ht="15" hidden="false" customHeight="false" outlineLevel="0" collapsed="false">
      <c r="A282" s="6" t="s">
        <v>428</v>
      </c>
      <c r="C282" s="67" t="n">
        <f aca="false">-(C280+C281)*Inputs!$D$33</f>
        <v>-1993.20060210526</v>
      </c>
      <c r="D282" s="67" t="n">
        <f aca="false">-(D280+D281)*Inputs!$D$33</f>
        <v>-2006.81980835368</v>
      </c>
      <c r="E282" s="67" t="n">
        <f aca="false">-(E280+E281)*Inputs!$D$33</f>
        <v>-2020.27558412712</v>
      </c>
      <c r="F282" s="67" t="n">
        <f aca="false">-(F280+F281)*Inputs!$D$33</f>
        <v>-2033.56989059128</v>
      </c>
      <c r="G282" s="67" t="n">
        <f aca="false">-(G280+G281)*Inputs!$D$33</f>
        <v>-2046.70466537787</v>
      </c>
      <c r="H282" s="67" t="n">
        <f aca="false">-(H280+H281)*Inputs!$D$33</f>
        <v>-2059.68182286702</v>
      </c>
      <c r="I282" s="67" t="n">
        <f aca="false">-(I280+I281)*Inputs!$D$33</f>
        <v>-2068.57957241296</v>
      </c>
      <c r="J282" s="67" t="n">
        <f aca="false">-(J280+J281)*Inputs!$D$33</f>
        <v>-2075.60181475453</v>
      </c>
      <c r="K282" s="67" t="n">
        <f aca="false">-(K280+K281)*Inputs!$D$33</f>
        <v>-2082.539790188</v>
      </c>
      <c r="L282" s="67" t="n">
        <f aca="false">-(L280+L281)*Inputs!$D$33</f>
        <v>-2089.39450991627</v>
      </c>
      <c r="M282" s="67" t="n">
        <f aca="false">-(M280+M281)*Inputs!$D$33</f>
        <v>-2096.1669730078</v>
      </c>
      <c r="N282" s="67" t="n">
        <f aca="false">-(N280+N281)*Inputs!$D$33</f>
        <v>-2102.85816654223</v>
      </c>
      <c r="O282" s="67" t="n">
        <f aca="false">-(O280+O281)*Inputs!$D$33</f>
        <v>-2253.28166507126</v>
      </c>
      <c r="P282" s="67" t="n">
        <f aca="false">-(P280+P281)*Inputs!$D$33</f>
        <v>-2269.0167368947</v>
      </c>
      <c r="Q282" s="67" t="n">
        <f aca="false">-(Q280+Q281)*Inputs!$D$33</f>
        <v>-2283.53755313267</v>
      </c>
      <c r="R282" s="67" t="n">
        <f aca="false">-(R280+R281)*Inputs!$D$33</f>
        <v>-2292.05216719192</v>
      </c>
      <c r="S282" s="67" t="n">
        <f aca="false">-(S280+S281)*Inputs!$D$33</f>
        <v>-2300.46460588246</v>
      </c>
      <c r="T282" s="67" t="n">
        <f aca="false">-(T280+T281)*Inputs!$D$33</f>
        <v>-2308.77609530872</v>
      </c>
      <c r="U282" s="67" t="n">
        <f aca="false">-(U280+U281)*Inputs!$D$33</f>
        <v>-2316.98784686185</v>
      </c>
      <c r="V282" s="67" t="n">
        <f aca="false">-(V280+V281)*Inputs!$D$33</f>
        <v>-2325.10105739635</v>
      </c>
      <c r="W282" s="67" t="n">
        <f aca="false">-(W280+W281)*Inputs!$D$33</f>
        <v>-2333.11690940444</v>
      </c>
      <c r="X282" s="67" t="n">
        <f aca="false">-(X280+X281)*Inputs!$D$33</f>
        <v>-2337.4910988</v>
      </c>
      <c r="Y282" s="67" t="n">
        <f aca="false">-(Y280+Y281)*Inputs!$D$33</f>
        <v>-2337.4910988</v>
      </c>
      <c r="Z282" s="67" t="n">
        <f aca="false">-(Z280+Z281)*Inputs!$D$33</f>
        <v>-2337.4910988</v>
      </c>
      <c r="AA282" s="67" t="n">
        <f aca="false">-(AA280+AA281)*Inputs!$D$33</f>
        <v>-2488.27477908672</v>
      </c>
      <c r="AB282" s="67" t="n">
        <f aca="false">-(AB280+AB281)*Inputs!$D$33</f>
        <v>-2488.27477908672</v>
      </c>
      <c r="AC282" s="67" t="n">
        <f aca="false">-(AC280+AC281)*Inputs!$D$33</f>
        <v>-2488.27477908672</v>
      </c>
      <c r="AD282" s="67" t="n">
        <f aca="false">-(AD280+AD281)*Inputs!$D$33</f>
        <v>-2488.27477908672</v>
      </c>
      <c r="AE282" s="67" t="n">
        <f aca="false">-(AE280+AE281)*Inputs!$D$33</f>
        <v>-2488.27477908672</v>
      </c>
      <c r="AF282" s="67" t="n">
        <f aca="false">-(AF280+AF281)*Inputs!$D$33</f>
        <v>-2488.27477908672</v>
      </c>
      <c r="AG282" s="67" t="n">
        <f aca="false">-(AG280+AG281)*Inputs!$D$33</f>
        <v>-2488.27477908672</v>
      </c>
      <c r="AH282" s="67" t="n">
        <f aca="false">-(AH280+AH281)*Inputs!$D$33</f>
        <v>-2488.27477908672</v>
      </c>
      <c r="AI282" s="67" t="n">
        <f aca="false">-(AI280+AI281)*Inputs!$D$33</f>
        <v>-2488.27477908672</v>
      </c>
      <c r="AJ282" s="67" t="n">
        <f aca="false">-(AJ280+AJ281)*Inputs!$D$33</f>
        <v>-2488.27477908672</v>
      </c>
      <c r="AK282" s="67" t="n">
        <f aca="false">-(AK280+AK281)*Inputs!$D$33</f>
        <v>-2488.27477908672</v>
      </c>
      <c r="AL282" s="67" t="n">
        <f aca="false">-(AL280+AL281)*Inputs!$D$33</f>
        <v>-2488.27477908672</v>
      </c>
    </row>
    <row r="283" customFormat="false" ht="15" hidden="false" customHeight="false" outlineLevel="0" collapsed="false">
      <c r="A283" s="111" t="s">
        <v>244</v>
      </c>
      <c r="C283" s="68" t="n">
        <f aca="false">C280+C281+C282</f>
        <v>197326.859608421</v>
      </c>
      <c r="D283" s="68" t="n">
        <f aca="false">D280+D281+D282</f>
        <v>198675.161027015</v>
      </c>
      <c r="E283" s="68" t="n">
        <f aca="false">E280+E281+E282</f>
        <v>200007.282828585</v>
      </c>
      <c r="F283" s="68" t="n">
        <f aca="false">F280+F281+F282</f>
        <v>201323.419168537</v>
      </c>
      <c r="G283" s="68" t="n">
        <f aca="false">G280+G281+G282</f>
        <v>202623.761872409</v>
      </c>
      <c r="H283" s="68" t="n">
        <f aca="false">H280+H281+H282</f>
        <v>203908.500463835</v>
      </c>
      <c r="I283" s="68" t="n">
        <f aca="false">I280+I281+I282</f>
        <v>204789.377668883</v>
      </c>
      <c r="J283" s="68" t="n">
        <f aca="false">J280+J281+J282</f>
        <v>205484.579660698</v>
      </c>
      <c r="K283" s="68" t="n">
        <f aca="false">K280+K281+K282</f>
        <v>206171.439228612</v>
      </c>
      <c r="L283" s="68" t="n">
        <f aca="false">L280+L281+L282</f>
        <v>206850.056481711</v>
      </c>
      <c r="M283" s="68" t="n">
        <f aca="false">M280+M281+M282</f>
        <v>207520.530327772</v>
      </c>
      <c r="N283" s="68" t="n">
        <f aca="false">N280+N281+N282</f>
        <v>208182.958487681</v>
      </c>
      <c r="O283" s="68" t="n">
        <f aca="false">O280+O281+O282</f>
        <v>223074.884842055</v>
      </c>
      <c r="P283" s="68" t="n">
        <f aca="false">P280+P281+P282</f>
        <v>224632.656952575</v>
      </c>
      <c r="Q283" s="68" t="n">
        <f aca="false">Q280+Q281+Q282</f>
        <v>226070.217760135</v>
      </c>
      <c r="R283" s="68" t="n">
        <f aca="false">R280+R281+R282</f>
        <v>226913.164552</v>
      </c>
      <c r="S283" s="68" t="n">
        <f aca="false">S280+S281+S282</f>
        <v>227745.995982364</v>
      </c>
      <c r="T283" s="68" t="n">
        <f aca="false">T280+T281+T282</f>
        <v>228568.833435563</v>
      </c>
      <c r="U283" s="68" t="n">
        <f aca="false">U280+U281+U282</f>
        <v>229381.796839323</v>
      </c>
      <c r="V283" s="68" t="n">
        <f aca="false">V280+V281+V282</f>
        <v>230185.004682239</v>
      </c>
      <c r="W283" s="68" t="n">
        <f aca="false">W280+W281+W282</f>
        <v>230978.574031039</v>
      </c>
      <c r="X283" s="68" t="n">
        <f aca="false">X280+X281+X282</f>
        <v>231411.6187812</v>
      </c>
      <c r="Y283" s="68" t="n">
        <f aca="false">Y280+Y281+Y282</f>
        <v>231411.6187812</v>
      </c>
      <c r="Z283" s="68" t="n">
        <f aca="false">Z280+Z281+Z282</f>
        <v>231411.6187812</v>
      </c>
      <c r="AA283" s="68" t="n">
        <f aca="false">AA280+AA281+AA282</f>
        <v>246339.203129585</v>
      </c>
      <c r="AB283" s="68" t="n">
        <f aca="false">AB280+AB281+AB282</f>
        <v>246339.203129585</v>
      </c>
      <c r="AC283" s="68" t="n">
        <f aca="false">AC280+AC281+AC282</f>
        <v>246339.203129585</v>
      </c>
      <c r="AD283" s="68" t="n">
        <f aca="false">AD280+AD281+AD282</f>
        <v>246339.203129585</v>
      </c>
      <c r="AE283" s="68" t="n">
        <f aca="false">AE280+AE281+AE282</f>
        <v>246339.203129585</v>
      </c>
      <c r="AF283" s="68" t="n">
        <f aca="false">AF280+AF281+AF282</f>
        <v>246339.203129585</v>
      </c>
      <c r="AG283" s="68" t="n">
        <f aca="false">AG280+AG281+AG282</f>
        <v>246339.203129585</v>
      </c>
      <c r="AH283" s="68" t="n">
        <f aca="false">AH280+AH281+AH282</f>
        <v>246339.203129585</v>
      </c>
      <c r="AI283" s="68" t="n">
        <f aca="false">AI280+AI281+AI282</f>
        <v>246339.203129585</v>
      </c>
      <c r="AJ283" s="68" t="n">
        <f aca="false">AJ280+AJ281+AJ282</f>
        <v>246339.203129585</v>
      </c>
      <c r="AK283" s="68" t="n">
        <f aca="false">AK280+AK281+AK282</f>
        <v>246339.203129585</v>
      </c>
      <c r="AL283" s="68" t="n">
        <f aca="false">AL280+AL281+AL282</f>
        <v>246339.203129585</v>
      </c>
    </row>
    <row r="285" customFormat="false" ht="15.75" hidden="false" customHeight="true" outlineLevel="0" collapsed="false">
      <c r="A285" s="7" t="s">
        <v>75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customFormat="false" ht="15" hidden="false" customHeight="false" outlineLevel="0" collapsed="false">
      <c r="A286" s="6" t="s">
        <v>429</v>
      </c>
      <c r="C286" s="67" t="n">
        <f aca="false">-C280*Inputs!$D$36</f>
        <v>-10360.138722807</v>
      </c>
      <c r="D286" s="67" t="n">
        <f aca="false">-D280*Inputs!$D$36</f>
        <v>-10430.9278174316</v>
      </c>
      <c r="E286" s="67" t="n">
        <f aca="false">-E280*Inputs!$D$36</f>
        <v>-10500.8674429206</v>
      </c>
      <c r="F286" s="67" t="n">
        <f aca="false">-F280*Inputs!$D$36</f>
        <v>-10569.9677929038</v>
      </c>
      <c r="G286" s="67" t="n">
        <f aca="false">-G280*Inputs!$D$36</f>
        <v>-10638.2389386872</v>
      </c>
      <c r="H286" s="67" t="n">
        <f aca="false">-H280*Inputs!$D$36</f>
        <v>-10705.6908307212</v>
      </c>
      <c r="I286" s="67" t="n">
        <f aca="false">-I280*Inputs!$D$36</f>
        <v>-10751.9390204515</v>
      </c>
      <c r="J286" s="67" t="n">
        <f aca="false">-J280*Inputs!$D$36</f>
        <v>-10788.4388111535</v>
      </c>
      <c r="K286" s="67" t="n">
        <f aca="false">-K280*Inputs!$D$36</f>
        <v>-10824.500604367</v>
      </c>
      <c r="L286" s="67" t="n">
        <f aca="false">-L280*Inputs!$D$36</f>
        <v>-10860.129656062</v>
      </c>
      <c r="M286" s="67" t="n">
        <f aca="false">-M280*Inputs!$D$36</f>
        <v>-10895.3311591366</v>
      </c>
      <c r="N286" s="67" t="n">
        <f aca="false">-N280*Inputs!$D$36</f>
        <v>-10930.1102441743</v>
      </c>
      <c r="O286" s="67" t="n">
        <f aca="false">-O280*Inputs!$D$36</f>
        <v>-11711.9724964156</v>
      </c>
      <c r="P286" s="67" t="n">
        <f aca="false">-P280*Inputs!$D$36</f>
        <v>-11793.7593104131</v>
      </c>
      <c r="Q286" s="67" t="n">
        <f aca="false">-Q280*Inputs!$D$36</f>
        <v>-11869.2347394467</v>
      </c>
      <c r="R286" s="67" t="n">
        <f aca="false">-R280*Inputs!$D$36</f>
        <v>-11913.4914904891</v>
      </c>
      <c r="S286" s="67" t="n">
        <f aca="false">-S280*Inputs!$D$36</f>
        <v>-11957.217160519</v>
      </c>
      <c r="T286" s="67" t="n">
        <f aca="false">-T280*Inputs!$D$36</f>
        <v>-12000.4181225086</v>
      </c>
      <c r="U286" s="67" t="n">
        <f aca="false">-U280*Inputs!$D$36</f>
        <v>-12043.1006729543</v>
      </c>
      <c r="V286" s="67" t="n">
        <f aca="false">-V280*Inputs!$D$36</f>
        <v>-12085.2710327946</v>
      </c>
      <c r="W286" s="67" t="n">
        <f aca="false">-W280*Inputs!$D$36</f>
        <v>-12126.9353483169</v>
      </c>
      <c r="X286" s="67" t="n">
        <f aca="false">-X280*Inputs!$D$36</f>
        <v>-12149.671248</v>
      </c>
      <c r="Y286" s="67" t="n">
        <f aca="false">-Y280*Inputs!$D$36</f>
        <v>-12149.671248</v>
      </c>
      <c r="Z286" s="67" t="n">
        <f aca="false">-Z280*Inputs!$D$36</f>
        <v>-12149.671248</v>
      </c>
      <c r="AA286" s="67" t="n">
        <f aca="false">-AA280*Inputs!$D$36</f>
        <v>-12933.4056314112</v>
      </c>
      <c r="AB286" s="67" t="n">
        <f aca="false">-AB280*Inputs!$D$36</f>
        <v>-12933.4056314112</v>
      </c>
      <c r="AC286" s="67" t="n">
        <f aca="false">-AC280*Inputs!$D$36</f>
        <v>-12933.4056314112</v>
      </c>
      <c r="AD286" s="67" t="n">
        <f aca="false">-AD280*Inputs!$D$36</f>
        <v>-12933.4056314112</v>
      </c>
      <c r="AE286" s="67" t="n">
        <f aca="false">-AE280*Inputs!$D$36</f>
        <v>-12933.4056314112</v>
      </c>
      <c r="AF286" s="67" t="n">
        <f aca="false">-AF280*Inputs!$D$36</f>
        <v>-12933.4056314112</v>
      </c>
      <c r="AG286" s="67" t="n">
        <f aca="false">-AG280*Inputs!$D$36</f>
        <v>-12933.4056314112</v>
      </c>
      <c r="AH286" s="67" t="n">
        <f aca="false">-AH280*Inputs!$D$36</f>
        <v>-12933.4056314112</v>
      </c>
      <c r="AI286" s="67" t="n">
        <f aca="false">-AI280*Inputs!$D$36</f>
        <v>-12933.4056314112</v>
      </c>
      <c r="AJ286" s="67" t="n">
        <f aca="false">-AJ280*Inputs!$D$36</f>
        <v>-12933.4056314112</v>
      </c>
      <c r="AK286" s="67" t="n">
        <f aca="false">-AK280*Inputs!$D$36</f>
        <v>-12933.4056314112</v>
      </c>
      <c r="AL286" s="67" t="n">
        <f aca="false">-AL280*Inputs!$D$36</f>
        <v>-12933.4056314112</v>
      </c>
    </row>
    <row r="287" customFormat="false" ht="15" hidden="false" customHeight="false" outlineLevel="0" collapsed="false">
      <c r="A287" s="6" t="s">
        <v>430</v>
      </c>
      <c r="C287" s="67" t="n">
        <f aca="false">-C278*Inputs!$D$37</f>
        <v>-11851.4379789474</v>
      </c>
      <c r="D287" s="67" t="n">
        <f aca="false">-D278*Inputs!$D$37</f>
        <v>-11926.509211621</v>
      </c>
      <c r="E287" s="67" t="n">
        <f aca="false">-E278*Inputs!$D$37</f>
        <v>-12000.6795895027</v>
      </c>
      <c r="F287" s="67" t="n">
        <f aca="false">-F278*Inputs!$D$37</f>
        <v>-12073.9599228497</v>
      </c>
      <c r="G287" s="67" t="n">
        <f aca="false">-G278*Inputs!$D$37</f>
        <v>-12146.3608921965</v>
      </c>
      <c r="H287" s="67" t="n">
        <f aca="false">-H278*Inputs!$D$37</f>
        <v>-12217.8930499112</v>
      </c>
      <c r="I287" s="67" t="n">
        <f aca="false">-I278*Inputs!$D$37</f>
        <v>-12288.5668217333</v>
      </c>
      <c r="J287" s="67" t="n">
        <f aca="false">-J278*Inputs!$D$37</f>
        <v>-12358.3925082936</v>
      </c>
      <c r="K287" s="67" t="n">
        <f aca="false">-K278*Inputs!$D$37</f>
        <v>-12427.3802866151</v>
      </c>
      <c r="L287" s="67" t="n">
        <f aca="false">-L278*Inputs!$D$37</f>
        <v>-12495.5402115968</v>
      </c>
      <c r="M287" s="67" t="n">
        <f aca="false">-M278*Inputs!$D$37</f>
        <v>-12562.8822174787</v>
      </c>
      <c r="N287" s="67" t="n">
        <f aca="false">-N278*Inputs!$D$37</f>
        <v>-12629.41611929</v>
      </c>
      <c r="O287" s="67" t="n">
        <f aca="false">-O278*Inputs!$D$37</f>
        <v>-13405.6656158613</v>
      </c>
      <c r="P287" s="67" t="n">
        <f aca="false">-P278*Inputs!$D$37</f>
        <v>-13492.3998363766</v>
      </c>
      <c r="Q287" s="67" t="n">
        <f aca="false">-Q278*Inputs!$D$37</f>
        <v>-13578.0932462458</v>
      </c>
      <c r="R287" s="67" t="n">
        <f aca="false">-R278*Inputs!$D$37</f>
        <v>-13662.7583351965</v>
      </c>
      <c r="S287" s="67" t="n">
        <f aca="false">-S278*Inputs!$D$37</f>
        <v>-13746.4074430799</v>
      </c>
      <c r="T287" s="67" t="n">
        <f aca="false">-T278*Inputs!$D$37</f>
        <v>-13829.0527616686</v>
      </c>
      <c r="U287" s="67" t="n">
        <f aca="false">-U278*Inputs!$D$37</f>
        <v>-13910.7063364342</v>
      </c>
      <c r="V287" s="67" t="n">
        <f aca="false">-V278*Inputs!$D$37</f>
        <v>-13991.3800683027</v>
      </c>
      <c r="W287" s="67" t="n">
        <f aca="false">-W278*Inputs!$D$37</f>
        <v>-14071.0857153888</v>
      </c>
      <c r="X287" s="67" t="n">
        <f aca="false">-X278*Inputs!$D$37</f>
        <v>-14114.58048</v>
      </c>
      <c r="Y287" s="67" t="n">
        <f aca="false">-Y278*Inputs!$D$37</f>
        <v>-14114.58048</v>
      </c>
      <c r="Z287" s="67" t="n">
        <f aca="false">-Z278*Inputs!$D$37</f>
        <v>-14114.58048</v>
      </c>
      <c r="AA287" s="67" t="n">
        <f aca="false">-AA278*Inputs!$D$37</f>
        <v>-14679.1636992</v>
      </c>
      <c r="AB287" s="67" t="n">
        <f aca="false">-AB278*Inputs!$D$37</f>
        <v>-14679.1636992</v>
      </c>
      <c r="AC287" s="67" t="n">
        <f aca="false">-AC278*Inputs!$D$37</f>
        <v>-14679.1636992</v>
      </c>
      <c r="AD287" s="67" t="n">
        <f aca="false">-AD278*Inputs!$D$37</f>
        <v>-14679.1636992</v>
      </c>
      <c r="AE287" s="67" t="n">
        <f aca="false">-AE278*Inputs!$D$37</f>
        <v>-14679.1636992</v>
      </c>
      <c r="AF287" s="67" t="n">
        <f aca="false">-AF278*Inputs!$D$37</f>
        <v>-14679.1636992</v>
      </c>
      <c r="AG287" s="67" t="n">
        <f aca="false">-AG278*Inputs!$D$37</f>
        <v>-14679.1636992</v>
      </c>
      <c r="AH287" s="67" t="n">
        <f aca="false">-AH278*Inputs!$D$37</f>
        <v>-14679.1636992</v>
      </c>
      <c r="AI287" s="67" t="n">
        <f aca="false">-AI278*Inputs!$D$37</f>
        <v>-14679.1636992</v>
      </c>
      <c r="AJ287" s="67" t="n">
        <f aca="false">-AJ278*Inputs!$D$37</f>
        <v>-14679.1636992</v>
      </c>
      <c r="AK287" s="67" t="n">
        <f aca="false">-AK278*Inputs!$D$37</f>
        <v>-14679.1636992</v>
      </c>
      <c r="AL287" s="67" t="n">
        <f aca="false">-AL278*Inputs!$D$37</f>
        <v>-14679.1636992</v>
      </c>
    </row>
    <row r="288" customFormat="false" ht="15" hidden="false" customHeight="false" outlineLevel="0" collapsed="false">
      <c r="A288" s="6" t="s">
        <v>431</v>
      </c>
      <c r="C288" s="67" t="n">
        <f aca="false">-C283*Inputs!$D$38</f>
        <v>-1973.26859608421</v>
      </c>
      <c r="D288" s="67" t="n">
        <f aca="false">-D283*Inputs!$D$38</f>
        <v>-1986.75161027015</v>
      </c>
      <c r="E288" s="67" t="n">
        <f aca="false">-E283*Inputs!$D$38</f>
        <v>-2000.07282828585</v>
      </c>
      <c r="F288" s="67" t="n">
        <f aca="false">-F283*Inputs!$D$38</f>
        <v>-2013.23419168537</v>
      </c>
      <c r="G288" s="67" t="n">
        <f aca="false">-G283*Inputs!$D$38</f>
        <v>-2026.23761872409</v>
      </c>
      <c r="H288" s="67" t="n">
        <f aca="false">-H283*Inputs!$D$38</f>
        <v>-2039.08500463835</v>
      </c>
      <c r="I288" s="67" t="n">
        <f aca="false">-I283*Inputs!$D$38</f>
        <v>-2047.89377668883</v>
      </c>
      <c r="J288" s="67" t="n">
        <f aca="false">-J283*Inputs!$D$38</f>
        <v>-2054.84579660698</v>
      </c>
      <c r="K288" s="67" t="n">
        <f aca="false">-K283*Inputs!$D$38</f>
        <v>-2061.71439228612</v>
      </c>
      <c r="L288" s="67" t="n">
        <f aca="false">-L283*Inputs!$D$38</f>
        <v>-2068.50056481711</v>
      </c>
      <c r="M288" s="67" t="n">
        <f aca="false">-M283*Inputs!$D$38</f>
        <v>-2075.20530327772</v>
      </c>
      <c r="N288" s="67" t="n">
        <f aca="false">-N283*Inputs!$D$38</f>
        <v>-2081.82958487681</v>
      </c>
      <c r="O288" s="67" t="n">
        <f aca="false">-O283*Inputs!$D$38</f>
        <v>-2230.74884842055</v>
      </c>
      <c r="P288" s="67" t="n">
        <f aca="false">-P283*Inputs!$D$38</f>
        <v>-2246.32656952575</v>
      </c>
      <c r="Q288" s="67" t="n">
        <f aca="false">-Q283*Inputs!$D$38</f>
        <v>-2260.70217760135</v>
      </c>
      <c r="R288" s="67" t="n">
        <f aca="false">-R283*Inputs!$D$38</f>
        <v>-2269.13164552</v>
      </c>
      <c r="S288" s="67" t="n">
        <f aca="false">-S283*Inputs!$D$38</f>
        <v>-2277.45995982364</v>
      </c>
      <c r="T288" s="67" t="n">
        <f aca="false">-T283*Inputs!$D$38</f>
        <v>-2285.68833435563</v>
      </c>
      <c r="U288" s="67" t="n">
        <f aca="false">-U283*Inputs!$D$38</f>
        <v>-2293.81796839323</v>
      </c>
      <c r="V288" s="67" t="n">
        <f aca="false">-V283*Inputs!$D$38</f>
        <v>-2301.85004682239</v>
      </c>
      <c r="W288" s="67" t="n">
        <f aca="false">-W283*Inputs!$D$38</f>
        <v>-2309.78574031039</v>
      </c>
      <c r="X288" s="67" t="n">
        <f aca="false">-X283*Inputs!$D$38</f>
        <v>-2314.116187812</v>
      </c>
      <c r="Y288" s="67" t="n">
        <f aca="false">-Y283*Inputs!$D$38</f>
        <v>-2314.116187812</v>
      </c>
      <c r="Z288" s="67" t="n">
        <f aca="false">-Z283*Inputs!$D$38</f>
        <v>-2314.116187812</v>
      </c>
      <c r="AA288" s="67" t="n">
        <f aca="false">-AA283*Inputs!$D$38</f>
        <v>-2463.39203129585</v>
      </c>
      <c r="AB288" s="67" t="n">
        <f aca="false">-AB283*Inputs!$D$38</f>
        <v>-2463.39203129585</v>
      </c>
      <c r="AC288" s="67" t="n">
        <f aca="false">-AC283*Inputs!$D$38</f>
        <v>-2463.39203129585</v>
      </c>
      <c r="AD288" s="67" t="n">
        <f aca="false">-AD283*Inputs!$D$38</f>
        <v>-2463.39203129585</v>
      </c>
      <c r="AE288" s="67" t="n">
        <f aca="false">-AE283*Inputs!$D$38</f>
        <v>-2463.39203129585</v>
      </c>
      <c r="AF288" s="67" t="n">
        <f aca="false">-AF283*Inputs!$D$38</f>
        <v>-2463.39203129585</v>
      </c>
      <c r="AG288" s="67" t="n">
        <f aca="false">-AG283*Inputs!$D$38</f>
        <v>-2463.39203129585</v>
      </c>
      <c r="AH288" s="67" t="n">
        <f aca="false">-AH283*Inputs!$D$38</f>
        <v>-2463.39203129585</v>
      </c>
      <c r="AI288" s="67" t="n">
        <f aca="false">-AI283*Inputs!$D$38</f>
        <v>-2463.39203129585</v>
      </c>
      <c r="AJ288" s="67" t="n">
        <f aca="false">-AJ283*Inputs!$D$38</f>
        <v>-2463.39203129585</v>
      </c>
      <c r="AK288" s="67" t="n">
        <f aca="false">-AK283*Inputs!$D$38</f>
        <v>-2463.39203129585</v>
      </c>
      <c r="AL288" s="67" t="n">
        <f aca="false">-AL283*Inputs!$D$38</f>
        <v>-2463.39203129585</v>
      </c>
    </row>
    <row r="289" customFormat="false" ht="15" hidden="false" customHeight="false" outlineLevel="0" collapsed="false">
      <c r="A289" s="4" t="s">
        <v>75</v>
      </c>
      <c r="C289" s="73" t="n">
        <f aca="false">C286+C287+C288</f>
        <v>-24184.8452978386</v>
      </c>
      <c r="D289" s="73" t="n">
        <f aca="false">D286+D287+D288</f>
        <v>-24344.1886393228</v>
      </c>
      <c r="E289" s="73" t="n">
        <f aca="false">E286+E287+E288</f>
        <v>-24501.6198607092</v>
      </c>
      <c r="F289" s="73" t="n">
        <f aca="false">F286+F287+F288</f>
        <v>-24657.1619074389</v>
      </c>
      <c r="G289" s="73" t="n">
        <f aca="false">G286+G287+G288</f>
        <v>-24810.8374496079</v>
      </c>
      <c r="H289" s="73" t="n">
        <f aca="false">H286+H287+H288</f>
        <v>-24962.6688852708</v>
      </c>
      <c r="I289" s="73" t="n">
        <f aca="false">I286+I287+I288</f>
        <v>-25088.3996188737</v>
      </c>
      <c r="J289" s="73" t="n">
        <f aca="false">J286+J287+J288</f>
        <v>-25201.677116054</v>
      </c>
      <c r="K289" s="73" t="n">
        <f aca="false">K286+K287+K288</f>
        <v>-25313.5952832682</v>
      </c>
      <c r="L289" s="73" t="n">
        <f aca="false">L286+L287+L288</f>
        <v>-25424.1704324759</v>
      </c>
      <c r="M289" s="73" t="n">
        <f aca="false">M286+M287+M288</f>
        <v>-25533.418679893</v>
      </c>
      <c r="N289" s="73" t="n">
        <f aca="false">N286+N287+N288</f>
        <v>-25641.3559483411</v>
      </c>
      <c r="O289" s="73" t="n">
        <f aca="false">O286+O287+O288</f>
        <v>-27348.3869606974</v>
      </c>
      <c r="P289" s="73" t="n">
        <f aca="false">P286+P287+P288</f>
        <v>-27532.4857163155</v>
      </c>
      <c r="Q289" s="73" t="n">
        <f aca="false">Q286+Q287+Q288</f>
        <v>-27708.0301632938</v>
      </c>
      <c r="R289" s="73" t="n">
        <f aca="false">R286+R287+R288</f>
        <v>-27845.3814712056</v>
      </c>
      <c r="S289" s="73" t="n">
        <f aca="false">S286+S287+S288</f>
        <v>-27981.0845634225</v>
      </c>
      <c r="T289" s="73" t="n">
        <f aca="false">T286+T287+T288</f>
        <v>-28115.1592185328</v>
      </c>
      <c r="U289" s="73" t="n">
        <f aca="false">U286+U287+U288</f>
        <v>-28247.6249777817</v>
      </c>
      <c r="V289" s="73" t="n">
        <f aca="false">V286+V287+V288</f>
        <v>-28378.5011479197</v>
      </c>
      <c r="W289" s="73" t="n">
        <f aca="false">W286+W287+W288</f>
        <v>-28507.806804016</v>
      </c>
      <c r="X289" s="73" t="n">
        <f aca="false">X286+X287+X288</f>
        <v>-28578.367915812</v>
      </c>
      <c r="Y289" s="73" t="n">
        <f aca="false">Y286+Y287+Y288</f>
        <v>-28578.367915812</v>
      </c>
      <c r="Z289" s="73" t="n">
        <f aca="false">Z286+Z287+Z288</f>
        <v>-28578.367915812</v>
      </c>
      <c r="AA289" s="73" t="n">
        <f aca="false">AA286+AA287+AA288</f>
        <v>-30075.9613619071</v>
      </c>
      <c r="AB289" s="73" t="n">
        <f aca="false">AB286+AB287+AB288</f>
        <v>-30075.9613619071</v>
      </c>
      <c r="AC289" s="73" t="n">
        <f aca="false">AC286+AC287+AC288</f>
        <v>-30075.9613619071</v>
      </c>
      <c r="AD289" s="73" t="n">
        <f aca="false">AD286+AD287+AD288</f>
        <v>-30075.9613619071</v>
      </c>
      <c r="AE289" s="73" t="n">
        <f aca="false">AE286+AE287+AE288</f>
        <v>-30075.9613619071</v>
      </c>
      <c r="AF289" s="73" t="n">
        <f aca="false">AF286+AF287+AF288</f>
        <v>-30075.9613619071</v>
      </c>
      <c r="AG289" s="73" t="n">
        <f aca="false">AG286+AG287+AG288</f>
        <v>-30075.9613619071</v>
      </c>
      <c r="AH289" s="73" t="n">
        <f aca="false">AH286+AH287+AH288</f>
        <v>-30075.9613619071</v>
      </c>
      <c r="AI289" s="73" t="n">
        <f aca="false">AI286+AI287+AI288</f>
        <v>-30075.9613619071</v>
      </c>
      <c r="AJ289" s="73" t="n">
        <f aca="false">AJ286+AJ287+AJ288</f>
        <v>-30075.9613619071</v>
      </c>
      <c r="AK289" s="73" t="n">
        <f aca="false">AK286+AK287+AK288</f>
        <v>-30075.9613619071</v>
      </c>
      <c r="AL289" s="73" t="n">
        <f aca="false">AL286+AL287+AL288</f>
        <v>-30075.9613619071</v>
      </c>
    </row>
    <row r="290" customFormat="false" ht="15" hidden="false" customHeight="false" outlineLevel="0" collapsed="false">
      <c r="A290" s="111" t="s">
        <v>45</v>
      </c>
      <c r="C290" s="68" t="n">
        <f aca="false">C283+C289</f>
        <v>173142.014310582</v>
      </c>
      <c r="D290" s="68" t="n">
        <f aca="false">D283+D289</f>
        <v>174330.972387692</v>
      </c>
      <c r="E290" s="68" t="n">
        <f aca="false">E283+E289</f>
        <v>175505.662967876</v>
      </c>
      <c r="F290" s="68" t="n">
        <f aca="false">F283+F289</f>
        <v>176666.257261098</v>
      </c>
      <c r="G290" s="68" t="n">
        <f aca="false">G283+G289</f>
        <v>177812.924422801</v>
      </c>
      <c r="H290" s="68" t="n">
        <f aca="false">H283+H289</f>
        <v>178945.831578564</v>
      </c>
      <c r="I290" s="68" t="n">
        <f aca="false">I283+I289</f>
        <v>179700.978050009</v>
      </c>
      <c r="J290" s="68" t="n">
        <f aca="false">J283+J289</f>
        <v>180282.902544644</v>
      </c>
      <c r="K290" s="68" t="n">
        <f aca="false">K283+K289</f>
        <v>180857.843945344</v>
      </c>
      <c r="L290" s="68" t="n">
        <f aca="false">L283+L289</f>
        <v>181425.886049235</v>
      </c>
      <c r="M290" s="68" t="n">
        <f aca="false">M283+M289</f>
        <v>181987.111647879</v>
      </c>
      <c r="N290" s="68" t="n">
        <f aca="false">N283+N289</f>
        <v>182541.60253934</v>
      </c>
      <c r="O290" s="68" t="n">
        <f aca="false">O283+O289</f>
        <v>195726.497881357</v>
      </c>
      <c r="P290" s="68" t="n">
        <f aca="false">P283+P289</f>
        <v>197100.17123626</v>
      </c>
      <c r="Q290" s="68" t="n">
        <f aca="false">Q283+Q289</f>
        <v>198362.187596841</v>
      </c>
      <c r="R290" s="68" t="n">
        <f aca="false">R283+R289</f>
        <v>199067.783080795</v>
      </c>
      <c r="S290" s="68" t="n">
        <f aca="false">S283+S289</f>
        <v>199764.911418941</v>
      </c>
      <c r="T290" s="68" t="n">
        <f aca="false">T283+T289</f>
        <v>200453.67421703</v>
      </c>
      <c r="U290" s="68" t="n">
        <f aca="false">U283+U289</f>
        <v>201134.171861542</v>
      </c>
      <c r="V290" s="68" t="n">
        <f aca="false">V283+V289</f>
        <v>201806.503534319</v>
      </c>
      <c r="W290" s="68" t="n">
        <f aca="false">W283+W289</f>
        <v>202470.767227023</v>
      </c>
      <c r="X290" s="68" t="n">
        <f aca="false">X283+X289</f>
        <v>202833.250865388</v>
      </c>
      <c r="Y290" s="68" t="n">
        <f aca="false">Y283+Y289</f>
        <v>202833.250865388</v>
      </c>
      <c r="Z290" s="68" t="n">
        <f aca="false">Z283+Z289</f>
        <v>202833.250865388</v>
      </c>
      <c r="AA290" s="68" t="n">
        <f aca="false">AA283+AA289</f>
        <v>216263.241767678</v>
      </c>
      <c r="AB290" s="68" t="n">
        <f aca="false">AB283+AB289</f>
        <v>216263.241767678</v>
      </c>
      <c r="AC290" s="68" t="n">
        <f aca="false">AC283+AC289</f>
        <v>216263.241767678</v>
      </c>
      <c r="AD290" s="68" t="n">
        <f aca="false">AD283+AD289</f>
        <v>216263.241767678</v>
      </c>
      <c r="AE290" s="68" t="n">
        <f aca="false">AE283+AE289</f>
        <v>216263.241767678</v>
      </c>
      <c r="AF290" s="68" t="n">
        <f aca="false">AF283+AF289</f>
        <v>216263.241767678</v>
      </c>
      <c r="AG290" s="68" t="n">
        <f aca="false">AG283+AG289</f>
        <v>216263.241767678</v>
      </c>
      <c r="AH290" s="68" t="n">
        <f aca="false">AH283+AH289</f>
        <v>216263.241767678</v>
      </c>
      <c r="AI290" s="68" t="n">
        <f aca="false">AI283+AI289</f>
        <v>216263.241767678</v>
      </c>
      <c r="AJ290" s="68" t="n">
        <f aca="false">AJ283+AJ289</f>
        <v>216263.241767678</v>
      </c>
      <c r="AK290" s="68" t="n">
        <f aca="false">AK283+AK289</f>
        <v>216263.241767678</v>
      </c>
      <c r="AL290" s="68" t="n">
        <f aca="false">AL283+AL289</f>
        <v>216263.241767678</v>
      </c>
    </row>
    <row r="292" customFormat="false" ht="15.75" hidden="false" customHeight="true" outlineLevel="0" collapsed="false">
      <c r="A292" s="7" t="s">
        <v>47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customFormat="false" ht="15" hidden="false" customHeight="false" outlineLevel="0" collapsed="false">
      <c r="A293" s="6" t="s">
        <v>355</v>
      </c>
      <c r="C293" s="67" t="n">
        <f aca="false">C376</f>
        <v>-78970.8333333333</v>
      </c>
      <c r="D293" s="67" t="n">
        <f aca="false">D376</f>
        <v>-78970.8333333333</v>
      </c>
      <c r="E293" s="67" t="n">
        <f aca="false">E376</f>
        <v>-78970.8333333333</v>
      </c>
      <c r="F293" s="67" t="n">
        <f aca="false">F376</f>
        <v>-78970.8333333333</v>
      </c>
      <c r="G293" s="67" t="n">
        <f aca="false">G376</f>
        <v>-78970.8333333333</v>
      </c>
      <c r="H293" s="67" t="n">
        <f aca="false">H376</f>
        <v>-78970.8333333333</v>
      </c>
      <c r="I293" s="67" t="n">
        <f aca="false">I376</f>
        <v>-78970.8333333333</v>
      </c>
      <c r="J293" s="67" t="n">
        <f aca="false">J376</f>
        <v>-78970.8333333333</v>
      </c>
      <c r="K293" s="67" t="n">
        <f aca="false">K376</f>
        <v>-78970.8333333333</v>
      </c>
      <c r="L293" s="67" t="n">
        <f aca="false">L376</f>
        <v>-78970.8333333333</v>
      </c>
      <c r="M293" s="67" t="n">
        <f aca="false">M376</f>
        <v>-78970.8333333333</v>
      </c>
      <c r="N293" s="67" t="n">
        <f aca="false">N376</f>
        <v>-78970.8333333333</v>
      </c>
      <c r="O293" s="67" t="n">
        <f aca="false">O376</f>
        <v>-84200.7833333333</v>
      </c>
      <c r="P293" s="67" t="n">
        <f aca="false">P376</f>
        <v>-84200.7833333333</v>
      </c>
      <c r="Q293" s="67" t="n">
        <f aca="false">Q376</f>
        <v>-84200.7833333333</v>
      </c>
      <c r="R293" s="67" t="n">
        <f aca="false">R376</f>
        <v>-84200.7833333333</v>
      </c>
      <c r="S293" s="67" t="n">
        <f aca="false">S376</f>
        <v>-84200.7833333333</v>
      </c>
      <c r="T293" s="67" t="n">
        <f aca="false">T376</f>
        <v>-84200.7833333333</v>
      </c>
      <c r="U293" s="67" t="n">
        <f aca="false">U376</f>
        <v>-84200.7833333333</v>
      </c>
      <c r="V293" s="67" t="n">
        <f aca="false">V376</f>
        <v>-84200.7833333333</v>
      </c>
      <c r="W293" s="67" t="n">
        <f aca="false">W376</f>
        <v>-84200.7833333333</v>
      </c>
      <c r="X293" s="67" t="n">
        <f aca="false">X376</f>
        <v>-84200.7833333333</v>
      </c>
      <c r="Y293" s="67" t="n">
        <f aca="false">Y376</f>
        <v>-84200.7833333333</v>
      </c>
      <c r="Z293" s="67" t="n">
        <f aca="false">Z376</f>
        <v>-84200.7833333333</v>
      </c>
      <c r="AA293" s="67" t="n">
        <f aca="false">AA376</f>
        <v>-89824.9318853333</v>
      </c>
      <c r="AB293" s="67" t="n">
        <f aca="false">AB376</f>
        <v>-89824.9318853333</v>
      </c>
      <c r="AC293" s="67" t="n">
        <f aca="false">AC376</f>
        <v>-89824.9318853333</v>
      </c>
      <c r="AD293" s="67" t="n">
        <f aca="false">AD376</f>
        <v>-89824.9318853333</v>
      </c>
      <c r="AE293" s="67" t="n">
        <f aca="false">AE376</f>
        <v>-89824.9318853333</v>
      </c>
      <c r="AF293" s="67" t="n">
        <f aca="false">AF376</f>
        <v>-89824.9318853333</v>
      </c>
      <c r="AG293" s="67" t="n">
        <f aca="false">AG376</f>
        <v>-89824.9318853333</v>
      </c>
      <c r="AH293" s="67" t="n">
        <f aca="false">AH376</f>
        <v>-89824.9318853333</v>
      </c>
      <c r="AI293" s="67" t="n">
        <f aca="false">AI376</f>
        <v>-89824.9318853333</v>
      </c>
      <c r="AJ293" s="67" t="n">
        <f aca="false">AJ376</f>
        <v>-89824.9318853333</v>
      </c>
      <c r="AK293" s="67" t="n">
        <f aca="false">AK376</f>
        <v>-89824.9318853333</v>
      </c>
      <c r="AL293" s="67" t="n">
        <f aca="false">AL376</f>
        <v>-89824.9318853333</v>
      </c>
    </row>
    <row r="294" customFormat="false" ht="15" hidden="false" customHeight="false" outlineLevel="0" collapsed="false">
      <c r="A294" s="6" t="s">
        <v>356</v>
      </c>
      <c r="C294" s="67" t="n">
        <f aca="false">-C283*C278/MAX(1,C280)*Inputs!$D$39*Inputs!$D$40</f>
        <v>-13215.5384903242</v>
      </c>
      <c r="D294" s="67" t="n">
        <f aca="false">-D283*D278/MAX(1,D280)*Inputs!$D$39*Inputs!$D$40</f>
        <v>-13299.2504218786</v>
      </c>
      <c r="E294" s="67" t="n">
        <f aca="false">-E283*E278/MAX(1,E280)*Inputs!$D$39*Inputs!$D$40</f>
        <v>-13381.9578102544</v>
      </c>
      <c r="F294" s="67" t="n">
        <f aca="false">-F283*F278/MAX(1,F280)*Inputs!$D$39*Inputs!$D$40</f>
        <v>-13463.6727099697</v>
      </c>
      <c r="G294" s="67" t="n">
        <f aca="false">-G283*G278/MAX(1,G280)*Inputs!$D$39*Inputs!$D$40</f>
        <v>-13544.4070308884</v>
      </c>
      <c r="H294" s="67" t="n">
        <f aca="false">-H283*H278/MAX(1,H280)*Inputs!$D$39*Inputs!$D$40</f>
        <v>-13624.172539956</v>
      </c>
      <c r="I294" s="67" t="n">
        <f aca="false">-I283*I278/MAX(1,I280)*Inputs!$D$39*Inputs!$D$40</f>
        <v>-13702.9808629149</v>
      </c>
      <c r="J294" s="67" t="n">
        <f aca="false">-J283*J278/MAX(1,J280)*Inputs!$D$39*Inputs!$D$40</f>
        <v>-13780.8434859982</v>
      </c>
      <c r="K294" s="67" t="n">
        <f aca="false">-K283*K278/MAX(1,K280)*Inputs!$D$39*Inputs!$D$40</f>
        <v>-13857.7717576045</v>
      </c>
      <c r="L294" s="67" t="n">
        <f aca="false">-L283*L278/MAX(1,L280)*Inputs!$D$39*Inputs!$D$40</f>
        <v>-13933.7768899516</v>
      </c>
      <c r="M294" s="67" t="n">
        <f aca="false">-M283*M278/MAX(1,M280)*Inputs!$D$39*Inputs!$D$40</f>
        <v>-14008.8699607105</v>
      </c>
      <c r="N294" s="67" t="n">
        <f aca="false">-N283*N278/MAX(1,N280)*Inputs!$D$39*Inputs!$D$40</f>
        <v>-14083.0619146203</v>
      </c>
      <c r="O294" s="67" t="n">
        <f aca="false">-O283*O278/MAX(1,O280)*Inputs!$D$39*Inputs!$D$40</f>
        <v>-14948.6577282469</v>
      </c>
      <c r="P294" s="67" t="n">
        <f aca="false">-P283*P278/MAX(1,P280)*Inputs!$D$39*Inputs!$D$40</f>
        <v>-15045.3750575436</v>
      </c>
      <c r="Q294" s="67" t="n">
        <f aca="false">-Q283*Q278/MAX(1,Q280)*Inputs!$D$39*Inputs!$D$40</f>
        <v>-15140.9317788887</v>
      </c>
      <c r="R294" s="67" t="n">
        <f aca="false">-R283*R278/MAX(1,R280)*Inputs!$D$39*Inputs!$D$40</f>
        <v>-15235.3418195776</v>
      </c>
      <c r="S294" s="67" t="n">
        <f aca="false">-S283*S278/MAX(1,S280)*Inputs!$D$39*Inputs!$D$40</f>
        <v>-15328.6189397783</v>
      </c>
      <c r="T294" s="67" t="n">
        <f aca="false">-T283*T278/MAX(1,T280)*Inputs!$D$39*Inputs!$D$40</f>
        <v>-15420.7767345366</v>
      </c>
      <c r="U294" s="67" t="n">
        <f aca="false">-U283*U278/MAX(1,U280)*Inputs!$D$39*Inputs!$D$40</f>
        <v>-15511.8286357578</v>
      </c>
      <c r="V294" s="67" t="n">
        <f aca="false">-V283*V278/MAX(1,V280)*Inputs!$D$39*Inputs!$D$40</f>
        <v>-15601.7879141644</v>
      </c>
      <c r="W294" s="67" t="n">
        <f aca="false">-W283*W278/MAX(1,W280)*Inputs!$D$39*Inputs!$D$40</f>
        <v>-15690.66768123</v>
      </c>
      <c r="X294" s="67" t="n">
        <f aca="false">-X283*X278/MAX(1,X280)*Inputs!$D$39*Inputs!$D$40</f>
        <v>-15739.168693248</v>
      </c>
      <c r="Y294" s="67" t="n">
        <f aca="false">-Y283*Y278/MAX(1,Y280)*Inputs!$D$39*Inputs!$D$40</f>
        <v>-15739.168693248</v>
      </c>
      <c r="Z294" s="67" t="n">
        <f aca="false">-Z283*Z278/MAX(1,Z280)*Inputs!$D$39*Inputs!$D$40</f>
        <v>-15739.168693248</v>
      </c>
      <c r="AA294" s="67" t="n">
        <f aca="false">-AA283*AA278/MAX(1,AA280)*Inputs!$D$39*Inputs!$D$40</f>
        <v>-16368.7354409779</v>
      </c>
      <c r="AB294" s="67" t="n">
        <f aca="false">-AB283*AB278/MAX(1,AB280)*Inputs!$D$39*Inputs!$D$40</f>
        <v>-16368.7354409779</v>
      </c>
      <c r="AC294" s="67" t="n">
        <f aca="false">-AC283*AC278/MAX(1,AC280)*Inputs!$D$39*Inputs!$D$40</f>
        <v>-16368.7354409779</v>
      </c>
      <c r="AD294" s="67" t="n">
        <f aca="false">-AD283*AD278/MAX(1,AD280)*Inputs!$D$39*Inputs!$D$40</f>
        <v>-16368.7354409779</v>
      </c>
      <c r="AE294" s="67" t="n">
        <f aca="false">-AE283*AE278/MAX(1,AE280)*Inputs!$D$39*Inputs!$D$40</f>
        <v>-16368.7354409779</v>
      </c>
      <c r="AF294" s="67" t="n">
        <f aca="false">-AF283*AF278/MAX(1,AF280)*Inputs!$D$39*Inputs!$D$40</f>
        <v>-16368.7354409779</v>
      </c>
      <c r="AG294" s="67" t="n">
        <f aca="false">-AG283*AG278/MAX(1,AG280)*Inputs!$D$39*Inputs!$D$40</f>
        <v>-16368.7354409779</v>
      </c>
      <c r="AH294" s="67" t="n">
        <f aca="false">-AH283*AH278/MAX(1,AH280)*Inputs!$D$39*Inputs!$D$40</f>
        <v>-16368.7354409779</v>
      </c>
      <c r="AI294" s="67" t="n">
        <f aca="false">-AI283*AI278/MAX(1,AI280)*Inputs!$D$39*Inputs!$D$40</f>
        <v>-16368.7354409779</v>
      </c>
      <c r="AJ294" s="67" t="n">
        <f aca="false">-AJ283*AJ278/MAX(1,AJ280)*Inputs!$D$39*Inputs!$D$40</f>
        <v>-16368.7354409779</v>
      </c>
      <c r="AK294" s="67" t="n">
        <f aca="false">-AK283*AK278/MAX(1,AK280)*Inputs!$D$39*Inputs!$D$40</f>
        <v>-16368.7354409779</v>
      </c>
      <c r="AL294" s="67" t="n">
        <f aca="false">-AL283*AL278/MAX(1,AL280)*Inputs!$D$39*Inputs!$D$40</f>
        <v>-16368.7354409779</v>
      </c>
    </row>
    <row r="295" customFormat="false" ht="15" hidden="false" customHeight="false" outlineLevel="0" collapsed="false">
      <c r="A295" s="6" t="s">
        <v>357</v>
      </c>
      <c r="C295" s="67" t="n">
        <f aca="false">-Inputs!$D$17*(1+Inputs!$D$18)^(C$257-1)*1</f>
        <v>-7000</v>
      </c>
      <c r="D295" s="67" t="n">
        <f aca="false">-Inputs!$D$17*(1+Inputs!$D$18)^(D$257-1)*1</f>
        <v>-7000</v>
      </c>
      <c r="E295" s="67" t="n">
        <f aca="false">-Inputs!$D$17*(1+Inputs!$D$18)^(E$257-1)*1</f>
        <v>-7000</v>
      </c>
      <c r="F295" s="67" t="n">
        <f aca="false">-Inputs!$D$17*(1+Inputs!$D$18)^(F$257-1)*1</f>
        <v>-7000</v>
      </c>
      <c r="G295" s="67" t="n">
        <f aca="false">-Inputs!$D$17*(1+Inputs!$D$18)^(G$257-1)*1</f>
        <v>-7000</v>
      </c>
      <c r="H295" s="67" t="n">
        <f aca="false">-Inputs!$D$17*(1+Inputs!$D$18)^(H$257-1)*1</f>
        <v>-7000</v>
      </c>
      <c r="I295" s="67" t="n">
        <f aca="false">-Inputs!$D$17*(1+Inputs!$D$18)^(I$257-1)*1</f>
        <v>-7000</v>
      </c>
      <c r="J295" s="67" t="n">
        <f aca="false">-Inputs!$D$17*(1+Inputs!$D$18)^(J$257-1)*1</f>
        <v>-7000</v>
      </c>
      <c r="K295" s="67" t="n">
        <f aca="false">-Inputs!$D$17*(1+Inputs!$D$18)^(K$257-1)*1</f>
        <v>-7000</v>
      </c>
      <c r="L295" s="67" t="n">
        <f aca="false">-Inputs!$D$17*(1+Inputs!$D$18)^(L$257-1)*1</f>
        <v>-7000</v>
      </c>
      <c r="M295" s="67" t="n">
        <f aca="false">-Inputs!$D$17*(1+Inputs!$D$18)^(M$257-1)*1</f>
        <v>-7000</v>
      </c>
      <c r="N295" s="67" t="n">
        <f aca="false">-Inputs!$D$17*(1+Inputs!$D$18)^(N$257-1)*1</f>
        <v>-7000</v>
      </c>
      <c r="O295" s="67" t="n">
        <f aca="false">-Inputs!$D$17*(1+Inputs!$D$18)^(O$257-1)*1</f>
        <v>-7700</v>
      </c>
      <c r="P295" s="67" t="n">
        <f aca="false">-Inputs!$D$17*(1+Inputs!$D$18)^(P$257-1)*1</f>
        <v>-7700</v>
      </c>
      <c r="Q295" s="67" t="n">
        <f aca="false">-Inputs!$D$17*(1+Inputs!$D$18)^(Q$257-1)*1</f>
        <v>-7700</v>
      </c>
      <c r="R295" s="67" t="n">
        <f aca="false">-Inputs!$D$17*(1+Inputs!$D$18)^(R$257-1)*1</f>
        <v>-7700</v>
      </c>
      <c r="S295" s="67" t="n">
        <f aca="false">-Inputs!$D$17*(1+Inputs!$D$18)^(S$257-1)*1</f>
        <v>-7700</v>
      </c>
      <c r="T295" s="67" t="n">
        <f aca="false">-Inputs!$D$17*(1+Inputs!$D$18)^(T$257-1)*1</f>
        <v>-7700</v>
      </c>
      <c r="U295" s="67" t="n">
        <f aca="false">-Inputs!$D$17*(1+Inputs!$D$18)^(U$257-1)*1</f>
        <v>-7700</v>
      </c>
      <c r="V295" s="67" t="n">
        <f aca="false">-Inputs!$D$17*(1+Inputs!$D$18)^(V$257-1)*1</f>
        <v>-7700</v>
      </c>
      <c r="W295" s="67" t="n">
        <f aca="false">-Inputs!$D$17*(1+Inputs!$D$18)^(W$257-1)*1</f>
        <v>-7700</v>
      </c>
      <c r="X295" s="67" t="n">
        <f aca="false">-Inputs!$D$17*(1+Inputs!$D$18)^(X$257-1)*1</f>
        <v>-7700</v>
      </c>
      <c r="Y295" s="67" t="n">
        <f aca="false">-Inputs!$D$17*(1+Inputs!$D$18)^(Y$257-1)*1</f>
        <v>-7700</v>
      </c>
      <c r="Z295" s="67" t="n">
        <f aca="false">-Inputs!$D$17*(1+Inputs!$D$18)^(Z$257-1)*1</f>
        <v>-7700</v>
      </c>
      <c r="AA295" s="67" t="n">
        <f aca="false">-Inputs!$D$17*(1+Inputs!$D$18)^(AA$257-1)*1</f>
        <v>-8470</v>
      </c>
      <c r="AB295" s="67" t="n">
        <f aca="false">-Inputs!$D$17*(1+Inputs!$D$18)^(AB$257-1)*1</f>
        <v>-8470</v>
      </c>
      <c r="AC295" s="67" t="n">
        <f aca="false">-Inputs!$D$17*(1+Inputs!$D$18)^(AC$257-1)*1</f>
        <v>-8470</v>
      </c>
      <c r="AD295" s="67" t="n">
        <f aca="false">-Inputs!$D$17*(1+Inputs!$D$18)^(AD$257-1)*1</f>
        <v>-8470</v>
      </c>
      <c r="AE295" s="67" t="n">
        <f aca="false">-Inputs!$D$17*(1+Inputs!$D$18)^(AE$257-1)*1</f>
        <v>-8470</v>
      </c>
      <c r="AF295" s="67" t="n">
        <f aca="false">-Inputs!$D$17*(1+Inputs!$D$18)^(AF$257-1)*1</f>
        <v>-8470</v>
      </c>
      <c r="AG295" s="67" t="n">
        <f aca="false">-Inputs!$D$17*(1+Inputs!$D$18)^(AG$257-1)*1</f>
        <v>-8470</v>
      </c>
      <c r="AH295" s="67" t="n">
        <f aca="false">-Inputs!$D$17*(1+Inputs!$D$18)^(AH$257-1)*1</f>
        <v>-8470</v>
      </c>
      <c r="AI295" s="67" t="n">
        <f aca="false">-Inputs!$D$17*(1+Inputs!$D$18)^(AI$257-1)*1</f>
        <v>-8470</v>
      </c>
      <c r="AJ295" s="67" t="n">
        <f aca="false">-Inputs!$D$17*(1+Inputs!$D$18)^(AJ$257-1)*1</f>
        <v>-8470</v>
      </c>
      <c r="AK295" s="67" t="n">
        <f aca="false">-Inputs!$D$17*(1+Inputs!$D$18)^(AK$257-1)*1</f>
        <v>-8470</v>
      </c>
      <c r="AL295" s="67" t="n">
        <f aca="false">-Inputs!$D$17*(1+Inputs!$D$18)^(AL$257-1)*1</f>
        <v>-8470</v>
      </c>
    </row>
    <row r="296" customFormat="false" ht="15" hidden="false" customHeight="false" outlineLevel="0" collapsed="false">
      <c r="A296" s="6" t="s">
        <v>358</v>
      </c>
      <c r="C296" s="67" t="n">
        <f aca="false">-Inputs!$D$48*Inputs!$D$49/12*1</f>
        <v>-9333.33333333333</v>
      </c>
      <c r="D296" s="67" t="n">
        <f aca="false">-Inputs!$D$48*Inputs!$D$49/12*1</f>
        <v>-9333.33333333333</v>
      </c>
      <c r="E296" s="67" t="n">
        <f aca="false">-Inputs!$D$48*Inputs!$D$49/12*1</f>
        <v>-9333.33333333333</v>
      </c>
      <c r="F296" s="67" t="n">
        <f aca="false">-Inputs!$D$48*Inputs!$D$49/12*1</f>
        <v>-9333.33333333333</v>
      </c>
      <c r="G296" s="67" t="n">
        <f aca="false">-Inputs!$D$48*Inputs!$D$49/12*1</f>
        <v>-9333.33333333333</v>
      </c>
      <c r="H296" s="67" t="n">
        <f aca="false">-Inputs!$D$48*Inputs!$D$49/12*1</f>
        <v>-9333.33333333333</v>
      </c>
      <c r="I296" s="67" t="n">
        <f aca="false">-Inputs!$D$48*Inputs!$D$49/12*1</f>
        <v>-9333.33333333333</v>
      </c>
      <c r="J296" s="67" t="n">
        <f aca="false">-Inputs!$D$48*Inputs!$D$49/12*1</f>
        <v>-9333.33333333333</v>
      </c>
      <c r="K296" s="67" t="n">
        <f aca="false">-Inputs!$D$48*Inputs!$D$49/12*1</f>
        <v>-9333.33333333333</v>
      </c>
      <c r="L296" s="67" t="n">
        <f aca="false">-Inputs!$D$48*Inputs!$D$49/12*1</f>
        <v>-9333.33333333333</v>
      </c>
      <c r="M296" s="67" t="n">
        <f aca="false">-Inputs!$D$48*Inputs!$D$49/12*1</f>
        <v>-9333.33333333333</v>
      </c>
      <c r="N296" s="67" t="n">
        <f aca="false">-Inputs!$D$48*Inputs!$D$49/12*1</f>
        <v>-9333.33333333333</v>
      </c>
      <c r="O296" s="67" t="n">
        <f aca="false">-Inputs!$D$48*Inputs!$D$49/12*1</f>
        <v>-9333.33333333333</v>
      </c>
      <c r="P296" s="67" t="n">
        <f aca="false">-Inputs!$D$48*Inputs!$D$49/12*1</f>
        <v>-9333.33333333333</v>
      </c>
      <c r="Q296" s="67" t="n">
        <f aca="false">-Inputs!$D$48*Inputs!$D$49/12*1</f>
        <v>-9333.33333333333</v>
      </c>
      <c r="R296" s="67" t="n">
        <f aca="false">-Inputs!$D$48*Inputs!$D$49/12*1</f>
        <v>-9333.33333333333</v>
      </c>
      <c r="S296" s="67" t="n">
        <f aca="false">-Inputs!$D$48*Inputs!$D$49/12*1</f>
        <v>-9333.33333333333</v>
      </c>
      <c r="T296" s="67" t="n">
        <f aca="false">-Inputs!$D$48*Inputs!$D$49/12*1</f>
        <v>-9333.33333333333</v>
      </c>
      <c r="U296" s="67" t="n">
        <f aca="false">-Inputs!$D$48*Inputs!$D$49/12*1</f>
        <v>-9333.33333333333</v>
      </c>
      <c r="V296" s="67" t="n">
        <f aca="false">-Inputs!$D$48*Inputs!$D$49/12*1</f>
        <v>-9333.33333333333</v>
      </c>
      <c r="W296" s="67" t="n">
        <f aca="false">-Inputs!$D$48*Inputs!$D$49/12*1</f>
        <v>-9333.33333333333</v>
      </c>
      <c r="X296" s="67" t="n">
        <f aca="false">-Inputs!$D$48*Inputs!$D$49/12*1</f>
        <v>-9333.33333333333</v>
      </c>
      <c r="Y296" s="67" t="n">
        <f aca="false">-Inputs!$D$48*Inputs!$D$49/12*1</f>
        <v>-9333.33333333333</v>
      </c>
      <c r="Z296" s="67" t="n">
        <f aca="false">-Inputs!$D$48*Inputs!$D$49/12*1</f>
        <v>-9333.33333333333</v>
      </c>
      <c r="AA296" s="67" t="n">
        <f aca="false">-Inputs!$D$48*Inputs!$D$49/12*1</f>
        <v>-9333.33333333333</v>
      </c>
      <c r="AB296" s="67" t="n">
        <f aca="false">-Inputs!$D$48*Inputs!$D$49/12*1</f>
        <v>-9333.33333333333</v>
      </c>
      <c r="AC296" s="67" t="n">
        <f aca="false">-Inputs!$D$48*Inputs!$D$49/12*1</f>
        <v>-9333.33333333333</v>
      </c>
      <c r="AD296" s="67" t="n">
        <f aca="false">-Inputs!$D$48*Inputs!$D$49/12*1</f>
        <v>-9333.33333333333</v>
      </c>
      <c r="AE296" s="67" t="n">
        <f aca="false">-Inputs!$D$48*Inputs!$D$49/12*1</f>
        <v>-9333.33333333333</v>
      </c>
      <c r="AF296" s="67" t="n">
        <f aca="false">-Inputs!$D$48*Inputs!$D$49/12*1</f>
        <v>-9333.33333333333</v>
      </c>
      <c r="AG296" s="67" t="n">
        <f aca="false">-Inputs!$D$48*Inputs!$D$49/12*1</f>
        <v>-9333.33333333333</v>
      </c>
      <c r="AH296" s="67" t="n">
        <f aca="false">-Inputs!$D$48*Inputs!$D$49/12*1</f>
        <v>-9333.33333333333</v>
      </c>
      <c r="AI296" s="67" t="n">
        <f aca="false">-Inputs!$D$48*Inputs!$D$49/12*1</f>
        <v>-9333.33333333333</v>
      </c>
      <c r="AJ296" s="67" t="n">
        <f aca="false">-Inputs!$D$48*Inputs!$D$49/12*1</f>
        <v>-9333.33333333333</v>
      </c>
      <c r="AK296" s="67" t="n">
        <f aca="false">-Inputs!$D$48*Inputs!$D$49/12*1</f>
        <v>-9333.33333333333</v>
      </c>
      <c r="AL296" s="67" t="n">
        <f aca="false">-Inputs!$D$48*Inputs!$D$49/12*1</f>
        <v>-9333.33333333333</v>
      </c>
    </row>
    <row r="297" customFormat="false" ht="15" hidden="false" customHeight="false" outlineLevel="0" collapsed="false">
      <c r="A297" s="6" t="s">
        <v>359</v>
      </c>
      <c r="C297" s="67" t="n">
        <f aca="false">-Inputs!$D$41*1</f>
        <v>-1800</v>
      </c>
      <c r="D297" s="67" t="n">
        <f aca="false">-Inputs!$D$41*1</f>
        <v>-1800</v>
      </c>
      <c r="E297" s="67" t="n">
        <f aca="false">-Inputs!$D$41*1</f>
        <v>-1800</v>
      </c>
      <c r="F297" s="67" t="n">
        <f aca="false">-Inputs!$D$41*1</f>
        <v>-1800</v>
      </c>
      <c r="G297" s="67" t="n">
        <f aca="false">-Inputs!$D$41*1</f>
        <v>-1800</v>
      </c>
      <c r="H297" s="67" t="n">
        <f aca="false">-Inputs!$D$41*1</f>
        <v>-1800</v>
      </c>
      <c r="I297" s="67" t="n">
        <f aca="false">-Inputs!$D$41*1</f>
        <v>-1800</v>
      </c>
      <c r="J297" s="67" t="n">
        <f aca="false">-Inputs!$D$41*1</f>
        <v>-1800</v>
      </c>
      <c r="K297" s="67" t="n">
        <f aca="false">-Inputs!$D$41*1</f>
        <v>-1800</v>
      </c>
      <c r="L297" s="67" t="n">
        <f aca="false">-Inputs!$D$41*1</f>
        <v>-1800</v>
      </c>
      <c r="M297" s="67" t="n">
        <f aca="false">-Inputs!$D$41*1</f>
        <v>-1800</v>
      </c>
      <c r="N297" s="67" t="n">
        <f aca="false">-Inputs!$D$41*1</f>
        <v>-1800</v>
      </c>
      <c r="O297" s="67" t="n">
        <f aca="false">-Inputs!$D$41*1</f>
        <v>-1800</v>
      </c>
      <c r="P297" s="67" t="n">
        <f aca="false">-Inputs!$D$41*1</f>
        <v>-1800</v>
      </c>
      <c r="Q297" s="67" t="n">
        <f aca="false">-Inputs!$D$41*1</f>
        <v>-1800</v>
      </c>
      <c r="R297" s="67" t="n">
        <f aca="false">-Inputs!$D$41*1</f>
        <v>-1800</v>
      </c>
      <c r="S297" s="67" t="n">
        <f aca="false">-Inputs!$D$41*1</f>
        <v>-1800</v>
      </c>
      <c r="T297" s="67" t="n">
        <f aca="false">-Inputs!$D$41*1</f>
        <v>-1800</v>
      </c>
      <c r="U297" s="67" t="n">
        <f aca="false">-Inputs!$D$41*1</f>
        <v>-1800</v>
      </c>
      <c r="V297" s="67" t="n">
        <f aca="false">-Inputs!$D$41*1</f>
        <v>-1800</v>
      </c>
      <c r="W297" s="67" t="n">
        <f aca="false">-Inputs!$D$41*1</f>
        <v>-1800</v>
      </c>
      <c r="X297" s="67" t="n">
        <f aca="false">-Inputs!$D$41*1</f>
        <v>-1800</v>
      </c>
      <c r="Y297" s="67" t="n">
        <f aca="false">-Inputs!$D$41*1</f>
        <v>-1800</v>
      </c>
      <c r="Z297" s="67" t="n">
        <f aca="false">-Inputs!$D$41*1</f>
        <v>-1800</v>
      </c>
      <c r="AA297" s="67" t="n">
        <f aca="false">-Inputs!$D$41*1</f>
        <v>-1800</v>
      </c>
      <c r="AB297" s="67" t="n">
        <f aca="false">-Inputs!$D$41*1</f>
        <v>-1800</v>
      </c>
      <c r="AC297" s="67" t="n">
        <f aca="false">-Inputs!$D$41*1</f>
        <v>-1800</v>
      </c>
      <c r="AD297" s="67" t="n">
        <f aca="false">-Inputs!$D$41*1</f>
        <v>-1800</v>
      </c>
      <c r="AE297" s="67" t="n">
        <f aca="false">-Inputs!$D$41*1</f>
        <v>-1800</v>
      </c>
      <c r="AF297" s="67" t="n">
        <f aca="false">-Inputs!$D$41*1</f>
        <v>-1800</v>
      </c>
      <c r="AG297" s="67" t="n">
        <f aca="false">-Inputs!$D$41*1</f>
        <v>-1800</v>
      </c>
      <c r="AH297" s="67" t="n">
        <f aca="false">-Inputs!$D$41*1</f>
        <v>-1800</v>
      </c>
      <c r="AI297" s="67" t="n">
        <f aca="false">-Inputs!$D$41*1</f>
        <v>-1800</v>
      </c>
      <c r="AJ297" s="67" t="n">
        <f aca="false">-Inputs!$D$41*1</f>
        <v>-1800</v>
      </c>
      <c r="AK297" s="67" t="n">
        <f aca="false">-Inputs!$D$41*1</f>
        <v>-1800</v>
      </c>
      <c r="AL297" s="67" t="n">
        <f aca="false">-Inputs!$D$41*1</f>
        <v>-1800</v>
      </c>
    </row>
    <row r="298" customFormat="false" ht="15" hidden="false" customHeight="false" outlineLevel="0" collapsed="false">
      <c r="A298" s="6" t="s">
        <v>360</v>
      </c>
      <c r="C298" s="67" t="n">
        <f aca="false">-Inputs!$D$42*1</f>
        <v>-1300</v>
      </c>
      <c r="D298" s="67" t="n">
        <f aca="false">-Inputs!$D$42*1</f>
        <v>-1300</v>
      </c>
      <c r="E298" s="67" t="n">
        <f aca="false">-Inputs!$D$42*1</f>
        <v>-1300</v>
      </c>
      <c r="F298" s="67" t="n">
        <f aca="false">-Inputs!$D$42*1</f>
        <v>-1300</v>
      </c>
      <c r="G298" s="67" t="n">
        <f aca="false">-Inputs!$D$42*1</f>
        <v>-1300</v>
      </c>
      <c r="H298" s="67" t="n">
        <f aca="false">-Inputs!$D$42*1</f>
        <v>-1300</v>
      </c>
      <c r="I298" s="67" t="n">
        <f aca="false">-Inputs!$D$42*1</f>
        <v>-1300</v>
      </c>
      <c r="J298" s="67" t="n">
        <f aca="false">-Inputs!$D$42*1</f>
        <v>-1300</v>
      </c>
      <c r="K298" s="67" t="n">
        <f aca="false">-Inputs!$D$42*1</f>
        <v>-1300</v>
      </c>
      <c r="L298" s="67" t="n">
        <f aca="false">-Inputs!$D$42*1</f>
        <v>-1300</v>
      </c>
      <c r="M298" s="67" t="n">
        <f aca="false">-Inputs!$D$42*1</f>
        <v>-1300</v>
      </c>
      <c r="N298" s="67" t="n">
        <f aca="false">-Inputs!$D$42*1</f>
        <v>-1300</v>
      </c>
      <c r="O298" s="67" t="n">
        <f aca="false">-Inputs!$D$42*1</f>
        <v>-1300</v>
      </c>
      <c r="P298" s="67" t="n">
        <f aca="false">-Inputs!$D$42*1</f>
        <v>-1300</v>
      </c>
      <c r="Q298" s="67" t="n">
        <f aca="false">-Inputs!$D$42*1</f>
        <v>-1300</v>
      </c>
      <c r="R298" s="67" t="n">
        <f aca="false">-Inputs!$D$42*1</f>
        <v>-1300</v>
      </c>
      <c r="S298" s="67" t="n">
        <f aca="false">-Inputs!$D$42*1</f>
        <v>-1300</v>
      </c>
      <c r="T298" s="67" t="n">
        <f aca="false">-Inputs!$D$42*1</f>
        <v>-1300</v>
      </c>
      <c r="U298" s="67" t="n">
        <f aca="false">-Inputs!$D$42*1</f>
        <v>-1300</v>
      </c>
      <c r="V298" s="67" t="n">
        <f aca="false">-Inputs!$D$42*1</f>
        <v>-1300</v>
      </c>
      <c r="W298" s="67" t="n">
        <f aca="false">-Inputs!$D$42*1</f>
        <v>-1300</v>
      </c>
      <c r="X298" s="67" t="n">
        <f aca="false">-Inputs!$D$42*1</f>
        <v>-1300</v>
      </c>
      <c r="Y298" s="67" t="n">
        <f aca="false">-Inputs!$D$42*1</f>
        <v>-1300</v>
      </c>
      <c r="Z298" s="67" t="n">
        <f aca="false">-Inputs!$D$42*1</f>
        <v>-1300</v>
      </c>
      <c r="AA298" s="67" t="n">
        <f aca="false">-Inputs!$D$42*1</f>
        <v>-1300</v>
      </c>
      <c r="AB298" s="67" t="n">
        <f aca="false">-Inputs!$D$42*1</f>
        <v>-1300</v>
      </c>
      <c r="AC298" s="67" t="n">
        <f aca="false">-Inputs!$D$42*1</f>
        <v>-1300</v>
      </c>
      <c r="AD298" s="67" t="n">
        <f aca="false">-Inputs!$D$42*1</f>
        <v>-1300</v>
      </c>
      <c r="AE298" s="67" t="n">
        <f aca="false">-Inputs!$D$42*1</f>
        <v>-1300</v>
      </c>
      <c r="AF298" s="67" t="n">
        <f aca="false">-Inputs!$D$42*1</f>
        <v>-1300</v>
      </c>
      <c r="AG298" s="67" t="n">
        <f aca="false">-Inputs!$D$42*1</f>
        <v>-1300</v>
      </c>
      <c r="AH298" s="67" t="n">
        <f aca="false">-Inputs!$D$42*1</f>
        <v>-1300</v>
      </c>
      <c r="AI298" s="67" t="n">
        <f aca="false">-Inputs!$D$42*1</f>
        <v>-1300</v>
      </c>
      <c r="AJ298" s="67" t="n">
        <f aca="false">-Inputs!$D$42*1</f>
        <v>-1300</v>
      </c>
      <c r="AK298" s="67" t="n">
        <f aca="false">-Inputs!$D$42*1</f>
        <v>-1300</v>
      </c>
      <c r="AL298" s="67" t="n">
        <f aca="false">-Inputs!$D$42*1</f>
        <v>-1300</v>
      </c>
    </row>
    <row r="299" customFormat="false" ht="15" hidden="false" customHeight="false" outlineLevel="0" collapsed="false">
      <c r="A299" s="6" t="s">
        <v>361</v>
      </c>
      <c r="C299" s="67" t="n">
        <f aca="false">-Inputs!$D$43*1</f>
        <v>-1100</v>
      </c>
      <c r="D299" s="67" t="n">
        <f aca="false">-Inputs!$D$43*1</f>
        <v>-1100</v>
      </c>
      <c r="E299" s="67" t="n">
        <f aca="false">-Inputs!$D$43*1</f>
        <v>-1100</v>
      </c>
      <c r="F299" s="67" t="n">
        <f aca="false">-Inputs!$D$43*1</f>
        <v>-1100</v>
      </c>
      <c r="G299" s="67" t="n">
        <f aca="false">-Inputs!$D$43*1</f>
        <v>-1100</v>
      </c>
      <c r="H299" s="67" t="n">
        <f aca="false">-Inputs!$D$43*1</f>
        <v>-1100</v>
      </c>
      <c r="I299" s="67" t="n">
        <f aca="false">-Inputs!$D$43*1</f>
        <v>-1100</v>
      </c>
      <c r="J299" s="67" t="n">
        <f aca="false">-Inputs!$D$43*1</f>
        <v>-1100</v>
      </c>
      <c r="K299" s="67" t="n">
        <f aca="false">-Inputs!$D$43*1</f>
        <v>-1100</v>
      </c>
      <c r="L299" s="67" t="n">
        <f aca="false">-Inputs!$D$43*1</f>
        <v>-1100</v>
      </c>
      <c r="M299" s="67" t="n">
        <f aca="false">-Inputs!$D$43*1</f>
        <v>-1100</v>
      </c>
      <c r="N299" s="67" t="n">
        <f aca="false">-Inputs!$D$43*1</f>
        <v>-1100</v>
      </c>
      <c r="O299" s="67" t="n">
        <f aca="false">-Inputs!$D$43*1</f>
        <v>-1100</v>
      </c>
      <c r="P299" s="67" t="n">
        <f aca="false">-Inputs!$D$43*1</f>
        <v>-1100</v>
      </c>
      <c r="Q299" s="67" t="n">
        <f aca="false">-Inputs!$D$43*1</f>
        <v>-1100</v>
      </c>
      <c r="R299" s="67" t="n">
        <f aca="false">-Inputs!$D$43*1</f>
        <v>-1100</v>
      </c>
      <c r="S299" s="67" t="n">
        <f aca="false">-Inputs!$D$43*1</f>
        <v>-1100</v>
      </c>
      <c r="T299" s="67" t="n">
        <f aca="false">-Inputs!$D$43*1</f>
        <v>-1100</v>
      </c>
      <c r="U299" s="67" t="n">
        <f aca="false">-Inputs!$D$43*1</f>
        <v>-1100</v>
      </c>
      <c r="V299" s="67" t="n">
        <f aca="false">-Inputs!$D$43*1</f>
        <v>-1100</v>
      </c>
      <c r="W299" s="67" t="n">
        <f aca="false">-Inputs!$D$43*1</f>
        <v>-1100</v>
      </c>
      <c r="X299" s="67" t="n">
        <f aca="false">-Inputs!$D$43*1</f>
        <v>-1100</v>
      </c>
      <c r="Y299" s="67" t="n">
        <f aca="false">-Inputs!$D$43*1</f>
        <v>-1100</v>
      </c>
      <c r="Z299" s="67" t="n">
        <f aca="false">-Inputs!$D$43*1</f>
        <v>-1100</v>
      </c>
      <c r="AA299" s="67" t="n">
        <f aca="false">-Inputs!$D$43*1</f>
        <v>-1100</v>
      </c>
      <c r="AB299" s="67" t="n">
        <f aca="false">-Inputs!$D$43*1</f>
        <v>-1100</v>
      </c>
      <c r="AC299" s="67" t="n">
        <f aca="false">-Inputs!$D$43*1</f>
        <v>-1100</v>
      </c>
      <c r="AD299" s="67" t="n">
        <f aca="false">-Inputs!$D$43*1</f>
        <v>-1100</v>
      </c>
      <c r="AE299" s="67" t="n">
        <f aca="false">-Inputs!$D$43*1</f>
        <v>-1100</v>
      </c>
      <c r="AF299" s="67" t="n">
        <f aca="false">-Inputs!$D$43*1</f>
        <v>-1100</v>
      </c>
      <c r="AG299" s="67" t="n">
        <f aca="false">-Inputs!$D$43*1</f>
        <v>-1100</v>
      </c>
      <c r="AH299" s="67" t="n">
        <f aca="false">-Inputs!$D$43*1</f>
        <v>-1100</v>
      </c>
      <c r="AI299" s="67" t="n">
        <f aca="false">-Inputs!$D$43*1</f>
        <v>-1100</v>
      </c>
      <c r="AJ299" s="67" t="n">
        <f aca="false">-Inputs!$D$43*1</f>
        <v>-1100</v>
      </c>
      <c r="AK299" s="67" t="n">
        <f aca="false">-Inputs!$D$43*1</f>
        <v>-1100</v>
      </c>
      <c r="AL299" s="67" t="n">
        <f aca="false">-Inputs!$D$43*1</f>
        <v>-1100</v>
      </c>
    </row>
    <row r="300" customFormat="false" ht="15" hidden="false" customHeight="false" outlineLevel="0" collapsed="false">
      <c r="A300" s="6" t="s">
        <v>362</v>
      </c>
      <c r="C300" s="67" t="n">
        <f aca="false">-Inputs!$D$44*1</f>
        <v>-1400</v>
      </c>
      <c r="D300" s="67" t="n">
        <f aca="false">-Inputs!$D$44*1</f>
        <v>-1400</v>
      </c>
      <c r="E300" s="67" t="n">
        <f aca="false">-Inputs!$D$44*1</f>
        <v>-1400</v>
      </c>
      <c r="F300" s="67" t="n">
        <f aca="false">-Inputs!$D$44*1</f>
        <v>-1400</v>
      </c>
      <c r="G300" s="67" t="n">
        <f aca="false">-Inputs!$D$44*1</f>
        <v>-1400</v>
      </c>
      <c r="H300" s="67" t="n">
        <f aca="false">-Inputs!$D$44*1</f>
        <v>-1400</v>
      </c>
      <c r="I300" s="67" t="n">
        <f aca="false">-Inputs!$D$44*1</f>
        <v>-1400</v>
      </c>
      <c r="J300" s="67" t="n">
        <f aca="false">-Inputs!$D$44*1</f>
        <v>-1400</v>
      </c>
      <c r="K300" s="67" t="n">
        <f aca="false">-Inputs!$D$44*1</f>
        <v>-1400</v>
      </c>
      <c r="L300" s="67" t="n">
        <f aca="false">-Inputs!$D$44*1</f>
        <v>-1400</v>
      </c>
      <c r="M300" s="67" t="n">
        <f aca="false">-Inputs!$D$44*1</f>
        <v>-1400</v>
      </c>
      <c r="N300" s="67" t="n">
        <f aca="false">-Inputs!$D$44*1</f>
        <v>-1400</v>
      </c>
      <c r="O300" s="67" t="n">
        <f aca="false">-Inputs!$D$44*1</f>
        <v>-1400</v>
      </c>
      <c r="P300" s="67" t="n">
        <f aca="false">-Inputs!$D$44*1</f>
        <v>-1400</v>
      </c>
      <c r="Q300" s="67" t="n">
        <f aca="false">-Inputs!$D$44*1</f>
        <v>-1400</v>
      </c>
      <c r="R300" s="67" t="n">
        <f aca="false">-Inputs!$D$44*1</f>
        <v>-1400</v>
      </c>
      <c r="S300" s="67" t="n">
        <f aca="false">-Inputs!$D$44*1</f>
        <v>-1400</v>
      </c>
      <c r="T300" s="67" t="n">
        <f aca="false">-Inputs!$D$44*1</f>
        <v>-1400</v>
      </c>
      <c r="U300" s="67" t="n">
        <f aca="false">-Inputs!$D$44*1</f>
        <v>-1400</v>
      </c>
      <c r="V300" s="67" t="n">
        <f aca="false">-Inputs!$D$44*1</f>
        <v>-1400</v>
      </c>
      <c r="W300" s="67" t="n">
        <f aca="false">-Inputs!$D$44*1</f>
        <v>-1400</v>
      </c>
      <c r="X300" s="67" t="n">
        <f aca="false">-Inputs!$D$44*1</f>
        <v>-1400</v>
      </c>
      <c r="Y300" s="67" t="n">
        <f aca="false">-Inputs!$D$44*1</f>
        <v>-1400</v>
      </c>
      <c r="Z300" s="67" t="n">
        <f aca="false">-Inputs!$D$44*1</f>
        <v>-1400</v>
      </c>
      <c r="AA300" s="67" t="n">
        <f aca="false">-Inputs!$D$44*1</f>
        <v>-1400</v>
      </c>
      <c r="AB300" s="67" t="n">
        <f aca="false">-Inputs!$D$44*1</f>
        <v>-1400</v>
      </c>
      <c r="AC300" s="67" t="n">
        <f aca="false">-Inputs!$D$44*1</f>
        <v>-1400</v>
      </c>
      <c r="AD300" s="67" t="n">
        <f aca="false">-Inputs!$D$44*1</f>
        <v>-1400</v>
      </c>
      <c r="AE300" s="67" t="n">
        <f aca="false">-Inputs!$D$44*1</f>
        <v>-1400</v>
      </c>
      <c r="AF300" s="67" t="n">
        <f aca="false">-Inputs!$D$44*1</f>
        <v>-1400</v>
      </c>
      <c r="AG300" s="67" t="n">
        <f aca="false">-Inputs!$D$44*1</f>
        <v>-1400</v>
      </c>
      <c r="AH300" s="67" t="n">
        <f aca="false">-Inputs!$D$44*1</f>
        <v>-1400</v>
      </c>
      <c r="AI300" s="67" t="n">
        <f aca="false">-Inputs!$D$44*1</f>
        <v>-1400</v>
      </c>
      <c r="AJ300" s="67" t="n">
        <f aca="false">-Inputs!$D$44*1</f>
        <v>-1400</v>
      </c>
      <c r="AK300" s="67" t="n">
        <f aca="false">-Inputs!$D$44*1</f>
        <v>-1400</v>
      </c>
      <c r="AL300" s="67" t="n">
        <f aca="false">-Inputs!$D$44*1</f>
        <v>-1400</v>
      </c>
    </row>
    <row r="301" customFormat="false" ht="15" hidden="false" customHeight="false" outlineLevel="0" collapsed="false">
      <c r="A301" s="6" t="s">
        <v>363</v>
      </c>
      <c r="C301" s="67" t="n">
        <f aca="false">-Inputs!$D$45*1</f>
        <v>-3000</v>
      </c>
      <c r="D301" s="67" t="n">
        <f aca="false">-Inputs!$D$45*1</f>
        <v>-3000</v>
      </c>
      <c r="E301" s="67" t="n">
        <f aca="false">-Inputs!$D$45*1</f>
        <v>-3000</v>
      </c>
      <c r="F301" s="67" t="n">
        <f aca="false">-Inputs!$D$45*1</f>
        <v>-3000</v>
      </c>
      <c r="G301" s="67" t="n">
        <f aca="false">-Inputs!$D$45*1</f>
        <v>-3000</v>
      </c>
      <c r="H301" s="67" t="n">
        <f aca="false">-Inputs!$D$45*1</f>
        <v>-3000</v>
      </c>
      <c r="I301" s="67" t="n">
        <f aca="false">-Inputs!$D$45*1</f>
        <v>-3000</v>
      </c>
      <c r="J301" s="67" t="n">
        <f aca="false">-Inputs!$D$45*1</f>
        <v>-3000</v>
      </c>
      <c r="K301" s="67" t="n">
        <f aca="false">-Inputs!$D$45*1</f>
        <v>-3000</v>
      </c>
      <c r="L301" s="67" t="n">
        <f aca="false">-Inputs!$D$45*1</f>
        <v>-3000</v>
      </c>
      <c r="M301" s="67" t="n">
        <f aca="false">-Inputs!$D$45*1</f>
        <v>-3000</v>
      </c>
      <c r="N301" s="67" t="n">
        <f aca="false">-Inputs!$D$45*1</f>
        <v>-3000</v>
      </c>
      <c r="O301" s="67" t="n">
        <f aca="false">-Inputs!$D$45*1</f>
        <v>-3000</v>
      </c>
      <c r="P301" s="67" t="n">
        <f aca="false">-Inputs!$D$45*1</f>
        <v>-3000</v>
      </c>
      <c r="Q301" s="67" t="n">
        <f aca="false">-Inputs!$D$45*1</f>
        <v>-3000</v>
      </c>
      <c r="R301" s="67" t="n">
        <f aca="false">-Inputs!$D$45*1</f>
        <v>-3000</v>
      </c>
      <c r="S301" s="67" t="n">
        <f aca="false">-Inputs!$D$45*1</f>
        <v>-3000</v>
      </c>
      <c r="T301" s="67" t="n">
        <f aca="false">-Inputs!$D$45*1</f>
        <v>-3000</v>
      </c>
      <c r="U301" s="67" t="n">
        <f aca="false">-Inputs!$D$45*1</f>
        <v>-3000</v>
      </c>
      <c r="V301" s="67" t="n">
        <f aca="false">-Inputs!$D$45*1</f>
        <v>-3000</v>
      </c>
      <c r="W301" s="67" t="n">
        <f aca="false">-Inputs!$D$45*1</f>
        <v>-3000</v>
      </c>
      <c r="X301" s="67" t="n">
        <f aca="false">-Inputs!$D$45*1</f>
        <v>-3000</v>
      </c>
      <c r="Y301" s="67" t="n">
        <f aca="false">-Inputs!$D$45*1</f>
        <v>-3000</v>
      </c>
      <c r="Z301" s="67" t="n">
        <f aca="false">-Inputs!$D$45*1</f>
        <v>-3000</v>
      </c>
      <c r="AA301" s="67" t="n">
        <f aca="false">-Inputs!$D$45*1</f>
        <v>-3000</v>
      </c>
      <c r="AB301" s="67" t="n">
        <f aca="false">-Inputs!$D$45*1</f>
        <v>-3000</v>
      </c>
      <c r="AC301" s="67" t="n">
        <f aca="false">-Inputs!$D$45*1</f>
        <v>-3000</v>
      </c>
      <c r="AD301" s="67" t="n">
        <f aca="false">-Inputs!$D$45*1</f>
        <v>-3000</v>
      </c>
      <c r="AE301" s="67" t="n">
        <f aca="false">-Inputs!$D$45*1</f>
        <v>-3000</v>
      </c>
      <c r="AF301" s="67" t="n">
        <f aca="false">-Inputs!$D$45*1</f>
        <v>-3000</v>
      </c>
      <c r="AG301" s="67" t="n">
        <f aca="false">-Inputs!$D$45*1</f>
        <v>-3000</v>
      </c>
      <c r="AH301" s="67" t="n">
        <f aca="false">-Inputs!$D$45*1</f>
        <v>-3000</v>
      </c>
      <c r="AI301" s="67" t="n">
        <f aca="false">-Inputs!$D$45*1</f>
        <v>-3000</v>
      </c>
      <c r="AJ301" s="67" t="n">
        <f aca="false">-Inputs!$D$45*1</f>
        <v>-3000</v>
      </c>
      <c r="AK301" s="67" t="n">
        <f aca="false">-Inputs!$D$45*1</f>
        <v>-3000</v>
      </c>
      <c r="AL301" s="67" t="n">
        <f aca="false">-Inputs!$D$45*1</f>
        <v>-3000</v>
      </c>
    </row>
    <row r="302" customFormat="false" ht="15" hidden="false" customHeight="false" outlineLevel="0" collapsed="false">
      <c r="A302" s="111" t="s">
        <v>76</v>
      </c>
      <c r="C302" s="68" t="n">
        <f aca="false">C293+C294+C295+C296+C297+C298+C299+C300+C301</f>
        <v>-117119.705156991</v>
      </c>
      <c r="D302" s="68" t="n">
        <f aca="false">D293+D294+D295+D296+D297+D298+D299+D300+D301</f>
        <v>-117203.417088545</v>
      </c>
      <c r="E302" s="68" t="n">
        <f aca="false">E293+E294+E295+E296+E297+E298+E299+E300+E301</f>
        <v>-117286.124476921</v>
      </c>
      <c r="F302" s="68" t="n">
        <f aca="false">F293+F294+F295+F296+F297+F298+F299+F300+F301</f>
        <v>-117367.839376636</v>
      </c>
      <c r="G302" s="68" t="n">
        <f aca="false">G293+G294+G295+G296+G297+G298+G299+G300+G301</f>
        <v>-117448.573697555</v>
      </c>
      <c r="H302" s="68" t="n">
        <f aca="false">H293+H294+H295+H296+H297+H298+H299+H300+H301</f>
        <v>-117528.339206623</v>
      </c>
      <c r="I302" s="68" t="n">
        <f aca="false">I293+I294+I295+I296+I297+I298+I299+I300+I301</f>
        <v>-117607.147529582</v>
      </c>
      <c r="J302" s="68" t="n">
        <f aca="false">J293+J294+J295+J296+J297+J298+J299+J300+J301</f>
        <v>-117685.010152665</v>
      </c>
      <c r="K302" s="68" t="n">
        <f aca="false">K293+K294+K295+K296+K297+K298+K299+K300+K301</f>
        <v>-117761.938424271</v>
      </c>
      <c r="L302" s="68" t="n">
        <f aca="false">L293+L294+L295+L296+L297+L298+L299+L300+L301</f>
        <v>-117837.943556618</v>
      </c>
      <c r="M302" s="68" t="n">
        <f aca="false">M293+M294+M295+M296+M297+M298+M299+M300+M301</f>
        <v>-117913.036627377</v>
      </c>
      <c r="N302" s="68" t="n">
        <f aca="false">N293+N294+N295+N296+N297+N298+N299+N300+N301</f>
        <v>-117987.228581287</v>
      </c>
      <c r="O302" s="68" t="n">
        <f aca="false">O293+O294+O295+O296+O297+O298+O299+O300+O301</f>
        <v>-124782.774394914</v>
      </c>
      <c r="P302" s="68" t="n">
        <f aca="false">P293+P294+P295+P296+P297+P298+P299+P300+P301</f>
        <v>-124879.49172421</v>
      </c>
      <c r="Q302" s="68" t="n">
        <f aca="false">Q293+Q294+Q295+Q296+Q297+Q298+Q299+Q300+Q301</f>
        <v>-124975.048445555</v>
      </c>
      <c r="R302" s="68" t="n">
        <f aca="false">R293+R294+R295+R296+R297+R298+R299+R300+R301</f>
        <v>-125069.458486244</v>
      </c>
      <c r="S302" s="68" t="n">
        <f aca="false">S293+S294+S295+S296+S297+S298+S299+S300+S301</f>
        <v>-125162.735606445</v>
      </c>
      <c r="T302" s="68" t="n">
        <f aca="false">T293+T294+T295+T296+T297+T298+T299+T300+T301</f>
        <v>-125254.893401203</v>
      </c>
      <c r="U302" s="68" t="n">
        <f aca="false">U293+U294+U295+U296+U297+U298+U299+U300+U301</f>
        <v>-125345.945302424</v>
      </c>
      <c r="V302" s="68" t="n">
        <f aca="false">V293+V294+V295+V296+V297+V298+V299+V300+V301</f>
        <v>-125435.904580831</v>
      </c>
      <c r="W302" s="68" t="n">
        <f aca="false">W293+W294+W295+W296+W297+W298+W299+W300+W301</f>
        <v>-125524.784347897</v>
      </c>
      <c r="X302" s="68" t="n">
        <f aca="false">X293+X294+X295+X296+X297+X298+X299+X300+X301</f>
        <v>-125573.285359915</v>
      </c>
      <c r="Y302" s="68" t="n">
        <f aca="false">Y293+Y294+Y295+Y296+Y297+Y298+Y299+Y300+Y301</f>
        <v>-125573.285359915</v>
      </c>
      <c r="Z302" s="68" t="n">
        <f aca="false">Z293+Z294+Z295+Z296+Z297+Z298+Z299+Z300+Z301</f>
        <v>-125573.285359915</v>
      </c>
      <c r="AA302" s="68" t="n">
        <f aca="false">AA293+AA294+AA295+AA296+AA297+AA298+AA299+AA300+AA301</f>
        <v>-132597.000659645</v>
      </c>
      <c r="AB302" s="68" t="n">
        <f aca="false">AB293+AB294+AB295+AB296+AB297+AB298+AB299+AB300+AB301</f>
        <v>-132597.000659645</v>
      </c>
      <c r="AC302" s="68" t="n">
        <f aca="false">AC293+AC294+AC295+AC296+AC297+AC298+AC299+AC300+AC301</f>
        <v>-132597.000659645</v>
      </c>
      <c r="AD302" s="68" t="n">
        <f aca="false">AD293+AD294+AD295+AD296+AD297+AD298+AD299+AD300+AD301</f>
        <v>-132597.000659645</v>
      </c>
      <c r="AE302" s="68" t="n">
        <f aca="false">AE293+AE294+AE295+AE296+AE297+AE298+AE299+AE300+AE301</f>
        <v>-132597.000659645</v>
      </c>
      <c r="AF302" s="68" t="n">
        <f aca="false">AF293+AF294+AF295+AF296+AF297+AF298+AF299+AF300+AF301</f>
        <v>-132597.000659645</v>
      </c>
      <c r="AG302" s="68" t="n">
        <f aca="false">AG293+AG294+AG295+AG296+AG297+AG298+AG299+AG300+AG301</f>
        <v>-132597.000659645</v>
      </c>
      <c r="AH302" s="68" t="n">
        <f aca="false">AH293+AH294+AH295+AH296+AH297+AH298+AH299+AH300+AH301</f>
        <v>-132597.000659645</v>
      </c>
      <c r="AI302" s="68" t="n">
        <f aca="false">AI293+AI294+AI295+AI296+AI297+AI298+AI299+AI300+AI301</f>
        <v>-132597.000659645</v>
      </c>
      <c r="AJ302" s="68" t="n">
        <f aca="false">AJ293+AJ294+AJ295+AJ296+AJ297+AJ298+AJ299+AJ300+AJ301</f>
        <v>-132597.000659645</v>
      </c>
      <c r="AK302" s="68" t="n">
        <f aca="false">AK293+AK294+AK295+AK296+AK297+AK298+AK299+AK300+AK301</f>
        <v>-132597.000659645</v>
      </c>
      <c r="AL302" s="68" t="n">
        <f aca="false">AL293+AL294+AL295+AL296+AL297+AL298+AL299+AL300+AL301</f>
        <v>-132597.000659645</v>
      </c>
    </row>
    <row r="303" customFormat="false" ht="15" hidden="false" customHeight="false" outlineLevel="0" collapsed="false">
      <c r="A303" s="111" t="s">
        <v>48</v>
      </c>
      <c r="C303" s="68" t="n">
        <f aca="false">C290+C302</f>
        <v>56022.3091535916</v>
      </c>
      <c r="D303" s="68" t="n">
        <f aca="false">D290+D302</f>
        <v>57127.5552991467</v>
      </c>
      <c r="E303" s="68" t="n">
        <f aca="false">E290+E302</f>
        <v>58219.5384909551</v>
      </c>
      <c r="F303" s="68" t="n">
        <f aca="false">F290+F302</f>
        <v>59298.4178844618</v>
      </c>
      <c r="G303" s="68" t="n">
        <f aca="false">G290+G302</f>
        <v>60364.3507252464</v>
      </c>
      <c r="H303" s="68" t="n">
        <f aca="false">H290+H302</f>
        <v>61417.4923719416</v>
      </c>
      <c r="I303" s="68" t="n">
        <f aca="false">I290+I302</f>
        <v>62093.8305204274</v>
      </c>
      <c r="J303" s="68" t="n">
        <f aca="false">J290+J302</f>
        <v>62597.8923919792</v>
      </c>
      <c r="K303" s="68" t="n">
        <f aca="false">K290+K302</f>
        <v>63095.9055210724</v>
      </c>
      <c r="L303" s="68" t="n">
        <f aca="false">L290+L302</f>
        <v>63587.9424926165</v>
      </c>
      <c r="M303" s="68" t="n">
        <f aca="false">M290+M302</f>
        <v>64074.075020502</v>
      </c>
      <c r="N303" s="68" t="n">
        <f aca="false">N290+N302</f>
        <v>64554.373958053</v>
      </c>
      <c r="O303" s="68" t="n">
        <f aca="false">O290+O302</f>
        <v>70943.7234864436</v>
      </c>
      <c r="P303" s="68" t="n">
        <f aca="false">P290+P302</f>
        <v>72220.6795120494</v>
      </c>
      <c r="Q303" s="68" t="n">
        <f aca="false">Q290+Q302</f>
        <v>73387.1391512855</v>
      </c>
      <c r="R303" s="68" t="n">
        <f aca="false">R290+R302</f>
        <v>73998.3245945505</v>
      </c>
      <c r="S303" s="68" t="n">
        <f aca="false">S290+S302</f>
        <v>74602.1758124962</v>
      </c>
      <c r="T303" s="68" t="n">
        <f aca="false">T290+T302</f>
        <v>75198.7808158267</v>
      </c>
      <c r="U303" s="68" t="n">
        <f aca="false">U290+U302</f>
        <v>75788.2265591172</v>
      </c>
      <c r="V303" s="68" t="n">
        <f aca="false">V290+V302</f>
        <v>76370.5989534881</v>
      </c>
      <c r="W303" s="68" t="n">
        <f aca="false">W290+W302</f>
        <v>76945.9828791267</v>
      </c>
      <c r="X303" s="68" t="n">
        <f aca="false">X290+X302</f>
        <v>77259.9655054733</v>
      </c>
      <c r="Y303" s="68" t="n">
        <f aca="false">Y290+Y302</f>
        <v>77259.9655054733</v>
      </c>
      <c r="Z303" s="68" t="n">
        <f aca="false">Z290+Z302</f>
        <v>77259.9655054733</v>
      </c>
      <c r="AA303" s="68" t="n">
        <f aca="false">AA290+AA302</f>
        <v>83666.2411080337</v>
      </c>
      <c r="AB303" s="68" t="n">
        <f aca="false">AB290+AB302</f>
        <v>83666.2411080337</v>
      </c>
      <c r="AC303" s="68" t="n">
        <f aca="false">AC290+AC302</f>
        <v>83666.2411080337</v>
      </c>
      <c r="AD303" s="68" t="n">
        <f aca="false">AD290+AD302</f>
        <v>83666.2411080337</v>
      </c>
      <c r="AE303" s="68" t="n">
        <f aca="false">AE290+AE302</f>
        <v>83666.2411080337</v>
      </c>
      <c r="AF303" s="68" t="n">
        <f aca="false">AF290+AF302</f>
        <v>83666.2411080337</v>
      </c>
      <c r="AG303" s="68" t="n">
        <f aca="false">AG290+AG302</f>
        <v>83666.2411080337</v>
      </c>
      <c r="AH303" s="68" t="n">
        <f aca="false">AH290+AH302</f>
        <v>83666.2411080337</v>
      </c>
      <c r="AI303" s="68" t="n">
        <f aca="false">AI290+AI302</f>
        <v>83666.2411080337</v>
      </c>
      <c r="AJ303" s="68" t="n">
        <f aca="false">AJ290+AJ302</f>
        <v>83666.2411080337</v>
      </c>
      <c r="AK303" s="68" t="n">
        <f aca="false">AK290+AK302</f>
        <v>83666.2411080337</v>
      </c>
      <c r="AL303" s="68" t="n">
        <f aca="false">AL290+AL302</f>
        <v>83666.2411080337</v>
      </c>
    </row>
    <row r="305" customFormat="false" ht="15.75" hidden="false" customHeight="true" outlineLevel="0" collapsed="false">
      <c r="A305" s="7" t="s">
        <v>432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customFormat="false" ht="15" hidden="false" customHeight="false" outlineLevel="0" collapsed="false">
      <c r="A306" s="4" t="s">
        <v>78</v>
      </c>
      <c r="C306" s="73" t="n">
        <f aca="false">C303+C317</f>
        <v>55272.7865000901</v>
      </c>
      <c r="D306" s="73" t="n">
        <f aca="false">D303+D317</f>
        <v>56342.5549383189</v>
      </c>
      <c r="E306" s="73" t="n">
        <f aca="false">E303+E317</f>
        <v>57398.822543908</v>
      </c>
      <c r="F306" s="73" t="n">
        <f aca="false">F303+F317</f>
        <v>58441.7513268488</v>
      </c>
      <c r="G306" s="73" t="n">
        <f aca="false">G303+G317</f>
        <v>59471.5013530134</v>
      </c>
      <c r="H306" s="73" t="n">
        <f aca="false">H303+H317</f>
        <v>60488.2307674829</v>
      </c>
      <c r="I306" s="73" t="n">
        <f aca="false">I303+I317</f>
        <v>61127.9993842421</v>
      </c>
      <c r="J306" s="73" t="n">
        <f aca="false">J303+J317</f>
        <v>61595.3675808545</v>
      </c>
      <c r="K306" s="73" t="n">
        <f aca="false">K303+K317</f>
        <v>62056.564381514</v>
      </c>
      <c r="L306" s="73" t="n">
        <f aca="false">L303+L317</f>
        <v>62511.663842972</v>
      </c>
      <c r="M306" s="73" t="n">
        <f aca="false">M303+M317</f>
        <v>62960.7391332991</v>
      </c>
      <c r="N306" s="73" t="n">
        <f aca="false">N303+N317</f>
        <v>63403.8625425487</v>
      </c>
      <c r="O306" s="73" t="n">
        <f aca="false">O303+O317</f>
        <v>69753.3772700746</v>
      </c>
      <c r="P306" s="73" t="n">
        <f aca="false">P303+P317</f>
        <v>70990.2203212246</v>
      </c>
      <c r="Q306" s="73" t="n">
        <f aca="false">Q303+Q317</f>
        <v>72116.3102787178</v>
      </c>
      <c r="R306" s="73" t="n">
        <f aca="false">R303+R317</f>
        <v>72686.9755140271</v>
      </c>
      <c r="S306" s="73" t="n">
        <f aca="false">S303+S317</f>
        <v>73250.1578041188</v>
      </c>
      <c r="T306" s="73" t="n">
        <f aca="false">T303+T317</f>
        <v>73805.9469443358</v>
      </c>
      <c r="U306" s="73" t="n">
        <f aca="false">U303+U317</f>
        <v>74354.4316524764</v>
      </c>
      <c r="V306" s="73" t="n">
        <f aca="false">V303+V317</f>
        <v>74895.6995817256</v>
      </c>
      <c r="W306" s="73" t="n">
        <f aca="false">W303+W317</f>
        <v>75429.83733343</v>
      </c>
      <c r="X306" s="73" t="n">
        <f aca="false">X303+X317</f>
        <v>75702.4964564229</v>
      </c>
      <c r="Y306" s="73" t="n">
        <f aca="false">Y303+Y317</f>
        <v>75661.1729530691</v>
      </c>
      <c r="Z306" s="73" t="n">
        <f aca="false">Z303+Z317</f>
        <v>75619.8494497153</v>
      </c>
      <c r="AA306" s="73" t="n">
        <f aca="false">AA303+AA317</f>
        <v>81982.1359088596</v>
      </c>
      <c r="AB306" s="73" t="n">
        <f aca="false">AB303+AB317</f>
        <v>81938.1467654436</v>
      </c>
      <c r="AC306" s="73" t="n">
        <f aca="false">AC303+AC317</f>
        <v>81894.1576220276</v>
      </c>
      <c r="AD306" s="73" t="n">
        <f aca="false">AD303+AD317</f>
        <v>81850.1684786116</v>
      </c>
      <c r="AE306" s="73" t="n">
        <f aca="false">AE303+AE317</f>
        <v>81806.1793351956</v>
      </c>
      <c r="AF306" s="73" t="n">
        <f aca="false">AF303+AF317</f>
        <v>81762.1901917796</v>
      </c>
      <c r="AG306" s="73" t="n">
        <f aca="false">AG303+AG317</f>
        <v>81718.2010483636</v>
      </c>
      <c r="AH306" s="73" t="n">
        <f aca="false">AH303+AH317</f>
        <v>81674.2119049476</v>
      </c>
      <c r="AI306" s="73" t="n">
        <f aca="false">AI303+AI317</f>
        <v>81630.2227615316</v>
      </c>
      <c r="AJ306" s="73" t="n">
        <f aca="false">AJ303+AJ317</f>
        <v>81586.2336181156</v>
      </c>
      <c r="AK306" s="73" t="n">
        <f aca="false">AK303+AK317</f>
        <v>81542.2444746997</v>
      </c>
      <c r="AL306" s="73" t="n">
        <f aca="false">AL303+AL317</f>
        <v>81498.2553312837</v>
      </c>
    </row>
    <row r="307" customFormat="false" ht="15" hidden="false" customHeight="false" outlineLevel="0" collapsed="false">
      <c r="A307" s="6" t="s">
        <v>433</v>
      </c>
      <c r="C307" s="67" t="n">
        <f aca="false">-(C322+C323+C325)/2*Inputs!$D$85/12</f>
        <v>-1062.5</v>
      </c>
      <c r="D307" s="67" t="n">
        <f aca="false">-(D322+D323+D325)/2*Inputs!$D$85/12</f>
        <v>-1056.1755952381</v>
      </c>
      <c r="E307" s="67" t="n">
        <f aca="false">-(E322+E323+E325)/2*Inputs!$D$85/12</f>
        <v>-1043.52678571429</v>
      </c>
      <c r="F307" s="67" t="n">
        <f aca="false">-(F322+F323+F325)/2*Inputs!$D$85/12</f>
        <v>-1030.87797619048</v>
      </c>
      <c r="G307" s="67" t="n">
        <f aca="false">-(G322+G323+G325)/2*Inputs!$D$85/12</f>
        <v>-1018.22916666667</v>
      </c>
      <c r="H307" s="67" t="n">
        <f aca="false">-(H322+H323+H325)/2*Inputs!$D$85/12</f>
        <v>-1005.58035714286</v>
      </c>
      <c r="I307" s="67" t="n">
        <f aca="false">-(I322+I323+I325)/2*Inputs!$D$85/12</f>
        <v>-992.931547619048</v>
      </c>
      <c r="J307" s="67" t="n">
        <f aca="false">-(J322+J323+J325)/2*Inputs!$D$85/12</f>
        <v>-980.282738095238</v>
      </c>
      <c r="K307" s="67" t="n">
        <f aca="false">-(K322+K323+K325)/2*Inputs!$D$85/12</f>
        <v>-967.633928571429</v>
      </c>
      <c r="L307" s="67" t="n">
        <f aca="false">-(L322+L323+L325)/2*Inputs!$D$85/12</f>
        <v>-954.985119047619</v>
      </c>
      <c r="M307" s="67" t="n">
        <f aca="false">-(M322+M323+M325)/2*Inputs!$D$85/12</f>
        <v>-942.33630952381</v>
      </c>
      <c r="N307" s="67" t="n">
        <f aca="false">-(N322+N323+N325)/2*Inputs!$D$85/12</f>
        <v>-929.6875</v>
      </c>
      <c r="O307" s="67" t="n">
        <f aca="false">-(O322+O323+O325)/2*Inputs!$D$85/12</f>
        <v>-917.03869047619</v>
      </c>
      <c r="P307" s="67" t="n">
        <f aca="false">-(P322+P323+P325)/2*Inputs!$D$85/12</f>
        <v>-904.389880952381</v>
      </c>
      <c r="Q307" s="67" t="n">
        <f aca="false">-(Q322+Q323+Q325)/2*Inputs!$D$85/12</f>
        <v>-891.741071428571</v>
      </c>
      <c r="R307" s="67" t="n">
        <f aca="false">-(R322+R323+R325)/2*Inputs!$D$85/12</f>
        <v>-879.092261904762</v>
      </c>
      <c r="S307" s="67" t="n">
        <f aca="false">-(S322+S323+S325)/2*Inputs!$D$85/12</f>
        <v>-866.443452380952</v>
      </c>
      <c r="T307" s="67" t="n">
        <f aca="false">-(T322+T323+T325)/2*Inputs!$D$85/12</f>
        <v>-853.794642857142</v>
      </c>
      <c r="U307" s="67" t="n">
        <f aca="false">-(U322+U323+U325)/2*Inputs!$D$85/12</f>
        <v>-841.145833333333</v>
      </c>
      <c r="V307" s="67" t="n">
        <f aca="false">-(V322+V323+V325)/2*Inputs!$D$85/12</f>
        <v>-828.497023809523</v>
      </c>
      <c r="W307" s="67" t="n">
        <f aca="false">-(W322+W323+W325)/2*Inputs!$D$85/12</f>
        <v>-815.848214285714</v>
      </c>
      <c r="X307" s="67" t="n">
        <f aca="false">-(X322+X323+X325)/2*Inputs!$D$85/12</f>
        <v>-803.199404761904</v>
      </c>
      <c r="Y307" s="67" t="n">
        <f aca="false">-(Y322+Y323+Y325)/2*Inputs!$D$85/12</f>
        <v>-790.550595238095</v>
      </c>
      <c r="Z307" s="67" t="n">
        <f aca="false">-(Z322+Z323+Z325)/2*Inputs!$D$85/12</f>
        <v>-777.901785714285</v>
      </c>
      <c r="AA307" s="67" t="n">
        <f aca="false">-(AA322+AA323+AA325)/2*Inputs!$D$85/12</f>
        <v>-765.252976190476</v>
      </c>
      <c r="AB307" s="67" t="n">
        <f aca="false">-(AB322+AB323+AB325)/2*Inputs!$D$85/12</f>
        <v>-752.604166666666</v>
      </c>
      <c r="AC307" s="67" t="n">
        <f aca="false">-(AC322+AC323+AC325)/2*Inputs!$D$85/12</f>
        <v>-739.955357142856</v>
      </c>
      <c r="AD307" s="67" t="n">
        <f aca="false">-(AD322+AD323+AD325)/2*Inputs!$D$85/12</f>
        <v>-727.306547619047</v>
      </c>
      <c r="AE307" s="67" t="n">
        <f aca="false">-(AE322+AE323+AE325)/2*Inputs!$D$85/12</f>
        <v>-714.657738095237</v>
      </c>
      <c r="AF307" s="67" t="n">
        <f aca="false">-(AF322+AF323+AF325)/2*Inputs!$D$85/12</f>
        <v>-702.008928571428</v>
      </c>
      <c r="AG307" s="67" t="n">
        <f aca="false">-(AG322+AG323+AG325)/2*Inputs!$D$85/12</f>
        <v>-689.360119047618</v>
      </c>
      <c r="AH307" s="67" t="n">
        <f aca="false">-(AH322+AH323+AH325)/2*Inputs!$D$85/12</f>
        <v>-676.711309523809</v>
      </c>
      <c r="AI307" s="67" t="n">
        <f aca="false">-(AI322+AI323+AI325)/2*Inputs!$D$85/12</f>
        <v>-664.062499999999</v>
      </c>
      <c r="AJ307" s="67" t="n">
        <f aca="false">-(AJ322+AJ323+AJ325)/2*Inputs!$D$85/12</f>
        <v>-651.41369047619</v>
      </c>
      <c r="AK307" s="67" t="n">
        <f aca="false">-(AK322+AK323+AK325)/2*Inputs!$D$85/12</f>
        <v>-638.76488095238</v>
      </c>
      <c r="AL307" s="67" t="n">
        <f aca="false">-(AL322+AL323+AL325)/2*Inputs!$D$85/12</f>
        <v>-626.11607142857</v>
      </c>
    </row>
    <row r="308" customFormat="false" ht="15" hidden="false" customHeight="false" outlineLevel="0" collapsed="false">
      <c r="A308" s="111" t="s">
        <v>80</v>
      </c>
      <c r="C308" s="68" t="n">
        <f aca="false">C306+C307</f>
        <v>54210.2865000901</v>
      </c>
      <c r="D308" s="68" t="n">
        <f aca="false">D306+D307</f>
        <v>55286.3793430808</v>
      </c>
      <c r="E308" s="68" t="n">
        <f aca="false">E306+E307</f>
        <v>56355.2957581937</v>
      </c>
      <c r="F308" s="68" t="n">
        <f aca="false">F306+F307</f>
        <v>57410.8733506583</v>
      </c>
      <c r="G308" s="68" t="n">
        <f aca="false">G306+G307</f>
        <v>58453.2721863467</v>
      </c>
      <c r="H308" s="68" t="n">
        <f aca="false">H306+H307</f>
        <v>59482.6504103401</v>
      </c>
      <c r="I308" s="68" t="n">
        <f aca="false">I306+I307</f>
        <v>60135.067836623</v>
      </c>
      <c r="J308" s="68" t="n">
        <f aca="false">J306+J307</f>
        <v>60615.0848427592</v>
      </c>
      <c r="K308" s="68" t="n">
        <f aca="false">K306+K307</f>
        <v>61088.9304529426</v>
      </c>
      <c r="L308" s="68" t="n">
        <f aca="false">L306+L307</f>
        <v>61556.6787239244</v>
      </c>
      <c r="M308" s="68" t="n">
        <f aca="false">M306+M307</f>
        <v>62018.4028237753</v>
      </c>
      <c r="N308" s="68" t="n">
        <f aca="false">N306+N307</f>
        <v>62474.1750425487</v>
      </c>
      <c r="O308" s="68" t="n">
        <f aca="false">O306+O307</f>
        <v>68836.3385795985</v>
      </c>
      <c r="P308" s="68" t="n">
        <f aca="false">P306+P307</f>
        <v>70085.8304402722</v>
      </c>
      <c r="Q308" s="68" t="n">
        <f aca="false">Q306+Q307</f>
        <v>71224.5692072892</v>
      </c>
      <c r="R308" s="68" t="n">
        <f aca="false">R306+R307</f>
        <v>71807.8832521223</v>
      </c>
      <c r="S308" s="68" t="n">
        <f aca="false">S306+S307</f>
        <v>72383.7143517379</v>
      </c>
      <c r="T308" s="68" t="n">
        <f aca="false">T306+T307</f>
        <v>72952.1523014787</v>
      </c>
      <c r="U308" s="68" t="n">
        <f aca="false">U306+U307</f>
        <v>73513.2858191431</v>
      </c>
      <c r="V308" s="68" t="n">
        <f aca="false">V306+V307</f>
        <v>74067.202557916</v>
      </c>
      <c r="W308" s="68" t="n">
        <f aca="false">W306+W307</f>
        <v>74613.9891191443</v>
      </c>
      <c r="X308" s="68" t="n">
        <f aca="false">X306+X307</f>
        <v>74899.297051661</v>
      </c>
      <c r="Y308" s="68" t="n">
        <f aca="false">Y306+Y307</f>
        <v>74870.622357831</v>
      </c>
      <c r="Z308" s="68" t="n">
        <f aca="false">Z306+Z307</f>
        <v>74841.947664001</v>
      </c>
      <c r="AA308" s="68" t="n">
        <f aca="false">AA306+AA307</f>
        <v>81216.8829326692</v>
      </c>
      <c r="AB308" s="68" t="n">
        <f aca="false">AB306+AB307</f>
        <v>81185.542598777</v>
      </c>
      <c r="AC308" s="68" t="n">
        <f aca="false">AC306+AC307</f>
        <v>81154.2022648848</v>
      </c>
      <c r="AD308" s="68" t="n">
        <f aca="false">AD306+AD307</f>
        <v>81122.8619309926</v>
      </c>
      <c r="AE308" s="68" t="n">
        <f aca="false">AE306+AE307</f>
        <v>81091.5215971004</v>
      </c>
      <c r="AF308" s="68" t="n">
        <f aca="false">AF306+AF307</f>
        <v>81060.1812632082</v>
      </c>
      <c r="AG308" s="68" t="n">
        <f aca="false">AG306+AG307</f>
        <v>81028.840929316</v>
      </c>
      <c r="AH308" s="68" t="n">
        <f aca="false">AH306+AH307</f>
        <v>80997.5005954238</v>
      </c>
      <c r="AI308" s="68" t="n">
        <f aca="false">AI306+AI307</f>
        <v>80966.1602615316</v>
      </c>
      <c r="AJ308" s="68" t="n">
        <f aca="false">AJ306+AJ307</f>
        <v>80934.8199276395</v>
      </c>
      <c r="AK308" s="68" t="n">
        <f aca="false">AK306+AK307</f>
        <v>80903.4795937473</v>
      </c>
      <c r="AL308" s="68" t="n">
        <f aca="false">AL306+AL307</f>
        <v>80872.1392598551</v>
      </c>
    </row>
    <row r="309" customFormat="false" ht="15" hidden="false" customHeight="false" outlineLevel="0" collapsed="false">
      <c r="A309" s="119" t="s">
        <v>434</v>
      </c>
      <c r="C309" s="67" t="n">
        <f aca="false">C308</f>
        <v>54210.2865000901</v>
      </c>
      <c r="D309" s="67" t="n">
        <f aca="false">C309+D308</f>
        <v>109496.665843171</v>
      </c>
      <c r="E309" s="67" t="n">
        <f aca="false">D309+E308</f>
        <v>165851.961601365</v>
      </c>
      <c r="F309" s="67" t="n">
        <f aca="false">E309+F308</f>
        <v>223262.834952023</v>
      </c>
      <c r="G309" s="67" t="n">
        <f aca="false">F309+G308</f>
        <v>281716.10713837</v>
      </c>
      <c r="H309" s="67" t="n">
        <f aca="false">G309+H308</f>
        <v>341198.75754871</v>
      </c>
      <c r="I309" s="67" t="n">
        <f aca="false">H309+I308</f>
        <v>401333.825385333</v>
      </c>
      <c r="J309" s="67" t="n">
        <f aca="false">I309+J308</f>
        <v>461948.910228092</v>
      </c>
      <c r="K309" s="67" t="n">
        <f aca="false">J309+K308</f>
        <v>523037.840681035</v>
      </c>
      <c r="L309" s="67" t="n">
        <f aca="false">K309+L308</f>
        <v>584594.519404959</v>
      </c>
      <c r="M309" s="67" t="n">
        <f aca="false">L309+M308</f>
        <v>646612.922228734</v>
      </c>
      <c r="N309" s="67" t="n">
        <f aca="false">M309+N308</f>
        <v>709087.097271283</v>
      </c>
      <c r="O309" s="67" t="n">
        <f aca="false">N309+O308</f>
        <v>777923.435850881</v>
      </c>
      <c r="P309" s="67" t="n">
        <f aca="false">O309+P308</f>
        <v>848009.266291154</v>
      </c>
      <c r="Q309" s="67" t="n">
        <f aca="false">P309+Q308</f>
        <v>919233.835498443</v>
      </c>
      <c r="R309" s="67" t="n">
        <f aca="false">Q309+R308</f>
        <v>991041.718750565</v>
      </c>
      <c r="S309" s="67" t="n">
        <f aca="false">R309+S308</f>
        <v>1063425.4331023</v>
      </c>
      <c r="T309" s="67" t="n">
        <f aca="false">S309+T308</f>
        <v>1136377.58540378</v>
      </c>
      <c r="U309" s="67" t="n">
        <f aca="false">T309+U308</f>
        <v>1209890.87122293</v>
      </c>
      <c r="V309" s="67" t="n">
        <f aca="false">U309+V308</f>
        <v>1283958.07378084</v>
      </c>
      <c r="W309" s="67" t="n">
        <f aca="false">V309+W308</f>
        <v>1358572.06289999</v>
      </c>
      <c r="X309" s="67" t="n">
        <f aca="false">W309+X308</f>
        <v>1433471.35995165</v>
      </c>
      <c r="Y309" s="67" t="n">
        <f aca="false">X309+Y308</f>
        <v>1508341.98230948</v>
      </c>
      <c r="Z309" s="67" t="n">
        <f aca="false">Y309+Z308</f>
        <v>1583183.92997348</v>
      </c>
      <c r="AA309" s="67" t="n">
        <f aca="false">Z309+AA308</f>
        <v>1664400.81290615</v>
      </c>
      <c r="AB309" s="67" t="n">
        <f aca="false">AA309+AB308</f>
        <v>1745586.35550492</v>
      </c>
      <c r="AC309" s="67" t="n">
        <f aca="false">AB309+AC308</f>
        <v>1826740.55776981</v>
      </c>
      <c r="AD309" s="67" t="n">
        <f aca="false">AC309+AD308</f>
        <v>1907863.4197008</v>
      </c>
      <c r="AE309" s="67" t="n">
        <f aca="false">AD309+AE308</f>
        <v>1988954.9412979</v>
      </c>
      <c r="AF309" s="67" t="n">
        <f aca="false">AE309+AF308</f>
        <v>2070015.12256111</v>
      </c>
      <c r="AG309" s="67" t="n">
        <f aca="false">AF309+AG308</f>
        <v>2151043.96349043</v>
      </c>
      <c r="AH309" s="67" t="n">
        <f aca="false">AG309+AH308</f>
        <v>2232041.46408585</v>
      </c>
      <c r="AI309" s="67" t="n">
        <f aca="false">AH309+AI308</f>
        <v>2313007.62434738</v>
      </c>
      <c r="AJ309" s="67" t="n">
        <f aca="false">AI309+AJ308</f>
        <v>2393942.44427502</v>
      </c>
      <c r="AK309" s="67" t="n">
        <f aca="false">AJ309+AK308</f>
        <v>2474845.92386877</v>
      </c>
      <c r="AL309" s="67" t="n">
        <f aca="false">AK309+AL308</f>
        <v>2555718.06312862</v>
      </c>
    </row>
    <row r="310" customFormat="false" ht="15" hidden="false" customHeight="false" outlineLevel="0" collapsed="false">
      <c r="A310" s="119" t="s">
        <v>435</v>
      </c>
      <c r="C310" s="67" t="n">
        <f aca="false">MAX(0,C309)</f>
        <v>54210.2865000901</v>
      </c>
      <c r="D310" s="67" t="n">
        <f aca="false">MAX(C310,D309)</f>
        <v>109496.665843171</v>
      </c>
      <c r="E310" s="67" t="n">
        <f aca="false">MAX(D310,E309)</f>
        <v>165851.961601365</v>
      </c>
      <c r="F310" s="67" t="n">
        <f aca="false">MAX(E310,F309)</f>
        <v>223262.834952023</v>
      </c>
      <c r="G310" s="67" t="n">
        <f aca="false">MAX(F310,G309)</f>
        <v>281716.10713837</v>
      </c>
      <c r="H310" s="67" t="n">
        <f aca="false">MAX(G310,H309)</f>
        <v>341198.75754871</v>
      </c>
      <c r="I310" s="67" t="n">
        <f aca="false">MAX(H310,I309)</f>
        <v>401333.825385333</v>
      </c>
      <c r="J310" s="67" t="n">
        <f aca="false">MAX(I310,J309)</f>
        <v>461948.910228092</v>
      </c>
      <c r="K310" s="67" t="n">
        <f aca="false">MAX(J310,K309)</f>
        <v>523037.840681035</v>
      </c>
      <c r="L310" s="67" t="n">
        <f aca="false">MAX(K310,L309)</f>
        <v>584594.519404959</v>
      </c>
      <c r="M310" s="67" t="n">
        <f aca="false">MAX(L310,M309)</f>
        <v>646612.922228734</v>
      </c>
      <c r="N310" s="67" t="n">
        <f aca="false">MAX(M310,N309)</f>
        <v>709087.097271283</v>
      </c>
      <c r="O310" s="67" t="n">
        <f aca="false">MAX(N310,O309)</f>
        <v>777923.435850881</v>
      </c>
      <c r="P310" s="67" t="n">
        <f aca="false">MAX(O310,P309)</f>
        <v>848009.266291154</v>
      </c>
      <c r="Q310" s="67" t="n">
        <f aca="false">MAX(P310,Q309)</f>
        <v>919233.835498443</v>
      </c>
      <c r="R310" s="67" t="n">
        <f aca="false">MAX(Q310,R309)</f>
        <v>991041.718750565</v>
      </c>
      <c r="S310" s="67" t="n">
        <f aca="false">MAX(R310,S309)</f>
        <v>1063425.4331023</v>
      </c>
      <c r="T310" s="67" t="n">
        <f aca="false">MAX(S310,T309)</f>
        <v>1136377.58540378</v>
      </c>
      <c r="U310" s="67" t="n">
        <f aca="false">MAX(T310,U309)</f>
        <v>1209890.87122293</v>
      </c>
      <c r="V310" s="67" t="n">
        <f aca="false">MAX(U310,V309)</f>
        <v>1283958.07378084</v>
      </c>
      <c r="W310" s="67" t="n">
        <f aca="false">MAX(V310,W309)</f>
        <v>1358572.06289999</v>
      </c>
      <c r="X310" s="67" t="n">
        <f aca="false">MAX(W310,X309)</f>
        <v>1433471.35995165</v>
      </c>
      <c r="Y310" s="67" t="n">
        <f aca="false">MAX(X310,Y309)</f>
        <v>1508341.98230948</v>
      </c>
      <c r="Z310" s="67" t="n">
        <f aca="false">MAX(Y310,Z309)</f>
        <v>1583183.92997348</v>
      </c>
      <c r="AA310" s="67" t="n">
        <f aca="false">MAX(Z310,AA309)</f>
        <v>1664400.81290615</v>
      </c>
      <c r="AB310" s="67" t="n">
        <f aca="false">MAX(AA310,AB309)</f>
        <v>1745586.35550492</v>
      </c>
      <c r="AC310" s="67" t="n">
        <f aca="false">MAX(AB310,AC309)</f>
        <v>1826740.55776981</v>
      </c>
      <c r="AD310" s="67" t="n">
        <f aca="false">MAX(AC310,AD309)</f>
        <v>1907863.4197008</v>
      </c>
      <c r="AE310" s="67" t="n">
        <f aca="false">MAX(AD310,AE309)</f>
        <v>1988954.9412979</v>
      </c>
      <c r="AF310" s="67" t="n">
        <f aca="false">MAX(AE310,AF309)</f>
        <v>2070015.12256111</v>
      </c>
      <c r="AG310" s="67" t="n">
        <f aca="false">MAX(AF310,AG309)</f>
        <v>2151043.96349043</v>
      </c>
      <c r="AH310" s="67" t="n">
        <f aca="false">MAX(AG310,AH309)</f>
        <v>2232041.46408585</v>
      </c>
      <c r="AI310" s="67" t="n">
        <f aca="false">MAX(AH310,AI309)</f>
        <v>2313007.62434738</v>
      </c>
      <c r="AJ310" s="67" t="n">
        <f aca="false">MAX(AI310,AJ309)</f>
        <v>2393942.44427502</v>
      </c>
      <c r="AK310" s="67" t="n">
        <f aca="false">MAX(AJ310,AK309)</f>
        <v>2474845.92386877</v>
      </c>
      <c r="AL310" s="67" t="n">
        <f aca="false">MAX(AK310,AL309)</f>
        <v>2555718.06312862</v>
      </c>
    </row>
    <row r="311" customFormat="false" ht="15" hidden="false" customHeight="false" outlineLevel="0" collapsed="false">
      <c r="A311" s="6" t="s">
        <v>81</v>
      </c>
      <c r="C311" s="67" t="n">
        <f aca="false">-C310*Inputs!$D$95</f>
        <v>-11384.1601650189</v>
      </c>
      <c r="D311" s="67" t="n">
        <f aca="false">-(D310-C310)*Inputs!$D$95</f>
        <v>-11610.139662047</v>
      </c>
      <c r="E311" s="67" t="n">
        <f aca="false">-(E310-D310)*Inputs!$D$95</f>
        <v>-11834.6121092207</v>
      </c>
      <c r="F311" s="67" t="n">
        <f aca="false">-(F310-E310)*Inputs!$D$95</f>
        <v>-12056.2834036383</v>
      </c>
      <c r="G311" s="67" t="n">
        <f aca="false">-(G310-F310)*Inputs!$D$95</f>
        <v>-12275.1871591328</v>
      </c>
      <c r="H311" s="67" t="n">
        <f aca="false">-(H310-G310)*Inputs!$D$95</f>
        <v>-12491.3565861714</v>
      </c>
      <c r="I311" s="67" t="n">
        <f aca="false">-(I310-H310)*Inputs!$D$95</f>
        <v>-12628.3642456908</v>
      </c>
      <c r="J311" s="67" t="n">
        <f aca="false">-(J310-I310)*Inputs!$D$95</f>
        <v>-12729.1678169794</v>
      </c>
      <c r="K311" s="67" t="n">
        <f aca="false">-(K310-J310)*Inputs!$D$95</f>
        <v>-12828.6753951179</v>
      </c>
      <c r="L311" s="67" t="n">
        <f aca="false">-(L310-K310)*Inputs!$D$95</f>
        <v>-12926.9025320241</v>
      </c>
      <c r="M311" s="67" t="n">
        <f aca="false">-(M310-L310)*Inputs!$D$95</f>
        <v>-13023.8645929928</v>
      </c>
      <c r="N311" s="67" t="n">
        <f aca="false">-(N310-M310)*Inputs!$D$95</f>
        <v>-13119.5767589352</v>
      </c>
      <c r="O311" s="67" t="n">
        <f aca="false">-(O310-N310)*Inputs!$D$95</f>
        <v>-14455.6311017157</v>
      </c>
      <c r="P311" s="67" t="n">
        <f aca="false">-(P310-O310)*Inputs!$D$95</f>
        <v>-14718.0243924572</v>
      </c>
      <c r="Q311" s="67" t="n">
        <f aca="false">-(Q310-P310)*Inputs!$D$95</f>
        <v>-14957.1595335307</v>
      </c>
      <c r="R311" s="67" t="n">
        <f aca="false">-(R310-Q310)*Inputs!$D$95</f>
        <v>-15079.6554829457</v>
      </c>
      <c r="S311" s="67" t="n">
        <f aca="false">-(S310-R310)*Inputs!$D$95</f>
        <v>-15200.580013865</v>
      </c>
      <c r="T311" s="67" t="n">
        <f aca="false">-(T310-S310)*Inputs!$D$95</f>
        <v>-15319.9519833105</v>
      </c>
      <c r="U311" s="67" t="n">
        <f aca="false">-(U310-T310)*Inputs!$D$95</f>
        <v>-15437.79002202</v>
      </c>
      <c r="V311" s="67" t="n">
        <f aca="false">-(V310-U310)*Inputs!$D$95</f>
        <v>-15554.1125371624</v>
      </c>
      <c r="W311" s="67" t="n">
        <f aca="false">-(W310-V310)*Inputs!$D$95</f>
        <v>-15668.9377150203</v>
      </c>
      <c r="X311" s="67" t="n">
        <f aca="false">-(X310-W310)*Inputs!$D$95</f>
        <v>-15728.8523808488</v>
      </c>
      <c r="Y311" s="67" t="n">
        <f aca="false">-(Y310-X310)*Inputs!$D$95</f>
        <v>-15722.8306951445</v>
      </c>
      <c r="Z311" s="67" t="n">
        <f aca="false">-(Z310-Y310)*Inputs!$D$95</f>
        <v>-15716.8090094402</v>
      </c>
      <c r="AA311" s="67" t="n">
        <f aca="false">-(AA310-Z310)*Inputs!$D$95</f>
        <v>-17055.5454158605</v>
      </c>
      <c r="AB311" s="67" t="n">
        <f aca="false">-(AB310-AA310)*Inputs!$D$95</f>
        <v>-17048.9639457432</v>
      </c>
      <c r="AC311" s="67" t="n">
        <f aca="false">-(AC310-AB310)*Inputs!$D$95</f>
        <v>-17042.3824756258</v>
      </c>
      <c r="AD311" s="67" t="n">
        <f aca="false">-(AD310-AC310)*Inputs!$D$95</f>
        <v>-17035.8010055085</v>
      </c>
      <c r="AE311" s="67" t="n">
        <f aca="false">-(AE310-AD310)*Inputs!$D$95</f>
        <v>-17029.2195353911</v>
      </c>
      <c r="AF311" s="67" t="n">
        <f aca="false">-(AF310-AE310)*Inputs!$D$95</f>
        <v>-17022.6380652737</v>
      </c>
      <c r="AG311" s="67" t="n">
        <f aca="false">-(AG310-AF310)*Inputs!$D$95</f>
        <v>-17016.0565951564</v>
      </c>
      <c r="AH311" s="67" t="n">
        <f aca="false">-(AH310-AG310)*Inputs!$D$95</f>
        <v>-17009.475125039</v>
      </c>
      <c r="AI311" s="67" t="n">
        <f aca="false">-(AI310-AH310)*Inputs!$D$95</f>
        <v>-17002.8936549217</v>
      </c>
      <c r="AJ311" s="67" t="n">
        <f aca="false">-(AJ310-AI310)*Inputs!$D$95</f>
        <v>-16996.3121848043</v>
      </c>
      <c r="AK311" s="67" t="n">
        <f aca="false">-(AK310-AJ310)*Inputs!$D$95</f>
        <v>-16989.7307146869</v>
      </c>
      <c r="AL311" s="67" t="n">
        <f aca="false">-(AL310-AK310)*Inputs!$D$95</f>
        <v>-16983.1492445696</v>
      </c>
    </row>
    <row r="312" customFormat="false" ht="15" hidden="false" customHeight="false" outlineLevel="0" collapsed="false">
      <c r="A312" s="111" t="s">
        <v>50</v>
      </c>
      <c r="C312" s="68" t="n">
        <f aca="false">C308+C311</f>
        <v>42826.1263350712</v>
      </c>
      <c r="D312" s="68" t="n">
        <f aca="false">D308+D311</f>
        <v>43676.2396810339</v>
      </c>
      <c r="E312" s="68" t="n">
        <f aca="false">E308+E311</f>
        <v>44520.683648973</v>
      </c>
      <c r="F312" s="68" t="n">
        <f aca="false">F308+F311</f>
        <v>45354.5899470201</v>
      </c>
      <c r="G312" s="68" t="n">
        <f aca="false">G308+G311</f>
        <v>46178.0850272139</v>
      </c>
      <c r="H312" s="68" t="n">
        <f aca="false">H308+H311</f>
        <v>46991.2938241687</v>
      </c>
      <c r="I312" s="68" t="n">
        <f aca="false">I308+I311</f>
        <v>47506.7035909322</v>
      </c>
      <c r="J312" s="68" t="n">
        <f aca="false">J308+J311</f>
        <v>47885.9170257798</v>
      </c>
      <c r="K312" s="68" t="n">
        <f aca="false">K308+K311</f>
        <v>48260.2550578246</v>
      </c>
      <c r="L312" s="68" t="n">
        <f aca="false">L308+L311</f>
        <v>48629.7761919003</v>
      </c>
      <c r="M312" s="68" t="n">
        <f aca="false">M308+M311</f>
        <v>48994.5382307825</v>
      </c>
      <c r="N312" s="68" t="n">
        <f aca="false">N308+N311</f>
        <v>49354.5982836134</v>
      </c>
      <c r="O312" s="68" t="n">
        <f aca="false">O308+O311</f>
        <v>54380.7074778828</v>
      </c>
      <c r="P312" s="68" t="n">
        <f aca="false">P308+P311</f>
        <v>55367.8060478151</v>
      </c>
      <c r="Q312" s="68" t="n">
        <f aca="false">Q308+Q311</f>
        <v>56267.4096737585</v>
      </c>
      <c r="R312" s="68" t="n">
        <f aca="false">R308+R311</f>
        <v>56728.2277691766</v>
      </c>
      <c r="S312" s="68" t="n">
        <f aca="false">S308+S311</f>
        <v>57183.1343378729</v>
      </c>
      <c r="T312" s="68" t="n">
        <f aca="false">T308+T311</f>
        <v>57632.2003181682</v>
      </c>
      <c r="U312" s="68" t="n">
        <f aca="false">U308+U311</f>
        <v>58075.495797123</v>
      </c>
      <c r="V312" s="68" t="n">
        <f aca="false">V308+V311</f>
        <v>58513.0900207537</v>
      </c>
      <c r="W312" s="68" t="n">
        <f aca="false">W308+W311</f>
        <v>58945.051404124</v>
      </c>
      <c r="X312" s="68" t="n">
        <f aca="false">X308+X311</f>
        <v>59170.4446708122</v>
      </c>
      <c r="Y312" s="68" t="n">
        <f aca="false">Y308+Y311</f>
        <v>59147.7916626865</v>
      </c>
      <c r="Z312" s="68" t="n">
        <f aca="false">Z308+Z311</f>
        <v>59125.1386545608</v>
      </c>
      <c r="AA312" s="68" t="n">
        <f aca="false">AA308+AA311</f>
        <v>64161.3375168086</v>
      </c>
      <c r="AB312" s="68" t="n">
        <f aca="false">AB308+AB311</f>
        <v>64136.5786530338</v>
      </c>
      <c r="AC312" s="68" t="n">
        <f aca="false">AC308+AC311</f>
        <v>64111.819789259</v>
      </c>
      <c r="AD312" s="68" t="n">
        <f aca="false">AD308+AD311</f>
        <v>64087.0609254841</v>
      </c>
      <c r="AE312" s="68" t="n">
        <f aca="false">AE308+AE311</f>
        <v>64062.3020617093</v>
      </c>
      <c r="AF312" s="68" t="n">
        <f aca="false">AF308+AF311</f>
        <v>64037.5431979345</v>
      </c>
      <c r="AG312" s="68" t="n">
        <f aca="false">AG308+AG311</f>
        <v>64012.7843341596</v>
      </c>
      <c r="AH312" s="68" t="n">
        <f aca="false">AH308+AH311</f>
        <v>63988.0254703848</v>
      </c>
      <c r="AI312" s="68" t="n">
        <f aca="false">AI308+AI311</f>
        <v>63963.26660661</v>
      </c>
      <c r="AJ312" s="68" t="n">
        <f aca="false">AJ308+AJ311</f>
        <v>63938.5077428352</v>
      </c>
      <c r="AK312" s="68" t="n">
        <f aca="false">AK308+AK311</f>
        <v>63913.7488790603</v>
      </c>
      <c r="AL312" s="68" t="n">
        <f aca="false">AL308+AL311</f>
        <v>63888.9900152855</v>
      </c>
    </row>
    <row r="314" customFormat="false" ht="15.75" hidden="false" customHeight="true" outlineLevel="0" collapsed="false">
      <c r="A314" s="7" t="s">
        <v>436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customFormat="false" ht="15" hidden="false" customHeight="false" outlineLevel="0" collapsed="false">
      <c r="A315" s="6" t="s">
        <v>437</v>
      </c>
      <c r="C315" s="67" t="n">
        <f aca="false">Inputs!$D$52*Inputs!$D$48+MAX(0,Inputs!$D$7+Inputs!$D$8-Inputs!$D$54)*Inputs!$D$53+Inputs!$D$55+C283*Inputs!$D$56</f>
        <v>62959.9028941263</v>
      </c>
      <c r="D315" s="67" t="n">
        <f aca="false">D283*Inputs!$D$56</f>
        <v>2980.12741540522</v>
      </c>
      <c r="E315" s="67" t="n">
        <f aca="false">E283*Inputs!$D$56</f>
        <v>3000.10924242878</v>
      </c>
      <c r="F315" s="67" t="n">
        <f aca="false">F283*Inputs!$D$56</f>
        <v>3019.85128752806</v>
      </c>
      <c r="G315" s="67" t="n">
        <f aca="false">G283*Inputs!$D$56</f>
        <v>3039.35642808614</v>
      </c>
      <c r="H315" s="67" t="n">
        <f aca="false">H283*Inputs!$D$56</f>
        <v>3058.62750695753</v>
      </c>
      <c r="I315" s="67" t="n">
        <f aca="false">I283*Inputs!$D$56</f>
        <v>3071.84066503324</v>
      </c>
      <c r="J315" s="67" t="n">
        <f aca="false">J283*Inputs!$D$56</f>
        <v>3082.26869491047</v>
      </c>
      <c r="K315" s="67" t="n">
        <f aca="false">K283*Inputs!$D$56</f>
        <v>3092.57158842918</v>
      </c>
      <c r="L315" s="67" t="n">
        <f aca="false">L283*Inputs!$D$56</f>
        <v>3102.75084722566</v>
      </c>
      <c r="M315" s="67" t="n">
        <f aca="false">M283*Inputs!$D$56</f>
        <v>3112.80795491658</v>
      </c>
      <c r="N315" s="67" t="n">
        <f aca="false">N283*Inputs!$D$56</f>
        <v>3122.74437731522</v>
      </c>
      <c r="O315" s="67" t="n">
        <f aca="false">O283*Inputs!$D$56</f>
        <v>3346.12327263082</v>
      </c>
      <c r="P315" s="67" t="n">
        <f aca="false">P283*Inputs!$D$56</f>
        <v>3369.48985428863</v>
      </c>
      <c r="Q315" s="67" t="n">
        <f aca="false">Q283*Inputs!$D$56</f>
        <v>3391.05326640202</v>
      </c>
      <c r="R315" s="67" t="n">
        <f aca="false">R283*Inputs!$D$56</f>
        <v>3403.69746828001</v>
      </c>
      <c r="S315" s="67" t="n">
        <f aca="false">S283*Inputs!$D$56</f>
        <v>3416.18993973546</v>
      </c>
      <c r="T315" s="67" t="n">
        <f aca="false">T283*Inputs!$D$56</f>
        <v>3428.53250153344</v>
      </c>
      <c r="U315" s="67" t="n">
        <f aca="false">U283*Inputs!$D$56</f>
        <v>3440.72695258985</v>
      </c>
      <c r="V315" s="67" t="n">
        <f aca="false">V283*Inputs!$D$56</f>
        <v>3452.77507023358</v>
      </c>
      <c r="W315" s="67" t="n">
        <f aca="false">W283*Inputs!$D$56</f>
        <v>3464.67861046559</v>
      </c>
      <c r="X315" s="67" t="n">
        <f aca="false">X283*Inputs!$D$56</f>
        <v>3471.174281718</v>
      </c>
      <c r="Y315" s="67" t="n">
        <f aca="false">Y283*Inputs!$D$56</f>
        <v>3471.174281718</v>
      </c>
      <c r="Z315" s="67" t="n">
        <f aca="false">Z283*Inputs!$D$56</f>
        <v>3471.174281718</v>
      </c>
      <c r="AA315" s="67" t="n">
        <f aca="false">AA283*Inputs!$D$56</f>
        <v>3695.08804694378</v>
      </c>
      <c r="AB315" s="67" t="n">
        <f aca="false">AB283*Inputs!$D$56</f>
        <v>3695.08804694378</v>
      </c>
      <c r="AC315" s="67" t="n">
        <f aca="false">AC283*Inputs!$D$56</f>
        <v>3695.08804694378</v>
      </c>
      <c r="AD315" s="67" t="n">
        <f aca="false">AD283*Inputs!$D$56</f>
        <v>3695.08804694378</v>
      </c>
      <c r="AE315" s="67" t="n">
        <f aca="false">AE283*Inputs!$D$56</f>
        <v>3695.08804694378</v>
      </c>
      <c r="AF315" s="67" t="n">
        <f aca="false">AF283*Inputs!$D$56</f>
        <v>3695.08804694378</v>
      </c>
      <c r="AG315" s="67" t="n">
        <f aca="false">AG283*Inputs!$D$56</f>
        <v>3695.08804694378</v>
      </c>
      <c r="AH315" s="67" t="n">
        <f aca="false">AH283*Inputs!$D$56</f>
        <v>3695.08804694378</v>
      </c>
      <c r="AI315" s="67" t="n">
        <f aca="false">AI283*Inputs!$D$56</f>
        <v>3695.08804694378</v>
      </c>
      <c r="AJ315" s="67" t="n">
        <f aca="false">AJ283*Inputs!$D$56</f>
        <v>3695.08804694378</v>
      </c>
      <c r="AK315" s="67" t="n">
        <f aca="false">AK283*Inputs!$D$56</f>
        <v>3695.08804694378</v>
      </c>
      <c r="AL315" s="67" t="n">
        <f aca="false">AL283*Inputs!$D$56</f>
        <v>3695.08804694378</v>
      </c>
    </row>
    <row r="316" customFormat="false" ht="15" hidden="false" customHeight="false" outlineLevel="0" collapsed="false">
      <c r="A316" s="6" t="s">
        <v>438</v>
      </c>
      <c r="C316" s="67" t="n">
        <f aca="false">C315</f>
        <v>62959.9028941263</v>
      </c>
      <c r="D316" s="67" t="n">
        <f aca="false">C316+D315</f>
        <v>65940.0303095315</v>
      </c>
      <c r="E316" s="67" t="n">
        <f aca="false">D316+E315</f>
        <v>68940.1395519603</v>
      </c>
      <c r="F316" s="67" t="n">
        <f aca="false">E316+F315</f>
        <v>71959.9908394884</v>
      </c>
      <c r="G316" s="67" t="n">
        <f aca="false">F316+G315</f>
        <v>74999.3472675745</v>
      </c>
      <c r="H316" s="67" t="n">
        <f aca="false">G316+H315</f>
        <v>78057.974774532</v>
      </c>
      <c r="I316" s="67" t="n">
        <f aca="false">H316+I315</f>
        <v>81129.8154395653</v>
      </c>
      <c r="J316" s="67" t="n">
        <f aca="false">I316+J315</f>
        <v>84212.0841344757</v>
      </c>
      <c r="K316" s="67" t="n">
        <f aca="false">J316+K315</f>
        <v>87304.6557229049</v>
      </c>
      <c r="L316" s="67" t="n">
        <f aca="false">K316+L315</f>
        <v>90407.4065701306</v>
      </c>
      <c r="M316" s="67" t="n">
        <f aca="false">L316+M315</f>
        <v>93520.2145250472</v>
      </c>
      <c r="N316" s="67" t="n">
        <f aca="false">M316+N315</f>
        <v>96642.9589023624</v>
      </c>
      <c r="O316" s="67" t="n">
        <f aca="false">N316+O315</f>
        <v>99989.0821749932</v>
      </c>
      <c r="P316" s="67" t="n">
        <f aca="false">O316+P315</f>
        <v>103358.572029282</v>
      </c>
      <c r="Q316" s="67" t="n">
        <f aca="false">P316+Q315</f>
        <v>106749.625295684</v>
      </c>
      <c r="R316" s="67" t="n">
        <f aca="false">Q316+R315</f>
        <v>110153.322763964</v>
      </c>
      <c r="S316" s="67" t="n">
        <f aca="false">R316+S315</f>
        <v>113569.512703699</v>
      </c>
      <c r="T316" s="67" t="n">
        <f aca="false">S316+T315</f>
        <v>116998.045205233</v>
      </c>
      <c r="U316" s="67" t="n">
        <f aca="false">T316+U315</f>
        <v>120438.772157823</v>
      </c>
      <c r="V316" s="67" t="n">
        <f aca="false">U316+V315</f>
        <v>123891.547228056</v>
      </c>
      <c r="W316" s="67" t="n">
        <f aca="false">V316+W315</f>
        <v>127356.225838522</v>
      </c>
      <c r="X316" s="67" t="n">
        <f aca="false">W316+X315</f>
        <v>130827.40012024</v>
      </c>
      <c r="Y316" s="67" t="n">
        <f aca="false">X316+Y315</f>
        <v>134298.574401958</v>
      </c>
      <c r="Z316" s="67" t="n">
        <f aca="false">Y316+Z315</f>
        <v>137769.748683676</v>
      </c>
      <c r="AA316" s="67" t="n">
        <f aca="false">Z316+AA315</f>
        <v>141464.83673062</v>
      </c>
      <c r="AB316" s="67" t="n">
        <f aca="false">AA316+AB315</f>
        <v>145159.924777563</v>
      </c>
      <c r="AC316" s="67" t="n">
        <f aca="false">AB316+AC315</f>
        <v>148855.012824507</v>
      </c>
      <c r="AD316" s="67" t="n">
        <f aca="false">AC316+AD315</f>
        <v>152550.100871451</v>
      </c>
      <c r="AE316" s="67" t="n">
        <f aca="false">AD316+AE315</f>
        <v>156245.188918395</v>
      </c>
      <c r="AF316" s="67" t="n">
        <f aca="false">AE316+AF315</f>
        <v>159940.276965338</v>
      </c>
      <c r="AG316" s="67" t="n">
        <f aca="false">AF316+AG315</f>
        <v>163635.365012282</v>
      </c>
      <c r="AH316" s="67" t="n">
        <f aca="false">AG316+AH315</f>
        <v>167330.453059226</v>
      </c>
      <c r="AI316" s="67" t="n">
        <f aca="false">AH316+AI315</f>
        <v>171025.54110617</v>
      </c>
      <c r="AJ316" s="67" t="n">
        <f aca="false">AI316+AJ315</f>
        <v>174720.629153113</v>
      </c>
      <c r="AK316" s="67" t="n">
        <f aca="false">AJ316+AK315</f>
        <v>178415.717200057</v>
      </c>
      <c r="AL316" s="67" t="n">
        <f aca="false">AK316+AL315</f>
        <v>182110.805247001</v>
      </c>
    </row>
    <row r="317" customFormat="false" ht="15" hidden="false" customHeight="false" outlineLevel="0" collapsed="false">
      <c r="A317" s="6" t="s">
        <v>77</v>
      </c>
      <c r="C317" s="67" t="n">
        <f aca="false">-MIN(C316/MAX(1,Inputs!$D$94*12),C315)</f>
        <v>-749.522653501504</v>
      </c>
      <c r="D317" s="67" t="n">
        <f aca="false">-MIN(D316/MAX(1,Inputs!$D$94*12),C319+D315)</f>
        <v>-785.000360827756</v>
      </c>
      <c r="E317" s="67" t="n">
        <f aca="false">-MIN(E316/MAX(1,Inputs!$D$94*12),D319+E315)</f>
        <v>-820.715947047147</v>
      </c>
      <c r="F317" s="67" t="n">
        <f aca="false">-MIN(F316/MAX(1,Inputs!$D$94*12),E319+F315)</f>
        <v>-856.666557612957</v>
      </c>
      <c r="G317" s="67" t="n">
        <f aca="false">-MIN(G316/MAX(1,Inputs!$D$94*12),F319+G315)</f>
        <v>-892.84937223303</v>
      </c>
      <c r="H317" s="67" t="n">
        <f aca="false">-MIN(H316/MAX(1,Inputs!$D$94*12),G319+H315)</f>
        <v>-929.261604458715</v>
      </c>
      <c r="I317" s="67" t="n">
        <f aca="false">-MIN(I316/MAX(1,Inputs!$D$94*12),H319+I315)</f>
        <v>-965.831136185301</v>
      </c>
      <c r="J317" s="67" t="n">
        <f aca="false">-MIN(J316/MAX(1,Inputs!$D$94*12),I319+J315)</f>
        <v>-1002.52481112471</v>
      </c>
      <c r="K317" s="67" t="n">
        <f aca="false">-MIN(K316/MAX(1,Inputs!$D$94*12),J319+K315)</f>
        <v>-1039.34113955839</v>
      </c>
      <c r="L317" s="67" t="n">
        <f aca="false">-MIN(L316/MAX(1,Inputs!$D$94*12),K319+L315)</f>
        <v>-1076.27864964441</v>
      </c>
      <c r="M317" s="67" t="n">
        <f aca="false">-MIN(M316/MAX(1,Inputs!$D$94*12),L319+M315)</f>
        <v>-1113.33588720294</v>
      </c>
      <c r="N317" s="67" t="n">
        <f aca="false">-MIN(N316/MAX(1,Inputs!$D$94*12),M319+N315)</f>
        <v>-1150.51141550431</v>
      </c>
      <c r="O317" s="67" t="n">
        <f aca="false">-MIN(O316/MAX(1,Inputs!$D$94*12),N319+O315)</f>
        <v>-1190.34621636897</v>
      </c>
      <c r="P317" s="67" t="n">
        <f aca="false">-MIN(P316/MAX(1,Inputs!$D$94*12),O319+P315)</f>
        <v>-1230.45919082478</v>
      </c>
      <c r="Q317" s="67" t="n">
        <f aca="false">-MIN(Q316/MAX(1,Inputs!$D$94*12),P319+Q315)</f>
        <v>-1270.82887256766</v>
      </c>
      <c r="R317" s="67" t="n">
        <f aca="false">-MIN(R316/MAX(1,Inputs!$D$94*12),Q319+R315)</f>
        <v>-1311.34908052338</v>
      </c>
      <c r="S317" s="67" t="n">
        <f aca="false">-MIN(S316/MAX(1,Inputs!$D$94*12),R319+S315)</f>
        <v>-1352.01800837737</v>
      </c>
      <c r="T317" s="67" t="n">
        <f aca="false">-MIN(T316/MAX(1,Inputs!$D$94*12),S319+T315)</f>
        <v>-1392.83387149087</v>
      </c>
      <c r="U317" s="67" t="n">
        <f aca="false">-MIN(U316/MAX(1,Inputs!$D$94*12),T319+U315)</f>
        <v>-1433.79490664075</v>
      </c>
      <c r="V317" s="67" t="n">
        <f aca="false">-MIN(V316/MAX(1,Inputs!$D$94*12),U319+V315)</f>
        <v>-1474.89937176257</v>
      </c>
      <c r="W317" s="67" t="n">
        <f aca="false">-MIN(W316/MAX(1,Inputs!$D$94*12),V319+W315)</f>
        <v>-1516.14554569669</v>
      </c>
      <c r="X317" s="67" t="n">
        <f aca="false">-MIN(X316/MAX(1,Inputs!$D$94*12),W319+X315)</f>
        <v>-1557.46904905047</v>
      </c>
      <c r="Y317" s="67" t="n">
        <f aca="false">-MIN(Y316/MAX(1,Inputs!$D$94*12),X319+Y315)</f>
        <v>-1598.79255240426</v>
      </c>
      <c r="Z317" s="67" t="n">
        <f aca="false">-MIN(Z316/MAX(1,Inputs!$D$94*12),Y319+Z315)</f>
        <v>-1640.11605575804</v>
      </c>
      <c r="AA317" s="67" t="n">
        <f aca="false">-MIN(AA316/MAX(1,Inputs!$D$94*12),Z319+AA315)</f>
        <v>-1684.10519917404</v>
      </c>
      <c r="AB317" s="67" t="n">
        <f aca="false">-MIN(AB316/MAX(1,Inputs!$D$94*12),AA319+AB315)</f>
        <v>-1728.09434259004</v>
      </c>
      <c r="AC317" s="67" t="n">
        <f aca="false">-MIN(AC316/MAX(1,Inputs!$D$94*12),AB319+AC315)</f>
        <v>-1772.08348600604</v>
      </c>
      <c r="AD317" s="67" t="n">
        <f aca="false">-MIN(AD316/MAX(1,Inputs!$D$94*12),AC319+AD315)</f>
        <v>-1816.07262942203</v>
      </c>
      <c r="AE317" s="67" t="n">
        <f aca="false">-MIN(AE316/MAX(1,Inputs!$D$94*12),AD319+AE315)</f>
        <v>-1860.06177283803</v>
      </c>
      <c r="AF317" s="67" t="n">
        <f aca="false">-MIN(AF316/MAX(1,Inputs!$D$94*12),AE319+AF315)</f>
        <v>-1904.05091625403</v>
      </c>
      <c r="AG317" s="67" t="n">
        <f aca="false">-MIN(AG316/MAX(1,Inputs!$D$94*12),AF319+AG315)</f>
        <v>-1948.04005967003</v>
      </c>
      <c r="AH317" s="67" t="n">
        <f aca="false">-MIN(AH316/MAX(1,Inputs!$D$94*12),AG319+AH315)</f>
        <v>-1992.02920308602</v>
      </c>
      <c r="AI317" s="67" t="n">
        <f aca="false">-MIN(AI316/MAX(1,Inputs!$D$94*12),AH319+AI315)</f>
        <v>-2036.01834650202</v>
      </c>
      <c r="AJ317" s="67" t="n">
        <f aca="false">-MIN(AJ316/MAX(1,Inputs!$D$94*12),AI319+AJ315)</f>
        <v>-2080.00748991802</v>
      </c>
      <c r="AK317" s="67" t="n">
        <f aca="false">-MIN(AK316/MAX(1,Inputs!$D$94*12),AJ319+AK315)</f>
        <v>-2123.99663333401</v>
      </c>
      <c r="AL317" s="67" t="n">
        <f aca="false">-MIN(AL316/MAX(1,Inputs!$D$94*12),AK319+AL315)</f>
        <v>-2167.98577675001</v>
      </c>
    </row>
    <row r="318" customFormat="false" ht="15" hidden="false" customHeight="false" outlineLevel="0" collapsed="false">
      <c r="A318" s="6" t="s">
        <v>439</v>
      </c>
      <c r="C318" s="67" t="n">
        <f aca="false">C317</f>
        <v>-749.522653501504</v>
      </c>
      <c r="D318" s="67" t="n">
        <f aca="false">C318+D317</f>
        <v>-1534.52301432926</v>
      </c>
      <c r="E318" s="67" t="n">
        <f aca="false">D318+E317</f>
        <v>-2355.23896137641</v>
      </c>
      <c r="F318" s="67" t="n">
        <f aca="false">E318+F317</f>
        <v>-3211.90551898936</v>
      </c>
      <c r="G318" s="67" t="n">
        <f aca="false">F318+G317</f>
        <v>-4104.75489122239</v>
      </c>
      <c r="H318" s="67" t="n">
        <f aca="false">G318+H317</f>
        <v>-5034.01649568111</v>
      </c>
      <c r="I318" s="67" t="n">
        <f aca="false">H318+I317</f>
        <v>-5999.84763186641</v>
      </c>
      <c r="J318" s="67" t="n">
        <f aca="false">I318+J317</f>
        <v>-7002.37244299112</v>
      </c>
      <c r="K318" s="67" t="n">
        <f aca="false">J318+K317</f>
        <v>-8041.71358254951</v>
      </c>
      <c r="L318" s="67" t="n">
        <f aca="false">K318+L317</f>
        <v>-9117.99223219392</v>
      </c>
      <c r="M318" s="67" t="n">
        <f aca="false">L318+M317</f>
        <v>-10231.3281193969</v>
      </c>
      <c r="N318" s="67" t="n">
        <f aca="false">M318+N317</f>
        <v>-11381.8395349012</v>
      </c>
      <c r="O318" s="67" t="n">
        <f aca="false">N318+O317</f>
        <v>-12572.1857512701</v>
      </c>
      <c r="P318" s="67" t="n">
        <f aca="false">O318+P317</f>
        <v>-13802.6449420949</v>
      </c>
      <c r="Q318" s="67" t="n">
        <f aca="false">P318+Q317</f>
        <v>-15073.4738146626</v>
      </c>
      <c r="R318" s="67" t="n">
        <f aca="false">Q318+R317</f>
        <v>-16384.822895186</v>
      </c>
      <c r="S318" s="67" t="n">
        <f aca="false">R318+S317</f>
        <v>-17736.8409035634</v>
      </c>
      <c r="T318" s="67" t="n">
        <f aca="false">S318+T317</f>
        <v>-19129.6747750542</v>
      </c>
      <c r="U318" s="67" t="n">
        <f aca="false">T318+U317</f>
        <v>-20563.469681695</v>
      </c>
      <c r="V318" s="67" t="n">
        <f aca="false">U318+V317</f>
        <v>-22038.3690534575</v>
      </c>
      <c r="W318" s="67" t="n">
        <f aca="false">V318+W317</f>
        <v>-23554.5145991542</v>
      </c>
      <c r="X318" s="67" t="n">
        <f aca="false">W318+X317</f>
        <v>-25111.9836482047</v>
      </c>
      <c r="Y318" s="67" t="n">
        <f aca="false">X318+Y317</f>
        <v>-26710.776200609</v>
      </c>
      <c r="Z318" s="67" t="n">
        <f aca="false">Y318+Z317</f>
        <v>-28350.892256367</v>
      </c>
      <c r="AA318" s="67" t="n">
        <f aca="false">Z318+AA317</f>
        <v>-30034.997455541</v>
      </c>
      <c r="AB318" s="67" t="n">
        <f aca="false">AA318+AB317</f>
        <v>-31763.0917981311</v>
      </c>
      <c r="AC318" s="67" t="n">
        <f aca="false">AB318+AC317</f>
        <v>-33535.1752841371</v>
      </c>
      <c r="AD318" s="67" t="n">
        <f aca="false">AC318+AD317</f>
        <v>-35351.2479135592</v>
      </c>
      <c r="AE318" s="67" t="n">
        <f aca="false">AD318+AE317</f>
        <v>-37211.3096863972</v>
      </c>
      <c r="AF318" s="67" t="n">
        <f aca="false">AE318+AF317</f>
        <v>-39115.3606026512</v>
      </c>
      <c r="AG318" s="67" t="n">
        <f aca="false">AF318+AG317</f>
        <v>-41063.4006623212</v>
      </c>
      <c r="AH318" s="67" t="n">
        <f aca="false">AG318+AH317</f>
        <v>-43055.4298654073</v>
      </c>
      <c r="AI318" s="67" t="n">
        <f aca="false">AH318+AI317</f>
        <v>-45091.4482119093</v>
      </c>
      <c r="AJ318" s="67" t="n">
        <f aca="false">AI318+AJ317</f>
        <v>-47171.4557018273</v>
      </c>
      <c r="AK318" s="67" t="n">
        <f aca="false">AJ318+AK317</f>
        <v>-49295.4523351613</v>
      </c>
      <c r="AL318" s="67" t="n">
        <f aca="false">AK318+AL317</f>
        <v>-51463.4381119113</v>
      </c>
    </row>
    <row r="319" customFormat="false" ht="15" hidden="false" customHeight="false" outlineLevel="0" collapsed="false">
      <c r="A319" s="4" t="s">
        <v>91</v>
      </c>
      <c r="C319" s="73" t="n">
        <f aca="false">C316+C318</f>
        <v>62210.3802406248</v>
      </c>
      <c r="D319" s="73" t="n">
        <f aca="false">D316+D318</f>
        <v>64405.5072952023</v>
      </c>
      <c r="E319" s="73" t="n">
        <f aca="false">E316+E318</f>
        <v>66584.9005905839</v>
      </c>
      <c r="F319" s="73" t="n">
        <f aca="false">F316+F318</f>
        <v>68748.085320499</v>
      </c>
      <c r="G319" s="73" t="n">
        <f aca="false">G316+G318</f>
        <v>70894.5923763521</v>
      </c>
      <c r="H319" s="73" t="n">
        <f aca="false">H316+H318</f>
        <v>73023.9582788509</v>
      </c>
      <c r="I319" s="73" t="n">
        <f aca="false">I316+I318</f>
        <v>75129.9678076989</v>
      </c>
      <c r="J319" s="73" t="n">
        <f aca="false">J316+J318</f>
        <v>77209.7116914846</v>
      </c>
      <c r="K319" s="73" t="n">
        <f aca="false">K316+K318</f>
        <v>79262.9421403554</v>
      </c>
      <c r="L319" s="73" t="n">
        <f aca="false">L316+L318</f>
        <v>81289.4143379366</v>
      </c>
      <c r="M319" s="73" t="n">
        <f aca="false">M316+M318</f>
        <v>83288.8864056503</v>
      </c>
      <c r="N319" s="73" t="n">
        <f aca="false">N316+N318</f>
        <v>85261.1193674612</v>
      </c>
      <c r="O319" s="73" t="n">
        <f aca="false">O316+O318</f>
        <v>87416.8964237231</v>
      </c>
      <c r="P319" s="73" t="n">
        <f aca="false">P316+P318</f>
        <v>89555.9270871869</v>
      </c>
      <c r="Q319" s="73" t="n">
        <f aca="false">Q316+Q318</f>
        <v>91676.1514810212</v>
      </c>
      <c r="R319" s="73" t="n">
        <f aca="false">R316+R318</f>
        <v>93768.4998687779</v>
      </c>
      <c r="S319" s="73" t="n">
        <f aca="false">S316+S318</f>
        <v>95832.6718001359</v>
      </c>
      <c r="T319" s="73" t="n">
        <f aca="false">T316+T318</f>
        <v>97868.3704301785</v>
      </c>
      <c r="U319" s="73" t="n">
        <f aca="false">U316+U318</f>
        <v>99875.3024761276</v>
      </c>
      <c r="V319" s="73" t="n">
        <f aca="false">V316+V318</f>
        <v>101853.178174599</v>
      </c>
      <c r="W319" s="73" t="n">
        <f aca="false">W316+W318</f>
        <v>103801.711239368</v>
      </c>
      <c r="X319" s="73" t="n">
        <f aca="false">X316+X318</f>
        <v>105715.416472035</v>
      </c>
      <c r="Y319" s="73" t="n">
        <f aca="false">Y316+Y318</f>
        <v>107587.798201349</v>
      </c>
      <c r="Z319" s="73" t="n">
        <f aca="false">Z316+Z318</f>
        <v>109418.856427309</v>
      </c>
      <c r="AA319" s="73" t="n">
        <f aca="false">AA316+AA318</f>
        <v>111429.839275078</v>
      </c>
      <c r="AB319" s="73" t="n">
        <f aca="false">AB316+AB318</f>
        <v>113396.832979432</v>
      </c>
      <c r="AC319" s="73" t="n">
        <f aca="false">AC316+AC318</f>
        <v>115319.83754037</v>
      </c>
      <c r="AD319" s="73" t="n">
        <f aca="false">AD316+AD318</f>
        <v>117198.852957892</v>
      </c>
      <c r="AE319" s="73" t="n">
        <f aca="false">AE316+AE318</f>
        <v>119033.879231997</v>
      </c>
      <c r="AF319" s="73" t="n">
        <f aca="false">AF316+AF318</f>
        <v>120824.916362687</v>
      </c>
      <c r="AG319" s="73" t="n">
        <f aca="false">AG316+AG318</f>
        <v>122571.964349961</v>
      </c>
      <c r="AH319" s="73" t="n">
        <f aca="false">AH316+AH318</f>
        <v>124275.023193819</v>
      </c>
      <c r="AI319" s="73" t="n">
        <f aca="false">AI316+AI318</f>
        <v>125934.09289426</v>
      </c>
      <c r="AJ319" s="73" t="n">
        <f aca="false">AJ316+AJ318</f>
        <v>127549.173451286</v>
      </c>
      <c r="AK319" s="73" t="n">
        <f aca="false">AK316+AK318</f>
        <v>129120.264864896</v>
      </c>
      <c r="AL319" s="73" t="n">
        <f aca="false">AL316+AL318</f>
        <v>130647.36713509</v>
      </c>
    </row>
    <row r="321" customFormat="false" ht="15.75" hidden="false" customHeight="true" outlineLevel="0" collapsed="false">
      <c r="A321" s="7" t="s">
        <v>440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customFormat="false" ht="15" hidden="false" customHeight="false" outlineLevel="0" collapsed="false">
      <c r="A322" s="6" t="s">
        <v>441</v>
      </c>
      <c r="C322" s="67" t="n">
        <f aca="false">0</f>
        <v>0</v>
      </c>
      <c r="D322" s="67" t="n">
        <f aca="false">C325</f>
        <v>150000</v>
      </c>
      <c r="E322" s="67" t="n">
        <f aca="false">D325</f>
        <v>148214.285714286</v>
      </c>
      <c r="F322" s="67" t="n">
        <f aca="false">E325</f>
        <v>146428.571428571</v>
      </c>
      <c r="G322" s="67" t="n">
        <f aca="false">F325</f>
        <v>144642.857142857</v>
      </c>
      <c r="H322" s="67" t="n">
        <f aca="false">G325</f>
        <v>142857.142857143</v>
      </c>
      <c r="I322" s="67" t="n">
        <f aca="false">H325</f>
        <v>141071.428571429</v>
      </c>
      <c r="J322" s="67" t="n">
        <f aca="false">I325</f>
        <v>139285.714285714</v>
      </c>
      <c r="K322" s="67" t="n">
        <f aca="false">J325</f>
        <v>137500</v>
      </c>
      <c r="L322" s="67" t="n">
        <f aca="false">K325</f>
        <v>135714.285714286</v>
      </c>
      <c r="M322" s="67" t="n">
        <f aca="false">L325</f>
        <v>133928.571428571</v>
      </c>
      <c r="N322" s="67" t="n">
        <f aca="false">M325</f>
        <v>132142.857142857</v>
      </c>
      <c r="O322" s="67" t="n">
        <f aca="false">N325</f>
        <v>130357.142857143</v>
      </c>
      <c r="P322" s="67" t="n">
        <f aca="false">O325</f>
        <v>128571.428571429</v>
      </c>
      <c r="Q322" s="67" t="n">
        <f aca="false">P325</f>
        <v>126785.714285714</v>
      </c>
      <c r="R322" s="67" t="n">
        <f aca="false">Q325</f>
        <v>125000</v>
      </c>
      <c r="S322" s="67" t="n">
        <f aca="false">R325</f>
        <v>123214.285714286</v>
      </c>
      <c r="T322" s="67" t="n">
        <f aca="false">S325</f>
        <v>121428.571428571</v>
      </c>
      <c r="U322" s="67" t="n">
        <f aca="false">T325</f>
        <v>119642.857142857</v>
      </c>
      <c r="V322" s="67" t="n">
        <f aca="false">U325</f>
        <v>117857.142857143</v>
      </c>
      <c r="W322" s="67" t="n">
        <f aca="false">V325</f>
        <v>116071.428571428</v>
      </c>
      <c r="X322" s="67" t="n">
        <f aca="false">W325</f>
        <v>114285.714285714</v>
      </c>
      <c r="Y322" s="67" t="n">
        <f aca="false">X325</f>
        <v>112500</v>
      </c>
      <c r="Z322" s="67" t="n">
        <f aca="false">Y325</f>
        <v>110714.285714286</v>
      </c>
      <c r="AA322" s="67" t="n">
        <f aca="false">Z325</f>
        <v>108928.571428571</v>
      </c>
      <c r="AB322" s="67" t="n">
        <f aca="false">AA325</f>
        <v>107142.857142857</v>
      </c>
      <c r="AC322" s="67" t="n">
        <f aca="false">AB325</f>
        <v>105357.142857143</v>
      </c>
      <c r="AD322" s="67" t="n">
        <f aca="false">AC325</f>
        <v>103571.428571428</v>
      </c>
      <c r="AE322" s="67" t="n">
        <f aca="false">AD325</f>
        <v>101785.714285714</v>
      </c>
      <c r="AF322" s="67" t="n">
        <f aca="false">AE325</f>
        <v>99999.9999999999</v>
      </c>
      <c r="AG322" s="67" t="n">
        <f aca="false">AF325</f>
        <v>98214.2857142856</v>
      </c>
      <c r="AH322" s="67" t="n">
        <f aca="false">AG325</f>
        <v>96428.5714285713</v>
      </c>
      <c r="AI322" s="67" t="n">
        <f aca="false">AH325</f>
        <v>94642.857142857</v>
      </c>
      <c r="AJ322" s="67" t="n">
        <f aca="false">AI325</f>
        <v>92857.1428571427</v>
      </c>
      <c r="AK322" s="67" t="n">
        <f aca="false">AJ325</f>
        <v>91071.4285714284</v>
      </c>
      <c r="AL322" s="67" t="n">
        <f aca="false">AK325</f>
        <v>89285.7142857141</v>
      </c>
    </row>
    <row r="323" customFormat="false" ht="15" hidden="false" customHeight="false" outlineLevel="0" collapsed="false">
      <c r="A323" s="6" t="s">
        <v>84</v>
      </c>
      <c r="C323" s="67" t="n">
        <f aca="false">IF(C$256=1,Inputs!$D$84,0)</f>
        <v>150000</v>
      </c>
      <c r="D323" s="67" t="n">
        <f aca="false">IF(D$256=1,Inputs!$D$84,0)</f>
        <v>0</v>
      </c>
      <c r="E323" s="67" t="n">
        <f aca="false">IF(E$256=1,Inputs!$D$84,0)</f>
        <v>0</v>
      </c>
      <c r="F323" s="67" t="n">
        <f aca="false">IF(F$256=1,Inputs!$D$84,0)</f>
        <v>0</v>
      </c>
      <c r="G323" s="67" t="n">
        <f aca="false">IF(G$256=1,Inputs!$D$84,0)</f>
        <v>0</v>
      </c>
      <c r="H323" s="67" t="n">
        <f aca="false">IF(H$256=1,Inputs!$D$84,0)</f>
        <v>0</v>
      </c>
      <c r="I323" s="67" t="n">
        <f aca="false">IF(I$256=1,Inputs!$D$84,0)</f>
        <v>0</v>
      </c>
      <c r="J323" s="67" t="n">
        <f aca="false">IF(J$256=1,Inputs!$D$84,0)</f>
        <v>0</v>
      </c>
      <c r="K323" s="67" t="n">
        <f aca="false">IF(K$256=1,Inputs!$D$84,0)</f>
        <v>0</v>
      </c>
      <c r="L323" s="67" t="n">
        <f aca="false">IF(L$256=1,Inputs!$D$84,0)</f>
        <v>0</v>
      </c>
      <c r="M323" s="67" t="n">
        <f aca="false">IF(M$256=1,Inputs!$D$84,0)</f>
        <v>0</v>
      </c>
      <c r="N323" s="67" t="n">
        <f aca="false">IF(N$256=1,Inputs!$D$84,0)</f>
        <v>0</v>
      </c>
      <c r="O323" s="67" t="n">
        <f aca="false">IF(O$256=1,Inputs!$D$84,0)</f>
        <v>0</v>
      </c>
      <c r="P323" s="67" t="n">
        <f aca="false">IF(P$256=1,Inputs!$D$84,0)</f>
        <v>0</v>
      </c>
      <c r="Q323" s="67" t="n">
        <f aca="false">IF(Q$256=1,Inputs!$D$84,0)</f>
        <v>0</v>
      </c>
      <c r="R323" s="67" t="n">
        <f aca="false">IF(R$256=1,Inputs!$D$84,0)</f>
        <v>0</v>
      </c>
      <c r="S323" s="67" t="n">
        <f aca="false">IF(S$256=1,Inputs!$D$84,0)</f>
        <v>0</v>
      </c>
      <c r="T323" s="67" t="n">
        <f aca="false">IF(T$256=1,Inputs!$D$84,0)</f>
        <v>0</v>
      </c>
      <c r="U323" s="67" t="n">
        <f aca="false">IF(U$256=1,Inputs!$D$84,0)</f>
        <v>0</v>
      </c>
      <c r="V323" s="67" t="n">
        <f aca="false">IF(V$256=1,Inputs!$D$84,0)</f>
        <v>0</v>
      </c>
      <c r="W323" s="67" t="n">
        <f aca="false">IF(W$256=1,Inputs!$D$84,0)</f>
        <v>0</v>
      </c>
      <c r="X323" s="67" t="n">
        <f aca="false">IF(X$256=1,Inputs!$D$84,0)</f>
        <v>0</v>
      </c>
      <c r="Y323" s="67" t="n">
        <f aca="false">IF(Y$256=1,Inputs!$D$84,0)</f>
        <v>0</v>
      </c>
      <c r="Z323" s="67" t="n">
        <f aca="false">IF(Z$256=1,Inputs!$D$84,0)</f>
        <v>0</v>
      </c>
      <c r="AA323" s="67" t="n">
        <f aca="false">IF(AA$256=1,Inputs!$D$84,0)</f>
        <v>0</v>
      </c>
      <c r="AB323" s="67" t="n">
        <f aca="false">IF(AB$256=1,Inputs!$D$84,0)</f>
        <v>0</v>
      </c>
      <c r="AC323" s="67" t="n">
        <f aca="false">IF(AC$256=1,Inputs!$D$84,0)</f>
        <v>0</v>
      </c>
      <c r="AD323" s="67" t="n">
        <f aca="false">IF(AD$256=1,Inputs!$D$84,0)</f>
        <v>0</v>
      </c>
      <c r="AE323" s="67" t="n">
        <f aca="false">IF(AE$256=1,Inputs!$D$84,0)</f>
        <v>0</v>
      </c>
      <c r="AF323" s="67" t="n">
        <f aca="false">IF(AF$256=1,Inputs!$D$84,0)</f>
        <v>0</v>
      </c>
      <c r="AG323" s="67" t="n">
        <f aca="false">IF(AG$256=1,Inputs!$D$84,0)</f>
        <v>0</v>
      </c>
      <c r="AH323" s="67" t="n">
        <f aca="false">IF(AH$256=1,Inputs!$D$84,0)</f>
        <v>0</v>
      </c>
      <c r="AI323" s="67" t="n">
        <f aca="false">IF(AI$256=1,Inputs!$D$84,0)</f>
        <v>0</v>
      </c>
      <c r="AJ323" s="67" t="n">
        <f aca="false">IF(AJ$256=1,Inputs!$D$84,0)</f>
        <v>0</v>
      </c>
      <c r="AK323" s="67" t="n">
        <f aca="false">IF(AK$256=1,Inputs!$D$84,0)</f>
        <v>0</v>
      </c>
      <c r="AL323" s="67" t="n">
        <f aca="false">IF(AL$256=1,Inputs!$D$84,0)</f>
        <v>0</v>
      </c>
    </row>
    <row r="324" customFormat="false" ht="15" hidden="false" customHeight="false" outlineLevel="0" collapsed="false">
      <c r="A324" s="6" t="s">
        <v>85</v>
      </c>
      <c r="C324" s="67" t="n">
        <f aca="false">-MIN(C322,Inputs!$D$84/MAX(1,Inputs!$D$86*12))</f>
        <v>-0</v>
      </c>
      <c r="D324" s="67" t="n">
        <f aca="false">-MIN(D322,Inputs!$D$84/MAX(1,Inputs!$D$86*12))</f>
        <v>-1785.71428571429</v>
      </c>
      <c r="E324" s="67" t="n">
        <f aca="false">-MIN(E322,Inputs!$D$84/MAX(1,Inputs!$D$86*12))</f>
        <v>-1785.71428571429</v>
      </c>
      <c r="F324" s="67" t="n">
        <f aca="false">-MIN(F322,Inputs!$D$84/MAX(1,Inputs!$D$86*12))</f>
        <v>-1785.71428571429</v>
      </c>
      <c r="G324" s="67" t="n">
        <f aca="false">-MIN(G322,Inputs!$D$84/MAX(1,Inputs!$D$86*12))</f>
        <v>-1785.71428571429</v>
      </c>
      <c r="H324" s="67" t="n">
        <f aca="false">-MIN(H322,Inputs!$D$84/MAX(1,Inputs!$D$86*12))</f>
        <v>-1785.71428571429</v>
      </c>
      <c r="I324" s="67" t="n">
        <f aca="false">-MIN(I322,Inputs!$D$84/MAX(1,Inputs!$D$86*12))</f>
        <v>-1785.71428571429</v>
      </c>
      <c r="J324" s="67" t="n">
        <f aca="false">-MIN(J322,Inputs!$D$84/MAX(1,Inputs!$D$86*12))</f>
        <v>-1785.71428571429</v>
      </c>
      <c r="K324" s="67" t="n">
        <f aca="false">-MIN(K322,Inputs!$D$84/MAX(1,Inputs!$D$86*12))</f>
        <v>-1785.71428571429</v>
      </c>
      <c r="L324" s="67" t="n">
        <f aca="false">-MIN(L322,Inputs!$D$84/MAX(1,Inputs!$D$86*12))</f>
        <v>-1785.71428571429</v>
      </c>
      <c r="M324" s="67" t="n">
        <f aca="false">-MIN(M322,Inputs!$D$84/MAX(1,Inputs!$D$86*12))</f>
        <v>-1785.71428571429</v>
      </c>
      <c r="N324" s="67" t="n">
        <f aca="false">-MIN(N322,Inputs!$D$84/MAX(1,Inputs!$D$86*12))</f>
        <v>-1785.71428571429</v>
      </c>
      <c r="O324" s="67" t="n">
        <f aca="false">-MIN(O322,Inputs!$D$84/MAX(1,Inputs!$D$86*12))</f>
        <v>-1785.71428571429</v>
      </c>
      <c r="P324" s="67" t="n">
        <f aca="false">-MIN(P322,Inputs!$D$84/MAX(1,Inputs!$D$86*12))</f>
        <v>-1785.71428571429</v>
      </c>
      <c r="Q324" s="67" t="n">
        <f aca="false">-MIN(Q322,Inputs!$D$84/MAX(1,Inputs!$D$86*12))</f>
        <v>-1785.71428571429</v>
      </c>
      <c r="R324" s="67" t="n">
        <f aca="false">-MIN(R322,Inputs!$D$84/MAX(1,Inputs!$D$86*12))</f>
        <v>-1785.71428571429</v>
      </c>
      <c r="S324" s="67" t="n">
        <f aca="false">-MIN(S322,Inputs!$D$84/MAX(1,Inputs!$D$86*12))</f>
        <v>-1785.71428571429</v>
      </c>
      <c r="T324" s="67" t="n">
        <f aca="false">-MIN(T322,Inputs!$D$84/MAX(1,Inputs!$D$86*12))</f>
        <v>-1785.71428571429</v>
      </c>
      <c r="U324" s="67" t="n">
        <f aca="false">-MIN(U322,Inputs!$D$84/MAX(1,Inputs!$D$86*12))</f>
        <v>-1785.71428571429</v>
      </c>
      <c r="V324" s="67" t="n">
        <f aca="false">-MIN(V322,Inputs!$D$84/MAX(1,Inputs!$D$86*12))</f>
        <v>-1785.71428571429</v>
      </c>
      <c r="W324" s="67" t="n">
        <f aca="false">-MIN(W322,Inputs!$D$84/MAX(1,Inputs!$D$86*12))</f>
        <v>-1785.71428571429</v>
      </c>
      <c r="X324" s="67" t="n">
        <f aca="false">-MIN(X322,Inputs!$D$84/MAX(1,Inputs!$D$86*12))</f>
        <v>-1785.71428571429</v>
      </c>
      <c r="Y324" s="67" t="n">
        <f aca="false">-MIN(Y322,Inputs!$D$84/MAX(1,Inputs!$D$86*12))</f>
        <v>-1785.71428571429</v>
      </c>
      <c r="Z324" s="67" t="n">
        <f aca="false">-MIN(Z322,Inputs!$D$84/MAX(1,Inputs!$D$86*12))</f>
        <v>-1785.71428571429</v>
      </c>
      <c r="AA324" s="67" t="n">
        <f aca="false">-MIN(AA322,Inputs!$D$84/MAX(1,Inputs!$D$86*12))</f>
        <v>-1785.71428571429</v>
      </c>
      <c r="AB324" s="67" t="n">
        <f aca="false">-MIN(AB322,Inputs!$D$84/MAX(1,Inputs!$D$86*12))</f>
        <v>-1785.71428571429</v>
      </c>
      <c r="AC324" s="67" t="n">
        <f aca="false">-MIN(AC322,Inputs!$D$84/MAX(1,Inputs!$D$86*12))</f>
        <v>-1785.71428571429</v>
      </c>
      <c r="AD324" s="67" t="n">
        <f aca="false">-MIN(AD322,Inputs!$D$84/MAX(1,Inputs!$D$86*12))</f>
        <v>-1785.71428571429</v>
      </c>
      <c r="AE324" s="67" t="n">
        <f aca="false">-MIN(AE322,Inputs!$D$84/MAX(1,Inputs!$D$86*12))</f>
        <v>-1785.71428571429</v>
      </c>
      <c r="AF324" s="67" t="n">
        <f aca="false">-MIN(AF322,Inputs!$D$84/MAX(1,Inputs!$D$86*12))</f>
        <v>-1785.71428571429</v>
      </c>
      <c r="AG324" s="67" t="n">
        <f aca="false">-MIN(AG322,Inputs!$D$84/MAX(1,Inputs!$D$86*12))</f>
        <v>-1785.71428571429</v>
      </c>
      <c r="AH324" s="67" t="n">
        <f aca="false">-MIN(AH322,Inputs!$D$84/MAX(1,Inputs!$D$86*12))</f>
        <v>-1785.71428571429</v>
      </c>
      <c r="AI324" s="67" t="n">
        <f aca="false">-MIN(AI322,Inputs!$D$84/MAX(1,Inputs!$D$86*12))</f>
        <v>-1785.71428571429</v>
      </c>
      <c r="AJ324" s="67" t="n">
        <f aca="false">-MIN(AJ322,Inputs!$D$84/MAX(1,Inputs!$D$86*12))</f>
        <v>-1785.71428571429</v>
      </c>
      <c r="AK324" s="67" t="n">
        <f aca="false">-MIN(AK322,Inputs!$D$84/MAX(1,Inputs!$D$86*12))</f>
        <v>-1785.71428571429</v>
      </c>
      <c r="AL324" s="67" t="n">
        <f aca="false">-MIN(AL322,Inputs!$D$84/MAX(1,Inputs!$D$86*12))</f>
        <v>-1785.71428571429</v>
      </c>
    </row>
    <row r="325" customFormat="false" ht="15" hidden="false" customHeight="false" outlineLevel="0" collapsed="false">
      <c r="A325" s="4" t="s">
        <v>442</v>
      </c>
      <c r="C325" s="73" t="n">
        <f aca="false">C322+C323+C324</f>
        <v>150000</v>
      </c>
      <c r="D325" s="73" t="n">
        <f aca="false">D322+D323+D324</f>
        <v>148214.285714286</v>
      </c>
      <c r="E325" s="73" t="n">
        <f aca="false">E322+E323+E324</f>
        <v>146428.571428571</v>
      </c>
      <c r="F325" s="73" t="n">
        <f aca="false">F322+F323+F324</f>
        <v>144642.857142857</v>
      </c>
      <c r="G325" s="73" t="n">
        <f aca="false">G322+G323+G324</f>
        <v>142857.142857143</v>
      </c>
      <c r="H325" s="73" t="n">
        <f aca="false">H322+H323+H324</f>
        <v>141071.428571429</v>
      </c>
      <c r="I325" s="73" t="n">
        <f aca="false">I322+I323+I324</f>
        <v>139285.714285714</v>
      </c>
      <c r="J325" s="73" t="n">
        <f aca="false">J322+J323+J324</f>
        <v>137500</v>
      </c>
      <c r="K325" s="73" t="n">
        <f aca="false">K322+K323+K324</f>
        <v>135714.285714286</v>
      </c>
      <c r="L325" s="73" t="n">
        <f aca="false">L322+L323+L324</f>
        <v>133928.571428571</v>
      </c>
      <c r="M325" s="73" t="n">
        <f aca="false">M322+M323+M324</f>
        <v>132142.857142857</v>
      </c>
      <c r="N325" s="73" t="n">
        <f aca="false">N322+N323+N324</f>
        <v>130357.142857143</v>
      </c>
      <c r="O325" s="73" t="n">
        <f aca="false">O322+O323+O324</f>
        <v>128571.428571429</v>
      </c>
      <c r="P325" s="73" t="n">
        <f aca="false">P322+P323+P324</f>
        <v>126785.714285714</v>
      </c>
      <c r="Q325" s="73" t="n">
        <f aca="false">Q322+Q323+Q324</f>
        <v>125000</v>
      </c>
      <c r="R325" s="73" t="n">
        <f aca="false">R322+R323+R324</f>
        <v>123214.285714286</v>
      </c>
      <c r="S325" s="73" t="n">
        <f aca="false">S322+S323+S324</f>
        <v>121428.571428571</v>
      </c>
      <c r="T325" s="73" t="n">
        <f aca="false">T322+T323+T324</f>
        <v>119642.857142857</v>
      </c>
      <c r="U325" s="73" t="n">
        <f aca="false">U322+U323+U324</f>
        <v>117857.142857143</v>
      </c>
      <c r="V325" s="73" t="n">
        <f aca="false">V322+V323+V324</f>
        <v>116071.428571428</v>
      </c>
      <c r="W325" s="73" t="n">
        <f aca="false">W322+W323+W324</f>
        <v>114285.714285714</v>
      </c>
      <c r="X325" s="73" t="n">
        <f aca="false">X322+X323+X324</f>
        <v>112500</v>
      </c>
      <c r="Y325" s="73" t="n">
        <f aca="false">Y322+Y323+Y324</f>
        <v>110714.285714286</v>
      </c>
      <c r="Z325" s="73" t="n">
        <f aca="false">Z322+Z323+Z324</f>
        <v>108928.571428571</v>
      </c>
      <c r="AA325" s="73" t="n">
        <f aca="false">AA322+AA323+AA324</f>
        <v>107142.857142857</v>
      </c>
      <c r="AB325" s="73" t="n">
        <f aca="false">AB322+AB323+AB324</f>
        <v>105357.142857143</v>
      </c>
      <c r="AC325" s="73" t="n">
        <f aca="false">AC322+AC323+AC324</f>
        <v>103571.428571428</v>
      </c>
      <c r="AD325" s="73" t="n">
        <f aca="false">AD322+AD323+AD324</f>
        <v>101785.714285714</v>
      </c>
      <c r="AE325" s="73" t="n">
        <f aca="false">AE322+AE323+AE324</f>
        <v>99999.9999999999</v>
      </c>
      <c r="AF325" s="73" t="n">
        <f aca="false">AF322+AF323+AF324</f>
        <v>98214.2857142856</v>
      </c>
      <c r="AG325" s="73" t="n">
        <f aca="false">AG322+AG323+AG324</f>
        <v>96428.5714285713</v>
      </c>
      <c r="AH325" s="73" t="n">
        <f aca="false">AH322+AH323+AH324</f>
        <v>94642.857142857</v>
      </c>
      <c r="AI325" s="73" t="n">
        <f aca="false">AI322+AI323+AI324</f>
        <v>92857.1428571427</v>
      </c>
      <c r="AJ325" s="73" t="n">
        <f aca="false">AJ322+AJ323+AJ324</f>
        <v>91071.4285714284</v>
      </c>
      <c r="AK325" s="73" t="n">
        <f aca="false">AK322+AK323+AK324</f>
        <v>89285.7142857141</v>
      </c>
      <c r="AL325" s="73" t="n">
        <f aca="false">AL322+AL323+AL324</f>
        <v>87499.9999999999</v>
      </c>
    </row>
    <row r="327" customFormat="false" ht="15.75" hidden="false" customHeight="true" outlineLevel="0" collapsed="false">
      <c r="A327" s="7" t="s">
        <v>339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customFormat="false" ht="15" hidden="false" customHeight="false" outlineLevel="0" collapsed="false">
      <c r="A328" s="6" t="s">
        <v>89</v>
      </c>
      <c r="C328" s="67" t="n">
        <f aca="false">C283*Inputs!$D$89/30</f>
        <v>92085.8678172632</v>
      </c>
      <c r="D328" s="67" t="n">
        <f aca="false">D283*Inputs!$D$89/30</f>
        <v>92715.0751459402</v>
      </c>
      <c r="E328" s="67" t="n">
        <f aca="false">E283*Inputs!$D$89/30</f>
        <v>93336.7319866731</v>
      </c>
      <c r="F328" s="67" t="n">
        <f aca="false">F283*Inputs!$D$89/30</f>
        <v>93950.9289453173</v>
      </c>
      <c r="G328" s="67" t="n">
        <f aca="false">G283*Inputs!$D$89/30</f>
        <v>94557.7555404577</v>
      </c>
      <c r="H328" s="67" t="n">
        <f aca="false">H283*Inputs!$D$89/30</f>
        <v>95157.3002164564</v>
      </c>
      <c r="I328" s="67" t="n">
        <f aca="false">I283*Inputs!$D$89/30</f>
        <v>95568.3762454786</v>
      </c>
      <c r="J328" s="67" t="n">
        <f aca="false">J283*Inputs!$D$89/30</f>
        <v>95892.8038416591</v>
      </c>
      <c r="K328" s="67" t="n">
        <f aca="false">K283*Inputs!$D$89/30</f>
        <v>96213.3383066855</v>
      </c>
      <c r="L328" s="67" t="n">
        <f aca="false">L283*Inputs!$D$89/30</f>
        <v>96530.0263581316</v>
      </c>
      <c r="M328" s="67" t="n">
        <f aca="false">M283*Inputs!$D$89/30</f>
        <v>96842.9141529603</v>
      </c>
      <c r="N328" s="67" t="n">
        <f aca="false">N283*Inputs!$D$89/30</f>
        <v>97152.0472942511</v>
      </c>
      <c r="O328" s="67" t="n">
        <f aca="false">O283*Inputs!$D$89/30</f>
        <v>104101.612926292</v>
      </c>
      <c r="P328" s="67" t="n">
        <f aca="false">P283*Inputs!$D$89/30</f>
        <v>104828.573244535</v>
      </c>
      <c r="Q328" s="67" t="n">
        <f aca="false">Q283*Inputs!$D$89/30</f>
        <v>105499.434954729</v>
      </c>
      <c r="R328" s="67" t="n">
        <f aca="false">R283*Inputs!$D$89/30</f>
        <v>105892.810124267</v>
      </c>
      <c r="S328" s="67" t="n">
        <f aca="false">S283*Inputs!$D$89/30</f>
        <v>106281.46479177</v>
      </c>
      <c r="T328" s="67" t="n">
        <f aca="false">T283*Inputs!$D$89/30</f>
        <v>106665.455603263</v>
      </c>
      <c r="U328" s="67" t="n">
        <f aca="false">U283*Inputs!$D$89/30</f>
        <v>107044.838525018</v>
      </c>
      <c r="V328" s="67" t="n">
        <f aca="false">V283*Inputs!$D$89/30</f>
        <v>107419.668851711</v>
      </c>
      <c r="W328" s="67" t="n">
        <f aca="false">W283*Inputs!$D$89/30</f>
        <v>107790.001214485</v>
      </c>
      <c r="X328" s="67" t="n">
        <f aca="false">X283*Inputs!$D$89/30</f>
        <v>107992.08876456</v>
      </c>
      <c r="Y328" s="67" t="n">
        <f aca="false">Y283*Inputs!$D$89/30</f>
        <v>107992.08876456</v>
      </c>
      <c r="Z328" s="67" t="n">
        <f aca="false">Z283*Inputs!$D$89/30</f>
        <v>107992.08876456</v>
      </c>
      <c r="AA328" s="67" t="n">
        <f aca="false">AA283*Inputs!$D$89/30</f>
        <v>114958.294793806</v>
      </c>
      <c r="AB328" s="67" t="n">
        <f aca="false">AB283*Inputs!$D$89/30</f>
        <v>114958.294793806</v>
      </c>
      <c r="AC328" s="67" t="n">
        <f aca="false">AC283*Inputs!$D$89/30</f>
        <v>114958.294793806</v>
      </c>
      <c r="AD328" s="67" t="n">
        <f aca="false">AD283*Inputs!$D$89/30</f>
        <v>114958.294793806</v>
      </c>
      <c r="AE328" s="67" t="n">
        <f aca="false">AE283*Inputs!$D$89/30</f>
        <v>114958.294793806</v>
      </c>
      <c r="AF328" s="67" t="n">
        <f aca="false">AF283*Inputs!$D$89/30</f>
        <v>114958.294793806</v>
      </c>
      <c r="AG328" s="67" t="n">
        <f aca="false">AG283*Inputs!$D$89/30</f>
        <v>114958.294793806</v>
      </c>
      <c r="AH328" s="67" t="n">
        <f aca="false">AH283*Inputs!$D$89/30</f>
        <v>114958.294793806</v>
      </c>
      <c r="AI328" s="67" t="n">
        <f aca="false">AI283*Inputs!$D$89/30</f>
        <v>114958.294793806</v>
      </c>
      <c r="AJ328" s="67" t="n">
        <f aca="false">AJ283*Inputs!$D$89/30</f>
        <v>114958.294793806</v>
      </c>
      <c r="AK328" s="67" t="n">
        <f aca="false">AK283*Inputs!$D$89/30</f>
        <v>114958.294793806</v>
      </c>
      <c r="AL328" s="67" t="n">
        <f aca="false">AL283*Inputs!$D$89/30</f>
        <v>114958.294793806</v>
      </c>
    </row>
    <row r="329" customFormat="false" ht="15" hidden="false" customHeight="false" outlineLevel="0" collapsed="false">
      <c r="A329" s="6" t="s">
        <v>90</v>
      </c>
      <c r="C329" s="67" t="n">
        <f aca="false">-C289*Inputs!$D$90/30</f>
        <v>9673.93811913544</v>
      </c>
      <c r="D329" s="67" t="n">
        <f aca="false">-D289*Inputs!$D$90/30</f>
        <v>9737.67545572911</v>
      </c>
      <c r="E329" s="67" t="n">
        <f aca="false">-E289*Inputs!$D$90/30</f>
        <v>9800.64794428366</v>
      </c>
      <c r="F329" s="67" t="n">
        <f aca="false">-F289*Inputs!$D$90/30</f>
        <v>9862.86476297555</v>
      </c>
      <c r="G329" s="67" t="n">
        <f aca="false">-G289*Inputs!$D$90/30</f>
        <v>9924.33497984315</v>
      </c>
      <c r="H329" s="67" t="n">
        <f aca="false">-H289*Inputs!$D$90/30</f>
        <v>9985.06755410833</v>
      </c>
      <c r="I329" s="67" t="n">
        <f aca="false">-I289*Inputs!$D$90/30</f>
        <v>10035.3598475495</v>
      </c>
      <c r="J329" s="67" t="n">
        <f aca="false">-J289*Inputs!$D$90/30</f>
        <v>10080.6708464216</v>
      </c>
      <c r="K329" s="67" t="n">
        <f aca="false">-K289*Inputs!$D$90/30</f>
        <v>10125.4381133073</v>
      </c>
      <c r="L329" s="67" t="n">
        <f aca="false">-L289*Inputs!$D$90/30</f>
        <v>10169.6681729903</v>
      </c>
      <c r="M329" s="67" t="n">
        <f aca="false">-M289*Inputs!$D$90/30</f>
        <v>10213.3674719572</v>
      </c>
      <c r="N329" s="67" t="n">
        <f aca="false">-N289*Inputs!$D$90/30</f>
        <v>10256.5423793364</v>
      </c>
      <c r="O329" s="67" t="n">
        <f aca="false">-O289*Inputs!$D$90/30</f>
        <v>10939.354784279</v>
      </c>
      <c r="P329" s="67" t="n">
        <f aca="false">-P289*Inputs!$D$90/30</f>
        <v>11012.9942865262</v>
      </c>
      <c r="Q329" s="67" t="n">
        <f aca="false">-Q289*Inputs!$D$90/30</f>
        <v>11083.2120653175</v>
      </c>
      <c r="R329" s="67" t="n">
        <f aca="false">-R289*Inputs!$D$90/30</f>
        <v>11138.1525884822</v>
      </c>
      <c r="S329" s="67" t="n">
        <f aca="false">-S289*Inputs!$D$90/30</f>
        <v>11192.433825369</v>
      </c>
      <c r="T329" s="67" t="n">
        <f aca="false">-T289*Inputs!$D$90/30</f>
        <v>11246.0636874131</v>
      </c>
      <c r="U329" s="67" t="n">
        <f aca="false">-U289*Inputs!$D$90/30</f>
        <v>11299.0499911127</v>
      </c>
      <c r="V329" s="67" t="n">
        <f aca="false">-V289*Inputs!$D$90/30</f>
        <v>11351.4004591679</v>
      </c>
      <c r="W329" s="67" t="n">
        <f aca="false">-W289*Inputs!$D$90/30</f>
        <v>11403.1227216064</v>
      </c>
      <c r="X329" s="67" t="n">
        <f aca="false">-X289*Inputs!$D$90/30</f>
        <v>11431.3471663248</v>
      </c>
      <c r="Y329" s="67" t="n">
        <f aca="false">-Y289*Inputs!$D$90/30</f>
        <v>11431.3471663248</v>
      </c>
      <c r="Z329" s="67" t="n">
        <f aca="false">-Z289*Inputs!$D$90/30</f>
        <v>11431.3471663248</v>
      </c>
      <c r="AA329" s="67" t="n">
        <f aca="false">-AA289*Inputs!$D$90/30</f>
        <v>12030.3845447628</v>
      </c>
      <c r="AB329" s="67" t="n">
        <f aca="false">-AB289*Inputs!$D$90/30</f>
        <v>12030.3845447628</v>
      </c>
      <c r="AC329" s="67" t="n">
        <f aca="false">-AC289*Inputs!$D$90/30</f>
        <v>12030.3845447628</v>
      </c>
      <c r="AD329" s="67" t="n">
        <f aca="false">-AD289*Inputs!$D$90/30</f>
        <v>12030.3845447628</v>
      </c>
      <c r="AE329" s="67" t="n">
        <f aca="false">-AE289*Inputs!$D$90/30</f>
        <v>12030.3845447628</v>
      </c>
      <c r="AF329" s="67" t="n">
        <f aca="false">-AF289*Inputs!$D$90/30</f>
        <v>12030.3845447628</v>
      </c>
      <c r="AG329" s="67" t="n">
        <f aca="false">-AG289*Inputs!$D$90/30</f>
        <v>12030.3845447628</v>
      </c>
      <c r="AH329" s="67" t="n">
        <f aca="false">-AH289*Inputs!$D$90/30</f>
        <v>12030.3845447628</v>
      </c>
      <c r="AI329" s="67" t="n">
        <f aca="false">-AI289*Inputs!$D$90/30</f>
        <v>12030.3845447628</v>
      </c>
      <c r="AJ329" s="67" t="n">
        <f aca="false">-AJ289*Inputs!$D$90/30</f>
        <v>12030.3845447628</v>
      </c>
      <c r="AK329" s="67" t="n">
        <f aca="false">-AK289*Inputs!$D$90/30</f>
        <v>12030.3845447628</v>
      </c>
      <c r="AL329" s="67" t="n">
        <f aca="false">-AL289*Inputs!$D$90/30</f>
        <v>12030.3845447628</v>
      </c>
    </row>
    <row r="330" customFormat="false" ht="15" hidden="false" customHeight="false" outlineLevel="0" collapsed="false">
      <c r="A330" s="6" t="s">
        <v>93</v>
      </c>
      <c r="C330" s="67" t="n">
        <f aca="false">-C289*Inputs!$D$91/30</f>
        <v>20154.0377481988</v>
      </c>
      <c r="D330" s="67" t="n">
        <f aca="false">-D289*Inputs!$D$91/30</f>
        <v>20286.8238661023</v>
      </c>
      <c r="E330" s="67" t="n">
        <f aca="false">-E289*Inputs!$D$91/30</f>
        <v>20418.016550591</v>
      </c>
      <c r="F330" s="67" t="n">
        <f aca="false">-F289*Inputs!$D$91/30</f>
        <v>20547.6349228657</v>
      </c>
      <c r="G330" s="67" t="n">
        <f aca="false">-G289*Inputs!$D$91/30</f>
        <v>20675.6978746732</v>
      </c>
      <c r="H330" s="67" t="n">
        <f aca="false">-H289*Inputs!$D$91/30</f>
        <v>20802.224071059</v>
      </c>
      <c r="I330" s="67" t="n">
        <f aca="false">-I289*Inputs!$D$91/30</f>
        <v>20906.9996823947</v>
      </c>
      <c r="J330" s="67" t="n">
        <f aca="false">-J289*Inputs!$D$91/30</f>
        <v>21001.3975967117</v>
      </c>
      <c r="K330" s="67" t="n">
        <f aca="false">-K289*Inputs!$D$91/30</f>
        <v>21094.6627360569</v>
      </c>
      <c r="L330" s="67" t="n">
        <f aca="false">-L289*Inputs!$D$91/30</f>
        <v>21186.8086937299</v>
      </c>
      <c r="M330" s="67" t="n">
        <f aca="false">-M289*Inputs!$D$91/30</f>
        <v>21277.8488999108</v>
      </c>
      <c r="N330" s="67" t="n">
        <f aca="false">-N289*Inputs!$D$91/30</f>
        <v>21367.7966236176</v>
      </c>
      <c r="O330" s="67" t="n">
        <f aca="false">-O289*Inputs!$D$91/30</f>
        <v>22790.3224672478</v>
      </c>
      <c r="P330" s="67" t="n">
        <f aca="false">-P289*Inputs!$D$91/30</f>
        <v>22943.7380969296</v>
      </c>
      <c r="Q330" s="67" t="n">
        <f aca="false">-Q289*Inputs!$D$91/30</f>
        <v>23090.0251360782</v>
      </c>
      <c r="R330" s="67" t="n">
        <f aca="false">-R289*Inputs!$D$91/30</f>
        <v>23204.484559338</v>
      </c>
      <c r="S330" s="67" t="n">
        <f aca="false">-S289*Inputs!$D$91/30</f>
        <v>23317.5704695188</v>
      </c>
      <c r="T330" s="67" t="n">
        <f aca="false">-T289*Inputs!$D$91/30</f>
        <v>23429.2993487773</v>
      </c>
      <c r="U330" s="67" t="n">
        <f aca="false">-U289*Inputs!$D$91/30</f>
        <v>23539.6874814848</v>
      </c>
      <c r="V330" s="67" t="n">
        <f aca="false">-V289*Inputs!$D$91/30</f>
        <v>23648.7509565998</v>
      </c>
      <c r="W330" s="67" t="n">
        <f aca="false">-W289*Inputs!$D$91/30</f>
        <v>23756.5056700133</v>
      </c>
      <c r="X330" s="67" t="n">
        <f aca="false">-X289*Inputs!$D$91/30</f>
        <v>23815.30659651</v>
      </c>
      <c r="Y330" s="67" t="n">
        <f aca="false">-Y289*Inputs!$D$91/30</f>
        <v>23815.30659651</v>
      </c>
      <c r="Z330" s="67" t="n">
        <f aca="false">-Z289*Inputs!$D$91/30</f>
        <v>23815.30659651</v>
      </c>
      <c r="AA330" s="67" t="n">
        <f aca="false">-AA289*Inputs!$D$91/30</f>
        <v>25063.3011349225</v>
      </c>
      <c r="AB330" s="67" t="n">
        <f aca="false">-AB289*Inputs!$D$91/30</f>
        <v>25063.3011349225</v>
      </c>
      <c r="AC330" s="67" t="n">
        <f aca="false">-AC289*Inputs!$D$91/30</f>
        <v>25063.3011349225</v>
      </c>
      <c r="AD330" s="67" t="n">
        <f aca="false">-AD289*Inputs!$D$91/30</f>
        <v>25063.3011349225</v>
      </c>
      <c r="AE330" s="67" t="n">
        <f aca="false">-AE289*Inputs!$D$91/30</f>
        <v>25063.3011349225</v>
      </c>
      <c r="AF330" s="67" t="n">
        <f aca="false">-AF289*Inputs!$D$91/30</f>
        <v>25063.3011349225</v>
      </c>
      <c r="AG330" s="67" t="n">
        <f aca="false">-AG289*Inputs!$D$91/30</f>
        <v>25063.3011349225</v>
      </c>
      <c r="AH330" s="67" t="n">
        <f aca="false">-AH289*Inputs!$D$91/30</f>
        <v>25063.3011349225</v>
      </c>
      <c r="AI330" s="67" t="n">
        <f aca="false">-AI289*Inputs!$D$91/30</f>
        <v>25063.3011349225</v>
      </c>
      <c r="AJ330" s="67" t="n">
        <f aca="false">-AJ289*Inputs!$D$91/30</f>
        <v>25063.3011349225</v>
      </c>
      <c r="AK330" s="67" t="n">
        <f aca="false">-AK289*Inputs!$D$91/30</f>
        <v>25063.3011349225</v>
      </c>
      <c r="AL330" s="67" t="n">
        <f aca="false">-AL289*Inputs!$D$91/30</f>
        <v>25063.3011349225</v>
      </c>
    </row>
    <row r="331" customFormat="false" ht="15" hidden="false" customHeight="false" outlineLevel="0" collapsed="false">
      <c r="A331" s="6" t="s">
        <v>365</v>
      </c>
      <c r="C331" s="67" t="n">
        <f aca="false">-C328</f>
        <v>-92085.8678172632</v>
      </c>
      <c r="D331" s="67" t="n">
        <f aca="false">C328-D328</f>
        <v>-629.207328677061</v>
      </c>
      <c r="E331" s="67" t="n">
        <f aca="false">D328-E328</f>
        <v>-621.656840732932</v>
      </c>
      <c r="F331" s="67" t="n">
        <f aca="false">E328-F328</f>
        <v>-614.196958644112</v>
      </c>
      <c r="G331" s="67" t="n">
        <f aca="false">F328-G328</f>
        <v>-606.826595140403</v>
      </c>
      <c r="H331" s="67" t="n">
        <f aca="false">G328-H328</f>
        <v>-599.544675998739</v>
      </c>
      <c r="I331" s="67" t="n">
        <f aca="false">H328-I328</f>
        <v>-411.076029022152</v>
      </c>
      <c r="J331" s="67" t="n">
        <f aca="false">I328-J328</f>
        <v>-324.427596180554</v>
      </c>
      <c r="K331" s="67" t="n">
        <f aca="false">J328-K328</f>
        <v>-320.534465026416</v>
      </c>
      <c r="L331" s="67" t="n">
        <f aca="false">K328-L328</f>
        <v>-316.688051446065</v>
      </c>
      <c r="M331" s="67" t="n">
        <f aca="false">L328-M328</f>
        <v>-312.887794828741</v>
      </c>
      <c r="N331" s="67" t="n">
        <f aca="false">M328-N328</f>
        <v>-309.133141290804</v>
      </c>
      <c r="O331" s="67" t="n">
        <f aca="false">N328-O328</f>
        <v>-6949.56563204102</v>
      </c>
      <c r="P331" s="67" t="n">
        <f aca="false">O328-P328</f>
        <v>-726.960318242913</v>
      </c>
      <c r="Q331" s="67" t="n">
        <f aca="false">P328-Q328</f>
        <v>-670.861710194426</v>
      </c>
      <c r="R331" s="67" t="n">
        <f aca="false">Q328-R328</f>
        <v>-393.375169537365</v>
      </c>
      <c r="S331" s="67" t="n">
        <f aca="false">R328-S328</f>
        <v>-388.65466750288</v>
      </c>
      <c r="T331" s="67" t="n">
        <f aca="false">S328-T328</f>
        <v>-383.990811492899</v>
      </c>
      <c r="U331" s="67" t="n">
        <f aca="false">T328-U328</f>
        <v>-379.382921754936</v>
      </c>
      <c r="V331" s="67" t="n">
        <f aca="false">U328-V328</f>
        <v>-374.830326693904</v>
      </c>
      <c r="W331" s="67" t="n">
        <f aca="false">V328-W328</f>
        <v>-370.332362773581</v>
      </c>
      <c r="X331" s="67" t="n">
        <f aca="false">W328-X328</f>
        <v>-202.087550074953</v>
      </c>
      <c r="Y331" s="67" t="n">
        <f aca="false">X328-Y328</f>
        <v>0</v>
      </c>
      <c r="Z331" s="67" t="n">
        <f aca="false">Y328-Z328</f>
        <v>0</v>
      </c>
      <c r="AA331" s="67" t="n">
        <f aca="false">Z328-AA328</f>
        <v>-6966.20602924647</v>
      </c>
      <c r="AB331" s="67" t="n">
        <f aca="false">AA328-AB328</f>
        <v>0</v>
      </c>
      <c r="AC331" s="67" t="n">
        <f aca="false">AB328-AC328</f>
        <v>0</v>
      </c>
      <c r="AD331" s="67" t="n">
        <f aca="false">AC328-AD328</f>
        <v>0</v>
      </c>
      <c r="AE331" s="67" t="n">
        <f aca="false">AD328-AE328</f>
        <v>0</v>
      </c>
      <c r="AF331" s="67" t="n">
        <f aca="false">AE328-AF328</f>
        <v>0</v>
      </c>
      <c r="AG331" s="67" t="n">
        <f aca="false">AF328-AG328</f>
        <v>0</v>
      </c>
      <c r="AH331" s="67" t="n">
        <f aca="false">AG328-AH328</f>
        <v>0</v>
      </c>
      <c r="AI331" s="67" t="n">
        <f aca="false">AH328-AI328</f>
        <v>0</v>
      </c>
      <c r="AJ331" s="67" t="n">
        <f aca="false">AI328-AJ328</f>
        <v>0</v>
      </c>
      <c r="AK331" s="67" t="n">
        <f aca="false">AJ328-AK328</f>
        <v>0</v>
      </c>
      <c r="AL331" s="67" t="n">
        <f aca="false">AK328-AL328</f>
        <v>0</v>
      </c>
    </row>
    <row r="332" customFormat="false" ht="15" hidden="false" customHeight="false" outlineLevel="0" collapsed="false">
      <c r="A332" s="6" t="s">
        <v>366</v>
      </c>
      <c r="C332" s="67" t="n">
        <f aca="false">-C329</f>
        <v>-9673.93811913544</v>
      </c>
      <c r="D332" s="67" t="n">
        <f aca="false">C329-D329</f>
        <v>-63.737336593671</v>
      </c>
      <c r="E332" s="67" t="n">
        <f aca="false">D329-E329</f>
        <v>-62.9724885545511</v>
      </c>
      <c r="F332" s="67" t="n">
        <f aca="false">E329-F329</f>
        <v>-62.2168186918916</v>
      </c>
      <c r="G332" s="67" t="n">
        <f aca="false">F329-G329</f>
        <v>-61.470216867594</v>
      </c>
      <c r="H332" s="67" t="n">
        <f aca="false">G329-H329</f>
        <v>-60.732574265181</v>
      </c>
      <c r="I332" s="67" t="n">
        <f aca="false">H329-I329</f>
        <v>-50.2922934411454</v>
      </c>
      <c r="J332" s="67" t="n">
        <f aca="false">I329-J329</f>
        <v>-45.3109988721444</v>
      </c>
      <c r="K332" s="67" t="n">
        <f aca="false">J329-K329</f>
        <v>-44.7672668856776</v>
      </c>
      <c r="L332" s="67" t="n">
        <f aca="false">K329-L329</f>
        <v>-44.2300596830482</v>
      </c>
      <c r="M332" s="67" t="n">
        <f aca="false">L329-M329</f>
        <v>-43.6992989668543</v>
      </c>
      <c r="N332" s="67" t="n">
        <f aca="false">M329-N329</f>
        <v>-43.1749073792507</v>
      </c>
      <c r="O332" s="67" t="n">
        <f aca="false">N329-O329</f>
        <v>-682.812404942511</v>
      </c>
      <c r="P332" s="67" t="n">
        <f aca="false">O329-P329</f>
        <v>-73.639502247237</v>
      </c>
      <c r="Q332" s="67" t="n">
        <f aca="false">P329-Q329</f>
        <v>-70.2177787913224</v>
      </c>
      <c r="R332" s="67" t="n">
        <f aca="false">Q329-R329</f>
        <v>-54.940523164727</v>
      </c>
      <c r="S332" s="67" t="n">
        <f aca="false">R329-S329</f>
        <v>-54.2812368867544</v>
      </c>
      <c r="T332" s="67" t="n">
        <f aca="false">S329-T329</f>
        <v>-53.6298620441121</v>
      </c>
      <c r="U332" s="67" t="n">
        <f aca="false">T329-U329</f>
        <v>-52.9863036995794</v>
      </c>
      <c r="V332" s="67" t="n">
        <f aca="false">U329-V329</f>
        <v>-52.3504680551887</v>
      </c>
      <c r="W332" s="67" t="n">
        <f aca="false">V329-W329</f>
        <v>-51.7222624385231</v>
      </c>
      <c r="X332" s="67" t="n">
        <f aca="false">W329-X329</f>
        <v>-28.2244447183948</v>
      </c>
      <c r="Y332" s="67" t="n">
        <f aca="false">X329-Y329</f>
        <v>0</v>
      </c>
      <c r="Z332" s="67" t="n">
        <f aca="false">Y329-Z329</f>
        <v>0</v>
      </c>
      <c r="AA332" s="67" t="n">
        <f aca="false">Z329-AA329</f>
        <v>-599.037378438023</v>
      </c>
      <c r="AB332" s="67" t="n">
        <f aca="false">AA329-AB329</f>
        <v>0</v>
      </c>
      <c r="AC332" s="67" t="n">
        <f aca="false">AB329-AC329</f>
        <v>0</v>
      </c>
      <c r="AD332" s="67" t="n">
        <f aca="false">AC329-AD329</f>
        <v>0</v>
      </c>
      <c r="AE332" s="67" t="n">
        <f aca="false">AD329-AE329</f>
        <v>0</v>
      </c>
      <c r="AF332" s="67" t="n">
        <f aca="false">AE329-AF329</f>
        <v>0</v>
      </c>
      <c r="AG332" s="67" t="n">
        <f aca="false">AF329-AG329</f>
        <v>0</v>
      </c>
      <c r="AH332" s="67" t="n">
        <f aca="false">AG329-AH329</f>
        <v>0</v>
      </c>
      <c r="AI332" s="67" t="n">
        <f aca="false">AH329-AI329</f>
        <v>0</v>
      </c>
      <c r="AJ332" s="67" t="n">
        <f aca="false">AI329-AJ329</f>
        <v>0</v>
      </c>
      <c r="AK332" s="67" t="n">
        <f aca="false">AJ329-AK329</f>
        <v>0</v>
      </c>
      <c r="AL332" s="67" t="n">
        <f aca="false">AK329-AL329</f>
        <v>0</v>
      </c>
    </row>
    <row r="333" customFormat="false" ht="15" hidden="false" customHeight="false" outlineLevel="0" collapsed="false">
      <c r="A333" s="6" t="s">
        <v>367</v>
      </c>
      <c r="C333" s="67" t="n">
        <f aca="false">C330</f>
        <v>20154.0377481988</v>
      </c>
      <c r="D333" s="67" t="n">
        <f aca="false">D330-C330</f>
        <v>132.786117903484</v>
      </c>
      <c r="E333" s="67" t="n">
        <f aca="false">E330-D330</f>
        <v>131.192684488648</v>
      </c>
      <c r="F333" s="67" t="n">
        <f aca="false">F330-E330</f>
        <v>129.618372274774</v>
      </c>
      <c r="G333" s="67" t="n">
        <f aca="false">G330-F330</f>
        <v>128.062951807486</v>
      </c>
      <c r="H333" s="67" t="n">
        <f aca="false">H330-G330</f>
        <v>126.526196385796</v>
      </c>
      <c r="I333" s="67" t="n">
        <f aca="false">I330-H330</f>
        <v>104.775611335721</v>
      </c>
      <c r="J333" s="67" t="n">
        <f aca="false">J330-I330</f>
        <v>94.3979143169636</v>
      </c>
      <c r="K333" s="67" t="n">
        <f aca="false">K330-J330</f>
        <v>93.2651393451633</v>
      </c>
      <c r="L333" s="67" t="n">
        <f aca="false">L330-K330</f>
        <v>92.1459576730158</v>
      </c>
      <c r="M333" s="67" t="n">
        <f aca="false">M330-L330</f>
        <v>91.0402061809473</v>
      </c>
      <c r="N333" s="67" t="n">
        <f aca="false">N330-M330</f>
        <v>89.9477237067695</v>
      </c>
      <c r="O333" s="67" t="n">
        <f aca="false">O330-N330</f>
        <v>1422.52584363024</v>
      </c>
      <c r="P333" s="67" t="n">
        <f aca="false">P330-O330</f>
        <v>153.415629681742</v>
      </c>
      <c r="Q333" s="67" t="n">
        <f aca="false">Q330-P330</f>
        <v>146.287039148592</v>
      </c>
      <c r="R333" s="67" t="n">
        <f aca="false">R330-Q330</f>
        <v>114.459423259847</v>
      </c>
      <c r="S333" s="67" t="n">
        <f aca="false">S330-R330</f>
        <v>113.08591018074</v>
      </c>
      <c r="T333" s="67" t="n">
        <f aca="false">T330-S330</f>
        <v>111.728879258564</v>
      </c>
      <c r="U333" s="67" t="n">
        <f aca="false">U330-T330</f>
        <v>110.388132707456</v>
      </c>
      <c r="V333" s="67" t="n">
        <f aca="false">V330-U330</f>
        <v>109.063475114981</v>
      </c>
      <c r="W333" s="67" t="n">
        <f aca="false">W330-V330</f>
        <v>107.754713413586</v>
      </c>
      <c r="X333" s="67" t="n">
        <f aca="false">X330-W330</f>
        <v>58.8009264966604</v>
      </c>
      <c r="Y333" s="67" t="n">
        <f aca="false">Y330-X330</f>
        <v>0</v>
      </c>
      <c r="Z333" s="67" t="n">
        <f aca="false">Z330-Y330</f>
        <v>0</v>
      </c>
      <c r="AA333" s="67" t="n">
        <f aca="false">AA330-Z330</f>
        <v>1247.99453841255</v>
      </c>
      <c r="AB333" s="67" t="n">
        <f aca="false">AB330-AA330</f>
        <v>0</v>
      </c>
      <c r="AC333" s="67" t="n">
        <f aca="false">AC330-AB330</f>
        <v>0</v>
      </c>
      <c r="AD333" s="67" t="n">
        <f aca="false">AD330-AC330</f>
        <v>0</v>
      </c>
      <c r="AE333" s="67" t="n">
        <f aca="false">AE330-AD330</f>
        <v>0</v>
      </c>
      <c r="AF333" s="67" t="n">
        <f aca="false">AF330-AE330</f>
        <v>0</v>
      </c>
      <c r="AG333" s="67" t="n">
        <f aca="false">AG330-AF330</f>
        <v>0</v>
      </c>
      <c r="AH333" s="67" t="n">
        <f aca="false">AH330-AG330</f>
        <v>0</v>
      </c>
      <c r="AI333" s="67" t="n">
        <f aca="false">AI330-AH330</f>
        <v>0</v>
      </c>
      <c r="AJ333" s="67" t="n">
        <f aca="false">AJ330-AI330</f>
        <v>0</v>
      </c>
      <c r="AK333" s="67" t="n">
        <f aca="false">AK330-AJ330</f>
        <v>0</v>
      </c>
      <c r="AL333" s="67" t="n">
        <f aca="false">AL330-AK330</f>
        <v>0</v>
      </c>
    </row>
    <row r="335" customFormat="false" ht="15.75" hidden="false" customHeight="true" outlineLevel="0" collapsed="false">
      <c r="A335" s="7" t="s">
        <v>443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customFormat="false" ht="15" hidden="false" customHeight="false" outlineLevel="0" collapsed="false">
      <c r="A336" s="4" t="s">
        <v>52</v>
      </c>
      <c r="C336" s="73" t="n">
        <f aca="false">C312-C317+C331+C332+C333</f>
        <v>-38030.1191996271</v>
      </c>
      <c r="D336" s="73" t="n">
        <f aca="false">D312-D317+D331+D332+D333</f>
        <v>43901.0814944944</v>
      </c>
      <c r="E336" s="73" t="n">
        <f aca="false">E312-E317+E331+E332+E333</f>
        <v>44787.9629512213</v>
      </c>
      <c r="F336" s="73" t="n">
        <f aca="false">F312-F317+F331+F332+F333</f>
        <v>45664.4610995718</v>
      </c>
      <c r="G336" s="73" t="n">
        <f aca="false">G312-G317+G331+G332+G333</f>
        <v>46530.7005392464</v>
      </c>
      <c r="H336" s="73" t="n">
        <f aca="false">H312-H317+H331+H332+H333</f>
        <v>47386.8043747493</v>
      </c>
      <c r="I336" s="73" t="n">
        <f aca="false">I312-I317+I331+I332+I333</f>
        <v>48115.9420159899</v>
      </c>
      <c r="J336" s="73" t="n">
        <f aca="false">J312-J317+J331+J332+J333</f>
        <v>48613.1011561688</v>
      </c>
      <c r="K336" s="73" t="n">
        <f aca="false">K312-K317+K331+K332+K333</f>
        <v>49027.5596048161</v>
      </c>
      <c r="L336" s="73" t="n">
        <f aca="false">L312-L317+L331+L332+L333</f>
        <v>49437.2826880886</v>
      </c>
      <c r="M336" s="73" t="n">
        <f aca="false">M312-M317+M331+M332+M333</f>
        <v>49842.3272303707</v>
      </c>
      <c r="N336" s="73" t="n">
        <f aca="false">N312-N317+N331+N332+N333</f>
        <v>50242.7493741545</v>
      </c>
      <c r="O336" s="73" t="n">
        <f aca="false">O312-O317+O331+O332+O333</f>
        <v>49361.2015008984</v>
      </c>
      <c r="P336" s="73" t="n">
        <f aca="false">P312-P317+P331+P332+P333</f>
        <v>55951.0810478314</v>
      </c>
      <c r="Q336" s="73" t="n">
        <f aca="false">Q312-Q317+Q331+Q332+Q333</f>
        <v>56943.446096489</v>
      </c>
      <c r="R336" s="73" t="n">
        <f aca="false">R312-R317+R331+R332+R333</f>
        <v>57705.7205802578</v>
      </c>
      <c r="S336" s="73" t="n">
        <f aca="false">S312-S317+S331+S332+S333</f>
        <v>58205.3023520414</v>
      </c>
      <c r="T336" s="73" t="n">
        <f aca="false">T312-T317+T331+T332+T333</f>
        <v>58699.1423953806</v>
      </c>
      <c r="U336" s="73" t="n">
        <f aca="false">U312-U317+U331+U332+U333</f>
        <v>59187.3096110167</v>
      </c>
      <c r="V336" s="73" t="n">
        <f aca="false">V312-V317+V331+V332+V333</f>
        <v>59669.8720728821</v>
      </c>
      <c r="W336" s="73" t="n">
        <f aca="false">W312-W317+W331+W332+W333</f>
        <v>60146.8970380221</v>
      </c>
      <c r="X336" s="73" t="n">
        <f aca="false">X312-X317+X331+X332+X333</f>
        <v>60556.4026515659</v>
      </c>
      <c r="Y336" s="73" t="n">
        <f aca="false">Y312-Y317+Y331+Y332+Y333</f>
        <v>60746.5842150908</v>
      </c>
      <c r="Z336" s="73" t="n">
        <f aca="false">Z312-Z317+Z331+Z332+Z333</f>
        <v>60765.2547103188</v>
      </c>
      <c r="AA336" s="73" t="n">
        <f aca="false">AA312-AA317+AA331+AA332+AA333</f>
        <v>59528.1938467107</v>
      </c>
      <c r="AB336" s="73" t="n">
        <f aca="false">AB312-AB317+AB331+AB332+AB333</f>
        <v>65864.6729956238</v>
      </c>
      <c r="AC336" s="73" t="n">
        <f aca="false">AC312-AC317+AC331+AC332+AC333</f>
        <v>65883.903275265</v>
      </c>
      <c r="AD336" s="73" t="n">
        <f aca="false">AD312-AD317+AD331+AD332+AD333</f>
        <v>65903.1335549062</v>
      </c>
      <c r="AE336" s="73" t="n">
        <f aca="false">AE312-AE317+AE331+AE332+AE333</f>
        <v>65922.3638345473</v>
      </c>
      <c r="AF336" s="73" t="n">
        <f aca="false">AF312-AF317+AF331+AF332+AF333</f>
        <v>65941.5941141885</v>
      </c>
      <c r="AG336" s="73" t="n">
        <f aca="false">AG312-AG317+AG331+AG332+AG333</f>
        <v>65960.8243938297</v>
      </c>
      <c r="AH336" s="73" t="n">
        <f aca="false">AH312-AH317+AH331+AH332+AH333</f>
        <v>65980.0546734709</v>
      </c>
      <c r="AI336" s="73" t="n">
        <f aca="false">AI312-AI317+AI331+AI332+AI333</f>
        <v>65999.284953112</v>
      </c>
      <c r="AJ336" s="73" t="n">
        <f aca="false">AJ312-AJ317+AJ331+AJ332+AJ333</f>
        <v>66018.5152327532</v>
      </c>
      <c r="AK336" s="73" t="n">
        <f aca="false">AK312-AK317+AK331+AK332+AK333</f>
        <v>66037.7455123944</v>
      </c>
      <c r="AL336" s="73" t="n">
        <f aca="false">AL312-AL317+AL331+AL332+AL333</f>
        <v>66056.9757920355</v>
      </c>
    </row>
    <row r="337" customFormat="false" ht="15" hidden="false" customHeight="false" outlineLevel="0" collapsed="false">
      <c r="A337" s="6" t="s">
        <v>444</v>
      </c>
      <c r="C337" s="67" t="n">
        <f aca="false">-C315</f>
        <v>-62959.9028941263</v>
      </c>
      <c r="D337" s="67" t="n">
        <f aca="false">-D315</f>
        <v>-2980.12741540522</v>
      </c>
      <c r="E337" s="67" t="n">
        <f aca="false">-E315</f>
        <v>-3000.10924242878</v>
      </c>
      <c r="F337" s="67" t="n">
        <f aca="false">-F315</f>
        <v>-3019.85128752806</v>
      </c>
      <c r="G337" s="67" t="n">
        <f aca="false">-G315</f>
        <v>-3039.35642808614</v>
      </c>
      <c r="H337" s="67" t="n">
        <f aca="false">-H315</f>
        <v>-3058.62750695753</v>
      </c>
      <c r="I337" s="67" t="n">
        <f aca="false">-I315</f>
        <v>-3071.84066503324</v>
      </c>
      <c r="J337" s="67" t="n">
        <f aca="false">-J315</f>
        <v>-3082.26869491047</v>
      </c>
      <c r="K337" s="67" t="n">
        <f aca="false">-K315</f>
        <v>-3092.57158842918</v>
      </c>
      <c r="L337" s="67" t="n">
        <f aca="false">-L315</f>
        <v>-3102.75084722566</v>
      </c>
      <c r="M337" s="67" t="n">
        <f aca="false">-M315</f>
        <v>-3112.80795491658</v>
      </c>
      <c r="N337" s="67" t="n">
        <f aca="false">-N315</f>
        <v>-3122.74437731522</v>
      </c>
      <c r="O337" s="67" t="n">
        <f aca="false">-O315</f>
        <v>-3346.12327263082</v>
      </c>
      <c r="P337" s="67" t="n">
        <f aca="false">-P315</f>
        <v>-3369.48985428863</v>
      </c>
      <c r="Q337" s="67" t="n">
        <f aca="false">-Q315</f>
        <v>-3391.05326640202</v>
      </c>
      <c r="R337" s="67" t="n">
        <f aca="false">-R315</f>
        <v>-3403.69746828001</v>
      </c>
      <c r="S337" s="67" t="n">
        <f aca="false">-S315</f>
        <v>-3416.18993973546</v>
      </c>
      <c r="T337" s="67" t="n">
        <f aca="false">-T315</f>
        <v>-3428.53250153344</v>
      </c>
      <c r="U337" s="67" t="n">
        <f aca="false">-U315</f>
        <v>-3440.72695258985</v>
      </c>
      <c r="V337" s="67" t="n">
        <f aca="false">-V315</f>
        <v>-3452.77507023358</v>
      </c>
      <c r="W337" s="67" t="n">
        <f aca="false">-W315</f>
        <v>-3464.67861046559</v>
      </c>
      <c r="X337" s="67" t="n">
        <f aca="false">-X315</f>
        <v>-3471.174281718</v>
      </c>
      <c r="Y337" s="67" t="n">
        <f aca="false">-Y315</f>
        <v>-3471.174281718</v>
      </c>
      <c r="Z337" s="67" t="n">
        <f aca="false">-Z315</f>
        <v>-3471.174281718</v>
      </c>
      <c r="AA337" s="67" t="n">
        <f aca="false">-AA315</f>
        <v>-3695.08804694378</v>
      </c>
      <c r="AB337" s="67" t="n">
        <f aca="false">-AB315</f>
        <v>-3695.08804694378</v>
      </c>
      <c r="AC337" s="67" t="n">
        <f aca="false">-AC315</f>
        <v>-3695.08804694378</v>
      </c>
      <c r="AD337" s="67" t="n">
        <f aca="false">-AD315</f>
        <v>-3695.08804694378</v>
      </c>
      <c r="AE337" s="67" t="n">
        <f aca="false">-AE315</f>
        <v>-3695.08804694378</v>
      </c>
      <c r="AF337" s="67" t="n">
        <f aca="false">-AF315</f>
        <v>-3695.08804694378</v>
      </c>
      <c r="AG337" s="67" t="n">
        <f aca="false">-AG315</f>
        <v>-3695.08804694378</v>
      </c>
      <c r="AH337" s="67" t="n">
        <f aca="false">-AH315</f>
        <v>-3695.08804694378</v>
      </c>
      <c r="AI337" s="67" t="n">
        <f aca="false">-AI315</f>
        <v>-3695.08804694378</v>
      </c>
      <c r="AJ337" s="67" t="n">
        <f aca="false">-AJ315</f>
        <v>-3695.08804694378</v>
      </c>
      <c r="AK337" s="67" t="n">
        <f aca="false">-AK315</f>
        <v>-3695.08804694378</v>
      </c>
      <c r="AL337" s="67" t="n">
        <f aca="false">-AL315</f>
        <v>-3695.08804694378</v>
      </c>
    </row>
    <row r="338" customFormat="false" ht="15" hidden="false" customHeight="false" outlineLevel="0" collapsed="false">
      <c r="A338" s="6" t="s">
        <v>63</v>
      </c>
      <c r="C338" s="67" t="n">
        <f aca="false">IF(C$256=1,Inputs!$D$83,0)</f>
        <v>100000</v>
      </c>
      <c r="D338" s="67" t="n">
        <f aca="false">IF(D$256=1,Inputs!$D$83,0)</f>
        <v>0</v>
      </c>
      <c r="E338" s="67" t="n">
        <f aca="false">IF(E$256=1,Inputs!$D$83,0)</f>
        <v>0</v>
      </c>
      <c r="F338" s="67" t="n">
        <f aca="false">IF(F$256=1,Inputs!$D$83,0)</f>
        <v>0</v>
      </c>
      <c r="G338" s="67" t="n">
        <f aca="false">IF(G$256=1,Inputs!$D$83,0)</f>
        <v>0</v>
      </c>
      <c r="H338" s="67" t="n">
        <f aca="false">IF(H$256=1,Inputs!$D$83,0)</f>
        <v>0</v>
      </c>
      <c r="I338" s="67" t="n">
        <f aca="false">IF(I$256=1,Inputs!$D$83,0)</f>
        <v>0</v>
      </c>
      <c r="J338" s="67" t="n">
        <f aca="false">IF(J$256=1,Inputs!$D$83,0)</f>
        <v>0</v>
      </c>
      <c r="K338" s="67" t="n">
        <f aca="false">IF(K$256=1,Inputs!$D$83,0)</f>
        <v>0</v>
      </c>
      <c r="L338" s="67" t="n">
        <f aca="false">IF(L$256=1,Inputs!$D$83,0)</f>
        <v>0</v>
      </c>
      <c r="M338" s="67" t="n">
        <f aca="false">IF(M$256=1,Inputs!$D$83,0)</f>
        <v>0</v>
      </c>
      <c r="N338" s="67" t="n">
        <f aca="false">IF(N$256=1,Inputs!$D$83,0)</f>
        <v>0</v>
      </c>
      <c r="O338" s="67" t="n">
        <f aca="false">IF(O$256=1,Inputs!$D$83,0)</f>
        <v>0</v>
      </c>
      <c r="P338" s="67" t="n">
        <f aca="false">IF(P$256=1,Inputs!$D$83,0)</f>
        <v>0</v>
      </c>
      <c r="Q338" s="67" t="n">
        <f aca="false">IF(Q$256=1,Inputs!$D$83,0)</f>
        <v>0</v>
      </c>
      <c r="R338" s="67" t="n">
        <f aca="false">IF(R$256=1,Inputs!$D$83,0)</f>
        <v>0</v>
      </c>
      <c r="S338" s="67" t="n">
        <f aca="false">IF(S$256=1,Inputs!$D$83,0)</f>
        <v>0</v>
      </c>
      <c r="T338" s="67" t="n">
        <f aca="false">IF(T$256=1,Inputs!$D$83,0)</f>
        <v>0</v>
      </c>
      <c r="U338" s="67" t="n">
        <f aca="false">IF(U$256=1,Inputs!$D$83,0)</f>
        <v>0</v>
      </c>
      <c r="V338" s="67" t="n">
        <f aca="false">IF(V$256=1,Inputs!$D$83,0)</f>
        <v>0</v>
      </c>
      <c r="W338" s="67" t="n">
        <f aca="false">IF(W$256=1,Inputs!$D$83,0)</f>
        <v>0</v>
      </c>
      <c r="X338" s="67" t="n">
        <f aca="false">IF(X$256=1,Inputs!$D$83,0)</f>
        <v>0</v>
      </c>
      <c r="Y338" s="67" t="n">
        <f aca="false">IF(Y$256=1,Inputs!$D$83,0)</f>
        <v>0</v>
      </c>
      <c r="Z338" s="67" t="n">
        <f aca="false">IF(Z$256=1,Inputs!$D$83,0)</f>
        <v>0</v>
      </c>
      <c r="AA338" s="67" t="n">
        <f aca="false">IF(AA$256=1,Inputs!$D$83,0)</f>
        <v>0</v>
      </c>
      <c r="AB338" s="67" t="n">
        <f aca="false">IF(AB$256=1,Inputs!$D$83,0)</f>
        <v>0</v>
      </c>
      <c r="AC338" s="67" t="n">
        <f aca="false">IF(AC$256=1,Inputs!$D$83,0)</f>
        <v>0</v>
      </c>
      <c r="AD338" s="67" t="n">
        <f aca="false">IF(AD$256=1,Inputs!$D$83,0)</f>
        <v>0</v>
      </c>
      <c r="AE338" s="67" t="n">
        <f aca="false">IF(AE$256=1,Inputs!$D$83,0)</f>
        <v>0</v>
      </c>
      <c r="AF338" s="67" t="n">
        <f aca="false">IF(AF$256=1,Inputs!$D$83,0)</f>
        <v>0</v>
      </c>
      <c r="AG338" s="67" t="n">
        <f aca="false">IF(AG$256=1,Inputs!$D$83,0)</f>
        <v>0</v>
      </c>
      <c r="AH338" s="67" t="n">
        <f aca="false">IF(AH$256=1,Inputs!$D$83,0)</f>
        <v>0</v>
      </c>
      <c r="AI338" s="67" t="n">
        <f aca="false">IF(AI$256=1,Inputs!$D$83,0)</f>
        <v>0</v>
      </c>
      <c r="AJ338" s="67" t="n">
        <f aca="false">IF(AJ$256=1,Inputs!$D$83,0)</f>
        <v>0</v>
      </c>
      <c r="AK338" s="67" t="n">
        <f aca="false">IF(AK$256=1,Inputs!$D$83,0)</f>
        <v>0</v>
      </c>
      <c r="AL338" s="67" t="n">
        <f aca="false">IF(AL$256=1,Inputs!$D$83,0)</f>
        <v>0</v>
      </c>
    </row>
    <row r="339" customFormat="false" ht="15" hidden="false" customHeight="false" outlineLevel="0" collapsed="false">
      <c r="A339" s="6" t="s">
        <v>54</v>
      </c>
      <c r="C339" s="67" t="n">
        <f aca="false">C338+C323+C324</f>
        <v>250000</v>
      </c>
      <c r="D339" s="67" t="n">
        <f aca="false">D338+D323+D324</f>
        <v>-1785.71428571429</v>
      </c>
      <c r="E339" s="67" t="n">
        <f aca="false">E338+E323+E324</f>
        <v>-1785.71428571429</v>
      </c>
      <c r="F339" s="67" t="n">
        <f aca="false">F338+F323+F324</f>
        <v>-1785.71428571429</v>
      </c>
      <c r="G339" s="67" t="n">
        <f aca="false">G338+G323+G324</f>
        <v>-1785.71428571429</v>
      </c>
      <c r="H339" s="67" t="n">
        <f aca="false">H338+H323+H324</f>
        <v>-1785.71428571429</v>
      </c>
      <c r="I339" s="67" t="n">
        <f aca="false">I338+I323+I324</f>
        <v>-1785.71428571429</v>
      </c>
      <c r="J339" s="67" t="n">
        <f aca="false">J338+J323+J324</f>
        <v>-1785.71428571429</v>
      </c>
      <c r="K339" s="67" t="n">
        <f aca="false">K338+K323+K324</f>
        <v>-1785.71428571429</v>
      </c>
      <c r="L339" s="67" t="n">
        <f aca="false">L338+L323+L324</f>
        <v>-1785.71428571429</v>
      </c>
      <c r="M339" s="67" t="n">
        <f aca="false">M338+M323+M324</f>
        <v>-1785.71428571429</v>
      </c>
      <c r="N339" s="67" t="n">
        <f aca="false">N338+N323+N324</f>
        <v>-1785.71428571429</v>
      </c>
      <c r="O339" s="67" t="n">
        <f aca="false">O338+O323+O324</f>
        <v>-1785.71428571429</v>
      </c>
      <c r="P339" s="67" t="n">
        <f aca="false">P338+P323+P324</f>
        <v>-1785.71428571429</v>
      </c>
      <c r="Q339" s="67" t="n">
        <f aca="false">Q338+Q323+Q324</f>
        <v>-1785.71428571429</v>
      </c>
      <c r="R339" s="67" t="n">
        <f aca="false">R338+R323+R324</f>
        <v>-1785.71428571429</v>
      </c>
      <c r="S339" s="67" t="n">
        <f aca="false">S338+S323+S324</f>
        <v>-1785.71428571429</v>
      </c>
      <c r="T339" s="67" t="n">
        <f aca="false">T338+T323+T324</f>
        <v>-1785.71428571429</v>
      </c>
      <c r="U339" s="67" t="n">
        <f aca="false">U338+U323+U324</f>
        <v>-1785.71428571429</v>
      </c>
      <c r="V339" s="67" t="n">
        <f aca="false">V338+V323+V324</f>
        <v>-1785.71428571429</v>
      </c>
      <c r="W339" s="67" t="n">
        <f aca="false">W338+W323+W324</f>
        <v>-1785.71428571429</v>
      </c>
      <c r="X339" s="67" t="n">
        <f aca="false">X338+X323+X324</f>
        <v>-1785.71428571429</v>
      </c>
      <c r="Y339" s="67" t="n">
        <f aca="false">Y338+Y323+Y324</f>
        <v>-1785.71428571429</v>
      </c>
      <c r="Z339" s="67" t="n">
        <f aca="false">Z338+Z323+Z324</f>
        <v>-1785.71428571429</v>
      </c>
      <c r="AA339" s="67" t="n">
        <f aca="false">AA338+AA323+AA324</f>
        <v>-1785.71428571429</v>
      </c>
      <c r="AB339" s="67" t="n">
        <f aca="false">AB338+AB323+AB324</f>
        <v>-1785.71428571429</v>
      </c>
      <c r="AC339" s="67" t="n">
        <f aca="false">AC338+AC323+AC324</f>
        <v>-1785.71428571429</v>
      </c>
      <c r="AD339" s="67" t="n">
        <f aca="false">AD338+AD323+AD324</f>
        <v>-1785.71428571429</v>
      </c>
      <c r="AE339" s="67" t="n">
        <f aca="false">AE338+AE323+AE324</f>
        <v>-1785.71428571429</v>
      </c>
      <c r="AF339" s="67" t="n">
        <f aca="false">AF338+AF323+AF324</f>
        <v>-1785.71428571429</v>
      </c>
      <c r="AG339" s="67" t="n">
        <f aca="false">AG338+AG323+AG324</f>
        <v>-1785.71428571429</v>
      </c>
      <c r="AH339" s="67" t="n">
        <f aca="false">AH338+AH323+AH324</f>
        <v>-1785.71428571429</v>
      </c>
      <c r="AI339" s="67" t="n">
        <f aca="false">AI338+AI323+AI324</f>
        <v>-1785.71428571429</v>
      </c>
      <c r="AJ339" s="67" t="n">
        <f aca="false">AJ338+AJ323+AJ324</f>
        <v>-1785.71428571429</v>
      </c>
      <c r="AK339" s="67" t="n">
        <f aca="false">AK338+AK323+AK324</f>
        <v>-1785.71428571429</v>
      </c>
      <c r="AL339" s="67" t="n">
        <f aca="false">AL338+AL323+AL324</f>
        <v>-1785.71428571429</v>
      </c>
    </row>
    <row r="340" customFormat="false" ht="15" hidden="false" customHeight="false" outlineLevel="0" collapsed="false">
      <c r="A340" s="111" t="s">
        <v>445</v>
      </c>
      <c r="C340" s="68" t="n">
        <f aca="false">C336+C337+C339</f>
        <v>149009.977906247</v>
      </c>
      <c r="D340" s="68" t="n">
        <f aca="false">D336+D337+D339</f>
        <v>39135.2397933749</v>
      </c>
      <c r="E340" s="68" t="n">
        <f aca="false">E336+E337+E339</f>
        <v>40002.1394230782</v>
      </c>
      <c r="F340" s="68" t="n">
        <f aca="false">F336+F337+F339</f>
        <v>40858.8955263295</v>
      </c>
      <c r="G340" s="68" t="n">
        <f aca="false">G336+G337+G339</f>
        <v>41705.629825446</v>
      </c>
      <c r="H340" s="68" t="n">
        <f aca="false">H336+H337+H339</f>
        <v>42542.4625820774</v>
      </c>
      <c r="I340" s="68" t="n">
        <f aca="false">I336+I337+I339</f>
        <v>43258.3870652424</v>
      </c>
      <c r="J340" s="68" t="n">
        <f aca="false">J336+J337+J339</f>
        <v>43745.118175544</v>
      </c>
      <c r="K340" s="68" t="n">
        <f aca="false">K336+K337+K339</f>
        <v>44149.2737306726</v>
      </c>
      <c r="L340" s="68" t="n">
        <f aca="false">L336+L337+L339</f>
        <v>44548.8175551487</v>
      </c>
      <c r="M340" s="68" t="n">
        <f aca="false">M336+M337+M339</f>
        <v>44943.8049897399</v>
      </c>
      <c r="N340" s="68" t="n">
        <f aca="false">N336+N337+N339</f>
        <v>45334.290711125</v>
      </c>
      <c r="O340" s="68" t="n">
        <f aca="false">O336+O337+O339</f>
        <v>44229.3639425534</v>
      </c>
      <c r="P340" s="68" t="n">
        <f aca="false">P336+P337+P339</f>
        <v>50795.8769078285</v>
      </c>
      <c r="Q340" s="68" t="n">
        <f aca="false">Q336+Q337+Q339</f>
        <v>51766.6785443727</v>
      </c>
      <c r="R340" s="68" t="n">
        <f aca="false">R336+R337+R339</f>
        <v>52516.3088262635</v>
      </c>
      <c r="S340" s="68" t="n">
        <f aca="false">S336+S337+S339</f>
        <v>53003.3981265916</v>
      </c>
      <c r="T340" s="68" t="n">
        <f aca="false">T336+T337+T339</f>
        <v>53484.8956081328</v>
      </c>
      <c r="U340" s="68" t="n">
        <f aca="false">U336+U337+U339</f>
        <v>53960.8683727126</v>
      </c>
      <c r="V340" s="68" t="n">
        <f aca="false">V336+V337+V339</f>
        <v>54431.3827169342</v>
      </c>
      <c r="W340" s="68" t="n">
        <f aca="false">W336+W337+W339</f>
        <v>54896.5041418423</v>
      </c>
      <c r="X340" s="68" t="n">
        <f aca="false">X336+X337+X339</f>
        <v>55299.5140841337</v>
      </c>
      <c r="Y340" s="68" t="n">
        <f aca="false">Y336+Y337+Y339</f>
        <v>55489.6956476585</v>
      </c>
      <c r="Z340" s="68" t="n">
        <f aca="false">Z336+Z337+Z339</f>
        <v>55508.3661428865</v>
      </c>
      <c r="AA340" s="68" t="n">
        <f aca="false">AA336+AA337+AA339</f>
        <v>54047.3915140526</v>
      </c>
      <c r="AB340" s="68" t="n">
        <f aca="false">AB336+AB337+AB339</f>
        <v>60383.8706629658</v>
      </c>
      <c r="AC340" s="68" t="n">
        <f aca="false">AC336+AC337+AC339</f>
        <v>60403.100942607</v>
      </c>
      <c r="AD340" s="68" t="n">
        <f aca="false">AD336+AD337+AD339</f>
        <v>60422.3312222481</v>
      </c>
      <c r="AE340" s="68" t="n">
        <f aca="false">AE336+AE337+AE339</f>
        <v>60441.5615018893</v>
      </c>
      <c r="AF340" s="68" t="n">
        <f aca="false">AF336+AF337+AF339</f>
        <v>60460.7917815305</v>
      </c>
      <c r="AG340" s="68" t="n">
        <f aca="false">AG336+AG337+AG339</f>
        <v>60480.0220611716</v>
      </c>
      <c r="AH340" s="68" t="n">
        <f aca="false">AH336+AH337+AH339</f>
        <v>60499.2523408128</v>
      </c>
      <c r="AI340" s="68" t="n">
        <f aca="false">AI336+AI337+AI339</f>
        <v>60518.4826204539</v>
      </c>
      <c r="AJ340" s="68" t="n">
        <f aca="false">AJ336+AJ337+AJ339</f>
        <v>60537.7129000952</v>
      </c>
      <c r="AK340" s="68" t="n">
        <f aca="false">AK336+AK337+AK339</f>
        <v>60556.9431797363</v>
      </c>
      <c r="AL340" s="68" t="n">
        <f aca="false">AL336+AL337+AL339</f>
        <v>60576.1734593774</v>
      </c>
    </row>
    <row r="341" customFormat="false" ht="15" hidden="false" customHeight="false" outlineLevel="0" collapsed="false">
      <c r="A341" s="6" t="s">
        <v>368</v>
      </c>
      <c r="C341" s="67" t="n">
        <f aca="false">0</f>
        <v>0</v>
      </c>
      <c r="D341" s="67" t="n">
        <f aca="false">C342</f>
        <v>149009.977906247</v>
      </c>
      <c r="E341" s="67" t="n">
        <f aca="false">D342</f>
        <v>188145.217699621</v>
      </c>
      <c r="F341" s="67" t="n">
        <f aca="false">E342</f>
        <v>228147.3571227</v>
      </c>
      <c r="G341" s="67" t="n">
        <f aca="false">F342</f>
        <v>269006.252649029</v>
      </c>
      <c r="H341" s="67" t="n">
        <f aca="false">G342</f>
        <v>310711.882474475</v>
      </c>
      <c r="I341" s="67" t="n">
        <f aca="false">H342</f>
        <v>353254.345056553</v>
      </c>
      <c r="J341" s="67" t="n">
        <f aca="false">I342</f>
        <v>396512.732121795</v>
      </c>
      <c r="K341" s="67" t="n">
        <f aca="false">J342</f>
        <v>440257.850297339</v>
      </c>
      <c r="L341" s="67" t="n">
        <f aca="false">K342</f>
        <v>484407.124028012</v>
      </c>
      <c r="M341" s="67" t="n">
        <f aca="false">L342</f>
        <v>528955.94158316</v>
      </c>
      <c r="N341" s="67" t="n">
        <f aca="false">M342</f>
        <v>573899.7465729</v>
      </c>
      <c r="O341" s="67" t="n">
        <f aca="false">N342</f>
        <v>619234.037284025</v>
      </c>
      <c r="P341" s="67" t="n">
        <f aca="false">O342</f>
        <v>663463.401226579</v>
      </c>
      <c r="Q341" s="67" t="n">
        <f aca="false">P342</f>
        <v>714259.278134407</v>
      </c>
      <c r="R341" s="67" t="n">
        <f aca="false">Q342</f>
        <v>766025.95667878</v>
      </c>
      <c r="S341" s="67" t="n">
        <f aca="false">R342</f>
        <v>818542.265505043</v>
      </c>
      <c r="T341" s="67" t="n">
        <f aca="false">S342</f>
        <v>871545.663631635</v>
      </c>
      <c r="U341" s="67" t="n">
        <f aca="false">T342</f>
        <v>925030.559239768</v>
      </c>
      <c r="V341" s="67" t="n">
        <f aca="false">U342</f>
        <v>978991.42761248</v>
      </c>
      <c r="W341" s="67" t="n">
        <f aca="false">V342</f>
        <v>1033422.81032941</v>
      </c>
      <c r="X341" s="67" t="n">
        <f aca="false">W342</f>
        <v>1088319.31447126</v>
      </c>
      <c r="Y341" s="67" t="n">
        <f aca="false">X342</f>
        <v>1143618.82855539</v>
      </c>
      <c r="Z341" s="67" t="n">
        <f aca="false">Y342</f>
        <v>1199108.52420305</v>
      </c>
      <c r="AA341" s="67" t="n">
        <f aca="false">Z342</f>
        <v>1254616.89034594</v>
      </c>
      <c r="AB341" s="67" t="n">
        <f aca="false">AA342</f>
        <v>1308664.28185999</v>
      </c>
      <c r="AC341" s="67" t="n">
        <f aca="false">AB342</f>
        <v>1369048.15252295</v>
      </c>
      <c r="AD341" s="67" t="n">
        <f aca="false">AC342</f>
        <v>1429451.25346556</v>
      </c>
      <c r="AE341" s="67" t="n">
        <f aca="false">AD342</f>
        <v>1489873.58468781</v>
      </c>
      <c r="AF341" s="67" t="n">
        <f aca="false">AE342</f>
        <v>1550315.1461897</v>
      </c>
      <c r="AG341" s="67" t="n">
        <f aca="false">AF342</f>
        <v>1610775.93797123</v>
      </c>
      <c r="AH341" s="67" t="n">
        <f aca="false">AG342</f>
        <v>1671255.9600324</v>
      </c>
      <c r="AI341" s="67" t="n">
        <f aca="false">AH342</f>
        <v>1731755.21237321</v>
      </c>
      <c r="AJ341" s="67" t="n">
        <f aca="false">AI342</f>
        <v>1792273.69499367</v>
      </c>
      <c r="AK341" s="67" t="n">
        <f aca="false">AJ342</f>
        <v>1852811.40789376</v>
      </c>
      <c r="AL341" s="67" t="n">
        <f aca="false">AK342</f>
        <v>1913368.3510735</v>
      </c>
    </row>
    <row r="342" customFormat="false" ht="15" hidden="false" customHeight="false" outlineLevel="0" collapsed="false">
      <c r="A342" s="111" t="s">
        <v>86</v>
      </c>
      <c r="C342" s="68" t="n">
        <f aca="false">C341+C340</f>
        <v>149009.977906247</v>
      </c>
      <c r="D342" s="68" t="n">
        <f aca="false">D341+D340</f>
        <v>188145.217699621</v>
      </c>
      <c r="E342" s="68" t="n">
        <f aca="false">E341+E340</f>
        <v>228147.3571227</v>
      </c>
      <c r="F342" s="68" t="n">
        <f aca="false">F341+F340</f>
        <v>269006.252649029</v>
      </c>
      <c r="G342" s="68" t="n">
        <f aca="false">G341+G340</f>
        <v>310711.882474475</v>
      </c>
      <c r="H342" s="68" t="n">
        <f aca="false">H341+H340</f>
        <v>353254.345056553</v>
      </c>
      <c r="I342" s="68" t="n">
        <f aca="false">I341+I340</f>
        <v>396512.732121795</v>
      </c>
      <c r="J342" s="68" t="n">
        <f aca="false">J341+J340</f>
        <v>440257.850297339</v>
      </c>
      <c r="K342" s="68" t="n">
        <f aca="false">K341+K340</f>
        <v>484407.124028012</v>
      </c>
      <c r="L342" s="68" t="n">
        <f aca="false">L341+L340</f>
        <v>528955.94158316</v>
      </c>
      <c r="M342" s="68" t="n">
        <f aca="false">M341+M340</f>
        <v>573899.7465729</v>
      </c>
      <c r="N342" s="68" t="n">
        <f aca="false">N341+N340</f>
        <v>619234.037284025</v>
      </c>
      <c r="O342" s="68" t="n">
        <f aca="false">O341+O340</f>
        <v>663463.401226579</v>
      </c>
      <c r="P342" s="68" t="n">
        <f aca="false">P341+P340</f>
        <v>714259.278134407</v>
      </c>
      <c r="Q342" s="68" t="n">
        <f aca="false">Q341+Q340</f>
        <v>766025.95667878</v>
      </c>
      <c r="R342" s="68" t="n">
        <f aca="false">R341+R340</f>
        <v>818542.265505043</v>
      </c>
      <c r="S342" s="68" t="n">
        <f aca="false">S341+S340</f>
        <v>871545.663631635</v>
      </c>
      <c r="T342" s="68" t="n">
        <f aca="false">T341+T340</f>
        <v>925030.559239768</v>
      </c>
      <c r="U342" s="68" t="n">
        <f aca="false">U341+U340</f>
        <v>978991.42761248</v>
      </c>
      <c r="V342" s="68" t="n">
        <f aca="false">V341+V340</f>
        <v>1033422.81032941</v>
      </c>
      <c r="W342" s="68" t="n">
        <f aca="false">W341+W340</f>
        <v>1088319.31447126</v>
      </c>
      <c r="X342" s="68" t="n">
        <f aca="false">X341+X340</f>
        <v>1143618.82855539</v>
      </c>
      <c r="Y342" s="68" t="n">
        <f aca="false">Y341+Y340</f>
        <v>1199108.52420305</v>
      </c>
      <c r="Z342" s="68" t="n">
        <f aca="false">Z341+Z340</f>
        <v>1254616.89034594</v>
      </c>
      <c r="AA342" s="68" t="n">
        <f aca="false">AA341+AA340</f>
        <v>1308664.28185999</v>
      </c>
      <c r="AB342" s="68" t="n">
        <f aca="false">AB341+AB340</f>
        <v>1369048.15252295</v>
      </c>
      <c r="AC342" s="68" t="n">
        <f aca="false">AC341+AC340</f>
        <v>1429451.25346556</v>
      </c>
      <c r="AD342" s="68" t="n">
        <f aca="false">AD341+AD340</f>
        <v>1489873.58468781</v>
      </c>
      <c r="AE342" s="68" t="n">
        <f aca="false">AE341+AE340</f>
        <v>1550315.1461897</v>
      </c>
      <c r="AF342" s="68" t="n">
        <f aca="false">AF341+AF340</f>
        <v>1610775.93797123</v>
      </c>
      <c r="AG342" s="68" t="n">
        <f aca="false">AG341+AG340</f>
        <v>1671255.9600324</v>
      </c>
      <c r="AH342" s="68" t="n">
        <f aca="false">AH341+AH340</f>
        <v>1731755.21237321</v>
      </c>
      <c r="AI342" s="68" t="n">
        <f aca="false">AI341+AI340</f>
        <v>1792273.69499367</v>
      </c>
      <c r="AJ342" s="68" t="n">
        <f aca="false">AJ341+AJ340</f>
        <v>1852811.40789376</v>
      </c>
      <c r="AK342" s="68" t="n">
        <f aca="false">AK341+AK340</f>
        <v>1913368.3510735</v>
      </c>
      <c r="AL342" s="68" t="n">
        <f aca="false">AL341+AL340</f>
        <v>1973944.52453288</v>
      </c>
    </row>
    <row r="343" customFormat="false" ht="15" hidden="false" customHeight="false" outlineLevel="0" collapsed="false">
      <c r="A343" s="119" t="s">
        <v>446</v>
      </c>
      <c r="C343" s="117" t="n">
        <f aca="false">IF(C303&gt;0,1,0)</f>
        <v>1</v>
      </c>
      <c r="D343" s="117" t="n">
        <f aca="false">IF(D303&gt;0,1,0)</f>
        <v>1</v>
      </c>
      <c r="E343" s="117" t="n">
        <f aca="false">IF(E303&gt;0,1,0)</f>
        <v>1</v>
      </c>
      <c r="F343" s="117" t="n">
        <f aca="false">IF(F303&gt;0,1,0)</f>
        <v>1</v>
      </c>
      <c r="G343" s="117" t="n">
        <f aca="false">IF(G303&gt;0,1,0)</f>
        <v>1</v>
      </c>
      <c r="H343" s="117" t="n">
        <f aca="false">IF(H303&gt;0,1,0)</f>
        <v>1</v>
      </c>
      <c r="I343" s="117" t="n">
        <f aca="false">IF(I303&gt;0,1,0)</f>
        <v>1</v>
      </c>
      <c r="J343" s="117" t="n">
        <f aca="false">IF(J303&gt;0,1,0)</f>
        <v>1</v>
      </c>
      <c r="K343" s="117" t="n">
        <f aca="false">IF(K303&gt;0,1,0)</f>
        <v>1</v>
      </c>
      <c r="L343" s="117" t="n">
        <f aca="false">IF(L303&gt;0,1,0)</f>
        <v>1</v>
      </c>
      <c r="M343" s="117" t="n">
        <f aca="false">IF(M303&gt;0,1,0)</f>
        <v>1</v>
      </c>
      <c r="N343" s="117" t="n">
        <f aca="false">IF(N303&gt;0,1,0)</f>
        <v>1</v>
      </c>
      <c r="O343" s="117" t="n">
        <f aca="false">IF(O303&gt;0,1,0)</f>
        <v>1</v>
      </c>
      <c r="P343" s="117" t="n">
        <f aca="false">IF(P303&gt;0,1,0)</f>
        <v>1</v>
      </c>
      <c r="Q343" s="117" t="n">
        <f aca="false">IF(Q303&gt;0,1,0)</f>
        <v>1</v>
      </c>
      <c r="R343" s="117" t="n">
        <f aca="false">IF(R303&gt;0,1,0)</f>
        <v>1</v>
      </c>
      <c r="S343" s="117" t="n">
        <f aca="false">IF(S303&gt;0,1,0)</f>
        <v>1</v>
      </c>
      <c r="T343" s="117" t="n">
        <f aca="false">IF(T303&gt;0,1,0)</f>
        <v>1</v>
      </c>
      <c r="U343" s="117" t="n">
        <f aca="false">IF(U303&gt;0,1,0)</f>
        <v>1</v>
      </c>
      <c r="V343" s="117" t="n">
        <f aca="false">IF(V303&gt;0,1,0)</f>
        <v>1</v>
      </c>
      <c r="W343" s="117" t="n">
        <f aca="false">IF(W303&gt;0,1,0)</f>
        <v>1</v>
      </c>
      <c r="X343" s="117" t="n">
        <f aca="false">IF(X303&gt;0,1,0)</f>
        <v>1</v>
      </c>
      <c r="Y343" s="117" t="n">
        <f aca="false">IF(Y303&gt;0,1,0)</f>
        <v>1</v>
      </c>
      <c r="Z343" s="117" t="n">
        <f aca="false">IF(Z303&gt;0,1,0)</f>
        <v>1</v>
      </c>
      <c r="AA343" s="117" t="n">
        <f aca="false">IF(AA303&gt;0,1,0)</f>
        <v>1</v>
      </c>
      <c r="AB343" s="117" t="n">
        <f aca="false">IF(AB303&gt;0,1,0)</f>
        <v>1</v>
      </c>
      <c r="AC343" s="117" t="n">
        <f aca="false">IF(AC303&gt;0,1,0)</f>
        <v>1</v>
      </c>
      <c r="AD343" s="117" t="n">
        <f aca="false">IF(AD303&gt;0,1,0)</f>
        <v>1</v>
      </c>
      <c r="AE343" s="117" t="n">
        <f aca="false">IF(AE303&gt;0,1,0)</f>
        <v>1</v>
      </c>
      <c r="AF343" s="117" t="n">
        <f aca="false">IF(AF303&gt;0,1,0)</f>
        <v>1</v>
      </c>
      <c r="AG343" s="117" t="n">
        <f aca="false">IF(AG303&gt;0,1,0)</f>
        <v>1</v>
      </c>
      <c r="AH343" s="117" t="n">
        <f aca="false">IF(AH303&gt;0,1,0)</f>
        <v>1</v>
      </c>
      <c r="AI343" s="117" t="n">
        <f aca="false">IF(AI303&gt;0,1,0)</f>
        <v>1</v>
      </c>
      <c r="AJ343" s="117" t="n">
        <f aca="false">IF(AJ303&gt;0,1,0)</f>
        <v>1</v>
      </c>
      <c r="AK343" s="117" t="n">
        <f aca="false">IF(AK303&gt;0,1,0)</f>
        <v>1</v>
      </c>
      <c r="AL343" s="117" t="n">
        <f aca="false">IF(AL303&gt;0,1,0)</f>
        <v>1</v>
      </c>
    </row>
    <row r="345" customFormat="false" ht="15.75" hidden="false" customHeight="true" outlineLevel="0" collapsed="false">
      <c r="A345" s="7" t="s">
        <v>447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customFormat="false" ht="15" hidden="false" customHeight="false" outlineLevel="0" collapsed="false">
      <c r="A346" s="119" t="s">
        <v>448</v>
      </c>
      <c r="C346" s="117" t="n">
        <f aca="false">IF(C312&gt;0,1,0)</f>
        <v>1</v>
      </c>
      <c r="D346" s="117" t="n">
        <f aca="false">IF(D312&gt;0,1,0)</f>
        <v>1</v>
      </c>
      <c r="E346" s="117" t="n">
        <f aca="false">IF(E312&gt;0,1,0)</f>
        <v>1</v>
      </c>
      <c r="F346" s="117" t="n">
        <f aca="false">IF(F312&gt;0,1,0)</f>
        <v>1</v>
      </c>
      <c r="G346" s="117" t="n">
        <f aca="false">IF(G312&gt;0,1,0)</f>
        <v>1</v>
      </c>
      <c r="H346" s="117" t="n">
        <f aca="false">IF(H312&gt;0,1,0)</f>
        <v>1</v>
      </c>
      <c r="I346" s="117" t="n">
        <f aca="false">IF(I312&gt;0,1,0)</f>
        <v>1</v>
      </c>
      <c r="J346" s="117" t="n">
        <f aca="false">IF(J312&gt;0,1,0)</f>
        <v>1</v>
      </c>
      <c r="K346" s="117" t="n">
        <f aca="false">IF(K312&gt;0,1,0)</f>
        <v>1</v>
      </c>
      <c r="L346" s="117" t="n">
        <f aca="false">IF(L312&gt;0,1,0)</f>
        <v>1</v>
      </c>
      <c r="M346" s="117" t="n">
        <f aca="false">IF(M312&gt;0,1,0)</f>
        <v>1</v>
      </c>
      <c r="N346" s="117" t="n">
        <f aca="false">IF(N312&gt;0,1,0)</f>
        <v>1</v>
      </c>
      <c r="O346" s="117" t="n">
        <f aca="false">IF(O312&gt;0,1,0)</f>
        <v>1</v>
      </c>
      <c r="P346" s="117" t="n">
        <f aca="false">IF(P312&gt;0,1,0)</f>
        <v>1</v>
      </c>
      <c r="Q346" s="117" t="n">
        <f aca="false">IF(Q312&gt;0,1,0)</f>
        <v>1</v>
      </c>
      <c r="R346" s="117" t="n">
        <f aca="false">IF(R312&gt;0,1,0)</f>
        <v>1</v>
      </c>
      <c r="S346" s="117" t="n">
        <f aca="false">IF(S312&gt;0,1,0)</f>
        <v>1</v>
      </c>
      <c r="T346" s="117" t="n">
        <f aca="false">IF(T312&gt;0,1,0)</f>
        <v>1</v>
      </c>
      <c r="U346" s="117" t="n">
        <f aca="false">IF(U312&gt;0,1,0)</f>
        <v>1</v>
      </c>
      <c r="V346" s="117" t="n">
        <f aca="false">IF(V312&gt;0,1,0)</f>
        <v>1</v>
      </c>
      <c r="W346" s="117" t="n">
        <f aca="false">IF(W312&gt;0,1,0)</f>
        <v>1</v>
      </c>
      <c r="X346" s="117" t="n">
        <f aca="false">IF(X312&gt;0,1,0)</f>
        <v>1</v>
      </c>
      <c r="Y346" s="117" t="n">
        <f aca="false">IF(Y312&gt;0,1,0)</f>
        <v>1</v>
      </c>
      <c r="Z346" s="117" t="n">
        <f aca="false">IF(Z312&gt;0,1,0)</f>
        <v>1</v>
      </c>
      <c r="AA346" s="117" t="n">
        <f aca="false">IF(AA312&gt;0,1,0)</f>
        <v>1</v>
      </c>
      <c r="AB346" s="117" t="n">
        <f aca="false">IF(AB312&gt;0,1,0)</f>
        <v>1</v>
      </c>
      <c r="AC346" s="117" t="n">
        <f aca="false">IF(AC312&gt;0,1,0)</f>
        <v>1</v>
      </c>
      <c r="AD346" s="117" t="n">
        <f aca="false">IF(AD312&gt;0,1,0)</f>
        <v>1</v>
      </c>
      <c r="AE346" s="117" t="n">
        <f aca="false">IF(AE312&gt;0,1,0)</f>
        <v>1</v>
      </c>
      <c r="AF346" s="117" t="n">
        <f aca="false">IF(AF312&gt;0,1,0)</f>
        <v>1</v>
      </c>
      <c r="AG346" s="117" t="n">
        <f aca="false">IF(AG312&gt;0,1,0)</f>
        <v>1</v>
      </c>
      <c r="AH346" s="117" t="n">
        <f aca="false">IF(AH312&gt;0,1,0)</f>
        <v>1</v>
      </c>
      <c r="AI346" s="117" t="n">
        <f aca="false">IF(AI312&gt;0,1,0)</f>
        <v>1</v>
      </c>
      <c r="AJ346" s="117" t="n">
        <f aca="false">IF(AJ312&gt;0,1,0)</f>
        <v>1</v>
      </c>
      <c r="AK346" s="117" t="n">
        <f aca="false">IF(AK312&gt;0,1,0)</f>
        <v>1</v>
      </c>
      <c r="AL346" s="117" t="n">
        <f aca="false">IF(AL312&gt;0,1,0)</f>
        <v>1</v>
      </c>
    </row>
    <row r="347" customFormat="false" ht="15" hidden="false" customHeight="false" outlineLevel="0" collapsed="false">
      <c r="A347" s="6" t="s">
        <v>449</v>
      </c>
      <c r="C347" s="67" t="n">
        <f aca="false">C336+C337</f>
        <v>-100990.022093753</v>
      </c>
      <c r="D347" s="67" t="n">
        <f aca="false">D336+D337</f>
        <v>40920.9540790891</v>
      </c>
      <c r="E347" s="67" t="n">
        <f aca="false">E336+E337</f>
        <v>41787.8537087925</v>
      </c>
      <c r="F347" s="67" t="n">
        <f aca="false">F336+F337</f>
        <v>42644.6098120438</v>
      </c>
      <c r="G347" s="67" t="n">
        <f aca="false">G336+G337</f>
        <v>43491.3441111603</v>
      </c>
      <c r="H347" s="67" t="n">
        <f aca="false">H336+H337</f>
        <v>44328.1768677917</v>
      </c>
      <c r="I347" s="67" t="n">
        <f aca="false">I336+I337</f>
        <v>45044.1013509567</v>
      </c>
      <c r="J347" s="67" t="n">
        <f aca="false">J336+J337</f>
        <v>45530.8324612583</v>
      </c>
      <c r="K347" s="67" t="n">
        <f aca="false">K336+K337</f>
        <v>45934.9880163869</v>
      </c>
      <c r="L347" s="67" t="n">
        <f aca="false">L336+L337</f>
        <v>46334.531840863</v>
      </c>
      <c r="M347" s="67" t="n">
        <f aca="false">M336+M337</f>
        <v>46729.5192754542</v>
      </c>
      <c r="N347" s="67" t="n">
        <f aca="false">N336+N337</f>
        <v>47120.0049968392</v>
      </c>
      <c r="O347" s="67" t="n">
        <f aca="false">O336+O337</f>
        <v>46015.0782282676</v>
      </c>
      <c r="P347" s="67" t="n">
        <f aca="false">P336+P337</f>
        <v>52581.5911935428</v>
      </c>
      <c r="Q347" s="67" t="n">
        <f aca="false">Q336+Q337</f>
        <v>53552.392830087</v>
      </c>
      <c r="R347" s="67" t="n">
        <f aca="false">R336+R337</f>
        <v>54302.0231119778</v>
      </c>
      <c r="S347" s="67" t="n">
        <f aca="false">S336+S337</f>
        <v>54789.1124123059</v>
      </c>
      <c r="T347" s="67" t="n">
        <f aca="false">T336+T337</f>
        <v>55270.6098938471</v>
      </c>
      <c r="U347" s="67" t="n">
        <f aca="false">U336+U337</f>
        <v>55746.5826584269</v>
      </c>
      <c r="V347" s="67" t="n">
        <f aca="false">V336+V337</f>
        <v>56217.0970026485</v>
      </c>
      <c r="W347" s="67" t="n">
        <f aca="false">W336+W337</f>
        <v>56682.2184275565</v>
      </c>
      <c r="X347" s="67" t="n">
        <f aca="false">X336+X337</f>
        <v>57085.2283698479</v>
      </c>
      <c r="Y347" s="67" t="n">
        <f aca="false">Y336+Y337</f>
        <v>57275.4099333728</v>
      </c>
      <c r="Z347" s="67" t="n">
        <f aca="false">Z336+Z337</f>
        <v>57294.0804286008</v>
      </c>
      <c r="AA347" s="67" t="n">
        <f aca="false">AA336+AA337</f>
        <v>55833.1057997669</v>
      </c>
      <c r="AB347" s="67" t="n">
        <f aca="false">AB336+AB337</f>
        <v>62169.5849486801</v>
      </c>
      <c r="AC347" s="67" t="n">
        <f aca="false">AC336+AC337</f>
        <v>62188.8152283212</v>
      </c>
      <c r="AD347" s="67" t="n">
        <f aca="false">AD336+AD337</f>
        <v>62208.0455079624</v>
      </c>
      <c r="AE347" s="67" t="n">
        <f aca="false">AE336+AE337</f>
        <v>62227.2757876036</v>
      </c>
      <c r="AF347" s="67" t="n">
        <f aca="false">AF336+AF337</f>
        <v>62246.5060672447</v>
      </c>
      <c r="AG347" s="67" t="n">
        <f aca="false">AG336+AG337</f>
        <v>62265.7363468859</v>
      </c>
      <c r="AH347" s="67" t="n">
        <f aca="false">AH336+AH337</f>
        <v>62284.9666265271</v>
      </c>
      <c r="AI347" s="67" t="n">
        <f aca="false">AI336+AI337</f>
        <v>62304.1969061682</v>
      </c>
      <c r="AJ347" s="67" t="n">
        <f aca="false">AJ336+AJ337</f>
        <v>62323.4271858094</v>
      </c>
      <c r="AK347" s="67" t="n">
        <f aca="false">AK336+AK337</f>
        <v>62342.6574654506</v>
      </c>
      <c r="AL347" s="67" t="n">
        <f aca="false">AL336+AL337</f>
        <v>62361.8877450917</v>
      </c>
    </row>
    <row r="348" customFormat="false" ht="15" hidden="false" customHeight="false" outlineLevel="0" collapsed="false">
      <c r="A348" s="6" t="s">
        <v>450</v>
      </c>
      <c r="C348" s="67" t="n">
        <f aca="false">C347</f>
        <v>-100990.022093753</v>
      </c>
      <c r="D348" s="67" t="n">
        <f aca="false">C348+D347</f>
        <v>-60069.0680146643</v>
      </c>
      <c r="E348" s="67" t="n">
        <f aca="false">D348+E347</f>
        <v>-18281.2143058718</v>
      </c>
      <c r="F348" s="67" t="n">
        <f aca="false">E348+F347</f>
        <v>24363.395506172</v>
      </c>
      <c r="G348" s="67" t="n">
        <f aca="false">F348+G347</f>
        <v>67854.7396173323</v>
      </c>
      <c r="H348" s="67" t="n">
        <f aca="false">G348+H347</f>
        <v>112182.916485124</v>
      </c>
      <c r="I348" s="67" t="n">
        <f aca="false">H348+I347</f>
        <v>157227.017836081</v>
      </c>
      <c r="J348" s="67" t="n">
        <f aca="false">I348+J347</f>
        <v>202757.850297339</v>
      </c>
      <c r="K348" s="67" t="n">
        <f aca="false">J348+K347</f>
        <v>248692.838313726</v>
      </c>
      <c r="L348" s="67" t="n">
        <f aca="false">K348+L347</f>
        <v>295027.370154589</v>
      </c>
      <c r="M348" s="67" t="n">
        <f aca="false">L348+M347</f>
        <v>341756.889430043</v>
      </c>
      <c r="N348" s="67" t="n">
        <f aca="false">M348+N347</f>
        <v>388876.894426882</v>
      </c>
      <c r="O348" s="67" t="n">
        <f aca="false">N348+O347</f>
        <v>434891.97265515</v>
      </c>
      <c r="P348" s="67" t="n">
        <f aca="false">O348+P347</f>
        <v>487473.563848693</v>
      </c>
      <c r="Q348" s="67" t="n">
        <f aca="false">P348+Q347</f>
        <v>541025.95667878</v>
      </c>
      <c r="R348" s="67" t="n">
        <f aca="false">Q348+R347</f>
        <v>595327.979790757</v>
      </c>
      <c r="S348" s="67" t="n">
        <f aca="false">R348+S347</f>
        <v>650117.092203063</v>
      </c>
      <c r="T348" s="67" t="n">
        <f aca="false">S348+T347</f>
        <v>705387.70209691</v>
      </c>
      <c r="U348" s="67" t="n">
        <f aca="false">T348+U347</f>
        <v>761134.284755337</v>
      </c>
      <c r="V348" s="67" t="n">
        <f aca="false">U348+V347</f>
        <v>817351.381757986</v>
      </c>
      <c r="W348" s="67" t="n">
        <f aca="false">V348+W347</f>
        <v>874033.600185542</v>
      </c>
      <c r="X348" s="67" t="n">
        <f aca="false">W348+X347</f>
        <v>931118.82855539</v>
      </c>
      <c r="Y348" s="67" t="n">
        <f aca="false">X348+Y347</f>
        <v>988394.238488763</v>
      </c>
      <c r="Z348" s="67" t="n">
        <f aca="false">Y348+Z347</f>
        <v>1045688.31891736</v>
      </c>
      <c r="AA348" s="67" t="n">
        <f aca="false">Z348+AA347</f>
        <v>1101521.42471713</v>
      </c>
      <c r="AB348" s="67" t="n">
        <f aca="false">AA348+AB347</f>
        <v>1163691.00966581</v>
      </c>
      <c r="AC348" s="67" t="n">
        <f aca="false">AB348+AC347</f>
        <v>1225879.82489413</v>
      </c>
      <c r="AD348" s="67" t="n">
        <f aca="false">AC348+AD347</f>
        <v>1288087.87040209</v>
      </c>
      <c r="AE348" s="67" t="n">
        <f aca="false">AD348+AE347</f>
        <v>1350315.1461897</v>
      </c>
      <c r="AF348" s="67" t="n">
        <f aca="false">AE348+AF347</f>
        <v>1412561.65225694</v>
      </c>
      <c r="AG348" s="67" t="n">
        <f aca="false">AF348+AG347</f>
        <v>1474827.38860383</v>
      </c>
      <c r="AH348" s="67" t="n">
        <f aca="false">AG348+AH347</f>
        <v>1537112.35523036</v>
      </c>
      <c r="AI348" s="67" t="n">
        <f aca="false">AH348+AI347</f>
        <v>1599416.55213652</v>
      </c>
      <c r="AJ348" s="67" t="n">
        <f aca="false">AI348+AJ347</f>
        <v>1661739.97932233</v>
      </c>
      <c r="AK348" s="67" t="n">
        <f aca="false">AJ348+AK347</f>
        <v>1724082.63678778</v>
      </c>
      <c r="AL348" s="67" t="n">
        <f aca="false">AK348+AL347</f>
        <v>1786444.52453288</v>
      </c>
    </row>
    <row r="349" customFormat="false" ht="15" hidden="false" customHeight="false" outlineLevel="0" collapsed="false">
      <c r="A349" s="119" t="s">
        <v>451</v>
      </c>
      <c r="C349" s="67" t="n">
        <f aca="false">C348</f>
        <v>-100990.022093753</v>
      </c>
      <c r="D349" s="67" t="n">
        <f aca="false">MIN(C349,D348)</f>
        <v>-100990.022093753</v>
      </c>
      <c r="E349" s="67" t="n">
        <f aca="false">MIN(D349,E348)</f>
        <v>-100990.022093753</v>
      </c>
      <c r="F349" s="67" t="n">
        <f aca="false">MIN(E349,F348)</f>
        <v>-100990.022093753</v>
      </c>
      <c r="G349" s="67" t="n">
        <f aca="false">MIN(F349,G348)</f>
        <v>-100990.022093753</v>
      </c>
      <c r="H349" s="67" t="n">
        <f aca="false">MIN(G349,H348)</f>
        <v>-100990.022093753</v>
      </c>
      <c r="I349" s="67" t="n">
        <f aca="false">MIN(H349,I348)</f>
        <v>-100990.022093753</v>
      </c>
      <c r="J349" s="67" t="n">
        <f aca="false">MIN(I349,J348)</f>
        <v>-100990.022093753</v>
      </c>
      <c r="K349" s="67" t="n">
        <f aca="false">MIN(J349,K348)</f>
        <v>-100990.022093753</v>
      </c>
      <c r="L349" s="67" t="n">
        <f aca="false">MIN(K349,L348)</f>
        <v>-100990.022093753</v>
      </c>
      <c r="M349" s="67" t="n">
        <f aca="false">MIN(L349,M348)</f>
        <v>-100990.022093753</v>
      </c>
      <c r="N349" s="67" t="n">
        <f aca="false">MIN(M349,N348)</f>
        <v>-100990.022093753</v>
      </c>
      <c r="O349" s="67" t="n">
        <f aca="false">MIN(N349,O348)</f>
        <v>-100990.022093753</v>
      </c>
      <c r="P349" s="67" t="n">
        <f aca="false">MIN(O349,P348)</f>
        <v>-100990.022093753</v>
      </c>
      <c r="Q349" s="67" t="n">
        <f aca="false">MIN(P349,Q348)</f>
        <v>-100990.022093753</v>
      </c>
      <c r="R349" s="67" t="n">
        <f aca="false">MIN(Q349,R348)</f>
        <v>-100990.022093753</v>
      </c>
      <c r="S349" s="67" t="n">
        <f aca="false">MIN(R349,S348)</f>
        <v>-100990.022093753</v>
      </c>
      <c r="T349" s="67" t="n">
        <f aca="false">MIN(S349,T348)</f>
        <v>-100990.022093753</v>
      </c>
      <c r="U349" s="67" t="n">
        <f aca="false">MIN(T349,U348)</f>
        <v>-100990.022093753</v>
      </c>
      <c r="V349" s="67" t="n">
        <f aca="false">MIN(U349,V348)</f>
        <v>-100990.022093753</v>
      </c>
      <c r="W349" s="67" t="n">
        <f aca="false">MIN(V349,W348)</f>
        <v>-100990.022093753</v>
      </c>
      <c r="X349" s="67" t="n">
        <f aca="false">MIN(W349,X348)</f>
        <v>-100990.022093753</v>
      </c>
      <c r="Y349" s="67" t="n">
        <f aca="false">MIN(X349,Y348)</f>
        <v>-100990.022093753</v>
      </c>
      <c r="Z349" s="67" t="n">
        <f aca="false">MIN(Y349,Z348)</f>
        <v>-100990.022093753</v>
      </c>
      <c r="AA349" s="67" t="n">
        <f aca="false">MIN(Z349,AA348)</f>
        <v>-100990.022093753</v>
      </c>
      <c r="AB349" s="67" t="n">
        <f aca="false">MIN(AA349,AB348)</f>
        <v>-100990.022093753</v>
      </c>
      <c r="AC349" s="67" t="n">
        <f aca="false">MIN(AB349,AC348)</f>
        <v>-100990.022093753</v>
      </c>
      <c r="AD349" s="67" t="n">
        <f aca="false">MIN(AC349,AD348)</f>
        <v>-100990.022093753</v>
      </c>
      <c r="AE349" s="67" t="n">
        <f aca="false">MIN(AD349,AE348)</f>
        <v>-100990.022093753</v>
      </c>
      <c r="AF349" s="67" t="n">
        <f aca="false">MIN(AE349,AF348)</f>
        <v>-100990.022093753</v>
      </c>
      <c r="AG349" s="67" t="n">
        <f aca="false">MIN(AF349,AG348)</f>
        <v>-100990.022093753</v>
      </c>
      <c r="AH349" s="67" t="n">
        <f aca="false">MIN(AG349,AH348)</f>
        <v>-100990.022093753</v>
      </c>
      <c r="AI349" s="67" t="n">
        <f aca="false">MIN(AH349,AI348)</f>
        <v>-100990.022093753</v>
      </c>
      <c r="AJ349" s="67" t="n">
        <f aca="false">MIN(AI349,AJ348)</f>
        <v>-100990.022093753</v>
      </c>
      <c r="AK349" s="67" t="n">
        <f aca="false">MIN(AJ349,AK348)</f>
        <v>-100990.022093753</v>
      </c>
      <c r="AL349" s="67" t="n">
        <f aca="false">MIN(AK349,AL348)</f>
        <v>-100990.022093753</v>
      </c>
    </row>
    <row r="350" customFormat="false" ht="15" hidden="false" customHeight="false" outlineLevel="0" collapsed="false">
      <c r="A350" s="119" t="s">
        <v>452</v>
      </c>
      <c r="C350" s="117" t="n">
        <f aca="false">IF(AND(C348&gt;=0,C349&lt;0),1,0)</f>
        <v>0</v>
      </c>
      <c r="D350" s="117" t="n">
        <f aca="false">IF(AND(D348&gt;=0,D349&lt;0),1,0)</f>
        <v>0</v>
      </c>
      <c r="E350" s="117" t="n">
        <f aca="false">IF(AND(E348&gt;=0,E349&lt;0),1,0)</f>
        <v>0</v>
      </c>
      <c r="F350" s="117" t="n">
        <f aca="false">IF(AND(F348&gt;=0,F349&lt;0),1,0)</f>
        <v>1</v>
      </c>
      <c r="G350" s="117" t="n">
        <f aca="false">IF(AND(G348&gt;=0,G349&lt;0),1,0)</f>
        <v>1</v>
      </c>
      <c r="H350" s="117" t="n">
        <f aca="false">IF(AND(H348&gt;=0,H349&lt;0),1,0)</f>
        <v>1</v>
      </c>
      <c r="I350" s="117" t="n">
        <f aca="false">IF(AND(I348&gt;=0,I349&lt;0),1,0)</f>
        <v>1</v>
      </c>
      <c r="J350" s="117" t="n">
        <f aca="false">IF(AND(J348&gt;=0,J349&lt;0),1,0)</f>
        <v>1</v>
      </c>
      <c r="K350" s="117" t="n">
        <f aca="false">IF(AND(K348&gt;=0,K349&lt;0),1,0)</f>
        <v>1</v>
      </c>
      <c r="L350" s="117" t="n">
        <f aca="false">IF(AND(L348&gt;=0,L349&lt;0),1,0)</f>
        <v>1</v>
      </c>
      <c r="M350" s="117" t="n">
        <f aca="false">IF(AND(M348&gt;=0,M349&lt;0),1,0)</f>
        <v>1</v>
      </c>
      <c r="N350" s="117" t="n">
        <f aca="false">IF(AND(N348&gt;=0,N349&lt;0),1,0)</f>
        <v>1</v>
      </c>
      <c r="O350" s="117" t="n">
        <f aca="false">IF(AND(O348&gt;=0,O349&lt;0),1,0)</f>
        <v>1</v>
      </c>
      <c r="P350" s="117" t="n">
        <f aca="false">IF(AND(P348&gt;=0,P349&lt;0),1,0)</f>
        <v>1</v>
      </c>
      <c r="Q350" s="117" t="n">
        <f aca="false">IF(AND(Q348&gt;=0,Q349&lt;0),1,0)</f>
        <v>1</v>
      </c>
      <c r="R350" s="117" t="n">
        <f aca="false">IF(AND(R348&gt;=0,R349&lt;0),1,0)</f>
        <v>1</v>
      </c>
      <c r="S350" s="117" t="n">
        <f aca="false">IF(AND(S348&gt;=0,S349&lt;0),1,0)</f>
        <v>1</v>
      </c>
      <c r="T350" s="117" t="n">
        <f aca="false">IF(AND(T348&gt;=0,T349&lt;0),1,0)</f>
        <v>1</v>
      </c>
      <c r="U350" s="117" t="n">
        <f aca="false">IF(AND(U348&gt;=0,U349&lt;0),1,0)</f>
        <v>1</v>
      </c>
      <c r="V350" s="117" t="n">
        <f aca="false">IF(AND(V348&gt;=0,V349&lt;0),1,0)</f>
        <v>1</v>
      </c>
      <c r="W350" s="117" t="n">
        <f aca="false">IF(AND(W348&gt;=0,W349&lt;0),1,0)</f>
        <v>1</v>
      </c>
      <c r="X350" s="117" t="n">
        <f aca="false">IF(AND(X348&gt;=0,X349&lt;0),1,0)</f>
        <v>1</v>
      </c>
      <c r="Y350" s="117" t="n">
        <f aca="false">IF(AND(Y348&gt;=0,Y349&lt;0),1,0)</f>
        <v>1</v>
      </c>
      <c r="Z350" s="117" t="n">
        <f aca="false">IF(AND(Z348&gt;=0,Z349&lt;0),1,0)</f>
        <v>1</v>
      </c>
      <c r="AA350" s="117" t="n">
        <f aca="false">IF(AND(AA348&gt;=0,AA349&lt;0),1,0)</f>
        <v>1</v>
      </c>
      <c r="AB350" s="117" t="n">
        <f aca="false">IF(AND(AB348&gt;=0,AB349&lt;0),1,0)</f>
        <v>1</v>
      </c>
      <c r="AC350" s="117" t="n">
        <f aca="false">IF(AND(AC348&gt;=0,AC349&lt;0),1,0)</f>
        <v>1</v>
      </c>
      <c r="AD350" s="117" t="n">
        <f aca="false">IF(AND(AD348&gt;=0,AD349&lt;0),1,0)</f>
        <v>1</v>
      </c>
      <c r="AE350" s="117" t="n">
        <f aca="false">IF(AND(AE348&gt;=0,AE349&lt;0),1,0)</f>
        <v>1</v>
      </c>
      <c r="AF350" s="117" t="n">
        <f aca="false">IF(AND(AF348&gt;=0,AF349&lt;0),1,0)</f>
        <v>1</v>
      </c>
      <c r="AG350" s="117" t="n">
        <f aca="false">IF(AND(AG348&gt;=0,AG349&lt;0),1,0)</f>
        <v>1</v>
      </c>
      <c r="AH350" s="117" t="n">
        <f aca="false">IF(AND(AH348&gt;=0,AH349&lt;0),1,0)</f>
        <v>1</v>
      </c>
      <c r="AI350" s="117" t="n">
        <f aca="false">IF(AND(AI348&gt;=0,AI349&lt;0),1,0)</f>
        <v>1</v>
      </c>
      <c r="AJ350" s="117" t="n">
        <f aca="false">IF(AND(AJ348&gt;=0,AJ349&lt;0),1,0)</f>
        <v>1</v>
      </c>
      <c r="AK350" s="117" t="n">
        <f aca="false">IF(AND(AK348&gt;=0,AK349&lt;0),1,0)</f>
        <v>1</v>
      </c>
      <c r="AL350" s="117" t="n">
        <f aca="false">IF(AND(AL348&gt;=0,AL349&lt;0),1,0)</f>
        <v>1</v>
      </c>
    </row>
    <row r="351" customFormat="false" ht="15" hidden="false" customHeight="false" outlineLevel="0" collapsed="false">
      <c r="A351" s="6" t="s">
        <v>453</v>
      </c>
      <c r="C351" s="67" t="n">
        <f aca="false">C336-C307*(1-Inputs!$D$95)+C337</f>
        <v>-100150.647093753</v>
      </c>
      <c r="D351" s="67" t="n">
        <f aca="false">D336-D307*(1-Inputs!$D$95)+D337</f>
        <v>41755.3327993272</v>
      </c>
      <c r="E351" s="67" t="n">
        <f aca="false">E336-E307*(1-Inputs!$D$95)+E337</f>
        <v>42612.2398695068</v>
      </c>
      <c r="F351" s="67" t="n">
        <f aca="false">F336-F307*(1-Inputs!$D$95)+F337</f>
        <v>43459.0034132342</v>
      </c>
      <c r="G351" s="67" t="n">
        <f aca="false">G336-G307*(1-Inputs!$D$95)+G337</f>
        <v>44295.7451528269</v>
      </c>
      <c r="H351" s="67" t="n">
        <f aca="false">H336-H307*(1-Inputs!$D$95)+H337</f>
        <v>45122.5853499346</v>
      </c>
      <c r="I351" s="67" t="n">
        <f aca="false">I336-I307*(1-Inputs!$D$95)+I337</f>
        <v>45828.5172735757</v>
      </c>
      <c r="J351" s="67" t="n">
        <f aca="false">J336-J307*(1-Inputs!$D$95)+J337</f>
        <v>46305.2558243535</v>
      </c>
      <c r="K351" s="67" t="n">
        <f aca="false">K336-K307*(1-Inputs!$D$95)+K337</f>
        <v>46699.4188199583</v>
      </c>
      <c r="L351" s="67" t="n">
        <f aca="false">L336-L307*(1-Inputs!$D$95)+L337</f>
        <v>47088.9700849106</v>
      </c>
      <c r="M351" s="67" t="n">
        <f aca="false">M336-M307*(1-Inputs!$D$95)+M337</f>
        <v>47473.964959978</v>
      </c>
      <c r="N351" s="67" t="n">
        <f aca="false">N336-N307*(1-Inputs!$D$95)+N337</f>
        <v>47854.4581218392</v>
      </c>
      <c r="O351" s="67" t="n">
        <f aca="false">O336-O307*(1-Inputs!$D$95)+O337</f>
        <v>46739.5387937438</v>
      </c>
      <c r="P351" s="67" t="n">
        <f aca="false">P336-P307*(1-Inputs!$D$95)+P337</f>
        <v>53296.0591994952</v>
      </c>
      <c r="Q351" s="67" t="n">
        <f aca="false">Q336-Q307*(1-Inputs!$D$95)+Q337</f>
        <v>54256.8682765155</v>
      </c>
      <c r="R351" s="67" t="n">
        <f aca="false">R336-R307*(1-Inputs!$D$95)+R337</f>
        <v>54996.5059988825</v>
      </c>
      <c r="S351" s="67" t="n">
        <f aca="false">S336-S307*(1-Inputs!$D$95)+S337</f>
        <v>55473.6027396869</v>
      </c>
      <c r="T351" s="67" t="n">
        <f aca="false">T336-T307*(1-Inputs!$D$95)+T337</f>
        <v>55945.1076617043</v>
      </c>
      <c r="U351" s="67" t="n">
        <f aca="false">U336-U307*(1-Inputs!$D$95)+U337</f>
        <v>56411.0878667602</v>
      </c>
      <c r="V351" s="67" t="n">
        <f aca="false">V336-V307*(1-Inputs!$D$95)+V337</f>
        <v>56871.6096514581</v>
      </c>
      <c r="W351" s="67" t="n">
        <f aca="false">W336-W307*(1-Inputs!$D$95)+W337</f>
        <v>57326.7385168423</v>
      </c>
      <c r="X351" s="67" t="n">
        <f aca="false">X336-X307*(1-Inputs!$D$95)+X337</f>
        <v>57719.7558996098</v>
      </c>
      <c r="Y351" s="67" t="n">
        <f aca="false">Y336-Y307*(1-Inputs!$D$95)+Y337</f>
        <v>57899.9449036108</v>
      </c>
      <c r="Z351" s="67" t="n">
        <f aca="false">Z336-Z307*(1-Inputs!$D$95)+Z337</f>
        <v>57908.6228393151</v>
      </c>
      <c r="AA351" s="67" t="n">
        <f aca="false">AA336-AA307*(1-Inputs!$D$95)+AA337</f>
        <v>56437.6556509574</v>
      </c>
      <c r="AB351" s="67" t="n">
        <f aca="false">AB336-AB307*(1-Inputs!$D$95)+AB337</f>
        <v>62764.1422403467</v>
      </c>
      <c r="AC351" s="67" t="n">
        <f aca="false">AC336-AC307*(1-Inputs!$D$95)+AC337</f>
        <v>62773.3799604641</v>
      </c>
      <c r="AD351" s="67" t="n">
        <f aca="false">AD336-AD307*(1-Inputs!$D$95)+AD337</f>
        <v>62782.6176805814</v>
      </c>
      <c r="AE351" s="67" t="n">
        <f aca="false">AE336-AE307*(1-Inputs!$D$95)+AE337</f>
        <v>62791.8554006988</v>
      </c>
      <c r="AF351" s="67" t="n">
        <f aca="false">AF336-AF307*(1-Inputs!$D$95)+AF337</f>
        <v>62801.0931208162</v>
      </c>
      <c r="AG351" s="67" t="n">
        <f aca="false">AG336-AG307*(1-Inputs!$D$95)+AG337</f>
        <v>62810.3308409335</v>
      </c>
      <c r="AH351" s="67" t="n">
        <f aca="false">AH336-AH307*(1-Inputs!$D$95)+AH337</f>
        <v>62819.5685610509</v>
      </c>
      <c r="AI351" s="67" t="n">
        <f aca="false">AI336-AI307*(1-Inputs!$D$95)+AI337</f>
        <v>62828.8062811682</v>
      </c>
      <c r="AJ351" s="67" t="n">
        <f aca="false">AJ336-AJ307*(1-Inputs!$D$95)+AJ337</f>
        <v>62838.0440012856</v>
      </c>
      <c r="AK351" s="67" t="n">
        <f aca="false">AK336-AK307*(1-Inputs!$D$95)+AK337</f>
        <v>62847.281721403</v>
      </c>
      <c r="AL351" s="67" t="n">
        <f aca="false">AL336-AL307*(1-Inputs!$D$95)+AL337</f>
        <v>62856.5194415203</v>
      </c>
    </row>
    <row r="353" customFormat="false" ht="15.75" hidden="false" customHeight="true" outlineLevel="0" collapsed="false">
      <c r="A353" s="7" t="s">
        <v>454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customFormat="false" ht="15" hidden="false" customHeight="false" outlineLevel="0" collapsed="false">
      <c r="A354" s="6" t="s">
        <v>96</v>
      </c>
      <c r="C354" s="67" t="n">
        <f aca="false">C338</f>
        <v>100000</v>
      </c>
      <c r="D354" s="67" t="n">
        <f aca="false">C354+D338</f>
        <v>100000</v>
      </c>
      <c r="E354" s="67" t="n">
        <f aca="false">D354+E338</f>
        <v>100000</v>
      </c>
      <c r="F354" s="67" t="n">
        <f aca="false">E354+F338</f>
        <v>100000</v>
      </c>
      <c r="G354" s="67" t="n">
        <f aca="false">F354+G338</f>
        <v>100000</v>
      </c>
      <c r="H354" s="67" t="n">
        <f aca="false">G354+H338</f>
        <v>100000</v>
      </c>
      <c r="I354" s="67" t="n">
        <f aca="false">H354+I338</f>
        <v>100000</v>
      </c>
      <c r="J354" s="67" t="n">
        <f aca="false">I354+J338</f>
        <v>100000</v>
      </c>
      <c r="K354" s="67" t="n">
        <f aca="false">J354+K338</f>
        <v>100000</v>
      </c>
      <c r="L354" s="67" t="n">
        <f aca="false">K354+L338</f>
        <v>100000</v>
      </c>
      <c r="M354" s="67" t="n">
        <f aca="false">L354+M338</f>
        <v>100000</v>
      </c>
      <c r="N354" s="67" t="n">
        <f aca="false">M354+N338</f>
        <v>100000</v>
      </c>
      <c r="O354" s="67" t="n">
        <f aca="false">N354+O338</f>
        <v>100000</v>
      </c>
      <c r="P354" s="67" t="n">
        <f aca="false">O354+P338</f>
        <v>100000</v>
      </c>
      <c r="Q354" s="67" t="n">
        <f aca="false">P354+Q338</f>
        <v>100000</v>
      </c>
      <c r="R354" s="67" t="n">
        <f aca="false">Q354+R338</f>
        <v>100000</v>
      </c>
      <c r="S354" s="67" t="n">
        <f aca="false">R354+S338</f>
        <v>100000</v>
      </c>
      <c r="T354" s="67" t="n">
        <f aca="false">S354+T338</f>
        <v>100000</v>
      </c>
      <c r="U354" s="67" t="n">
        <f aca="false">T354+U338</f>
        <v>100000</v>
      </c>
      <c r="V354" s="67" t="n">
        <f aca="false">U354+V338</f>
        <v>100000</v>
      </c>
      <c r="W354" s="67" t="n">
        <f aca="false">V354+W338</f>
        <v>100000</v>
      </c>
      <c r="X354" s="67" t="n">
        <f aca="false">W354+X338</f>
        <v>100000</v>
      </c>
      <c r="Y354" s="67" t="n">
        <f aca="false">X354+Y338</f>
        <v>100000</v>
      </c>
      <c r="Z354" s="67" t="n">
        <f aca="false">Y354+Z338</f>
        <v>100000</v>
      </c>
      <c r="AA354" s="67" t="n">
        <f aca="false">Z354+AA338</f>
        <v>100000</v>
      </c>
      <c r="AB354" s="67" t="n">
        <f aca="false">AA354+AB338</f>
        <v>100000</v>
      </c>
      <c r="AC354" s="67" t="n">
        <f aca="false">AB354+AC338</f>
        <v>100000</v>
      </c>
      <c r="AD354" s="67" t="n">
        <f aca="false">AC354+AD338</f>
        <v>100000</v>
      </c>
      <c r="AE354" s="67" t="n">
        <f aca="false">AD354+AE338</f>
        <v>100000</v>
      </c>
      <c r="AF354" s="67" t="n">
        <f aca="false">AE354+AF338</f>
        <v>100000</v>
      </c>
      <c r="AG354" s="67" t="n">
        <f aca="false">AF354+AG338</f>
        <v>100000</v>
      </c>
      <c r="AH354" s="67" t="n">
        <f aca="false">AG354+AH338</f>
        <v>100000</v>
      </c>
      <c r="AI354" s="67" t="n">
        <f aca="false">AH354+AI338</f>
        <v>100000</v>
      </c>
      <c r="AJ354" s="67" t="n">
        <f aca="false">AI354+AJ338</f>
        <v>100000</v>
      </c>
      <c r="AK354" s="67" t="n">
        <f aca="false">AJ354+AK338</f>
        <v>100000</v>
      </c>
      <c r="AL354" s="67" t="n">
        <f aca="false">AK354+AL338</f>
        <v>100000</v>
      </c>
    </row>
    <row r="355" customFormat="false" ht="15" hidden="false" customHeight="false" outlineLevel="0" collapsed="false">
      <c r="A355" s="6" t="s">
        <v>97</v>
      </c>
      <c r="C355" s="67" t="n">
        <f aca="false">C312</f>
        <v>42826.1263350712</v>
      </c>
      <c r="D355" s="67" t="n">
        <f aca="false">C355+D312</f>
        <v>86502.366016105</v>
      </c>
      <c r="E355" s="67" t="n">
        <f aca="false">D355+E312</f>
        <v>131023.049665078</v>
      </c>
      <c r="F355" s="67" t="n">
        <f aca="false">E355+F312</f>
        <v>176377.639612098</v>
      </c>
      <c r="G355" s="67" t="n">
        <f aca="false">F355+G312</f>
        <v>222555.724639312</v>
      </c>
      <c r="H355" s="67" t="n">
        <f aca="false">G355+H312</f>
        <v>269547.018463481</v>
      </c>
      <c r="I355" s="67" t="n">
        <f aca="false">H355+I312</f>
        <v>317053.722054413</v>
      </c>
      <c r="J355" s="67" t="n">
        <f aca="false">I355+J312</f>
        <v>364939.639080193</v>
      </c>
      <c r="K355" s="67" t="n">
        <f aca="false">J355+K312</f>
        <v>413199.894138017</v>
      </c>
      <c r="L355" s="67" t="n">
        <f aca="false">K355+L312</f>
        <v>461829.670329918</v>
      </c>
      <c r="M355" s="67" t="n">
        <f aca="false">L355+M312</f>
        <v>510824.2085607</v>
      </c>
      <c r="N355" s="67" t="n">
        <f aca="false">M355+N312</f>
        <v>560178.806844314</v>
      </c>
      <c r="O355" s="67" t="n">
        <f aca="false">N355+O312</f>
        <v>614559.514322196</v>
      </c>
      <c r="P355" s="67" t="n">
        <f aca="false">O355+P312</f>
        <v>669927.320370011</v>
      </c>
      <c r="Q355" s="67" t="n">
        <f aca="false">P355+Q312</f>
        <v>726194.73004377</v>
      </c>
      <c r="R355" s="67" t="n">
        <f aca="false">Q355+R312</f>
        <v>782922.957812946</v>
      </c>
      <c r="S355" s="67" t="n">
        <f aca="false">R355+S312</f>
        <v>840106.092150819</v>
      </c>
      <c r="T355" s="67" t="n">
        <f aca="false">S355+T312</f>
        <v>897738.292468987</v>
      </c>
      <c r="U355" s="67" t="n">
        <f aca="false">T355+U312</f>
        <v>955813.788266111</v>
      </c>
      <c r="V355" s="67" t="n">
        <f aca="false">U355+V312</f>
        <v>1014326.87828686</v>
      </c>
      <c r="W355" s="67" t="n">
        <f aca="false">V355+W312</f>
        <v>1073271.92969099</v>
      </c>
      <c r="X355" s="67" t="n">
        <f aca="false">W355+X312</f>
        <v>1132442.3743618</v>
      </c>
      <c r="Y355" s="67" t="n">
        <f aca="false">X355+Y312</f>
        <v>1191590.16602449</v>
      </c>
      <c r="Z355" s="67" t="n">
        <f aca="false">Y355+Z312</f>
        <v>1250715.30467905</v>
      </c>
      <c r="AA355" s="67" t="n">
        <f aca="false">Z355+AA312</f>
        <v>1314876.64219586</v>
      </c>
      <c r="AB355" s="67" t="n">
        <f aca="false">AA355+AB312</f>
        <v>1379013.22084889</v>
      </c>
      <c r="AC355" s="67" t="n">
        <f aca="false">AB355+AC312</f>
        <v>1443125.04063815</v>
      </c>
      <c r="AD355" s="67" t="n">
        <f aca="false">AC355+AD312</f>
        <v>1507212.10156363</v>
      </c>
      <c r="AE355" s="67" t="n">
        <f aca="false">AD355+AE312</f>
        <v>1571274.40362534</v>
      </c>
      <c r="AF355" s="67" t="n">
        <f aca="false">AE355+AF312</f>
        <v>1635311.94682328</v>
      </c>
      <c r="AG355" s="67" t="n">
        <f aca="false">AF355+AG312</f>
        <v>1699324.73115744</v>
      </c>
      <c r="AH355" s="67" t="n">
        <f aca="false">AG355+AH312</f>
        <v>1763312.75662782</v>
      </c>
      <c r="AI355" s="67" t="n">
        <f aca="false">AH355+AI312</f>
        <v>1827276.02323443</v>
      </c>
      <c r="AJ355" s="67" t="n">
        <f aca="false">AI355+AJ312</f>
        <v>1891214.53097727</v>
      </c>
      <c r="AK355" s="67" t="n">
        <f aca="false">AJ355+AK312</f>
        <v>1955128.27985633</v>
      </c>
      <c r="AL355" s="67" t="n">
        <f aca="false">AK355+AL312</f>
        <v>2019017.26987161</v>
      </c>
    </row>
    <row r="356" customFormat="false" ht="15" hidden="false" customHeight="false" outlineLevel="0" collapsed="false">
      <c r="A356" s="4" t="s">
        <v>92</v>
      </c>
      <c r="C356" s="73" t="n">
        <f aca="false">C342+C328+C329+C319</f>
        <v>312980.16408327</v>
      </c>
      <c r="D356" s="73" t="n">
        <f aca="false">D342+D328+D329+D319</f>
        <v>355003.475596493</v>
      </c>
      <c r="E356" s="73" t="n">
        <f aca="false">E342+E328+E329+E319</f>
        <v>397869.63764424</v>
      </c>
      <c r="F356" s="73" t="n">
        <f aca="false">F342+F328+F329+F319</f>
        <v>441568.131677821</v>
      </c>
      <c r="G356" s="73" t="n">
        <f aca="false">G342+G328+G329+G319</f>
        <v>486088.565371128</v>
      </c>
      <c r="H356" s="73" t="n">
        <f aca="false">H342+H328+H329+H319</f>
        <v>531420.671105968</v>
      </c>
      <c r="I356" s="73" t="n">
        <f aca="false">I342+I328+I329+I319</f>
        <v>577246.436022522</v>
      </c>
      <c r="J356" s="73" t="n">
        <f aca="false">J342+J328+J329+J319</f>
        <v>623441.036676904</v>
      </c>
      <c r="K356" s="73" t="n">
        <f aca="false">K342+K328+K329+K319</f>
        <v>670008.84258836</v>
      </c>
      <c r="L356" s="73" t="n">
        <f aca="false">L342+L328+L329+L319</f>
        <v>716945.050452219</v>
      </c>
      <c r="M356" s="73" t="n">
        <f aca="false">M342+M328+M329+M319</f>
        <v>764244.914603468</v>
      </c>
      <c r="N356" s="73" t="n">
        <f aca="false">N342+N328+N329+N319</f>
        <v>811903.746325074</v>
      </c>
      <c r="O356" s="73" t="n">
        <f aca="false">O342+O328+O329+O319</f>
        <v>865921.265360873</v>
      </c>
      <c r="P356" s="73" t="n">
        <f aca="false">P342+P328+P329+P319</f>
        <v>919656.772752655</v>
      </c>
      <c r="Q356" s="73" t="n">
        <f aca="false">Q342+Q328+Q329+Q319</f>
        <v>974284.755179848</v>
      </c>
      <c r="R356" s="73" t="n">
        <f aca="false">R342+R328+R329+R319</f>
        <v>1029341.72808657</v>
      </c>
      <c r="S356" s="73" t="n">
        <f aca="false">S342+S328+S329+S319</f>
        <v>1084852.23404891</v>
      </c>
      <c r="T356" s="73" t="n">
        <f aca="false">T342+T328+T329+T319</f>
        <v>1140810.44896062</v>
      </c>
      <c r="U356" s="73" t="n">
        <f aca="false">U342+U328+U329+U319</f>
        <v>1197210.61860474</v>
      </c>
      <c r="V356" s="73" t="n">
        <f aca="false">V342+V328+V329+V319</f>
        <v>1254047.05781489</v>
      </c>
      <c r="W356" s="73" t="n">
        <f aca="false">W342+W328+W329+W319</f>
        <v>1311314.14964672</v>
      </c>
      <c r="X356" s="73" t="n">
        <f aca="false">X342+X328+X329+X319</f>
        <v>1368757.68095831</v>
      </c>
      <c r="Y356" s="73" t="n">
        <f aca="false">Y342+Y328+Y329+Y319</f>
        <v>1426119.75833528</v>
      </c>
      <c r="Z356" s="73" t="n">
        <f aca="false">Z342+Z328+Z329+Z319</f>
        <v>1483459.18270413</v>
      </c>
      <c r="AA356" s="73" t="n">
        <f aca="false">AA342+AA328+AA329+AA319</f>
        <v>1547082.80047364</v>
      </c>
      <c r="AB356" s="73" t="n">
        <f aca="false">AB342+AB328+AB329+AB319</f>
        <v>1609433.66484096</v>
      </c>
      <c r="AC356" s="73" t="n">
        <f aca="false">AC342+AC328+AC329+AC319</f>
        <v>1671759.7703445</v>
      </c>
      <c r="AD356" s="73" t="n">
        <f aca="false">AD342+AD328+AD329+AD319</f>
        <v>1734061.11698427</v>
      </c>
      <c r="AE356" s="73" t="n">
        <f aca="false">AE342+AE328+AE329+AE319</f>
        <v>1796337.70476026</v>
      </c>
      <c r="AF356" s="73" t="n">
        <f aca="false">AF342+AF328+AF329+AF319</f>
        <v>1858589.53367249</v>
      </c>
      <c r="AG356" s="73" t="n">
        <f aca="false">AG342+AG328+AG329+AG319</f>
        <v>1920816.60372093</v>
      </c>
      <c r="AH356" s="73" t="n">
        <f aca="false">AH342+AH328+AH329+AH319</f>
        <v>1983018.9149056</v>
      </c>
      <c r="AI356" s="73" t="n">
        <f aca="false">AI342+AI328+AI329+AI319</f>
        <v>2045196.4672265</v>
      </c>
      <c r="AJ356" s="73" t="n">
        <f aca="false">AJ342+AJ328+AJ329+AJ319</f>
        <v>2107349.26068362</v>
      </c>
      <c r="AK356" s="73" t="n">
        <f aca="false">AK342+AK328+AK329+AK319</f>
        <v>2169477.29527696</v>
      </c>
      <c r="AL356" s="73" t="n">
        <f aca="false">AL342+AL328+AL329+AL319</f>
        <v>2231580.57100654</v>
      </c>
    </row>
    <row r="357" customFormat="false" ht="15" hidden="false" customHeight="false" outlineLevel="0" collapsed="false">
      <c r="A357" s="6" t="s">
        <v>95</v>
      </c>
      <c r="C357" s="67" t="n">
        <f aca="false">C330+C325</f>
        <v>170154.037748199</v>
      </c>
      <c r="D357" s="67" t="n">
        <f aca="false">D330+D325</f>
        <v>168501.109580388</v>
      </c>
      <c r="E357" s="67" t="n">
        <f aca="false">E330+E325</f>
        <v>166846.587979162</v>
      </c>
      <c r="F357" s="67" t="n">
        <f aca="false">F330+F325</f>
        <v>165190.492065723</v>
      </c>
      <c r="G357" s="67" t="n">
        <f aca="false">G330+G325</f>
        <v>163532.840731816</v>
      </c>
      <c r="H357" s="67" t="n">
        <f aca="false">H330+H325</f>
        <v>161873.652642488</v>
      </c>
      <c r="I357" s="67" t="n">
        <f aca="false">I330+I325</f>
        <v>160192.713968109</v>
      </c>
      <c r="J357" s="67" t="n">
        <f aca="false">J330+J325</f>
        <v>158501.397596712</v>
      </c>
      <c r="K357" s="67" t="n">
        <f aca="false">K330+K325</f>
        <v>156808.948450343</v>
      </c>
      <c r="L357" s="67" t="n">
        <f aca="false">L330+L325</f>
        <v>155115.380122301</v>
      </c>
      <c r="M357" s="67" t="n">
        <f aca="false">M330+M325</f>
        <v>153420.706042768</v>
      </c>
      <c r="N357" s="67" t="n">
        <f aca="false">N330+N325</f>
        <v>151724.93948076</v>
      </c>
      <c r="O357" s="67" t="n">
        <f aca="false">O330+O325</f>
        <v>151361.751038676</v>
      </c>
      <c r="P357" s="67" t="n">
        <f aca="false">P330+P325</f>
        <v>149729.452382644</v>
      </c>
      <c r="Q357" s="67" t="n">
        <f aca="false">Q330+Q325</f>
        <v>148090.025136078</v>
      </c>
      <c r="R357" s="67" t="n">
        <f aca="false">R330+R325</f>
        <v>146418.770273624</v>
      </c>
      <c r="S357" s="67" t="n">
        <f aca="false">S330+S325</f>
        <v>144746.14189809</v>
      </c>
      <c r="T357" s="67" t="n">
        <f aca="false">T330+T325</f>
        <v>143072.156491634</v>
      </c>
      <c r="U357" s="67" t="n">
        <f aca="false">U330+U325</f>
        <v>141396.830338628</v>
      </c>
      <c r="V357" s="67" t="n">
        <f aca="false">V330+V325</f>
        <v>139720.179528028</v>
      </c>
      <c r="W357" s="67" t="n">
        <f aca="false">W330+W325</f>
        <v>138042.219955728</v>
      </c>
      <c r="X357" s="67" t="n">
        <f aca="false">X330+X325</f>
        <v>136315.30659651</v>
      </c>
      <c r="Y357" s="67" t="n">
        <f aca="false">Y330+Y325</f>
        <v>134529.592310796</v>
      </c>
      <c r="Z357" s="67" t="n">
        <f aca="false">Z330+Z325</f>
        <v>132743.878025081</v>
      </c>
      <c r="AA357" s="67" t="n">
        <f aca="false">AA330+AA325</f>
        <v>132206.15827778</v>
      </c>
      <c r="AB357" s="67" t="n">
        <f aca="false">AB330+AB325</f>
        <v>130420.443992065</v>
      </c>
      <c r="AC357" s="67" t="n">
        <f aca="false">AC330+AC325</f>
        <v>128634.729706351</v>
      </c>
      <c r="AD357" s="67" t="n">
        <f aca="false">AD330+AD325</f>
        <v>126849.015420637</v>
      </c>
      <c r="AE357" s="67" t="n">
        <f aca="false">AE330+AE325</f>
        <v>125063.301134922</v>
      </c>
      <c r="AF357" s="67" t="n">
        <f aca="false">AF330+AF325</f>
        <v>123277.586849208</v>
      </c>
      <c r="AG357" s="67" t="n">
        <f aca="false">AG330+AG325</f>
        <v>121491.872563494</v>
      </c>
      <c r="AH357" s="67" t="n">
        <f aca="false">AH330+AH325</f>
        <v>119706.15827778</v>
      </c>
      <c r="AI357" s="67" t="n">
        <f aca="false">AI330+AI325</f>
        <v>117920.443992065</v>
      </c>
      <c r="AJ357" s="67" t="n">
        <f aca="false">AJ330+AJ325</f>
        <v>116134.729706351</v>
      </c>
      <c r="AK357" s="67" t="n">
        <f aca="false">AK330+AK325</f>
        <v>114349.015420637</v>
      </c>
      <c r="AL357" s="67" t="n">
        <f aca="false">AL330+AL325</f>
        <v>112563.301134922</v>
      </c>
    </row>
    <row r="358" customFormat="false" ht="15" hidden="false" customHeight="false" outlineLevel="0" collapsed="false">
      <c r="A358" s="6" t="s">
        <v>98</v>
      </c>
      <c r="C358" s="67" t="n">
        <f aca="false">C354+C355</f>
        <v>142826.126335071</v>
      </c>
      <c r="D358" s="67" t="n">
        <f aca="false">D354+D355</f>
        <v>186502.366016105</v>
      </c>
      <c r="E358" s="67" t="n">
        <f aca="false">E354+E355</f>
        <v>231023.049665078</v>
      </c>
      <c r="F358" s="67" t="n">
        <f aca="false">F354+F355</f>
        <v>276377.639612098</v>
      </c>
      <c r="G358" s="67" t="n">
        <f aca="false">G354+G355</f>
        <v>322555.724639312</v>
      </c>
      <c r="H358" s="67" t="n">
        <f aca="false">H354+H355</f>
        <v>369547.018463481</v>
      </c>
      <c r="I358" s="67" t="n">
        <f aca="false">I354+I355</f>
        <v>417053.722054413</v>
      </c>
      <c r="J358" s="67" t="n">
        <f aca="false">J354+J355</f>
        <v>464939.639080193</v>
      </c>
      <c r="K358" s="67" t="n">
        <f aca="false">K354+K355</f>
        <v>513199.894138017</v>
      </c>
      <c r="L358" s="67" t="n">
        <f aca="false">L354+L355</f>
        <v>561829.670329918</v>
      </c>
      <c r="M358" s="67" t="n">
        <f aca="false">M354+M355</f>
        <v>610824.2085607</v>
      </c>
      <c r="N358" s="67" t="n">
        <f aca="false">N354+N355</f>
        <v>660178.806844314</v>
      </c>
      <c r="O358" s="67" t="n">
        <f aca="false">O354+O355</f>
        <v>714559.514322196</v>
      </c>
      <c r="P358" s="67" t="n">
        <f aca="false">P354+P355</f>
        <v>769927.320370011</v>
      </c>
      <c r="Q358" s="67" t="n">
        <f aca="false">Q354+Q355</f>
        <v>826194.73004377</v>
      </c>
      <c r="R358" s="67" t="n">
        <f aca="false">R354+R355</f>
        <v>882922.957812946</v>
      </c>
      <c r="S358" s="67" t="n">
        <f aca="false">S354+S355</f>
        <v>940106.092150819</v>
      </c>
      <c r="T358" s="67" t="n">
        <f aca="false">T354+T355</f>
        <v>997738.292468987</v>
      </c>
      <c r="U358" s="67" t="n">
        <f aca="false">U354+U355</f>
        <v>1055813.78826611</v>
      </c>
      <c r="V358" s="67" t="n">
        <f aca="false">V354+V355</f>
        <v>1114326.87828686</v>
      </c>
      <c r="W358" s="67" t="n">
        <f aca="false">W354+W355</f>
        <v>1173271.92969099</v>
      </c>
      <c r="X358" s="67" t="n">
        <f aca="false">X354+X355</f>
        <v>1232442.3743618</v>
      </c>
      <c r="Y358" s="67" t="n">
        <f aca="false">Y354+Y355</f>
        <v>1291590.16602449</v>
      </c>
      <c r="Z358" s="67" t="n">
        <f aca="false">Z354+Z355</f>
        <v>1350715.30467905</v>
      </c>
      <c r="AA358" s="67" t="n">
        <f aca="false">AA354+AA355</f>
        <v>1414876.64219586</v>
      </c>
      <c r="AB358" s="67" t="n">
        <f aca="false">AB354+AB355</f>
        <v>1479013.22084889</v>
      </c>
      <c r="AC358" s="67" t="n">
        <f aca="false">AC354+AC355</f>
        <v>1543125.04063815</v>
      </c>
      <c r="AD358" s="67" t="n">
        <f aca="false">AD354+AD355</f>
        <v>1607212.10156363</v>
      </c>
      <c r="AE358" s="67" t="n">
        <f aca="false">AE354+AE355</f>
        <v>1671274.40362534</v>
      </c>
      <c r="AF358" s="67" t="n">
        <f aca="false">AF354+AF355</f>
        <v>1735311.94682328</v>
      </c>
      <c r="AG358" s="67" t="n">
        <f aca="false">AG354+AG355</f>
        <v>1799324.73115744</v>
      </c>
      <c r="AH358" s="67" t="n">
        <f aca="false">AH354+AH355</f>
        <v>1863312.75662782</v>
      </c>
      <c r="AI358" s="67" t="n">
        <f aca="false">AI354+AI355</f>
        <v>1927276.02323443</v>
      </c>
      <c r="AJ358" s="67" t="n">
        <f aca="false">AJ354+AJ355</f>
        <v>1991214.53097727</v>
      </c>
      <c r="AK358" s="67" t="n">
        <f aca="false">AK354+AK355</f>
        <v>2055128.27985633</v>
      </c>
      <c r="AL358" s="67" t="n">
        <f aca="false">AL354+AL355</f>
        <v>2119017.26987161</v>
      </c>
    </row>
    <row r="359" customFormat="false" ht="15" hidden="false" customHeight="false" outlineLevel="0" collapsed="false">
      <c r="A359" s="4" t="s">
        <v>99</v>
      </c>
      <c r="C359" s="73" t="n">
        <f aca="false">C357+C358</f>
        <v>312980.16408327</v>
      </c>
      <c r="D359" s="73" t="n">
        <f aca="false">D357+D358</f>
        <v>355003.475596493</v>
      </c>
      <c r="E359" s="73" t="n">
        <f aca="false">E357+E358</f>
        <v>397869.63764424</v>
      </c>
      <c r="F359" s="73" t="n">
        <f aca="false">F357+F358</f>
        <v>441568.131677821</v>
      </c>
      <c r="G359" s="73" t="n">
        <f aca="false">G357+G358</f>
        <v>486088.565371128</v>
      </c>
      <c r="H359" s="73" t="n">
        <f aca="false">H357+H358</f>
        <v>531420.671105968</v>
      </c>
      <c r="I359" s="73" t="n">
        <f aca="false">I357+I358</f>
        <v>577246.436022522</v>
      </c>
      <c r="J359" s="73" t="n">
        <f aca="false">J357+J358</f>
        <v>623441.036676904</v>
      </c>
      <c r="K359" s="73" t="n">
        <f aca="false">K357+K358</f>
        <v>670008.84258836</v>
      </c>
      <c r="L359" s="73" t="n">
        <f aca="false">L357+L358</f>
        <v>716945.050452219</v>
      </c>
      <c r="M359" s="73" t="n">
        <f aca="false">M357+M358</f>
        <v>764244.914603468</v>
      </c>
      <c r="N359" s="73" t="n">
        <f aca="false">N357+N358</f>
        <v>811903.746325074</v>
      </c>
      <c r="O359" s="73" t="n">
        <f aca="false">O357+O358</f>
        <v>865921.265360873</v>
      </c>
      <c r="P359" s="73" t="n">
        <f aca="false">P357+P358</f>
        <v>919656.772752655</v>
      </c>
      <c r="Q359" s="73" t="n">
        <f aca="false">Q357+Q358</f>
        <v>974284.755179848</v>
      </c>
      <c r="R359" s="73" t="n">
        <f aca="false">R357+R358</f>
        <v>1029341.72808657</v>
      </c>
      <c r="S359" s="73" t="n">
        <f aca="false">S357+S358</f>
        <v>1084852.23404891</v>
      </c>
      <c r="T359" s="73" t="n">
        <f aca="false">T357+T358</f>
        <v>1140810.44896062</v>
      </c>
      <c r="U359" s="73" t="n">
        <f aca="false">U357+U358</f>
        <v>1197210.61860474</v>
      </c>
      <c r="V359" s="73" t="n">
        <f aca="false">V357+V358</f>
        <v>1254047.05781489</v>
      </c>
      <c r="W359" s="73" t="n">
        <f aca="false">W357+W358</f>
        <v>1311314.14964672</v>
      </c>
      <c r="X359" s="73" t="n">
        <f aca="false">X357+X358</f>
        <v>1368757.68095831</v>
      </c>
      <c r="Y359" s="73" t="n">
        <f aca="false">Y357+Y358</f>
        <v>1426119.75833528</v>
      </c>
      <c r="Z359" s="73" t="n">
        <f aca="false">Z357+Z358</f>
        <v>1483459.18270413</v>
      </c>
      <c r="AA359" s="73" t="n">
        <f aca="false">AA357+AA358</f>
        <v>1547082.80047364</v>
      </c>
      <c r="AB359" s="73" t="n">
        <f aca="false">AB357+AB358</f>
        <v>1609433.66484096</v>
      </c>
      <c r="AC359" s="73" t="n">
        <f aca="false">AC357+AC358</f>
        <v>1671759.7703445</v>
      </c>
      <c r="AD359" s="73" t="n">
        <f aca="false">AD357+AD358</f>
        <v>1734061.11698427</v>
      </c>
      <c r="AE359" s="73" t="n">
        <f aca="false">AE357+AE358</f>
        <v>1796337.70476027</v>
      </c>
      <c r="AF359" s="73" t="n">
        <f aca="false">AF357+AF358</f>
        <v>1858589.53367249</v>
      </c>
      <c r="AG359" s="73" t="n">
        <f aca="false">AG357+AG358</f>
        <v>1920816.60372093</v>
      </c>
      <c r="AH359" s="73" t="n">
        <f aca="false">AH357+AH358</f>
        <v>1983018.9149056</v>
      </c>
      <c r="AI359" s="73" t="n">
        <f aca="false">AI357+AI358</f>
        <v>2045196.4672265</v>
      </c>
      <c r="AJ359" s="73" t="n">
        <f aca="false">AJ357+AJ358</f>
        <v>2107349.26068362</v>
      </c>
      <c r="AK359" s="73" t="n">
        <f aca="false">AK357+AK358</f>
        <v>2169477.29527696</v>
      </c>
      <c r="AL359" s="73" t="n">
        <f aca="false">AL357+AL358</f>
        <v>2231580.57100654</v>
      </c>
    </row>
    <row r="360" customFormat="false" ht="15" hidden="false" customHeight="false" outlineLevel="0" collapsed="false">
      <c r="A360" s="6" t="s">
        <v>455</v>
      </c>
      <c r="C360" s="67" t="n">
        <f aca="false">C356-C359</f>
        <v>0</v>
      </c>
      <c r="D360" s="67" t="n">
        <f aca="false">D356-D359</f>
        <v>0</v>
      </c>
      <c r="E360" s="67" t="n">
        <f aca="false">E356-E359</f>
        <v>0</v>
      </c>
      <c r="F360" s="67" t="n">
        <f aca="false">F356-F359</f>
        <v>0</v>
      </c>
      <c r="G360" s="67" t="n">
        <f aca="false">G356-G359</f>
        <v>0</v>
      </c>
      <c r="H360" s="67" t="n">
        <f aca="false">H356-H359</f>
        <v>0</v>
      </c>
      <c r="I360" s="67" t="n">
        <f aca="false">I356-I359</f>
        <v>0</v>
      </c>
      <c r="J360" s="67" t="n">
        <f aca="false">J356-J359</f>
        <v>0</v>
      </c>
      <c r="K360" s="67" t="n">
        <f aca="false">K356-K359</f>
        <v>0</v>
      </c>
      <c r="L360" s="67" t="n">
        <f aca="false">L356-L359</f>
        <v>0</v>
      </c>
      <c r="M360" s="67" t="n">
        <f aca="false">M356-M359</f>
        <v>0</v>
      </c>
      <c r="N360" s="67" t="n">
        <f aca="false">N356-N359</f>
        <v>0</v>
      </c>
      <c r="O360" s="67" t="n">
        <f aca="false">O356-O359</f>
        <v>0</v>
      </c>
      <c r="P360" s="67" t="n">
        <f aca="false">P356-P359</f>
        <v>0</v>
      </c>
      <c r="Q360" s="67" t="n">
        <f aca="false">Q356-Q359</f>
        <v>0</v>
      </c>
      <c r="R360" s="67" t="n">
        <f aca="false">R356-R359</f>
        <v>0</v>
      </c>
      <c r="S360" s="67" t="n">
        <f aca="false">S356-S359</f>
        <v>0</v>
      </c>
      <c r="T360" s="67" t="n">
        <f aca="false">T356-T359</f>
        <v>0</v>
      </c>
      <c r="U360" s="67" t="n">
        <f aca="false">U356-U359</f>
        <v>0</v>
      </c>
      <c r="V360" s="67" t="n">
        <f aca="false">V356-V359</f>
        <v>0</v>
      </c>
      <c r="W360" s="67" t="n">
        <f aca="false">W356-W359</f>
        <v>0</v>
      </c>
      <c r="X360" s="67" t="n">
        <f aca="false">X356-X359</f>
        <v>0</v>
      </c>
      <c r="Y360" s="67" t="n">
        <f aca="false">Y356-Y359</f>
        <v>0</v>
      </c>
      <c r="Z360" s="67" t="n">
        <f aca="false">Z356-Z359</f>
        <v>0</v>
      </c>
      <c r="AA360" s="67" t="n">
        <f aca="false">AA356-AA359</f>
        <v>0</v>
      </c>
      <c r="AB360" s="67" t="n">
        <f aca="false">AB356-AB359</f>
        <v>0</v>
      </c>
      <c r="AC360" s="67" t="n">
        <f aca="false">AC356-AC359</f>
        <v>0</v>
      </c>
      <c r="AD360" s="67" t="n">
        <f aca="false">AD356-AD359</f>
        <v>0</v>
      </c>
      <c r="AE360" s="67" t="n">
        <f aca="false">AE356-AE359</f>
        <v>0</v>
      </c>
      <c r="AF360" s="67" t="n">
        <f aca="false">AF356-AF359</f>
        <v>0</v>
      </c>
      <c r="AG360" s="67" t="n">
        <f aca="false">AG356-AG359</f>
        <v>0</v>
      </c>
      <c r="AH360" s="67" t="n">
        <f aca="false">AH356-AH359</f>
        <v>0</v>
      </c>
      <c r="AI360" s="67" t="n">
        <f aca="false">AI356-AI359</f>
        <v>0</v>
      </c>
      <c r="AJ360" s="67" t="n">
        <f aca="false">AJ356-AJ359</f>
        <v>0</v>
      </c>
      <c r="AK360" s="67" t="n">
        <f aca="false">AK356-AK359</f>
        <v>0</v>
      </c>
      <c r="AL360" s="67" t="n">
        <f aca="false">AL356-AL359</f>
        <v>0</v>
      </c>
    </row>
    <row r="362" customFormat="false" ht="15.75" hidden="false" customHeight="true" outlineLevel="0" collapsed="false">
      <c r="A362" s="7" t="s">
        <v>457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customFormat="false" ht="15" hidden="false" customHeight="false" outlineLevel="0" collapsed="false">
      <c r="A363" s="6" t="s">
        <v>458</v>
      </c>
      <c r="C363" s="114" t="n">
        <f aca="false">Inputs!$D$59*(1+Inputs!$D$61)^(C$257-1)*MAX(0,MIN(1,C$256*1-Inputs!$D$62+1))/1</f>
        <v>1</v>
      </c>
      <c r="D363" s="114" t="n">
        <f aca="false">Inputs!$D$59*(1+Inputs!$D$61)^(D$257-1)*MAX(0,MIN(1,D$256*1-Inputs!$D$62+1))/1</f>
        <v>1</v>
      </c>
      <c r="E363" s="114" t="n">
        <f aca="false">Inputs!$D$59*(1+Inputs!$D$61)^(E$257-1)*MAX(0,MIN(1,E$256*1-Inputs!$D$62+1))/1</f>
        <v>1</v>
      </c>
      <c r="F363" s="114" t="n">
        <f aca="false">Inputs!$D$59*(1+Inputs!$D$61)^(F$257-1)*MAX(0,MIN(1,F$256*1-Inputs!$D$62+1))/1</f>
        <v>1</v>
      </c>
      <c r="G363" s="114" t="n">
        <f aca="false">Inputs!$D$59*(1+Inputs!$D$61)^(G$257-1)*MAX(0,MIN(1,G$256*1-Inputs!$D$62+1))/1</f>
        <v>1</v>
      </c>
      <c r="H363" s="114" t="n">
        <f aca="false">Inputs!$D$59*(1+Inputs!$D$61)^(H$257-1)*MAX(0,MIN(1,H$256*1-Inputs!$D$62+1))/1</f>
        <v>1</v>
      </c>
      <c r="I363" s="114" t="n">
        <f aca="false">Inputs!$D$59*(1+Inputs!$D$61)^(I$257-1)*MAX(0,MIN(1,I$256*1-Inputs!$D$62+1))/1</f>
        <v>1</v>
      </c>
      <c r="J363" s="114" t="n">
        <f aca="false">Inputs!$D$59*(1+Inputs!$D$61)^(J$257-1)*MAX(0,MIN(1,J$256*1-Inputs!$D$62+1))/1</f>
        <v>1</v>
      </c>
      <c r="K363" s="114" t="n">
        <f aca="false">Inputs!$D$59*(1+Inputs!$D$61)^(K$257-1)*MAX(0,MIN(1,K$256*1-Inputs!$D$62+1))/1</f>
        <v>1</v>
      </c>
      <c r="L363" s="114" t="n">
        <f aca="false">Inputs!$D$59*(1+Inputs!$D$61)^(L$257-1)*MAX(0,MIN(1,L$256*1-Inputs!$D$62+1))/1</f>
        <v>1</v>
      </c>
      <c r="M363" s="114" t="n">
        <f aca="false">Inputs!$D$59*(1+Inputs!$D$61)^(M$257-1)*MAX(0,MIN(1,M$256*1-Inputs!$D$62+1))/1</f>
        <v>1</v>
      </c>
      <c r="N363" s="114" t="n">
        <f aca="false">Inputs!$D$59*(1+Inputs!$D$61)^(N$257-1)*MAX(0,MIN(1,N$256*1-Inputs!$D$62+1))/1</f>
        <v>1</v>
      </c>
      <c r="O363" s="114" t="n">
        <f aca="false">Inputs!$D$59*(1+Inputs!$D$61)^(O$257-1)*MAX(0,MIN(1,O$256*1-Inputs!$D$62+1))/1</f>
        <v>1</v>
      </c>
      <c r="P363" s="114" t="n">
        <f aca="false">Inputs!$D$59*(1+Inputs!$D$61)^(P$257-1)*MAX(0,MIN(1,P$256*1-Inputs!$D$62+1))/1</f>
        <v>1</v>
      </c>
      <c r="Q363" s="114" t="n">
        <f aca="false">Inputs!$D$59*(1+Inputs!$D$61)^(Q$257-1)*MAX(0,MIN(1,Q$256*1-Inputs!$D$62+1))/1</f>
        <v>1</v>
      </c>
      <c r="R363" s="114" t="n">
        <f aca="false">Inputs!$D$59*(1+Inputs!$D$61)^(R$257-1)*MAX(0,MIN(1,R$256*1-Inputs!$D$62+1))/1</f>
        <v>1</v>
      </c>
      <c r="S363" s="114" t="n">
        <f aca="false">Inputs!$D$59*(1+Inputs!$D$61)^(S$257-1)*MAX(0,MIN(1,S$256*1-Inputs!$D$62+1))/1</f>
        <v>1</v>
      </c>
      <c r="T363" s="114" t="n">
        <f aca="false">Inputs!$D$59*(1+Inputs!$D$61)^(T$257-1)*MAX(0,MIN(1,T$256*1-Inputs!$D$62+1))/1</f>
        <v>1</v>
      </c>
      <c r="U363" s="114" t="n">
        <f aca="false">Inputs!$D$59*(1+Inputs!$D$61)^(U$257-1)*MAX(0,MIN(1,U$256*1-Inputs!$D$62+1))/1</f>
        <v>1</v>
      </c>
      <c r="V363" s="114" t="n">
        <f aca="false">Inputs!$D$59*(1+Inputs!$D$61)^(V$257-1)*MAX(0,MIN(1,V$256*1-Inputs!$D$62+1))/1</f>
        <v>1</v>
      </c>
      <c r="W363" s="114" t="n">
        <f aca="false">Inputs!$D$59*(1+Inputs!$D$61)^(W$257-1)*MAX(0,MIN(1,W$256*1-Inputs!$D$62+1))/1</f>
        <v>1</v>
      </c>
      <c r="X363" s="114" t="n">
        <f aca="false">Inputs!$D$59*(1+Inputs!$D$61)^(X$257-1)*MAX(0,MIN(1,X$256*1-Inputs!$D$62+1))/1</f>
        <v>1</v>
      </c>
      <c r="Y363" s="114" t="n">
        <f aca="false">Inputs!$D$59*(1+Inputs!$D$61)^(Y$257-1)*MAX(0,MIN(1,Y$256*1-Inputs!$D$62+1))/1</f>
        <v>1</v>
      </c>
      <c r="Z363" s="114" t="n">
        <f aca="false">Inputs!$D$59*(1+Inputs!$D$61)^(Z$257-1)*MAX(0,MIN(1,Z$256*1-Inputs!$D$62+1))/1</f>
        <v>1</v>
      </c>
      <c r="AA363" s="114" t="n">
        <f aca="false">Inputs!$D$59*(1+Inputs!$D$61)^(AA$257-1)*MAX(0,MIN(1,AA$256*1-Inputs!$D$62+1))/1</f>
        <v>1</v>
      </c>
      <c r="AB363" s="114" t="n">
        <f aca="false">Inputs!$D$59*(1+Inputs!$D$61)^(AB$257-1)*MAX(0,MIN(1,AB$256*1-Inputs!$D$62+1))/1</f>
        <v>1</v>
      </c>
      <c r="AC363" s="114" t="n">
        <f aca="false">Inputs!$D$59*(1+Inputs!$D$61)^(AC$257-1)*MAX(0,MIN(1,AC$256*1-Inputs!$D$62+1))/1</f>
        <v>1</v>
      </c>
      <c r="AD363" s="114" t="n">
        <f aca="false">Inputs!$D$59*(1+Inputs!$D$61)^(AD$257-1)*MAX(0,MIN(1,AD$256*1-Inputs!$D$62+1))/1</f>
        <v>1</v>
      </c>
      <c r="AE363" s="114" t="n">
        <f aca="false">Inputs!$D$59*(1+Inputs!$D$61)^(AE$257-1)*MAX(0,MIN(1,AE$256*1-Inputs!$D$62+1))/1</f>
        <v>1</v>
      </c>
      <c r="AF363" s="114" t="n">
        <f aca="false">Inputs!$D$59*(1+Inputs!$D$61)^(AF$257-1)*MAX(0,MIN(1,AF$256*1-Inputs!$D$62+1))/1</f>
        <v>1</v>
      </c>
      <c r="AG363" s="114" t="n">
        <f aca="false">Inputs!$D$59*(1+Inputs!$D$61)^(AG$257-1)*MAX(0,MIN(1,AG$256*1-Inputs!$D$62+1))/1</f>
        <v>1</v>
      </c>
      <c r="AH363" s="114" t="n">
        <f aca="false">Inputs!$D$59*(1+Inputs!$D$61)^(AH$257-1)*MAX(0,MIN(1,AH$256*1-Inputs!$D$62+1))/1</f>
        <v>1</v>
      </c>
      <c r="AI363" s="114" t="n">
        <f aca="false">Inputs!$D$59*(1+Inputs!$D$61)^(AI$257-1)*MAX(0,MIN(1,AI$256*1-Inputs!$D$62+1))/1</f>
        <v>1</v>
      </c>
      <c r="AJ363" s="114" t="n">
        <f aca="false">Inputs!$D$59*(1+Inputs!$D$61)^(AJ$257-1)*MAX(0,MIN(1,AJ$256*1-Inputs!$D$62+1))/1</f>
        <v>1</v>
      </c>
      <c r="AK363" s="114" t="n">
        <f aca="false">Inputs!$D$59*(1+Inputs!$D$61)^(AK$257-1)*MAX(0,MIN(1,AK$256*1-Inputs!$D$62+1))/1</f>
        <v>1</v>
      </c>
      <c r="AL363" s="114" t="n">
        <f aca="false">Inputs!$D$59*(1+Inputs!$D$61)^(AL$257-1)*MAX(0,MIN(1,AL$256*1-Inputs!$D$62+1))/1</f>
        <v>1</v>
      </c>
    </row>
    <row r="364" customFormat="false" ht="15" hidden="false" customHeight="false" outlineLevel="0" collapsed="false">
      <c r="A364" s="6" t="s">
        <v>459</v>
      </c>
      <c r="C364" s="114" t="n">
        <f aca="false">Inputs!$D$63*(1+Inputs!$D$65)^(C$257-1)*MAX(0,MIN(1,C$256*1-Inputs!$D$66+1))/1</f>
        <v>3</v>
      </c>
      <c r="D364" s="114" t="n">
        <f aca="false">Inputs!$D$63*(1+Inputs!$D$65)^(D$257-1)*MAX(0,MIN(1,D$256*1-Inputs!$D$66+1))/1</f>
        <v>3</v>
      </c>
      <c r="E364" s="114" t="n">
        <f aca="false">Inputs!$D$63*(1+Inputs!$D$65)^(E$257-1)*MAX(0,MIN(1,E$256*1-Inputs!$D$66+1))/1</f>
        <v>3</v>
      </c>
      <c r="F364" s="114" t="n">
        <f aca="false">Inputs!$D$63*(1+Inputs!$D$65)^(F$257-1)*MAX(0,MIN(1,F$256*1-Inputs!$D$66+1))/1</f>
        <v>3</v>
      </c>
      <c r="G364" s="114" t="n">
        <f aca="false">Inputs!$D$63*(1+Inputs!$D$65)^(G$257-1)*MAX(0,MIN(1,G$256*1-Inputs!$D$66+1))/1</f>
        <v>3</v>
      </c>
      <c r="H364" s="114" t="n">
        <f aca="false">Inputs!$D$63*(1+Inputs!$D$65)^(H$257-1)*MAX(0,MIN(1,H$256*1-Inputs!$D$66+1))/1</f>
        <v>3</v>
      </c>
      <c r="I364" s="114" t="n">
        <f aca="false">Inputs!$D$63*(1+Inputs!$D$65)^(I$257-1)*MAX(0,MIN(1,I$256*1-Inputs!$D$66+1))/1</f>
        <v>3</v>
      </c>
      <c r="J364" s="114" t="n">
        <f aca="false">Inputs!$D$63*(1+Inputs!$D$65)^(J$257-1)*MAX(0,MIN(1,J$256*1-Inputs!$D$66+1))/1</f>
        <v>3</v>
      </c>
      <c r="K364" s="114" t="n">
        <f aca="false">Inputs!$D$63*(1+Inputs!$D$65)^(K$257-1)*MAX(0,MIN(1,K$256*1-Inputs!$D$66+1))/1</f>
        <v>3</v>
      </c>
      <c r="L364" s="114" t="n">
        <f aca="false">Inputs!$D$63*(1+Inputs!$D$65)^(L$257-1)*MAX(0,MIN(1,L$256*1-Inputs!$D$66+1))/1</f>
        <v>3</v>
      </c>
      <c r="M364" s="114" t="n">
        <f aca="false">Inputs!$D$63*(1+Inputs!$D$65)^(M$257-1)*MAX(0,MIN(1,M$256*1-Inputs!$D$66+1))/1</f>
        <v>3</v>
      </c>
      <c r="N364" s="114" t="n">
        <f aca="false">Inputs!$D$63*(1+Inputs!$D$65)^(N$257-1)*MAX(0,MIN(1,N$256*1-Inputs!$D$66+1))/1</f>
        <v>3</v>
      </c>
      <c r="O364" s="114" t="n">
        <f aca="false">Inputs!$D$63*(1+Inputs!$D$65)^(O$257-1)*MAX(0,MIN(1,O$256*1-Inputs!$D$66+1))/1</f>
        <v>3.18</v>
      </c>
      <c r="P364" s="114" t="n">
        <f aca="false">Inputs!$D$63*(1+Inputs!$D$65)^(P$257-1)*MAX(0,MIN(1,P$256*1-Inputs!$D$66+1))/1</f>
        <v>3.18</v>
      </c>
      <c r="Q364" s="114" t="n">
        <f aca="false">Inputs!$D$63*(1+Inputs!$D$65)^(Q$257-1)*MAX(0,MIN(1,Q$256*1-Inputs!$D$66+1))/1</f>
        <v>3.18</v>
      </c>
      <c r="R364" s="114" t="n">
        <f aca="false">Inputs!$D$63*(1+Inputs!$D$65)^(R$257-1)*MAX(0,MIN(1,R$256*1-Inputs!$D$66+1))/1</f>
        <v>3.18</v>
      </c>
      <c r="S364" s="114" t="n">
        <f aca="false">Inputs!$D$63*(1+Inputs!$D$65)^(S$257-1)*MAX(0,MIN(1,S$256*1-Inputs!$D$66+1))/1</f>
        <v>3.18</v>
      </c>
      <c r="T364" s="114" t="n">
        <f aca="false">Inputs!$D$63*(1+Inputs!$D$65)^(T$257-1)*MAX(0,MIN(1,T$256*1-Inputs!$D$66+1))/1</f>
        <v>3.18</v>
      </c>
      <c r="U364" s="114" t="n">
        <f aca="false">Inputs!$D$63*(1+Inputs!$D$65)^(U$257-1)*MAX(0,MIN(1,U$256*1-Inputs!$D$66+1))/1</f>
        <v>3.18</v>
      </c>
      <c r="V364" s="114" t="n">
        <f aca="false">Inputs!$D$63*(1+Inputs!$D$65)^(V$257-1)*MAX(0,MIN(1,V$256*1-Inputs!$D$66+1))/1</f>
        <v>3.18</v>
      </c>
      <c r="W364" s="114" t="n">
        <f aca="false">Inputs!$D$63*(1+Inputs!$D$65)^(W$257-1)*MAX(0,MIN(1,W$256*1-Inputs!$D$66+1))/1</f>
        <v>3.18</v>
      </c>
      <c r="X364" s="114" t="n">
        <f aca="false">Inputs!$D$63*(1+Inputs!$D$65)^(X$257-1)*MAX(0,MIN(1,X$256*1-Inputs!$D$66+1))/1</f>
        <v>3.18</v>
      </c>
      <c r="Y364" s="114" t="n">
        <f aca="false">Inputs!$D$63*(1+Inputs!$D$65)^(Y$257-1)*MAX(0,MIN(1,Y$256*1-Inputs!$D$66+1))/1</f>
        <v>3.18</v>
      </c>
      <c r="Z364" s="114" t="n">
        <f aca="false">Inputs!$D$63*(1+Inputs!$D$65)^(Z$257-1)*MAX(0,MIN(1,Z$256*1-Inputs!$D$66+1))/1</f>
        <v>3.18</v>
      </c>
      <c r="AA364" s="114" t="n">
        <f aca="false">Inputs!$D$63*(1+Inputs!$D$65)^(AA$257-1)*MAX(0,MIN(1,AA$256*1-Inputs!$D$66+1))/1</f>
        <v>3.3708</v>
      </c>
      <c r="AB364" s="114" t="n">
        <f aca="false">Inputs!$D$63*(1+Inputs!$D$65)^(AB$257-1)*MAX(0,MIN(1,AB$256*1-Inputs!$D$66+1))/1</f>
        <v>3.3708</v>
      </c>
      <c r="AC364" s="114" t="n">
        <f aca="false">Inputs!$D$63*(1+Inputs!$D$65)^(AC$257-1)*MAX(0,MIN(1,AC$256*1-Inputs!$D$66+1))/1</f>
        <v>3.3708</v>
      </c>
      <c r="AD364" s="114" t="n">
        <f aca="false">Inputs!$D$63*(1+Inputs!$D$65)^(AD$257-1)*MAX(0,MIN(1,AD$256*1-Inputs!$D$66+1))/1</f>
        <v>3.3708</v>
      </c>
      <c r="AE364" s="114" t="n">
        <f aca="false">Inputs!$D$63*(1+Inputs!$D$65)^(AE$257-1)*MAX(0,MIN(1,AE$256*1-Inputs!$D$66+1))/1</f>
        <v>3.3708</v>
      </c>
      <c r="AF364" s="114" t="n">
        <f aca="false">Inputs!$D$63*(1+Inputs!$D$65)^(AF$257-1)*MAX(0,MIN(1,AF$256*1-Inputs!$D$66+1))/1</f>
        <v>3.3708</v>
      </c>
      <c r="AG364" s="114" t="n">
        <f aca="false">Inputs!$D$63*(1+Inputs!$D$65)^(AG$257-1)*MAX(0,MIN(1,AG$256*1-Inputs!$D$66+1))/1</f>
        <v>3.3708</v>
      </c>
      <c r="AH364" s="114" t="n">
        <f aca="false">Inputs!$D$63*(1+Inputs!$D$65)^(AH$257-1)*MAX(0,MIN(1,AH$256*1-Inputs!$D$66+1))/1</f>
        <v>3.3708</v>
      </c>
      <c r="AI364" s="114" t="n">
        <f aca="false">Inputs!$D$63*(1+Inputs!$D$65)^(AI$257-1)*MAX(0,MIN(1,AI$256*1-Inputs!$D$66+1))/1</f>
        <v>3.3708</v>
      </c>
      <c r="AJ364" s="114" t="n">
        <f aca="false">Inputs!$D$63*(1+Inputs!$D$65)^(AJ$257-1)*MAX(0,MIN(1,AJ$256*1-Inputs!$D$66+1))/1</f>
        <v>3.3708</v>
      </c>
      <c r="AK364" s="114" t="n">
        <f aca="false">Inputs!$D$63*(1+Inputs!$D$65)^(AK$257-1)*MAX(0,MIN(1,AK$256*1-Inputs!$D$66+1))/1</f>
        <v>3.3708</v>
      </c>
      <c r="AL364" s="114" t="n">
        <f aca="false">Inputs!$D$63*(1+Inputs!$D$65)^(AL$257-1)*MAX(0,MIN(1,AL$256*1-Inputs!$D$66+1))/1</f>
        <v>3.3708</v>
      </c>
    </row>
    <row r="365" customFormat="false" ht="15" hidden="false" customHeight="false" outlineLevel="0" collapsed="false">
      <c r="A365" s="6" t="s">
        <v>460</v>
      </c>
      <c r="C365" s="114" t="n">
        <f aca="false">Inputs!$D$67*(1+Inputs!$D$69)^(C$257-1)*MAX(0,MIN(1,C$256*1-Inputs!$D$70+1))/1</f>
        <v>4.5</v>
      </c>
      <c r="D365" s="114" t="n">
        <f aca="false">Inputs!$D$67*(1+Inputs!$D$69)^(D$257-1)*MAX(0,MIN(1,D$256*1-Inputs!$D$70+1))/1</f>
        <v>4.5</v>
      </c>
      <c r="E365" s="114" t="n">
        <f aca="false">Inputs!$D$67*(1+Inputs!$D$69)^(E$257-1)*MAX(0,MIN(1,E$256*1-Inputs!$D$70+1))/1</f>
        <v>4.5</v>
      </c>
      <c r="F365" s="114" t="n">
        <f aca="false">Inputs!$D$67*(1+Inputs!$D$69)^(F$257-1)*MAX(0,MIN(1,F$256*1-Inputs!$D$70+1))/1</f>
        <v>4.5</v>
      </c>
      <c r="G365" s="114" t="n">
        <f aca="false">Inputs!$D$67*(1+Inputs!$D$69)^(G$257-1)*MAX(0,MIN(1,G$256*1-Inputs!$D$70+1))/1</f>
        <v>4.5</v>
      </c>
      <c r="H365" s="114" t="n">
        <f aca="false">Inputs!$D$67*(1+Inputs!$D$69)^(H$257-1)*MAX(0,MIN(1,H$256*1-Inputs!$D$70+1))/1</f>
        <v>4.5</v>
      </c>
      <c r="I365" s="114" t="n">
        <f aca="false">Inputs!$D$67*(1+Inputs!$D$69)^(I$257-1)*MAX(0,MIN(1,I$256*1-Inputs!$D$70+1))/1</f>
        <v>4.5</v>
      </c>
      <c r="J365" s="114" t="n">
        <f aca="false">Inputs!$D$67*(1+Inputs!$D$69)^(J$257-1)*MAX(0,MIN(1,J$256*1-Inputs!$D$70+1))/1</f>
        <v>4.5</v>
      </c>
      <c r="K365" s="114" t="n">
        <f aca="false">Inputs!$D$67*(1+Inputs!$D$69)^(K$257-1)*MAX(0,MIN(1,K$256*1-Inputs!$D$70+1))/1</f>
        <v>4.5</v>
      </c>
      <c r="L365" s="114" t="n">
        <f aca="false">Inputs!$D$67*(1+Inputs!$D$69)^(L$257-1)*MAX(0,MIN(1,L$256*1-Inputs!$D$70+1))/1</f>
        <v>4.5</v>
      </c>
      <c r="M365" s="114" t="n">
        <f aca="false">Inputs!$D$67*(1+Inputs!$D$69)^(M$257-1)*MAX(0,MIN(1,M$256*1-Inputs!$D$70+1))/1</f>
        <v>4.5</v>
      </c>
      <c r="N365" s="114" t="n">
        <f aca="false">Inputs!$D$67*(1+Inputs!$D$69)^(N$257-1)*MAX(0,MIN(1,N$256*1-Inputs!$D$70+1))/1</f>
        <v>4.5</v>
      </c>
      <c r="O365" s="114" t="n">
        <f aca="false">Inputs!$D$67*(1+Inputs!$D$69)^(O$257-1)*MAX(0,MIN(1,O$256*1-Inputs!$D$70+1))/1</f>
        <v>4.68</v>
      </c>
      <c r="P365" s="114" t="n">
        <f aca="false">Inputs!$D$67*(1+Inputs!$D$69)^(P$257-1)*MAX(0,MIN(1,P$256*1-Inputs!$D$70+1))/1</f>
        <v>4.68</v>
      </c>
      <c r="Q365" s="114" t="n">
        <f aca="false">Inputs!$D$67*(1+Inputs!$D$69)^(Q$257-1)*MAX(0,MIN(1,Q$256*1-Inputs!$D$70+1))/1</f>
        <v>4.68</v>
      </c>
      <c r="R365" s="114" t="n">
        <f aca="false">Inputs!$D$67*(1+Inputs!$D$69)^(R$257-1)*MAX(0,MIN(1,R$256*1-Inputs!$D$70+1))/1</f>
        <v>4.68</v>
      </c>
      <c r="S365" s="114" t="n">
        <f aca="false">Inputs!$D$67*(1+Inputs!$D$69)^(S$257-1)*MAX(0,MIN(1,S$256*1-Inputs!$D$70+1))/1</f>
        <v>4.68</v>
      </c>
      <c r="T365" s="114" t="n">
        <f aca="false">Inputs!$D$67*(1+Inputs!$D$69)^(T$257-1)*MAX(0,MIN(1,T$256*1-Inputs!$D$70+1))/1</f>
        <v>4.68</v>
      </c>
      <c r="U365" s="114" t="n">
        <f aca="false">Inputs!$D$67*(1+Inputs!$D$69)^(U$257-1)*MAX(0,MIN(1,U$256*1-Inputs!$D$70+1))/1</f>
        <v>4.68</v>
      </c>
      <c r="V365" s="114" t="n">
        <f aca="false">Inputs!$D$67*(1+Inputs!$D$69)^(V$257-1)*MAX(0,MIN(1,V$256*1-Inputs!$D$70+1))/1</f>
        <v>4.68</v>
      </c>
      <c r="W365" s="114" t="n">
        <f aca="false">Inputs!$D$67*(1+Inputs!$D$69)^(W$257-1)*MAX(0,MIN(1,W$256*1-Inputs!$D$70+1))/1</f>
        <v>4.68</v>
      </c>
      <c r="X365" s="114" t="n">
        <f aca="false">Inputs!$D$67*(1+Inputs!$D$69)^(X$257-1)*MAX(0,MIN(1,X$256*1-Inputs!$D$70+1))/1</f>
        <v>4.68</v>
      </c>
      <c r="Y365" s="114" t="n">
        <f aca="false">Inputs!$D$67*(1+Inputs!$D$69)^(Y$257-1)*MAX(0,MIN(1,Y$256*1-Inputs!$D$70+1))/1</f>
        <v>4.68</v>
      </c>
      <c r="Z365" s="114" t="n">
        <f aca="false">Inputs!$D$67*(1+Inputs!$D$69)^(Z$257-1)*MAX(0,MIN(1,Z$256*1-Inputs!$D$70+1))/1</f>
        <v>4.68</v>
      </c>
      <c r="AA365" s="114" t="n">
        <f aca="false">Inputs!$D$67*(1+Inputs!$D$69)^(AA$257-1)*MAX(0,MIN(1,AA$256*1-Inputs!$D$70+1))/1</f>
        <v>4.8672</v>
      </c>
      <c r="AB365" s="114" t="n">
        <f aca="false">Inputs!$D$67*(1+Inputs!$D$69)^(AB$257-1)*MAX(0,MIN(1,AB$256*1-Inputs!$D$70+1))/1</f>
        <v>4.8672</v>
      </c>
      <c r="AC365" s="114" t="n">
        <f aca="false">Inputs!$D$67*(1+Inputs!$D$69)^(AC$257-1)*MAX(0,MIN(1,AC$256*1-Inputs!$D$70+1))/1</f>
        <v>4.8672</v>
      </c>
      <c r="AD365" s="114" t="n">
        <f aca="false">Inputs!$D$67*(1+Inputs!$D$69)^(AD$257-1)*MAX(0,MIN(1,AD$256*1-Inputs!$D$70+1))/1</f>
        <v>4.8672</v>
      </c>
      <c r="AE365" s="114" t="n">
        <f aca="false">Inputs!$D$67*(1+Inputs!$D$69)^(AE$257-1)*MAX(0,MIN(1,AE$256*1-Inputs!$D$70+1))/1</f>
        <v>4.8672</v>
      </c>
      <c r="AF365" s="114" t="n">
        <f aca="false">Inputs!$D$67*(1+Inputs!$D$69)^(AF$257-1)*MAX(0,MIN(1,AF$256*1-Inputs!$D$70+1))/1</f>
        <v>4.8672</v>
      </c>
      <c r="AG365" s="114" t="n">
        <f aca="false">Inputs!$D$67*(1+Inputs!$D$69)^(AG$257-1)*MAX(0,MIN(1,AG$256*1-Inputs!$D$70+1))/1</f>
        <v>4.8672</v>
      </c>
      <c r="AH365" s="114" t="n">
        <f aca="false">Inputs!$D$67*(1+Inputs!$D$69)^(AH$257-1)*MAX(0,MIN(1,AH$256*1-Inputs!$D$70+1))/1</f>
        <v>4.8672</v>
      </c>
      <c r="AI365" s="114" t="n">
        <f aca="false">Inputs!$D$67*(1+Inputs!$D$69)^(AI$257-1)*MAX(0,MIN(1,AI$256*1-Inputs!$D$70+1))/1</f>
        <v>4.8672</v>
      </c>
      <c r="AJ365" s="114" t="n">
        <f aca="false">Inputs!$D$67*(1+Inputs!$D$69)^(AJ$257-1)*MAX(0,MIN(1,AJ$256*1-Inputs!$D$70+1))/1</f>
        <v>4.8672</v>
      </c>
      <c r="AK365" s="114" t="n">
        <f aca="false">Inputs!$D$67*(1+Inputs!$D$69)^(AK$257-1)*MAX(0,MIN(1,AK$256*1-Inputs!$D$70+1))/1</f>
        <v>4.8672</v>
      </c>
      <c r="AL365" s="114" t="n">
        <f aca="false">Inputs!$D$67*(1+Inputs!$D$69)^(AL$257-1)*MAX(0,MIN(1,AL$256*1-Inputs!$D$70+1))/1</f>
        <v>4.8672</v>
      </c>
    </row>
    <row r="366" customFormat="false" ht="15" hidden="false" customHeight="false" outlineLevel="0" collapsed="false">
      <c r="A366" s="6" t="s">
        <v>461</v>
      </c>
      <c r="C366" s="114" t="n">
        <f aca="false">Inputs!$D$71*(1+Inputs!$D$73)^(C$257-1)*MAX(0,MIN(1,C$256*1-Inputs!$D$74+1))/1</f>
        <v>3</v>
      </c>
      <c r="D366" s="114" t="n">
        <f aca="false">Inputs!$D$71*(1+Inputs!$D$73)^(D$257-1)*MAX(0,MIN(1,D$256*1-Inputs!$D$74+1))/1</f>
        <v>3</v>
      </c>
      <c r="E366" s="114" t="n">
        <f aca="false">Inputs!$D$71*(1+Inputs!$D$73)^(E$257-1)*MAX(0,MIN(1,E$256*1-Inputs!$D$74+1))/1</f>
        <v>3</v>
      </c>
      <c r="F366" s="114" t="n">
        <f aca="false">Inputs!$D$71*(1+Inputs!$D$73)^(F$257-1)*MAX(0,MIN(1,F$256*1-Inputs!$D$74+1))/1</f>
        <v>3</v>
      </c>
      <c r="G366" s="114" t="n">
        <f aca="false">Inputs!$D$71*(1+Inputs!$D$73)^(G$257-1)*MAX(0,MIN(1,G$256*1-Inputs!$D$74+1))/1</f>
        <v>3</v>
      </c>
      <c r="H366" s="114" t="n">
        <f aca="false">Inputs!$D$71*(1+Inputs!$D$73)^(H$257-1)*MAX(0,MIN(1,H$256*1-Inputs!$D$74+1))/1</f>
        <v>3</v>
      </c>
      <c r="I366" s="114" t="n">
        <f aca="false">Inputs!$D$71*(1+Inputs!$D$73)^(I$257-1)*MAX(0,MIN(1,I$256*1-Inputs!$D$74+1))/1</f>
        <v>3</v>
      </c>
      <c r="J366" s="114" t="n">
        <f aca="false">Inputs!$D$71*(1+Inputs!$D$73)^(J$257-1)*MAX(0,MIN(1,J$256*1-Inputs!$D$74+1))/1</f>
        <v>3</v>
      </c>
      <c r="K366" s="114" t="n">
        <f aca="false">Inputs!$D$71*(1+Inputs!$D$73)^(K$257-1)*MAX(0,MIN(1,K$256*1-Inputs!$D$74+1))/1</f>
        <v>3</v>
      </c>
      <c r="L366" s="114" t="n">
        <f aca="false">Inputs!$D$71*(1+Inputs!$D$73)^(L$257-1)*MAX(0,MIN(1,L$256*1-Inputs!$D$74+1))/1</f>
        <v>3</v>
      </c>
      <c r="M366" s="114" t="n">
        <f aca="false">Inputs!$D$71*(1+Inputs!$D$73)^(M$257-1)*MAX(0,MIN(1,M$256*1-Inputs!$D$74+1))/1</f>
        <v>3</v>
      </c>
      <c r="N366" s="114" t="n">
        <f aca="false">Inputs!$D$71*(1+Inputs!$D$73)^(N$257-1)*MAX(0,MIN(1,N$256*1-Inputs!$D$74+1))/1</f>
        <v>3</v>
      </c>
      <c r="O366" s="114" t="n">
        <f aca="false">Inputs!$D$71*(1+Inputs!$D$73)^(O$257-1)*MAX(0,MIN(1,O$256*1-Inputs!$D$74+1))/1</f>
        <v>3.12</v>
      </c>
      <c r="P366" s="114" t="n">
        <f aca="false">Inputs!$D$71*(1+Inputs!$D$73)^(P$257-1)*MAX(0,MIN(1,P$256*1-Inputs!$D$74+1))/1</f>
        <v>3.12</v>
      </c>
      <c r="Q366" s="114" t="n">
        <f aca="false">Inputs!$D$71*(1+Inputs!$D$73)^(Q$257-1)*MAX(0,MIN(1,Q$256*1-Inputs!$D$74+1))/1</f>
        <v>3.12</v>
      </c>
      <c r="R366" s="114" t="n">
        <f aca="false">Inputs!$D$71*(1+Inputs!$D$73)^(R$257-1)*MAX(0,MIN(1,R$256*1-Inputs!$D$74+1))/1</f>
        <v>3.12</v>
      </c>
      <c r="S366" s="114" t="n">
        <f aca="false">Inputs!$D$71*(1+Inputs!$D$73)^(S$257-1)*MAX(0,MIN(1,S$256*1-Inputs!$D$74+1))/1</f>
        <v>3.12</v>
      </c>
      <c r="T366" s="114" t="n">
        <f aca="false">Inputs!$D$71*(1+Inputs!$D$73)^(T$257-1)*MAX(0,MIN(1,T$256*1-Inputs!$D$74+1))/1</f>
        <v>3.12</v>
      </c>
      <c r="U366" s="114" t="n">
        <f aca="false">Inputs!$D$71*(1+Inputs!$D$73)^(U$257-1)*MAX(0,MIN(1,U$256*1-Inputs!$D$74+1))/1</f>
        <v>3.12</v>
      </c>
      <c r="V366" s="114" t="n">
        <f aca="false">Inputs!$D$71*(1+Inputs!$D$73)^(V$257-1)*MAX(0,MIN(1,V$256*1-Inputs!$D$74+1))/1</f>
        <v>3.12</v>
      </c>
      <c r="W366" s="114" t="n">
        <f aca="false">Inputs!$D$71*(1+Inputs!$D$73)^(W$257-1)*MAX(0,MIN(1,W$256*1-Inputs!$D$74+1))/1</f>
        <v>3.12</v>
      </c>
      <c r="X366" s="114" t="n">
        <f aca="false">Inputs!$D$71*(1+Inputs!$D$73)^(X$257-1)*MAX(0,MIN(1,X$256*1-Inputs!$D$74+1))/1</f>
        <v>3.12</v>
      </c>
      <c r="Y366" s="114" t="n">
        <f aca="false">Inputs!$D$71*(1+Inputs!$D$73)^(Y$257-1)*MAX(0,MIN(1,Y$256*1-Inputs!$D$74+1))/1</f>
        <v>3.12</v>
      </c>
      <c r="Z366" s="114" t="n">
        <f aca="false">Inputs!$D$71*(1+Inputs!$D$73)^(Z$257-1)*MAX(0,MIN(1,Z$256*1-Inputs!$D$74+1))/1</f>
        <v>3.12</v>
      </c>
      <c r="AA366" s="114" t="n">
        <f aca="false">Inputs!$D$71*(1+Inputs!$D$73)^(AA$257-1)*MAX(0,MIN(1,AA$256*1-Inputs!$D$74+1))/1</f>
        <v>3.2448</v>
      </c>
      <c r="AB366" s="114" t="n">
        <f aca="false">Inputs!$D$71*(1+Inputs!$D$73)^(AB$257-1)*MAX(0,MIN(1,AB$256*1-Inputs!$D$74+1))/1</f>
        <v>3.2448</v>
      </c>
      <c r="AC366" s="114" t="n">
        <f aca="false">Inputs!$D$71*(1+Inputs!$D$73)^(AC$257-1)*MAX(0,MIN(1,AC$256*1-Inputs!$D$74+1))/1</f>
        <v>3.2448</v>
      </c>
      <c r="AD366" s="114" t="n">
        <f aca="false">Inputs!$D$71*(1+Inputs!$D$73)^(AD$257-1)*MAX(0,MIN(1,AD$256*1-Inputs!$D$74+1))/1</f>
        <v>3.2448</v>
      </c>
      <c r="AE366" s="114" t="n">
        <f aca="false">Inputs!$D$71*(1+Inputs!$D$73)^(AE$257-1)*MAX(0,MIN(1,AE$256*1-Inputs!$D$74+1))/1</f>
        <v>3.2448</v>
      </c>
      <c r="AF366" s="114" t="n">
        <f aca="false">Inputs!$D$71*(1+Inputs!$D$73)^(AF$257-1)*MAX(0,MIN(1,AF$256*1-Inputs!$D$74+1))/1</f>
        <v>3.2448</v>
      </c>
      <c r="AG366" s="114" t="n">
        <f aca="false">Inputs!$D$71*(1+Inputs!$D$73)^(AG$257-1)*MAX(0,MIN(1,AG$256*1-Inputs!$D$74+1))/1</f>
        <v>3.2448</v>
      </c>
      <c r="AH366" s="114" t="n">
        <f aca="false">Inputs!$D$71*(1+Inputs!$D$73)^(AH$257-1)*MAX(0,MIN(1,AH$256*1-Inputs!$D$74+1))/1</f>
        <v>3.2448</v>
      </c>
      <c r="AI366" s="114" t="n">
        <f aca="false">Inputs!$D$71*(1+Inputs!$D$73)^(AI$257-1)*MAX(0,MIN(1,AI$256*1-Inputs!$D$74+1))/1</f>
        <v>3.2448</v>
      </c>
      <c r="AJ366" s="114" t="n">
        <f aca="false">Inputs!$D$71*(1+Inputs!$D$73)^(AJ$257-1)*MAX(0,MIN(1,AJ$256*1-Inputs!$D$74+1))/1</f>
        <v>3.2448</v>
      </c>
      <c r="AK366" s="114" t="n">
        <f aca="false">Inputs!$D$71*(1+Inputs!$D$73)^(AK$257-1)*MAX(0,MIN(1,AK$256*1-Inputs!$D$74+1))/1</f>
        <v>3.2448</v>
      </c>
      <c r="AL366" s="114" t="n">
        <f aca="false">Inputs!$D$71*(1+Inputs!$D$73)^(AL$257-1)*MAX(0,MIN(1,AL$256*1-Inputs!$D$74+1))/1</f>
        <v>3.2448</v>
      </c>
    </row>
    <row r="367" customFormat="false" ht="15" hidden="false" customHeight="false" outlineLevel="0" collapsed="false">
      <c r="A367" s="6" t="s">
        <v>462</v>
      </c>
      <c r="C367" s="114" t="n">
        <f aca="false">Inputs!$D$75*(1+Inputs!$D$77)^(C$257-1)*MAX(0,MIN(1,C$256*1-Inputs!$D$78+1))/1</f>
        <v>1</v>
      </c>
      <c r="D367" s="114" t="n">
        <f aca="false">Inputs!$D$75*(1+Inputs!$D$77)^(D$257-1)*MAX(0,MIN(1,D$256*1-Inputs!$D$78+1))/1</f>
        <v>1</v>
      </c>
      <c r="E367" s="114" t="n">
        <f aca="false">Inputs!$D$75*(1+Inputs!$D$77)^(E$257-1)*MAX(0,MIN(1,E$256*1-Inputs!$D$78+1))/1</f>
        <v>1</v>
      </c>
      <c r="F367" s="114" t="n">
        <f aca="false">Inputs!$D$75*(1+Inputs!$D$77)^(F$257-1)*MAX(0,MIN(1,F$256*1-Inputs!$D$78+1))/1</f>
        <v>1</v>
      </c>
      <c r="G367" s="114" t="n">
        <f aca="false">Inputs!$D$75*(1+Inputs!$D$77)^(G$257-1)*MAX(0,MIN(1,G$256*1-Inputs!$D$78+1))/1</f>
        <v>1</v>
      </c>
      <c r="H367" s="114" t="n">
        <f aca="false">Inputs!$D$75*(1+Inputs!$D$77)^(H$257-1)*MAX(0,MIN(1,H$256*1-Inputs!$D$78+1))/1</f>
        <v>1</v>
      </c>
      <c r="I367" s="114" t="n">
        <f aca="false">Inputs!$D$75*(1+Inputs!$D$77)^(I$257-1)*MAX(0,MIN(1,I$256*1-Inputs!$D$78+1))/1</f>
        <v>1</v>
      </c>
      <c r="J367" s="114" t="n">
        <f aca="false">Inputs!$D$75*(1+Inputs!$D$77)^(J$257-1)*MAX(0,MIN(1,J$256*1-Inputs!$D$78+1))/1</f>
        <v>1</v>
      </c>
      <c r="K367" s="114" t="n">
        <f aca="false">Inputs!$D$75*(1+Inputs!$D$77)^(K$257-1)*MAX(0,MIN(1,K$256*1-Inputs!$D$78+1))/1</f>
        <v>1</v>
      </c>
      <c r="L367" s="114" t="n">
        <f aca="false">Inputs!$D$75*(1+Inputs!$D$77)^(L$257-1)*MAX(0,MIN(1,L$256*1-Inputs!$D$78+1))/1</f>
        <v>1</v>
      </c>
      <c r="M367" s="114" t="n">
        <f aca="false">Inputs!$D$75*(1+Inputs!$D$77)^(M$257-1)*MAX(0,MIN(1,M$256*1-Inputs!$D$78+1))/1</f>
        <v>1</v>
      </c>
      <c r="N367" s="114" t="n">
        <f aca="false">Inputs!$D$75*(1+Inputs!$D$77)^(N$257-1)*MAX(0,MIN(1,N$256*1-Inputs!$D$78+1))/1</f>
        <v>1</v>
      </c>
      <c r="O367" s="114" t="n">
        <f aca="false">Inputs!$D$75*(1+Inputs!$D$77)^(O$257-1)*MAX(0,MIN(1,O$256*1-Inputs!$D$78+1))/1</f>
        <v>1</v>
      </c>
      <c r="P367" s="114" t="n">
        <f aca="false">Inputs!$D$75*(1+Inputs!$D$77)^(P$257-1)*MAX(0,MIN(1,P$256*1-Inputs!$D$78+1))/1</f>
        <v>1</v>
      </c>
      <c r="Q367" s="114" t="n">
        <f aca="false">Inputs!$D$75*(1+Inputs!$D$77)^(Q$257-1)*MAX(0,MIN(1,Q$256*1-Inputs!$D$78+1))/1</f>
        <v>1</v>
      </c>
      <c r="R367" s="114" t="n">
        <f aca="false">Inputs!$D$75*(1+Inputs!$D$77)^(R$257-1)*MAX(0,MIN(1,R$256*1-Inputs!$D$78+1))/1</f>
        <v>1</v>
      </c>
      <c r="S367" s="114" t="n">
        <f aca="false">Inputs!$D$75*(1+Inputs!$D$77)^(S$257-1)*MAX(0,MIN(1,S$256*1-Inputs!$D$78+1))/1</f>
        <v>1</v>
      </c>
      <c r="T367" s="114" t="n">
        <f aca="false">Inputs!$D$75*(1+Inputs!$D$77)^(T$257-1)*MAX(0,MIN(1,T$256*1-Inputs!$D$78+1))/1</f>
        <v>1</v>
      </c>
      <c r="U367" s="114" t="n">
        <f aca="false">Inputs!$D$75*(1+Inputs!$D$77)^(U$257-1)*MAX(0,MIN(1,U$256*1-Inputs!$D$78+1))/1</f>
        <v>1</v>
      </c>
      <c r="V367" s="114" t="n">
        <f aca="false">Inputs!$D$75*(1+Inputs!$D$77)^(V$257-1)*MAX(0,MIN(1,V$256*1-Inputs!$D$78+1))/1</f>
        <v>1</v>
      </c>
      <c r="W367" s="114" t="n">
        <f aca="false">Inputs!$D$75*(1+Inputs!$D$77)^(W$257-1)*MAX(0,MIN(1,W$256*1-Inputs!$D$78+1))/1</f>
        <v>1</v>
      </c>
      <c r="X367" s="114" t="n">
        <f aca="false">Inputs!$D$75*(1+Inputs!$D$77)^(X$257-1)*MAX(0,MIN(1,X$256*1-Inputs!$D$78+1))/1</f>
        <v>1</v>
      </c>
      <c r="Y367" s="114" t="n">
        <f aca="false">Inputs!$D$75*(1+Inputs!$D$77)^(Y$257-1)*MAX(0,MIN(1,Y$256*1-Inputs!$D$78+1))/1</f>
        <v>1</v>
      </c>
      <c r="Z367" s="114" t="n">
        <f aca="false">Inputs!$D$75*(1+Inputs!$D$77)^(Z$257-1)*MAX(0,MIN(1,Z$256*1-Inputs!$D$78+1))/1</f>
        <v>1</v>
      </c>
      <c r="AA367" s="114" t="n">
        <f aca="false">Inputs!$D$75*(1+Inputs!$D$77)^(AA$257-1)*MAX(0,MIN(1,AA$256*1-Inputs!$D$78+1))/1</f>
        <v>1</v>
      </c>
      <c r="AB367" s="114" t="n">
        <f aca="false">Inputs!$D$75*(1+Inputs!$D$77)^(AB$257-1)*MAX(0,MIN(1,AB$256*1-Inputs!$D$78+1))/1</f>
        <v>1</v>
      </c>
      <c r="AC367" s="114" t="n">
        <f aca="false">Inputs!$D$75*(1+Inputs!$D$77)^(AC$257-1)*MAX(0,MIN(1,AC$256*1-Inputs!$D$78+1))/1</f>
        <v>1</v>
      </c>
      <c r="AD367" s="114" t="n">
        <f aca="false">Inputs!$D$75*(1+Inputs!$D$77)^(AD$257-1)*MAX(0,MIN(1,AD$256*1-Inputs!$D$78+1))/1</f>
        <v>1</v>
      </c>
      <c r="AE367" s="114" t="n">
        <f aca="false">Inputs!$D$75*(1+Inputs!$D$77)^(AE$257-1)*MAX(0,MIN(1,AE$256*1-Inputs!$D$78+1))/1</f>
        <v>1</v>
      </c>
      <c r="AF367" s="114" t="n">
        <f aca="false">Inputs!$D$75*(1+Inputs!$D$77)^(AF$257-1)*MAX(0,MIN(1,AF$256*1-Inputs!$D$78+1))/1</f>
        <v>1</v>
      </c>
      <c r="AG367" s="114" t="n">
        <f aca="false">Inputs!$D$75*(1+Inputs!$D$77)^(AG$257-1)*MAX(0,MIN(1,AG$256*1-Inputs!$D$78+1))/1</f>
        <v>1</v>
      </c>
      <c r="AH367" s="114" t="n">
        <f aca="false">Inputs!$D$75*(1+Inputs!$D$77)^(AH$257-1)*MAX(0,MIN(1,AH$256*1-Inputs!$D$78+1))/1</f>
        <v>1</v>
      </c>
      <c r="AI367" s="114" t="n">
        <f aca="false">Inputs!$D$75*(1+Inputs!$D$77)^(AI$257-1)*MAX(0,MIN(1,AI$256*1-Inputs!$D$78+1))/1</f>
        <v>1</v>
      </c>
      <c r="AJ367" s="114" t="n">
        <f aca="false">Inputs!$D$75*(1+Inputs!$D$77)^(AJ$257-1)*MAX(0,MIN(1,AJ$256*1-Inputs!$D$78+1))/1</f>
        <v>1</v>
      </c>
      <c r="AK367" s="114" t="n">
        <f aca="false">Inputs!$D$75*(1+Inputs!$D$77)^(AK$257-1)*MAX(0,MIN(1,AK$256*1-Inputs!$D$78+1))/1</f>
        <v>1</v>
      </c>
      <c r="AL367" s="114" t="n">
        <f aca="false">Inputs!$D$75*(1+Inputs!$D$77)^(AL$257-1)*MAX(0,MIN(1,AL$256*1-Inputs!$D$78+1))/1</f>
        <v>1</v>
      </c>
    </row>
    <row r="368" customFormat="false" ht="15" hidden="false" customHeight="false" outlineLevel="0" collapsed="false">
      <c r="A368" s="111" t="s">
        <v>463</v>
      </c>
      <c r="C368" s="120" t="n">
        <f aca="false">C363+C364+C365+C366+C367</f>
        <v>12.5</v>
      </c>
      <c r="D368" s="120" t="n">
        <f aca="false">D363+D364+D365+D366+D367</f>
        <v>12.5</v>
      </c>
      <c r="E368" s="120" t="n">
        <f aca="false">E363+E364+E365+E366+E367</f>
        <v>12.5</v>
      </c>
      <c r="F368" s="120" t="n">
        <f aca="false">F363+F364+F365+F366+F367</f>
        <v>12.5</v>
      </c>
      <c r="G368" s="120" t="n">
        <f aca="false">G363+G364+G365+G366+G367</f>
        <v>12.5</v>
      </c>
      <c r="H368" s="120" t="n">
        <f aca="false">H363+H364+H365+H366+H367</f>
        <v>12.5</v>
      </c>
      <c r="I368" s="120" t="n">
        <f aca="false">I363+I364+I365+I366+I367</f>
        <v>12.5</v>
      </c>
      <c r="J368" s="120" t="n">
        <f aca="false">J363+J364+J365+J366+J367</f>
        <v>12.5</v>
      </c>
      <c r="K368" s="120" t="n">
        <f aca="false">K363+K364+K365+K366+K367</f>
        <v>12.5</v>
      </c>
      <c r="L368" s="120" t="n">
        <f aca="false">L363+L364+L365+L366+L367</f>
        <v>12.5</v>
      </c>
      <c r="M368" s="120" t="n">
        <f aca="false">M363+M364+M365+M366+M367</f>
        <v>12.5</v>
      </c>
      <c r="N368" s="120" t="n">
        <f aca="false">N363+N364+N365+N366+N367</f>
        <v>12.5</v>
      </c>
      <c r="O368" s="120" t="n">
        <f aca="false">O363+O364+O365+O366+O367</f>
        <v>12.98</v>
      </c>
      <c r="P368" s="120" t="n">
        <f aca="false">P363+P364+P365+P366+P367</f>
        <v>12.98</v>
      </c>
      <c r="Q368" s="120" t="n">
        <f aca="false">Q363+Q364+Q365+Q366+Q367</f>
        <v>12.98</v>
      </c>
      <c r="R368" s="120" t="n">
        <f aca="false">R363+R364+R365+R366+R367</f>
        <v>12.98</v>
      </c>
      <c r="S368" s="120" t="n">
        <f aca="false">S363+S364+S365+S366+S367</f>
        <v>12.98</v>
      </c>
      <c r="T368" s="120" t="n">
        <f aca="false">T363+T364+T365+T366+T367</f>
        <v>12.98</v>
      </c>
      <c r="U368" s="120" t="n">
        <f aca="false">U363+U364+U365+U366+U367</f>
        <v>12.98</v>
      </c>
      <c r="V368" s="120" t="n">
        <f aca="false">V363+V364+V365+V366+V367</f>
        <v>12.98</v>
      </c>
      <c r="W368" s="120" t="n">
        <f aca="false">W363+W364+W365+W366+W367</f>
        <v>12.98</v>
      </c>
      <c r="X368" s="120" t="n">
        <f aca="false">X363+X364+X365+X366+X367</f>
        <v>12.98</v>
      </c>
      <c r="Y368" s="120" t="n">
        <f aca="false">Y363+Y364+Y365+Y366+Y367</f>
        <v>12.98</v>
      </c>
      <c r="Z368" s="120" t="n">
        <f aca="false">Z363+Z364+Z365+Z366+Z367</f>
        <v>12.98</v>
      </c>
      <c r="AA368" s="120" t="n">
        <f aca="false">AA363+AA364+AA365+AA366+AA367</f>
        <v>13.4828</v>
      </c>
      <c r="AB368" s="120" t="n">
        <f aca="false">AB363+AB364+AB365+AB366+AB367</f>
        <v>13.4828</v>
      </c>
      <c r="AC368" s="120" t="n">
        <f aca="false">AC363+AC364+AC365+AC366+AC367</f>
        <v>13.4828</v>
      </c>
      <c r="AD368" s="120" t="n">
        <f aca="false">AD363+AD364+AD365+AD366+AD367</f>
        <v>13.4828</v>
      </c>
      <c r="AE368" s="120" t="n">
        <f aca="false">AE363+AE364+AE365+AE366+AE367</f>
        <v>13.4828</v>
      </c>
      <c r="AF368" s="120" t="n">
        <f aca="false">AF363+AF364+AF365+AF366+AF367</f>
        <v>13.4828</v>
      </c>
      <c r="AG368" s="120" t="n">
        <f aca="false">AG363+AG364+AG365+AG366+AG367</f>
        <v>13.4828</v>
      </c>
      <c r="AH368" s="120" t="n">
        <f aca="false">AH363+AH364+AH365+AH366+AH367</f>
        <v>13.4828</v>
      </c>
      <c r="AI368" s="120" t="n">
        <f aca="false">AI363+AI364+AI365+AI366+AI367</f>
        <v>13.4828</v>
      </c>
      <c r="AJ368" s="120" t="n">
        <f aca="false">AJ363+AJ364+AJ365+AJ366+AJ367</f>
        <v>13.4828</v>
      </c>
      <c r="AK368" s="120" t="n">
        <f aca="false">AK363+AK364+AK365+AK366+AK367</f>
        <v>13.4828</v>
      </c>
      <c r="AL368" s="120" t="n">
        <f aca="false">AL363+AL364+AL365+AL366+AL367</f>
        <v>13.4828</v>
      </c>
    </row>
    <row r="370" customFormat="false" ht="15.75" hidden="false" customHeight="true" outlineLevel="0" collapsed="false">
      <c r="A370" s="7" t="s">
        <v>464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customFormat="false" ht="15" hidden="false" customHeight="false" outlineLevel="0" collapsed="false">
      <c r="A371" s="6" t="s">
        <v>465</v>
      </c>
      <c r="C371" s="67" t="n">
        <f aca="false">-C363*Inputs!$D$60/12*1*(1+Inputs!$D$79)*(1+Inputs!$D$80)^(C$257-1)</f>
        <v>-16500</v>
      </c>
      <c r="D371" s="67" t="n">
        <f aca="false">-D363*Inputs!$D$60/12*1*(1+Inputs!$D$79)*(1+Inputs!$D$80)^(D$257-1)</f>
        <v>-16500</v>
      </c>
      <c r="E371" s="67" t="n">
        <f aca="false">-E363*Inputs!$D$60/12*1*(1+Inputs!$D$79)*(1+Inputs!$D$80)^(E$257-1)</f>
        <v>-16500</v>
      </c>
      <c r="F371" s="67" t="n">
        <f aca="false">-F363*Inputs!$D$60/12*1*(1+Inputs!$D$79)*(1+Inputs!$D$80)^(F$257-1)</f>
        <v>-16500</v>
      </c>
      <c r="G371" s="67" t="n">
        <f aca="false">-G363*Inputs!$D$60/12*1*(1+Inputs!$D$79)*(1+Inputs!$D$80)^(G$257-1)</f>
        <v>-16500</v>
      </c>
      <c r="H371" s="67" t="n">
        <f aca="false">-H363*Inputs!$D$60/12*1*(1+Inputs!$D$79)*(1+Inputs!$D$80)^(H$257-1)</f>
        <v>-16500</v>
      </c>
      <c r="I371" s="67" t="n">
        <f aca="false">-I363*Inputs!$D$60/12*1*(1+Inputs!$D$79)*(1+Inputs!$D$80)^(I$257-1)</f>
        <v>-16500</v>
      </c>
      <c r="J371" s="67" t="n">
        <f aca="false">-J363*Inputs!$D$60/12*1*(1+Inputs!$D$79)*(1+Inputs!$D$80)^(J$257-1)</f>
        <v>-16500</v>
      </c>
      <c r="K371" s="67" t="n">
        <f aca="false">-K363*Inputs!$D$60/12*1*(1+Inputs!$D$79)*(1+Inputs!$D$80)^(K$257-1)</f>
        <v>-16500</v>
      </c>
      <c r="L371" s="67" t="n">
        <f aca="false">-L363*Inputs!$D$60/12*1*(1+Inputs!$D$79)*(1+Inputs!$D$80)^(L$257-1)</f>
        <v>-16500</v>
      </c>
      <c r="M371" s="67" t="n">
        <f aca="false">-M363*Inputs!$D$60/12*1*(1+Inputs!$D$79)*(1+Inputs!$D$80)^(M$257-1)</f>
        <v>-16500</v>
      </c>
      <c r="N371" s="67" t="n">
        <f aca="false">-N363*Inputs!$D$60/12*1*(1+Inputs!$D$79)*(1+Inputs!$D$80)^(N$257-1)</f>
        <v>-16500</v>
      </c>
      <c r="O371" s="67" t="n">
        <f aca="false">-O363*Inputs!$D$60/12*1*(1+Inputs!$D$79)*(1+Inputs!$D$80)^(O$257-1)</f>
        <v>-16995</v>
      </c>
      <c r="P371" s="67" t="n">
        <f aca="false">-P363*Inputs!$D$60/12*1*(1+Inputs!$D$79)*(1+Inputs!$D$80)^(P$257-1)</f>
        <v>-16995</v>
      </c>
      <c r="Q371" s="67" t="n">
        <f aca="false">-Q363*Inputs!$D$60/12*1*(1+Inputs!$D$79)*(1+Inputs!$D$80)^(Q$257-1)</f>
        <v>-16995</v>
      </c>
      <c r="R371" s="67" t="n">
        <f aca="false">-R363*Inputs!$D$60/12*1*(1+Inputs!$D$79)*(1+Inputs!$D$80)^(R$257-1)</f>
        <v>-16995</v>
      </c>
      <c r="S371" s="67" t="n">
        <f aca="false">-S363*Inputs!$D$60/12*1*(1+Inputs!$D$79)*(1+Inputs!$D$80)^(S$257-1)</f>
        <v>-16995</v>
      </c>
      <c r="T371" s="67" t="n">
        <f aca="false">-T363*Inputs!$D$60/12*1*(1+Inputs!$D$79)*(1+Inputs!$D$80)^(T$257-1)</f>
        <v>-16995</v>
      </c>
      <c r="U371" s="67" t="n">
        <f aca="false">-U363*Inputs!$D$60/12*1*(1+Inputs!$D$79)*(1+Inputs!$D$80)^(U$257-1)</f>
        <v>-16995</v>
      </c>
      <c r="V371" s="67" t="n">
        <f aca="false">-V363*Inputs!$D$60/12*1*(1+Inputs!$D$79)*(1+Inputs!$D$80)^(V$257-1)</f>
        <v>-16995</v>
      </c>
      <c r="W371" s="67" t="n">
        <f aca="false">-W363*Inputs!$D$60/12*1*(1+Inputs!$D$79)*(1+Inputs!$D$80)^(W$257-1)</f>
        <v>-16995</v>
      </c>
      <c r="X371" s="67" t="n">
        <f aca="false">-X363*Inputs!$D$60/12*1*(1+Inputs!$D$79)*(1+Inputs!$D$80)^(X$257-1)</f>
        <v>-16995</v>
      </c>
      <c r="Y371" s="67" t="n">
        <f aca="false">-Y363*Inputs!$D$60/12*1*(1+Inputs!$D$79)*(1+Inputs!$D$80)^(Y$257-1)</f>
        <v>-16995</v>
      </c>
      <c r="Z371" s="67" t="n">
        <f aca="false">-Z363*Inputs!$D$60/12*1*(1+Inputs!$D$79)*(1+Inputs!$D$80)^(Z$257-1)</f>
        <v>-16995</v>
      </c>
      <c r="AA371" s="67" t="n">
        <f aca="false">-AA363*Inputs!$D$60/12*1*(1+Inputs!$D$79)*(1+Inputs!$D$80)^(AA$257-1)</f>
        <v>-17504.85</v>
      </c>
      <c r="AB371" s="67" t="n">
        <f aca="false">-AB363*Inputs!$D$60/12*1*(1+Inputs!$D$79)*(1+Inputs!$D$80)^(AB$257-1)</f>
        <v>-17504.85</v>
      </c>
      <c r="AC371" s="67" t="n">
        <f aca="false">-AC363*Inputs!$D$60/12*1*(1+Inputs!$D$79)*(1+Inputs!$D$80)^(AC$257-1)</f>
        <v>-17504.85</v>
      </c>
      <c r="AD371" s="67" t="n">
        <f aca="false">-AD363*Inputs!$D$60/12*1*(1+Inputs!$D$79)*(1+Inputs!$D$80)^(AD$257-1)</f>
        <v>-17504.85</v>
      </c>
      <c r="AE371" s="67" t="n">
        <f aca="false">-AE363*Inputs!$D$60/12*1*(1+Inputs!$D$79)*(1+Inputs!$D$80)^(AE$257-1)</f>
        <v>-17504.85</v>
      </c>
      <c r="AF371" s="67" t="n">
        <f aca="false">-AF363*Inputs!$D$60/12*1*(1+Inputs!$D$79)*(1+Inputs!$D$80)^(AF$257-1)</f>
        <v>-17504.85</v>
      </c>
      <c r="AG371" s="67" t="n">
        <f aca="false">-AG363*Inputs!$D$60/12*1*(1+Inputs!$D$79)*(1+Inputs!$D$80)^(AG$257-1)</f>
        <v>-17504.85</v>
      </c>
      <c r="AH371" s="67" t="n">
        <f aca="false">-AH363*Inputs!$D$60/12*1*(1+Inputs!$D$79)*(1+Inputs!$D$80)^(AH$257-1)</f>
        <v>-17504.85</v>
      </c>
      <c r="AI371" s="67" t="n">
        <f aca="false">-AI363*Inputs!$D$60/12*1*(1+Inputs!$D$79)*(1+Inputs!$D$80)^(AI$257-1)</f>
        <v>-17504.85</v>
      </c>
      <c r="AJ371" s="67" t="n">
        <f aca="false">-AJ363*Inputs!$D$60/12*1*(1+Inputs!$D$79)*(1+Inputs!$D$80)^(AJ$257-1)</f>
        <v>-17504.85</v>
      </c>
      <c r="AK371" s="67" t="n">
        <f aca="false">-AK363*Inputs!$D$60/12*1*(1+Inputs!$D$79)*(1+Inputs!$D$80)^(AK$257-1)</f>
        <v>-17504.85</v>
      </c>
      <c r="AL371" s="67" t="n">
        <f aca="false">-AL363*Inputs!$D$60/12*1*(1+Inputs!$D$79)*(1+Inputs!$D$80)^(AL$257-1)</f>
        <v>-17504.85</v>
      </c>
    </row>
    <row r="372" customFormat="false" ht="15" hidden="false" customHeight="false" outlineLevel="0" collapsed="false">
      <c r="A372" s="6" t="s">
        <v>466</v>
      </c>
      <c r="C372" s="67" t="n">
        <f aca="false">-C364*Inputs!$D$64/12*1*(1+Inputs!$D$79)*(1+Inputs!$D$80)^(C$257-1)</f>
        <v>-26400</v>
      </c>
      <c r="D372" s="67" t="n">
        <f aca="false">-D364*Inputs!$D$64/12*1*(1+Inputs!$D$79)*(1+Inputs!$D$80)^(D$257-1)</f>
        <v>-26400</v>
      </c>
      <c r="E372" s="67" t="n">
        <f aca="false">-E364*Inputs!$D$64/12*1*(1+Inputs!$D$79)*(1+Inputs!$D$80)^(E$257-1)</f>
        <v>-26400</v>
      </c>
      <c r="F372" s="67" t="n">
        <f aca="false">-F364*Inputs!$D$64/12*1*(1+Inputs!$D$79)*(1+Inputs!$D$80)^(F$257-1)</f>
        <v>-26400</v>
      </c>
      <c r="G372" s="67" t="n">
        <f aca="false">-G364*Inputs!$D$64/12*1*(1+Inputs!$D$79)*(1+Inputs!$D$80)^(G$257-1)</f>
        <v>-26400</v>
      </c>
      <c r="H372" s="67" t="n">
        <f aca="false">-H364*Inputs!$D$64/12*1*(1+Inputs!$D$79)*(1+Inputs!$D$80)^(H$257-1)</f>
        <v>-26400</v>
      </c>
      <c r="I372" s="67" t="n">
        <f aca="false">-I364*Inputs!$D$64/12*1*(1+Inputs!$D$79)*(1+Inputs!$D$80)^(I$257-1)</f>
        <v>-26400</v>
      </c>
      <c r="J372" s="67" t="n">
        <f aca="false">-J364*Inputs!$D$64/12*1*(1+Inputs!$D$79)*(1+Inputs!$D$80)^(J$257-1)</f>
        <v>-26400</v>
      </c>
      <c r="K372" s="67" t="n">
        <f aca="false">-K364*Inputs!$D$64/12*1*(1+Inputs!$D$79)*(1+Inputs!$D$80)^(K$257-1)</f>
        <v>-26400</v>
      </c>
      <c r="L372" s="67" t="n">
        <f aca="false">-L364*Inputs!$D$64/12*1*(1+Inputs!$D$79)*(1+Inputs!$D$80)^(L$257-1)</f>
        <v>-26400</v>
      </c>
      <c r="M372" s="67" t="n">
        <f aca="false">-M364*Inputs!$D$64/12*1*(1+Inputs!$D$79)*(1+Inputs!$D$80)^(M$257-1)</f>
        <v>-26400</v>
      </c>
      <c r="N372" s="67" t="n">
        <f aca="false">-N364*Inputs!$D$64/12*1*(1+Inputs!$D$79)*(1+Inputs!$D$80)^(N$257-1)</f>
        <v>-26400</v>
      </c>
      <c r="O372" s="67" t="n">
        <f aca="false">-O364*Inputs!$D$64/12*1*(1+Inputs!$D$79)*(1+Inputs!$D$80)^(O$257-1)</f>
        <v>-28823.52</v>
      </c>
      <c r="P372" s="67" t="n">
        <f aca="false">-P364*Inputs!$D$64/12*1*(1+Inputs!$D$79)*(1+Inputs!$D$80)^(P$257-1)</f>
        <v>-28823.52</v>
      </c>
      <c r="Q372" s="67" t="n">
        <f aca="false">-Q364*Inputs!$D$64/12*1*(1+Inputs!$D$79)*(1+Inputs!$D$80)^(Q$257-1)</f>
        <v>-28823.52</v>
      </c>
      <c r="R372" s="67" t="n">
        <f aca="false">-R364*Inputs!$D$64/12*1*(1+Inputs!$D$79)*(1+Inputs!$D$80)^(R$257-1)</f>
        <v>-28823.52</v>
      </c>
      <c r="S372" s="67" t="n">
        <f aca="false">-S364*Inputs!$D$64/12*1*(1+Inputs!$D$79)*(1+Inputs!$D$80)^(S$257-1)</f>
        <v>-28823.52</v>
      </c>
      <c r="T372" s="67" t="n">
        <f aca="false">-T364*Inputs!$D$64/12*1*(1+Inputs!$D$79)*(1+Inputs!$D$80)^(T$257-1)</f>
        <v>-28823.52</v>
      </c>
      <c r="U372" s="67" t="n">
        <f aca="false">-U364*Inputs!$D$64/12*1*(1+Inputs!$D$79)*(1+Inputs!$D$80)^(U$257-1)</f>
        <v>-28823.52</v>
      </c>
      <c r="V372" s="67" t="n">
        <f aca="false">-V364*Inputs!$D$64/12*1*(1+Inputs!$D$79)*(1+Inputs!$D$80)^(V$257-1)</f>
        <v>-28823.52</v>
      </c>
      <c r="W372" s="67" t="n">
        <f aca="false">-W364*Inputs!$D$64/12*1*(1+Inputs!$D$79)*(1+Inputs!$D$80)^(W$257-1)</f>
        <v>-28823.52</v>
      </c>
      <c r="X372" s="67" t="n">
        <f aca="false">-X364*Inputs!$D$64/12*1*(1+Inputs!$D$79)*(1+Inputs!$D$80)^(X$257-1)</f>
        <v>-28823.52</v>
      </c>
      <c r="Y372" s="67" t="n">
        <f aca="false">-Y364*Inputs!$D$64/12*1*(1+Inputs!$D$79)*(1+Inputs!$D$80)^(Y$257-1)</f>
        <v>-28823.52</v>
      </c>
      <c r="Z372" s="67" t="n">
        <f aca="false">-Z364*Inputs!$D$64/12*1*(1+Inputs!$D$79)*(1+Inputs!$D$80)^(Z$257-1)</f>
        <v>-28823.52</v>
      </c>
      <c r="AA372" s="67" t="n">
        <f aca="false">-AA364*Inputs!$D$64/12*1*(1+Inputs!$D$79)*(1+Inputs!$D$80)^(AA$257-1)</f>
        <v>-31469.519136</v>
      </c>
      <c r="AB372" s="67" t="n">
        <f aca="false">-AB364*Inputs!$D$64/12*1*(1+Inputs!$D$79)*(1+Inputs!$D$80)^(AB$257-1)</f>
        <v>-31469.519136</v>
      </c>
      <c r="AC372" s="67" t="n">
        <f aca="false">-AC364*Inputs!$D$64/12*1*(1+Inputs!$D$79)*(1+Inputs!$D$80)^(AC$257-1)</f>
        <v>-31469.519136</v>
      </c>
      <c r="AD372" s="67" t="n">
        <f aca="false">-AD364*Inputs!$D$64/12*1*(1+Inputs!$D$79)*(1+Inputs!$D$80)^(AD$257-1)</f>
        <v>-31469.519136</v>
      </c>
      <c r="AE372" s="67" t="n">
        <f aca="false">-AE364*Inputs!$D$64/12*1*(1+Inputs!$D$79)*(1+Inputs!$D$80)^(AE$257-1)</f>
        <v>-31469.519136</v>
      </c>
      <c r="AF372" s="67" t="n">
        <f aca="false">-AF364*Inputs!$D$64/12*1*(1+Inputs!$D$79)*(1+Inputs!$D$80)^(AF$257-1)</f>
        <v>-31469.519136</v>
      </c>
      <c r="AG372" s="67" t="n">
        <f aca="false">-AG364*Inputs!$D$64/12*1*(1+Inputs!$D$79)*(1+Inputs!$D$80)^(AG$257-1)</f>
        <v>-31469.519136</v>
      </c>
      <c r="AH372" s="67" t="n">
        <f aca="false">-AH364*Inputs!$D$64/12*1*(1+Inputs!$D$79)*(1+Inputs!$D$80)^(AH$257-1)</f>
        <v>-31469.519136</v>
      </c>
      <c r="AI372" s="67" t="n">
        <f aca="false">-AI364*Inputs!$D$64/12*1*(1+Inputs!$D$79)*(1+Inputs!$D$80)^(AI$257-1)</f>
        <v>-31469.519136</v>
      </c>
      <c r="AJ372" s="67" t="n">
        <f aca="false">-AJ364*Inputs!$D$64/12*1*(1+Inputs!$D$79)*(1+Inputs!$D$80)^(AJ$257-1)</f>
        <v>-31469.519136</v>
      </c>
      <c r="AK372" s="67" t="n">
        <f aca="false">-AK364*Inputs!$D$64/12*1*(1+Inputs!$D$79)*(1+Inputs!$D$80)^(AK$257-1)</f>
        <v>-31469.519136</v>
      </c>
      <c r="AL372" s="67" t="n">
        <f aca="false">-AL364*Inputs!$D$64/12*1*(1+Inputs!$D$79)*(1+Inputs!$D$80)^(AL$257-1)</f>
        <v>-31469.519136</v>
      </c>
    </row>
    <row r="373" customFormat="false" ht="15" hidden="false" customHeight="false" outlineLevel="0" collapsed="false">
      <c r="A373" s="6" t="s">
        <v>467</v>
      </c>
      <c r="C373" s="67" t="n">
        <f aca="false">-C365*Inputs!$D$68/12*1*(1+Inputs!$D$79)*(1+Inputs!$D$80)^(C$257-1)</f>
        <v>-18562.5</v>
      </c>
      <c r="D373" s="67" t="n">
        <f aca="false">-D365*Inputs!$D$68/12*1*(1+Inputs!$D$79)*(1+Inputs!$D$80)^(D$257-1)</f>
        <v>-18562.5</v>
      </c>
      <c r="E373" s="67" t="n">
        <f aca="false">-E365*Inputs!$D$68/12*1*(1+Inputs!$D$79)*(1+Inputs!$D$80)^(E$257-1)</f>
        <v>-18562.5</v>
      </c>
      <c r="F373" s="67" t="n">
        <f aca="false">-F365*Inputs!$D$68/12*1*(1+Inputs!$D$79)*(1+Inputs!$D$80)^(F$257-1)</f>
        <v>-18562.5</v>
      </c>
      <c r="G373" s="67" t="n">
        <f aca="false">-G365*Inputs!$D$68/12*1*(1+Inputs!$D$79)*(1+Inputs!$D$80)^(G$257-1)</f>
        <v>-18562.5</v>
      </c>
      <c r="H373" s="67" t="n">
        <f aca="false">-H365*Inputs!$D$68/12*1*(1+Inputs!$D$79)*(1+Inputs!$D$80)^(H$257-1)</f>
        <v>-18562.5</v>
      </c>
      <c r="I373" s="67" t="n">
        <f aca="false">-I365*Inputs!$D$68/12*1*(1+Inputs!$D$79)*(1+Inputs!$D$80)^(I$257-1)</f>
        <v>-18562.5</v>
      </c>
      <c r="J373" s="67" t="n">
        <f aca="false">-J365*Inputs!$D$68/12*1*(1+Inputs!$D$79)*(1+Inputs!$D$80)^(J$257-1)</f>
        <v>-18562.5</v>
      </c>
      <c r="K373" s="67" t="n">
        <f aca="false">-K365*Inputs!$D$68/12*1*(1+Inputs!$D$79)*(1+Inputs!$D$80)^(K$257-1)</f>
        <v>-18562.5</v>
      </c>
      <c r="L373" s="67" t="n">
        <f aca="false">-L365*Inputs!$D$68/12*1*(1+Inputs!$D$79)*(1+Inputs!$D$80)^(L$257-1)</f>
        <v>-18562.5</v>
      </c>
      <c r="M373" s="67" t="n">
        <f aca="false">-M365*Inputs!$D$68/12*1*(1+Inputs!$D$79)*(1+Inputs!$D$80)^(M$257-1)</f>
        <v>-18562.5</v>
      </c>
      <c r="N373" s="67" t="n">
        <f aca="false">-N365*Inputs!$D$68/12*1*(1+Inputs!$D$79)*(1+Inputs!$D$80)^(N$257-1)</f>
        <v>-18562.5</v>
      </c>
      <c r="O373" s="67" t="n">
        <f aca="false">-O365*Inputs!$D$68/12*1*(1+Inputs!$D$79)*(1+Inputs!$D$80)^(O$257-1)</f>
        <v>-19884.15</v>
      </c>
      <c r="P373" s="67" t="n">
        <f aca="false">-P365*Inputs!$D$68/12*1*(1+Inputs!$D$79)*(1+Inputs!$D$80)^(P$257-1)</f>
        <v>-19884.15</v>
      </c>
      <c r="Q373" s="67" t="n">
        <f aca="false">-Q365*Inputs!$D$68/12*1*(1+Inputs!$D$79)*(1+Inputs!$D$80)^(Q$257-1)</f>
        <v>-19884.15</v>
      </c>
      <c r="R373" s="67" t="n">
        <f aca="false">-R365*Inputs!$D$68/12*1*(1+Inputs!$D$79)*(1+Inputs!$D$80)^(R$257-1)</f>
        <v>-19884.15</v>
      </c>
      <c r="S373" s="67" t="n">
        <f aca="false">-S365*Inputs!$D$68/12*1*(1+Inputs!$D$79)*(1+Inputs!$D$80)^(S$257-1)</f>
        <v>-19884.15</v>
      </c>
      <c r="T373" s="67" t="n">
        <f aca="false">-T365*Inputs!$D$68/12*1*(1+Inputs!$D$79)*(1+Inputs!$D$80)^(T$257-1)</f>
        <v>-19884.15</v>
      </c>
      <c r="U373" s="67" t="n">
        <f aca="false">-U365*Inputs!$D$68/12*1*(1+Inputs!$D$79)*(1+Inputs!$D$80)^(U$257-1)</f>
        <v>-19884.15</v>
      </c>
      <c r="V373" s="67" t="n">
        <f aca="false">-V365*Inputs!$D$68/12*1*(1+Inputs!$D$79)*(1+Inputs!$D$80)^(V$257-1)</f>
        <v>-19884.15</v>
      </c>
      <c r="W373" s="67" t="n">
        <f aca="false">-W365*Inputs!$D$68/12*1*(1+Inputs!$D$79)*(1+Inputs!$D$80)^(W$257-1)</f>
        <v>-19884.15</v>
      </c>
      <c r="X373" s="67" t="n">
        <f aca="false">-X365*Inputs!$D$68/12*1*(1+Inputs!$D$79)*(1+Inputs!$D$80)^(X$257-1)</f>
        <v>-19884.15</v>
      </c>
      <c r="Y373" s="67" t="n">
        <f aca="false">-Y365*Inputs!$D$68/12*1*(1+Inputs!$D$79)*(1+Inputs!$D$80)^(Y$257-1)</f>
        <v>-19884.15</v>
      </c>
      <c r="Z373" s="67" t="n">
        <f aca="false">-Z365*Inputs!$D$68/12*1*(1+Inputs!$D$79)*(1+Inputs!$D$80)^(Z$257-1)</f>
        <v>-19884.15</v>
      </c>
      <c r="AA373" s="67" t="n">
        <f aca="false">-AA365*Inputs!$D$68/12*1*(1+Inputs!$D$79)*(1+Inputs!$D$80)^(AA$257-1)</f>
        <v>-21299.90148</v>
      </c>
      <c r="AB373" s="67" t="n">
        <f aca="false">-AB365*Inputs!$D$68/12*1*(1+Inputs!$D$79)*(1+Inputs!$D$80)^(AB$257-1)</f>
        <v>-21299.90148</v>
      </c>
      <c r="AC373" s="67" t="n">
        <f aca="false">-AC365*Inputs!$D$68/12*1*(1+Inputs!$D$79)*(1+Inputs!$D$80)^(AC$257-1)</f>
        <v>-21299.90148</v>
      </c>
      <c r="AD373" s="67" t="n">
        <f aca="false">-AD365*Inputs!$D$68/12*1*(1+Inputs!$D$79)*(1+Inputs!$D$80)^(AD$257-1)</f>
        <v>-21299.90148</v>
      </c>
      <c r="AE373" s="67" t="n">
        <f aca="false">-AE365*Inputs!$D$68/12*1*(1+Inputs!$D$79)*(1+Inputs!$D$80)^(AE$257-1)</f>
        <v>-21299.90148</v>
      </c>
      <c r="AF373" s="67" t="n">
        <f aca="false">-AF365*Inputs!$D$68/12*1*(1+Inputs!$D$79)*(1+Inputs!$D$80)^(AF$257-1)</f>
        <v>-21299.90148</v>
      </c>
      <c r="AG373" s="67" t="n">
        <f aca="false">-AG365*Inputs!$D$68/12*1*(1+Inputs!$D$79)*(1+Inputs!$D$80)^(AG$257-1)</f>
        <v>-21299.90148</v>
      </c>
      <c r="AH373" s="67" t="n">
        <f aca="false">-AH365*Inputs!$D$68/12*1*(1+Inputs!$D$79)*(1+Inputs!$D$80)^(AH$257-1)</f>
        <v>-21299.90148</v>
      </c>
      <c r="AI373" s="67" t="n">
        <f aca="false">-AI365*Inputs!$D$68/12*1*(1+Inputs!$D$79)*(1+Inputs!$D$80)^(AI$257-1)</f>
        <v>-21299.90148</v>
      </c>
      <c r="AJ373" s="67" t="n">
        <f aca="false">-AJ365*Inputs!$D$68/12*1*(1+Inputs!$D$79)*(1+Inputs!$D$80)^(AJ$257-1)</f>
        <v>-21299.90148</v>
      </c>
      <c r="AK373" s="67" t="n">
        <f aca="false">-AK365*Inputs!$D$68/12*1*(1+Inputs!$D$79)*(1+Inputs!$D$80)^(AK$257-1)</f>
        <v>-21299.90148</v>
      </c>
      <c r="AL373" s="67" t="n">
        <f aca="false">-AL365*Inputs!$D$68/12*1*(1+Inputs!$D$79)*(1+Inputs!$D$80)^(AL$257-1)</f>
        <v>-21299.90148</v>
      </c>
    </row>
    <row r="374" customFormat="false" ht="15" hidden="false" customHeight="false" outlineLevel="0" collapsed="false">
      <c r="A374" s="6" t="s">
        <v>468</v>
      </c>
      <c r="C374" s="67" t="n">
        <f aca="false">-C366*Inputs!$D$72/12*1*(1+Inputs!$D$79)*(1+Inputs!$D$80)^(C$257-1)</f>
        <v>-11275</v>
      </c>
      <c r="D374" s="67" t="n">
        <f aca="false">-D366*Inputs!$D$72/12*1*(1+Inputs!$D$79)*(1+Inputs!$D$80)^(D$257-1)</f>
        <v>-11275</v>
      </c>
      <c r="E374" s="67" t="n">
        <f aca="false">-E366*Inputs!$D$72/12*1*(1+Inputs!$D$79)*(1+Inputs!$D$80)^(E$257-1)</f>
        <v>-11275</v>
      </c>
      <c r="F374" s="67" t="n">
        <f aca="false">-F366*Inputs!$D$72/12*1*(1+Inputs!$D$79)*(1+Inputs!$D$80)^(F$257-1)</f>
        <v>-11275</v>
      </c>
      <c r="G374" s="67" t="n">
        <f aca="false">-G366*Inputs!$D$72/12*1*(1+Inputs!$D$79)*(1+Inputs!$D$80)^(G$257-1)</f>
        <v>-11275</v>
      </c>
      <c r="H374" s="67" t="n">
        <f aca="false">-H366*Inputs!$D$72/12*1*(1+Inputs!$D$79)*(1+Inputs!$D$80)^(H$257-1)</f>
        <v>-11275</v>
      </c>
      <c r="I374" s="67" t="n">
        <f aca="false">-I366*Inputs!$D$72/12*1*(1+Inputs!$D$79)*(1+Inputs!$D$80)^(I$257-1)</f>
        <v>-11275</v>
      </c>
      <c r="J374" s="67" t="n">
        <f aca="false">-J366*Inputs!$D$72/12*1*(1+Inputs!$D$79)*(1+Inputs!$D$80)^(J$257-1)</f>
        <v>-11275</v>
      </c>
      <c r="K374" s="67" t="n">
        <f aca="false">-K366*Inputs!$D$72/12*1*(1+Inputs!$D$79)*(1+Inputs!$D$80)^(K$257-1)</f>
        <v>-11275</v>
      </c>
      <c r="L374" s="67" t="n">
        <f aca="false">-L366*Inputs!$D$72/12*1*(1+Inputs!$D$79)*(1+Inputs!$D$80)^(L$257-1)</f>
        <v>-11275</v>
      </c>
      <c r="M374" s="67" t="n">
        <f aca="false">-M366*Inputs!$D$72/12*1*(1+Inputs!$D$79)*(1+Inputs!$D$80)^(M$257-1)</f>
        <v>-11275</v>
      </c>
      <c r="N374" s="67" t="n">
        <f aca="false">-N366*Inputs!$D$72/12*1*(1+Inputs!$D$79)*(1+Inputs!$D$80)^(N$257-1)</f>
        <v>-11275</v>
      </c>
      <c r="O374" s="67" t="n">
        <f aca="false">-O366*Inputs!$D$72/12*1*(1+Inputs!$D$79)*(1+Inputs!$D$80)^(O$257-1)</f>
        <v>-12077.78</v>
      </c>
      <c r="P374" s="67" t="n">
        <f aca="false">-P366*Inputs!$D$72/12*1*(1+Inputs!$D$79)*(1+Inputs!$D$80)^(P$257-1)</f>
        <v>-12077.78</v>
      </c>
      <c r="Q374" s="67" t="n">
        <f aca="false">-Q366*Inputs!$D$72/12*1*(1+Inputs!$D$79)*(1+Inputs!$D$80)^(Q$257-1)</f>
        <v>-12077.78</v>
      </c>
      <c r="R374" s="67" t="n">
        <f aca="false">-R366*Inputs!$D$72/12*1*(1+Inputs!$D$79)*(1+Inputs!$D$80)^(R$257-1)</f>
        <v>-12077.78</v>
      </c>
      <c r="S374" s="67" t="n">
        <f aca="false">-S366*Inputs!$D$72/12*1*(1+Inputs!$D$79)*(1+Inputs!$D$80)^(S$257-1)</f>
        <v>-12077.78</v>
      </c>
      <c r="T374" s="67" t="n">
        <f aca="false">-T366*Inputs!$D$72/12*1*(1+Inputs!$D$79)*(1+Inputs!$D$80)^(T$257-1)</f>
        <v>-12077.78</v>
      </c>
      <c r="U374" s="67" t="n">
        <f aca="false">-U366*Inputs!$D$72/12*1*(1+Inputs!$D$79)*(1+Inputs!$D$80)^(U$257-1)</f>
        <v>-12077.78</v>
      </c>
      <c r="V374" s="67" t="n">
        <f aca="false">-V366*Inputs!$D$72/12*1*(1+Inputs!$D$79)*(1+Inputs!$D$80)^(V$257-1)</f>
        <v>-12077.78</v>
      </c>
      <c r="W374" s="67" t="n">
        <f aca="false">-W366*Inputs!$D$72/12*1*(1+Inputs!$D$79)*(1+Inputs!$D$80)^(W$257-1)</f>
        <v>-12077.78</v>
      </c>
      <c r="X374" s="67" t="n">
        <f aca="false">-X366*Inputs!$D$72/12*1*(1+Inputs!$D$79)*(1+Inputs!$D$80)^(X$257-1)</f>
        <v>-12077.78</v>
      </c>
      <c r="Y374" s="67" t="n">
        <f aca="false">-Y366*Inputs!$D$72/12*1*(1+Inputs!$D$79)*(1+Inputs!$D$80)^(Y$257-1)</f>
        <v>-12077.78</v>
      </c>
      <c r="Z374" s="67" t="n">
        <f aca="false">-Z366*Inputs!$D$72/12*1*(1+Inputs!$D$79)*(1+Inputs!$D$80)^(Z$257-1)</f>
        <v>-12077.78</v>
      </c>
      <c r="AA374" s="67" t="n">
        <f aca="false">-AA366*Inputs!$D$72/12*1*(1+Inputs!$D$79)*(1+Inputs!$D$80)^(AA$257-1)</f>
        <v>-12937.717936</v>
      </c>
      <c r="AB374" s="67" t="n">
        <f aca="false">-AB366*Inputs!$D$72/12*1*(1+Inputs!$D$79)*(1+Inputs!$D$80)^(AB$257-1)</f>
        <v>-12937.717936</v>
      </c>
      <c r="AC374" s="67" t="n">
        <f aca="false">-AC366*Inputs!$D$72/12*1*(1+Inputs!$D$79)*(1+Inputs!$D$80)^(AC$257-1)</f>
        <v>-12937.717936</v>
      </c>
      <c r="AD374" s="67" t="n">
        <f aca="false">-AD366*Inputs!$D$72/12*1*(1+Inputs!$D$79)*(1+Inputs!$D$80)^(AD$257-1)</f>
        <v>-12937.717936</v>
      </c>
      <c r="AE374" s="67" t="n">
        <f aca="false">-AE366*Inputs!$D$72/12*1*(1+Inputs!$D$79)*(1+Inputs!$D$80)^(AE$257-1)</f>
        <v>-12937.717936</v>
      </c>
      <c r="AF374" s="67" t="n">
        <f aca="false">-AF366*Inputs!$D$72/12*1*(1+Inputs!$D$79)*(1+Inputs!$D$80)^(AF$257-1)</f>
        <v>-12937.717936</v>
      </c>
      <c r="AG374" s="67" t="n">
        <f aca="false">-AG366*Inputs!$D$72/12*1*(1+Inputs!$D$79)*(1+Inputs!$D$80)^(AG$257-1)</f>
        <v>-12937.717936</v>
      </c>
      <c r="AH374" s="67" t="n">
        <f aca="false">-AH366*Inputs!$D$72/12*1*(1+Inputs!$D$79)*(1+Inputs!$D$80)^(AH$257-1)</f>
        <v>-12937.717936</v>
      </c>
      <c r="AI374" s="67" t="n">
        <f aca="false">-AI366*Inputs!$D$72/12*1*(1+Inputs!$D$79)*(1+Inputs!$D$80)^(AI$257-1)</f>
        <v>-12937.717936</v>
      </c>
      <c r="AJ374" s="67" t="n">
        <f aca="false">-AJ366*Inputs!$D$72/12*1*(1+Inputs!$D$79)*(1+Inputs!$D$80)^(AJ$257-1)</f>
        <v>-12937.717936</v>
      </c>
      <c r="AK374" s="67" t="n">
        <f aca="false">-AK366*Inputs!$D$72/12*1*(1+Inputs!$D$79)*(1+Inputs!$D$80)^(AK$257-1)</f>
        <v>-12937.717936</v>
      </c>
      <c r="AL374" s="67" t="n">
        <f aca="false">-AL366*Inputs!$D$72/12*1*(1+Inputs!$D$79)*(1+Inputs!$D$80)^(AL$257-1)</f>
        <v>-12937.717936</v>
      </c>
    </row>
    <row r="375" customFormat="false" ht="15" hidden="false" customHeight="false" outlineLevel="0" collapsed="false">
      <c r="A375" s="6" t="s">
        <v>469</v>
      </c>
      <c r="C375" s="67" t="n">
        <f aca="false">-C367*Inputs!$D$76/12*1*(1+Inputs!$D$79)*(1+Inputs!$D$80)^(C$257-1)</f>
        <v>-6233.33333333333</v>
      </c>
      <c r="D375" s="67" t="n">
        <f aca="false">-D367*Inputs!$D$76/12*1*(1+Inputs!$D$79)*(1+Inputs!$D$80)^(D$257-1)</f>
        <v>-6233.33333333333</v>
      </c>
      <c r="E375" s="67" t="n">
        <f aca="false">-E367*Inputs!$D$76/12*1*(1+Inputs!$D$79)*(1+Inputs!$D$80)^(E$257-1)</f>
        <v>-6233.33333333333</v>
      </c>
      <c r="F375" s="67" t="n">
        <f aca="false">-F367*Inputs!$D$76/12*1*(1+Inputs!$D$79)*(1+Inputs!$D$80)^(F$257-1)</f>
        <v>-6233.33333333333</v>
      </c>
      <c r="G375" s="67" t="n">
        <f aca="false">-G367*Inputs!$D$76/12*1*(1+Inputs!$D$79)*(1+Inputs!$D$80)^(G$257-1)</f>
        <v>-6233.33333333333</v>
      </c>
      <c r="H375" s="67" t="n">
        <f aca="false">-H367*Inputs!$D$76/12*1*(1+Inputs!$D$79)*(1+Inputs!$D$80)^(H$257-1)</f>
        <v>-6233.33333333333</v>
      </c>
      <c r="I375" s="67" t="n">
        <f aca="false">-I367*Inputs!$D$76/12*1*(1+Inputs!$D$79)*(1+Inputs!$D$80)^(I$257-1)</f>
        <v>-6233.33333333333</v>
      </c>
      <c r="J375" s="67" t="n">
        <f aca="false">-J367*Inputs!$D$76/12*1*(1+Inputs!$D$79)*(1+Inputs!$D$80)^(J$257-1)</f>
        <v>-6233.33333333333</v>
      </c>
      <c r="K375" s="67" t="n">
        <f aca="false">-K367*Inputs!$D$76/12*1*(1+Inputs!$D$79)*(1+Inputs!$D$80)^(K$257-1)</f>
        <v>-6233.33333333333</v>
      </c>
      <c r="L375" s="67" t="n">
        <f aca="false">-L367*Inputs!$D$76/12*1*(1+Inputs!$D$79)*(1+Inputs!$D$80)^(L$257-1)</f>
        <v>-6233.33333333333</v>
      </c>
      <c r="M375" s="67" t="n">
        <f aca="false">-M367*Inputs!$D$76/12*1*(1+Inputs!$D$79)*(1+Inputs!$D$80)^(M$257-1)</f>
        <v>-6233.33333333333</v>
      </c>
      <c r="N375" s="67" t="n">
        <f aca="false">-N367*Inputs!$D$76/12*1*(1+Inputs!$D$79)*(1+Inputs!$D$80)^(N$257-1)</f>
        <v>-6233.33333333333</v>
      </c>
      <c r="O375" s="67" t="n">
        <f aca="false">-O367*Inputs!$D$76/12*1*(1+Inputs!$D$79)*(1+Inputs!$D$80)^(O$257-1)</f>
        <v>-6420.33333333333</v>
      </c>
      <c r="P375" s="67" t="n">
        <f aca="false">-P367*Inputs!$D$76/12*1*(1+Inputs!$D$79)*(1+Inputs!$D$80)^(P$257-1)</f>
        <v>-6420.33333333333</v>
      </c>
      <c r="Q375" s="67" t="n">
        <f aca="false">-Q367*Inputs!$D$76/12*1*(1+Inputs!$D$79)*(1+Inputs!$D$80)^(Q$257-1)</f>
        <v>-6420.33333333333</v>
      </c>
      <c r="R375" s="67" t="n">
        <f aca="false">-R367*Inputs!$D$76/12*1*(1+Inputs!$D$79)*(1+Inputs!$D$80)^(R$257-1)</f>
        <v>-6420.33333333333</v>
      </c>
      <c r="S375" s="67" t="n">
        <f aca="false">-S367*Inputs!$D$76/12*1*(1+Inputs!$D$79)*(1+Inputs!$D$80)^(S$257-1)</f>
        <v>-6420.33333333333</v>
      </c>
      <c r="T375" s="67" t="n">
        <f aca="false">-T367*Inputs!$D$76/12*1*(1+Inputs!$D$79)*(1+Inputs!$D$80)^(T$257-1)</f>
        <v>-6420.33333333333</v>
      </c>
      <c r="U375" s="67" t="n">
        <f aca="false">-U367*Inputs!$D$76/12*1*(1+Inputs!$D$79)*(1+Inputs!$D$80)^(U$257-1)</f>
        <v>-6420.33333333333</v>
      </c>
      <c r="V375" s="67" t="n">
        <f aca="false">-V367*Inputs!$D$76/12*1*(1+Inputs!$D$79)*(1+Inputs!$D$80)^(V$257-1)</f>
        <v>-6420.33333333333</v>
      </c>
      <c r="W375" s="67" t="n">
        <f aca="false">-W367*Inputs!$D$76/12*1*(1+Inputs!$D$79)*(1+Inputs!$D$80)^(W$257-1)</f>
        <v>-6420.33333333333</v>
      </c>
      <c r="X375" s="67" t="n">
        <f aca="false">-X367*Inputs!$D$76/12*1*(1+Inputs!$D$79)*(1+Inputs!$D$80)^(X$257-1)</f>
        <v>-6420.33333333333</v>
      </c>
      <c r="Y375" s="67" t="n">
        <f aca="false">-Y367*Inputs!$D$76/12*1*(1+Inputs!$D$79)*(1+Inputs!$D$80)^(Y$257-1)</f>
        <v>-6420.33333333333</v>
      </c>
      <c r="Z375" s="67" t="n">
        <f aca="false">-Z367*Inputs!$D$76/12*1*(1+Inputs!$D$79)*(1+Inputs!$D$80)^(Z$257-1)</f>
        <v>-6420.33333333333</v>
      </c>
      <c r="AA375" s="67" t="n">
        <f aca="false">-AA367*Inputs!$D$76/12*1*(1+Inputs!$D$79)*(1+Inputs!$D$80)^(AA$257-1)</f>
        <v>-6612.94333333333</v>
      </c>
      <c r="AB375" s="67" t="n">
        <f aca="false">-AB367*Inputs!$D$76/12*1*(1+Inputs!$D$79)*(1+Inputs!$D$80)^(AB$257-1)</f>
        <v>-6612.94333333333</v>
      </c>
      <c r="AC375" s="67" t="n">
        <f aca="false">-AC367*Inputs!$D$76/12*1*(1+Inputs!$D$79)*(1+Inputs!$D$80)^(AC$257-1)</f>
        <v>-6612.94333333333</v>
      </c>
      <c r="AD375" s="67" t="n">
        <f aca="false">-AD367*Inputs!$D$76/12*1*(1+Inputs!$D$79)*(1+Inputs!$D$80)^(AD$257-1)</f>
        <v>-6612.94333333333</v>
      </c>
      <c r="AE375" s="67" t="n">
        <f aca="false">-AE367*Inputs!$D$76/12*1*(1+Inputs!$D$79)*(1+Inputs!$D$80)^(AE$257-1)</f>
        <v>-6612.94333333333</v>
      </c>
      <c r="AF375" s="67" t="n">
        <f aca="false">-AF367*Inputs!$D$76/12*1*(1+Inputs!$D$79)*(1+Inputs!$D$80)^(AF$257-1)</f>
        <v>-6612.94333333333</v>
      </c>
      <c r="AG375" s="67" t="n">
        <f aca="false">-AG367*Inputs!$D$76/12*1*(1+Inputs!$D$79)*(1+Inputs!$D$80)^(AG$257-1)</f>
        <v>-6612.94333333333</v>
      </c>
      <c r="AH375" s="67" t="n">
        <f aca="false">-AH367*Inputs!$D$76/12*1*(1+Inputs!$D$79)*(1+Inputs!$D$80)^(AH$257-1)</f>
        <v>-6612.94333333333</v>
      </c>
      <c r="AI375" s="67" t="n">
        <f aca="false">-AI367*Inputs!$D$76/12*1*(1+Inputs!$D$79)*(1+Inputs!$D$80)^(AI$257-1)</f>
        <v>-6612.94333333333</v>
      </c>
      <c r="AJ375" s="67" t="n">
        <f aca="false">-AJ367*Inputs!$D$76/12*1*(1+Inputs!$D$79)*(1+Inputs!$D$80)^(AJ$257-1)</f>
        <v>-6612.94333333333</v>
      </c>
      <c r="AK375" s="67" t="n">
        <f aca="false">-AK367*Inputs!$D$76/12*1*(1+Inputs!$D$79)*(1+Inputs!$D$80)^(AK$257-1)</f>
        <v>-6612.94333333333</v>
      </c>
      <c r="AL375" s="67" t="n">
        <f aca="false">-AL367*Inputs!$D$76/12*1*(1+Inputs!$D$79)*(1+Inputs!$D$80)^(AL$257-1)</f>
        <v>-6612.94333333333</v>
      </c>
    </row>
    <row r="376" customFormat="false" ht="15" hidden="false" customHeight="false" outlineLevel="0" collapsed="false">
      <c r="A376" s="111" t="s">
        <v>470</v>
      </c>
      <c r="C376" s="68" t="n">
        <f aca="false">C371+C372+C373+C374+C375</f>
        <v>-78970.8333333333</v>
      </c>
      <c r="D376" s="68" t="n">
        <f aca="false">D371+D372+D373+D374+D375</f>
        <v>-78970.8333333333</v>
      </c>
      <c r="E376" s="68" t="n">
        <f aca="false">E371+E372+E373+E374+E375</f>
        <v>-78970.8333333333</v>
      </c>
      <c r="F376" s="68" t="n">
        <f aca="false">F371+F372+F373+F374+F375</f>
        <v>-78970.8333333333</v>
      </c>
      <c r="G376" s="68" t="n">
        <f aca="false">G371+G372+G373+G374+G375</f>
        <v>-78970.8333333333</v>
      </c>
      <c r="H376" s="68" t="n">
        <f aca="false">H371+H372+H373+H374+H375</f>
        <v>-78970.8333333333</v>
      </c>
      <c r="I376" s="68" t="n">
        <f aca="false">I371+I372+I373+I374+I375</f>
        <v>-78970.8333333333</v>
      </c>
      <c r="J376" s="68" t="n">
        <f aca="false">J371+J372+J373+J374+J375</f>
        <v>-78970.8333333333</v>
      </c>
      <c r="K376" s="68" t="n">
        <f aca="false">K371+K372+K373+K374+K375</f>
        <v>-78970.8333333333</v>
      </c>
      <c r="L376" s="68" t="n">
        <f aca="false">L371+L372+L373+L374+L375</f>
        <v>-78970.8333333333</v>
      </c>
      <c r="M376" s="68" t="n">
        <f aca="false">M371+M372+M373+M374+M375</f>
        <v>-78970.8333333333</v>
      </c>
      <c r="N376" s="68" t="n">
        <f aca="false">N371+N372+N373+N374+N375</f>
        <v>-78970.8333333333</v>
      </c>
      <c r="O376" s="68" t="n">
        <f aca="false">O371+O372+O373+O374+O375</f>
        <v>-84200.7833333333</v>
      </c>
      <c r="P376" s="68" t="n">
        <f aca="false">P371+P372+P373+P374+P375</f>
        <v>-84200.7833333333</v>
      </c>
      <c r="Q376" s="68" t="n">
        <f aca="false">Q371+Q372+Q373+Q374+Q375</f>
        <v>-84200.7833333333</v>
      </c>
      <c r="R376" s="68" t="n">
        <f aca="false">R371+R372+R373+R374+R375</f>
        <v>-84200.7833333333</v>
      </c>
      <c r="S376" s="68" t="n">
        <f aca="false">S371+S372+S373+S374+S375</f>
        <v>-84200.7833333333</v>
      </c>
      <c r="T376" s="68" t="n">
        <f aca="false">T371+T372+T373+T374+T375</f>
        <v>-84200.7833333333</v>
      </c>
      <c r="U376" s="68" t="n">
        <f aca="false">U371+U372+U373+U374+U375</f>
        <v>-84200.7833333333</v>
      </c>
      <c r="V376" s="68" t="n">
        <f aca="false">V371+V372+V373+V374+V375</f>
        <v>-84200.7833333333</v>
      </c>
      <c r="W376" s="68" t="n">
        <f aca="false">W371+W372+W373+W374+W375</f>
        <v>-84200.7833333333</v>
      </c>
      <c r="X376" s="68" t="n">
        <f aca="false">X371+X372+X373+X374+X375</f>
        <v>-84200.7833333333</v>
      </c>
      <c r="Y376" s="68" t="n">
        <f aca="false">Y371+Y372+Y373+Y374+Y375</f>
        <v>-84200.7833333333</v>
      </c>
      <c r="Z376" s="68" t="n">
        <f aca="false">Z371+Z372+Z373+Z374+Z375</f>
        <v>-84200.7833333333</v>
      </c>
      <c r="AA376" s="68" t="n">
        <f aca="false">AA371+AA372+AA373+AA374+AA375</f>
        <v>-89824.9318853333</v>
      </c>
      <c r="AB376" s="68" t="n">
        <f aca="false">AB371+AB372+AB373+AB374+AB375</f>
        <v>-89824.9318853333</v>
      </c>
      <c r="AC376" s="68" t="n">
        <f aca="false">AC371+AC372+AC373+AC374+AC375</f>
        <v>-89824.9318853333</v>
      </c>
      <c r="AD376" s="68" t="n">
        <f aca="false">AD371+AD372+AD373+AD374+AD375</f>
        <v>-89824.9318853333</v>
      </c>
      <c r="AE376" s="68" t="n">
        <f aca="false">AE371+AE372+AE373+AE374+AE375</f>
        <v>-89824.9318853333</v>
      </c>
      <c r="AF376" s="68" t="n">
        <f aca="false">AF371+AF372+AF373+AF374+AF375</f>
        <v>-89824.9318853333</v>
      </c>
      <c r="AG376" s="68" t="n">
        <f aca="false">AG371+AG372+AG373+AG374+AG375</f>
        <v>-89824.9318853333</v>
      </c>
      <c r="AH376" s="68" t="n">
        <f aca="false">AH371+AH372+AH373+AH374+AH375</f>
        <v>-89824.9318853333</v>
      </c>
      <c r="AI376" s="68" t="n">
        <f aca="false">AI371+AI372+AI373+AI374+AI375</f>
        <v>-89824.9318853333</v>
      </c>
      <c r="AJ376" s="68" t="n">
        <f aca="false">AJ371+AJ372+AJ373+AJ374+AJ375</f>
        <v>-89824.9318853333</v>
      </c>
      <c r="AK376" s="68" t="n">
        <f aca="false">AK371+AK372+AK373+AK374+AK375</f>
        <v>-89824.9318853333</v>
      </c>
      <c r="AL376" s="68" t="n">
        <f aca="false">AL371+AL372+AL373+AL374+AL375</f>
        <v>-89824.9318853333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476</v>
      </c>
    </row>
    <row r="3" customFormat="false" ht="15" hidden="false" customHeight="false" outlineLevel="0" collapsed="false">
      <c r="A3" s="33" t="s">
        <v>477</v>
      </c>
      <c r="B3" s="33" t="s">
        <v>478</v>
      </c>
      <c r="C3" s="33" t="s">
        <v>479</v>
      </c>
    </row>
    <row r="4" customFormat="false" ht="15" hidden="false" customHeight="false" outlineLevel="0" collapsed="false">
      <c r="A4" s="6" t="s">
        <v>480</v>
      </c>
      <c r="B4" s="4" t="str">
        <f aca="false">IF(ABS(SUM('P&amp;L'!$B$5:$D$5)-SUM(Monthly!$C$31:$AL$31))&lt;0.5,"PASS","FAIL")</f>
        <v>PASS</v>
      </c>
      <c r="C4" s="18" t="s">
        <v>481</v>
      </c>
    </row>
    <row r="5" customFormat="false" ht="15" hidden="false" customHeight="false" outlineLevel="0" collapsed="false">
      <c r="A5" s="6" t="s">
        <v>482</v>
      </c>
      <c r="B5" s="4" t="str">
        <f aca="false">IF(ABS(SUM('P&amp;L'!$B$26:$D$26)-SUM(Monthly!$C$60:$AL$60))&lt;0.5,"PASS","FAIL")</f>
        <v>PASS</v>
      </c>
      <c r="C5" s="18" t="s">
        <v>483</v>
      </c>
    </row>
    <row r="6" customFormat="false" ht="15" hidden="false" customHeight="false" outlineLevel="0" collapsed="false">
      <c r="A6" s="6" t="s">
        <v>484</v>
      </c>
      <c r="B6" s="4" t="str">
        <f aca="false">IF(ABS(SUM(Monthly!$C$51:$AL$51)-SUM(Monthly!$C$38:$AL$38)-SUM(Monthly!$C$50:$AL$50))&lt;0.5,"PASS","FAIL")</f>
        <v>PASS</v>
      </c>
      <c r="C6" s="18" t="s">
        <v>485</v>
      </c>
    </row>
    <row r="7" customFormat="false" ht="15" hidden="false" customHeight="false" outlineLevel="0" collapsed="false">
      <c r="A7" s="6" t="s">
        <v>486</v>
      </c>
      <c r="B7" s="4" t="str">
        <f aca="false">IF(ABS(INDEX(Monthly!$C$90:$AL$90,36)-SUM(Monthly!$C$88:$AL$88))&lt;0.5,"PASS","FAIL")</f>
        <v>PASS</v>
      </c>
      <c r="C7" s="18" t="s">
        <v>487</v>
      </c>
    </row>
    <row r="8" customFormat="false" ht="15" hidden="false" customHeight="false" outlineLevel="0" collapsed="false">
      <c r="A8" s="6" t="s">
        <v>488</v>
      </c>
      <c r="B8" s="4" t="str">
        <f aca="false">IF(AND(ISNUMBER(Dashboard!B4),Dashboard!B4&gt;=1,Dashboard!B4&lt;=3,INT(Dashboard!B4)=Dashboard!B4),"PASS","FAIL")</f>
        <v>PASS</v>
      </c>
      <c r="C8" s="18" t="s">
        <v>489</v>
      </c>
    </row>
    <row r="9" customFormat="false" ht="15" hidden="false" customHeight="false" outlineLevel="0" collapsed="false">
      <c r="A9" s="6" t="s">
        <v>490</v>
      </c>
      <c r="B9" s="4" t="str">
        <f aca="false">IF(AND(Inputs!$B$9&lt;=Inputs!$C$9,Inputs!$C$9&lt;=Inputs!$D$9,Inputs!$B$10&lt;=Inputs!$C$10,Inputs!$C$10&lt;=Inputs!$D$10,Inputs!$B$11&lt;=Inputs!$C$11,Inputs!$C$11&lt;=Inputs!$D$11,Inputs!$B$14&lt;=Inputs!$C$14,Inputs!$C$14&lt;=Inputs!$D$14,Inputs!$B$15&lt;=Inputs!$C$15,Inputs!$C$15&lt;=Inputs!$D$15,Inputs!$B$16&lt;=Inputs!$C$16,Inputs!$C$16&lt;=Inputs!$D$16,Inputs!$B$18&lt;=Inputs!$C$18,Inputs!$C$18&lt;=Inputs!$D$18,Inputs!$B$19&gt;=Inputs!$C$19,Inputs!$C$19&gt;=Inputs!$D$19,Inputs!$B$20&gt;=Inputs!$C$20,Inputs!$C$20&gt;=Inputs!$D$20,Inputs!$B$21&lt;=Inputs!$C$21,Inputs!$C$21&lt;=Inputs!$D$21,Inputs!$B$22&lt;=Inputs!$C$22,Inputs!$C$22&lt;=Inputs!$D$22,Inputs!$B$23&lt;=Inputs!$C$23,Inputs!$C$23&lt;=Inputs!$D$23,Inputs!$B$26&lt;=Inputs!$C$26,Inputs!$C$26&lt;=Inputs!$D$26,Inputs!$B$27&lt;=Inputs!$C$27,Inputs!$C$27&lt;=Inputs!$D$27,Inputs!$B$28&lt;=Inputs!$C$28,Inputs!$C$28&lt;=Inputs!$D$28,Inputs!$B$31&gt;=Inputs!$C$31,Inputs!$C$31&gt;=Inputs!$D$31,Inputs!$B$32&gt;=Inputs!$C$32,Inputs!$C$32&gt;=Inputs!$D$32,Inputs!$B$33&gt;=Inputs!$C$33,Inputs!$C$33&gt;=Inputs!$D$33,Inputs!$B$36&gt;=Inputs!$C$36,Inputs!$C$36&gt;=Inputs!$D$36,Inputs!$B$37&gt;=Inputs!$C$37,Inputs!$C$37&gt;=Inputs!$D$37,Inputs!$B$38&gt;=Inputs!$C$38,Inputs!$C$38&gt;=Inputs!$D$38,Inputs!$B$40&gt;=Inputs!$C$40,Inputs!$C$40&gt;=Inputs!$D$40,Inputs!$B$49&gt;=Inputs!$C$49,Inputs!$C$49&gt;=Inputs!$D$49,Inputs!$B$56&gt;=Inputs!$C$56,Inputs!$C$56&gt;=Inputs!$D$56,Inputs!$B$59&lt;=Inputs!$C$59,Inputs!$C$59&lt;=Inputs!$D$59,Inputs!$B$61&lt;=Inputs!$C$61,Inputs!$C$61&lt;=Inputs!$D$61,Inputs!$B$63&lt;=Inputs!$C$63,Inputs!$C$63&lt;=Inputs!$D$63,Inputs!$B$65&lt;=Inputs!$C$65,Inputs!$C$65&lt;=Inputs!$D$65,Inputs!$B$67&lt;=Inputs!$C$67,Inputs!$C$67&lt;=Inputs!$D$67,Inputs!$B$69&lt;=Inputs!$C$69,Inputs!$C$69&lt;=Inputs!$D$69,Inputs!$B$71&lt;=Inputs!$C$71,Inputs!$C$71&lt;=Inputs!$D$71,Inputs!$B$73&lt;=Inputs!$C$73,Inputs!$C$73&lt;=Inputs!$D$73,Inputs!$B$75&lt;=Inputs!$C$75,Inputs!$C$75&lt;=Inputs!$D$75,Inputs!$B$77&lt;=Inputs!$C$77,Inputs!$C$77&lt;=Inputs!$D$77,Inputs!$B$101&gt;=Inputs!$C$101,Inputs!$C$101&gt;=Inputs!$D$101,Inputs!$B$102&lt;=Inputs!$C$102,Inputs!$C$102&lt;=Inputs!$D$102,Inputs!$B$103&lt;=Inputs!$C$103,Inputs!$C$103&lt;=Inputs!$D$103),"PASS","FAIL")</f>
        <v>PASS</v>
      </c>
      <c r="C9" s="18" t="s">
        <v>491</v>
      </c>
    </row>
    <row r="10" customFormat="false" ht="15" hidden="false" customHeight="false" outlineLevel="0" collapsed="false">
      <c r="A10" s="6" t="s">
        <v>492</v>
      </c>
      <c r="B10" s="4" t="str">
        <f aca="false">IF(AND(MIN('P&amp;L'!$B$8:$D$8)&gt;=0,MAX('P&amp;L'!$B$8:$D$8)&lt;=1),"PASS","FAIL")</f>
        <v>PASS</v>
      </c>
      <c r="C10" s="18" t="s">
        <v>493</v>
      </c>
    </row>
    <row r="11" customFormat="false" ht="15" hidden="false" customHeight="false" outlineLevel="0" collapsed="false">
      <c r="A11" s="6" t="s">
        <v>494</v>
      </c>
      <c r="B11" s="4" t="str">
        <f aca="false">IF(MIN(Monthly!$C$73:$AL$73)&gt;=-0.5,"PASS","FAIL")</f>
        <v>PASS</v>
      </c>
      <c r="C11" s="18" t="s">
        <v>495</v>
      </c>
    </row>
    <row r="12" customFormat="false" ht="15" hidden="false" customHeight="false" outlineLevel="0" collapsed="false">
      <c r="A12" s="6" t="s">
        <v>496</v>
      </c>
      <c r="B12" s="4" t="str">
        <f aca="false">IF(ABS('Break-even'!B18-('Break-even'!B16-'Break-even'!B10))&lt;0.5,"PASS","FAIL")</f>
        <v>PASS</v>
      </c>
      <c r="C12" s="18" t="s">
        <v>497</v>
      </c>
    </row>
    <row r="13" customFormat="false" ht="15" hidden="false" customHeight="false" outlineLevel="0" collapsed="false">
      <c r="A13" s="6" t="s">
        <v>498</v>
      </c>
      <c r="B13" s="4" t="str">
        <f aca="false">IF(ABS(Valuation!B23-NPV(Valuation!B6,Valuation!$B$17:$D$17))&lt;0.5,"PASS","FAIL")</f>
        <v>PASS</v>
      </c>
      <c r="C13" s="18" t="s">
        <v>499</v>
      </c>
    </row>
    <row r="14" customFormat="false" ht="15" hidden="false" customHeight="false" outlineLevel="0" collapsed="false">
      <c r="A14" s="6" t="s">
        <v>500</v>
      </c>
      <c r="B14" s="4" t="str">
        <f aca="false">IF(Valuation!B6&gt;Valuation!B7,"PASS","FAIL")</f>
        <v>PASS</v>
      </c>
      <c r="C14" s="18" t="s">
        <v>501</v>
      </c>
    </row>
    <row r="15" customFormat="false" ht="15" hidden="false" customHeight="false" outlineLevel="0" collapsed="false">
      <c r="A15" s="6" t="s">
        <v>502</v>
      </c>
      <c r="B15" s="4" t="str">
        <f aca="false">IF(ABS(Valuation!D36-Valuation!B27)&lt;0.5,"PASS","FAIL")</f>
        <v>PASS</v>
      </c>
      <c r="C15" s="18" t="s">
        <v>503</v>
      </c>
    </row>
    <row r="16" customFormat="false" ht="15" hidden="false" customHeight="false" outlineLevel="0" collapsed="false">
      <c r="A16" s="6" t="s">
        <v>504</v>
      </c>
      <c r="B16" s="4" t="str">
        <f aca="false">IF(Valuation!$D$17&gt;0,"PASS","WARN")</f>
        <v>PASS</v>
      </c>
      <c r="C16" s="18" t="s">
        <v>505</v>
      </c>
    </row>
    <row r="17" customFormat="false" ht="15" hidden="false" customHeight="false" outlineLevel="0" collapsed="false">
      <c r="A17" s="6" t="s">
        <v>506</v>
      </c>
      <c r="B17" s="4" t="str">
        <f aca="false">IF(ABS('Sources &amp; Uses'!B21-'Sources &amp; Uses'!B28)&lt;0.5,"PASS","FAIL")</f>
        <v>PASS</v>
      </c>
      <c r="C17" s="18" t="s">
        <v>507</v>
      </c>
    </row>
    <row r="18" customFormat="false" ht="15" hidden="false" customHeight="false" outlineLevel="0" collapsed="false">
      <c r="A18" s="6" t="s">
        <v>508</v>
      </c>
      <c r="B18" s="4" t="str">
        <f aca="false">IF(SUMPRODUCT(--ISERROR(Monthly!$C$4:$AL$108))+SUMPRODUCT(--ISERROR(Headcount!$C$4:$AL$21))+SUMPRODUCT(--ISERROR('P&amp;L'!$B$3:$D$27))+SUMPRODUCT(--ISERROR('Cash Flow'!$B$3:$D$18))+SUMPRODUCT(--ISERROR('Balance Sheet'!$B$3:$D$17))+SUMPRODUCT(--ISERROR(KPIs!$B$27:$D$53))+SUMPRODUCT(--ISERROR('Break-even'!$B$26:$D$33))+SUMPRODUCT(--ISERROR(Valuation!$B$14:$D$19))+SUMPRODUCT(--ISERROR('Break-even'!$B$3:$D$35))+SUMPRODUCT(--ISERROR(Valuation!$A$3:$F$40))+SUMPRODUCT(--ISERROR('Sources &amp; Uses'!$B$3:$C$30))+SUMPRODUCT(--ISERROR(Dashboard!$A$6:$W$43))+SUMPRODUCT(--ISERROR(Summary!$A$5:$S$52))+SUMPRODUCT(--ISERROR(KPIs!$A$4:$E$53))+SUMPRODUCT(--ISERROR('Scenario calc'!$C$6:$AL$126))+SUMPRODUCT(--ISERROR('Scenario calc'!$C$131:$AL$251))+SUMPRODUCT(--ISERROR('Scenario calc'!$C$256:$AL$376))+SUMPRODUCT(--ISERROR(Scenarios!$B$5:$E$50))=0,"PASS","FAIL")</f>
        <v>PASS</v>
      </c>
      <c r="C18" s="18" t="s">
        <v>509</v>
      </c>
    </row>
    <row r="19" customFormat="false" ht="15" hidden="false" customHeight="false" outlineLevel="0" collapsed="false">
      <c r="A19" s="6" t="s">
        <v>510</v>
      </c>
      <c r="B19" s="4" t="str">
        <f aca="false">IF(IFERROR(AND(SUMPRODUCT(--(ABS(Summary!$B$7:$D$7-'P&amp;L'!$B$5:$D$5)&gt;0.5))=0,SUMPRODUCT(--(ABS(Summary!$B$19:$D$19-'P&amp;L'!$B$26:$D$26)&gt;0.5))=0,SUMPRODUCT(--(ABS(Summary!$B$31:$D$31-'Cash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9" s="18" t="s">
        <v>511</v>
      </c>
    </row>
    <row r="20" customFormat="false" ht="15" hidden="false" customHeight="false" outlineLevel="0" collapsed="false">
      <c r="A20" s="6" t="s">
        <v>512</v>
      </c>
      <c r="B20" s="4" t="str">
        <f aca="false">IF(SUMPRODUCT(--(ABS(KPIs!$B$24:$D$24)&gt;0.000000001))&gt;0,"FAIL",IF(SUMPRODUCT(ISNUMBER(KPIs!$B$23:$D$23)*ISNUMBER(KPIs!$B$16:$D$16))=0,"n/a","PASS"))</f>
        <v>PASS</v>
      </c>
      <c r="C20" s="18" t="s">
        <v>513</v>
      </c>
    </row>
    <row r="21" customFormat="false" ht="15" hidden="false" customHeight="false" outlineLevel="0" collapsed="false">
      <c r="A21" s="6" t="s">
        <v>514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515</v>
      </c>
    </row>
    <row r="22" customFormat="false" ht="15" hidden="false" customHeight="false" outlineLevel="0" collapsed="false">
      <c r="A22" s="6" t="s">
        <v>516</v>
      </c>
      <c r="B22" s="4" t="str">
        <f aca="false">IF(SUMPRODUCT(--(ABS(Monthly!$C$108:$AL$108)&gt;0.5))=0,"PASS","FAIL")</f>
        <v>PASS</v>
      </c>
      <c r="C22" s="18" t="s">
        <v>517</v>
      </c>
    </row>
    <row r="23" customFormat="false" ht="15" hidden="false" customHeight="false" outlineLevel="0" collapsed="false">
      <c r="A23" s="6" t="s">
        <v>518</v>
      </c>
      <c r="B23" s="4" t="str">
        <f aca="false">IF(MIN(Monthly!$C$90:$AL$90)&gt;=0,"PASS","WARN")</f>
        <v>PASS</v>
      </c>
      <c r="C23" s="18" t="s">
        <v>519</v>
      </c>
    </row>
    <row r="25" customFormat="false" ht="15" hidden="false" customHeight="false" outlineLevel="0" collapsed="false">
      <c r="A25" s="70" t="s">
        <v>520</v>
      </c>
      <c r="B25" s="70" t="str">
        <f aca="false">IF(COUNTIF(B4:B23,"FAIL")&gt;0,"FAIL",IF(COUNTIF(B4:B23,"WARN")&gt;0,"PASS WITH WARNINGS","PASS"))</f>
        <v>PASS</v>
      </c>
      <c r="C25" s="121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2026-10-22T13:52:57Z</dcterms:created>
  <dc:creator/>
  <dc:description/>
  <dc:language>en-US</dc:language>
  <cp:lastModifiedBy/>
  <dcterms:modified xsi:type="dcterms:W3CDTF">2026-10-22T13:52:59Z</dcterms:modified>
  <cp:revision>0</cp:revision>
  <dc:subject/>
  <dc:title>Dental practice financial model (growing)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